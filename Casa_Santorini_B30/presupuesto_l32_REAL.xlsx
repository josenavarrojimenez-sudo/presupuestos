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omments4.xml" ContentType="application/vnd.openxmlformats-officedocument.spreadsheetml.comments+xml"/>
  <Override PartName="/xl/threadedComments/threadedComment2.xml" ContentType="application/vnd.ms-excel.threadedcomments+xml"/>
  <Override PartName="/xl/drawings/drawing1.xml" ContentType="application/vnd.openxmlformats-officedocument.drawing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threadedComments/threadedComment3.xml" ContentType="application/vnd.ms-excel.threadedcomments+xml"/>
  <Override PartName="/xl/tables/table3.xml" ContentType="application/vnd.openxmlformats-officedocument.spreadsheetml.table+xml"/>
  <Override PartName="/xl/comments7.xml" ContentType="application/vnd.openxmlformats-officedocument.spreadsheetml.comments+xml"/>
  <Override PartName="/xl/threadedComments/threadedComment4.xml" ContentType="application/vnd.ms-excel.threadedcomments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/Users/hildavillanueva/Downloads/"/>
    </mc:Choice>
  </mc:AlternateContent>
  <xr:revisionPtr revIDLastSave="0" documentId="8_{C40296BC-18F8-5142-81DE-110FD6D3882D}" xr6:coauthVersionLast="47" xr6:coauthVersionMax="47" xr10:uidLastSave="{00000000-0000-0000-0000-000000000000}"/>
  <bookViews>
    <workbookView xWindow="0" yWindow="660" windowWidth="29400" windowHeight="17540" tabRatio="778" activeTab="2" xr2:uid="{39948FE0-6FD8-4A49-8A0B-30B22600A2E2}"/>
  </bookViews>
  <sheets>
    <sheet name="ANALISIS" sheetId="49" state="hidden" r:id="rId1"/>
    <sheet name="DESGLOSE" sheetId="46" state="hidden" r:id="rId2"/>
    <sheet name="Resumen Presupuesto" sheetId="53" r:id="rId3"/>
    <sheet name="Descompuesto" sheetId="77" r:id="rId4"/>
    <sheet name="Detallado" sheetId="37" r:id="rId5"/>
    <sheet name="1_OG y 2_ACA" sheetId="57" r:id="rId6"/>
    <sheet name="3.2_MEC" sheetId="59" r:id="rId7"/>
    <sheet name="3.1_ELEC" sheetId="58" r:id="rId8"/>
    <sheet name="BASE DATOS PRECIOS " sheetId="14" state="hidden" r:id="rId9"/>
    <sheet name="HORAS MANO DE OBRA" sheetId="51" r:id="rId10"/>
    <sheet name="ELEC" sheetId="76" state="hidden" r:id="rId11"/>
    <sheet name="BaseDatosMuebles" sheetId="68" state="hidden" r:id="rId12"/>
    <sheet name="Subc. Vent." sheetId="66" state="hidden" r:id="rId13"/>
    <sheet name="BASE DATOS EQUIPOS Y SUBCONTRAT" sheetId="43" state="hidden" r:id="rId14"/>
    <sheet name="BASE DATOS MANO DE OBRA" sheetId="45" state="hidden" r:id="rId15"/>
    <sheet name="COSTOS MO CUADRILLA" sheetId="60" state="hidden" r:id="rId16"/>
    <sheet name="Gastos generales" sheetId="5" state="hidden" r:id="rId17"/>
    <sheet name="Unitarios" sheetId="6" state="hidden" r:id="rId18"/>
    <sheet name="Electromecanico" sheetId="7" state="hidden" r:id="rId19"/>
    <sheet name="Ventaneria" sheetId="8" state="hidden" r:id="rId20"/>
    <sheet name="Puertas" sheetId="9" state="hidden" r:id="rId21"/>
    <sheet name="Enchapes" sheetId="11" state="hidden" r:id="rId22"/>
    <sheet name="Hojalateria" sheetId="13" state="hidden" r:id="rId23"/>
  </sheets>
  <definedNames>
    <definedName name="_Fill" localSheetId="16" hidden="1">#REF!</definedName>
    <definedName name="_Fill" localSheetId="2">#REF!</definedName>
    <definedName name="_Fill" hidden="1">#REF!</definedName>
    <definedName name="_xlnm._FilterDatabase" localSheetId="0" hidden="1">ANALISIS!$B$1:$H$1116</definedName>
    <definedName name="_xlnm._FilterDatabase" localSheetId="13" hidden="1">'BASE DATOS EQUIPOS Y SUBCONTRAT'!$A$1:$J$552</definedName>
    <definedName name="_xlnm._FilterDatabase" localSheetId="14" hidden="1">'BASE DATOS MANO DE OBRA'!$A$1:$J$714</definedName>
    <definedName name="_xlnm._FilterDatabase" localSheetId="8" hidden="1">'BASE DATOS PRECIOS '!$B$1:$H$1749</definedName>
    <definedName name="_xlnm._FilterDatabase" localSheetId="4" hidden="1">Detallado!$A$7:$O$960</definedName>
    <definedName name="_Key1" localSheetId="16" hidden="1">#REF!</definedName>
    <definedName name="_Key1" localSheetId="2">#REF!</definedName>
    <definedName name="_Key1" hidden="1">#REF!</definedName>
    <definedName name="_Order1" hidden="1">255</definedName>
    <definedName name="_Sort" localSheetId="16" hidden="1">#REF!</definedName>
    <definedName name="_Sort" localSheetId="2">#REF!</definedName>
    <definedName name="_Sort" hidden="1">#REF!</definedName>
    <definedName name="AR">#REF!</definedName>
    <definedName name="area">#REF!</definedName>
    <definedName name="_xlnm.Print_Area" localSheetId="4">Detallado!$C$1:$O$958</definedName>
    <definedName name="Beginning_Balance" localSheetId="7">-FV(interest_rate/12,payment_number-1,-monthly_payment,loan_amount)</definedName>
    <definedName name="Beginning_Balance" localSheetId="6">-FV(interest_rate/12,payment_number-1,-monthly_payment,loan_amount)</definedName>
    <definedName name="Beginning_Balance" localSheetId="2">-FV(interest_rate/12,payment_number-1,-monthly_payment,loan_amount)</definedName>
    <definedName name="Beginning_Balance">-FV(interest_rate/12,payment_number-1,-monthly_payment,loan_amount)</definedName>
    <definedName name="block15" localSheetId="16" hidden="1">#REF!</definedName>
    <definedName name="block15" hidden="1">#REF!</definedName>
    <definedName name="CE">#REF!</definedName>
    <definedName name="cellbimuser3312070200E1100905702600" comment="Katherine Durán">1667853438554</definedName>
    <definedName name="CodigoProyecto">Descompuesto!$L$3</definedName>
    <definedName name="DatosExternos_1" localSheetId="3" hidden="1">Descompuesto!$A$1:$J$352</definedName>
    <definedName name="ds">Detallado!$Q$4</definedName>
    <definedName name="ETR">#REF!</definedName>
    <definedName name="FAN" localSheetId="7">'3.1_ELEC'!#REF!</definedName>
    <definedName name="FAN" localSheetId="6">'3.2_MEC'!#REF!</definedName>
    <definedName name="FAN">'1_OG y 2_ACA'!$D$112</definedName>
    <definedName name="FCL" localSheetId="7">'3.1_ELEC'!#REF!</definedName>
    <definedName name="FCL" localSheetId="6">'3.2_MEC'!#REF!</definedName>
    <definedName name="FCL">'1_OG y 2_ACA'!$D$95</definedName>
    <definedName name="FDG" localSheetId="7">'3.1_ELEC'!#REF!</definedName>
    <definedName name="FDG" localSheetId="6">'3.2_MEC'!#REF!</definedName>
    <definedName name="FDG">'1_OG y 2_ACA'!$D$96</definedName>
    <definedName name="FILTRAR__Cant_E__D5_D126__Cant_E__F5_F126__0">#REF!</definedName>
    <definedName name="jj" localSheetId="16" hidden="1">#REF!</definedName>
    <definedName name="jj" hidden="1">#REF!</definedName>
    <definedName name="KH">'BASE DATOS EQUIPOS Y SUBCONTRAT'!$P$6</definedName>
    <definedName name="ListaObra">#REF!</definedName>
    <definedName name="ListaSubTareas">#REF!</definedName>
    <definedName name="losaa" localSheetId="7">'3.1_ELEC'!#REF!</definedName>
    <definedName name="losaa" localSheetId="6">'3.2_MEC'!#REF!</definedName>
    <definedName name="losaa">'1_OG y 2_ACA'!$D$102</definedName>
    <definedName name="losaac">'1_OG y 2_ACA'!$D$281</definedName>
    <definedName name="losaad" localSheetId="7">'3.1_ELEC'!#REF!</definedName>
    <definedName name="losaad" localSheetId="6">'3.2_MEC'!#REF!</definedName>
    <definedName name="losaad">'1_OG y 2_ACA'!$D$105</definedName>
    <definedName name="losac" localSheetId="7">'3.1_ELEC'!#REF!</definedName>
    <definedName name="losac" localSheetId="6">'3.2_MEC'!#REF!</definedName>
    <definedName name="losac">'1_OG y 2_ACA'!$D$104</definedName>
    <definedName name="losap" localSheetId="7">'3.1_ELEC'!#REF!</definedName>
    <definedName name="losap" localSheetId="6">'3.2_MEC'!#REF!</definedName>
    <definedName name="losap">'1_OG y 2_ACA'!$D$103</definedName>
    <definedName name="muroa" localSheetId="7">'3.1_ELEC'!#REF!</definedName>
    <definedName name="muroa" localSheetId="6">'3.2_MEC'!#REF!</definedName>
    <definedName name="muroa">'1_OG y 2_ACA'!$D$106</definedName>
    <definedName name="muroad" localSheetId="7">'3.1_ELEC'!#REF!</definedName>
    <definedName name="muroad" localSheetId="6">'3.2_MEC'!#REF!</definedName>
    <definedName name="muroad">'1_OG y 2_ACA'!$D$109</definedName>
    <definedName name="muroc" localSheetId="7">'3.1_ELEC'!#REF!</definedName>
    <definedName name="muroc" localSheetId="6">'3.2_MEC'!#REF!</definedName>
    <definedName name="muroc">'1_OG y 2_ACA'!$D$108</definedName>
    <definedName name="murof" localSheetId="7">'3.1_ELEC'!#REF!</definedName>
    <definedName name="murof" localSheetId="6">'3.2_MEC'!#REF!</definedName>
    <definedName name="murof">'1_OG y 2_ACA'!$D$110</definedName>
    <definedName name="murop" localSheetId="7">'3.1_ELEC'!#REF!</definedName>
    <definedName name="murop" localSheetId="6">'3.2_MEC'!#REF!</definedName>
    <definedName name="murop">'1_OG y 2_ACA'!$D$107</definedName>
    <definedName name="PARED_LIV_2P" localSheetId="2">#REF!</definedName>
    <definedName name="PARED_LIV_2P">#REF!</definedName>
    <definedName name="PI">#REF!</definedName>
    <definedName name="plazo" localSheetId="16">'Gastos generales'!$F$6</definedName>
    <definedName name="plazo">#REF!</definedName>
    <definedName name="selloa" localSheetId="7">'3.1_ELEC'!#REF!</definedName>
    <definedName name="selloa" localSheetId="6">'3.2_MEC'!#REF!</definedName>
    <definedName name="selloa">'1_OG y 2_ACA'!$D$99</definedName>
    <definedName name="selloc" localSheetId="7">'3.1_ELEC'!#REF!</definedName>
    <definedName name="selloc" localSheetId="6">'3.2_MEC'!#REF!</definedName>
    <definedName name="selloc">'1_OG y 2_ACA'!$D$101</definedName>
    <definedName name="sellop" localSheetId="7">'3.1_ELEC'!#REF!</definedName>
    <definedName name="sellop" localSheetId="6">'3.2_MEC'!#REF!</definedName>
    <definedName name="sellop">'1_OG y 2_ACA'!$D$100</definedName>
    <definedName name="SOL" localSheetId="7">'3.1_ELEC'!#REF!</definedName>
    <definedName name="SOL" localSheetId="6">'3.2_MEC'!#REF!</definedName>
    <definedName name="SOL">'1_OG y 2_ACA'!$D$113</definedName>
    <definedName name="tc" localSheetId="4">Detallado!$Q$4</definedName>
    <definedName name="tc" localSheetId="16">'Gastos generales'!$C$5</definedName>
    <definedName name="tc">'BASE DATOS PRECIOS '!$K$1</definedName>
    <definedName name="vigas2" localSheetId="16" hidden="1">#REF!</definedName>
    <definedName name="vigas2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2" i="57" l="1"/>
  <c r="D176" i="59"/>
  <c r="D145" i="59"/>
  <c r="D46" i="59"/>
  <c r="D45" i="59"/>
  <c r="D21" i="59"/>
  <c r="D19" i="59"/>
  <c r="D1745" i="57"/>
  <c r="D1747" i="57"/>
  <c r="D1746" i="57"/>
  <c r="D1568" i="57"/>
  <c r="H1394" i="57"/>
  <c r="D1262" i="57"/>
  <c r="D1246" i="57"/>
  <c r="I48" i="37"/>
  <c r="G48" i="37"/>
  <c r="F852" i="57"/>
  <c r="F853" i="57"/>
  <c r="F854" i="57"/>
  <c r="F855" i="57"/>
  <c r="F856" i="57"/>
  <c r="F857" i="57"/>
  <c r="D762" i="57"/>
  <c r="D740" i="57"/>
  <c r="D728" i="57"/>
  <c r="B579" i="57"/>
  <c r="B580" i="57"/>
  <c r="B581" i="57"/>
  <c r="B582" i="57"/>
  <c r="B583" i="57"/>
  <c r="B584" i="57"/>
  <c r="B585" i="57"/>
  <c r="B586" i="57"/>
  <c r="B587" i="57"/>
  <c r="B578" i="57"/>
  <c r="B564" i="57"/>
  <c r="B565" i="57"/>
  <c r="B566" i="57"/>
  <c r="B567" i="57"/>
  <c r="B568" i="57"/>
  <c r="B569" i="57"/>
  <c r="B570" i="57"/>
  <c r="B571" i="57"/>
  <c r="B572" i="57"/>
  <c r="B573" i="57"/>
  <c r="B574" i="57"/>
  <c r="B575" i="57"/>
  <c r="B576" i="57"/>
  <c r="B577" i="57"/>
  <c r="B563" i="57"/>
  <c r="B367" i="57"/>
  <c r="B368" i="57"/>
  <c r="B369" i="57"/>
  <c r="B370" i="57"/>
  <c r="B371" i="57"/>
  <c r="B372" i="57"/>
  <c r="B373" i="57"/>
  <c r="B374" i="57"/>
  <c r="B375" i="57"/>
  <c r="B366" i="57"/>
  <c r="B360" i="57"/>
  <c r="C360" i="57"/>
  <c r="D360" i="57"/>
  <c r="E360" i="57"/>
  <c r="B361" i="57"/>
  <c r="C361" i="57"/>
  <c r="D361" i="57"/>
  <c r="E361" i="57"/>
  <c r="B362" i="57"/>
  <c r="C362" i="57"/>
  <c r="D362" i="57"/>
  <c r="E362" i="57"/>
  <c r="B363" i="57"/>
  <c r="C363" i="57"/>
  <c r="D363" i="57"/>
  <c r="E363" i="57"/>
  <c r="B364" i="57"/>
  <c r="C364" i="57"/>
  <c r="D364" i="57"/>
  <c r="E364" i="57"/>
  <c r="B365" i="57"/>
  <c r="C365" i="57"/>
  <c r="D365" i="57"/>
  <c r="E365" i="57"/>
  <c r="B353" i="57"/>
  <c r="B354" i="57"/>
  <c r="B355" i="57"/>
  <c r="B356" i="57"/>
  <c r="B357" i="57"/>
  <c r="B358" i="57"/>
  <c r="B359" i="57"/>
  <c r="B351" i="57"/>
  <c r="D23" i="57"/>
  <c r="D13" i="57"/>
  <c r="D10" i="57"/>
  <c r="D9" i="57"/>
  <c r="F160" i="53"/>
  <c r="F164" i="53"/>
  <c r="F163" i="53"/>
  <c r="F162" i="53"/>
  <c r="F161" i="53"/>
  <c r="F159" i="53"/>
  <c r="F165" i="53"/>
  <c r="F154" i="53"/>
  <c r="L3" i="77"/>
  <c r="A19" i="51"/>
  <c r="D169" i="58"/>
  <c r="D170" i="58"/>
  <c r="D171" i="58"/>
  <c r="D172" i="58"/>
  <c r="D173" i="58"/>
  <c r="D174" i="58"/>
  <c r="D175" i="58"/>
  <c r="D176" i="58"/>
  <c r="D177" i="58"/>
  <c r="D178" i="58"/>
  <c r="D179" i="58"/>
  <c r="D180" i="58"/>
  <c r="D181" i="58"/>
  <c r="D182" i="58"/>
  <c r="D183" i="58"/>
  <c r="D184" i="58"/>
  <c r="D185" i="58"/>
  <c r="D186" i="58"/>
  <c r="D187" i="58"/>
  <c r="D188" i="58"/>
  <c r="D189" i="58"/>
  <c r="D190" i="58"/>
  <c r="D191" i="58"/>
  <c r="D192" i="58"/>
  <c r="D193" i="58"/>
  <c r="D168" i="58"/>
  <c r="D244" i="58"/>
  <c r="D245" i="58"/>
  <c r="D246" i="58"/>
  <c r="D247" i="58"/>
  <c r="D248" i="58"/>
  <c r="D249" i="58"/>
  <c r="D250" i="58"/>
  <c r="D251" i="58"/>
  <c r="D252" i="58"/>
  <c r="D253" i="58"/>
  <c r="D254" i="58"/>
  <c r="D255" i="58"/>
  <c r="D256" i="58"/>
  <c r="D257" i="58"/>
  <c r="D258" i="58"/>
  <c r="D259" i="58"/>
  <c r="D260" i="58"/>
  <c r="D243" i="58"/>
  <c r="D304" i="58"/>
  <c r="D305" i="58"/>
  <c r="D306" i="58"/>
  <c r="D307" i="58"/>
  <c r="D308" i="58"/>
  <c r="D309" i="58"/>
  <c r="D310" i="58"/>
  <c r="D311" i="58"/>
  <c r="D312" i="58"/>
  <c r="D313" i="58"/>
  <c r="D314" i="58"/>
  <c r="D315" i="58"/>
  <c r="D316" i="58"/>
  <c r="D317" i="58"/>
  <c r="D303" i="58"/>
  <c r="D270" i="58"/>
  <c r="D271" i="58"/>
  <c r="D272" i="58"/>
  <c r="D273" i="58"/>
  <c r="D274" i="58"/>
  <c r="D275" i="58"/>
  <c r="D276" i="58"/>
  <c r="D277" i="58"/>
  <c r="D278" i="58"/>
  <c r="D279" i="58"/>
  <c r="D280" i="58"/>
  <c r="D281" i="58"/>
  <c r="D282" i="58"/>
  <c r="D283" i="58"/>
  <c r="D284" i="58"/>
  <c r="D285" i="58"/>
  <c r="D286" i="58"/>
  <c r="D287" i="58"/>
  <c r="D288" i="58"/>
  <c r="D289" i="58"/>
  <c r="D290" i="58"/>
  <c r="D291" i="58"/>
  <c r="D292" i="58"/>
  <c r="D293" i="58"/>
  <c r="D294" i="58"/>
  <c r="D295" i="58"/>
  <c r="D269" i="58"/>
  <c r="D238" i="58"/>
  <c r="D239" i="58"/>
  <c r="D240" i="58"/>
  <c r="D241" i="58"/>
  <c r="D226" i="58"/>
  <c r="D227" i="58"/>
  <c r="D228" i="58"/>
  <c r="D229" i="58"/>
  <c r="D230" i="58"/>
  <c r="D231" i="58"/>
  <c r="D232" i="58"/>
  <c r="D233" i="58"/>
  <c r="D234" i="58"/>
  <c r="D235" i="58"/>
  <c r="D236" i="58"/>
  <c r="D237" i="58"/>
  <c r="D225" i="58"/>
  <c r="D204" i="58"/>
  <c r="D203" i="58"/>
  <c r="D205" i="58"/>
  <c r="D206" i="58"/>
  <c r="D207" i="58"/>
  <c r="D208" i="58"/>
  <c r="D209" i="58"/>
  <c r="D210" i="58"/>
  <c r="D211" i="58"/>
  <c r="D212" i="58"/>
  <c r="D213" i="58"/>
  <c r="D214" i="58"/>
  <c r="D215" i="58"/>
  <c r="D216" i="58"/>
  <c r="D202" i="58"/>
  <c r="D131" i="58"/>
  <c r="D132" i="58"/>
  <c r="D133" i="58"/>
  <c r="D134" i="58"/>
  <c r="D135" i="58"/>
  <c r="D136" i="58"/>
  <c r="D137" i="58"/>
  <c r="D138" i="58"/>
  <c r="D139" i="58"/>
  <c r="D140" i="58"/>
  <c r="D141" i="58"/>
  <c r="D142" i="58"/>
  <c r="D143" i="58"/>
  <c r="D144" i="58"/>
  <c r="D145" i="58"/>
  <c r="D146" i="58"/>
  <c r="D147" i="58"/>
  <c r="D148" i="58"/>
  <c r="D149" i="58"/>
  <c r="D150" i="58"/>
  <c r="D151" i="58"/>
  <c r="D152" i="58"/>
  <c r="D153" i="58"/>
  <c r="D154" i="58"/>
  <c r="D155" i="58"/>
  <c r="D156" i="58"/>
  <c r="D157" i="58"/>
  <c r="D158" i="58"/>
  <c r="D159" i="58"/>
  <c r="D130" i="58"/>
  <c r="D123" i="58"/>
  <c r="D102" i="58"/>
  <c r="D103" i="58"/>
  <c r="D104" i="58"/>
  <c r="D105" i="58"/>
  <c r="D106" i="58"/>
  <c r="D107" i="58"/>
  <c r="D108" i="58"/>
  <c r="D109" i="58"/>
  <c r="D110" i="58"/>
  <c r="D111" i="58"/>
  <c r="D112" i="58"/>
  <c r="D113" i="58"/>
  <c r="D114" i="58"/>
  <c r="D115" i="58"/>
  <c r="D116" i="58"/>
  <c r="D117" i="58"/>
  <c r="D118" i="58"/>
  <c r="D119" i="58"/>
  <c r="D120" i="58"/>
  <c r="D121" i="58"/>
  <c r="D122" i="58"/>
  <c r="D101" i="58"/>
  <c r="D43" i="58"/>
  <c r="D44" i="58"/>
  <c r="D45" i="58"/>
  <c r="D46" i="58"/>
  <c r="D47" i="58"/>
  <c r="D48" i="58"/>
  <c r="D49" i="58"/>
  <c r="D50" i="58"/>
  <c r="D51" i="58"/>
  <c r="D52" i="58"/>
  <c r="D53" i="58"/>
  <c r="D54" i="58"/>
  <c r="D55" i="58"/>
  <c r="D56" i="58"/>
  <c r="D57" i="58"/>
  <c r="D58" i="58"/>
  <c r="D59" i="58"/>
  <c r="D60" i="58"/>
  <c r="D61" i="58"/>
  <c r="D62" i="58"/>
  <c r="D63" i="58"/>
  <c r="D42" i="58"/>
  <c r="D73" i="58"/>
  <c r="D74" i="58"/>
  <c r="D75" i="58"/>
  <c r="D76" i="58"/>
  <c r="D77" i="58"/>
  <c r="D78" i="58"/>
  <c r="D79" i="58"/>
  <c r="D80" i="58"/>
  <c r="D81" i="58"/>
  <c r="D82" i="58"/>
  <c r="D83" i="58"/>
  <c r="D84" i="58"/>
  <c r="D85" i="58"/>
  <c r="D86" i="58"/>
  <c r="D87" i="58"/>
  <c r="D88" i="58"/>
  <c r="D89" i="58"/>
  <c r="D90" i="58"/>
  <c r="D91" i="58"/>
  <c r="D92" i="58"/>
  <c r="D93" i="58"/>
  <c r="D72" i="58"/>
  <c r="D16" i="58"/>
  <c r="D19" i="58"/>
  <c r="D17" i="58"/>
  <c r="D14" i="58"/>
  <c r="D15" i="58"/>
  <c r="D18" i="58"/>
  <c r="D20" i="58"/>
  <c r="D21" i="58"/>
  <c r="D22" i="58"/>
  <c r="D23" i="58"/>
  <c r="D24" i="58"/>
  <c r="D25" i="58"/>
  <c r="D26" i="58"/>
  <c r="D27" i="58"/>
  <c r="D28" i="58"/>
  <c r="D29" i="58"/>
  <c r="D30" i="58"/>
  <c r="D31" i="58"/>
  <c r="D32" i="58"/>
  <c r="D33" i="58"/>
  <c r="D109" i="59"/>
  <c r="D1767" i="57"/>
  <c r="D1762" i="57"/>
  <c r="D1761" i="57"/>
  <c r="BL3" i="68"/>
  <c r="BJ33" i="68"/>
  <c r="BI3" i="68"/>
  <c r="BG33" i="68"/>
  <c r="BF3" i="68"/>
  <c r="BD33" i="68"/>
  <c r="BC3" i="68"/>
  <c r="BA33" i="68"/>
  <c r="AZ3" i="68"/>
  <c r="AY22" i="68"/>
  <c r="AW3" i="68"/>
  <c r="AU33" i="68"/>
  <c r="AT3" i="68"/>
  <c r="AR33" i="68"/>
  <c r="AQ3" i="68"/>
  <c r="AO33" i="68"/>
  <c r="AN3" i="68"/>
  <c r="AL33" i="68"/>
  <c r="AK3" i="68"/>
  <c r="AH3" i="68"/>
  <c r="AE3" i="68"/>
  <c r="AC33" i="68"/>
  <c r="AB3" i="68"/>
  <c r="Z33" i="68"/>
  <c r="Y3" i="68"/>
  <c r="W33" i="68"/>
  <c r="V3" i="68"/>
  <c r="T33" i="68"/>
  <c r="S3" i="68"/>
  <c r="Q33" i="68"/>
  <c r="P3" i="68"/>
  <c r="M3" i="68"/>
  <c r="K16" i="68"/>
  <c r="J20" i="68"/>
  <c r="F10" i="68"/>
  <c r="AN10" i="68"/>
  <c r="BP10" i="68"/>
  <c r="BU10" i="68"/>
  <c r="BX10" i="68"/>
  <c r="F11" i="68"/>
  <c r="M11" i="68"/>
  <c r="BP11" i="68"/>
  <c r="BU11" i="68"/>
  <c r="BX11" i="68"/>
  <c r="F12" i="68"/>
  <c r="AN12" i="68"/>
  <c r="BP12" i="68"/>
  <c r="BU12" i="68"/>
  <c r="BX12" i="68"/>
  <c r="F13" i="68"/>
  <c r="AN13" i="68"/>
  <c r="BP13" i="68"/>
  <c r="BU13" i="68"/>
  <c r="BX13" i="68"/>
  <c r="F14" i="68"/>
  <c r="AN14" i="68"/>
  <c r="BP14" i="68"/>
  <c r="BU14" i="68"/>
  <c r="BX14" i="68"/>
  <c r="F15" i="68"/>
  <c r="AE15" i="68"/>
  <c r="Y15" i="68"/>
  <c r="BP15" i="68"/>
  <c r="BU15" i="68"/>
  <c r="BX15" i="68"/>
  <c r="F16" i="68"/>
  <c r="AE16" i="68"/>
  <c r="BP16" i="68"/>
  <c r="BU16" i="68"/>
  <c r="BX16" i="68"/>
  <c r="F17" i="68"/>
  <c r="AB17" i="68"/>
  <c r="AG17" i="68"/>
  <c r="AJ17" i="68"/>
  <c r="BP17" i="68"/>
  <c r="BU17" i="68"/>
  <c r="BX17" i="68"/>
  <c r="F18" i="68"/>
  <c r="AN18" i="68"/>
  <c r="BP18" i="68"/>
  <c r="BU18" i="68"/>
  <c r="BX18" i="68"/>
  <c r="F19" i="68"/>
  <c r="P19" i="68"/>
  <c r="BP19" i="68"/>
  <c r="BU19" i="68"/>
  <c r="BX19" i="68"/>
  <c r="C20" i="68"/>
  <c r="BH20" i="68"/>
  <c r="BK20" i="68"/>
  <c r="BO20" i="68"/>
  <c r="BP20" i="68"/>
  <c r="BU20" i="68"/>
  <c r="BX20" i="68"/>
  <c r="F21" i="68"/>
  <c r="AT21" i="68"/>
  <c r="BP21" i="68"/>
  <c r="BU21" i="68"/>
  <c r="BX21" i="68"/>
  <c r="F22" i="68"/>
  <c r="BF22" i="68"/>
  <c r="BP22" i="68"/>
  <c r="BU22" i="68"/>
  <c r="BX22" i="68"/>
  <c r="F27" i="68"/>
  <c r="I27" i="68"/>
  <c r="F28" i="68"/>
  <c r="I28" i="68"/>
  <c r="F29" i="68"/>
  <c r="I29" i="68"/>
  <c r="F33" i="68"/>
  <c r="S33" i="68"/>
  <c r="S32" i="68"/>
  <c r="L33" i="68"/>
  <c r="U33" i="68"/>
  <c r="AA33" i="68"/>
  <c r="AM33" i="68"/>
  <c r="AP33" i="68"/>
  <c r="BB33" i="68"/>
  <c r="BE33" i="68"/>
  <c r="BH33" i="68"/>
  <c r="Q16" i="68"/>
  <c r="BA19" i="68"/>
  <c r="BA18" i="68"/>
  <c r="AC22" i="68"/>
  <c r="Z22" i="68"/>
  <c r="AC21" i="68"/>
  <c r="AC11" i="68"/>
  <c r="Z21" i="68"/>
  <c r="AL22" i="68"/>
  <c r="BA17" i="68"/>
  <c r="BG19" i="68"/>
  <c r="AL17" i="68"/>
  <c r="T10" i="68"/>
  <c r="Z12" i="68"/>
  <c r="AL11" i="68"/>
  <c r="T22" i="68"/>
  <c r="AC10" i="68"/>
  <c r="K21" i="68"/>
  <c r="W22" i="68"/>
  <c r="AC16" i="68"/>
  <c r="BD10" i="68"/>
  <c r="T21" i="68"/>
  <c r="T16" i="68"/>
  <c r="K20" i="68"/>
  <c r="W21" i="68"/>
  <c r="AC14" i="68"/>
  <c r="BD17" i="68"/>
  <c r="K18" i="68"/>
  <c r="W20" i="68"/>
  <c r="BG21" i="68"/>
  <c r="W19" i="68"/>
  <c r="AL10" i="68"/>
  <c r="BG20" i="68"/>
  <c r="BG18" i="68"/>
  <c r="Z18" i="68"/>
  <c r="AL16" i="68"/>
  <c r="BJ21" i="68"/>
  <c r="Z13" i="68"/>
  <c r="AL14" i="68"/>
  <c r="BJ20" i="68"/>
  <c r="T20" i="68"/>
  <c r="W18" i="68"/>
  <c r="BD22" i="68"/>
  <c r="BG17" i="68"/>
  <c r="BG12" i="68"/>
  <c r="AY16" i="68"/>
  <c r="AX16" i="68"/>
  <c r="W17" i="68"/>
  <c r="AY18" i="68"/>
  <c r="AX18" i="68"/>
  <c r="T18" i="68"/>
  <c r="W12" i="68"/>
  <c r="AC20" i="68"/>
  <c r="AL13" i="68"/>
  <c r="BD19" i="68"/>
  <c r="BG11" i="68"/>
  <c r="T19" i="68"/>
  <c r="BD20" i="68"/>
  <c r="Q22" i="68"/>
  <c r="T17" i="68"/>
  <c r="W11" i="68"/>
  <c r="AC19" i="68"/>
  <c r="AL12" i="68"/>
  <c r="BD18" i="68"/>
  <c r="BJ22" i="68"/>
  <c r="Q21" i="68"/>
  <c r="BD16" i="68"/>
  <c r="AY11" i="68"/>
  <c r="AX11" i="68"/>
  <c r="AY20" i="68"/>
  <c r="AX20" i="68"/>
  <c r="Q19" i="68"/>
  <c r="AR16" i="68"/>
  <c r="Q18" i="68"/>
  <c r="T11" i="68"/>
  <c r="Z20" i="68"/>
  <c r="AC13" i="68"/>
  <c r="AU17" i="68"/>
  <c r="BD11" i="68"/>
  <c r="BJ13" i="68"/>
  <c r="T13" i="68"/>
  <c r="Q17" i="68"/>
  <c r="W10" i="68"/>
  <c r="Z19" i="68"/>
  <c r="AC12" i="68"/>
  <c r="AU16" i="68"/>
  <c r="BG10" i="68"/>
  <c r="BJ12" i="68"/>
  <c r="AY14" i="68"/>
  <c r="AX14" i="68"/>
  <c r="AX33" i="68"/>
  <c r="AF21" i="68"/>
  <c r="AO21" i="68"/>
  <c r="AR13" i="68"/>
  <c r="AU14" i="68"/>
  <c r="BA16" i="68"/>
  <c r="BJ19" i="68"/>
  <c r="AO20" i="68"/>
  <c r="AO10" i="68"/>
  <c r="AO22" i="68"/>
  <c r="AR12" i="68"/>
  <c r="AU13" i="68"/>
  <c r="BA15" i="68"/>
  <c r="BJ18" i="68"/>
  <c r="Q14" i="68"/>
  <c r="T15" i="68"/>
  <c r="W16" i="68"/>
  <c r="Z17" i="68"/>
  <c r="AC18" i="68"/>
  <c r="AL21" i="68"/>
  <c r="AO11" i="68"/>
  <c r="AR10" i="68"/>
  <c r="AR11" i="68"/>
  <c r="AU12" i="68"/>
  <c r="BA14" i="68"/>
  <c r="BD15" i="68"/>
  <c r="BG16" i="68"/>
  <c r="BJ17" i="68"/>
  <c r="AO19" i="68"/>
  <c r="AY17" i="68"/>
  <c r="AX17" i="68"/>
  <c r="AY15" i="68"/>
  <c r="AZ15" i="68"/>
  <c r="AY10" i="68"/>
  <c r="AX10" i="68"/>
  <c r="Q13" i="68"/>
  <c r="T14" i="68"/>
  <c r="W15" i="68"/>
  <c r="Z16" i="68"/>
  <c r="AC17" i="68"/>
  <c r="AL20" i="68"/>
  <c r="AO12" i="68"/>
  <c r="AR22" i="68"/>
  <c r="AU10" i="68"/>
  <c r="AU11" i="68"/>
  <c r="BA13" i="68"/>
  <c r="BD14" i="68"/>
  <c r="BG15" i="68"/>
  <c r="BJ16" i="68"/>
  <c r="AU15" i="68"/>
  <c r="Q15" i="68"/>
  <c r="AI21" i="68"/>
  <c r="AY19" i="68"/>
  <c r="AX19" i="68"/>
  <c r="Q12" i="68"/>
  <c r="W14" i="68"/>
  <c r="Z15" i="68"/>
  <c r="AF17" i="68"/>
  <c r="AL19" i="68"/>
  <c r="AO13" i="68"/>
  <c r="AR21" i="68"/>
  <c r="AU22" i="68"/>
  <c r="BA12" i="68"/>
  <c r="BD13" i="68"/>
  <c r="BG14" i="68"/>
  <c r="BJ15" i="68"/>
  <c r="AR15" i="68"/>
  <c r="AR14" i="68"/>
  <c r="AY13" i="68"/>
  <c r="AZ13" i="68"/>
  <c r="AY21" i="68"/>
  <c r="AX21" i="68"/>
  <c r="AY12" i="68"/>
  <c r="AX12" i="68"/>
  <c r="AY4" i="68"/>
  <c r="Q10" i="68"/>
  <c r="Q11" i="68"/>
  <c r="T12" i="68"/>
  <c r="W13" i="68"/>
  <c r="Z14" i="68"/>
  <c r="AC15" i="68"/>
  <c r="AI17" i="68"/>
  <c r="AL18" i="68"/>
  <c r="AO14" i="68"/>
  <c r="AR20" i="68"/>
  <c r="AU21" i="68"/>
  <c r="AX22" i="68"/>
  <c r="BA10" i="68"/>
  <c r="BA11" i="68"/>
  <c r="BD12" i="68"/>
  <c r="BG13" i="68"/>
  <c r="BJ14" i="68"/>
  <c r="AG10" i="68"/>
  <c r="AF33" i="68"/>
  <c r="AO15" i="68"/>
  <c r="AR19" i="68"/>
  <c r="AU20" i="68"/>
  <c r="BA22" i="68"/>
  <c r="AO18" i="68"/>
  <c r="K19" i="68"/>
  <c r="K33" i="68"/>
  <c r="AR18" i="68"/>
  <c r="AU19" i="68"/>
  <c r="BA21" i="68"/>
  <c r="AJ4" i="68"/>
  <c r="AI33" i="68"/>
  <c r="AI15" i="68"/>
  <c r="AO16" i="68"/>
  <c r="N19" i="68"/>
  <c r="N33" i="68"/>
  <c r="Q20" i="68"/>
  <c r="Z10" i="68"/>
  <c r="Z11" i="68"/>
  <c r="AL15" i="68"/>
  <c r="AO17" i="68"/>
  <c r="AR17" i="68"/>
  <c r="AU18" i="68"/>
  <c r="BA20" i="68"/>
  <c r="BD21" i="68"/>
  <c r="BG22" i="68"/>
  <c r="BJ10" i="68"/>
  <c r="BJ11" i="68"/>
  <c r="N21" i="68"/>
  <c r="N16" i="68"/>
  <c r="N17" i="68"/>
  <c r="AJ22" i="68"/>
  <c r="AI22" i="68"/>
  <c r="AJ16" i="68"/>
  <c r="AI16" i="68"/>
  <c r="AG19" i="68"/>
  <c r="AF19" i="68"/>
  <c r="AG16" i="68"/>
  <c r="AF16" i="68"/>
  <c r="AJ20" i="68"/>
  <c r="AI20" i="68"/>
  <c r="K17" i="68"/>
  <c r="AG20" i="68"/>
  <c r="AF20" i="68"/>
  <c r="AG4" i="68"/>
  <c r="AG22" i="68"/>
  <c r="AF22" i="68"/>
  <c r="AJ11" i="68"/>
  <c r="K13" i="68"/>
  <c r="AG11" i="68"/>
  <c r="AG15" i="68"/>
  <c r="AH15" i="68"/>
  <c r="AG18" i="68"/>
  <c r="AH18" i="68"/>
  <c r="BF15" i="68"/>
  <c r="N18" i="68"/>
  <c r="N15" i="68"/>
  <c r="K15" i="68"/>
  <c r="AJ12" i="68"/>
  <c r="N14" i="68"/>
  <c r="K14" i="68"/>
  <c r="AG12" i="68"/>
  <c r="AF12" i="68"/>
  <c r="N13" i="68"/>
  <c r="K10" i="68"/>
  <c r="N12" i="68"/>
  <c r="K12" i="68"/>
  <c r="AJ13" i="68"/>
  <c r="N10" i="68"/>
  <c r="N11" i="68"/>
  <c r="K11" i="68"/>
  <c r="AJ18" i="68"/>
  <c r="AK18" i="68"/>
  <c r="BI15" i="68"/>
  <c r="AG13" i="68"/>
  <c r="AH13" i="68"/>
  <c r="N22" i="68"/>
  <c r="K22" i="68"/>
  <c r="AJ14" i="68"/>
  <c r="AK14" i="68"/>
  <c r="AJ10" i="68"/>
  <c r="N20" i="68"/>
  <c r="AJ19" i="68"/>
  <c r="AI19" i="68"/>
  <c r="AG14" i="68"/>
  <c r="AF14" i="68"/>
  <c r="V33" i="68"/>
  <c r="V32" i="68"/>
  <c r="BC15" i="68"/>
  <c r="BI13" i="68"/>
  <c r="AT11" i="68"/>
  <c r="BI14" i="68"/>
  <c r="AQ11" i="68"/>
  <c r="AQ15" i="68"/>
  <c r="AK15" i="68"/>
  <c r="S17" i="68"/>
  <c r="AB15" i="68"/>
  <c r="BI33" i="68"/>
  <c r="BI32" i="68"/>
  <c r="BL18" i="68"/>
  <c r="AT13" i="68"/>
  <c r="BI19" i="68"/>
  <c r="BI18" i="68"/>
  <c r="BL15" i="68"/>
  <c r="V15" i="68"/>
  <c r="BC33" i="68"/>
  <c r="BC32" i="68"/>
  <c r="BF17" i="68"/>
  <c r="BL16" i="68"/>
  <c r="S15" i="68"/>
  <c r="AQ33" i="68"/>
  <c r="AQ32" i="68"/>
  <c r="AN33" i="68"/>
  <c r="AN32" i="68"/>
  <c r="AW17" i="68"/>
  <c r="AE33" i="68"/>
  <c r="AE32" i="68"/>
  <c r="AB33" i="68"/>
  <c r="AB32" i="68"/>
  <c r="AK17" i="68"/>
  <c r="AN16" i="68"/>
  <c r="Y19" i="68"/>
  <c r="BL13" i="68"/>
  <c r="BF33" i="68"/>
  <c r="BF32" i="68"/>
  <c r="AT17" i="68"/>
  <c r="AQ13" i="68"/>
  <c r="Y33" i="68"/>
  <c r="Y32" i="68"/>
  <c r="BC19" i="68"/>
  <c r="AN17" i="68"/>
  <c r="AB16" i="68"/>
  <c r="AZ33" i="68"/>
  <c r="AZ32" i="68"/>
  <c r="AW19" i="68"/>
  <c r="AH17" i="68"/>
  <c r="BI16" i="68"/>
  <c r="Y16" i="68"/>
  <c r="AE13" i="68"/>
  <c r="AW33" i="68"/>
  <c r="AW32" i="68"/>
  <c r="P33" i="68"/>
  <c r="P32" i="68"/>
  <c r="BL17" i="68"/>
  <c r="AE17" i="68"/>
  <c r="V16" i="68"/>
  <c r="AB13" i="68"/>
  <c r="AT33" i="68"/>
  <c r="AT32" i="68"/>
  <c r="BI17" i="68"/>
  <c r="Y17" i="68"/>
  <c r="BF16" i="68"/>
  <c r="S16" i="68"/>
  <c r="F20" i="68"/>
  <c r="V17" i="68"/>
  <c r="BC16" i="68"/>
  <c r="P16" i="68"/>
  <c r="AK33" i="68"/>
  <c r="AK32" i="68"/>
  <c r="V19" i="68"/>
  <c r="BC17" i="68"/>
  <c r="P17" i="68"/>
  <c r="AW16" i="68"/>
  <c r="BL33" i="68"/>
  <c r="BL32" i="68"/>
  <c r="AH33" i="68"/>
  <c r="AH32" i="68"/>
  <c r="S19" i="68"/>
  <c r="AT16" i="68"/>
  <c r="AZ22" i="68"/>
  <c r="BL12" i="68"/>
  <c r="AN11" i="68"/>
  <c r="BC22" i="68"/>
  <c r="BI12" i="68"/>
  <c r="BL21" i="68"/>
  <c r="AT19" i="68"/>
  <c r="AW15" i="68"/>
  <c r="P15" i="68"/>
  <c r="BF13" i="68"/>
  <c r="Y13" i="68"/>
  <c r="BL11" i="68"/>
  <c r="AQ19" i="68"/>
  <c r="M15" i="68"/>
  <c r="BC13" i="68"/>
  <c r="V13" i="68"/>
  <c r="BI11" i="68"/>
  <c r="AE11" i="68"/>
  <c r="BL10" i="68"/>
  <c r="AN19" i="68"/>
  <c r="AQ17" i="68"/>
  <c r="AQ16" i="68"/>
  <c r="AT15" i="68"/>
  <c r="S13" i="68"/>
  <c r="AB11" i="68"/>
  <c r="BI10" i="68"/>
  <c r="AE22" i="68"/>
  <c r="AW13" i="68"/>
  <c r="P13" i="68"/>
  <c r="BF11" i="68"/>
  <c r="Y11" i="68"/>
  <c r="AB22" i="68"/>
  <c r="AQ21" i="68"/>
  <c r="BL19" i="68"/>
  <c r="AN15" i="68"/>
  <c r="M13" i="68"/>
  <c r="BC11" i="68"/>
  <c r="V11" i="68"/>
  <c r="Y22" i="68"/>
  <c r="AN21" i="68"/>
  <c r="S11" i="68"/>
  <c r="M16" i="68"/>
  <c r="S22" i="68"/>
  <c r="AK21" i="68"/>
  <c r="AE19" i="68"/>
  <c r="AW11" i="68"/>
  <c r="P11" i="68"/>
  <c r="M17" i="68"/>
  <c r="BF19" i="68"/>
  <c r="AB19" i="68"/>
  <c r="BL14" i="68"/>
  <c r="M19" i="68"/>
  <c r="M33" i="68"/>
  <c r="AW22" i="68"/>
  <c r="V22" i="68"/>
  <c r="BI21" i="68"/>
  <c r="AH21" i="68"/>
  <c r="BF18" i="68"/>
  <c r="BF14" i="68"/>
  <c r="BF12" i="68"/>
  <c r="BF10" i="68"/>
  <c r="AE21" i="68"/>
  <c r="BC18" i="68"/>
  <c r="AE18" i="68"/>
  <c r="BC14" i="68"/>
  <c r="AE14" i="68"/>
  <c r="BC12" i="68"/>
  <c r="AE12" i="68"/>
  <c r="BC10" i="68"/>
  <c r="AE10" i="68"/>
  <c r="AT22" i="68"/>
  <c r="P22" i="68"/>
  <c r="BF21" i="68"/>
  <c r="AB21" i="68"/>
  <c r="AB18" i="68"/>
  <c r="AB14" i="68"/>
  <c r="AB12" i="68"/>
  <c r="AB10" i="68"/>
  <c r="AQ22" i="68"/>
  <c r="M22" i="68"/>
  <c r="BC21" i="68"/>
  <c r="Y21" i="68"/>
  <c r="Y18" i="68"/>
  <c r="Y14" i="68"/>
  <c r="Y12" i="68"/>
  <c r="Y10" i="68"/>
  <c r="AN22" i="68"/>
  <c r="V21" i="68"/>
  <c r="AW18" i="68"/>
  <c r="V18" i="68"/>
  <c r="AW14" i="68"/>
  <c r="V14" i="68"/>
  <c r="AW12" i="68"/>
  <c r="V12" i="68"/>
  <c r="AW10" i="68"/>
  <c r="V10" i="68"/>
  <c r="BL22" i="68"/>
  <c r="S21" i="68"/>
  <c r="S18" i="68"/>
  <c r="S14" i="68"/>
  <c r="S12" i="68"/>
  <c r="S10" i="68"/>
  <c r="BI22" i="68"/>
  <c r="AW21" i="68"/>
  <c r="P21" i="68"/>
  <c r="AT18" i="68"/>
  <c r="P18" i="68"/>
  <c r="AT14" i="68"/>
  <c r="P14" i="68"/>
  <c r="AT12" i="68"/>
  <c r="P12" i="68"/>
  <c r="AT10" i="68"/>
  <c r="P10" i="68"/>
  <c r="M21" i="68"/>
  <c r="AQ18" i="68"/>
  <c r="M18" i="68"/>
  <c r="AQ14" i="68"/>
  <c r="M14" i="68"/>
  <c r="AQ12" i="68"/>
  <c r="M12" i="68"/>
  <c r="AQ10" i="68"/>
  <c r="M10" i="68"/>
  <c r="I30" i="68"/>
  <c r="AK16" i="68"/>
  <c r="AZ16" i="68"/>
  <c r="AH16" i="68"/>
  <c r="AF15" i="68"/>
  <c r="AK22" i="68"/>
  <c r="AF18" i="68"/>
  <c r="AZ17" i="68"/>
  <c r="I17" i="68"/>
  <c r="AZ14" i="68"/>
  <c r="AZ19" i="68"/>
  <c r="AZ11" i="68"/>
  <c r="AZ12" i="68"/>
  <c r="AF13" i="68"/>
  <c r="AX15" i="68"/>
  <c r="G16" i="68"/>
  <c r="D1710" i="57"/>
  <c r="AZ18" i="68"/>
  <c r="I18" i="68"/>
  <c r="G20" i="68"/>
  <c r="G21" i="68"/>
  <c r="D1715" i="57"/>
  <c r="AI14" i="68"/>
  <c r="G14" i="68"/>
  <c r="D1708" i="57"/>
  <c r="AK11" i="68"/>
  <c r="AI11" i="68"/>
  <c r="AI18" i="68"/>
  <c r="AH12" i="68"/>
  <c r="AX13" i="68"/>
  <c r="AZ10" i="68"/>
  <c r="I4" i="68"/>
  <c r="AH10" i="68"/>
  <c r="AF10" i="68"/>
  <c r="AK12" i="68"/>
  <c r="AI12" i="68"/>
  <c r="G12" i="68"/>
  <c r="D1706" i="57"/>
  <c r="AZ21" i="68"/>
  <c r="I21" i="68"/>
  <c r="G17" i="68"/>
  <c r="G19" i="68"/>
  <c r="D1713" i="57"/>
  <c r="AH19" i="68"/>
  <c r="G22" i="68"/>
  <c r="D1716" i="57"/>
  <c r="AK13" i="68"/>
  <c r="I13" i="68"/>
  <c r="AI13" i="68"/>
  <c r="G33" i="68"/>
  <c r="D1701" i="57"/>
  <c r="AK10" i="68"/>
  <c r="AI10" i="68"/>
  <c r="AH11" i="68"/>
  <c r="AF11" i="68"/>
  <c r="AH22" i="68"/>
  <c r="AK19" i="68"/>
  <c r="AH14" i="68"/>
  <c r="AW20" i="68"/>
  <c r="AW9" i="68"/>
  <c r="AK20" i="68"/>
  <c r="V20" i="68"/>
  <c r="V9" i="68"/>
  <c r="S20" i="68"/>
  <c r="S9" i="68"/>
  <c r="I15" i="68"/>
  <c r="BC20" i="68"/>
  <c r="BC9" i="68"/>
  <c r="AT20" i="68"/>
  <c r="AT9" i="68"/>
  <c r="P20" i="68"/>
  <c r="AH20" i="68"/>
  <c r="AZ20" i="68"/>
  <c r="AQ20" i="68"/>
  <c r="BF20" i="68"/>
  <c r="BF9" i="68"/>
  <c r="BL20" i="68"/>
  <c r="AB20" i="68"/>
  <c r="AB9" i="68"/>
  <c r="M20" i="68"/>
  <c r="M9" i="68"/>
  <c r="AE20" i="68"/>
  <c r="AE9" i="68"/>
  <c r="BI20" i="68"/>
  <c r="BI9" i="68"/>
  <c r="AN20" i="68"/>
  <c r="AN9" i="68"/>
  <c r="Y20" i="68"/>
  <c r="Y9" i="68"/>
  <c r="BL9" i="68"/>
  <c r="M32" i="68"/>
  <c r="I33" i="68"/>
  <c r="G11" i="68"/>
  <c r="D1705" i="57"/>
  <c r="G10" i="68"/>
  <c r="D1704" i="57"/>
  <c r="I16" i="68"/>
  <c r="G15" i="68"/>
  <c r="D1709" i="57"/>
  <c r="I14" i="68"/>
  <c r="G18" i="68"/>
  <c r="D1712" i="57"/>
  <c r="I22" i="68"/>
  <c r="I11" i="68"/>
  <c r="I12" i="68"/>
  <c r="I10" i="68"/>
  <c r="G13" i="68"/>
  <c r="D1707" i="57"/>
  <c r="AZ9" i="68"/>
  <c r="AK9" i="68"/>
  <c r="I19" i="68"/>
  <c r="D1711" i="57"/>
  <c r="B17" i="68"/>
  <c r="D1714" i="57"/>
  <c r="B20" i="68"/>
  <c r="AH9" i="68"/>
  <c r="I20" i="68"/>
  <c r="AQ9" i="68"/>
  <c r="P9" i="68"/>
  <c r="I23" i="68"/>
  <c r="V23" i="68"/>
  <c r="V29" i="68"/>
  <c r="S23" i="68"/>
  <c r="S29" i="68"/>
  <c r="AK23" i="68"/>
  <c r="AK29" i="68"/>
  <c r="I31" i="68"/>
  <c r="I5" i="68"/>
  <c r="V27" i="68"/>
  <c r="AQ23" i="68"/>
  <c r="AQ28" i="68"/>
  <c r="V28" i="68"/>
  <c r="P23" i="68"/>
  <c r="P29" i="68"/>
  <c r="AT23" i="68"/>
  <c r="AT27" i="68"/>
  <c r="BF23" i="68"/>
  <c r="BF28" i="68"/>
  <c r="BC23" i="68"/>
  <c r="BC28" i="68"/>
  <c r="AN23" i="68"/>
  <c r="AN27" i="68"/>
  <c r="AB23" i="68"/>
  <c r="AB29" i="68"/>
  <c r="BL23" i="68"/>
  <c r="BL29" i="68"/>
  <c r="Y23" i="68"/>
  <c r="Y29" i="68"/>
  <c r="AE23" i="68"/>
  <c r="AE28" i="68"/>
  <c r="M23" i="68"/>
  <c r="M29" i="68"/>
  <c r="AH23" i="68"/>
  <c r="AH27" i="68"/>
  <c r="AW23" i="68"/>
  <c r="AW29" i="68"/>
  <c r="BI23" i="68"/>
  <c r="BI29" i="68"/>
  <c r="AZ23" i="68"/>
  <c r="AZ29" i="68"/>
  <c r="AH29" i="68"/>
  <c r="AZ28" i="68"/>
  <c r="AZ27" i="68"/>
  <c r="AZ26" i="68"/>
  <c r="AZ6" i="68"/>
  <c r="AT29" i="68"/>
  <c r="AH28" i="68"/>
  <c r="AH26" i="68"/>
  <c r="AH6" i="68"/>
  <c r="AQ27" i="68"/>
  <c r="P27" i="68"/>
  <c r="P28" i="68"/>
  <c r="AQ29" i="68"/>
  <c r="S28" i="68"/>
  <c r="S27" i="68"/>
  <c r="AE27" i="68"/>
  <c r="AE29" i="68"/>
  <c r="AE26" i="68"/>
  <c r="AE6" i="68"/>
  <c r="I34" i="68"/>
  <c r="V26" i="68"/>
  <c r="V6" i="68"/>
  <c r="V34" i="68"/>
  <c r="Y28" i="68"/>
  <c r="AT28" i="68"/>
  <c r="AW28" i="68"/>
  <c r="AW27" i="68"/>
  <c r="BI28" i="68"/>
  <c r="M28" i="68"/>
  <c r="AN28" i="68"/>
  <c r="AB27" i="68"/>
  <c r="AB28" i="68"/>
  <c r="BL27" i="68"/>
  <c r="AK28" i="68"/>
  <c r="BF27" i="68"/>
  <c r="BF29" i="68"/>
  <c r="BI27" i="68"/>
  <c r="AN29" i="68"/>
  <c r="BL28" i="68"/>
  <c r="BC29" i="68"/>
  <c r="AK27" i="68"/>
  <c r="BC27" i="68"/>
  <c r="Y27" i="68"/>
  <c r="M27" i="68"/>
  <c r="AT26" i="68"/>
  <c r="AT6" i="68"/>
  <c r="P26" i="68"/>
  <c r="P6" i="68"/>
  <c r="AQ26" i="68"/>
  <c r="AQ6" i="68"/>
  <c r="AQ34" i="68"/>
  <c r="AW26" i="68"/>
  <c r="AW6" i="68"/>
  <c r="AN26" i="68"/>
  <c r="AN6" i="68"/>
  <c r="AN34" i="68"/>
  <c r="S26" i="68"/>
  <c r="S6" i="68"/>
  <c r="M26" i="68"/>
  <c r="M6" i="68"/>
  <c r="M34" i="68"/>
  <c r="AB26" i="68"/>
  <c r="AB6" i="68"/>
  <c r="AB34" i="68"/>
  <c r="BF26" i="68"/>
  <c r="BF6" i="68"/>
  <c r="BF34" i="68"/>
  <c r="Y26" i="68"/>
  <c r="Y6" i="68"/>
  <c r="Y7" i="68"/>
  <c r="J28" i="68"/>
  <c r="J29" i="68"/>
  <c r="AK26" i="68"/>
  <c r="AK6" i="68"/>
  <c r="BC26" i="68"/>
  <c r="BC6" i="68"/>
  <c r="BC34" i="68"/>
  <c r="BL26" i="68"/>
  <c r="BL6" i="68"/>
  <c r="BI26" i="68"/>
  <c r="BI6" i="68"/>
  <c r="BI34" i="68"/>
  <c r="J27" i="68"/>
  <c r="BL7" i="68"/>
  <c r="AE7" i="68"/>
  <c r="E37" i="66"/>
  <c r="F37" i="66"/>
  <c r="E36" i="66"/>
  <c r="F36" i="66"/>
  <c r="E35" i="66"/>
  <c r="F35" i="66"/>
  <c r="D1673" i="57"/>
  <c r="E34" i="66"/>
  <c r="F34" i="66"/>
  <c r="E4" i="66"/>
  <c r="F4" i="66"/>
  <c r="E5" i="66"/>
  <c r="F5" i="66"/>
  <c r="E6" i="66"/>
  <c r="F6" i="66"/>
  <c r="E7" i="66"/>
  <c r="F7" i="66"/>
  <c r="E8" i="66"/>
  <c r="F8" i="66"/>
  <c r="E9" i="66"/>
  <c r="F9" i="66"/>
  <c r="E10" i="66"/>
  <c r="F10" i="66"/>
  <c r="E11" i="66"/>
  <c r="F11" i="66"/>
  <c r="E12" i="66"/>
  <c r="F12" i="66"/>
  <c r="E13" i="66"/>
  <c r="F13" i="66"/>
  <c r="E14" i="66"/>
  <c r="F14" i="66"/>
  <c r="E15" i="66"/>
  <c r="F15" i="66"/>
  <c r="E16" i="66"/>
  <c r="F16" i="66"/>
  <c r="E17" i="66"/>
  <c r="F17" i="66"/>
  <c r="E18" i="66"/>
  <c r="F18" i="66"/>
  <c r="E19" i="66"/>
  <c r="F19" i="66"/>
  <c r="E20" i="66"/>
  <c r="F20" i="66"/>
  <c r="E21" i="66"/>
  <c r="F21" i="66"/>
  <c r="E22" i="66"/>
  <c r="F22" i="66"/>
  <c r="E23" i="66"/>
  <c r="F23" i="66"/>
  <c r="E24" i="66"/>
  <c r="F24" i="66"/>
  <c r="E25" i="66"/>
  <c r="F25" i="66"/>
  <c r="E26" i="66"/>
  <c r="F26" i="66"/>
  <c r="E27" i="66"/>
  <c r="F27" i="66"/>
  <c r="E28" i="66"/>
  <c r="F28" i="66"/>
  <c r="E29" i="66"/>
  <c r="F29" i="66"/>
  <c r="E30" i="66"/>
  <c r="F30" i="66"/>
  <c r="E31" i="66"/>
  <c r="F31" i="66"/>
  <c r="E32" i="66"/>
  <c r="F32" i="66"/>
  <c r="E33" i="66"/>
  <c r="F33" i="66"/>
  <c r="F3" i="66"/>
  <c r="E3" i="66"/>
  <c r="D3" i="66"/>
  <c r="F2" i="66"/>
  <c r="E2" i="66"/>
  <c r="J1452" i="57"/>
  <c r="J1451" i="57"/>
  <c r="K1451" i="57"/>
  <c r="L1451" i="57"/>
  <c r="K1452" i="57"/>
  <c r="L1452" i="57"/>
  <c r="J1450" i="57"/>
  <c r="K1450" i="57"/>
  <c r="L1450" i="57"/>
  <c r="J1423" i="57"/>
  <c r="K1423" i="57"/>
  <c r="L1423" i="57"/>
  <c r="J1424" i="57"/>
  <c r="K1424" i="57"/>
  <c r="L1424" i="57"/>
  <c r="J1425" i="57"/>
  <c r="K1425" i="57"/>
  <c r="L1425" i="57"/>
  <c r="J1426" i="57"/>
  <c r="K1426" i="57"/>
  <c r="L1426" i="57"/>
  <c r="J1427" i="57"/>
  <c r="K1427" i="57"/>
  <c r="L1427" i="57"/>
  <c r="J1428" i="57"/>
  <c r="K1428" i="57"/>
  <c r="L1428" i="57"/>
  <c r="J1429" i="57"/>
  <c r="K1429" i="57"/>
  <c r="L1429" i="57"/>
  <c r="J1430" i="57"/>
  <c r="K1430" i="57"/>
  <c r="L1430" i="57"/>
  <c r="J1431" i="57"/>
  <c r="K1431" i="57"/>
  <c r="L1431" i="57"/>
  <c r="J1432" i="57"/>
  <c r="K1432" i="57"/>
  <c r="L1432" i="57"/>
  <c r="J1433" i="57"/>
  <c r="K1433" i="57"/>
  <c r="L1433" i="57"/>
  <c r="J1434" i="57"/>
  <c r="K1434" i="57"/>
  <c r="L1434" i="57"/>
  <c r="J1435" i="57"/>
  <c r="K1435" i="57"/>
  <c r="J1436" i="57"/>
  <c r="K1436" i="57"/>
  <c r="L1436" i="57"/>
  <c r="J1437" i="57"/>
  <c r="K1437" i="57"/>
  <c r="L1437" i="57"/>
  <c r="J1438" i="57"/>
  <c r="K1438" i="57"/>
  <c r="L1438" i="57"/>
  <c r="J1439" i="57"/>
  <c r="K1439" i="57"/>
  <c r="L1439" i="57"/>
  <c r="J1440" i="57"/>
  <c r="K1440" i="57"/>
  <c r="L1440" i="57"/>
  <c r="J1441" i="57"/>
  <c r="K1441" i="57"/>
  <c r="J1442" i="57"/>
  <c r="K1442" i="57"/>
  <c r="L1442" i="57"/>
  <c r="J1443" i="57"/>
  <c r="K1443" i="57"/>
  <c r="L1443" i="57"/>
  <c r="J1444" i="57"/>
  <c r="K1444" i="57"/>
  <c r="L1444" i="57"/>
  <c r="J1445" i="57"/>
  <c r="K1445" i="57"/>
  <c r="L1445" i="57"/>
  <c r="J1446" i="57"/>
  <c r="K1446" i="57"/>
  <c r="L1446" i="57"/>
  <c r="J1447" i="57"/>
  <c r="K1447" i="57"/>
  <c r="J1448" i="57"/>
  <c r="K1448" i="57"/>
  <c r="L1448" i="57"/>
  <c r="J1449" i="57"/>
  <c r="K1449" i="57"/>
  <c r="L1449" i="57"/>
  <c r="K1422" i="57"/>
  <c r="J1422" i="57"/>
  <c r="G1423" i="57"/>
  <c r="H1423" i="57"/>
  <c r="G1424" i="57"/>
  <c r="H1424" i="57"/>
  <c r="G1425" i="57"/>
  <c r="H1425" i="57"/>
  <c r="G1426" i="57"/>
  <c r="H1426" i="57"/>
  <c r="G1427" i="57"/>
  <c r="H1427" i="57"/>
  <c r="G1428" i="57"/>
  <c r="H1428" i="57"/>
  <c r="G1429" i="57"/>
  <c r="H1429" i="57"/>
  <c r="G1430" i="57"/>
  <c r="H1430" i="57"/>
  <c r="G1431" i="57"/>
  <c r="H1431" i="57"/>
  <c r="G1432" i="57"/>
  <c r="H1432" i="57"/>
  <c r="G1433" i="57"/>
  <c r="H1433" i="57"/>
  <c r="G1434" i="57"/>
  <c r="H1434" i="57"/>
  <c r="G1435" i="57"/>
  <c r="H1435" i="57"/>
  <c r="G1436" i="57"/>
  <c r="H1436" i="57"/>
  <c r="G1437" i="57"/>
  <c r="H1437" i="57"/>
  <c r="G1438" i="57"/>
  <c r="H1438" i="57"/>
  <c r="G1439" i="57"/>
  <c r="H1439" i="57"/>
  <c r="G1440" i="57"/>
  <c r="H1440" i="57"/>
  <c r="G1441" i="57"/>
  <c r="H1441" i="57"/>
  <c r="G1442" i="57"/>
  <c r="H1442" i="57"/>
  <c r="G1443" i="57"/>
  <c r="H1443" i="57"/>
  <c r="H1422" i="57"/>
  <c r="G1422" i="57"/>
  <c r="M1447" i="57"/>
  <c r="M1441" i="57"/>
  <c r="M1435" i="57"/>
  <c r="M1445" i="57"/>
  <c r="M1427" i="57"/>
  <c r="M1439" i="57"/>
  <c r="M1433" i="57"/>
  <c r="I1427" i="57"/>
  <c r="I1442" i="57"/>
  <c r="M1451" i="57"/>
  <c r="I1434" i="57"/>
  <c r="I1428" i="57"/>
  <c r="M1444" i="57"/>
  <c r="M1438" i="57"/>
  <c r="M1432" i="57"/>
  <c r="I1440" i="57"/>
  <c r="I1426" i="57"/>
  <c r="I1443" i="57"/>
  <c r="I1425" i="57"/>
  <c r="M1446" i="57"/>
  <c r="M1448" i="57"/>
  <c r="M1442" i="57"/>
  <c r="M1436" i="57"/>
  <c r="M1430" i="57"/>
  <c r="M1424" i="57"/>
  <c r="M1426" i="57"/>
  <c r="I1424" i="57"/>
  <c r="I1441" i="57"/>
  <c r="I1435" i="57"/>
  <c r="I1429" i="57"/>
  <c r="I1423" i="57"/>
  <c r="M1440" i="57"/>
  <c r="M1434" i="57"/>
  <c r="M1452" i="57"/>
  <c r="I1436" i="57"/>
  <c r="I1433" i="57"/>
  <c r="I1432" i="57"/>
  <c r="M1449" i="57"/>
  <c r="M1443" i="57"/>
  <c r="M1437" i="57"/>
  <c r="M1431" i="57"/>
  <c r="M1425" i="57"/>
  <c r="I1430" i="57"/>
  <c r="I1439" i="57"/>
  <c r="I1437" i="57"/>
  <c r="I1431" i="57"/>
  <c r="L1435" i="57"/>
  <c r="M1428" i="57"/>
  <c r="L1447" i="57"/>
  <c r="I1438" i="57"/>
  <c r="M1423" i="57"/>
  <c r="M1450" i="57"/>
  <c r="L1441" i="57"/>
  <c r="M1429" i="57"/>
  <c r="M1422" i="57"/>
  <c r="M1453" i="57"/>
  <c r="D1430" i="57"/>
  <c r="D1429" i="57"/>
  <c r="D914" i="57"/>
  <c r="F858" i="57"/>
  <c r="F859" i="57"/>
  <c r="F851" i="57"/>
  <c r="D852" i="57"/>
  <c r="D853" i="57"/>
  <c r="D854" i="57"/>
  <c r="D855" i="57"/>
  <c r="D856" i="57"/>
  <c r="D857" i="57"/>
  <c r="D858" i="57"/>
  <c r="D859" i="57"/>
  <c r="D851" i="57"/>
  <c r="E797" i="57"/>
  <c r="D729" i="57"/>
  <c r="D671" i="57"/>
  <c r="C579" i="57"/>
  <c r="D579" i="57"/>
  <c r="E579" i="57"/>
  <c r="G579" i="57"/>
  <c r="C580" i="57"/>
  <c r="D580" i="57"/>
  <c r="E580" i="57"/>
  <c r="G580" i="57"/>
  <c r="C581" i="57"/>
  <c r="D581" i="57"/>
  <c r="E581" i="57"/>
  <c r="G581" i="57"/>
  <c r="C582" i="57"/>
  <c r="D582" i="57"/>
  <c r="E582" i="57"/>
  <c r="G582" i="57"/>
  <c r="C583" i="57"/>
  <c r="D583" i="57"/>
  <c r="E583" i="57"/>
  <c r="G583" i="57"/>
  <c r="C584" i="57"/>
  <c r="D584" i="57"/>
  <c r="E584" i="57"/>
  <c r="G584" i="57"/>
  <c r="C585" i="57"/>
  <c r="D585" i="57"/>
  <c r="E585" i="57"/>
  <c r="G585" i="57"/>
  <c r="C586" i="57"/>
  <c r="D586" i="57"/>
  <c r="E586" i="57"/>
  <c r="G586" i="57"/>
  <c r="C587" i="57"/>
  <c r="D587" i="57"/>
  <c r="E587" i="57"/>
  <c r="G587" i="57"/>
  <c r="D578" i="57"/>
  <c r="E578" i="57"/>
  <c r="G578" i="57"/>
  <c r="C578" i="57"/>
  <c r="C565" i="57"/>
  <c r="D565" i="57"/>
  <c r="E565" i="57"/>
  <c r="C566" i="57"/>
  <c r="D566" i="57"/>
  <c r="E566" i="57"/>
  <c r="C568" i="57"/>
  <c r="D568" i="57"/>
  <c r="E568" i="57"/>
  <c r="G568" i="57"/>
  <c r="C569" i="57"/>
  <c r="D569" i="57"/>
  <c r="E569" i="57"/>
  <c r="G569" i="57"/>
  <c r="C570" i="57"/>
  <c r="D570" i="57"/>
  <c r="E570" i="57"/>
  <c r="G570" i="57"/>
  <c r="C571" i="57"/>
  <c r="D571" i="57"/>
  <c r="E571" i="57"/>
  <c r="G571" i="57"/>
  <c r="C572" i="57"/>
  <c r="D572" i="57"/>
  <c r="E572" i="57"/>
  <c r="G572" i="57"/>
  <c r="C573" i="57"/>
  <c r="D573" i="57"/>
  <c r="E573" i="57"/>
  <c r="G573" i="57"/>
  <c r="C574" i="57"/>
  <c r="D574" i="57"/>
  <c r="E574" i="57"/>
  <c r="C575" i="57"/>
  <c r="D575" i="57"/>
  <c r="E575" i="57"/>
  <c r="G575" i="57"/>
  <c r="C576" i="57"/>
  <c r="D576" i="57"/>
  <c r="E576" i="57"/>
  <c r="G576" i="57"/>
  <c r="C577" i="57"/>
  <c r="D577" i="57"/>
  <c r="E577" i="57"/>
  <c r="G577" i="57"/>
  <c r="D563" i="57"/>
  <c r="E563" i="57"/>
  <c r="C563" i="57"/>
  <c r="C367" i="57"/>
  <c r="D367" i="57"/>
  <c r="E367" i="57"/>
  <c r="G367" i="57"/>
  <c r="C368" i="57"/>
  <c r="D368" i="57"/>
  <c r="E368" i="57"/>
  <c r="G368" i="57"/>
  <c r="C369" i="57"/>
  <c r="D369" i="57"/>
  <c r="E369" i="57"/>
  <c r="G369" i="57"/>
  <c r="C370" i="57"/>
  <c r="D370" i="57"/>
  <c r="E370" i="57"/>
  <c r="G370" i="57"/>
  <c r="C371" i="57"/>
  <c r="D371" i="57"/>
  <c r="E371" i="57"/>
  <c r="G371" i="57"/>
  <c r="C372" i="57"/>
  <c r="D372" i="57"/>
  <c r="E372" i="57"/>
  <c r="G372" i="57"/>
  <c r="C373" i="57"/>
  <c r="D373" i="57"/>
  <c r="E373" i="57"/>
  <c r="G373" i="57"/>
  <c r="C374" i="57"/>
  <c r="D374" i="57"/>
  <c r="E374" i="57"/>
  <c r="G374" i="57"/>
  <c r="C375" i="57"/>
  <c r="D375" i="57"/>
  <c r="E375" i="57"/>
  <c r="D366" i="57"/>
  <c r="E366" i="57"/>
  <c r="G366" i="57"/>
  <c r="C366" i="57"/>
  <c r="G365" i="57"/>
  <c r="D429" i="57"/>
  <c r="C353" i="57"/>
  <c r="D353" i="57"/>
  <c r="E353" i="57"/>
  <c r="C354" i="57"/>
  <c r="D354" i="57"/>
  <c r="E354" i="57"/>
  <c r="C355" i="57"/>
  <c r="D355" i="57"/>
  <c r="E355" i="57"/>
  <c r="C356" i="57"/>
  <c r="D356" i="57"/>
  <c r="E356" i="57"/>
  <c r="C357" i="57"/>
  <c r="D357" i="57"/>
  <c r="E357" i="57"/>
  <c r="C358" i="57"/>
  <c r="D358" i="57"/>
  <c r="E358" i="57"/>
  <c r="C359" i="57"/>
  <c r="D359" i="57"/>
  <c r="E359" i="57"/>
  <c r="D351" i="57"/>
  <c r="E351" i="57"/>
  <c r="C351" i="57"/>
  <c r="D253" i="57"/>
  <c r="G853" i="57"/>
  <c r="G852" i="57"/>
  <c r="G854" i="57"/>
  <c r="G855" i="57"/>
  <c r="G856" i="57"/>
  <c r="G858" i="57"/>
  <c r="G851" i="57"/>
  <c r="G859" i="57"/>
  <c r="G857" i="57"/>
  <c r="F577" i="57"/>
  <c r="H577" i="57"/>
  <c r="F582" i="57"/>
  <c r="H582" i="57"/>
  <c r="F581" i="57"/>
  <c r="H581" i="57"/>
  <c r="F576" i="57"/>
  <c r="H576" i="57"/>
  <c r="F572" i="57"/>
  <c r="H572" i="57"/>
  <c r="F578" i="57"/>
  <c r="H578" i="57"/>
  <c r="F584" i="57"/>
  <c r="H584" i="57"/>
  <c r="F580" i="57"/>
  <c r="H580" i="57"/>
  <c r="F574" i="57"/>
  <c r="F575" i="57"/>
  <c r="H575" i="57"/>
  <c r="F571" i="57"/>
  <c r="H571" i="57"/>
  <c r="F579" i="57"/>
  <c r="H579" i="57"/>
  <c r="F586" i="57"/>
  <c r="H586" i="57"/>
  <c r="F573" i="57"/>
  <c r="H573" i="57"/>
  <c r="F569" i="57"/>
  <c r="H569" i="57"/>
  <c r="F587" i="57"/>
  <c r="H587" i="57"/>
  <c r="F570" i="57"/>
  <c r="H570" i="57"/>
  <c r="F583" i="57"/>
  <c r="H583" i="57"/>
  <c r="F568" i="57"/>
  <c r="H568" i="57"/>
  <c r="F585" i="57"/>
  <c r="H585" i="57"/>
  <c r="G574" i="57"/>
  <c r="F371" i="57"/>
  <c r="H371" i="57"/>
  <c r="F373" i="57"/>
  <c r="H373" i="57"/>
  <c r="F367" i="57"/>
  <c r="H367" i="57"/>
  <c r="F366" i="57"/>
  <c r="H366" i="57"/>
  <c r="F372" i="57"/>
  <c r="H372" i="57"/>
  <c r="F368" i="57"/>
  <c r="H368" i="57"/>
  <c r="F369" i="57"/>
  <c r="H369" i="57"/>
  <c r="F374" i="57"/>
  <c r="H374" i="57"/>
  <c r="F365" i="57"/>
  <c r="H365" i="57"/>
  <c r="F370" i="57"/>
  <c r="H370" i="57"/>
  <c r="M971" i="37"/>
  <c r="M970" i="37"/>
  <c r="L976" i="37"/>
  <c r="M972" i="37"/>
  <c r="J978" i="37"/>
  <c r="J983" i="37"/>
  <c r="H574" i="57"/>
  <c r="F351" i="57"/>
  <c r="F352" i="57"/>
  <c r="F353" i="57"/>
  <c r="F354" i="57"/>
  <c r="F355" i="57"/>
  <c r="F356" i="57"/>
  <c r="F357" i="57"/>
  <c r="F358" i="57"/>
  <c r="H669" i="14"/>
  <c r="F120" i="37"/>
  <c r="G119" i="37"/>
  <c r="E119" i="37"/>
  <c r="D11" i="57"/>
  <c r="D775" i="57"/>
  <c r="F775" i="57"/>
  <c r="F563" i="57"/>
  <c r="F564" i="57"/>
  <c r="F565" i="57"/>
  <c r="F566" i="57"/>
  <c r="F567" i="57"/>
  <c r="D471" i="57"/>
  <c r="E775" i="57"/>
  <c r="H1669" i="57"/>
  <c r="G1669" i="57"/>
  <c r="G602" i="57"/>
  <c r="H602" i="57"/>
  <c r="G601" i="57"/>
  <c r="H601" i="57"/>
  <c r="G600" i="57"/>
  <c r="H600" i="57"/>
  <c r="D485" i="57"/>
  <c r="G392" i="57"/>
  <c r="H392" i="57"/>
  <c r="G391" i="57"/>
  <c r="H391" i="57"/>
  <c r="G390" i="57"/>
  <c r="H390" i="57"/>
  <c r="G389" i="57"/>
  <c r="H389" i="57"/>
  <c r="G388" i="57"/>
  <c r="H388" i="57"/>
  <c r="G387" i="57"/>
  <c r="H387" i="57"/>
  <c r="G599" i="57"/>
  <c r="H599" i="57"/>
  <c r="G317" i="37"/>
  <c r="E317" i="37"/>
  <c r="G289" i="37"/>
  <c r="E289" i="37"/>
  <c r="G273" i="37"/>
  <c r="E273" i="37"/>
  <c r="E260" i="37"/>
  <c r="G260" i="37"/>
  <c r="J260" i="37"/>
  <c r="V260" i="37"/>
  <c r="W260" i="37"/>
  <c r="G259" i="37"/>
  <c r="E259" i="37"/>
  <c r="G107" i="37"/>
  <c r="E107" i="37"/>
  <c r="E77" i="37"/>
  <c r="G77" i="37"/>
  <c r="V77" i="37"/>
  <c r="G76" i="37"/>
  <c r="E76" i="37"/>
  <c r="G47" i="37"/>
  <c r="E47" i="37"/>
  <c r="V47" i="37"/>
  <c r="V34" i="37"/>
  <c r="G34" i="37"/>
  <c r="E34" i="37"/>
  <c r="H34" i="37"/>
  <c r="H450" i="14"/>
  <c r="C1571" i="57"/>
  <c r="C1570" i="57"/>
  <c r="C1569" i="57"/>
  <c r="C1568" i="57"/>
  <c r="G434" i="37"/>
  <c r="E434" i="37"/>
  <c r="D1571" i="57"/>
  <c r="G433" i="37"/>
  <c r="E433" i="37"/>
  <c r="G432" i="37"/>
  <c r="E432" i="37"/>
  <c r="F1570" i="57"/>
  <c r="G1570" i="57"/>
  <c r="F433" i="37"/>
  <c r="M433" i="37"/>
  <c r="C1567" i="57"/>
  <c r="G449" i="37"/>
  <c r="F449" i="37"/>
  <c r="M449" i="37"/>
  <c r="E449" i="37"/>
  <c r="E1588" i="57"/>
  <c r="C1588" i="57"/>
  <c r="D140" i="57"/>
  <c r="G381" i="37"/>
  <c r="E381" i="37"/>
  <c r="G380" i="37"/>
  <c r="E380" i="37"/>
  <c r="C1390" i="57"/>
  <c r="D1402" i="57"/>
  <c r="C1404" i="57"/>
  <c r="C1403" i="57"/>
  <c r="C1402" i="57"/>
  <c r="C1401" i="57"/>
  <c r="C1396" i="57"/>
  <c r="D1404" i="57"/>
  <c r="F381" i="37"/>
  <c r="M381" i="37"/>
  <c r="E1395" i="57"/>
  <c r="E1394" i="57"/>
  <c r="G908" i="37"/>
  <c r="F908" i="37"/>
  <c r="M908" i="37"/>
  <c r="E908" i="37"/>
  <c r="G907" i="37"/>
  <c r="F907" i="37"/>
  <c r="M907" i="37"/>
  <c r="E907" i="37"/>
  <c r="G906" i="37"/>
  <c r="F906" i="37"/>
  <c r="L906" i="37"/>
  <c r="E906" i="37"/>
  <c r="G905" i="37"/>
  <c r="F905" i="37"/>
  <c r="L905" i="37"/>
  <c r="E905" i="37"/>
  <c r="E150" i="59"/>
  <c r="C150" i="59"/>
  <c r="H537" i="14"/>
  <c r="E149" i="59"/>
  <c r="C149" i="59"/>
  <c r="E148" i="59"/>
  <c r="C148" i="59"/>
  <c r="H494" i="14"/>
  <c r="E147" i="59"/>
  <c r="C147" i="59"/>
  <c r="G904" i="37"/>
  <c r="F904" i="37"/>
  <c r="L904" i="37"/>
  <c r="E904" i="37"/>
  <c r="E146" i="59"/>
  <c r="C146" i="59"/>
  <c r="H260" i="14"/>
  <c r="G903" i="37"/>
  <c r="E903" i="37"/>
  <c r="E145" i="59"/>
  <c r="F903" i="37"/>
  <c r="M903" i="37"/>
  <c r="C145" i="59"/>
  <c r="G139" i="37"/>
  <c r="E139" i="37"/>
  <c r="F793" i="57"/>
  <c r="D793" i="57"/>
  <c r="F792" i="57"/>
  <c r="F139" i="37"/>
  <c r="M139" i="37"/>
  <c r="D792" i="57"/>
  <c r="G138" i="37"/>
  <c r="E138" i="37"/>
  <c r="F791" i="57"/>
  <c r="F138" i="37"/>
  <c r="M138" i="37"/>
  <c r="D791" i="57"/>
  <c r="G137" i="37"/>
  <c r="E137" i="37"/>
  <c r="F790" i="57"/>
  <c r="F137" i="37"/>
  <c r="M137" i="37"/>
  <c r="D790" i="57"/>
  <c r="G136" i="37"/>
  <c r="E136" i="37"/>
  <c r="F789" i="57"/>
  <c r="F136" i="37"/>
  <c r="M136" i="37"/>
  <c r="D789" i="57"/>
  <c r="G123" i="37"/>
  <c r="E123" i="37"/>
  <c r="G135" i="37"/>
  <c r="E135" i="37"/>
  <c r="C778" i="57"/>
  <c r="F778" i="57"/>
  <c r="F123" i="37"/>
  <c r="M123" i="37"/>
  <c r="E778" i="57"/>
  <c r="E788" i="57"/>
  <c r="F788" i="57"/>
  <c r="F135" i="37"/>
  <c r="M135" i="37"/>
  <c r="D788" i="57"/>
  <c r="H357" i="14"/>
  <c r="G122" i="37"/>
  <c r="E122" i="37"/>
  <c r="D711" i="57"/>
  <c r="F105" i="37"/>
  <c r="D712" i="57"/>
  <c r="F106" i="37"/>
  <c r="M106" i="37"/>
  <c r="D710" i="57"/>
  <c r="F104" i="37"/>
  <c r="M104" i="37"/>
  <c r="D708" i="57"/>
  <c r="F102" i="37"/>
  <c r="M102" i="37"/>
  <c r="F103" i="37"/>
  <c r="M103" i="37"/>
  <c r="G103" i="37"/>
  <c r="E103" i="37"/>
  <c r="E709" i="57"/>
  <c r="C709" i="57"/>
  <c r="C710" i="57"/>
  <c r="E710" i="57"/>
  <c r="G75" i="37"/>
  <c r="F75" i="37"/>
  <c r="M75" i="37"/>
  <c r="E75" i="37"/>
  <c r="G74" i="37"/>
  <c r="F74" i="37"/>
  <c r="L74" i="37"/>
  <c r="E74" i="37"/>
  <c r="H335" i="14"/>
  <c r="E528" i="57"/>
  <c r="C528" i="57"/>
  <c r="E527" i="57"/>
  <c r="C527" i="57"/>
  <c r="G106" i="37"/>
  <c r="E106" i="37"/>
  <c r="G105" i="37"/>
  <c r="E105" i="37"/>
  <c r="E712" i="57"/>
  <c r="C712" i="57"/>
  <c r="E711" i="57"/>
  <c r="C711" i="57"/>
  <c r="G104" i="37"/>
  <c r="E104" i="37"/>
  <c r="G73" i="37"/>
  <c r="F73" i="37"/>
  <c r="L73" i="37"/>
  <c r="E73" i="37"/>
  <c r="H449" i="14"/>
  <c r="E526" i="57"/>
  <c r="C526" i="57"/>
  <c r="G72" i="37"/>
  <c r="F72" i="37"/>
  <c r="M72" i="37"/>
  <c r="E72" i="37"/>
  <c r="E523" i="57"/>
  <c r="E524" i="57"/>
  <c r="E525" i="57"/>
  <c r="C525" i="57"/>
  <c r="G71" i="37"/>
  <c r="F71" i="37"/>
  <c r="M71" i="37"/>
  <c r="E71" i="37"/>
  <c r="G102" i="37"/>
  <c r="E102" i="37"/>
  <c r="C524" i="57"/>
  <c r="C708" i="57"/>
  <c r="F70" i="37"/>
  <c r="M70" i="37"/>
  <c r="C523" i="57"/>
  <c r="G70" i="37"/>
  <c r="E70" i="37"/>
  <c r="H905" i="37"/>
  <c r="K905" i="37"/>
  <c r="H104" i="37"/>
  <c r="K104" i="37"/>
  <c r="H907" i="37"/>
  <c r="K907" i="37"/>
  <c r="L433" i="37"/>
  <c r="M906" i="37"/>
  <c r="L449" i="37"/>
  <c r="H74" i="37"/>
  <c r="K74" i="37"/>
  <c r="L381" i="37"/>
  <c r="E1396" i="57"/>
  <c r="M905" i="37"/>
  <c r="L908" i="37"/>
  <c r="L907" i="37"/>
  <c r="M904" i="37"/>
  <c r="H135" i="37"/>
  <c r="K135" i="37"/>
  <c r="H73" i="37"/>
  <c r="K73" i="37"/>
  <c r="L903" i="37"/>
  <c r="L139" i="37"/>
  <c r="L138" i="37"/>
  <c r="L137" i="37"/>
  <c r="L136" i="37"/>
  <c r="L123" i="37"/>
  <c r="L135" i="37"/>
  <c r="L103" i="37"/>
  <c r="M74" i="37"/>
  <c r="L75" i="37"/>
  <c r="M105" i="37"/>
  <c r="L105" i="37"/>
  <c r="L106" i="37"/>
  <c r="M73" i="37"/>
  <c r="L104" i="37"/>
  <c r="L72" i="37"/>
  <c r="L71" i="37"/>
  <c r="L102" i="37"/>
  <c r="L70" i="37"/>
  <c r="F1714" i="57"/>
  <c r="F489" i="37"/>
  <c r="O907" i="37"/>
  <c r="N907" i="37"/>
  <c r="O905" i="37"/>
  <c r="N905" i="37"/>
  <c r="O135" i="37"/>
  <c r="N135" i="37"/>
  <c r="N73" i="37"/>
  <c r="N74" i="37"/>
  <c r="O74" i="37"/>
  <c r="O104" i="37"/>
  <c r="N104" i="37"/>
  <c r="O73" i="37"/>
  <c r="G658" i="37"/>
  <c r="E658" i="37"/>
  <c r="G657" i="37"/>
  <c r="E657" i="37"/>
  <c r="G656" i="37"/>
  <c r="E656" i="37"/>
  <c r="E123" i="58"/>
  <c r="F658" i="37"/>
  <c r="L658" i="37"/>
  <c r="E122" i="58"/>
  <c r="F657" i="37"/>
  <c r="L657" i="37"/>
  <c r="E121" i="58"/>
  <c r="F656" i="37"/>
  <c r="M656" i="37"/>
  <c r="L656" i="37"/>
  <c r="M657" i="37"/>
  <c r="M658" i="37"/>
  <c r="G1663" i="57"/>
  <c r="G1655" i="57"/>
  <c r="G1654" i="57"/>
  <c r="G1653" i="57"/>
  <c r="G1652" i="57"/>
  <c r="H1668" i="57"/>
  <c r="I1668" i="57"/>
  <c r="G1668" i="57"/>
  <c r="J1668" i="57"/>
  <c r="D1426" i="57"/>
  <c r="D763" i="57"/>
  <c r="D773" i="57"/>
  <c r="F359" i="57"/>
  <c r="F360" i="57"/>
  <c r="F361" i="57"/>
  <c r="F362" i="57"/>
  <c r="F363" i="57"/>
  <c r="F364" i="57"/>
  <c r="F375" i="57"/>
  <c r="D1188" i="57"/>
  <c r="G354" i="57"/>
  <c r="E6" i="37"/>
  <c r="B54" i="37"/>
  <c r="B115" i="37"/>
  <c r="B236" i="37"/>
  <c r="B237" i="37"/>
  <c r="B238" i="37"/>
  <c r="B239" i="37"/>
  <c r="B253" i="37"/>
  <c r="B322" i="37"/>
  <c r="B323" i="37"/>
  <c r="B324" i="37"/>
  <c r="B325" i="37"/>
  <c r="B326" i="37"/>
  <c r="B394" i="37"/>
  <c r="B395" i="37"/>
  <c r="B396" i="37"/>
  <c r="B406" i="37"/>
  <c r="B407" i="37"/>
  <c r="B408" i="37"/>
  <c r="B409" i="37"/>
  <c r="B410" i="37"/>
  <c r="B428" i="37"/>
  <c r="B465" i="37"/>
  <c r="B466" i="37"/>
  <c r="B467" i="37"/>
  <c r="B471" i="37"/>
  <c r="B472" i="37"/>
  <c r="B476" i="37"/>
  <c r="B477" i="37"/>
  <c r="B478" i="37"/>
  <c r="B479" i="37"/>
  <c r="B525" i="37"/>
  <c r="B526" i="37"/>
  <c r="B527" i="37"/>
  <c r="B548" i="37"/>
  <c r="B549" i="37"/>
  <c r="B550" i="37"/>
  <c r="B551" i="37"/>
  <c r="B558" i="37"/>
  <c r="B559" i="37"/>
  <c r="B560" i="37"/>
  <c r="B561" i="37"/>
  <c r="B562" i="37"/>
  <c r="B563" i="37"/>
  <c r="B821" i="37"/>
  <c r="B822" i="37"/>
  <c r="B823" i="37"/>
  <c r="B10" i="37"/>
  <c r="H354" i="57"/>
  <c r="B429" i="37"/>
  <c r="B240" i="37"/>
  <c r="B552" i="37"/>
  <c r="B116" i="37"/>
  <c r="B528" i="37"/>
  <c r="B327" i="37"/>
  <c r="B473" i="37"/>
  <c r="B468" i="37"/>
  <c r="B480" i="37"/>
  <c r="B824" i="37"/>
  <c r="B411" i="37"/>
  <c r="B564" i="37"/>
  <c r="B397" i="37"/>
  <c r="B55" i="37"/>
  <c r="B11" i="37"/>
  <c r="B254" i="37"/>
  <c r="B255" i="37"/>
  <c r="B430" i="37"/>
  <c r="B328" i="37"/>
  <c r="B12" i="37"/>
  <c r="B825" i="37"/>
  <c r="B398" i="37"/>
  <c r="B481" i="37"/>
  <c r="B529" i="37"/>
  <c r="B56" i="37"/>
  <c r="B117" i="37"/>
  <c r="B119" i="37"/>
  <c r="B565" i="37"/>
  <c r="B553" i="37"/>
  <c r="B469" i="37"/>
  <c r="B412" i="37"/>
  <c r="B474" i="37"/>
  <c r="B241" i="37"/>
  <c r="F136" i="53"/>
  <c r="F135" i="53"/>
  <c r="B431" i="37"/>
  <c r="B432" i="37"/>
  <c r="B433" i="37"/>
  <c r="B434" i="37"/>
  <c r="B554" i="37"/>
  <c r="B482" i="37"/>
  <c r="B566" i="37"/>
  <c r="B399" i="37"/>
  <c r="B470" i="37"/>
  <c r="B826" i="37"/>
  <c r="B13" i="37"/>
  <c r="B242" i="37"/>
  <c r="B118" i="37"/>
  <c r="B475" i="37"/>
  <c r="B530" i="37"/>
  <c r="B413" i="37"/>
  <c r="B57" i="37"/>
  <c r="B329" i="37"/>
  <c r="F802" i="37"/>
  <c r="F803" i="37"/>
  <c r="F804" i="37"/>
  <c r="F805" i="37"/>
  <c r="F806" i="37"/>
  <c r="F807" i="37"/>
  <c r="F808" i="37"/>
  <c r="F809" i="37"/>
  <c r="F810" i="37"/>
  <c r="F811" i="37"/>
  <c r="F812" i="37"/>
  <c r="F813" i="37"/>
  <c r="F814" i="37"/>
  <c r="F815" i="37"/>
  <c r="F801" i="37"/>
  <c r="F750" i="37"/>
  <c r="F751" i="37"/>
  <c r="F749" i="37"/>
  <c r="E605" i="37"/>
  <c r="G605" i="37"/>
  <c r="G692" i="37"/>
  <c r="E692" i="37"/>
  <c r="G691" i="37"/>
  <c r="E691" i="37"/>
  <c r="E334" i="58"/>
  <c r="D319" i="58"/>
  <c r="E216" i="58"/>
  <c r="E159" i="58"/>
  <c r="F692" i="37"/>
  <c r="M692" i="37"/>
  <c r="E158" i="58"/>
  <c r="F691" i="37"/>
  <c r="M691" i="37"/>
  <c r="D161" i="58"/>
  <c r="E63" i="58"/>
  <c r="F605" i="37"/>
  <c r="M605" i="37"/>
  <c r="B435" i="37"/>
  <c r="B120" i="37"/>
  <c r="B400" i="37"/>
  <c r="B330" i="37"/>
  <c r="B243" i="37"/>
  <c r="B567" i="37"/>
  <c r="B58" i="37"/>
  <c r="B14" i="37"/>
  <c r="B483" i="37"/>
  <c r="B531" i="37"/>
  <c r="B414" i="37"/>
  <c r="B827" i="37"/>
  <c r="B555" i="37"/>
  <c r="L605" i="37"/>
  <c r="L692" i="37"/>
  <c r="L691" i="37"/>
  <c r="B436" i="37"/>
  <c r="B244" i="37"/>
  <c r="B331" i="37"/>
  <c r="B415" i="37"/>
  <c r="B484" i="37"/>
  <c r="B401" i="37"/>
  <c r="B532" i="37"/>
  <c r="B15" i="37"/>
  <c r="B121" i="37"/>
  <c r="B122" i="37"/>
  <c r="B123" i="37"/>
  <c r="B556" i="37"/>
  <c r="B59" i="37"/>
  <c r="B828" i="37"/>
  <c r="B568" i="37"/>
  <c r="B437" i="37"/>
  <c r="B533" i="37"/>
  <c r="B402" i="37"/>
  <c r="B829" i="37"/>
  <c r="B485" i="37"/>
  <c r="B60" i="37"/>
  <c r="B416" i="37"/>
  <c r="B332" i="37"/>
  <c r="B557" i="37"/>
  <c r="B124" i="37"/>
  <c r="B569" i="37"/>
  <c r="B16" i="37"/>
  <c r="B245" i="37"/>
  <c r="G1650" i="57"/>
  <c r="G1651" i="57"/>
  <c r="G1656" i="57"/>
  <c r="G1657" i="57"/>
  <c r="G1658" i="57"/>
  <c r="G1659" i="57"/>
  <c r="G1660" i="57"/>
  <c r="G1661" i="57"/>
  <c r="G1662" i="57"/>
  <c r="G1664" i="57"/>
  <c r="G1665" i="57"/>
  <c r="D1609" i="57"/>
  <c r="D1620" i="57"/>
  <c r="D1509" i="57"/>
  <c r="D1514" i="57"/>
  <c r="D1423" i="57"/>
  <c r="D1264" i="57"/>
  <c r="D1040" i="57"/>
  <c r="D1041" i="57"/>
  <c r="D966" i="57"/>
  <c r="D965" i="57"/>
  <c r="G567" i="57"/>
  <c r="G357" i="57"/>
  <c r="G358" i="57"/>
  <c r="G359" i="57"/>
  <c r="G360" i="57"/>
  <c r="G361" i="57"/>
  <c r="H361" i="57"/>
  <c r="G362" i="57"/>
  <c r="G363" i="57"/>
  <c r="H363" i="57"/>
  <c r="G364" i="57"/>
  <c r="H364" i="57"/>
  <c r="G375" i="57"/>
  <c r="H1662" i="57"/>
  <c r="H357" i="57"/>
  <c r="H375" i="57"/>
  <c r="H358" i="57"/>
  <c r="H360" i="57"/>
  <c r="H359" i="57"/>
  <c r="B438" i="37"/>
  <c r="B570" i="37"/>
  <c r="B125" i="37"/>
  <c r="B486" i="37"/>
  <c r="B256" i="37"/>
  <c r="B333" i="37"/>
  <c r="B830" i="37"/>
  <c r="B246" i="37"/>
  <c r="B417" i="37"/>
  <c r="B403" i="37"/>
  <c r="B17" i="37"/>
  <c r="B61" i="37"/>
  <c r="B534" i="37"/>
  <c r="D1621" i="57"/>
  <c r="D1622" i="57"/>
  <c r="H362" i="57"/>
  <c r="D1623" i="57"/>
  <c r="H567" i="57"/>
  <c r="B439" i="37"/>
  <c r="B62" i="37"/>
  <c r="B18" i="37"/>
  <c r="B257" i="37"/>
  <c r="B418" i="37"/>
  <c r="B404" i="37"/>
  <c r="B334" i="37"/>
  <c r="B487" i="37"/>
  <c r="B247" i="37"/>
  <c r="B126" i="37"/>
  <c r="B535" i="37"/>
  <c r="B831" i="37"/>
  <c r="B571" i="37"/>
  <c r="G417" i="57"/>
  <c r="G90" i="37"/>
  <c r="G57" i="37"/>
  <c r="G58" i="37"/>
  <c r="E42" i="37"/>
  <c r="E43" i="37"/>
  <c r="E44" i="37"/>
  <c r="E45" i="37"/>
  <c r="E46" i="37"/>
  <c r="E48" i="37"/>
  <c r="E49" i="37"/>
  <c r="E50" i="37"/>
  <c r="B440" i="37"/>
  <c r="B536" i="37"/>
  <c r="B405" i="37"/>
  <c r="B832" i="37"/>
  <c r="B127" i="37"/>
  <c r="B419" i="37"/>
  <c r="B248" i="37"/>
  <c r="B258" i="37"/>
  <c r="B259" i="37"/>
  <c r="B260" i="37"/>
  <c r="B488" i="37"/>
  <c r="B19" i="37"/>
  <c r="B572" i="37"/>
  <c r="B335" i="37"/>
  <c r="B63" i="37"/>
  <c r="F625" i="57"/>
  <c r="B441" i="37"/>
  <c r="B573" i="37"/>
  <c r="B420" i="37"/>
  <c r="B336" i="37"/>
  <c r="B20" i="37"/>
  <c r="B128" i="37"/>
  <c r="B833" i="37"/>
  <c r="B489" i="37"/>
  <c r="B64" i="37"/>
  <c r="B249" i="37"/>
  <c r="B537" i="37"/>
  <c r="F305" i="57"/>
  <c r="B442" i="37"/>
  <c r="B129" i="37"/>
  <c r="B250" i="37"/>
  <c r="B65" i="37"/>
  <c r="B21" i="37"/>
  <c r="B337" i="37"/>
  <c r="B538" i="37"/>
  <c r="B490" i="37"/>
  <c r="B421" i="37"/>
  <c r="B834" i="37"/>
  <c r="B574" i="37"/>
  <c r="D888" i="57"/>
  <c r="B443" i="37"/>
  <c r="B22" i="37"/>
  <c r="B835" i="37"/>
  <c r="B422" i="37"/>
  <c r="B66" i="37"/>
  <c r="B575" i="37"/>
  <c r="B251" i="37"/>
  <c r="B338" i="37"/>
  <c r="B491" i="37"/>
  <c r="B261" i="37"/>
  <c r="B539" i="37"/>
  <c r="B130" i="37"/>
  <c r="G565" i="57"/>
  <c r="G566" i="57"/>
  <c r="D433" i="57"/>
  <c r="G396" i="57"/>
  <c r="H396" i="57"/>
  <c r="G395" i="57"/>
  <c r="H395" i="57"/>
  <c r="D617" i="57"/>
  <c r="D442" i="57"/>
  <c r="D478" i="57"/>
  <c r="B444" i="37"/>
  <c r="B576" i="37"/>
  <c r="B540" i="37"/>
  <c r="B67" i="37"/>
  <c r="B68" i="37"/>
  <c r="B69" i="37"/>
  <c r="B423" i="37"/>
  <c r="B131" i="37"/>
  <c r="B262" i="37"/>
  <c r="B492" i="37"/>
  <c r="B836" i="37"/>
  <c r="B252" i="37"/>
  <c r="B339" i="37"/>
  <c r="B23" i="37"/>
  <c r="D733" i="57"/>
  <c r="D735" i="57"/>
  <c r="D771" i="57"/>
  <c r="D664" i="57"/>
  <c r="F627" i="57"/>
  <c r="D633" i="57"/>
  <c r="H566" i="57"/>
  <c r="H565" i="57"/>
  <c r="B445" i="37"/>
  <c r="B577" i="37"/>
  <c r="B263" i="37"/>
  <c r="B424" i="37"/>
  <c r="B24" i="37"/>
  <c r="B340" i="37"/>
  <c r="B132" i="37"/>
  <c r="B837" i="37"/>
  <c r="B493" i="37"/>
  <c r="B541" i="37"/>
  <c r="E771" i="57"/>
  <c r="F771" i="57"/>
  <c r="D1302" i="57"/>
  <c r="D1328" i="57"/>
  <c r="B446" i="37"/>
  <c r="B341" i="37"/>
  <c r="B25" i="37"/>
  <c r="B542" i="37"/>
  <c r="B425" i="37"/>
  <c r="B838" i="37"/>
  <c r="B494" i="37"/>
  <c r="B264" i="37"/>
  <c r="B133" i="37"/>
  <c r="B578" i="37"/>
  <c r="D1330" i="57"/>
  <c r="Z7" i="37"/>
  <c r="B447" i="37"/>
  <c r="B839" i="37"/>
  <c r="B579" i="37"/>
  <c r="B426" i="37"/>
  <c r="B543" i="37"/>
  <c r="B134" i="37"/>
  <c r="B135" i="37"/>
  <c r="B136" i="37"/>
  <c r="B137" i="37"/>
  <c r="B138" i="37"/>
  <c r="B139" i="37"/>
  <c r="B495" i="37"/>
  <c r="B265" i="37"/>
  <c r="B26" i="37"/>
  <c r="B342" i="37"/>
  <c r="A1192" i="57"/>
  <c r="B448" i="37"/>
  <c r="B449" i="37"/>
  <c r="B544" i="37"/>
  <c r="B427" i="37"/>
  <c r="B266" i="37"/>
  <c r="B580" i="37"/>
  <c r="B343" i="37"/>
  <c r="B140" i="37"/>
  <c r="B27" i="37"/>
  <c r="B496" i="37"/>
  <c r="B840" i="37"/>
  <c r="F146" i="53"/>
  <c r="B450" i="37"/>
  <c r="B267" i="37"/>
  <c r="B841" i="37"/>
  <c r="B497" i="37"/>
  <c r="B28" i="37"/>
  <c r="B581" i="37"/>
  <c r="B141" i="37"/>
  <c r="B344" i="37"/>
  <c r="B545" i="37"/>
  <c r="V108" i="37"/>
  <c r="G108" i="37"/>
  <c r="E108" i="37"/>
  <c r="E6" i="43"/>
  <c r="B451" i="37"/>
  <c r="B498" i="37"/>
  <c r="B345" i="37"/>
  <c r="B546" i="37"/>
  <c r="B142" i="37"/>
  <c r="B842" i="37"/>
  <c r="B29" i="37"/>
  <c r="B30" i="37"/>
  <c r="B582" i="37"/>
  <c r="B268" i="37"/>
  <c r="D1366" i="57"/>
  <c r="F37" i="37"/>
  <c r="D16" i="57"/>
  <c r="D219" i="57"/>
  <c r="B452" i="37"/>
  <c r="B547" i="37"/>
  <c r="B583" i="37"/>
  <c r="B346" i="37"/>
  <c r="B143" i="37"/>
  <c r="B70" i="37"/>
  <c r="B71" i="37"/>
  <c r="B72" i="37"/>
  <c r="B73" i="37"/>
  <c r="B74" i="37"/>
  <c r="B75" i="37"/>
  <c r="B76" i="37"/>
  <c r="B77" i="37"/>
  <c r="B78" i="37"/>
  <c r="B79" i="37"/>
  <c r="B269" i="37"/>
  <c r="B270" i="37"/>
  <c r="B843" i="37"/>
  <c r="B499" i="37"/>
  <c r="D1432" i="57"/>
  <c r="F12" i="37"/>
  <c r="D545" i="57"/>
  <c r="D463" i="57"/>
  <c r="B453" i="37"/>
  <c r="B144" i="37"/>
  <c r="B347" i="37"/>
  <c r="B844" i="37"/>
  <c r="B584" i="37"/>
  <c r="B500" i="37"/>
  <c r="E108" i="59"/>
  <c r="E88" i="59"/>
  <c r="D1510" i="57"/>
  <c r="I1422" i="57"/>
  <c r="I1444" i="57"/>
  <c r="D806" i="57"/>
  <c r="D804" i="57"/>
  <c r="G411" i="57"/>
  <c r="H411" i="57"/>
  <c r="G410" i="57"/>
  <c r="H410" i="57"/>
  <c r="G407" i="57"/>
  <c r="H407" i="57"/>
  <c r="G406" i="57"/>
  <c r="H406" i="57"/>
  <c r="G409" i="57"/>
  <c r="H409" i="57"/>
  <c r="G408" i="57"/>
  <c r="H408" i="57"/>
  <c r="E3" i="58"/>
  <c r="D3" i="58"/>
  <c r="E3" i="59"/>
  <c r="D3" i="59"/>
  <c r="V23" i="37"/>
  <c r="V40" i="37"/>
  <c r="W40" i="37"/>
  <c r="V26" i="37"/>
  <c r="V27" i="37"/>
  <c r="V28" i="37"/>
  <c r="V29" i="37"/>
  <c r="V30" i="37"/>
  <c r="V31" i="37"/>
  <c r="V32" i="37"/>
  <c r="V33" i="37"/>
  <c r="V35" i="37"/>
  <c r="V36" i="37"/>
  <c r="V37" i="37"/>
  <c r="V38" i="37"/>
  <c r="V39" i="37"/>
  <c r="V41" i="37"/>
  <c r="V42" i="37"/>
  <c r="V43" i="37"/>
  <c r="V44" i="37"/>
  <c r="V45" i="37"/>
  <c r="V46" i="37"/>
  <c r="V48" i="37"/>
  <c r="V49" i="37"/>
  <c r="W49" i="37"/>
  <c r="W48" i="37"/>
  <c r="W46" i="37"/>
  <c r="W45" i="37"/>
  <c r="W44" i="37"/>
  <c r="W43" i="37"/>
  <c r="W42" i="37"/>
  <c r="W41" i="37"/>
  <c r="W39" i="37"/>
  <c r="W38" i="37"/>
  <c r="W37" i="37"/>
  <c r="W36" i="37"/>
  <c r="W35" i="37"/>
  <c r="W33" i="37"/>
  <c r="W32" i="37"/>
  <c r="W31" i="37"/>
  <c r="W30" i="37"/>
  <c r="W29" i="37"/>
  <c r="W28" i="37"/>
  <c r="W27" i="37"/>
  <c r="W26" i="37"/>
  <c r="V15" i="37"/>
  <c r="V16" i="37"/>
  <c r="V17" i="37"/>
  <c r="V18" i="37"/>
  <c r="V19" i="37"/>
  <c r="V20" i="37"/>
  <c r="V21" i="37"/>
  <c r="V22" i="37"/>
  <c r="V24" i="37"/>
  <c r="V25" i="37"/>
  <c r="W25" i="37"/>
  <c r="W24" i="37"/>
  <c r="W23" i="37"/>
  <c r="W22" i="37"/>
  <c r="W21" i="37"/>
  <c r="W20" i="37"/>
  <c r="W19" i="37"/>
  <c r="W18" i="37"/>
  <c r="W17" i="37"/>
  <c r="W16" i="37"/>
  <c r="W15" i="37"/>
  <c r="V12" i="37"/>
  <c r="V13" i="37"/>
  <c r="V14" i="37"/>
  <c r="W14" i="37"/>
  <c r="W13" i="37"/>
  <c r="W12" i="37"/>
  <c r="V8" i="37"/>
  <c r="V9" i="37"/>
  <c r="V10" i="37"/>
  <c r="V11" i="37"/>
  <c r="W11" i="37"/>
  <c r="W10" i="37"/>
  <c r="W9" i="37"/>
  <c r="W8" i="37"/>
  <c r="G765" i="37"/>
  <c r="D36" i="59"/>
  <c r="C41" i="51"/>
  <c r="E964" i="37"/>
  <c r="D222" i="59"/>
  <c r="D189" i="59"/>
  <c r="D190" i="59"/>
  <c r="E190" i="59"/>
  <c r="F190" i="59"/>
  <c r="D155" i="59"/>
  <c r="D154" i="59"/>
  <c r="D100" i="59"/>
  <c r="E100" i="59"/>
  <c r="F100" i="59"/>
  <c r="D99" i="59"/>
  <c r="D79" i="59"/>
  <c r="E79" i="59"/>
  <c r="F79" i="59"/>
  <c r="D78" i="59"/>
  <c r="D59" i="59"/>
  <c r="E59" i="59"/>
  <c r="F59" i="59"/>
  <c r="D58" i="59"/>
  <c r="B454" i="37"/>
  <c r="B585" i="37"/>
  <c r="B845" i="37"/>
  <c r="B348" i="37"/>
  <c r="B501" i="37"/>
  <c r="B145" i="37"/>
  <c r="I1649" i="57"/>
  <c r="F858" i="37"/>
  <c r="F859" i="37"/>
  <c r="F873" i="37"/>
  <c r="F874" i="37"/>
  <c r="F889" i="37"/>
  <c r="F890" i="37"/>
  <c r="F964" i="37"/>
  <c r="L14" i="60"/>
  <c r="K14" i="60"/>
  <c r="L11" i="60"/>
  <c r="K11" i="60"/>
  <c r="K71" i="60"/>
  <c r="L71" i="60"/>
  <c r="K72" i="60"/>
  <c r="L72" i="60"/>
  <c r="K73" i="60"/>
  <c r="L73" i="60"/>
  <c r="K74" i="60"/>
  <c r="L74" i="60"/>
  <c r="K75" i="60"/>
  <c r="L75" i="60"/>
  <c r="K76" i="60"/>
  <c r="L76" i="60"/>
  <c r="K77" i="60"/>
  <c r="L77" i="60"/>
  <c r="L70" i="60"/>
  <c r="K70" i="60"/>
  <c r="L56" i="60"/>
  <c r="K56" i="60"/>
  <c r="L31" i="60"/>
  <c r="K31" i="60"/>
  <c r="K27" i="60"/>
  <c r="L27" i="60"/>
  <c r="K29" i="60"/>
  <c r="L29" i="60"/>
  <c r="L28" i="60"/>
  <c r="K28" i="60"/>
  <c r="K19" i="60"/>
  <c r="L19" i="60"/>
  <c r="L18" i="60"/>
  <c r="K18" i="60"/>
  <c r="L13" i="60"/>
  <c r="K13" i="60"/>
  <c r="B455" i="37"/>
  <c r="B349" i="37"/>
  <c r="B146" i="37"/>
  <c r="B846" i="37"/>
  <c r="B502" i="37"/>
  <c r="B586" i="37"/>
  <c r="L10" i="60"/>
  <c r="K10" i="60"/>
  <c r="K6" i="60"/>
  <c r="L6" i="60"/>
  <c r="L5" i="60"/>
  <c r="K5" i="60"/>
  <c r="K7" i="60"/>
  <c r="L7" i="60"/>
  <c r="L8" i="60"/>
  <c r="K8" i="60"/>
  <c r="L40" i="60"/>
  <c r="K40" i="60"/>
  <c r="L54" i="60"/>
  <c r="K54" i="60"/>
  <c r="K51" i="60"/>
  <c r="L51" i="60"/>
  <c r="K30" i="60"/>
  <c r="L30" i="60"/>
  <c r="L52" i="60"/>
  <c r="K52" i="60"/>
  <c r="L38" i="60"/>
  <c r="K38" i="60"/>
  <c r="K37" i="60"/>
  <c r="L37" i="60"/>
  <c r="K43" i="60"/>
  <c r="L43" i="60"/>
  <c r="L42" i="60"/>
  <c r="K42" i="60"/>
  <c r="L34" i="60"/>
  <c r="L33" i="60"/>
  <c r="K34" i="60"/>
  <c r="K33" i="60"/>
  <c r="L44" i="60"/>
  <c r="K44" i="60"/>
  <c r="L25" i="60"/>
  <c r="L24" i="60"/>
  <c r="K25" i="60"/>
  <c r="K24" i="60"/>
  <c r="L17" i="60"/>
  <c r="L20" i="60"/>
  <c r="L21" i="60"/>
  <c r="L22" i="60"/>
  <c r="L16" i="60"/>
  <c r="K17" i="60"/>
  <c r="K20" i="60"/>
  <c r="K21" i="60"/>
  <c r="K22" i="60"/>
  <c r="K16" i="60"/>
  <c r="B456" i="37"/>
  <c r="B847" i="37"/>
  <c r="B147" i="37"/>
  <c r="B350" i="37"/>
  <c r="B587" i="37"/>
  <c r="B503" i="37"/>
  <c r="B31" i="37"/>
  <c r="D3" i="60"/>
  <c r="D27" i="60"/>
  <c r="D26" i="60"/>
  <c r="D25" i="60"/>
  <c r="D24" i="60"/>
  <c r="D23" i="60"/>
  <c r="D22" i="60"/>
  <c r="D21" i="60"/>
  <c r="D20" i="60"/>
  <c r="D19" i="60"/>
  <c r="D18" i="60"/>
  <c r="D17" i="60"/>
  <c r="D16" i="60"/>
  <c r="D15" i="60"/>
  <c r="D14" i="60"/>
  <c r="D13" i="60"/>
  <c r="D12" i="60"/>
  <c r="D11" i="60"/>
  <c r="D10" i="60"/>
  <c r="D9" i="60"/>
  <c r="D8" i="60"/>
  <c r="D7" i="60"/>
  <c r="D6" i="60"/>
  <c r="D5" i="60"/>
  <c r="D4" i="60"/>
  <c r="B457" i="37"/>
  <c r="B588" i="37"/>
  <c r="B504" i="37"/>
  <c r="B351" i="37"/>
  <c r="B148" i="37"/>
  <c r="B80" i="37"/>
  <c r="B32" i="37"/>
  <c r="B848" i="37"/>
  <c r="D37" i="59"/>
  <c r="E37" i="59"/>
  <c r="F37" i="59"/>
  <c r="E19" i="59"/>
  <c r="T911" i="37"/>
  <c r="B458" i="37"/>
  <c r="B149" i="37"/>
  <c r="B352" i="37"/>
  <c r="B505" i="37"/>
  <c r="B81" i="37"/>
  <c r="B849" i="37"/>
  <c r="B33" i="37"/>
  <c r="B34" i="37"/>
  <c r="B35" i="37"/>
  <c r="B589" i="37"/>
  <c r="F841" i="37"/>
  <c r="F842" i="37"/>
  <c r="F78" i="53"/>
  <c r="H118" i="53"/>
  <c r="C124" i="53"/>
  <c r="C123" i="53"/>
  <c r="C121" i="53"/>
  <c r="C120" i="53"/>
  <c r="C119" i="53"/>
  <c r="C118" i="53"/>
  <c r="C117" i="53"/>
  <c r="B459" i="37"/>
  <c r="B850" i="37"/>
  <c r="B82" i="37"/>
  <c r="B506" i="37"/>
  <c r="B590" i="37"/>
  <c r="B353" i="37"/>
  <c r="B271" i="37"/>
  <c r="B150" i="37"/>
  <c r="F913" i="37"/>
  <c r="F824" i="37"/>
  <c r="G919" i="37"/>
  <c r="E919" i="37"/>
  <c r="H919" i="37"/>
  <c r="G918" i="37"/>
  <c r="E918" i="37"/>
  <c r="G923" i="37"/>
  <c r="E923" i="37"/>
  <c r="G922" i="37"/>
  <c r="E922" i="37"/>
  <c r="G921" i="37"/>
  <c r="E921" i="37"/>
  <c r="G925" i="37"/>
  <c r="E925" i="37"/>
  <c r="G924" i="37"/>
  <c r="E924" i="37"/>
  <c r="G916" i="37"/>
  <c r="E916" i="37"/>
  <c r="G915" i="37"/>
  <c r="E915" i="37"/>
  <c r="E185" i="59"/>
  <c r="E184" i="59"/>
  <c r="F926" i="37"/>
  <c r="E183" i="59"/>
  <c r="E182" i="59"/>
  <c r="E181" i="59"/>
  <c r="F923" i="37"/>
  <c r="M923" i="37"/>
  <c r="E180" i="59"/>
  <c r="F922" i="37"/>
  <c r="M922" i="37"/>
  <c r="E179" i="59"/>
  <c r="F921" i="37"/>
  <c r="L921" i="37"/>
  <c r="E177" i="59"/>
  <c r="E176" i="59"/>
  <c r="I949" i="37"/>
  <c r="G949" i="37"/>
  <c r="E949" i="37"/>
  <c r="I948" i="37"/>
  <c r="G948" i="37"/>
  <c r="E948" i="37"/>
  <c r="D197" i="59"/>
  <c r="G877" i="37"/>
  <c r="G885" i="37"/>
  <c r="E885" i="37"/>
  <c r="M890" i="37"/>
  <c r="K890" i="37"/>
  <c r="I890" i="37"/>
  <c r="L890" i="37"/>
  <c r="G890" i="37"/>
  <c r="E890" i="37"/>
  <c r="M889" i="37"/>
  <c r="K889" i="37"/>
  <c r="I889" i="37"/>
  <c r="L889" i="37"/>
  <c r="G889" i="37"/>
  <c r="E889" i="37"/>
  <c r="I888" i="37"/>
  <c r="G888" i="37"/>
  <c r="E888" i="37"/>
  <c r="I887" i="37"/>
  <c r="G887" i="37"/>
  <c r="E887" i="37"/>
  <c r="G886" i="37"/>
  <c r="E886" i="37"/>
  <c r="G884" i="37"/>
  <c r="E884" i="37"/>
  <c r="G883" i="37"/>
  <c r="E883" i="37"/>
  <c r="G882" i="37"/>
  <c r="E882" i="37"/>
  <c r="G881" i="37"/>
  <c r="E881" i="37"/>
  <c r="G880" i="37"/>
  <c r="E880" i="37"/>
  <c r="G878" i="37"/>
  <c r="E878" i="37"/>
  <c r="E877" i="37"/>
  <c r="H877" i="37"/>
  <c r="M874" i="37"/>
  <c r="K874" i="37"/>
  <c r="I874" i="37"/>
  <c r="L874" i="37"/>
  <c r="G874" i="37"/>
  <c r="E874" i="37"/>
  <c r="M873" i="37"/>
  <c r="K873" i="37"/>
  <c r="I873" i="37"/>
  <c r="L873" i="37"/>
  <c r="G873" i="37"/>
  <c r="E873" i="37"/>
  <c r="I872" i="37"/>
  <c r="G872" i="37"/>
  <c r="E872" i="37"/>
  <c r="I871" i="37"/>
  <c r="G871" i="37"/>
  <c r="E871" i="37"/>
  <c r="G870" i="37"/>
  <c r="E870" i="37"/>
  <c r="G869" i="37"/>
  <c r="E869" i="37"/>
  <c r="G868" i="37"/>
  <c r="E868" i="37"/>
  <c r="G867" i="37"/>
  <c r="E867" i="37"/>
  <c r="G866" i="37"/>
  <c r="E866" i="37"/>
  <c r="G865" i="37"/>
  <c r="E865" i="37"/>
  <c r="G863" i="37"/>
  <c r="E863" i="37"/>
  <c r="G862" i="37"/>
  <c r="E862" i="37"/>
  <c r="G852" i="37"/>
  <c r="E852" i="37"/>
  <c r="G851" i="37"/>
  <c r="E851" i="37"/>
  <c r="G850" i="37"/>
  <c r="E850" i="37"/>
  <c r="G849" i="37"/>
  <c r="E849" i="37"/>
  <c r="G854" i="37"/>
  <c r="E854" i="37"/>
  <c r="G853" i="37"/>
  <c r="E853" i="37"/>
  <c r="M859" i="37"/>
  <c r="K859" i="37"/>
  <c r="I859" i="37"/>
  <c r="L859" i="37"/>
  <c r="G859" i="37"/>
  <c r="E859" i="37"/>
  <c r="M858" i="37"/>
  <c r="K858" i="37"/>
  <c r="I858" i="37"/>
  <c r="L858" i="37"/>
  <c r="G858" i="37"/>
  <c r="E858" i="37"/>
  <c r="I857" i="37"/>
  <c r="G857" i="37"/>
  <c r="E857" i="37"/>
  <c r="I856" i="37"/>
  <c r="G856" i="37"/>
  <c r="E856" i="37"/>
  <c r="G831" i="37"/>
  <c r="E831" i="37"/>
  <c r="G830" i="37"/>
  <c r="E830" i="37"/>
  <c r="G829" i="37"/>
  <c r="E829" i="37"/>
  <c r="G828" i="37"/>
  <c r="E828" i="37"/>
  <c r="G826" i="37"/>
  <c r="E826" i="37"/>
  <c r="G825" i="37"/>
  <c r="E825" i="37"/>
  <c r="H825" i="37"/>
  <c r="M842" i="37"/>
  <c r="K842" i="37"/>
  <c r="I842" i="37"/>
  <c r="L842" i="37"/>
  <c r="G842" i="37"/>
  <c r="E842" i="37"/>
  <c r="M841" i="37"/>
  <c r="K841" i="37"/>
  <c r="I841" i="37"/>
  <c r="L841" i="37"/>
  <c r="G841" i="37"/>
  <c r="E841" i="37"/>
  <c r="I840" i="37"/>
  <c r="G840" i="37"/>
  <c r="E840" i="37"/>
  <c r="I839" i="37"/>
  <c r="G839" i="37"/>
  <c r="E839" i="37"/>
  <c r="E122" i="59"/>
  <c r="D135" i="59"/>
  <c r="E132" i="59"/>
  <c r="E131" i="59"/>
  <c r="E130" i="59"/>
  <c r="E129" i="59"/>
  <c r="E128" i="59"/>
  <c r="E118" i="59"/>
  <c r="E117" i="59"/>
  <c r="E116" i="59"/>
  <c r="E115" i="59"/>
  <c r="E114" i="59"/>
  <c r="D164" i="59"/>
  <c r="B460" i="37"/>
  <c r="B851" i="37"/>
  <c r="B591" i="37"/>
  <c r="B507" i="37"/>
  <c r="B151" i="37"/>
  <c r="B83" i="37"/>
  <c r="B272" i="37"/>
  <c r="B273" i="37"/>
  <c r="B274" i="37"/>
  <c r="B354" i="37"/>
  <c r="F927" i="37"/>
  <c r="F925" i="37"/>
  <c r="M925" i="37"/>
  <c r="F924" i="37"/>
  <c r="M924" i="37"/>
  <c r="F919" i="37"/>
  <c r="M919" i="37"/>
  <c r="F918" i="37"/>
  <c r="M918" i="37"/>
  <c r="M921" i="37"/>
  <c r="L922" i="37"/>
  <c r="L923" i="37"/>
  <c r="F893" i="37"/>
  <c r="O890" i="37"/>
  <c r="O889" i="37"/>
  <c r="N889" i="37"/>
  <c r="N890" i="37"/>
  <c r="O873" i="37"/>
  <c r="N873" i="37"/>
  <c r="O874" i="37"/>
  <c r="N874" i="37"/>
  <c r="O858" i="37"/>
  <c r="N858" i="37"/>
  <c r="O859" i="37"/>
  <c r="N859" i="37"/>
  <c r="N841" i="37"/>
  <c r="O842" i="37"/>
  <c r="O841" i="37"/>
  <c r="N842" i="37"/>
  <c r="D169" i="59"/>
  <c r="E96" i="59"/>
  <c r="F886" i="37"/>
  <c r="M886" i="37"/>
  <c r="E95" i="59"/>
  <c r="F885" i="37"/>
  <c r="M885" i="37"/>
  <c r="E94" i="59"/>
  <c r="F884" i="37"/>
  <c r="L884" i="37"/>
  <c r="E93" i="59"/>
  <c r="F883" i="37"/>
  <c r="M883" i="37"/>
  <c r="E92" i="59"/>
  <c r="F882" i="37"/>
  <c r="M882" i="37"/>
  <c r="E91" i="59"/>
  <c r="F881" i="37"/>
  <c r="M881" i="37"/>
  <c r="E90" i="59"/>
  <c r="F880" i="37"/>
  <c r="M880" i="37"/>
  <c r="E87" i="59"/>
  <c r="E75" i="59"/>
  <c r="F870" i="37"/>
  <c r="E73" i="59"/>
  <c r="E71" i="59"/>
  <c r="E74" i="59"/>
  <c r="E72" i="59"/>
  <c r="E70" i="59"/>
  <c r="E68" i="59"/>
  <c r="E4" i="43"/>
  <c r="E5" i="43"/>
  <c r="J18" i="37"/>
  <c r="G18" i="37"/>
  <c r="F18" i="37"/>
  <c r="K18" i="37"/>
  <c r="E18" i="37"/>
  <c r="B461" i="37"/>
  <c r="B152" i="37"/>
  <c r="B508" i="37"/>
  <c r="B592" i="37"/>
  <c r="B84" i="37"/>
  <c r="B355" i="37"/>
  <c r="B852" i="37"/>
  <c r="L925" i="37"/>
  <c r="L924" i="37"/>
  <c r="L919" i="37"/>
  <c r="K919" i="37"/>
  <c r="L918" i="37"/>
  <c r="F877" i="37"/>
  <c r="L877" i="37"/>
  <c r="F868" i="37"/>
  <c r="L868" i="37"/>
  <c r="F867" i="37"/>
  <c r="M867" i="37"/>
  <c r="F866" i="37"/>
  <c r="M866" i="37"/>
  <c r="F914" i="37"/>
  <c r="F878" i="37"/>
  <c r="M878" i="37"/>
  <c r="E99" i="59"/>
  <c r="E67" i="59"/>
  <c r="E78" i="59"/>
  <c r="L885" i="37"/>
  <c r="L886" i="37"/>
  <c r="L880" i="37"/>
  <c r="L883" i="37"/>
  <c r="F869" i="37"/>
  <c r="M869" i="37"/>
  <c r="M884" i="37"/>
  <c r="L881" i="37"/>
  <c r="F863" i="37"/>
  <c r="F865" i="37"/>
  <c r="L882" i="37"/>
  <c r="M870" i="37"/>
  <c r="L870" i="37"/>
  <c r="M18" i="37"/>
  <c r="L18" i="37"/>
  <c r="E25" i="59"/>
  <c r="F830" i="37"/>
  <c r="E26" i="59"/>
  <c r="F831" i="37"/>
  <c r="E27" i="59"/>
  <c r="F832" i="37"/>
  <c r="E28" i="59"/>
  <c r="F833" i="37"/>
  <c r="E29" i="59"/>
  <c r="F834" i="37"/>
  <c r="E30" i="59"/>
  <c r="F835" i="37"/>
  <c r="E31" i="59"/>
  <c r="F836" i="37"/>
  <c r="D1736" i="57"/>
  <c r="E1736" i="57"/>
  <c r="F17" i="37"/>
  <c r="C122" i="53"/>
  <c r="C112" i="53"/>
  <c r="C111" i="53"/>
  <c r="C110" i="53"/>
  <c r="C109" i="53"/>
  <c r="C108" i="53"/>
  <c r="C107" i="53"/>
  <c r="C106" i="53"/>
  <c r="C105" i="53"/>
  <c r="C104" i="53"/>
  <c r="C103" i="53"/>
  <c r="C92" i="53"/>
  <c r="C87" i="53"/>
  <c r="C86" i="53"/>
  <c r="C76" i="53"/>
  <c r="C75" i="53"/>
  <c r="C70" i="53"/>
  <c r="C42" i="53"/>
  <c r="C41" i="53"/>
  <c r="C36" i="53"/>
  <c r="C35" i="53"/>
  <c r="C30" i="53"/>
  <c r="C28" i="53"/>
  <c r="C17" i="53"/>
  <c r="J765" i="37"/>
  <c r="M765" i="37"/>
  <c r="L765" i="37"/>
  <c r="K765" i="37"/>
  <c r="J693" i="37"/>
  <c r="D262" i="58"/>
  <c r="J766" i="37"/>
  <c r="J816" i="37"/>
  <c r="D297" i="58"/>
  <c r="J797" i="37"/>
  <c r="D35" i="58"/>
  <c r="J580" i="37"/>
  <c r="D195" i="58"/>
  <c r="J724" i="37"/>
  <c r="D65" i="58"/>
  <c r="J606" i="37"/>
  <c r="D218" i="58"/>
  <c r="J744" i="37"/>
  <c r="H347" i="14"/>
  <c r="E304" i="58"/>
  <c r="E305" i="58"/>
  <c r="E306" i="58"/>
  <c r="E307" i="58"/>
  <c r="E308" i="58"/>
  <c r="E309" i="58"/>
  <c r="E310" i="58"/>
  <c r="E311" i="58"/>
  <c r="E312" i="58"/>
  <c r="E313" i="58"/>
  <c r="E314" i="58"/>
  <c r="E315" i="58"/>
  <c r="E316" i="58"/>
  <c r="E317" i="58"/>
  <c r="E303" i="58"/>
  <c r="G794" i="37"/>
  <c r="E794" i="37"/>
  <c r="H553" i="14"/>
  <c r="E193" i="58"/>
  <c r="F723" i="37"/>
  <c r="E192" i="58"/>
  <c r="F722" i="37"/>
  <c r="E191" i="58"/>
  <c r="F721" i="37"/>
  <c r="G720" i="37"/>
  <c r="E720" i="37"/>
  <c r="G719" i="37"/>
  <c r="E719" i="37"/>
  <c r="G718" i="37"/>
  <c r="E718" i="37"/>
  <c r="G717" i="37"/>
  <c r="E717" i="37"/>
  <c r="E721" i="37"/>
  <c r="G721" i="37"/>
  <c r="E722" i="37"/>
  <c r="G722" i="37"/>
  <c r="E723" i="37"/>
  <c r="H723" i="37"/>
  <c r="G723" i="37"/>
  <c r="B462" i="37"/>
  <c r="B356" i="37"/>
  <c r="B85" i="37"/>
  <c r="B853" i="37"/>
  <c r="B593" i="37"/>
  <c r="B509" i="37"/>
  <c r="B36" i="37"/>
  <c r="B153" i="37"/>
  <c r="M868" i="37"/>
  <c r="L866" i="37"/>
  <c r="O919" i="37"/>
  <c r="N919" i="37"/>
  <c r="M877" i="37"/>
  <c r="K877" i="37"/>
  <c r="L867" i="37"/>
  <c r="F862" i="37"/>
  <c r="L862" i="37"/>
  <c r="F509" i="37"/>
  <c r="F510" i="37"/>
  <c r="D49" i="51"/>
  <c r="L878" i="37"/>
  <c r="F99" i="59"/>
  <c r="E101" i="59"/>
  <c r="F101" i="59"/>
  <c r="F78" i="59"/>
  <c r="E80" i="59"/>
  <c r="F80" i="59"/>
  <c r="M865" i="37"/>
  <c r="L865" i="37"/>
  <c r="M863" i="37"/>
  <c r="L863" i="37"/>
  <c r="L869" i="37"/>
  <c r="L830" i="37"/>
  <c r="M830" i="37"/>
  <c r="M831" i="37"/>
  <c r="L831" i="37"/>
  <c r="O18" i="37"/>
  <c r="N18" i="37"/>
  <c r="E1737" i="57"/>
  <c r="F1737" i="57"/>
  <c r="O765" i="37"/>
  <c r="N765" i="37"/>
  <c r="G283" i="14"/>
  <c r="H283" i="14"/>
  <c r="G356" i="14"/>
  <c r="H356" i="14"/>
  <c r="G241" i="14"/>
  <c r="H241" i="14"/>
  <c r="E270" i="58"/>
  <c r="F771" i="37"/>
  <c r="E271" i="58"/>
  <c r="F772" i="37"/>
  <c r="E272" i="58"/>
  <c r="F773" i="37"/>
  <c r="E273" i="58"/>
  <c r="F774" i="37"/>
  <c r="E274" i="58"/>
  <c r="F775" i="37"/>
  <c r="E275" i="58"/>
  <c r="F776" i="37"/>
  <c r="E276" i="58"/>
  <c r="F777" i="37"/>
  <c r="E277" i="58"/>
  <c r="F778" i="37"/>
  <c r="E278" i="58"/>
  <c r="F779" i="37"/>
  <c r="E279" i="58"/>
  <c r="F780" i="37"/>
  <c r="E280" i="58"/>
  <c r="F781" i="37"/>
  <c r="E281" i="58"/>
  <c r="F782" i="37"/>
  <c r="E282" i="58"/>
  <c r="F783" i="37"/>
  <c r="E283" i="58"/>
  <c r="F784" i="37"/>
  <c r="E284" i="58"/>
  <c r="F785" i="37"/>
  <c r="E285" i="58"/>
  <c r="F786" i="37"/>
  <c r="E286" i="58"/>
  <c r="F787" i="37"/>
  <c r="E287" i="58"/>
  <c r="F788" i="37"/>
  <c r="E288" i="58"/>
  <c r="F789" i="37"/>
  <c r="E289" i="58"/>
  <c r="F790" i="37"/>
  <c r="E290" i="58"/>
  <c r="F791" i="37"/>
  <c r="E291" i="58"/>
  <c r="F792" i="37"/>
  <c r="E292" i="58"/>
  <c r="F793" i="37"/>
  <c r="E293" i="58"/>
  <c r="F794" i="37"/>
  <c r="E294" i="58"/>
  <c r="F795" i="37"/>
  <c r="E295" i="58"/>
  <c r="F796" i="37"/>
  <c r="E269" i="58"/>
  <c r="F770" i="37"/>
  <c r="F756" i="37"/>
  <c r="E244" i="58"/>
  <c r="E245" i="58"/>
  <c r="E246" i="58"/>
  <c r="E247" i="58"/>
  <c r="E248" i="58"/>
  <c r="F759" i="37"/>
  <c r="E249" i="58"/>
  <c r="F760" i="37"/>
  <c r="E250" i="58"/>
  <c r="F761" i="37"/>
  <c r="E251" i="58"/>
  <c r="F762" i="37"/>
  <c r="E252" i="58"/>
  <c r="F763" i="37"/>
  <c r="E253" i="58"/>
  <c r="F764" i="37"/>
  <c r="E254" i="58"/>
  <c r="E255" i="58"/>
  <c r="E256" i="58"/>
  <c r="E257" i="58"/>
  <c r="E258" i="58"/>
  <c r="E259" i="58"/>
  <c r="E260" i="58"/>
  <c r="E243" i="58"/>
  <c r="E226" i="58"/>
  <c r="E227" i="58"/>
  <c r="E228" i="58"/>
  <c r="E229" i="58"/>
  <c r="E230" i="58"/>
  <c r="E231" i="58"/>
  <c r="E232" i="58"/>
  <c r="E233" i="58"/>
  <c r="E234" i="58"/>
  <c r="E235" i="58"/>
  <c r="F752" i="37"/>
  <c r="E236" i="58"/>
  <c r="F753" i="37"/>
  <c r="E237" i="58"/>
  <c r="F754" i="37"/>
  <c r="E238" i="58"/>
  <c r="F755" i="37"/>
  <c r="E240" i="58"/>
  <c r="E241" i="58"/>
  <c r="F757" i="37"/>
  <c r="E225" i="58"/>
  <c r="G193" i="14"/>
  <c r="H193" i="14"/>
  <c r="E203" i="58"/>
  <c r="F731" i="37"/>
  <c r="E204" i="58"/>
  <c r="F732" i="37"/>
  <c r="E205" i="58"/>
  <c r="F733" i="37"/>
  <c r="E206" i="58"/>
  <c r="F734" i="37"/>
  <c r="E207" i="58"/>
  <c r="F735" i="37"/>
  <c r="E208" i="58"/>
  <c r="F736" i="37"/>
  <c r="E209" i="58"/>
  <c r="F737" i="37"/>
  <c r="E210" i="58"/>
  <c r="F738" i="37"/>
  <c r="E211" i="58"/>
  <c r="F739" i="37"/>
  <c r="E212" i="58"/>
  <c r="F740" i="37"/>
  <c r="E213" i="58"/>
  <c r="F741" i="37"/>
  <c r="E214" i="58"/>
  <c r="F742" i="37"/>
  <c r="E215" i="58"/>
  <c r="F743" i="37"/>
  <c r="E202" i="58"/>
  <c r="F730" i="37"/>
  <c r="E169" i="58"/>
  <c r="F699" i="37"/>
  <c r="E170" i="58"/>
  <c r="F700" i="37"/>
  <c r="E171" i="58"/>
  <c r="F701" i="37"/>
  <c r="E172" i="58"/>
  <c r="F702" i="37"/>
  <c r="E173" i="58"/>
  <c r="F703" i="37"/>
  <c r="E174" i="58"/>
  <c r="F704" i="37"/>
  <c r="E175" i="58"/>
  <c r="F705" i="37"/>
  <c r="E176" i="58"/>
  <c r="F706" i="37"/>
  <c r="E177" i="58"/>
  <c r="F707" i="37"/>
  <c r="E178" i="58"/>
  <c r="F708" i="37"/>
  <c r="E179" i="58"/>
  <c r="F709" i="37"/>
  <c r="E180" i="58"/>
  <c r="F710" i="37"/>
  <c r="E181" i="58"/>
  <c r="F711" i="37"/>
  <c r="E182" i="58"/>
  <c r="F712" i="37"/>
  <c r="E183" i="58"/>
  <c r="F713" i="37"/>
  <c r="E184" i="58"/>
  <c r="F714" i="37"/>
  <c r="E185" i="58"/>
  <c r="F715" i="37"/>
  <c r="E186" i="58"/>
  <c r="F716" i="37"/>
  <c r="E187" i="58"/>
  <c r="E188" i="58"/>
  <c r="E189" i="58"/>
  <c r="E190" i="58"/>
  <c r="F720" i="37"/>
  <c r="E168" i="58"/>
  <c r="F698" i="37"/>
  <c r="G278" i="14"/>
  <c r="H278" i="14"/>
  <c r="G355" i="14"/>
  <c r="H355" i="14"/>
  <c r="L723" i="37"/>
  <c r="F719" i="37"/>
  <c r="L722" i="37"/>
  <c r="F718" i="37"/>
  <c r="L721" i="37"/>
  <c r="F717" i="37"/>
  <c r="B463" i="37"/>
  <c r="B594" i="37"/>
  <c r="B854" i="37"/>
  <c r="B154" i="37"/>
  <c r="B86" i="37"/>
  <c r="B37" i="37"/>
  <c r="B510" i="37"/>
  <c r="B357" i="37"/>
  <c r="M862" i="37"/>
  <c r="O877" i="37"/>
  <c r="N877" i="37"/>
  <c r="F871" i="37"/>
  <c r="F887" i="37"/>
  <c r="M721" i="37"/>
  <c r="M723" i="37"/>
  <c r="K723" i="37"/>
  <c r="M722" i="37"/>
  <c r="G677" i="37"/>
  <c r="E677" i="37"/>
  <c r="G676" i="37"/>
  <c r="E676" i="37"/>
  <c r="G675" i="37"/>
  <c r="E675" i="37"/>
  <c r="G674" i="37"/>
  <c r="E674" i="37"/>
  <c r="G673" i="37"/>
  <c r="E673" i="37"/>
  <c r="G672" i="37"/>
  <c r="E672" i="37"/>
  <c r="G671" i="37"/>
  <c r="E671" i="37"/>
  <c r="G670" i="37"/>
  <c r="E670" i="37"/>
  <c r="G669" i="37"/>
  <c r="E669" i="37"/>
  <c r="G668" i="37"/>
  <c r="E668" i="37"/>
  <c r="G667" i="37"/>
  <c r="E667" i="37"/>
  <c r="G666" i="37"/>
  <c r="E666" i="37"/>
  <c r="G665" i="37"/>
  <c r="E665" i="37"/>
  <c r="G664" i="37"/>
  <c r="E664" i="37"/>
  <c r="G663" i="37"/>
  <c r="E663" i="37"/>
  <c r="G687" i="37"/>
  <c r="E687" i="37"/>
  <c r="G686" i="37"/>
  <c r="E686" i="37"/>
  <c r="G685" i="37"/>
  <c r="E685" i="37"/>
  <c r="G684" i="37"/>
  <c r="E684" i="37"/>
  <c r="H684" i="37"/>
  <c r="G683" i="37"/>
  <c r="E683" i="37"/>
  <c r="G682" i="37"/>
  <c r="E682" i="37"/>
  <c r="G681" i="37"/>
  <c r="E681" i="37"/>
  <c r="G680" i="37"/>
  <c r="E680" i="37"/>
  <c r="G679" i="37"/>
  <c r="E679" i="37"/>
  <c r="G678" i="37"/>
  <c r="E678" i="37"/>
  <c r="G690" i="37"/>
  <c r="E690" i="37"/>
  <c r="H690" i="37"/>
  <c r="G689" i="37"/>
  <c r="E689" i="37"/>
  <c r="G688" i="37"/>
  <c r="E688" i="37"/>
  <c r="M695" i="37"/>
  <c r="K695" i="37"/>
  <c r="I695" i="37"/>
  <c r="L695" i="37"/>
  <c r="G695" i="37"/>
  <c r="E695" i="37"/>
  <c r="M694" i="37"/>
  <c r="K694" i="37"/>
  <c r="I694" i="37"/>
  <c r="L694" i="37"/>
  <c r="G694" i="37"/>
  <c r="E694" i="37"/>
  <c r="L693" i="37"/>
  <c r="K693" i="37"/>
  <c r="M693" i="37"/>
  <c r="G693" i="37"/>
  <c r="E693" i="37"/>
  <c r="E131" i="58"/>
  <c r="E132" i="58"/>
  <c r="E133" i="58"/>
  <c r="E134" i="58"/>
  <c r="E135" i="58"/>
  <c r="E136" i="58"/>
  <c r="E137" i="58"/>
  <c r="E138" i="58"/>
  <c r="E139" i="58"/>
  <c r="E140" i="58"/>
  <c r="E141" i="58"/>
  <c r="E142" i="58"/>
  <c r="E143" i="58"/>
  <c r="E144" i="58"/>
  <c r="E145" i="58"/>
  <c r="E146" i="58"/>
  <c r="E147" i="58"/>
  <c r="E148" i="58"/>
  <c r="E149" i="58"/>
  <c r="E150" i="58"/>
  <c r="E151" i="58"/>
  <c r="E152" i="58"/>
  <c r="E153" i="58"/>
  <c r="E154" i="58"/>
  <c r="E155" i="58"/>
  <c r="E156" i="58"/>
  <c r="E157" i="58"/>
  <c r="E130" i="58"/>
  <c r="M661" i="37"/>
  <c r="K661" i="37"/>
  <c r="I661" i="37"/>
  <c r="L661" i="37"/>
  <c r="G661" i="37"/>
  <c r="E661" i="37"/>
  <c r="M660" i="37"/>
  <c r="K660" i="37"/>
  <c r="I660" i="37"/>
  <c r="L660" i="37"/>
  <c r="G660" i="37"/>
  <c r="E660" i="37"/>
  <c r="L659" i="37"/>
  <c r="K659" i="37"/>
  <c r="M659" i="37"/>
  <c r="G659" i="37"/>
  <c r="E659" i="37"/>
  <c r="G655" i="37"/>
  <c r="E655" i="37"/>
  <c r="G654" i="37"/>
  <c r="E654" i="37"/>
  <c r="G653" i="37"/>
  <c r="E653" i="37"/>
  <c r="G652" i="37"/>
  <c r="E652" i="37"/>
  <c r="G651" i="37"/>
  <c r="E651" i="37"/>
  <c r="G650" i="37"/>
  <c r="E650" i="37"/>
  <c r="G649" i="37"/>
  <c r="E649" i="37"/>
  <c r="G648" i="37"/>
  <c r="E648" i="37"/>
  <c r="G647" i="37"/>
  <c r="E647" i="37"/>
  <c r="G646" i="37"/>
  <c r="E646" i="37"/>
  <c r="G645" i="37"/>
  <c r="E645" i="37"/>
  <c r="G644" i="37"/>
  <c r="E644" i="37"/>
  <c r="G643" i="37"/>
  <c r="E643" i="37"/>
  <c r="G642" i="37"/>
  <c r="E642" i="37"/>
  <c r="G641" i="37"/>
  <c r="E641" i="37"/>
  <c r="G640" i="37"/>
  <c r="E640" i="37"/>
  <c r="G639" i="37"/>
  <c r="E639" i="37"/>
  <c r="G638" i="37"/>
  <c r="E638" i="37"/>
  <c r="G637" i="37"/>
  <c r="E637" i="37"/>
  <c r="G636" i="37"/>
  <c r="E636" i="37"/>
  <c r="E102" i="58"/>
  <c r="F637" i="37"/>
  <c r="E103" i="58"/>
  <c r="E104" i="58"/>
  <c r="E105" i="58"/>
  <c r="E106" i="58"/>
  <c r="E107" i="58"/>
  <c r="E108" i="58"/>
  <c r="F643" i="37"/>
  <c r="E109" i="58"/>
  <c r="E110" i="58"/>
  <c r="F645" i="37"/>
  <c r="E111" i="58"/>
  <c r="E112" i="58"/>
  <c r="E113" i="58"/>
  <c r="E114" i="58"/>
  <c r="E115" i="58"/>
  <c r="E116" i="58"/>
  <c r="F651" i="37"/>
  <c r="E117" i="58"/>
  <c r="E118" i="58"/>
  <c r="E119" i="58"/>
  <c r="E120" i="58"/>
  <c r="E101" i="58"/>
  <c r="H144" i="14"/>
  <c r="G624" i="37"/>
  <c r="E624" i="37"/>
  <c r="M634" i="37"/>
  <c r="K634" i="37"/>
  <c r="I634" i="37"/>
  <c r="L634" i="37"/>
  <c r="G634" i="37"/>
  <c r="E634" i="37"/>
  <c r="M633" i="37"/>
  <c r="K633" i="37"/>
  <c r="I633" i="37"/>
  <c r="L633" i="37"/>
  <c r="G633" i="37"/>
  <c r="E633" i="37"/>
  <c r="L632" i="37"/>
  <c r="K632" i="37"/>
  <c r="M632" i="37"/>
  <c r="G632" i="37"/>
  <c r="E632" i="37"/>
  <c r="G631" i="37"/>
  <c r="E631" i="37"/>
  <c r="G630" i="37"/>
  <c r="E630" i="37"/>
  <c r="G629" i="37"/>
  <c r="E629" i="37"/>
  <c r="G628" i="37"/>
  <c r="E628" i="37"/>
  <c r="G627" i="37"/>
  <c r="E627" i="37"/>
  <c r="G626" i="37"/>
  <c r="E626" i="37"/>
  <c r="G625" i="37"/>
  <c r="E625" i="37"/>
  <c r="G623" i="37"/>
  <c r="E623" i="37"/>
  <c r="G622" i="37"/>
  <c r="E622" i="37"/>
  <c r="G621" i="37"/>
  <c r="E621" i="37"/>
  <c r="G620" i="37"/>
  <c r="E620" i="37"/>
  <c r="G619" i="37"/>
  <c r="E619" i="37"/>
  <c r="G618" i="37"/>
  <c r="E618" i="37"/>
  <c r="G617" i="37"/>
  <c r="E617" i="37"/>
  <c r="G616" i="37"/>
  <c r="E616" i="37"/>
  <c r="G615" i="37"/>
  <c r="E615" i="37"/>
  <c r="G614" i="37"/>
  <c r="E614" i="37"/>
  <c r="G613" i="37"/>
  <c r="E613" i="37"/>
  <c r="G612" i="37"/>
  <c r="E612" i="37"/>
  <c r="G611" i="37"/>
  <c r="E611" i="37"/>
  <c r="G610" i="37"/>
  <c r="E610" i="37"/>
  <c r="E73" i="58"/>
  <c r="F611" i="37"/>
  <c r="E74" i="58"/>
  <c r="F612" i="37"/>
  <c r="E75" i="58"/>
  <c r="F613" i="37"/>
  <c r="E76" i="58"/>
  <c r="F614" i="37"/>
  <c r="E77" i="58"/>
  <c r="F615" i="37"/>
  <c r="E78" i="58"/>
  <c r="F616" i="37"/>
  <c r="E79" i="58"/>
  <c r="F617" i="37"/>
  <c r="E80" i="58"/>
  <c r="F618" i="37"/>
  <c r="E81" i="58"/>
  <c r="F619" i="37"/>
  <c r="E82" i="58"/>
  <c r="F620" i="37"/>
  <c r="E83" i="58"/>
  <c r="F621" i="37"/>
  <c r="E84" i="58"/>
  <c r="F622" i="37"/>
  <c r="E85" i="58"/>
  <c r="F623" i="37"/>
  <c r="E86" i="58"/>
  <c r="F624" i="37"/>
  <c r="E87" i="58"/>
  <c r="F625" i="37"/>
  <c r="E88" i="58"/>
  <c r="F626" i="37"/>
  <c r="E89" i="58"/>
  <c r="F627" i="37"/>
  <c r="E90" i="58"/>
  <c r="F628" i="37"/>
  <c r="E91" i="58"/>
  <c r="F629" i="37"/>
  <c r="E92" i="58"/>
  <c r="F630" i="37"/>
  <c r="E93" i="58"/>
  <c r="F631" i="37"/>
  <c r="E72" i="58"/>
  <c r="G572" i="37"/>
  <c r="E572" i="37"/>
  <c r="G571" i="37"/>
  <c r="E571" i="37"/>
  <c r="G570" i="37"/>
  <c r="E570" i="37"/>
  <c r="G569" i="37"/>
  <c r="E569" i="37"/>
  <c r="G573" i="37"/>
  <c r="E573" i="37"/>
  <c r="G568" i="37"/>
  <c r="E568" i="37"/>
  <c r="G567" i="37"/>
  <c r="E567" i="37"/>
  <c r="G566" i="37"/>
  <c r="E566" i="37"/>
  <c r="G565" i="37"/>
  <c r="E565" i="37"/>
  <c r="E43" i="58"/>
  <c r="F585" i="37"/>
  <c r="E44" i="58"/>
  <c r="F586" i="37"/>
  <c r="E45" i="58"/>
  <c r="F587" i="37"/>
  <c r="E46" i="58"/>
  <c r="F588" i="37"/>
  <c r="E47" i="58"/>
  <c r="F589" i="37"/>
  <c r="E48" i="58"/>
  <c r="F590" i="37"/>
  <c r="E49" i="58"/>
  <c r="F591" i="37"/>
  <c r="E50" i="58"/>
  <c r="F592" i="37"/>
  <c r="E51" i="58"/>
  <c r="F593" i="37"/>
  <c r="E52" i="58"/>
  <c r="F594" i="37"/>
  <c r="E53" i="58"/>
  <c r="F595" i="37"/>
  <c r="E54" i="58"/>
  <c r="F596" i="37"/>
  <c r="E55" i="58"/>
  <c r="F597" i="37"/>
  <c r="E56" i="58"/>
  <c r="F598" i="37"/>
  <c r="E57" i="58"/>
  <c r="F599" i="37"/>
  <c r="E58" i="58"/>
  <c r="F600" i="37"/>
  <c r="E59" i="58"/>
  <c r="F601" i="37"/>
  <c r="E60" i="58"/>
  <c r="F602" i="37"/>
  <c r="E61" i="58"/>
  <c r="F603" i="37"/>
  <c r="E62" i="58"/>
  <c r="F604" i="37"/>
  <c r="E42" i="58"/>
  <c r="F584" i="37"/>
  <c r="E14" i="58"/>
  <c r="F560" i="37"/>
  <c r="F636" i="37"/>
  <c r="L636" i="37"/>
  <c r="F610" i="37"/>
  <c r="L610" i="37"/>
  <c r="F682" i="37"/>
  <c r="M682" i="37"/>
  <c r="F670" i="37"/>
  <c r="L670" i="37"/>
  <c r="F680" i="37"/>
  <c r="M680" i="37"/>
  <c r="F668" i="37"/>
  <c r="M668" i="37"/>
  <c r="F663" i="37"/>
  <c r="L663" i="37"/>
  <c r="F679" i="37"/>
  <c r="L679" i="37"/>
  <c r="F667" i="37"/>
  <c r="M667" i="37"/>
  <c r="F678" i="37"/>
  <c r="M678" i="37"/>
  <c r="F666" i="37"/>
  <c r="M666" i="37"/>
  <c r="F681" i="37"/>
  <c r="L681" i="37"/>
  <c r="F690" i="37"/>
  <c r="L690" i="37"/>
  <c r="F689" i="37"/>
  <c r="L689" i="37"/>
  <c r="F677" i="37"/>
  <c r="M677" i="37"/>
  <c r="F665" i="37"/>
  <c r="M665" i="37"/>
  <c r="F669" i="37"/>
  <c r="L669" i="37"/>
  <c r="F688" i="37"/>
  <c r="L688" i="37"/>
  <c r="F676" i="37"/>
  <c r="M676" i="37"/>
  <c r="F664" i="37"/>
  <c r="M664" i="37"/>
  <c r="F687" i="37"/>
  <c r="M687" i="37"/>
  <c r="F675" i="37"/>
  <c r="M675" i="37"/>
  <c r="F686" i="37"/>
  <c r="M686" i="37"/>
  <c r="F674" i="37"/>
  <c r="L674" i="37"/>
  <c r="F685" i="37"/>
  <c r="L685" i="37"/>
  <c r="F673" i="37"/>
  <c r="L673" i="37"/>
  <c r="F684" i="37"/>
  <c r="L684" i="37"/>
  <c r="F672" i="37"/>
  <c r="L672" i="37"/>
  <c r="F683" i="37"/>
  <c r="L683" i="37"/>
  <c r="F671" i="37"/>
  <c r="L671" i="37"/>
  <c r="F644" i="37"/>
  <c r="M644" i="37"/>
  <c r="F642" i="37"/>
  <c r="M642" i="37"/>
  <c r="F654" i="37"/>
  <c r="M654" i="37"/>
  <c r="F653" i="37"/>
  <c r="M653" i="37"/>
  <c r="F641" i="37"/>
  <c r="L641" i="37"/>
  <c r="F640" i="37"/>
  <c r="L640" i="37"/>
  <c r="F655" i="37"/>
  <c r="M655" i="37"/>
  <c r="F639" i="37"/>
  <c r="M639" i="37"/>
  <c r="F650" i="37"/>
  <c r="M650" i="37"/>
  <c r="F638" i="37"/>
  <c r="M638" i="37"/>
  <c r="F652" i="37"/>
  <c r="L652" i="37"/>
  <c r="F649" i="37"/>
  <c r="L649" i="37"/>
  <c r="F648" i="37"/>
  <c r="M648" i="37"/>
  <c r="F647" i="37"/>
  <c r="M647" i="37"/>
  <c r="F646" i="37"/>
  <c r="L646" i="37"/>
  <c r="B464" i="37"/>
  <c r="B87" i="37"/>
  <c r="B155" i="37"/>
  <c r="B275" i="37"/>
  <c r="B38" i="37"/>
  <c r="B39" i="37"/>
  <c r="B40" i="37"/>
  <c r="B358" i="37"/>
  <c r="B855" i="37"/>
  <c r="B511" i="37"/>
  <c r="B595" i="37"/>
  <c r="H630" i="37"/>
  <c r="K630" i="37"/>
  <c r="L626" i="37"/>
  <c r="L619" i="37"/>
  <c r="M617" i="37"/>
  <c r="L618" i="37"/>
  <c r="M631" i="37"/>
  <c r="M628" i="37"/>
  <c r="M630" i="37"/>
  <c r="M627" i="37"/>
  <c r="L622" i="37"/>
  <c r="M616" i="37"/>
  <c r="M614" i="37"/>
  <c r="M613" i="37"/>
  <c r="M621" i="37"/>
  <c r="L620" i="37"/>
  <c r="L625" i="37"/>
  <c r="L624" i="37"/>
  <c r="M887" i="37"/>
  <c r="K887" i="37"/>
  <c r="L887" i="37"/>
  <c r="F888" i="37"/>
  <c r="N723" i="37"/>
  <c r="M718" i="37"/>
  <c r="L718" i="37"/>
  <c r="M719" i="37"/>
  <c r="L719" i="37"/>
  <c r="M794" i="37"/>
  <c r="L794" i="37"/>
  <c r="O723" i="37"/>
  <c r="M720" i="37"/>
  <c r="L720" i="37"/>
  <c r="M717" i="37"/>
  <c r="L717" i="37"/>
  <c r="M670" i="37"/>
  <c r="O693" i="37"/>
  <c r="N695" i="37"/>
  <c r="O695" i="37"/>
  <c r="N693" i="37"/>
  <c r="O694" i="37"/>
  <c r="N694" i="37"/>
  <c r="M651" i="37"/>
  <c r="L651" i="37"/>
  <c r="L643" i="37"/>
  <c r="M643" i="37"/>
  <c r="L645" i="37"/>
  <c r="M645" i="37"/>
  <c r="M637" i="37"/>
  <c r="L637" i="37"/>
  <c r="O660" i="37"/>
  <c r="N660" i="37"/>
  <c r="O659" i="37"/>
  <c r="N659" i="37"/>
  <c r="O661" i="37"/>
  <c r="N661" i="37"/>
  <c r="O632" i="37"/>
  <c r="O634" i="37"/>
  <c r="L615" i="37"/>
  <c r="M615" i="37"/>
  <c r="M629" i="37"/>
  <c r="L629" i="37"/>
  <c r="M619" i="37"/>
  <c r="M626" i="37"/>
  <c r="L613" i="37"/>
  <c r="N632" i="37"/>
  <c r="N634" i="37"/>
  <c r="O633" i="37"/>
  <c r="N633" i="37"/>
  <c r="L630" i="37"/>
  <c r="L631" i="37"/>
  <c r="L616" i="37"/>
  <c r="F554" i="37"/>
  <c r="G553" i="37"/>
  <c r="E553" i="37"/>
  <c r="D1834" i="57"/>
  <c r="D1826" i="57"/>
  <c r="D1833" i="57"/>
  <c r="D1825" i="57"/>
  <c r="D1832" i="57"/>
  <c r="G675" i="14"/>
  <c r="D1803" i="57"/>
  <c r="D1802" i="57"/>
  <c r="D1800" i="57"/>
  <c r="D1799" i="57"/>
  <c r="D1796" i="57"/>
  <c r="D1790" i="57"/>
  <c r="D1787" i="57"/>
  <c r="D1806" i="57"/>
  <c r="D1807" i="57"/>
  <c r="D1808" i="57"/>
  <c r="E1808" i="57"/>
  <c r="F1808" i="57"/>
  <c r="D1809" i="57"/>
  <c r="E1809" i="57"/>
  <c r="F1809" i="57"/>
  <c r="D1810" i="57"/>
  <c r="D1814" i="57"/>
  <c r="D219" i="59"/>
  <c r="E222" i="59"/>
  <c r="F222" i="59"/>
  <c r="L665" i="37"/>
  <c r="L655" i="37"/>
  <c r="L664" i="37"/>
  <c r="L680" i="37"/>
  <c r="L682" i="37"/>
  <c r="M684" i="37"/>
  <c r="M610" i="37"/>
  <c r="K684" i="37"/>
  <c r="L666" i="37"/>
  <c r="M672" i="37"/>
  <c r="L687" i="37"/>
  <c r="L686" i="37"/>
  <c r="L677" i="37"/>
  <c r="L678" i="37"/>
  <c r="L676" i="37"/>
  <c r="L668" i="37"/>
  <c r="L675" i="37"/>
  <c r="M683" i="37"/>
  <c r="M679" i="37"/>
  <c r="L667" i="37"/>
  <c r="L654" i="37"/>
  <c r="L650" i="37"/>
  <c r="L648" i="37"/>
  <c r="L642" i="37"/>
  <c r="L638" i="37"/>
  <c r="M636" i="37"/>
  <c r="L647" i="37"/>
  <c r="M646" i="37"/>
  <c r="L639" i="37"/>
  <c r="L644" i="37"/>
  <c r="M689" i="37"/>
  <c r="M663" i="37"/>
  <c r="M671" i="37"/>
  <c r="M674" i="37"/>
  <c r="M688" i="37"/>
  <c r="M681" i="37"/>
  <c r="M673" i="37"/>
  <c r="M685" i="37"/>
  <c r="M669" i="37"/>
  <c r="M690" i="37"/>
  <c r="K690" i="37"/>
  <c r="M641" i="37"/>
  <c r="L653" i="37"/>
  <c r="M652" i="37"/>
  <c r="M640" i="37"/>
  <c r="M649" i="37"/>
  <c r="B359" i="37"/>
  <c r="B856" i="37"/>
  <c r="B276" i="37"/>
  <c r="B596" i="37"/>
  <c r="B156" i="37"/>
  <c r="B512" i="37"/>
  <c r="B88" i="37"/>
  <c r="F552" i="37"/>
  <c r="D1797" i="57"/>
  <c r="F553" i="37"/>
  <c r="M553" i="37"/>
  <c r="F948" i="37"/>
  <c r="D1789" i="57"/>
  <c r="F551" i="37"/>
  <c r="D1791" i="57"/>
  <c r="L617" i="37"/>
  <c r="L621" i="37"/>
  <c r="M625" i="37"/>
  <c r="L614" i="37"/>
  <c r="M618" i="37"/>
  <c r="L627" i="37"/>
  <c r="L628" i="37"/>
  <c r="M622" i="37"/>
  <c r="M624" i="37"/>
  <c r="M620" i="37"/>
  <c r="M611" i="37"/>
  <c r="L611" i="37"/>
  <c r="L612" i="37"/>
  <c r="M612" i="37"/>
  <c r="L888" i="37"/>
  <c r="L875" i="37"/>
  <c r="X44" i="37"/>
  <c r="Z44" i="37"/>
  <c r="M888" i="37"/>
  <c r="M875" i="37"/>
  <c r="K888" i="37"/>
  <c r="N887" i="37"/>
  <c r="O887" i="37"/>
  <c r="N630" i="37"/>
  <c r="L623" i="37"/>
  <c r="M623" i="37"/>
  <c r="O630" i="37"/>
  <c r="E1810" i="57"/>
  <c r="F1810" i="57"/>
  <c r="D1788" i="57"/>
  <c r="E1806" i="57"/>
  <c r="F1806" i="57"/>
  <c r="D1792" i="57"/>
  <c r="F516" i="37"/>
  <c r="F494" i="37"/>
  <c r="F495" i="37"/>
  <c r="F496" i="37"/>
  <c r="F497" i="37"/>
  <c r="F498" i="37"/>
  <c r="F499" i="37"/>
  <c r="F500" i="37"/>
  <c r="F501" i="37"/>
  <c r="F502" i="37"/>
  <c r="F503" i="37"/>
  <c r="F504" i="37"/>
  <c r="F505" i="37"/>
  <c r="F506" i="37"/>
  <c r="F507" i="37"/>
  <c r="F508" i="37"/>
  <c r="F493" i="37"/>
  <c r="F490" i="37"/>
  <c r="F480" i="37"/>
  <c r="F481" i="37"/>
  <c r="F482" i="37"/>
  <c r="F483" i="37"/>
  <c r="F484" i="37"/>
  <c r="F485" i="37"/>
  <c r="F486" i="37"/>
  <c r="F487" i="37"/>
  <c r="F488" i="37"/>
  <c r="F491" i="37"/>
  <c r="F479" i="37"/>
  <c r="G430" i="37"/>
  <c r="D1448" i="57"/>
  <c r="D1431" i="57"/>
  <c r="D1427" i="57"/>
  <c r="D1424" i="57"/>
  <c r="G314" i="37"/>
  <c r="E314" i="37"/>
  <c r="G313" i="37"/>
  <c r="E313" i="37"/>
  <c r="G455" i="14"/>
  <c r="H455" i="14"/>
  <c r="G453" i="14"/>
  <c r="H453" i="14"/>
  <c r="G454" i="14"/>
  <c r="H454" i="14"/>
  <c r="G451" i="14"/>
  <c r="H451" i="14"/>
  <c r="G452" i="14"/>
  <c r="H452" i="14"/>
  <c r="G445" i="14"/>
  <c r="F301" i="37"/>
  <c r="M301" i="37"/>
  <c r="F303" i="37"/>
  <c r="M303" i="37"/>
  <c r="G303" i="37"/>
  <c r="E303" i="37"/>
  <c r="G302" i="37"/>
  <c r="E302" i="37"/>
  <c r="G301" i="37"/>
  <c r="E301" i="37"/>
  <c r="G300" i="37"/>
  <c r="E300" i="37"/>
  <c r="G305" i="37"/>
  <c r="E305" i="37"/>
  <c r="G304" i="37"/>
  <c r="E304" i="37"/>
  <c r="F302" i="37"/>
  <c r="M302" i="37"/>
  <c r="F300" i="37"/>
  <c r="L300" i="37"/>
  <c r="F290" i="37"/>
  <c r="F1234" i="57"/>
  <c r="E1234" i="57"/>
  <c r="F287" i="37"/>
  <c r="F841" i="57"/>
  <c r="F842" i="57"/>
  <c r="F1568" i="57"/>
  <c r="G1568" i="57"/>
  <c r="F431" i="37"/>
  <c r="O684" i="37"/>
  <c r="L662" i="37"/>
  <c r="N684" i="37"/>
  <c r="O690" i="37"/>
  <c r="L635" i="37"/>
  <c r="M635" i="37"/>
  <c r="M662" i="37"/>
  <c r="N690" i="37"/>
  <c r="B597" i="37"/>
  <c r="B277" i="37"/>
  <c r="B857" i="37"/>
  <c r="B157" i="37"/>
  <c r="B89" i="37"/>
  <c r="B513" i="37"/>
  <c r="B360" i="37"/>
  <c r="E1807" i="57"/>
  <c r="F1807" i="57"/>
  <c r="D1795" i="57"/>
  <c r="L553" i="37"/>
  <c r="F198" i="37"/>
  <c r="F163" i="37"/>
  <c r="D1794" i="57"/>
  <c r="F305" i="37"/>
  <c r="M305" i="37"/>
  <c r="F304" i="37"/>
  <c r="M304" i="37"/>
  <c r="F162" i="37"/>
  <c r="L609" i="37"/>
  <c r="M609" i="37"/>
  <c r="N888" i="37"/>
  <c r="O888" i="37"/>
  <c r="H301" i="37"/>
  <c r="K301" i="37"/>
  <c r="H303" i="37"/>
  <c r="K303" i="37"/>
  <c r="D1553" i="57"/>
  <c r="D1425" i="57"/>
  <c r="D1428" i="57"/>
  <c r="H305" i="37"/>
  <c r="H304" i="37"/>
  <c r="H302" i="37"/>
  <c r="K302" i="37"/>
  <c r="M300" i="37"/>
  <c r="L301" i="37"/>
  <c r="L302" i="37"/>
  <c r="L303" i="37"/>
  <c r="F787" i="57"/>
  <c r="I140" i="37"/>
  <c r="D554" i="57"/>
  <c r="D556" i="57"/>
  <c r="D546" i="57"/>
  <c r="D548" i="57"/>
  <c r="F69" i="37"/>
  <c r="F442" i="57"/>
  <c r="D441" i="57"/>
  <c r="F441" i="57"/>
  <c r="D342" i="57"/>
  <c r="D344" i="57"/>
  <c r="D437" i="57"/>
  <c r="F30" i="37"/>
  <c r="F31" i="37"/>
  <c r="F32" i="37"/>
  <c r="F33" i="37"/>
  <c r="F23" i="37"/>
  <c r="F24" i="37"/>
  <c r="F25" i="37"/>
  <c r="F22" i="37"/>
  <c r="F236" i="57"/>
  <c r="E236" i="57"/>
  <c r="F16" i="37"/>
  <c r="F14" i="37"/>
  <c r="F15" i="37"/>
  <c r="F13" i="37"/>
  <c r="D209" i="59"/>
  <c r="E209" i="59"/>
  <c r="F209" i="59"/>
  <c r="F938" i="37"/>
  <c r="D188" i="59"/>
  <c r="E188" i="59"/>
  <c r="D199" i="59"/>
  <c r="F933" i="37"/>
  <c r="D198" i="59"/>
  <c r="F944" i="37"/>
  <c r="F945" i="37"/>
  <c r="F946" i="37"/>
  <c r="F912" i="37"/>
  <c r="F533" i="37"/>
  <c r="F538" i="37"/>
  <c r="F541" i="37"/>
  <c r="F529" i="37"/>
  <c r="D144" i="59"/>
  <c r="F902" i="37"/>
  <c r="D143" i="59"/>
  <c r="F901" i="37"/>
  <c r="D142" i="59"/>
  <c r="D141" i="59"/>
  <c r="F899" i="37"/>
  <c r="D140" i="59"/>
  <c r="F898" i="37"/>
  <c r="F947" i="37"/>
  <c r="F543" i="37"/>
  <c r="F542" i="37"/>
  <c r="F540" i="37"/>
  <c r="F539" i="37"/>
  <c r="F537" i="37"/>
  <c r="E127" i="59"/>
  <c r="E126" i="59"/>
  <c r="E124" i="59"/>
  <c r="E123" i="59"/>
  <c r="E113" i="59"/>
  <c r="E53" i="59"/>
  <c r="F853" i="37"/>
  <c r="E51" i="59"/>
  <c r="E49" i="59"/>
  <c r="E46" i="59"/>
  <c r="E55" i="59"/>
  <c r="F855" i="37"/>
  <c r="E52" i="59"/>
  <c r="F852" i="37"/>
  <c r="E54" i="59"/>
  <c r="F854" i="37"/>
  <c r="E50" i="59"/>
  <c r="F850" i="37"/>
  <c r="E48" i="59"/>
  <c r="E33" i="59"/>
  <c r="F838" i="37"/>
  <c r="E20" i="59"/>
  <c r="F825" i="37"/>
  <c r="C39" i="51"/>
  <c r="E32" i="59"/>
  <c r="F837" i="37"/>
  <c r="E24" i="59"/>
  <c r="F829" i="37"/>
  <c r="E23" i="59"/>
  <c r="F828" i="37"/>
  <c r="E33" i="58"/>
  <c r="F579" i="37"/>
  <c r="E32" i="58"/>
  <c r="F578" i="37"/>
  <c r="E31" i="58"/>
  <c r="F577" i="37"/>
  <c r="E30" i="58"/>
  <c r="F576" i="37"/>
  <c r="E29" i="58"/>
  <c r="F575" i="37"/>
  <c r="E28" i="58"/>
  <c r="F574" i="37"/>
  <c r="E27" i="58"/>
  <c r="F573" i="37"/>
  <c r="E26" i="58"/>
  <c r="F572" i="37"/>
  <c r="E25" i="58"/>
  <c r="F571" i="37"/>
  <c r="E24" i="58"/>
  <c r="F570" i="37"/>
  <c r="E23" i="58"/>
  <c r="F569" i="37"/>
  <c r="E22" i="58"/>
  <c r="F568" i="37"/>
  <c r="E21" i="58"/>
  <c r="F567" i="37"/>
  <c r="E20" i="58"/>
  <c r="F566" i="37"/>
  <c r="E19" i="58"/>
  <c r="F565" i="37"/>
  <c r="E18" i="58"/>
  <c r="F564" i="37"/>
  <c r="E17" i="58"/>
  <c r="F563" i="37"/>
  <c r="E16" i="58"/>
  <c r="F562" i="37"/>
  <c r="E15" i="58"/>
  <c r="F561" i="37"/>
  <c r="B90" i="37"/>
  <c r="B158" i="37"/>
  <c r="B858" i="37"/>
  <c r="B361" i="37"/>
  <c r="B278" i="37"/>
  <c r="B514" i="37"/>
  <c r="B598" i="37"/>
  <c r="K305" i="37"/>
  <c r="E1811" i="57"/>
  <c r="F1811" i="57"/>
  <c r="F544" i="37"/>
  <c r="L304" i="37"/>
  <c r="F851" i="37"/>
  <c r="M851" i="37"/>
  <c r="F849" i="37"/>
  <c r="M849" i="37"/>
  <c r="F848" i="37"/>
  <c r="F534" i="37"/>
  <c r="K304" i="37"/>
  <c r="D449" i="57"/>
  <c r="L305" i="37"/>
  <c r="F134" i="37"/>
  <c r="E1814" i="57"/>
  <c r="F379" i="37"/>
  <c r="F941" i="37"/>
  <c r="F900" i="37"/>
  <c r="E189" i="59"/>
  <c r="F189" i="59"/>
  <c r="F188" i="59"/>
  <c r="E112" i="59"/>
  <c r="E155" i="59"/>
  <c r="F155" i="59"/>
  <c r="E45" i="59"/>
  <c r="E58" i="59"/>
  <c r="E21" i="59"/>
  <c r="E36" i="59"/>
  <c r="M829" i="37"/>
  <c r="L829" i="37"/>
  <c r="M854" i="37"/>
  <c r="L854" i="37"/>
  <c r="F846" i="37"/>
  <c r="L825" i="37"/>
  <c r="M825" i="37"/>
  <c r="K825" i="37"/>
  <c r="M850" i="37"/>
  <c r="L850" i="37"/>
  <c r="M853" i="37"/>
  <c r="L853" i="37"/>
  <c r="M828" i="37"/>
  <c r="L828" i="37"/>
  <c r="M852" i="37"/>
  <c r="L852" i="37"/>
  <c r="D138" i="59"/>
  <c r="F896" i="37"/>
  <c r="M568" i="37"/>
  <c r="L568" i="37"/>
  <c r="M569" i="37"/>
  <c r="L569" i="37"/>
  <c r="M570" i="37"/>
  <c r="L570" i="37"/>
  <c r="M572" i="37"/>
  <c r="L572" i="37"/>
  <c r="L565" i="37"/>
  <c r="M565" i="37"/>
  <c r="M573" i="37"/>
  <c r="L573" i="37"/>
  <c r="M571" i="37"/>
  <c r="L571" i="37"/>
  <c r="L566" i="37"/>
  <c r="M566" i="37"/>
  <c r="M567" i="37"/>
  <c r="L567" i="37"/>
  <c r="O303" i="37"/>
  <c r="N303" i="37"/>
  <c r="O301" i="37"/>
  <c r="N301" i="37"/>
  <c r="O302" i="37"/>
  <c r="N302" i="37"/>
  <c r="D203" i="59"/>
  <c r="F937" i="37"/>
  <c r="F932" i="37"/>
  <c r="F931" i="37"/>
  <c r="E210" i="59"/>
  <c r="F210" i="59"/>
  <c r="F536" i="37"/>
  <c r="F527" i="37"/>
  <c r="F531" i="37"/>
  <c r="F530" i="37"/>
  <c r="D139" i="59"/>
  <c r="F528" i="37"/>
  <c r="F535" i="37"/>
  <c r="D206" i="59"/>
  <c r="E109" i="59"/>
  <c r="E552" i="37"/>
  <c r="F456" i="37"/>
  <c r="F457" i="37"/>
  <c r="F458" i="37"/>
  <c r="F459" i="37"/>
  <c r="F448" i="37"/>
  <c r="F440" i="37"/>
  <c r="F439" i="37"/>
  <c r="F438" i="37"/>
  <c r="F437" i="37"/>
  <c r="F436" i="37"/>
  <c r="G384" i="37"/>
  <c r="E384" i="37"/>
  <c r="G383" i="37"/>
  <c r="E383" i="37"/>
  <c r="H383" i="37"/>
  <c r="G350" i="37"/>
  <c r="E350" i="37"/>
  <c r="G349" i="37"/>
  <c r="E349" i="37"/>
  <c r="D900" i="57"/>
  <c r="D899" i="57"/>
  <c r="G150" i="37"/>
  <c r="E151" i="37"/>
  <c r="G151" i="37"/>
  <c r="G149" i="37"/>
  <c r="E149" i="37"/>
  <c r="G148" i="37"/>
  <c r="E148" i="37"/>
  <c r="E241" i="37"/>
  <c r="H20" i="14"/>
  <c r="H674" i="14"/>
  <c r="F249" i="37"/>
  <c r="H673" i="14"/>
  <c r="G1649" i="57"/>
  <c r="F299" i="37"/>
  <c r="C44" i="53"/>
  <c r="D1756" i="57"/>
  <c r="H1649" i="57"/>
  <c r="J1649" i="57"/>
  <c r="B362" i="37"/>
  <c r="B279" i="37"/>
  <c r="B859" i="37"/>
  <c r="B159" i="37"/>
  <c r="B599" i="37"/>
  <c r="B515" i="37"/>
  <c r="B91" i="37"/>
  <c r="O305" i="37"/>
  <c r="L851" i="37"/>
  <c r="O304" i="37"/>
  <c r="N304" i="37"/>
  <c r="L849" i="37"/>
  <c r="F845" i="37"/>
  <c r="F826" i="37"/>
  <c r="L826" i="37"/>
  <c r="N305" i="37"/>
  <c r="F178" i="37"/>
  <c r="F179" i="37"/>
  <c r="E1815" i="57"/>
  <c r="F1815" i="57"/>
  <c r="F1814" i="57"/>
  <c r="D1030" i="57"/>
  <c r="C42" i="51"/>
  <c r="F928" i="37"/>
  <c r="F929" i="37"/>
  <c r="D41" i="51"/>
  <c r="E191" i="59"/>
  <c r="F191" i="59"/>
  <c r="F897" i="37"/>
  <c r="F58" i="59"/>
  <c r="E60" i="59"/>
  <c r="F60" i="59"/>
  <c r="F36" i="59"/>
  <c r="E38" i="59"/>
  <c r="F38" i="59"/>
  <c r="O825" i="37"/>
  <c r="N825" i="37"/>
  <c r="D110" i="59"/>
  <c r="E110" i="59"/>
  <c r="D137" i="59"/>
  <c r="F895" i="37"/>
  <c r="D1757" i="57"/>
  <c r="D1766" i="57"/>
  <c r="D1765" i="57"/>
  <c r="D1265" i="57"/>
  <c r="D1282" i="57"/>
  <c r="D1281" i="57"/>
  <c r="D1276" i="57"/>
  <c r="F1276" i="57"/>
  <c r="D1279" i="57"/>
  <c r="D1267" i="57"/>
  <c r="F317" i="37"/>
  <c r="F1571" i="57"/>
  <c r="G1571" i="57"/>
  <c r="F434" i="37"/>
  <c r="D1240" i="57"/>
  <c r="D205" i="59"/>
  <c r="F939" i="37"/>
  <c r="F940" i="37"/>
  <c r="F532" i="37"/>
  <c r="F545" i="37"/>
  <c r="D51" i="51"/>
  <c r="F250" i="37"/>
  <c r="D1769" i="57"/>
  <c r="C49" i="51"/>
  <c r="L317" i="37"/>
  <c r="M317" i="37"/>
  <c r="M434" i="37"/>
  <c r="L434" i="37"/>
  <c r="D1749" i="57"/>
  <c r="B600" i="37"/>
  <c r="B160" i="37"/>
  <c r="B860" i="37"/>
  <c r="B92" i="37"/>
  <c r="B280" i="37"/>
  <c r="B516" i="37"/>
  <c r="B363" i="37"/>
  <c r="M826" i="37"/>
  <c r="F546" i="37"/>
  <c r="F547" i="37"/>
  <c r="F315" i="37"/>
  <c r="F313" i="37"/>
  <c r="M313" i="37"/>
  <c r="F316" i="37"/>
  <c r="F518" i="37"/>
  <c r="F522" i="37"/>
  <c r="F519" i="37"/>
  <c r="F839" i="37"/>
  <c r="F856" i="37"/>
  <c r="C40" i="51"/>
  <c r="D136" i="59"/>
  <c r="F894" i="37"/>
  <c r="E154" i="59"/>
  <c r="F154" i="59"/>
  <c r="D1768" i="57"/>
  <c r="F1240" i="57"/>
  <c r="D1251" i="57"/>
  <c r="D202" i="59"/>
  <c r="F936" i="37"/>
  <c r="D201" i="59"/>
  <c r="D200" i="59"/>
  <c r="F934" i="37"/>
  <c r="F492" i="37"/>
  <c r="D1485" i="57"/>
  <c r="D1486" i="57"/>
  <c r="D1489" i="57"/>
  <c r="D1494" i="57"/>
  <c r="D1764" i="57"/>
  <c r="C50" i="51"/>
  <c r="D53" i="51"/>
  <c r="D52" i="51"/>
  <c r="B861" i="37"/>
  <c r="B93" i="37"/>
  <c r="B41" i="37"/>
  <c r="B364" i="37"/>
  <c r="B161" i="37"/>
  <c r="B281" i="37"/>
  <c r="B517" i="37"/>
  <c r="B601" i="37"/>
  <c r="L313" i="37"/>
  <c r="F306" i="37"/>
  <c r="F515" i="37"/>
  <c r="F514" i="37"/>
  <c r="F520" i="37"/>
  <c r="F521" i="37"/>
  <c r="F517" i="37"/>
  <c r="F909" i="37"/>
  <c r="E156" i="59"/>
  <c r="F156" i="59"/>
  <c r="D1490" i="57"/>
  <c r="D1493" i="57"/>
  <c r="D1530" i="57"/>
  <c r="D1495" i="57"/>
  <c r="F935" i="37"/>
  <c r="B365" i="37"/>
  <c r="B162" i="37"/>
  <c r="B42" i="37"/>
  <c r="B282" i="37"/>
  <c r="B94" i="37"/>
  <c r="B602" i="37"/>
  <c r="B518" i="37"/>
  <c r="B862" i="37"/>
  <c r="L1422" i="57"/>
  <c r="B283" i="37"/>
  <c r="B284" i="37"/>
  <c r="B603" i="37"/>
  <c r="B43" i="37"/>
  <c r="B95" i="37"/>
  <c r="B163" i="37"/>
  <c r="B863" i="37"/>
  <c r="B519" i="37"/>
  <c r="B366" i="37"/>
  <c r="D1009" i="57"/>
  <c r="D893" i="57"/>
  <c r="D878" i="57"/>
  <c r="D828" i="57"/>
  <c r="D802" i="57"/>
  <c r="D830" i="57"/>
  <c r="D800" i="57"/>
  <c r="D827" i="57"/>
  <c r="G827" i="57"/>
  <c r="D776" i="57"/>
  <c r="D1189" i="57"/>
  <c r="B96" i="37"/>
  <c r="B164" i="37"/>
  <c r="B864" i="37"/>
  <c r="B44" i="37"/>
  <c r="B604" i="37"/>
  <c r="B367" i="37"/>
  <c r="B520" i="37"/>
  <c r="F238" i="37"/>
  <c r="F176" i="37"/>
  <c r="D1012" i="57"/>
  <c r="D1011" i="57"/>
  <c r="D1190" i="57"/>
  <c r="D1203" i="57"/>
  <c r="F289" i="37"/>
  <c r="D894" i="57"/>
  <c r="D667" i="57"/>
  <c r="M289" i="37"/>
  <c r="L289" i="37"/>
  <c r="B45" i="37"/>
  <c r="B865" i="37"/>
  <c r="B368" i="37"/>
  <c r="B165" i="37"/>
  <c r="B605" i="37"/>
  <c r="B521" i="37"/>
  <c r="B97" i="37"/>
  <c r="D736" i="57"/>
  <c r="D772" i="57"/>
  <c r="F177" i="37"/>
  <c r="D868" i="57"/>
  <c r="D873" i="57"/>
  <c r="D741" i="57"/>
  <c r="D1195" i="57"/>
  <c r="D1197" i="57"/>
  <c r="D623" i="57"/>
  <c r="D504" i="57"/>
  <c r="D474" i="57"/>
  <c r="F439" i="57"/>
  <c r="B166" i="37"/>
  <c r="B606" i="37"/>
  <c r="B369" i="37"/>
  <c r="B866" i="37"/>
  <c r="B98" i="37"/>
  <c r="B522" i="37"/>
  <c r="B46" i="37"/>
  <c r="B47" i="37"/>
  <c r="B48" i="37"/>
  <c r="D869" i="57"/>
  <c r="D874" i="57"/>
  <c r="E868" i="57"/>
  <c r="F170" i="37"/>
  <c r="D621" i="57"/>
  <c r="D657" i="57"/>
  <c r="D675" i="57"/>
  <c r="B867" i="37"/>
  <c r="B99" i="37"/>
  <c r="B370" i="37"/>
  <c r="B607" i="37"/>
  <c r="B523" i="37"/>
  <c r="B167" i="37"/>
  <c r="F171" i="37"/>
  <c r="G608" i="57"/>
  <c r="H608" i="57"/>
  <c r="G605" i="57"/>
  <c r="H605" i="57"/>
  <c r="G598" i="57"/>
  <c r="H598" i="57"/>
  <c r="G596" i="57"/>
  <c r="H596" i="57"/>
  <c r="G595" i="57"/>
  <c r="H595" i="57"/>
  <c r="G593" i="57"/>
  <c r="G594" i="57"/>
  <c r="D630" i="57"/>
  <c r="F307" i="57"/>
  <c r="D315" i="57"/>
  <c r="D310" i="57"/>
  <c r="F310" i="57"/>
  <c r="G310" i="57"/>
  <c r="D309" i="57"/>
  <c r="F309" i="57"/>
  <c r="G309" i="57"/>
  <c r="G305" i="57"/>
  <c r="F304" i="57"/>
  <c r="G304" i="57"/>
  <c r="F303" i="57"/>
  <c r="D1610" i="57"/>
  <c r="D1612" i="57"/>
  <c r="D1613" i="57"/>
  <c r="D553" i="57"/>
  <c r="D656" i="57"/>
  <c r="D848" i="57"/>
  <c r="D323" i="57"/>
  <c r="D326" i="57"/>
  <c r="M603" i="37"/>
  <c r="G603" i="37"/>
  <c r="E603" i="37"/>
  <c r="B371" i="37"/>
  <c r="B285" i="37"/>
  <c r="B608" i="37"/>
  <c r="B168" i="37"/>
  <c r="B100" i="37"/>
  <c r="B524" i="37"/>
  <c r="B868" i="37"/>
  <c r="H594" i="57"/>
  <c r="F90" i="37"/>
  <c r="D313" i="57"/>
  <c r="G303" i="57"/>
  <c r="H593" i="57"/>
  <c r="D1617" i="57"/>
  <c r="C47" i="51"/>
  <c r="E878" i="57"/>
  <c r="F878" i="57"/>
  <c r="D875" i="57"/>
  <c r="D557" i="57"/>
  <c r="D622" i="57"/>
  <c r="F622" i="57"/>
  <c r="D555" i="57"/>
  <c r="D549" i="57"/>
  <c r="D624" i="57"/>
  <c r="F624" i="57"/>
  <c r="D547" i="57"/>
  <c r="D297" i="57"/>
  <c r="F308" i="57"/>
  <c r="G308" i="57"/>
  <c r="D341" i="57"/>
  <c r="D17" i="57"/>
  <c r="G307" i="57"/>
  <c r="D648" i="57"/>
  <c r="F623" i="57"/>
  <c r="F621" i="57"/>
  <c r="D660" i="57"/>
  <c r="D505" i="57"/>
  <c r="G606" i="57"/>
  <c r="H606" i="57"/>
  <c r="G597" i="57"/>
  <c r="H597" i="57"/>
  <c r="G603" i="57"/>
  <c r="G604" i="57"/>
  <c r="H604" i="57"/>
  <c r="G607" i="57"/>
  <c r="H607" i="57"/>
  <c r="F302" i="57"/>
  <c r="L603" i="37"/>
  <c r="B169" i="37"/>
  <c r="B101" i="37"/>
  <c r="B102" i="37"/>
  <c r="B609" i="37"/>
  <c r="B286" i="37"/>
  <c r="B869" i="37"/>
  <c r="B372" i="37"/>
  <c r="M90" i="37"/>
  <c r="L90" i="37"/>
  <c r="D631" i="57"/>
  <c r="F91" i="37"/>
  <c r="H603" i="57"/>
  <c r="H609" i="57"/>
  <c r="F172" i="37"/>
  <c r="F173" i="37"/>
  <c r="D255" i="57"/>
  <c r="F34" i="37"/>
  <c r="D20" i="57"/>
  <c r="D1633" i="57"/>
  <c r="F11" i="37"/>
  <c r="C7" i="53"/>
  <c r="F21" i="37"/>
  <c r="C8" i="53"/>
  <c r="E223" i="59"/>
  <c r="F223" i="59"/>
  <c r="F28" i="37"/>
  <c r="C9" i="53"/>
  <c r="D507" i="57"/>
  <c r="D345" i="57"/>
  <c r="D438" i="57"/>
  <c r="F438" i="57"/>
  <c r="D343" i="57"/>
  <c r="D32" i="57"/>
  <c r="D97" i="57"/>
  <c r="F437" i="57"/>
  <c r="D275" i="57"/>
  <c r="G302" i="57"/>
  <c r="E414" i="37"/>
  <c r="G414" i="37"/>
  <c r="E415" i="37"/>
  <c r="G415" i="37"/>
  <c r="E416" i="37"/>
  <c r="G416" i="37"/>
  <c r="H314" i="14"/>
  <c r="D1821" i="57"/>
  <c r="M34" i="37"/>
  <c r="K34" i="37"/>
  <c r="L34" i="37"/>
  <c r="D317" i="57"/>
  <c r="D318" i="57"/>
  <c r="F306" i="57"/>
  <c r="D314" i="57"/>
  <c r="F41" i="37"/>
  <c r="B610" i="37"/>
  <c r="B870" i="37"/>
  <c r="B170" i="37"/>
  <c r="B287" i="37"/>
  <c r="B373" i="37"/>
  <c r="B49" i="37"/>
  <c r="D258" i="57"/>
  <c r="F857" i="37"/>
  <c r="L856" i="37"/>
  <c r="M856" i="37"/>
  <c r="K856" i="37"/>
  <c r="K871" i="37"/>
  <c r="M871" i="37"/>
  <c r="F872" i="37"/>
  <c r="L871" i="37"/>
  <c r="K948" i="37"/>
  <c r="M948" i="37"/>
  <c r="L948" i="37"/>
  <c r="F949" i="37"/>
  <c r="K839" i="37"/>
  <c r="M839" i="37"/>
  <c r="F840" i="37"/>
  <c r="L839" i="37"/>
  <c r="D277" i="57"/>
  <c r="F47" i="37"/>
  <c r="G649" i="14"/>
  <c r="H649" i="14"/>
  <c r="H143" i="53"/>
  <c r="G144" i="53"/>
  <c r="G145" i="53"/>
  <c r="M47" i="37"/>
  <c r="L47" i="37"/>
  <c r="N34" i="37"/>
  <c r="O34" i="37"/>
  <c r="F44" i="37"/>
  <c r="B171" i="37"/>
  <c r="B871" i="37"/>
  <c r="B374" i="37"/>
  <c r="B288" i="37"/>
  <c r="B289" i="37"/>
  <c r="B291" i="37"/>
  <c r="B50" i="37"/>
  <c r="B611" i="37"/>
  <c r="D280" i="57"/>
  <c r="D39" i="51"/>
  <c r="K872" i="37"/>
  <c r="M872" i="37"/>
  <c r="M860" i="37"/>
  <c r="L872" i="37"/>
  <c r="L860" i="37"/>
  <c r="X43" i="37"/>
  <c r="Z43" i="37"/>
  <c r="N948" i="37"/>
  <c r="O948" i="37"/>
  <c r="O871" i="37"/>
  <c r="N871" i="37"/>
  <c r="M949" i="37"/>
  <c r="L949" i="37"/>
  <c r="K949" i="37"/>
  <c r="O856" i="37"/>
  <c r="N856" i="37"/>
  <c r="M857" i="37"/>
  <c r="K857" i="37"/>
  <c r="L857" i="37"/>
  <c r="M840" i="37"/>
  <c r="L840" i="37"/>
  <c r="K840" i="37"/>
  <c r="O839" i="37"/>
  <c r="N839" i="37"/>
  <c r="G306" i="57"/>
  <c r="F144" i="53"/>
  <c r="F145" i="53"/>
  <c r="H145" i="53"/>
  <c r="B51" i="37"/>
  <c r="B375" i="37"/>
  <c r="B872" i="37"/>
  <c r="B172" i="37"/>
  <c r="B290" i="37"/>
  <c r="B612" i="37"/>
  <c r="D319" i="57"/>
  <c r="O857" i="37"/>
  <c r="N857" i="37"/>
  <c r="N949" i="37"/>
  <c r="O949" i="37"/>
  <c r="N872" i="37"/>
  <c r="O872" i="37"/>
  <c r="N840" i="37"/>
  <c r="O840" i="37"/>
  <c r="D316" i="57"/>
  <c r="G311" i="57"/>
  <c r="C4" i="51"/>
  <c r="D1559" i="57"/>
  <c r="D1502" i="57"/>
  <c r="B173" i="37"/>
  <c r="B613" i="37"/>
  <c r="B873" i="37"/>
  <c r="B376" i="37"/>
  <c r="B52" i="37"/>
  <c r="F46" i="37"/>
  <c r="B614" i="37"/>
  <c r="B874" i="37"/>
  <c r="B174" i="37"/>
  <c r="B377" i="37"/>
  <c r="B53" i="37"/>
  <c r="G1670" i="57"/>
  <c r="H1670" i="57"/>
  <c r="I1669" i="57"/>
  <c r="I1670" i="57"/>
  <c r="D1442" i="57"/>
  <c r="B104" i="37"/>
  <c r="B105" i="37"/>
  <c r="B106" i="37"/>
  <c r="B107" i="37"/>
  <c r="B108" i="37"/>
  <c r="B103" i="37"/>
  <c r="J1669" i="57"/>
  <c r="I1662" i="57"/>
  <c r="B378" i="37"/>
  <c r="B875" i="37"/>
  <c r="B175" i="37"/>
  <c r="B615" i="37"/>
  <c r="D1555" i="57"/>
  <c r="E1559" i="57"/>
  <c r="D1515" i="57"/>
  <c r="D1533" i="57"/>
  <c r="B616" i="37"/>
  <c r="B292" i="37"/>
  <c r="B876" i="37"/>
  <c r="B176" i="37"/>
  <c r="B379" i="37"/>
  <c r="B380" i="37"/>
  <c r="B381" i="37"/>
  <c r="D1556" i="57"/>
  <c r="E1541" i="57"/>
  <c r="F1559" i="57"/>
  <c r="F1541" i="57"/>
  <c r="D1414" i="57"/>
  <c r="E1389" i="57"/>
  <c r="E1388" i="57"/>
  <c r="D905" i="57"/>
  <c r="D902" i="57"/>
  <c r="E827" i="57"/>
  <c r="D1113" i="57"/>
  <c r="D1071" i="57"/>
  <c r="D1053" i="57"/>
  <c r="D481" i="57"/>
  <c r="D489" i="57"/>
  <c r="H417" i="57"/>
  <c r="G416" i="57"/>
  <c r="H416" i="57"/>
  <c r="G564" i="57"/>
  <c r="G563" i="57"/>
  <c r="D464" i="57"/>
  <c r="D467" i="57"/>
  <c r="G413" i="57"/>
  <c r="G412" i="57"/>
  <c r="G405" i="57"/>
  <c r="G404" i="57"/>
  <c r="G403" i="57"/>
  <c r="G402" i="57"/>
  <c r="G401" i="57"/>
  <c r="G400" i="57"/>
  <c r="G398" i="57"/>
  <c r="G394" i="57"/>
  <c r="D445" i="57"/>
  <c r="G393" i="57"/>
  <c r="G353" i="57"/>
  <c r="G352" i="57"/>
  <c r="G351" i="57"/>
  <c r="E1390" i="57"/>
  <c r="D462" i="57"/>
  <c r="F68" i="37"/>
  <c r="B877" i="37"/>
  <c r="B109" i="37"/>
  <c r="B293" i="37"/>
  <c r="B382" i="37"/>
  <c r="B177" i="37"/>
  <c r="B617" i="37"/>
  <c r="D491" i="57"/>
  <c r="F76" i="37"/>
  <c r="F424" i="37"/>
  <c r="F184" i="37"/>
  <c r="H398" i="57"/>
  <c r="F181" i="37"/>
  <c r="D517" i="57"/>
  <c r="D519" i="57"/>
  <c r="G623" i="57"/>
  <c r="D696" i="57"/>
  <c r="D901" i="57"/>
  <c r="C25" i="51"/>
  <c r="D1377" i="57"/>
  <c r="D1378" i="57"/>
  <c r="D1373" i="57"/>
  <c r="D903" i="57"/>
  <c r="D904" i="57"/>
  <c r="G624" i="57"/>
  <c r="G830" i="57"/>
  <c r="F830" i="57"/>
  <c r="E830" i="57"/>
  <c r="G414" i="57"/>
  <c r="H414" i="57"/>
  <c r="G415" i="57"/>
  <c r="H415" i="57"/>
  <c r="D695" i="57"/>
  <c r="G418" i="57"/>
  <c r="H418" i="57"/>
  <c r="G419" i="57"/>
  <c r="H419" i="57"/>
  <c r="D511" i="57"/>
  <c r="D513" i="57"/>
  <c r="H564" i="57"/>
  <c r="H563" i="57"/>
  <c r="G397" i="57"/>
  <c r="G399" i="57"/>
  <c r="D1411" i="57"/>
  <c r="D1410" i="57"/>
  <c r="M76" i="37"/>
  <c r="L76" i="37"/>
  <c r="F77" i="37"/>
  <c r="B618" i="37"/>
  <c r="B294" i="37"/>
  <c r="B178" i="37"/>
  <c r="B110" i="37"/>
  <c r="B383" i="37"/>
  <c r="B878" i="37"/>
  <c r="F55" i="37"/>
  <c r="F374" i="37"/>
  <c r="F180" i="37"/>
  <c r="F148" i="37"/>
  <c r="L148" i="37"/>
  <c r="F182" i="37"/>
  <c r="F373" i="37"/>
  <c r="F369" i="37"/>
  <c r="F183" i="37"/>
  <c r="D698" i="57"/>
  <c r="D521" i="57"/>
  <c r="D1308" i="57"/>
  <c r="G621" i="57"/>
  <c r="D1309" i="57"/>
  <c r="D1310" i="57"/>
  <c r="M77" i="37"/>
  <c r="K77" i="37"/>
  <c r="L77" i="37"/>
  <c r="B384" i="37"/>
  <c r="B111" i="37"/>
  <c r="B179" i="37"/>
  <c r="B295" i="37"/>
  <c r="B879" i="37"/>
  <c r="B619" i="37"/>
  <c r="M148" i="37"/>
  <c r="F333" i="37"/>
  <c r="F332" i="37"/>
  <c r="F331" i="37"/>
  <c r="G622" i="57"/>
  <c r="N77" i="37"/>
  <c r="O77" i="37"/>
  <c r="B620" i="37"/>
  <c r="B296" i="37"/>
  <c r="B112" i="37"/>
  <c r="B880" i="37"/>
  <c r="B180" i="37"/>
  <c r="B385" i="37"/>
  <c r="F325" i="37"/>
  <c r="B386" i="37"/>
  <c r="B881" i="37"/>
  <c r="B181" i="37"/>
  <c r="B297" i="37"/>
  <c r="B113" i="37"/>
  <c r="B621" i="37"/>
  <c r="G1666" i="57"/>
  <c r="J1662" i="57"/>
  <c r="D498" i="57"/>
  <c r="D497" i="57"/>
  <c r="D494" i="57"/>
  <c r="C16" i="53"/>
  <c r="C15" i="53"/>
  <c r="D1619" i="57"/>
  <c r="D1822" i="57"/>
  <c r="D1831" i="57"/>
  <c r="D1513" i="57"/>
  <c r="D1531" i="57"/>
  <c r="E1502" i="57"/>
  <c r="F1502" i="57"/>
  <c r="F1540" i="57"/>
  <c r="B182" i="37"/>
  <c r="B622" i="37"/>
  <c r="B882" i="37"/>
  <c r="B114" i="37"/>
  <c r="B298" i="37"/>
  <c r="B387" i="37"/>
  <c r="F422" i="37"/>
  <c r="F471" i="37"/>
  <c r="C81" i="53"/>
  <c r="F455" i="37"/>
  <c r="F550" i="37"/>
  <c r="E1540" i="57"/>
  <c r="D1618" i="57"/>
  <c r="F453" i="37"/>
  <c r="J1666" i="57"/>
  <c r="F412" i="37"/>
  <c r="D1324" i="57"/>
  <c r="D1323" i="57"/>
  <c r="D1322" i="57"/>
  <c r="D918" i="57"/>
  <c r="D820" i="57"/>
  <c r="D833" i="57"/>
  <c r="D819" i="57"/>
  <c r="D832" i="57"/>
  <c r="D818" i="57"/>
  <c r="D831" i="57"/>
  <c r="D829" i="57"/>
  <c r="F827" i="57"/>
  <c r="D767" i="57"/>
  <c r="D774" i="57"/>
  <c r="D754" i="57"/>
  <c r="D780" i="57"/>
  <c r="D1148" i="57"/>
  <c r="D1138" i="57"/>
  <c r="D1126" i="57"/>
  <c r="D1128" i="57"/>
  <c r="F273" i="37"/>
  <c r="D649" i="57"/>
  <c r="D647" i="57"/>
  <c r="L273" i="37"/>
  <c r="M273" i="37"/>
  <c r="B183" i="37"/>
  <c r="B388" i="37"/>
  <c r="B299" i="37"/>
  <c r="B623" i="37"/>
  <c r="B883" i="37"/>
  <c r="F145" i="37"/>
  <c r="F454" i="37"/>
  <c r="F101" i="37"/>
  <c r="C19" i="53"/>
  <c r="F89" i="37"/>
  <c r="C18" i="53"/>
  <c r="D652" i="57"/>
  <c r="D677" i="57"/>
  <c r="F107" i="37"/>
  <c r="D1174" i="57"/>
  <c r="D1164" i="57"/>
  <c r="F410" i="37"/>
  <c r="G829" i="57"/>
  <c r="D688" i="57"/>
  <c r="D702" i="57"/>
  <c r="D704" i="57"/>
  <c r="D1139" i="57"/>
  <c r="D1140" i="57"/>
  <c r="D753" i="57"/>
  <c r="D930" i="57"/>
  <c r="D934" i="57"/>
  <c r="D919" i="57"/>
  <c r="D917" i="57"/>
  <c r="G75" i="14"/>
  <c r="G263" i="14"/>
  <c r="H263" i="14"/>
  <c r="H79" i="14"/>
  <c r="D228" i="57"/>
  <c r="E228" i="57"/>
  <c r="F228" i="57"/>
  <c r="D229" i="57"/>
  <c r="D247" i="57"/>
  <c r="E247" i="57"/>
  <c r="F247" i="57"/>
  <c r="A4" i="51"/>
  <c r="A5" i="51"/>
  <c r="A6" i="51"/>
  <c r="A7" i="51"/>
  <c r="A8" i="51"/>
  <c r="A9" i="51"/>
  <c r="A10" i="51"/>
  <c r="A11" i="51"/>
  <c r="A12" i="51"/>
  <c r="A13" i="51"/>
  <c r="A14" i="51"/>
  <c r="A15" i="51"/>
  <c r="A16" i="51"/>
  <c r="A17" i="51"/>
  <c r="A18" i="51"/>
  <c r="A20" i="51"/>
  <c r="A21" i="51"/>
  <c r="A22" i="51"/>
  <c r="A23" i="51"/>
  <c r="A24" i="51"/>
  <c r="A25" i="51"/>
  <c r="A26" i="51"/>
  <c r="A27" i="51"/>
  <c r="A28" i="51"/>
  <c r="A29" i="51"/>
  <c r="A30" i="51"/>
  <c r="A31" i="51"/>
  <c r="A32" i="51"/>
  <c r="A33" i="51"/>
  <c r="A34" i="51"/>
  <c r="A35" i="51"/>
  <c r="A36" i="51"/>
  <c r="A37" i="51"/>
  <c r="A38" i="51"/>
  <c r="A39" i="51"/>
  <c r="A40" i="51"/>
  <c r="A41" i="51"/>
  <c r="A42" i="51"/>
  <c r="A43" i="51"/>
  <c r="A44" i="51"/>
  <c r="A45" i="51"/>
  <c r="A46" i="51"/>
  <c r="A47" i="51"/>
  <c r="A48" i="51"/>
  <c r="A49" i="51"/>
  <c r="A50" i="51"/>
  <c r="A51" i="51"/>
  <c r="A52" i="51"/>
  <c r="A53" i="51"/>
  <c r="A54" i="51"/>
  <c r="A55" i="51"/>
  <c r="A3" i="51"/>
  <c r="M107" i="37"/>
  <c r="F108" i="37"/>
  <c r="L107" i="37"/>
  <c r="D779" i="57"/>
  <c r="F779" i="57"/>
  <c r="B624" i="37"/>
  <c r="B300" i="37"/>
  <c r="B389" i="37"/>
  <c r="B884" i="37"/>
  <c r="B184" i="37"/>
  <c r="C23" i="51"/>
  <c r="D680" i="57"/>
  <c r="C6" i="51"/>
  <c r="F93" i="37"/>
  <c r="F828" i="57"/>
  <c r="G828" i="57"/>
  <c r="D1213" i="57"/>
  <c r="E229" i="57"/>
  <c r="F229" i="57"/>
  <c r="D1168" i="57"/>
  <c r="D1167" i="57"/>
  <c r="E724" i="57"/>
  <c r="D937" i="57"/>
  <c r="F777" i="57"/>
  <c r="F122" i="37"/>
  <c r="E777" i="57"/>
  <c r="B185" i="37"/>
  <c r="B390" i="37"/>
  <c r="B301" i="37"/>
  <c r="B885" i="37"/>
  <c r="B625" i="37"/>
  <c r="F116" i="37"/>
  <c r="C24" i="53"/>
  <c r="D1216" i="57"/>
  <c r="F288" i="37"/>
  <c r="D1221" i="57"/>
  <c r="F146" i="37"/>
  <c r="G438" i="57"/>
  <c r="D1206" i="57"/>
  <c r="E38" i="51"/>
  <c r="E7" i="51"/>
  <c r="E46" i="51"/>
  <c r="M122" i="37"/>
  <c r="L122" i="37"/>
  <c r="F1216" i="57"/>
  <c r="D1219" i="57"/>
  <c r="B886" i="37"/>
  <c r="B626" i="37"/>
  <c r="B391" i="37"/>
  <c r="B302" i="37"/>
  <c r="B186" i="37"/>
  <c r="L108" i="37"/>
  <c r="K108" i="37"/>
  <c r="M108" i="37"/>
  <c r="F286" i="37"/>
  <c r="E230" i="57"/>
  <c r="F230" i="57"/>
  <c r="E248" i="57"/>
  <c r="F248" i="57"/>
  <c r="E48" i="51"/>
  <c r="E37" i="51"/>
  <c r="E29" i="51"/>
  <c r="E28" i="51"/>
  <c r="E20" i="51"/>
  <c r="E3" i="51"/>
  <c r="E11" i="51"/>
  <c r="E53" i="51"/>
  <c r="E44" i="51"/>
  <c r="E35" i="51"/>
  <c r="E26" i="51"/>
  <c r="E17" i="51"/>
  <c r="E8" i="51"/>
  <c r="E45" i="51"/>
  <c r="E51" i="51"/>
  <c r="E42" i="51"/>
  <c r="E33" i="51"/>
  <c r="E24" i="51"/>
  <c r="E14" i="51"/>
  <c r="E5" i="51"/>
  <c r="E19" i="51"/>
  <c r="E36" i="51"/>
  <c r="E18" i="51"/>
  <c r="E43" i="51"/>
  <c r="E25" i="51"/>
  <c r="E6" i="51"/>
  <c r="E50" i="51"/>
  <c r="E41" i="51"/>
  <c r="E32" i="51"/>
  <c r="E22" i="51"/>
  <c r="E13" i="51"/>
  <c r="E4" i="51"/>
  <c r="E10" i="51"/>
  <c r="E54" i="51"/>
  <c r="E27" i="51"/>
  <c r="E9" i="51"/>
  <c r="E52" i="51"/>
  <c r="E34" i="51"/>
  <c r="E16" i="51"/>
  <c r="E49" i="51"/>
  <c r="E40" i="51"/>
  <c r="E30" i="51"/>
  <c r="E21" i="51"/>
  <c r="E12" i="51"/>
  <c r="E55" i="51"/>
  <c r="E47" i="51"/>
  <c r="E39" i="51"/>
  <c r="E31" i="51"/>
  <c r="E23" i="51"/>
  <c r="E15" i="51"/>
  <c r="C24" i="51"/>
  <c r="C18" i="51"/>
  <c r="G554" i="37"/>
  <c r="L554" i="37"/>
  <c r="M554" i="37"/>
  <c r="B392" i="37"/>
  <c r="B627" i="37"/>
  <c r="B303" i="37"/>
  <c r="B187" i="37"/>
  <c r="B887" i="37"/>
  <c r="N108" i="37"/>
  <c r="O108" i="37"/>
  <c r="F26" i="37"/>
  <c r="F19" i="37"/>
  <c r="C21" i="51"/>
  <c r="C31" i="51"/>
  <c r="B888" i="37"/>
  <c r="B304" i="37"/>
  <c r="B628" i="37"/>
  <c r="B188" i="37"/>
  <c r="B393" i="37"/>
  <c r="C27" i="51"/>
  <c r="D1334" i="57"/>
  <c r="D1331" i="57"/>
  <c r="C29" i="51"/>
  <c r="C28" i="51"/>
  <c r="G131" i="37"/>
  <c r="E131" i="37"/>
  <c r="G132" i="37"/>
  <c r="E132" i="37"/>
  <c r="C13" i="51"/>
  <c r="D756" i="57"/>
  <c r="D755" i="57"/>
  <c r="G284" i="37"/>
  <c r="E284" i="37"/>
  <c r="G285" i="37"/>
  <c r="E285" i="37"/>
  <c r="D1159" i="57"/>
  <c r="D1158" i="57"/>
  <c r="F1119" i="57"/>
  <c r="F1118" i="57"/>
  <c r="G860" i="57"/>
  <c r="D863" i="57"/>
  <c r="D872" i="57"/>
  <c r="B629" i="37"/>
  <c r="B305" i="37"/>
  <c r="B189" i="37"/>
  <c r="B889" i="37"/>
  <c r="D1160" i="57"/>
  <c r="D1175" i="57"/>
  <c r="G1118" i="57"/>
  <c r="D1327" i="57"/>
  <c r="D1329" i="57"/>
  <c r="E1334" i="57"/>
  <c r="F1334" i="57"/>
  <c r="B190" i="37"/>
  <c r="B306" i="37"/>
  <c r="B890" i="37"/>
  <c r="B630" i="37"/>
  <c r="F169" i="37"/>
  <c r="F359" i="37"/>
  <c r="F360" i="37"/>
  <c r="D27" i="51"/>
  <c r="H405" i="57"/>
  <c r="G386" i="57"/>
  <c r="G385" i="57"/>
  <c r="G384" i="57"/>
  <c r="G382" i="57"/>
  <c r="D446" i="57"/>
  <c r="G381" i="57"/>
  <c r="D447" i="57"/>
  <c r="G383" i="57"/>
  <c r="H246" i="14"/>
  <c r="H250" i="14"/>
  <c r="H142" i="14"/>
  <c r="H249" i="14"/>
  <c r="H248" i="14"/>
  <c r="M802" i="37"/>
  <c r="M803" i="37"/>
  <c r="M804" i="37"/>
  <c r="L805" i="37"/>
  <c r="M806" i="37"/>
  <c r="M807" i="37"/>
  <c r="L808" i="37"/>
  <c r="L809" i="37"/>
  <c r="M812" i="37"/>
  <c r="L813" i="37"/>
  <c r="L814" i="37"/>
  <c r="L815" i="37"/>
  <c r="M801" i="37"/>
  <c r="H192" i="14"/>
  <c r="E802" i="37"/>
  <c r="G802" i="37"/>
  <c r="E803" i="37"/>
  <c r="G803" i="37"/>
  <c r="E804" i="37"/>
  <c r="G804" i="37"/>
  <c r="E805" i="37"/>
  <c r="G805" i="37"/>
  <c r="E806" i="37"/>
  <c r="G806" i="37"/>
  <c r="E807" i="37"/>
  <c r="G807" i="37"/>
  <c r="E808" i="37"/>
  <c r="G808" i="37"/>
  <c r="E809" i="37"/>
  <c r="G809" i="37"/>
  <c r="E810" i="37"/>
  <c r="G810" i="37"/>
  <c r="E811" i="37"/>
  <c r="G811" i="37"/>
  <c r="E812" i="37"/>
  <c r="G812" i="37"/>
  <c r="E813" i="37"/>
  <c r="G813" i="37"/>
  <c r="E814" i="37"/>
  <c r="G814" i="37"/>
  <c r="E815" i="37"/>
  <c r="G815" i="37"/>
  <c r="G801" i="37"/>
  <c r="E801" i="37"/>
  <c r="H254" i="14"/>
  <c r="M780" i="37"/>
  <c r="L782" i="37"/>
  <c r="M783" i="37"/>
  <c r="M784" i="37"/>
  <c r="M785" i="37"/>
  <c r="M786" i="37"/>
  <c r="M788" i="37"/>
  <c r="M789" i="37"/>
  <c r="L790" i="37"/>
  <c r="L791" i="37"/>
  <c r="M792" i="37"/>
  <c r="M793" i="37"/>
  <c r="M795" i="37"/>
  <c r="M796" i="37"/>
  <c r="G796" i="37"/>
  <c r="E796" i="37"/>
  <c r="G795" i="37"/>
  <c r="E795" i="37"/>
  <c r="G793" i="37"/>
  <c r="E793" i="37"/>
  <c r="G792" i="37"/>
  <c r="E792" i="37"/>
  <c r="G791" i="37"/>
  <c r="E791" i="37"/>
  <c r="G790" i="37"/>
  <c r="E790" i="37"/>
  <c r="G789" i="37"/>
  <c r="E789" i="37"/>
  <c r="G788" i="37"/>
  <c r="E788" i="37"/>
  <c r="G787" i="37"/>
  <c r="E787" i="37"/>
  <c r="G786" i="37"/>
  <c r="E786" i="37"/>
  <c r="G785" i="37"/>
  <c r="E785" i="37"/>
  <c r="G784" i="37"/>
  <c r="E784" i="37"/>
  <c r="G783" i="37"/>
  <c r="E783" i="37"/>
  <c r="G782" i="37"/>
  <c r="E782" i="37"/>
  <c r="G781" i="37"/>
  <c r="E781" i="37"/>
  <c r="G780" i="37"/>
  <c r="E780" i="37"/>
  <c r="F58" i="37"/>
  <c r="B631" i="37"/>
  <c r="B891" i="37"/>
  <c r="B307" i="37"/>
  <c r="B191" i="37"/>
  <c r="F57" i="37"/>
  <c r="H812" i="37"/>
  <c r="K812" i="37"/>
  <c r="F56" i="37"/>
  <c r="H806" i="37"/>
  <c r="K806" i="37"/>
  <c r="H809" i="37"/>
  <c r="K809" i="37"/>
  <c r="H802" i="37"/>
  <c r="K802" i="37"/>
  <c r="H805" i="37"/>
  <c r="K805" i="37"/>
  <c r="H803" i="37"/>
  <c r="K803" i="37"/>
  <c r="H807" i="37"/>
  <c r="K807" i="37"/>
  <c r="M805" i="37"/>
  <c r="M814" i="37"/>
  <c r="L807" i="37"/>
  <c r="L812" i="37"/>
  <c r="M815" i="37"/>
  <c r="L804" i="37"/>
  <c r="L802" i="37"/>
  <c r="M813" i="37"/>
  <c r="L811" i="37"/>
  <c r="M810" i="37"/>
  <c r="L803" i="37"/>
  <c r="M811" i="37"/>
  <c r="L810" i="37"/>
  <c r="M809" i="37"/>
  <c r="M808" i="37"/>
  <c r="L806" i="37"/>
  <c r="L801" i="37"/>
  <c r="M790" i="37"/>
  <c r="L796" i="37"/>
  <c r="M791" i="37"/>
  <c r="L783" i="37"/>
  <c r="L786" i="37"/>
  <c r="L785" i="37"/>
  <c r="L792" i="37"/>
  <c r="L784" i="37"/>
  <c r="L793" i="37"/>
  <c r="L795" i="37"/>
  <c r="M782" i="37"/>
  <c r="L788" i="37"/>
  <c r="L789" i="37"/>
  <c r="L780" i="37"/>
  <c r="M731" i="37"/>
  <c r="L732" i="37"/>
  <c r="M733" i="37"/>
  <c r="M734" i="37"/>
  <c r="M735" i="37"/>
  <c r="M736" i="37"/>
  <c r="M737" i="37"/>
  <c r="M738" i="37"/>
  <c r="L739" i="37"/>
  <c r="M740" i="37"/>
  <c r="M741" i="37"/>
  <c r="M742" i="37"/>
  <c r="M743" i="37"/>
  <c r="M730" i="37"/>
  <c r="G735" i="37"/>
  <c r="E735" i="37"/>
  <c r="G734" i="37"/>
  <c r="E734" i="37"/>
  <c r="G733" i="37"/>
  <c r="E733" i="37"/>
  <c r="G732" i="37"/>
  <c r="E732" i="37"/>
  <c r="G731" i="37"/>
  <c r="E731" i="37"/>
  <c r="G730" i="37"/>
  <c r="E730" i="37"/>
  <c r="G743" i="37"/>
  <c r="E743" i="37"/>
  <c r="G742" i="37"/>
  <c r="E742" i="37"/>
  <c r="G741" i="37"/>
  <c r="E741" i="37"/>
  <c r="G740" i="37"/>
  <c r="E740" i="37"/>
  <c r="G739" i="37"/>
  <c r="E739" i="37"/>
  <c r="G738" i="37"/>
  <c r="E738" i="37"/>
  <c r="G737" i="37"/>
  <c r="E737" i="37"/>
  <c r="G736" i="37"/>
  <c r="E736" i="37"/>
  <c r="H354" i="14"/>
  <c r="B192" i="37"/>
  <c r="B308" i="37"/>
  <c r="B892" i="37"/>
  <c r="B632" i="37"/>
  <c r="M57" i="37"/>
  <c r="L57" i="37"/>
  <c r="O802" i="37"/>
  <c r="N812" i="37"/>
  <c r="N805" i="37"/>
  <c r="O809" i="37"/>
  <c r="N807" i="37"/>
  <c r="O807" i="37"/>
  <c r="O805" i="37"/>
  <c r="N802" i="37"/>
  <c r="N806" i="37"/>
  <c r="N803" i="37"/>
  <c r="N809" i="37"/>
  <c r="O812" i="37"/>
  <c r="O803" i="37"/>
  <c r="O806" i="37"/>
  <c r="M732" i="37"/>
  <c r="L740" i="37"/>
  <c r="L741" i="37"/>
  <c r="L730" i="37"/>
  <c r="L731" i="37"/>
  <c r="M739" i="37"/>
  <c r="L733" i="37"/>
  <c r="L738" i="37"/>
  <c r="L734" i="37"/>
  <c r="L742" i="37"/>
  <c r="L735" i="37"/>
  <c r="L743" i="37"/>
  <c r="L736" i="37"/>
  <c r="L737" i="37"/>
  <c r="B893" i="37"/>
  <c r="B309" i="37"/>
  <c r="B633" i="37"/>
  <c r="B193" i="37"/>
  <c r="L58" i="37"/>
  <c r="M58" i="37"/>
  <c r="H5" i="14"/>
  <c r="H783" i="14"/>
  <c r="H782" i="14"/>
  <c r="H781" i="14"/>
  <c r="H780" i="14"/>
  <c r="H779" i="14"/>
  <c r="H778" i="14"/>
  <c r="H777" i="14"/>
  <c r="H776" i="14"/>
  <c r="H325" i="14"/>
  <c r="H324" i="14"/>
  <c r="H679" i="14"/>
  <c r="H526" i="14"/>
  <c r="H352" i="14"/>
  <c r="H734" i="14"/>
  <c r="H255" i="14"/>
  <c r="G410" i="14"/>
  <c r="H489" i="14"/>
  <c r="H268" i="14"/>
  <c r="H267" i="14"/>
  <c r="H266" i="14"/>
  <c r="H261" i="14"/>
  <c r="H903" i="37"/>
  <c r="K903" i="37"/>
  <c r="H264" i="14"/>
  <c r="H265" i="14"/>
  <c r="H262" i="14"/>
  <c r="H409" i="14"/>
  <c r="H449" i="37"/>
  <c r="K449" i="37"/>
  <c r="H258" i="14"/>
  <c r="H257" i="14"/>
  <c r="G408" i="14"/>
  <c r="H408" i="14"/>
  <c r="G407" i="14"/>
  <c r="H407" i="14"/>
  <c r="H644" i="14"/>
  <c r="H643" i="14"/>
  <c r="H642" i="14"/>
  <c r="H641" i="14"/>
  <c r="H640" i="14"/>
  <c r="H639" i="14"/>
  <c r="H638" i="14"/>
  <c r="H637" i="14"/>
  <c r="H555" i="14"/>
  <c r="H667" i="14"/>
  <c r="H216" i="14"/>
  <c r="H215" i="14"/>
  <c r="H636" i="14"/>
  <c r="H635" i="14"/>
  <c r="H634" i="14"/>
  <c r="H633" i="14"/>
  <c r="H632" i="14"/>
  <c r="H631" i="14"/>
  <c r="H773" i="14"/>
  <c r="H630" i="14"/>
  <c r="H733" i="14"/>
  <c r="H629" i="14"/>
  <c r="H628" i="14"/>
  <c r="H627" i="14"/>
  <c r="H625" i="14"/>
  <c r="H624" i="14"/>
  <c r="H623" i="14"/>
  <c r="H622" i="14"/>
  <c r="H621" i="14"/>
  <c r="H620" i="14"/>
  <c r="H619" i="14"/>
  <c r="H214" i="14"/>
  <c r="H213" i="14"/>
  <c r="H212" i="14"/>
  <c r="H211" i="14"/>
  <c r="H618" i="14"/>
  <c r="H617" i="14"/>
  <c r="H616" i="14"/>
  <c r="H772" i="14"/>
  <c r="H614" i="14"/>
  <c r="H615" i="14"/>
  <c r="H613" i="14"/>
  <c r="H612" i="14"/>
  <c r="H732" i="14"/>
  <c r="H611" i="14"/>
  <c r="H610" i="14"/>
  <c r="H210" i="14"/>
  <c r="H605" i="37"/>
  <c r="K605" i="37"/>
  <c r="H209" i="14"/>
  <c r="H208" i="14"/>
  <c r="H207" i="14"/>
  <c r="H609" i="14"/>
  <c r="H608" i="14"/>
  <c r="H731" i="14"/>
  <c r="H607" i="14"/>
  <c r="H606" i="14"/>
  <c r="H605" i="14"/>
  <c r="H604" i="14"/>
  <c r="H105" i="14"/>
  <c r="H538" i="14"/>
  <c r="H603" i="14"/>
  <c r="H602" i="14"/>
  <c r="H601" i="14"/>
  <c r="H771" i="14"/>
  <c r="H770" i="14"/>
  <c r="H600" i="14"/>
  <c r="H599" i="14"/>
  <c r="H598" i="14"/>
  <c r="H597" i="14"/>
  <c r="H546" i="14"/>
  <c r="H769" i="14"/>
  <c r="H596" i="14"/>
  <c r="H595" i="14"/>
  <c r="H594" i="14"/>
  <c r="H593" i="14"/>
  <c r="H592" i="14"/>
  <c r="H591" i="14"/>
  <c r="H590" i="14"/>
  <c r="H589" i="14"/>
  <c r="H206" i="14"/>
  <c r="H201" i="14"/>
  <c r="H205" i="14"/>
  <c r="H202" i="14"/>
  <c r="H253" i="14"/>
  <c r="H658" i="37"/>
  <c r="K658" i="37"/>
  <c r="H252" i="14"/>
  <c r="H204" i="14"/>
  <c r="H203" i="14"/>
  <c r="H566" i="14"/>
  <c r="H588" i="14"/>
  <c r="H587" i="14"/>
  <c r="H586" i="14"/>
  <c r="H565" i="14"/>
  <c r="H564" i="14"/>
  <c r="H585" i="14"/>
  <c r="H584" i="14"/>
  <c r="H583" i="14"/>
  <c r="H582" i="14"/>
  <c r="H581" i="14"/>
  <c r="H580" i="14"/>
  <c r="H579" i="14"/>
  <c r="H578" i="14"/>
  <c r="H577" i="14"/>
  <c r="H561" i="14"/>
  <c r="H576" i="14"/>
  <c r="H560" i="14"/>
  <c r="H575" i="14"/>
  <c r="H574" i="14"/>
  <c r="H573" i="14"/>
  <c r="H572" i="14"/>
  <c r="H571" i="14"/>
  <c r="H559" i="14"/>
  <c r="H730" i="14"/>
  <c r="H729" i="14"/>
  <c r="H485" i="14"/>
  <c r="H484" i="14"/>
  <c r="H403" i="14"/>
  <c r="H658" i="14"/>
  <c r="H657" i="14"/>
  <c r="H656" i="14"/>
  <c r="H653" i="14"/>
  <c r="H652" i="14"/>
  <c r="H651" i="14"/>
  <c r="H499" i="14"/>
  <c r="H497" i="14"/>
  <c r="H519" i="14"/>
  <c r="H508" i="14"/>
  <c r="H518" i="14"/>
  <c r="H517" i="14"/>
  <c r="H728" i="14"/>
  <c r="H523" i="14"/>
  <c r="H521" i="14"/>
  <c r="H522" i="14"/>
  <c r="H520" i="14"/>
  <c r="H510" i="14"/>
  <c r="H515" i="14"/>
  <c r="H727" i="14"/>
  <c r="H726" i="14"/>
  <c r="H725" i="14"/>
  <c r="H507" i="14"/>
  <c r="H513" i="14"/>
  <c r="H498" i="14"/>
  <c r="H514" i="14"/>
  <c r="H509" i="14"/>
  <c r="H724" i="14"/>
  <c r="H502" i="14"/>
  <c r="H92" i="14"/>
  <c r="H723" i="14"/>
  <c r="H516" i="14"/>
  <c r="H512" i="14"/>
  <c r="H511" i="14"/>
  <c r="H722" i="14"/>
  <c r="H501" i="14"/>
  <c r="H505" i="14"/>
  <c r="H506" i="14"/>
  <c r="H504" i="14"/>
  <c r="H503" i="14"/>
  <c r="H500" i="14"/>
  <c r="H768" i="14"/>
  <c r="H570" i="14"/>
  <c r="H569" i="14"/>
  <c r="G143" i="14"/>
  <c r="H143" i="14"/>
  <c r="H767" i="14"/>
  <c r="H490" i="14"/>
  <c r="H488" i="14"/>
  <c r="H721" i="14"/>
  <c r="H720" i="14"/>
  <c r="H353" i="14"/>
  <c r="H524" i="14"/>
  <c r="H493" i="14"/>
  <c r="H480" i="14"/>
  <c r="H719" i="14"/>
  <c r="H766" i="14"/>
  <c r="H718" i="14"/>
  <c r="H475" i="14"/>
  <c r="H487" i="14"/>
  <c r="H486" i="14"/>
  <c r="H491" i="14"/>
  <c r="H492" i="14"/>
  <c r="H434" i="37"/>
  <c r="K434" i="37"/>
  <c r="H765" i="14"/>
  <c r="H717" i="14"/>
  <c r="H716" i="14"/>
  <c r="H715" i="14"/>
  <c r="H714" i="14"/>
  <c r="H713" i="14"/>
  <c r="H483" i="14"/>
  <c r="H481" i="14"/>
  <c r="H467" i="14"/>
  <c r="H712" i="14"/>
  <c r="H711" i="14"/>
  <c r="H710" i="14"/>
  <c r="H479" i="14"/>
  <c r="H478" i="14"/>
  <c r="H477" i="14"/>
  <c r="H482" i="14"/>
  <c r="H764" i="14"/>
  <c r="H763" i="14"/>
  <c r="H104" i="14"/>
  <c r="H380" i="37"/>
  <c r="H762" i="14"/>
  <c r="H709" i="14"/>
  <c r="H74" i="14"/>
  <c r="H80" i="14"/>
  <c r="H89" i="14"/>
  <c r="H78" i="14"/>
  <c r="H77" i="14"/>
  <c r="H76" i="14"/>
  <c r="H655" i="14"/>
  <c r="H75" i="14"/>
  <c r="H88" i="14"/>
  <c r="H87" i="14"/>
  <c r="H86" i="14"/>
  <c r="H73" i="14"/>
  <c r="H395" i="14"/>
  <c r="H83" i="14"/>
  <c r="H72" i="14"/>
  <c r="G654" i="14"/>
  <c r="H654" i="14"/>
  <c r="H82" i="14"/>
  <c r="H708" i="14"/>
  <c r="H404" i="14"/>
  <c r="H707" i="14"/>
  <c r="H323" i="14"/>
  <c r="H379" i="14"/>
  <c r="G437" i="14"/>
  <c r="H437" i="14"/>
  <c r="H650" i="14"/>
  <c r="H686" i="14"/>
  <c r="H378" i="14"/>
  <c r="H401" i="14"/>
  <c r="H466" i="14"/>
  <c r="H760" i="14"/>
  <c r="H285" i="14"/>
  <c r="H396" i="14"/>
  <c r="H307" i="14"/>
  <c r="H284" i="14"/>
  <c r="H286" i="14"/>
  <c r="H706" i="14"/>
  <c r="H290" i="14"/>
  <c r="H288" i="14"/>
  <c r="H705" i="14"/>
  <c r="H704" i="14"/>
  <c r="H536" i="14"/>
  <c r="H535" i="14"/>
  <c r="H534" i="14"/>
  <c r="H549" i="14"/>
  <c r="H338" i="14"/>
  <c r="H533" i="14"/>
  <c r="H350" i="14"/>
  <c r="H647" i="14"/>
  <c r="H287" i="14"/>
  <c r="H289" i="14"/>
  <c r="H269" i="14"/>
  <c r="H399" i="14"/>
  <c r="H759" i="14"/>
  <c r="H758" i="14"/>
  <c r="H687" i="14"/>
  <c r="H279" i="14"/>
  <c r="H218" i="14"/>
  <c r="H370" i="14"/>
  <c r="H137" i="37"/>
  <c r="K137" i="37"/>
  <c r="H390" i="14"/>
  <c r="H359" i="14"/>
  <c r="H548" i="14"/>
  <c r="H29" i="14"/>
  <c r="H304" i="14"/>
  <c r="H389" i="14"/>
  <c r="H281" i="14"/>
  <c r="H371" i="14"/>
  <c r="H398" i="14"/>
  <c r="H369" i="14"/>
  <c r="H388" i="14"/>
  <c r="H377" i="14"/>
  <c r="H306" i="14"/>
  <c r="H348" i="14"/>
  <c r="H376" i="14"/>
  <c r="H375" i="14"/>
  <c r="H291" i="14"/>
  <c r="H318" i="14"/>
  <c r="H703" i="14"/>
  <c r="H374" i="14"/>
  <c r="H373" i="14"/>
  <c r="H495" i="14"/>
  <c r="H339" i="14"/>
  <c r="H368" i="14"/>
  <c r="H676" i="14"/>
  <c r="H367" i="14"/>
  <c r="H311" i="14"/>
  <c r="H702" i="14"/>
  <c r="H701" i="14"/>
  <c r="H330" i="14"/>
  <c r="H312" i="14"/>
  <c r="H329" i="14"/>
  <c r="H139" i="37"/>
  <c r="K139" i="37"/>
  <c r="H465" i="14"/>
  <c r="H464" i="14"/>
  <c r="H700" i="14"/>
  <c r="H699" i="14"/>
  <c r="H468" i="14"/>
  <c r="H343" i="14"/>
  <c r="H105" i="37"/>
  <c r="K105" i="37"/>
  <c r="H90" i="14"/>
  <c r="H333" i="14"/>
  <c r="H58" i="14"/>
  <c r="H541" i="14"/>
  <c r="H302" i="14"/>
  <c r="H351" i="14"/>
  <c r="H299" i="14"/>
  <c r="H295" i="14"/>
  <c r="H296" i="14"/>
  <c r="H293" i="14"/>
  <c r="H277" i="14"/>
  <c r="H349" i="14"/>
  <c r="H532" i="14"/>
  <c r="H346" i="14"/>
  <c r="H28" i="14"/>
  <c r="H345" i="14"/>
  <c r="H344" i="14"/>
  <c r="H545" i="14"/>
  <c r="H496" i="14"/>
  <c r="H342" i="14"/>
  <c r="H341" i="14"/>
  <c r="H106" i="37"/>
  <c r="K106" i="37"/>
  <c r="H340" i="14"/>
  <c r="H675" i="14"/>
  <c r="H463" i="14"/>
  <c r="H402" i="14"/>
  <c r="H400" i="14"/>
  <c r="H337" i="14"/>
  <c r="H336" i="14"/>
  <c r="H462" i="14"/>
  <c r="H461" i="14"/>
  <c r="H531" i="14"/>
  <c r="H530" i="14"/>
  <c r="H110" i="14"/>
  <c r="H474" i="14"/>
  <c r="H334" i="14"/>
  <c r="H259" i="14"/>
  <c r="H332" i="14"/>
  <c r="H331" i="14"/>
  <c r="H61" i="14"/>
  <c r="H317" i="14"/>
  <c r="H529" i="14"/>
  <c r="H547" i="14"/>
  <c r="H646" i="14"/>
  <c r="H645" i="14"/>
  <c r="H648" i="14"/>
  <c r="H394" i="14"/>
  <c r="H393" i="14"/>
  <c r="H392" i="14"/>
  <c r="H391" i="14"/>
  <c r="H136" i="37"/>
  <c r="K136" i="37"/>
  <c r="H91" i="14"/>
  <c r="H904" i="37"/>
  <c r="K904" i="37"/>
  <c r="H310" i="14"/>
  <c r="H328" i="14"/>
  <c r="H528" i="14"/>
  <c r="H666" i="14"/>
  <c r="H322" i="14"/>
  <c r="H527" i="14"/>
  <c r="H397" i="14"/>
  <c r="H542" i="14"/>
  <c r="H460" i="14"/>
  <c r="H459" i="14"/>
  <c r="H458" i="14"/>
  <c r="H544" i="14"/>
  <c r="H321" i="14"/>
  <c r="H320" i="14"/>
  <c r="H60" i="14"/>
  <c r="H387" i="14"/>
  <c r="H386" i="14"/>
  <c r="H698" i="14"/>
  <c r="H385" i="14"/>
  <c r="H384" i="14"/>
  <c r="H380" i="14"/>
  <c r="H383" i="14"/>
  <c r="H382" i="14"/>
  <c r="H381" i="14"/>
  <c r="H327" i="14"/>
  <c r="H59" i="14"/>
  <c r="H316" i="14"/>
  <c r="H315" i="14"/>
  <c r="H75" i="37"/>
  <c r="K75" i="37"/>
  <c r="H540" i="14"/>
  <c r="H276" i="14"/>
  <c r="H697" i="14"/>
  <c r="H274" i="14"/>
  <c r="H273" i="14"/>
  <c r="H272" i="14"/>
  <c r="H270" i="14"/>
  <c r="H313" i="14"/>
  <c r="H309" i="14"/>
  <c r="H554" i="14"/>
  <c r="H525" i="14"/>
  <c r="H457" i="14"/>
  <c r="H456" i="14"/>
  <c r="H138" i="37"/>
  <c r="K138" i="37"/>
  <c r="H372" i="14"/>
  <c r="H556" i="14"/>
  <c r="H448" i="14"/>
  <c r="H305" i="14"/>
  <c r="H303" i="14"/>
  <c r="H256" i="14"/>
  <c r="H319" i="14"/>
  <c r="H326" i="14"/>
  <c r="H111" i="14"/>
  <c r="H99" i="14"/>
  <c r="H282" i="14"/>
  <c r="H107" i="14"/>
  <c r="H381" i="37"/>
  <c r="K381" i="37"/>
  <c r="H106" i="14"/>
  <c r="H301" i="14"/>
  <c r="H300" i="14"/>
  <c r="H298" i="14"/>
  <c r="H297" i="14"/>
  <c r="H112" i="14"/>
  <c r="H103" i="14"/>
  <c r="H98" i="14"/>
  <c r="H97" i="14"/>
  <c r="H96" i="14"/>
  <c r="H95" i="14"/>
  <c r="H102" i="14"/>
  <c r="H109" i="14"/>
  <c r="H696" i="14"/>
  <c r="H108" i="14"/>
  <c r="H695" i="14"/>
  <c r="H94" i="14"/>
  <c r="H93" i="14"/>
  <c r="H101" i="14"/>
  <c r="H141" i="14"/>
  <c r="G200" i="14"/>
  <c r="H200" i="14"/>
  <c r="H140" i="14"/>
  <c r="H199" i="14"/>
  <c r="H162" i="14"/>
  <c r="H238" i="14"/>
  <c r="H237" i="14"/>
  <c r="H198" i="14"/>
  <c r="H197" i="14"/>
  <c r="H196" i="14"/>
  <c r="H195" i="14"/>
  <c r="H194" i="14"/>
  <c r="H139" i="14"/>
  <c r="H243" i="14"/>
  <c r="H753" i="14"/>
  <c r="H136" i="14"/>
  <c r="H133" i="14"/>
  <c r="H131" i="14"/>
  <c r="H161" i="14"/>
  <c r="H159" i="14"/>
  <c r="H694" i="14"/>
  <c r="H242" i="14"/>
  <c r="H138" i="14"/>
  <c r="H155" i="14"/>
  <c r="H160" i="14"/>
  <c r="H182" i="14"/>
  <c r="H181" i="14"/>
  <c r="H137" i="14"/>
  <c r="H247" i="14"/>
  <c r="H693" i="14"/>
  <c r="H135" i="14"/>
  <c r="H134" i="14"/>
  <c r="H180" i="14"/>
  <c r="H179" i="14"/>
  <c r="H158" i="14"/>
  <c r="H751" i="14"/>
  <c r="H750" i="14"/>
  <c r="H132" i="14"/>
  <c r="H906" i="37"/>
  <c r="K906" i="37"/>
  <c r="H130" i="14"/>
  <c r="H908" i="37"/>
  <c r="K908" i="37"/>
  <c r="H358" i="14"/>
  <c r="H240" i="14"/>
  <c r="H177" i="14"/>
  <c r="H129" i="14"/>
  <c r="H236" i="14"/>
  <c r="H235" i="14"/>
  <c r="H128" i="14"/>
  <c r="H234" i="14"/>
  <c r="H251" i="14"/>
  <c r="H145" i="14"/>
  <c r="H233" i="14"/>
  <c r="H232" i="14"/>
  <c r="H231" i="14"/>
  <c r="H127" i="14"/>
  <c r="H230" i="14"/>
  <c r="H157" i="14"/>
  <c r="H749" i="14"/>
  <c r="H191" i="14"/>
  <c r="H126" i="14"/>
  <c r="H125" i="14"/>
  <c r="H124" i="14"/>
  <c r="H123" i="14"/>
  <c r="H122" i="14"/>
  <c r="H244" i="14"/>
  <c r="H156" i="14"/>
  <c r="H154" i="14"/>
  <c r="H153" i="14"/>
  <c r="H239" i="14"/>
  <c r="H121" i="14"/>
  <c r="H229" i="14"/>
  <c r="H120" i="14"/>
  <c r="H228" i="14"/>
  <c r="H227" i="14"/>
  <c r="H119" i="14"/>
  <c r="H118" i="14"/>
  <c r="H117" i="14"/>
  <c r="H116" i="14"/>
  <c r="H115" i="14"/>
  <c r="H114" i="14"/>
  <c r="H113" i="14"/>
  <c r="H226" i="14"/>
  <c r="H225" i="14"/>
  <c r="G190" i="14"/>
  <c r="H190" i="14"/>
  <c r="H543" i="14"/>
  <c r="H224" i="14"/>
  <c r="H748" i="14"/>
  <c r="H222" i="14"/>
  <c r="H217" i="14"/>
  <c r="H657" i="37"/>
  <c r="K657" i="37"/>
  <c r="H221" i="14"/>
  <c r="H178" i="14"/>
  <c r="H176" i="14"/>
  <c r="H175" i="14"/>
  <c r="H174" i="14"/>
  <c r="H173" i="14"/>
  <c r="H172" i="14"/>
  <c r="H171" i="14"/>
  <c r="H170" i="14"/>
  <c r="H169" i="14"/>
  <c r="H168" i="14"/>
  <c r="H167" i="14"/>
  <c r="H166" i="14"/>
  <c r="H165" i="14"/>
  <c r="H164" i="14"/>
  <c r="H163" i="14"/>
  <c r="H692" i="37"/>
  <c r="K692" i="37"/>
  <c r="H189" i="14"/>
  <c r="H188" i="14"/>
  <c r="H187" i="14"/>
  <c r="H186" i="14"/>
  <c r="H185" i="14"/>
  <c r="H184" i="14"/>
  <c r="H183" i="14"/>
  <c r="H220" i="14"/>
  <c r="H219" i="14"/>
  <c r="H152" i="14"/>
  <c r="H151" i="14"/>
  <c r="H150" i="14"/>
  <c r="H149" i="14"/>
  <c r="H148" i="14"/>
  <c r="H147" i="14"/>
  <c r="H146" i="14"/>
  <c r="H567" i="14"/>
  <c r="H747" i="14"/>
  <c r="H563" i="14"/>
  <c r="H562" i="14"/>
  <c r="H539" i="14"/>
  <c r="H418" i="14"/>
  <c r="G692" i="14"/>
  <c r="H692" i="14"/>
  <c r="H473" i="14"/>
  <c r="H436" i="14"/>
  <c r="H665" i="14"/>
  <c r="H294" i="14"/>
  <c r="H664" i="14"/>
  <c r="H663" i="14"/>
  <c r="H662" i="14"/>
  <c r="H280" i="14"/>
  <c r="H661" i="14"/>
  <c r="H292" i="14"/>
  <c r="G671" i="14"/>
  <c r="H671" i="14"/>
  <c r="H670" i="14"/>
  <c r="G660" i="14"/>
  <c r="H660" i="14"/>
  <c r="H668" i="14"/>
  <c r="H472" i="14"/>
  <c r="H672" i="14"/>
  <c r="G435" i="14"/>
  <c r="H435" i="14"/>
  <c r="G659" i="14"/>
  <c r="H659" i="14"/>
  <c r="H471" i="14"/>
  <c r="H470" i="14"/>
  <c r="H469" i="14"/>
  <c r="H275" i="14"/>
  <c r="H271" i="14"/>
  <c r="H308" i="14"/>
  <c r="H223" i="14"/>
  <c r="H424" i="14"/>
  <c r="G433" i="14"/>
  <c r="H447" i="14"/>
  <c r="H432" i="14"/>
  <c r="H431" i="14"/>
  <c r="H430" i="14"/>
  <c r="H406" i="14"/>
  <c r="H446" i="14"/>
  <c r="H445" i="14"/>
  <c r="H444" i="14"/>
  <c r="H443" i="14"/>
  <c r="H429" i="14"/>
  <c r="H428" i="14"/>
  <c r="H427" i="14"/>
  <c r="H426" i="14"/>
  <c r="H442" i="14"/>
  <c r="H423" i="14"/>
  <c r="H552" i="14"/>
  <c r="H735" i="14"/>
  <c r="H441" i="14"/>
  <c r="H425" i="14"/>
  <c r="H691" i="14"/>
  <c r="H421" i="14"/>
  <c r="H422" i="14"/>
  <c r="H405" i="14"/>
  <c r="H690" i="14"/>
  <c r="H439" i="14"/>
  <c r="H438" i="14"/>
  <c r="H434" i="14"/>
  <c r="H440" i="14"/>
  <c r="H417" i="14"/>
  <c r="H416" i="14"/>
  <c r="H419" i="14"/>
  <c r="H415" i="14"/>
  <c r="H412" i="14"/>
  <c r="H414" i="14"/>
  <c r="H46" i="14"/>
  <c r="H45" i="14"/>
  <c r="H689" i="14"/>
  <c r="H22" i="14"/>
  <c r="H44" i="14"/>
  <c r="H43" i="14"/>
  <c r="H23" i="14"/>
  <c r="H27" i="14"/>
  <c r="H26" i="14"/>
  <c r="H743" i="14"/>
  <c r="H42" i="14"/>
  <c r="H41" i="14"/>
  <c r="H40" i="14"/>
  <c r="H119" i="37"/>
  <c r="H39" i="14"/>
  <c r="H15" i="14"/>
  <c r="H21" i="14"/>
  <c r="H123" i="37"/>
  <c r="K123" i="37"/>
  <c r="H688" i="14"/>
  <c r="H245" i="14"/>
  <c r="H742" i="14"/>
  <c r="H38" i="14"/>
  <c r="H19" i="14"/>
  <c r="H18" i="14"/>
  <c r="H741" i="14"/>
  <c r="H25" i="14"/>
  <c r="H47" i="14"/>
  <c r="H557" i="14"/>
  <c r="H37" i="14"/>
  <c r="H55" i="14"/>
  <c r="H54" i="14"/>
  <c r="H53" i="14"/>
  <c r="H52" i="14"/>
  <c r="H51" i="14"/>
  <c r="H50" i="14"/>
  <c r="H49" i="14"/>
  <c r="H36" i="14"/>
  <c r="H35" i="14"/>
  <c r="H34" i="14"/>
  <c r="H33" i="14"/>
  <c r="H32" i="14"/>
  <c r="H31" i="14"/>
  <c r="H30" i="14"/>
  <c r="H558" i="14"/>
  <c r="H17" i="14"/>
  <c r="H16" i="14"/>
  <c r="H14" i="14"/>
  <c r="H122" i="37"/>
  <c r="K122" i="37"/>
  <c r="H48" i="14"/>
  <c r="H24" i="14"/>
  <c r="H13" i="14"/>
  <c r="H12" i="14"/>
  <c r="H413" i="14"/>
  <c r="H740" i="14"/>
  <c r="H551" i="14"/>
  <c r="H550" i="14"/>
  <c r="H81" i="14"/>
  <c r="H84" i="14"/>
  <c r="H57" i="14"/>
  <c r="H67" i="14"/>
  <c r="H56" i="14"/>
  <c r="H70" i="14"/>
  <c r="H69" i="14"/>
  <c r="H68" i="14"/>
  <c r="H62" i="14"/>
  <c r="H63" i="14"/>
  <c r="H85" i="14"/>
  <c r="H64" i="14"/>
  <c r="H65" i="14"/>
  <c r="H66" i="14"/>
  <c r="H476" i="14"/>
  <c r="H100" i="14"/>
  <c r="H738" i="14"/>
  <c r="H737" i="14"/>
  <c r="H366" i="14"/>
  <c r="H365" i="14"/>
  <c r="H364" i="14"/>
  <c r="H363" i="14"/>
  <c r="H362" i="14"/>
  <c r="H361" i="14"/>
  <c r="H682" i="14"/>
  <c r="H685" i="14"/>
  <c r="H684" i="14"/>
  <c r="H683" i="14"/>
  <c r="H736" i="14"/>
  <c r="H681" i="14"/>
  <c r="H10" i="14"/>
  <c r="H9" i="14"/>
  <c r="H8" i="14"/>
  <c r="H680" i="14"/>
  <c r="H678" i="14"/>
  <c r="H677" i="14"/>
  <c r="H360" i="14"/>
  <c r="H4" i="14"/>
  <c r="H3" i="14"/>
  <c r="H2" i="14"/>
  <c r="H76" i="37"/>
  <c r="K76" i="37"/>
  <c r="H107" i="37"/>
  <c r="K107" i="37"/>
  <c r="H317" i="37"/>
  <c r="K317" i="37"/>
  <c r="H259" i="37"/>
  <c r="H47" i="37"/>
  <c r="K47" i="37"/>
  <c r="H273" i="37"/>
  <c r="K273" i="37"/>
  <c r="H289" i="37"/>
  <c r="K289" i="37"/>
  <c r="O434" i="37"/>
  <c r="N434" i="37"/>
  <c r="H71" i="37"/>
  <c r="K71" i="37"/>
  <c r="O71" i="37"/>
  <c r="O449" i="37"/>
  <c r="N449" i="37"/>
  <c r="H433" i="37"/>
  <c r="K433" i="37"/>
  <c r="H432" i="37"/>
  <c r="O381" i="37"/>
  <c r="N381" i="37"/>
  <c r="O908" i="37"/>
  <c r="N908" i="37"/>
  <c r="O906" i="37"/>
  <c r="N906" i="37"/>
  <c r="O904" i="37"/>
  <c r="N904" i="37"/>
  <c r="O138" i="37"/>
  <c r="N138" i="37"/>
  <c r="O139" i="37"/>
  <c r="N139" i="37"/>
  <c r="O903" i="37"/>
  <c r="N903" i="37"/>
  <c r="N123" i="37"/>
  <c r="O123" i="37"/>
  <c r="O136" i="37"/>
  <c r="N136" i="37"/>
  <c r="O137" i="37"/>
  <c r="N137" i="37"/>
  <c r="O122" i="37"/>
  <c r="N122" i="37"/>
  <c r="O75" i="37"/>
  <c r="N75" i="37"/>
  <c r="H72" i="37"/>
  <c r="K72" i="37"/>
  <c r="N72" i="37"/>
  <c r="H103" i="37"/>
  <c r="K103" i="37"/>
  <c r="O106" i="37"/>
  <c r="N106" i="37"/>
  <c r="O105" i="37"/>
  <c r="N105" i="37"/>
  <c r="J505" i="14"/>
  <c r="H70" i="37"/>
  <c r="K70" i="37"/>
  <c r="H102" i="37"/>
  <c r="K102" i="37"/>
  <c r="O657" i="37"/>
  <c r="N657" i="37"/>
  <c r="H691" i="37"/>
  <c r="K691" i="37"/>
  <c r="O691" i="37"/>
  <c r="H656" i="37"/>
  <c r="K656" i="37"/>
  <c r="O658" i="37"/>
  <c r="N658" i="37"/>
  <c r="B194" i="37"/>
  <c r="B634" i="37"/>
  <c r="B310" i="37"/>
  <c r="B894" i="37"/>
  <c r="O692" i="37"/>
  <c r="N692" i="37"/>
  <c r="O605" i="37"/>
  <c r="N605" i="37"/>
  <c r="H57" i="37"/>
  <c r="K57" i="37"/>
  <c r="H41" i="37"/>
  <c r="H90" i="37"/>
  <c r="K90" i="37"/>
  <c r="H58" i="37"/>
  <c r="K58" i="37"/>
  <c r="N58" i="37"/>
  <c r="H886" i="37"/>
  <c r="K886" i="37"/>
  <c r="O886" i="37"/>
  <c r="H918" i="37"/>
  <c r="K918" i="37"/>
  <c r="O918" i="37"/>
  <c r="H865" i="37"/>
  <c r="K865" i="37"/>
  <c r="O865" i="37"/>
  <c r="H862" i="37"/>
  <c r="K862" i="37"/>
  <c r="O862" i="37"/>
  <c r="H721" i="37"/>
  <c r="K721" i="37"/>
  <c r="O721" i="37"/>
  <c r="H815" i="37"/>
  <c r="K815" i="37"/>
  <c r="N815" i="37"/>
  <c r="H796" i="37"/>
  <c r="K796" i="37"/>
  <c r="N796" i="37"/>
  <c r="H148" i="37"/>
  <c r="K148" i="37"/>
  <c r="N148" i="37"/>
  <c r="H885" i="37"/>
  <c r="K885" i="37"/>
  <c r="N885" i="37"/>
  <c r="H314" i="37"/>
  <c r="H884" i="37"/>
  <c r="K884" i="37"/>
  <c r="N884" i="37"/>
  <c r="H645" i="37"/>
  <c r="K645" i="37"/>
  <c r="N645" i="37"/>
  <c r="H916" i="37"/>
  <c r="H717" i="37"/>
  <c r="K717" i="37"/>
  <c r="O717" i="37"/>
  <c r="H854" i="37"/>
  <c r="K854" i="37"/>
  <c r="N854" i="37"/>
  <c r="J516" i="14"/>
  <c r="H882" i="37"/>
  <c r="K882" i="37"/>
  <c r="O882" i="37"/>
  <c r="H810" i="37"/>
  <c r="K810" i="37"/>
  <c r="O810" i="37"/>
  <c r="H415" i="37"/>
  <c r="H804" i="37"/>
  <c r="K804" i="37"/>
  <c r="N804" i="37"/>
  <c r="H813" i="37"/>
  <c r="K813" i="37"/>
  <c r="O813" i="37"/>
  <c r="H641" i="37"/>
  <c r="K641" i="37"/>
  <c r="O641" i="37"/>
  <c r="H718" i="37"/>
  <c r="K718" i="37"/>
  <c r="O718" i="37"/>
  <c r="H384" i="37"/>
  <c r="H722" i="37"/>
  <c r="K722" i="37"/>
  <c r="O722" i="37"/>
  <c r="H416" i="37"/>
  <c r="H801" i="37"/>
  <c r="K801" i="37"/>
  <c r="N801" i="37"/>
  <c r="H814" i="37"/>
  <c r="K814" i="37"/>
  <c r="O814" i="37"/>
  <c r="H808" i="37"/>
  <c r="K808" i="37"/>
  <c r="N808" i="37"/>
  <c r="H680" i="37"/>
  <c r="K680" i="37"/>
  <c r="N680" i="37"/>
  <c r="H683" i="37"/>
  <c r="K683" i="37"/>
  <c r="O683" i="37"/>
  <c r="H719" i="37"/>
  <c r="K719" i="37"/>
  <c r="O719" i="37"/>
  <c r="H644" i="37"/>
  <c r="K644" i="37"/>
  <c r="N644" i="37"/>
  <c r="H883" i="37"/>
  <c r="K883" i="37"/>
  <c r="O883" i="37"/>
  <c r="H863" i="37"/>
  <c r="K863" i="37"/>
  <c r="N863" i="37"/>
  <c r="H925" i="37"/>
  <c r="K925" i="37"/>
  <c r="O925" i="37"/>
  <c r="H915" i="37"/>
  <c r="H150" i="37"/>
  <c r="H300" i="37"/>
  <c r="K300" i="37"/>
  <c r="O300" i="37"/>
  <c r="H350" i="37"/>
  <c r="H603" i="37"/>
  <c r="K603" i="37"/>
  <c r="O603" i="37"/>
  <c r="H349" i="37"/>
  <c r="H689" i="37"/>
  <c r="K689" i="37"/>
  <c r="O689" i="37"/>
  <c r="H149" i="37"/>
  <c r="H151" i="37"/>
  <c r="H720" i="37"/>
  <c r="K720" i="37"/>
  <c r="N720" i="37"/>
  <c r="H681" i="37"/>
  <c r="K681" i="37"/>
  <c r="O681" i="37"/>
  <c r="H414" i="37"/>
  <c r="H649" i="37"/>
  <c r="K649" i="37"/>
  <c r="N649" i="37"/>
  <c r="H553" i="37"/>
  <c r="K553" i="37"/>
  <c r="N553" i="37"/>
  <c r="H410" i="14"/>
  <c r="H924" i="37"/>
  <c r="K924" i="37"/>
  <c r="H881" i="37"/>
  <c r="K881" i="37"/>
  <c r="H831" i="37"/>
  <c r="K831" i="37"/>
  <c r="H921" i="37"/>
  <c r="K921" i="37"/>
  <c r="H828" i="37"/>
  <c r="K828" i="37"/>
  <c r="H869" i="37"/>
  <c r="K869" i="37"/>
  <c r="H852" i="37"/>
  <c r="K852" i="37"/>
  <c r="H866" i="37"/>
  <c r="K866" i="37"/>
  <c r="H849" i="37"/>
  <c r="K849" i="37"/>
  <c r="H870" i="37"/>
  <c r="K870" i="37"/>
  <c r="H853" i="37"/>
  <c r="K853" i="37"/>
  <c r="H923" i="37"/>
  <c r="K923" i="37"/>
  <c r="H830" i="37"/>
  <c r="K830" i="37"/>
  <c r="H880" i="37"/>
  <c r="K880" i="37"/>
  <c r="H867" i="37"/>
  <c r="K867" i="37"/>
  <c r="H850" i="37"/>
  <c r="K850" i="37"/>
  <c r="H829" i="37"/>
  <c r="K829" i="37"/>
  <c r="H922" i="37"/>
  <c r="K922" i="37"/>
  <c r="H826" i="37"/>
  <c r="K826" i="37"/>
  <c r="H878" i="37"/>
  <c r="K878" i="37"/>
  <c r="H868" i="37"/>
  <c r="K868" i="37"/>
  <c r="H851" i="37"/>
  <c r="K851" i="37"/>
  <c r="H811" i="37"/>
  <c r="K811" i="37"/>
  <c r="O811" i="37"/>
  <c r="H794" i="37"/>
  <c r="K794" i="37"/>
  <c r="H647" i="37"/>
  <c r="K647" i="37"/>
  <c r="H687" i="37"/>
  <c r="K687" i="37"/>
  <c r="H629" i="37"/>
  <c r="K629" i="37"/>
  <c r="O629" i="37"/>
  <c r="H655" i="37"/>
  <c r="K655" i="37"/>
  <c r="H682" i="37"/>
  <c r="K682" i="37"/>
  <c r="H611" i="37"/>
  <c r="K611" i="37"/>
  <c r="H637" i="37"/>
  <c r="K637" i="37"/>
  <c r="H737" i="37"/>
  <c r="K737" i="37"/>
  <c r="N737" i="37"/>
  <c r="H670" i="37"/>
  <c r="K670" i="37"/>
  <c r="H613" i="37"/>
  <c r="K613" i="37"/>
  <c r="N613" i="37"/>
  <c r="H688" i="37"/>
  <c r="K688" i="37"/>
  <c r="H639" i="37"/>
  <c r="K639" i="37"/>
  <c r="H685" i="37"/>
  <c r="K685" i="37"/>
  <c r="H643" i="37"/>
  <c r="K643" i="37"/>
  <c r="H739" i="37"/>
  <c r="K739" i="37"/>
  <c r="O739" i="37"/>
  <c r="H672" i="37"/>
  <c r="K672" i="37"/>
  <c r="H626" i="37"/>
  <c r="K626" i="37"/>
  <c r="O626" i="37"/>
  <c r="H652" i="37"/>
  <c r="K652" i="37"/>
  <c r="H668" i="37"/>
  <c r="K668" i="37"/>
  <c r="H654" i="37"/>
  <c r="K654" i="37"/>
  <c r="H740" i="37"/>
  <c r="K740" i="37"/>
  <c r="N740" i="37"/>
  <c r="H673" i="37"/>
  <c r="K673" i="37"/>
  <c r="H738" i="37"/>
  <c r="K738" i="37"/>
  <c r="N738" i="37"/>
  <c r="H671" i="37"/>
  <c r="K671" i="37"/>
  <c r="H627" i="37"/>
  <c r="K627" i="37"/>
  <c r="O627" i="37"/>
  <c r="H653" i="37"/>
  <c r="K653" i="37"/>
  <c r="H612" i="37"/>
  <c r="K612" i="37"/>
  <c r="H663" i="37"/>
  <c r="K663" i="37"/>
  <c r="H638" i="37"/>
  <c r="K638" i="37"/>
  <c r="H642" i="37"/>
  <c r="K642" i="37"/>
  <c r="H664" i="37"/>
  <c r="K664" i="37"/>
  <c r="H666" i="37"/>
  <c r="K666" i="37"/>
  <c r="H648" i="37"/>
  <c r="K648" i="37"/>
  <c r="H736" i="37"/>
  <c r="K736" i="37"/>
  <c r="N736" i="37"/>
  <c r="H669" i="37"/>
  <c r="K669" i="37"/>
  <c r="H734" i="37"/>
  <c r="K734" i="37"/>
  <c r="N734" i="37"/>
  <c r="H667" i="37"/>
  <c r="K667" i="37"/>
  <c r="H742" i="37"/>
  <c r="K742" i="37"/>
  <c r="O742" i="37"/>
  <c r="H675" i="37"/>
  <c r="K675" i="37"/>
  <c r="H624" i="37"/>
  <c r="K624" i="37"/>
  <c r="N624" i="37"/>
  <c r="H650" i="37"/>
  <c r="K650" i="37"/>
  <c r="H741" i="37"/>
  <c r="K741" i="37"/>
  <c r="O741" i="37"/>
  <c r="H674" i="37"/>
  <c r="K674" i="37"/>
  <c r="H679" i="37"/>
  <c r="K679" i="37"/>
  <c r="H677" i="37"/>
  <c r="K677" i="37"/>
  <c r="H678" i="37"/>
  <c r="K678" i="37"/>
  <c r="H676" i="37"/>
  <c r="K676" i="37"/>
  <c r="H631" i="37"/>
  <c r="K631" i="37"/>
  <c r="O631" i="37"/>
  <c r="H686" i="37"/>
  <c r="K686" i="37"/>
  <c r="H625" i="37"/>
  <c r="K625" i="37"/>
  <c r="O625" i="37"/>
  <c r="H651" i="37"/>
  <c r="K651" i="37"/>
  <c r="H610" i="37"/>
  <c r="K610" i="37"/>
  <c r="O610" i="37"/>
  <c r="H636" i="37"/>
  <c r="K636" i="37"/>
  <c r="H614" i="37"/>
  <c r="K614" i="37"/>
  <c r="N614" i="37"/>
  <c r="H640" i="37"/>
  <c r="K640" i="37"/>
  <c r="H665" i="37"/>
  <c r="K665" i="37"/>
  <c r="H646" i="37"/>
  <c r="K646" i="37"/>
  <c r="H566" i="37"/>
  <c r="K566" i="37"/>
  <c r="H616" i="37"/>
  <c r="K616" i="37"/>
  <c r="H621" i="37"/>
  <c r="K621" i="37"/>
  <c r="H571" i="37"/>
  <c r="K571" i="37"/>
  <c r="H567" i="37"/>
  <c r="K567" i="37"/>
  <c r="H617" i="37"/>
  <c r="K617" i="37"/>
  <c r="H735" i="37"/>
  <c r="K735" i="37"/>
  <c r="N735" i="37"/>
  <c r="H628" i="37"/>
  <c r="K628" i="37"/>
  <c r="H623" i="37"/>
  <c r="K623" i="37"/>
  <c r="H573" i="37"/>
  <c r="K573" i="37"/>
  <c r="H733" i="37"/>
  <c r="K733" i="37"/>
  <c r="N733" i="37"/>
  <c r="H622" i="37"/>
  <c r="K622" i="37"/>
  <c r="H572" i="37"/>
  <c r="K572" i="37"/>
  <c r="H618" i="37"/>
  <c r="K618" i="37"/>
  <c r="H568" i="37"/>
  <c r="K568" i="37"/>
  <c r="H619" i="37"/>
  <c r="K619" i="37"/>
  <c r="H569" i="37"/>
  <c r="K569" i="37"/>
  <c r="H565" i="37"/>
  <c r="K565" i="37"/>
  <c r="H615" i="37"/>
  <c r="K615" i="37"/>
  <c r="H620" i="37"/>
  <c r="K620" i="37"/>
  <c r="H570" i="37"/>
  <c r="K570" i="37"/>
  <c r="H284" i="37"/>
  <c r="H313" i="37"/>
  <c r="K313" i="37"/>
  <c r="H730" i="37"/>
  <c r="K730" i="37"/>
  <c r="O730" i="37"/>
  <c r="H731" i="37"/>
  <c r="K731" i="37"/>
  <c r="O731" i="37"/>
  <c r="H732" i="37"/>
  <c r="K732" i="37"/>
  <c r="N732" i="37"/>
  <c r="H285" i="37"/>
  <c r="H132" i="37"/>
  <c r="H131" i="37"/>
  <c r="H781" i="37"/>
  <c r="G786" i="14"/>
  <c r="H783" i="37"/>
  <c r="K783" i="37"/>
  <c r="N783" i="37"/>
  <c r="H780" i="37"/>
  <c r="K780" i="37"/>
  <c r="N780" i="37"/>
  <c r="H782" i="37"/>
  <c r="K782" i="37"/>
  <c r="O782" i="37"/>
  <c r="H789" i="37"/>
  <c r="K789" i="37"/>
  <c r="H792" i="37"/>
  <c r="K792" i="37"/>
  <c r="H786" i="37"/>
  <c r="K786" i="37"/>
  <c r="H787" i="37"/>
  <c r="H793" i="37"/>
  <c r="K793" i="37"/>
  <c r="H784" i="37"/>
  <c r="K784" i="37"/>
  <c r="H790" i="37"/>
  <c r="K790" i="37"/>
  <c r="H785" i="37"/>
  <c r="K785" i="37"/>
  <c r="H791" i="37"/>
  <c r="K791" i="37"/>
  <c r="H795" i="37"/>
  <c r="K795" i="37"/>
  <c r="H788" i="37"/>
  <c r="K788" i="37"/>
  <c r="H743" i="37"/>
  <c r="K743" i="37"/>
  <c r="H433" i="14"/>
  <c r="E162" i="37"/>
  <c r="D102" i="57"/>
  <c r="D171" i="59"/>
  <c r="D267" i="57"/>
  <c r="D100" i="57"/>
  <c r="D260" i="57"/>
  <c r="D99" i="57"/>
  <c r="D259" i="57"/>
  <c r="O466" i="37"/>
  <c r="O289" i="37"/>
  <c r="N289" i="37"/>
  <c r="O273" i="37"/>
  <c r="N273" i="37"/>
  <c r="O47" i="37"/>
  <c r="N47" i="37"/>
  <c r="O317" i="37"/>
  <c r="N317" i="37"/>
  <c r="O107" i="37"/>
  <c r="N107" i="37"/>
  <c r="N76" i="37"/>
  <c r="O76" i="37"/>
  <c r="N71" i="37"/>
  <c r="O433" i="37"/>
  <c r="N433" i="37"/>
  <c r="O72" i="37"/>
  <c r="O103" i="37"/>
  <c r="N103" i="37"/>
  <c r="N102" i="37"/>
  <c r="O102" i="37"/>
  <c r="N70" i="37"/>
  <c r="O70" i="37"/>
  <c r="N691" i="37"/>
  <c r="O656" i="37"/>
  <c r="N656" i="37"/>
  <c r="B895" i="37"/>
  <c r="B311" i="37"/>
  <c r="B635" i="37"/>
  <c r="B195" i="37"/>
  <c r="O58" i="37"/>
  <c r="N90" i="37"/>
  <c r="O90" i="37"/>
  <c r="N57" i="37"/>
  <c r="O57" i="37"/>
  <c r="N886" i="37"/>
  <c r="N718" i="37"/>
  <c r="N721" i="37"/>
  <c r="O808" i="37"/>
  <c r="N814" i="37"/>
  <c r="O885" i="37"/>
  <c r="O148" i="37"/>
  <c r="N717" i="37"/>
  <c r="O645" i="37"/>
  <c r="N813" i="37"/>
  <c r="N722" i="37"/>
  <c r="O815" i="37"/>
  <c r="N681" i="37"/>
  <c r="N883" i="37"/>
  <c r="O854" i="37"/>
  <c r="N918" i="37"/>
  <c r="N689" i="37"/>
  <c r="N300" i="37"/>
  <c r="O680" i="37"/>
  <c r="N641" i="37"/>
  <c r="O863" i="37"/>
  <c r="N925" i="37"/>
  <c r="O801" i="37"/>
  <c r="O553" i="37"/>
  <c r="N719" i="37"/>
  <c r="O644" i="37"/>
  <c r="N862" i="37"/>
  <c r="O804" i="37"/>
  <c r="O649" i="37"/>
  <c r="O884" i="37"/>
  <c r="N603" i="37"/>
  <c r="O720" i="37"/>
  <c r="O796" i="37"/>
  <c r="N865" i="37"/>
  <c r="N810" i="37"/>
  <c r="N683" i="37"/>
  <c r="N882" i="37"/>
  <c r="F916" i="37"/>
  <c r="M916" i="37"/>
  <c r="O869" i="37"/>
  <c r="N869" i="37"/>
  <c r="O922" i="37"/>
  <c r="N922" i="37"/>
  <c r="O870" i="37"/>
  <c r="N870" i="37"/>
  <c r="O829" i="37"/>
  <c r="N829" i="37"/>
  <c r="N849" i="37"/>
  <c r="O849" i="37"/>
  <c r="N828" i="37"/>
  <c r="O828" i="37"/>
  <c r="O921" i="37"/>
  <c r="N921" i="37"/>
  <c r="N831" i="37"/>
  <c r="O831" i="37"/>
  <c r="O850" i="37"/>
  <c r="N850" i="37"/>
  <c r="O866" i="37"/>
  <c r="N866" i="37"/>
  <c r="O868" i="37"/>
  <c r="N868" i="37"/>
  <c r="O867" i="37"/>
  <c r="N867" i="37"/>
  <c r="K860" i="37"/>
  <c r="N881" i="37"/>
  <c r="O881" i="37"/>
  <c r="O852" i="37"/>
  <c r="N852" i="37"/>
  <c r="O851" i="37"/>
  <c r="N851" i="37"/>
  <c r="O878" i="37"/>
  <c r="N878" i="37"/>
  <c r="K875" i="37"/>
  <c r="O880" i="37"/>
  <c r="N880" i="37"/>
  <c r="N924" i="37"/>
  <c r="O924" i="37"/>
  <c r="O853" i="37"/>
  <c r="N853" i="37"/>
  <c r="N826" i="37"/>
  <c r="O826" i="37"/>
  <c r="N830" i="37"/>
  <c r="O830" i="37"/>
  <c r="O923" i="37"/>
  <c r="N923" i="37"/>
  <c r="N811" i="37"/>
  <c r="O611" i="37"/>
  <c r="N611" i="37"/>
  <c r="O612" i="37"/>
  <c r="N612" i="37"/>
  <c r="N794" i="37"/>
  <c r="O794" i="37"/>
  <c r="N626" i="37"/>
  <c r="O738" i="37"/>
  <c r="N739" i="37"/>
  <c r="O740" i="37"/>
  <c r="N629" i="37"/>
  <c r="N631" i="37"/>
  <c r="O737" i="37"/>
  <c r="O734" i="37"/>
  <c r="N742" i="37"/>
  <c r="O614" i="37"/>
  <c r="N610" i="37"/>
  <c r="K609" i="37"/>
  <c r="N741" i="37"/>
  <c r="K662" i="37"/>
  <c r="N663" i="37"/>
  <c r="O663" i="37"/>
  <c r="N653" i="37"/>
  <c r="O653" i="37"/>
  <c r="O686" i="37"/>
  <c r="N686" i="37"/>
  <c r="N637" i="37"/>
  <c r="O637" i="37"/>
  <c r="N643" i="37"/>
  <c r="O643" i="37"/>
  <c r="N665" i="37"/>
  <c r="O665" i="37"/>
  <c r="N638" i="37"/>
  <c r="O638" i="37"/>
  <c r="O670" i="37"/>
  <c r="N670" i="37"/>
  <c r="N625" i="37"/>
  <c r="O640" i="37"/>
  <c r="N640" i="37"/>
  <c r="N671" i="37"/>
  <c r="O671" i="37"/>
  <c r="N652" i="37"/>
  <c r="O652" i="37"/>
  <c r="N627" i="37"/>
  <c r="O613" i="37"/>
  <c r="O624" i="37"/>
  <c r="N636" i="37"/>
  <c r="K635" i="37"/>
  <c r="O636" i="37"/>
  <c r="O676" i="37"/>
  <c r="N676" i="37"/>
  <c r="N667" i="37"/>
  <c r="O667" i="37"/>
  <c r="O648" i="37"/>
  <c r="N648" i="37"/>
  <c r="O685" i="37"/>
  <c r="N685" i="37"/>
  <c r="N682" i="37"/>
  <c r="O682" i="37"/>
  <c r="O655" i="37"/>
  <c r="N655" i="37"/>
  <c r="O679" i="37"/>
  <c r="N679" i="37"/>
  <c r="N642" i="37"/>
  <c r="O642" i="37"/>
  <c r="O674" i="37"/>
  <c r="N674" i="37"/>
  <c r="O675" i="37"/>
  <c r="N675" i="37"/>
  <c r="O668" i="37"/>
  <c r="N668" i="37"/>
  <c r="O736" i="37"/>
  <c r="O678" i="37"/>
  <c r="N678" i="37"/>
  <c r="O666" i="37"/>
  <c r="N666" i="37"/>
  <c r="O673" i="37"/>
  <c r="N673" i="37"/>
  <c r="N672" i="37"/>
  <c r="O672" i="37"/>
  <c r="O639" i="37"/>
  <c r="N639" i="37"/>
  <c r="O646" i="37"/>
  <c r="N646" i="37"/>
  <c r="N651" i="37"/>
  <c r="O651" i="37"/>
  <c r="O677" i="37"/>
  <c r="N677" i="37"/>
  <c r="N650" i="37"/>
  <c r="O650" i="37"/>
  <c r="O669" i="37"/>
  <c r="N669" i="37"/>
  <c r="O664" i="37"/>
  <c r="N664" i="37"/>
  <c r="O688" i="37"/>
  <c r="N688" i="37"/>
  <c r="O654" i="37"/>
  <c r="N654" i="37"/>
  <c r="O687" i="37"/>
  <c r="N687" i="37"/>
  <c r="O647" i="37"/>
  <c r="N647" i="37"/>
  <c r="O733" i="37"/>
  <c r="O735" i="37"/>
  <c r="O628" i="37"/>
  <c r="N628" i="37"/>
  <c r="N572" i="37"/>
  <c r="O572" i="37"/>
  <c r="O621" i="37"/>
  <c r="N621" i="37"/>
  <c r="O616" i="37"/>
  <c r="N616" i="37"/>
  <c r="O620" i="37"/>
  <c r="N620" i="37"/>
  <c r="N566" i="37"/>
  <c r="O566" i="37"/>
  <c r="N569" i="37"/>
  <c r="O569" i="37"/>
  <c r="O573" i="37"/>
  <c r="N573" i="37"/>
  <c r="O617" i="37"/>
  <c r="N617" i="37"/>
  <c r="N570" i="37"/>
  <c r="O570" i="37"/>
  <c r="O619" i="37"/>
  <c r="N619" i="37"/>
  <c r="O568" i="37"/>
  <c r="N568" i="37"/>
  <c r="O623" i="37"/>
  <c r="N623" i="37"/>
  <c r="O567" i="37"/>
  <c r="N567" i="37"/>
  <c r="N571" i="37"/>
  <c r="O571" i="37"/>
  <c r="O622" i="37"/>
  <c r="N622" i="37"/>
  <c r="N615" i="37"/>
  <c r="O615" i="37"/>
  <c r="N618" i="37"/>
  <c r="O618" i="37"/>
  <c r="O565" i="37"/>
  <c r="N565" i="37"/>
  <c r="N313" i="37"/>
  <c r="O313" i="37"/>
  <c r="D281" i="57"/>
  <c r="N731" i="37"/>
  <c r="N730" i="37"/>
  <c r="O732" i="37"/>
  <c r="D938" i="57"/>
  <c r="D1207" i="57"/>
  <c r="C2" i="51"/>
  <c r="C54" i="51"/>
  <c r="O780" i="37"/>
  <c r="O783" i="37"/>
  <c r="N782" i="37"/>
  <c r="O786" i="37"/>
  <c r="N786" i="37"/>
  <c r="O788" i="37"/>
  <c r="N788" i="37"/>
  <c r="N792" i="37"/>
  <c r="O792" i="37"/>
  <c r="O789" i="37"/>
  <c r="N789" i="37"/>
  <c r="N785" i="37"/>
  <c r="O785" i="37"/>
  <c r="O793" i="37"/>
  <c r="N793" i="37"/>
  <c r="O790" i="37"/>
  <c r="N790" i="37"/>
  <c r="O791" i="37"/>
  <c r="N791" i="37"/>
  <c r="O784" i="37"/>
  <c r="N784" i="37"/>
  <c r="N795" i="37"/>
  <c r="O795" i="37"/>
  <c r="O743" i="37"/>
  <c r="N743" i="37"/>
  <c r="N466" i="37"/>
  <c r="N465" i="37"/>
  <c r="M466" i="37"/>
  <c r="L466" i="37"/>
  <c r="X37" i="37"/>
  <c r="Z37" i="37"/>
  <c r="K466" i="37"/>
  <c r="D1599" i="57"/>
  <c r="D1603" i="57"/>
  <c r="D1595" i="57"/>
  <c r="D1290" i="57"/>
  <c r="E1290" i="57"/>
  <c r="D1021" i="57"/>
  <c r="E1021" i="57"/>
  <c r="F1021" i="57"/>
  <c r="D1020" i="57"/>
  <c r="E1020" i="57"/>
  <c r="F1020" i="57"/>
  <c r="D535" i="57"/>
  <c r="B196" i="37"/>
  <c r="B636" i="37"/>
  <c r="B312" i="37"/>
  <c r="B313" i="37"/>
  <c r="B896" i="37"/>
  <c r="L916" i="37"/>
  <c r="K916" i="37"/>
  <c r="O875" i="37"/>
  <c r="N860" i="37"/>
  <c r="O860" i="37"/>
  <c r="N875" i="37"/>
  <c r="E1291" i="57"/>
  <c r="F1291" i="57"/>
  <c r="F1290" i="57"/>
  <c r="N609" i="37"/>
  <c r="O609" i="37"/>
  <c r="O662" i="37"/>
  <c r="O635" i="37"/>
  <c r="N635" i="37"/>
  <c r="N662" i="37"/>
  <c r="C3" i="51"/>
  <c r="E267" i="57"/>
  <c r="F267" i="57"/>
  <c r="E1022" i="57"/>
  <c r="F1022" i="57"/>
  <c r="G448" i="37"/>
  <c r="L448" i="37"/>
  <c r="M448" i="37"/>
  <c r="E447" i="37"/>
  <c r="E448" i="37"/>
  <c r="H448" i="37"/>
  <c r="K448" i="37"/>
  <c r="E554" i="37"/>
  <c r="H554" i="37"/>
  <c r="K554" i="37"/>
  <c r="E555" i="37"/>
  <c r="G288" i="37"/>
  <c r="G290" i="37"/>
  <c r="E288" i="37"/>
  <c r="H288" i="37"/>
  <c r="G552" i="37"/>
  <c r="L552" i="37"/>
  <c r="M552" i="37"/>
  <c r="B637" i="37"/>
  <c r="B897" i="37"/>
  <c r="B197" i="37"/>
  <c r="O916" i="37"/>
  <c r="F320" i="37"/>
  <c r="F321" i="37"/>
  <c r="D24" i="51"/>
  <c r="N916" i="37"/>
  <c r="F35" i="37"/>
  <c r="F107" i="53"/>
  <c r="F106" i="53"/>
  <c r="F120" i="53"/>
  <c r="F119" i="53"/>
  <c r="E119" i="53"/>
  <c r="F105" i="53"/>
  <c r="E268" i="57"/>
  <c r="F268" i="57"/>
  <c r="C5" i="51"/>
  <c r="D283" i="57"/>
  <c r="N554" i="37"/>
  <c r="O554" i="37"/>
  <c r="N448" i="37"/>
  <c r="O448" i="37"/>
  <c r="E749" i="37"/>
  <c r="E750" i="37"/>
  <c r="E751" i="37"/>
  <c r="E752" i="37"/>
  <c r="E753" i="37"/>
  <c r="E754" i="37"/>
  <c r="E755" i="37"/>
  <c r="E756" i="37"/>
  <c r="E757" i="37"/>
  <c r="H552" i="37"/>
  <c r="K552" i="37"/>
  <c r="H71" i="14"/>
  <c r="L456" i="37"/>
  <c r="M456" i="37"/>
  <c r="L457" i="37"/>
  <c r="M457" i="37"/>
  <c r="L458" i="37"/>
  <c r="M458" i="37"/>
  <c r="L459" i="37"/>
  <c r="M459" i="37"/>
  <c r="E456" i="37"/>
  <c r="E457" i="37"/>
  <c r="E458" i="37"/>
  <c r="E459" i="37"/>
  <c r="B198" i="37"/>
  <c r="B898" i="37"/>
  <c r="B638" i="37"/>
  <c r="O552" i="37"/>
  <c r="N552" i="37"/>
  <c r="B899" i="37"/>
  <c r="B639" i="37"/>
  <c r="B199" i="37"/>
  <c r="G333" i="37"/>
  <c r="E333" i="37"/>
  <c r="H411" i="14"/>
  <c r="B200" i="37"/>
  <c r="B640" i="37"/>
  <c r="B900" i="37"/>
  <c r="E366" i="37"/>
  <c r="E367" i="37"/>
  <c r="E368" i="37"/>
  <c r="E369" i="37"/>
  <c r="E370" i="37"/>
  <c r="E371" i="37"/>
  <c r="E372" i="37"/>
  <c r="E373" i="37"/>
  <c r="E374" i="37"/>
  <c r="E365" i="37"/>
  <c r="B901" i="37"/>
  <c r="B641" i="37"/>
  <c r="B314" i="37"/>
  <c r="B201" i="37"/>
  <c r="B902" i="37"/>
  <c r="B903" i="37"/>
  <c r="B904" i="37"/>
  <c r="B905" i="37"/>
  <c r="B906" i="37"/>
  <c r="B907" i="37"/>
  <c r="B908" i="37"/>
  <c r="B202" i="37"/>
  <c r="B315" i="37"/>
  <c r="B642" i="37"/>
  <c r="E78" i="53"/>
  <c r="E76" i="53"/>
  <c r="E75" i="53"/>
  <c r="H456" i="37"/>
  <c r="K456" i="37"/>
  <c r="H458" i="37"/>
  <c r="K458" i="37"/>
  <c r="H457" i="37"/>
  <c r="K457" i="37"/>
  <c r="H46" i="37"/>
  <c r="H459" i="37"/>
  <c r="K459" i="37"/>
  <c r="B316" i="37"/>
  <c r="B317" i="37"/>
  <c r="B318" i="37"/>
  <c r="B643" i="37"/>
  <c r="B203" i="37"/>
  <c r="B909" i="37"/>
  <c r="O459" i="37"/>
  <c r="N459" i="37"/>
  <c r="O456" i="37"/>
  <c r="N456" i="37"/>
  <c r="O458" i="37"/>
  <c r="N458" i="37"/>
  <c r="O457" i="37"/>
  <c r="N457" i="37"/>
  <c r="H333" i="37"/>
  <c r="D310" i="49"/>
  <c r="E310" i="49"/>
  <c r="F310" i="49"/>
  <c r="E305" i="49"/>
  <c r="F305" i="49"/>
  <c r="E285" i="49"/>
  <c r="E289" i="49"/>
  <c r="E290" i="49"/>
  <c r="E293" i="49"/>
  <c r="E296" i="49"/>
  <c r="E300" i="49"/>
  <c r="E400" i="37"/>
  <c r="J79" i="46"/>
  <c r="D991" i="57"/>
  <c r="D1016" i="57"/>
  <c r="D1229" i="57"/>
  <c r="D1228" i="57"/>
  <c r="D1227" i="57"/>
  <c r="D1226" i="57"/>
  <c r="D1178" i="57"/>
  <c r="D1097" i="57"/>
  <c r="L561" i="37"/>
  <c r="L562" i="37"/>
  <c r="M563" i="37"/>
  <c r="M564" i="37"/>
  <c r="L574" i="37"/>
  <c r="L575" i="37"/>
  <c r="M576" i="37"/>
  <c r="M577" i="37"/>
  <c r="M578" i="37"/>
  <c r="L579" i="37"/>
  <c r="M560" i="37"/>
  <c r="G579" i="37"/>
  <c r="E579" i="37"/>
  <c r="G578" i="37"/>
  <c r="E578" i="37"/>
  <c r="G577" i="37"/>
  <c r="E577" i="37"/>
  <c r="G576" i="37"/>
  <c r="E576" i="37"/>
  <c r="G575" i="37"/>
  <c r="E575" i="37"/>
  <c r="G574" i="37"/>
  <c r="E574" i="37"/>
  <c r="G564" i="37"/>
  <c r="E564" i="37"/>
  <c r="G563" i="37"/>
  <c r="E563" i="37"/>
  <c r="G562" i="37"/>
  <c r="E562" i="37"/>
  <c r="G561" i="37"/>
  <c r="E561" i="37"/>
  <c r="G560" i="37"/>
  <c r="E560" i="37"/>
  <c r="G762" i="37"/>
  <c r="L762" i="37"/>
  <c r="E762" i="37"/>
  <c r="B910" i="37"/>
  <c r="B644" i="37"/>
  <c r="B204" i="37"/>
  <c r="E1016" i="57"/>
  <c r="F1016" i="57"/>
  <c r="G310" i="49"/>
  <c r="G305" i="49"/>
  <c r="M305" i="49"/>
  <c r="M561" i="37"/>
  <c r="L578" i="37"/>
  <c r="M574" i="37"/>
  <c r="M562" i="37"/>
  <c r="M575" i="37"/>
  <c r="M579" i="37"/>
  <c r="L563" i="37"/>
  <c r="L576" i="37"/>
  <c r="L560" i="37"/>
  <c r="L577" i="37"/>
  <c r="L564" i="37"/>
  <c r="M762" i="37"/>
  <c r="B645" i="37"/>
  <c r="B205" i="37"/>
  <c r="B911" i="37"/>
  <c r="F244" i="37"/>
  <c r="F245" i="37"/>
  <c r="B206" i="37"/>
  <c r="B912" i="37"/>
  <c r="B646" i="37"/>
  <c r="L333" i="37"/>
  <c r="M333" i="37"/>
  <c r="K333" i="37"/>
  <c r="H413" i="57"/>
  <c r="H412" i="57"/>
  <c r="H404" i="57"/>
  <c r="H403" i="57"/>
  <c r="H402" i="57"/>
  <c r="H400" i="57"/>
  <c r="H399" i="57"/>
  <c r="H397" i="57"/>
  <c r="H394" i="57"/>
  <c r="H393" i="57"/>
  <c r="H386" i="57"/>
  <c r="H385" i="57"/>
  <c r="H384" i="57"/>
  <c r="H383" i="57"/>
  <c r="H382" i="57"/>
  <c r="H381" i="57"/>
  <c r="B913" i="37"/>
  <c r="B319" i="37"/>
  <c r="B647" i="37"/>
  <c r="B207" i="37"/>
  <c r="O333" i="37"/>
  <c r="N333" i="37"/>
  <c r="H401" i="57"/>
  <c r="H420" i="57"/>
  <c r="B648" i="37"/>
  <c r="B320" i="37"/>
  <c r="B208" i="37"/>
  <c r="B914" i="37"/>
  <c r="E503" i="37"/>
  <c r="C4" i="46"/>
  <c r="B915" i="37"/>
  <c r="B209" i="37"/>
  <c r="B321" i="37"/>
  <c r="B649" i="37"/>
  <c r="G329" i="37"/>
  <c r="E329" i="37"/>
  <c r="G328" i="37"/>
  <c r="E328" i="37"/>
  <c r="H328" i="37"/>
  <c r="D1033" i="57"/>
  <c r="E1033" i="57"/>
  <c r="E291" i="49"/>
  <c r="J473" i="37"/>
  <c r="E474" i="37"/>
  <c r="L541" i="37"/>
  <c r="G541" i="37"/>
  <c r="E541" i="37"/>
  <c r="G540" i="37"/>
  <c r="E540" i="37"/>
  <c r="F312" i="37"/>
  <c r="C45" i="53"/>
  <c r="D1255" i="57"/>
  <c r="G386" i="37"/>
  <c r="E386" i="37"/>
  <c r="G385" i="37"/>
  <c r="E385" i="37"/>
  <c r="H385" i="37"/>
  <c r="G354" i="37"/>
  <c r="E354" i="37"/>
  <c r="G353" i="37"/>
  <c r="E353" i="37"/>
  <c r="H353" i="37"/>
  <c r="D1357" i="57"/>
  <c r="D1340" i="57"/>
  <c r="D1433" i="57"/>
  <c r="F334" i="37"/>
  <c r="F340" i="37"/>
  <c r="F344" i="37"/>
  <c r="F342" i="37"/>
  <c r="F343" i="37"/>
  <c r="F337" i="37"/>
  <c r="F336" i="37"/>
  <c r="F335" i="37"/>
  <c r="D1313" i="57"/>
  <c r="G214" i="37"/>
  <c r="E214" i="37"/>
  <c r="G215" i="37"/>
  <c r="E215" i="37"/>
  <c r="G217" i="37"/>
  <c r="E217" i="37"/>
  <c r="G225" i="37"/>
  <c r="E225" i="37"/>
  <c r="G221" i="37"/>
  <c r="E221" i="37"/>
  <c r="G226" i="37"/>
  <c r="E226" i="37"/>
  <c r="G222" i="37"/>
  <c r="E222" i="37"/>
  <c r="G224" i="37"/>
  <c r="E224" i="37"/>
  <c r="G223" i="37"/>
  <c r="E223" i="37"/>
  <c r="G216" i="37"/>
  <c r="E216" i="37"/>
  <c r="G220" i="37"/>
  <c r="E220" i="37"/>
  <c r="G219" i="37"/>
  <c r="E219" i="37"/>
  <c r="G218" i="37"/>
  <c r="E218" i="37"/>
  <c r="E193" i="37"/>
  <c r="G193" i="37"/>
  <c r="E194" i="37"/>
  <c r="G194" i="37"/>
  <c r="G240" i="37"/>
  <c r="E240" i="37"/>
  <c r="D307" i="49"/>
  <c r="F239" i="37"/>
  <c r="F175" i="37"/>
  <c r="C27" i="53"/>
  <c r="F168" i="37"/>
  <c r="C26" i="53"/>
  <c r="F282" i="37"/>
  <c r="C43" i="53"/>
  <c r="G277" i="37"/>
  <c r="E277" i="37"/>
  <c r="G276" i="37"/>
  <c r="E276" i="37"/>
  <c r="G279" i="37"/>
  <c r="E279" i="37"/>
  <c r="G278" i="37"/>
  <c r="E278" i="37"/>
  <c r="G258" i="37"/>
  <c r="E258" i="37"/>
  <c r="G257" i="37"/>
  <c r="E257" i="37"/>
  <c r="G256" i="37"/>
  <c r="E256" i="37"/>
  <c r="G255" i="37"/>
  <c r="E306" i="49"/>
  <c r="E288" i="49"/>
  <c r="C10" i="53"/>
  <c r="E2" i="37"/>
  <c r="E954" i="37"/>
  <c r="D1636" i="57"/>
  <c r="E1636" i="57"/>
  <c r="F1636" i="57"/>
  <c r="C1636" i="57"/>
  <c r="D1627" i="57"/>
  <c r="D1591" i="57"/>
  <c r="D1286" i="57"/>
  <c r="D1285" i="57"/>
  <c r="E302" i="49"/>
  <c r="D1256" i="57"/>
  <c r="C1256" i="57"/>
  <c r="D1838" i="57"/>
  <c r="E1838" i="57"/>
  <c r="F1838" i="57"/>
  <c r="C1838" i="57"/>
  <c r="D1773" i="57"/>
  <c r="D1772" i="57"/>
  <c r="D1522" i="57"/>
  <c r="E1522" i="57"/>
  <c r="F1522" i="57"/>
  <c r="F1542" i="57"/>
  <c r="C1542" i="57"/>
  <c r="C1519" i="57"/>
  <c r="C1518" i="57"/>
  <c r="C1517" i="57"/>
  <c r="C1516" i="57"/>
  <c r="C1515" i="57"/>
  <c r="C1514" i="57"/>
  <c r="C1559" i="57"/>
  <c r="C1541" i="57"/>
  <c r="C1554" i="57"/>
  <c r="F418" i="37"/>
  <c r="C1540" i="57"/>
  <c r="C1499" i="57"/>
  <c r="C1498" i="57"/>
  <c r="C1497" i="57"/>
  <c r="C1496" i="57"/>
  <c r="C1495" i="57"/>
  <c r="C1494" i="57"/>
  <c r="D1474" i="57"/>
  <c r="C1468" i="57"/>
  <c r="D1459" i="57"/>
  <c r="C1456" i="57"/>
  <c r="C1411" i="57"/>
  <c r="C1410" i="57"/>
  <c r="C1409" i="57"/>
  <c r="C1408" i="57"/>
  <c r="C1407" i="57"/>
  <c r="C1406" i="57"/>
  <c r="C1405" i="57"/>
  <c r="D1381" i="57"/>
  <c r="E1381" i="57"/>
  <c r="F1381" i="57"/>
  <c r="C1378" i="57"/>
  <c r="C1377" i="57"/>
  <c r="C1374" i="57"/>
  <c r="C1373" i="57"/>
  <c r="C1372" i="57"/>
  <c r="C1371" i="57"/>
  <c r="D959" i="57"/>
  <c r="D958" i="57"/>
  <c r="D1015" i="57"/>
  <c r="E1015" i="57"/>
  <c r="F241" i="37"/>
  <c r="E295" i="49"/>
  <c r="F240" i="37"/>
  <c r="E307" i="49"/>
  <c r="E303" i="49"/>
  <c r="D908" i="57"/>
  <c r="D822" i="57"/>
  <c r="D821" i="57"/>
  <c r="D823" i="57"/>
  <c r="E832" i="57"/>
  <c r="E831" i="57"/>
  <c r="D757" i="57"/>
  <c r="E779" i="57"/>
  <c r="F776" i="57"/>
  <c r="D1180" i="57"/>
  <c r="D1100" i="57"/>
  <c r="D1099" i="57"/>
  <c r="D1098" i="57"/>
  <c r="D1096" i="57"/>
  <c r="D1082" i="57"/>
  <c r="D1055" i="57"/>
  <c r="D1058" i="57"/>
  <c r="D1049" i="57"/>
  <c r="D1046" i="57"/>
  <c r="D716" i="57"/>
  <c r="E716" i="57"/>
  <c r="F716" i="57"/>
  <c r="D689" i="57"/>
  <c r="D691" i="57"/>
  <c r="D706" i="57"/>
  <c r="C9" i="51"/>
  <c r="C10" i="51"/>
  <c r="D639" i="57"/>
  <c r="D532" i="57"/>
  <c r="E532" i="57"/>
  <c r="F532" i="57"/>
  <c r="D455" i="57"/>
  <c r="G356" i="57"/>
  <c r="G355" i="57"/>
  <c r="D331" i="57"/>
  <c r="E331" i="57"/>
  <c r="F331" i="57"/>
  <c r="D330" i="57"/>
  <c r="E330" i="57"/>
  <c r="F330" i="57"/>
  <c r="D329" i="57"/>
  <c r="E329" i="57"/>
  <c r="F329" i="57"/>
  <c r="E294" i="49"/>
  <c r="E286" i="49"/>
  <c r="D145" i="57"/>
  <c r="D1499" i="57"/>
  <c r="D144" i="57"/>
  <c r="D1498" i="57"/>
  <c r="D143" i="57"/>
  <c r="D1497" i="57"/>
  <c r="D142" i="57"/>
  <c r="D1496" i="57"/>
  <c r="D138" i="57"/>
  <c r="D137" i="57"/>
  <c r="D134" i="57"/>
  <c r="D133" i="57"/>
  <c r="D129" i="57"/>
  <c r="D1304" i="57"/>
  <c r="D128" i="57"/>
  <c r="D127" i="57"/>
  <c r="D1399" i="57"/>
  <c r="D120" i="57"/>
  <c r="D119" i="57"/>
  <c r="D118" i="57"/>
  <c r="D113" i="57"/>
  <c r="D107" i="57"/>
  <c r="D496" i="57"/>
  <c r="D106" i="57"/>
  <c r="D103" i="57"/>
  <c r="D170" i="59"/>
  <c r="D1403" i="57"/>
  <c r="F380" i="37"/>
  <c r="D1401" i="57"/>
  <c r="D1306" i="57"/>
  <c r="F329" i="37"/>
  <c r="M329" i="37"/>
  <c r="D1408" i="57"/>
  <c r="D1307" i="57"/>
  <c r="F330" i="37"/>
  <c r="D1409" i="57"/>
  <c r="B650" i="37"/>
  <c r="B210" i="37"/>
  <c r="B916" i="37"/>
  <c r="D1073" i="57"/>
  <c r="D1075" i="57"/>
  <c r="F144" i="37"/>
  <c r="C25" i="53"/>
  <c r="F426" i="37"/>
  <c r="F389" i="37"/>
  <c r="F121" i="37"/>
  <c r="F78" i="37"/>
  <c r="F109" i="37"/>
  <c r="F327" i="37"/>
  <c r="F50" i="37"/>
  <c r="F51" i="37"/>
  <c r="F463" i="37"/>
  <c r="F464" i="37"/>
  <c r="D55" i="51"/>
  <c r="F555" i="37"/>
  <c r="F52" i="37"/>
  <c r="F48" i="37"/>
  <c r="F915" i="37"/>
  <c r="M915" i="37"/>
  <c r="D1341" i="57"/>
  <c r="F1033" i="57"/>
  <c r="E1017" i="57"/>
  <c r="F1017" i="57"/>
  <c r="F1015" i="57"/>
  <c r="E1542" i="57"/>
  <c r="E1543" i="57"/>
  <c r="F1543" i="57"/>
  <c r="D1554" i="57"/>
  <c r="D1400" i="57"/>
  <c r="F376" i="37"/>
  <c r="D1303" i="57"/>
  <c r="E1255" i="57"/>
  <c r="D114" i="57"/>
  <c r="D115" i="57"/>
  <c r="D116" i="57"/>
  <c r="D1241" i="57"/>
  <c r="D1252" i="57"/>
  <c r="F45" i="37"/>
  <c r="D1208" i="57"/>
  <c r="F409" i="37"/>
  <c r="D1370" i="57"/>
  <c r="D1369" i="57"/>
  <c r="D1165" i="57"/>
  <c r="D495" i="57"/>
  <c r="E271" i="49"/>
  <c r="E272" i="49"/>
  <c r="D1519" i="57"/>
  <c r="D1537" i="57"/>
  <c r="D1326" i="57"/>
  <c r="D1371" i="57"/>
  <c r="D1517" i="57"/>
  <c r="D1535" i="57"/>
  <c r="D1518" i="57"/>
  <c r="D1536" i="57"/>
  <c r="D1325" i="57"/>
  <c r="D1372" i="57"/>
  <c r="D1516" i="57"/>
  <c r="D1534" i="57"/>
  <c r="D970" i="57"/>
  <c r="D979" i="57"/>
  <c r="D969" i="57"/>
  <c r="D978" i="57"/>
  <c r="D282" i="57"/>
  <c r="D939" i="57"/>
  <c r="D1445" i="57"/>
  <c r="D1449" i="57"/>
  <c r="D1166" i="57"/>
  <c r="D122" i="57"/>
  <c r="D1374" i="57"/>
  <c r="F364" i="37"/>
  <c r="C15" i="51"/>
  <c r="E828" i="57"/>
  <c r="E869" i="57"/>
  <c r="D130" i="57"/>
  <c r="D1405" i="57"/>
  <c r="D1272" i="57"/>
  <c r="D1271" i="57"/>
  <c r="F1134" i="57"/>
  <c r="C22" i="51"/>
  <c r="C19" i="51"/>
  <c r="G439" i="57"/>
  <c r="L288" i="37"/>
  <c r="M288" i="37"/>
  <c r="K288" i="37"/>
  <c r="M44" i="37"/>
  <c r="L44" i="37"/>
  <c r="E281" i="49"/>
  <c r="E261" i="49"/>
  <c r="E287" i="49"/>
  <c r="E304" i="49"/>
  <c r="F363" i="37"/>
  <c r="E262" i="49"/>
  <c r="E278" i="49"/>
  <c r="E260" i="49"/>
  <c r="E268" i="49"/>
  <c r="E263" i="49"/>
  <c r="M240" i="37"/>
  <c r="C22" i="46"/>
  <c r="C21" i="46"/>
  <c r="F324" i="37"/>
  <c r="E1034" i="57"/>
  <c r="F1034" i="57"/>
  <c r="M541" i="37"/>
  <c r="F549" i="37"/>
  <c r="C97" i="53"/>
  <c r="F417" i="37"/>
  <c r="E1313" i="57"/>
  <c r="F341" i="37"/>
  <c r="D922" i="57"/>
  <c r="D947" i="57"/>
  <c r="D923" i="57"/>
  <c r="G923" i="57"/>
  <c r="F213" i="37"/>
  <c r="F1133" i="57"/>
  <c r="L240" i="37"/>
  <c r="H352" i="57"/>
  <c r="E1285" i="57"/>
  <c r="F1285" i="57"/>
  <c r="G918" i="57"/>
  <c r="H355" i="57"/>
  <c r="H351" i="57"/>
  <c r="H356" i="57"/>
  <c r="E879" i="57"/>
  <c r="F879" i="57"/>
  <c r="E1523" i="57"/>
  <c r="F1523" i="57"/>
  <c r="D1059" i="57"/>
  <c r="E776" i="57"/>
  <c r="F831" i="57"/>
  <c r="E908" i="57"/>
  <c r="E1773" i="57"/>
  <c r="F1773" i="57"/>
  <c r="F1154" i="57"/>
  <c r="G1154" i="57"/>
  <c r="E1839" i="57"/>
  <c r="F1839" i="57"/>
  <c r="G441" i="57"/>
  <c r="E1256" i="57"/>
  <c r="F832" i="57"/>
  <c r="F150" i="37"/>
  <c r="F774" i="57"/>
  <c r="F40" i="37"/>
  <c r="D1273" i="57"/>
  <c r="F195" i="37"/>
  <c r="F773" i="57"/>
  <c r="F119" i="37"/>
  <c r="E773" i="57"/>
  <c r="F196" i="37"/>
  <c r="E829" i="57"/>
  <c r="F829" i="57"/>
  <c r="H353" i="57"/>
  <c r="G1276" i="57"/>
  <c r="D1280" i="57"/>
  <c r="F780" i="57"/>
  <c r="E780" i="57"/>
  <c r="G831" i="57"/>
  <c r="G834" i="57"/>
  <c r="F833" i="57"/>
  <c r="E833" i="57"/>
  <c r="F1153" i="57"/>
  <c r="G1153" i="57"/>
  <c r="E959" i="57"/>
  <c r="D1541" i="57"/>
  <c r="D132" i="57"/>
  <c r="D1540" i="57"/>
  <c r="G1119" i="57"/>
  <c r="D921" i="57"/>
  <c r="D946" i="57"/>
  <c r="F192" i="37"/>
  <c r="D920" i="57"/>
  <c r="D1542" i="57"/>
  <c r="D1567" i="57"/>
  <c r="D1572" i="57"/>
  <c r="D1453" i="57"/>
  <c r="D1456" i="57"/>
  <c r="D1079" i="57"/>
  <c r="F1086" i="57"/>
  <c r="G1086" i="57"/>
  <c r="L119" i="37"/>
  <c r="M119" i="37"/>
  <c r="K119" i="37"/>
  <c r="L380" i="37"/>
  <c r="M380" i="37"/>
  <c r="K380" i="37"/>
  <c r="E839" i="57"/>
  <c r="F839" i="57"/>
  <c r="D1305" i="57"/>
  <c r="D1407" i="57"/>
  <c r="B917" i="37"/>
  <c r="B211" i="37"/>
  <c r="B651" i="37"/>
  <c r="F125" i="37"/>
  <c r="D1375" i="57"/>
  <c r="F124" i="37"/>
  <c r="F339" i="37"/>
  <c r="F251" i="37"/>
  <c r="F252" i="37"/>
  <c r="D42" i="51"/>
  <c r="D1344" i="57"/>
  <c r="D1348" i="57"/>
  <c r="M150" i="37"/>
  <c r="C30" i="46"/>
  <c r="F215" i="37"/>
  <c r="M215" i="37"/>
  <c r="F151" i="37"/>
  <c r="L151" i="37"/>
  <c r="F368" i="37"/>
  <c r="F338" i="37"/>
  <c r="L915" i="37"/>
  <c r="F367" i="37"/>
  <c r="F193" i="37"/>
  <c r="L193" i="37"/>
  <c r="F365" i="37"/>
  <c r="F419" i="37"/>
  <c r="F366" i="37"/>
  <c r="F149" i="37"/>
  <c r="M149" i="37"/>
  <c r="F370" i="37"/>
  <c r="F242" i="37"/>
  <c r="D28" i="51"/>
  <c r="F378" i="37"/>
  <c r="F377" i="37"/>
  <c r="F118" i="37"/>
  <c r="F326" i="37"/>
  <c r="F197" i="37"/>
  <c r="F314" i="37"/>
  <c r="K314" i="37"/>
  <c r="K915" i="37"/>
  <c r="F307" i="37"/>
  <c r="D1352" i="57"/>
  <c r="D1353" i="57"/>
  <c r="D1345" i="57"/>
  <c r="D1351" i="57"/>
  <c r="C26" i="51"/>
  <c r="D1346" i="57"/>
  <c r="F345" i="37"/>
  <c r="C50" i="53"/>
  <c r="D1354" i="57"/>
  <c r="E1357" i="57"/>
  <c r="E1358" i="57"/>
  <c r="F1358" i="57"/>
  <c r="D1347" i="57"/>
  <c r="D1465" i="57"/>
  <c r="D1532" i="57"/>
  <c r="E1257" i="57"/>
  <c r="F1257" i="57"/>
  <c r="F1256" i="57"/>
  <c r="F1255" i="57"/>
  <c r="E909" i="57"/>
  <c r="F909" i="57"/>
  <c r="F908" i="57"/>
  <c r="E1314" i="57"/>
  <c r="F1314" i="57"/>
  <c r="F1313" i="57"/>
  <c r="F959" i="57"/>
  <c r="F407" i="37"/>
  <c r="F225" i="37"/>
  <c r="M225" i="37"/>
  <c r="C29" i="53"/>
  <c r="F416" i="37"/>
  <c r="F413" i="37"/>
  <c r="F214" i="37"/>
  <c r="M214" i="37"/>
  <c r="D987" i="57"/>
  <c r="F147" i="37"/>
  <c r="E840" i="57"/>
  <c r="F840" i="57"/>
  <c r="H376" i="57"/>
  <c r="D440" i="57"/>
  <c r="F440" i="57"/>
  <c r="D448" i="57"/>
  <c r="F1569" i="57"/>
  <c r="G1569" i="57"/>
  <c r="F432" i="37"/>
  <c r="E834" i="57"/>
  <c r="C14" i="51"/>
  <c r="D1171" i="57"/>
  <c r="H588" i="57"/>
  <c r="D626" i="57"/>
  <c r="F626" i="57"/>
  <c r="D632" i="57"/>
  <c r="F414" i="37"/>
  <c r="D1350" i="57"/>
  <c r="D1172" i="57"/>
  <c r="D681" i="57"/>
  <c r="F43" i="37"/>
  <c r="F60" i="37"/>
  <c r="G442" i="57"/>
  <c r="C53" i="51"/>
  <c r="G625" i="57"/>
  <c r="G1133" i="57"/>
  <c r="G1134" i="57"/>
  <c r="G627" i="57"/>
  <c r="D131" i="57"/>
  <c r="E1772" i="57"/>
  <c r="C51" i="51"/>
  <c r="F362" i="37"/>
  <c r="F283" i="37"/>
  <c r="E772" i="57"/>
  <c r="M787" i="37"/>
  <c r="K787" i="37"/>
  <c r="L787" i="37"/>
  <c r="M781" i="37"/>
  <c r="K781" i="37"/>
  <c r="L781" i="37"/>
  <c r="O288" i="37"/>
  <c r="N288" i="37"/>
  <c r="E259" i="49"/>
  <c r="E284" i="49"/>
  <c r="C50" i="46"/>
  <c r="C46" i="46"/>
  <c r="C36" i="46"/>
  <c r="C10" i="46"/>
  <c r="C9" i="46"/>
  <c r="F53" i="37"/>
  <c r="D5" i="51"/>
  <c r="L329" i="37"/>
  <c r="F452" i="37"/>
  <c r="C69" i="53"/>
  <c r="M540" i="37"/>
  <c r="L540" i="37"/>
  <c r="F420" i="37"/>
  <c r="G970" i="57"/>
  <c r="F970" i="57"/>
  <c r="E1335" i="57"/>
  <c r="F1335" i="57"/>
  <c r="F918" i="57"/>
  <c r="D948" i="57"/>
  <c r="F923" i="57"/>
  <c r="D943" i="57"/>
  <c r="E1099" i="57"/>
  <c r="F1099" i="57"/>
  <c r="D1050" i="57"/>
  <c r="D1061" i="57"/>
  <c r="F259" i="37"/>
  <c r="E1228" i="57"/>
  <c r="E1180" i="57"/>
  <c r="E1637" i="57"/>
  <c r="F1637" i="57"/>
  <c r="F556" i="37"/>
  <c r="D54" i="51"/>
  <c r="F27" i="37"/>
  <c r="F910" i="37"/>
  <c r="E774" i="57"/>
  <c r="G969" i="57"/>
  <c r="F969" i="57"/>
  <c r="G437" i="57"/>
  <c r="D945" i="57"/>
  <c r="G920" i="57"/>
  <c r="F920" i="57"/>
  <c r="G919" i="57"/>
  <c r="D944" i="57"/>
  <c r="F919" i="57"/>
  <c r="D942" i="57"/>
  <c r="F917" i="57"/>
  <c r="G917" i="57"/>
  <c r="E1560" i="57"/>
  <c r="F1560" i="57"/>
  <c r="E1627" i="57"/>
  <c r="F1627" i="57"/>
  <c r="E1286" i="57"/>
  <c r="F1286" i="57"/>
  <c r="C42" i="46"/>
  <c r="C24" i="46"/>
  <c r="C23" i="46"/>
  <c r="F1087" i="57"/>
  <c r="G1087" i="57"/>
  <c r="F1085" i="57"/>
  <c r="G1085" i="57"/>
  <c r="O119" i="37"/>
  <c r="N119" i="37"/>
  <c r="N380" i="37"/>
  <c r="D1349" i="57"/>
  <c r="F351" i="37"/>
  <c r="D1406" i="57"/>
  <c r="O380" i="37"/>
  <c r="M432" i="37"/>
  <c r="L432" i="37"/>
  <c r="K432" i="37"/>
  <c r="M259" i="37"/>
  <c r="F260" i="37"/>
  <c r="L259" i="37"/>
  <c r="K259" i="37"/>
  <c r="B652" i="37"/>
  <c r="B212" i="37"/>
  <c r="B918" i="37"/>
  <c r="F371" i="37"/>
  <c r="F92" i="37"/>
  <c r="E781" i="57"/>
  <c r="E794" i="57"/>
  <c r="F794" i="57"/>
  <c r="L150" i="37"/>
  <c r="M193" i="37"/>
  <c r="K151" i="37"/>
  <c r="K150" i="37"/>
  <c r="M151" i="37"/>
  <c r="K149" i="37"/>
  <c r="L215" i="37"/>
  <c r="O915" i="37"/>
  <c r="F411" i="37"/>
  <c r="F352" i="37"/>
  <c r="L149" i="37"/>
  <c r="E1459" i="57"/>
  <c r="F1459" i="57"/>
  <c r="F354" i="37"/>
  <c r="M354" i="37"/>
  <c r="F355" i="37"/>
  <c r="D1468" i="57"/>
  <c r="F346" i="37"/>
  <c r="F349" i="37"/>
  <c r="M349" i="37"/>
  <c r="F243" i="37"/>
  <c r="D29" i="51"/>
  <c r="F353" i="37"/>
  <c r="L353" i="37"/>
  <c r="F189" i="37"/>
  <c r="F350" i="37"/>
  <c r="K350" i="37"/>
  <c r="F356" i="37"/>
  <c r="F161" i="37"/>
  <c r="F185" i="37"/>
  <c r="F191" i="37"/>
  <c r="F188" i="37"/>
  <c r="F194" i="37"/>
  <c r="L194" i="37"/>
  <c r="F348" i="37"/>
  <c r="D1376" i="57"/>
  <c r="F190" i="37"/>
  <c r="F347" i="37"/>
  <c r="F460" i="37"/>
  <c r="F461" i="37"/>
  <c r="D47" i="51"/>
  <c r="L314" i="37"/>
  <c r="M314" i="37"/>
  <c r="F328" i="37"/>
  <c r="M328" i="37"/>
  <c r="N915" i="37"/>
  <c r="F271" i="37"/>
  <c r="F270" i="37"/>
  <c r="C63" i="53"/>
  <c r="F1357" i="57"/>
  <c r="F1567" i="57"/>
  <c r="G1567" i="57"/>
  <c r="F430" i="37"/>
  <c r="E1595" i="57"/>
  <c r="F1595" i="57"/>
  <c r="E1591" i="57"/>
  <c r="F1591" i="57"/>
  <c r="D1843" i="57"/>
  <c r="C20" i="51"/>
  <c r="F924" i="57"/>
  <c r="C17" i="51"/>
  <c r="F971" i="57"/>
  <c r="F308" i="37"/>
  <c r="F309" i="37"/>
  <c r="F310" i="37"/>
  <c r="F311" i="37"/>
  <c r="F211" i="37"/>
  <c r="F212" i="37"/>
  <c r="D23" i="51"/>
  <c r="E1774" i="57"/>
  <c r="F1774" i="57"/>
  <c r="F1772" i="57"/>
  <c r="F1228" i="57"/>
  <c r="F1180" i="57"/>
  <c r="F20" i="37"/>
  <c r="L225" i="37"/>
  <c r="D1064" i="57"/>
  <c r="D1844" i="57"/>
  <c r="L214" i="37"/>
  <c r="D635" i="57"/>
  <c r="E1599" i="57"/>
  <c r="F1599" i="57"/>
  <c r="M414" i="37"/>
  <c r="L414" i="37"/>
  <c r="K414" i="37"/>
  <c r="L416" i="37"/>
  <c r="M416" i="37"/>
  <c r="K416" i="37"/>
  <c r="D1173" i="57"/>
  <c r="F415" i="37"/>
  <c r="F284" i="37"/>
  <c r="G1216" i="57"/>
  <c r="D1220" i="57"/>
  <c r="E1178" i="57"/>
  <c r="E835" i="57"/>
  <c r="F835" i="57"/>
  <c r="E843" i="57"/>
  <c r="F36" i="37"/>
  <c r="D2" i="51"/>
  <c r="C30" i="51"/>
  <c r="E1226" i="57"/>
  <c r="F772" i="57"/>
  <c r="O781" i="37"/>
  <c r="N781" i="37"/>
  <c r="N787" i="37"/>
  <c r="O787" i="37"/>
  <c r="D717" i="57"/>
  <c r="M43" i="37"/>
  <c r="L43" i="37"/>
  <c r="E256" i="49"/>
  <c r="E273" i="49"/>
  <c r="E274" i="49"/>
  <c r="E297" i="49"/>
  <c r="E279" i="49"/>
  <c r="E308" i="49"/>
  <c r="D1067" i="57"/>
  <c r="F39" i="37"/>
  <c r="E299" i="49"/>
  <c r="F421" i="37"/>
  <c r="E1382" i="57"/>
  <c r="F1382" i="57"/>
  <c r="E1096" i="57"/>
  <c r="E1100" i="57"/>
  <c r="G971" i="57"/>
  <c r="D984" i="57"/>
  <c r="E1227" i="57"/>
  <c r="G924" i="57"/>
  <c r="D953" i="57"/>
  <c r="F42" i="37"/>
  <c r="E1503" i="57"/>
  <c r="F1503" i="57"/>
  <c r="D683" i="57"/>
  <c r="D684" i="57"/>
  <c r="D1065" i="57"/>
  <c r="D1066" i="57"/>
  <c r="G626" i="57"/>
  <c r="D634" i="57"/>
  <c r="E1098" i="57"/>
  <c r="D682" i="57"/>
  <c r="E1287" i="57"/>
  <c r="E1628" i="57"/>
  <c r="F1628" i="57"/>
  <c r="C11" i="46"/>
  <c r="C20" i="46"/>
  <c r="D1091" i="57"/>
  <c r="F256" i="37"/>
  <c r="M256" i="37"/>
  <c r="D1090" i="57"/>
  <c r="F255" i="37"/>
  <c r="L255" i="37"/>
  <c r="O259" i="37"/>
  <c r="N259" i="37"/>
  <c r="O432" i="37"/>
  <c r="N432" i="37"/>
  <c r="K260" i="37"/>
  <c r="L260" i="37"/>
  <c r="M260" i="37"/>
  <c r="B919" i="37"/>
  <c r="B213" i="37"/>
  <c r="B653" i="37"/>
  <c r="M194" i="37"/>
  <c r="O150" i="37"/>
  <c r="N150" i="37"/>
  <c r="L349" i="37"/>
  <c r="L350" i="37"/>
  <c r="N151" i="37"/>
  <c r="O151" i="37"/>
  <c r="O149" i="37"/>
  <c r="M350" i="37"/>
  <c r="K353" i="37"/>
  <c r="K349" i="37"/>
  <c r="M353" i="37"/>
  <c r="F152" i="37"/>
  <c r="F278" i="37"/>
  <c r="K278" i="37"/>
  <c r="O314" i="37"/>
  <c r="D1469" i="57"/>
  <c r="L354" i="37"/>
  <c r="F357" i="37"/>
  <c r="F358" i="37"/>
  <c r="D26" i="51"/>
  <c r="F397" i="37"/>
  <c r="F372" i="37"/>
  <c r="N149" i="37"/>
  <c r="F523" i="37"/>
  <c r="F524" i="37"/>
  <c r="D50" i="51"/>
  <c r="F295" i="37"/>
  <c r="N314" i="37"/>
  <c r="F140" i="37"/>
  <c r="L140" i="37"/>
  <c r="L328" i="37"/>
  <c r="K328" i="37"/>
  <c r="F272" i="37"/>
  <c r="F94" i="37"/>
  <c r="D18" i="51"/>
  <c r="G628" i="57"/>
  <c r="D3" i="51"/>
  <c r="F1287" i="57"/>
  <c r="F1100" i="57"/>
  <c r="F843" i="57"/>
  <c r="F1096" i="57"/>
  <c r="F1226" i="57"/>
  <c r="F1098" i="57"/>
  <c r="F1227" i="57"/>
  <c r="F1178" i="57"/>
  <c r="D985" i="57"/>
  <c r="D986" i="57"/>
  <c r="F117" i="37"/>
  <c r="E786" i="57"/>
  <c r="F786" i="57"/>
  <c r="E717" i="57"/>
  <c r="D636" i="57"/>
  <c r="F95" i="37"/>
  <c r="C44" i="51"/>
  <c r="E1600" i="57"/>
  <c r="F1600" i="57"/>
  <c r="D44" i="51"/>
  <c r="E535" i="57"/>
  <c r="E639" i="57"/>
  <c r="O416" i="37"/>
  <c r="N416" i="37"/>
  <c r="O414" i="37"/>
  <c r="N414" i="37"/>
  <c r="L415" i="37"/>
  <c r="K415" i="37"/>
  <c r="M415" i="37"/>
  <c r="F285" i="37"/>
  <c r="D1179" i="57"/>
  <c r="E1179" i="57"/>
  <c r="D531" i="57"/>
  <c r="E958" i="57"/>
  <c r="E1229" i="57"/>
  <c r="E836" i="57"/>
  <c r="F836" i="57"/>
  <c r="F972" i="57"/>
  <c r="G972" i="57"/>
  <c r="D980" i="57"/>
  <c r="C16" i="51"/>
  <c r="D533" i="57"/>
  <c r="D718" i="57"/>
  <c r="D534" i="57"/>
  <c r="E782" i="57"/>
  <c r="F783" i="57"/>
  <c r="C11" i="51"/>
  <c r="M284" i="37"/>
  <c r="L284" i="37"/>
  <c r="K284" i="37"/>
  <c r="D1181" i="57"/>
  <c r="E1181" i="57"/>
  <c r="D715" i="57"/>
  <c r="E715" i="57"/>
  <c r="F715" i="57"/>
  <c r="L46" i="37"/>
  <c r="M46" i="37"/>
  <c r="K46" i="37"/>
  <c r="E275" i="49"/>
  <c r="E298" i="49"/>
  <c r="E280" i="49"/>
  <c r="E309" i="49"/>
  <c r="E269" i="49"/>
  <c r="E276" i="49"/>
  <c r="F942" i="37"/>
  <c r="D40" i="51"/>
  <c r="E267" i="49"/>
  <c r="E991" i="57"/>
  <c r="E1097" i="57"/>
  <c r="D954" i="57"/>
  <c r="F204" i="37"/>
  <c r="E332" i="57"/>
  <c r="F332" i="57"/>
  <c r="F159" i="37"/>
  <c r="F160" i="37"/>
  <c r="F925" i="57"/>
  <c r="F926" i="57"/>
  <c r="M455" i="37"/>
  <c r="L454" i="37"/>
  <c r="M453" i="37"/>
  <c r="G455" i="37"/>
  <c r="E455" i="37"/>
  <c r="G454" i="37"/>
  <c r="E454" i="37"/>
  <c r="G453" i="37"/>
  <c r="E453" i="37"/>
  <c r="G96" i="37"/>
  <c r="E96" i="37"/>
  <c r="G95" i="37"/>
  <c r="E95" i="37"/>
  <c r="G94" i="37"/>
  <c r="E94" i="37"/>
  <c r="M93" i="37"/>
  <c r="L93" i="37"/>
  <c r="G93" i="37"/>
  <c r="E93" i="37"/>
  <c r="G92" i="37"/>
  <c r="E92" i="37"/>
  <c r="G91" i="37"/>
  <c r="G112" i="37"/>
  <c r="E112" i="37"/>
  <c r="G111" i="37"/>
  <c r="E111" i="37"/>
  <c r="D1092" i="57"/>
  <c r="D1093" i="57"/>
  <c r="N260" i="37"/>
  <c r="O260" i="37"/>
  <c r="B654" i="37"/>
  <c r="B214" i="37"/>
  <c r="B920" i="37"/>
  <c r="N350" i="37"/>
  <c r="N349" i="37"/>
  <c r="O350" i="37"/>
  <c r="M278" i="37"/>
  <c r="O349" i="37"/>
  <c r="N353" i="37"/>
  <c r="O353" i="37"/>
  <c r="F224" i="37"/>
  <c r="M224" i="37"/>
  <c r="F279" i="37"/>
  <c r="K279" i="37"/>
  <c r="F96" i="37"/>
  <c r="F164" i="37"/>
  <c r="F153" i="37"/>
  <c r="F154" i="37"/>
  <c r="F155" i="37"/>
  <c r="F156" i="37"/>
  <c r="F293" i="37"/>
  <c r="F318" i="37"/>
  <c r="F99" i="37"/>
  <c r="F100" i="37"/>
  <c r="O328" i="37"/>
  <c r="F127" i="37"/>
  <c r="F128" i="37"/>
  <c r="F129" i="37"/>
  <c r="F130" i="37"/>
  <c r="F133" i="37"/>
  <c r="N328" i="37"/>
  <c r="L256" i="37"/>
  <c r="F291" i="37"/>
  <c r="F292" i="37"/>
  <c r="F216" i="37"/>
  <c r="M216" i="37"/>
  <c r="F267" i="37"/>
  <c r="F268" i="37"/>
  <c r="F263" i="37"/>
  <c r="F264" i="37"/>
  <c r="F265" i="37"/>
  <c r="F266" i="37"/>
  <c r="F274" i="37"/>
  <c r="F275" i="37"/>
  <c r="F639" i="57"/>
  <c r="F535" i="57"/>
  <c r="F1097" i="57"/>
  <c r="F1229" i="57"/>
  <c r="F1181" i="57"/>
  <c r="F958" i="57"/>
  <c r="F717" i="57"/>
  <c r="F1179" i="57"/>
  <c r="F991" i="57"/>
  <c r="M255" i="37"/>
  <c r="F223" i="37"/>
  <c r="M223" i="37"/>
  <c r="E718" i="57"/>
  <c r="D1582" i="57"/>
  <c r="D1574" i="57"/>
  <c r="D1584" i="57"/>
  <c r="D1585" i="57"/>
  <c r="D1580" i="57"/>
  <c r="E533" i="57"/>
  <c r="F533" i="57"/>
  <c r="E531" i="57"/>
  <c r="E534" i="57"/>
  <c r="H83" i="46"/>
  <c r="N415" i="37"/>
  <c r="O415" i="37"/>
  <c r="L285" i="37"/>
  <c r="K285" i="37"/>
  <c r="M285" i="37"/>
  <c r="E837" i="57"/>
  <c r="E960" i="57"/>
  <c r="F960" i="57"/>
  <c r="E1230" i="57"/>
  <c r="F1230" i="57"/>
  <c r="F973" i="57"/>
  <c r="G973" i="57"/>
  <c r="D981" i="57"/>
  <c r="F782" i="57"/>
  <c r="E784" i="57"/>
  <c r="E785" i="57"/>
  <c r="F785" i="57"/>
  <c r="E1182" i="57"/>
  <c r="F1182" i="57"/>
  <c r="N284" i="37"/>
  <c r="O284" i="37"/>
  <c r="M48" i="37"/>
  <c r="K48" i="37"/>
  <c r="L48" i="37"/>
  <c r="F49" i="37"/>
  <c r="F298" i="49"/>
  <c r="G298" i="49"/>
  <c r="M298" i="49"/>
  <c r="D298" i="49"/>
  <c r="O46" i="37"/>
  <c r="N46" i="37"/>
  <c r="E1101" i="57"/>
  <c r="F1101" i="57"/>
  <c r="E992" i="57"/>
  <c r="F992" i="57"/>
  <c r="E640" i="57"/>
  <c r="F640" i="57"/>
  <c r="D955" i="57"/>
  <c r="G925" i="57"/>
  <c r="D949" i="57"/>
  <c r="F927" i="57"/>
  <c r="G926" i="57"/>
  <c r="D950" i="57"/>
  <c r="F110" i="37"/>
  <c r="L455" i="37"/>
  <c r="M454" i="37"/>
  <c r="L453" i="37"/>
  <c r="M761" i="37"/>
  <c r="L761" i="37"/>
  <c r="G761" i="37"/>
  <c r="E761" i="37"/>
  <c r="M752" i="37"/>
  <c r="L752" i="37"/>
  <c r="G752" i="37"/>
  <c r="F257" i="37"/>
  <c r="L257" i="37"/>
  <c r="B921" i="37"/>
  <c r="B215" i="37"/>
  <c r="B655" i="37"/>
  <c r="M279" i="37"/>
  <c r="L224" i="37"/>
  <c r="F446" i="37"/>
  <c r="F258" i="37"/>
  <c r="M258" i="37"/>
  <c r="F205" i="37"/>
  <c r="F435" i="37"/>
  <c r="F227" i="37"/>
  <c r="F228" i="37"/>
  <c r="D16" i="51"/>
  <c r="F441" i="37"/>
  <c r="F297" i="37"/>
  <c r="F126" i="37"/>
  <c r="F132" i="37"/>
  <c r="L132" i="37"/>
  <c r="F97" i="37"/>
  <c r="F98" i="37"/>
  <c r="F217" i="37"/>
  <c r="M217" i="37"/>
  <c r="F203" i="37"/>
  <c r="L216" i="37"/>
  <c r="F280" i="37"/>
  <c r="F281" i="37"/>
  <c r="F276" i="37"/>
  <c r="M276" i="37"/>
  <c r="F111" i="37"/>
  <c r="F112" i="37"/>
  <c r="M112" i="37"/>
  <c r="F209" i="37"/>
  <c r="F210" i="37"/>
  <c r="D17" i="51"/>
  <c r="F261" i="37"/>
  <c r="F262" i="37"/>
  <c r="D20" i="51"/>
  <c r="D4" i="51"/>
  <c r="F534" i="57"/>
  <c r="F531" i="57"/>
  <c r="F718" i="57"/>
  <c r="L223" i="37"/>
  <c r="F199" i="37"/>
  <c r="F200" i="37"/>
  <c r="E719" i="57"/>
  <c r="F719" i="57"/>
  <c r="F837" i="57"/>
  <c r="E838" i="57"/>
  <c r="F838" i="57"/>
  <c r="D1586" i="57"/>
  <c r="F445" i="37"/>
  <c r="F447" i="37"/>
  <c r="F443" i="37"/>
  <c r="F442" i="37"/>
  <c r="D1581" i="57"/>
  <c r="D1583" i="57"/>
  <c r="O285" i="37"/>
  <c r="N285" i="37"/>
  <c r="E536" i="57"/>
  <c r="F536" i="57"/>
  <c r="F974" i="57"/>
  <c r="G974" i="57"/>
  <c r="D982" i="57"/>
  <c r="F784" i="57"/>
  <c r="C52" i="51"/>
  <c r="O48" i="37"/>
  <c r="N48" i="37"/>
  <c r="F928" i="57"/>
  <c r="G928" i="57"/>
  <c r="D952" i="57"/>
  <c r="G927" i="57"/>
  <c r="D951" i="57"/>
  <c r="M257" i="37"/>
  <c r="B656" i="37"/>
  <c r="B657" i="37"/>
  <c r="B658" i="37"/>
  <c r="B659" i="37"/>
  <c r="B660" i="37"/>
  <c r="B661" i="37"/>
  <c r="B662" i="37"/>
  <c r="B663" i="37"/>
  <c r="B664" i="37"/>
  <c r="B216" i="37"/>
  <c r="B922" i="37"/>
  <c r="L258" i="37"/>
  <c r="F218" i="37"/>
  <c r="L218" i="37"/>
  <c r="F157" i="37"/>
  <c r="F158" i="37"/>
  <c r="L217" i="37"/>
  <c r="F82" i="37"/>
  <c r="F83" i="37"/>
  <c r="F66" i="37"/>
  <c r="M132" i="37"/>
  <c r="K132" i="37"/>
  <c r="F131" i="37"/>
  <c r="K131" i="37"/>
  <c r="F208" i="37"/>
  <c r="F221" i="37"/>
  <c r="L221" i="37"/>
  <c r="F206" i="37"/>
  <c r="M111" i="37"/>
  <c r="K111" i="37"/>
  <c r="F277" i="37"/>
  <c r="D22" i="51"/>
  <c r="K276" i="37"/>
  <c r="F80" i="37"/>
  <c r="K112" i="37"/>
  <c r="F113" i="37"/>
  <c r="F114" i="37"/>
  <c r="M209" i="37"/>
  <c r="F201" i="37"/>
  <c r="F202" i="37"/>
  <c r="F975" i="57"/>
  <c r="G975" i="57"/>
  <c r="D983" i="57"/>
  <c r="L91" i="37"/>
  <c r="M91" i="37"/>
  <c r="B923" i="37"/>
  <c r="B217" i="37"/>
  <c r="F220" i="37"/>
  <c r="M220" i="37"/>
  <c r="F219" i="37"/>
  <c r="M219" i="37"/>
  <c r="M218" i="37"/>
  <c r="O132" i="37"/>
  <c r="N132" i="37"/>
  <c r="M131" i="37"/>
  <c r="L131" i="37"/>
  <c r="M221" i="37"/>
  <c r="K277" i="37"/>
  <c r="M277" i="37"/>
  <c r="D10" i="51"/>
  <c r="D9" i="51"/>
  <c r="F222" i="37"/>
  <c r="F226" i="37"/>
  <c r="M226" i="37"/>
  <c r="D988" i="57"/>
  <c r="L95" i="37"/>
  <c r="M95" i="37"/>
  <c r="L92" i="37"/>
  <c r="M92" i="37"/>
  <c r="B218" i="37"/>
  <c r="B924" i="37"/>
  <c r="L219" i="37"/>
  <c r="L220" i="37"/>
  <c r="O131" i="37"/>
  <c r="N131" i="37"/>
  <c r="L222" i="37"/>
  <c r="M222" i="37"/>
  <c r="L226" i="37"/>
  <c r="C43" i="46"/>
  <c r="C41" i="46"/>
  <c r="M94" i="37"/>
  <c r="L94" i="37"/>
  <c r="M96" i="37"/>
  <c r="L96" i="37"/>
  <c r="F319" i="37"/>
  <c r="D21" i="51"/>
  <c r="F390" i="37"/>
  <c r="B219" i="37"/>
  <c r="B925" i="37"/>
  <c r="E277" i="49"/>
  <c r="E301" i="49"/>
  <c r="M351" i="37"/>
  <c r="G351" i="37"/>
  <c r="E351" i="37"/>
  <c r="L345" i="37"/>
  <c r="X260" i="37"/>
  <c r="M345" i="37"/>
  <c r="G205" i="37"/>
  <c r="E205" i="37"/>
  <c r="G204" i="37"/>
  <c r="E204" i="37"/>
  <c r="G203" i="37"/>
  <c r="E203" i="37"/>
  <c r="G202" i="37"/>
  <c r="E202" i="37"/>
  <c r="G201" i="37"/>
  <c r="E201" i="37"/>
  <c r="G200" i="37"/>
  <c r="E200" i="37"/>
  <c r="G199" i="37"/>
  <c r="E199" i="37"/>
  <c r="M198" i="37"/>
  <c r="L198" i="37"/>
  <c r="G198" i="37"/>
  <c r="E198" i="37"/>
  <c r="G208" i="37"/>
  <c r="E208" i="37"/>
  <c r="G207" i="37"/>
  <c r="E207" i="37"/>
  <c r="G206" i="37"/>
  <c r="E206" i="37"/>
  <c r="Z260" i="37"/>
  <c r="B926" i="37"/>
  <c r="B220" i="37"/>
  <c r="L351" i="37"/>
  <c r="E292" i="49"/>
  <c r="E125" i="37"/>
  <c r="G125" i="37"/>
  <c r="B221" i="37"/>
  <c r="B927" i="37"/>
  <c r="E266" i="49"/>
  <c r="E270" i="49"/>
  <c r="L125" i="37"/>
  <c r="B665" i="37"/>
  <c r="B928" i="37"/>
  <c r="B222" i="37"/>
  <c r="M125" i="37"/>
  <c r="B223" i="37"/>
  <c r="B929" i="37"/>
  <c r="B666" i="37"/>
  <c r="L204" i="37"/>
  <c r="F294" i="37"/>
  <c r="B667" i="37"/>
  <c r="B930" i="37"/>
  <c r="B224" i="37"/>
  <c r="M204" i="37"/>
  <c r="L203" i="37"/>
  <c r="M203" i="37"/>
  <c r="E900" i="37"/>
  <c r="G900" i="37"/>
  <c r="L900" i="37"/>
  <c r="M900" i="37"/>
  <c r="B225" i="37"/>
  <c r="B931" i="37"/>
  <c r="B668" i="37"/>
  <c r="M200" i="37"/>
  <c r="L200" i="37"/>
  <c r="M205" i="37"/>
  <c r="L205" i="37"/>
  <c r="L199" i="37"/>
  <c r="M199" i="37"/>
  <c r="B669" i="37"/>
  <c r="B932" i="37"/>
  <c r="B226" i="37"/>
  <c r="M201" i="37"/>
  <c r="L201" i="37"/>
  <c r="M202" i="37"/>
  <c r="L202" i="37"/>
  <c r="L208" i="37"/>
  <c r="M208" i="37"/>
  <c r="F207" i="37"/>
  <c r="L206" i="37"/>
  <c r="M206" i="37"/>
  <c r="B933" i="37"/>
  <c r="B227" i="37"/>
  <c r="B670" i="37"/>
  <c r="L207" i="37"/>
  <c r="M207" i="37"/>
  <c r="C7" i="46"/>
  <c r="C6" i="46"/>
  <c r="C8" i="46"/>
  <c r="C5" i="46"/>
  <c r="B671" i="37"/>
  <c r="B228" i="37"/>
  <c r="B934" i="37"/>
  <c r="M45" i="37"/>
  <c r="L45" i="37"/>
  <c r="H214" i="37"/>
  <c r="K214" i="37"/>
  <c r="H194" i="37"/>
  <c r="K194" i="37"/>
  <c r="B935" i="37"/>
  <c r="B229" i="37"/>
  <c r="B672" i="37"/>
  <c r="N194" i="37"/>
  <c r="O194" i="37"/>
  <c r="N214" i="37"/>
  <c r="O214" i="37"/>
  <c r="E252" i="49"/>
  <c r="E253" i="49"/>
  <c r="E254" i="49"/>
  <c r="E255" i="49"/>
  <c r="B230" i="37"/>
  <c r="B673" i="37"/>
  <c r="B936" i="37"/>
  <c r="L80" i="46"/>
  <c r="B674" i="37"/>
  <c r="B937" i="37"/>
  <c r="B231" i="37"/>
  <c r="E43" i="43"/>
  <c r="G43" i="43"/>
  <c r="B232" i="37"/>
  <c r="B938" i="37"/>
  <c r="B675" i="37"/>
  <c r="G374" i="37"/>
  <c r="B676" i="37"/>
  <c r="B939" i="37"/>
  <c r="B233" i="37"/>
  <c r="C78" i="46"/>
  <c r="B940" i="37"/>
  <c r="B234" i="37"/>
  <c r="B677" i="37"/>
  <c r="L374" i="37"/>
  <c r="M374" i="37"/>
  <c r="E3" i="49"/>
  <c r="E4" i="49"/>
  <c r="E5" i="49"/>
  <c r="E6" i="49"/>
  <c r="E7" i="49"/>
  <c r="E8" i="49"/>
  <c r="E9" i="49"/>
  <c r="E14" i="49"/>
  <c r="E15" i="49"/>
  <c r="E20" i="49"/>
  <c r="E22" i="49"/>
  <c r="E24" i="49"/>
  <c r="E29" i="49"/>
  <c r="E31" i="49"/>
  <c r="E34" i="49"/>
  <c r="E35" i="49"/>
  <c r="E36" i="49"/>
  <c r="E39" i="49"/>
  <c r="E40" i="49"/>
  <c r="E41" i="49"/>
  <c r="E42" i="49"/>
  <c r="E43" i="49"/>
  <c r="E44" i="49"/>
  <c r="E45" i="49"/>
  <c r="E46" i="49"/>
  <c r="E47" i="49"/>
  <c r="E49" i="49"/>
  <c r="E50" i="49"/>
  <c r="E51" i="49"/>
  <c r="E52" i="49"/>
  <c r="E53" i="49"/>
  <c r="E54" i="49"/>
  <c r="E56" i="49"/>
  <c r="E57" i="49"/>
  <c r="E58" i="49"/>
  <c r="E59" i="49"/>
  <c r="E60" i="49"/>
  <c r="E61" i="49"/>
  <c r="E63" i="49"/>
  <c r="E64" i="49"/>
  <c r="E65" i="49"/>
  <c r="E66" i="49"/>
  <c r="E67" i="49"/>
  <c r="E68" i="49"/>
  <c r="E69" i="49"/>
  <c r="E70" i="49"/>
  <c r="E71" i="49"/>
  <c r="E72" i="49"/>
  <c r="E73" i="49"/>
  <c r="E74" i="49"/>
  <c r="E75" i="49"/>
  <c r="E76" i="49"/>
  <c r="E77" i="49"/>
  <c r="E78" i="49"/>
  <c r="E79" i="49"/>
  <c r="E80" i="49"/>
  <c r="E81" i="49"/>
  <c r="E82" i="49"/>
  <c r="E83" i="49"/>
  <c r="E84" i="49"/>
  <c r="E85" i="49"/>
  <c r="E86" i="49"/>
  <c r="E87" i="49"/>
  <c r="E88" i="49"/>
  <c r="E89" i="49"/>
  <c r="E90" i="49"/>
  <c r="E91" i="49"/>
  <c r="E94" i="49"/>
  <c r="E95" i="49"/>
  <c r="E97" i="49"/>
  <c r="E100" i="49"/>
  <c r="E101" i="49"/>
  <c r="E104" i="49"/>
  <c r="E105" i="49"/>
  <c r="E106" i="49"/>
  <c r="E107" i="49"/>
  <c r="E108" i="49"/>
  <c r="E109" i="49"/>
  <c r="E110" i="49"/>
  <c r="E111" i="49"/>
  <c r="E112" i="49"/>
  <c r="E113" i="49"/>
  <c r="E114" i="49"/>
  <c r="E115" i="49"/>
  <c r="E116" i="49"/>
  <c r="E117" i="49"/>
  <c r="E118" i="49"/>
  <c r="E121" i="49"/>
  <c r="E125" i="49"/>
  <c r="E128" i="49"/>
  <c r="E129" i="49"/>
  <c r="E131" i="49"/>
  <c r="E132" i="49"/>
  <c r="E133" i="49"/>
  <c r="E134" i="49"/>
  <c r="E135" i="49"/>
  <c r="E136" i="49"/>
  <c r="E137" i="49"/>
  <c r="E139" i="49"/>
  <c r="E143" i="49"/>
  <c r="E144" i="49"/>
  <c r="E145" i="49"/>
  <c r="E147" i="49"/>
  <c r="E148" i="49"/>
  <c r="E150" i="49"/>
  <c r="E151" i="49"/>
  <c r="E155" i="49"/>
  <c r="E157" i="49"/>
  <c r="E159" i="49"/>
  <c r="E161" i="49"/>
  <c r="E162" i="49"/>
  <c r="E163" i="49"/>
  <c r="E165" i="49"/>
  <c r="E167" i="49"/>
  <c r="E168" i="49"/>
  <c r="E169" i="49"/>
  <c r="E170" i="49"/>
  <c r="E172" i="49"/>
  <c r="E173" i="49"/>
  <c r="E174" i="49"/>
  <c r="E175" i="49"/>
  <c r="E176" i="49"/>
  <c r="E179" i="49"/>
  <c r="E180" i="49"/>
  <c r="E183" i="49"/>
  <c r="E185" i="49"/>
  <c r="E187" i="49"/>
  <c r="E188" i="49"/>
  <c r="E190" i="49"/>
  <c r="E195" i="49"/>
  <c r="E198" i="49"/>
  <c r="E200" i="49"/>
  <c r="E201" i="49"/>
  <c r="E202" i="49"/>
  <c r="E203" i="49"/>
  <c r="E204" i="49"/>
  <c r="E205" i="49"/>
  <c r="E206" i="49"/>
  <c r="E207" i="49"/>
  <c r="E208" i="49"/>
  <c r="E209" i="49"/>
  <c r="E210" i="49"/>
  <c r="E211" i="49"/>
  <c r="E212" i="49"/>
  <c r="E213" i="49"/>
  <c r="E214" i="49"/>
  <c r="E215" i="49"/>
  <c r="E216" i="49"/>
  <c r="E217" i="49"/>
  <c r="E218" i="49"/>
  <c r="E219" i="49"/>
  <c r="E220" i="49"/>
  <c r="E221" i="49"/>
  <c r="E222" i="49"/>
  <c r="E223" i="49"/>
  <c r="E224" i="49"/>
  <c r="E225" i="49"/>
  <c r="E226" i="49"/>
  <c r="E229" i="49"/>
  <c r="E230" i="49"/>
  <c r="E231" i="49"/>
  <c r="E232" i="49"/>
  <c r="E233" i="49"/>
  <c r="E234" i="49"/>
  <c r="E235" i="49"/>
  <c r="E236" i="49"/>
  <c r="E237" i="49"/>
  <c r="E240" i="49"/>
  <c r="E241" i="49"/>
  <c r="E242" i="49"/>
  <c r="E243" i="49"/>
  <c r="E244" i="49"/>
  <c r="E245" i="49"/>
  <c r="E246" i="49"/>
  <c r="E247" i="49"/>
  <c r="E248" i="49"/>
  <c r="E251" i="49"/>
  <c r="B678" i="37"/>
  <c r="B235" i="37"/>
  <c r="B941" i="37"/>
  <c r="M779" i="37"/>
  <c r="L779" i="37"/>
  <c r="G779" i="37"/>
  <c r="E779" i="37"/>
  <c r="M778" i="37"/>
  <c r="L778" i="37"/>
  <c r="G778" i="37"/>
  <c r="E778" i="37"/>
  <c r="M777" i="37"/>
  <c r="L777" i="37"/>
  <c r="G777" i="37"/>
  <c r="E777" i="37"/>
  <c r="M776" i="37"/>
  <c r="L776" i="37"/>
  <c r="G776" i="37"/>
  <c r="E776" i="37"/>
  <c r="M775" i="37"/>
  <c r="L775" i="37"/>
  <c r="G775" i="37"/>
  <c r="E775" i="37"/>
  <c r="B942" i="37"/>
  <c r="B679" i="37"/>
  <c r="M437" i="37"/>
  <c r="L437" i="37"/>
  <c r="G437" i="37"/>
  <c r="E437" i="37"/>
  <c r="G445" i="37"/>
  <c r="E445" i="37"/>
  <c r="B680" i="37"/>
  <c r="B943" i="37"/>
  <c r="E585" i="37"/>
  <c r="B944" i="37"/>
  <c r="B681" i="37"/>
  <c r="G46" i="43"/>
  <c r="D46" i="43"/>
  <c r="G45" i="43"/>
  <c r="D45" i="43"/>
  <c r="B682" i="37"/>
  <c r="B945" i="37"/>
  <c r="E166" i="49"/>
  <c r="B946" i="37"/>
  <c r="B683" i="37"/>
  <c r="E127" i="49"/>
  <c r="E126" i="49"/>
  <c r="E122" i="49"/>
  <c r="E124" i="49"/>
  <c r="B684" i="37"/>
  <c r="B947" i="37"/>
  <c r="E28" i="49"/>
  <c r="M604" i="37"/>
  <c r="L604" i="37"/>
  <c r="G604" i="37"/>
  <c r="M602" i="37"/>
  <c r="L602" i="37"/>
  <c r="G602" i="37"/>
  <c r="E602" i="37"/>
  <c r="M601" i="37"/>
  <c r="L601" i="37"/>
  <c r="G601" i="37"/>
  <c r="E601" i="37"/>
  <c r="M600" i="37"/>
  <c r="L600" i="37"/>
  <c r="G600" i="37"/>
  <c r="E600" i="37"/>
  <c r="M599" i="37"/>
  <c r="L599" i="37"/>
  <c r="G599" i="37"/>
  <c r="E599" i="37"/>
  <c r="M598" i="37"/>
  <c r="L598" i="37"/>
  <c r="G598" i="37"/>
  <c r="E598" i="37"/>
  <c r="M597" i="37"/>
  <c r="L597" i="37"/>
  <c r="G597" i="37"/>
  <c r="E597" i="37"/>
  <c r="M596" i="37"/>
  <c r="L596" i="37"/>
  <c r="G596" i="37"/>
  <c r="E596" i="37"/>
  <c r="M595" i="37"/>
  <c r="L595" i="37"/>
  <c r="G595" i="37"/>
  <c r="E595" i="37"/>
  <c r="M594" i="37"/>
  <c r="L594" i="37"/>
  <c r="G594" i="37"/>
  <c r="E594" i="37"/>
  <c r="M593" i="37"/>
  <c r="L593" i="37"/>
  <c r="G593" i="37"/>
  <c r="E593" i="37"/>
  <c r="M592" i="37"/>
  <c r="L592" i="37"/>
  <c r="G592" i="37"/>
  <c r="E592" i="37"/>
  <c r="M591" i="37"/>
  <c r="L591" i="37"/>
  <c r="G591" i="37"/>
  <c r="E591" i="37"/>
  <c r="M590" i="37"/>
  <c r="L590" i="37"/>
  <c r="G590" i="37"/>
  <c r="E590" i="37"/>
  <c r="B948" i="37"/>
  <c r="B685" i="37"/>
  <c r="E30" i="49"/>
  <c r="E62" i="49"/>
  <c r="E17" i="49"/>
  <c r="E32" i="49"/>
  <c r="B686" i="37"/>
  <c r="B949" i="37"/>
  <c r="M197" i="37"/>
  <c r="L197" i="37"/>
  <c r="G197" i="37"/>
  <c r="E197" i="37"/>
  <c r="H197" i="37"/>
  <c r="M196" i="37"/>
  <c r="L196" i="37"/>
  <c r="G196" i="37"/>
  <c r="E196" i="37"/>
  <c r="M195" i="37"/>
  <c r="L195" i="37"/>
  <c r="G195" i="37"/>
  <c r="E195" i="37"/>
  <c r="H195" i="37"/>
  <c r="M192" i="37"/>
  <c r="L192" i="37"/>
  <c r="G192" i="37"/>
  <c r="M191" i="37"/>
  <c r="L191" i="37"/>
  <c r="G191" i="37"/>
  <c r="E191" i="37"/>
  <c r="M190" i="37"/>
  <c r="L190" i="37"/>
  <c r="G190" i="37"/>
  <c r="E190" i="37"/>
  <c r="M189" i="37"/>
  <c r="L189" i="37"/>
  <c r="G189" i="37"/>
  <c r="E189" i="37"/>
  <c r="M188" i="37"/>
  <c r="L188" i="37"/>
  <c r="G188" i="37"/>
  <c r="E188" i="37"/>
  <c r="C38" i="53"/>
  <c r="C21" i="53"/>
  <c r="B687" i="37"/>
  <c r="H196" i="37"/>
  <c r="M60" i="37"/>
  <c r="L60" i="37"/>
  <c r="G60" i="37"/>
  <c r="E60" i="37"/>
  <c r="B688" i="37"/>
  <c r="E12" i="37"/>
  <c r="B689" i="37"/>
  <c r="C49" i="46"/>
  <c r="M241" i="37"/>
  <c r="L241" i="37"/>
  <c r="G241" i="37"/>
  <c r="D295" i="49"/>
  <c r="M239" i="37"/>
  <c r="L239" i="37"/>
  <c r="G239" i="37"/>
  <c r="E239" i="37"/>
  <c r="B690" i="37"/>
  <c r="H241" i="37"/>
  <c r="F295" i="49"/>
  <c r="G295" i="49"/>
  <c r="M295" i="49"/>
  <c r="D42" i="43"/>
  <c r="E42" i="43"/>
  <c r="G42" i="43"/>
  <c r="D39" i="43"/>
  <c r="B691" i="37"/>
  <c r="D286" i="49"/>
  <c r="M838" i="37"/>
  <c r="L838" i="37"/>
  <c r="G838" i="37"/>
  <c r="E838" i="37"/>
  <c r="M837" i="37"/>
  <c r="L837" i="37"/>
  <c r="G837" i="37"/>
  <c r="E837" i="37"/>
  <c r="B692" i="37"/>
  <c r="H128" i="53"/>
  <c r="B693" i="37"/>
  <c r="C83" i="53"/>
  <c r="B694" i="37"/>
  <c r="C32" i="53"/>
  <c r="C12" i="53"/>
  <c r="B695" i="37"/>
  <c r="E242" i="37"/>
  <c r="B696" i="37"/>
  <c r="M233" i="37"/>
  <c r="K233" i="37"/>
  <c r="G233" i="37"/>
  <c r="E233" i="37"/>
  <c r="M232" i="37"/>
  <c r="K232" i="37"/>
  <c r="G232" i="37"/>
  <c r="E232" i="37"/>
  <c r="M212" i="37"/>
  <c r="K212" i="37"/>
  <c r="G212" i="37"/>
  <c r="E212" i="37"/>
  <c r="M211" i="37"/>
  <c r="K211" i="37"/>
  <c r="G211" i="37"/>
  <c r="E211" i="37"/>
  <c r="M210" i="37"/>
  <c r="K210" i="37"/>
  <c r="G210" i="37"/>
  <c r="E210" i="37"/>
  <c r="K209" i="37"/>
  <c r="G209" i="37"/>
  <c r="E209" i="37"/>
  <c r="W108" i="37"/>
  <c r="B697" i="37"/>
  <c r="M187" i="37"/>
  <c r="M942" i="37"/>
  <c r="K942" i="37"/>
  <c r="G942" i="37"/>
  <c r="E942" i="37"/>
  <c r="M941" i="37"/>
  <c r="K941" i="37"/>
  <c r="G941" i="37"/>
  <c r="E941" i="37"/>
  <c r="M929" i="37"/>
  <c r="K929" i="37"/>
  <c r="G929" i="37"/>
  <c r="E929" i="37"/>
  <c r="M928" i="37"/>
  <c r="K928" i="37"/>
  <c r="G928" i="37"/>
  <c r="E928" i="37"/>
  <c r="M820" i="37"/>
  <c r="K820" i="37"/>
  <c r="G820" i="37"/>
  <c r="E820" i="37"/>
  <c r="M819" i="37"/>
  <c r="K819" i="37"/>
  <c r="G819" i="37"/>
  <c r="E819" i="37"/>
  <c r="M818" i="37"/>
  <c r="K818" i="37"/>
  <c r="G818" i="37"/>
  <c r="E818" i="37"/>
  <c r="M817" i="37"/>
  <c r="K817" i="37"/>
  <c r="G817" i="37"/>
  <c r="E817" i="37"/>
  <c r="M799" i="37"/>
  <c r="K799" i="37"/>
  <c r="G799" i="37"/>
  <c r="E799" i="37"/>
  <c r="M798" i="37"/>
  <c r="K798" i="37"/>
  <c r="G798" i="37"/>
  <c r="E798" i="37"/>
  <c r="M768" i="37"/>
  <c r="K768" i="37"/>
  <c r="G768" i="37"/>
  <c r="E768" i="37"/>
  <c r="M767" i="37"/>
  <c r="K767" i="37"/>
  <c r="G767" i="37"/>
  <c r="E767" i="37"/>
  <c r="M746" i="37"/>
  <c r="K746" i="37"/>
  <c r="G746" i="37"/>
  <c r="E746" i="37"/>
  <c r="M745" i="37"/>
  <c r="K745" i="37"/>
  <c r="G745" i="37"/>
  <c r="E745" i="37"/>
  <c r="M728" i="37"/>
  <c r="K728" i="37"/>
  <c r="G728" i="37"/>
  <c r="E728" i="37"/>
  <c r="M727" i="37"/>
  <c r="K727" i="37"/>
  <c r="G727" i="37"/>
  <c r="E727" i="37"/>
  <c r="M726" i="37"/>
  <c r="K726" i="37"/>
  <c r="G726" i="37"/>
  <c r="E726" i="37"/>
  <c r="M725" i="37"/>
  <c r="K725" i="37"/>
  <c r="G725" i="37"/>
  <c r="E725" i="37"/>
  <c r="M608" i="37"/>
  <c r="K608" i="37"/>
  <c r="G608" i="37"/>
  <c r="E608" i="37"/>
  <c r="M607" i="37"/>
  <c r="K607" i="37"/>
  <c r="G607" i="37"/>
  <c r="E607" i="37"/>
  <c r="M582" i="37"/>
  <c r="K582" i="37"/>
  <c r="G582" i="37"/>
  <c r="E582" i="37"/>
  <c r="M581" i="37"/>
  <c r="K581" i="37"/>
  <c r="G581" i="37"/>
  <c r="E581" i="37"/>
  <c r="M475" i="37"/>
  <c r="K475" i="37"/>
  <c r="G475" i="37"/>
  <c r="E475" i="37"/>
  <c r="M474" i="37"/>
  <c r="K474" i="37"/>
  <c r="G474" i="37"/>
  <c r="K464" i="37"/>
  <c r="G464" i="37"/>
  <c r="E464" i="37"/>
  <c r="G463" i="37"/>
  <c r="M463" i="37"/>
  <c r="E463" i="37"/>
  <c r="M461" i="37"/>
  <c r="K461" i="37"/>
  <c r="G461" i="37"/>
  <c r="E461" i="37"/>
  <c r="M460" i="37"/>
  <c r="K460" i="37"/>
  <c r="G460" i="37"/>
  <c r="E460" i="37"/>
  <c r="M547" i="37"/>
  <c r="K547" i="37"/>
  <c r="G547" i="37"/>
  <c r="E547" i="37"/>
  <c r="M546" i="37"/>
  <c r="K546" i="37"/>
  <c r="G546" i="37"/>
  <c r="E546" i="37"/>
  <c r="M545" i="37"/>
  <c r="K545" i="37"/>
  <c r="G545" i="37"/>
  <c r="E545" i="37"/>
  <c r="M544" i="37"/>
  <c r="K544" i="37"/>
  <c r="G544" i="37"/>
  <c r="E544" i="37"/>
  <c r="G451" i="37"/>
  <c r="E451" i="37"/>
  <c r="G450" i="37"/>
  <c r="E450" i="37"/>
  <c r="M321" i="37"/>
  <c r="K321" i="37"/>
  <c r="G321" i="37"/>
  <c r="E321" i="37"/>
  <c r="M320" i="37"/>
  <c r="K320" i="37"/>
  <c r="G320" i="37"/>
  <c r="E320" i="37"/>
  <c r="M319" i="37"/>
  <c r="K319" i="37"/>
  <c r="G319" i="37"/>
  <c r="E319" i="37"/>
  <c r="M318" i="37"/>
  <c r="K318" i="37"/>
  <c r="G318" i="37"/>
  <c r="E318" i="37"/>
  <c r="M311" i="37"/>
  <c r="M309" i="37"/>
  <c r="G311" i="37"/>
  <c r="E311" i="37"/>
  <c r="G310" i="37"/>
  <c r="M310" i="37"/>
  <c r="E310" i="37"/>
  <c r="G309" i="37"/>
  <c r="E309" i="37"/>
  <c r="G308" i="37"/>
  <c r="M308" i="37"/>
  <c r="E308" i="37"/>
  <c r="M556" i="37"/>
  <c r="K556" i="37"/>
  <c r="G556" i="37"/>
  <c r="E556" i="37"/>
  <c r="M555" i="37"/>
  <c r="K555" i="37"/>
  <c r="G555" i="37"/>
  <c r="M510" i="37"/>
  <c r="M512" i="37"/>
  <c r="K512" i="37"/>
  <c r="G512" i="37"/>
  <c r="E512" i="37"/>
  <c r="M511" i="37"/>
  <c r="K511" i="37"/>
  <c r="G511" i="37"/>
  <c r="E511" i="37"/>
  <c r="G510" i="37"/>
  <c r="E510" i="37"/>
  <c r="G509" i="37"/>
  <c r="E509" i="37"/>
  <c r="G427" i="37"/>
  <c r="E427" i="37"/>
  <c r="G426" i="37"/>
  <c r="E426" i="37"/>
  <c r="G425" i="37"/>
  <c r="E425" i="37"/>
  <c r="G424" i="37"/>
  <c r="E424" i="37"/>
  <c r="G423" i="37"/>
  <c r="E423" i="37"/>
  <c r="G422" i="37"/>
  <c r="E422" i="37"/>
  <c r="B698" i="37"/>
  <c r="M452" i="37"/>
  <c r="K509" i="37"/>
  <c r="M464" i="37"/>
  <c r="M462" i="37"/>
  <c r="K463" i="37"/>
  <c r="K462" i="37"/>
  <c r="K310" i="37"/>
  <c r="K311" i="37"/>
  <c r="K308" i="37"/>
  <c r="K309" i="37"/>
  <c r="K510" i="37"/>
  <c r="M509" i="37"/>
  <c r="B699" i="37"/>
  <c r="G398" i="37"/>
  <c r="E398" i="37"/>
  <c r="G397" i="37"/>
  <c r="E397" i="37"/>
  <c r="G392" i="37"/>
  <c r="E392" i="37"/>
  <c r="G391" i="37"/>
  <c r="E391" i="37"/>
  <c r="M390" i="37"/>
  <c r="K390" i="37"/>
  <c r="G390" i="37"/>
  <c r="E390" i="37"/>
  <c r="M389" i="37"/>
  <c r="K389" i="37"/>
  <c r="G389" i="37"/>
  <c r="E389" i="37"/>
  <c r="M360" i="37"/>
  <c r="K360" i="37"/>
  <c r="G360" i="37"/>
  <c r="E360" i="37"/>
  <c r="M359" i="37"/>
  <c r="K359" i="37"/>
  <c r="G359" i="37"/>
  <c r="E359" i="37"/>
  <c r="M358" i="37"/>
  <c r="K358" i="37"/>
  <c r="G358" i="37"/>
  <c r="E358" i="37"/>
  <c r="M357" i="37"/>
  <c r="K357" i="37"/>
  <c r="G357" i="37"/>
  <c r="E357" i="37"/>
  <c r="M235" i="37"/>
  <c r="K235" i="37"/>
  <c r="G235" i="37"/>
  <c r="E235" i="37"/>
  <c r="M234" i="37"/>
  <c r="K234" i="37"/>
  <c r="G234" i="37"/>
  <c r="E234" i="37"/>
  <c r="M228" i="37"/>
  <c r="K228" i="37"/>
  <c r="G228" i="37"/>
  <c r="E228" i="37"/>
  <c r="M227" i="37"/>
  <c r="K227" i="37"/>
  <c r="G227" i="37"/>
  <c r="E227" i="37"/>
  <c r="M247" i="37"/>
  <c r="K247" i="37"/>
  <c r="G247" i="37"/>
  <c r="E247" i="37"/>
  <c r="M246" i="37"/>
  <c r="K246" i="37"/>
  <c r="G246" i="37"/>
  <c r="E246" i="37"/>
  <c r="M245" i="37"/>
  <c r="K245" i="37"/>
  <c r="G245" i="37"/>
  <c r="E245" i="37"/>
  <c r="M244" i="37"/>
  <c r="K244" i="37"/>
  <c r="G244" i="37"/>
  <c r="E244" i="37"/>
  <c r="G243" i="37"/>
  <c r="E243" i="37"/>
  <c r="G242" i="37"/>
  <c r="B700" i="37"/>
  <c r="M213" i="37"/>
  <c r="K229" i="37"/>
  <c r="M229" i="37"/>
  <c r="B701" i="37"/>
  <c r="M167" i="37"/>
  <c r="K167" i="37"/>
  <c r="G167" i="37"/>
  <c r="E167" i="37"/>
  <c r="M166" i="37"/>
  <c r="K166" i="37"/>
  <c r="G166" i="37"/>
  <c r="E166" i="37"/>
  <c r="G165" i="37"/>
  <c r="E165" i="37"/>
  <c r="G164" i="37"/>
  <c r="E164" i="37"/>
  <c r="M143" i="37"/>
  <c r="K143" i="37"/>
  <c r="G143" i="37"/>
  <c r="E143" i="37"/>
  <c r="M142" i="37"/>
  <c r="K142" i="37"/>
  <c r="G142" i="37"/>
  <c r="E142" i="37"/>
  <c r="G141" i="37"/>
  <c r="E141" i="37"/>
  <c r="G140" i="37"/>
  <c r="E140" i="37"/>
  <c r="G298" i="37"/>
  <c r="E298" i="37"/>
  <c r="M297" i="37"/>
  <c r="K297" i="37"/>
  <c r="G297" i="37"/>
  <c r="E297" i="37"/>
  <c r="G296" i="37"/>
  <c r="E296" i="37"/>
  <c r="G295" i="37"/>
  <c r="E295" i="37"/>
  <c r="M294" i="37"/>
  <c r="K294" i="37"/>
  <c r="G294" i="37"/>
  <c r="E294" i="37"/>
  <c r="M293" i="37"/>
  <c r="K293" i="37"/>
  <c r="G293" i="37"/>
  <c r="E293" i="37"/>
  <c r="M292" i="37"/>
  <c r="K292" i="37"/>
  <c r="G292" i="37"/>
  <c r="E292" i="37"/>
  <c r="M291" i="37"/>
  <c r="K291" i="37"/>
  <c r="G291" i="37"/>
  <c r="E291" i="37"/>
  <c r="M281" i="37"/>
  <c r="K281" i="37"/>
  <c r="G281" i="37"/>
  <c r="E281" i="37"/>
  <c r="M280" i="37"/>
  <c r="K280" i="37"/>
  <c r="G280" i="37"/>
  <c r="E280" i="37"/>
  <c r="M275" i="37"/>
  <c r="K275" i="37"/>
  <c r="G275" i="37"/>
  <c r="E275" i="37"/>
  <c r="M274" i="37"/>
  <c r="K274" i="37"/>
  <c r="G274" i="37"/>
  <c r="E274" i="37"/>
  <c r="M268" i="37"/>
  <c r="K268" i="37"/>
  <c r="G268" i="37"/>
  <c r="E268" i="37"/>
  <c r="M267" i="37"/>
  <c r="K267" i="37"/>
  <c r="G267" i="37"/>
  <c r="E267" i="37"/>
  <c r="M266" i="37"/>
  <c r="K266" i="37"/>
  <c r="G266" i="37"/>
  <c r="E266" i="37"/>
  <c r="M265" i="37"/>
  <c r="K265" i="37"/>
  <c r="G265" i="37"/>
  <c r="E265" i="37"/>
  <c r="M264" i="37"/>
  <c r="K264" i="37"/>
  <c r="G264" i="37"/>
  <c r="E264" i="37"/>
  <c r="M263" i="37"/>
  <c r="K263" i="37"/>
  <c r="G263" i="37"/>
  <c r="E263" i="37"/>
  <c r="M262" i="37"/>
  <c r="K262" i="37"/>
  <c r="G262" i="37"/>
  <c r="E262" i="37"/>
  <c r="M261" i="37"/>
  <c r="K261" i="37"/>
  <c r="G261" i="37"/>
  <c r="E261" i="37"/>
  <c r="B702" i="37"/>
  <c r="M254" i="37"/>
  <c r="M114" i="37"/>
  <c r="K114" i="37"/>
  <c r="G114" i="37"/>
  <c r="E114" i="37"/>
  <c r="M113" i="37"/>
  <c r="K113" i="37"/>
  <c r="G113" i="37"/>
  <c r="E113" i="37"/>
  <c r="M110" i="37"/>
  <c r="K110" i="37"/>
  <c r="G110" i="37"/>
  <c r="E110" i="37"/>
  <c r="M109" i="37"/>
  <c r="K109" i="37"/>
  <c r="G109" i="37"/>
  <c r="E109" i="37"/>
  <c r="M100" i="37"/>
  <c r="K100" i="37"/>
  <c r="G100" i="37"/>
  <c r="E100" i="37"/>
  <c r="M99" i="37"/>
  <c r="K99" i="37"/>
  <c r="G99" i="37"/>
  <c r="E99" i="37"/>
  <c r="M98" i="37"/>
  <c r="K98" i="37"/>
  <c r="G98" i="37"/>
  <c r="E98" i="37"/>
  <c r="M97" i="37"/>
  <c r="K97" i="37"/>
  <c r="G97" i="37"/>
  <c r="E97" i="37"/>
  <c r="M88" i="37"/>
  <c r="K88" i="37"/>
  <c r="G88" i="37"/>
  <c r="E88" i="37"/>
  <c r="M87" i="37"/>
  <c r="K87" i="37"/>
  <c r="G87" i="37"/>
  <c r="E87" i="37"/>
  <c r="G83" i="37"/>
  <c r="E83" i="37"/>
  <c r="G82" i="37"/>
  <c r="E82" i="37"/>
  <c r="G81" i="37"/>
  <c r="E81" i="37"/>
  <c r="G80" i="37"/>
  <c r="E80" i="37"/>
  <c r="G79" i="37"/>
  <c r="E79" i="37"/>
  <c r="G78" i="37"/>
  <c r="E78" i="37"/>
  <c r="M910" i="37"/>
  <c r="K910" i="37"/>
  <c r="G910" i="37"/>
  <c r="E910" i="37"/>
  <c r="M909" i="37"/>
  <c r="K909" i="37"/>
  <c r="G909" i="37"/>
  <c r="E909" i="37"/>
  <c r="G67" i="37"/>
  <c r="E67" i="37"/>
  <c r="G66" i="37"/>
  <c r="E66" i="37"/>
  <c r="G65" i="37"/>
  <c r="E65" i="37"/>
  <c r="G64" i="37"/>
  <c r="E64" i="37"/>
  <c r="M53" i="37"/>
  <c r="K53" i="37"/>
  <c r="G53" i="37"/>
  <c r="E53" i="37"/>
  <c r="M52" i="37"/>
  <c r="K52" i="37"/>
  <c r="G52" i="37"/>
  <c r="E52" i="37"/>
  <c r="M51" i="37"/>
  <c r="K51" i="37"/>
  <c r="G51" i="37"/>
  <c r="E51" i="37"/>
  <c r="M50" i="37"/>
  <c r="K50" i="37"/>
  <c r="G50" i="37"/>
  <c r="M49" i="37"/>
  <c r="K49" i="37"/>
  <c r="G49" i="37"/>
  <c r="B703" i="37"/>
  <c r="K84" i="37"/>
  <c r="M84" i="37"/>
  <c r="M89" i="37"/>
  <c r="M101" i="37"/>
  <c r="B704" i="37"/>
  <c r="E21" i="43"/>
  <c r="L816" i="37"/>
  <c r="K816" i="37"/>
  <c r="K800" i="37"/>
  <c r="M816" i="37"/>
  <c r="M800" i="37"/>
  <c r="G816" i="37"/>
  <c r="E816" i="37"/>
  <c r="E580" i="37"/>
  <c r="L580" i="37"/>
  <c r="K580" i="37"/>
  <c r="M580" i="37"/>
  <c r="M559" i="37"/>
  <c r="G580" i="37"/>
  <c r="D41" i="43"/>
  <c r="B705" i="37"/>
  <c r="E41" i="43"/>
  <c r="G41" i="43"/>
  <c r="O816" i="37"/>
  <c r="N816" i="37"/>
  <c r="O580" i="37"/>
  <c r="N580" i="37"/>
  <c r="D40" i="43"/>
  <c r="B706" i="37"/>
  <c r="E39" i="43"/>
  <c r="B707" i="37"/>
  <c r="C86" i="46"/>
  <c r="H73" i="46"/>
  <c r="M440" i="37"/>
  <c r="L440" i="37"/>
  <c r="G440" i="37"/>
  <c r="E440" i="37"/>
  <c r="M439" i="37"/>
  <c r="L439" i="37"/>
  <c r="G439" i="37"/>
  <c r="E439" i="37"/>
  <c r="M438" i="37"/>
  <c r="L438" i="37"/>
  <c r="G438" i="37"/>
  <c r="E438" i="37"/>
  <c r="M436" i="37"/>
  <c r="L436" i="37"/>
  <c r="G436" i="37"/>
  <c r="E436" i="37"/>
  <c r="G435" i="37"/>
  <c r="E435" i="37"/>
  <c r="B708" i="37"/>
  <c r="M40" i="37"/>
  <c r="E40" i="37"/>
  <c r="B709" i="37"/>
  <c r="L40" i="37"/>
  <c r="B710" i="37"/>
  <c r="E2" i="49"/>
  <c r="B711" i="37"/>
  <c r="M946" i="37"/>
  <c r="L946" i="37"/>
  <c r="G946" i="37"/>
  <c r="E946" i="37"/>
  <c r="M945" i="37"/>
  <c r="L945" i="37"/>
  <c r="G945" i="37"/>
  <c r="E945" i="37"/>
  <c r="M944" i="37"/>
  <c r="L944" i="37"/>
  <c r="G944" i="37"/>
  <c r="E944" i="37"/>
  <c r="B712" i="37"/>
  <c r="M332" i="37"/>
  <c r="L332" i="37"/>
  <c r="G332" i="37"/>
  <c r="E332" i="37"/>
  <c r="M331" i="37"/>
  <c r="L331" i="37"/>
  <c r="G331" i="37"/>
  <c r="E331" i="37"/>
  <c r="M330" i="37"/>
  <c r="L330" i="37"/>
  <c r="G330" i="37"/>
  <c r="E330" i="37"/>
  <c r="B713" i="37"/>
  <c r="E82" i="46"/>
  <c r="H72" i="46"/>
  <c r="E78" i="46"/>
  <c r="H75" i="46"/>
  <c r="E5" i="45"/>
  <c r="E4" i="45"/>
  <c r="M340" i="37"/>
  <c r="L340" i="37"/>
  <c r="G340" i="37"/>
  <c r="E340" i="37"/>
  <c r="M343" i="37"/>
  <c r="L343" i="37"/>
  <c r="G343" i="37"/>
  <c r="E343" i="37"/>
  <c r="M344" i="37"/>
  <c r="L344" i="37"/>
  <c r="G344" i="37"/>
  <c r="E344" i="37"/>
  <c r="M342" i="37"/>
  <c r="L342" i="37"/>
  <c r="G342" i="37"/>
  <c r="E342" i="37"/>
  <c r="M341" i="37"/>
  <c r="L341" i="37"/>
  <c r="G341" i="37"/>
  <c r="E341" i="37"/>
  <c r="M339" i="37"/>
  <c r="L339" i="37"/>
  <c r="G339" i="37"/>
  <c r="E339" i="37"/>
  <c r="M338" i="37"/>
  <c r="L338" i="37"/>
  <c r="G338" i="37"/>
  <c r="E338" i="37"/>
  <c r="M337" i="37"/>
  <c r="L337" i="37"/>
  <c r="G337" i="37"/>
  <c r="E337" i="37"/>
  <c r="M336" i="37"/>
  <c r="L336" i="37"/>
  <c r="G336" i="37"/>
  <c r="E336" i="37"/>
  <c r="M335" i="37"/>
  <c r="L335" i="37"/>
  <c r="G335" i="37"/>
  <c r="E335" i="37"/>
  <c r="L473" i="37"/>
  <c r="K473" i="37"/>
  <c r="K472" i="37"/>
  <c r="G473" i="37"/>
  <c r="E473" i="37"/>
  <c r="E40" i="43"/>
  <c r="L492" i="37"/>
  <c r="K492" i="37"/>
  <c r="G492" i="37"/>
  <c r="E492" i="37"/>
  <c r="G39" i="43"/>
  <c r="M764" i="37"/>
  <c r="L764" i="37"/>
  <c r="G764" i="37"/>
  <c r="E764" i="37"/>
  <c r="M763" i="37"/>
  <c r="L763" i="37"/>
  <c r="G763" i="37"/>
  <c r="E763" i="37"/>
  <c r="M760" i="37"/>
  <c r="L760" i="37"/>
  <c r="G760" i="37"/>
  <c r="E760" i="37"/>
  <c r="M759" i="37"/>
  <c r="L759" i="37"/>
  <c r="G759" i="37"/>
  <c r="E759" i="37"/>
  <c r="M753" i="37"/>
  <c r="L753" i="37"/>
  <c r="G753" i="37"/>
  <c r="M757" i="37"/>
  <c r="L757" i="37"/>
  <c r="G757" i="37"/>
  <c r="M756" i="37"/>
  <c r="L756" i="37"/>
  <c r="G756" i="37"/>
  <c r="M755" i="37"/>
  <c r="L755" i="37"/>
  <c r="G755" i="37"/>
  <c r="M754" i="37"/>
  <c r="L754" i="37"/>
  <c r="G754" i="37"/>
  <c r="M751" i="37"/>
  <c r="L751" i="37"/>
  <c r="G751" i="37"/>
  <c r="M750" i="37"/>
  <c r="L750" i="37"/>
  <c r="G750" i="37"/>
  <c r="G749" i="37"/>
  <c r="M252" i="37"/>
  <c r="K252" i="37"/>
  <c r="I252" i="37"/>
  <c r="L252" i="37"/>
  <c r="G252" i="37"/>
  <c r="E252" i="37"/>
  <c r="M251" i="37"/>
  <c r="K251" i="37"/>
  <c r="G251" i="37"/>
  <c r="E251" i="37"/>
  <c r="M249" i="37"/>
  <c r="L249" i="37"/>
  <c r="G249" i="37"/>
  <c r="E249" i="37"/>
  <c r="D291" i="49"/>
  <c r="M250" i="37"/>
  <c r="L250" i="37"/>
  <c r="G250" i="37"/>
  <c r="E250" i="37"/>
  <c r="M947" i="37"/>
  <c r="M943" i="37"/>
  <c r="L947" i="37"/>
  <c r="L943" i="37"/>
  <c r="X49" i="37"/>
  <c r="Z49" i="37"/>
  <c r="G947" i="37"/>
  <c r="E947" i="37"/>
  <c r="M927" i="37"/>
  <c r="L927" i="37"/>
  <c r="G927" i="37"/>
  <c r="E927" i="37"/>
  <c r="M926" i="37"/>
  <c r="L926" i="37"/>
  <c r="G926" i="37"/>
  <c r="E926" i="37"/>
  <c r="M914" i="37"/>
  <c r="L914" i="37"/>
  <c r="G914" i="37"/>
  <c r="E914" i="37"/>
  <c r="M913" i="37"/>
  <c r="L913" i="37"/>
  <c r="G913" i="37"/>
  <c r="E913" i="37"/>
  <c r="M912" i="37"/>
  <c r="L912" i="37"/>
  <c r="X47" i="37"/>
  <c r="G912" i="37"/>
  <c r="E912" i="37"/>
  <c r="W47" i="37"/>
  <c r="Z47" i="37"/>
  <c r="B714" i="37"/>
  <c r="M911" i="37"/>
  <c r="I276" i="37"/>
  <c r="L276" i="37"/>
  <c r="I278" i="37"/>
  <c r="L278" i="37"/>
  <c r="I111" i="37"/>
  <c r="L111" i="37"/>
  <c r="I232" i="37"/>
  <c r="L232" i="37"/>
  <c r="I209" i="37"/>
  <c r="L209" i="37"/>
  <c r="X108" i="37"/>
  <c r="I211" i="37"/>
  <c r="L211" i="37"/>
  <c r="I460" i="37"/>
  <c r="L460" i="37"/>
  <c r="I318" i="37"/>
  <c r="L318" i="37"/>
  <c r="I310" i="37"/>
  <c r="L310" i="37"/>
  <c r="I819" i="37"/>
  <c r="L819" i="37"/>
  <c r="I745" i="37"/>
  <c r="L745" i="37"/>
  <c r="I607" i="37"/>
  <c r="L607" i="37"/>
  <c r="I424" i="37"/>
  <c r="I767" i="37"/>
  <c r="L767" i="37"/>
  <c r="I474" i="37"/>
  <c r="L474" i="37"/>
  <c r="I422" i="37"/>
  <c r="I546" i="37"/>
  <c r="L546" i="37"/>
  <c r="I555" i="37"/>
  <c r="L555" i="37"/>
  <c r="I544" i="37"/>
  <c r="L544" i="37"/>
  <c r="I725" i="37"/>
  <c r="L725" i="37"/>
  <c r="I817" i="37"/>
  <c r="L817" i="37"/>
  <c r="I450" i="37"/>
  <c r="I426" i="37"/>
  <c r="I320" i="37"/>
  <c r="L320" i="37"/>
  <c r="I928" i="37"/>
  <c r="L928" i="37"/>
  <c r="I308" i="37"/>
  <c r="L308" i="37"/>
  <c r="I941" i="37"/>
  <c r="L941" i="37"/>
  <c r="I798" i="37"/>
  <c r="L798" i="37"/>
  <c r="I727" i="37"/>
  <c r="L727" i="37"/>
  <c r="I581" i="37"/>
  <c r="L581" i="37"/>
  <c r="I463" i="37"/>
  <c r="L463" i="37"/>
  <c r="I391" i="37"/>
  <c r="I234" i="37"/>
  <c r="L234" i="37"/>
  <c r="I397" i="37"/>
  <c r="I244" i="37"/>
  <c r="L244" i="37"/>
  <c r="I389" i="37"/>
  <c r="L389" i="37"/>
  <c r="I227" i="37"/>
  <c r="L227" i="37"/>
  <c r="I359" i="37"/>
  <c r="L359" i="37"/>
  <c r="I246" i="37"/>
  <c r="L246" i="37"/>
  <c r="I242" i="37"/>
  <c r="I357" i="37"/>
  <c r="L357" i="37"/>
  <c r="I291" i="37"/>
  <c r="L291" i="37"/>
  <c r="I265" i="37"/>
  <c r="L265" i="37"/>
  <c r="I293" i="37"/>
  <c r="L293" i="37"/>
  <c r="I280" i="37"/>
  <c r="L280" i="37"/>
  <c r="I263" i="37"/>
  <c r="L263" i="37"/>
  <c r="I297" i="37"/>
  <c r="L297" i="37"/>
  <c r="I267" i="37"/>
  <c r="L267" i="37"/>
  <c r="I295" i="37"/>
  <c r="I274" i="37"/>
  <c r="L274" i="37"/>
  <c r="I261" i="37"/>
  <c r="L261" i="37"/>
  <c r="I109" i="37"/>
  <c r="L109" i="37"/>
  <c r="I80" i="37"/>
  <c r="I97" i="37"/>
  <c r="L97" i="37"/>
  <c r="I82" i="37"/>
  <c r="I52" i="37"/>
  <c r="L52" i="37"/>
  <c r="I64" i="37"/>
  <c r="I50" i="37"/>
  <c r="L50" i="37"/>
  <c r="I113" i="37"/>
  <c r="L113" i="37"/>
  <c r="I909" i="37"/>
  <c r="L909" i="37"/>
  <c r="I87" i="37"/>
  <c r="L87" i="37"/>
  <c r="I78" i="37"/>
  <c r="I66" i="37"/>
  <c r="I99" i="37"/>
  <c r="L99" i="37"/>
  <c r="I251" i="37"/>
  <c r="L251" i="37"/>
  <c r="L248" i="37"/>
  <c r="X25" i="37"/>
  <c r="Z25" i="37"/>
  <c r="I277" i="37"/>
  <c r="L277" i="37"/>
  <c r="I279" i="37"/>
  <c r="L279" i="37"/>
  <c r="I112" i="37"/>
  <c r="L112" i="37"/>
  <c r="I233" i="37"/>
  <c r="L233" i="37"/>
  <c r="I212" i="37"/>
  <c r="L212" i="37"/>
  <c r="I210" i="37"/>
  <c r="L210" i="37"/>
  <c r="I942" i="37"/>
  <c r="L942" i="37"/>
  <c r="I799" i="37"/>
  <c r="L799" i="37"/>
  <c r="I728" i="37"/>
  <c r="L728" i="37"/>
  <c r="I582" i="37"/>
  <c r="L582" i="37"/>
  <c r="I451" i="37"/>
  <c r="I427" i="37"/>
  <c r="I820" i="37"/>
  <c r="L820" i="37"/>
  <c r="I423" i="37"/>
  <c r="I321" i="37"/>
  <c r="L321" i="37"/>
  <c r="I746" i="37"/>
  <c r="L746" i="37"/>
  <c r="I309" i="37"/>
  <c r="L309" i="37"/>
  <c r="I818" i="37"/>
  <c r="L818" i="37"/>
  <c r="I425" i="37"/>
  <c r="I929" i="37"/>
  <c r="L929" i="37"/>
  <c r="I768" i="37"/>
  <c r="L768" i="37"/>
  <c r="I726" i="37"/>
  <c r="L726" i="37"/>
  <c r="I475" i="37"/>
  <c r="L475" i="37"/>
  <c r="I464" i="37"/>
  <c r="L464" i="37"/>
  <c r="I545" i="37"/>
  <c r="L545" i="37"/>
  <c r="I461" i="37"/>
  <c r="L461" i="37"/>
  <c r="I319" i="37"/>
  <c r="L319" i="37"/>
  <c r="I608" i="37"/>
  <c r="L608" i="37"/>
  <c r="I547" i="37"/>
  <c r="L547" i="37"/>
  <c r="I311" i="37"/>
  <c r="L311" i="37"/>
  <c r="I556" i="37"/>
  <c r="L556" i="37"/>
  <c r="I360" i="37"/>
  <c r="L360" i="37"/>
  <c r="I247" i="37"/>
  <c r="L247" i="37"/>
  <c r="I398" i="37"/>
  <c r="I358" i="37"/>
  <c r="L358" i="37"/>
  <c r="I245" i="37"/>
  <c r="L245" i="37"/>
  <c r="I243" i="37"/>
  <c r="I392" i="37"/>
  <c r="I235" i="37"/>
  <c r="L235" i="37"/>
  <c r="I228" i="37"/>
  <c r="L228" i="37"/>
  <c r="I390" i="37"/>
  <c r="L390" i="37"/>
  <c r="I275" i="37"/>
  <c r="L275" i="37"/>
  <c r="I262" i="37"/>
  <c r="L262" i="37"/>
  <c r="I298" i="37"/>
  <c r="I296" i="37"/>
  <c r="I294" i="37"/>
  <c r="L294" i="37"/>
  <c r="I268" i="37"/>
  <c r="L268" i="37"/>
  <c r="I292" i="37"/>
  <c r="L292" i="37"/>
  <c r="I264" i="37"/>
  <c r="L264" i="37"/>
  <c r="I266" i="37"/>
  <c r="L266" i="37"/>
  <c r="I281" i="37"/>
  <c r="L281" i="37"/>
  <c r="I65" i="37"/>
  <c r="I49" i="37"/>
  <c r="L49" i="37"/>
  <c r="I88" i="37"/>
  <c r="L88" i="37"/>
  <c r="I114" i="37"/>
  <c r="L114" i="37"/>
  <c r="I110" i="37"/>
  <c r="L110" i="37"/>
  <c r="I83" i="37"/>
  <c r="I100" i="37"/>
  <c r="L100" i="37"/>
  <c r="I79" i="37"/>
  <c r="I910" i="37"/>
  <c r="L910" i="37"/>
  <c r="I67" i="37"/>
  <c r="I51" i="37"/>
  <c r="L51" i="37"/>
  <c r="I98" i="37"/>
  <c r="L98" i="37"/>
  <c r="I81" i="37"/>
  <c r="I53" i="37"/>
  <c r="L53" i="37"/>
  <c r="M248" i="37"/>
  <c r="G40" i="43"/>
  <c r="M473" i="37"/>
  <c r="M472" i="37"/>
  <c r="M749" i="37"/>
  <c r="F68" i="46"/>
  <c r="M492" i="37"/>
  <c r="O492" i="37"/>
  <c r="L749" i="37"/>
  <c r="N252" i="37"/>
  <c r="O252" i="37"/>
  <c r="B715" i="37"/>
  <c r="Z108" i="37"/>
  <c r="L213" i="37"/>
  <c r="X22" i="37"/>
  <c r="Z22" i="37"/>
  <c r="L911" i="37"/>
  <c r="X46" i="37"/>
  <c r="Z46" i="37"/>
  <c r="O211" i="37"/>
  <c r="N211" i="37"/>
  <c r="O212" i="37"/>
  <c r="N212" i="37"/>
  <c r="O210" i="37"/>
  <c r="N210" i="37"/>
  <c r="N209" i="37"/>
  <c r="O209" i="37"/>
  <c r="N910" i="37"/>
  <c r="O910" i="37"/>
  <c r="O475" i="37"/>
  <c r="N475" i="37"/>
  <c r="O321" i="37"/>
  <c r="N321" i="37"/>
  <c r="N799" i="37"/>
  <c r="O799" i="37"/>
  <c r="O113" i="37"/>
  <c r="N113" i="37"/>
  <c r="L101" i="37"/>
  <c r="X16" i="37"/>
  <c r="Z16" i="37"/>
  <c r="O109" i="37"/>
  <c r="N109" i="37"/>
  <c r="O293" i="37"/>
  <c r="N293" i="37"/>
  <c r="O389" i="37"/>
  <c r="N389" i="37"/>
  <c r="O727" i="37"/>
  <c r="N727" i="37"/>
  <c r="N474" i="37"/>
  <c r="O474" i="37"/>
  <c r="L452" i="37"/>
  <c r="X35" i="37"/>
  <c r="Z35" i="37"/>
  <c r="O460" i="37"/>
  <c r="N460" i="37"/>
  <c r="N244" i="37"/>
  <c r="O244" i="37"/>
  <c r="N53" i="37"/>
  <c r="O53" i="37"/>
  <c r="N358" i="37"/>
  <c r="O358" i="37"/>
  <c r="O820" i="37"/>
  <c r="N820" i="37"/>
  <c r="O50" i="37"/>
  <c r="N50" i="37"/>
  <c r="N274" i="37"/>
  <c r="O274" i="37"/>
  <c r="N291" i="37"/>
  <c r="O291" i="37"/>
  <c r="O941" i="37"/>
  <c r="N941" i="37"/>
  <c r="O817" i="37"/>
  <c r="N817" i="37"/>
  <c r="L800" i="37"/>
  <c r="L187" i="37"/>
  <c r="X21" i="37"/>
  <c r="Z21" i="37"/>
  <c r="N942" i="37"/>
  <c r="O942" i="37"/>
  <c r="O265" i="37"/>
  <c r="N265" i="37"/>
  <c r="O768" i="37"/>
  <c r="N768" i="37"/>
  <c r="O266" i="37"/>
  <c r="N266" i="37"/>
  <c r="N275" i="37"/>
  <c r="O275" i="37"/>
  <c r="O319" i="37"/>
  <c r="N319" i="37"/>
  <c r="O929" i="37"/>
  <c r="N929" i="37"/>
  <c r="N357" i="37"/>
  <c r="O357" i="37"/>
  <c r="O234" i="37"/>
  <c r="N234" i="37"/>
  <c r="O308" i="37"/>
  <c r="N308" i="37"/>
  <c r="N725" i="37"/>
  <c r="O725" i="37"/>
  <c r="O607" i="37"/>
  <c r="N607" i="37"/>
  <c r="O232" i="37"/>
  <c r="N232" i="37"/>
  <c r="L229" i="37"/>
  <c r="X23" i="37"/>
  <c r="Z23" i="37"/>
  <c r="N311" i="37"/>
  <c r="O311" i="37"/>
  <c r="N99" i="37"/>
  <c r="O99" i="37"/>
  <c r="O767" i="37"/>
  <c r="N767" i="37"/>
  <c r="O98" i="37"/>
  <c r="N98" i="37"/>
  <c r="O110" i="37"/>
  <c r="N110" i="37"/>
  <c r="O264" i="37"/>
  <c r="N264" i="37"/>
  <c r="O390" i="37"/>
  <c r="N390" i="37"/>
  <c r="N247" i="37"/>
  <c r="O247" i="37"/>
  <c r="N461" i="37"/>
  <c r="O461" i="37"/>
  <c r="O233" i="37"/>
  <c r="N233" i="37"/>
  <c r="O52" i="37"/>
  <c r="N52" i="37"/>
  <c r="O267" i="37"/>
  <c r="N267" i="37"/>
  <c r="O928" i="37"/>
  <c r="N928" i="37"/>
  <c r="N544" i="37"/>
  <c r="O544" i="37"/>
  <c r="O745" i="37"/>
  <c r="N745" i="37"/>
  <c r="O111" i="37"/>
  <c r="N111" i="37"/>
  <c r="N547" i="37"/>
  <c r="O547" i="37"/>
  <c r="L254" i="37"/>
  <c r="X26" i="37"/>
  <c r="Z26" i="37"/>
  <c r="N261" i="37"/>
  <c r="O261" i="37"/>
  <c r="N262" i="37"/>
  <c r="O262" i="37"/>
  <c r="N51" i="37"/>
  <c r="O51" i="37"/>
  <c r="N114" i="37"/>
  <c r="O114" i="37"/>
  <c r="N292" i="37"/>
  <c r="O292" i="37"/>
  <c r="O228" i="37"/>
  <c r="N228" i="37"/>
  <c r="O360" i="37"/>
  <c r="N360" i="37"/>
  <c r="O545" i="37"/>
  <c r="N545" i="37"/>
  <c r="O818" i="37"/>
  <c r="N818" i="37"/>
  <c r="O112" i="37"/>
  <c r="N112" i="37"/>
  <c r="L84" i="37"/>
  <c r="X14" i="37"/>
  <c r="Z14" i="37"/>
  <c r="O87" i="37"/>
  <c r="N87" i="37"/>
  <c r="O297" i="37"/>
  <c r="N297" i="37"/>
  <c r="O246" i="37"/>
  <c r="N246" i="37"/>
  <c r="O320" i="37"/>
  <c r="N320" i="37"/>
  <c r="O555" i="37"/>
  <c r="N555" i="37"/>
  <c r="O819" i="37"/>
  <c r="N819" i="37"/>
  <c r="O278" i="37"/>
  <c r="N278" i="37"/>
  <c r="N726" i="37"/>
  <c r="O726" i="37"/>
  <c r="N100" i="37"/>
  <c r="O100" i="37"/>
  <c r="O251" i="37"/>
  <c r="N88" i="37"/>
  <c r="O88" i="37"/>
  <c r="O268" i="37"/>
  <c r="N268" i="37"/>
  <c r="O235" i="37"/>
  <c r="N235" i="37"/>
  <c r="N309" i="37"/>
  <c r="O309" i="37"/>
  <c r="O582" i="37"/>
  <c r="N582" i="37"/>
  <c r="O279" i="37"/>
  <c r="N279" i="37"/>
  <c r="O97" i="37"/>
  <c r="L89" i="37"/>
  <c r="X15" i="37"/>
  <c r="Z15" i="37"/>
  <c r="N97" i="37"/>
  <c r="O263" i="37"/>
  <c r="N263" i="37"/>
  <c r="O359" i="37"/>
  <c r="N359" i="37"/>
  <c r="L462" i="37"/>
  <c r="X36" i="37"/>
  <c r="Z36" i="37"/>
  <c r="N463" i="37"/>
  <c r="O463" i="37"/>
  <c r="N546" i="37"/>
  <c r="O546" i="37"/>
  <c r="N310" i="37"/>
  <c r="O310" i="37"/>
  <c r="O276" i="37"/>
  <c r="N276" i="37"/>
  <c r="N245" i="37"/>
  <c r="O245" i="37"/>
  <c r="N798" i="37"/>
  <c r="O798" i="37"/>
  <c r="O281" i="37"/>
  <c r="N281" i="37"/>
  <c r="N608" i="37"/>
  <c r="O608" i="37"/>
  <c r="N251" i="37"/>
  <c r="O49" i="37"/>
  <c r="N49" i="37"/>
  <c r="O294" i="37"/>
  <c r="N294" i="37"/>
  <c r="O556" i="37"/>
  <c r="N556" i="37"/>
  <c r="N464" i="37"/>
  <c r="O464" i="37"/>
  <c r="N746" i="37"/>
  <c r="O746" i="37"/>
  <c r="N728" i="37"/>
  <c r="O728" i="37"/>
  <c r="O277" i="37"/>
  <c r="N277" i="37"/>
  <c r="O909" i="37"/>
  <c r="N909" i="37"/>
  <c r="O280" i="37"/>
  <c r="N280" i="37"/>
  <c r="O227" i="37"/>
  <c r="N227" i="37"/>
  <c r="O581" i="37"/>
  <c r="N581" i="37"/>
  <c r="L559" i="37"/>
  <c r="O318" i="37"/>
  <c r="N318" i="37"/>
  <c r="L472" i="37"/>
  <c r="X38" i="37"/>
  <c r="Z38" i="37"/>
  <c r="F67" i="46"/>
  <c r="O473" i="37"/>
  <c r="E68" i="46"/>
  <c r="E67" i="46"/>
  <c r="I68" i="46"/>
  <c r="N492" i="37"/>
  <c r="N473" i="37"/>
  <c r="N800" i="37"/>
  <c r="N101" i="37"/>
  <c r="B716" i="37"/>
  <c r="N462" i="37"/>
  <c r="O84" i="37"/>
  <c r="O472" i="37"/>
  <c r="N229" i="37"/>
  <c r="O229" i="37"/>
  <c r="O800" i="37"/>
  <c r="O462" i="37"/>
  <c r="N84" i="37"/>
  <c r="N472" i="37"/>
  <c r="N471" i="37"/>
  <c r="I67" i="46"/>
  <c r="M940" i="37"/>
  <c r="L940" i="37"/>
  <c r="G940" i="37"/>
  <c r="E940" i="37"/>
  <c r="M939" i="37"/>
  <c r="L939" i="37"/>
  <c r="G939" i="37"/>
  <c r="E939" i="37"/>
  <c r="M938" i="37"/>
  <c r="L938" i="37"/>
  <c r="G938" i="37"/>
  <c r="E938" i="37"/>
  <c r="M937" i="37"/>
  <c r="L937" i="37"/>
  <c r="G937" i="37"/>
  <c r="E937" i="37"/>
  <c r="M936" i="37"/>
  <c r="L936" i="37"/>
  <c r="G936" i="37"/>
  <c r="E936" i="37"/>
  <c r="M935" i="37"/>
  <c r="L935" i="37"/>
  <c r="G935" i="37"/>
  <c r="E935" i="37"/>
  <c r="M934" i="37"/>
  <c r="L934" i="37"/>
  <c r="G934" i="37"/>
  <c r="E934" i="37"/>
  <c r="M933" i="37"/>
  <c r="L933" i="37"/>
  <c r="G933" i="37"/>
  <c r="E933" i="37"/>
  <c r="M932" i="37"/>
  <c r="L932" i="37"/>
  <c r="G932" i="37"/>
  <c r="E932" i="37"/>
  <c r="M931" i="37"/>
  <c r="L931" i="37"/>
  <c r="G931" i="37"/>
  <c r="E931" i="37"/>
  <c r="M774" i="37"/>
  <c r="L774" i="37"/>
  <c r="G774" i="37"/>
  <c r="E774" i="37"/>
  <c r="M773" i="37"/>
  <c r="L773" i="37"/>
  <c r="G773" i="37"/>
  <c r="E773" i="37"/>
  <c r="M772" i="37"/>
  <c r="L772" i="37"/>
  <c r="G772" i="37"/>
  <c r="E772" i="37"/>
  <c r="M771" i="37"/>
  <c r="L771" i="37"/>
  <c r="G771" i="37"/>
  <c r="E771" i="37"/>
  <c r="M770" i="37"/>
  <c r="L770" i="37"/>
  <c r="G770" i="37"/>
  <c r="E770" i="37"/>
  <c r="L797" i="37"/>
  <c r="K797" i="37"/>
  <c r="M797" i="37"/>
  <c r="G797" i="37"/>
  <c r="E797" i="37"/>
  <c r="M539" i="37"/>
  <c r="L539" i="37"/>
  <c r="G539" i="37"/>
  <c r="E539" i="37"/>
  <c r="M542" i="37"/>
  <c r="L542" i="37"/>
  <c r="G542" i="37"/>
  <c r="E542" i="37"/>
  <c r="M538" i="37"/>
  <c r="L538" i="37"/>
  <c r="G538" i="37"/>
  <c r="E538" i="37"/>
  <c r="L766" i="37"/>
  <c r="L747" i="37"/>
  <c r="K766" i="37"/>
  <c r="M766" i="37"/>
  <c r="M747" i="37"/>
  <c r="G766" i="37"/>
  <c r="E766" i="37"/>
  <c r="K724" i="37"/>
  <c r="L744" i="37"/>
  <c r="K744" i="37"/>
  <c r="M744" i="37"/>
  <c r="G744" i="37"/>
  <c r="E744" i="37"/>
  <c r="M543" i="37"/>
  <c r="L543" i="37"/>
  <c r="G543" i="37"/>
  <c r="E543" i="37"/>
  <c r="M537" i="37"/>
  <c r="L537" i="37"/>
  <c r="G537" i="37"/>
  <c r="E537" i="37"/>
  <c r="M536" i="37"/>
  <c r="L536" i="37"/>
  <c r="G536" i="37"/>
  <c r="E536" i="37"/>
  <c r="M535" i="37"/>
  <c r="L535" i="37"/>
  <c r="G535" i="37"/>
  <c r="E535" i="37"/>
  <c r="D297" i="49"/>
  <c r="M534" i="37"/>
  <c r="L534" i="37"/>
  <c r="G534" i="37"/>
  <c r="E534" i="37"/>
  <c r="M533" i="37"/>
  <c r="L533" i="37"/>
  <c r="G533" i="37"/>
  <c r="E533" i="37"/>
  <c r="M532" i="37"/>
  <c r="L532" i="37"/>
  <c r="G532" i="37"/>
  <c r="E532" i="37"/>
  <c r="M531" i="37"/>
  <c r="L531" i="37"/>
  <c r="G531" i="37"/>
  <c r="E531" i="37"/>
  <c r="M530" i="37"/>
  <c r="L530" i="37"/>
  <c r="G530" i="37"/>
  <c r="E530" i="37"/>
  <c r="M529" i="37"/>
  <c r="L529" i="37"/>
  <c r="G529" i="37"/>
  <c r="E529" i="37"/>
  <c r="M528" i="37"/>
  <c r="L528" i="37"/>
  <c r="G528" i="37"/>
  <c r="E528" i="37"/>
  <c r="M527" i="37"/>
  <c r="L527" i="37"/>
  <c r="G527" i="37"/>
  <c r="E527" i="37"/>
  <c r="G447" i="37"/>
  <c r="G446" i="37"/>
  <c r="E446" i="37"/>
  <c r="G444" i="37"/>
  <c r="E444" i="37"/>
  <c r="G443" i="37"/>
  <c r="E443" i="37"/>
  <c r="G442" i="37"/>
  <c r="E442" i="37"/>
  <c r="G441" i="37"/>
  <c r="E441" i="37"/>
  <c r="M431" i="37"/>
  <c r="L431" i="37"/>
  <c r="X34" i="37"/>
  <c r="G431" i="37"/>
  <c r="E431" i="37"/>
  <c r="W34" i="37"/>
  <c r="E430" i="37"/>
  <c r="Z34" i="37"/>
  <c r="B717" i="37"/>
  <c r="F112" i="53"/>
  <c r="L930" i="37"/>
  <c r="X48" i="37"/>
  <c r="Z48" i="37"/>
  <c r="H60" i="46"/>
  <c r="J60" i="46"/>
  <c r="L729" i="37"/>
  <c r="F57" i="46"/>
  <c r="M729" i="37"/>
  <c r="G57" i="46"/>
  <c r="L769" i="37"/>
  <c r="F59" i="46"/>
  <c r="M526" i="37"/>
  <c r="L526" i="37"/>
  <c r="M930" i="37"/>
  <c r="F56" i="46"/>
  <c r="G56" i="46"/>
  <c r="M769" i="37"/>
  <c r="G59" i="46"/>
  <c r="D126" i="49"/>
  <c r="F58" i="46"/>
  <c r="O797" i="37"/>
  <c r="N797" i="37"/>
  <c r="O766" i="37"/>
  <c r="N766" i="37"/>
  <c r="G58" i="46"/>
  <c r="N744" i="37"/>
  <c r="N729" i="37"/>
  <c r="O744" i="37"/>
  <c r="M421" i="37"/>
  <c r="G421" i="37"/>
  <c r="E421" i="37"/>
  <c r="D309" i="49"/>
  <c r="G420" i="37"/>
  <c r="M420" i="37"/>
  <c r="E420" i="37"/>
  <c r="D308" i="49"/>
  <c r="G419" i="37"/>
  <c r="E419" i="37"/>
  <c r="G418" i="37"/>
  <c r="E418" i="37"/>
  <c r="G403" i="37"/>
  <c r="E403" i="37"/>
  <c r="G402" i="37"/>
  <c r="E402" i="37"/>
  <c r="G401" i="37"/>
  <c r="E401" i="37"/>
  <c r="I405" i="37"/>
  <c r="G405" i="37"/>
  <c r="E405" i="37"/>
  <c r="I404" i="37"/>
  <c r="G404" i="37"/>
  <c r="E404" i="37"/>
  <c r="G400" i="37"/>
  <c r="D293" i="49"/>
  <c r="G396" i="37"/>
  <c r="E396" i="37"/>
  <c r="B718" i="37"/>
  <c r="H420" i="37"/>
  <c r="D279" i="49"/>
  <c r="H421" i="37"/>
  <c r="L421" i="37"/>
  <c r="L420" i="37"/>
  <c r="B719" i="37"/>
  <c r="F309" i="49"/>
  <c r="G309" i="49"/>
  <c r="M309" i="49"/>
  <c r="F308" i="49"/>
  <c r="G308" i="49"/>
  <c r="M308" i="49"/>
  <c r="K421" i="37"/>
  <c r="N421" i="37"/>
  <c r="B720" i="37"/>
  <c r="O421" i="37"/>
  <c r="D296" i="49"/>
  <c r="M508" i="37"/>
  <c r="L508" i="37"/>
  <c r="G508" i="37"/>
  <c r="E508" i="37"/>
  <c r="M507" i="37"/>
  <c r="L507" i="37"/>
  <c r="G507" i="37"/>
  <c r="E507" i="37"/>
  <c r="M506" i="37"/>
  <c r="L506" i="37"/>
  <c r="G506" i="37"/>
  <c r="E506" i="37"/>
  <c r="M505" i="37"/>
  <c r="L505" i="37"/>
  <c r="G505" i="37"/>
  <c r="E505" i="37"/>
  <c r="M504" i="37"/>
  <c r="L504" i="37"/>
  <c r="G504" i="37"/>
  <c r="E504" i="37"/>
  <c r="D161" i="49"/>
  <c r="M503" i="37"/>
  <c r="L503" i="37"/>
  <c r="G503" i="37"/>
  <c r="M502" i="37"/>
  <c r="L502" i="37"/>
  <c r="G502" i="37"/>
  <c r="E502" i="37"/>
  <c r="M501" i="37"/>
  <c r="L501" i="37"/>
  <c r="G501" i="37"/>
  <c r="E501" i="37"/>
  <c r="M500" i="37"/>
  <c r="L500" i="37"/>
  <c r="G500" i="37"/>
  <c r="E500" i="37"/>
  <c r="M499" i="37"/>
  <c r="L499" i="37"/>
  <c r="G499" i="37"/>
  <c r="E499" i="37"/>
  <c r="M498" i="37"/>
  <c r="L498" i="37"/>
  <c r="G498" i="37"/>
  <c r="E498" i="37"/>
  <c r="M497" i="37"/>
  <c r="L497" i="37"/>
  <c r="G497" i="37"/>
  <c r="E497" i="37"/>
  <c r="M496" i="37"/>
  <c r="L496" i="37"/>
  <c r="G496" i="37"/>
  <c r="E496" i="37"/>
  <c r="M495" i="37"/>
  <c r="L495" i="37"/>
  <c r="G495" i="37"/>
  <c r="E495" i="37"/>
  <c r="M494" i="37"/>
  <c r="L494" i="37"/>
  <c r="G494" i="37"/>
  <c r="E494" i="37"/>
  <c r="M493" i="37"/>
  <c r="L493" i="37"/>
  <c r="G493" i="37"/>
  <c r="E493" i="37"/>
  <c r="M491" i="37"/>
  <c r="L491" i="37"/>
  <c r="G491" i="37"/>
  <c r="E491" i="37"/>
  <c r="M490" i="37"/>
  <c r="L490" i="37"/>
  <c r="G490" i="37"/>
  <c r="E490" i="37"/>
  <c r="M489" i="37"/>
  <c r="L489" i="37"/>
  <c r="G489" i="37"/>
  <c r="E489" i="37"/>
  <c r="H489" i="37"/>
  <c r="M488" i="37"/>
  <c r="L488" i="37"/>
  <c r="G488" i="37"/>
  <c r="E488" i="37"/>
  <c r="M487" i="37"/>
  <c r="L487" i="37"/>
  <c r="G487" i="37"/>
  <c r="E487" i="37"/>
  <c r="M486" i="37"/>
  <c r="L486" i="37"/>
  <c r="G486" i="37"/>
  <c r="E486" i="37"/>
  <c r="M485" i="37"/>
  <c r="L485" i="37"/>
  <c r="G485" i="37"/>
  <c r="E485" i="37"/>
  <c r="M484" i="37"/>
  <c r="L484" i="37"/>
  <c r="G484" i="37"/>
  <c r="E484" i="37"/>
  <c r="M483" i="37"/>
  <c r="L483" i="37"/>
  <c r="G483" i="37"/>
  <c r="E483" i="37"/>
  <c r="M482" i="37"/>
  <c r="L482" i="37"/>
  <c r="G482" i="37"/>
  <c r="E482" i="37"/>
  <c r="D148" i="49"/>
  <c r="M481" i="37"/>
  <c r="L481" i="37"/>
  <c r="G481" i="37"/>
  <c r="E481" i="37"/>
  <c r="G388" i="37"/>
  <c r="E388" i="37"/>
  <c r="G387" i="37"/>
  <c r="E387" i="37"/>
  <c r="G382" i="37"/>
  <c r="E382" i="37"/>
  <c r="G379" i="37"/>
  <c r="E379" i="37"/>
  <c r="G378" i="37"/>
  <c r="E378" i="37"/>
  <c r="M377" i="37"/>
  <c r="L377" i="37"/>
  <c r="G377" i="37"/>
  <c r="E377" i="37"/>
  <c r="G376" i="37"/>
  <c r="E376" i="37"/>
  <c r="M373" i="37"/>
  <c r="L373" i="37"/>
  <c r="G373" i="37"/>
  <c r="M372" i="37"/>
  <c r="L372" i="37"/>
  <c r="G372" i="37"/>
  <c r="M371" i="37"/>
  <c r="L371" i="37"/>
  <c r="G371" i="37"/>
  <c r="M370" i="37"/>
  <c r="L370" i="37"/>
  <c r="G370" i="37"/>
  <c r="M369" i="37"/>
  <c r="L369" i="37"/>
  <c r="G369" i="37"/>
  <c r="M368" i="37"/>
  <c r="L368" i="37"/>
  <c r="G368" i="37"/>
  <c r="M367" i="37"/>
  <c r="L367" i="37"/>
  <c r="G367" i="37"/>
  <c r="M366" i="37"/>
  <c r="L366" i="37"/>
  <c r="G366" i="37"/>
  <c r="M365" i="37"/>
  <c r="L365" i="37"/>
  <c r="G365" i="37"/>
  <c r="M356" i="37"/>
  <c r="L356" i="37"/>
  <c r="G356" i="37"/>
  <c r="E356" i="37"/>
  <c r="M355" i="37"/>
  <c r="L355" i="37"/>
  <c r="G355" i="37"/>
  <c r="E355" i="37"/>
  <c r="M352" i="37"/>
  <c r="L352" i="37"/>
  <c r="G352" i="37"/>
  <c r="E352" i="37"/>
  <c r="M348" i="37"/>
  <c r="L348" i="37"/>
  <c r="G348" i="37"/>
  <c r="E348" i="37"/>
  <c r="M347" i="37"/>
  <c r="L347" i="37"/>
  <c r="G347" i="37"/>
  <c r="E347" i="37"/>
  <c r="M346" i="37"/>
  <c r="L346" i="37"/>
  <c r="G346" i="37"/>
  <c r="E346" i="37"/>
  <c r="B721" i="37"/>
  <c r="D127" i="49"/>
  <c r="D134" i="49"/>
  <c r="B722" i="37"/>
  <c r="G716" i="37"/>
  <c r="L716" i="37"/>
  <c r="E716" i="37"/>
  <c r="G715" i="37"/>
  <c r="M715" i="37"/>
  <c r="E715" i="37"/>
  <c r="G714" i="37"/>
  <c r="M714" i="37"/>
  <c r="E714" i="37"/>
  <c r="G713" i="37"/>
  <c r="M713" i="37"/>
  <c r="E713" i="37"/>
  <c r="D73" i="49"/>
  <c r="G712" i="37"/>
  <c r="M712" i="37"/>
  <c r="E712" i="37"/>
  <c r="M711" i="37"/>
  <c r="L711" i="37"/>
  <c r="G711" i="37"/>
  <c r="E711" i="37"/>
  <c r="G710" i="37"/>
  <c r="M710" i="37"/>
  <c r="E710" i="37"/>
  <c r="G709" i="37"/>
  <c r="M709" i="37"/>
  <c r="E709" i="37"/>
  <c r="G708" i="37"/>
  <c r="L708" i="37"/>
  <c r="E708" i="37"/>
  <c r="G707" i="37"/>
  <c r="M707" i="37"/>
  <c r="E707" i="37"/>
  <c r="M706" i="37"/>
  <c r="G706" i="37"/>
  <c r="L706" i="37"/>
  <c r="E706" i="37"/>
  <c r="M705" i="37"/>
  <c r="G705" i="37"/>
  <c r="L705" i="37"/>
  <c r="E705" i="37"/>
  <c r="G704" i="37"/>
  <c r="M704" i="37"/>
  <c r="E704" i="37"/>
  <c r="G701" i="37"/>
  <c r="M701" i="37"/>
  <c r="E701" i="37"/>
  <c r="G700" i="37"/>
  <c r="L700" i="37"/>
  <c r="E700" i="37"/>
  <c r="G699" i="37"/>
  <c r="M699" i="37"/>
  <c r="E699" i="37"/>
  <c r="D66" i="49"/>
  <c r="G698" i="37"/>
  <c r="L698" i="37"/>
  <c r="E698" i="37"/>
  <c r="M480" i="37"/>
  <c r="L480" i="37"/>
  <c r="G480" i="37"/>
  <c r="E480" i="37"/>
  <c r="M479" i="37"/>
  <c r="L479" i="37"/>
  <c r="G479" i="37"/>
  <c r="E479" i="37"/>
  <c r="D203" i="49"/>
  <c r="B723" i="37"/>
  <c r="M477" i="37"/>
  <c r="G38" i="46"/>
  <c r="D65" i="49"/>
  <c r="D75" i="49"/>
  <c r="D192" i="49"/>
  <c r="D76" i="49"/>
  <c r="D71" i="49"/>
  <c r="D72" i="49"/>
  <c r="D208" i="49"/>
  <c r="M716" i="37"/>
  <c r="L714" i="37"/>
  <c r="L715" i="37"/>
  <c r="L712" i="37"/>
  <c r="L713" i="37"/>
  <c r="L710" i="37"/>
  <c r="M708" i="37"/>
  <c r="L709" i="37"/>
  <c r="L707" i="37"/>
  <c r="L704" i="37"/>
  <c r="M700" i="37"/>
  <c r="L701" i="37"/>
  <c r="M698" i="37"/>
  <c r="L699" i="37"/>
  <c r="B724" i="37"/>
  <c r="D74" i="49"/>
  <c r="G703" i="37"/>
  <c r="L703" i="37"/>
  <c r="E703" i="37"/>
  <c r="G702" i="37"/>
  <c r="M702" i="37"/>
  <c r="E702" i="37"/>
  <c r="G327" i="37"/>
  <c r="E327" i="37"/>
  <c r="D128" i="49"/>
  <c r="G326" i="37"/>
  <c r="E326" i="37"/>
  <c r="G325" i="37"/>
  <c r="E325" i="37"/>
  <c r="M316" i="37"/>
  <c r="L316" i="37"/>
  <c r="G316" i="37"/>
  <c r="E316" i="37"/>
  <c r="B725" i="37"/>
  <c r="D124" i="49"/>
  <c r="D131" i="49"/>
  <c r="D69" i="49"/>
  <c r="D112" i="49"/>
  <c r="D118" i="49"/>
  <c r="D125" i="49"/>
  <c r="D78" i="49"/>
  <c r="D67" i="49"/>
  <c r="D79" i="49"/>
  <c r="D77" i="49"/>
  <c r="D70" i="49"/>
  <c r="D68" i="49"/>
  <c r="D115" i="49"/>
  <c r="M703" i="37"/>
  <c r="L702" i="37"/>
  <c r="B726" i="37"/>
  <c r="M315" i="37"/>
  <c r="L315" i="37"/>
  <c r="G315" i="37"/>
  <c r="E315" i="37"/>
  <c r="D302" i="49"/>
  <c r="M307" i="37"/>
  <c r="L307" i="37"/>
  <c r="G307" i="37"/>
  <c r="E307" i="37"/>
  <c r="M306" i="37"/>
  <c r="L306" i="37"/>
  <c r="G306" i="37"/>
  <c r="E306" i="37"/>
  <c r="B727" i="37"/>
  <c r="L299" i="37"/>
  <c r="X29" i="37"/>
  <c r="Z29" i="37"/>
  <c r="L312" i="37"/>
  <c r="M299" i="37"/>
  <c r="M312" i="37"/>
  <c r="B728" i="37"/>
  <c r="D180" i="49"/>
  <c r="D187" i="49"/>
  <c r="E196" i="49"/>
  <c r="E520" i="37"/>
  <c r="G520" i="37"/>
  <c r="E521" i="37"/>
  <c r="G521" i="37"/>
  <c r="E522" i="37"/>
  <c r="G522" i="37"/>
  <c r="L522" i="37"/>
  <c r="M522" i="37"/>
  <c r="B729" i="37"/>
  <c r="D217" i="49"/>
  <c r="M514" i="37"/>
  <c r="M521" i="37"/>
  <c r="L521" i="37"/>
  <c r="M520" i="37"/>
  <c r="L520" i="37"/>
  <c r="D173" i="49"/>
  <c r="M551" i="37"/>
  <c r="L551" i="37"/>
  <c r="G551" i="37"/>
  <c r="E551" i="37"/>
  <c r="M550" i="37"/>
  <c r="L550" i="37"/>
  <c r="G550" i="37"/>
  <c r="E550" i="37"/>
  <c r="I524" i="37"/>
  <c r="G524" i="37"/>
  <c r="E524" i="37"/>
  <c r="I523" i="37"/>
  <c r="G523" i="37"/>
  <c r="E523" i="37"/>
  <c r="G519" i="37"/>
  <c r="E519" i="37"/>
  <c r="G518" i="37"/>
  <c r="E518" i="37"/>
  <c r="G517" i="37"/>
  <c r="E517" i="37"/>
  <c r="G516" i="37"/>
  <c r="E516" i="37"/>
  <c r="M515" i="37"/>
  <c r="L515" i="37"/>
  <c r="G515" i="37"/>
  <c r="E515" i="37"/>
  <c r="L514" i="37"/>
  <c r="G514" i="37"/>
  <c r="E514" i="37"/>
  <c r="B730" i="37"/>
  <c r="M549" i="37"/>
  <c r="L549" i="37"/>
  <c r="X39" i="37"/>
  <c r="Z39" i="37"/>
  <c r="AA39" i="37"/>
  <c r="D301" i="49"/>
  <c r="E194" i="49"/>
  <c r="D195" i="49"/>
  <c r="D168" i="49"/>
  <c r="D194" i="49"/>
  <c r="D199" i="49"/>
  <c r="G413" i="37"/>
  <c r="E413" i="37"/>
  <c r="G412" i="37"/>
  <c r="E412" i="37"/>
  <c r="D138" i="49"/>
  <c r="G411" i="37"/>
  <c r="E411" i="37"/>
  <c r="G410" i="37"/>
  <c r="E410" i="37"/>
  <c r="G409" i="37"/>
  <c r="E409" i="37"/>
  <c r="B731" i="37"/>
  <c r="D185" i="49"/>
  <c r="M523" i="37"/>
  <c r="K523" i="37"/>
  <c r="E160" i="49"/>
  <c r="L517" i="37"/>
  <c r="M517" i="37"/>
  <c r="E123" i="49"/>
  <c r="M516" i="37"/>
  <c r="L516" i="37"/>
  <c r="E177" i="49"/>
  <c r="E199" i="49"/>
  <c r="M518" i="37"/>
  <c r="L518" i="37"/>
  <c r="L523" i="37"/>
  <c r="D135" i="49"/>
  <c r="D193" i="49"/>
  <c r="D120" i="49"/>
  <c r="D191" i="49"/>
  <c r="B732" i="37"/>
  <c r="N523" i="37"/>
  <c r="O523" i="37"/>
  <c r="E153" i="49"/>
  <c r="L519" i="37"/>
  <c r="M519" i="37"/>
  <c r="M524" i="37"/>
  <c r="K524" i="37"/>
  <c r="L524" i="37"/>
  <c r="F423" i="37"/>
  <c r="M422" i="37"/>
  <c r="K422" i="37"/>
  <c r="L422" i="37"/>
  <c r="E193" i="49"/>
  <c r="L409" i="37"/>
  <c r="M409" i="37"/>
  <c r="M271" i="37"/>
  <c r="G270" i="37"/>
  <c r="E270" i="37"/>
  <c r="G272" i="37"/>
  <c r="E272" i="37"/>
  <c r="G271" i="37"/>
  <c r="M69" i="37"/>
  <c r="L69" i="37"/>
  <c r="G69" i="37"/>
  <c r="E69" i="37"/>
  <c r="M172" i="37"/>
  <c r="L172" i="37"/>
  <c r="G172" i="37"/>
  <c r="E172" i="37"/>
  <c r="D292" i="49"/>
  <c r="M286" i="37"/>
  <c r="L286" i="37"/>
  <c r="G286" i="37"/>
  <c r="E286" i="37"/>
  <c r="D179" i="49"/>
  <c r="B733" i="37"/>
  <c r="M513" i="37"/>
  <c r="L513" i="37"/>
  <c r="D160" i="49"/>
  <c r="D165" i="49"/>
  <c r="D172" i="49"/>
  <c r="O524" i="37"/>
  <c r="N524" i="37"/>
  <c r="N422" i="37"/>
  <c r="O422" i="37"/>
  <c r="M423" i="37"/>
  <c r="K423" i="37"/>
  <c r="L423" i="37"/>
  <c r="E55" i="49"/>
  <c r="E12" i="49"/>
  <c r="D99" i="49"/>
  <c r="D64" i="49"/>
  <c r="D123" i="49"/>
  <c r="D80" i="49"/>
  <c r="M272" i="37"/>
  <c r="E33" i="49"/>
  <c r="M270" i="37"/>
  <c r="L272" i="37"/>
  <c r="L270" i="37"/>
  <c r="L271" i="37"/>
  <c r="B734" i="37"/>
  <c r="L269" i="37"/>
  <c r="X27" i="37"/>
  <c r="Z27" i="37"/>
  <c r="M269" i="37"/>
  <c r="F427" i="37"/>
  <c r="D30" i="51"/>
  <c r="K426" i="37"/>
  <c r="M426" i="37"/>
  <c r="L426" i="37"/>
  <c r="E191" i="49"/>
  <c r="L410" i="37"/>
  <c r="M410" i="37"/>
  <c r="E25" i="49"/>
  <c r="N423" i="37"/>
  <c r="O423" i="37"/>
  <c r="B735" i="37"/>
  <c r="E152" i="49"/>
  <c r="E26" i="49"/>
  <c r="M411" i="37"/>
  <c r="L411" i="37"/>
  <c r="F425" i="37"/>
  <c r="D31" i="51"/>
  <c r="M424" i="37"/>
  <c r="K424" i="37"/>
  <c r="L424" i="37"/>
  <c r="E154" i="49"/>
  <c r="L413" i="37"/>
  <c r="M413" i="37"/>
  <c r="E120" i="49"/>
  <c r="E23" i="49"/>
  <c r="O426" i="37"/>
  <c r="N426" i="37"/>
  <c r="E138" i="49"/>
  <c r="L412" i="37"/>
  <c r="M412" i="37"/>
  <c r="C65" i="53"/>
  <c r="M427" i="37"/>
  <c r="K427" i="37"/>
  <c r="L427" i="37"/>
  <c r="B736" i="37"/>
  <c r="E192" i="49"/>
  <c r="L418" i="37"/>
  <c r="M418" i="37"/>
  <c r="M419" i="37"/>
  <c r="L419" i="37"/>
  <c r="N424" i="37"/>
  <c r="O424" i="37"/>
  <c r="E130" i="49"/>
  <c r="M425" i="37"/>
  <c r="K425" i="37"/>
  <c r="L425" i="37"/>
  <c r="O427" i="37"/>
  <c r="N427" i="37"/>
  <c r="E98" i="49"/>
  <c r="E99" i="49"/>
  <c r="E103" i="49"/>
  <c r="G160" i="37"/>
  <c r="E160" i="37"/>
  <c r="D303" i="49"/>
  <c r="M238" i="37"/>
  <c r="L238" i="37"/>
  <c r="G238" i="37"/>
  <c r="E238" i="37"/>
  <c r="D304" i="49"/>
  <c r="I186" i="37"/>
  <c r="G186" i="37"/>
  <c r="E186" i="37"/>
  <c r="I185" i="37"/>
  <c r="G185" i="37"/>
  <c r="E185" i="37"/>
  <c r="M156" i="37"/>
  <c r="L156" i="37"/>
  <c r="G156" i="37"/>
  <c r="E156" i="37"/>
  <c r="M130" i="37"/>
  <c r="L130" i="37"/>
  <c r="G130" i="37"/>
  <c r="E130" i="37"/>
  <c r="B737" i="37"/>
  <c r="M407" i="37"/>
  <c r="L407" i="37"/>
  <c r="X32" i="37"/>
  <c r="Z32" i="37"/>
  <c r="AA32" i="37"/>
  <c r="N425" i="37"/>
  <c r="O425" i="37"/>
  <c r="E96" i="49"/>
  <c r="M325" i="37"/>
  <c r="L325" i="37"/>
  <c r="D94" i="49"/>
  <c r="D186" i="49"/>
  <c r="D111" i="49"/>
  <c r="M184" i="37"/>
  <c r="L184" i="37"/>
  <c r="G184" i="37"/>
  <c r="E184" i="37"/>
  <c r="M183" i="37"/>
  <c r="L183" i="37"/>
  <c r="G183" i="37"/>
  <c r="E183" i="37"/>
  <c r="D108" i="49"/>
  <c r="M182" i="37"/>
  <c r="L182" i="37"/>
  <c r="G182" i="37"/>
  <c r="E182" i="37"/>
  <c r="M181" i="37"/>
  <c r="L181" i="37"/>
  <c r="G181" i="37"/>
  <c r="E181" i="37"/>
  <c r="D106" i="49"/>
  <c r="M180" i="37"/>
  <c r="L180" i="37"/>
  <c r="G180" i="37"/>
  <c r="E180" i="37"/>
  <c r="M179" i="37"/>
  <c r="L179" i="37"/>
  <c r="X77" i="37"/>
  <c r="G179" i="37"/>
  <c r="E179" i="37"/>
  <c r="W77" i="37"/>
  <c r="M178" i="37"/>
  <c r="L178" i="37"/>
  <c r="G178" i="37"/>
  <c r="E178" i="37"/>
  <c r="M177" i="37"/>
  <c r="L177" i="37"/>
  <c r="G177" i="37"/>
  <c r="E177" i="37"/>
  <c r="D102" i="49"/>
  <c r="M176" i="37"/>
  <c r="L176" i="37"/>
  <c r="G176" i="37"/>
  <c r="E176" i="37"/>
  <c r="D101" i="49"/>
  <c r="I174" i="37"/>
  <c r="G174" i="37"/>
  <c r="E174" i="37"/>
  <c r="I173" i="37"/>
  <c r="G173" i="37"/>
  <c r="E173" i="37"/>
  <c r="G147" i="37"/>
  <c r="E147" i="37"/>
  <c r="D91" i="49"/>
  <c r="G170" i="37"/>
  <c r="E170" i="37"/>
  <c r="D100" i="49"/>
  <c r="G171" i="37"/>
  <c r="E171" i="37"/>
  <c r="M169" i="37"/>
  <c r="L169" i="37"/>
  <c r="G169" i="37"/>
  <c r="E169" i="37"/>
  <c r="D98" i="49"/>
  <c r="M124" i="37"/>
  <c r="L124" i="37"/>
  <c r="G124" i="37"/>
  <c r="L185" i="37"/>
  <c r="G157" i="37"/>
  <c r="E157" i="37"/>
  <c r="G159" i="37"/>
  <c r="E159" i="37"/>
  <c r="G163" i="37"/>
  <c r="E163" i="37"/>
  <c r="D178" i="49"/>
  <c r="G158" i="37"/>
  <c r="E158" i="37"/>
  <c r="M162" i="37"/>
  <c r="L162" i="37"/>
  <c r="G162" i="37"/>
  <c r="G152" i="37"/>
  <c r="E152" i="37"/>
  <c r="M155" i="37"/>
  <c r="L155" i="37"/>
  <c r="G155" i="37"/>
  <c r="E155" i="37"/>
  <c r="M154" i="37"/>
  <c r="L154" i="37"/>
  <c r="G154" i="37"/>
  <c r="E154" i="37"/>
  <c r="G153" i="37"/>
  <c r="E153" i="37"/>
  <c r="M161" i="37"/>
  <c r="L161" i="37"/>
  <c r="G161" i="37"/>
  <c r="E161" i="37"/>
  <c r="G146" i="37"/>
  <c r="E146" i="37"/>
  <c r="D92" i="49"/>
  <c r="G145" i="37"/>
  <c r="E145" i="37"/>
  <c r="M134" i="37"/>
  <c r="L134" i="37"/>
  <c r="G134" i="37"/>
  <c r="E134" i="37"/>
  <c r="M121" i="37"/>
  <c r="L121" i="37"/>
  <c r="G121" i="37"/>
  <c r="E121" i="37"/>
  <c r="D88" i="49"/>
  <c r="Z77" i="37"/>
  <c r="B738" i="37"/>
  <c r="D90" i="49"/>
  <c r="D188" i="49"/>
  <c r="D196" i="49"/>
  <c r="D164" i="49"/>
  <c r="D171" i="49"/>
  <c r="E92" i="49"/>
  <c r="E102" i="49"/>
  <c r="M326" i="37"/>
  <c r="L326" i="37"/>
  <c r="E93" i="49"/>
  <c r="M327" i="37"/>
  <c r="L327" i="37"/>
  <c r="L173" i="37"/>
  <c r="F174" i="37"/>
  <c r="D13" i="51"/>
  <c r="K173" i="37"/>
  <c r="M242" i="37"/>
  <c r="K242" i="37"/>
  <c r="L242" i="37"/>
  <c r="F186" i="37"/>
  <c r="D15" i="51"/>
  <c r="M185" i="37"/>
  <c r="K185" i="37"/>
  <c r="M173" i="37"/>
  <c r="D89" i="49"/>
  <c r="D93" i="49"/>
  <c r="D96" i="49"/>
  <c r="D141" i="49"/>
  <c r="D95" i="49"/>
  <c r="D109" i="49"/>
  <c r="D157" i="49"/>
  <c r="D97" i="49"/>
  <c r="D184" i="49"/>
  <c r="K241" i="37"/>
  <c r="O241" i="37"/>
  <c r="D105" i="49"/>
  <c r="D104" i="49"/>
  <c r="B739" i="37"/>
  <c r="L323" i="37"/>
  <c r="M323" i="37"/>
  <c r="O173" i="37"/>
  <c r="E37" i="49"/>
  <c r="M171" i="37"/>
  <c r="L171" i="37"/>
  <c r="M186" i="37"/>
  <c r="M175" i="37"/>
  <c r="K186" i="37"/>
  <c r="L186" i="37"/>
  <c r="L175" i="37"/>
  <c r="X20" i="37"/>
  <c r="Z20" i="37"/>
  <c r="M174" i="37"/>
  <c r="K174" i="37"/>
  <c r="N173" i="37"/>
  <c r="N242" i="37"/>
  <c r="O242" i="37"/>
  <c r="L174" i="37"/>
  <c r="E38" i="49"/>
  <c r="M170" i="37"/>
  <c r="L170" i="37"/>
  <c r="O185" i="37"/>
  <c r="N185" i="37"/>
  <c r="K243" i="37"/>
  <c r="M243" i="37"/>
  <c r="M237" i="37"/>
  <c r="L243" i="37"/>
  <c r="L237" i="37"/>
  <c r="X24" i="37"/>
  <c r="Z24" i="37"/>
  <c r="E11" i="49"/>
  <c r="M145" i="37"/>
  <c r="L145" i="37"/>
  <c r="N241" i="37"/>
  <c r="G126" i="37"/>
  <c r="E126" i="37"/>
  <c r="M129" i="37"/>
  <c r="L129" i="37"/>
  <c r="G129" i="37"/>
  <c r="E129" i="37"/>
  <c r="M128" i="37"/>
  <c r="L128" i="37"/>
  <c r="G128" i="37"/>
  <c r="E128" i="37"/>
  <c r="G127" i="37"/>
  <c r="E127" i="37"/>
  <c r="M133" i="37"/>
  <c r="L133" i="37"/>
  <c r="G133" i="37"/>
  <c r="E133" i="37"/>
  <c r="D133" i="49"/>
  <c r="B740" i="37"/>
  <c r="AA25" i="37"/>
  <c r="D145" i="49"/>
  <c r="L168" i="37"/>
  <c r="X19" i="37"/>
  <c r="Z19" i="37"/>
  <c r="M168" i="37"/>
  <c r="D176" i="49"/>
  <c r="M159" i="37"/>
  <c r="L159" i="37"/>
  <c r="O186" i="37"/>
  <c r="N186" i="37"/>
  <c r="M146" i="37"/>
  <c r="L146" i="37"/>
  <c r="N174" i="37"/>
  <c r="O174" i="37"/>
  <c r="O243" i="37"/>
  <c r="N243" i="37"/>
  <c r="E10" i="49"/>
  <c r="L147" i="37"/>
  <c r="M147" i="37"/>
  <c r="D85" i="49"/>
  <c r="D121" i="49"/>
  <c r="D86" i="49"/>
  <c r="D122" i="49"/>
  <c r="D87" i="49"/>
  <c r="G118" i="37"/>
  <c r="E118" i="37"/>
  <c r="G120" i="37"/>
  <c r="E120" i="37"/>
  <c r="D83" i="49"/>
  <c r="M117" i="37"/>
  <c r="L117" i="37"/>
  <c r="G117" i="37"/>
  <c r="E117" i="37"/>
  <c r="D82" i="49"/>
  <c r="B741" i="37"/>
  <c r="M164" i="37"/>
  <c r="E181" i="49"/>
  <c r="L290" i="37"/>
  <c r="K290" i="37"/>
  <c r="E290" i="37"/>
  <c r="M287" i="37"/>
  <c r="L287" i="37"/>
  <c r="G287" i="37"/>
  <c r="E287" i="37"/>
  <c r="D81" i="49"/>
  <c r="G283" i="37"/>
  <c r="E283" i="37"/>
  <c r="D63" i="49"/>
  <c r="G39" i="37"/>
  <c r="E39" i="37"/>
  <c r="B742" i="37"/>
  <c r="H39" i="37"/>
  <c r="F299" i="49"/>
  <c r="G299" i="49"/>
  <c r="M299" i="49"/>
  <c r="D299" i="49"/>
  <c r="D300" i="49"/>
  <c r="F165" i="37"/>
  <c r="D14" i="51"/>
  <c r="K164" i="37"/>
  <c r="L152" i="37"/>
  <c r="M152" i="37"/>
  <c r="E186" i="49"/>
  <c r="M160" i="37"/>
  <c r="L160" i="37"/>
  <c r="E16" i="49"/>
  <c r="M120" i="37"/>
  <c r="L120" i="37"/>
  <c r="D62" i="49"/>
  <c r="L606" i="37"/>
  <c r="K606" i="37"/>
  <c r="M606" i="37"/>
  <c r="G606" i="37"/>
  <c r="E606" i="37"/>
  <c r="B743" i="37"/>
  <c r="K165" i="37"/>
  <c r="M165" i="37"/>
  <c r="M153" i="37"/>
  <c r="L153" i="37"/>
  <c r="M118" i="37"/>
  <c r="L118" i="37"/>
  <c r="L283" i="37"/>
  <c r="M283" i="37"/>
  <c r="O606" i="37"/>
  <c r="N606" i="37"/>
  <c r="B744" i="37"/>
  <c r="E184" i="49"/>
  <c r="L157" i="37"/>
  <c r="M157" i="37"/>
  <c r="E178" i="49"/>
  <c r="E140" i="49"/>
  <c r="M158" i="37"/>
  <c r="L158" i="37"/>
  <c r="F141" i="37"/>
  <c r="D11" i="51"/>
  <c r="M140" i="37"/>
  <c r="K140" i="37"/>
  <c r="M127" i="37"/>
  <c r="L127" i="37"/>
  <c r="F296" i="37"/>
  <c r="M295" i="37"/>
  <c r="K295" i="37"/>
  <c r="L295" i="37"/>
  <c r="B745" i="37"/>
  <c r="E164" i="49"/>
  <c r="E171" i="49"/>
  <c r="E141" i="49"/>
  <c r="M163" i="37"/>
  <c r="M144" i="37"/>
  <c r="L163" i="37"/>
  <c r="K141" i="37"/>
  <c r="M141" i="37"/>
  <c r="E146" i="49"/>
  <c r="M126" i="37"/>
  <c r="L126" i="37"/>
  <c r="N295" i="37"/>
  <c r="O295" i="37"/>
  <c r="F298" i="37"/>
  <c r="D19" i="51"/>
  <c r="M296" i="37"/>
  <c r="K296" i="37"/>
  <c r="L296" i="37"/>
  <c r="G59" i="37"/>
  <c r="E59" i="37"/>
  <c r="D56" i="49"/>
  <c r="D285" i="49"/>
  <c r="G589" i="37"/>
  <c r="M589" i="37"/>
  <c r="E589" i="37"/>
  <c r="G588" i="37"/>
  <c r="M588" i="37"/>
  <c r="E588" i="37"/>
  <c r="D110" i="49"/>
  <c r="M587" i="37"/>
  <c r="L587" i="37"/>
  <c r="G587" i="37"/>
  <c r="E587" i="37"/>
  <c r="G586" i="37"/>
  <c r="M586" i="37"/>
  <c r="E586" i="37"/>
  <c r="M585" i="37"/>
  <c r="L585" i="37"/>
  <c r="G585" i="37"/>
  <c r="G584" i="37"/>
  <c r="M584" i="37"/>
  <c r="E584" i="37"/>
  <c r="M902" i="37"/>
  <c r="L902" i="37"/>
  <c r="G902" i="37"/>
  <c r="E902" i="37"/>
  <c r="G62" i="37"/>
  <c r="E62" i="37"/>
  <c r="D175" i="49"/>
  <c r="D181" i="49"/>
  <c r="M15" i="37"/>
  <c r="L15" i="37"/>
  <c r="G15" i="37"/>
  <c r="E15" i="37"/>
  <c r="L724" i="37"/>
  <c r="L696" i="37"/>
  <c r="M724" i="37"/>
  <c r="M696" i="37"/>
  <c r="G724" i="37"/>
  <c r="E724" i="37"/>
  <c r="D30" i="49"/>
  <c r="B746" i="37"/>
  <c r="D197" i="49"/>
  <c r="H62" i="37"/>
  <c r="M116" i="37"/>
  <c r="M583" i="37"/>
  <c r="G54" i="46"/>
  <c r="D147" i="49"/>
  <c r="D152" i="49"/>
  <c r="D166" i="49"/>
  <c r="D306" i="49"/>
  <c r="D182" i="49"/>
  <c r="D189" i="49"/>
  <c r="D167" i="49"/>
  <c r="D174" i="49"/>
  <c r="D84" i="49"/>
  <c r="D103" i="49"/>
  <c r="O296" i="37"/>
  <c r="N296" i="37"/>
  <c r="M298" i="37"/>
  <c r="K298" i="37"/>
  <c r="L298" i="37"/>
  <c r="L282" i="37"/>
  <c r="X28" i="37"/>
  <c r="Z28" i="37"/>
  <c r="D158" i="49"/>
  <c r="D58" i="49"/>
  <c r="D129" i="49"/>
  <c r="D11" i="49"/>
  <c r="D54" i="49"/>
  <c r="D61" i="49"/>
  <c r="D209" i="49"/>
  <c r="D4" i="49"/>
  <c r="D117" i="49"/>
  <c r="D34" i="49"/>
  <c r="D59" i="49"/>
  <c r="D51" i="49"/>
  <c r="D210" i="49"/>
  <c r="D60" i="49"/>
  <c r="G55" i="46"/>
  <c r="L588" i="37"/>
  <c r="L589" i="37"/>
  <c r="L586" i="37"/>
  <c r="L584" i="37"/>
  <c r="O724" i="37"/>
  <c r="N724" i="37"/>
  <c r="B747" i="37"/>
  <c r="L583" i="37"/>
  <c r="F54" i="46"/>
  <c r="O298" i="37"/>
  <c r="N298" i="37"/>
  <c r="F60" i="46"/>
  <c r="G901" i="37"/>
  <c r="L901" i="37"/>
  <c r="E901" i="37"/>
  <c r="G899" i="37"/>
  <c r="M899" i="37"/>
  <c r="E899" i="37"/>
  <c r="M898" i="37"/>
  <c r="L898" i="37"/>
  <c r="G898" i="37"/>
  <c r="E898" i="37"/>
  <c r="G897" i="37"/>
  <c r="M897" i="37"/>
  <c r="E897" i="37"/>
  <c r="G896" i="37"/>
  <c r="M896" i="37"/>
  <c r="E896" i="37"/>
  <c r="M895" i="37"/>
  <c r="L895" i="37"/>
  <c r="G895" i="37"/>
  <c r="E895" i="37"/>
  <c r="G894" i="37"/>
  <c r="M894" i="37"/>
  <c r="E894" i="37"/>
  <c r="G893" i="37"/>
  <c r="M893" i="37"/>
  <c r="E893" i="37"/>
  <c r="M56" i="37"/>
  <c r="G63" i="37"/>
  <c r="E63" i="37"/>
  <c r="G61" i="37"/>
  <c r="E61" i="37"/>
  <c r="G56" i="37"/>
  <c r="E56" i="37"/>
  <c r="D55" i="49"/>
  <c r="B748" i="37"/>
  <c r="D57" i="49"/>
  <c r="G60" i="46"/>
  <c r="E60" i="46"/>
  <c r="M901" i="37"/>
  <c r="M891" i="37"/>
  <c r="L899" i="37"/>
  <c r="L896" i="37"/>
  <c r="L897" i="37"/>
  <c r="L893" i="37"/>
  <c r="L894" i="37"/>
  <c r="L56" i="37"/>
  <c r="E3" i="43"/>
  <c r="E13" i="37"/>
  <c r="G13" i="37"/>
  <c r="L13" i="37"/>
  <c r="M13" i="37"/>
  <c r="E14" i="37"/>
  <c r="D153" i="49"/>
  <c r="G14" i="37"/>
  <c r="L14" i="37"/>
  <c r="M14" i="37"/>
  <c r="D156" i="49"/>
  <c r="D33" i="49"/>
  <c r="B749" i="37"/>
  <c r="L891" i="37"/>
  <c r="X45" i="37"/>
  <c r="Z45" i="37"/>
  <c r="D150" i="49"/>
  <c r="D142" i="49"/>
  <c r="D149" i="49"/>
  <c r="D136" i="49"/>
  <c r="D143" i="49"/>
  <c r="D139" i="49"/>
  <c r="D146" i="49"/>
  <c r="D116" i="49"/>
  <c r="D3" i="49"/>
  <c r="D113" i="49"/>
  <c r="D36" i="49"/>
  <c r="D119" i="49"/>
  <c r="I60" i="46"/>
  <c r="M42" i="37"/>
  <c r="L42" i="37"/>
  <c r="B750" i="37"/>
  <c r="E27" i="49"/>
  <c r="F79" i="37"/>
  <c r="K78" i="37"/>
  <c r="M78" i="37"/>
  <c r="L78" i="37"/>
  <c r="J17" i="37"/>
  <c r="M17" i="37"/>
  <c r="D282" i="49"/>
  <c r="D283" i="49"/>
  <c r="D284" i="49"/>
  <c r="D235" i="49"/>
  <c r="M36" i="37"/>
  <c r="K36" i="37"/>
  <c r="I36" i="37"/>
  <c r="L36" i="37"/>
  <c r="G36" i="37"/>
  <c r="E36" i="37"/>
  <c r="M35" i="37"/>
  <c r="K35" i="37"/>
  <c r="I35" i="37"/>
  <c r="L35" i="37"/>
  <c r="G35" i="37"/>
  <c r="E35" i="37"/>
  <c r="D273" i="49"/>
  <c r="M855" i="37"/>
  <c r="L855" i="37"/>
  <c r="G855" i="37"/>
  <c r="E855" i="37"/>
  <c r="M848" i="37"/>
  <c r="L848" i="37"/>
  <c r="G848" i="37"/>
  <c r="E848" i="37"/>
  <c r="D274" i="49"/>
  <c r="D224" i="49"/>
  <c r="M846" i="37"/>
  <c r="L846" i="37"/>
  <c r="G846" i="37"/>
  <c r="E846" i="37"/>
  <c r="D169" i="49"/>
  <c r="M845" i="37"/>
  <c r="L845" i="37"/>
  <c r="G845" i="37"/>
  <c r="E845" i="37"/>
  <c r="M27" i="37"/>
  <c r="K27" i="37"/>
  <c r="I27" i="37"/>
  <c r="L27" i="37"/>
  <c r="G27" i="37"/>
  <c r="E27" i="37"/>
  <c r="M26" i="37"/>
  <c r="K26" i="37"/>
  <c r="I26" i="37"/>
  <c r="L26" i="37"/>
  <c r="G26" i="37"/>
  <c r="E26" i="37"/>
  <c r="M20" i="37"/>
  <c r="K20" i="37"/>
  <c r="I20" i="37"/>
  <c r="L20" i="37"/>
  <c r="G20" i="37"/>
  <c r="E20" i="37"/>
  <c r="I19" i="37"/>
  <c r="L19" i="37"/>
  <c r="G19" i="37"/>
  <c r="E19" i="37"/>
  <c r="K19" i="37"/>
  <c r="M19" i="37"/>
  <c r="G3" i="45"/>
  <c r="G4" i="45"/>
  <c r="G5" i="45"/>
  <c r="E3" i="45"/>
  <c r="G2" i="45"/>
  <c r="L17" i="37"/>
  <c r="K17" i="37"/>
  <c r="G17" i="37"/>
  <c r="E17" i="37"/>
  <c r="D305" i="49"/>
  <c r="L16" i="37"/>
  <c r="K16" i="37"/>
  <c r="G16" i="37"/>
  <c r="E16" i="37"/>
  <c r="B751" i="37"/>
  <c r="L843" i="37"/>
  <c r="X42" i="37"/>
  <c r="Z42" i="37"/>
  <c r="M843" i="37"/>
  <c r="I512" i="37"/>
  <c r="L512" i="37"/>
  <c r="I510" i="37"/>
  <c r="L510" i="37"/>
  <c r="I509" i="37"/>
  <c r="L509" i="37"/>
  <c r="I511" i="37"/>
  <c r="L511" i="37"/>
  <c r="I166" i="37"/>
  <c r="L166" i="37"/>
  <c r="I142" i="37"/>
  <c r="L142" i="37"/>
  <c r="I165" i="37"/>
  <c r="L165" i="37"/>
  <c r="I141" i="37"/>
  <c r="L141" i="37"/>
  <c r="I167" i="37"/>
  <c r="L167" i="37"/>
  <c r="I143" i="37"/>
  <c r="L143" i="37"/>
  <c r="I164" i="37"/>
  <c r="L164" i="37"/>
  <c r="D254" i="49"/>
  <c r="D248" i="49"/>
  <c r="D272" i="49"/>
  <c r="D241" i="49"/>
  <c r="D249" i="49"/>
  <c r="D266" i="49"/>
  <c r="D155" i="49"/>
  <c r="D162" i="49"/>
  <c r="D250" i="49"/>
  <c r="D265" i="49"/>
  <c r="M82" i="37"/>
  <c r="K82" i="37"/>
  <c r="L82" i="37"/>
  <c r="N78" i="37"/>
  <c r="O78" i="37"/>
  <c r="F67" i="37"/>
  <c r="M66" i="37"/>
  <c r="K66" i="37"/>
  <c r="L66" i="37"/>
  <c r="F81" i="37"/>
  <c r="M80" i="37"/>
  <c r="K80" i="37"/>
  <c r="L80" i="37"/>
  <c r="M79" i="37"/>
  <c r="K79" i="37"/>
  <c r="L79" i="37"/>
  <c r="E197" i="49"/>
  <c r="E48" i="49"/>
  <c r="E21" i="49"/>
  <c r="D206" i="49"/>
  <c r="D47" i="49"/>
  <c r="D228" i="49"/>
  <c r="D37" i="49"/>
  <c r="D201" i="49"/>
  <c r="D39" i="49"/>
  <c r="D223" i="49"/>
  <c r="D222" i="49"/>
  <c r="D200" i="49"/>
  <c r="D48" i="49"/>
  <c r="D41" i="49"/>
  <c r="D230" i="49"/>
  <c r="D50" i="49"/>
  <c r="D214" i="49"/>
  <c r="D52" i="49"/>
  <c r="D204" i="49"/>
  <c r="D45" i="49"/>
  <c r="D215" i="49"/>
  <c r="D38" i="49"/>
  <c r="D132" i="49"/>
  <c r="D40" i="49"/>
  <c r="D205" i="49"/>
  <c r="D43" i="49"/>
  <c r="D220" i="49"/>
  <c r="D49" i="49"/>
  <c r="D213" i="49"/>
  <c r="D229" i="49"/>
  <c r="D46" i="49"/>
  <c r="D53" i="49"/>
  <c r="D238" i="49"/>
  <c r="O35" i="37"/>
  <c r="N35" i="37"/>
  <c r="O36" i="37"/>
  <c r="N36" i="37"/>
  <c r="O27" i="37"/>
  <c r="N17" i="37"/>
  <c r="O26" i="37"/>
  <c r="N26" i="37"/>
  <c r="N27" i="37"/>
  <c r="O20" i="37"/>
  <c r="N20" i="37"/>
  <c r="O19" i="37"/>
  <c r="N19" i="37"/>
  <c r="O17" i="37"/>
  <c r="B752" i="37"/>
  <c r="D6" i="51"/>
  <c r="L116" i="37"/>
  <c r="X17" i="37"/>
  <c r="Z17" i="37"/>
  <c r="O141" i="37"/>
  <c r="N141" i="37"/>
  <c r="O165" i="37"/>
  <c r="N165" i="37"/>
  <c r="O142" i="37"/>
  <c r="N142" i="37"/>
  <c r="O166" i="37"/>
  <c r="N166" i="37"/>
  <c r="O164" i="37"/>
  <c r="N164" i="37"/>
  <c r="L144" i="37"/>
  <c r="X18" i="37"/>
  <c r="Z18" i="37"/>
  <c r="O511" i="37"/>
  <c r="N511" i="37"/>
  <c r="O143" i="37"/>
  <c r="N143" i="37"/>
  <c r="O509" i="37"/>
  <c r="N509" i="37"/>
  <c r="L477" i="37"/>
  <c r="O167" i="37"/>
  <c r="N167" i="37"/>
  <c r="N510" i="37"/>
  <c r="O510" i="37"/>
  <c r="N140" i="37"/>
  <c r="O140" i="37"/>
  <c r="O512" i="37"/>
  <c r="N512" i="37"/>
  <c r="E265" i="49"/>
  <c r="E283" i="49"/>
  <c r="E182" i="49"/>
  <c r="E189" i="49"/>
  <c r="E239" i="49"/>
  <c r="E258" i="49"/>
  <c r="O80" i="37"/>
  <c r="N80" i="37"/>
  <c r="M67" i="37"/>
  <c r="K67" i="37"/>
  <c r="L67" i="37"/>
  <c r="E250" i="49"/>
  <c r="M81" i="37"/>
  <c r="K81" i="37"/>
  <c r="L81" i="37"/>
  <c r="O82" i="37"/>
  <c r="N82" i="37"/>
  <c r="N79" i="37"/>
  <c r="O79" i="37"/>
  <c r="O66" i="37"/>
  <c r="N66" i="37"/>
  <c r="M83" i="37"/>
  <c r="K83" i="37"/>
  <c r="L83" i="37"/>
  <c r="E227" i="49"/>
  <c r="E156" i="49"/>
  <c r="E158" i="49"/>
  <c r="E282" i="49"/>
  <c r="E228" i="49"/>
  <c r="E2" i="43"/>
  <c r="J290" i="37"/>
  <c r="M290" i="37"/>
  <c r="M282" i="37"/>
  <c r="K659" i="45"/>
  <c r="M30" i="37"/>
  <c r="M31" i="37"/>
  <c r="M32" i="37"/>
  <c r="M33" i="37"/>
  <c r="L30" i="37"/>
  <c r="L31" i="37"/>
  <c r="L32" i="37"/>
  <c r="L33" i="37"/>
  <c r="G30" i="37"/>
  <c r="G31" i="37"/>
  <c r="G32" i="37"/>
  <c r="G33" i="37"/>
  <c r="E30" i="37"/>
  <c r="E31" i="37"/>
  <c r="E32" i="37"/>
  <c r="E33" i="37"/>
  <c r="D44" i="49"/>
  <c r="D270" i="49"/>
  <c r="M25" i="37"/>
  <c r="L25" i="37"/>
  <c r="G25" i="37"/>
  <c r="E25" i="37"/>
  <c r="D130" i="49"/>
  <c r="M24" i="37"/>
  <c r="L24" i="37"/>
  <c r="G24" i="37"/>
  <c r="E24" i="37"/>
  <c r="M23" i="37"/>
  <c r="L23" i="37"/>
  <c r="G23" i="37"/>
  <c r="E23" i="37"/>
  <c r="D177" i="49"/>
  <c r="D294" i="49"/>
  <c r="D269" i="49"/>
  <c r="M22" i="37"/>
  <c r="L22" i="37"/>
  <c r="G22" i="37"/>
  <c r="E22" i="37"/>
  <c r="D289" i="49"/>
  <c r="D277" i="49"/>
  <c r="K680" i="43"/>
  <c r="G12" i="37"/>
  <c r="G836" i="37"/>
  <c r="H944" i="37"/>
  <c r="K420" i="37"/>
  <c r="K197" i="37"/>
  <c r="K195" i="37"/>
  <c r="G835" i="37"/>
  <c r="D221" i="49"/>
  <c r="G824" i="37"/>
  <c r="G832" i="37"/>
  <c r="G833" i="37"/>
  <c r="G834" i="37"/>
  <c r="D288" i="49"/>
  <c r="D242" i="49"/>
  <c r="M835" i="37"/>
  <c r="L835" i="37"/>
  <c r="M834" i="37"/>
  <c r="L834" i="37"/>
  <c r="M833" i="37"/>
  <c r="L833" i="37"/>
  <c r="M832" i="37"/>
  <c r="L832" i="37"/>
  <c r="M824" i="37"/>
  <c r="L824" i="37"/>
  <c r="L836" i="37"/>
  <c r="M836" i="37"/>
  <c r="M68" i="37"/>
  <c r="L68" i="37"/>
  <c r="X13" i="37"/>
  <c r="B753" i="37"/>
  <c r="AA23" i="37"/>
  <c r="L822" i="37"/>
  <c r="M822" i="37"/>
  <c r="M821" i="37"/>
  <c r="O195" i="37"/>
  <c r="N195" i="37"/>
  <c r="O197" i="37"/>
  <c r="N197" i="37"/>
  <c r="F38" i="46"/>
  <c r="L21" i="37"/>
  <c r="X9" i="37"/>
  <c r="D154" i="49"/>
  <c r="D17" i="49"/>
  <c r="D31" i="49"/>
  <c r="D255" i="49"/>
  <c r="D280" i="49"/>
  <c r="D190" i="49"/>
  <c r="D198" i="49"/>
  <c r="D19" i="49"/>
  <c r="D32" i="49"/>
  <c r="D264" i="49"/>
  <c r="D290" i="49"/>
  <c r="D256" i="49"/>
  <c r="D281" i="49"/>
  <c r="D240" i="49"/>
  <c r="D252" i="49"/>
  <c r="D263" i="49"/>
  <c r="D262" i="49"/>
  <c r="D267" i="49"/>
  <c r="D271" i="49"/>
  <c r="D163" i="49"/>
  <c r="D170" i="49"/>
  <c r="D35" i="49"/>
  <c r="D42" i="49"/>
  <c r="E142" i="49"/>
  <c r="E149" i="49"/>
  <c r="E257" i="49"/>
  <c r="E264" i="49"/>
  <c r="D159" i="49"/>
  <c r="D183" i="49"/>
  <c r="O83" i="37"/>
  <c r="N83" i="37"/>
  <c r="N81" i="37"/>
  <c r="O81" i="37"/>
  <c r="O67" i="37"/>
  <c r="N67" i="37"/>
  <c r="E119" i="49"/>
  <c r="E238" i="49"/>
  <c r="E13" i="49"/>
  <c r="M41" i="37"/>
  <c r="L41" i="37"/>
  <c r="D107" i="49"/>
  <c r="D212" i="49"/>
  <c r="D23" i="49"/>
  <c r="D236" i="49"/>
  <c r="D18" i="49"/>
  <c r="D140" i="49"/>
  <c r="D21" i="49"/>
  <c r="D12" i="49"/>
  <c r="D219" i="49"/>
  <c r="D15" i="49"/>
  <c r="D202" i="49"/>
  <c r="D13" i="49"/>
  <c r="D233" i="49"/>
  <c r="D10" i="49"/>
  <c r="D218" i="49"/>
  <c r="D24" i="49"/>
  <c r="D14" i="49"/>
  <c r="D22" i="49"/>
  <c r="D211" i="49"/>
  <c r="D245" i="49"/>
  <c r="D16" i="49"/>
  <c r="D20" i="49"/>
  <c r="D226" i="49"/>
  <c r="O420" i="37"/>
  <c r="N420" i="37"/>
  <c r="H914" i="37"/>
  <c r="K914" i="37"/>
  <c r="O914" i="37"/>
  <c r="K196" i="37"/>
  <c r="K944" i="37"/>
  <c r="D28" i="49"/>
  <c r="D29" i="49"/>
  <c r="D26" i="49"/>
  <c r="D27" i="49"/>
  <c r="O290" i="37"/>
  <c r="N290" i="37"/>
  <c r="H927" i="37"/>
  <c r="K927" i="37"/>
  <c r="H926" i="37"/>
  <c r="K926" i="37"/>
  <c r="H503" i="37"/>
  <c r="H502" i="37"/>
  <c r="H316" i="37"/>
  <c r="H551" i="37"/>
  <c r="K551" i="37"/>
  <c r="H518" i="37"/>
  <c r="H146" i="37"/>
  <c r="H120" i="37"/>
  <c r="F300" i="49"/>
  <c r="G300" i="49"/>
  <c r="M300" i="49"/>
  <c r="J16" i="37"/>
  <c r="M16" i="37"/>
  <c r="H22" i="37"/>
  <c r="B754" i="37"/>
  <c r="Z13" i="37"/>
  <c r="L821" i="37"/>
  <c r="X41" i="37"/>
  <c r="Z9" i="37"/>
  <c r="N196" i="37"/>
  <c r="O196" i="37"/>
  <c r="M21" i="37"/>
  <c r="G53" i="46"/>
  <c r="N914" i="37"/>
  <c r="K146" i="37"/>
  <c r="O146" i="37"/>
  <c r="K502" i="37"/>
  <c r="O502" i="37"/>
  <c r="K518" i="37"/>
  <c r="O518" i="37"/>
  <c r="K503" i="37"/>
  <c r="N503" i="37"/>
  <c r="N944" i="37"/>
  <c r="O944" i="37"/>
  <c r="K120" i="37"/>
  <c r="O120" i="37"/>
  <c r="K316" i="37"/>
  <c r="O316" i="37"/>
  <c r="K22" i="37"/>
  <c r="O926" i="37"/>
  <c r="N926" i="37"/>
  <c r="O927" i="37"/>
  <c r="N927" i="37"/>
  <c r="O551" i="37"/>
  <c r="N551" i="37"/>
  <c r="K39" i="37"/>
  <c r="N16" i="37"/>
  <c r="O16" i="37"/>
  <c r="G28" i="46"/>
  <c r="F28" i="46"/>
  <c r="F12" i="46"/>
  <c r="G12" i="46"/>
  <c r="F24" i="46"/>
  <c r="G24" i="46"/>
  <c r="B755" i="37"/>
  <c r="Z41" i="37"/>
  <c r="AA49" i="37"/>
  <c r="O22" i="37"/>
  <c r="F53" i="46"/>
  <c r="F62" i="46"/>
  <c r="G62" i="46"/>
  <c r="J75" i="46"/>
  <c r="H97" i="46"/>
  <c r="E249" i="49"/>
  <c r="M39" i="37"/>
  <c r="L39" i="37"/>
  <c r="E18" i="49"/>
  <c r="O503" i="37"/>
  <c r="N502" i="37"/>
  <c r="N518" i="37"/>
  <c r="N146" i="37"/>
  <c r="N120" i="37"/>
  <c r="N22" i="37"/>
  <c r="N316" i="37"/>
  <c r="G68" i="46"/>
  <c r="G67" i="46"/>
  <c r="E50" i="46"/>
  <c r="E49" i="46"/>
  <c r="F50" i="46"/>
  <c r="F49" i="46"/>
  <c r="G50" i="46"/>
  <c r="G49" i="46"/>
  <c r="E19" i="49"/>
  <c r="H50" i="46"/>
  <c r="B756" i="37"/>
  <c r="M28" i="37"/>
  <c r="G7" i="46"/>
  <c r="L28" i="37"/>
  <c r="O39" i="37"/>
  <c r="N39" i="37"/>
  <c r="L37" i="37"/>
  <c r="X11" i="37"/>
  <c r="M37" i="37"/>
  <c r="H68" i="46"/>
  <c r="H49" i="46"/>
  <c r="J50" i="46"/>
  <c r="I50" i="46"/>
  <c r="I49" i="46"/>
  <c r="B757" i="37"/>
  <c r="F7" i="46"/>
  <c r="X10" i="37"/>
  <c r="Z11" i="37"/>
  <c r="J49" i="46"/>
  <c r="H67" i="46"/>
  <c r="J68" i="46"/>
  <c r="G43" i="46"/>
  <c r="F43" i="46"/>
  <c r="F55" i="46"/>
  <c r="F27" i="46"/>
  <c r="G27" i="46"/>
  <c r="G63" i="46"/>
  <c r="G30" i="46"/>
  <c r="G48" i="46"/>
  <c r="F48" i="46"/>
  <c r="F30" i="46"/>
  <c r="G42" i="46"/>
  <c r="G39" i="46"/>
  <c r="G37" i="46"/>
  <c r="F42" i="46"/>
  <c r="F39" i="46"/>
  <c r="F37" i="46"/>
  <c r="D151" i="49"/>
  <c r="E836" i="37"/>
  <c r="D227" i="49"/>
  <c r="E835" i="37"/>
  <c r="E834" i="37"/>
  <c r="E833" i="37"/>
  <c r="E832" i="37"/>
  <c r="E824" i="37"/>
  <c r="M12" i="37"/>
  <c r="M11" i="37"/>
  <c r="L12" i="37"/>
  <c r="L11" i="37"/>
  <c r="X8" i="37"/>
  <c r="B758" i="37"/>
  <c r="Z8" i="37"/>
  <c r="Z10" i="37"/>
  <c r="F64" i="46"/>
  <c r="G64" i="46"/>
  <c r="G61" i="46"/>
  <c r="G26" i="46"/>
  <c r="F26" i="46"/>
  <c r="F46" i="46"/>
  <c r="G46" i="46"/>
  <c r="F41" i="46"/>
  <c r="F40" i="46"/>
  <c r="G41" i="46"/>
  <c r="G40" i="46"/>
  <c r="G25" i="46"/>
  <c r="F25" i="46"/>
  <c r="H92" i="46"/>
  <c r="H91" i="46"/>
  <c r="D260" i="49"/>
  <c r="D278" i="49"/>
  <c r="D258" i="49"/>
  <c r="D275" i="49"/>
  <c r="D244" i="49"/>
  <c r="D257" i="49"/>
  <c r="D259" i="49"/>
  <c r="D276" i="49"/>
  <c r="D268" i="49"/>
  <c r="D287" i="49"/>
  <c r="D137" i="49"/>
  <c r="D144" i="49"/>
  <c r="D239" i="49"/>
  <c r="D246" i="49"/>
  <c r="D232" i="49"/>
  <c r="D216" i="49"/>
  <c r="D237" i="49"/>
  <c r="D243" i="49"/>
  <c r="D261" i="49"/>
  <c r="D231" i="49"/>
  <c r="D251" i="49"/>
  <c r="D234" i="49"/>
  <c r="D253" i="49"/>
  <c r="D225" i="49"/>
  <c r="D247" i="49"/>
  <c r="D207" i="49"/>
  <c r="D25" i="49"/>
  <c r="D114" i="49"/>
  <c r="D9" i="49"/>
  <c r="J67" i="46"/>
  <c r="D7" i="49"/>
  <c r="D2" i="49"/>
  <c r="D8" i="49"/>
  <c r="D5" i="49"/>
  <c r="D6" i="49"/>
  <c r="F66" i="46"/>
  <c r="F65" i="46"/>
  <c r="G66" i="46"/>
  <c r="G65" i="46"/>
  <c r="E66" i="46"/>
  <c r="E65" i="46"/>
  <c r="F22" i="46"/>
  <c r="F18" i="46"/>
  <c r="G18" i="46"/>
  <c r="I66" i="46"/>
  <c r="I65" i="46"/>
  <c r="F23" i="46"/>
  <c r="G23" i="46"/>
  <c r="G22" i="46"/>
  <c r="G17" i="46"/>
  <c r="F17" i="46"/>
  <c r="F15" i="46"/>
  <c r="G15" i="46"/>
  <c r="G14" i="46"/>
  <c r="F14" i="46"/>
  <c r="B759" i="37"/>
  <c r="AA11" i="37"/>
  <c r="G21" i="46"/>
  <c r="G20" i="46"/>
  <c r="F19" i="46"/>
  <c r="F16" i="46"/>
  <c r="F21" i="46"/>
  <c r="F20" i="46"/>
  <c r="G19" i="46"/>
  <c r="G16" i="46"/>
  <c r="G11" i="46"/>
  <c r="F11" i="46"/>
  <c r="H93" i="46"/>
  <c r="H99" i="46"/>
  <c r="F13" i="46"/>
  <c r="G13" i="46"/>
  <c r="F63" i="46"/>
  <c r="F61" i="46"/>
  <c r="H66" i="46"/>
  <c r="B760" i="37"/>
  <c r="H65" i="46"/>
  <c r="J66" i="46"/>
  <c r="B761" i="37"/>
  <c r="F8" i="46"/>
  <c r="G8" i="46"/>
  <c r="J65" i="46"/>
  <c r="B762" i="37"/>
  <c r="I12" i="46"/>
  <c r="F17" i="53"/>
  <c r="E17" i="53"/>
  <c r="B763" i="37"/>
  <c r="E12" i="46"/>
  <c r="H12" i="46"/>
  <c r="B764" i="37"/>
  <c r="J12" i="46"/>
  <c r="B765" i="37"/>
  <c r="C3" i="13"/>
  <c r="E3" i="13"/>
  <c r="C2" i="13"/>
  <c r="E2" i="13"/>
  <c r="B766" i="37"/>
  <c r="E4" i="13"/>
  <c r="E10" i="9"/>
  <c r="E11" i="9"/>
  <c r="E13" i="9"/>
  <c r="E5" i="9"/>
  <c r="E6" i="9"/>
  <c r="E15" i="9"/>
  <c r="E16" i="8"/>
  <c r="E15" i="8"/>
  <c r="E14" i="8"/>
  <c r="E13" i="8"/>
  <c r="E8" i="8"/>
  <c r="E7" i="8"/>
  <c r="E6" i="8"/>
  <c r="E5" i="8"/>
  <c r="E4" i="8"/>
  <c r="B767" i="37"/>
  <c r="E17" i="8"/>
  <c r="E9" i="8"/>
  <c r="E17" i="9"/>
  <c r="E18" i="9"/>
  <c r="B768" i="37"/>
  <c r="K14" i="8"/>
  <c r="F17" i="8"/>
  <c r="G17" i="8"/>
  <c r="F9" i="8"/>
  <c r="G9" i="8"/>
  <c r="B769" i="37"/>
  <c r="G19" i="8"/>
  <c r="G23" i="8"/>
  <c r="G24" i="8"/>
  <c r="I4" i="7"/>
  <c r="K87" i="7"/>
  <c r="J87" i="7"/>
  <c r="K86" i="7"/>
  <c r="I87" i="7"/>
  <c r="G86" i="7"/>
  <c r="J86" i="7"/>
  <c r="I86" i="7"/>
  <c r="K159" i="7"/>
  <c r="J159" i="7"/>
  <c r="I159" i="7"/>
  <c r="K158" i="7"/>
  <c r="J158" i="7"/>
  <c r="I158" i="7"/>
  <c r="K157" i="7"/>
  <c r="J157" i="7"/>
  <c r="I157" i="7"/>
  <c r="K156" i="7"/>
  <c r="J156" i="7"/>
  <c r="I156" i="7"/>
  <c r="K155" i="7"/>
  <c r="J155" i="7"/>
  <c r="I155" i="7"/>
  <c r="K154" i="7"/>
  <c r="L154" i="7"/>
  <c r="J154" i="7"/>
  <c r="I154" i="7"/>
  <c r="K153" i="7"/>
  <c r="J153" i="7"/>
  <c r="I153" i="7"/>
  <c r="K152" i="7"/>
  <c r="J152" i="7"/>
  <c r="I152" i="7"/>
  <c r="K151" i="7"/>
  <c r="J151" i="7"/>
  <c r="I151" i="7"/>
  <c r="K150" i="7"/>
  <c r="J150" i="7"/>
  <c r="I150" i="7"/>
  <c r="K149" i="7"/>
  <c r="J149" i="7"/>
  <c r="I149" i="7"/>
  <c r="K148" i="7"/>
  <c r="J148" i="7"/>
  <c r="I148" i="7"/>
  <c r="K147" i="7"/>
  <c r="J147" i="7"/>
  <c r="I147" i="7"/>
  <c r="K146" i="7"/>
  <c r="L146" i="7"/>
  <c r="J146" i="7"/>
  <c r="I146" i="7"/>
  <c r="K145" i="7"/>
  <c r="J145" i="7"/>
  <c r="I145" i="7"/>
  <c r="K144" i="7"/>
  <c r="J144" i="7"/>
  <c r="I144" i="7"/>
  <c r="K143" i="7"/>
  <c r="J143" i="7"/>
  <c r="I143" i="7"/>
  <c r="K142" i="7"/>
  <c r="J142" i="7"/>
  <c r="I142" i="7"/>
  <c r="K141" i="7"/>
  <c r="J141" i="7"/>
  <c r="I141" i="7"/>
  <c r="K140" i="7"/>
  <c r="J140" i="7"/>
  <c r="I140" i="7"/>
  <c r="K139" i="7"/>
  <c r="J139" i="7"/>
  <c r="I139" i="7"/>
  <c r="K138" i="7"/>
  <c r="L138" i="7"/>
  <c r="J138" i="7"/>
  <c r="I138" i="7"/>
  <c r="K137" i="7"/>
  <c r="J137" i="7"/>
  <c r="I137" i="7"/>
  <c r="K136" i="7"/>
  <c r="J136" i="7"/>
  <c r="I136" i="7"/>
  <c r="K135" i="7"/>
  <c r="J135" i="7"/>
  <c r="I135" i="7"/>
  <c r="K134" i="7"/>
  <c r="J134" i="7"/>
  <c r="I134" i="7"/>
  <c r="K133" i="7"/>
  <c r="J133" i="7"/>
  <c r="I133" i="7"/>
  <c r="K132" i="7"/>
  <c r="J132" i="7"/>
  <c r="I132" i="7"/>
  <c r="K131" i="7"/>
  <c r="J131" i="7"/>
  <c r="I131" i="7"/>
  <c r="K130" i="7"/>
  <c r="L130" i="7"/>
  <c r="J130" i="7"/>
  <c r="I130" i="7"/>
  <c r="K129" i="7"/>
  <c r="J129" i="7"/>
  <c r="I129" i="7"/>
  <c r="K128" i="7"/>
  <c r="J128" i="7"/>
  <c r="I128" i="7"/>
  <c r="K127" i="7"/>
  <c r="J127" i="7"/>
  <c r="I127" i="7"/>
  <c r="K126" i="7"/>
  <c r="J126" i="7"/>
  <c r="I126" i="7"/>
  <c r="K125" i="7"/>
  <c r="J125" i="7"/>
  <c r="I125" i="7"/>
  <c r="K124" i="7"/>
  <c r="J124" i="7"/>
  <c r="I124" i="7"/>
  <c r="K123" i="7"/>
  <c r="J123" i="7"/>
  <c r="I123" i="7"/>
  <c r="K122" i="7"/>
  <c r="L122" i="7"/>
  <c r="J122" i="7"/>
  <c r="I122" i="7"/>
  <c r="K121" i="7"/>
  <c r="J121" i="7"/>
  <c r="I121" i="7"/>
  <c r="K120" i="7"/>
  <c r="J120" i="7"/>
  <c r="I120" i="7"/>
  <c r="K119" i="7"/>
  <c r="J119" i="7"/>
  <c r="I119" i="7"/>
  <c r="K118" i="7"/>
  <c r="J118" i="7"/>
  <c r="I118" i="7"/>
  <c r="K117" i="7"/>
  <c r="J117" i="7"/>
  <c r="I117" i="7"/>
  <c r="K113" i="7"/>
  <c r="J113" i="7"/>
  <c r="I113" i="7"/>
  <c r="K112" i="7"/>
  <c r="J112" i="7"/>
  <c r="I112" i="7"/>
  <c r="K111" i="7"/>
  <c r="J111" i="7"/>
  <c r="I111" i="7"/>
  <c r="K110" i="7"/>
  <c r="J110" i="7"/>
  <c r="I110" i="7"/>
  <c r="K109" i="7"/>
  <c r="J109" i="7"/>
  <c r="I109" i="7"/>
  <c r="K108" i="7"/>
  <c r="J108" i="7"/>
  <c r="I108" i="7"/>
  <c r="K107" i="7"/>
  <c r="J107" i="7"/>
  <c r="I107" i="7"/>
  <c r="K106" i="7"/>
  <c r="J106" i="7"/>
  <c r="I106" i="7"/>
  <c r="K105" i="7"/>
  <c r="J105" i="7"/>
  <c r="I105" i="7"/>
  <c r="K104" i="7"/>
  <c r="J104" i="7"/>
  <c r="I104" i="7"/>
  <c r="K103" i="7"/>
  <c r="J103" i="7"/>
  <c r="I103" i="7"/>
  <c r="K102" i="7"/>
  <c r="J102" i="7"/>
  <c r="I102" i="7"/>
  <c r="K101" i="7"/>
  <c r="J101" i="7"/>
  <c r="I101" i="7"/>
  <c r="K100" i="7"/>
  <c r="J100" i="7"/>
  <c r="I100" i="7"/>
  <c r="K99" i="7"/>
  <c r="J99" i="7"/>
  <c r="I99" i="7"/>
  <c r="K98" i="7"/>
  <c r="J98" i="7"/>
  <c r="I98" i="7"/>
  <c r="K97" i="7"/>
  <c r="J97" i="7"/>
  <c r="I97" i="7"/>
  <c r="K96" i="7"/>
  <c r="J96" i="7"/>
  <c r="I96" i="7"/>
  <c r="K95" i="7"/>
  <c r="J95" i="7"/>
  <c r="I95" i="7"/>
  <c r="K94" i="7"/>
  <c r="J94" i="7"/>
  <c r="I94" i="7"/>
  <c r="K93" i="7"/>
  <c r="J93" i="7"/>
  <c r="I93" i="7"/>
  <c r="K92" i="7"/>
  <c r="J92" i="7"/>
  <c r="I92" i="7"/>
  <c r="K91" i="7"/>
  <c r="J91" i="7"/>
  <c r="I91" i="7"/>
  <c r="K90" i="7"/>
  <c r="J90" i="7"/>
  <c r="I90" i="7"/>
  <c r="K89" i="7"/>
  <c r="J89" i="7"/>
  <c r="I89" i="7"/>
  <c r="K88" i="7"/>
  <c r="J88" i="7"/>
  <c r="I88" i="7"/>
  <c r="K85" i="7"/>
  <c r="J85" i="7"/>
  <c r="I85" i="7"/>
  <c r="K84" i="7"/>
  <c r="J84" i="7"/>
  <c r="I84" i="7"/>
  <c r="K83" i="7"/>
  <c r="J83" i="7"/>
  <c r="I83" i="7"/>
  <c r="K82" i="7"/>
  <c r="J82" i="7"/>
  <c r="I82" i="7"/>
  <c r="K81" i="7"/>
  <c r="J81" i="7"/>
  <c r="I81" i="7"/>
  <c r="K75" i="7"/>
  <c r="J75" i="7"/>
  <c r="I75" i="7"/>
  <c r="K74" i="7"/>
  <c r="J74" i="7"/>
  <c r="I74" i="7"/>
  <c r="K73" i="7"/>
  <c r="J73" i="7"/>
  <c r="I73" i="7"/>
  <c r="K72" i="7"/>
  <c r="L72" i="7"/>
  <c r="J72" i="7"/>
  <c r="I72" i="7"/>
  <c r="K71" i="7"/>
  <c r="J71" i="7"/>
  <c r="I71" i="7"/>
  <c r="K70" i="7"/>
  <c r="J70" i="7"/>
  <c r="I70" i="7"/>
  <c r="K69" i="7"/>
  <c r="J69" i="7"/>
  <c r="I69" i="7"/>
  <c r="K68" i="7"/>
  <c r="J68" i="7"/>
  <c r="I68" i="7"/>
  <c r="K66" i="7"/>
  <c r="J66" i="7"/>
  <c r="I66" i="7"/>
  <c r="K63" i="7"/>
  <c r="J63" i="7"/>
  <c r="I63" i="7"/>
  <c r="K62" i="7"/>
  <c r="J62" i="7"/>
  <c r="I62" i="7"/>
  <c r="K61" i="7"/>
  <c r="J61" i="7"/>
  <c r="I61" i="7"/>
  <c r="K60" i="7"/>
  <c r="J60" i="7"/>
  <c r="I60" i="7"/>
  <c r="K59" i="7"/>
  <c r="J59" i="7"/>
  <c r="I59" i="7"/>
  <c r="K58" i="7"/>
  <c r="J58" i="7"/>
  <c r="I58" i="7"/>
  <c r="K57" i="7"/>
  <c r="J57" i="7"/>
  <c r="I57" i="7"/>
  <c r="K56" i="7"/>
  <c r="J56" i="7"/>
  <c r="I56" i="7"/>
  <c r="K55" i="7"/>
  <c r="J55" i="7"/>
  <c r="I55" i="7"/>
  <c r="K54" i="7"/>
  <c r="J54" i="7"/>
  <c r="I54" i="7"/>
  <c r="K53" i="7"/>
  <c r="J53" i="7"/>
  <c r="I53" i="7"/>
  <c r="K52" i="7"/>
  <c r="J52" i="7"/>
  <c r="I52" i="7"/>
  <c r="K51" i="7"/>
  <c r="J51" i="7"/>
  <c r="I51" i="7"/>
  <c r="K50" i="7"/>
  <c r="J50" i="7"/>
  <c r="I50" i="7"/>
  <c r="K49" i="7"/>
  <c r="J49" i="7"/>
  <c r="I49" i="7"/>
  <c r="K48" i="7"/>
  <c r="J48" i="7"/>
  <c r="I48" i="7"/>
  <c r="K47" i="7"/>
  <c r="J47" i="7"/>
  <c r="I47" i="7"/>
  <c r="K46" i="7"/>
  <c r="J46" i="7"/>
  <c r="I46" i="7"/>
  <c r="K45" i="7"/>
  <c r="J45" i="7"/>
  <c r="I45" i="7"/>
  <c r="K44" i="7"/>
  <c r="J44" i="7"/>
  <c r="I44" i="7"/>
  <c r="K43" i="7"/>
  <c r="J43" i="7"/>
  <c r="I43" i="7"/>
  <c r="K42" i="7"/>
  <c r="J42" i="7"/>
  <c r="I42" i="7"/>
  <c r="K41" i="7"/>
  <c r="J41" i="7"/>
  <c r="I41" i="7"/>
  <c r="K40" i="7"/>
  <c r="J40" i="7"/>
  <c r="I40" i="7"/>
  <c r="K39" i="7"/>
  <c r="J39" i="7"/>
  <c r="I39" i="7"/>
  <c r="K38" i="7"/>
  <c r="J38" i="7"/>
  <c r="I38" i="7"/>
  <c r="K37" i="7"/>
  <c r="J37" i="7"/>
  <c r="I37" i="7"/>
  <c r="K35" i="7"/>
  <c r="K34" i="7"/>
  <c r="J34" i="7"/>
  <c r="I34" i="7"/>
  <c r="K33" i="7"/>
  <c r="J33" i="7"/>
  <c r="I33" i="7"/>
  <c r="K32" i="7"/>
  <c r="J32" i="7"/>
  <c r="I32" i="7"/>
  <c r="K31" i="7"/>
  <c r="J31" i="7"/>
  <c r="I31" i="7"/>
  <c r="K30" i="7"/>
  <c r="J30" i="7"/>
  <c r="I30" i="7"/>
  <c r="K29" i="7"/>
  <c r="J29" i="7"/>
  <c r="I29" i="7"/>
  <c r="K28" i="7"/>
  <c r="J28" i="7"/>
  <c r="I28" i="7"/>
  <c r="K27" i="7"/>
  <c r="J27" i="7"/>
  <c r="I27" i="7"/>
  <c r="K26" i="7"/>
  <c r="J26" i="7"/>
  <c r="I26" i="7"/>
  <c r="K25" i="7"/>
  <c r="J25" i="7"/>
  <c r="I25" i="7"/>
  <c r="K24" i="7"/>
  <c r="J24" i="7"/>
  <c r="I24" i="7"/>
  <c r="K23" i="7"/>
  <c r="J23" i="7"/>
  <c r="I23" i="7"/>
  <c r="K22" i="7"/>
  <c r="J22" i="7"/>
  <c r="I22" i="7"/>
  <c r="K21" i="7"/>
  <c r="J21" i="7"/>
  <c r="I21" i="7"/>
  <c r="K20" i="7"/>
  <c r="J20" i="7"/>
  <c r="I20" i="7"/>
  <c r="K19" i="7"/>
  <c r="J19" i="7"/>
  <c r="I19" i="7"/>
  <c r="K18" i="7"/>
  <c r="J18" i="7"/>
  <c r="I18" i="7"/>
  <c r="K17" i="7"/>
  <c r="J17" i="7"/>
  <c r="I17" i="7"/>
  <c r="K16" i="7"/>
  <c r="J16" i="7"/>
  <c r="I16" i="7"/>
  <c r="K15" i="7"/>
  <c r="J15" i="7"/>
  <c r="I15" i="7"/>
  <c r="K14" i="7"/>
  <c r="J14" i="7"/>
  <c r="I14" i="7"/>
  <c r="K13" i="7"/>
  <c r="J13" i="7"/>
  <c r="I13" i="7"/>
  <c r="K12" i="7"/>
  <c r="J12" i="7"/>
  <c r="I12" i="7"/>
  <c r="K11" i="7"/>
  <c r="J11" i="7"/>
  <c r="I11" i="7"/>
  <c r="K10" i="7"/>
  <c r="J10" i="7"/>
  <c r="I10" i="7"/>
  <c r="K9" i="7"/>
  <c r="J9" i="7"/>
  <c r="I9" i="7"/>
  <c r="K8" i="7"/>
  <c r="J8" i="7"/>
  <c r="I8" i="7"/>
  <c r="K7" i="7"/>
  <c r="J7" i="7"/>
  <c r="I7" i="7"/>
  <c r="K6" i="7"/>
  <c r="J6" i="7"/>
  <c r="I6" i="7"/>
  <c r="K5" i="7"/>
  <c r="J5" i="7"/>
  <c r="I5" i="7"/>
  <c r="K4" i="7"/>
  <c r="J4" i="7"/>
  <c r="B770" i="37"/>
  <c r="L87" i="7"/>
  <c r="L86" i="7"/>
  <c r="L6" i="7"/>
  <c r="L11" i="7"/>
  <c r="L14" i="7"/>
  <c r="L19" i="7"/>
  <c r="L22" i="7"/>
  <c r="L27" i="7"/>
  <c r="I77" i="7"/>
  <c r="L70" i="7"/>
  <c r="L73" i="7"/>
  <c r="L120" i="7"/>
  <c r="L123" i="7"/>
  <c r="L131" i="7"/>
  <c r="L136" i="7"/>
  <c r="L139" i="7"/>
  <c r="L144" i="7"/>
  <c r="L147" i="7"/>
  <c r="L152" i="7"/>
  <c r="L155" i="7"/>
  <c r="L128" i="7"/>
  <c r="L8" i="7"/>
  <c r="L16" i="7"/>
  <c r="L24" i="7"/>
  <c r="L32" i="7"/>
  <c r="L47" i="7"/>
  <c r="L55" i="7"/>
  <c r="L63" i="7"/>
  <c r="L89" i="7"/>
  <c r="L97" i="7"/>
  <c r="L124" i="7"/>
  <c r="L132" i="7"/>
  <c r="L140" i="7"/>
  <c r="L148" i="7"/>
  <c r="L156" i="7"/>
  <c r="L42" i="7"/>
  <c r="L50" i="7"/>
  <c r="L58" i="7"/>
  <c r="L82" i="7"/>
  <c r="L92" i="7"/>
  <c r="L100" i="7"/>
  <c r="L108" i="7"/>
  <c r="L9" i="7"/>
  <c r="L17" i="7"/>
  <c r="L25" i="7"/>
  <c r="L33" i="7"/>
  <c r="L40" i="7"/>
  <c r="L48" i="7"/>
  <c r="L56" i="7"/>
  <c r="L90" i="7"/>
  <c r="L98" i="7"/>
  <c r="L106" i="7"/>
  <c r="L66" i="7"/>
  <c r="L75" i="7"/>
  <c r="L117" i="7"/>
  <c r="L125" i="7"/>
  <c r="L133" i="7"/>
  <c r="L141" i="7"/>
  <c r="L149" i="7"/>
  <c r="I161" i="7"/>
  <c r="L157" i="7"/>
  <c r="J35" i="7"/>
  <c r="L12" i="7"/>
  <c r="L20" i="7"/>
  <c r="L28" i="7"/>
  <c r="L43" i="7"/>
  <c r="L51" i="7"/>
  <c r="L59" i="7"/>
  <c r="L83" i="7"/>
  <c r="L93" i="7"/>
  <c r="L101" i="7"/>
  <c r="L109" i="7"/>
  <c r="L7" i="7"/>
  <c r="L10" i="7"/>
  <c r="L18" i="7"/>
  <c r="L34" i="7"/>
  <c r="L41" i="7"/>
  <c r="L46" i="7"/>
  <c r="L49" i="7"/>
  <c r="L54" i="7"/>
  <c r="L57" i="7"/>
  <c r="L62" i="7"/>
  <c r="J77" i="7"/>
  <c r="J115" i="7"/>
  <c r="L88" i="7"/>
  <c r="L91" i="7"/>
  <c r="L96" i="7"/>
  <c r="L99" i="7"/>
  <c r="L104" i="7"/>
  <c r="L107" i="7"/>
  <c r="L112" i="7"/>
  <c r="I64" i="7"/>
  <c r="L68" i="7"/>
  <c r="L71" i="7"/>
  <c r="L118" i="7"/>
  <c r="L121" i="7"/>
  <c r="L126" i="7"/>
  <c r="L129" i="7"/>
  <c r="L134" i="7"/>
  <c r="L137" i="7"/>
  <c r="L142" i="7"/>
  <c r="L145" i="7"/>
  <c r="L150" i="7"/>
  <c r="L153" i="7"/>
  <c r="L158" i="7"/>
  <c r="I35" i="7"/>
  <c r="L23" i="7"/>
  <c r="L38" i="7"/>
  <c r="L5" i="7"/>
  <c r="L13" i="7"/>
  <c r="L21" i="7"/>
  <c r="L29" i="7"/>
  <c r="J64" i="7"/>
  <c r="L44" i="7"/>
  <c r="L52" i="7"/>
  <c r="L60" i="7"/>
  <c r="L84" i="7"/>
  <c r="L94" i="7"/>
  <c r="L102" i="7"/>
  <c r="L105" i="7"/>
  <c r="L110" i="7"/>
  <c r="L113" i="7"/>
  <c r="L15" i="7"/>
  <c r="L26" i="7"/>
  <c r="L31" i="7"/>
  <c r="K64" i="7"/>
  <c r="K77" i="7"/>
  <c r="L69" i="7"/>
  <c r="L74" i="7"/>
  <c r="L119" i="7"/>
  <c r="L127" i="7"/>
  <c r="L135" i="7"/>
  <c r="L143" i="7"/>
  <c r="L151" i="7"/>
  <c r="L159" i="7"/>
  <c r="L30" i="7"/>
  <c r="L37" i="7"/>
  <c r="L45" i="7"/>
  <c r="L53" i="7"/>
  <c r="L61" i="7"/>
  <c r="L85" i="7"/>
  <c r="L95" i="7"/>
  <c r="L103" i="7"/>
  <c r="I115" i="7"/>
  <c r="L111" i="7"/>
  <c r="L4" i="7"/>
  <c r="L39" i="7"/>
  <c r="L81" i="7"/>
  <c r="J161" i="7"/>
  <c r="K115" i="7"/>
  <c r="K161" i="7"/>
  <c r="B771" i="37"/>
  <c r="O18" i="7"/>
  <c r="P18" i="7"/>
  <c r="L35" i="7"/>
  <c r="O17" i="7"/>
  <c r="L64" i="7"/>
  <c r="P17" i="7"/>
  <c r="L115" i="7"/>
  <c r="L77" i="7"/>
  <c r="L161" i="7"/>
  <c r="B772" i="37"/>
  <c r="O19" i="7"/>
  <c r="P19" i="7"/>
  <c r="D5" i="11"/>
  <c r="E5" i="11"/>
  <c r="B773" i="37"/>
  <c r="D7" i="11"/>
  <c r="E7" i="11"/>
  <c r="D6" i="11"/>
  <c r="E6" i="11"/>
  <c r="B774" i="37"/>
  <c r="E8" i="11"/>
  <c r="B775" i="37"/>
  <c r="C11" i="6"/>
  <c r="B776" i="37"/>
  <c r="F89" i="5"/>
  <c r="L89" i="5"/>
  <c r="K88" i="5"/>
  <c r="J88" i="5"/>
  <c r="K87" i="5"/>
  <c r="J87" i="5"/>
  <c r="K86" i="5"/>
  <c r="J86" i="5"/>
  <c r="K85" i="5"/>
  <c r="J85" i="5"/>
  <c r="I85" i="5"/>
  <c r="I86" i="5"/>
  <c r="I87" i="5"/>
  <c r="L84" i="5"/>
  <c r="K84" i="5"/>
  <c r="J84" i="5"/>
  <c r="K83" i="5"/>
  <c r="J83" i="5"/>
  <c r="I83" i="5"/>
  <c r="L83" i="5"/>
  <c r="K82" i="5"/>
  <c r="J82" i="5"/>
  <c r="L77" i="5"/>
  <c r="J77" i="5"/>
  <c r="L75" i="5"/>
  <c r="K75" i="5"/>
  <c r="J75" i="5"/>
  <c r="F75" i="5"/>
  <c r="L74" i="5"/>
  <c r="K74" i="5"/>
  <c r="J74" i="5"/>
  <c r="D74" i="5"/>
  <c r="D75" i="5"/>
  <c r="L73" i="5"/>
  <c r="K73" i="5"/>
  <c r="J73" i="5"/>
  <c r="L72" i="5"/>
  <c r="K72" i="5"/>
  <c r="J72" i="5"/>
  <c r="L71" i="5"/>
  <c r="K71" i="5"/>
  <c r="J71" i="5"/>
  <c r="L70" i="5"/>
  <c r="K70" i="5"/>
  <c r="J70" i="5"/>
  <c r="L69" i="5"/>
  <c r="K69" i="5"/>
  <c r="J69" i="5"/>
  <c r="F69" i="5"/>
  <c r="L68" i="5"/>
  <c r="K68" i="5"/>
  <c r="J68" i="5"/>
  <c r="F68" i="5"/>
  <c r="L67" i="5"/>
  <c r="K67" i="5"/>
  <c r="J67" i="5"/>
  <c r="F67" i="5"/>
  <c r="L66" i="5"/>
  <c r="K66" i="5"/>
  <c r="J66" i="5"/>
  <c r="M66" i="5"/>
  <c r="F66" i="5"/>
  <c r="L65" i="5"/>
  <c r="K65" i="5"/>
  <c r="J65" i="5"/>
  <c r="F65" i="5"/>
  <c r="C64" i="5"/>
  <c r="L64" i="5"/>
  <c r="L63" i="5"/>
  <c r="K63" i="5"/>
  <c r="J63" i="5"/>
  <c r="F63" i="5"/>
  <c r="L62" i="5"/>
  <c r="K62" i="5"/>
  <c r="J62" i="5"/>
  <c r="F62" i="5"/>
  <c r="L61" i="5"/>
  <c r="K61" i="5"/>
  <c r="J61" i="5"/>
  <c r="F61" i="5"/>
  <c r="L60" i="5"/>
  <c r="K60" i="5"/>
  <c r="J60" i="5"/>
  <c r="F60" i="5"/>
  <c r="L59" i="5"/>
  <c r="K59" i="5"/>
  <c r="J59" i="5"/>
  <c r="F59" i="5"/>
  <c r="L58" i="5"/>
  <c r="K58" i="5"/>
  <c r="J58" i="5"/>
  <c r="F58" i="5"/>
  <c r="L57" i="5"/>
  <c r="K57" i="5"/>
  <c r="J57" i="5"/>
  <c r="L56" i="5"/>
  <c r="K56" i="5"/>
  <c r="J56" i="5"/>
  <c r="L55" i="5"/>
  <c r="K55" i="5"/>
  <c r="J55" i="5"/>
  <c r="L54" i="5"/>
  <c r="K54" i="5"/>
  <c r="G54" i="5"/>
  <c r="J54" i="5"/>
  <c r="L52" i="5"/>
  <c r="K52" i="5"/>
  <c r="J52" i="5"/>
  <c r="F52" i="5"/>
  <c r="L51" i="5"/>
  <c r="K51" i="5"/>
  <c r="J51" i="5"/>
  <c r="F51" i="5"/>
  <c r="L50" i="5"/>
  <c r="K50" i="5"/>
  <c r="J50" i="5"/>
  <c r="F50" i="5"/>
  <c r="L49" i="5"/>
  <c r="K49" i="5"/>
  <c r="J49" i="5"/>
  <c r="F49" i="5"/>
  <c r="L48" i="5"/>
  <c r="K48" i="5"/>
  <c r="J48" i="5"/>
  <c r="F48" i="5"/>
  <c r="L47" i="5"/>
  <c r="K47" i="5"/>
  <c r="J47" i="5"/>
  <c r="F47" i="5"/>
  <c r="L46" i="5"/>
  <c r="K46" i="5"/>
  <c r="J46" i="5"/>
  <c r="F46" i="5"/>
  <c r="L44" i="5"/>
  <c r="K44" i="5"/>
  <c r="J44" i="5"/>
  <c r="F44" i="5"/>
  <c r="L43" i="5"/>
  <c r="K43" i="5"/>
  <c r="J43" i="5"/>
  <c r="F43" i="5"/>
  <c r="L42" i="5"/>
  <c r="K42" i="5"/>
  <c r="J42" i="5"/>
  <c r="F42" i="5"/>
  <c r="L41" i="5"/>
  <c r="K41" i="5"/>
  <c r="J41" i="5"/>
  <c r="F41" i="5"/>
  <c r="L40" i="5"/>
  <c r="K40" i="5"/>
  <c r="J40" i="5"/>
  <c r="F40" i="5"/>
  <c r="L39" i="5"/>
  <c r="K39" i="5"/>
  <c r="J39" i="5"/>
  <c r="L37" i="5"/>
  <c r="K37" i="5"/>
  <c r="J37" i="5"/>
  <c r="M37" i="5"/>
  <c r="F37" i="5"/>
  <c r="L36" i="5"/>
  <c r="K36" i="5"/>
  <c r="J36" i="5"/>
  <c r="F36" i="5"/>
  <c r="L35" i="5"/>
  <c r="K35" i="5"/>
  <c r="J35" i="5"/>
  <c r="F35" i="5"/>
  <c r="L34" i="5"/>
  <c r="J34" i="5"/>
  <c r="F34" i="5"/>
  <c r="L33" i="5"/>
  <c r="K33" i="5"/>
  <c r="J33" i="5"/>
  <c r="F33" i="5"/>
  <c r="L32" i="5"/>
  <c r="M32" i="5"/>
  <c r="K32" i="5"/>
  <c r="J32" i="5"/>
  <c r="F32" i="5"/>
  <c r="L31" i="5"/>
  <c r="K31" i="5"/>
  <c r="J31" i="5"/>
  <c r="F31" i="5"/>
  <c r="L30" i="5"/>
  <c r="K30" i="5"/>
  <c r="J30" i="5"/>
  <c r="F30" i="5"/>
  <c r="L29" i="5"/>
  <c r="J29" i="5"/>
  <c r="H29" i="5"/>
  <c r="K29" i="5"/>
  <c r="F29" i="5"/>
  <c r="L28" i="5"/>
  <c r="K28" i="5"/>
  <c r="J28" i="5"/>
  <c r="F28" i="5"/>
  <c r="L27" i="5"/>
  <c r="K27" i="5"/>
  <c r="J27" i="5"/>
  <c r="F27" i="5"/>
  <c r="L26" i="5"/>
  <c r="K26" i="5"/>
  <c r="J26" i="5"/>
  <c r="F26" i="5"/>
  <c r="L25" i="5"/>
  <c r="K25" i="5"/>
  <c r="J25" i="5"/>
  <c r="F25" i="5"/>
  <c r="L24" i="5"/>
  <c r="K24" i="5"/>
  <c r="J24" i="5"/>
  <c r="F24" i="5"/>
  <c r="L23" i="5"/>
  <c r="K23" i="5"/>
  <c r="J23" i="5"/>
  <c r="F23" i="5"/>
  <c r="L22" i="5"/>
  <c r="K22" i="5"/>
  <c r="J22" i="5"/>
  <c r="F22" i="5"/>
  <c r="L21" i="5"/>
  <c r="K21" i="5"/>
  <c r="J21" i="5"/>
  <c r="F21" i="5"/>
  <c r="L20" i="5"/>
  <c r="K20" i="5"/>
  <c r="J20" i="5"/>
  <c r="F20" i="5"/>
  <c r="L19" i="5"/>
  <c r="K19" i="5"/>
  <c r="J19" i="5"/>
  <c r="M19" i="5"/>
  <c r="F19" i="5"/>
  <c r="L18" i="5"/>
  <c r="K18" i="5"/>
  <c r="J18" i="5"/>
  <c r="F18" i="5"/>
  <c r="L17" i="5"/>
  <c r="K17" i="5"/>
  <c r="J17" i="5"/>
  <c r="M17" i="5"/>
  <c r="F17" i="5"/>
  <c r="L16" i="5"/>
  <c r="K16" i="5"/>
  <c r="J16" i="5"/>
  <c r="F16" i="5"/>
  <c r="L15" i="5"/>
  <c r="K15" i="5"/>
  <c r="J15" i="5"/>
  <c r="M15" i="5"/>
  <c r="F15" i="5"/>
  <c r="F12" i="5"/>
  <c r="F6" i="5"/>
  <c r="G6" i="5"/>
  <c r="B777" i="37"/>
  <c r="M16" i="5"/>
  <c r="J89" i="5"/>
  <c r="M39" i="5"/>
  <c r="M43" i="5"/>
  <c r="M73" i="5"/>
  <c r="M84" i="5"/>
  <c r="M28" i="5"/>
  <c r="M24" i="5"/>
  <c r="M54" i="5"/>
  <c r="M44" i="5"/>
  <c r="M47" i="5"/>
  <c r="M63" i="5"/>
  <c r="M50" i="5"/>
  <c r="M56" i="5"/>
  <c r="M58" i="5"/>
  <c r="M72" i="5"/>
  <c r="M61" i="5"/>
  <c r="M27" i="5"/>
  <c r="M55" i="5"/>
  <c r="M18" i="5"/>
  <c r="M29" i="5"/>
  <c r="M31" i="5"/>
  <c r="M33" i="5"/>
  <c r="M49" i="5"/>
  <c r="M51" i="5"/>
  <c r="M65" i="5"/>
  <c r="M20" i="5"/>
  <c r="M35" i="5"/>
  <c r="M57" i="5"/>
  <c r="M59" i="5"/>
  <c r="M67" i="5"/>
  <c r="M71" i="5"/>
  <c r="M74" i="5"/>
  <c r="M22" i="5"/>
  <c r="M36" i="5"/>
  <c r="M46" i="5"/>
  <c r="M69" i="5"/>
  <c r="M41" i="5"/>
  <c r="M48" i="5"/>
  <c r="M52" i="5"/>
  <c r="M70" i="5"/>
  <c r="M83" i="5"/>
  <c r="M21" i="5"/>
  <c r="M60" i="5"/>
  <c r="M68" i="5"/>
  <c r="M75" i="5"/>
  <c r="L85" i="5"/>
  <c r="M85" i="5"/>
  <c r="M25" i="5"/>
  <c r="M40" i="5"/>
  <c r="M42" i="5"/>
  <c r="M62" i="5"/>
  <c r="I88" i="5"/>
  <c r="L88" i="5"/>
  <c r="M88" i="5"/>
  <c r="L87" i="5"/>
  <c r="F64" i="5"/>
  <c r="J64" i="5"/>
  <c r="J6" i="5"/>
  <c r="L86" i="5"/>
  <c r="M86" i="5"/>
  <c r="K64" i="5"/>
  <c r="M30" i="5"/>
  <c r="M26" i="5"/>
  <c r="M23" i="5"/>
  <c r="B778" i="37"/>
  <c r="M87" i="5"/>
  <c r="M64" i="5"/>
  <c r="B779" i="37"/>
  <c r="L12" i="5"/>
  <c r="K12" i="5"/>
  <c r="B780" i="37"/>
  <c r="M102" i="5"/>
  <c r="H34" i="5"/>
  <c r="K34" i="5"/>
  <c r="M34" i="5"/>
  <c r="I82" i="5"/>
  <c r="L82" i="5"/>
  <c r="L91" i="5"/>
  <c r="B781" i="37"/>
  <c r="H89" i="5"/>
  <c r="K89" i="5"/>
  <c r="M89" i="5"/>
  <c r="H77" i="5"/>
  <c r="K77" i="5"/>
  <c r="M77" i="5"/>
  <c r="K6" i="5"/>
  <c r="M82" i="5"/>
  <c r="L6" i="5"/>
  <c r="B782" i="37"/>
  <c r="K91" i="5"/>
  <c r="B783" i="37"/>
  <c r="J12" i="5"/>
  <c r="B784" i="37"/>
  <c r="J91" i="5"/>
  <c r="L92" i="5"/>
  <c r="M12" i="5"/>
  <c r="B785" i="37"/>
  <c r="M91" i="5"/>
  <c r="M92" i="5"/>
  <c r="L95" i="5"/>
  <c r="M95" i="5"/>
  <c r="L96" i="5"/>
  <c r="M96" i="5"/>
  <c r="L98" i="5"/>
  <c r="M98" i="5"/>
  <c r="L97" i="5"/>
  <c r="L94" i="5"/>
  <c r="B786" i="37"/>
  <c r="M94" i="5"/>
  <c r="L100" i="5"/>
  <c r="N97" i="5"/>
  <c r="M97" i="5"/>
  <c r="B787" i="37"/>
  <c r="M100" i="5"/>
  <c r="L104" i="5"/>
  <c r="B788" i="37"/>
  <c r="N12" i="5"/>
  <c r="B789" i="37"/>
  <c r="H574" i="37"/>
  <c r="K574" i="37"/>
  <c r="B790" i="37"/>
  <c r="O574" i="37"/>
  <c r="N574" i="37"/>
  <c r="H332" i="37"/>
  <c r="H368" i="37"/>
  <c r="K368" i="37"/>
  <c r="H348" i="37"/>
  <c r="K348" i="37"/>
  <c r="H378" i="37"/>
  <c r="H342" i="37"/>
  <c r="K342" i="37"/>
  <c r="H538" i="37"/>
  <c r="H30" i="37"/>
  <c r="H418" i="37"/>
  <c r="H773" i="37"/>
  <c r="H162" i="37"/>
  <c r="H939" i="37"/>
  <c r="H550" i="37"/>
  <c r="H134" i="37"/>
  <c r="H396" i="37"/>
  <c r="H25" i="37"/>
  <c r="H400" i="37"/>
  <c r="H500" i="37"/>
  <c r="K500" i="37"/>
  <c r="H487" i="37"/>
  <c r="H495" i="37"/>
  <c r="K495" i="37"/>
  <c r="H490" i="37"/>
  <c r="K490" i="37"/>
  <c r="H177" i="37"/>
  <c r="H249" i="37"/>
  <c r="H335" i="37"/>
  <c r="H184" i="37"/>
  <c r="F303" i="49"/>
  <c r="G303" i="49"/>
  <c r="M303" i="49"/>
  <c r="H519" i="37"/>
  <c r="H897" i="37"/>
  <c r="K897" i="37"/>
  <c r="H307" i="37"/>
  <c r="H207" i="37"/>
  <c r="K207" i="37"/>
  <c r="H226" i="37"/>
  <c r="K226" i="37"/>
  <c r="H163" i="37"/>
  <c r="H121" i="37"/>
  <c r="H410" i="37"/>
  <c r="H191" i="37"/>
  <c r="H455" i="37"/>
  <c r="H431" i="37"/>
  <c r="H283" i="37"/>
  <c r="K283" i="37"/>
  <c r="H12" i="37"/>
  <c r="K12" i="37"/>
  <c r="H13" i="37"/>
  <c r="H703" i="37"/>
  <c r="H239" i="37"/>
  <c r="K239" i="37"/>
  <c r="H171" i="37"/>
  <c r="F284" i="49"/>
  <c r="G284" i="49"/>
  <c r="M284" i="49"/>
  <c r="H940" i="37"/>
  <c r="H388" i="37"/>
  <c r="H356" i="37"/>
  <c r="K356" i="37"/>
  <c r="H327" i="37"/>
  <c r="H238" i="37"/>
  <c r="F304" i="49"/>
  <c r="G304" i="49"/>
  <c r="M304" i="49"/>
  <c r="F279" i="49"/>
  <c r="G279" i="49"/>
  <c r="M279" i="49"/>
  <c r="H507" i="37"/>
  <c r="H779" i="37"/>
  <c r="H778" i="37"/>
  <c r="H774" i="37"/>
  <c r="H240" i="37"/>
  <c r="F307" i="49"/>
  <c r="G307" i="49"/>
  <c r="M307" i="49"/>
  <c r="H704" i="37"/>
  <c r="H757" i="37"/>
  <c r="H754" i="37"/>
  <c r="H578" i="37"/>
  <c r="K578" i="37"/>
  <c r="H579" i="37"/>
  <c r="K579" i="37"/>
  <c r="H577" i="37"/>
  <c r="K577" i="37"/>
  <c r="H576" i="37"/>
  <c r="K576" i="37"/>
  <c r="H561" i="37"/>
  <c r="K561" i="37"/>
  <c r="H575" i="37"/>
  <c r="K575" i="37"/>
  <c r="H564" i="37"/>
  <c r="K564" i="37"/>
  <c r="H563" i="37"/>
  <c r="K563" i="37"/>
  <c r="H562" i="37"/>
  <c r="K562" i="37"/>
  <c r="H560" i="37"/>
  <c r="K560" i="37"/>
  <c r="H762" i="37"/>
  <c r="K762" i="37"/>
  <c r="H479" i="37"/>
  <c r="B791" i="37"/>
  <c r="K559" i="37"/>
  <c r="O207" i="37"/>
  <c r="N207" i="37"/>
  <c r="F24" i="49"/>
  <c r="G24" i="49"/>
  <c r="M24" i="49"/>
  <c r="F150" i="49"/>
  <c r="G150" i="49"/>
  <c r="M150" i="49"/>
  <c r="F291" i="49"/>
  <c r="G291" i="49"/>
  <c r="M291" i="49"/>
  <c r="F277" i="49"/>
  <c r="G277" i="49"/>
  <c r="M277" i="49"/>
  <c r="F301" i="49"/>
  <c r="G301" i="49"/>
  <c r="M301" i="49"/>
  <c r="O762" i="37"/>
  <c r="N762" i="37"/>
  <c r="N560" i="37"/>
  <c r="O560" i="37"/>
  <c r="N562" i="37"/>
  <c r="O562" i="37"/>
  <c r="O563" i="37"/>
  <c r="N563" i="37"/>
  <c r="O564" i="37"/>
  <c r="N564" i="37"/>
  <c r="O575" i="37"/>
  <c r="N575" i="37"/>
  <c r="N561" i="37"/>
  <c r="O561" i="37"/>
  <c r="N576" i="37"/>
  <c r="O576" i="37"/>
  <c r="O577" i="37"/>
  <c r="N577" i="37"/>
  <c r="O579" i="37"/>
  <c r="N579" i="37"/>
  <c r="O578" i="37"/>
  <c r="N578" i="37"/>
  <c r="H504" i="37"/>
  <c r="K249" i="37"/>
  <c r="F289" i="49"/>
  <c r="G289" i="49"/>
  <c r="M289" i="49"/>
  <c r="N897" i="37"/>
  <c r="O897" i="37"/>
  <c r="K25" i="37"/>
  <c r="H453" i="37"/>
  <c r="H896" i="37"/>
  <c r="K896" i="37"/>
  <c r="H338" i="37"/>
  <c r="H365" i="37"/>
  <c r="K365" i="37"/>
  <c r="H412" i="37"/>
  <c r="H597" i="37"/>
  <c r="K597" i="37"/>
  <c r="H203" i="37"/>
  <c r="K203" i="37"/>
  <c r="H216" i="37"/>
  <c r="K216" i="37"/>
  <c r="E28" i="46"/>
  <c r="H306" i="37"/>
  <c r="K306" i="37"/>
  <c r="H152" i="37"/>
  <c r="K152" i="37"/>
  <c r="H126" i="37"/>
  <c r="F176" i="49"/>
  <c r="G176" i="49"/>
  <c r="M176" i="49"/>
  <c r="H483" i="37"/>
  <c r="H367" i="37"/>
  <c r="K367" i="37"/>
  <c r="H337" i="37"/>
  <c r="H836" i="37"/>
  <c r="H604" i="37"/>
  <c r="K604" i="37"/>
  <c r="H542" i="37"/>
  <c r="H206" i="37"/>
  <c r="K206" i="37"/>
  <c r="H222" i="37"/>
  <c r="K222" i="37"/>
  <c r="H158" i="37"/>
  <c r="K158" i="37"/>
  <c r="H438" i="37"/>
  <c r="K438" i="37"/>
  <c r="H403" i="37"/>
  <c r="H23" i="37"/>
  <c r="H454" i="37"/>
  <c r="H698" i="37"/>
  <c r="K101" i="37"/>
  <c r="H902" i="37"/>
  <c r="K902" i="37"/>
  <c r="H181" i="37"/>
  <c r="F49" i="49"/>
  <c r="G49" i="49"/>
  <c r="M49" i="49"/>
  <c r="H591" i="37"/>
  <c r="H435" i="37"/>
  <c r="H586" i="37"/>
  <c r="H536" i="37"/>
  <c r="F290" i="49"/>
  <c r="G290" i="49"/>
  <c r="M290" i="49"/>
  <c r="H497" i="37"/>
  <c r="K497" i="37"/>
  <c r="H484" i="37"/>
  <c r="H182" i="37"/>
  <c r="H204" i="37"/>
  <c r="K204" i="37"/>
  <c r="H223" i="37"/>
  <c r="K223" i="37"/>
  <c r="H159" i="37"/>
  <c r="H198" i="37"/>
  <c r="K198" i="37"/>
  <c r="H225" i="37"/>
  <c r="K225" i="37"/>
  <c r="H442" i="37"/>
  <c r="H161" i="37"/>
  <c r="K161" i="37"/>
  <c r="H133" i="37"/>
  <c r="H501" i="37"/>
  <c r="K501" i="37"/>
  <c r="H488" i="37"/>
  <c r="H496" i="37"/>
  <c r="K496" i="37"/>
  <c r="H344" i="37"/>
  <c r="K344" i="37"/>
  <c r="H372" i="37"/>
  <c r="K372" i="37"/>
  <c r="H387" i="37"/>
  <c r="H355" i="37"/>
  <c r="K355" i="37"/>
  <c r="H505" i="37"/>
  <c r="K505" i="37"/>
  <c r="H326" i="37"/>
  <c r="H176" i="37"/>
  <c r="H366" i="37"/>
  <c r="K366" i="37"/>
  <c r="H339" i="37"/>
  <c r="H834" i="37"/>
  <c r="F65" i="49"/>
  <c r="G65" i="49"/>
  <c r="M65" i="49"/>
  <c r="H169" i="37"/>
  <c r="F45" i="49"/>
  <c r="G45" i="49"/>
  <c r="M45" i="49"/>
  <c r="H437" i="37"/>
  <c r="K437" i="37"/>
  <c r="H898" i="37"/>
  <c r="K898" i="37"/>
  <c r="H753" i="37"/>
  <c r="H287" i="37"/>
  <c r="H933" i="37"/>
  <c r="K779" i="37"/>
  <c r="K550" i="37"/>
  <c r="K549" i="37"/>
  <c r="H749" i="37"/>
  <c r="H179" i="37"/>
  <c r="H716" i="37"/>
  <c r="H537" i="37"/>
  <c r="H351" i="37"/>
  <c r="K351" i="37"/>
  <c r="H325" i="37"/>
  <c r="H382" i="37"/>
  <c r="H446" i="37"/>
  <c r="H402" i="37"/>
  <c r="H188" i="37"/>
  <c r="F19" i="49"/>
  <c r="G19" i="49"/>
  <c r="M19" i="49"/>
  <c r="F136" i="49"/>
  <c r="G136" i="49"/>
  <c r="M136" i="49"/>
  <c r="K13" i="37"/>
  <c r="K410" i="37"/>
  <c r="H752" i="37"/>
  <c r="H761" i="37"/>
  <c r="H837" i="37"/>
  <c r="H15" i="37"/>
  <c r="H24" i="37"/>
  <c r="K24" i="37"/>
  <c r="H32" i="37"/>
  <c r="K32" i="37"/>
  <c r="H371" i="37"/>
  <c r="H945" i="37"/>
  <c r="H93" i="37"/>
  <c r="K93" i="37"/>
  <c r="H60" i="37"/>
  <c r="K60" i="37"/>
  <c r="H42" i="37"/>
  <c r="K42" i="37"/>
  <c r="H447" i="37"/>
  <c r="F188" i="49"/>
  <c r="G188" i="49"/>
  <c r="M188" i="49"/>
  <c r="H771" i="37"/>
  <c r="H480" i="37"/>
  <c r="H208" i="37"/>
  <c r="K208" i="37"/>
  <c r="H221" i="37"/>
  <c r="K221" i="37"/>
  <c r="H508" i="37"/>
  <c r="K508" i="37"/>
  <c r="H439" i="37"/>
  <c r="K439" i="37"/>
  <c r="H157" i="37"/>
  <c r="H772" i="37"/>
  <c r="K507" i="37"/>
  <c r="K519" i="37"/>
  <c r="K177" i="37"/>
  <c r="K939" i="37"/>
  <c r="H183" i="37"/>
  <c r="H373" i="37"/>
  <c r="H706" i="37"/>
  <c r="H531" i="37"/>
  <c r="H44" i="37"/>
  <c r="K44" i="37"/>
  <c r="H756" i="37"/>
  <c r="K756" i="37"/>
  <c r="H845" i="37"/>
  <c r="H895" i="37"/>
  <c r="K895" i="37"/>
  <c r="H588" i="37"/>
  <c r="H593" i="37"/>
  <c r="H715" i="37"/>
  <c r="F94" i="49"/>
  <c r="G94" i="49"/>
  <c r="M94" i="49"/>
  <c r="H498" i="37"/>
  <c r="K498" i="37"/>
  <c r="F202" i="49"/>
  <c r="G202" i="49"/>
  <c r="M202" i="49"/>
  <c r="H14" i="37"/>
  <c r="H516" i="37"/>
  <c r="K516" i="37"/>
  <c r="H69" i="37"/>
  <c r="H286" i="37"/>
  <c r="H506" i="37"/>
  <c r="H92" i="37"/>
  <c r="K92" i="37"/>
  <c r="H125" i="37"/>
  <c r="K125" i="37"/>
  <c r="H31" i="37"/>
  <c r="H59" i="37"/>
  <c r="H699" i="37"/>
  <c r="H937" i="37"/>
  <c r="K937" i="37"/>
  <c r="H846" i="37"/>
  <c r="H482" i="37"/>
  <c r="H701" i="37"/>
  <c r="H893" i="37"/>
  <c r="K893" i="37"/>
  <c r="H522" i="37"/>
  <c r="H913" i="37"/>
  <c r="F39" i="49"/>
  <c r="G39" i="49"/>
  <c r="M39" i="49"/>
  <c r="H370" i="37"/>
  <c r="K370" i="37"/>
  <c r="H343" i="37"/>
  <c r="H189" i="37"/>
  <c r="K189" i="37"/>
  <c r="H145" i="37"/>
  <c r="H215" i="37"/>
  <c r="K215" i="37"/>
  <c r="H193" i="37"/>
  <c r="F23" i="49"/>
  <c r="G23" i="49"/>
  <c r="M23" i="49"/>
  <c r="H714" i="37"/>
  <c r="F33" i="49"/>
  <c r="G33" i="49"/>
  <c r="M33" i="49"/>
  <c r="H527" i="37"/>
  <c r="H521" i="37"/>
  <c r="H118" i="37"/>
  <c r="F25" i="49"/>
  <c r="G25" i="49"/>
  <c r="M25" i="49"/>
  <c r="H599" i="37"/>
  <c r="H763" i="37"/>
  <c r="K763" i="37"/>
  <c r="H529" i="37"/>
  <c r="K479" i="37"/>
  <c r="H430" i="37"/>
  <c r="K940" i="37"/>
  <c r="K30" i="37"/>
  <c r="H590" i="37"/>
  <c r="H936" i="37"/>
  <c r="H751" i="37"/>
  <c r="H180" i="37"/>
  <c r="H702" i="37"/>
  <c r="H336" i="37"/>
  <c r="H711" i="37"/>
  <c r="K711" i="37"/>
  <c r="H436" i="37"/>
  <c r="K436" i="37"/>
  <c r="H172" i="37"/>
  <c r="H532" i="37"/>
  <c r="H352" i="37"/>
  <c r="H379" i="37"/>
  <c r="H374" i="37"/>
  <c r="K374" i="37"/>
  <c r="H530" i="37"/>
  <c r="F11" i="49"/>
  <c r="G11" i="49"/>
  <c r="M11" i="49"/>
  <c r="H587" i="37"/>
  <c r="K587" i="37"/>
  <c r="H485" i="37"/>
  <c r="H413" i="37"/>
  <c r="H764" i="37"/>
  <c r="H517" i="37"/>
  <c r="H912" i="37"/>
  <c r="H700" i="37"/>
  <c r="H707" i="37"/>
  <c r="K707" i="37"/>
  <c r="F285" i="49"/>
  <c r="G285" i="49"/>
  <c r="M285" i="49"/>
  <c r="F286" i="49"/>
  <c r="G286" i="49"/>
  <c r="M286" i="49"/>
  <c r="K704" i="37"/>
  <c r="N283" i="37"/>
  <c r="O283" i="37"/>
  <c r="K121" i="37"/>
  <c r="F32" i="49"/>
  <c r="G32" i="49"/>
  <c r="M32" i="49"/>
  <c r="H755" i="37"/>
  <c r="H190" i="37"/>
  <c r="K190" i="37"/>
  <c r="H147" i="37"/>
  <c r="H369" i="37"/>
  <c r="K369" i="37"/>
  <c r="H341" i="37"/>
  <c r="H602" i="37"/>
  <c r="K602" i="37"/>
  <c r="H712" i="37"/>
  <c r="K712" i="37"/>
  <c r="F293" i="49"/>
  <c r="G293" i="49"/>
  <c r="M293" i="49"/>
  <c r="H600" i="37"/>
  <c r="K600" i="37"/>
  <c r="H709" i="37"/>
  <c r="K709" i="37"/>
  <c r="H170" i="37"/>
  <c r="H541" i="37"/>
  <c r="H401" i="37"/>
  <c r="H848" i="37"/>
  <c r="H759" i="37"/>
  <c r="H946" i="37"/>
  <c r="H705" i="37"/>
  <c r="K705" i="37"/>
  <c r="H589" i="37"/>
  <c r="H533" i="37"/>
  <c r="H117" i="37"/>
  <c r="K117" i="37"/>
  <c r="H441" i="37"/>
  <c r="H258" i="37"/>
  <c r="K258" i="37"/>
  <c r="H217" i="37"/>
  <c r="K217" i="37"/>
  <c r="H96" i="37"/>
  <c r="K96" i="37"/>
  <c r="H199" i="37"/>
  <c r="K199" i="37"/>
  <c r="H153" i="37"/>
  <c r="K153" i="37"/>
  <c r="H63" i="37"/>
  <c r="H45" i="37"/>
  <c r="K45" i="37"/>
  <c r="H127" i="37"/>
  <c r="K127" i="37"/>
  <c r="H534" i="37"/>
  <c r="H499" i="37"/>
  <c r="K499" i="37"/>
  <c r="H494" i="37"/>
  <c r="K494" i="37"/>
  <c r="H491" i="37"/>
  <c r="K491" i="37"/>
  <c r="H520" i="37"/>
  <c r="H444" i="37"/>
  <c r="H594" i="37"/>
  <c r="K594" i="37"/>
  <c r="H838" i="37"/>
  <c r="H250" i="37"/>
  <c r="K250" i="37"/>
  <c r="H200" i="37"/>
  <c r="K200" i="37"/>
  <c r="H218" i="37"/>
  <c r="K218" i="37"/>
  <c r="H154" i="37"/>
  <c r="K154" i="37"/>
  <c r="H128" i="37"/>
  <c r="H539" i="37"/>
  <c r="K539" i="37"/>
  <c r="H493" i="37"/>
  <c r="K493" i="37"/>
  <c r="H486" i="37"/>
  <c r="H901" i="37"/>
  <c r="K901" i="37"/>
  <c r="H514" i="37"/>
  <c r="H201" i="37"/>
  <c r="K201" i="37"/>
  <c r="H219" i="37"/>
  <c r="K219" i="37"/>
  <c r="H155" i="37"/>
  <c r="K155" i="37"/>
  <c r="H129" i="37"/>
  <c r="H329" i="37"/>
  <c r="H354" i="37"/>
  <c r="K354" i="37"/>
  <c r="H386" i="37"/>
  <c r="H931" i="37"/>
  <c r="H33" i="37"/>
  <c r="H947" i="37"/>
  <c r="K947" i="37"/>
  <c r="H935" i="37"/>
  <c r="H900" i="37"/>
  <c r="K900" i="37"/>
  <c r="H832" i="37"/>
  <c r="H528" i="37"/>
  <c r="H515" i="37"/>
  <c r="H932" i="37"/>
  <c r="F164" i="49"/>
  <c r="G164" i="49"/>
  <c r="M164" i="49"/>
  <c r="H934" i="37"/>
  <c r="H346" i="37"/>
  <c r="K346" i="37"/>
  <c r="H330" i="37"/>
  <c r="F128" i="49"/>
  <c r="G128" i="49"/>
  <c r="M128" i="49"/>
  <c r="H376" i="37"/>
  <c r="H178" i="37"/>
  <c r="H938" i="37"/>
  <c r="H445" i="37"/>
  <c r="H205" i="37"/>
  <c r="K205" i="37"/>
  <c r="H224" i="37"/>
  <c r="K224" i="37"/>
  <c r="H440" i="37"/>
  <c r="K440" i="37"/>
  <c r="H160" i="37"/>
  <c r="H535" i="37"/>
  <c r="K535" i="37"/>
  <c r="H833" i="37"/>
  <c r="H347" i="37"/>
  <c r="K347" i="37"/>
  <c r="H377" i="37"/>
  <c r="K377" i="37"/>
  <c r="H331" i="37"/>
  <c r="K191" i="37"/>
  <c r="H598" i="37"/>
  <c r="K598" i="37"/>
  <c r="H584" i="37"/>
  <c r="H419" i="37"/>
  <c r="K419" i="37"/>
  <c r="H411" i="37"/>
  <c r="F35" i="49"/>
  <c r="G35" i="49"/>
  <c r="M35" i="49"/>
  <c r="H776" i="37"/>
  <c r="H770" i="37"/>
  <c r="H824" i="37"/>
  <c r="H315" i="37"/>
  <c r="H750" i="37"/>
  <c r="H775" i="37"/>
  <c r="K775" i="37"/>
  <c r="H760" i="37"/>
  <c r="H585" i="37"/>
  <c r="K585" i="37"/>
  <c r="H894" i="37"/>
  <c r="K894" i="37"/>
  <c r="H855" i="37"/>
  <c r="H710" i="37"/>
  <c r="K710" i="37"/>
  <c r="H443" i="37"/>
  <c r="H540" i="37"/>
  <c r="H543" i="37"/>
  <c r="H777" i="37"/>
  <c r="H43" i="37"/>
  <c r="K43" i="37"/>
  <c r="H481" i="37"/>
  <c r="F203" i="49"/>
  <c r="G203" i="49"/>
  <c r="M203" i="49"/>
  <c r="H708" i="37"/>
  <c r="K708" i="37"/>
  <c r="K171" i="37"/>
  <c r="K162" i="37"/>
  <c r="K538" i="37"/>
  <c r="H270" i="37"/>
  <c r="K270" i="37"/>
  <c r="H56" i="37"/>
  <c r="K56" i="37"/>
  <c r="H40" i="37"/>
  <c r="H835" i="37"/>
  <c r="K431" i="37"/>
  <c r="F210" i="49"/>
  <c r="G210" i="49"/>
  <c r="M210" i="49"/>
  <c r="K163" i="37"/>
  <c r="O490" i="37"/>
  <c r="N490" i="37"/>
  <c r="K134" i="37"/>
  <c r="H409" i="37"/>
  <c r="H340" i="37"/>
  <c r="H601" i="37"/>
  <c r="K601" i="37"/>
  <c r="O239" i="37"/>
  <c r="N239" i="37"/>
  <c r="K184" i="37"/>
  <c r="O495" i="37"/>
  <c r="N495" i="37"/>
  <c r="K773" i="37"/>
  <c r="H899" i="37"/>
  <c r="K899" i="37"/>
  <c r="F280" i="49"/>
  <c r="G280" i="49"/>
  <c r="M280" i="49"/>
  <c r="H91" i="37"/>
  <c r="K91" i="37"/>
  <c r="H255" i="37"/>
  <c r="K255" i="37"/>
  <c r="H192" i="37"/>
  <c r="K192" i="37"/>
  <c r="H271" i="37"/>
  <c r="K271" i="37"/>
  <c r="K41" i="37"/>
  <c r="H124" i="37"/>
  <c r="K124" i="37"/>
  <c r="K240" i="37"/>
  <c r="K238" i="37"/>
  <c r="O226" i="37"/>
  <c r="N226" i="37"/>
  <c r="K487" i="37"/>
  <c r="F195" i="49"/>
  <c r="G195" i="49"/>
  <c r="M195" i="49"/>
  <c r="O342" i="37"/>
  <c r="N342" i="37"/>
  <c r="K774" i="37"/>
  <c r="K455" i="37"/>
  <c r="E48" i="46"/>
  <c r="O500" i="37"/>
  <c r="N500" i="37"/>
  <c r="H596" i="37"/>
  <c r="K596" i="37"/>
  <c r="H713" i="37"/>
  <c r="K754" i="37"/>
  <c r="K327" i="37"/>
  <c r="K703" i="37"/>
  <c r="K307" i="37"/>
  <c r="K418" i="37"/>
  <c r="O348" i="37"/>
  <c r="N348" i="37"/>
  <c r="H595" i="37"/>
  <c r="K595" i="37"/>
  <c r="K778" i="37"/>
  <c r="O356" i="37"/>
  <c r="N356" i="37"/>
  <c r="N368" i="37"/>
  <c r="O368" i="37"/>
  <c r="H94" i="37"/>
  <c r="K94" i="37"/>
  <c r="H256" i="37"/>
  <c r="K256" i="37"/>
  <c r="H61" i="37"/>
  <c r="F14" i="49"/>
  <c r="G14" i="49"/>
  <c r="M14" i="49"/>
  <c r="H272" i="37"/>
  <c r="K272" i="37"/>
  <c r="H202" i="37"/>
  <c r="K202" i="37"/>
  <c r="H95" i="37"/>
  <c r="K95" i="37"/>
  <c r="H257" i="37"/>
  <c r="K257" i="37"/>
  <c r="H220" i="37"/>
  <c r="K220" i="37"/>
  <c r="H156" i="37"/>
  <c r="K156" i="37"/>
  <c r="H130" i="37"/>
  <c r="K130" i="37"/>
  <c r="H592" i="37"/>
  <c r="K592" i="37"/>
  <c r="K757" i="37"/>
  <c r="K335" i="37"/>
  <c r="F143" i="49"/>
  <c r="G143" i="49"/>
  <c r="M143" i="49"/>
  <c r="K332" i="37"/>
  <c r="B792" i="37"/>
  <c r="K891" i="37"/>
  <c r="K213" i="37"/>
  <c r="E27" i="46"/>
  <c r="K299" i="37"/>
  <c r="O202" i="37"/>
  <c r="N202" i="37"/>
  <c r="O189" i="37"/>
  <c r="N189" i="37"/>
  <c r="N206" i="37"/>
  <c r="O206" i="37"/>
  <c r="N192" i="37"/>
  <c r="O192" i="37"/>
  <c r="N204" i="37"/>
  <c r="O204" i="37"/>
  <c r="O190" i="37"/>
  <c r="N190" i="37"/>
  <c r="N208" i="37"/>
  <c r="O208" i="37"/>
  <c r="O191" i="37"/>
  <c r="N191" i="37"/>
  <c r="N200" i="37"/>
  <c r="O200" i="37"/>
  <c r="O199" i="37"/>
  <c r="N199" i="37"/>
  <c r="O205" i="37"/>
  <c r="N205" i="37"/>
  <c r="O201" i="37"/>
  <c r="N201" i="37"/>
  <c r="O198" i="37"/>
  <c r="N198" i="37"/>
  <c r="O203" i="37"/>
  <c r="N203" i="37"/>
  <c r="K269" i="37"/>
  <c r="K89" i="37"/>
  <c r="E14" i="46"/>
  <c r="O559" i="37"/>
  <c r="N559" i="37"/>
  <c r="K254" i="37"/>
  <c r="K248" i="37"/>
  <c r="K237" i="37"/>
  <c r="F272" i="49"/>
  <c r="G272" i="49"/>
  <c r="M272" i="49"/>
  <c r="F297" i="49"/>
  <c r="G297" i="49"/>
  <c r="M297" i="49"/>
  <c r="F20" i="49"/>
  <c r="G20" i="49"/>
  <c r="M20" i="49"/>
  <c r="K40" i="37"/>
  <c r="K37" i="37"/>
  <c r="F22" i="49"/>
  <c r="G22" i="49"/>
  <c r="M22" i="49"/>
  <c r="F306" i="49"/>
  <c r="G306" i="49"/>
  <c r="M306" i="49"/>
  <c r="F294" i="49"/>
  <c r="G294" i="49"/>
  <c r="M294" i="49"/>
  <c r="F281" i="49"/>
  <c r="G281" i="49"/>
  <c r="M281" i="49"/>
  <c r="F282" i="49"/>
  <c r="G282" i="49"/>
  <c r="M282" i="49"/>
  <c r="F275" i="49"/>
  <c r="G275" i="49"/>
  <c r="M275" i="49"/>
  <c r="F288" i="49"/>
  <c r="G288" i="49"/>
  <c r="M288" i="49"/>
  <c r="F122" i="49"/>
  <c r="G122" i="49"/>
  <c r="M122" i="49"/>
  <c r="F8" i="49"/>
  <c r="G8" i="49"/>
  <c r="M8" i="49"/>
  <c r="F214" i="49"/>
  <c r="G214" i="49"/>
  <c r="M214" i="49"/>
  <c r="F180" i="49"/>
  <c r="G180" i="49"/>
  <c r="M180" i="49"/>
  <c r="F204" i="49"/>
  <c r="G204" i="49"/>
  <c r="M204" i="49"/>
  <c r="F27" i="49"/>
  <c r="G27" i="49"/>
  <c r="M27" i="49"/>
  <c r="F125" i="49"/>
  <c r="G125" i="49"/>
  <c r="M125" i="49"/>
  <c r="F81" i="49"/>
  <c r="G81" i="49"/>
  <c r="M81" i="49"/>
  <c r="F254" i="49"/>
  <c r="G254" i="49"/>
  <c r="M254" i="49"/>
  <c r="F252" i="49"/>
  <c r="G252" i="49"/>
  <c r="M252" i="49"/>
  <c r="F162" i="49"/>
  <c r="G162" i="49"/>
  <c r="M162" i="49"/>
  <c r="F149" i="49"/>
  <c r="G149" i="49"/>
  <c r="M149" i="49"/>
  <c r="F212" i="49"/>
  <c r="G212" i="49"/>
  <c r="M212" i="49"/>
  <c r="F269" i="49"/>
  <c r="G269" i="49"/>
  <c r="M269" i="49"/>
  <c r="F110" i="49"/>
  <c r="G110" i="49"/>
  <c r="M110" i="49"/>
  <c r="F177" i="49"/>
  <c r="G177" i="49"/>
  <c r="M177" i="49"/>
  <c r="F179" i="49"/>
  <c r="G179" i="49"/>
  <c r="M179" i="49"/>
  <c r="F83" i="49"/>
  <c r="G83" i="49"/>
  <c r="M83" i="49"/>
  <c r="F181" i="49"/>
  <c r="G181" i="49"/>
  <c r="M181" i="49"/>
  <c r="F114" i="49"/>
  <c r="G114" i="49"/>
  <c r="M114" i="49"/>
  <c r="F59" i="49"/>
  <c r="G59" i="49"/>
  <c r="M59" i="49"/>
  <c r="F186" i="49"/>
  <c r="G186" i="49"/>
  <c r="M186" i="49"/>
  <c r="F241" i="49"/>
  <c r="G241" i="49"/>
  <c r="M241" i="49"/>
  <c r="F213" i="49"/>
  <c r="G213" i="49"/>
  <c r="M213" i="49"/>
  <c r="F130" i="49"/>
  <c r="G130" i="49"/>
  <c r="M130" i="49"/>
  <c r="F259" i="49"/>
  <c r="G259" i="49"/>
  <c r="M259" i="49"/>
  <c r="F53" i="49"/>
  <c r="G53" i="49"/>
  <c r="M53" i="49"/>
  <c r="F129" i="49"/>
  <c r="G129" i="49"/>
  <c r="M129" i="49"/>
  <c r="F265" i="49"/>
  <c r="G265" i="49"/>
  <c r="M265" i="49"/>
  <c r="F283" i="49"/>
  <c r="G283" i="49"/>
  <c r="M283" i="49"/>
  <c r="F268" i="49"/>
  <c r="G268" i="49"/>
  <c r="M268" i="49"/>
  <c r="F287" i="49"/>
  <c r="G287" i="49"/>
  <c r="M287" i="49"/>
  <c r="F278" i="49"/>
  <c r="G278" i="49"/>
  <c r="M278" i="49"/>
  <c r="F302" i="49"/>
  <c r="G302" i="49"/>
  <c r="M302" i="49"/>
  <c r="F270" i="49"/>
  <c r="G270" i="49"/>
  <c r="M270" i="49"/>
  <c r="F292" i="49"/>
  <c r="G292" i="49"/>
  <c r="M292" i="49"/>
  <c r="F273" i="49"/>
  <c r="G273" i="49"/>
  <c r="M273" i="49"/>
  <c r="F296" i="49"/>
  <c r="G296" i="49"/>
  <c r="M296" i="49"/>
  <c r="N419" i="37"/>
  <c r="O419" i="37"/>
  <c r="K181" i="37"/>
  <c r="K453" i="37"/>
  <c r="F36" i="49"/>
  <c r="G36" i="49"/>
  <c r="M36" i="49"/>
  <c r="O91" i="37"/>
  <c r="N91" i="37"/>
  <c r="O171" i="37"/>
  <c r="N171" i="37"/>
  <c r="O156" i="37"/>
  <c r="N156" i="37"/>
  <c r="F255" i="49"/>
  <c r="G255" i="49"/>
  <c r="M255" i="49"/>
  <c r="N377" i="37"/>
  <c r="O377" i="37"/>
  <c r="F250" i="49"/>
  <c r="G250" i="49"/>
  <c r="M250" i="49"/>
  <c r="N711" i="37"/>
  <c r="O711" i="37"/>
  <c r="N898" i="37"/>
  <c r="O898" i="37"/>
  <c r="O774" i="37"/>
  <c r="N774" i="37"/>
  <c r="F246" i="49"/>
  <c r="G246" i="49"/>
  <c r="M246" i="49"/>
  <c r="K935" i="37"/>
  <c r="K759" i="37"/>
  <c r="F70" i="49"/>
  <c r="G70" i="49"/>
  <c r="M70" i="49"/>
  <c r="F155" i="49"/>
  <c r="G155" i="49"/>
  <c r="M155" i="49"/>
  <c r="K846" i="37"/>
  <c r="F264" i="49"/>
  <c r="G264" i="49"/>
  <c r="M264" i="49"/>
  <c r="N757" i="37"/>
  <c r="O757" i="37"/>
  <c r="O220" i="37"/>
  <c r="N220" i="37"/>
  <c r="O327" i="37"/>
  <c r="N327" i="37"/>
  <c r="O240" i="37"/>
  <c r="N240" i="37"/>
  <c r="F249" i="49"/>
  <c r="G249" i="49"/>
  <c r="M249" i="49"/>
  <c r="F64" i="49"/>
  <c r="G64" i="49"/>
  <c r="M64" i="49"/>
  <c r="K750" i="37"/>
  <c r="N154" i="37"/>
  <c r="O154" i="37"/>
  <c r="F166" i="49"/>
  <c r="G166" i="49"/>
  <c r="M166" i="49"/>
  <c r="O709" i="37"/>
  <c r="N709" i="37"/>
  <c r="O121" i="37"/>
  <c r="N121" i="37"/>
  <c r="K485" i="37"/>
  <c r="F193" i="49"/>
  <c r="G193" i="49"/>
  <c r="M193" i="49"/>
  <c r="K936" i="37"/>
  <c r="F171" i="49"/>
  <c r="G171" i="49"/>
  <c r="M171" i="49"/>
  <c r="K599" i="37"/>
  <c r="F72" i="49"/>
  <c r="G72" i="49"/>
  <c r="M72" i="49"/>
  <c r="K714" i="37"/>
  <c r="O937" i="37"/>
  <c r="N937" i="37"/>
  <c r="N125" i="37"/>
  <c r="O125" i="37"/>
  <c r="F228" i="49"/>
  <c r="G228" i="49"/>
  <c r="M228" i="49"/>
  <c r="K706" i="37"/>
  <c r="N519" i="37"/>
  <c r="O519" i="37"/>
  <c r="F96" i="49"/>
  <c r="G96" i="49"/>
  <c r="M96" i="49"/>
  <c r="O505" i="37"/>
  <c r="N505" i="37"/>
  <c r="F189" i="49"/>
  <c r="G189" i="49"/>
  <c r="M189" i="49"/>
  <c r="K488" i="37"/>
  <c r="F205" i="49"/>
  <c r="G205" i="49"/>
  <c r="M205" i="49"/>
  <c r="K159" i="37"/>
  <c r="K454" i="37"/>
  <c r="N454" i="37"/>
  <c r="F37" i="49"/>
  <c r="G37" i="49"/>
  <c r="M37" i="49"/>
  <c r="K412" i="37"/>
  <c r="F28" i="49"/>
  <c r="G28" i="49"/>
  <c r="M28" i="49"/>
  <c r="O25" i="37"/>
  <c r="N25" i="37"/>
  <c r="K330" i="37"/>
  <c r="F121" i="49"/>
  <c r="G121" i="49"/>
  <c r="M121" i="49"/>
  <c r="F86" i="49"/>
  <c r="G86" i="49"/>
  <c r="M86" i="49"/>
  <c r="F145" i="49"/>
  <c r="G145" i="49"/>
  <c r="M145" i="49"/>
  <c r="K129" i="37"/>
  <c r="N707" i="37"/>
  <c r="O707" i="37"/>
  <c r="F139" i="49"/>
  <c r="G139" i="49"/>
  <c r="M139" i="49"/>
  <c r="K14" i="37"/>
  <c r="O177" i="37"/>
  <c r="N177" i="37"/>
  <c r="F58" i="49"/>
  <c r="G58" i="49"/>
  <c r="M58" i="49"/>
  <c r="O899" i="37"/>
  <c r="N899" i="37"/>
  <c r="N155" i="37"/>
  <c r="O155" i="37"/>
  <c r="N602" i="37"/>
  <c r="O602" i="37"/>
  <c r="F147" i="49"/>
  <c r="G147" i="49"/>
  <c r="M147" i="49"/>
  <c r="K537" i="37"/>
  <c r="K543" i="37"/>
  <c r="F7" i="49"/>
  <c r="G7" i="49"/>
  <c r="M7" i="49"/>
  <c r="K855" i="37"/>
  <c r="F225" i="49"/>
  <c r="G225" i="49"/>
  <c r="M225" i="49"/>
  <c r="K584" i="37"/>
  <c r="F152" i="49"/>
  <c r="G152" i="49"/>
  <c r="M152" i="49"/>
  <c r="F247" i="49"/>
  <c r="G247" i="49"/>
  <c r="M247" i="49"/>
  <c r="K833" i="37"/>
  <c r="F160" i="49"/>
  <c r="G160" i="49"/>
  <c r="M160" i="49"/>
  <c r="N947" i="37"/>
  <c r="O947" i="37"/>
  <c r="O219" i="37"/>
  <c r="N219" i="37"/>
  <c r="F245" i="49"/>
  <c r="G245" i="49"/>
  <c r="M245" i="49"/>
  <c r="N127" i="37"/>
  <c r="O127" i="37"/>
  <c r="F244" i="49"/>
  <c r="G244" i="49"/>
  <c r="M244" i="49"/>
  <c r="K848" i="37"/>
  <c r="F138" i="49"/>
  <c r="G138" i="49"/>
  <c r="M138" i="49"/>
  <c r="K341" i="37"/>
  <c r="O374" i="37"/>
  <c r="N374" i="37"/>
  <c r="F115" i="49"/>
  <c r="G115" i="49"/>
  <c r="M115" i="49"/>
  <c r="K336" i="37"/>
  <c r="F73" i="49"/>
  <c r="G73" i="49"/>
  <c r="M73" i="49"/>
  <c r="K590" i="37"/>
  <c r="F78" i="49"/>
  <c r="G78" i="49"/>
  <c r="M78" i="49"/>
  <c r="O92" i="37"/>
  <c r="N92" i="37"/>
  <c r="O508" i="37"/>
  <c r="N508" i="37"/>
  <c r="F10" i="49"/>
  <c r="G10" i="49"/>
  <c r="M10" i="49"/>
  <c r="F79" i="49"/>
  <c r="G79" i="49"/>
  <c r="M79" i="49"/>
  <c r="F107" i="49"/>
  <c r="G107" i="49"/>
  <c r="M107" i="49"/>
  <c r="K933" i="37"/>
  <c r="F237" i="49"/>
  <c r="G237" i="49"/>
  <c r="M237" i="49"/>
  <c r="K834" i="37"/>
  <c r="N355" i="37"/>
  <c r="O355" i="37"/>
  <c r="O501" i="37"/>
  <c r="N501" i="37"/>
  <c r="O223" i="37"/>
  <c r="N223" i="37"/>
  <c r="N902" i="37"/>
  <c r="O902" i="37"/>
  <c r="F163" i="49"/>
  <c r="G163" i="49"/>
  <c r="M163" i="49"/>
  <c r="K23" i="37"/>
  <c r="K21" i="37"/>
  <c r="F234" i="49"/>
  <c r="G234" i="49"/>
  <c r="M234" i="49"/>
  <c r="F169" i="49"/>
  <c r="G169" i="49"/>
  <c r="M169" i="49"/>
  <c r="K126" i="37"/>
  <c r="N256" i="37"/>
  <c r="O256" i="37"/>
  <c r="F29" i="49"/>
  <c r="G29" i="49"/>
  <c r="M29" i="49"/>
  <c r="K411" i="37"/>
  <c r="F233" i="49"/>
  <c r="G233" i="49"/>
  <c r="M233" i="49"/>
  <c r="K31" i="37"/>
  <c r="F17" i="49"/>
  <c r="G17" i="49"/>
  <c r="M17" i="49"/>
  <c r="O351" i="37"/>
  <c r="N351" i="37"/>
  <c r="O597" i="37"/>
  <c r="N597" i="37"/>
  <c r="O332" i="37"/>
  <c r="N332" i="37"/>
  <c r="F91" i="49"/>
  <c r="G91" i="49"/>
  <c r="M91" i="49"/>
  <c r="K777" i="37"/>
  <c r="N347" i="37"/>
  <c r="O347" i="37"/>
  <c r="F170" i="49"/>
  <c r="G170" i="49"/>
  <c r="M170" i="49"/>
  <c r="F103" i="49"/>
  <c r="G103" i="49"/>
  <c r="M103" i="49"/>
  <c r="K588" i="37"/>
  <c r="N779" i="37"/>
  <c r="O779" i="37"/>
  <c r="O124" i="37"/>
  <c r="N124" i="37"/>
  <c r="F123" i="49"/>
  <c r="G123" i="49"/>
  <c r="M123" i="49"/>
  <c r="K340" i="37"/>
  <c r="O538" i="37"/>
  <c r="N538" i="37"/>
  <c r="O894" i="37"/>
  <c r="N894" i="37"/>
  <c r="F271" i="49"/>
  <c r="G271" i="49"/>
  <c r="M271" i="49"/>
  <c r="K315" i="37"/>
  <c r="K312" i="37"/>
  <c r="F157" i="49"/>
  <c r="G157" i="49"/>
  <c r="M157" i="49"/>
  <c r="K932" i="37"/>
  <c r="K33" i="37"/>
  <c r="F183" i="49"/>
  <c r="G183" i="49"/>
  <c r="M183" i="49"/>
  <c r="N218" i="37"/>
  <c r="O218" i="37"/>
  <c r="F142" i="49"/>
  <c r="G142" i="49"/>
  <c r="M142" i="49"/>
  <c r="K533" i="37"/>
  <c r="F4" i="49"/>
  <c r="G4" i="49"/>
  <c r="M4" i="49"/>
  <c r="N600" i="37"/>
  <c r="O600" i="37"/>
  <c r="N369" i="37"/>
  <c r="O369" i="37"/>
  <c r="F106" i="49"/>
  <c r="G106" i="49"/>
  <c r="M106" i="49"/>
  <c r="K700" i="37"/>
  <c r="F51" i="49"/>
  <c r="G51" i="49"/>
  <c r="M51" i="49"/>
  <c r="K522" i="37"/>
  <c r="F218" i="49"/>
  <c r="G218" i="49"/>
  <c r="M218" i="49"/>
  <c r="F127" i="49"/>
  <c r="G127" i="49"/>
  <c r="M127" i="49"/>
  <c r="K506" i="37"/>
  <c r="F113" i="49"/>
  <c r="G113" i="49"/>
  <c r="M113" i="49"/>
  <c r="K373" i="37"/>
  <c r="N12" i="37"/>
  <c r="O12" i="37"/>
  <c r="N221" i="37"/>
  <c r="O221" i="37"/>
  <c r="N60" i="37"/>
  <c r="O60" i="37"/>
  <c r="F223" i="49"/>
  <c r="G223" i="49"/>
  <c r="M223" i="49"/>
  <c r="K837" i="37"/>
  <c r="N437" i="37"/>
  <c r="O437" i="37"/>
  <c r="K536" i="37"/>
  <c r="F168" i="49"/>
  <c r="G168" i="49"/>
  <c r="M168" i="49"/>
  <c r="F262" i="49"/>
  <c r="G262" i="49"/>
  <c r="M262" i="49"/>
  <c r="N604" i="37"/>
  <c r="O604" i="37"/>
  <c r="O152" i="37"/>
  <c r="N152" i="37"/>
  <c r="F226" i="49"/>
  <c r="G226" i="49"/>
  <c r="M226" i="49"/>
  <c r="F258" i="49"/>
  <c r="G258" i="49"/>
  <c r="M258" i="49"/>
  <c r="K760" i="37"/>
  <c r="F109" i="49"/>
  <c r="G109" i="49"/>
  <c r="M109" i="49"/>
  <c r="F57" i="49"/>
  <c r="G57" i="49"/>
  <c r="M57" i="49"/>
  <c r="N440" i="37"/>
  <c r="O440" i="37"/>
  <c r="F54" i="49"/>
  <c r="G54" i="49"/>
  <c r="M54" i="49"/>
  <c r="N370" i="37"/>
  <c r="O370" i="37"/>
  <c r="F201" i="49"/>
  <c r="G201" i="49"/>
  <c r="M201" i="49"/>
  <c r="K483" i="37"/>
  <c r="F248" i="49"/>
  <c r="G248" i="49"/>
  <c r="M248" i="49"/>
  <c r="N224" i="37"/>
  <c r="O224" i="37"/>
  <c r="K534" i="37"/>
  <c r="F5" i="49"/>
  <c r="G5" i="49"/>
  <c r="M5" i="49"/>
  <c r="N763" i="37"/>
  <c r="O763" i="37"/>
  <c r="K531" i="37"/>
  <c r="O601" i="37"/>
  <c r="N601" i="37"/>
  <c r="N754" i="37"/>
  <c r="O754" i="37"/>
  <c r="F16" i="49"/>
  <c r="G16" i="49"/>
  <c r="M16" i="49"/>
  <c r="F230" i="49"/>
  <c r="G230" i="49"/>
  <c r="M230" i="49"/>
  <c r="O271" i="37"/>
  <c r="N271" i="37"/>
  <c r="O773" i="37"/>
  <c r="N773" i="37"/>
  <c r="O431" i="37"/>
  <c r="N431" i="37"/>
  <c r="O162" i="37"/>
  <c r="N162" i="37"/>
  <c r="N535" i="37"/>
  <c r="O535" i="37"/>
  <c r="F84" i="49"/>
  <c r="G84" i="49"/>
  <c r="M84" i="49"/>
  <c r="K520" i="37"/>
  <c r="F217" i="49"/>
  <c r="G217" i="49"/>
  <c r="M217" i="49"/>
  <c r="F153" i="49"/>
  <c r="G153" i="49"/>
  <c r="M153" i="49"/>
  <c r="F211" i="49"/>
  <c r="G211" i="49"/>
  <c r="M211" i="49"/>
  <c r="K352" i="37"/>
  <c r="F120" i="49"/>
  <c r="G120" i="49"/>
  <c r="M120" i="49"/>
  <c r="F105" i="49"/>
  <c r="G105" i="49"/>
  <c r="M105" i="49"/>
  <c r="K702" i="37"/>
  <c r="K193" i="37"/>
  <c r="F18" i="49"/>
  <c r="G18" i="49"/>
  <c r="M18" i="49"/>
  <c r="F224" i="49"/>
  <c r="G224" i="49"/>
  <c r="M224" i="49"/>
  <c r="F173" i="49"/>
  <c r="G173" i="49"/>
  <c r="M173" i="49"/>
  <c r="F187" i="49"/>
  <c r="G187" i="49"/>
  <c r="M187" i="49"/>
  <c r="N895" i="37"/>
  <c r="O895" i="37"/>
  <c r="O93" i="37"/>
  <c r="N93" i="37"/>
  <c r="K188" i="37"/>
  <c r="F15" i="49"/>
  <c r="G15" i="49"/>
  <c r="M15" i="49"/>
  <c r="K287" i="37"/>
  <c r="F26" i="49"/>
  <c r="G26" i="49"/>
  <c r="M26" i="49"/>
  <c r="F85" i="49"/>
  <c r="G85" i="49"/>
  <c r="M85" i="49"/>
  <c r="O372" i="37"/>
  <c r="N372" i="37"/>
  <c r="F82" i="49"/>
  <c r="G82" i="49"/>
  <c r="M82" i="49"/>
  <c r="F236" i="49"/>
  <c r="G236" i="49"/>
  <c r="M236" i="49"/>
  <c r="F227" i="49"/>
  <c r="G227" i="49"/>
  <c r="M227" i="49"/>
  <c r="K836" i="37"/>
  <c r="N306" i="37"/>
  <c r="O306" i="37"/>
  <c r="N163" i="37"/>
  <c r="O163" i="37"/>
  <c r="O708" i="37"/>
  <c r="N708" i="37"/>
  <c r="F137" i="49"/>
  <c r="G137" i="49"/>
  <c r="M137" i="49"/>
  <c r="K824" i="37"/>
  <c r="O598" i="37"/>
  <c r="N598" i="37"/>
  <c r="F135" i="49"/>
  <c r="G135" i="49"/>
  <c r="M135" i="49"/>
  <c r="K938" i="37"/>
  <c r="K515" i="37"/>
  <c r="F216" i="49"/>
  <c r="G216" i="49"/>
  <c r="M216" i="49"/>
  <c r="F158" i="49"/>
  <c r="G158" i="49"/>
  <c r="M158" i="49"/>
  <c r="K931" i="37"/>
  <c r="K486" i="37"/>
  <c r="F198" i="49"/>
  <c r="G198" i="49"/>
  <c r="M198" i="49"/>
  <c r="O250" i="37"/>
  <c r="N250" i="37"/>
  <c r="O153" i="37"/>
  <c r="N153" i="37"/>
  <c r="K589" i="37"/>
  <c r="F229" i="49"/>
  <c r="G229" i="49"/>
  <c r="M229" i="49"/>
  <c r="F12" i="49"/>
  <c r="G12" i="49"/>
  <c r="M12" i="49"/>
  <c r="K147" i="37"/>
  <c r="N704" i="37"/>
  <c r="O704" i="37"/>
  <c r="K912" i="37"/>
  <c r="F31" i="49"/>
  <c r="G31" i="49"/>
  <c r="M31" i="49"/>
  <c r="K532" i="37"/>
  <c r="F2" i="49"/>
  <c r="G2" i="49"/>
  <c r="M2" i="49"/>
  <c r="F48" i="49"/>
  <c r="G48" i="49"/>
  <c r="M48" i="49"/>
  <c r="N479" i="37"/>
  <c r="O479" i="37"/>
  <c r="O215" i="37"/>
  <c r="N215" i="37"/>
  <c r="N893" i="37"/>
  <c r="O893" i="37"/>
  <c r="F76" i="49"/>
  <c r="G76" i="49"/>
  <c r="M76" i="49"/>
  <c r="K699" i="37"/>
  <c r="N498" i="37"/>
  <c r="O498" i="37"/>
  <c r="F220" i="49"/>
  <c r="G220" i="49"/>
  <c r="M220" i="49"/>
  <c r="K845" i="37"/>
  <c r="F44" i="49"/>
  <c r="G44" i="49"/>
  <c r="M44" i="49"/>
  <c r="K183" i="37"/>
  <c r="F104" i="49"/>
  <c r="G104" i="49"/>
  <c r="M104" i="49"/>
  <c r="K945" i="37"/>
  <c r="F151" i="49"/>
  <c r="G151" i="49"/>
  <c r="M151" i="49"/>
  <c r="F161" i="49"/>
  <c r="G161" i="49"/>
  <c r="M161" i="49"/>
  <c r="K716" i="37"/>
  <c r="F68" i="49"/>
  <c r="G68" i="49"/>
  <c r="M68" i="49"/>
  <c r="F88" i="49"/>
  <c r="G88" i="49"/>
  <c r="M88" i="49"/>
  <c r="O344" i="37"/>
  <c r="N344" i="37"/>
  <c r="K182" i="37"/>
  <c r="F43" i="49"/>
  <c r="G43" i="49"/>
  <c r="M43" i="49"/>
  <c r="F235" i="49"/>
  <c r="G235" i="49"/>
  <c r="M235" i="49"/>
  <c r="N438" i="37"/>
  <c r="O438" i="37"/>
  <c r="O365" i="37"/>
  <c r="N365" i="37"/>
  <c r="F263" i="49"/>
  <c r="G263" i="49"/>
  <c r="M263" i="49"/>
  <c r="N270" i="37"/>
  <c r="O270" i="37"/>
  <c r="K946" i="37"/>
  <c r="F134" i="49"/>
  <c r="G134" i="49"/>
  <c r="M134" i="49"/>
  <c r="K530" i="37"/>
  <c r="F6" i="49"/>
  <c r="G6" i="49"/>
  <c r="M6" i="49"/>
  <c r="F174" i="49"/>
  <c r="G174" i="49"/>
  <c r="M174" i="49"/>
  <c r="F124" i="49"/>
  <c r="G124" i="49"/>
  <c r="M124" i="49"/>
  <c r="K326" i="37"/>
  <c r="F80" i="49"/>
  <c r="G80" i="49"/>
  <c r="M80" i="49"/>
  <c r="F144" i="49"/>
  <c r="G144" i="49"/>
  <c r="M144" i="49"/>
  <c r="K128" i="37"/>
  <c r="F30" i="49"/>
  <c r="G30" i="49"/>
  <c r="M30" i="49"/>
  <c r="K913" i="37"/>
  <c r="F101" i="49"/>
  <c r="G101" i="49"/>
  <c r="M101" i="49"/>
  <c r="K713" i="37"/>
  <c r="N592" i="37"/>
  <c r="O592" i="37"/>
  <c r="F257" i="49"/>
  <c r="G257" i="49"/>
  <c r="M257" i="49"/>
  <c r="F196" i="49"/>
  <c r="G196" i="49"/>
  <c r="M196" i="49"/>
  <c r="K481" i="37"/>
  <c r="O585" i="37"/>
  <c r="N585" i="37"/>
  <c r="F185" i="49"/>
  <c r="G185" i="49"/>
  <c r="M185" i="49"/>
  <c r="F131" i="49"/>
  <c r="G131" i="49"/>
  <c r="M131" i="49"/>
  <c r="K528" i="37"/>
  <c r="K514" i="37"/>
  <c r="F222" i="49"/>
  <c r="G222" i="49"/>
  <c r="M222" i="49"/>
  <c r="K838" i="37"/>
  <c r="N491" i="37"/>
  <c r="O491" i="37"/>
  <c r="N705" i="37"/>
  <c r="O705" i="37"/>
  <c r="F209" i="49"/>
  <c r="G209" i="49"/>
  <c r="M209" i="49"/>
  <c r="F108" i="49"/>
  <c r="G108" i="49"/>
  <c r="M108" i="49"/>
  <c r="F97" i="49"/>
  <c r="G97" i="49"/>
  <c r="M97" i="49"/>
  <c r="K118" i="37"/>
  <c r="F21" i="49"/>
  <c r="G21" i="49"/>
  <c r="M21" i="49"/>
  <c r="F67" i="49"/>
  <c r="G67" i="49"/>
  <c r="M67" i="49"/>
  <c r="K761" i="37"/>
  <c r="F69" i="49"/>
  <c r="G69" i="49"/>
  <c r="M69" i="49"/>
  <c r="F221" i="49"/>
  <c r="G221" i="49"/>
  <c r="M221" i="49"/>
  <c r="F117" i="49"/>
  <c r="G117" i="49"/>
  <c r="M117" i="49"/>
  <c r="K339" i="37"/>
  <c r="F242" i="49"/>
  <c r="G242" i="49"/>
  <c r="M242" i="49"/>
  <c r="K133" i="37"/>
  <c r="F133" i="49"/>
  <c r="G133" i="49"/>
  <c r="M133" i="49"/>
  <c r="F206" i="49"/>
  <c r="G206" i="49"/>
  <c r="M206" i="49"/>
  <c r="K586" i="37"/>
  <c r="O158" i="37"/>
  <c r="N158" i="37"/>
  <c r="F74" i="49"/>
  <c r="G74" i="49"/>
  <c r="M74" i="49"/>
  <c r="O216" i="37"/>
  <c r="I28" i="46"/>
  <c r="N216" i="37"/>
  <c r="K338" i="37"/>
  <c r="F112" i="49"/>
  <c r="G112" i="49"/>
  <c r="M112" i="49"/>
  <c r="N710" i="37"/>
  <c r="O710" i="37"/>
  <c r="O455" i="37"/>
  <c r="I48" i="46"/>
  <c r="N455" i="37"/>
  <c r="O900" i="37"/>
  <c r="N900" i="37"/>
  <c r="F178" i="49"/>
  <c r="G178" i="49"/>
  <c r="M178" i="49"/>
  <c r="K413" i="37"/>
  <c r="K157" i="37"/>
  <c r="F207" i="49"/>
  <c r="G207" i="49"/>
  <c r="M207" i="49"/>
  <c r="O496" i="37"/>
  <c r="N496" i="37"/>
  <c r="K934" i="37"/>
  <c r="F238" i="49"/>
  <c r="G238" i="49"/>
  <c r="M238" i="49"/>
  <c r="F132" i="49"/>
  <c r="G132" i="49"/>
  <c r="M132" i="49"/>
  <c r="F208" i="49"/>
  <c r="G208" i="49"/>
  <c r="M208" i="49"/>
  <c r="O439" i="37"/>
  <c r="N439" i="37"/>
  <c r="O257" i="37"/>
  <c r="N257" i="37"/>
  <c r="O95" i="37"/>
  <c r="N95" i="37"/>
  <c r="O418" i="37"/>
  <c r="N418" i="37"/>
  <c r="O272" i="37"/>
  <c r="N272" i="37"/>
  <c r="K409" i="37"/>
  <c r="F215" i="49"/>
  <c r="G215" i="49"/>
  <c r="M215" i="49"/>
  <c r="K540" i="37"/>
  <c r="F3" i="49"/>
  <c r="G3" i="49"/>
  <c r="M3" i="49"/>
  <c r="O335" i="37"/>
  <c r="N335" i="37"/>
  <c r="F9" i="49"/>
  <c r="G9" i="49"/>
  <c r="M9" i="49"/>
  <c r="F148" i="49"/>
  <c r="G148" i="49"/>
  <c r="M148" i="49"/>
  <c r="F55" i="49"/>
  <c r="G55" i="49"/>
  <c r="M55" i="49"/>
  <c r="O778" i="37"/>
  <c r="N778" i="37"/>
  <c r="O487" i="37"/>
  <c r="N487" i="37"/>
  <c r="N134" i="37"/>
  <c r="O134" i="37"/>
  <c r="F261" i="49"/>
  <c r="G261" i="49"/>
  <c r="M261" i="49"/>
  <c r="K835" i="37"/>
  <c r="F274" i="49"/>
  <c r="G274" i="49"/>
  <c r="M274" i="49"/>
  <c r="F239" i="49"/>
  <c r="G239" i="49"/>
  <c r="M239" i="49"/>
  <c r="K178" i="37"/>
  <c r="F41" i="49"/>
  <c r="G41" i="49"/>
  <c r="M41" i="49"/>
  <c r="O493" i="37"/>
  <c r="N493" i="37"/>
  <c r="N494" i="37"/>
  <c r="O494" i="37"/>
  <c r="K541" i="37"/>
  <c r="F190" i="49"/>
  <c r="G190" i="49"/>
  <c r="M190" i="49"/>
  <c r="F260" i="49"/>
  <c r="G260" i="49"/>
  <c r="M260" i="49"/>
  <c r="K517" i="37"/>
  <c r="F184" i="49"/>
  <c r="G184" i="49"/>
  <c r="M184" i="49"/>
  <c r="F266" i="49"/>
  <c r="G266" i="49"/>
  <c r="M266" i="49"/>
  <c r="K172" i="37"/>
  <c r="O30" i="37"/>
  <c r="N30" i="37"/>
  <c r="K145" i="37"/>
  <c r="F13" i="49"/>
  <c r="G13" i="49"/>
  <c r="M13" i="49"/>
  <c r="F100" i="49"/>
  <c r="G100" i="49"/>
  <c r="M100" i="49"/>
  <c r="K701" i="37"/>
  <c r="K286" i="37"/>
  <c r="F165" i="49"/>
  <c r="G165" i="49"/>
  <c r="M165" i="49"/>
  <c r="F276" i="49"/>
  <c r="G276" i="49"/>
  <c r="M276" i="49"/>
  <c r="N507" i="37"/>
  <c r="O507" i="37"/>
  <c r="F192" i="49"/>
  <c r="G192" i="49"/>
  <c r="M192" i="49"/>
  <c r="K480" i="37"/>
  <c r="K179" i="37"/>
  <c r="N179" i="37"/>
  <c r="F42" i="49"/>
  <c r="G42" i="49"/>
  <c r="M42" i="49"/>
  <c r="F47" i="49"/>
  <c r="G47" i="49"/>
  <c r="M47" i="49"/>
  <c r="O366" i="37"/>
  <c r="N366" i="37"/>
  <c r="F34" i="49"/>
  <c r="G34" i="49"/>
  <c r="M34" i="49"/>
  <c r="O249" i="37"/>
  <c r="N249" i="37"/>
  <c r="K160" i="37"/>
  <c r="F156" i="49"/>
  <c r="G156" i="49"/>
  <c r="M156" i="49"/>
  <c r="K527" i="37"/>
  <c r="K15" i="37"/>
  <c r="F140" i="49"/>
  <c r="G140" i="49"/>
  <c r="M140" i="49"/>
  <c r="N13" i="37"/>
  <c r="O13" i="37"/>
  <c r="O775" i="37"/>
  <c r="N775" i="37"/>
  <c r="N307" i="37"/>
  <c r="O307" i="37"/>
  <c r="O596" i="37"/>
  <c r="N596" i="37"/>
  <c r="O255" i="37"/>
  <c r="N255" i="37"/>
  <c r="N184" i="37"/>
  <c r="O184" i="37"/>
  <c r="F167" i="49"/>
  <c r="G167" i="49"/>
  <c r="M167" i="49"/>
  <c r="F232" i="49"/>
  <c r="G232" i="49"/>
  <c r="M232" i="49"/>
  <c r="F98" i="49"/>
  <c r="G98" i="49"/>
  <c r="M98" i="49"/>
  <c r="K770" i="37"/>
  <c r="F251" i="49"/>
  <c r="G251" i="49"/>
  <c r="M251" i="49"/>
  <c r="K832" i="37"/>
  <c r="F256" i="49"/>
  <c r="G256" i="49"/>
  <c r="M256" i="49"/>
  <c r="O96" i="37"/>
  <c r="N96" i="37"/>
  <c r="F102" i="49"/>
  <c r="G102" i="49"/>
  <c r="M102" i="49"/>
  <c r="F267" i="49"/>
  <c r="G267" i="49"/>
  <c r="M267" i="49"/>
  <c r="O940" i="37"/>
  <c r="N940" i="37"/>
  <c r="F159" i="49"/>
  <c r="G159" i="49"/>
  <c r="M159" i="49"/>
  <c r="K529" i="37"/>
  <c r="F240" i="49"/>
  <c r="G240" i="49"/>
  <c r="M240" i="49"/>
  <c r="F56" i="49"/>
  <c r="G56" i="49"/>
  <c r="M56" i="49"/>
  <c r="K69" i="37"/>
  <c r="K68" i="37"/>
  <c r="F146" i="49"/>
  <c r="G146" i="49"/>
  <c r="M146" i="49"/>
  <c r="K715" i="37"/>
  <c r="F87" i="49"/>
  <c r="G87" i="49"/>
  <c r="M87" i="49"/>
  <c r="N756" i="37"/>
  <c r="O756" i="37"/>
  <c r="K371" i="37"/>
  <c r="F119" i="49"/>
  <c r="G119" i="49"/>
  <c r="M119" i="49"/>
  <c r="K752" i="37"/>
  <c r="F62" i="49"/>
  <c r="G62" i="49"/>
  <c r="M62" i="49"/>
  <c r="F61" i="49"/>
  <c r="G61" i="49"/>
  <c r="M61" i="49"/>
  <c r="K749" i="37"/>
  <c r="K753" i="37"/>
  <c r="F60" i="49"/>
  <c r="G60" i="49"/>
  <c r="M60" i="49"/>
  <c r="K169" i="37"/>
  <c r="F40" i="49"/>
  <c r="G40" i="49"/>
  <c r="M40" i="49"/>
  <c r="F95" i="49"/>
  <c r="G95" i="49"/>
  <c r="M95" i="49"/>
  <c r="N161" i="37"/>
  <c r="O161" i="37"/>
  <c r="K484" i="37"/>
  <c r="F200" i="49"/>
  <c r="G200" i="49"/>
  <c r="M200" i="49"/>
  <c r="F154" i="49"/>
  <c r="G154" i="49"/>
  <c r="M154" i="49"/>
  <c r="N222" i="37"/>
  <c r="O222" i="37"/>
  <c r="F111" i="49"/>
  <c r="G111" i="49"/>
  <c r="M111" i="49"/>
  <c r="K337" i="37"/>
  <c r="F92" i="49"/>
  <c r="G92" i="49"/>
  <c r="M92" i="49"/>
  <c r="K343" i="37"/>
  <c r="F172" i="49"/>
  <c r="G172" i="49"/>
  <c r="M172" i="49"/>
  <c r="F197" i="49"/>
  <c r="G197" i="49"/>
  <c r="M197" i="49"/>
  <c r="K482" i="37"/>
  <c r="O516" i="37"/>
  <c r="N516" i="37"/>
  <c r="N939" i="37"/>
  <c r="O939" i="37"/>
  <c r="K772" i="37"/>
  <c r="F99" i="49"/>
  <c r="G99" i="49"/>
  <c r="M99" i="49"/>
  <c r="F90" i="49"/>
  <c r="G90" i="49"/>
  <c r="M90" i="49"/>
  <c r="K771" i="37"/>
  <c r="N32" i="37"/>
  <c r="O32" i="37"/>
  <c r="O410" i="37"/>
  <c r="N410" i="37"/>
  <c r="F118" i="49"/>
  <c r="G118" i="49"/>
  <c r="M118" i="49"/>
  <c r="K325" i="37"/>
  <c r="K176" i="37"/>
  <c r="F38" i="49"/>
  <c r="G38" i="49"/>
  <c r="M38" i="49"/>
  <c r="N497" i="37"/>
  <c r="O497" i="37"/>
  <c r="O101" i="37"/>
  <c r="N896" i="37"/>
  <c r="O896" i="37"/>
  <c r="F199" i="49"/>
  <c r="G199" i="49"/>
  <c r="M199" i="49"/>
  <c r="K504" i="37"/>
  <c r="O130" i="37"/>
  <c r="N130" i="37"/>
  <c r="F89" i="49"/>
  <c r="G89" i="49"/>
  <c r="M89" i="49"/>
  <c r="K776" i="37"/>
  <c r="O354" i="37"/>
  <c r="N354" i="37"/>
  <c r="F50" i="49"/>
  <c r="G50" i="49"/>
  <c r="M50" i="49"/>
  <c r="N539" i="37"/>
  <c r="O539" i="37"/>
  <c r="O594" i="37"/>
  <c r="N594" i="37"/>
  <c r="N499" i="37"/>
  <c r="O499" i="37"/>
  <c r="N217" i="37"/>
  <c r="O217" i="37"/>
  <c r="F46" i="49"/>
  <c r="G46" i="49"/>
  <c r="M46" i="49"/>
  <c r="K170" i="37"/>
  <c r="F66" i="49"/>
  <c r="G66" i="49"/>
  <c r="M66" i="49"/>
  <c r="K755" i="37"/>
  <c r="K764" i="37"/>
  <c r="F93" i="49"/>
  <c r="G93" i="49"/>
  <c r="M93" i="49"/>
  <c r="N587" i="37"/>
  <c r="O587" i="37"/>
  <c r="O436" i="37"/>
  <c r="N436" i="37"/>
  <c r="K180" i="37"/>
  <c r="F182" i="49"/>
  <c r="G182" i="49"/>
  <c r="M182" i="49"/>
  <c r="O94" i="37"/>
  <c r="N94" i="37"/>
  <c r="N595" i="37"/>
  <c r="O595" i="37"/>
  <c r="O703" i="37"/>
  <c r="N703" i="37"/>
  <c r="O238" i="37"/>
  <c r="N238" i="37"/>
  <c r="N56" i="37"/>
  <c r="O56" i="37"/>
  <c r="F194" i="49"/>
  <c r="G194" i="49"/>
  <c r="M194" i="49"/>
  <c r="F52" i="49"/>
  <c r="G52" i="49"/>
  <c r="M52" i="49"/>
  <c r="F126" i="49"/>
  <c r="G126" i="49"/>
  <c r="M126" i="49"/>
  <c r="K331" i="37"/>
  <c r="N346" i="37"/>
  <c r="O346" i="37"/>
  <c r="K329" i="37"/>
  <c r="F116" i="49"/>
  <c r="G116" i="49"/>
  <c r="M116" i="49"/>
  <c r="N901" i="37"/>
  <c r="O901" i="37"/>
  <c r="K489" i="37"/>
  <c r="F191" i="49"/>
  <c r="G191" i="49"/>
  <c r="M191" i="49"/>
  <c r="N258" i="37"/>
  <c r="O258" i="37"/>
  <c r="O712" i="37"/>
  <c r="N712" i="37"/>
  <c r="F231" i="49"/>
  <c r="G231" i="49"/>
  <c r="M231" i="49"/>
  <c r="K751" i="37"/>
  <c r="F63" i="49"/>
  <c r="G63" i="49"/>
  <c r="M63" i="49"/>
  <c r="F253" i="49"/>
  <c r="G253" i="49"/>
  <c r="M253" i="49"/>
  <c r="F77" i="49"/>
  <c r="G77" i="49"/>
  <c r="M77" i="49"/>
  <c r="K521" i="37"/>
  <c r="K593" i="37"/>
  <c r="F175" i="49"/>
  <c r="G175" i="49"/>
  <c r="M175" i="49"/>
  <c r="O24" i="37"/>
  <c r="N24" i="37"/>
  <c r="N550" i="37"/>
  <c r="N549" i="37"/>
  <c r="N548" i="37"/>
  <c r="O550" i="37"/>
  <c r="O549" i="37"/>
  <c r="F243" i="49"/>
  <c r="G243" i="49"/>
  <c r="M243" i="49"/>
  <c r="N225" i="37"/>
  <c r="O225" i="37"/>
  <c r="K591" i="37"/>
  <c r="F71" i="49"/>
  <c r="G71" i="49"/>
  <c r="M71" i="49"/>
  <c r="F75" i="49"/>
  <c r="G75" i="49"/>
  <c r="M75" i="49"/>
  <c r="K698" i="37"/>
  <c r="K542" i="37"/>
  <c r="N367" i="37"/>
  <c r="O367" i="37"/>
  <c r="F141" i="49"/>
  <c r="G141" i="49"/>
  <c r="M141" i="49"/>
  <c r="F219" i="49"/>
  <c r="G219" i="49"/>
  <c r="M219" i="49"/>
  <c r="N89" i="37"/>
  <c r="B793" i="37"/>
  <c r="O891" i="37"/>
  <c r="K911" i="37"/>
  <c r="N891" i="37"/>
  <c r="K747" i="37"/>
  <c r="E58" i="46"/>
  <c r="N213" i="37"/>
  <c r="O213" i="37"/>
  <c r="I27" i="46"/>
  <c r="K11" i="37"/>
  <c r="K943" i="37"/>
  <c r="K930" i="37"/>
  <c r="E64" i="46"/>
  <c r="K843" i="37"/>
  <c r="K822" i="37"/>
  <c r="K769" i="37"/>
  <c r="E59" i="46"/>
  <c r="O299" i="37"/>
  <c r="N299" i="37"/>
  <c r="F70" i="53"/>
  <c r="E70" i="53"/>
  <c r="H48" i="46"/>
  <c r="J48" i="46"/>
  <c r="F30" i="53"/>
  <c r="E30" i="53"/>
  <c r="H28" i="46"/>
  <c r="J28" i="46"/>
  <c r="K175" i="37"/>
  <c r="E24" i="46"/>
  <c r="O248" i="37"/>
  <c r="I63" i="46"/>
  <c r="N248" i="37"/>
  <c r="E53" i="46"/>
  <c r="K168" i="37"/>
  <c r="K477" i="37"/>
  <c r="N188" i="37"/>
  <c r="O188" i="37"/>
  <c r="O193" i="37"/>
  <c r="N193" i="37"/>
  <c r="K282" i="37"/>
  <c r="K144" i="37"/>
  <c r="E22" i="46"/>
  <c r="K729" i="37"/>
  <c r="E57" i="46"/>
  <c r="K583" i="37"/>
  <c r="E54" i="46"/>
  <c r="N237" i="37"/>
  <c r="O237" i="37"/>
  <c r="K28" i="37"/>
  <c r="E11" i="46"/>
  <c r="K696" i="37"/>
  <c r="E55" i="46"/>
  <c r="O254" i="37"/>
  <c r="K407" i="37"/>
  <c r="K187" i="37"/>
  <c r="E26" i="46"/>
  <c r="N254" i="37"/>
  <c r="K116" i="37"/>
  <c r="O89" i="37"/>
  <c r="I14" i="46"/>
  <c r="K323" i="37"/>
  <c r="K526" i="37"/>
  <c r="K513" i="37"/>
  <c r="O269" i="37"/>
  <c r="N269" i="37"/>
  <c r="N453" i="37"/>
  <c r="N452" i="37"/>
  <c r="K452" i="37"/>
  <c r="E25" i="46"/>
  <c r="G313" i="49"/>
  <c r="E18" i="46"/>
  <c r="N764" i="37"/>
  <c r="O764" i="37"/>
  <c r="N482" i="37"/>
  <c r="O482" i="37"/>
  <c r="N373" i="37"/>
  <c r="O373" i="37"/>
  <c r="O933" i="37"/>
  <c r="N933" i="37"/>
  <c r="O936" i="37"/>
  <c r="N936" i="37"/>
  <c r="O117" i="37"/>
  <c r="N117" i="37"/>
  <c r="O489" i="37"/>
  <c r="N489" i="37"/>
  <c r="N170" i="37"/>
  <c r="O170" i="37"/>
  <c r="N176" i="37"/>
  <c r="O176" i="37"/>
  <c r="O371" i="37"/>
  <c r="N371" i="37"/>
  <c r="E17" i="46"/>
  <c r="O938" i="37"/>
  <c r="N938" i="37"/>
  <c r="N835" i="37"/>
  <c r="O835" i="37"/>
  <c r="O540" i="37"/>
  <c r="N540" i="37"/>
  <c r="N700" i="37"/>
  <c r="O700" i="37"/>
  <c r="O23" i="37"/>
  <c r="O21" i="37"/>
  <c r="N23" i="37"/>
  <c r="N21" i="37"/>
  <c r="N542" i="37"/>
  <c r="O542" i="37"/>
  <c r="O593" i="37"/>
  <c r="N593" i="37"/>
  <c r="O751" i="37"/>
  <c r="N751" i="37"/>
  <c r="O325" i="37"/>
  <c r="N325" i="37"/>
  <c r="O337" i="37"/>
  <c r="N337" i="37"/>
  <c r="N160" i="37"/>
  <c r="O160" i="37"/>
  <c r="O172" i="37"/>
  <c r="N172" i="37"/>
  <c r="N409" i="37"/>
  <c r="O409" i="37"/>
  <c r="N339" i="37"/>
  <c r="O339" i="37"/>
  <c r="O118" i="37"/>
  <c r="N118" i="37"/>
  <c r="N713" i="37"/>
  <c r="O713" i="37"/>
  <c r="O945" i="37"/>
  <c r="N945" i="37"/>
  <c r="N837" i="37"/>
  <c r="O837" i="37"/>
  <c r="O506" i="37"/>
  <c r="N506" i="37"/>
  <c r="O341" i="37"/>
  <c r="N341" i="37"/>
  <c r="O537" i="37"/>
  <c r="N537" i="37"/>
  <c r="N14" i="37"/>
  <c r="O14" i="37"/>
  <c r="O180" i="37"/>
  <c r="N180" i="37"/>
  <c r="N515" i="37"/>
  <c r="O515" i="37"/>
  <c r="O534" i="37"/>
  <c r="N534" i="37"/>
  <c r="N770" i="37"/>
  <c r="O770" i="37"/>
  <c r="E42" i="46"/>
  <c r="N699" i="37"/>
  <c r="O699" i="37"/>
  <c r="O589" i="37"/>
  <c r="N589" i="37"/>
  <c r="O169" i="37"/>
  <c r="N169" i="37"/>
  <c r="N698" i="37"/>
  <c r="O698" i="37"/>
  <c r="E41" i="46"/>
  <c r="O529" i="37"/>
  <c r="N529" i="37"/>
  <c r="O326" i="37"/>
  <c r="N326" i="37"/>
  <c r="N40" i="37"/>
  <c r="O40" i="37"/>
  <c r="N182" i="37"/>
  <c r="O182" i="37"/>
  <c r="O532" i="37"/>
  <c r="N532" i="37"/>
  <c r="O588" i="37"/>
  <c r="N588" i="37"/>
  <c r="N848" i="37"/>
  <c r="O848" i="37"/>
  <c r="N833" i="37"/>
  <c r="O833" i="37"/>
  <c r="O412" i="37"/>
  <c r="N412" i="37"/>
  <c r="O485" i="37"/>
  <c r="N485" i="37"/>
  <c r="N759" i="37"/>
  <c r="O759" i="37"/>
  <c r="O329" i="37"/>
  <c r="N329" i="37"/>
  <c r="E15" i="46"/>
  <c r="E13" i="46"/>
  <c r="O753" i="37"/>
  <c r="N753" i="37"/>
  <c r="O517" i="37"/>
  <c r="N517" i="37"/>
  <c r="O838" i="37"/>
  <c r="N838" i="37"/>
  <c r="N481" i="37"/>
  <c r="O481" i="37"/>
  <c r="N483" i="37"/>
  <c r="O483" i="37"/>
  <c r="O760" i="37"/>
  <c r="N760" i="37"/>
  <c r="N522" i="37"/>
  <c r="O522" i="37"/>
  <c r="O935" i="37"/>
  <c r="N935" i="37"/>
  <c r="O453" i="37"/>
  <c r="N912" i="37"/>
  <c r="O912" i="37"/>
  <c r="O702" i="37"/>
  <c r="N702" i="37"/>
  <c r="H15" i="46"/>
  <c r="J15" i="46"/>
  <c r="F19" i="53"/>
  <c r="E19" i="53"/>
  <c r="N715" i="37"/>
  <c r="O715" i="37"/>
  <c r="N43" i="37"/>
  <c r="O43" i="37"/>
  <c r="O701" i="37"/>
  <c r="N701" i="37"/>
  <c r="O178" i="37"/>
  <c r="N178" i="37"/>
  <c r="O913" i="37"/>
  <c r="N913" i="37"/>
  <c r="N183" i="37"/>
  <c r="O183" i="37"/>
  <c r="O824" i="37"/>
  <c r="N824" i="37"/>
  <c r="O536" i="37"/>
  <c r="N536" i="37"/>
  <c r="N932" i="37"/>
  <c r="O932" i="37"/>
  <c r="N584" i="37"/>
  <c r="O584" i="37"/>
  <c r="O159" i="37"/>
  <c r="N159" i="37"/>
  <c r="N714" i="37"/>
  <c r="O714" i="37"/>
  <c r="O750" i="37"/>
  <c r="N750" i="37"/>
  <c r="O934" i="37"/>
  <c r="N934" i="37"/>
  <c r="N586" i="37"/>
  <c r="O586" i="37"/>
  <c r="O33" i="37"/>
  <c r="N33" i="37"/>
  <c r="O129" i="37"/>
  <c r="N129" i="37"/>
  <c r="N591" i="37"/>
  <c r="O591" i="37"/>
  <c r="O776" i="37"/>
  <c r="N776" i="37"/>
  <c r="N771" i="37"/>
  <c r="O771" i="37"/>
  <c r="N15" i="37"/>
  <c r="O15" i="37"/>
  <c r="O179" i="37"/>
  <c r="N486" i="37"/>
  <c r="O486" i="37"/>
  <c r="N520" i="37"/>
  <c r="O520" i="37"/>
  <c r="O531" i="37"/>
  <c r="N531" i="37"/>
  <c r="N533" i="37"/>
  <c r="O533" i="37"/>
  <c r="O31" i="37"/>
  <c r="N31" i="37"/>
  <c r="O126" i="37"/>
  <c r="N126" i="37"/>
  <c r="N590" i="37"/>
  <c r="O590" i="37"/>
  <c r="O340" i="37"/>
  <c r="N340" i="37"/>
  <c r="N521" i="37"/>
  <c r="O521" i="37"/>
  <c r="O331" i="37"/>
  <c r="N331" i="37"/>
  <c r="N755" i="37"/>
  <c r="O755" i="37"/>
  <c r="O343" i="37"/>
  <c r="N343" i="37"/>
  <c r="O484" i="37"/>
  <c r="N484" i="37"/>
  <c r="N69" i="37"/>
  <c r="N68" i="37"/>
  <c r="O69" i="37"/>
  <c r="O68" i="37"/>
  <c r="N480" i="37"/>
  <c r="O480" i="37"/>
  <c r="O761" i="37"/>
  <c r="N761" i="37"/>
  <c r="N530" i="37"/>
  <c r="O530" i="37"/>
  <c r="O845" i="37"/>
  <c r="N845" i="37"/>
  <c r="N147" i="37"/>
  <c r="O147" i="37"/>
  <c r="O931" i="37"/>
  <c r="N931" i="37"/>
  <c r="N352" i="37"/>
  <c r="O352" i="37"/>
  <c r="O41" i="37"/>
  <c r="N41" i="37"/>
  <c r="O45" i="37"/>
  <c r="N45" i="37"/>
  <c r="N315" i="37"/>
  <c r="N312" i="37"/>
  <c r="O315" i="37"/>
  <c r="O312" i="37"/>
  <c r="E43" i="46"/>
  <c r="N42" i="37"/>
  <c r="O42" i="37"/>
  <c r="O855" i="37"/>
  <c r="N855" i="37"/>
  <c r="O488" i="37"/>
  <c r="N488" i="37"/>
  <c r="O706" i="37"/>
  <c r="N706" i="37"/>
  <c r="N181" i="37"/>
  <c r="O181" i="37"/>
  <c r="I15" i="46"/>
  <c r="N749" i="37"/>
  <c r="O749" i="37"/>
  <c r="N286" i="37"/>
  <c r="O286" i="37"/>
  <c r="O454" i="37"/>
  <c r="N832" i="37"/>
  <c r="O832" i="37"/>
  <c r="N527" i="37"/>
  <c r="O527" i="37"/>
  <c r="O145" i="37"/>
  <c r="N145" i="37"/>
  <c r="O157" i="37"/>
  <c r="N157" i="37"/>
  <c r="O514" i="37"/>
  <c r="N514" i="37"/>
  <c r="N716" i="37"/>
  <c r="O716" i="37"/>
  <c r="O836" i="37"/>
  <c r="N836" i="37"/>
  <c r="O834" i="37"/>
  <c r="N834" i="37"/>
  <c r="O336" i="37"/>
  <c r="N336" i="37"/>
  <c r="N599" i="37"/>
  <c r="O599" i="37"/>
  <c r="E63" i="46"/>
  <c r="O44" i="37"/>
  <c r="N44" i="37"/>
  <c r="O504" i="37"/>
  <c r="N504" i="37"/>
  <c r="O772" i="37"/>
  <c r="N772" i="37"/>
  <c r="N752" i="37"/>
  <c r="O752" i="37"/>
  <c r="O541" i="37"/>
  <c r="N541" i="37"/>
  <c r="O413" i="37"/>
  <c r="N413" i="37"/>
  <c r="O338" i="37"/>
  <c r="N338" i="37"/>
  <c r="O133" i="37"/>
  <c r="N133" i="37"/>
  <c r="O528" i="37"/>
  <c r="N528" i="37"/>
  <c r="N128" i="37"/>
  <c r="O128" i="37"/>
  <c r="N946" i="37"/>
  <c r="O946" i="37"/>
  <c r="N287" i="37"/>
  <c r="O287" i="37"/>
  <c r="O777" i="37"/>
  <c r="N777" i="37"/>
  <c r="N411" i="37"/>
  <c r="O411" i="37"/>
  <c r="N543" i="37"/>
  <c r="O543" i="37"/>
  <c r="O330" i="37"/>
  <c r="N330" i="37"/>
  <c r="O846" i="37"/>
  <c r="N846" i="37"/>
  <c r="N769" i="37"/>
  <c r="N236" i="37"/>
  <c r="N747" i="37"/>
  <c r="N822" i="37"/>
  <c r="N175" i="37"/>
  <c r="N116" i="37"/>
  <c r="B794" i="37"/>
  <c r="N28" i="37"/>
  <c r="O28" i="37"/>
  <c r="I7" i="46"/>
  <c r="O37" i="37"/>
  <c r="N37" i="37"/>
  <c r="N930" i="37"/>
  <c r="N911" i="37"/>
  <c r="N843" i="37"/>
  <c r="O747" i="37"/>
  <c r="I58" i="46"/>
  <c r="N943" i="37"/>
  <c r="K821" i="37"/>
  <c r="K10" i="37"/>
  <c r="O943" i="37"/>
  <c r="O911" i="37"/>
  <c r="O843" i="37"/>
  <c r="O822" i="37"/>
  <c r="E23" i="46"/>
  <c r="K115" i="37"/>
  <c r="O175" i="37"/>
  <c r="I24" i="46"/>
  <c r="N11" i="37"/>
  <c r="O187" i="37"/>
  <c r="I26" i="46"/>
  <c r="N187" i="37"/>
  <c r="N144" i="37"/>
  <c r="O729" i="37"/>
  <c r="I57" i="46"/>
  <c r="E19" i="46"/>
  <c r="E16" i="46"/>
  <c r="E7" i="46"/>
  <c r="E39" i="46"/>
  <c r="H56" i="46"/>
  <c r="N282" i="37"/>
  <c r="N253" i="37"/>
  <c r="N696" i="37"/>
  <c r="O930" i="37"/>
  <c r="I64" i="46"/>
  <c r="I11" i="46"/>
  <c r="I56" i="46"/>
  <c r="O11" i="37"/>
  <c r="O769" i="37"/>
  <c r="I59" i="46"/>
  <c r="O696" i="37"/>
  <c r="I55" i="46"/>
  <c r="O282" i="37"/>
  <c r="I19" i="46"/>
  <c r="N168" i="37"/>
  <c r="O477" i="37"/>
  <c r="I38" i="46"/>
  <c r="N477" i="37"/>
  <c r="O168" i="37"/>
  <c r="I23" i="46"/>
  <c r="N407" i="37"/>
  <c r="N406" i="37"/>
  <c r="O323" i="37"/>
  <c r="I53" i="46"/>
  <c r="O116" i="37"/>
  <c r="I43" i="46"/>
  <c r="N513" i="37"/>
  <c r="O144" i="37"/>
  <c r="I22" i="46"/>
  <c r="O513" i="37"/>
  <c r="I39" i="46"/>
  <c r="O526" i="37"/>
  <c r="O583" i="37"/>
  <c r="I54" i="46"/>
  <c r="N526" i="37"/>
  <c r="N525" i="37"/>
  <c r="N583" i="37"/>
  <c r="O407" i="37"/>
  <c r="O452" i="37"/>
  <c r="N323" i="37"/>
  <c r="E46" i="46"/>
  <c r="I41" i="46"/>
  <c r="I25" i="46"/>
  <c r="F35" i="53"/>
  <c r="H25" i="46"/>
  <c r="J25" i="46"/>
  <c r="H310" i="49"/>
  <c r="H308" i="49"/>
  <c r="H309" i="49"/>
  <c r="H305" i="49"/>
  <c r="H304" i="49"/>
  <c r="H303" i="49"/>
  <c r="H306" i="49"/>
  <c r="H307" i="49"/>
  <c r="H300" i="49"/>
  <c r="H289" i="49"/>
  <c r="H299" i="49"/>
  <c r="H296" i="49"/>
  <c r="H291" i="49"/>
  <c r="H294" i="49"/>
  <c r="H286" i="49"/>
  <c r="H290" i="49"/>
  <c r="H281" i="49"/>
  <c r="H295" i="49"/>
  <c r="H287" i="49"/>
  <c r="H302" i="49"/>
  <c r="H301" i="49"/>
  <c r="H297" i="49"/>
  <c r="H288" i="49"/>
  <c r="H284" i="49"/>
  <c r="H285" i="49"/>
  <c r="H283" i="49"/>
  <c r="H282" i="49"/>
  <c r="H292" i="49"/>
  <c r="H298" i="49"/>
  <c r="H293" i="49"/>
  <c r="H63" i="46"/>
  <c r="J63" i="46"/>
  <c r="F97" i="53"/>
  <c r="F99" i="53"/>
  <c r="H122" i="53"/>
  <c r="H80" i="49"/>
  <c r="H278" i="49"/>
  <c r="H277" i="49"/>
  <c r="H41" i="46"/>
  <c r="J41" i="46"/>
  <c r="H251" i="49"/>
  <c r="H161" i="49"/>
  <c r="H245" i="49"/>
  <c r="H26" i="49"/>
  <c r="H7" i="49"/>
  <c r="H190" i="49"/>
  <c r="H239" i="49"/>
  <c r="H229" i="49"/>
  <c r="H156" i="49"/>
  <c r="H10" i="49"/>
  <c r="H220" i="49"/>
  <c r="H54" i="49"/>
  <c r="H152" i="49"/>
  <c r="H72" i="49"/>
  <c r="H85" i="49"/>
  <c r="H171" i="49"/>
  <c r="H66" i="49"/>
  <c r="H69" i="49"/>
  <c r="H200" i="49"/>
  <c r="H42" i="49"/>
  <c r="H246" i="49"/>
  <c r="H5" i="49"/>
  <c r="H102" i="49"/>
  <c r="H58" i="49"/>
  <c r="H234" i="49"/>
  <c r="H90" i="49"/>
  <c r="H51" i="49"/>
  <c r="H258" i="49"/>
  <c r="H227" i="49"/>
  <c r="H141" i="49"/>
  <c r="H16" i="49"/>
  <c r="H71" i="49"/>
  <c r="H260" i="49"/>
  <c r="H216" i="49"/>
  <c r="H52" i="49"/>
  <c r="H134" i="49"/>
  <c r="H196" i="49"/>
  <c r="H255" i="49"/>
  <c r="H168" i="49"/>
  <c r="H84" i="49"/>
  <c r="H62" i="49"/>
  <c r="H99" i="49"/>
  <c r="H169" i="49"/>
  <c r="H201" i="49"/>
  <c r="H145" i="49"/>
  <c r="H88" i="49"/>
  <c r="H61" i="49"/>
  <c r="H224" i="49"/>
  <c r="H233" i="49"/>
  <c r="H187" i="49"/>
  <c r="H68" i="49"/>
  <c r="H207" i="49"/>
  <c r="H108" i="49"/>
  <c r="H146" i="49"/>
  <c r="H263" i="49"/>
  <c r="H154" i="49"/>
  <c r="H165" i="49"/>
  <c r="H34" i="49"/>
  <c r="H47" i="49"/>
  <c r="E40" i="46"/>
  <c r="H242" i="49"/>
  <c r="H78" i="49"/>
  <c r="H232" i="49"/>
  <c r="I18" i="46"/>
  <c r="H55" i="49"/>
  <c r="H189" i="49"/>
  <c r="H100" i="49"/>
  <c r="H97" i="49"/>
  <c r="H228" i="49"/>
  <c r="H13" i="49"/>
  <c r="H41" i="49"/>
  <c r="F36" i="53"/>
  <c r="E36" i="53"/>
  <c r="H124" i="49"/>
  <c r="H115" i="49"/>
  <c r="H174" i="49"/>
  <c r="H121" i="49"/>
  <c r="H271" i="49"/>
  <c r="H137" i="49"/>
  <c r="H192" i="49"/>
  <c r="H126" i="49"/>
  <c r="H89" i="49"/>
  <c r="H264" i="49"/>
  <c r="H17" i="49"/>
  <c r="H217" i="49"/>
  <c r="H222" i="49"/>
  <c r="H37" i="49"/>
  <c r="H221" i="49"/>
  <c r="H151" i="49"/>
  <c r="H257" i="49"/>
  <c r="H211" i="49"/>
  <c r="H79" i="49"/>
  <c r="H127" i="49"/>
  <c r="H237" i="49"/>
  <c r="H3" i="49"/>
  <c r="H56" i="49"/>
  <c r="H142" i="49"/>
  <c r="H158" i="49"/>
  <c r="H77" i="49"/>
  <c r="H197" i="49"/>
  <c r="H64" i="49"/>
  <c r="H182" i="49"/>
  <c r="H170" i="49"/>
  <c r="H105" i="49"/>
  <c r="H140" i="49"/>
  <c r="H103" i="49"/>
  <c r="H218" i="49"/>
  <c r="H132" i="49"/>
  <c r="H106" i="49"/>
  <c r="H44" i="49"/>
  <c r="H230" i="49"/>
  <c r="F42" i="53"/>
  <c r="E42" i="53"/>
  <c r="H274" i="49"/>
  <c r="H12" i="49"/>
  <c r="H133" i="49"/>
  <c r="H267" i="49"/>
  <c r="H6" i="49"/>
  <c r="H123" i="49"/>
  <c r="H183" i="49"/>
  <c r="H18" i="49"/>
  <c r="H113" i="49"/>
  <c r="H112" i="49"/>
  <c r="H73" i="49"/>
  <c r="H226" i="49"/>
  <c r="H219" i="49"/>
  <c r="H205" i="49"/>
  <c r="H120" i="49"/>
  <c r="H30" i="49"/>
  <c r="H9" i="49"/>
  <c r="H236" i="49"/>
  <c r="H172" i="49"/>
  <c r="H86" i="49"/>
  <c r="H198" i="49"/>
  <c r="H256" i="49"/>
  <c r="H184" i="49"/>
  <c r="H70" i="49"/>
  <c r="H185" i="49"/>
  <c r="H209" i="49"/>
  <c r="H225" i="49"/>
  <c r="H157" i="49"/>
  <c r="H167" i="49"/>
  <c r="H4" i="49"/>
  <c r="H87" i="49"/>
  <c r="H262" i="49"/>
  <c r="E21" i="46"/>
  <c r="H119" i="49"/>
  <c r="H138" i="49"/>
  <c r="H160" i="49"/>
  <c r="H135" i="49"/>
  <c r="H199" i="49"/>
  <c r="H38" i="49"/>
  <c r="E30" i="46"/>
  <c r="F29" i="53"/>
  <c r="H27" i="46"/>
  <c r="J27" i="46"/>
  <c r="H159" i="49"/>
  <c r="H75" i="49"/>
  <c r="H109" i="49"/>
  <c r="H76" i="49"/>
  <c r="H111" i="49"/>
  <c r="H253" i="49"/>
  <c r="H50" i="49"/>
  <c r="H91" i="49"/>
  <c r="H261" i="49"/>
  <c r="H250" i="49"/>
  <c r="H2" i="49"/>
  <c r="H46" i="49"/>
  <c r="F45" i="53"/>
  <c r="E45" i="53"/>
  <c r="H43" i="46"/>
  <c r="J43" i="46"/>
  <c r="H276" i="49"/>
  <c r="H186" i="49"/>
  <c r="H25" i="49"/>
  <c r="H280" i="49"/>
  <c r="H203" i="49"/>
  <c r="H35" i="49"/>
  <c r="H24" i="49"/>
  <c r="H129" i="49"/>
  <c r="H14" i="49"/>
  <c r="H150" i="49"/>
  <c r="H268" i="49"/>
  <c r="H270" i="49"/>
  <c r="H279" i="49"/>
  <c r="H269" i="49"/>
  <c r="H11" i="49"/>
  <c r="H22" i="49"/>
  <c r="H241" i="49"/>
  <c r="H265" i="49"/>
  <c r="H149" i="49"/>
  <c r="H136" i="49"/>
  <c r="H53" i="49"/>
  <c r="H259" i="49"/>
  <c r="H204" i="49"/>
  <c r="H180" i="49"/>
  <c r="H114" i="49"/>
  <c r="H273" i="49"/>
  <c r="H202" i="49"/>
  <c r="H128" i="49"/>
  <c r="H45" i="49"/>
  <c r="H49" i="49"/>
  <c r="H81" i="49"/>
  <c r="H33" i="49"/>
  <c r="H94" i="49"/>
  <c r="H213" i="49"/>
  <c r="H195" i="49"/>
  <c r="H130" i="49"/>
  <c r="H65" i="49"/>
  <c r="H59" i="49"/>
  <c r="H27" i="49"/>
  <c r="H39" i="49"/>
  <c r="H83" i="49"/>
  <c r="H110" i="49"/>
  <c r="H210" i="49"/>
  <c r="H188" i="49"/>
  <c r="H214" i="49"/>
  <c r="H122" i="49"/>
  <c r="H181" i="49"/>
  <c r="H125" i="49"/>
  <c r="H252" i="49"/>
  <c r="H212" i="49"/>
  <c r="H272" i="49"/>
  <c r="H23" i="49"/>
  <c r="H275" i="49"/>
  <c r="H20" i="49"/>
  <c r="H179" i="49"/>
  <c r="H19" i="49"/>
  <c r="H8" i="49"/>
  <c r="H176" i="49"/>
  <c r="H177" i="49"/>
  <c r="H143" i="49"/>
  <c r="H162" i="49"/>
  <c r="H32" i="49"/>
  <c r="H254" i="49"/>
  <c r="H164" i="49"/>
  <c r="H144" i="49"/>
  <c r="H107" i="49"/>
  <c r="H194" i="49"/>
  <c r="H98" i="49"/>
  <c r="H231" i="49"/>
  <c r="H193" i="49"/>
  <c r="H223" i="49"/>
  <c r="H178" i="49"/>
  <c r="F41" i="53"/>
  <c r="H17" i="46"/>
  <c r="H173" i="49"/>
  <c r="H249" i="49"/>
  <c r="I13" i="46"/>
  <c r="H92" i="49"/>
  <c r="H117" i="49"/>
  <c r="H240" i="49"/>
  <c r="H166" i="49"/>
  <c r="H235" i="49"/>
  <c r="H131" i="49"/>
  <c r="H21" i="49"/>
  <c r="E38" i="46"/>
  <c r="H238" i="49"/>
  <c r="H93" i="49"/>
  <c r="H175" i="49"/>
  <c r="H104" i="49"/>
  <c r="H118" i="49"/>
  <c r="E45" i="46"/>
  <c r="E44" i="46"/>
  <c r="H29" i="49"/>
  <c r="H42" i="46"/>
  <c r="J42" i="46"/>
  <c r="F44" i="53"/>
  <c r="E44" i="53"/>
  <c r="H247" i="49"/>
  <c r="H148" i="49"/>
  <c r="H36" i="49"/>
  <c r="H60" i="49"/>
  <c r="H28" i="49"/>
  <c r="H248" i="49"/>
  <c r="H43" i="49"/>
  <c r="H191" i="49"/>
  <c r="H40" i="49"/>
  <c r="H96" i="49"/>
  <c r="H95" i="49"/>
  <c r="H63" i="49"/>
  <c r="F18" i="53"/>
  <c r="E18" i="53"/>
  <c r="H14" i="46"/>
  <c r="E56" i="46"/>
  <c r="H206" i="49"/>
  <c r="H244" i="49"/>
  <c r="H82" i="49"/>
  <c r="H116" i="49"/>
  <c r="H266" i="49"/>
  <c r="H139" i="49"/>
  <c r="H101" i="49"/>
  <c r="H57" i="49"/>
  <c r="H243" i="49"/>
  <c r="H208" i="49"/>
  <c r="H31" i="49"/>
  <c r="I17" i="46"/>
  <c r="H67" i="49"/>
  <c r="H147" i="49"/>
  <c r="H153" i="49"/>
  <c r="H74" i="49"/>
  <c r="H163" i="49"/>
  <c r="H48" i="49"/>
  <c r="H215" i="49"/>
  <c r="H155" i="49"/>
  <c r="H15" i="49"/>
  <c r="N558" i="37"/>
  <c r="N476" i="37"/>
  <c r="N115" i="37"/>
  <c r="N821" i="37"/>
  <c r="N10" i="37"/>
  <c r="B795" i="37"/>
  <c r="F109" i="53"/>
  <c r="E109" i="53"/>
  <c r="H7" i="46"/>
  <c r="J7" i="46"/>
  <c r="F118" i="53"/>
  <c r="E118" i="53"/>
  <c r="F26" i="53"/>
  <c r="E26" i="53"/>
  <c r="F108" i="53"/>
  <c r="E108" i="53"/>
  <c r="F111" i="53"/>
  <c r="E111" i="53"/>
  <c r="F122" i="53"/>
  <c r="E122" i="53"/>
  <c r="F104" i="53"/>
  <c r="F27" i="53"/>
  <c r="E27" i="53"/>
  <c r="F123" i="53"/>
  <c r="E123" i="53"/>
  <c r="F110" i="53"/>
  <c r="E110" i="53"/>
  <c r="F124" i="53"/>
  <c r="O821" i="37"/>
  <c r="F117" i="53"/>
  <c r="E117" i="53"/>
  <c r="F38" i="53"/>
  <c r="E29" i="53"/>
  <c r="E20" i="46"/>
  <c r="E35" i="53"/>
  <c r="E97" i="53"/>
  <c r="E99" i="53"/>
  <c r="E37" i="46"/>
  <c r="F87" i="53"/>
  <c r="E87" i="53"/>
  <c r="I42" i="46"/>
  <c r="I40" i="46"/>
  <c r="H53" i="46"/>
  <c r="J53" i="46"/>
  <c r="E106" i="53"/>
  <c r="H55" i="46"/>
  <c r="J55" i="46"/>
  <c r="H54" i="46"/>
  <c r="J54" i="46"/>
  <c r="E105" i="53"/>
  <c r="I46" i="46"/>
  <c r="E8" i="46"/>
  <c r="F9" i="53"/>
  <c r="E9" i="53"/>
  <c r="H19" i="46"/>
  <c r="J19" i="46"/>
  <c r="H23" i="46"/>
  <c r="J23" i="46"/>
  <c r="E107" i="53"/>
  <c r="H313" i="49"/>
  <c r="F43" i="53"/>
  <c r="F47" i="53"/>
  <c r="H112" i="53"/>
  <c r="H11" i="46"/>
  <c r="J11" i="46"/>
  <c r="F16" i="53"/>
  <c r="E16" i="53"/>
  <c r="I16" i="46"/>
  <c r="H24" i="46"/>
  <c r="J24" i="46"/>
  <c r="H39" i="46"/>
  <c r="J39" i="46"/>
  <c r="I37" i="46"/>
  <c r="H40" i="46"/>
  <c r="F86" i="53"/>
  <c r="H38" i="46"/>
  <c r="J38" i="46"/>
  <c r="H18" i="46"/>
  <c r="J18" i="46"/>
  <c r="F28" i="53"/>
  <c r="H26" i="46"/>
  <c r="J26" i="46"/>
  <c r="E112" i="53"/>
  <c r="H59" i="46"/>
  <c r="J59" i="46"/>
  <c r="H30" i="46"/>
  <c r="F50" i="53"/>
  <c r="I21" i="46"/>
  <c r="I20" i="46"/>
  <c r="F25" i="53"/>
  <c r="E25" i="53"/>
  <c r="H22" i="46"/>
  <c r="J22" i="46"/>
  <c r="H57" i="46"/>
  <c r="J57" i="46"/>
  <c r="I30" i="46"/>
  <c r="H46" i="46"/>
  <c r="J46" i="46"/>
  <c r="F92" i="53"/>
  <c r="F94" i="53"/>
  <c r="H121" i="53"/>
  <c r="E41" i="53"/>
  <c r="H62" i="46"/>
  <c r="I45" i="46"/>
  <c r="I44" i="46"/>
  <c r="H64" i="46"/>
  <c r="J64" i="46"/>
  <c r="F24" i="53"/>
  <c r="H21" i="46"/>
  <c r="H58" i="46"/>
  <c r="J58" i="46"/>
  <c r="J14" i="46"/>
  <c r="H13" i="46"/>
  <c r="H45" i="46"/>
  <c r="J17" i="46"/>
  <c r="I62" i="46"/>
  <c r="I61" i="46"/>
  <c r="J56" i="46"/>
  <c r="N557" i="37"/>
  <c r="E38" i="53"/>
  <c r="H111" i="53"/>
  <c r="B796" i="37"/>
  <c r="F32" i="53"/>
  <c r="F89" i="53"/>
  <c r="E86" i="53"/>
  <c r="E43" i="53"/>
  <c r="E47" i="53"/>
  <c r="E104" i="53"/>
  <c r="E28" i="53"/>
  <c r="E92" i="53"/>
  <c r="H8" i="46"/>
  <c r="J8" i="46"/>
  <c r="J40" i="46"/>
  <c r="H37" i="46"/>
  <c r="H16" i="46"/>
  <c r="J16" i="46"/>
  <c r="H44" i="46"/>
  <c r="J62" i="46"/>
  <c r="H61" i="46"/>
  <c r="E120" i="53"/>
  <c r="J13" i="46"/>
  <c r="H20" i="46"/>
  <c r="J21" i="46"/>
  <c r="E50" i="53"/>
  <c r="E24" i="53"/>
  <c r="J30" i="46"/>
  <c r="E89" i="53"/>
  <c r="H120" i="53"/>
  <c r="E32" i="53"/>
  <c r="H110" i="53"/>
  <c r="B797" i="37"/>
  <c r="F10" i="53"/>
  <c r="I8" i="46"/>
  <c r="E94" i="53"/>
  <c r="J37" i="46"/>
  <c r="J20" i="46"/>
  <c r="J61" i="46"/>
  <c r="J44" i="46"/>
  <c r="B798" i="37"/>
  <c r="E10" i="53"/>
  <c r="B799" i="37"/>
  <c r="F45" i="46"/>
  <c r="F44" i="46"/>
  <c r="G45" i="46"/>
  <c r="G44" i="46"/>
  <c r="B800" i="37"/>
  <c r="E62" i="46"/>
  <c r="E61" i="46"/>
  <c r="B801" i="37"/>
  <c r="D451" i="57"/>
  <c r="B802" i="37"/>
  <c r="F62" i="37"/>
  <c r="F63" i="37"/>
  <c r="D452" i="57"/>
  <c r="G440" i="57"/>
  <c r="D450" i="57"/>
  <c r="F59" i="37"/>
  <c r="B803" i="37"/>
  <c r="F61" i="37"/>
  <c r="G443" i="57"/>
  <c r="C7" i="51"/>
  <c r="E455" i="57"/>
  <c r="F455" i="57"/>
  <c r="K59" i="37"/>
  <c r="M59" i="37"/>
  <c r="L59" i="37"/>
  <c r="B804" i="37"/>
  <c r="F64" i="37"/>
  <c r="K61" i="37"/>
  <c r="L61" i="37"/>
  <c r="M61" i="37"/>
  <c r="E456" i="57"/>
  <c r="F456" i="57"/>
  <c r="O59" i="37"/>
  <c r="N59" i="37"/>
  <c r="L62" i="37"/>
  <c r="M62" i="37"/>
  <c r="K62" i="37"/>
  <c r="B805" i="37"/>
  <c r="O62" i="37"/>
  <c r="N62" i="37"/>
  <c r="L64" i="37"/>
  <c r="F65" i="37"/>
  <c r="M64" i="37"/>
  <c r="K64" i="37"/>
  <c r="L63" i="37"/>
  <c r="K63" i="37"/>
  <c r="M63" i="37"/>
  <c r="O61" i="37"/>
  <c r="N61" i="37"/>
  <c r="B806" i="37"/>
  <c r="D7" i="51"/>
  <c r="K65" i="37"/>
  <c r="M65" i="37"/>
  <c r="M55" i="37"/>
  <c r="M54" i="37"/>
  <c r="L65" i="37"/>
  <c r="L55" i="37"/>
  <c r="X12" i="37"/>
  <c r="O63" i="37"/>
  <c r="N63" i="37"/>
  <c r="N64" i="37"/>
  <c r="O64" i="37"/>
  <c r="B807" i="37"/>
  <c r="Z12" i="37"/>
  <c r="AA16" i="37"/>
  <c r="F10" i="46"/>
  <c r="F9" i="46"/>
  <c r="O65" i="37"/>
  <c r="O55" i="37"/>
  <c r="N65" i="37"/>
  <c r="N55" i="37"/>
  <c r="K55" i="37"/>
  <c r="G10" i="46"/>
  <c r="G9" i="46"/>
  <c r="N54" i="37"/>
  <c r="B808" i="37"/>
  <c r="I10" i="46"/>
  <c r="I9" i="46"/>
  <c r="H10" i="46"/>
  <c r="F15" i="53"/>
  <c r="F21" i="53"/>
  <c r="H109" i="53"/>
  <c r="E10" i="46"/>
  <c r="E9" i="46"/>
  <c r="M10" i="46"/>
  <c r="B809" i="37"/>
  <c r="J10" i="46"/>
  <c r="H9" i="46"/>
  <c r="E15" i="53"/>
  <c r="E21" i="53"/>
  <c r="L10" i="46"/>
  <c r="B810" i="37"/>
  <c r="J9" i="46"/>
  <c r="B811" i="37"/>
  <c r="F383" i="37"/>
  <c r="B812" i="37"/>
  <c r="M383" i="37"/>
  <c r="L383" i="37"/>
  <c r="K383" i="37"/>
  <c r="E1414" i="57"/>
  <c r="F1414" i="57"/>
  <c r="F375" i="37"/>
  <c r="C51" i="53"/>
  <c r="C53" i="53"/>
  <c r="C31" i="46"/>
  <c r="C29" i="46"/>
  <c r="B813" i="37"/>
  <c r="F382" i="37"/>
  <c r="F385" i="37"/>
  <c r="K385" i="37"/>
  <c r="F387" i="37"/>
  <c r="M387" i="37"/>
  <c r="F384" i="37"/>
  <c r="F391" i="37"/>
  <c r="F388" i="37"/>
  <c r="K388" i="37"/>
  <c r="F386" i="37"/>
  <c r="L386" i="37"/>
  <c r="O383" i="37"/>
  <c r="N383" i="37"/>
  <c r="L378" i="37"/>
  <c r="K378" i="37"/>
  <c r="M378" i="37"/>
  <c r="E1415" i="57"/>
  <c r="F1415" i="57"/>
  <c r="L376" i="37"/>
  <c r="M376" i="37"/>
  <c r="K376" i="37"/>
  <c r="B814" i="37"/>
  <c r="K386" i="37"/>
  <c r="M386" i="37"/>
  <c r="L387" i="37"/>
  <c r="K387" i="37"/>
  <c r="M385" i="37"/>
  <c r="L385" i="37"/>
  <c r="M388" i="37"/>
  <c r="L388" i="37"/>
  <c r="M384" i="37"/>
  <c r="K384" i="37"/>
  <c r="L384" i="37"/>
  <c r="O378" i="37"/>
  <c r="N378" i="37"/>
  <c r="O376" i="37"/>
  <c r="N376" i="37"/>
  <c r="K391" i="37"/>
  <c r="L391" i="37"/>
  <c r="F392" i="37"/>
  <c r="M391" i="37"/>
  <c r="K379" i="37"/>
  <c r="M379" i="37"/>
  <c r="L379" i="37"/>
  <c r="L382" i="37"/>
  <c r="M382" i="37"/>
  <c r="K382" i="37"/>
  <c r="B815" i="37"/>
  <c r="O386" i="37"/>
  <c r="O387" i="37"/>
  <c r="N386" i="37"/>
  <c r="N385" i="37"/>
  <c r="O385" i="37"/>
  <c r="N387" i="37"/>
  <c r="D25" i="51"/>
  <c r="O388" i="37"/>
  <c r="N388" i="37"/>
  <c r="N384" i="37"/>
  <c r="O384" i="37"/>
  <c r="K392" i="37"/>
  <c r="L392" i="37"/>
  <c r="L361" i="37"/>
  <c r="M392" i="37"/>
  <c r="M361" i="37"/>
  <c r="N391" i="37"/>
  <c r="O391" i="37"/>
  <c r="O379" i="37"/>
  <c r="N379" i="37"/>
  <c r="N382" i="37"/>
  <c r="O382" i="37"/>
  <c r="B816" i="37"/>
  <c r="F31" i="46"/>
  <c r="F29" i="46"/>
  <c r="G31" i="46"/>
  <c r="G29" i="46"/>
  <c r="N392" i="37"/>
  <c r="N361" i="37"/>
  <c r="O392" i="37"/>
  <c r="O361" i="37"/>
  <c r="K361" i="37"/>
  <c r="N322" i="37"/>
  <c r="B817" i="37"/>
  <c r="I31" i="46"/>
  <c r="I29" i="46"/>
  <c r="E31" i="46"/>
  <c r="E29" i="46"/>
  <c r="F51" i="53"/>
  <c r="F53" i="53"/>
  <c r="H113" i="53"/>
  <c r="H31" i="46"/>
  <c r="B818" i="37"/>
  <c r="J31" i="46"/>
  <c r="H29" i="46"/>
  <c r="E53" i="53"/>
  <c r="E51" i="53"/>
  <c r="B819" i="37"/>
  <c r="J29" i="46"/>
  <c r="B820" i="37"/>
  <c r="E1603" i="57"/>
  <c r="F1603" i="57"/>
  <c r="C43" i="51"/>
  <c r="C45" i="51"/>
  <c r="C46" i="51"/>
  <c r="C32" i="51"/>
  <c r="F396" i="37"/>
  <c r="L396" i="37"/>
  <c r="C33" i="46"/>
  <c r="C32" i="46"/>
  <c r="F394" i="37"/>
  <c r="F395" i="37"/>
  <c r="E1604" i="57"/>
  <c r="F1604" i="57"/>
  <c r="D45" i="51"/>
  <c r="E1592" i="57"/>
  <c r="F1592" i="57"/>
  <c r="D43" i="51"/>
  <c r="F399" i="37"/>
  <c r="C58" i="53"/>
  <c r="C33" i="51"/>
  <c r="D1471" i="57"/>
  <c r="D1470" i="57"/>
  <c r="C34" i="46"/>
  <c r="E1474" i="57"/>
  <c r="F1474" i="57"/>
  <c r="F429" i="37"/>
  <c r="C68" i="53"/>
  <c r="C45" i="46"/>
  <c r="J45" i="46"/>
  <c r="E1596" i="57"/>
  <c r="F1596" i="57"/>
  <c r="D46" i="51"/>
  <c r="F403" i="37"/>
  <c r="M403" i="37"/>
  <c r="F404" i="37"/>
  <c r="F402" i="37"/>
  <c r="K402" i="37"/>
  <c r="C57" i="53"/>
  <c r="C60" i="53"/>
  <c r="F450" i="37"/>
  <c r="M430" i="37"/>
  <c r="L430" i="37"/>
  <c r="K430" i="37"/>
  <c r="K396" i="37"/>
  <c r="M396" i="37"/>
  <c r="E1460" i="57"/>
  <c r="F1460" i="57"/>
  <c r="E1475" i="57"/>
  <c r="F1475" i="57"/>
  <c r="F401" i="37"/>
  <c r="F400" i="37"/>
  <c r="L403" i="37"/>
  <c r="M402" i="37"/>
  <c r="L402" i="37"/>
  <c r="K403" i="37"/>
  <c r="O430" i="37"/>
  <c r="N430" i="37"/>
  <c r="N396" i="37"/>
  <c r="O396" i="37"/>
  <c r="F398" i="37"/>
  <c r="L397" i="37"/>
  <c r="M397" i="37"/>
  <c r="K397" i="37"/>
  <c r="L435" i="37"/>
  <c r="K435" i="37"/>
  <c r="M435" i="37"/>
  <c r="L450" i="37"/>
  <c r="M450" i="37"/>
  <c r="K450" i="37"/>
  <c r="F451" i="37"/>
  <c r="K400" i="37"/>
  <c r="L400" i="37"/>
  <c r="M400" i="37"/>
  <c r="K446" i="37"/>
  <c r="L446" i="37"/>
  <c r="M446" i="37"/>
  <c r="F444" i="37"/>
  <c r="L443" i="37"/>
  <c r="M443" i="37"/>
  <c r="K443" i="37"/>
  <c r="K401" i="37"/>
  <c r="M401" i="37"/>
  <c r="L401" i="37"/>
  <c r="M441" i="37"/>
  <c r="L441" i="37"/>
  <c r="K441" i="37"/>
  <c r="L445" i="37"/>
  <c r="K445" i="37"/>
  <c r="M445" i="37"/>
  <c r="F405" i="37"/>
  <c r="D33" i="51"/>
  <c r="M404" i="37"/>
  <c r="L404" i="37"/>
  <c r="K404" i="37"/>
  <c r="F963" i="37"/>
  <c r="E57" i="51"/>
  <c r="N403" i="37"/>
  <c r="N402" i="37"/>
  <c r="O402" i="37"/>
  <c r="O403" i="37"/>
  <c r="D32" i="51"/>
  <c r="D57" i="51"/>
  <c r="O397" i="37"/>
  <c r="N397" i="37"/>
  <c r="M398" i="37"/>
  <c r="L398" i="37"/>
  <c r="K398" i="37"/>
  <c r="L405" i="37"/>
  <c r="M405" i="37"/>
  <c r="M399" i="37"/>
  <c r="G34" i="46"/>
  <c r="K405" i="37"/>
  <c r="K399" i="37"/>
  <c r="E34" i="46"/>
  <c r="M451" i="37"/>
  <c r="K451" i="37"/>
  <c r="L451" i="37"/>
  <c r="K447" i="37"/>
  <c r="L447" i="37"/>
  <c r="M447" i="37"/>
  <c r="L444" i="37"/>
  <c r="F47" i="46"/>
  <c r="M444" i="37"/>
  <c r="G47" i="46"/>
  <c r="K444" i="37"/>
  <c r="E47" i="46"/>
  <c r="O450" i="37"/>
  <c r="N450" i="37"/>
  <c r="N445" i="37"/>
  <c r="O445" i="37"/>
  <c r="O441" i="37"/>
  <c r="N441" i="37"/>
  <c r="M442" i="37"/>
  <c r="K442" i="37"/>
  <c r="L442" i="37"/>
  <c r="O404" i="37"/>
  <c r="N404" i="37"/>
  <c r="O401" i="37"/>
  <c r="N401" i="37"/>
  <c r="N443" i="37"/>
  <c r="O443" i="37"/>
  <c r="O400" i="37"/>
  <c r="N400" i="37"/>
  <c r="N435" i="37"/>
  <c r="O435" i="37"/>
  <c r="N446" i="37"/>
  <c r="O446" i="37"/>
  <c r="L399" i="37"/>
  <c r="F34" i="46"/>
  <c r="F57" i="51"/>
  <c r="K395" i="37"/>
  <c r="E33" i="46"/>
  <c r="E32" i="46"/>
  <c r="E36" i="46"/>
  <c r="E35" i="46"/>
  <c r="L395" i="37"/>
  <c r="F36" i="46"/>
  <c r="F35" i="46"/>
  <c r="M395" i="37"/>
  <c r="G33" i="46"/>
  <c r="G32" i="46"/>
  <c r="G36" i="46"/>
  <c r="G35" i="46"/>
  <c r="L429" i="37"/>
  <c r="X33" i="37"/>
  <c r="M429" i="37"/>
  <c r="K429" i="37"/>
  <c r="N398" i="37"/>
  <c r="O398" i="37"/>
  <c r="N451" i="37"/>
  <c r="O451" i="37"/>
  <c r="O444" i="37"/>
  <c r="I47" i="46"/>
  <c r="N444" i="37"/>
  <c r="O442" i="37"/>
  <c r="N442" i="37"/>
  <c r="N405" i="37"/>
  <c r="N399" i="37"/>
  <c r="O405" i="37"/>
  <c r="O399" i="37"/>
  <c r="I34" i="46"/>
  <c r="N447" i="37"/>
  <c r="O447" i="37"/>
  <c r="X31" i="37"/>
  <c r="Z31" i="37"/>
  <c r="F33" i="46"/>
  <c r="F32" i="46"/>
  <c r="X30" i="37"/>
  <c r="Z33" i="37"/>
  <c r="AA36" i="37"/>
  <c r="F69" i="53"/>
  <c r="E69" i="53"/>
  <c r="H47" i="46"/>
  <c r="J47" i="46"/>
  <c r="O395" i="37"/>
  <c r="I33" i="46"/>
  <c r="I32" i="46"/>
  <c r="I36" i="46"/>
  <c r="I35" i="46"/>
  <c r="N395" i="37"/>
  <c r="N394" i="37"/>
  <c r="F63" i="53"/>
  <c r="F65" i="53"/>
  <c r="H116" i="53"/>
  <c r="H36" i="46"/>
  <c r="O429" i="37"/>
  <c r="N429" i="37"/>
  <c r="N428" i="37"/>
  <c r="H34" i="46"/>
  <c r="J34" i="46"/>
  <c r="F58" i="53"/>
  <c r="E58" i="53"/>
  <c r="H33" i="46"/>
  <c r="H32" i="46"/>
  <c r="Z30" i="37"/>
  <c r="F57" i="53"/>
  <c r="H35" i="46"/>
  <c r="J35" i="46"/>
  <c r="J36" i="46"/>
  <c r="E65" i="53"/>
  <c r="E63" i="53"/>
  <c r="F68" i="53"/>
  <c r="J33" i="46"/>
  <c r="AA31" i="37"/>
  <c r="F72" i="53"/>
  <c r="E57" i="53"/>
  <c r="F60" i="53"/>
  <c r="E68" i="53"/>
  <c r="J32" i="46"/>
  <c r="E60" i="53"/>
  <c r="H115" i="53"/>
  <c r="E72" i="53"/>
  <c r="H117" i="53"/>
  <c r="I5" i="46"/>
  <c r="G5" i="46"/>
  <c r="F5" i="46"/>
  <c r="E5" i="46"/>
  <c r="H5" i="46"/>
  <c r="J5" i="46"/>
  <c r="F8" i="53"/>
  <c r="E8" i="53"/>
  <c r="H52" i="46"/>
  <c r="H51" i="46"/>
  <c r="J51" i="46"/>
  <c r="E52" i="46"/>
  <c r="E51" i="46"/>
  <c r="I52" i="46"/>
  <c r="I51" i="46"/>
  <c r="F7" i="53"/>
  <c r="F103" i="53"/>
  <c r="F114" i="53"/>
  <c r="H124" i="53"/>
  <c r="H80" i="46"/>
  <c r="H98" i="46"/>
  <c r="F52" i="46"/>
  <c r="F51" i="46"/>
  <c r="G52" i="46"/>
  <c r="G51" i="46"/>
  <c r="H6" i="46"/>
  <c r="J6" i="46"/>
  <c r="O471" i="37"/>
  <c r="O465" i="37"/>
  <c r="O428" i="37"/>
  <c r="O406" i="37"/>
  <c r="O394" i="37"/>
  <c r="O322" i="37"/>
  <c r="O253" i="37"/>
  <c r="O236" i="37"/>
  <c r="O115" i="37"/>
  <c r="O54" i="37"/>
  <c r="O10" i="37"/>
  <c r="O558" i="37"/>
  <c r="O548" i="37"/>
  <c r="O525" i="37"/>
  <c r="O476" i="37"/>
  <c r="I6" i="46"/>
  <c r="L471" i="37"/>
  <c r="L465" i="37"/>
  <c r="L428" i="37"/>
  <c r="L406" i="37"/>
  <c r="L394" i="37"/>
  <c r="L322" i="37"/>
  <c r="L253" i="37"/>
  <c r="L236" i="37"/>
  <c r="L115" i="37"/>
  <c r="L54" i="37"/>
  <c r="L10" i="37"/>
  <c r="L558" i="37"/>
  <c r="X40" i="37"/>
  <c r="L548" i="37"/>
  <c r="L525" i="37"/>
  <c r="L476" i="37"/>
  <c r="F6" i="46"/>
  <c r="M471" i="37"/>
  <c r="M465" i="37"/>
  <c r="M428" i="37"/>
  <c r="M406" i="37"/>
  <c r="M394" i="37"/>
  <c r="M322" i="37"/>
  <c r="M253" i="37"/>
  <c r="M236" i="37"/>
  <c r="M115" i="37"/>
  <c r="M10" i="37"/>
  <c r="M558" i="37"/>
  <c r="M557" i="37"/>
  <c r="M548" i="37"/>
  <c r="M525" i="37"/>
  <c r="M476" i="37"/>
  <c r="G6" i="46"/>
  <c r="K471" i="37"/>
  <c r="K465" i="37"/>
  <c r="K428" i="37"/>
  <c r="K406" i="37"/>
  <c r="K394" i="37"/>
  <c r="K322" i="37"/>
  <c r="K253" i="37"/>
  <c r="K236" i="37"/>
  <c r="K54" i="37"/>
  <c r="K558" i="37"/>
  <c r="K548" i="37"/>
  <c r="K525" i="37"/>
  <c r="K476" i="37"/>
  <c r="E6" i="46"/>
  <c r="F12" i="53"/>
  <c r="H108" i="53"/>
  <c r="F81" i="53"/>
  <c r="F83" i="53"/>
  <c r="Z40" i="37"/>
  <c r="X50" i="37"/>
  <c r="Y260" i="37"/>
  <c r="K9" i="37"/>
  <c r="M9" i="37"/>
  <c r="E114" i="53"/>
  <c r="G4" i="46"/>
  <c r="G70" i="46"/>
  <c r="L9" i="37"/>
  <c r="E4" i="46"/>
  <c r="E70" i="46"/>
  <c r="I4" i="46"/>
  <c r="I70" i="46"/>
  <c r="F4" i="46"/>
  <c r="F70" i="46"/>
  <c r="H78" i="46"/>
  <c r="N9" i="37"/>
  <c r="O393" i="37"/>
  <c r="E7" i="53"/>
  <c r="K393" i="37"/>
  <c r="N393" i="37"/>
  <c r="E103" i="53"/>
  <c r="O9" i="37"/>
  <c r="L393" i="37"/>
  <c r="J52" i="46"/>
  <c r="M393" i="37"/>
  <c r="H4" i="46"/>
  <c r="E83" i="53"/>
  <c r="H119" i="53"/>
  <c r="Y47" i="37"/>
  <c r="Y77" i="37"/>
  <c r="Y34" i="37"/>
  <c r="E12" i="53"/>
  <c r="Y108" i="37"/>
  <c r="Y40" i="37"/>
  <c r="E81" i="53"/>
  <c r="Z50" i="37"/>
  <c r="Y8" i="37"/>
  <c r="Y36" i="37"/>
  <c r="Y20" i="37"/>
  <c r="Y27" i="37"/>
  <c r="Y11" i="37"/>
  <c r="Y10" i="37"/>
  <c r="Y17" i="37"/>
  <c r="Y31" i="37"/>
  <c r="Y26" i="37"/>
  <c r="Y48" i="37"/>
  <c r="Y22" i="37"/>
  <c r="Y42" i="37"/>
  <c r="Y37" i="37"/>
  <c r="Y45" i="37"/>
  <c r="Y25" i="37"/>
  <c r="Y23" i="37"/>
  <c r="Y29" i="37"/>
  <c r="Y18" i="37"/>
  <c r="Y12" i="37"/>
  <c r="Y43" i="37"/>
  <c r="Y32" i="37"/>
  <c r="Y38" i="37"/>
  <c r="Y49" i="37"/>
  <c r="Y19" i="37"/>
  <c r="Y24" i="37"/>
  <c r="Y35" i="37"/>
  <c r="Y15" i="37"/>
  <c r="Y7" i="37"/>
  <c r="A145" i="57"/>
  <c r="Y33" i="37"/>
  <c r="Y14" i="37"/>
  <c r="Y30" i="37"/>
  <c r="Y41" i="37"/>
  <c r="Y39" i="37"/>
  <c r="Y46" i="37"/>
  <c r="Y44" i="37"/>
  <c r="Y28" i="37"/>
  <c r="Y13" i="37"/>
  <c r="Y9" i="37"/>
  <c r="Y16" i="37"/>
  <c r="Y21" i="37"/>
  <c r="H95" i="46"/>
  <c r="H100" i="46"/>
  <c r="H96" i="46"/>
  <c r="F71" i="46"/>
  <c r="H70" i="46"/>
  <c r="J4" i="46"/>
  <c r="Y50" i="37"/>
  <c r="H76" i="46"/>
  <c r="H85" i="46"/>
  <c r="H89" i="46"/>
  <c r="H81" i="46"/>
  <c r="J81" i="46"/>
  <c r="J84" i="46"/>
  <c r="K557" i="37"/>
  <c r="K8" i="37"/>
  <c r="G315" i="49"/>
  <c r="G316" i="49"/>
  <c r="K951" i="37"/>
  <c r="K952" i="37"/>
  <c r="K955" i="37"/>
  <c r="F957" i="37"/>
  <c r="G957" i="37"/>
  <c r="N8" i="37"/>
  <c r="N951" i="37"/>
  <c r="F121" i="53"/>
  <c r="M8" i="37"/>
  <c r="M951" i="37"/>
  <c r="M952" i="37"/>
  <c r="L557" i="37"/>
  <c r="L8" i="37"/>
  <c r="S947" i="37"/>
  <c r="L68" i="46"/>
  <c r="F126" i="53"/>
  <c r="E121" i="53"/>
  <c r="M955" i="37"/>
  <c r="F959" i="37"/>
  <c r="E124" i="53"/>
  <c r="L951" i="37"/>
  <c r="L953" i="37"/>
  <c r="E126" i="53"/>
  <c r="H125" i="53"/>
  <c r="F131" i="53"/>
  <c r="M953" i="37"/>
  <c r="N955" i="37"/>
  <c r="K953" i="37"/>
  <c r="G959" i="37"/>
  <c r="G135" i="53"/>
  <c r="H135" i="53"/>
  <c r="F158" i="53"/>
  <c r="F168" i="53"/>
  <c r="F157" i="53"/>
  <c r="F153" i="53"/>
  <c r="F152" i="53"/>
  <c r="L952" i="37"/>
  <c r="X51" i="37"/>
  <c r="L955" i="37"/>
  <c r="F958" i="37"/>
  <c r="N953" i="37"/>
  <c r="G131" i="53"/>
  <c r="F139" i="53"/>
  <c r="G132" i="53"/>
  <c r="O557" i="37"/>
  <c r="O8" i="37"/>
  <c r="O951" i="37"/>
  <c r="O955" i="37"/>
  <c r="F155" i="53"/>
  <c r="F156" i="53"/>
  <c r="F167" i="53"/>
  <c r="G958" i="37"/>
  <c r="G960" i="37"/>
  <c r="F960" i="37"/>
  <c r="G136" i="53"/>
  <c r="H136" i="53"/>
  <c r="H137" i="53"/>
  <c r="G134" i="53"/>
  <c r="F962" i="37"/>
  <c r="F965" i="37"/>
  <c r="H131" i="53"/>
  <c r="H960" i="3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Catalina Vazquez</author>
    <author>tc={EBD6A02D-CB79-4DD7-BD59-F78A89B28048}</author>
  </authors>
  <commentList>
    <comment ref="C30" authorId="0" shapeId="0" xr:uid="{FF5C45DF-2325-4661-833D-101453B21A37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CANTIDAD EN LI TROS ( 2 LITROS X M3) </t>
        </r>
      </text>
    </comment>
    <comment ref="C32" authorId="1" shapeId="0" xr:uid="{EBD6A02D-CB79-4DD7-BD59-F78A89B28048}">
      <text>
        <t>[Threaded comment]
Your version of Excel allows you to read this threaded comment; however, any edits to it will get removed if the file is opened in a newer version of Excel. Learn more: https://go.microsoft.com/fwlink/?linkid=870924
Comment:
    Varilla de viga de losa y arranques de muros</t>
      </text>
    </comment>
    <comment ref="C56" authorId="0" shapeId="0" xr:uid="{3FF0D7B7-FFD1-46E2-B229-410D00F91A86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Varilla #3 horizontal muro + ganchos de viga corona y banquina y losa cenital </t>
        </r>
      </text>
    </comment>
    <comment ref="C62" authorId="0" shapeId="0" xr:uid="{B9AE3173-B5A3-430F-B148-BE0F594D1558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CANTIDAD EN LITROS</t>
        </r>
      </text>
    </comment>
    <comment ref="C82" authorId="0" shapeId="0" xr:uid="{C0E6BE08-C327-4B9B-BD00-CACF7ED0D984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CERCHA </t>
        </r>
      </text>
    </comment>
    <comment ref="C83" authorId="0" shapeId="0" xr:uid="{81EC2A99-F87E-4036-AF7B-66D928704934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CLAVADORES, PRECINTA Y DIAGONAL CERCHAS </t>
        </r>
      </text>
    </comment>
    <comment ref="C90" authorId="0" shapeId="0" xr:uid="{A09D08A6-98E5-46EA-AE9D-899FE95BE43B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PERIMETRO ESTRUCTURA</t>
        </r>
      </text>
    </comment>
    <comment ref="C91" authorId="0" shapeId="0" xr:uid="{F55302A4-00A9-4465-900F-D60D03ED1B37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CCOLUMNAS COCHERA </t>
        </r>
      </text>
    </comment>
    <comment ref="C92" authorId="0" shapeId="0" xr:uid="{FF1D00AD-2822-4E30-81EB-028CF2020E1F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CLAVADORES </t>
        </r>
      </text>
    </comment>
    <comment ref="C133" authorId="0" shapeId="0" xr:uid="{B0A0E624-66D3-47D0-A3C6-F3EA1F6B1C3D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Paredes internas </t>
        </r>
      </text>
    </comment>
    <comment ref="C244" authorId="0" shapeId="0" xr:uid="{71EAAD81-33CB-4EE2-BE0E-E0B9BEB1E870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Durman 16 junio Joselyn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Catalina Vazquez</author>
  </authors>
  <commentList>
    <comment ref="C30" authorId="0" shapeId="0" xr:uid="{45ADEBEF-E28F-4823-AAA7-9EE76C92E747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TAPICHELES, PARED DENGLASS Y ALERO TABLILLA </t>
        </r>
      </text>
    </comment>
    <comment ref="C31" authorId="0" shapeId="0" xr:uid="{F76707E7-2F18-45F0-AD4F-5D66A1D540B2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CIELO GYPSUM+ CIELO DENGLASS+ PARED LIVIANA </t>
        </r>
      </text>
    </comment>
    <comment ref="C33" authorId="0" shapeId="0" xr:uid="{6DCAA37B-DC3A-4F63-8B5B-E829A87AEC9D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REPELLO PAREDES INTERNO+ REPELLO PAREDES EXTERNO+ CIELOS + TAPICHELES </t>
        </r>
      </text>
    </comment>
    <comment ref="C34" authorId="0" shapeId="0" xr:uid="{4A42371C-7B16-4EE6-BEF1-967CA409A9D2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PAREDES INTERNAS+ CIELOS </t>
        </r>
      </text>
    </comment>
    <comment ref="C36" authorId="0" shapeId="0" xr:uid="{95A19B5B-E8CC-44FA-8222-A1A4664645E4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ENCHAPE PISOY ENCHAPE BAÑOS</t>
        </r>
      </text>
    </comment>
    <comment ref="C43" authorId="0" shapeId="0" xr:uid="{23E23413-8589-491D-B46E-3E7594AE256F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INCLUYE AREA ACERA Y AREA GEOCELDA </t>
        </r>
      </text>
    </comment>
    <comment ref="C45" authorId="0" shapeId="0" xr:uid="{7DCC0C9C-267B-4D14-9F23-A143798B0C2D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PINTURA PAREDES INTERNO+ PINTURA PAREDES EXTERNO+ CIELOS + TAPICHELES </t>
        </r>
      </text>
    </comment>
    <comment ref="C46" authorId="0" shapeId="0" xr:uid="{9C52C3F4-52EF-419B-986A-EB38295F1241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2 INOD+ 2 LAV+ 2 DUCH+1 FREGADERO </t>
        </r>
      </text>
    </comment>
    <comment ref="C50" authorId="0" shapeId="0" xr:uid="{2AC227F7-EE8D-4BFE-BF71-530BB6E462D5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INCLUYE AREA VENTANAS + PUERTAS ALUMINIO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Catalina Vazquez</author>
  </authors>
  <commentList>
    <comment ref="C45" authorId="0" shapeId="0" xr:uid="{90F36583-975D-4413-9E01-48F2F9107BD1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INCLUYE AREA ACERA Y AREA GEOCELDA </t>
        </r>
      </text>
    </comment>
    <comment ref="C50" authorId="0" shapeId="0" xr:uid="{D2478507-9870-41DD-8690-6E018F1C4068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TAPICHELES, PARED DENGLASS Y ALERO TABLILLA </t>
        </r>
      </text>
    </comment>
    <comment ref="C51" authorId="0" shapeId="0" xr:uid="{6985E222-5032-463B-AD34-D5FDBD9DB02D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CIELO GYPSUM+ CIELO DENGLASS+ PARED LIVIANA </t>
        </r>
      </text>
    </comment>
    <comment ref="C57" authorId="0" shapeId="0" xr:uid="{89929E1A-1929-4E8F-9938-DD9A2427D4F6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REPELLO PAREDES INTERNO+ REPELLO PAREDES EXTERNO+ CIELOS + TAPICHELES </t>
        </r>
      </text>
    </comment>
    <comment ref="C58" authorId="0" shapeId="0" xr:uid="{4B60D39E-444D-45E2-98B0-6A714EC7858A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PAREDES INTERNAS+ CIELOS </t>
        </r>
      </text>
    </comment>
    <comment ref="C63" authorId="0" shapeId="0" xr:uid="{F5B71FCA-97BF-4ED8-8635-D0FC70153CF0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ENCHAPE PISOY ENCHAPE BAÑOS</t>
        </r>
      </text>
    </comment>
    <comment ref="C68" authorId="0" shapeId="0" xr:uid="{50C0E363-B4BD-4DDD-A337-03D324020A92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PINTURA PAREDES INTERNO+ PINTURA PAREDES EXTERNO+ CIELOS + TAPICHELES </t>
        </r>
      </text>
    </comment>
    <comment ref="C75" authorId="0" shapeId="0" xr:uid="{0CC42297-C97D-48BF-888A-2B961BC7E93E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PINTURA PAREDES INTERNO+ PINTURA PAREDES EXTERNO+ CIELOS + TAPICHELES </t>
        </r>
      </text>
    </comment>
    <comment ref="C76" authorId="0" shapeId="0" xr:uid="{218DC3B2-0CB2-464D-83F8-64E3C5238BFC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PINTURA PAREDES INTERNO+ PINTURA PAREDES EXTERNO+ CIELOS + TAPICHELES </t>
        </r>
      </text>
    </comment>
    <comment ref="C81" authorId="0" shapeId="0" xr:uid="{5C290661-013B-4900-A8D9-580CBCB52515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INCLUYE AREA VENTANAS + PUERTAS ALUMINIO </t>
        </r>
      </text>
    </comment>
    <comment ref="C92" authorId="0" shapeId="0" xr:uid="{7464B9CA-51AC-4F93-952A-0600DB94664F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2 INOD+ 2 LAV+ 2 DUCH+1 FREGADERO 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Catalina Vazquez</author>
    <author>tc={6CFD2240-D730-471E-98E2-AFEF3BE168A9}</author>
    <author>tc={7ED34AF7-AE60-43D2-AE4D-60666E6827D9}</author>
    <author>tc={0D6A4E1F-ABFF-4F13-8966-B608ECFD8F68}</author>
    <author>tc={B1EAB073-BF29-4450-9B95-9A78B1B631EC}</author>
    <author>tc={62D4B823-E2E7-4685-87E8-E210E89E628E}</author>
    <author>tc={3B0BFCE5-504E-49E2-8AF1-69482B67E5F1}</author>
    <author>tc={DAA83C57-E352-4213-9CA9-2D0C2F46FE24}</author>
    <author>tc={1A96A4FB-32B6-4285-BB9D-C2467C8B29E2}</author>
    <author>Viviana</author>
    <author>tc={D72233F3-7960-49D0-9795-7F5A766BE59B}</author>
    <author>tc={31EB201B-4C17-4459-9147-4AE0CB6FA28F}</author>
    <author>tc={5F942239-5346-4B46-AF87-AF590C8965DB}</author>
  </authors>
  <commentList>
    <comment ref="E6" authorId="0" shapeId="0" xr:uid="{8745EC3A-E018-49C5-BF69-1D186D8417D6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No incluye área de azotea (16,85 m2)</t>
        </r>
      </text>
    </comment>
    <comment ref="E12" authorId="0" shapeId="0" xr:uid="{CE840D8E-7CCB-44A0-93FF-A4DAC779DF93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REVISAR TIPO LASTRE</t>
        </r>
      </text>
    </comment>
    <comment ref="C19" authorId="0" shapeId="0" xr:uid="{E1724130-0042-4E1D-84B4-179465789783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Trazo </t>
        </r>
      </text>
    </comment>
    <comment ref="F19" authorId="0" shapeId="0" xr:uid="{24415E0C-1BAC-428E-8934-101A5205AB6E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TRAZO LASTRE Y COMPACTACION</t>
        </r>
      </text>
    </comment>
    <comment ref="C20" authorId="0" shapeId="0" xr:uid="{33DF1787-80B2-411E-B591-CA5F218BC11F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Trazo </t>
        </r>
      </text>
    </comment>
    <comment ref="F20" authorId="0" shapeId="0" xr:uid="{479E53DE-4F65-4296-ADCC-343EFD099828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TRAZO LASTRE Y COMPACTACION </t>
        </r>
      </text>
    </comment>
    <comment ref="F26" authorId="0" shapeId="0" xr:uid="{EB7CA7A9-B66D-46AA-938B-C4446B4ED122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ZANJEO</t>
        </r>
      </text>
    </comment>
    <comment ref="F27" authorId="0" shapeId="0" xr:uid="{44B67A4F-85CF-426A-958D-5302100D794A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ZANJEO</t>
        </r>
      </text>
    </comment>
    <comment ref="C35" authorId="0" shapeId="0" xr:uid="{85028D34-512C-48DE-A168-B827B78FE218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MO SELLOS </t>
        </r>
      </text>
    </comment>
    <comment ref="F35" authorId="0" shapeId="0" xr:uid="{CF69AFA0-AC1D-430F-ADF6-34ED1CF5656D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SELLO</t>
        </r>
      </text>
    </comment>
    <comment ref="C36" authorId="0" shapeId="0" xr:uid="{0E374E9E-E17F-4B19-AEAB-7B5387E5CB7F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MO SELLOS </t>
        </r>
      </text>
    </comment>
    <comment ref="F36" authorId="0" shapeId="0" xr:uid="{1743C805-05BF-4492-91FF-F8CF2BF5EAAC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SELLO</t>
        </r>
      </text>
    </comment>
    <comment ref="C39" authorId="0" shapeId="0" xr:uid="{9322FF17-EB30-4567-B18B-7DC4C7D4E923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CANTIDAD EN LI TROS ( 2 LITROS X M3) </t>
        </r>
      </text>
    </comment>
    <comment ref="C40" authorId="0" shapeId="0" xr:uid="{D296D802-B20C-475D-9DBC-59D89D02EA9E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Aros de viga de losa </t>
        </r>
      </text>
    </comment>
    <comment ref="E40" authorId="1" shapeId="0" xr:uid="{6CFD2240-D730-471E-98E2-AFEF3BE168A9}">
      <text>
        <t>[Threaded comment]
Your version of Excel allows you to read this threaded comment; however, any edits to it will get removed if the file is opened in a newer version of Excel. Learn more: https://go.microsoft.com/fwlink/?linkid=870924
Comment:
    Varilla viga losa y arranques de muros</t>
      </text>
    </comment>
    <comment ref="C41" authorId="0" shapeId="0" xr:uid="{3039BCF4-087A-46F3-ADE8-0275AABE8B7D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Arranquea de muros y varilla longitudinal de viga </t>
        </r>
      </text>
    </comment>
    <comment ref="E41" authorId="2" shapeId="0" xr:uid="{7ED34AF7-AE60-43D2-AE4D-60666E6827D9}">
      <text>
        <t>[Threaded comment]
Your version of Excel allows you to read this threaded comment; however, any edits to it will get removed if the file is opened in a newer version of Excel. Learn more: https://go.microsoft.com/fwlink/?linkid=870924
Comment:
    Varilla viga losa y arranques de muros</t>
      </text>
    </comment>
    <comment ref="F48" authorId="0" shapeId="0" xr:uid="{3FA365C7-A712-46D9-B601-E5A344C62FE3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ACERO LOSA</t>
        </r>
      </text>
    </comment>
    <comment ref="F49" authorId="0" shapeId="0" xr:uid="{6EC285BF-FBBC-47C0-865B-EDFC9ECD17E0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ACERO LOSA</t>
        </r>
      </text>
    </comment>
    <comment ref="F50" authorId="0" shapeId="0" xr:uid="{0CC9E4F8-EC3A-4A82-9408-9556B107683D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FORMALETA LOSA </t>
        </r>
      </text>
    </comment>
    <comment ref="F51" authorId="0" shapeId="0" xr:uid="{0F0AEC74-8CC2-4269-AFED-5D386AD394D4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FORMALETA LOSA </t>
        </r>
      </text>
    </comment>
    <comment ref="F52" authorId="0" shapeId="0" xr:uid="{BFAAF2BC-6CF0-4BC2-804A-9DDED084004C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COLADO LOSA </t>
        </r>
      </text>
    </comment>
    <comment ref="F53" authorId="0" shapeId="0" xr:uid="{6A4E6DF5-D677-43B7-986A-FBB64BA5042E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COLADO LOSA</t>
        </r>
      </text>
    </comment>
    <comment ref="C56" authorId="0" shapeId="0" xr:uid="{F1897B89-FE67-4E3E-8A2F-320732311DB3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Aros de viga de losa </t>
        </r>
      </text>
    </comment>
    <comment ref="C57" authorId="0" shapeId="0" xr:uid="{844BCED3-1557-4181-B78E-631771F026CA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Arranquea de muros y varilla longitudinal de viga </t>
        </r>
      </text>
    </comment>
    <comment ref="E57" authorId="3" shapeId="0" xr:uid="{0D6A4E1F-ABFF-4F13-8966-B608ECFD8F68}">
      <text>
        <t>[Threaded comment]
Your version of Excel allows you to read this threaded comment; however, any edits to it will get removed if the file is opened in a newer version of Excel. Learn more: https://go.microsoft.com/fwlink/?linkid=870924
Comment:
    Varilla viga losa y arranques de muros</t>
      </text>
    </comment>
    <comment ref="F57" authorId="0" shapeId="0" xr:uid="{05738A84-E5CD-47F8-9868-93A87D61A134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Incluye varillas azotea</t>
        </r>
      </text>
    </comment>
    <comment ref="C58" authorId="0" shapeId="0" xr:uid="{0A4F1E73-9CDF-402F-9D28-9080A034F2B3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Arranquea de muros y varilla longitudinal de viga </t>
        </r>
      </text>
    </comment>
    <comment ref="E58" authorId="4" shapeId="0" xr:uid="{B1EAB073-BF29-4450-9B95-9A78B1B631EC}">
      <text>
        <t>[Threaded comment]
Your version of Excel allows you to read this threaded comment; however, any edits to it will get removed if the file is opened in a newer version of Excel. Learn more: https://go.microsoft.com/fwlink/?linkid=870924
Comment:
    Varilla viga losa y arranques de muros</t>
      </text>
    </comment>
    <comment ref="F58" authorId="0" shapeId="0" xr:uid="{1D922061-092C-4241-B146-94655FC8F0AC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Incluye varillas azotea</t>
        </r>
      </text>
    </comment>
    <comment ref="E59" authorId="5" shapeId="0" xr:uid="{62D4B823-E2E7-4685-87E8-E210E89E628E}">
      <text>
        <t>[Threaded comment]
Your version of Excel allows you to read this threaded comment; however, any edits to it will get removed if the file is opened in a newer version of Excel. Learn more: https://go.microsoft.com/fwlink/?linkid=870924
Comment:
    Varilla viga losa y arranques de muros</t>
      </text>
    </comment>
    <comment ref="F64" authorId="0" shapeId="0" xr:uid="{BB000FC7-6EC9-47A9-BC40-037ECC6D930B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ACERO MUROS N1 </t>
        </r>
      </text>
    </comment>
    <comment ref="F65" authorId="0" shapeId="0" xr:uid="{4C1A6800-7B80-4946-8090-8CCE74C8DB00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ACERO MUROS N1</t>
        </r>
      </text>
    </comment>
    <comment ref="F66" authorId="0" shapeId="0" xr:uid="{F3D2E68C-2193-402B-8A70-481033543E77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FORMALETA N1 </t>
        </r>
      </text>
    </comment>
    <comment ref="F67" authorId="0" shapeId="0" xr:uid="{C8823CF6-2BE7-4B7C-AE35-34FF8E7E1B04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FORMALETA N1 </t>
        </r>
      </text>
    </comment>
    <comment ref="F78" authorId="0" shapeId="0" xr:uid="{7F269322-F1F5-4952-91B5-600FD8008A4C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COLADO DE MUROS </t>
        </r>
      </text>
    </comment>
    <comment ref="F79" authorId="0" shapeId="0" xr:uid="{3CED0BA9-8DD4-4027-9EE5-3C96284A2816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COLADO DE MUROS </t>
        </r>
      </text>
    </comment>
    <comment ref="F80" authorId="0" shapeId="0" xr:uid="{3076E3E5-DB93-4DFD-8EEA-8E5E5813E92C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TRAZO FORMALETA N1 &amp; FORMALETA</t>
        </r>
      </text>
    </comment>
    <comment ref="F81" authorId="0" shapeId="0" xr:uid="{7E917A1E-6AB8-43AA-B704-6F53B8111273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TRAZO DE FORMALETA N1 </t>
        </r>
      </text>
    </comment>
    <comment ref="F82" authorId="0" shapeId="0" xr:uid="{D816D7C5-54FC-468D-8FA5-1ED25C8617C1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DESENCOFRE MUROS N1 </t>
        </r>
      </text>
    </comment>
    <comment ref="F83" authorId="0" shapeId="0" xr:uid="{56DE9550-5FF6-4845-B5C9-2AFF102E5071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DESENCOFRE MUROS N1 </t>
        </r>
      </text>
    </comment>
    <comment ref="F87" authorId="0" shapeId="0" xr:uid="{C81CFA58-5D50-4761-81E8-512B92E9017B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MAMPOSTERIA </t>
        </r>
      </text>
    </comment>
    <comment ref="F88" authorId="0" shapeId="0" xr:uid="{0CE24BA2-57A5-4927-94E7-BC36CB4B97E6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MAMPOSTERIA </t>
        </r>
      </text>
    </comment>
    <comment ref="C90" authorId="0" shapeId="0" xr:uid="{CE7A1B9F-6F19-4C6D-A83D-1D9A4905A4C0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Varilla #3 horizontal muro + ganchos de viga corona y banquina y losa cenital </t>
        </r>
      </text>
    </comment>
    <comment ref="E90" authorId="6" shapeId="0" xr:uid="{3B0BFCE5-504E-49E2-8AF1-69482B67E5F1}">
      <text>
        <t>[Threaded comment]
Your version of Excel allows you to read this threaded comment; however, any edits to it will get removed if the file is opened in a newer version of Excel. Learn more: https://go.microsoft.com/fwlink/?linkid=870924
Comment:
    Varilla viga losa y arranques de muros</t>
      </text>
    </comment>
    <comment ref="F90" authorId="0" shapeId="0" xr:uid="{099C06AB-414C-469E-97C0-DD838825DBDF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Incluye varillas azotea</t>
        </r>
      </text>
    </comment>
    <comment ref="C91" authorId="0" shapeId="0" xr:uid="{B7790FE9-74F4-4130-B500-04437171F871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Varilla #3 horizontal muro + ganchos de viga corona y banquina y losa cenital </t>
        </r>
      </text>
    </comment>
    <comment ref="E91" authorId="7" shapeId="0" xr:uid="{DAA83C57-E352-4213-9CA9-2D0C2F46FE24}">
      <text>
        <t>[Threaded comment]
Your version of Excel allows you to read this threaded comment; however, any edits to it will get removed if the file is opened in a newer version of Excel. Learn more: https://go.microsoft.com/fwlink/?linkid=870924
Comment:
    Varilla viga losa y arranques de muros</t>
      </text>
    </comment>
    <comment ref="F91" authorId="0" shapeId="0" xr:uid="{AAC3F649-B057-4630-88E3-58684B45555D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Incluye varillas azotea</t>
        </r>
      </text>
    </comment>
    <comment ref="E92" authorId="8" shapeId="0" xr:uid="{1A96A4FB-32B6-4285-BB9D-C2467C8B29E2}">
      <text>
        <t>[Threaded comment]
Your version of Excel allows you to read this threaded comment; however, any edits to it will get removed if the file is opened in a newer version of Excel. Learn more: https://go.microsoft.com/fwlink/?linkid=870924
Comment:
    Varilla viga losa y arranques de muros</t>
      </text>
    </comment>
    <comment ref="C94" authorId="0" shapeId="0" xr:uid="{BD381BD1-7D66-49BB-BFC3-222DB1288EF4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HORIZONTAL MURO VIGA CORONA Y VIGA BANQUINA Y LOSA CENITAL </t>
        </r>
      </text>
    </comment>
    <comment ref="F97" authorId="0" shapeId="0" xr:uid="{ED790F08-1268-484A-A2A7-20144C85B2CA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ACERO MUROS N2 </t>
        </r>
      </text>
    </comment>
    <comment ref="F98" authorId="0" shapeId="0" xr:uid="{B18F4718-1C5A-4C9B-9247-3B1F14F8047F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ACERO MUROS N2</t>
        </r>
      </text>
    </comment>
    <comment ref="F99" authorId="0" shapeId="0" xr:uid="{982DB8E7-AA68-48BD-A40A-83A6D8EC3B08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 FORMALETA N2
</t>
        </r>
      </text>
    </comment>
    <comment ref="F100" authorId="0" shapeId="0" xr:uid="{8AD53103-CFC6-40C4-87D6-0EA97179517A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 FORMALETA N2</t>
        </r>
      </text>
    </comment>
    <comment ref="F109" authorId="0" shapeId="0" xr:uid="{C6147909-556E-4830-97D5-3E7FC4A400C3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COLADO MUROS N2 </t>
        </r>
      </text>
    </comment>
    <comment ref="F110" authorId="0" shapeId="0" xr:uid="{60700EC5-6BE8-4288-B8D6-0BB813658EF3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COLADO MUROS N2</t>
        </r>
      </text>
    </comment>
    <comment ref="F111" authorId="0" shapeId="0" xr:uid="{1B2C2B64-66ED-4D26-9BB1-6127209E6F27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 TRAZO FORMALETA N2
</t>
        </r>
      </text>
    </comment>
    <comment ref="F112" authorId="0" shapeId="0" xr:uid="{B57BDD1F-04D9-4F32-AB08-5AE5C8230B4A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TRAZO FORMALETA N2</t>
        </r>
      </text>
    </comment>
    <comment ref="F113" authorId="0" shapeId="0" xr:uid="{16E1101B-BBEC-4C0C-8D7D-F62AAF1EFD7A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DESENCOFRE MUROS N2</t>
        </r>
      </text>
    </comment>
    <comment ref="F114" authorId="0" shapeId="0" xr:uid="{42919E6B-00BC-4315-90A7-EDA711F83B8A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DESENCOFRE MUROS N2 </t>
        </r>
      </text>
    </comment>
    <comment ref="C117" authorId="0" shapeId="0" xr:uid="{4BD2DA73-CDD3-47E0-B886-54E6C1FA296C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CERCHA </t>
        </r>
      </text>
    </comment>
    <comment ref="C118" authorId="0" shapeId="0" xr:uid="{94233867-3326-4482-A8DD-B1A807B4E9A7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CLAVADORES </t>
        </r>
      </text>
    </comment>
    <comment ref="C119" authorId="0" shapeId="0" xr:uid="{D0A2CB75-E550-4170-A113-3ED2EB2A3B72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CLAVADORES, PRECINTA Y DIAGONAL CERCHAS </t>
        </r>
      </text>
    </comment>
    <comment ref="C120" authorId="0" shapeId="0" xr:uid="{C2762748-7E81-4CBE-AE56-4B112C27750B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CLAVADORES, PRECINTA Y DIAGONAL CERCHAS </t>
        </r>
      </text>
    </comment>
    <comment ref="C140" authorId="0" shapeId="0" xr:uid="{CECC4C8C-8C55-42C5-839A-41FD9252BEC1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 MO ESTRUCTURA METALICA DE TECHO Y ESTRUCT TECHO PINTURA </t>
        </r>
      </text>
    </comment>
    <comment ref="F140" authorId="0" shapeId="0" xr:uid="{DAF7DC7F-22FE-47D7-9E03-615404935D26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ESTRUCT METALICA TECHO </t>
        </r>
      </text>
    </comment>
    <comment ref="C141" authorId="0" shapeId="0" xr:uid="{7A83EC57-B249-41BC-A879-A9B8B503C72D}">
      <text>
        <r>
          <rPr>
            <b/>
            <sz val="9"/>
            <color indexed="81"/>
            <rFont val="Tahoma"/>
            <family val="2"/>
          </rPr>
          <t>Catalina Vazquez:
 MO ESTRUCTURA METALICA DE TECHO Y ESTRUCT TECHO PINTURA</t>
        </r>
      </text>
    </comment>
    <comment ref="F141" authorId="0" shapeId="0" xr:uid="{FED96AFC-D613-402B-884B-98A126A3564C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ESTRUCT METALICA TECHO </t>
        </r>
      </text>
    </comment>
    <comment ref="C142" authorId="0" shapeId="0" xr:uid="{BCE36D0B-F405-40C5-A264-7BC32DC50DD8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 MO ESTRUCTURA METALICA DE TECHO Y ESTRUCT TECHO PINTURA </t>
        </r>
      </text>
    </comment>
    <comment ref="F142" authorId="0" shapeId="0" xr:uid="{725EAE3C-7AA2-4E8B-A53F-7654D4E515F8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ESTRUCT TECHO PINTURA </t>
        </r>
      </text>
    </comment>
    <comment ref="C143" authorId="0" shapeId="0" xr:uid="{484FE6D6-24A8-400F-A2DC-8278F51D8F64}">
      <text>
        <r>
          <rPr>
            <b/>
            <sz val="9"/>
            <color indexed="81"/>
            <rFont val="Tahoma"/>
            <family val="2"/>
          </rPr>
          <t>Catalina Vazquez:
 MO ESTRUCTURA METALICA DE TECHO Y ESTRUCT TECHO PINTURA</t>
        </r>
      </text>
    </comment>
    <comment ref="F143" authorId="0" shapeId="0" xr:uid="{79F8FAC8-FB60-466D-9E5B-307662FD7606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ESTRUCT TECHO PINTURA </t>
        </r>
      </text>
    </comment>
    <comment ref="C145" authorId="0" shapeId="0" xr:uid="{076A896B-05BB-4104-98AE-87BC02BC2417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PERIMETRO ESTRUCTURA</t>
        </r>
      </text>
    </comment>
    <comment ref="C146" authorId="0" shapeId="0" xr:uid="{CACF2EAA-A2A5-4ED6-AFE2-3CA3530B8907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CLAVADORES </t>
        </r>
      </text>
    </comment>
    <comment ref="C147" authorId="0" shapeId="0" xr:uid="{4116D48E-50F3-450E-8699-DA827FBDA261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CCOLUMNAS COCHERA </t>
        </r>
      </text>
    </comment>
    <comment ref="C148" authorId="0" shapeId="0" xr:uid="{5AFE9667-B43F-4B46-A7E8-3892F1BDE835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CCOLUMNAS COCHERA </t>
        </r>
      </text>
    </comment>
    <comment ref="E160" authorId="9" shapeId="0" xr:uid="{89770939-9258-42D0-8694-49C5B914390B}">
      <text>
        <r>
          <rPr>
            <b/>
            <sz val="9"/>
            <color indexed="81"/>
            <rFont val="Tahoma"/>
            <family val="2"/>
          </rPr>
          <t>Viviana:</t>
        </r>
        <r>
          <rPr>
            <sz val="9"/>
            <color indexed="81"/>
            <rFont val="Tahoma"/>
            <family val="2"/>
          </rPr>
          <t xml:space="preserve">
CAMBIAR A 
PINTURA SUPER DRY VERDE OSCURO 6160</t>
        </r>
      </text>
    </comment>
    <comment ref="E162" authorId="9" shapeId="0" xr:uid="{329CD250-3EAE-4BCA-8AE6-AC935D392330}">
      <text>
        <r>
          <rPr>
            <b/>
            <sz val="9"/>
            <color indexed="81"/>
            <rFont val="Tahoma"/>
            <family val="2"/>
          </rPr>
          <t>Viviana:</t>
        </r>
        <r>
          <rPr>
            <sz val="9"/>
            <color indexed="81"/>
            <rFont val="Tahoma"/>
            <family val="2"/>
          </rPr>
          <t xml:space="preserve">
CAMBIAR CODIGO A ANCHOR MAX</t>
        </r>
      </text>
    </comment>
    <comment ref="F164" authorId="0" shapeId="0" xr:uid="{E7D25095-3CB3-49AF-A037-913C3D42C0E6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ESTRUCT METALICA TECHO COCHERA</t>
        </r>
      </text>
    </comment>
    <comment ref="F165" authorId="0" shapeId="0" xr:uid="{56A7B30D-15CE-4C22-B6CF-5627A19E4DF0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ESTRUCT METALICA TECHO COCHERA</t>
        </r>
      </text>
    </comment>
    <comment ref="F166" authorId="0" shapeId="0" xr:uid="{E193859E-DF98-4785-B5CE-DB8CCBBA516D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ESTRUCT TECHO COCHERA PINTURA </t>
        </r>
      </text>
    </comment>
    <comment ref="F167" authorId="0" shapeId="0" xr:uid="{60DFDB59-1BED-4091-B3DB-1F4C150F840E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ESTRUCT TECHO COCHERA PINTURA </t>
        </r>
      </text>
    </comment>
    <comment ref="C173" authorId="0" shapeId="0" xr:uid="{BEB9E826-0B59-426A-9F57-00353BCB331B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 MO CUBIERTA </t>
        </r>
      </text>
    </comment>
    <comment ref="F173" authorId="0" shapeId="0" xr:uid="{518EA70F-AB95-471C-A16C-B3F7F4C0AA84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CUBIERTA TECHO CASA </t>
        </r>
      </text>
    </comment>
    <comment ref="C174" authorId="0" shapeId="0" xr:uid="{BABFDB2E-48EF-4D82-8070-F239306B8188}">
      <text>
        <r>
          <rPr>
            <b/>
            <sz val="9"/>
            <color indexed="81"/>
            <rFont val="Tahoma"/>
            <family val="2"/>
          </rPr>
          <t>Catalina Vazquez:
 MO CUBIERTA</t>
        </r>
      </text>
    </comment>
    <comment ref="F174" authorId="0" shapeId="0" xr:uid="{D9296A58-DBD0-4EC3-B427-0486DC188FC4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CUBIERTA TECHO CASA</t>
        </r>
      </text>
    </comment>
    <comment ref="C185" authorId="0" shapeId="0" xr:uid="{3AA0234D-A0F6-4F91-B19F-9BD2F4C5C638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 MO CUBIERTA COCHERA</t>
        </r>
      </text>
    </comment>
    <comment ref="F185" authorId="0" shapeId="0" xr:uid="{BB1C8632-726D-4637-B894-809D29D0C3C2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CUBIERTA TECHO COCHERA </t>
        </r>
      </text>
    </comment>
    <comment ref="C186" authorId="0" shapeId="0" xr:uid="{94AC2DF5-2D80-4783-9000-303C2447DD54}">
      <text>
        <r>
          <rPr>
            <b/>
            <sz val="9"/>
            <color indexed="81"/>
            <rFont val="Tahoma"/>
            <family val="2"/>
          </rPr>
          <t>Catalina Vazquez:
 MO CUBIERTA COCHERA</t>
        </r>
      </text>
    </comment>
    <comment ref="F186" authorId="0" shapeId="0" xr:uid="{1A138D52-CB53-45D3-BFF6-5F7B31A667A4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CUBIERTA TECHO COCHERA </t>
        </r>
      </text>
    </comment>
    <comment ref="F227" authorId="0" shapeId="0" xr:uid="{AF450294-2D4E-49B4-A96E-96FC9AF33F13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BARANDA GRADAS N2 </t>
        </r>
      </text>
    </comment>
    <comment ref="F228" authorId="0" shapeId="0" xr:uid="{3150C517-F203-4E25-B339-5C8264CB8F6A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BARANDA GRADAS N2 </t>
        </r>
      </text>
    </comment>
    <comment ref="F232" authorId="0" shapeId="0" xr:uid="{A2660B2F-53F5-46F3-A115-C96569E3184E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ESTRUCT METALICA INTERNA</t>
        </r>
      </text>
    </comment>
    <comment ref="F233" authorId="0" shapeId="0" xr:uid="{2D47B16E-8190-4730-B215-A0702F74FAAC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ESTRUCT METALICA INTERNA</t>
        </r>
      </text>
    </comment>
    <comment ref="F234" authorId="0" shapeId="0" xr:uid="{7C7DF41C-EC3C-496B-9BFE-3C78F5CA4E42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ESTRUCT METALICA DUCTO</t>
        </r>
      </text>
    </comment>
    <comment ref="F235" authorId="0" shapeId="0" xr:uid="{0864A263-7836-471A-B5FB-24A95C782D83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ESTRUCT METALICA DUCTO</t>
        </r>
      </text>
    </comment>
    <comment ref="F238" authorId="9" shapeId="0" xr:uid="{36FFD61C-E468-43C3-81AF-DFC401B72E60}">
      <text>
        <r>
          <rPr>
            <b/>
            <sz val="9"/>
            <color indexed="81"/>
            <rFont val="Tahoma"/>
            <family val="2"/>
          </rPr>
          <t>Viviana:</t>
        </r>
        <r>
          <rPr>
            <sz val="9"/>
            <color indexed="81"/>
            <rFont val="Tahoma"/>
            <family val="2"/>
          </rPr>
          <t xml:space="preserve">
REVISAR CANTIDADES DE CANOAS , 
</t>
        </r>
      </text>
    </comment>
    <comment ref="F240" authorId="9" shapeId="0" xr:uid="{CD8864F3-184A-4677-901A-C33DDD8294D3}">
      <text>
        <r>
          <rPr>
            <b/>
            <sz val="9"/>
            <color indexed="81"/>
            <rFont val="Tahoma"/>
            <family val="2"/>
          </rPr>
          <t>Viviana:</t>
        </r>
        <r>
          <rPr>
            <sz val="9"/>
            <color indexed="81"/>
            <rFont val="Tahoma"/>
            <family val="2"/>
          </rPr>
          <t xml:space="preserve">
GANCHOS</t>
        </r>
      </text>
    </comment>
    <comment ref="F242" authorId="0" shapeId="0" xr:uid="{1FFEA97B-5001-4DF6-93E7-13BE9D1E635D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HOJALATERIA GENERAL</t>
        </r>
      </text>
    </comment>
    <comment ref="F243" authorId="0" shapeId="0" xr:uid="{E9E12C00-A35F-4084-87DF-B7107255EA6B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HOJALATERIA GENERAL </t>
        </r>
      </text>
    </comment>
    <comment ref="F244" authorId="0" shapeId="0" xr:uid="{C5648C4C-96B6-45E1-86CD-99B5A8D16E3A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TALLER DE FABRICACION </t>
        </r>
      </text>
    </comment>
    <comment ref="F245" authorId="0" shapeId="0" xr:uid="{353CFAC4-7195-4FBA-BE83-BAEBC2CBA748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TALLER DE FABRICACION </t>
        </r>
      </text>
    </comment>
    <comment ref="F246" authorId="0" shapeId="0" xr:uid="{DC490C72-1DA3-4F05-ABD0-99B9EE9570EF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INSTALAC HOJALATERIA </t>
        </r>
      </text>
    </comment>
    <comment ref="F247" authorId="0" shapeId="0" xr:uid="{837CB25E-4760-4D9F-BCAF-2A00CEAC28E8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INSTALAC HOJALATERIA </t>
        </r>
      </text>
    </comment>
    <comment ref="F251" authorId="0" shapeId="0" xr:uid="{6C1C75BE-A51E-412F-8872-A540B52F7CEF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BAJANTES</t>
        </r>
      </text>
    </comment>
    <comment ref="F252" authorId="0" shapeId="0" xr:uid="{E4052AF5-318D-448B-83C0-A55162D35A59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BAJANTES</t>
        </r>
      </text>
    </comment>
    <comment ref="C255" authorId="0" shapeId="0" xr:uid="{6C8261AD-D492-435F-B1AA-82846DDF06AA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Varilla #3 horizontal muro + ganchos de viga corona y banquina y losa cenital </t>
        </r>
      </text>
    </comment>
    <comment ref="E255" authorId="10" shapeId="0" xr:uid="{D72233F3-7960-49D0-9795-7F5A766BE59B}">
      <text>
        <t>[Threaded comment]
Your version of Excel allows you to read this threaded comment; however, any edits to it will get removed if the file is opened in a newer version of Excel. Learn more: https://go.microsoft.com/fwlink/?linkid=870924
Comment:
    Varilla viga losa y arranques de muros</t>
      </text>
    </comment>
    <comment ref="F255" authorId="0" shapeId="0" xr:uid="{0C1BE3BF-9ED9-430C-8F8E-ECD01AD1C656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Incluye varillas azotea</t>
        </r>
      </text>
    </comment>
    <comment ref="C256" authorId="0" shapeId="0" xr:uid="{C008EBE6-9E4B-4D80-B630-D923A3CCBDE0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HORIZONTAL MURO VIGA CORONA Y VIGA BANQUINA Y LOSA CENITAL </t>
        </r>
      </text>
    </comment>
    <comment ref="F261" authorId="0" shapeId="0" xr:uid="{712C3753-5F51-4991-9772-56BEC8377CEB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ACERO GRADAS N1 </t>
        </r>
      </text>
    </comment>
    <comment ref="F262" authorId="0" shapeId="0" xr:uid="{6C4961B8-EFFA-4293-81D0-4D805A6F6E02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ACERO GRADAS N1 </t>
        </r>
      </text>
    </comment>
    <comment ref="F263" authorId="0" shapeId="0" xr:uid="{75BC1A91-2BC9-48D8-BAE0-148843F189B9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 FORMALETA GRADAS N1
</t>
        </r>
      </text>
    </comment>
    <comment ref="F264" authorId="0" shapeId="0" xr:uid="{2E1AC654-B049-4485-95A4-5B120DF9803F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 FORMALETA GRADAS N1
</t>
        </r>
      </text>
    </comment>
    <comment ref="F265" authorId="0" shapeId="0" xr:uid="{672DFC20-A79D-4BC8-BAB2-64ECE928215F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COLADO GRADAS N1</t>
        </r>
      </text>
    </comment>
    <comment ref="F266" authorId="0" shapeId="0" xr:uid="{EFBCCE12-76B1-48AF-9E29-BF574201F964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COLADO GRADAS N1</t>
        </r>
      </text>
    </comment>
    <comment ref="F267" authorId="0" shapeId="0" xr:uid="{48502152-6089-45A6-B250-D8168D8B6CAC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DESENCOFRE GRADAS N1 </t>
        </r>
      </text>
    </comment>
    <comment ref="F268" authorId="0" shapeId="0" xr:uid="{FFFB3A28-3AEA-4D55-8593-26047FFCFDE9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DESENCOFRE GRADAS N1 </t>
        </r>
      </text>
    </comment>
    <comment ref="E274" authorId="9" shapeId="0" xr:uid="{509D6297-348E-4350-8223-A1FA1878A2B7}">
      <text>
        <r>
          <rPr>
            <b/>
            <sz val="9"/>
            <color indexed="81"/>
            <rFont val="Tahoma"/>
            <family val="2"/>
          </rPr>
          <t>Viviana:</t>
        </r>
        <r>
          <rPr>
            <sz val="9"/>
            <color indexed="81"/>
            <rFont val="Tahoma"/>
            <family val="2"/>
          </rPr>
          <t xml:space="preserve">
ACERO COLUMNAS
</t>
        </r>
      </text>
    </comment>
    <comment ref="E276" authorId="9" shapeId="0" xr:uid="{82AA9703-7679-40BD-AE67-8E8D101476B8}">
      <text>
        <r>
          <rPr>
            <b/>
            <sz val="9"/>
            <color indexed="81"/>
            <rFont val="Tahoma"/>
            <family val="2"/>
          </rPr>
          <t>Viviana:</t>
        </r>
        <r>
          <rPr>
            <sz val="9"/>
            <color indexed="81"/>
            <rFont val="Tahoma"/>
            <family val="2"/>
          </rPr>
          <t xml:space="preserve">
FORMLATETA
</t>
        </r>
      </text>
    </comment>
    <comment ref="E283" authorId="0" shapeId="0" xr:uid="{88448A01-EE4E-423E-9BC4-C36826DFBB42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REVISAR TIPO DE LASTRE </t>
        </r>
      </text>
    </comment>
    <comment ref="F299" authorId="0" shapeId="0" xr:uid="{CBEE2A36-3483-45C6-BF16-F997649F0EB0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10 m calculados </t>
        </r>
      </text>
    </comment>
    <comment ref="F308" authorId="0" shapeId="0" xr:uid="{DB677A19-852B-4414-A11D-68AA0F32053F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TAPIA </t>
        </r>
      </text>
    </comment>
    <comment ref="F309" authorId="0" shapeId="0" xr:uid="{72FBFF7A-AEB7-4D38-A58F-A1E37C149F1B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TAPIA </t>
        </r>
      </text>
    </comment>
    <comment ref="F310" authorId="0" shapeId="0" xr:uid="{C9FF5826-2D9E-4288-9838-569DF1053FDA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PERLING TAPIA </t>
        </r>
      </text>
    </comment>
    <comment ref="F311" authorId="0" shapeId="0" xr:uid="{49E3B9D5-89C8-4138-98AF-A8956157C582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PERLING TAPIA </t>
        </r>
      </text>
    </comment>
    <comment ref="C318" authorId="0" shapeId="0" xr:uid="{244B5B38-5579-4D8D-A7D6-1A592A92ACBC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 MO RAMPA DE ACCESO Y ACERA</t>
        </r>
      </text>
    </comment>
    <comment ref="F318" authorId="0" shapeId="0" xr:uid="{8AD01676-6077-4B38-B55C-6A2D98A06ED7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RAMPA DE ACCESO </t>
        </r>
      </text>
    </comment>
    <comment ref="C319" authorId="0" shapeId="0" xr:uid="{20EA29D2-4BCF-450E-8620-1F909B45013F}">
      <text>
        <r>
          <rPr>
            <b/>
            <sz val="9"/>
            <color indexed="81"/>
            <rFont val="Tahoma"/>
            <family val="2"/>
          </rPr>
          <t xml:space="preserve">Catalina Vazquez:
MO RAMPA DE ACCESO Y ACERA </t>
        </r>
      </text>
    </comment>
    <comment ref="F319" authorId="0" shapeId="0" xr:uid="{68CC1A91-D849-444C-951C-7BEE5AA78778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RAMPA DE ACCESO </t>
        </r>
      </text>
    </comment>
    <comment ref="C320" authorId="0" shapeId="0" xr:uid="{69993D13-C2DD-41C9-B7C0-089A07EDB65A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 MO RAMPA DE ACCESO Y ACERA</t>
        </r>
      </text>
    </comment>
    <comment ref="F320" authorId="0" shapeId="0" xr:uid="{6202FCA8-4A1A-4D35-9C1E-131790635A03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ACERA</t>
        </r>
      </text>
    </comment>
    <comment ref="C321" authorId="0" shapeId="0" xr:uid="{FED7AEC4-C959-4965-9A14-C476D09F0DA3}">
      <text>
        <r>
          <rPr>
            <b/>
            <sz val="9"/>
            <color indexed="81"/>
            <rFont val="Tahoma"/>
            <family val="2"/>
          </rPr>
          <t xml:space="preserve">Catalina Vazquez:
MO RAMPA DE ACCESO Y ACERA </t>
        </r>
      </text>
    </comment>
    <comment ref="F321" authorId="0" shapeId="0" xr:uid="{6BEAB094-9A84-4A8D-9442-1DC4305E3D29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ACERA</t>
        </r>
      </text>
    </comment>
    <comment ref="F357" authorId="0" shapeId="0" xr:uid="{8466112E-9A5C-4C60-9914-43C7FDCFC1FD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ESTRUC LIVIANA TAPICHELES </t>
        </r>
      </text>
    </comment>
    <comment ref="F358" authorId="0" shapeId="0" xr:uid="{EC857EC2-E256-4DC5-A412-A0F338880C74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ESTRUC LIVIANA TAPICHELES </t>
        </r>
      </text>
    </comment>
    <comment ref="F359" authorId="0" shapeId="0" xr:uid="{B6C343E0-A499-4CCC-810B-F9A3D1C849A7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FORRO DE TAPICHELES </t>
        </r>
      </text>
    </comment>
    <comment ref="F360" authorId="0" shapeId="0" xr:uid="{85E0BD14-B1A8-4839-93DA-72F704917DE4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FORRO DE TAPICHELES </t>
        </r>
      </text>
    </comment>
    <comment ref="F404" authorId="0" shapeId="0" xr:uid="{CDE0F41F-E671-4851-96D4-9C4B56AD03EE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EMPASTE CEMENTICIO</t>
        </r>
      </text>
    </comment>
    <comment ref="F405" authorId="0" shapeId="0" xr:uid="{A0DE26DF-1B21-4AB7-966F-4A4BAE1C2C7E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EMPASTE CEMENTICIO</t>
        </r>
      </text>
    </comment>
    <comment ref="C440" authorId="0" shapeId="0" xr:uid="{4F5AF102-8553-48F7-BD9F-9F027E215826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ACABADOS ESTRUCTURA METALICA </t>
        </r>
      </text>
    </comment>
    <comment ref="F474" authorId="0" shapeId="0" xr:uid="{D7246320-39F9-43AD-B882-DDDB41849BA0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VENTANERIA</t>
        </r>
      </text>
    </comment>
    <comment ref="F475" authorId="0" shapeId="0" xr:uid="{358F0A12-B811-48A2-98F1-9EE204D9409B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VENTANERIA </t>
        </r>
      </text>
    </comment>
    <comment ref="F509" authorId="0" shapeId="0" xr:uid="{8720BCED-3F1D-4CDA-AD8B-F3C7F8A24F0B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MUEBLE DE COCINA Y CLOSET (FABRICACE INSTALAC)</t>
        </r>
      </text>
    </comment>
    <comment ref="F510" authorId="0" shapeId="0" xr:uid="{FFF18298-34CE-4474-A1D1-A29B235C77A4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MUEBLE DE COCINA Y CLOSET (FABRICACE INSTALAC)</t>
        </r>
      </text>
    </comment>
    <comment ref="F511" authorId="0" shapeId="0" xr:uid="{38AB5574-3A35-4B1E-B1C5-A1DDFC1D615E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SOBRE DE GRANITO </t>
        </r>
      </text>
    </comment>
    <comment ref="F512" authorId="0" shapeId="0" xr:uid="{1E84E62A-19BB-4B9E-8AD8-821EC69FDA82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SOBRE DE GRANITO </t>
        </r>
      </text>
    </comment>
    <comment ref="E518" authorId="11" shapeId="0" xr:uid="{31EB201B-4C17-4459-9147-4AE0CB6FA28F}">
      <text>
        <t>[Threaded comment]
Your version of Excel allows you to read this threaded comment; however, any edits to it will get removed if the file is opened in a newer version of Excel. Learn more: https://go.microsoft.com/fwlink/?linkid=870924
Comment:
    Largo de las unidades: 1 metro</t>
      </text>
    </comment>
    <comment ref="E519" authorId="12" shapeId="0" xr:uid="{5F942239-5346-4B46-AF87-AF590C8965DB}">
      <text>
        <t>[Threaded comment]
Your version of Excel allows you to read this threaded comment; however, any edits to it will get removed if the file is opened in a newer version of Excel. Learn more: https://go.microsoft.com/fwlink/?linkid=870924
Comment:
    Se asume que la caja tiene 100 uds</t>
      </text>
    </comment>
    <comment ref="F523" authorId="0" shapeId="0" xr:uid="{EF41037F-473C-4C5D-A411-85B856F2B275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PUERTAS Y RODAPIE</t>
        </r>
      </text>
    </comment>
    <comment ref="F524" authorId="0" shapeId="0" xr:uid="{362E725B-9826-4947-B500-7585331D7D83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PUERTAS Y RODAPIE</t>
        </r>
      </text>
    </comment>
    <comment ref="F544" authorId="0" shapeId="0" xr:uid="{D9485A4E-C914-434A-99D8-41B3982516AD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LOSA SANITARIA</t>
        </r>
      </text>
    </comment>
    <comment ref="F545" authorId="0" shapeId="0" xr:uid="{7B2BA950-E310-4629-ABB9-ED9A263D993F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LOSA SANITARIA</t>
        </r>
      </text>
    </comment>
    <comment ref="F546" authorId="0" shapeId="0" xr:uid="{FAA70D05-3FB4-4D2B-8E0D-FB25D420F00B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COLOCACION DE GRIFERIA </t>
        </r>
      </text>
    </comment>
    <comment ref="F547" authorId="0" shapeId="0" xr:uid="{0794C57F-F8B6-40A8-A0C2-DF178AFF4DDA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COLOCACION DE GRIFERIA </t>
        </r>
      </text>
    </comment>
    <comment ref="F581" authorId="0" shapeId="0" xr:uid="{3DBA67EF-3890-4C75-94B0-A57914501718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ACOMETIDA </t>
        </r>
      </text>
    </comment>
    <comment ref="F582" authorId="0" shapeId="0" xr:uid="{B888A0CB-A0B6-49BB-8629-6B9C1E72E58A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ACOMETIDA </t>
        </r>
      </text>
    </comment>
    <comment ref="F607" authorId="0" shapeId="0" xr:uid="{1B7420D8-660A-4522-A44E-7C4E2F90EE21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TUBERIA ELECTRICA MUROS N1</t>
        </r>
      </text>
    </comment>
    <comment ref="F608" authorId="0" shapeId="0" xr:uid="{4FD4D2CD-CB03-4116-AFA3-4EBF0A8C6BE0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TUBERIA ELECTRICA MUROS N1</t>
        </r>
      </text>
    </comment>
    <comment ref="F633" authorId="0" shapeId="0" xr:uid="{BC67BAAB-ECCC-41DA-BD53-52003DEF8C06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TUBERIA ELECTRICA MUROS N1</t>
        </r>
      </text>
    </comment>
    <comment ref="F634" authorId="0" shapeId="0" xr:uid="{2CCFFBF6-8C04-4358-979E-762976F20E02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TUBERIA ELECTRICA MUROS N1</t>
        </r>
      </text>
    </comment>
    <comment ref="F660" authorId="0" shapeId="0" xr:uid="{63A424F0-C7C9-46AC-BF8A-6C878707DF7A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TUBERIA ELECTRICA MUROS N1</t>
        </r>
      </text>
    </comment>
    <comment ref="F661" authorId="0" shapeId="0" xr:uid="{C1D2B56E-10A7-4FED-A156-9E122E6169C6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TUBERIA ELECTRICA MUROS N1</t>
        </r>
      </text>
    </comment>
    <comment ref="F694" authorId="0" shapeId="0" xr:uid="{FB95B295-7D8A-48D1-8328-112013FC3082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INSTALAC PLAFONES </t>
        </r>
      </text>
    </comment>
    <comment ref="F695" authorId="0" shapeId="0" xr:uid="{0D4A2D3F-B9F6-4ABE-A1D7-FBF4EA715E5C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INSTALAC PLAFONES </t>
        </r>
      </text>
    </comment>
    <comment ref="F725" authorId="0" shapeId="0" xr:uid="{D0579C47-A973-46CB-B2F1-9910C69B9007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BASE DE MEDIDOR </t>
        </r>
      </text>
    </comment>
    <comment ref="F726" authorId="0" shapeId="0" xr:uid="{0DF67E44-9E0D-4867-9CA5-E5AEA4B9C573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BASE DE MEDIDOR </t>
        </r>
      </text>
    </comment>
    <comment ref="F727" authorId="0" shapeId="0" xr:uid="{28F23609-1DAC-4069-807D-E3F1FF004C71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INSTALAC ELECTRICA CIELOS Y CENTRO DE CARGA </t>
        </r>
      </text>
    </comment>
    <comment ref="F728" authorId="0" shapeId="0" xr:uid="{F0B10F15-8FF4-4738-8B3C-6BB99A1E7AAF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INSTALAC ELECTRICA CIELOS Y CENTRO DE CARGA </t>
        </r>
      </text>
    </comment>
    <comment ref="F745" authorId="0" shapeId="0" xr:uid="{277AE309-BE83-42B0-A2F8-E728A02160C4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ARMADO CAJA BREAKER </t>
        </r>
      </text>
    </comment>
    <comment ref="F746" authorId="0" shapeId="0" xr:uid="{D098B492-9EEA-41FC-9917-2F1267CF43EE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ARMADO CAJA BREAKER </t>
        </r>
      </text>
    </comment>
    <comment ref="E749" authorId="9" shapeId="0" xr:uid="{2B9A033B-4FCE-43D1-826D-343F9A48AFF1}">
      <text>
        <r>
          <rPr>
            <b/>
            <sz val="9"/>
            <color indexed="81"/>
            <rFont val="Tahoma"/>
            <family val="2"/>
          </rPr>
          <t>Viviana:</t>
        </r>
        <r>
          <rPr>
            <sz val="9"/>
            <color indexed="81"/>
            <rFont val="Tahoma"/>
            <family val="2"/>
          </rPr>
          <t xml:space="preserve">
BLANCO
</t>
        </r>
      </text>
    </comment>
    <comment ref="E750" authorId="9" shapeId="0" xr:uid="{3068037B-A1F1-47A6-8EF7-02CB9FB1E873}">
      <text>
        <r>
          <rPr>
            <b/>
            <sz val="9"/>
            <color indexed="81"/>
            <rFont val="Tahoma"/>
            <family val="2"/>
          </rPr>
          <t>Viviana:</t>
        </r>
        <r>
          <rPr>
            <sz val="9"/>
            <color indexed="81"/>
            <rFont val="Tahoma"/>
            <family val="2"/>
          </rPr>
          <t xml:space="preserve">
VERDE
</t>
        </r>
      </text>
    </comment>
    <comment ref="E751" authorId="9" shapeId="0" xr:uid="{769CECF9-9300-4757-813D-BDF538651139}">
      <text>
        <r>
          <rPr>
            <b/>
            <sz val="9"/>
            <color indexed="81"/>
            <rFont val="Tahoma"/>
            <family val="2"/>
          </rPr>
          <t>Viviana:</t>
        </r>
        <r>
          <rPr>
            <sz val="9"/>
            <color indexed="81"/>
            <rFont val="Tahoma"/>
            <family val="2"/>
          </rPr>
          <t xml:space="preserve">
ROJO
</t>
        </r>
      </text>
    </comment>
    <comment ref="E752" authorId="9" shapeId="0" xr:uid="{9AB0DE9E-5D00-4152-BA49-1A6955D99FB7}">
      <text>
        <r>
          <rPr>
            <b/>
            <sz val="9"/>
            <color indexed="81"/>
            <rFont val="Tahoma"/>
            <family val="2"/>
          </rPr>
          <t>Viviana:</t>
        </r>
        <r>
          <rPr>
            <sz val="9"/>
            <color indexed="81"/>
            <rFont val="Tahoma"/>
            <family val="2"/>
          </rPr>
          <t xml:space="preserve">
NEGRO</t>
        </r>
      </text>
    </comment>
    <comment ref="E753" authorId="9" shapeId="0" xr:uid="{F65E3FFC-8013-4CC2-AFEC-0689E37E60D4}">
      <text>
        <r>
          <rPr>
            <b/>
            <sz val="9"/>
            <color indexed="81"/>
            <rFont val="Tahoma"/>
            <family val="2"/>
          </rPr>
          <t>Viviana:</t>
        </r>
        <r>
          <rPr>
            <sz val="9"/>
            <color indexed="81"/>
            <rFont val="Tahoma"/>
            <family val="2"/>
          </rPr>
          <t xml:space="preserve">
AZUL
</t>
        </r>
      </text>
    </comment>
    <comment ref="E754" authorId="9" shapeId="0" xr:uid="{562B6E24-D6CF-40A6-A00D-238263EF0D10}">
      <text>
        <r>
          <rPr>
            <b/>
            <sz val="9"/>
            <color indexed="81"/>
            <rFont val="Tahoma"/>
            <family val="2"/>
          </rPr>
          <t>Viviana:</t>
        </r>
        <r>
          <rPr>
            <sz val="9"/>
            <color indexed="81"/>
            <rFont val="Tahoma"/>
            <family val="2"/>
          </rPr>
          <t xml:space="preserve">
BLANCO</t>
        </r>
      </text>
    </comment>
    <comment ref="E755" authorId="9" shapeId="0" xr:uid="{DC58C429-6C8A-4F27-B512-826C065B1758}">
      <text>
        <r>
          <rPr>
            <b/>
            <sz val="9"/>
            <color indexed="81"/>
            <rFont val="Tahoma"/>
            <family val="2"/>
          </rPr>
          <t>Viviana:</t>
        </r>
        <r>
          <rPr>
            <sz val="9"/>
            <color indexed="81"/>
            <rFont val="Tahoma"/>
            <family val="2"/>
          </rPr>
          <t xml:space="preserve">
ROJO</t>
        </r>
      </text>
    </comment>
    <comment ref="E756" authorId="9" shapeId="0" xr:uid="{05F9041C-898E-4EF3-A789-F35DA9A246CA}">
      <text>
        <r>
          <rPr>
            <b/>
            <sz val="9"/>
            <color indexed="81"/>
            <rFont val="Tahoma"/>
            <family val="2"/>
          </rPr>
          <t>Viviana:</t>
        </r>
        <r>
          <rPr>
            <sz val="9"/>
            <color indexed="81"/>
            <rFont val="Tahoma"/>
            <family val="2"/>
          </rPr>
          <t xml:space="preserve">
VERDE
</t>
        </r>
      </text>
    </comment>
    <comment ref="E757" authorId="9" shapeId="0" xr:uid="{0CA2DABE-7B38-493B-AB3D-FDA19EB2BCAB}">
      <text>
        <r>
          <rPr>
            <b/>
            <sz val="9"/>
            <color indexed="81"/>
            <rFont val="Tahoma"/>
            <family val="2"/>
          </rPr>
          <t>Viviana:</t>
        </r>
        <r>
          <rPr>
            <sz val="9"/>
            <color indexed="81"/>
            <rFont val="Tahoma"/>
            <family val="2"/>
          </rPr>
          <t xml:space="preserve">
VERDE</t>
        </r>
      </text>
    </comment>
    <comment ref="F767" authorId="0" shapeId="0" xr:uid="{1788F508-67EB-4454-9D94-D4E057E736C9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CABLEADO MUROS Y ARMADO CENTRO DE CARGA </t>
        </r>
      </text>
    </comment>
    <comment ref="F768" authorId="0" shapeId="0" xr:uid="{0790BD9F-61BB-4325-A944-78ED481C324B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CABLEADO MUROS Y ARMADO CENTRO DE CARGA </t>
        </r>
      </text>
    </comment>
    <comment ref="F798" authorId="0" shapeId="0" xr:uid="{CB5E40F8-FF8D-4400-8BA8-456E14D9C513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PLAQUERIA Y LUMINARIAS </t>
        </r>
      </text>
    </comment>
    <comment ref="F799" authorId="0" shapeId="0" xr:uid="{CA57C5AF-4289-4665-BC20-99A1D28EF068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PLAQUERIA Y LUMINARIAS </t>
        </r>
      </text>
    </comment>
    <comment ref="F817" authorId="0" shapeId="0" xr:uid="{D5AD5934-B177-4DA4-9F96-D78B6BE305E9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COLOCACIÓN DE BREAKERS </t>
        </r>
      </text>
    </comment>
    <comment ref="F818" authorId="0" shapeId="0" xr:uid="{0CF87439-8765-41BA-A958-3E1EDC7463DE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COLOCACIÓN DE BREAKERS </t>
        </r>
      </text>
    </comment>
    <comment ref="F819" authorId="0" shapeId="0" xr:uid="{E7CD1093-3680-45A6-A01F-433E5CBFE8C2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COLOCACION DE BOMBILLOS Y AJUSTES </t>
        </r>
      </text>
    </comment>
    <comment ref="F820" authorId="0" shapeId="0" xr:uid="{EC5338E7-82BD-4F71-A06E-A1D3CA4BF0A1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COLOCACION DE BOMBILLOS Y AJUSTES </t>
        </r>
      </text>
    </comment>
    <comment ref="F839" authorId="0" shapeId="0" xr:uid="{6248027F-5B98-4878-8BE1-B2111EDA67C8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INST MECANICAS DE LOSA</t>
        </r>
      </text>
    </comment>
    <comment ref="F840" authorId="0" shapeId="0" xr:uid="{3AD0A394-21E5-4F2B-B903-7B4882DE2118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INST MECÁNICAS DE LOSA </t>
        </r>
      </text>
    </comment>
    <comment ref="F841" authorId="0" shapeId="0" xr:uid="{A4EDA52D-90A8-4F20-A1F3-5FB37C0AF2AB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POTABLE LOSA</t>
        </r>
      </text>
    </comment>
    <comment ref="F842" authorId="0" shapeId="0" xr:uid="{3182466B-48BE-4ECE-B416-A8FAA327E6A5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POTABLE LOSA </t>
        </r>
      </text>
    </comment>
    <comment ref="F856" authorId="0" shapeId="0" xr:uid="{A973460A-3109-4452-AE49-C538D0B5C4B8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INST MECANICAS DE LOSA</t>
        </r>
      </text>
    </comment>
    <comment ref="F857" authorId="0" shapeId="0" xr:uid="{E334DF93-DBB4-432B-B429-BB7BFBE7D850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INST MECÁNICAS DE LOSA </t>
        </r>
      </text>
    </comment>
    <comment ref="F858" authorId="0" shapeId="0" xr:uid="{D6004FB5-5226-4B48-9690-98EDAD8F035A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POTABLE LOSA</t>
        </r>
      </text>
    </comment>
    <comment ref="F859" authorId="0" shapeId="0" xr:uid="{670A9FCF-FB6C-4B77-83BA-19F826DC6E53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POTABLE LOSA </t>
        </r>
      </text>
    </comment>
    <comment ref="F871" authorId="0" shapeId="0" xr:uid="{1202C628-4CC7-413A-9EAC-43597CFFDF38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INST MECANICAS DE LOSA</t>
        </r>
      </text>
    </comment>
    <comment ref="F872" authorId="0" shapeId="0" xr:uid="{42F17FE8-800F-4DF8-AF35-3399B585A935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INST MECÁNICAS DE LOSA </t>
        </r>
      </text>
    </comment>
    <comment ref="F873" authorId="0" shapeId="0" xr:uid="{40537F8C-0663-455D-A432-45E5C185000D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POTABLE LOSA</t>
        </r>
      </text>
    </comment>
    <comment ref="F874" authorId="0" shapeId="0" xr:uid="{B90928F0-90A6-4689-8498-750020C33F08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POTABLE LOSA </t>
        </r>
      </text>
    </comment>
    <comment ref="F887" authorId="0" shapeId="0" xr:uid="{84B0E971-47AC-4076-9261-EF4C1692E14C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INST MECANICAS DE LOSA</t>
        </r>
      </text>
    </comment>
    <comment ref="F888" authorId="0" shapeId="0" xr:uid="{EC9AF019-1D97-4BE4-A81F-7CAA99E1A598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INST MECÁNICAS DE LOSA </t>
        </r>
      </text>
    </comment>
    <comment ref="F889" authorId="0" shapeId="0" xr:uid="{E0A67E88-B6D4-42A5-A0B8-4E599E7A5B44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POTABLE LOSA</t>
        </r>
      </text>
    </comment>
    <comment ref="F890" authorId="0" shapeId="0" xr:uid="{777ED92C-9010-4514-8FCC-4F0A2B09B6F0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POTABLE LOSA </t>
        </r>
      </text>
    </comment>
    <comment ref="F909" authorId="0" shapeId="0" xr:uid="{DE1A9190-8775-490B-88F2-38FD5B8B3A72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INSTALAC MECANIC MUROS N1 </t>
        </r>
      </text>
    </comment>
    <comment ref="F910" authorId="0" shapeId="0" xr:uid="{88114A21-86E1-4B18-8E71-33086DC2E984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INSTALAC MECANICAS MUROS N1 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Andrea</author>
  </authors>
  <commentList>
    <comment ref="D21" authorId="0" shapeId="0" xr:uid="{2550F023-7F0A-451D-8218-7E0E41AA6DDF}">
      <text>
        <r>
          <rPr>
            <b/>
            <sz val="9"/>
            <color indexed="81"/>
            <rFont val="Tahoma"/>
            <family val="2"/>
          </rPr>
          <t>Andrea:</t>
        </r>
        <r>
          <rPr>
            <sz val="9"/>
            <color indexed="81"/>
            <rFont val="Tahoma"/>
            <family val="2"/>
          </rPr>
          <t xml:space="preserve">
Se resta el are de losa cenital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Catalina Vazquez</author>
    <author>tc={AF9547D0-6A90-4494-9F51-6B3897C44E64}</author>
    <author>tc={8D06A13F-9A7E-4D1C-A16C-5D7577D7F605}</author>
    <author>tc={F2AE16AB-AD19-43A8-8E55-2EE5EB3B3AD7}</author>
    <author>tc={740AE382-6FCF-47D5-A713-366BCCDDA51F}</author>
    <author>tc={36F1B41A-96C3-4A7D-86A7-2B7E21689F33}</author>
    <author>tc={D5A463C7-2C02-46CD-8E3D-783CD166F91F}</author>
    <author>tc={78E1D5CD-E965-48B0-9AC4-4646AC0DABEB}</author>
  </authors>
  <commentList>
    <comment ref="G51" authorId="0" shapeId="0" xr:uid="{81F645D2-356A-4F01-9F43-46DFD64D6AA5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MULTIPERFILES 28 SET</t>
        </r>
      </text>
    </comment>
    <comment ref="B201" authorId="0" shapeId="0" xr:uid="{B68A111A-3BF0-4FAD-9BC1-EAE8E44EB88A}">
      <text>
        <r>
          <rPr>
            <b/>
            <sz val="9"/>
            <color indexed="81"/>
            <rFont val="Tahoma"/>
            <family val="2"/>
          </rPr>
          <t xml:space="preserve">Catalina Vazquez
Durman 16 junio joselyn </t>
        </r>
      </text>
    </comment>
    <comment ref="B202" authorId="0" shapeId="0" xr:uid="{6975CE0F-44BA-4FDD-8BAE-FD9831ABAE35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Durman 16 junio Joselyn </t>
        </r>
      </text>
    </comment>
    <comment ref="B203" authorId="0" shapeId="0" xr:uid="{280AB9DD-45C3-4357-95FC-DD670BB7F5A4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DURMAN 16 JUNIO JOSELYN </t>
        </r>
      </text>
    </comment>
    <comment ref="B204" authorId="0" shapeId="0" xr:uid="{92ADECA4-3256-4FA3-8CDA-2ECB41D2481D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DURMAN 16 JUNIO JOSELYN </t>
        </r>
      </text>
    </comment>
    <comment ref="B205" authorId="0" shapeId="0" xr:uid="{553633DC-8ACA-474C-89EA-9D991BC3595D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Durman 16 junio joselyn </t>
        </r>
      </text>
    </comment>
    <comment ref="B206" authorId="0" shapeId="0" xr:uid="{C8562021-E15D-4E3A-BD09-FBBF3518D7CA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Durman 16 junio joselyn </t>
        </r>
      </text>
    </comment>
    <comment ref="B207" authorId="0" shapeId="0" xr:uid="{F0DF359C-39BD-4869-AB34-617B5614F3EC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Durman 16 junio Joselyn </t>
        </r>
      </text>
    </comment>
    <comment ref="B208" authorId="0" shapeId="0" xr:uid="{3DB22A84-4110-4FB3-89D3-B99381F049DB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Durman 16 junio Joselyn </t>
        </r>
      </text>
    </comment>
    <comment ref="B209" authorId="0" shapeId="0" xr:uid="{80F066CC-684C-4FD4-BE4C-2342B32CE1AA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Durman 16 junio Joselyn </t>
        </r>
      </text>
    </comment>
    <comment ref="B210" authorId="0" shapeId="0" xr:uid="{96D5720E-27B6-474B-9560-F9722DF0D825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Durman 16 junio Joselyn </t>
        </r>
      </text>
    </comment>
    <comment ref="B211" authorId="0" shapeId="0" xr:uid="{BEF3015B-9268-4E43-8E91-7F6016B6D178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Durman 16 junio Joselyn </t>
        </r>
      </text>
    </comment>
    <comment ref="B213" authorId="0" shapeId="0" xr:uid="{A4D40063-F4E3-4514-BCA2-B05263633A19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Durman 16 junio joselyn </t>
        </r>
      </text>
    </comment>
    <comment ref="B214" authorId="0" shapeId="0" xr:uid="{7DB0FC8B-860C-4E22-A8B3-06E577516392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Durman 16 junio Joselyn </t>
        </r>
      </text>
    </comment>
    <comment ref="B252" authorId="0" shapeId="0" xr:uid="{C7C91CF9-F5A1-40B0-844C-077FAC548F50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Durman 16 junio Joselyn </t>
        </r>
      </text>
    </comment>
    <comment ref="B253" authorId="0" shapeId="0" xr:uid="{906EAFB2-C429-4AAA-8CF1-3C354DF12CAB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Durman 16 junio Joselyn </t>
        </r>
      </text>
    </comment>
    <comment ref="B260" authorId="0" shapeId="0" xr:uid="{38E419BD-282E-4C28-A60A-3D2C8DF14739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Durman 16 junio Joselyn </t>
        </r>
      </text>
    </comment>
    <comment ref="H406" authorId="0" shapeId="0" xr:uid="{70BF9D7B-81A8-4150-9589-4F37B7910058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412" authorId="1" shapeId="0" xr:uid="{AF9547D0-6A90-4494-9F51-6B3897C44E64}">
      <text>
        <t>[Threaded comment]
Your version of Excel allows you to read this threaded comment; however, any edits to it will get removed if the file is opened in a newer version of Excel. Learn more: https://go.microsoft.com/fwlink/?linkid=870924
Comment:
    ESMERALDA 16 JUNIO JOSELYN</t>
      </text>
    </comment>
    <comment ref="B415" authorId="2" shapeId="0" xr:uid="{8D06A13F-9A7E-4D1C-A16C-5D7577D7F605}">
      <text>
        <t>[Threaded comment]
Your version of Excel allows you to read this threaded comment; however, any edits to it will get removed if the file is opened in a newer version of Excel. Learn more: https://go.microsoft.com/fwlink/?linkid=870924
Comment:
    RODATEC 16 JUNIO JOSELYN</t>
      </text>
    </comment>
    <comment ref="B417" authorId="0" shapeId="0" xr:uid="{72EAC3F1-B851-408B-AC02-AF304D633275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Tajo Hacienda Platanillal:
Material 11 mil 
Transporte: 59280</t>
        </r>
      </text>
    </comment>
    <comment ref="B419" authorId="3" shapeId="0" xr:uid="{F2AE16AB-AD19-43A8-8E55-2EE5EB3B3AD7}">
      <text>
        <t>[Threaded comment]
Your version of Excel allows you to read this threaded comment; however, any edits to it will get removed if the file is opened in a newer version of Excel. Learn more: https://go.microsoft.com/fwlink/?linkid=870924
Comment:
    RODATEC 16 JUNIO JOSELYN</t>
      </text>
    </comment>
    <comment ref="B420" authorId="4" shapeId="0" xr:uid="{740AE382-6FCF-47D5-A713-366BCCDDA51F}">
      <text>
        <t>[Threaded comment]
Your version of Excel allows you to read this threaded comment; however, any edits to it will get removed if the file is opened in a newer version of Excel. Learn more: https://go.microsoft.com/fwlink/?linkid=870924
Comment:
    RODATEC 16 JUNIO JOSELYN</t>
      </text>
    </comment>
    <comment ref="B532" authorId="5" shapeId="0" xr:uid="{36F1B41A-96C3-4A7D-86A7-2B7E21689F33}">
      <text>
        <t>[Threaded comment]
Your version of Excel allows you to read this threaded comment; however, any edits to it will get removed if the file is opened in a newer version of Excel. Learn more: https://go.microsoft.com/fwlink/?linkid=870924
Comment:
    Durman 16 junio joselyn</t>
      </text>
    </comment>
    <comment ref="B546" authorId="0" shapeId="0" xr:uid="{04A028F1-D7C9-46CE-AA4A-81A66A2DB7D4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Durman 16 junio joselyn </t>
        </r>
      </text>
    </comment>
    <comment ref="B559" authorId="0" shapeId="0" xr:uid="{5567746E-6EC0-42D7-AC20-7AB6D6B5C9AF}">
      <text>
        <r>
          <rPr>
            <b/>
            <sz val="9"/>
            <color indexed="81"/>
            <rFont val="Tahoma"/>
            <family val="2"/>
          </rPr>
          <t xml:space="preserve">Catalina Vazq
Durman 16 junio Joselyn </t>
        </r>
      </text>
    </comment>
    <comment ref="B560" authorId="0" shapeId="0" xr:uid="{C354CBFE-176F-4683-B065-7EC17EAC5933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Durman 16 junio Joselyn </t>
        </r>
      </text>
    </comment>
    <comment ref="B566" authorId="0" shapeId="0" xr:uid="{5B67C89B-6A0B-4BEE-AC0B-3CEEC9E1B9DA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Durman 16 junio joselyn </t>
        </r>
      </text>
    </comment>
    <comment ref="B567" authorId="0" shapeId="0" xr:uid="{4B533CF8-D667-42E4-B7E5-6E7400129F4A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Durman 16 junio Joselyn </t>
        </r>
      </text>
    </comment>
    <comment ref="B570" authorId="0" shapeId="0" xr:uid="{BEDFBB23-7D7B-4A06-BC4E-F65450CA7D2A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Durman 16 junio Joselyn </t>
        </r>
      </text>
    </comment>
    <comment ref="B571" authorId="0" shapeId="0" xr:uid="{FEBA0744-2335-45CD-A007-9518E8220806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DURMAN 16 JUNIO JOSELYN </t>
        </r>
      </text>
    </comment>
    <comment ref="B572" authorId="6" shapeId="0" xr:uid="{D5A463C7-2C02-46CD-8E3D-783CD166F91F}">
      <text>
        <t>[Threaded comment]
Your version of Excel allows you to read this threaded comment; however, any edits to it will get removed if the file is opened in a newer version of Excel. Learn more: https://go.microsoft.com/fwlink/?linkid=870924
Comment:
    DURMAN 16 JUNIO JOSELYN</t>
      </text>
    </comment>
    <comment ref="B573" authorId="0" shapeId="0" xr:uid="{86A52D45-4F52-446E-BB2D-BBC57BA4C178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Durman 16 junio Joselyn </t>
        </r>
      </text>
    </comment>
    <comment ref="B576" authorId="0" shapeId="0" xr:uid="{FC4356D3-3A30-48D6-99AE-F99344903D9C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Durman 16 junio Joselyn 
</t>
        </r>
      </text>
    </comment>
    <comment ref="B577" authorId="0" shapeId="0" xr:uid="{0951D992-DF17-471F-A9E6-83DC3CFCFF13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Durman 16 junio Joselyn
</t>
        </r>
      </text>
    </comment>
    <comment ref="B579" authorId="0" shapeId="0" xr:uid="{C9BD60CB-194B-4FFF-9BCB-0E40F3BA9435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Durman 16 junio Joselyn </t>
        </r>
      </text>
    </comment>
    <comment ref="B580" authorId="0" shapeId="0" xr:uid="{8A56000F-52D6-486F-80ED-FFC531AB018A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Durman 16 junio Joselyn </t>
        </r>
      </text>
    </comment>
    <comment ref="B583" authorId="0" shapeId="0" xr:uid="{AB2C5B6A-676C-4ED7-8666-FA63986CAE8D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Durman 16 junio joselyn </t>
        </r>
      </text>
    </comment>
    <comment ref="B584" authorId="0" shapeId="0" xr:uid="{69C1711E-2E17-45D1-B5C2-D2A41D76147B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Durman 16 junio Joselyn </t>
        </r>
      </text>
    </comment>
    <comment ref="B586" authorId="0" shapeId="0" xr:uid="{61C7AC73-0042-4016-94D6-99E8ACABCDE1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Durman 16 junio Joselyn 
</t>
        </r>
      </text>
    </comment>
    <comment ref="B587" authorId="0" shapeId="0" xr:uid="{CD8C024D-D35C-4024-AD7C-4566360F36E2}">
      <text>
        <r>
          <rPr>
            <b/>
            <sz val="9"/>
            <color indexed="81"/>
            <rFont val="Tahoma"/>
            <family val="2"/>
          </rPr>
          <t xml:space="preserve">Catalina Vazquez:Durman 16 junio joselyn </t>
        </r>
      </text>
    </comment>
    <comment ref="B588" authorId="0" shapeId="0" xr:uid="{BB242DCE-C129-48CB-9767-12CC2532C1E9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durman 16 junio joselyn </t>
        </r>
      </text>
    </comment>
    <comment ref="B591" authorId="0" shapeId="0" xr:uid="{C08E3F7C-91EF-4331-AD83-4DCBC1D639B1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Duman 16 jinio Joselyn </t>
        </r>
      </text>
    </comment>
    <comment ref="B592" authorId="0" shapeId="0" xr:uid="{B190B3C6-3A12-4C7C-971F-7154E2248ED6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Durman 16 junio Joselyn </t>
        </r>
      </text>
    </comment>
    <comment ref="B593" authorId="0" shapeId="0" xr:uid="{CFCA3045-B4F1-468E-AACC-A984C0AD99DF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Durman 16 junio Joselyn </t>
        </r>
      </text>
    </comment>
    <comment ref="B594" authorId="0" shapeId="0" xr:uid="{8AF237D2-E487-46D1-B68C-98EFA03C5ACC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Durman 16 junio joselyn </t>
        </r>
      </text>
    </comment>
    <comment ref="B595" authorId="0" shapeId="0" xr:uid="{31D59FA6-5B71-4569-A7C6-DAF38F96B2E3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Durman 16 junio Joselyn </t>
        </r>
      </text>
    </comment>
    <comment ref="B596" authorId="0" shapeId="0" xr:uid="{0B9A11F0-DFA3-4779-8564-F40D574722A2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Durman 16 junio Joselyn </t>
        </r>
      </text>
    </comment>
    <comment ref="B597" authorId="0" shapeId="0" xr:uid="{A7B2F607-5C01-4272-9CAC-427B99617270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Duman 16 junio Joselyn </t>
        </r>
      </text>
    </comment>
    <comment ref="B598" authorId="0" shapeId="0" xr:uid="{7A1D4B67-32A6-4A51-97DC-488A5843A3DD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Durman 16 junio Joselyn </t>
        </r>
      </text>
    </comment>
    <comment ref="B599" authorId="0" shapeId="0" xr:uid="{B3921947-6F5D-44C0-9525-52CC0B7EE51A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Durman 16 junio joselyn </t>
        </r>
      </text>
    </comment>
    <comment ref="B600" authorId="0" shapeId="0" xr:uid="{4DC55F96-4C7F-4D6D-9672-2FD4C6E664C5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Durman 16 junio Joselyn </t>
        </r>
      </text>
    </comment>
    <comment ref="B603" authorId="0" shapeId="0" xr:uid="{C7F9308F-E27D-493C-8DE4-C62BC9DA3F0D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Durman 16 junio Joselyn </t>
        </r>
      </text>
    </comment>
    <comment ref="B605" authorId="0" shapeId="0" xr:uid="{291C5FEF-C3DC-4A0C-A0E5-5FEB669E07CA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Durman 16 junio Joselyn </t>
        </r>
      </text>
    </comment>
    <comment ref="B607" authorId="0" shapeId="0" xr:uid="{5149CCF4-8BD1-45DC-B90D-396741430C5A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Durman 16 junio Joselyn </t>
        </r>
      </text>
    </comment>
    <comment ref="B610" authorId="0" shapeId="0" xr:uid="{5C05DB43-C1D8-46CA-9675-BD10F875957D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Durman 16 junio joselyn </t>
        </r>
      </text>
    </comment>
    <comment ref="B611" authorId="0" shapeId="0" xr:uid="{DB0094D1-B23E-4B76-951B-56EF394CD1EF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Durman 16 junio Joselyn </t>
        </r>
      </text>
    </comment>
    <comment ref="B612" authorId="0" shapeId="0" xr:uid="{5119EE6F-5E89-421C-829D-10D486182D3B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Durman 16 junio joselyn </t>
        </r>
      </text>
    </comment>
    <comment ref="B613" authorId="0" shapeId="0" xr:uid="{DD789FCC-14F2-4CEF-B24F-A7B0B0216DB2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Durman 16 junio Joselyn </t>
        </r>
      </text>
    </comment>
    <comment ref="B616" authorId="0" shapeId="0" xr:uid="{BA66B6B8-8B11-4AAE-AFAE-DAC1CA234B05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Durman 16 junio Joselyn </t>
        </r>
      </text>
    </comment>
    <comment ref="B621" authorId="0" shapeId="0" xr:uid="{89EAC98F-626B-424C-AEF5-EB3C5A58DD1B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Durman 16 junio joselyn </t>
        </r>
      </text>
    </comment>
    <comment ref="B624" authorId="0" shapeId="0" xr:uid="{0FFF998A-4204-477E-BD84-8902F57F893C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Durman 16 junio Joselyn </t>
        </r>
      </text>
    </comment>
    <comment ref="B627" authorId="0" shapeId="0" xr:uid="{199BE778-100A-467D-BA37-246542CC5DFC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Durman 16 junio Joselyn </t>
        </r>
      </text>
    </comment>
    <comment ref="B628" authorId="0" shapeId="0" xr:uid="{B34584A8-9407-4BC0-851A-2F59A2129601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Durman 16 junio Joselyn </t>
        </r>
      </text>
    </comment>
    <comment ref="B629" authorId="0" shapeId="0" xr:uid="{6A54AB7A-3875-4FF6-A088-1D3169766672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Durman 16 junio joselyn </t>
        </r>
      </text>
    </comment>
    <comment ref="B631" authorId="0" shapeId="0" xr:uid="{DB9D77C1-3D49-4CA6-8584-954C64EB4AA8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Durman 16 junio Joselyn </t>
        </r>
      </text>
    </comment>
    <comment ref="B632" authorId="0" shapeId="0" xr:uid="{3878F452-15F0-4EE3-81BF-C078616D9E74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Durman 16 junio joselyn </t>
        </r>
      </text>
    </comment>
    <comment ref="B635" authorId="0" shapeId="0" xr:uid="{C32E7ABE-38E1-43DB-A019-7E95A36EF434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Durman 16 junio joselyn 
</t>
        </r>
      </text>
    </comment>
    <comment ref="B645" authorId="7" shapeId="0" xr:uid="{78E1D5CD-E965-48B0-9AC4-4646AC0DABEB}">
      <text>
        <t>[Threaded comment]
Your version of Excel allows you to read this threaded comment; however, any edits to it will get removed if the file is opened in a newer version of Excel. Learn more: https://go.microsoft.com/fwlink/?linkid=870924
Comment:
    Durman 16 junio joselyn</t>
      </text>
    </comment>
    <comment ref="B648" authorId="0" shapeId="0" xr:uid="{EEC8FF77-A101-42AD-AB35-7C288C2CCEF5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Durman 16 junio joselyn </t>
        </r>
      </text>
    </comment>
    <comment ref="B667" authorId="0" shapeId="0" xr:uid="{7A0B19EF-A4BC-4265-ABCC-CFC6592DD2E0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Durman 16 junio Joselyn </t>
        </r>
      </text>
    </comment>
    <comment ref="B733" authorId="0" shapeId="0" xr:uid="{29EC632D-D771-4B34-A9C8-A84CEF7375D8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Durman 16 junio joselyn 
</t>
        </r>
      </text>
    </comment>
    <comment ref="B768" authorId="0" shapeId="0" xr:uid="{A0DEFB05-FCDB-4178-9103-3182D2C10292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Durman 16 junio joselyn </t>
        </r>
      </text>
    </comment>
    <comment ref="B769" authorId="0" shapeId="0" xr:uid="{E12A3385-5F6E-49BC-ACA3-5236EA79CDE9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Durman 16 junio Joselyn </t>
        </r>
      </text>
    </comment>
    <comment ref="B770" authorId="0" shapeId="0" xr:uid="{C298D8FB-A504-48DB-9C68-93CC2C4FA0B7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Durman 16 junio Joselyn </t>
        </r>
      </text>
    </comment>
    <comment ref="B772" authorId="0" shapeId="0" xr:uid="{B32D714A-3BE8-4A23-B1CF-02D392B60F6A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Durman 16 junio Joselyn </t>
        </r>
      </text>
    </comment>
    <comment ref="B773" authorId="0" shapeId="0" xr:uid="{2F656F82-7C70-4FEE-9CB5-6B9AD95631A7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Durman 16 junio joselyn 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tc={124BD147-756A-4F61-801D-2BE9F304D2EE}</author>
    <author>Catalina Vazquez</author>
  </authors>
  <commentList>
    <comment ref="D1" authorId="0" shapeId="0" xr:uid="{124BD147-756A-4F61-801D-2BE9F304D2EE}">
      <text>
        <t>[Threaded comment]
Your version of Excel allows you to read this threaded comment; however, any edits to it will get removed if the file is opened in a newer version of Excel. Learn more: https://go.microsoft.com/fwlink/?linkid=870924
Comment:
    Precios actualizados 02 de setiembre 2025</t>
      </text>
    </comment>
    <comment ref="D39" authorId="1" shapeId="0" xr:uid="{61799BD8-19D8-4FB9-8F2D-B9A5AC5C91EE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Precio con IVA INCLUIDO E INSTALACION 3% RETENCION INCLUIDO
</t>
        </r>
      </text>
    </comment>
    <comment ref="D40" authorId="1" shapeId="0" xr:uid="{9EEB22C3-AA7B-4E2D-9D50-2EA4275A2823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Precio con IVA INCLUIDO E INSTALACION </t>
        </r>
      </text>
    </comment>
    <comment ref="D41" authorId="1" shapeId="0" xr:uid="{734B2EEF-3D7B-463C-AD86-F87D1B40A1B6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Precio con IVA INCLUIDO E INSTALACION </t>
        </r>
      </text>
    </comment>
    <comment ref="D42" authorId="1" shapeId="0" xr:uid="{8B33D5B1-863D-40C5-9A3C-4023021909BB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Precio con IVA INCLUIDO E INSTALACION </t>
        </r>
      </text>
    </comment>
    <comment ref="D45" authorId="1" shapeId="0" xr:uid="{F8609C84-AB84-4E83-80DC-EF490001FFC9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Precio con IVA INCLUIDO E INSTALACION </t>
        </r>
      </text>
    </comment>
    <comment ref="D46" authorId="1" shapeId="0" xr:uid="{012D26E6-FF99-4D7E-83B8-84FDCF919BE1}">
      <text>
        <r>
          <rPr>
            <b/>
            <sz val="9"/>
            <color indexed="81"/>
            <rFont val="Tahoma"/>
            <family val="2"/>
          </rPr>
          <t>Catalina Vazquez:</t>
        </r>
        <r>
          <rPr>
            <sz val="9"/>
            <color indexed="81"/>
            <rFont val="Tahoma"/>
            <family val="2"/>
          </rPr>
          <t xml:space="preserve">
Precio con IVA INCLUIDO E INSTALACION 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Descompuesto" description="Conexión a la consulta 'Descompuesto' en el libro." type="5" refreshedVersion="8" background="1" saveData="1">
    <dbPr connection="Provider=Microsoft.Mashup.OleDb.1;Data Source=$Workbook$;Location=Descompuesto;Extended Properties=&quot;&quot;" command="SELECT * FROM [Descompuesto]"/>
  </connection>
</connections>
</file>

<file path=xl/sharedStrings.xml><?xml version="1.0" encoding="utf-8"?>
<sst xmlns="http://schemas.openxmlformats.org/spreadsheetml/2006/main" count="14017" uniqueCount="3797">
  <si>
    <t>Desglose de Presupuesto</t>
  </si>
  <si>
    <t>Proyecto:</t>
  </si>
  <si>
    <t>Cliente:</t>
  </si>
  <si>
    <t>ADELANTE DESARROLLOS</t>
  </si>
  <si>
    <t>Actualizacion</t>
  </si>
  <si>
    <t>Fecha:</t>
  </si>
  <si>
    <t>TC</t>
  </si>
  <si>
    <t>Ubicación:</t>
  </si>
  <si>
    <t>Cartago</t>
  </si>
  <si>
    <t xml:space="preserve">Area: </t>
  </si>
  <si>
    <t xml:space="preserve">CODIGO </t>
  </si>
  <si>
    <t>N°</t>
  </si>
  <si>
    <t>Descripcion actividad</t>
  </si>
  <si>
    <t>Cantidad</t>
  </si>
  <si>
    <t>Unidad</t>
  </si>
  <si>
    <t>Unit mater</t>
  </si>
  <si>
    <t>Unit MO</t>
  </si>
  <si>
    <t>Unit Sub/ Equipos</t>
  </si>
  <si>
    <t>Total Mater</t>
  </si>
  <si>
    <t>Total MO</t>
  </si>
  <si>
    <t xml:space="preserve">Total Sub/Equipos </t>
  </si>
  <si>
    <t xml:space="preserve">Total Directo Colones </t>
  </si>
  <si>
    <t xml:space="preserve">Total Directo Dólares </t>
  </si>
  <si>
    <t>TOTAL PRESUPUESTO</t>
  </si>
  <si>
    <t>01</t>
  </si>
  <si>
    <t xml:space="preserve">FUNDACIONES </t>
  </si>
  <si>
    <t>MAT</t>
  </si>
  <si>
    <t xml:space="preserve">1.1 </t>
  </si>
  <si>
    <t xml:space="preserve">OBRAS PRELIMINARES Y RELLENOS </t>
  </si>
  <si>
    <t>gb</t>
  </si>
  <si>
    <t>MAT03-0014</t>
  </si>
  <si>
    <t>MAT08-0017</t>
  </si>
  <si>
    <t>MAT08-0029</t>
  </si>
  <si>
    <t>MAT08-0031</t>
  </si>
  <si>
    <t xml:space="preserve">BACK HOE </t>
  </si>
  <si>
    <t xml:space="preserve">COMPACTADOR </t>
  </si>
  <si>
    <t xml:space="preserve">OPERARIO </t>
  </si>
  <si>
    <t xml:space="preserve">AYUDANTE </t>
  </si>
  <si>
    <t>1.2</t>
  </si>
  <si>
    <t>EXCAVACIÓN Y TUBERÍAS MECÁNICAS (INCLUYE ACOMETIDA)</t>
  </si>
  <si>
    <t>MAT19-0100</t>
  </si>
  <si>
    <t>MAT19-0095</t>
  </si>
  <si>
    <t>MAT19-0094</t>
  </si>
  <si>
    <t>MAT19-0081</t>
  </si>
  <si>
    <t>MAT19-0044</t>
  </si>
  <si>
    <t>MAT19-0118</t>
  </si>
  <si>
    <t>MAT19-0024</t>
  </si>
  <si>
    <t>MAT19-0049</t>
  </si>
  <si>
    <t>MAT19-0055</t>
  </si>
  <si>
    <t>MAT19-0112</t>
  </si>
  <si>
    <t>MAT19-0126</t>
  </si>
  <si>
    <t>MAT19-0063</t>
  </si>
  <si>
    <t>MAT19-0124</t>
  </si>
  <si>
    <t>MAT19-0041</t>
  </si>
  <si>
    <t>MAT19-0017</t>
  </si>
  <si>
    <t>MAT19-0096</t>
  </si>
  <si>
    <t>MAT19-0125</t>
  </si>
  <si>
    <t>MAT03-0002</t>
  </si>
  <si>
    <t>MAT08-0091</t>
  </si>
  <si>
    <t>MAT08-0034</t>
  </si>
  <si>
    <t>MAT08-0003</t>
  </si>
  <si>
    <t>MAT19-0084</t>
  </si>
  <si>
    <t>MAT19-0085</t>
  </si>
  <si>
    <t>MAT19-0031</t>
  </si>
  <si>
    <t>MAT19-0032</t>
  </si>
  <si>
    <t>MAT19-0104</t>
  </si>
  <si>
    <t>MAT19-0105</t>
  </si>
  <si>
    <t>MAT21-0009</t>
  </si>
  <si>
    <t>MAT08-0018</t>
  </si>
  <si>
    <t xml:space="preserve">SELLO DE CONCRETO </t>
  </si>
  <si>
    <t xml:space="preserve">CONCRETO </t>
  </si>
  <si>
    <t>MAT04-0062</t>
  </si>
  <si>
    <t>MAT03-0006</t>
  </si>
  <si>
    <t>MAT02-0017</t>
  </si>
  <si>
    <t>MAT02-0029</t>
  </si>
  <si>
    <t>MAT08-0449</t>
  </si>
  <si>
    <t>1.4</t>
  </si>
  <si>
    <t xml:space="preserve">LOSA FLOTANTE (ACERO, ELECTROMECANICOS, CONCRETO) </t>
  </si>
  <si>
    <t xml:space="preserve">m2 </t>
  </si>
  <si>
    <t>MAT21-0028</t>
  </si>
  <si>
    <t>MAT02-0010</t>
  </si>
  <si>
    <t>MAT02-0027</t>
  </si>
  <si>
    <t>MAT02-0001</t>
  </si>
  <si>
    <t>MAT08-0108</t>
  </si>
  <si>
    <t>MAT08-0141</t>
  </si>
  <si>
    <t>MAT08-0038</t>
  </si>
  <si>
    <t>MAT19-0011</t>
  </si>
  <si>
    <t>MAT08-0072</t>
  </si>
  <si>
    <t>MAT19-0020</t>
  </si>
  <si>
    <t>MAT19-0077</t>
  </si>
  <si>
    <t>MAT19-0061</t>
  </si>
  <si>
    <t>MAT19-0092</t>
  </si>
  <si>
    <t>MAT19-0075</t>
  </si>
  <si>
    <t>MAT19-0021</t>
  </si>
  <si>
    <t>MAT19-0088</t>
  </si>
  <si>
    <t>MAT19-0009</t>
  </si>
  <si>
    <t>MAT19-0066</t>
  </si>
  <si>
    <t>MAT19-0023</t>
  </si>
  <si>
    <t>MAT19-0038</t>
  </si>
  <si>
    <t>MAT19-0110</t>
  </si>
  <si>
    <t>MAT19-0086</t>
  </si>
  <si>
    <t>MAT19-0087</t>
  </si>
  <si>
    <t>MAT19-0033</t>
  </si>
  <si>
    <t>MAT19-0034</t>
  </si>
  <si>
    <t>MAT19-0030</t>
  </si>
  <si>
    <t>MAT19-0107</t>
  </si>
  <si>
    <t>MAT19-0106</t>
  </si>
  <si>
    <t>EQU20-0005</t>
  </si>
  <si>
    <t xml:space="preserve">FORMALETA LOSA   </t>
  </si>
  <si>
    <t>02</t>
  </si>
  <si>
    <t xml:space="preserve">SUPERESTRUCTURA PRIMER NIVEL </t>
  </si>
  <si>
    <t xml:space="preserve">2.1 </t>
  </si>
  <si>
    <t>ACERO EN PAREDES MUROS N1 (ELECTROMECANICO)</t>
  </si>
  <si>
    <t>MAT02-0025</t>
  </si>
  <si>
    <t>MAT08-0065</t>
  </si>
  <si>
    <t>MAT16-0005</t>
  </si>
  <si>
    <t>MAT06-0110</t>
  </si>
  <si>
    <t>MAT19-0029</t>
  </si>
  <si>
    <t>2.2</t>
  </si>
  <si>
    <t>PAREDES, MUROS, ENTREPISO N1 (FORMALETA, CONCRETO, DESENCOFRADO)</t>
  </si>
  <si>
    <t>MAT21-0029</t>
  </si>
  <si>
    <t>MAT04-0061</t>
  </si>
  <si>
    <t>MAT05-0001</t>
  </si>
  <si>
    <t>MAT08-0046</t>
  </si>
  <si>
    <t>FORMALETA MUROS</t>
  </si>
  <si>
    <t xml:space="preserve">MAMPOSTERIA </t>
  </si>
  <si>
    <t>03</t>
  </si>
  <si>
    <t xml:space="preserve">SUPERESTRUCTURA SEGUNDO NIVEL </t>
  </si>
  <si>
    <t xml:space="preserve">3.1 </t>
  </si>
  <si>
    <t>ACERO EN PAREDES MUROS N2 (ELECTROMECANICO)</t>
  </si>
  <si>
    <t>PAREDES, MUROS, ENTREPISO N2 (FORMALETA, CONCRETO, DESENCOFRADO)</t>
  </si>
  <si>
    <t xml:space="preserve">OTROS GRIS </t>
  </si>
  <si>
    <t xml:space="preserve">4.1 </t>
  </si>
  <si>
    <t xml:space="preserve">GRADAS EN CONCRETO </t>
  </si>
  <si>
    <t>COLUMNAS (MEDIDOR)</t>
  </si>
  <si>
    <t>FORMALETA COLUMNAS</t>
  </si>
  <si>
    <t xml:space="preserve">CHORREA DE COCHERAS Y PILAS </t>
  </si>
  <si>
    <t>m2</t>
  </si>
  <si>
    <t>MAT08-0099</t>
  </si>
  <si>
    <t>MAT03-0012</t>
  </si>
  <si>
    <t>05</t>
  </si>
  <si>
    <t xml:space="preserve">ESTRUCTURA METÁLICA Y CUBIERTAS </t>
  </si>
  <si>
    <t xml:space="preserve">ESTRUCTURA TECHO CASA </t>
  </si>
  <si>
    <t>MAT02-0125</t>
  </si>
  <si>
    <t>MAT02-0124</t>
  </si>
  <si>
    <t>MAT02-0123</t>
  </si>
  <si>
    <t>MAT08-0013</t>
  </si>
  <si>
    <t>MAT08-0040</t>
  </si>
  <si>
    <t>MAT08-0042</t>
  </si>
  <si>
    <t>MAT08-0446</t>
  </si>
  <si>
    <t>MAT08-0116</t>
  </si>
  <si>
    <t>MAT16-0001</t>
  </si>
  <si>
    <t xml:space="preserve">ESTRUCTURA TECHO COCHERA </t>
  </si>
  <si>
    <t>MAT02-0021</t>
  </si>
  <si>
    <t>MAT02-0019</t>
  </si>
  <si>
    <t>MAT02-0023</t>
  </si>
  <si>
    <t>MAT16-0002</t>
  </si>
  <si>
    <t>MAT16-0056</t>
  </si>
  <si>
    <t>MAT08-0089</t>
  </si>
  <si>
    <t>MAT08-0092</t>
  </si>
  <si>
    <t>MAT16-0018</t>
  </si>
  <si>
    <t>5.3</t>
  </si>
  <si>
    <t xml:space="preserve">CUBIERTA TECHO CASA </t>
  </si>
  <si>
    <t>MAT05-0063</t>
  </si>
  <si>
    <t>MAT05-0079</t>
  </si>
  <si>
    <t>MAT21-0005</t>
  </si>
  <si>
    <t>MAT05-0080</t>
  </si>
  <si>
    <t xml:space="preserve">CUBIERTA TECHO COCHERA </t>
  </si>
  <si>
    <t>MAT05-0032</t>
  </si>
  <si>
    <t>MAT05-0046</t>
  </si>
  <si>
    <t>MAT05-0068</t>
  </si>
  <si>
    <t>MAT05-0069</t>
  </si>
  <si>
    <t>MAT05-0072</t>
  </si>
  <si>
    <t>MAT05-0075</t>
  </si>
  <si>
    <t>MAT05-0076</t>
  </si>
  <si>
    <t>MAT05-0077</t>
  </si>
  <si>
    <t>MAT08-0335</t>
  </si>
  <si>
    <t xml:space="preserve">HOJALATERIA Y CANOAS </t>
  </si>
  <si>
    <t xml:space="preserve">CANOA </t>
  </si>
  <si>
    <t xml:space="preserve">BOTAGUA </t>
  </si>
  <si>
    <t xml:space="preserve">GANCHO CANOA </t>
  </si>
  <si>
    <t xml:space="preserve">GRADAS ESTRUCTURA, PINTADO Y ACABADO </t>
  </si>
  <si>
    <t>5.7</t>
  </si>
  <si>
    <t xml:space="preserve">BARANDA DE GRADAS (N2) </t>
  </si>
  <si>
    <t>5.8</t>
  </si>
  <si>
    <t xml:space="preserve">ESTRUCTURA METÁLICA INTERNA </t>
  </si>
  <si>
    <t>06</t>
  </si>
  <si>
    <t xml:space="preserve">LIVIANO </t>
  </si>
  <si>
    <t xml:space="preserve">LIVIANO EXTERIORES </t>
  </si>
  <si>
    <t>LIVIANO INTERIORES ( PAREDES LIVIANAS Y CIELOS)</t>
  </si>
  <si>
    <t>07</t>
  </si>
  <si>
    <t xml:space="preserve">REPELLOS </t>
  </si>
  <si>
    <t xml:space="preserve">7.1 </t>
  </si>
  <si>
    <t xml:space="preserve">REPELLOS INTERNO Y EXTERNO </t>
  </si>
  <si>
    <t>7.2</t>
  </si>
  <si>
    <t xml:space="preserve">EMPASTE </t>
  </si>
  <si>
    <t xml:space="preserve">ENCHAPES </t>
  </si>
  <si>
    <t xml:space="preserve">8.1 </t>
  </si>
  <si>
    <t>ENCHAPES (INTERNO Y EXTERNO)</t>
  </si>
  <si>
    <t>MAT17-0088</t>
  </si>
  <si>
    <t>MAT17-0036</t>
  </si>
  <si>
    <t>MAT04-0016</t>
  </si>
  <si>
    <t>MAT04-0012</t>
  </si>
  <si>
    <t>MAT08-0216</t>
  </si>
  <si>
    <t>MAT08-0130</t>
  </si>
  <si>
    <t>MAT08-0179</t>
  </si>
  <si>
    <t>MAT08-0039</t>
  </si>
  <si>
    <t xml:space="preserve">MUEBLES Y PUERTAS </t>
  </si>
  <si>
    <t xml:space="preserve">MUEBLES </t>
  </si>
  <si>
    <t xml:space="preserve">PUERTAS Y RODAPIE </t>
  </si>
  <si>
    <t>MAT18-0007</t>
  </si>
  <si>
    <t>MAT18-0008</t>
  </si>
  <si>
    <t>MAT08-0499</t>
  </si>
  <si>
    <t>MAT08-0197</t>
  </si>
  <si>
    <t xml:space="preserve">OBRAS ADICIONALES </t>
  </si>
  <si>
    <t xml:space="preserve">ZACATE </t>
  </si>
  <si>
    <t>MAT22-0001</t>
  </si>
  <si>
    <t xml:space="preserve">TAPIAS PREFABRICADAS </t>
  </si>
  <si>
    <t>ACERAS</t>
  </si>
  <si>
    <t xml:space="preserve">ACABADOS </t>
  </si>
  <si>
    <t xml:space="preserve">PINTURA </t>
  </si>
  <si>
    <t>LOSA SANITARIA, GRIFERIA</t>
  </si>
  <si>
    <t>ACABADOS DE AZOTEA</t>
  </si>
  <si>
    <t>11.4</t>
  </si>
  <si>
    <t xml:space="preserve">PONCHEO FINAL </t>
  </si>
  <si>
    <t xml:space="preserve">VENTANERIA </t>
  </si>
  <si>
    <t>12.1</t>
  </si>
  <si>
    <t xml:space="preserve">ELÉCTRICO </t>
  </si>
  <si>
    <t>ACOMETIDA</t>
  </si>
  <si>
    <t xml:space="preserve">SUB ELECTRICO LOSA </t>
  </si>
  <si>
    <t xml:space="preserve">ELÉCTRICO MUROS </t>
  </si>
  <si>
    <t>SUB ELECTRICO MUROS</t>
  </si>
  <si>
    <t>SUB ILUMINACION</t>
  </si>
  <si>
    <t xml:space="preserve">BASE MEDIDOR </t>
  </si>
  <si>
    <t xml:space="preserve">SUB BASE MEDIDOR </t>
  </si>
  <si>
    <t xml:space="preserve">ELÉCTRICO ILUMINACIÓN </t>
  </si>
  <si>
    <t xml:space="preserve">TABLERO ELÉCTRICO </t>
  </si>
  <si>
    <t xml:space="preserve">CABLEADO ELÉCTRICO </t>
  </si>
  <si>
    <t xml:space="preserve">PLAQUERIA </t>
  </si>
  <si>
    <t>ACABADOS FINALES Y BREAKERS</t>
  </si>
  <si>
    <t xml:space="preserve">MECÁNICO </t>
  </si>
  <si>
    <t>14.03</t>
  </si>
  <si>
    <t xml:space="preserve">CAJAS Y TUBERIAS MECÁNICAS </t>
  </si>
  <si>
    <t>14.04</t>
  </si>
  <si>
    <t xml:space="preserve">BAJANTES </t>
  </si>
  <si>
    <t>14.05</t>
  </si>
  <si>
    <t xml:space="preserve">ACABADOS MECÁNICOS </t>
  </si>
  <si>
    <t xml:space="preserve">ALQUILERES </t>
  </si>
  <si>
    <t xml:space="preserve">MANO DE OBRA </t>
  </si>
  <si>
    <t xml:space="preserve">Resumen de costos </t>
  </si>
  <si>
    <t>Actividad</t>
  </si>
  <si>
    <t>Monto</t>
  </si>
  <si>
    <t>COSTO POR M2</t>
  </si>
  <si>
    <t xml:space="preserve">Materiales </t>
  </si>
  <si>
    <t xml:space="preserve">Mano de obra </t>
  </si>
  <si>
    <t>Subcontrato</t>
  </si>
  <si>
    <t>Subtotal</t>
  </si>
  <si>
    <t>Total</t>
  </si>
  <si>
    <t>Costo unitario $/m2</t>
  </si>
  <si>
    <t>Ventaneria</t>
  </si>
  <si>
    <t>total</t>
  </si>
  <si>
    <t xml:space="preserve">DESCRIPCION </t>
  </si>
  <si>
    <t>UNIDAD</t>
  </si>
  <si>
    <t xml:space="preserve">PRECIO </t>
  </si>
  <si>
    <t xml:space="preserve">PRECIO CON IVA </t>
  </si>
  <si>
    <t xml:space="preserve">PRECIO ANTERIOR </t>
  </si>
  <si>
    <t xml:space="preserve">DIFERENCIA </t>
  </si>
  <si>
    <t xml:space="preserve">OBSERVACIONES </t>
  </si>
  <si>
    <t xml:space="preserve">FECHA ÚLTIMO MOVIMIENTO </t>
  </si>
  <si>
    <t xml:space="preserve">FAMILIA DEL INSUMO </t>
  </si>
  <si>
    <t>ACEITE 15W40</t>
  </si>
  <si>
    <t>UND</t>
  </si>
  <si>
    <t xml:space="preserve">IVA </t>
  </si>
  <si>
    <t xml:space="preserve">GENERAL </t>
  </si>
  <si>
    <t>MAT05-0105</t>
  </si>
  <si>
    <t>ACERO SUAVE BLANCO 0.44 X 914</t>
  </si>
  <si>
    <t>KG</t>
  </si>
  <si>
    <t xml:space="preserve">MADERA </t>
  </si>
  <si>
    <t>ACETONA</t>
  </si>
  <si>
    <t>LITRO</t>
  </si>
  <si>
    <t xml:space="preserve">SIN IVA </t>
  </si>
  <si>
    <t>ACIDO</t>
  </si>
  <si>
    <t>GALON</t>
  </si>
  <si>
    <t>ACOPLE HEMBRA POLIETILENO 12MM</t>
  </si>
  <si>
    <t>ACOPLE MACHO DE POLIETILENO 12MM</t>
  </si>
  <si>
    <t>MAT06-0004</t>
  </si>
  <si>
    <t>ADAPT SECILLO 1 MODULO 5521-5EW  DECORADOR BLANCO</t>
  </si>
  <si>
    <t>MAT06-0005</t>
  </si>
  <si>
    <t>ADAPTA DOBLE 2 MODULOS 5522-5EW DECORADOR BLANCO</t>
  </si>
  <si>
    <t>ADAPTADOR HEMBRA CPVC 1/2"</t>
  </si>
  <si>
    <t>ADAPTADOR HEMBRA PVC 1 1/2"</t>
  </si>
  <si>
    <t>ADAPTADOR HEMBRA PVC 1 1/4"</t>
  </si>
  <si>
    <t>ADAPTADOR HEMBRA PVC 1/2"</t>
  </si>
  <si>
    <t>ADAPTADOR HEMBRA PVC 3/4"</t>
  </si>
  <si>
    <t>ADAPTADOR MACHO CPVC 1/2</t>
  </si>
  <si>
    <t>ADAPTADOR MACHO PVC 1/2</t>
  </si>
  <si>
    <t>ALAMBRE NEGRO #16 (1.68MM)</t>
  </si>
  <si>
    <t>ANCHORMAX 200 (CARTUCHO DE 300ML)</t>
  </si>
  <si>
    <t>ANGULAR ALUMINIO 3/4"X1/8"</t>
  </si>
  <si>
    <t>ANGULAR HN 1"X1/8</t>
  </si>
  <si>
    <t>MAT02-0044</t>
  </si>
  <si>
    <t>ANGULAR HN 2"X1/4</t>
  </si>
  <si>
    <t>MAT07-0001</t>
  </si>
  <si>
    <t>ANGULAR CHANNEL 1X3" 0.36MM 3.05M</t>
  </si>
  <si>
    <t>ANGULAR HN 1 1/4 X 1.8</t>
  </si>
  <si>
    <t>CUBETA</t>
  </si>
  <si>
    <t>GAL</t>
  </si>
  <si>
    <t>MAT06-0006</t>
  </si>
  <si>
    <t>APAGADOR DOBLE 15A 120 DECO</t>
  </si>
  <si>
    <t>MAT06-0009</t>
  </si>
  <si>
    <t>APAGADOR SENCILLO 15A 120 DECO</t>
  </si>
  <si>
    <t>APAGADOR SENCILLO TRIWAY</t>
  </si>
  <si>
    <t>MAT06-0012</t>
  </si>
  <si>
    <t>APAGADOR TRIPLE 15A 120 DECO</t>
  </si>
  <si>
    <t>ARO REPELLO EMT 4X4 1GANG</t>
  </si>
  <si>
    <t>MAT06-0016</t>
  </si>
  <si>
    <t>ARO REPELLO EMT 4X4 2GANG</t>
  </si>
  <si>
    <t>BARRAS TIERRA BT8 4-8P</t>
  </si>
  <si>
    <t>MAT06-0017</t>
  </si>
  <si>
    <t>BASE MEDIDOR MS1254JCBM+A125+QO2100</t>
  </si>
  <si>
    <t>MAT14-0004</t>
  </si>
  <si>
    <t>BISAGRA RECTA SLOW MOTION CLIP ON</t>
  </si>
  <si>
    <t>BLOCK 15X20X40</t>
  </si>
  <si>
    <t>MAT06-0135</t>
  </si>
  <si>
    <t>SACO</t>
  </si>
  <si>
    <t>BREAKER SDQOB 1 POLO/20AMP</t>
  </si>
  <si>
    <t>BREAKER SENCILLO 1 POLO 30AMP SQUARE D QUB</t>
  </si>
  <si>
    <t>MAT06-0020</t>
  </si>
  <si>
    <t>BREAKER  2/100AMP QOM100VH CENTRO CARGA</t>
  </si>
  <si>
    <t>MAT06-0022</t>
  </si>
  <si>
    <t>BREAKER QO120PDF DUAL 20AMP</t>
  </si>
  <si>
    <t>BREAKER QO220 2P/20AMP</t>
  </si>
  <si>
    <t>MAT06-0024</t>
  </si>
  <si>
    <t>BREAKER QO230 2P/30AMP</t>
  </si>
  <si>
    <t>MAT06-0025</t>
  </si>
  <si>
    <t>BREAKER QO240 2P/40AMP</t>
  </si>
  <si>
    <t>MAT08-0009</t>
  </si>
  <si>
    <t>BROCA SIERRA</t>
  </si>
  <si>
    <t>MAT08-0012</t>
  </si>
  <si>
    <t>BROCHA CORRIENTE 2"</t>
  </si>
  <si>
    <t>BROCHA CORRIENTE 3"</t>
  </si>
  <si>
    <t>CABLE #4 TRIPLEX</t>
  </si>
  <si>
    <t>M</t>
  </si>
  <si>
    <t>CABLE 1/0 TRIPLEX</t>
  </si>
  <si>
    <t>MAT06-0028</t>
  </si>
  <si>
    <t>CABLE #10 ROJO</t>
  </si>
  <si>
    <t>MAT06-0029</t>
  </si>
  <si>
    <t>CABLE #10 VERDE</t>
  </si>
  <si>
    <t>MAT06-0030</t>
  </si>
  <si>
    <t>CABLE #12 AZUL</t>
  </si>
  <si>
    <t>MAT06-0031</t>
  </si>
  <si>
    <t>CABLE #12 BLANCO</t>
  </si>
  <si>
    <t>MAT06-0032</t>
  </si>
  <si>
    <t>CABLE #12 NEGRO</t>
  </si>
  <si>
    <t>CABLE #12 ROJO</t>
  </si>
  <si>
    <t>MAT06-0033</t>
  </si>
  <si>
    <t>MAT06-0034</t>
  </si>
  <si>
    <t>CABLE #12 VERDE</t>
  </si>
  <si>
    <t>MAT06-0037</t>
  </si>
  <si>
    <t>CABLE #8 BLANCO</t>
  </si>
  <si>
    <t>MAT06-0038</t>
  </si>
  <si>
    <t>CABLE #8 ROJO</t>
  </si>
  <si>
    <t>MAT06-0039</t>
  </si>
  <si>
    <t>CABLE #8 VERDE</t>
  </si>
  <si>
    <t>MAT06-0040</t>
  </si>
  <si>
    <t>CABLE ALUMINIO 1/0 SERIE 8000</t>
  </si>
  <si>
    <t>CABLE DE ALUMINIO #4 SERIE 8000</t>
  </si>
  <si>
    <t>MAT06-0041</t>
  </si>
  <si>
    <t>CABLE DE ALUMINIO #6 SERIE 8000</t>
  </si>
  <si>
    <t>MAT06-0042</t>
  </si>
  <si>
    <t>CABLE TGP 3X12</t>
  </si>
  <si>
    <t>MAT06-0136</t>
  </si>
  <si>
    <t>CABLE UTP CAT 6 AZUL</t>
  </si>
  <si>
    <t>ACABADOS</t>
  </si>
  <si>
    <t>CAJA CUADRADA EMT CON HUECO DE 1/2 Y 3/4</t>
  </si>
  <si>
    <t>MAT08-0015</t>
  </si>
  <si>
    <t>CAJA DE 1/2" DE PROTECCION AGUA HF FUNIDADELIMA</t>
  </si>
  <si>
    <t>CAJA</t>
  </si>
  <si>
    <t>MAT06-0045</t>
  </si>
  <si>
    <t>CAJA CUADRADA EMT 4X4 DOBLE FONDO CON HUECO DE 1</t>
  </si>
  <si>
    <t>CAJA CUADRADA EMT 4X4 DOBLE FONDO CON HUECO DE 3/4</t>
  </si>
  <si>
    <t>MAT04-0002</t>
  </si>
  <si>
    <t>CAJA DE REGISTRO 30X30 PARA VARILLA COPERWELL</t>
  </si>
  <si>
    <t>MAT06-0048</t>
  </si>
  <si>
    <t>CAJA OCTAGONAL 1/2 EMT PESADAS (8 SALIDAS )</t>
  </si>
  <si>
    <t>MAT08-0016</t>
  </si>
  <si>
    <t>CAJA PARA LAVADORA</t>
  </si>
  <si>
    <t>CAJA RECTANGULAR EMT 1" UL</t>
  </si>
  <si>
    <t>BOLSA</t>
  </si>
  <si>
    <t>MAT06-0052</t>
  </si>
  <si>
    <t>CALENTADOR INSTANTANEO KRONOX 12000 W/240 V</t>
  </si>
  <si>
    <t>MAT07-0003</t>
  </si>
  <si>
    <t>CANAL U 1 1/2X16X4.88 CAL #20</t>
  </si>
  <si>
    <t>CEMENTO UG</t>
  </si>
  <si>
    <t>MAT06-0054</t>
  </si>
  <si>
    <t>CENTRO DE CARGA QO124L125PG</t>
  </si>
  <si>
    <t>M2</t>
  </si>
  <si>
    <t>MAT17-0070</t>
  </si>
  <si>
    <t>CERAMICA 62HDA22 BEIGE</t>
  </si>
  <si>
    <t>MAT17-0045</t>
  </si>
  <si>
    <t>CERAMICA AZ.BRUNI GRIS CLARO 30X60</t>
  </si>
  <si>
    <t>MAT17-0097</t>
  </si>
  <si>
    <t>CERAMICA DIAMANTE BATTISTI</t>
  </si>
  <si>
    <t>CINTA DE ALUMINIO 25MM C/50M (POLYCARBONATO)</t>
  </si>
  <si>
    <t>CINTA DE VENTILACION 25MM / M PARA ST (POLYCARBONATO)</t>
  </si>
  <si>
    <t>CINTA PELIGRO</t>
  </si>
  <si>
    <t>CINTA EMPAQUE 2</t>
  </si>
  <si>
    <t>MAT07-0004</t>
  </si>
  <si>
    <t>CINTA JUNTAS PAPEL 2 X 250</t>
  </si>
  <si>
    <t>MAT07-0006</t>
  </si>
  <si>
    <t>CINTA MALLA ADHESIVA P/GYP (90M)</t>
  </si>
  <si>
    <t>ROLLO</t>
  </si>
  <si>
    <t>CLAVO C/CABEZA  2 1/2"</t>
  </si>
  <si>
    <t>CLAVO C/CABEZA  2"</t>
  </si>
  <si>
    <t>MAT08-0026</t>
  </si>
  <si>
    <t>CLIP ESMALTADO CALIBRE 24</t>
  </si>
  <si>
    <t>CODO 90 HG 1/2"</t>
  </si>
  <si>
    <t>CODO 1/2X90 HG</t>
  </si>
  <si>
    <t>MAT19-0018</t>
  </si>
  <si>
    <t>CODO 45 CPVC 1/2"</t>
  </si>
  <si>
    <t>CODO 45 PVC LISO 1/2"</t>
  </si>
  <si>
    <t>MAT19-0019</t>
  </si>
  <si>
    <t>CODO 90 PVC PARED DELGADA 1 1/2"</t>
  </si>
  <si>
    <t>CODO 90 CPVC 1/2"</t>
  </si>
  <si>
    <t>CODO 90 PVC PARED DELGADA 1 1/4"</t>
  </si>
  <si>
    <t>CODO 90 PVC PARED DELGADA 4"</t>
  </si>
  <si>
    <t>CODO 90 PVC LISO 1/2"</t>
  </si>
  <si>
    <t>COLUMNA C PREFABRICADA 3.80M</t>
  </si>
  <si>
    <t>MAT06-0055</t>
  </si>
  <si>
    <t>CONDULETA BOTAGUA 1-1/4</t>
  </si>
  <si>
    <t>MAT06-0056</t>
  </si>
  <si>
    <t>CONDULETA BOTAGUA 1</t>
  </si>
  <si>
    <t>CONECTOR COMPRESION #1 6-2 YHO-100</t>
  </si>
  <si>
    <t>MAT06-0060</t>
  </si>
  <si>
    <t>CONECTOR DE BARRIL PARA 1/0 CU-AL</t>
  </si>
  <si>
    <t>CONECTOR DE COMPRESION #2</t>
  </si>
  <si>
    <t>CONECTOR DE COMPRESION #4</t>
  </si>
  <si>
    <t>CONECTOR DE COMPRESION DE ALUMINIO #3</t>
  </si>
  <si>
    <t>CONECTOR DE RESORTE 3M AZUL</t>
  </si>
  <si>
    <t>MAT06-0061</t>
  </si>
  <si>
    <t>CONECTOR DERIVADOR 12-10 AWG IDC 562 562 AMARILLO</t>
  </si>
  <si>
    <t>CONECTOR EMT 1/2 TORNILLO</t>
  </si>
  <si>
    <t>MAT06-0121</t>
  </si>
  <si>
    <t>CONECTOR MACHO RJ45</t>
  </si>
  <si>
    <t>MAT06-0062</t>
  </si>
  <si>
    <t>CONECTOR RESORTE ROJO</t>
  </si>
  <si>
    <t>MAT06-0119</t>
  </si>
  <si>
    <t>CONECTOR TORNILLO EMT 11/4</t>
  </si>
  <si>
    <t>MAT06-0063</t>
  </si>
  <si>
    <t>CONECTOR COAXIAL TIPO F BLANCO COOPER</t>
  </si>
  <si>
    <t>MAT19-0027</t>
  </si>
  <si>
    <t>CONECTOR CONDUIT 1 1/2 UL</t>
  </si>
  <si>
    <t>MAT19-0028</t>
  </si>
  <si>
    <t>CONECTOR CONDUIT 1" UL</t>
  </si>
  <si>
    <t>CONECTOR CONDUIT 1/2 UL</t>
  </si>
  <si>
    <t>CONECTOR CONDUIT 3/4 UL</t>
  </si>
  <si>
    <t>MAT06-0065</t>
  </si>
  <si>
    <t>CONECTOR FITTING RG6 P/COAXIAL 100% MALLA</t>
  </si>
  <si>
    <t>MAT06-0068</t>
  </si>
  <si>
    <t>MAT06-0069</t>
  </si>
  <si>
    <t>CONECTOR TORNILLO EMT 1</t>
  </si>
  <si>
    <t>MAT06-0072</t>
  </si>
  <si>
    <t>CONECTOR TSJ 1/2-3/8 EMT</t>
  </si>
  <si>
    <t>MAT07-0007</t>
  </si>
  <si>
    <t>CUBO MAGNETICO P/TORN.TECHO 3/8"</t>
  </si>
  <si>
    <t>CUERDA PARA MOTOGUADAÑA</t>
  </si>
  <si>
    <t>CUERDA ALBAÑIL BLANCA</t>
  </si>
  <si>
    <t>ESTAÑON</t>
  </si>
  <si>
    <t>CURVA EMT 1/2 PULG</t>
  </si>
  <si>
    <t>CURVA CONDUIT 1 1/2 UL</t>
  </si>
  <si>
    <t>CURVA CONDUIT 1 UL</t>
  </si>
  <si>
    <t>CURVA CONDUIT 1/2 UL</t>
  </si>
  <si>
    <t>CURVA CONDUIT 2 UL</t>
  </si>
  <si>
    <t>CURVA CONDUIT 3/4 UL</t>
  </si>
  <si>
    <t>DESAGUE METAL PARA LAVATORIO 11/4</t>
  </si>
  <si>
    <t>DESATORADOR</t>
  </si>
  <si>
    <t>DILUYENTE AGUARRAS</t>
  </si>
  <si>
    <t>MAT08-0508</t>
  </si>
  <si>
    <t>DISCO COPA DIAMANTE DE 7"</t>
  </si>
  <si>
    <t>DISCO CORTE METAL 14"</t>
  </si>
  <si>
    <t>DISCO DIAMANTADO CONCRETO 14"</t>
  </si>
  <si>
    <t>MAT08-0486</t>
  </si>
  <si>
    <t>DISCO DIAMANTADO PARA CONCRETO 5"</t>
  </si>
  <si>
    <t>DISCO PARA ESMERILAR DE 9 PULGADAS</t>
  </si>
  <si>
    <t>DISCO SIERRA CIRCULAR 7-1/4</t>
  </si>
  <si>
    <t>DISCO CORTE METAL FINO 9"</t>
  </si>
  <si>
    <t>DISCO PUNTA DIAMANTE 9" SEGMENTADO</t>
  </si>
  <si>
    <t>DURETAN BLANCO</t>
  </si>
  <si>
    <t>CARTUCHO</t>
  </si>
  <si>
    <t>DURETAN GRIS</t>
  </si>
  <si>
    <t>EMPAQUE CERA</t>
  </si>
  <si>
    <t>MAT04-0008</t>
  </si>
  <si>
    <t>EMPASTE CEMENTICIO BLANCO CEMEX 20KG</t>
  </si>
  <si>
    <t>ESCOBON</t>
  </si>
  <si>
    <t>ESPANDER #6</t>
  </si>
  <si>
    <t>MAT07-0039</t>
  </si>
  <si>
    <t>ESPANDER PLASTICO #8</t>
  </si>
  <si>
    <t>ESPUMA P/LIMPIAR</t>
  </si>
  <si>
    <t>MAT07-0009</t>
  </si>
  <si>
    <t>ESQUINERO PLASTICO 1 1/4X10</t>
  </si>
  <si>
    <t>MAT08-0047</t>
  </si>
  <si>
    <t>FELPA 1/2</t>
  </si>
  <si>
    <t>MAT08-0049</t>
  </si>
  <si>
    <t>FELPA 3/4</t>
  </si>
  <si>
    <t>FELPA CHAPISCO</t>
  </si>
  <si>
    <t>FIBRA DE CARBONO 1KG</t>
  </si>
  <si>
    <t>FIBRA DE VIDRIO</t>
  </si>
  <si>
    <t>MAT08-0052</t>
  </si>
  <si>
    <t>ACA15-0001</t>
  </si>
  <si>
    <t>FLETE EQUIPO PESADO</t>
  </si>
  <si>
    <t>FORMALETA 1X8X12 SIN CEPILLAR</t>
  </si>
  <si>
    <t>FORMALETA DE 1X12X4</t>
  </si>
  <si>
    <t>MAT14-0007</t>
  </si>
  <si>
    <t>FREGADERO 1 TANQUE 58X45X20</t>
  </si>
  <si>
    <t>FUNDAS DE 10CM</t>
  </si>
  <si>
    <t>MAT07-0010</t>
  </si>
  <si>
    <t>MAT06-0074</t>
  </si>
  <si>
    <t>GABINETE 15" PLASTICO UL</t>
  </si>
  <si>
    <t>MAT02-0102</t>
  </si>
  <si>
    <t>GANCHO #3 G60 400 100P</t>
  </si>
  <si>
    <t>MAT19-0140</t>
  </si>
  <si>
    <t>GAZA P/BAJANTE 4"</t>
  </si>
  <si>
    <t>GAZA EMT 1 OREJAS 1"</t>
  </si>
  <si>
    <t>MAT06-0076</t>
  </si>
  <si>
    <t>GAZA EMT 1 OREJAS 1/2</t>
  </si>
  <si>
    <t>MAT06-0108</t>
  </si>
  <si>
    <t>GAZA EMT 1 OREJAS 3/4"</t>
  </si>
  <si>
    <t>MAT06-0077</t>
  </si>
  <si>
    <t>GAZA P/VARILLA COPPERWELD USA UL</t>
  </si>
  <si>
    <t>GAZA PARA BAJANTE BLANCA 3"</t>
  </si>
  <si>
    <t>MAT10-0001</t>
  </si>
  <si>
    <t>GENERICO MATERIALES</t>
  </si>
  <si>
    <t>MAT22-0002</t>
  </si>
  <si>
    <t>GEOCELDAS P/ZACATE 56X56</t>
  </si>
  <si>
    <t>GEOTEXTIL</t>
  </si>
  <si>
    <t>MAT01-0001</t>
  </si>
  <si>
    <t>GRIFERIA ALTA NOVO CROMADA P/VESSEL</t>
  </si>
  <si>
    <t>MAT01-0002</t>
  </si>
  <si>
    <t>GRIFERIA DUCHA BREZZA  MONO S/LAVAPIES EZ4015551  SSB</t>
  </si>
  <si>
    <t>MAT01-0005</t>
  </si>
  <si>
    <t>GRIFERIA LAV.CROMA METAL 4" PALANCA CROMO P/LAV MILANO</t>
  </si>
  <si>
    <t>MAT01-0006</t>
  </si>
  <si>
    <t>MAT01-0007</t>
  </si>
  <si>
    <t>MAT07-0011</t>
  </si>
  <si>
    <t>GYPSUM DENSGLASS 12MM</t>
  </si>
  <si>
    <t>MAT07-0012</t>
  </si>
  <si>
    <t>GYPSUM MR VERDE 12MM</t>
  </si>
  <si>
    <t>MAT07-0013</t>
  </si>
  <si>
    <t>GYPSUM REGULAR 12MM</t>
  </si>
  <si>
    <t>MAT08-0062</t>
  </si>
  <si>
    <t>HIDROMETRO DE 1/2Q (12MM) ENCAPSULADO ROSCADO ARAD</t>
  </si>
  <si>
    <t>HOJA DE SEGUETA</t>
  </si>
  <si>
    <t>IMPERMEABILIZANTE BASE 201</t>
  </si>
  <si>
    <t>IMPERMEABILIZANTE ELASTBIT - PINTURA</t>
  </si>
  <si>
    <t>IMPERMEABILIZANTE MASTERSEAL 590</t>
  </si>
  <si>
    <t>MAT01-0008</t>
  </si>
  <si>
    <t>MAT08-0063</t>
  </si>
  <si>
    <t>JUEGO DE ACCESORIOS 1/2 BRONCE BTP</t>
  </si>
  <si>
    <t>JUEGO DE SIERRAS FREUD SDFX2, DISCO DE 300MM E INCISOR DE 120MM</t>
  </si>
  <si>
    <t>LAMINA DIAMANTADA 1/8 HN</t>
  </si>
  <si>
    <t>LAMINA ESTEREOFON 2" 1.22X2.44</t>
  </si>
  <si>
    <t>ADAPTADOR MACHO CPVC 1/2"</t>
  </si>
  <si>
    <t>APAGADOR HBL RCD101W SENC DOBLE DEC 15A 120/277V BLANCO</t>
  </si>
  <si>
    <t>MAT03-0001</t>
  </si>
  <si>
    <t>MAT14-0002</t>
  </si>
  <si>
    <t>BISAGRA DE 170</t>
  </si>
  <si>
    <t>BISAGRA DORADA 3"X3"</t>
  </si>
  <si>
    <t>BISAGRA MARIPOSA PLATEADA</t>
  </si>
  <si>
    <t>PAR</t>
  </si>
  <si>
    <t>BREAKER CHF120 1 POLO 20 AMP</t>
  </si>
  <si>
    <t>BROCA P/CONCRETO 1 1/4"</t>
  </si>
  <si>
    <t>MAT08-0224</t>
  </si>
  <si>
    <t>BROCA P/CONCRETO EN #8 CORRRIENTE</t>
  </si>
  <si>
    <t>BROCA P/METAL 5/16"</t>
  </si>
  <si>
    <t>MAT06-0050</t>
  </si>
  <si>
    <t>CAJA RECTANGULAR EMT 1/2 UL</t>
  </si>
  <si>
    <t>CANDADOS</t>
  </si>
  <si>
    <t>MAT17-0087</t>
  </si>
  <si>
    <t>CERAMICA</t>
  </si>
  <si>
    <t>MAT07-0005</t>
  </si>
  <si>
    <t>CINTA MALLA ADHESIVA P/GYP (45M)</t>
  </si>
  <si>
    <t>CIZALLA #24</t>
  </si>
  <si>
    <t>CIZALLA #36</t>
  </si>
  <si>
    <t>CONCRETO FC 210 KG/CM2 NORMAL</t>
  </si>
  <si>
    <t>M3</t>
  </si>
  <si>
    <t>MAT06-0066</t>
  </si>
  <si>
    <t>CONECTOR RESORTE AMARILLO</t>
  </si>
  <si>
    <t>MAT08-0041</t>
  </si>
  <si>
    <t>DISCO FLAP G80  41/2"</t>
  </si>
  <si>
    <t>ENCHUFE PARA EXTENSION MACHO</t>
  </si>
  <si>
    <t>ESCALERA</t>
  </si>
  <si>
    <t>MAT14-0006</t>
  </si>
  <si>
    <t>ESQUINERO P/RODAPIE ALUMINIO **CODO** 15CM</t>
  </si>
  <si>
    <t>MAT07-0008</t>
  </si>
  <si>
    <t>ESQUINERO METAL 1 1/4X10</t>
  </si>
  <si>
    <t>EXTENSION ELECTRICA</t>
  </si>
  <si>
    <t>HIERBICIDA ROOT OUT 36SL 3.5 L</t>
  </si>
  <si>
    <t>LAMINA DIAMANTADA 1/4 HN</t>
  </si>
  <si>
    <t>LAMINA DE JORDOMEX #3 (1/2) ROMBO 13X32  3MM ESPESOR</t>
  </si>
  <si>
    <t>LAMPARA DE PARCHE LUZ FRÍA</t>
  </si>
  <si>
    <t>MAT06-0079</t>
  </si>
  <si>
    <t>LAMPARA TORTUGA 50013AEPI-BK</t>
  </si>
  <si>
    <t>MAT01-0010</t>
  </si>
  <si>
    <t>MAT01-0011</t>
  </si>
  <si>
    <t>MAT01-0012</t>
  </si>
  <si>
    <t>MAT08-0067</t>
  </si>
  <si>
    <t>LIJA DE AGUA #120</t>
  </si>
  <si>
    <t>LIJA DE AGUA #150</t>
  </si>
  <si>
    <t>MAT08-0069</t>
  </si>
  <si>
    <t>LIJA DE AGUA #180</t>
  </si>
  <si>
    <t>LIJA DE AGUA #220</t>
  </si>
  <si>
    <t>LIMPIA CONCRETO</t>
  </si>
  <si>
    <t>LIMPIADOR DE CERAMICA STONETECH</t>
  </si>
  <si>
    <t>MAT08-0487</t>
  </si>
  <si>
    <t>LLAVE COMPUERTA METALICA 2 PULGADAS</t>
  </si>
  <si>
    <t>MAT08-0315</t>
  </si>
  <si>
    <t>LLAVE CONTROL ESCUADRA 1/2 X 3/8</t>
  </si>
  <si>
    <t>LLAVE  DE PASO PVC 1/2</t>
  </si>
  <si>
    <t>LLAVE DE CHORRO PVC 1/2</t>
  </si>
  <si>
    <t>MAT08-0075</t>
  </si>
  <si>
    <t>LLAVE DE CONTROL ESCUADRA 1/2 A 1/2</t>
  </si>
  <si>
    <t>LUBRICANTE PARA TUBERIA PVC</t>
  </si>
  <si>
    <t>MAT08-0079</t>
  </si>
  <si>
    <t>MANGUERA ABASTO  (1/2 A 1/2)</t>
  </si>
  <si>
    <t>MAT08-0081</t>
  </si>
  <si>
    <t>MANGUERA ABASTO P/INODORO (7/8 A 1/2)</t>
  </si>
  <si>
    <t>MAT18-0072</t>
  </si>
  <si>
    <t>MARCO/GUARNICION/BATIENTE TIPO COLOMBIA</t>
  </si>
  <si>
    <t>MAT18-0073</t>
  </si>
  <si>
    <t>MARCO/GUARNICION/BATIENTE TIPO PANAMA</t>
  </si>
  <si>
    <t>MARLON ST FORWALL 8MM HUMO 1.05 X 5.90 M</t>
  </si>
  <si>
    <t>MAT08-0085</t>
  </si>
  <si>
    <t>MASKING BLANCO 2"</t>
  </si>
  <si>
    <t>MAT08-0087</t>
  </si>
  <si>
    <t>MASKING AZUL 2"</t>
  </si>
  <si>
    <t>MAT08-0137</t>
  </si>
  <si>
    <t>MASKING AZUL 3/4"</t>
  </si>
  <si>
    <t>MASTERSEAL HLM 5000</t>
  </si>
  <si>
    <t>CUB</t>
  </si>
  <si>
    <t>MAXICLEAR BRILLANTE</t>
  </si>
  <si>
    <t>MAT21-0007</t>
  </si>
  <si>
    <t>MAXICRIL ADHESIVO</t>
  </si>
  <si>
    <t>MAXISEAL PLUS BLANCO</t>
  </si>
  <si>
    <t>MECHA BLANCA</t>
  </si>
  <si>
    <t>MAT14-0001</t>
  </si>
  <si>
    <t>MERULA C/CATALIZADOR</t>
  </si>
  <si>
    <t>1/4 DE GALON</t>
  </si>
  <si>
    <t>MOLDURA J PLASTICA 1/2 X 10</t>
  </si>
  <si>
    <t>MAT04-0013</t>
  </si>
  <si>
    <t>MORTERO DE REPARACION MR250 SUR</t>
  </si>
  <si>
    <t>MORTERO REPEMAX MURO SECO BASE COAT 25KG</t>
  </si>
  <si>
    <t>NIPLE 1/2X3 H.G.</t>
  </si>
  <si>
    <t>NIPLE 1/2X4 HG</t>
  </si>
  <si>
    <t>PALO PARA ESCOBA REPUESTO</t>
  </si>
  <si>
    <t>PAPEL COVERTOR 9"</t>
  </si>
  <si>
    <t>PASTA P/GYPSUM</t>
  </si>
  <si>
    <t>MAT14-0013</t>
  </si>
  <si>
    <t>PATA REDONDA 90CM</t>
  </si>
  <si>
    <t>PEGA BLOCK TIPO N INTACO</t>
  </si>
  <si>
    <t>1/8 DE GALON</t>
  </si>
  <si>
    <t>PEGAMENTO DE CONTACTO</t>
  </si>
  <si>
    <t>PEGAMENTO CONTACTO 1/32</t>
  </si>
  <si>
    <t>PEGAMENTO PVC AZUL WETBONDING (DOBLE PROPOSITO)</t>
  </si>
  <si>
    <t>PERLING 2X3X2.2MM HG</t>
  </si>
  <si>
    <t>MAT02-0038</t>
  </si>
  <si>
    <t>MAT08-0192</t>
  </si>
  <si>
    <t>PERNO 1/2X3 3/4 TIPO HILTI</t>
  </si>
  <si>
    <t>MAT08-0191</t>
  </si>
  <si>
    <t>PERNO 3/8X3 3/4 TIPO HILTI</t>
  </si>
  <si>
    <t>MAT16-0058</t>
  </si>
  <si>
    <t>MAT01-0025</t>
  </si>
  <si>
    <t>PILA Y MUEBLE FIBRA DE VIDRIO TANQUE DERECHO/50X70CM</t>
  </si>
  <si>
    <t>PILA Y MUEBLE FIBRA DE VIDRIO TANQUE IZQUIERDO/50X70CM</t>
  </si>
  <si>
    <t>MAT16-0095</t>
  </si>
  <si>
    <t>PINTURA DRY PASTEL</t>
  </si>
  <si>
    <t>PINTURA EN SPRAY ANARANJADO FLURECENTE</t>
  </si>
  <si>
    <t>MAT16-0087</t>
  </si>
  <si>
    <t>PINTURA EN SPRAY AZUL</t>
  </si>
  <si>
    <t>MAT16-0034</t>
  </si>
  <si>
    <t>PINTURA FAST DRY BLANCO</t>
  </si>
  <si>
    <t>MAT16-0033</t>
  </si>
  <si>
    <t>PINTURA FAST DRY PASTEL</t>
  </si>
  <si>
    <t>MAT16-0031</t>
  </si>
  <si>
    <t>PINTURA GOLTEX SUR</t>
  </si>
  <si>
    <t>MAT16-0055</t>
  </si>
  <si>
    <t>MAT16-0059</t>
  </si>
  <si>
    <t>MAT16-0060</t>
  </si>
  <si>
    <t>MAT16-0062</t>
  </si>
  <si>
    <t>PINTURA SEAL BLOCK ELASTOMERICA</t>
  </si>
  <si>
    <t>PINTURA SUPRA MATE BLANCO</t>
  </si>
  <si>
    <t>MAT16-0042</t>
  </si>
  <si>
    <t>PINTURA ULTRADRY TABACO COD 496 SUR</t>
  </si>
  <si>
    <t>PISO AVANA GRIS 60X60</t>
  </si>
  <si>
    <t>MAT17-0084</t>
  </si>
  <si>
    <t>PISO BRAZIL 52.5X52.5 1.93</t>
  </si>
  <si>
    <t>PISTOLA DE LATÓN PARA MANGUERA MANGO DE GOMA</t>
  </si>
  <si>
    <t>MAT06-0083</t>
  </si>
  <si>
    <t>PLACA INTEMP. P/TOMA 3726-SC SIERRA</t>
  </si>
  <si>
    <t>MAT06-0084</t>
  </si>
  <si>
    <t>PLACA ACERO INOXIDABLE P/TOMA 50A 2 GANG CUADRADA</t>
  </si>
  <si>
    <t>MAT06-0086</t>
  </si>
  <si>
    <t>PLACA DECORATOR BLANCA 1 GANG ROYER</t>
  </si>
  <si>
    <t>MAT06-0087</t>
  </si>
  <si>
    <t>PLAFON BLANCO</t>
  </si>
  <si>
    <t>PLASTICO PARA PALETIZAR 80-120 CM</t>
  </si>
  <si>
    <t>PLATINA HN 3/4X1/8</t>
  </si>
  <si>
    <t>PUNTA PHILLIPS PH#2</t>
  </si>
  <si>
    <t>RACHET 1/2X10 362331</t>
  </si>
  <si>
    <t>REDUCCION LISA PVC 3/4" X 1/2"</t>
  </si>
  <si>
    <t>MAT19-0047</t>
  </si>
  <si>
    <t>REDUCCION PVC 1/2" A 3/4"</t>
  </si>
  <si>
    <t>REGLA 1X4X4 VARAS</t>
  </si>
  <si>
    <t>REGLA SEMIDURO 1X3X4 SIN CEPILLAR</t>
  </si>
  <si>
    <t>REJILLA P/BAÑO 2" CUADRADA // REJ-10'</t>
  </si>
  <si>
    <t>REPELLO GRUESO REPEMAX INTACO 40K</t>
  </si>
  <si>
    <t>REPUESTOS P/ EQUIPOS</t>
  </si>
  <si>
    <t>MAT14-0089</t>
  </si>
  <si>
    <t>RIEL DE 12" CIERRE LENTO</t>
  </si>
  <si>
    <t>MAT14-0016</t>
  </si>
  <si>
    <t>RIEL SUPERI ACL-RSU09 3MTRS</t>
  </si>
  <si>
    <t>MAT14-0018</t>
  </si>
  <si>
    <t>MAT14-0020</t>
  </si>
  <si>
    <t>MAT14-0021</t>
  </si>
  <si>
    <t>RODAPIE ALUMI INOX 150-300-ROD2 AL</t>
  </si>
  <si>
    <t>MAT08-0105</t>
  </si>
  <si>
    <t>RODILLO PARA FELPA</t>
  </si>
  <si>
    <t>RODIN PARA PERLING</t>
  </si>
  <si>
    <t>MAT08-0150</t>
  </si>
  <si>
    <t>ROLLO PLASTICO C/CINTA 80°C - 90 CM. X 20M</t>
  </si>
  <si>
    <t>ROLLO PLASTICO C/CINTA 80°C-120 CM. X 20 M</t>
  </si>
  <si>
    <t>ROLLO PLASTICO C/CINTA 80°C-180 CM. X 20M</t>
  </si>
  <si>
    <t>MAT08-0149</t>
  </si>
  <si>
    <t>ROLLO PLASTICO C/CINTA 80°C-60 CM. X 20 M</t>
  </si>
  <si>
    <t>RUEDA GIRATORIA DE 4 PULG</t>
  </si>
  <si>
    <t>SELLADOR HI-BOND</t>
  </si>
  <si>
    <t>SEPARADOR TIPO CONO 2.5CM (1") SP125</t>
  </si>
  <si>
    <t>SEPARADORES TIPO CONO 12CM SP450</t>
  </si>
  <si>
    <t>EQU15-0024</t>
  </si>
  <si>
    <t>SERVICIO TRANSPORTE</t>
  </si>
  <si>
    <t>MAT14-0022</t>
  </si>
  <si>
    <t>MAT08-0113</t>
  </si>
  <si>
    <t>MAT04-0019</t>
  </si>
  <si>
    <t>SIFON P/CONCRETO 4"</t>
  </si>
  <si>
    <t>SIKADUR 32 GRL (MORTERO EPOXICO)</t>
  </si>
  <si>
    <t>MAT21-0017</t>
  </si>
  <si>
    <t>SILICON PINTABLE</t>
  </si>
  <si>
    <t>MAT21-0018</t>
  </si>
  <si>
    <t>SILICON TRANSPARENTE</t>
  </si>
  <si>
    <t>SILICONIZER BLANCO</t>
  </si>
  <si>
    <t>SILICONIZER GRIS</t>
  </si>
  <si>
    <t>SILLETA P/MALLA SM475</t>
  </si>
  <si>
    <t>SOLDADURA 3/32 (6013)</t>
  </si>
  <si>
    <t>MAT14-0023</t>
  </si>
  <si>
    <t>SOPORTE LATERAL NIQUEL 3H+3TR</t>
  </si>
  <si>
    <t>MAT14-0024</t>
  </si>
  <si>
    <t>SOPORTE P/ESTANTE TRANS 5MM SP-1-PL-HU</t>
  </si>
  <si>
    <t>MAT16-0011</t>
  </si>
  <si>
    <t>STUCCO BLANCO COD 010 SUR</t>
  </si>
  <si>
    <t>MAT16-0013</t>
  </si>
  <si>
    <t>STUCCO ESPIGA COD 022 SUR</t>
  </si>
  <si>
    <t>MAT16-0017</t>
  </si>
  <si>
    <t>STUCCO TABACO SUR</t>
  </si>
  <si>
    <t>MAT07-0018</t>
  </si>
  <si>
    <t>STUD 3X10 CAL#25</t>
  </si>
  <si>
    <t>STUD 4X10 CAL#25</t>
  </si>
  <si>
    <t>MAT16-0094</t>
  </si>
  <si>
    <t>SUPER COAT MATE PASTEL</t>
  </si>
  <si>
    <t>TABLILLA BLANCA MATE CON DIVISION</t>
  </si>
  <si>
    <t>TABLON 2 1/2X12X4</t>
  </si>
  <si>
    <t>TANQUE TRICAPA 750L</t>
  </si>
  <si>
    <t>MAT06-0114</t>
  </si>
  <si>
    <t>TAPA CIEGA CUADRADA 4X4 EMT</t>
  </si>
  <si>
    <t>MAT06-0088</t>
  </si>
  <si>
    <t>TAPA CIEGA PARA CAJA OCTAGONAL</t>
  </si>
  <si>
    <t>MAT06-0089</t>
  </si>
  <si>
    <t>TAPA CIEGA BLANCA 2X4</t>
  </si>
  <si>
    <t>MAT14-0033</t>
  </si>
  <si>
    <t>MAT08-0118</t>
  </si>
  <si>
    <t>TAPE SCOTCH 35 ROJO</t>
  </si>
  <si>
    <t>MAT06-0090</t>
  </si>
  <si>
    <t>TAPE ELECTRICO BLANCO EATON</t>
  </si>
  <si>
    <t>MAT06-0091</t>
  </si>
  <si>
    <t>TAPE ELECTRICO VERDE EATON</t>
  </si>
  <si>
    <t>MAT06-0092</t>
  </si>
  <si>
    <t>MAT14-0068</t>
  </si>
  <si>
    <t>TAPON LISO PVC SANITARIO 11/4</t>
  </si>
  <si>
    <t>TAPON HEMBRA PVC LISO 1 1/2</t>
  </si>
  <si>
    <t>TAPON HEMBRA PVC SANITARIO 4</t>
  </si>
  <si>
    <t>TAPON LISO CPVC 1/2</t>
  </si>
  <si>
    <t>MAT19-0067</t>
  </si>
  <si>
    <t>TAPON MACHO PVC 1/2</t>
  </si>
  <si>
    <t>TEE CIELO SUSPENDIDO</t>
  </si>
  <si>
    <t>TEE CPVC 1/2"</t>
  </si>
  <si>
    <t>TEE HG 1/2"</t>
  </si>
  <si>
    <t>TEE PVC 1 1/4" SANITARIO</t>
  </si>
  <si>
    <t>TEE PVC LISA 1/2"</t>
  </si>
  <si>
    <t>MAT19-0078</t>
  </si>
  <si>
    <t>TEE PVC PARED DELGADA 2"</t>
  </si>
  <si>
    <t>TEFLON LIQUIDO</t>
  </si>
  <si>
    <t>MAT08-0119</t>
  </si>
  <si>
    <t>TEFLON CINTA 1/2  (10M)</t>
  </si>
  <si>
    <t>MAT14-0034</t>
  </si>
  <si>
    <t>TIRADERA CILINDRICA CC:12.8CM</t>
  </si>
  <si>
    <t>MAT08-0120</t>
  </si>
  <si>
    <t>MAT06-0267</t>
  </si>
  <si>
    <t>TOMA PARCHE 20 AMP</t>
  </si>
  <si>
    <t>MAT06-0096</t>
  </si>
  <si>
    <t>TOMA DOBLE POLARIZADO 15A 120 TR DECO</t>
  </si>
  <si>
    <t>MAT06-0097</t>
  </si>
  <si>
    <t>TOMA EMPOTRAR 50A 250V NEMA 10-50 COOPER</t>
  </si>
  <si>
    <t>TORNILLO 6X11/4 P/MADERA PFINA</t>
  </si>
  <si>
    <t>TORNILLO DE 3" C/EMPAQUE,TUERCA ARANDELA  Y TAPON (PARA UPVC)</t>
  </si>
  <si>
    <t>TORNILLO FIJADOR PTA BROCA 8X3/4 TDRKB812 (POLYCARBONATO)</t>
  </si>
  <si>
    <t>TORNILLO GYPSUM 2 1/2" X 8" P/CORRIENTE</t>
  </si>
  <si>
    <t>MAT07-0031</t>
  </si>
  <si>
    <t>TORNILLO GYPSUM 6X2" P/FINA</t>
  </si>
  <si>
    <t>TORNILLO P/ ESPANDER 8X2 1/2 PULG</t>
  </si>
  <si>
    <t>MAT08-0307</t>
  </si>
  <si>
    <t>TORNILLO P/GYPSUM 3PULG PUNTA FINA</t>
  </si>
  <si>
    <t>TORNILLO P/MADERA 1 1/4X0.6MM NEGRO ROSCA ORDINARIA</t>
  </si>
  <si>
    <t>TORNILLO P/MADERA 2X0.6MM NEGRO ROSCA ORDINARIA</t>
  </si>
  <si>
    <t>TORNILLO P/MADERA 3/4X0.6MM NEGRO ROSCA ORDINARIA</t>
  </si>
  <si>
    <t>TORNILLO PARA ESPANDER #6</t>
  </si>
  <si>
    <t>TORNILLO TORCON #10X2 3/4 C/PANA</t>
  </si>
  <si>
    <t>TORNILLO TORLAK 1" PTA BROCA</t>
  </si>
  <si>
    <t>TORNILLO 3/16X1/2 PTA FINA CABEZA PLANA</t>
  </si>
  <si>
    <t>TORNILLO CABEZA PLANA 7/16 PTA BROCA</t>
  </si>
  <si>
    <t>MAT07-0024</t>
  </si>
  <si>
    <t>TORNILLO GYPSUM 7/16 PUNTA FINA CON ARANDELA</t>
  </si>
  <si>
    <t>MAT07-0025</t>
  </si>
  <si>
    <t>TORNILLOS P/MADERA 6X2 PFINA</t>
  </si>
  <si>
    <t>MAT07-0029</t>
  </si>
  <si>
    <t>TRACK 3X10 CAL#25</t>
  </si>
  <si>
    <t>TRACK 4X10 CAL#25</t>
  </si>
  <si>
    <t>MAT04-0021</t>
  </si>
  <si>
    <t>TRAMPA PARA GRASA 4"</t>
  </si>
  <si>
    <t>TUBO 1 1/2"X1 1/2"X1.5MM HN</t>
  </si>
  <si>
    <t>MAT06-0120</t>
  </si>
  <si>
    <t>TUBO EMT 11/4</t>
  </si>
  <si>
    <t>TUBO EMT DE ½</t>
  </si>
  <si>
    <t>MAT14-0035</t>
  </si>
  <si>
    <t>TUBO OVAL P/CLOSET 3 MT</t>
  </si>
  <si>
    <t>MAT02-0015</t>
  </si>
  <si>
    <t>TUBO RED 11/4X1.8 HN</t>
  </si>
  <si>
    <t>TUBO 1X1X1.5MM H.N</t>
  </si>
  <si>
    <t>TUBO 1X2X1.5MM HN</t>
  </si>
  <si>
    <t>TUBO 2X2X1.8MM H.G</t>
  </si>
  <si>
    <t>TUBO 2X2X1.8MM H.N</t>
  </si>
  <si>
    <t>TUBO 2X4X1.8MM H.G</t>
  </si>
  <si>
    <t>TUBO 2X4X1.8MM HN</t>
  </si>
  <si>
    <t>TUBO 2X6X1.8MM H.G</t>
  </si>
  <si>
    <t>TUBO 2X6X1.8MM H.N.</t>
  </si>
  <si>
    <t>TUBO 3X3X1.8MM H.G.</t>
  </si>
  <si>
    <t>TUBO 3X3X1.8MM H.N.</t>
  </si>
  <si>
    <t>MAT02-0024</t>
  </si>
  <si>
    <t>TUBO 4X6X1.80MM HN</t>
  </si>
  <si>
    <t>TUBO CONDUIT 1 1/2 UL</t>
  </si>
  <si>
    <t>TUBO CONDUIT 1 UL</t>
  </si>
  <si>
    <t>TUBO CONDUIT 1/2 UL</t>
  </si>
  <si>
    <t>TUBO CONDUIT 3/4 UL</t>
  </si>
  <si>
    <t>TUBO CPVC 1/2</t>
  </si>
  <si>
    <t>MAT06-0098</t>
  </si>
  <si>
    <t>TUBO EMT 1 (3M)</t>
  </si>
  <si>
    <t>TUBO PVC 1/2 P/GRUESA</t>
  </si>
  <si>
    <t>MAT19-0093</t>
  </si>
  <si>
    <t>TUBO SANITARIO PVC 1 1/2</t>
  </si>
  <si>
    <t>TUBO SANITARIO PVC 3</t>
  </si>
  <si>
    <t>UNION CONDUIT 1 1/2 UL</t>
  </si>
  <si>
    <t>UNION CONDUIT 1 UL</t>
  </si>
  <si>
    <t>UNION CONDUIT 1/2 UL</t>
  </si>
  <si>
    <t>UNION CONDUIT 2 UL</t>
  </si>
  <si>
    <t>UNION CONDUIT 3/4 UL</t>
  </si>
  <si>
    <t>UNION HG 1/2</t>
  </si>
  <si>
    <t>UNION LISA  CPVC 1/2</t>
  </si>
  <si>
    <t>UNION LISA PVC  1/2</t>
  </si>
  <si>
    <t>UNION LISA PVC 4</t>
  </si>
  <si>
    <t>MAT06-0104</t>
  </si>
  <si>
    <t>VARILLA COOPERWELL 5/8 3M</t>
  </si>
  <si>
    <t>MAT02-0033</t>
  </si>
  <si>
    <t>VARILLA LISA #5</t>
  </si>
  <si>
    <t>MAT19-0116</t>
  </si>
  <si>
    <t>MAT19-0119</t>
  </si>
  <si>
    <t>YEE PARED GRUESA DE 1 1/2"</t>
  </si>
  <si>
    <t>ADAPTADOR HEMBRA 2" SCH80 (50MM)</t>
  </si>
  <si>
    <t>ADAPTADOR MACHO 2" SCH80 (50MM)</t>
  </si>
  <si>
    <t>ADAPTADOR HEMBRA PVC 2"</t>
  </si>
  <si>
    <t>BREAKER QUO220 1P/20AMP</t>
  </si>
  <si>
    <t>MAT06-0168</t>
  </si>
  <si>
    <t>BREAKER SD QO 120 1P 20A CAFI</t>
  </si>
  <si>
    <t>BROCHA DE 1 PULG</t>
  </si>
  <si>
    <t>CABLE TSJ 3X12</t>
  </si>
  <si>
    <t>CAJA INTEMPERIE 4X4</t>
  </si>
  <si>
    <t>CHISPA P/CORTAR CERAMICA</t>
  </si>
  <si>
    <t>CJ</t>
  </si>
  <si>
    <t>CODO 90 PVC POTABLE CEDULA DE PRESIÓN DE 2"</t>
  </si>
  <si>
    <t>CODO 45 SANITARIO 2  PD</t>
  </si>
  <si>
    <t>CODO 90 CPVC 1/2</t>
  </si>
  <si>
    <t>CONCRETO FC 210 KG/CM2 AUTOCOMPACTABLE</t>
  </si>
  <si>
    <t>CONECTOR MANGUITO</t>
  </si>
  <si>
    <t>CUTTER</t>
  </si>
  <si>
    <t>MAT0851</t>
  </si>
  <si>
    <t>LAPIZ ROJO/VERDE/NARANJA</t>
  </si>
  <si>
    <t>MAT08-0073</t>
  </si>
  <si>
    <t>LLAVE DE CHORRO PREMIUM 1/2</t>
  </si>
  <si>
    <t>MAT04-0047</t>
  </si>
  <si>
    <t>PASADOR CONICO</t>
  </si>
  <si>
    <t>FORMALETA</t>
  </si>
  <si>
    <t>MAT16-0076</t>
  </si>
  <si>
    <t>PINTURA LATEX TRADICIONAL BLANCO SUR</t>
  </si>
  <si>
    <t>PINZA TIERRA</t>
  </si>
  <si>
    <t>MAT21-0036</t>
  </si>
  <si>
    <t>SELLADOR PARA CERAMICA STONETECH SEALER</t>
  </si>
  <si>
    <t>SIKA MONOROP 412 SM 25K</t>
  </si>
  <si>
    <t>TAPA P/INODORO</t>
  </si>
  <si>
    <t>TEE PVC 1/2" LISA</t>
  </si>
  <si>
    <t>TOMA PARCHE HEMBRA WD112 50A 250V 3P-3H NEMA 10-50 COOPER</t>
  </si>
  <si>
    <t>TORNILLO P/GYPSUM 2"X6" PTA BROCA</t>
  </si>
  <si>
    <t>MAT02-0164</t>
  </si>
  <si>
    <t>TUBO 2X2X3.2 MM HN</t>
  </si>
  <si>
    <t>TUBO SANITARIO PVC 4</t>
  </si>
  <si>
    <t>UNION TOPE PVC 1"</t>
  </si>
  <si>
    <t>ZACATE SAN AGUSTIN</t>
  </si>
  <si>
    <t>BREAKER 2P/100AMP QO2100 BASE MEDIDOR</t>
  </si>
  <si>
    <t>CABLE TSJ 3X8</t>
  </si>
  <si>
    <t>MAT06-0309</t>
  </si>
  <si>
    <t>CAJA TOMA CORRIENTE PARA EXTERIOR</t>
  </si>
  <si>
    <t>CODO 90X1/2 PULG HIERRO CROMADO</t>
  </si>
  <si>
    <t>CODO 90 PVC LISO 1/2"</t>
  </si>
  <si>
    <t>ENCHUFE PARA EXTENSION HEMBRA</t>
  </si>
  <si>
    <t>MASTER SEAL 6100FX EN SACOS DE 25KG CEMENTICIO FLEXIBLE</t>
  </si>
  <si>
    <t>MAXIBED</t>
  </si>
  <si>
    <t>NIPLE DE HIERRO CROMADO 1/2X10PULG</t>
  </si>
  <si>
    <t>NIPLE DE HIERRO CROMADO 1/2X2PULG</t>
  </si>
  <si>
    <t>PEGA CERAMICA PLUS 20KG CEMEX</t>
  </si>
  <si>
    <t>MAT02-0043</t>
  </si>
  <si>
    <t>REGLA DE PINO RADIATA 1X3X3.2M</t>
  </si>
  <si>
    <t>TAPON HEMBRA LISO PVC 2</t>
  </si>
  <si>
    <t>MAT19-0080</t>
  </si>
  <si>
    <t>TEE PVC PARED GRUESA DE 1 1/4"</t>
  </si>
  <si>
    <t>TEE PVC 4" SANITARIA PD</t>
  </si>
  <si>
    <t>TUBO 1X1X1.8MM H.N.</t>
  </si>
  <si>
    <t>ACEITE PARA TAPEADORA</t>
  </si>
  <si>
    <t>ADAPTADOR MACHO PVC 1/2"</t>
  </si>
  <si>
    <t>BASE ALUMINIO NEGRA PARA TAPA DE POLYCARBONATO 6.40</t>
  </si>
  <si>
    <t>BLOCK 12X20X40</t>
  </si>
  <si>
    <t>CAJA DE SEGURIDAD PARA LLAVES</t>
  </si>
  <si>
    <t>MAT08-0025</t>
  </si>
  <si>
    <t>CLAVO DE ACERO 1"</t>
  </si>
  <si>
    <t>LAMINA UPVC 1.07 X 11.80X2.5MM</t>
  </si>
  <si>
    <t>MANGUERA RIEGO</t>
  </si>
  <si>
    <t>MAXISTIK 590 (EPOXICO)</t>
  </si>
  <si>
    <t>REGLA SEMIDURO 1X3X4 CEPILLADA</t>
  </si>
  <si>
    <t>MAT19-0103</t>
  </si>
  <si>
    <t>TUBO SDR41 JR PVC 4</t>
  </si>
  <si>
    <t>BREAKER DOBLE 60AMP SQUARE D</t>
  </si>
  <si>
    <t>BREAKER DOBLE DE 125AMP SQUARE D</t>
  </si>
  <si>
    <t>BREAKER DOBLE DE 40AMP SQUARE D</t>
  </si>
  <si>
    <t>BREAKER DUAL 20AMP SQUARE D</t>
  </si>
  <si>
    <t>CUBIERTA PARA CENTRO DE CARGA TIPO QOC24UF, MONTAJE DE EMPOTRAR</t>
  </si>
  <si>
    <t>ACA03-0001</t>
  </si>
  <si>
    <t>FLETE AGREGADOS</t>
  </si>
  <si>
    <t>IMPERMEABILIZANTE AQUA- PROOF LANCO</t>
  </si>
  <si>
    <t>MAT05-0002</t>
  </si>
  <si>
    <t>IMPERMEABILIZANTE TOP 202</t>
  </si>
  <si>
    <t>LASTRE FINO</t>
  </si>
  <si>
    <t>NIPLE CROMADO 1/2X3.5</t>
  </si>
  <si>
    <t>%MO</t>
  </si>
  <si>
    <t>PERFIL TIPO U TERMINAL LAMINA 8MM NEGRO 4.3 M (POLYCARBONATO)</t>
  </si>
  <si>
    <t>MAT16-0020</t>
  </si>
  <si>
    <t>PINTURA INTERIOR FIBROCENTRO</t>
  </si>
  <si>
    <t>MAT17-0063</t>
  </si>
  <si>
    <t>PORCELANATO BALDOCER T. MADERA BAL MARYLAND HAYA RECT 20X114</t>
  </si>
  <si>
    <t>REFLECTOR LED 50 WATTS 5000K 110/277 V</t>
  </si>
  <si>
    <t>RESANANDOR PREMEZCLADO ONE TIME (1/4 GALON)</t>
  </si>
  <si>
    <t>SILLETA P/MALLA SM100</t>
  </si>
  <si>
    <t>TOMA PARCHE WD112 50A 250V 3P-3H NEMA 10-50 COOPER</t>
  </si>
  <si>
    <t>TORNILLO 2 PULG GALVANIZADO P/TECHO  P/BROCA</t>
  </si>
  <si>
    <t>TAPA POLICARBONATO HUMO EN 11.80 METROS</t>
  </si>
  <si>
    <t>MARLON ST FORWALL 8MM HUMO 1.05 X 11.80 M</t>
  </si>
  <si>
    <t>TORNILLO PTA BROCA BICROMATIZADO 1 (POLYCARBONATO)</t>
  </si>
  <si>
    <t xml:space="preserve">CANOA HG 10 CM </t>
  </si>
  <si>
    <t xml:space="preserve">YARDA </t>
  </si>
  <si>
    <t xml:space="preserve">BOTAGUA 10 CM X 10 CM X 1,83 M </t>
  </si>
  <si>
    <t xml:space="preserve">UND </t>
  </si>
  <si>
    <t>MAT21-0027</t>
  </si>
  <si>
    <t>BASE GRANULAR</t>
  </si>
  <si>
    <t>CEMENTO INDUSTRIAL</t>
  </si>
  <si>
    <t>PIEDRA CUARTILLA</t>
  </si>
  <si>
    <t>MAT03-0007</t>
  </si>
  <si>
    <t xml:space="preserve">HORA </t>
  </si>
  <si>
    <t xml:space="preserve">SUBCONTRATO ELÉCTRICO </t>
  </si>
  <si>
    <t xml:space="preserve">GLOBAL </t>
  </si>
  <si>
    <t>M.O. ARMADO DE CAJA INTELIGENTE</t>
  </si>
  <si>
    <t>M.O. TUBERIA ELECTRICA LOSA</t>
  </si>
  <si>
    <t>M.O. TUBERIA ELECTRICA MUROS</t>
  </si>
  <si>
    <t>M.O. SALIDAS DE ILUMINACION</t>
  </si>
  <si>
    <t xml:space="preserve">FORMALETA </t>
  </si>
  <si>
    <t>FORMALETA LOSA FLOTANTE</t>
  </si>
  <si>
    <t xml:space="preserve">FORMALETA COLUMNAS </t>
  </si>
  <si>
    <t xml:space="preserve">PRECIO CON CARGAS SOCIALES </t>
  </si>
  <si>
    <t xml:space="preserve">ENCARGADO </t>
  </si>
  <si>
    <t xml:space="preserve">ENCARGADO PLUS </t>
  </si>
  <si>
    <t xml:space="preserve">hora </t>
  </si>
  <si>
    <t xml:space="preserve">OPERARIO CALIFICADO PLUS </t>
  </si>
  <si>
    <t xml:space="preserve">OPERARIO PLUS </t>
  </si>
  <si>
    <t xml:space="preserve">AYUDANTE PLUS </t>
  </si>
  <si>
    <t xml:space="preserve">Lastre </t>
  </si>
  <si>
    <t xml:space="preserve">Espesor: </t>
  </si>
  <si>
    <t xml:space="preserve">m </t>
  </si>
  <si>
    <t xml:space="preserve">Área casa (incluye área de pilas) </t>
  </si>
  <si>
    <t>m3</t>
  </si>
  <si>
    <t>Diferencia</t>
  </si>
  <si>
    <t>Costo</t>
  </si>
  <si>
    <t xml:space="preserve">Costo Total </t>
  </si>
  <si>
    <t>Mano de obra (trazado) (m2)</t>
  </si>
  <si>
    <t>Mano de obra (relleno ) (m3)</t>
  </si>
  <si>
    <t xml:space="preserve">Total </t>
  </si>
  <si>
    <t xml:space="preserve">Cemento </t>
  </si>
  <si>
    <t xml:space="preserve">Arena </t>
  </si>
  <si>
    <t xml:space="preserve">Piedra </t>
  </si>
  <si>
    <t xml:space="preserve">kilos </t>
  </si>
  <si>
    <t>Mano de obra (concreto) (m3)</t>
  </si>
  <si>
    <t>litro</t>
  </si>
  <si>
    <t xml:space="preserve">CANTIDAD </t>
  </si>
  <si>
    <t xml:space="preserve">un </t>
  </si>
  <si>
    <t>CANTIDAD</t>
  </si>
  <si>
    <t xml:space="preserve">LARGO </t>
  </si>
  <si>
    <t xml:space="preserve">ANCHO </t>
  </si>
  <si>
    <t xml:space="preserve">ESPESOR </t>
  </si>
  <si>
    <t xml:space="preserve">m3 </t>
  </si>
  <si>
    <t xml:space="preserve">MALLA ELECTROSOLDADA #2 </t>
  </si>
  <si>
    <t xml:space="preserve">kg </t>
  </si>
  <si>
    <t xml:space="preserve">Largo </t>
  </si>
  <si>
    <t xml:space="preserve">Ancho </t>
  </si>
  <si>
    <t xml:space="preserve">Area formaleta </t>
  </si>
  <si>
    <t>Mano de obra (acero) (kilo)</t>
  </si>
  <si>
    <t>Mano de obra (formaleta ) (m2)</t>
  </si>
  <si>
    <t xml:space="preserve">MALLA </t>
  </si>
  <si>
    <t xml:space="preserve">Varilla # 3 @ 30 cm </t>
  </si>
  <si>
    <t xml:space="preserve"># varillas horizontales </t>
  </si>
  <si>
    <t xml:space="preserve">CONCRETO MUROS </t>
  </si>
  <si>
    <t xml:space="preserve">ALTO </t>
  </si>
  <si>
    <t>ALTO</t>
  </si>
  <si>
    <t xml:space="preserve">COLADO MUROS </t>
  </si>
  <si>
    <t xml:space="preserve">TRAZO FORMALETA N1 </t>
  </si>
  <si>
    <t xml:space="preserve">DESENCOFRE MUROS N1 </t>
  </si>
  <si>
    <t xml:space="preserve">ACERO FUNDACION </t>
  </si>
  <si>
    <t xml:space="preserve"># Malla #3 @20  cm </t>
  </si>
  <si>
    <t xml:space="preserve">COLUMNA COCHERA </t>
  </si>
  <si>
    <t>ANCHO</t>
  </si>
  <si>
    <t>ACERO COLUMNA COCHERA</t>
  </si>
  <si>
    <t xml:space="preserve">COLUMNA MEDIDOR </t>
  </si>
  <si>
    <t xml:space="preserve">ACERO COLUMNA MEDIDOR </t>
  </si>
  <si>
    <t xml:space="preserve">AREA PILA </t>
  </si>
  <si>
    <t xml:space="preserve">AREA COCHERA </t>
  </si>
  <si>
    <t xml:space="preserve">AREA TOTAL </t>
  </si>
  <si>
    <t xml:space="preserve"> m2 </t>
  </si>
  <si>
    <t xml:space="preserve">Concreto </t>
  </si>
  <si>
    <t xml:space="preserve">CLAVADORES </t>
  </si>
  <si>
    <t xml:space="preserve"># Tubos 2" x 4" </t>
  </si>
  <si>
    <t xml:space="preserve"># Tubos 2" x 2" </t>
  </si>
  <si>
    <t xml:space="preserve"># Tubos 2" x 2" HG </t>
  </si>
  <si>
    <t xml:space="preserve"># CLAVADORES </t>
  </si>
  <si>
    <t xml:space="preserve">Largo total </t>
  </si>
  <si>
    <t xml:space="preserve"># Tubos 2" x 2" CLAVADORES  HG </t>
  </si>
  <si>
    <t xml:space="preserve">PRECINTA </t>
  </si>
  <si>
    <t>TUBO 3" X 3" (PERIMETRO Y VERTICALES)</t>
  </si>
  <si>
    <t xml:space="preserve"># Tubos 3" x 3" HG </t>
  </si>
  <si>
    <t>TUBO 2" X 2" (DIAGONALES)</t>
  </si>
  <si>
    <t xml:space="preserve">TUBO  2" X 6"HN </t>
  </si>
  <si>
    <t xml:space="preserve"># Tubos 2" x 6" </t>
  </si>
  <si>
    <t xml:space="preserve">TUBO  2" X 2"HN </t>
  </si>
  <si>
    <t xml:space="preserve">TUBO  3" X 3"HN </t>
  </si>
  <si>
    <t xml:space="preserve"># Tubos 3" x 3" </t>
  </si>
  <si>
    <t xml:space="preserve">AREA </t>
  </si>
  <si>
    <t>Medida (largo) (m)</t>
  </si>
  <si>
    <t>m</t>
  </si>
  <si>
    <t xml:space="preserve">Total de kilos </t>
  </si>
  <si>
    <t xml:space="preserve">NOTA : 1 m equivale 2,15 kg de peso de lamina de cubierta </t>
  </si>
  <si>
    <t xml:space="preserve">DESPERDICIO </t>
  </si>
  <si>
    <t xml:space="preserve">BOTAGUA 10 cm x 10 cm </t>
  </si>
  <si>
    <t xml:space="preserve">TOTAL </t>
  </si>
  <si>
    <t xml:space="preserve">CANOA HG 10 cm </t>
  </si>
  <si>
    <t xml:space="preserve">#Lámina securock </t>
  </si>
  <si>
    <t xml:space="preserve">CIELOS </t>
  </si>
  <si>
    <t xml:space="preserve">PAREDES </t>
  </si>
  <si>
    <t>PAREDES</t>
  </si>
  <si>
    <t>AREA</t>
  </si>
  <si>
    <t>MATERIAL</t>
  </si>
  <si>
    <t xml:space="preserve">2 CARAS: 1 DENGLASS  Y 1 GYPSUM </t>
  </si>
  <si>
    <t xml:space="preserve">LARGO PARED </t>
  </si>
  <si>
    <t xml:space="preserve">ALTO DE PARED </t>
  </si>
  <si>
    <t xml:space="preserve"> m </t>
  </si>
  <si>
    <t xml:space="preserve">Area </t>
  </si>
  <si>
    <t xml:space="preserve">PA: AZULEJO A ELEGIR  </t>
  </si>
  <si>
    <t xml:space="preserve">Area de piso de duchas </t>
  </si>
  <si>
    <t xml:space="preserve">AREA TOTAL DE ENCHAPES </t>
  </si>
  <si>
    <t xml:space="preserve">PC: PORCELANATO ELEGIR </t>
  </si>
  <si>
    <t xml:space="preserve">AREA TOTAL PORCELANATO </t>
  </si>
  <si>
    <t>PUERTAS</t>
  </si>
  <si>
    <t xml:space="preserve">RODAPIE </t>
  </si>
  <si>
    <t>Factor</t>
  </si>
  <si>
    <t>Materiales</t>
  </si>
  <si>
    <t>SUB</t>
  </si>
  <si>
    <t>MAT07-0020</t>
  </si>
  <si>
    <t>MAT07-0027</t>
  </si>
  <si>
    <t>MAT14-0005</t>
  </si>
  <si>
    <t>Puertas</t>
  </si>
  <si>
    <t>MAT18-0032</t>
  </si>
  <si>
    <t>MAT18-0035</t>
  </si>
  <si>
    <t>MAT18-0036</t>
  </si>
  <si>
    <t>Mecanico</t>
  </si>
  <si>
    <t>M.O. MEDIDOR DE AGUA</t>
  </si>
  <si>
    <t>M.O. GENERAL</t>
  </si>
  <si>
    <t>COLUMNA E PREFABRICADA 3.80M</t>
  </si>
  <si>
    <t>TOMA DE EMPOTRAR 50A/125/250V 3P-4W NEMA 14-50R</t>
  </si>
  <si>
    <t>DEDALES PARA PUERTA CORREDIZA</t>
  </si>
  <si>
    <t>MAT14-0037</t>
  </si>
  <si>
    <t>MAT17-0066</t>
  </si>
  <si>
    <t>ADAPTADOR HEMBRA CPVC 1/2</t>
  </si>
  <si>
    <t>CODO 45 CPVC 1/2</t>
  </si>
  <si>
    <t>CODO 45 LISO PVC 1/2</t>
  </si>
  <si>
    <t>CODO 45 PARED DELGADA 4</t>
  </si>
  <si>
    <t>CODO 90  LISO PVC 1/2</t>
  </si>
  <si>
    <t>CODO 90 PARED DELGADA 2</t>
  </si>
  <si>
    <t>CODO 90 PARED DELGADA 4</t>
  </si>
  <si>
    <t>REDUCCION 2 A 1 1/4 SANITARIO</t>
  </si>
  <si>
    <t>REDUCCION LISA P.D.  3 A 4</t>
  </si>
  <si>
    <t>REDUCCION LISA P.D. 2 A 4</t>
  </si>
  <si>
    <t>TEE CPVC 1/2</t>
  </si>
  <si>
    <t>TEE LISA PVC 1/2</t>
  </si>
  <si>
    <t>YEE PARED DELGADA 2</t>
  </si>
  <si>
    <t>YEE PARED DELGADA 4</t>
  </si>
  <si>
    <t>ADAPTADOR MACHO PVC 4</t>
  </si>
  <si>
    <t>TUBO SANITARIO PVC 1 1/4</t>
  </si>
  <si>
    <t>TUBO SANITARIO PVC 2</t>
  </si>
  <si>
    <t>Descripcion</t>
  </si>
  <si>
    <t>%</t>
  </si>
  <si>
    <t>TOTAL</t>
  </si>
  <si>
    <t>Area</t>
  </si>
  <si>
    <t>Longitud</t>
  </si>
  <si>
    <t>Tipo</t>
  </si>
  <si>
    <t>un</t>
  </si>
  <si>
    <t>viaje</t>
  </si>
  <si>
    <t>unidad</t>
  </si>
  <si>
    <t>sacos</t>
  </si>
  <si>
    <t>Alto</t>
  </si>
  <si>
    <t>MO</t>
  </si>
  <si>
    <t xml:space="preserve">Proyecto: </t>
  </si>
  <si>
    <t>Gastos Generales</t>
  </si>
  <si>
    <t>CIERRE DE PRESUPUESTOS</t>
  </si>
  <si>
    <t>Indirectos</t>
  </si>
  <si>
    <t>Dias</t>
  </si>
  <si>
    <t>Meses</t>
  </si>
  <si>
    <t>Semanas</t>
  </si>
  <si>
    <t>Mat</t>
  </si>
  <si>
    <t>MO sin cargas</t>
  </si>
  <si>
    <t>Plazo de xxxx a xxxx dias</t>
  </si>
  <si>
    <t>MAT.</t>
  </si>
  <si>
    <t>M.deO.</t>
  </si>
  <si>
    <t>S.C.</t>
  </si>
  <si>
    <t>DESCRIPCION</t>
  </si>
  <si>
    <t>CANT.</t>
  </si>
  <si>
    <t>UNID.</t>
  </si>
  <si>
    <t>UNIT.</t>
  </si>
  <si>
    <t>TOTAL COSTOS DIRECTOS</t>
  </si>
  <si>
    <t>Costo directo Total</t>
  </si>
  <si>
    <t>u</t>
  </si>
  <si>
    <t>INDIRECTOS DE CAMPO</t>
  </si>
  <si>
    <t>sem</t>
  </si>
  <si>
    <t>Pick up proveeduría</t>
  </si>
  <si>
    <t>viajes</t>
  </si>
  <si>
    <t>Traslado agregados</t>
  </si>
  <si>
    <t>Traslado cemento</t>
  </si>
  <si>
    <t>Traslado block 12</t>
  </si>
  <si>
    <t>block</t>
  </si>
  <si>
    <t>Traslado block 15</t>
  </si>
  <si>
    <t>Traslado block 20</t>
  </si>
  <si>
    <t xml:space="preserve">Traslado varillas </t>
  </si>
  <si>
    <t>kg.</t>
  </si>
  <si>
    <t>Transporte de personal en bus 10 personas</t>
  </si>
  <si>
    <t>hora</t>
  </si>
  <si>
    <t>Maestro de obras</t>
  </si>
  <si>
    <t>Bonificacion</t>
  </si>
  <si>
    <t>Guarda (1)</t>
  </si>
  <si>
    <t>mes</t>
  </si>
  <si>
    <t xml:space="preserve">Limpieza </t>
  </si>
  <si>
    <t>hr.</t>
  </si>
  <si>
    <t>Topografo 1 hr/día</t>
  </si>
  <si>
    <t>Ayudante de Topografo 2 hr/día</t>
  </si>
  <si>
    <t>Bodeguero</t>
  </si>
  <si>
    <t>Ingeniero Director</t>
  </si>
  <si>
    <t>Salarios ingeniero</t>
  </si>
  <si>
    <t>Ingeniero o Arquitecto</t>
  </si>
  <si>
    <t>Ingeniero electromecanico</t>
  </si>
  <si>
    <t>Ingeniero Regente ambiental</t>
  </si>
  <si>
    <t>Agua</t>
  </si>
  <si>
    <t>Energía eléctrica</t>
  </si>
  <si>
    <t>Rotulacion</t>
  </si>
  <si>
    <t>ZONAJE</t>
  </si>
  <si>
    <t>Traslados Quin. personal SJ</t>
  </si>
  <si>
    <t>Alquiler casa</t>
  </si>
  <si>
    <t>Traslados ingenieros 2 ingenieros</t>
  </si>
  <si>
    <t>Otros rendimiento</t>
  </si>
  <si>
    <t>gl</t>
  </si>
  <si>
    <t>Alimentación personal</t>
  </si>
  <si>
    <t>comidas</t>
  </si>
  <si>
    <t>Acarreos especiales</t>
  </si>
  <si>
    <t>INSTALACIONES PROVISIONALES</t>
  </si>
  <si>
    <t xml:space="preserve">Bodega </t>
  </si>
  <si>
    <t>prevista elèctrica prov</t>
  </si>
  <si>
    <t>Comedor-cocina</t>
  </si>
  <si>
    <t>Oficinas inspección</t>
  </si>
  <si>
    <t>Cerramientos provisionales</t>
  </si>
  <si>
    <t>Cabaña sanitaria</t>
  </si>
  <si>
    <t>Vigilancia</t>
  </si>
  <si>
    <t>HERRAMIENTAS Y ALQUILERES</t>
  </si>
  <si>
    <t>Andamios 10un</t>
  </si>
  <si>
    <t>Hidrolavadora</t>
  </si>
  <si>
    <t>Alquiler de Grua p/entrepiso</t>
  </si>
  <si>
    <t>dia</t>
  </si>
  <si>
    <t>Herramientas, Taladros, Cierras</t>
  </si>
  <si>
    <t>Cascos</t>
  </si>
  <si>
    <t>Chalecos</t>
  </si>
  <si>
    <t>Protectores de ojos</t>
  </si>
  <si>
    <t>Orejeras - Tapones</t>
  </si>
  <si>
    <t>Guantes de Cuero</t>
  </si>
  <si>
    <t>Cintas para Señalización</t>
  </si>
  <si>
    <t>rollos</t>
  </si>
  <si>
    <t>Rotulos</t>
  </si>
  <si>
    <t>Estañones</t>
  </si>
  <si>
    <t>Carretillos</t>
  </si>
  <si>
    <t>Baldes de Agua</t>
  </si>
  <si>
    <t>Palas</t>
  </si>
  <si>
    <t>Picos</t>
  </si>
  <si>
    <t>Macanas</t>
  </si>
  <si>
    <t>Mazos</t>
  </si>
  <si>
    <t>Barras</t>
  </si>
  <si>
    <t>Vibrador 65mm</t>
  </si>
  <si>
    <t>Batidora</t>
  </si>
  <si>
    <t>Compactadores (Brincon)</t>
  </si>
  <si>
    <t>PERMISOS, C SOCIALES, POLIZAS</t>
  </si>
  <si>
    <t>Pòliza INS</t>
  </si>
  <si>
    <t>• Certificado de Seguro de Responsabilidad Civil por lesión o muerte de terceras personas, con un monto mínimo de ¢100.000.000 (Cien millones de colones) por persona y ¢100.000.000 (Cien millones de colones) por accidente.</t>
  </si>
  <si>
    <t>• Certificado de Seguro de Responsabilidad Civil por daños a la propiedad de terceros, con un monto mínimo  de ¢100.000.000 (Cien millones de colones).</t>
  </si>
  <si>
    <t xml:space="preserve">• Una    póliza    que    proteja    las    obras    de    todo    riesgo    de    construcción    y    montaje,    por    el    monto    total    del    Contrato.    </t>
  </si>
  <si>
    <t>Cuotas del Instituto Nacional de Aprendizaje, del Instituto Mixto de Ayuda Social y del Banco Popular</t>
  </si>
  <si>
    <t>Setena</t>
  </si>
  <si>
    <t>Especies Fiscales 0,25%</t>
  </si>
  <si>
    <t>Planos y presupuesto preliminar</t>
  </si>
  <si>
    <t>Planos Constructivos  133 laminas</t>
  </si>
  <si>
    <t>Supervisión (especializada)</t>
  </si>
  <si>
    <t>Permisos</t>
  </si>
  <si>
    <t>Cargas Sociales cierre</t>
  </si>
  <si>
    <t>SUB-TOTAL ACUMULADO:</t>
  </si>
  <si>
    <t>IMPREVISTOS 1%</t>
  </si>
  <si>
    <t>OTROS</t>
  </si>
  <si>
    <t>ADMINISTRACION 10 %</t>
  </si>
  <si>
    <t>UTILIDAD DEL CONTRATISTA 3 %</t>
  </si>
  <si>
    <t>SEGURIDAD OCUPACIONAL 0,25%</t>
  </si>
  <si>
    <t>COSTO/m2</t>
  </si>
  <si>
    <t>Precios unitarios</t>
  </si>
  <si>
    <t xml:space="preserve">Costo </t>
  </si>
  <si>
    <t>Grado 40</t>
  </si>
  <si>
    <t xml:space="preserve">Varilla #2 </t>
  </si>
  <si>
    <t>Var</t>
  </si>
  <si>
    <t>Varilla #3 Grado 40</t>
  </si>
  <si>
    <t>Varilla #4 Grado 40</t>
  </si>
  <si>
    <t>Varilla #5 Grado 40</t>
  </si>
  <si>
    <t>Grado 60</t>
  </si>
  <si>
    <t>Varilla #2 Grado 60</t>
  </si>
  <si>
    <t>Varilla #3 Grado 60</t>
  </si>
  <si>
    <t>Varilla #4 Grado 60</t>
  </si>
  <si>
    <t>Varilla #5 Grado 60</t>
  </si>
  <si>
    <t>Varilla #6 Grado 60</t>
  </si>
  <si>
    <t>Varilla #7 Grado 60</t>
  </si>
  <si>
    <t>Varilla #8 Grado 60</t>
  </si>
  <si>
    <t>Varilla #9 Grado 60</t>
  </si>
  <si>
    <t>Varilla #10 Grado 60</t>
  </si>
  <si>
    <t>INSTALACIÓN MECÁNICA- AGUA POTABLE</t>
  </si>
  <si>
    <t>uni</t>
  </si>
  <si>
    <t>TAPON MACHO CON ROSCA</t>
  </si>
  <si>
    <t>UNI</t>
  </si>
  <si>
    <t>TAPON HEMBRA PVC LISO  1/2</t>
  </si>
  <si>
    <t>Eledtrico</t>
  </si>
  <si>
    <t>MANO DE OBRA GENERAL</t>
  </si>
  <si>
    <t>M.O. MONTAJE MONOCOMANDOS</t>
  </si>
  <si>
    <t>SUB TOTAL</t>
  </si>
  <si>
    <t>INSTALACIÓN MECANICA AGUAS SERVIDAS</t>
  </si>
  <si>
    <t>M.O. INSTALACION SANITARIA EXTERIOR Y CAJAS REGISTRO</t>
  </si>
  <si>
    <t>global</t>
  </si>
  <si>
    <t>M.O. INSTALACION SANITARIA LOSA</t>
  </si>
  <si>
    <t>INSTALACIÓN MECÁNICA -  PLUVIALES</t>
  </si>
  <si>
    <t>CENICERO DE CONCRETO 4"</t>
  </si>
  <si>
    <t>M.O. CAJAS DE REGISTRO PLUVIAL</t>
  </si>
  <si>
    <t>INSTALACIÓN ELECTRICA-ACOMETIDAS / TELECOMUNICACIONES</t>
  </si>
  <si>
    <t>Calentador</t>
  </si>
  <si>
    <t>Mo Calentador</t>
  </si>
  <si>
    <t>mts</t>
  </si>
  <si>
    <t>ROLLO DE PIOLA</t>
  </si>
  <si>
    <t>TAPE ELÉCTRICO BLANCO</t>
  </si>
  <si>
    <t>GAZA PARA VARILLA COPERWELL</t>
  </si>
  <si>
    <t>CABLE THHN 6 VERDE</t>
  </si>
  <si>
    <t>GABINETE 14" PLASTICO UL</t>
  </si>
  <si>
    <t xml:space="preserve">INSTALACIÓN ELÉCTRICA </t>
  </si>
  <si>
    <t>v1</t>
  </si>
  <si>
    <t>v2</t>
  </si>
  <si>
    <t>v3</t>
  </si>
  <si>
    <t>v4</t>
  </si>
  <si>
    <t>P05</t>
  </si>
  <si>
    <t>P08</t>
  </si>
  <si>
    <t>P09</t>
  </si>
  <si>
    <t>Hoy</t>
  </si>
  <si>
    <t>Año 2021</t>
  </si>
  <si>
    <t>Muy poco disponible</t>
  </si>
  <si>
    <t>Antes</t>
  </si>
  <si>
    <t>Real</t>
  </si>
  <si>
    <t>Enchape pisos</t>
  </si>
  <si>
    <t>Enchape baños</t>
  </si>
  <si>
    <t>Enchape fachadas</t>
  </si>
  <si>
    <t>Canoa</t>
  </si>
  <si>
    <t>Botaguas</t>
  </si>
  <si>
    <t>Con desperdicio (7%)</t>
  </si>
  <si>
    <t>Total con desperdicio (7%)</t>
  </si>
  <si>
    <t>FA: FACHALETA A ELEGIR (SIDING)</t>
  </si>
  <si>
    <t>AREA TOTAL SIDING</t>
  </si>
  <si>
    <t>Tornillo MM 10-075 cabeza hex punta broca # 10x3/4 (19mm)</t>
  </si>
  <si>
    <t>Perno de expansión 2-1/2" x 1/4"</t>
  </si>
  <si>
    <t>T-Tek Tablilla js 11mm 1229x2438mm A11 D76</t>
  </si>
  <si>
    <t>Cantidad de piezas</t>
  </si>
  <si>
    <t>Puerta 0,80 m x 2,1 m</t>
  </si>
  <si>
    <t>Puerta 0,90 m x 2,1 m</t>
  </si>
  <si>
    <t>Tipo de puerta madera o melamina</t>
  </si>
  <si>
    <t>Total (unds)</t>
  </si>
  <si>
    <t xml:space="preserve">ÁREA </t>
  </si>
  <si>
    <t xml:space="preserve">Piedra cuartilla </t>
  </si>
  <si>
    <t xml:space="preserve">Costo/m2 </t>
  </si>
  <si>
    <t xml:space="preserve">Largo de tapia </t>
  </si>
  <si>
    <t xml:space="preserve">Perling 3 x 2 x 15 mm </t>
  </si>
  <si>
    <t xml:space="preserve">Area de acera </t>
  </si>
  <si>
    <t xml:space="preserve">Area de geocelda </t>
  </si>
  <si>
    <t xml:space="preserve">Espesor de la acera </t>
  </si>
  <si>
    <t># Geocelda (56 x 56)</t>
  </si>
  <si>
    <t xml:space="preserve">Piedra quintilla </t>
  </si>
  <si>
    <t xml:space="preserve">PRECINTA Y TAPICHELES </t>
  </si>
  <si>
    <t xml:space="preserve">ALEROS </t>
  </si>
  <si>
    <t xml:space="preserve">PARED PATIO </t>
  </si>
  <si>
    <t xml:space="preserve">PARED INTERNA </t>
  </si>
  <si>
    <t xml:space="preserve">MATERIAL ELÉCTRICO ACOMETICA </t>
  </si>
  <si>
    <t xml:space="preserve">GRANITO </t>
  </si>
  <si>
    <t xml:space="preserve">M </t>
  </si>
  <si>
    <t xml:space="preserve">GRANITO CON INSTALACION </t>
  </si>
  <si>
    <t>&lt;</t>
  </si>
  <si>
    <t xml:space="preserve">TOTAL MATERIAL </t>
  </si>
  <si>
    <t xml:space="preserve">TOTAL MANO DE OBRA </t>
  </si>
  <si>
    <t>TOTAL SUB/EQUIPOS</t>
  </si>
  <si>
    <t xml:space="preserve">TOTAL DIRECTO COLONES </t>
  </si>
  <si>
    <t xml:space="preserve">TOTAL DÓLARES </t>
  </si>
  <si>
    <t xml:space="preserve">1.3 </t>
  </si>
  <si>
    <t>2.3</t>
  </si>
  <si>
    <t xml:space="preserve">3.2 </t>
  </si>
  <si>
    <t xml:space="preserve">4.2 </t>
  </si>
  <si>
    <t xml:space="preserve">4.3 </t>
  </si>
  <si>
    <t xml:space="preserve">5.1 </t>
  </si>
  <si>
    <t>ESTRUCTURA TECHO COCHERA</t>
  </si>
  <si>
    <t xml:space="preserve">5.2 </t>
  </si>
  <si>
    <t xml:space="preserve">5.4 </t>
  </si>
  <si>
    <t xml:space="preserve">5.5 </t>
  </si>
  <si>
    <t xml:space="preserve">5.6 </t>
  </si>
  <si>
    <t>ESTRUCTURA METÁLICA INTERNA</t>
  </si>
  <si>
    <t>6.1</t>
  </si>
  <si>
    <t xml:space="preserve">6.2 </t>
  </si>
  <si>
    <t xml:space="preserve">9.1 </t>
  </si>
  <si>
    <t xml:space="preserve">9.2 </t>
  </si>
  <si>
    <t xml:space="preserve">10.1 </t>
  </si>
  <si>
    <t xml:space="preserve">10.2 </t>
  </si>
  <si>
    <t xml:space="preserve">10.3 </t>
  </si>
  <si>
    <t xml:space="preserve">11.1 </t>
  </si>
  <si>
    <t xml:space="preserve">11.2 </t>
  </si>
  <si>
    <t xml:space="preserve">11.3 </t>
  </si>
  <si>
    <t>13.1</t>
  </si>
  <si>
    <t>ELÉCTRICO LOSA</t>
  </si>
  <si>
    <t xml:space="preserve">13.2 </t>
  </si>
  <si>
    <t xml:space="preserve">13.3 </t>
  </si>
  <si>
    <t>BASE MEDIDOR</t>
  </si>
  <si>
    <t>13.4</t>
  </si>
  <si>
    <t xml:space="preserve">13.5 </t>
  </si>
  <si>
    <t xml:space="preserve">13.6 </t>
  </si>
  <si>
    <t xml:space="preserve">13.7 </t>
  </si>
  <si>
    <t xml:space="preserve">13.8 </t>
  </si>
  <si>
    <t xml:space="preserve">13.9 </t>
  </si>
  <si>
    <t xml:space="preserve">15.1 </t>
  </si>
  <si>
    <t xml:space="preserve">16.1 </t>
  </si>
  <si>
    <t xml:space="preserve">Global </t>
  </si>
  <si>
    <t>MAT21-0015</t>
  </si>
  <si>
    <t>TABLATECK 7</t>
  </si>
  <si>
    <t>TABLATECK 8</t>
  </si>
  <si>
    <t xml:space="preserve">OTROS </t>
  </si>
  <si>
    <t xml:space="preserve">VENTANERIA IKARIA  </t>
  </si>
  <si>
    <t xml:space="preserve">VENTANERIA (INCLUYE PUERTAS DE ALUMINIO) </t>
  </si>
  <si>
    <t xml:space="preserve">M2 </t>
  </si>
  <si>
    <t xml:space="preserve">VERFICACION </t>
  </si>
  <si>
    <t xml:space="preserve">SUBCONTRATO VENTANERIA (MATERIAL Y MANO DE OBRA) </t>
  </si>
  <si>
    <t xml:space="preserve">Área casa (NO incluye área de pilas) </t>
  </si>
  <si>
    <t xml:space="preserve">OP CALIFICADO </t>
  </si>
  <si>
    <t xml:space="preserve">Hechura cubierta techo </t>
  </si>
  <si>
    <t xml:space="preserve">Hechura concreto </t>
  </si>
  <si>
    <t xml:space="preserve">FC=210 kg/cm2 REGULAR </t>
  </si>
  <si>
    <t>Costo adelante (m3)</t>
  </si>
  <si>
    <t>Costo Orosi (m3)</t>
  </si>
  <si>
    <t>Hechura (m3)</t>
  </si>
  <si>
    <t>kg</t>
  </si>
  <si>
    <t xml:space="preserve">PRECIO UNITARIO </t>
  </si>
  <si>
    <t xml:space="preserve">PRECIO TOTAL </t>
  </si>
  <si>
    <t>% PORCENTAJE</t>
  </si>
  <si>
    <t xml:space="preserve">Bomba de concreto </t>
  </si>
  <si>
    <t>Costo Orosi costo/(m3)</t>
  </si>
  <si>
    <t>MAT17-0106</t>
  </si>
  <si>
    <t>MAT04-0020</t>
  </si>
  <si>
    <t>MAT07-0043</t>
  </si>
  <si>
    <t>MAT08-0212</t>
  </si>
  <si>
    <t>MAT18-0043</t>
  </si>
  <si>
    <t>VENTANERIA SKYROS</t>
  </si>
  <si>
    <t xml:space="preserve">SUB ACOMETIDA </t>
  </si>
  <si>
    <t xml:space="preserve">SUB TABLEROS </t>
  </si>
  <si>
    <t xml:space="preserve">SUB CABLEADO </t>
  </si>
  <si>
    <t xml:space="preserve">SUB PLAQUERIA </t>
  </si>
  <si>
    <t xml:space="preserve">SUB ENTREGA FINAL </t>
  </si>
  <si>
    <t xml:space="preserve">M.O. ACOMETIDA ELÉCTRICA </t>
  </si>
  <si>
    <t xml:space="preserve">M.O. INSTALACIÓN BASE MEDIDOR </t>
  </si>
  <si>
    <t xml:space="preserve">M.O. ARMADO TABLEROS </t>
  </si>
  <si>
    <t xml:space="preserve">M.O. CABLEADO ELÉCTRICO </t>
  </si>
  <si>
    <t xml:space="preserve">M.O. COLOCACIÓN DE PLAQUERÍA </t>
  </si>
  <si>
    <t xml:space="preserve">M.O. TRABAJOS ELÉCTRICOS PARA ENTREGA FINAL </t>
  </si>
  <si>
    <t>COLADO LOSA</t>
  </si>
  <si>
    <t>TRAZO FORMALETA N2</t>
  </si>
  <si>
    <t>DESENCOFRE MUROS N2</t>
  </si>
  <si>
    <t>ENCHAPES</t>
  </si>
  <si>
    <t>ZACATE</t>
  </si>
  <si>
    <t>PINTURA</t>
  </si>
  <si>
    <t>ELECTRICO MUROS</t>
  </si>
  <si>
    <t>ACABADOS MECANICOS</t>
  </si>
  <si>
    <t>TIPO CAMBIO</t>
  </si>
  <si>
    <t>COSTO M2</t>
  </si>
  <si>
    <t xml:space="preserve">COSTO/M2 </t>
  </si>
  <si>
    <t xml:space="preserve">TOTAL ESTRUCT METÁLICA Y CUBIERTAS </t>
  </si>
  <si>
    <t>TOTAL LIVIANO</t>
  </si>
  <si>
    <t>TOTAL REPELLOS</t>
  </si>
  <si>
    <t xml:space="preserve">TOTAL ENCHAPES </t>
  </si>
  <si>
    <t>TOTAL MUEBLES Y PUERTAS</t>
  </si>
  <si>
    <t xml:space="preserve">TOTAL  OBRAS ADICIONALES </t>
  </si>
  <si>
    <t xml:space="preserve">TOTAL ELÉCTRICO  </t>
  </si>
  <si>
    <t xml:space="preserve">TOTAL  OBRAS MECÁNICO </t>
  </si>
  <si>
    <t xml:space="preserve">TOTAL VENTANERIA </t>
  </si>
  <si>
    <t xml:space="preserve">SUBTOTAL </t>
  </si>
  <si>
    <t xml:space="preserve">ÁREA TOTAL </t>
  </si>
  <si>
    <t xml:space="preserve">Verficacion </t>
  </si>
  <si>
    <t xml:space="preserve">TOTAL ACABADOS </t>
  </si>
  <si>
    <t xml:space="preserve">VENTANERIA TEBAS </t>
  </si>
  <si>
    <t>Peso</t>
  </si>
  <si>
    <t>Largo</t>
  </si>
  <si>
    <t>Ancho</t>
  </si>
  <si>
    <t xml:space="preserve">Verificacion </t>
  </si>
  <si>
    <t xml:space="preserve">Diferencia </t>
  </si>
  <si>
    <t xml:space="preserve">CIELO GYPSUM Y DENGLASS </t>
  </si>
  <si>
    <t xml:space="preserve">ENCHAPE </t>
  </si>
  <si>
    <t>UN</t>
  </si>
  <si>
    <t xml:space="preserve">TAPIA PREFABRICADA  3 M </t>
  </si>
  <si>
    <t xml:space="preserve">SUBCONTRATO TAPIA PREFABRICADA 3 M ALTURA </t>
  </si>
  <si>
    <t xml:space="preserve">TAPIA PREFABRICADA  2,5 M </t>
  </si>
  <si>
    <t xml:space="preserve">SUBCONTRATO TAPIA PREFABRICADA 2,5 M ALTURA </t>
  </si>
  <si>
    <t>Normal</t>
  </si>
  <si>
    <t>Área húmeda</t>
  </si>
  <si>
    <t>VENTANERIA NEOTRIPOLI</t>
  </si>
  <si>
    <t>Hechura concreto</t>
  </si>
  <si>
    <t>Alquiler Bomba</t>
  </si>
  <si>
    <t>Hechura muebles</t>
  </si>
  <si>
    <t>Hechura cubierta</t>
  </si>
  <si>
    <t>M.O</t>
  </si>
  <si>
    <t>ACERO Y CONCRETO</t>
  </si>
  <si>
    <t>ACABADO AZOTEA</t>
  </si>
  <si>
    <t>LASTRE</t>
  </si>
  <si>
    <t>BACK-HOE</t>
  </si>
  <si>
    <t>CON TODO</t>
  </si>
  <si>
    <t>#3</t>
  </si>
  <si>
    <t>REFUERZO EN BUQUES</t>
  </si>
  <si>
    <t>Perimetral</t>
  </si>
  <si>
    <t>Esquinas</t>
  </si>
  <si>
    <t>Tubo PVC 1/2</t>
  </si>
  <si>
    <t xml:space="preserve">Codo 90 PVC 1/2 </t>
  </si>
  <si>
    <t>Tee PVC 1/2</t>
  </si>
  <si>
    <t>Llave de paso 1/2</t>
  </si>
  <si>
    <t>Llave de chorro 1/2</t>
  </si>
  <si>
    <t>Tubo CPVC 1/2</t>
  </si>
  <si>
    <t xml:space="preserve">Codo 90 CPVC 1/2 </t>
  </si>
  <si>
    <t>Tee CPVC 1/2</t>
  </si>
  <si>
    <t>Adaptador macho PVC 1/2</t>
  </si>
  <si>
    <t>Adaptador macho CPVC 1/2</t>
  </si>
  <si>
    <t>Tubo PVC 4"</t>
  </si>
  <si>
    <t>Codo 45 PVC 4"</t>
  </si>
  <si>
    <t>Yee PVC 4"</t>
  </si>
  <si>
    <t>Tubo PVC 2"</t>
  </si>
  <si>
    <t>Codo 45 PVC 2"</t>
  </si>
  <si>
    <t>Yee PVC 2"</t>
  </si>
  <si>
    <t>Área pilas y cochera</t>
  </si>
  <si>
    <t>CERCHAS CH-1</t>
  </si>
  <si>
    <t># Tubos 2" x 2" x 1,8mm HG</t>
  </si>
  <si>
    <t>Cantidad de tubo</t>
  </si>
  <si>
    <t># Tubos 2" x 4" x 1,8mm HG</t>
  </si>
  <si>
    <t># Tubos 3" x 3" x 1,8mm HG</t>
  </si>
  <si>
    <t>Peso total de acero</t>
  </si>
  <si>
    <t>Soldadura</t>
  </si>
  <si>
    <t>Thinner</t>
  </si>
  <si>
    <t>Mecha</t>
  </si>
  <si>
    <t>Mano de obra</t>
  </si>
  <si>
    <t>Redondeo</t>
  </si>
  <si>
    <t>Disco corte</t>
  </si>
  <si>
    <t>APOYOS</t>
  </si>
  <si>
    <t>LARGUEROS</t>
  </si>
  <si>
    <t>APT-1</t>
  </si>
  <si>
    <t>APT-2</t>
  </si>
  <si>
    <t>APT-3</t>
  </si>
  <si>
    <t>APT-4</t>
  </si>
  <si>
    <t>APT-5</t>
  </si>
  <si>
    <t>Platina HN 100x4,75mm</t>
  </si>
  <si>
    <t>Varilla #3</t>
  </si>
  <si>
    <t>Varilla #4</t>
  </si>
  <si>
    <t>Apoyo de clavadores en tapichel</t>
  </si>
  <si>
    <t>Perno #4 con tuerca y arandela</t>
  </si>
  <si>
    <t>Angular 50x50x3mm</t>
  </si>
  <si>
    <t>cartuchos</t>
  </si>
  <si>
    <t>Epoxico Hilti RE-500 (Anchor MAX 200)</t>
  </si>
  <si>
    <t># Tubos 2" x 2" x 1,8mm</t>
  </si>
  <si>
    <t># Tubos 3" x 3" x 1,8mm</t>
  </si>
  <si>
    <t># Tubos 2" x 6" x 1,8mm</t>
  </si>
  <si>
    <t>Superficie</t>
  </si>
  <si>
    <t>Superficie total</t>
  </si>
  <si>
    <t>2 Tornillos de 1" x clip</t>
  </si>
  <si>
    <t xml:space="preserve">1 clip por interseccion lamina/clavador </t>
  </si>
  <si>
    <t>Tubo HN 150x100x1,8mm</t>
  </si>
  <si>
    <t>Tubo HN 150x50x1,8mm</t>
  </si>
  <si>
    <t>Tubo HN 50x50x1,8mm</t>
  </si>
  <si>
    <t>Espesor</t>
  </si>
  <si>
    <t>Varilla #5 lisa</t>
  </si>
  <si>
    <t>Tubo HN 1-1/4x1,8mm</t>
  </si>
  <si>
    <t>Alacena</t>
  </si>
  <si>
    <t>Elemento</t>
  </si>
  <si>
    <t>Área total</t>
  </si>
  <si>
    <t>RECUENTO DE CONCRETO</t>
  </si>
  <si>
    <t>TOTAL DE CONCRETO EN OBRA</t>
  </si>
  <si>
    <t>CONCRETO ENTREPISO</t>
  </si>
  <si>
    <t>AREA ENTREPISO</t>
  </si>
  <si>
    <t>DATOS GENERALES</t>
  </si>
  <si>
    <t>DIMENSIONES</t>
  </si>
  <si>
    <t>*medida a borde externo</t>
  </si>
  <si>
    <t>Áreas externas de casa (cochera)</t>
  </si>
  <si>
    <t>Perímetro Losa flotante</t>
  </si>
  <si>
    <t>Área total de nivel 1</t>
  </si>
  <si>
    <t>Área total de azotea</t>
  </si>
  <si>
    <t>Área total de la casa</t>
  </si>
  <si>
    <t>Área de techo de casa</t>
  </si>
  <si>
    <t>Área de techo de cochera</t>
  </si>
  <si>
    <t>Área de lote</t>
  </si>
  <si>
    <t>Niveles</t>
  </si>
  <si>
    <t>Azotea</t>
  </si>
  <si>
    <t>FACTORES</t>
  </si>
  <si>
    <t>Factor de compactación</t>
  </si>
  <si>
    <t>Factor de desperdicio general</t>
  </si>
  <si>
    <t>DOSIFICACIONES /m3</t>
  </si>
  <si>
    <t>Sello Arena</t>
  </si>
  <si>
    <t>Sello Piedra cuartilla</t>
  </si>
  <si>
    <t>Sello Cemento</t>
  </si>
  <si>
    <t>Losas Arena</t>
  </si>
  <si>
    <t>Losas Piedra cuartilla</t>
  </si>
  <si>
    <t>Losas Cemento</t>
  </si>
  <si>
    <t xml:space="preserve">Losas Aditivo </t>
  </si>
  <si>
    <t>litros</t>
  </si>
  <si>
    <t>Muros Arena</t>
  </si>
  <si>
    <t>Muros Piedra quintilla</t>
  </si>
  <si>
    <t>Muros Cemento</t>
  </si>
  <si>
    <t>Muros Aditivo</t>
  </si>
  <si>
    <t>Muros Fibra</t>
  </si>
  <si>
    <t>ACEROS</t>
  </si>
  <si>
    <t>Alambre negro</t>
  </si>
  <si>
    <t>Disco corte metal</t>
  </si>
  <si>
    <t>CIELOS DE GYPSUM</t>
  </si>
  <si>
    <t>Láminas (a una cara)</t>
  </si>
  <si>
    <t>/m2</t>
  </si>
  <si>
    <t>Perfil omega</t>
  </si>
  <si>
    <t>Canal para cielo</t>
  </si>
  <si>
    <t>Angular de metal</t>
  </si>
  <si>
    <t>Cinta papel de 2"x76m</t>
  </si>
  <si>
    <t>Pasta para cielo (cubeta)</t>
  </si>
  <si>
    <t>Tornillo frijolillo</t>
  </si>
  <si>
    <t>Tornillo de forro</t>
  </si>
  <si>
    <t>MURO SECO</t>
  </si>
  <si>
    <t>Láminas (a dos caras)</t>
  </si>
  <si>
    <t>Stud</t>
  </si>
  <si>
    <t>Track</t>
  </si>
  <si>
    <t>Clavo de impacto</t>
  </si>
  <si>
    <t>Tiro verde</t>
  </si>
  <si>
    <t xml:space="preserve">Cinta malla </t>
  </si>
  <si>
    <t>Jota de plástico</t>
  </si>
  <si>
    <t>Esquinero de plástico</t>
  </si>
  <si>
    <t>Muro seco</t>
  </si>
  <si>
    <t>Maxiempaste liso 25kg</t>
  </si>
  <si>
    <t>Mortero de pega CEMEX 20kg</t>
  </si>
  <si>
    <t>Fragua 2kg</t>
  </si>
  <si>
    <t>Cruz para sisa</t>
  </si>
  <si>
    <t>Espuma para limpiar</t>
  </si>
  <si>
    <t>Chispa para cortar ceramica</t>
  </si>
  <si>
    <t>Disco diamantado 4-1/2"</t>
  </si>
  <si>
    <t>MANO DE OBRA</t>
  </si>
  <si>
    <t>Trazo</t>
  </si>
  <si>
    <t>Excavación manual</t>
  </si>
  <si>
    <t>Relleno de lastre</t>
  </si>
  <si>
    <t>/m3</t>
  </si>
  <si>
    <t>Sello de concreto</t>
  </si>
  <si>
    <t>Concreto losas</t>
  </si>
  <si>
    <t>Armadura</t>
  </si>
  <si>
    <t>/kg</t>
  </si>
  <si>
    <t>Formaleta de losas</t>
  </si>
  <si>
    <t>Tubería eléctrica en muros</t>
  </si>
  <si>
    <t>Armadura de muros</t>
  </si>
  <si>
    <t>Formaleta de muros</t>
  </si>
  <si>
    <t>Concreto de muros</t>
  </si>
  <si>
    <t>Trazo formaleta de muros</t>
  </si>
  <si>
    <t>Desencofrado de muros</t>
  </si>
  <si>
    <t>Concreto de gradas</t>
  </si>
  <si>
    <t>Formaleta de gradas</t>
  </si>
  <si>
    <t>Trazo formaleta de gradas</t>
  </si>
  <si>
    <t>Desencofrado de gradas</t>
  </si>
  <si>
    <t>Acabado lavado de losa</t>
  </si>
  <si>
    <t>Instalación cubierta de techo</t>
  </si>
  <si>
    <t>Instalación de hojalatería</t>
  </si>
  <si>
    <t>/m</t>
  </si>
  <si>
    <t>Tapicheles livianos</t>
  </si>
  <si>
    <t>Cielos de gypsum</t>
  </si>
  <si>
    <t>Paredes livianas doble forro</t>
  </si>
  <si>
    <t>Enchapes de baño</t>
  </si>
  <si>
    <t>Enchape de piso</t>
  </si>
  <si>
    <t>Enchapes externos</t>
  </si>
  <si>
    <t>Enchape de gradas</t>
  </si>
  <si>
    <t>Repello</t>
  </si>
  <si>
    <t>Empaste</t>
  </si>
  <si>
    <t>Instalación de zacate</t>
  </si>
  <si>
    <t>Pintura</t>
  </si>
  <si>
    <t>Instalación de puertas</t>
  </si>
  <si>
    <t>/u</t>
  </si>
  <si>
    <t>Instalación de rodapiés</t>
  </si>
  <si>
    <t>Instalación inodoro</t>
  </si>
  <si>
    <t>Instalación lavatorio</t>
  </si>
  <si>
    <t>Instalación fregadero</t>
  </si>
  <si>
    <t>Instalación pila</t>
  </si>
  <si>
    <t>Instalación ducha</t>
  </si>
  <si>
    <t>Acabado de azotea</t>
  </si>
  <si>
    <t>Revisión y limpieza final (poncheo)</t>
  </si>
  <si>
    <t>Horas</t>
  </si>
  <si>
    <t>Tuberia acometida electrica</t>
  </si>
  <si>
    <t>Mano de obra (excavación) (m2)</t>
  </si>
  <si>
    <t>ADITIVO</t>
  </si>
  <si>
    <t>REFUERZO DE LOSA DE FUNDACION</t>
  </si>
  <si>
    <t>Cantidad/espaciamiento</t>
  </si>
  <si>
    <t># Varilla</t>
  </si>
  <si>
    <t>#2</t>
  </si>
  <si>
    <t>Malla electrosoldada #2</t>
  </si>
  <si>
    <t>#2 de 5.3</t>
  </si>
  <si>
    <t>Arranques de muros</t>
  </si>
  <si>
    <t>Bastones de 1,5m</t>
  </si>
  <si>
    <t>Varilla #2</t>
  </si>
  <si>
    <t>Malla electrosoldada</t>
  </si>
  <si>
    <t>MALLA DE MUROS</t>
  </si>
  <si>
    <t>ACERO DE VIGA BANQUINA</t>
  </si>
  <si>
    <t xml:space="preserve">Longitud </t>
  </si>
  <si>
    <t xml:space="preserve">Largo gancho </t>
  </si>
  <si>
    <t>REFUERZO DE AZOTEA</t>
  </si>
  <si>
    <t>Área</t>
  </si>
  <si>
    <t>REFUERZO DE ENTREPISO</t>
  </si>
  <si>
    <t>Longitudinal de muros</t>
  </si>
  <si>
    <t>Aros de viga corona</t>
  </si>
  <si>
    <t>Refuerzos en buques</t>
  </si>
  <si>
    <t>#4</t>
  </si>
  <si>
    <t>Malla de azotea</t>
  </si>
  <si>
    <t>Malla de entrepiso</t>
  </si>
  <si>
    <t>#2 de 4.88</t>
  </si>
  <si>
    <t>Acero muros</t>
  </si>
  <si>
    <t xml:space="preserve">AREA LOSA CENITAL </t>
  </si>
  <si>
    <t xml:space="preserve">CONCRETO VIGA BANQUINA </t>
  </si>
  <si>
    <t>CONCRETO  SUPERESTRUCTURA N1</t>
  </si>
  <si>
    <t>FORMALETA ENTREPISO</t>
  </si>
  <si>
    <t>FORMALETA  SUPERESTRUCTURA N1</t>
  </si>
  <si>
    <t>ACERO MURETE DE AZOTEA</t>
  </si>
  <si>
    <t>ACERO DE VIGA CORONA</t>
  </si>
  <si>
    <t>CONCRETO MURETE DE AZOTEA</t>
  </si>
  <si>
    <t xml:space="preserve">CONCRETO VIGA CORONA </t>
  </si>
  <si>
    <t>CONCRETO  SUPERESTRUCTURA N2</t>
  </si>
  <si>
    <t>FORMALETA MURETE DE AZOTEA</t>
  </si>
  <si>
    <t>FORMALETA  SUPERESTRUCTURA N2</t>
  </si>
  <si>
    <t>Aplica segundo nivel:</t>
  </si>
  <si>
    <t>Aplica azotea tercer nivel:</t>
  </si>
  <si>
    <t>CONCRETO GRADAS</t>
  </si>
  <si>
    <t>Gradas rectas</t>
  </si>
  <si>
    <t>Sección</t>
  </si>
  <si>
    <t>Volumen untario</t>
  </si>
  <si>
    <t>Volumen total</t>
  </si>
  <si>
    <t>Gradas en esquina</t>
  </si>
  <si>
    <t>CONCRETO  GRADAS</t>
  </si>
  <si>
    <t>FORMALETA GRADAS</t>
  </si>
  <si>
    <t>Laterales</t>
  </si>
  <si>
    <t>ACERO DE GRADAS</t>
  </si>
  <si>
    <t>Descansos</t>
  </si>
  <si>
    <t>Ancho gradas</t>
  </si>
  <si>
    <t>Largo de gradas</t>
  </si>
  <si>
    <t>Longitudinal de gradas</t>
  </si>
  <si>
    <t>Transversal de gradas</t>
  </si>
  <si>
    <t>Malla de descansos</t>
  </si>
  <si>
    <t>ARMADURA DE GRADAS</t>
  </si>
  <si>
    <t xml:space="preserve">COLADO GRADAS </t>
  </si>
  <si>
    <t>TRAZO FORMALETA GRADAS</t>
  </si>
  <si>
    <t>DESENCOFRE GRADAS</t>
  </si>
  <si>
    <t>FUNDACIONES DE COLUMNAS</t>
  </si>
  <si>
    <t>Longitudinal de placa</t>
  </si>
  <si>
    <t>Transversal de placa</t>
  </si>
  <si>
    <t>Longitudinal de columna cochera</t>
  </si>
  <si>
    <t>Aros de columna cochera</t>
  </si>
  <si>
    <t>FORMALETA COLUMNA COCHERA</t>
  </si>
  <si>
    <t>PERIMETRO</t>
  </si>
  <si>
    <t>Concreto</t>
  </si>
  <si>
    <t>Formaleta</t>
  </si>
  <si>
    <t>ACERO COLUMNAS</t>
  </si>
  <si>
    <t xml:space="preserve">COLADO COLUMNAS </t>
  </si>
  <si>
    <t>DESENCOFRE COLUMNAS</t>
  </si>
  <si>
    <t xml:space="preserve">Área cochera (incluye área de pilas) </t>
  </si>
  <si>
    <t>ACABADO LAVADO LOSA</t>
  </si>
  <si>
    <t>ARMADURA DE LOSA</t>
  </si>
  <si>
    <t>INSTALACION CUBIERTA</t>
  </si>
  <si>
    <t>AREA UPVC</t>
  </si>
  <si>
    <t>LARGO POLICARBONATO</t>
  </si>
  <si>
    <t>ANCHO POLICARBONATO</t>
  </si>
  <si>
    <t>AREA POLICARBONATO</t>
  </si>
  <si>
    <t>AREA TOTAL</t>
  </si>
  <si>
    <t>CUBIERTA UPVC</t>
  </si>
  <si>
    <t>Lamina UPVC 1.07x11.80m</t>
  </si>
  <si>
    <t>Tornillo 3" con empaque para UPVC</t>
  </si>
  <si>
    <t>CUBIERTA POLICARBONATO</t>
  </si>
  <si>
    <t>Lamina policarbonato 105x1180x8mm</t>
  </si>
  <si>
    <t>Base aluminio para policarbonato 6.40m</t>
  </si>
  <si>
    <t>Cinta de aluminio</t>
  </si>
  <si>
    <t>Cinta de ventilación</t>
  </si>
  <si>
    <t>Perfil tipo U para final 4.3m</t>
  </si>
  <si>
    <t>Tornillo 1" para policarbonato</t>
  </si>
  <si>
    <t>Ganchos para canoa</t>
  </si>
  <si>
    <t>Tornillo Torlak 1" pumta broca</t>
  </si>
  <si>
    <t>Aplica azotea segundo nivel:</t>
  </si>
  <si>
    <t>gal</t>
  </si>
  <si>
    <t>Anticorrosivo rojo</t>
  </si>
  <si>
    <t>Anticorrosivo azul</t>
  </si>
  <si>
    <t>Pintura super dry</t>
  </si>
  <si>
    <t>SOLDADURA</t>
  </si>
  <si>
    <t>CONCRETO</t>
  </si>
  <si>
    <t>rollo</t>
  </si>
  <si>
    <t>paquete</t>
  </si>
  <si>
    <t>cubeta</t>
  </si>
  <si>
    <t>PAREDES INTERNAS</t>
  </si>
  <si>
    <t>LARGO PARED PRIMER NIVEL</t>
  </si>
  <si>
    <t>ALTO DE PARED PRIMER NIVEL</t>
  </si>
  <si>
    <t>LARGO PARED SEGUNDO NIVEL</t>
  </si>
  <si>
    <t>ALTO DE PARED SEGUNDO NIVEL</t>
  </si>
  <si>
    <t>LARGO PARED TERCER NIVEL</t>
  </si>
  <si>
    <t>ALTO DE PARED TERCER NIVEL</t>
  </si>
  <si>
    <t>AREA TOTAL INTERNA</t>
  </si>
  <si>
    <t>PAREDES EXTERNAS</t>
  </si>
  <si>
    <t>LARGO MURO AZOTEA</t>
  </si>
  <si>
    <t>ALTO DE MURO AZOTEA</t>
  </si>
  <si>
    <t>AREA TOTAL EXTERNA</t>
  </si>
  <si>
    <t>saco</t>
  </si>
  <si>
    <t>hoja</t>
  </si>
  <si>
    <t>Azulejo para baño</t>
  </si>
  <si>
    <t>bolsa</t>
  </si>
  <si>
    <t>Porcelanato</t>
  </si>
  <si>
    <t>RECUENTO DE ENCHAPES</t>
  </si>
  <si>
    <t>Formato</t>
  </si>
  <si>
    <t>Desperdicio</t>
  </si>
  <si>
    <t>ÁREA CON DESPERDICO</t>
  </si>
  <si>
    <t>Baño Principal</t>
  </si>
  <si>
    <t>Baño Secundario</t>
  </si>
  <si>
    <t>Medio baño</t>
  </si>
  <si>
    <t>Inodoro corona smart blanco</t>
  </si>
  <si>
    <t>Brida flexible 3"  pvc</t>
  </si>
  <si>
    <t>Manguera abasto p/inodoro (7/8 a 1/2)</t>
  </si>
  <si>
    <t>Lavatorio spazio de sobreponer blanco</t>
  </si>
  <si>
    <t>Lavatorio olympus ii con pedestal</t>
  </si>
  <si>
    <t>Griferia alta novo cromada p/vessel</t>
  </si>
  <si>
    <t>Griferia lavaplatos kenai mono</t>
  </si>
  <si>
    <t>Griferia brezza mono baja mu1015551</t>
  </si>
  <si>
    <t>Silicon transparente</t>
  </si>
  <si>
    <t>cartucho</t>
  </si>
  <si>
    <t>Sifon cromado a pared 1 1/4</t>
  </si>
  <si>
    <t>Extension metal para sifon 1 1/4x8</t>
  </si>
  <si>
    <t>Pila fibra de vidrio 50x63x22</t>
  </si>
  <si>
    <t>Llave de chorro premium 1/2</t>
  </si>
  <si>
    <t>Griferia ducha brezza  mono s/lavapies ez4015551  ssb</t>
  </si>
  <si>
    <t>Fregadero 1 tanque 58x45x20</t>
  </si>
  <si>
    <t>Griferia lav.croma metal 4" palanca cromo p/lav milano</t>
  </si>
  <si>
    <t>Lavatorio milano blanco con pedestal</t>
  </si>
  <si>
    <t>AREA DE AZOTEA</t>
  </si>
  <si>
    <t>PERIMETRO DE AZOTEA</t>
  </si>
  <si>
    <t>ALTURA DE MURETE</t>
  </si>
  <si>
    <t>AREA DE MURETE</t>
  </si>
  <si>
    <t>SUBCONTRATO</t>
  </si>
  <si>
    <t>ELECTRICO ILUMINACION</t>
  </si>
  <si>
    <t>caja</t>
  </si>
  <si>
    <t>Gaza para bajante 4"</t>
  </si>
  <si>
    <t>Tapa policarbonato humo en 11.80 metros</t>
  </si>
  <si>
    <t>Tubo HN 1-1/4" en 1.8mm</t>
  </si>
  <si>
    <t>ALEROS</t>
  </si>
  <si>
    <t>Tablilla pvc interiores</t>
  </si>
  <si>
    <t>Corniza para tablilla pvc blanca</t>
  </si>
  <si>
    <t>Angular channel 1x3" 0.36mm 3.05m</t>
  </si>
  <si>
    <t>Canal u 1 1/2x16x4.88 cal #20</t>
  </si>
  <si>
    <t>Furring 2 1/2x3.66m cal#25</t>
  </si>
  <si>
    <t>Tornillo gypsum 7/16 punta fina con arandela</t>
  </si>
  <si>
    <t>Clavo de impacto 1"</t>
  </si>
  <si>
    <t>Tornillo p/gyp 8x 1/2 p/broca (100 un)</t>
  </si>
  <si>
    <t>Tiro fulminante p/pistola 25mm</t>
  </si>
  <si>
    <t>Tornillo p/gyp 1 1/4 p fina</t>
  </si>
  <si>
    <t>und</t>
  </si>
  <si>
    <t xml:space="preserve">paquete </t>
  </si>
  <si>
    <t>AREAS HUMEDAS</t>
  </si>
  <si>
    <t>AREAS SECAS</t>
  </si>
  <si>
    <t>Lamina gypsum</t>
  </si>
  <si>
    <t>Lámina gypsum MR</t>
  </si>
  <si>
    <t>PARED PATIO</t>
  </si>
  <si>
    <t>Láminas densglass</t>
  </si>
  <si>
    <t>Lámina gypsum</t>
  </si>
  <si>
    <t>Instalación de tapia</t>
  </si>
  <si>
    <t>Instalación de tapia prefa</t>
  </si>
  <si>
    <t>Instalación grifería</t>
  </si>
  <si>
    <t>Instalación de griferia</t>
  </si>
  <si>
    <t>AREA TOTAL A IMPERMEABILIZAR</t>
  </si>
  <si>
    <t>Cajas mecanicas</t>
  </si>
  <si>
    <t>Bajantes</t>
  </si>
  <si>
    <t>Manguera abasto  (1/2 a 1/2)</t>
  </si>
  <si>
    <t>Llave de control escuadra 1/2 a 1/2</t>
  </si>
  <si>
    <t>Tapon liso pvc 1/2</t>
  </si>
  <si>
    <t>Reduccion pared gruesa 1 1/2" a 1 1/4"</t>
  </si>
  <si>
    <t>Tee pvc pared delgada 1 1/2"</t>
  </si>
  <si>
    <t>Teflon cinta 1/2  (10m)</t>
  </si>
  <si>
    <t>Llave  de paso pvc 1/2</t>
  </si>
  <si>
    <t>Caja para lavadora</t>
  </si>
  <si>
    <t>Flanger de inodoro 4</t>
  </si>
  <si>
    <t>Llave control escuadra 1/2 x 3/8</t>
  </si>
  <si>
    <t>Acabados mecánicos</t>
  </si>
  <si>
    <t>/baño</t>
  </si>
  <si>
    <t>REFUERZO EN COLUMNAS Y VIGAS</t>
  </si>
  <si>
    <t>ELEMENTO</t>
  </si>
  <si>
    <t>SUBELEMENTO</t>
  </si>
  <si>
    <t>Características</t>
  </si>
  <si>
    <t>EB-1</t>
  </si>
  <si>
    <t>Longitudinal</t>
  </si>
  <si>
    <t>Cantidad:</t>
  </si>
  <si>
    <t>Aros</t>
  </si>
  <si>
    <t>Espaciamiento:</t>
  </si>
  <si>
    <t>Tamaño:</t>
  </si>
  <si>
    <t>EB-2</t>
  </si>
  <si>
    <t>EB-3</t>
  </si>
  <si>
    <t>TOTAL DE BOMBA CONCRETO</t>
  </si>
  <si>
    <t>Área losa de fundación</t>
  </si>
  <si>
    <t>Área pilas mas losa de fundacion</t>
  </si>
  <si>
    <t>TUBO EMT 1-1/4</t>
  </si>
  <si>
    <t>Fabricación de Hojalateria</t>
  </si>
  <si>
    <t>FABRICACION HOJALATERIA</t>
  </si>
  <si>
    <t>MAT04-0081</t>
  </si>
  <si>
    <t>Área de Muros</t>
  </si>
  <si>
    <t>Cantidad de esquinas</t>
  </si>
  <si>
    <t>Factor MO para muros de concreto</t>
  </si>
  <si>
    <t>MATERIALES</t>
  </si>
  <si>
    <t>MANO+INCAPACIDADES</t>
  </si>
  <si>
    <t>HECHURAS</t>
  </si>
  <si>
    <t>FORMALETA-MAQUINARIA</t>
  </si>
  <si>
    <t>error</t>
  </si>
  <si>
    <t>TUBO 4X4X1.8MM HG</t>
  </si>
  <si>
    <t>TUBO 1X1X1.8MM HG</t>
  </si>
  <si>
    <t>BAJANTE</t>
  </si>
  <si>
    <t>BAJANTE DE HOJALATERIA 6M</t>
  </si>
  <si>
    <t xml:space="preserve">TRAZADO Y RELLENOS </t>
  </si>
  <si>
    <t xml:space="preserve">EXCAVACIÓN </t>
  </si>
  <si>
    <t xml:space="preserve">LOSA FLOTANTE (ACERO, CONCRETO, FORMALETA) </t>
  </si>
  <si>
    <t xml:space="preserve">MUROS N1 Y N2, ENTREPISO </t>
  </si>
  <si>
    <t xml:space="preserve">ACERO EN PAREDES MUROS N1 </t>
  </si>
  <si>
    <t>PAREDES, MUROS, ENTREPISO N1</t>
  </si>
  <si>
    <t>ACERO EN PAREDES MUROS N2</t>
  </si>
  <si>
    <t xml:space="preserve">PAREDES, MUROS, ENTREPISO N2 </t>
  </si>
  <si>
    <t xml:space="preserve">TOTAL MUROS PRIMER Y SEGUNDO NIVEL </t>
  </si>
  <si>
    <t xml:space="preserve">TOTAL LOSAS </t>
  </si>
  <si>
    <t>HOJALATERIA</t>
  </si>
  <si>
    <t xml:space="preserve">CANOAS Y BOTAGUAS </t>
  </si>
  <si>
    <t>TOTAL HOJALATERIA</t>
  </si>
  <si>
    <t>OBRAS COMPLEMENTARIAS</t>
  </si>
  <si>
    <t>TOTAL OBRAS COMPLEMENTARIAS</t>
  </si>
  <si>
    <t>LIVIANO EXTERIORES (PRECINTA Y TAPICHELES, ALEROS)</t>
  </si>
  <si>
    <t>REPELLOS Y EMPASTE</t>
  </si>
  <si>
    <t>ENCHAPES PAREDES, PISOS Y FACHADA</t>
  </si>
  <si>
    <t>PINTURA/ IMPERMEABILIZANTE</t>
  </si>
  <si>
    <t>PINTURA PAREDES Y CIELOS</t>
  </si>
  <si>
    <t>MADERAS</t>
  </si>
  <si>
    <t>CIELOS</t>
  </si>
  <si>
    <t>PANEL ACANALADO</t>
  </si>
  <si>
    <t>TOTAL MADERAS</t>
  </si>
  <si>
    <t>LOZA SANITARIA</t>
  </si>
  <si>
    <t>M10-0023</t>
  </si>
  <si>
    <t>BOLSA CAL</t>
  </si>
  <si>
    <t>EXCAVACIÓN</t>
  </si>
  <si>
    <t xml:space="preserve">LOSA FLOTANTE (ACERO, CONCRETO) </t>
  </si>
  <si>
    <t>M10-0010</t>
  </si>
  <si>
    <t>TUBERÍA MECÁNICA MUROS</t>
  </si>
  <si>
    <t>M10-0048</t>
  </si>
  <si>
    <t>M10-0015</t>
  </si>
  <si>
    <t>M01-0147</t>
  </si>
  <si>
    <t>M01-0148</t>
  </si>
  <si>
    <t>M01-0001</t>
  </si>
  <si>
    <t>M06-0271</t>
  </si>
  <si>
    <t>M08-0037</t>
  </si>
  <si>
    <t>M08-0051</t>
  </si>
  <si>
    <t>M10-0003</t>
  </si>
  <si>
    <t>PAREDES, MUROS N1 (FORMALETA, CONCRETO, DESENCOFRADO)</t>
  </si>
  <si>
    <t xml:space="preserve">ACERO EN PAREDES MUROS N2 </t>
  </si>
  <si>
    <t>PAREDES, MUROS N2 (FORMALETA, CONCRETO, DESENCOFRADO)</t>
  </si>
  <si>
    <t xml:space="preserve">BOTAGUAS Y CANOAS </t>
  </si>
  <si>
    <t>M15-0018</t>
  </si>
  <si>
    <t>M04-0003</t>
  </si>
  <si>
    <t>M04-0034</t>
  </si>
  <si>
    <t>M04-0030</t>
  </si>
  <si>
    <t>M04-0001</t>
  </si>
  <si>
    <t>PINTURA / IMPERMEABILIZANTE</t>
  </si>
  <si>
    <t>M08-0064</t>
  </si>
  <si>
    <t>M06-0003</t>
  </si>
  <si>
    <t>M11-0073</t>
  </si>
  <si>
    <t>M11-0001</t>
  </si>
  <si>
    <t>M11-0002</t>
  </si>
  <si>
    <t>M11-0004</t>
  </si>
  <si>
    <t>M11-0009</t>
  </si>
  <si>
    <t>M11-0038</t>
  </si>
  <si>
    <t>M11-0039</t>
  </si>
  <si>
    <t>M10-0012</t>
  </si>
  <si>
    <t>M14-0015</t>
  </si>
  <si>
    <t>M14-0018</t>
  </si>
  <si>
    <t>M03-0014</t>
  </si>
  <si>
    <t>M03-0015</t>
  </si>
  <si>
    <t>M03-0010</t>
  </si>
  <si>
    <t>M03-0001</t>
  </si>
  <si>
    <t>M14-0020</t>
  </si>
  <si>
    <t>M14-0022</t>
  </si>
  <si>
    <t>M14-0021</t>
  </si>
  <si>
    <t>M13-0048</t>
  </si>
  <si>
    <t>MADERAS MUEBLE</t>
  </si>
  <si>
    <t>CONCRETO Y ACERO</t>
  </si>
  <si>
    <t>M01-0099</t>
  </si>
  <si>
    <t>M01-0074</t>
  </si>
  <si>
    <t>M08-0043</t>
  </si>
  <si>
    <t>M01-0009</t>
  </si>
  <si>
    <t>M11-0066</t>
  </si>
  <si>
    <t>M01-0070</t>
  </si>
  <si>
    <t>M11-0063</t>
  </si>
  <si>
    <t>M15-0012</t>
  </si>
  <si>
    <t>M15-0001</t>
  </si>
  <si>
    <t>M15-0006</t>
  </si>
  <si>
    <t>M15-0042</t>
  </si>
  <si>
    <t>M15-0008</t>
  </si>
  <si>
    <t>M15-0009</t>
  </si>
  <si>
    <t>M15-0010</t>
  </si>
  <si>
    <t>M06-0074</t>
  </si>
  <si>
    <t>M01-0075</t>
  </si>
  <si>
    <t>M01-0010</t>
  </si>
  <si>
    <t>M13-0093</t>
  </si>
  <si>
    <t>M10-0021</t>
  </si>
  <si>
    <t>M10-0045</t>
  </si>
  <si>
    <t>M10-0006</t>
  </si>
  <si>
    <t>M08-0062</t>
  </si>
  <si>
    <t>M12-0001</t>
  </si>
  <si>
    <t>M06-0304</t>
  </si>
  <si>
    <t>M08-0042</t>
  </si>
  <si>
    <t>ENCHAPE FACHADA  (T-TEK)</t>
  </si>
  <si>
    <t>M19-0005</t>
  </si>
  <si>
    <t>M10-0070</t>
  </si>
  <si>
    <t>M05-0386</t>
  </si>
  <si>
    <t>M05-0387</t>
  </si>
  <si>
    <t>M05-0390</t>
  </si>
  <si>
    <t>M05-0405</t>
  </si>
  <si>
    <t>M05-0009</t>
  </si>
  <si>
    <t>M05-0006</t>
  </si>
  <si>
    <t>M06-0264</t>
  </si>
  <si>
    <t>M05-0361</t>
  </si>
  <si>
    <t>M05-0362</t>
  </si>
  <si>
    <t>M05-0366</t>
  </si>
  <si>
    <t>M05-0363</t>
  </si>
  <si>
    <t>M05-0364</t>
  </si>
  <si>
    <t>M05-0368</t>
  </si>
  <si>
    <t>M05-0367</t>
  </si>
  <si>
    <t>M11-0071</t>
  </si>
  <si>
    <t>M05-0306</t>
  </si>
  <si>
    <t>M05-0012</t>
  </si>
  <si>
    <t>M05-0249</t>
  </si>
  <si>
    <t>M04-0051</t>
  </si>
  <si>
    <t>M04-0055</t>
  </si>
  <si>
    <t>M05-0007</t>
  </si>
  <si>
    <t>M06-0278</t>
  </si>
  <si>
    <t>M04-0053</t>
  </si>
  <si>
    <t>M05-0401</t>
  </si>
  <si>
    <t>M05-0393</t>
  </si>
  <si>
    <t>M05-0232</t>
  </si>
  <si>
    <t>M05-0230</t>
  </si>
  <si>
    <t>M10-0072</t>
  </si>
  <si>
    <t>M13-0003</t>
  </si>
  <si>
    <t>M13-0001</t>
  </si>
  <si>
    <t>M13-0149</t>
  </si>
  <si>
    <t>M13-0173</t>
  </si>
  <si>
    <t>M13-0058</t>
  </si>
  <si>
    <t>M13-0192</t>
  </si>
  <si>
    <t>M13-0186</t>
  </si>
  <si>
    <t>M13-0185</t>
  </si>
  <si>
    <t>M13-0206</t>
  </si>
  <si>
    <t>M13-0134</t>
  </si>
  <si>
    <t>M13-0129</t>
  </si>
  <si>
    <t>M13-0200</t>
  </si>
  <si>
    <t>M13-0160</t>
  </si>
  <si>
    <t>M13-0212</t>
  </si>
  <si>
    <t>M13-0187</t>
  </si>
  <si>
    <t>M13-0102</t>
  </si>
  <si>
    <t>M13-0172</t>
  </si>
  <si>
    <t>M13-0183</t>
  </si>
  <si>
    <t>M13-0170</t>
  </si>
  <si>
    <t>M13-0179</t>
  </si>
  <si>
    <t>M13-0119</t>
  </si>
  <si>
    <t>M13-0163</t>
  </si>
  <si>
    <t>M13-0130</t>
  </si>
  <si>
    <t>M01-0098</t>
  </si>
  <si>
    <t>OBRA GRIS</t>
  </si>
  <si>
    <t>1.1.1</t>
  </si>
  <si>
    <t>1.1.2</t>
  </si>
  <si>
    <t>1.1.3</t>
  </si>
  <si>
    <t>1.1.4</t>
  </si>
  <si>
    <t>1.2.1</t>
  </si>
  <si>
    <t>1.2.2</t>
  </si>
  <si>
    <t>1.2.3</t>
  </si>
  <si>
    <t>1.2.4</t>
  </si>
  <si>
    <t>1.2.5</t>
  </si>
  <si>
    <t>1.3.1</t>
  </si>
  <si>
    <t>1.3.2</t>
  </si>
  <si>
    <t>1.3.3</t>
  </si>
  <si>
    <t>1.3.4</t>
  </si>
  <si>
    <t>1.3.5</t>
  </si>
  <si>
    <t>1.3.6</t>
  </si>
  <si>
    <t>1.3.7</t>
  </si>
  <si>
    <t>1.4.1</t>
  </si>
  <si>
    <t>1.4.2</t>
  </si>
  <si>
    <t>1.5.1</t>
  </si>
  <si>
    <t>1.5.2</t>
  </si>
  <si>
    <t>1.5.3</t>
  </si>
  <si>
    <t>1.5.4</t>
  </si>
  <si>
    <t>1.5.5</t>
  </si>
  <si>
    <t>2.1.1</t>
  </si>
  <si>
    <t>2.1.2</t>
  </si>
  <si>
    <t>2.2.1</t>
  </si>
  <si>
    <t>2.3.1</t>
  </si>
  <si>
    <t>2.4.1</t>
  </si>
  <si>
    <t>2.4.2</t>
  </si>
  <si>
    <t>2.5.1</t>
  </si>
  <si>
    <t>2.6.1</t>
  </si>
  <si>
    <t>2.7.1</t>
  </si>
  <si>
    <t>2.8.1</t>
  </si>
  <si>
    <t>ELECTROMECANICO</t>
  </si>
  <si>
    <t>3.1.1</t>
  </si>
  <si>
    <t>3.1.2</t>
  </si>
  <si>
    <t>3.1.3</t>
  </si>
  <si>
    <t>3.1.4</t>
  </si>
  <si>
    <t>3.1.5</t>
  </si>
  <si>
    <t>3.1.6</t>
  </si>
  <si>
    <t>3.1.7</t>
  </si>
  <si>
    <t>3.1.8</t>
  </si>
  <si>
    <t>3.1.9</t>
  </si>
  <si>
    <t>3.2.1</t>
  </si>
  <si>
    <t>3.2.2</t>
  </si>
  <si>
    <t>3.2.3</t>
  </si>
  <si>
    <t>3.2.4</t>
  </si>
  <si>
    <t xml:space="preserve">1.2.1 </t>
  </si>
  <si>
    <t>M10-0009</t>
  </si>
  <si>
    <t>ADITIVO ERGO 4000 PG50</t>
  </si>
  <si>
    <t>M08-0044</t>
  </si>
  <si>
    <t>ANTICORROSIVO MINIO GALON</t>
  </si>
  <si>
    <t>M15-0054</t>
  </si>
  <si>
    <t>M04-0038</t>
  </si>
  <si>
    <t>M06-0117</t>
  </si>
  <si>
    <t>TORNILLO GYPSUM  7/16 PUNTA BROCA CON ARANDELA</t>
  </si>
  <si>
    <t>FRAGUA INTACO CON ARENA</t>
  </si>
  <si>
    <t>PINTURA SEAL COAT CUBETA</t>
  </si>
  <si>
    <t>M03-0005</t>
  </si>
  <si>
    <t>PATA NIVELADORA PLASTICA 12 CM</t>
  </si>
  <si>
    <t>M03-0024</t>
  </si>
  <si>
    <t>M09-0039</t>
  </si>
  <si>
    <t>M03-0016</t>
  </si>
  <si>
    <t>TAPA TORNILLO (100)</t>
  </si>
  <si>
    <t>M14-0012</t>
  </si>
  <si>
    <t>M14-0013</t>
  </si>
  <si>
    <t xml:space="preserve">CERRADURA INTERNA MANIJA YALE </t>
  </si>
  <si>
    <t>CERRADURA PRINCIPAL YALE</t>
  </si>
  <si>
    <t>M09-0100</t>
  </si>
  <si>
    <t>TORNILLO P/MADERA 2 1/2X0.8MM AMARILLO ROSCA ORDINARIA</t>
  </si>
  <si>
    <t>M02-0039</t>
  </si>
  <si>
    <t>LAVAMANOS SOBREPONER SPAZIO (AMERICAN STANDARD)</t>
  </si>
  <si>
    <t>LAVAMANOS PEDESTAL OLYMPUS (AMERICAN STANDARD)</t>
  </si>
  <si>
    <t>GRIFERIA FREGADERO SIERPE (AMERICAN STANDARD)</t>
  </si>
  <si>
    <t>SIFON PARED 1-1/4" METALICO COFLEX</t>
  </si>
  <si>
    <t>M13-0062</t>
  </si>
  <si>
    <t>M02-0063</t>
  </si>
  <si>
    <t>LAVAMANOS PEDESTAL MILANO (AMERICAN STANDARD)</t>
  </si>
  <si>
    <t>M13-0190</t>
  </si>
  <si>
    <t>TUBO 3" PVC</t>
  </si>
  <si>
    <t>M05-0396</t>
  </si>
  <si>
    <t>GAS  BUTANO PARA SOPLETE </t>
  </si>
  <si>
    <t>CAJA RECTANGULAR EMT CON HUECO DE 1/2 Y 3/4 UL</t>
  </si>
  <si>
    <t>LAMPARA LED REDONDO CALIDA 12W DE PARCHE</t>
  </si>
  <si>
    <t>CONECTOR HEMBRA RJ45 CAT5 BLANCO</t>
  </si>
  <si>
    <t>SUPRESOR DE PICOS</t>
  </si>
  <si>
    <t>1.6.1</t>
  </si>
  <si>
    <t>1.6.2</t>
  </si>
  <si>
    <t>2.3.2</t>
  </si>
  <si>
    <t>2.3.3</t>
  </si>
  <si>
    <t>2.6.2</t>
  </si>
  <si>
    <t>M06-0001</t>
  </si>
  <si>
    <t>M06-0023</t>
  </si>
  <si>
    <t>M11-0010</t>
  </si>
  <si>
    <t>M06-0040</t>
  </si>
  <si>
    <t>CLAVO NEGRO 1" (100)</t>
  </si>
  <si>
    <t>M16-0001</t>
  </si>
  <si>
    <t>SUB CALENTADOR</t>
  </si>
  <si>
    <t>M.O. CALENTADOR</t>
  </si>
  <si>
    <t>Modelo</t>
  </si>
  <si>
    <t>Losa Flotante (Formaleta trazo)</t>
  </si>
  <si>
    <t>Sello Losa</t>
  </si>
  <si>
    <t>Acero Losa</t>
  </si>
  <si>
    <t>Colado de Losa</t>
  </si>
  <si>
    <t>Acero Muros y Entrepiso</t>
  </si>
  <si>
    <t>Muros y Entrepiso (Formaleta, Concreto)</t>
  </si>
  <si>
    <t>RESANE N1</t>
  </si>
  <si>
    <t>RESANE DE MUROS N1</t>
  </si>
  <si>
    <t>Estructura Techo Casa</t>
  </si>
  <si>
    <t>Estructura Techo Cochera y Terraza</t>
  </si>
  <si>
    <t>Cubierta Techo Casa</t>
  </si>
  <si>
    <t>Cubierta Techo Cochera y Terraza</t>
  </si>
  <si>
    <t>INSTALACION HOJALATERIA_BOTAGUA</t>
  </si>
  <si>
    <t>INSTALACION HOJALATERIA_CANOA</t>
  </si>
  <si>
    <t>Columnas</t>
  </si>
  <si>
    <t>Losas Cochera y Terrazas</t>
  </si>
  <si>
    <t>Tapias Prefabricadas</t>
  </si>
  <si>
    <t>Aceras</t>
  </si>
  <si>
    <t>Geocelda</t>
  </si>
  <si>
    <t>Liviano Interiores</t>
  </si>
  <si>
    <t>Muro Seco</t>
  </si>
  <si>
    <t>Empaste Cementicio</t>
  </si>
  <si>
    <t>Enchapes Casa</t>
  </si>
  <si>
    <t>Tablatek</t>
  </si>
  <si>
    <t>Pintura Interna</t>
  </si>
  <si>
    <t xml:space="preserve">Pintura externa </t>
  </si>
  <si>
    <t>Resane y grietas</t>
  </si>
  <si>
    <t>Pintura Sellador</t>
  </si>
  <si>
    <t>Pintura SELLADOR</t>
  </si>
  <si>
    <t>Pintura INTERNA</t>
  </si>
  <si>
    <t>Pintura EXTERNA</t>
  </si>
  <si>
    <t>RESANE Y GRIETAS</t>
  </si>
  <si>
    <t>Limpieza General</t>
  </si>
  <si>
    <t>Fabricación Muebles</t>
  </si>
  <si>
    <t>Instalación Muebles y Puertas</t>
  </si>
  <si>
    <t>Losa Sanitaria</t>
  </si>
  <si>
    <t>Cajas y Tuberías Mecánicas</t>
  </si>
  <si>
    <t>Fontanería Losa</t>
  </si>
  <si>
    <t>Fontanería Muros</t>
  </si>
  <si>
    <t>Hora de Mano de Obra</t>
  </si>
  <si>
    <t>✓✓</t>
  </si>
  <si>
    <t>M06-0163</t>
  </si>
  <si>
    <t>M06-0179</t>
  </si>
  <si>
    <t>M06-0180</t>
  </si>
  <si>
    <t>M06-0231</t>
  </si>
  <si>
    <t>M06-0123</t>
  </si>
  <si>
    <t>M10-0047</t>
  </si>
  <si>
    <t>M01-0067</t>
  </si>
  <si>
    <t>M09-0042</t>
  </si>
  <si>
    <t>M01-0145</t>
  </si>
  <si>
    <t>M01-0146</t>
  </si>
  <si>
    <t>M06-0261</t>
  </si>
  <si>
    <t>M10-0030</t>
  </si>
  <si>
    <t>M06-0193</t>
  </si>
  <si>
    <t xml:space="preserve">1.2.3 </t>
  </si>
  <si>
    <t>M01-0097</t>
  </si>
  <si>
    <t>M01-0096</t>
  </si>
  <si>
    <t>M01-0055</t>
  </si>
  <si>
    <t>M01-0071</t>
  </si>
  <si>
    <t>M01-0069</t>
  </si>
  <si>
    <t>M01-0073</t>
  </si>
  <si>
    <t>M11-0077</t>
  </si>
  <si>
    <t>M06-0008</t>
  </si>
  <si>
    <t>M11-0019</t>
  </si>
  <si>
    <t>M15-0019</t>
  </si>
  <si>
    <t>M06-0112</t>
  </si>
  <si>
    <t>M06-0099</t>
  </si>
  <si>
    <t>M06-0070</t>
  </si>
  <si>
    <t>M01-0153</t>
  </si>
  <si>
    <t>M13-0088</t>
  </si>
  <si>
    <t>M06-0105</t>
  </si>
  <si>
    <t>M13-0118</t>
  </si>
  <si>
    <t>M06-0242</t>
  </si>
  <si>
    <t>M11-0111</t>
  </si>
  <si>
    <t>M01-0142</t>
  </si>
  <si>
    <t>M06-0206</t>
  </si>
  <si>
    <t>M04-0016</t>
  </si>
  <si>
    <t>M06-0116</t>
  </si>
  <si>
    <t>M04-0015</t>
  </si>
  <si>
    <t>M04-0047</t>
  </si>
  <si>
    <t>M04-0043</t>
  </si>
  <si>
    <t>M04-0045</t>
  </si>
  <si>
    <t>M04-0033</t>
  </si>
  <si>
    <t>M04-0035</t>
  </si>
  <si>
    <t>M06-0043</t>
  </si>
  <si>
    <t>M04-0018</t>
  </si>
  <si>
    <t>M04-0017</t>
  </si>
  <si>
    <t>M04-0014</t>
  </si>
  <si>
    <t>M10-0044</t>
  </si>
  <si>
    <t>M06-0227</t>
  </si>
  <si>
    <t>M12-0009</t>
  </si>
  <si>
    <t>M12-0011</t>
  </si>
  <si>
    <t>M10-0034</t>
  </si>
  <si>
    <t>M10-0032</t>
  </si>
  <si>
    <t>M06-0297</t>
  </si>
  <si>
    <t>M06-0172</t>
  </si>
  <si>
    <t>M04-0010</t>
  </si>
  <si>
    <t>M11-0076</t>
  </si>
  <si>
    <t>M11-0115</t>
  </si>
  <si>
    <t>M11-0121</t>
  </si>
  <si>
    <t>M06-0025</t>
  </si>
  <si>
    <t>M06-0226</t>
  </si>
  <si>
    <t>M06-0228</t>
  </si>
  <si>
    <t>M03-0030</t>
  </si>
  <si>
    <t>M03-0019</t>
  </si>
  <si>
    <t>M03-0036</t>
  </si>
  <si>
    <t>M03-0031</t>
  </si>
  <si>
    <t>M03-0022</t>
  </si>
  <si>
    <t>M03-0033</t>
  </si>
  <si>
    <t>M03-0017</t>
  </si>
  <si>
    <t>M06-0075</t>
  </si>
  <si>
    <t>M06-0190</t>
  </si>
  <si>
    <t>M06-0019</t>
  </si>
  <si>
    <t>M06-0244</t>
  </si>
  <si>
    <t>M09-0077</t>
  </si>
  <si>
    <t>M06-0036</t>
  </si>
  <si>
    <t>M02-0028</t>
  </si>
  <si>
    <t>M13-0072</t>
  </si>
  <si>
    <t>M02-0026</t>
  </si>
  <si>
    <t>M02-0042</t>
  </si>
  <si>
    <t>M02-0044</t>
  </si>
  <si>
    <t>M02-0038</t>
  </si>
  <si>
    <t>M03-0025</t>
  </si>
  <si>
    <t>M02-0032</t>
  </si>
  <si>
    <t>M06-0026</t>
  </si>
  <si>
    <t>M13-0046</t>
  </si>
  <si>
    <t>M13-0045</t>
  </si>
  <si>
    <t>M13-0059</t>
  </si>
  <si>
    <t>M13-0245</t>
  </si>
  <si>
    <t>M02-0036</t>
  </si>
  <si>
    <t>M03-0023</t>
  </si>
  <si>
    <t>M02-0035</t>
  </si>
  <si>
    <t>M02-0043</t>
  </si>
  <si>
    <t>M13-0177</t>
  </si>
  <si>
    <t>M10-0068</t>
  </si>
  <si>
    <t>M05-0014</t>
  </si>
  <si>
    <t>M05-0392</t>
  </si>
  <si>
    <t>M05-0411</t>
  </si>
  <si>
    <t>M05-0402</t>
  </si>
  <si>
    <t>M05-0412</t>
  </si>
  <si>
    <t>M05-0017</t>
  </si>
  <si>
    <t>M05-0018</t>
  </si>
  <si>
    <t>M05-0021</t>
  </si>
  <si>
    <t>M06-0257</t>
  </si>
  <si>
    <t>M05-0369</t>
  </si>
  <si>
    <t>M05-0372</t>
  </si>
  <si>
    <t>M05-0373</t>
  </si>
  <si>
    <t>M06-0210</t>
  </si>
  <si>
    <t>M06-0013</t>
  </si>
  <si>
    <t>M06-0175</t>
  </si>
  <si>
    <t>M05-0370</t>
  </si>
  <si>
    <t>M05-0371</t>
  </si>
  <si>
    <t>M05-0375</t>
  </si>
  <si>
    <t>M05-0477</t>
  </si>
  <si>
    <t>M05-0374</t>
  </si>
  <si>
    <t>M06-0197</t>
  </si>
  <si>
    <t>M05-0223</t>
  </si>
  <si>
    <t>M05-0476</t>
  </si>
  <si>
    <t>M05-0388</t>
  </si>
  <si>
    <t>M05-0389</t>
  </si>
  <si>
    <t>M05-0305</t>
  </si>
  <si>
    <t>M05-0262</t>
  </si>
  <si>
    <t>M05-0261</t>
  </si>
  <si>
    <t>M05-0234</t>
  </si>
  <si>
    <t>M05-0236</t>
  </si>
  <si>
    <t>M05-0436</t>
  </si>
  <si>
    <t>M05-0437</t>
  </si>
  <si>
    <t>M05-0308</t>
  </si>
  <si>
    <t>M05-0310</t>
  </si>
  <si>
    <t>M05-0311</t>
  </si>
  <si>
    <t>M05-0315</t>
  </si>
  <si>
    <t>M05-0013</t>
  </si>
  <si>
    <t>M05-0024</t>
  </si>
  <si>
    <t xml:space="preserve">M05-0079 </t>
  </si>
  <si>
    <t>M05-0259</t>
  </si>
  <si>
    <t>M05-0258</t>
  </si>
  <si>
    <t>M05-0264</t>
  </si>
  <si>
    <t>M05-0269</t>
  </si>
  <si>
    <t>M05-0263</t>
  </si>
  <si>
    <t>M05-0015</t>
  </si>
  <si>
    <t>M05-0008</t>
  </si>
  <si>
    <t>M05-0011</t>
  </si>
  <si>
    <t>M05-0019</t>
  </si>
  <si>
    <t>M05-0231</t>
  </si>
  <si>
    <t>M05-0410</t>
  </si>
  <si>
    <t>M05-0407</t>
  </si>
  <si>
    <t>M05-0399</t>
  </si>
  <si>
    <t>M13-0044</t>
  </si>
  <si>
    <t>M05-0467</t>
  </si>
  <si>
    <t>M05-0239</t>
  </si>
  <si>
    <t>M05-0242</t>
  </si>
  <si>
    <t>M05-0010</t>
  </si>
  <si>
    <t>M05-0238</t>
  </si>
  <si>
    <t>M05-0240</t>
  </si>
  <si>
    <t>M05-0016</t>
  </si>
  <si>
    <t>M05-0251</t>
  </si>
  <si>
    <t>M13-0060</t>
  </si>
  <si>
    <t>M06-0211</t>
  </si>
  <si>
    <t>M13-0004</t>
  </si>
  <si>
    <t>M13-0053</t>
  </si>
  <si>
    <t>M13-0101</t>
  </si>
  <si>
    <t>M13-0138</t>
  </si>
  <si>
    <t>M13-0007</t>
  </si>
  <si>
    <t>M13-0255</t>
  </si>
  <si>
    <t>M13-0041</t>
  </si>
  <si>
    <t>M13-0055</t>
  </si>
  <si>
    <t>M13-0135</t>
  </si>
  <si>
    <t>M13-0193</t>
  </si>
  <si>
    <t>M13-0123</t>
  </si>
  <si>
    <t>M13-0191</t>
  </si>
  <si>
    <t>M13-0201</t>
  </si>
  <si>
    <t>M13-0199</t>
  </si>
  <si>
    <t>M13-0132</t>
  </si>
  <si>
    <t>M13-0117</t>
  </si>
  <si>
    <t>M13-0091</t>
  </si>
  <si>
    <t>M13-0120</t>
  </si>
  <si>
    <t>M13-0159</t>
  </si>
  <si>
    <t>M13-0147</t>
  </si>
  <si>
    <t>M13-0157</t>
  </si>
  <si>
    <t>M13-0094</t>
  </si>
  <si>
    <t>M13-0166</t>
  </si>
  <si>
    <t>M13-0090</t>
  </si>
  <si>
    <t>M13-0122</t>
  </si>
  <si>
    <t>M13-0100</t>
  </si>
  <si>
    <t>VARIANTE</t>
  </si>
  <si>
    <t>ACTUALIZACION DE COSTOS MAY-2025</t>
  </si>
  <si>
    <t>TIPO DE CAMBIO</t>
  </si>
  <si>
    <t>No se encuentra en la lista de productos</t>
  </si>
  <si>
    <t>M07-0067</t>
  </si>
  <si>
    <t>M17-0057</t>
  </si>
  <si>
    <t>M17-0058</t>
  </si>
  <si>
    <t>M20-0006</t>
  </si>
  <si>
    <t>M20-0019</t>
  </si>
  <si>
    <t>EQU20-0005 GAS JUMBO PARA SOPLETE TRUPPER</t>
  </si>
  <si>
    <t>M20-0051</t>
  </si>
  <si>
    <t>M20-0126</t>
  </si>
  <si>
    <t>M20-0214</t>
  </si>
  <si>
    <t xml:space="preserve">LLANTA PARA CARRETILLO </t>
  </si>
  <si>
    <t>M20-0036</t>
  </si>
  <si>
    <t>M07-0099</t>
  </si>
  <si>
    <t>M07-0126</t>
  </si>
  <si>
    <t>ESCALERA DE ALUMINIO 8 PELDAÑOS TIPO A</t>
  </si>
  <si>
    <t>M07-0146</t>
  </si>
  <si>
    <t>M07-0147</t>
  </si>
  <si>
    <t>M07-0150</t>
  </si>
  <si>
    <t>M07-0151</t>
  </si>
  <si>
    <t>MAT0044 ADAPTADOR MACHO CPVC 1/2"</t>
  </si>
  <si>
    <t>MAT0049 ADAPTADOR MACHO PVC 1/2"</t>
  </si>
  <si>
    <t>GRIFERIA MONOCONTROL PALMA MEDIA (AMERICAN STANDARD)</t>
  </si>
  <si>
    <t>INODORO ONE PIECE SMART ALONGADO (AMERICAN STANDARD)</t>
  </si>
  <si>
    <t>TAPON LISO CPVC 1/2"</t>
  </si>
  <si>
    <t>M02-0002</t>
  </si>
  <si>
    <t>GRIFERIA  ADARA CON LAVAPIES</t>
  </si>
  <si>
    <t>MAT01-0025 PILA FIBRA DE VIDRIO 50X63X22</t>
  </si>
  <si>
    <t>M02-0008</t>
  </si>
  <si>
    <t>FREGADERO 2 TANQUES 84X48X20</t>
  </si>
  <si>
    <t>M03-0021</t>
  </si>
  <si>
    <t>DESAGUE-REJILLA P/FREGADERO PLATZ 8523</t>
  </si>
  <si>
    <t>MAT01-0053  CACHERA FREGADERO MONOCOMANDO KORAL</t>
  </si>
  <si>
    <t>M10-0011</t>
  </si>
  <si>
    <t>M01-0006</t>
  </si>
  <si>
    <t>M01-0038</t>
  </si>
  <si>
    <t>MALLA ELECTROSOLDADA #2 (5.3 MM)</t>
  </si>
  <si>
    <t>M01-0007</t>
  </si>
  <si>
    <t>PLATINA HN 3X1/4</t>
  </si>
  <si>
    <t>M01-0008</t>
  </si>
  <si>
    <t>PLATINA HN 4X1/4</t>
  </si>
  <si>
    <t>M01-0066</t>
  </si>
  <si>
    <t>VARILLA DEFORME #2</t>
  </si>
  <si>
    <t>VARILLA DEFORME #4</t>
  </si>
  <si>
    <t>M01-0149</t>
  </si>
  <si>
    <t>VARILLA DEFORME #5</t>
  </si>
  <si>
    <t>TUBO 1-1/2X1-1/2X1.8MM H.N.</t>
  </si>
  <si>
    <t>M13-0079</t>
  </si>
  <si>
    <t>TUBO RED 1-1/2"X1.50 HN</t>
  </si>
  <si>
    <t>PERLING 3X2X15MM EN 1.5MM H.G</t>
  </si>
  <si>
    <t>M01-0042</t>
  </si>
  <si>
    <t>LAMINA 1.22X2.44  HN 1/8</t>
  </si>
  <si>
    <t>MAT02-0043 PLATINA EN 4"X 1/4X6M</t>
  </si>
  <si>
    <t>M01-0011</t>
  </si>
  <si>
    <t>PLATINA ALUMINIO 2X3/8</t>
  </si>
  <si>
    <t>M01-0079</t>
  </si>
  <si>
    <t>MAT02-0063 TUBO 2X3X6MM HN</t>
  </si>
  <si>
    <t>M01-0018</t>
  </si>
  <si>
    <t>MAT02-0140 PLATINA H.N. DE 4 PULGADAS EN 6M</t>
  </si>
  <si>
    <t>M01-0048</t>
  </si>
  <si>
    <t>M01-0049</t>
  </si>
  <si>
    <t>M01-0037</t>
  </si>
  <si>
    <t>LAMINA DE JORDOMEX #1 ACS 4X8X3MM</t>
  </si>
  <si>
    <t>M01-0104</t>
  </si>
  <si>
    <t>M01-0105</t>
  </si>
  <si>
    <t>M01-0029</t>
  </si>
  <si>
    <t>M01-0111</t>
  </si>
  <si>
    <t>M01-0121</t>
  </si>
  <si>
    <t xml:space="preserve">SACO ARENA SILICA </t>
  </si>
  <si>
    <t>ARENA LAVADA</t>
  </si>
  <si>
    <t>PIEDRA QUINTILLA BLANCA</t>
  </si>
  <si>
    <t>PIEDRA P/LAVADO GRUESA GRIS CON VERDE</t>
  </si>
  <si>
    <t>M10-0054</t>
  </si>
  <si>
    <t>M10-0063</t>
  </si>
  <si>
    <t>M10-0065</t>
  </si>
  <si>
    <t>M10-0001</t>
  </si>
  <si>
    <t>FRAGUA INTACO GRAFITO #12 CON ARENA</t>
  </si>
  <si>
    <t>S23-0010</t>
  </si>
  <si>
    <t>SUBCONTRATO TAPIA PREFABRICADA (2.5M)</t>
  </si>
  <si>
    <t>M10-0071</t>
  </si>
  <si>
    <t>M10-0039</t>
  </si>
  <si>
    <t>M10-0040</t>
  </si>
  <si>
    <t>MAT04-0047 MAXIEMPASTE LISO 25KG</t>
  </si>
  <si>
    <t>El producto ya no se utiliza</t>
  </si>
  <si>
    <t>MAXIEMPASTE EXTRA LISO 20KG</t>
  </si>
  <si>
    <t>COLUMNA L PREFABRICADA 3.80M</t>
  </si>
  <si>
    <t>M10-0073</t>
  </si>
  <si>
    <t>M10-0074</t>
  </si>
  <si>
    <t>M10-0075</t>
  </si>
  <si>
    <t xml:space="preserve">MAT04-0061 FIBRA DE VIDRIO </t>
  </si>
  <si>
    <t>Linea repetida</t>
  </si>
  <si>
    <t>M10-0049</t>
  </si>
  <si>
    <t>M10-0077</t>
  </si>
  <si>
    <t>M10-0050</t>
  </si>
  <si>
    <t>MAT04-0081 MURO SECO PUMA</t>
  </si>
  <si>
    <t>CLAVO ACERO 2 X 3.8MM CAJA (250)</t>
  </si>
  <si>
    <t>CLAVO DE IMPACTO 1" (100)</t>
  </si>
  <si>
    <t>M11-0040</t>
  </si>
  <si>
    <t>M10-0055</t>
  </si>
  <si>
    <t>M11-0045</t>
  </si>
  <si>
    <t>BOBINA ACERO SUAVE BLANCO 4011 0.44 X 1220 MM</t>
  </si>
  <si>
    <t>M15-0044</t>
  </si>
  <si>
    <t>M15-0007</t>
  </si>
  <si>
    <t>GANCHO DE SOPORTE NEGRO 25CM (PARA POLYCARBONATO)</t>
  </si>
  <si>
    <t>M06-0073</t>
  </si>
  <si>
    <t>M10-0057</t>
  </si>
  <si>
    <t>M11-0047</t>
  </si>
  <si>
    <t>M10-0028</t>
  </si>
  <si>
    <t>ARENA SILICA FINA S2</t>
  </si>
  <si>
    <t>M13-0037</t>
  </si>
  <si>
    <t>M13-0092</t>
  </si>
  <si>
    <t>CODO 45 SANITARIO 2"</t>
  </si>
  <si>
    <t>CODO 45 PARED DELGADA 3"</t>
  </si>
  <si>
    <t>MAT0565 CODO 90 PVC PARED DELGADA 4"</t>
  </si>
  <si>
    <t>M13-0097</t>
  </si>
  <si>
    <t>M05-0233</t>
  </si>
  <si>
    <t>APAGADOR DOBLE TRIWAY </t>
  </si>
  <si>
    <t>M05-0235</t>
  </si>
  <si>
    <t>M05-0307</t>
  </si>
  <si>
    <t>M05-0309</t>
  </si>
  <si>
    <t>M05-0385</t>
  </si>
  <si>
    <t>CAJA CUADRADA EMT 4X4 DOBLE FONDO CON HUECO DE 3/4-1/2</t>
  </si>
  <si>
    <t>CAJA OCTAGONAL 1/2-3/4 EMT PESADA (8 SALIDAS )</t>
  </si>
  <si>
    <t>MAT06-0050 CAJA RECTANGULAR EMT 1/2 UL</t>
  </si>
  <si>
    <t>M05-0391</t>
  </si>
  <si>
    <t>GAZA EMT 1 OREJA DE 1/2</t>
  </si>
  <si>
    <t>M05-0458</t>
  </si>
  <si>
    <t>TAPE NEGRO SUPER 33+3M 19MM</t>
  </si>
  <si>
    <t>M05-0316</t>
  </si>
  <si>
    <t xml:space="preserve">MAT06-0096 TOMA DOBLE POLARIZADO 15A 120 TR DECO </t>
  </si>
  <si>
    <t>M05-0408</t>
  </si>
  <si>
    <t>CAJA SENCILLA  EMT CUADRADA 1/2 Y 3/4</t>
  </si>
  <si>
    <t>M05-0475</t>
  </si>
  <si>
    <t>M05-0023</t>
  </si>
  <si>
    <t>M05-0266</t>
  </si>
  <si>
    <t>M07-0060</t>
  </si>
  <si>
    <t>M05-0026</t>
  </si>
  <si>
    <t>M05-0027</t>
  </si>
  <si>
    <t>MAT06-0135 BOMBILLO LED P/PLAFON</t>
  </si>
  <si>
    <t>MAT06-0136 CABLE UTP CAT 6 AZUL</t>
  </si>
  <si>
    <t>M05-0244</t>
  </si>
  <si>
    <t>M05-0273</t>
  </si>
  <si>
    <t>M05-0276</t>
  </si>
  <si>
    <t>M05-0035</t>
  </si>
  <si>
    <t>M05-0036</t>
  </si>
  <si>
    <t>M05-0043</t>
  </si>
  <si>
    <t>M05-0280</t>
  </si>
  <si>
    <t>M05-0283</t>
  </si>
  <si>
    <t>M05-0437 LAMPARA LED REDONDO CALIDA 12W DE PARCHE</t>
  </si>
  <si>
    <t>Se repetía en la linea 250</t>
  </si>
  <si>
    <t>M05-0248</t>
  </si>
  <si>
    <t>M05-0055</t>
  </si>
  <si>
    <t>M05-0447</t>
  </si>
  <si>
    <t xml:space="preserve">MAT06-0281 BOMBILLO 46 WATTS LED ALTA POTENCIA CON SOQUE DE 27 </t>
  </si>
  <si>
    <t>M05-0448</t>
  </si>
  <si>
    <t>M05-0063</t>
  </si>
  <si>
    <t>M05-0332</t>
  </si>
  <si>
    <t>M05-0333</t>
  </si>
  <si>
    <t>M05-0334</t>
  </si>
  <si>
    <t>M05-0336</t>
  </si>
  <si>
    <t>M05-0337</t>
  </si>
  <si>
    <t>M05-0414</t>
  </si>
  <si>
    <t>M05-0415</t>
  </si>
  <si>
    <t>M05-0339</t>
  </si>
  <si>
    <t>M05-0075</t>
  </si>
  <si>
    <t>M05-0340</t>
  </si>
  <si>
    <t>M05-0077</t>
  </si>
  <si>
    <t>CORNIZA PARA TABLILLA PVC BLANCA</t>
  </si>
  <si>
    <t>FURRING CALIBRE 0.36X 3.66 CM</t>
  </si>
  <si>
    <t>M04-0039</t>
  </si>
  <si>
    <t>TABLILLA PVC 0,20 X 5,95 M CAFE CLARO</t>
  </si>
  <si>
    <t>M06-0109</t>
  </si>
  <si>
    <t>TORNILLO P/GYP 1-1/4 P FINA</t>
  </si>
  <si>
    <t>TORNILLO P/GYP 1-1/4 P/BROCA</t>
  </si>
  <si>
    <t>MAT07-0027 TORNILLO P/GYP 8X 1/2 P/BROCA (100 UN)</t>
  </si>
  <si>
    <t>Ya no se utiliza en su lugar se utiliza M06-0112</t>
  </si>
  <si>
    <t>M04-0044</t>
  </si>
  <si>
    <t>M04-0031</t>
  </si>
  <si>
    <t>SACO PASTA RAPIDA 45</t>
  </si>
  <si>
    <t>M06-0208</t>
  </si>
  <si>
    <t>CAJA GRAPA PARA GYPSUM MODELO ET50 TRUPPER</t>
  </si>
  <si>
    <t>ESPANDER MARIPOSA P/GYPSUM</t>
  </si>
  <si>
    <t>MAT07-0043 PERFIL J PARA GYPSUM</t>
  </si>
  <si>
    <t>Ya no se utiliza en su lugar se utiliza M04-0051</t>
  </si>
  <si>
    <t>M06-0125</t>
  </si>
  <si>
    <t>M10-0087</t>
  </si>
  <si>
    <t>BONDEX PLUS CERAMICA Y PORCELANATO  40KG INTACO</t>
  </si>
  <si>
    <t>BRIDA FLEXIBLE 3"  PVC</t>
  </si>
  <si>
    <t>M08-0002</t>
  </si>
  <si>
    <t>BROCA P/CONCRETO 5/16 X 6"</t>
  </si>
  <si>
    <t>M06-0041</t>
  </si>
  <si>
    <t>M06-0042</t>
  </si>
  <si>
    <t>M13-0038</t>
  </si>
  <si>
    <t>CRAYON LYRA AMARILLO</t>
  </si>
  <si>
    <t>M02-0024</t>
  </si>
  <si>
    <t>M08-0039</t>
  </si>
  <si>
    <t>M08-0040</t>
  </si>
  <si>
    <t>M08-0041</t>
  </si>
  <si>
    <t>DISCO CORTE DIAMANTADO LISO FINO 4-1/2"</t>
  </si>
  <si>
    <t>DISCO DIAMANTADO 4-1/2"</t>
  </si>
  <si>
    <t>DISCO ESMERILAR 4-1/2</t>
  </si>
  <si>
    <t>DISCO FLAP G60 4-1/2"</t>
  </si>
  <si>
    <t>M08-0045</t>
  </si>
  <si>
    <t>M02-0025</t>
  </si>
  <si>
    <t>M06-0192</t>
  </si>
  <si>
    <t>ESPUMA EXPANSIVA 750ML</t>
  </si>
  <si>
    <t>EXTENSION METALICA PARA SIFON 1 -1/4X8</t>
  </si>
  <si>
    <t>M11-0003</t>
  </si>
  <si>
    <t>M11-0005</t>
  </si>
  <si>
    <t>FLANGER DE 2 PULGADAS A 1 1/2 PULGADAS PARA SALIDA DEL TANQUE</t>
  </si>
  <si>
    <t>M09-0038</t>
  </si>
  <si>
    <t>M13-0002</t>
  </si>
  <si>
    <t>M06-0195</t>
  </si>
  <si>
    <t>M15-0016</t>
  </si>
  <si>
    <t>M06-0165</t>
  </si>
  <si>
    <t>M08-0063</t>
  </si>
  <si>
    <t>M08-0065</t>
  </si>
  <si>
    <t>M13-0246</t>
  </si>
  <si>
    <t>M06-0182</t>
  </si>
  <si>
    <t>M13-0005</t>
  </si>
  <si>
    <t>M13-0006</t>
  </si>
  <si>
    <t>M11-0007</t>
  </si>
  <si>
    <t>PAPEL COVERTOR  6"</t>
  </si>
  <si>
    <t>M11-0008</t>
  </si>
  <si>
    <t>ROLLO PLASTICO NEGRO 3,6MX100M</t>
  </si>
  <si>
    <t>M09-0074</t>
  </si>
  <si>
    <t>ROLLO SARAN VERDE 80% 2M DE ALTO</t>
  </si>
  <si>
    <t>M06-0260</t>
  </si>
  <si>
    <t>SEPARADOR DE DISCO 10CM DS150</t>
  </si>
  <si>
    <t>M06-0262</t>
  </si>
  <si>
    <t>SEPARADOR TIPO CONO DE  9CM SP350</t>
  </si>
  <si>
    <t>M12-0008</t>
  </si>
  <si>
    <t>BOLSA SEPARADOR PARA CERAMICA 4 MM</t>
  </si>
  <si>
    <t>M06-0265</t>
  </si>
  <si>
    <t>M06-0266</t>
  </si>
  <si>
    <t>TIRO FULMINANTE P/PISTOLA 25MM (100)</t>
  </si>
  <si>
    <t>M06-0060</t>
  </si>
  <si>
    <t>M06-0103</t>
  </si>
  <si>
    <t>M06-0108</t>
  </si>
  <si>
    <t>M06-0106</t>
  </si>
  <si>
    <t>M06-0115</t>
  </si>
  <si>
    <t>TORNILLO METAL #10X3" PARA S8</t>
  </si>
  <si>
    <t>M06-0119</t>
  </si>
  <si>
    <t>M13-0039</t>
  </si>
  <si>
    <t>M02-0011</t>
  </si>
  <si>
    <t xml:space="preserve"> DESAGUE LAVAMANOS PUSH BOTON DE 1-1/4</t>
  </si>
  <si>
    <t>AISLANTE SONIDO R11 LANA MINERAL VIDRIO 1,22X15,24</t>
  </si>
  <si>
    <t>M11-0037</t>
  </si>
  <si>
    <t>M11-0011</t>
  </si>
  <si>
    <t>M06-0213</t>
  </si>
  <si>
    <t>M06-0222</t>
  </si>
  <si>
    <t>M06-0170</t>
  </si>
  <si>
    <t>CEDAZO GALVANIZADO 1X1 (ROLLO 30M)</t>
  </si>
  <si>
    <t>M07-0192</t>
  </si>
  <si>
    <t>ESCALERAS DE 7 PELDAÑOS TIPO A</t>
  </si>
  <si>
    <t>MAT08-0197 CLAVO NEGRO 3/4</t>
  </si>
  <si>
    <t>Ya no se utiliza en su lugar se utiliza M06-0036</t>
  </si>
  <si>
    <t>M16-0002</t>
  </si>
  <si>
    <t>M07-0195</t>
  </si>
  <si>
    <t xml:space="preserve"> MECATE PIOLA</t>
  </si>
  <si>
    <t>BOLSA SEPARADOR P/CERAMICA 2MM</t>
  </si>
  <si>
    <t>M08-0004</t>
  </si>
  <si>
    <t>BROCA P/CONCRETO SDS PLUS 3/8 X 8"</t>
  </si>
  <si>
    <t>M08-0005</t>
  </si>
  <si>
    <t>BROCA P/CONCRETO 3/8 X 8"</t>
  </si>
  <si>
    <t>M06-0188</t>
  </si>
  <si>
    <t>M06-0095</t>
  </si>
  <si>
    <t>M08-0006</t>
  </si>
  <si>
    <t>M08-0007</t>
  </si>
  <si>
    <t>BROCA P/CONCRETO 5/32 X 6"</t>
  </si>
  <si>
    <t>M06-0276</t>
  </si>
  <si>
    <t>M06-0151</t>
  </si>
  <si>
    <t>BISAGRA GUIJOS DE 3"</t>
  </si>
  <si>
    <t>M08-0009</t>
  </si>
  <si>
    <t>M08-0047</t>
  </si>
  <si>
    <t>M07-0201</t>
  </si>
  <si>
    <t>M07-0231</t>
  </si>
  <si>
    <t>MAT08-0307 TORNILLO P/BISAGRA 6X5/8</t>
  </si>
  <si>
    <t>Ya no se utiliza en su lugar se utiliza M06-0093</t>
  </si>
  <si>
    <t>M08-0049</t>
  </si>
  <si>
    <t>M06-0124</t>
  </si>
  <si>
    <t>M01-0063</t>
  </si>
  <si>
    <t>SOLDADURA  ALAMBRE MIG ECA 08 EN 5 KG</t>
  </si>
  <si>
    <t>M07-0064</t>
  </si>
  <si>
    <t>DISCO CORTE FINO METAL 4-1/2</t>
  </si>
  <si>
    <t>M07-0204</t>
  </si>
  <si>
    <t>M20-0528</t>
  </si>
  <si>
    <t xml:space="preserve">MAT08-0446 DISCO CORTE METAL 4 1/2 PULGADA </t>
  </si>
  <si>
    <t>MAT08-0449 REGLA SEMIDURO 1X3X4 SIN CEPILLAR</t>
  </si>
  <si>
    <t>M09-0041</t>
  </si>
  <si>
    <t>M06-0034</t>
  </si>
  <si>
    <t>CLAVO DE IMPACTO 1 1/4 (100)</t>
  </si>
  <si>
    <t>M06-0091</t>
  </si>
  <si>
    <t>M06-0089</t>
  </si>
  <si>
    <t>M13-0251</t>
  </si>
  <si>
    <t>CHECK DE COMPUERTA 2"</t>
  </si>
  <si>
    <t>M06-0296</t>
  </si>
  <si>
    <t>M13-0012</t>
  </si>
  <si>
    <t>M06-0253</t>
  </si>
  <si>
    <t>M13-0057</t>
  </si>
  <si>
    <t>M13-0013</t>
  </si>
  <si>
    <t>M13-0014</t>
  </si>
  <si>
    <t>M13-0015</t>
  </si>
  <si>
    <t>M06-0090</t>
  </si>
  <si>
    <t>M06-0093</t>
  </si>
  <si>
    <t>M06-0088</t>
  </si>
  <si>
    <t>M06-0086</t>
  </si>
  <si>
    <t>M06-0160</t>
  </si>
  <si>
    <t>CAJA DE REMACHE 1/8X3/4PULG  P/PISTOLA</t>
  </si>
  <si>
    <t>M09-0035</t>
  </si>
  <si>
    <t>M06-0087</t>
  </si>
  <si>
    <t>MAT08-0517 FLANGER DE 2 PULG P/TANQUE DE AGUA DE ALMACENAJE</t>
  </si>
  <si>
    <t>M11-0013</t>
  </si>
  <si>
    <t>M09-0043</t>
  </si>
  <si>
    <t>M08-0017</t>
  </si>
  <si>
    <t>BROCA P/CONCRETO SDS PLUS 1/4 CON ESPIGA 3/8</t>
  </si>
  <si>
    <t>M20-0513</t>
  </si>
  <si>
    <t>M14-0002</t>
  </si>
  <si>
    <t>M10-0060</t>
  </si>
  <si>
    <t>M08-0018</t>
  </si>
  <si>
    <t>MELAMINA 18X2070X2800</t>
  </si>
  <si>
    <t>M09-0027</t>
  </si>
  <si>
    <t>MELAMINA 18X1830X2500</t>
  </si>
  <si>
    <t>RIEL TELESC SLOW MOTION LA 350M RS-C45GA-350 (14")</t>
  </si>
  <si>
    <t>RIEL TELESCOPICO SLOW MOTION LA 450M RS-A45DT (18")</t>
  </si>
  <si>
    <t>SET CORREDIZO DOBLE DUCASSE P/CLOSET</t>
  </si>
  <si>
    <t xml:space="preserve">MAT14-0037 RIEL INFERIOR DOBLE GUIA ACL-RIN09-200CM </t>
  </si>
  <si>
    <t>27_05 Ya no se utiliza</t>
  </si>
  <si>
    <t>M03-0006</t>
  </si>
  <si>
    <t>TAPETA 22X0.45MM</t>
  </si>
  <si>
    <t>MAT1499 RODILLO PARA FELPA</t>
  </si>
  <si>
    <t>MAT16-0001 ANTICORROSIVO MINIO AZUL</t>
  </si>
  <si>
    <t>MAT16-0002 ANTICORROSIVO MINIO ROJO</t>
  </si>
  <si>
    <t>PINTURA DRY COAT MATE DEEP GRIS OSCURO</t>
  </si>
  <si>
    <t>M11-0072</t>
  </si>
  <si>
    <t>PINTURA SUPER DRY GALON</t>
  </si>
  <si>
    <t>THINNER INDUSTRIAL</t>
  </si>
  <si>
    <t>M11-0078</t>
  </si>
  <si>
    <t>PINTURA FAST DRY 1/4 GALON</t>
  </si>
  <si>
    <t xml:space="preserve">MAT16-0056 PINTURA SUPER DRY DEEP CAFE </t>
  </si>
  <si>
    <t>PINTURA SUPER COAT CUBETA</t>
  </si>
  <si>
    <t>M11-0090</t>
  </si>
  <si>
    <t>M11-0091</t>
  </si>
  <si>
    <t>M11-0064</t>
  </si>
  <si>
    <t xml:space="preserve">MAT16-0083 ANTICORROSIVO MINIO BLANCO </t>
  </si>
  <si>
    <t>M11-0075</t>
  </si>
  <si>
    <t>PINTURA CROMATO DE ZINC POLIURETANO LANCO</t>
  </si>
  <si>
    <t>M11-0122</t>
  </si>
  <si>
    <t>M12-0014</t>
  </si>
  <si>
    <t>PORCELANATO 60X60</t>
  </si>
  <si>
    <t>SPRAY ANTISALPICADURAS</t>
  </si>
  <si>
    <t>M11-0093</t>
  </si>
  <si>
    <t>M11-0113</t>
  </si>
  <si>
    <t>ANTICORROSIVO MINIO CUBETA</t>
  </si>
  <si>
    <t>MAT16-0102 ANTICORROSIVO MINIO GRIS</t>
  </si>
  <si>
    <t>TAPON LISO PVC 1/2"</t>
  </si>
  <si>
    <t>MAT1686 TEE PVC 4" SANITARIA PD</t>
  </si>
  <si>
    <t>CERAMICA 55X55  // CERAMICA ALTAR GRIS 55X55</t>
  </si>
  <si>
    <t>M12-0010</t>
  </si>
  <si>
    <t xml:space="preserve"> CERAMICA 30X45 // CERAMICA SENOIA BEIGE 30X45</t>
  </si>
  <si>
    <t>CERAMICA 20X60 // CERAMICA EMOTION T.MADERA HARDY HAYA 20X60</t>
  </si>
  <si>
    <t>CERAMICA 20X60 // CERAMICA EMOTION T.MADERA HARDY CAOBA 20X60</t>
  </si>
  <si>
    <t>CERAMICA 20X60 // CERAMICA EMOTION T.MADERA HARDY GRIS 20X60</t>
  </si>
  <si>
    <t>M12-0013</t>
  </si>
  <si>
    <t>CERAMICA 60X60 // CERAMICA DIAMANTE CELESTINI 60X60</t>
  </si>
  <si>
    <t>CERAMICA 60X60 // CERAMICA CONSTANZA BEIGE 60X60</t>
  </si>
  <si>
    <t>CERAMICA 60X60 //  CERAMICA TORAZZO 60X60</t>
  </si>
  <si>
    <t>TABLATEK TABLILLA JS 11MM 1229X2438MM A11 D76</t>
  </si>
  <si>
    <t>CERAMICA 30X45 // CERAMICA SENOIA GRIS 30X45</t>
  </si>
  <si>
    <t>CERAMICA 60X60 // CERAMICA GRES GROUND 60X60</t>
  </si>
  <si>
    <t>CERAMICA 60X60 // CERAMICA 60021 60X60</t>
  </si>
  <si>
    <t>CERAMICA 55X55 // CERAMICA ALTAR GRIS 55X55</t>
  </si>
  <si>
    <t>CERAMICA 60X60 // CERAMICA AMBAR BRILLO 60X60</t>
  </si>
  <si>
    <t>M12-0012</t>
  </si>
  <si>
    <t>CERAMICA 18X55 // PISO DALTILE T MADERA CASTAÑO 18X50</t>
  </si>
  <si>
    <t>CERAMICA 60X60 // CERAMICA  DIAMANTE MILAZO 60X60</t>
  </si>
  <si>
    <t>CERAMICA 60X60 // CERAMICA DIAMANTE VEZZIO 60X60</t>
  </si>
  <si>
    <t>PORCELANATO 60X60 // PORCELANATO JBN BRUSELAS PERLA MATE 60X60 RECT</t>
  </si>
  <si>
    <t>PORCELANATO 60X60 // PORCELANATO AVORIO 60X60</t>
  </si>
  <si>
    <t>PORCELANATO 60X60 // PORCELANATO ITALIA 60X60</t>
  </si>
  <si>
    <t>PORCELANATO 60X60 // PORCELANATO AURA 60X60</t>
  </si>
  <si>
    <t>PORCELANATO 60X60 // PORCELANATO SOHO 60X60</t>
  </si>
  <si>
    <t>PORCELANATO 60X60 // PORCELANATO NEBRASKA BLANCO 60X60</t>
  </si>
  <si>
    <t>CERAMICA 60X60 // CERAMICA MARMOL ASTRA IVORY 60X60</t>
  </si>
  <si>
    <t>PORCELANATO 60X60 // PORCELANATO MIRAMAR 60X60</t>
  </si>
  <si>
    <t>CERAMICA 55X55 // PISO CERÁMICO HARÁ BEIGE  55X55</t>
  </si>
  <si>
    <t>CERAMICA 55X55 //  PISO CERÁMICA DUNA COTTO GRIS 55X55</t>
  </si>
  <si>
    <t>M14-0005</t>
  </si>
  <si>
    <t>PUERTA + MARCO + MOLDURA BUQUE 100CM (AD)</t>
  </si>
  <si>
    <t>PUERTA + MARCO + MOLDURA BUQUE 80CM (AD)</t>
  </si>
  <si>
    <t>PUERTA + MARCO + MOLDURA BUQUE 90CM (AD)</t>
  </si>
  <si>
    <t>RODAPIE (GENERICO)</t>
  </si>
  <si>
    <t>M11-0083</t>
  </si>
  <si>
    <t>TINTE SUR (DUROTIN) GALON</t>
  </si>
  <si>
    <t>M11-0084</t>
  </si>
  <si>
    <t>TINTE SUR (DUROTIN) 1/4 GALON</t>
  </si>
  <si>
    <t>M13-0089</t>
  </si>
  <si>
    <t>M13-0106</t>
  </si>
  <si>
    <t>M13-0107</t>
  </si>
  <si>
    <t>M13-0108</t>
  </si>
  <si>
    <t>M13-0109</t>
  </si>
  <si>
    <t>M13-0110</t>
  </si>
  <si>
    <t>M13-0111</t>
  </si>
  <si>
    <t>ADAPTADOR MACHO PVC 1-1/4"</t>
  </si>
  <si>
    <t>M13-0112</t>
  </si>
  <si>
    <t>ADAPTADOR MACHO PVC 3/4"</t>
  </si>
  <si>
    <t>M13-0113</t>
  </si>
  <si>
    <t>M13-0114</t>
  </si>
  <si>
    <t>M13-0115</t>
  </si>
  <si>
    <t>CODO 45 PVC PARED DELGADA 1-1/4" (SANITARIO)</t>
  </si>
  <si>
    <t>M13-0116</t>
  </si>
  <si>
    <t>CODO 45 PVC PARED DELGADA 1-1/2" (SANITARIO)</t>
  </si>
  <si>
    <t>CODO 45 PVC PARED DELGADA 3" (SANITARIO)</t>
  </si>
  <si>
    <t>CODO 45 PVC PARED DELGADA 4" (SANITARIO)</t>
  </si>
  <si>
    <t>CODO 45 PVC PARED DELGADA  2" (SANITARIO)</t>
  </si>
  <si>
    <t>M13-0095</t>
  </si>
  <si>
    <t>CODO 90 PVC PARED DELGADA 2" (SANITARIO)</t>
  </si>
  <si>
    <t>M13-0124</t>
  </si>
  <si>
    <t>CODO 90 PVC PARED DELGADA 3" (SANITARIO)</t>
  </si>
  <si>
    <t>M13-0096</t>
  </si>
  <si>
    <t>CURVA CONDUIT 1-1/2 UL</t>
  </si>
  <si>
    <t>REDUCCION 2" A 1-1/4" SANITARIO</t>
  </si>
  <si>
    <t>REDUCCION LISA P.D.  3" A 4" (SANITARIO)</t>
  </si>
  <si>
    <t>REDUCCION LISA P.D. 2" A 3" (SANITARIO)</t>
  </si>
  <si>
    <t>REDUCCION LISA P.D. 2" A 4" (SANITARIO)</t>
  </si>
  <si>
    <t>M13-0137</t>
  </si>
  <si>
    <t>REDUCCION 1-1/2" A 1-1/4" (SANITARIO)</t>
  </si>
  <si>
    <t>M13-0139</t>
  </si>
  <si>
    <t>REDUCCION 1-1/2" A  2" (SANITARIO)</t>
  </si>
  <si>
    <t>MAT19-0049 REDUCCION PARED GRUESA 2 " A 1 1/4"</t>
  </si>
  <si>
    <t>SIFON SIN REGISTRO P.D. 2 (SANITARIO)</t>
  </si>
  <si>
    <t>TAPON HEMBRA LISO PVC 1/2"</t>
  </si>
  <si>
    <t>M13-0148</t>
  </si>
  <si>
    <t>TAPON HEMBRA LISO PVC 2"</t>
  </si>
  <si>
    <t>TAPON HEMBRA PVC 4" (SANITARIO)</t>
  </si>
  <si>
    <t>M13-0150</t>
  </si>
  <si>
    <t>TAPON HEMBRA ROSCADO PVC 1/2"</t>
  </si>
  <si>
    <t>M13-0153</t>
  </si>
  <si>
    <t>M13-0155</t>
  </si>
  <si>
    <t>M13-0156</t>
  </si>
  <si>
    <t>M13-0034</t>
  </si>
  <si>
    <t>M04-0040</t>
  </si>
  <si>
    <t>TEE PVC PARED DELGADA 1 1/2" (SANITARIO)</t>
  </si>
  <si>
    <t>M13-0161</t>
  </si>
  <si>
    <t>TEE PVC SANITARIA PARED DELGADA 4" (SANITARIO)</t>
  </si>
  <si>
    <t>M13-0165</t>
  </si>
  <si>
    <t>TEE PVC PARED DELGADA 3" (SANITARIO)</t>
  </si>
  <si>
    <t>TUBO CONDUIT 1-1/2 UL</t>
  </si>
  <si>
    <t>TUBO SDR41 JC PVC 1-1/4"</t>
  </si>
  <si>
    <t>TUBO SDR41 JC PVC 2"</t>
  </si>
  <si>
    <t>TUBO SDR41 JC PVC 3"</t>
  </si>
  <si>
    <t>M13-0175</t>
  </si>
  <si>
    <t>MAT19-0099 TUBO SDR41 JC PVC 3</t>
  </si>
  <si>
    <t>TUBO SDR41 JC PVC 4"</t>
  </si>
  <si>
    <t>M13-0181</t>
  </si>
  <si>
    <t>TUBO SDR41 JR PVC 3"</t>
  </si>
  <si>
    <t>M13-0182</t>
  </si>
  <si>
    <t>UNION CONDUIT 1-1/2 UL</t>
  </si>
  <si>
    <t>UNION LISA  CPVC 1/2"</t>
  </si>
  <si>
    <t>M13-0184</t>
  </si>
  <si>
    <t>UNION LISA PVC  1-1/2" (SANITARIO)</t>
  </si>
  <si>
    <t>UNION LISA PVC  1-1/4" (SANITARIO)</t>
  </si>
  <si>
    <t xml:space="preserve">UNION LISA PVC  1/2" </t>
  </si>
  <si>
    <t>UNION LISA PVC 2" (SANITARIO)</t>
  </si>
  <si>
    <t>M13-0188</t>
  </si>
  <si>
    <t>UNION LISA PVC 3" (SANITARIO)</t>
  </si>
  <si>
    <t>M13-0189</t>
  </si>
  <si>
    <t>UNION LISA PVC 4" (SANITARIO)</t>
  </si>
  <si>
    <t>YEE PARED DELGADA 2" (SANITARIO)</t>
  </si>
  <si>
    <t>YEE PARED DELGADA 3" (SANITARIO)</t>
  </si>
  <si>
    <t>YEE PARED DELGADA 4" (SANITARIO)</t>
  </si>
  <si>
    <t>M13-0196</t>
  </si>
  <si>
    <t>REDUCCIÓN SANITARIA 2 A 1-1/2"</t>
  </si>
  <si>
    <t>MAT19-0122 TAPON LISO PVC SANITARIO 1/12</t>
  </si>
  <si>
    <t>TAPON LISO PVC 1-1/4" (SANITARIO)</t>
  </si>
  <si>
    <t>TAPON LISO PVC SANITARIO 3" (SANITARIO)</t>
  </si>
  <si>
    <t>TAPON LISO PVC 2" (SANITARIO)</t>
  </si>
  <si>
    <t>M13-0203</t>
  </si>
  <si>
    <t>ADAPTADOR MACHO PVC 2"</t>
  </si>
  <si>
    <t>M13-0207</t>
  </si>
  <si>
    <t>M05-0378</t>
  </si>
  <si>
    <t>M05-0379</t>
  </si>
  <si>
    <t>M13-0069</t>
  </si>
  <si>
    <t>M13-0211</t>
  </si>
  <si>
    <t>TEE PVC CEDULA DE PRESIÓN  2"</t>
  </si>
  <si>
    <t>M13-0223</t>
  </si>
  <si>
    <t>M13-0225</t>
  </si>
  <si>
    <t>UNION DE TOPE 2"</t>
  </si>
  <si>
    <t>M13-0226</t>
  </si>
  <si>
    <t>REDUCCION PVC 1-1/4 "X1" PRESION POTABLE</t>
  </si>
  <si>
    <t>M13-0227</t>
  </si>
  <si>
    <t>REDUCCION PVC  2" X1-1/4" PRESION POTABLE</t>
  </si>
  <si>
    <t>M13-0228</t>
  </si>
  <si>
    <t>CHECK LINEAL PVC 2"</t>
  </si>
  <si>
    <t>M13-0229</t>
  </si>
  <si>
    <t>ADAPTADOR TRAMPA 1-1/2"  A 1-1/4"</t>
  </si>
  <si>
    <t>M10-0004</t>
  </si>
  <si>
    <t>CURADOR P/CONCRETO EXTERIOR CURING ECO</t>
  </si>
  <si>
    <t>M10-0005</t>
  </si>
  <si>
    <t>DESMOLDANTE  CASSEROIL</t>
  </si>
  <si>
    <t>M06-0004</t>
  </si>
  <si>
    <t>PEGAMENTO  PVC AZUL WETBONDING</t>
  </si>
  <si>
    <t>M06-0015</t>
  </si>
  <si>
    <t>M06-0017</t>
  </si>
  <si>
    <t>SIKAFLEX 1A PLUS</t>
  </si>
  <si>
    <t>***</t>
  </si>
  <si>
    <t>MAT21-0028 ADITIVO EUCON RETARDER 100C</t>
  </si>
  <si>
    <t>Ya no se utiliza en su lugar se  utiliza M10-0009</t>
  </si>
  <si>
    <t>MAT21-0029 ADITIVO PLASTOL 5000 ULTRA</t>
  </si>
  <si>
    <t>Ya no se utiliza este producto</t>
  </si>
  <si>
    <t>M06-0299</t>
  </si>
  <si>
    <t>M06-0207</t>
  </si>
  <si>
    <t xml:space="preserve">TABLATECK 1 PERFIL H.G.PA CAL 20 10 X 3.2 X 305CM G60 </t>
  </si>
  <si>
    <t xml:space="preserve">TABLATECK 2 PERFIL H.G.PE CAL 20 10 X 5.0 X 305CM G60 </t>
  </si>
  <si>
    <t>TABLATECK 3 TORNILLOS LH8-050 UNIONES METÁLICAS</t>
  </si>
  <si>
    <t xml:space="preserve">TABLATECK 4 TORN PLYCEM PH8-125 PUNTA TEK #8X1-1/4 </t>
  </si>
  <si>
    <t xml:space="preserve">TABLATECK 5 SELLADOR DE TORNILLO (ZERO SPACKILNG LANCO) </t>
  </si>
  <si>
    <t xml:space="preserve">TABLATECK 6 BUILDING WRAP ROLLO 1.22 X 35 M </t>
  </si>
  <si>
    <t xml:space="preserve">TABLATECK 7 TORNILLO MM 10-075 CABEZA HEX PUNTA BROCA # 10X3/4 (19MM) </t>
  </si>
  <si>
    <t>TABLATECK 8 PERNO DE EXPANSIÓN 2-1/2" X 1/4"</t>
  </si>
  <si>
    <t>M06-0306</t>
  </si>
  <si>
    <t>Aro de repello 1 Gang</t>
  </si>
  <si>
    <t>Curva  1/2"</t>
  </si>
  <si>
    <t>Tubo  1/2"</t>
  </si>
  <si>
    <t>Union  1/2"</t>
  </si>
  <si>
    <t>Conector  1/2"</t>
  </si>
  <si>
    <t xml:space="preserve">TGP 3x12 </t>
  </si>
  <si>
    <t xml:space="preserve">Caja octagonal </t>
  </si>
  <si>
    <t>Gaza metaliza  3/4"</t>
  </si>
  <si>
    <t>Caja  4x4 sencilla</t>
  </si>
  <si>
    <t>Tapa ciega octagonal</t>
  </si>
  <si>
    <t>Tapa cuadrada ciega MT</t>
  </si>
  <si>
    <t>scotch plug amarillo</t>
  </si>
  <si>
    <t>conector empalme rojo</t>
  </si>
  <si>
    <t>Tape Super 33</t>
  </si>
  <si>
    <t>Cable thhn #12 azul</t>
  </si>
  <si>
    <t>Cable thhn #12 blanco</t>
  </si>
  <si>
    <t>Cable thhn #12 negro</t>
  </si>
  <si>
    <t>Cable thhn #12 verde</t>
  </si>
  <si>
    <t>Conector para TSJ</t>
  </si>
  <si>
    <t>Conector resorte amarillo</t>
  </si>
  <si>
    <t>Gas</t>
  </si>
  <si>
    <t>Regla 1x3 sin cepillar</t>
  </si>
  <si>
    <t>Tornillo 7/16 p/broca</t>
  </si>
  <si>
    <t>Tubo conduit UL 3/4"</t>
  </si>
  <si>
    <t>Conector de 3/4"</t>
  </si>
  <si>
    <t>Union de 3/4" UL</t>
  </si>
  <si>
    <t>Curva 3/4" UL</t>
  </si>
  <si>
    <t>Caja 4x4 d/fondo h 1/2"</t>
  </si>
  <si>
    <t>Tornillo 1 1/4" p/fina</t>
  </si>
  <si>
    <t xml:space="preserve">Modulo adaptador de 1 </t>
  </si>
  <si>
    <t xml:space="preserve">Modulo adaptador de 2 </t>
  </si>
  <si>
    <t>Apagadores doble</t>
  </si>
  <si>
    <t>Apador triway 2</t>
  </si>
  <si>
    <t>Apagadores sencillo</t>
  </si>
  <si>
    <t>Apador triway 1</t>
  </si>
  <si>
    <t>Apagadores triple</t>
  </si>
  <si>
    <t>Aro de repello 2 GAIN</t>
  </si>
  <si>
    <t xml:space="preserve">Lampara tortuga </t>
  </si>
  <si>
    <t>Placa para interperie</t>
  </si>
  <si>
    <t>Placa de acero inoxidable</t>
  </si>
  <si>
    <t>Placa blanca Royer</t>
  </si>
  <si>
    <t>Plafon</t>
  </si>
  <si>
    <t xml:space="preserve">Tomacorrientes </t>
  </si>
  <si>
    <t xml:space="preserve">Salida 240 Vac </t>
  </si>
  <si>
    <t xml:space="preserve">Lampara LED </t>
  </si>
  <si>
    <t>Conector tipo f</t>
  </si>
  <si>
    <t>Conector RJ45 hembra</t>
  </si>
  <si>
    <t>Tornillo gypsum 1 1/4"</t>
  </si>
  <si>
    <t>Tapa Ciega 2x4</t>
  </si>
  <si>
    <t>Tapa Interperie 240</t>
  </si>
  <si>
    <t>Conector Macho RJ45</t>
  </si>
  <si>
    <t xml:space="preserve">Tornillo Madera 2" </t>
  </si>
  <si>
    <t xml:space="preserve">Tornillo Madera 2 1/2" </t>
  </si>
  <si>
    <t>M05-0482</t>
  </si>
  <si>
    <t>Breaker 2x100 cent.carga</t>
  </si>
  <si>
    <t>Breaker 2x150 centro carga</t>
  </si>
  <si>
    <t>Breaker 1x20 dual</t>
  </si>
  <si>
    <t>Breaker 2x100 Medidor</t>
  </si>
  <si>
    <t>breaker 2x30 GFCI</t>
  </si>
  <si>
    <t>breaker 2x40 GFCI</t>
  </si>
  <si>
    <t>Supresor de picos</t>
  </si>
  <si>
    <t>Cubierta  p/cent.carga 24</t>
  </si>
  <si>
    <t>Cubierta  p/cent.carga 30</t>
  </si>
  <si>
    <t>Barra a tierra 27 esp</t>
  </si>
  <si>
    <t>Conector Barril bimetal</t>
  </si>
  <si>
    <t>Tape rojo</t>
  </si>
  <si>
    <t>Tape blanco</t>
  </si>
  <si>
    <t>Tape verde</t>
  </si>
  <si>
    <t>PLACA INTEMPERIE P/TOMA 30-50A GRIS WP2 VERTICAL 1GANG EATON</t>
  </si>
  <si>
    <t>M05-0322</t>
  </si>
  <si>
    <t>M05-0471</t>
  </si>
  <si>
    <t>M05-0472</t>
  </si>
  <si>
    <t>M05-0079</t>
  </si>
  <si>
    <t>M05-0465</t>
  </si>
  <si>
    <t>BREAKER PRINCIPAL QOM2150VH 2P 150A 240V</t>
  </si>
  <si>
    <t>BREAKER SD QO 2X30AMP GFCI</t>
  </si>
  <si>
    <t>BREAKER SD QO 2X40AMP GFCI</t>
  </si>
  <si>
    <t>M05-0463</t>
  </si>
  <si>
    <t xml:space="preserve"> BARRA A TIERRA PK27GTA 27 TERMINALES</t>
  </si>
  <si>
    <t>M05-0474</t>
  </si>
  <si>
    <t>CUBIERTA PARA CENTRO DE CARGA QO MONTAJE PARA EMPOTRAR 30 CIRCUITOS</t>
  </si>
  <si>
    <t>CONECTOR DE BARRIL BIMETAL (NO COBRE) PARA 1/0 CU-AL</t>
  </si>
  <si>
    <t>P01</t>
  </si>
  <si>
    <t>P02</t>
  </si>
  <si>
    <t>P03</t>
  </si>
  <si>
    <t># Tubos 2" x 4", Soporte superior</t>
  </si>
  <si>
    <t>CONCRETO LOSA ENTREPISO</t>
  </si>
  <si>
    <t>PRESUPUESTO DON JOSE AJUSTADO</t>
  </si>
  <si>
    <t>DIFERENCIA</t>
  </si>
  <si>
    <t>Obra</t>
  </si>
  <si>
    <t>SubTareaObra</t>
  </si>
  <si>
    <t>IDObra</t>
  </si>
  <si>
    <t>IDSubTareaObra</t>
  </si>
  <si>
    <t>IDEncargado</t>
  </si>
  <si>
    <t>Mampostería</t>
  </si>
  <si>
    <t>N/A</t>
  </si>
  <si>
    <t>Desencofre</t>
  </si>
  <si>
    <t>Resane</t>
  </si>
  <si>
    <t>Estructura Interna y Monitor</t>
  </si>
  <si>
    <t>Barandas, Pasamanos y Portones</t>
  </si>
  <si>
    <t>Gradas Metálicas</t>
  </si>
  <si>
    <t>Gradas Concreto</t>
  </si>
  <si>
    <t>Colado Gradas Metálicas</t>
  </si>
  <si>
    <t>Liviano Exteriores</t>
  </si>
  <si>
    <t>Tablilla PVC</t>
  </si>
  <si>
    <t>Hojalatería Botaguas</t>
  </si>
  <si>
    <t>Hojalatería Canoas</t>
  </si>
  <si>
    <t>Eléctrico Losa</t>
  </si>
  <si>
    <t>SUCONTRATO</t>
  </si>
  <si>
    <t>Eléctrico Muros</t>
  </si>
  <si>
    <t>Eléctrico Iluminación</t>
  </si>
  <si>
    <t>Centro de Carga y Columna</t>
  </si>
  <si>
    <t>Plaquearía e Iluminación</t>
  </si>
  <si>
    <t>Sello Pintura</t>
  </si>
  <si>
    <t>Pintura Externa</t>
  </si>
  <si>
    <t>Grietas y Resane</t>
  </si>
  <si>
    <t>Impermeabilizante</t>
  </si>
  <si>
    <t>Ventanería</t>
  </si>
  <si>
    <t>Griferías</t>
  </si>
  <si>
    <t>Pilas y llaves de chorro</t>
  </si>
  <si>
    <t>Zacate Geocelda y Detalles</t>
  </si>
  <si>
    <t>,</t>
  </si>
  <si>
    <t>M06-0016</t>
  </si>
  <si>
    <t>PEGAMENTO P/MUEBLES 20KG</t>
  </si>
  <si>
    <t xml:space="preserve">Closets, mueble baño, muebles de cocina </t>
  </si>
  <si>
    <t>Baño</t>
  </si>
  <si>
    <t>Contrato</t>
  </si>
  <si>
    <t>Insumo</t>
  </si>
  <si>
    <t>Codigo</t>
  </si>
  <si>
    <t>Tableros</t>
  </si>
  <si>
    <t>Base medidor</t>
  </si>
  <si>
    <t>Iluminacion</t>
  </si>
  <si>
    <t>Acometida</t>
  </si>
  <si>
    <t>Losa</t>
  </si>
  <si>
    <t>Muros</t>
  </si>
  <si>
    <t>Plaqueria</t>
  </si>
  <si>
    <t>Entrega</t>
  </si>
  <si>
    <t>Cableado</t>
  </si>
  <si>
    <t>Curva 38mm 1 1/2"</t>
  </si>
  <si>
    <t>Curva 25mm 1"</t>
  </si>
  <si>
    <t>Curva 13mm 1/2"</t>
  </si>
  <si>
    <t>Curva 19mm 3/4"</t>
  </si>
  <si>
    <t>Tubo 38mm 1 1/2"</t>
  </si>
  <si>
    <t>Tubo 25mm 1"</t>
  </si>
  <si>
    <t>Tubo 13mm 1/2"</t>
  </si>
  <si>
    <t>Tubo 19mm 3/4"</t>
  </si>
  <si>
    <t>Union 38mm 1 1/2"</t>
  </si>
  <si>
    <t>Union 25mm 1"</t>
  </si>
  <si>
    <t>Union 13mm 1/2"</t>
  </si>
  <si>
    <t>Union 19mm 3/4"</t>
  </si>
  <si>
    <t>Conector de 1/2" UL</t>
  </si>
  <si>
    <t>Spray</t>
  </si>
  <si>
    <t>Cinta empaque</t>
  </si>
  <si>
    <t>Pegamento</t>
  </si>
  <si>
    <t>Cegueta</t>
  </si>
  <si>
    <t>Lamina de estereofon</t>
  </si>
  <si>
    <t>Cilindro de gas</t>
  </si>
  <si>
    <t>Union  1 1/2"</t>
  </si>
  <si>
    <t>Union  1"</t>
  </si>
  <si>
    <t>Union  3/4"</t>
  </si>
  <si>
    <t>Cilindro gas</t>
  </si>
  <si>
    <t>Caja cuadrada 4x4 doble 1</t>
  </si>
  <si>
    <t>Caja cuadrada 4x4 doble 1/2</t>
  </si>
  <si>
    <t>Caja rectangular  salida 1/2</t>
  </si>
  <si>
    <t>Caja rectangular salida 3/4</t>
  </si>
  <si>
    <t>Conector  1 1/2"</t>
  </si>
  <si>
    <t>Conector  1"</t>
  </si>
  <si>
    <t>Conector  3/4"</t>
  </si>
  <si>
    <t>Varilla #3 G40</t>
  </si>
  <si>
    <t>CONCRETO LOSA AZOTEA</t>
  </si>
  <si>
    <t>FORMALETA LOSA AZOTEA</t>
  </si>
  <si>
    <t>AREACONCRETO DE AZOTEA</t>
  </si>
  <si>
    <t>Cable thhn #12 rojo</t>
  </si>
  <si>
    <t>Cable thhn #10 rojo</t>
  </si>
  <si>
    <t>Cable thhn #10 Blanco</t>
  </si>
  <si>
    <t>Cable thhn #8 blanco</t>
  </si>
  <si>
    <t>Cable thhn #8 rojo</t>
  </si>
  <si>
    <t>Cable thhn #8 verde</t>
  </si>
  <si>
    <t>Cable 1/0 AL s8000</t>
  </si>
  <si>
    <t>Cable #6  AL s8000</t>
  </si>
  <si>
    <t>Cable UTP cat 5e</t>
  </si>
  <si>
    <t>Tape Blanco</t>
  </si>
  <si>
    <t>Tape Verde</t>
  </si>
  <si>
    <t>Tape ROJO</t>
  </si>
  <si>
    <t>Cable thhn #10 Verde</t>
  </si>
  <si>
    <t>N11</t>
  </si>
  <si>
    <t>N20</t>
  </si>
  <si>
    <t>N29</t>
  </si>
  <si>
    <t>N40</t>
  </si>
  <si>
    <t>N118</t>
  </si>
  <si>
    <t>N138</t>
  </si>
  <si>
    <t>N158</t>
  </si>
  <si>
    <t>N165</t>
  </si>
  <si>
    <t>N177</t>
  </si>
  <si>
    <t>N203</t>
  </si>
  <si>
    <t>N219</t>
  </si>
  <si>
    <t>N228</t>
  </si>
  <si>
    <t>N240</t>
  </si>
  <si>
    <t>N247</t>
  </si>
  <si>
    <t>Longitud de paredes nivel 3 azotea</t>
  </si>
  <si>
    <t>Altura paredes nivel 3 azotea</t>
  </si>
  <si>
    <t>V-1
m. lineales</t>
  </si>
  <si>
    <t>V-2
m. lineales</t>
  </si>
  <si>
    <t>V-3
m. lineales</t>
  </si>
  <si>
    <t>V-4
m. lineales</t>
  </si>
  <si>
    <t>VK-1
m. lineales</t>
  </si>
  <si>
    <t>VK-2
m. lineales</t>
  </si>
  <si>
    <t xml:space="preserve"> </t>
  </si>
  <si>
    <t>Caja 4x4 d/fondo 1/2</t>
  </si>
  <si>
    <t>Conector de 3/4" UL</t>
  </si>
  <si>
    <t xml:space="preserve">TUBO  2" X 4"HN </t>
  </si>
  <si>
    <t>CARGADOR</t>
  </si>
  <si>
    <t>costo ajustado columna AG</t>
  </si>
  <si>
    <t>PJ</t>
  </si>
  <si>
    <t>PDJ AJUSTADO</t>
  </si>
  <si>
    <t>M13-0296</t>
  </si>
  <si>
    <t>TUBO PVC PRESION SDR17 1-1/2"</t>
  </si>
  <si>
    <t xml:space="preserve">Área entrepiso de nivel 2 </t>
  </si>
  <si>
    <t xml:space="preserve">Longitud de paredes nivel 1 </t>
  </si>
  <si>
    <t xml:space="preserve">Altura paredes nivel 1 </t>
  </si>
  <si>
    <t>Longitud de paredes nivel 2</t>
  </si>
  <si>
    <t>Altura paredes nivel 2</t>
  </si>
  <si>
    <t>CINTA EMPAQUE 2"</t>
  </si>
  <si>
    <t>Segueta</t>
  </si>
  <si>
    <t>Codo 90 PVC 4"</t>
  </si>
  <si>
    <t>Longitudinal de viga de fundacion 1-4</t>
  </si>
  <si>
    <t>Aros de viga de fundacion 1-4</t>
  </si>
  <si>
    <t>Longitudinal de viga de fundacion 5-7</t>
  </si>
  <si>
    <t>Aros de viga de fundacion 5-7</t>
  </si>
  <si>
    <t>Doble malla #3</t>
  </si>
  <si>
    <t>Bastones de 1,2m</t>
  </si>
  <si>
    <t># varillas verticales</t>
  </si>
  <si>
    <t>Longitudinal de muros (verticales)</t>
  </si>
  <si>
    <t xml:space="preserve"># varillas verticales </t>
  </si>
  <si>
    <t>Longitudinal de muros h=2.60 m</t>
  </si>
  <si>
    <t>Longitudinal de muros (verticales) h=2.60m</t>
  </si>
  <si>
    <t>Longitudinal de muros h=0.90m</t>
  </si>
  <si>
    <t>Longitudinal de muros (verticales) h=0.90m</t>
  </si>
  <si>
    <t># varillas horizontales</t>
  </si>
  <si>
    <t>AREA DE CIELOS REPELLADOS</t>
  </si>
  <si>
    <t>Bajante metalico</t>
  </si>
  <si>
    <t>M15-0056</t>
  </si>
  <si>
    <t>HOJALATERIA 30cm</t>
  </si>
  <si>
    <t>M15-0057</t>
  </si>
  <si>
    <t>HOJALATERIA 60cm</t>
  </si>
  <si>
    <t>M01-0013</t>
  </si>
  <si>
    <t>PLATINA HN 1/8"X 1 1/2</t>
  </si>
  <si>
    <t>DESCRIPCION DE HORAS M.O.</t>
  </si>
  <si>
    <t>MODELO DE CASA</t>
  </si>
  <si>
    <t>M08-0037 + M08-0043 + M08-0044 + M08-0051</t>
  </si>
  <si>
    <t>M11-0066, M11-0077</t>
  </si>
  <si>
    <t>Clav negro de 1¨</t>
  </si>
  <si>
    <t>FUNDACIONES</t>
  </si>
  <si>
    <t>MUROS N1 &amp; N2, ENTREPISO &amp; AZOTEA</t>
  </si>
  <si>
    <t>REPELLOS &amp; EMPASTE</t>
  </si>
  <si>
    <t>N72</t>
  </si>
  <si>
    <t>N60</t>
  </si>
  <si>
    <t>N85</t>
  </si>
  <si>
    <t>N90</t>
  </si>
  <si>
    <t>N102</t>
  </si>
  <si>
    <t>MECÁNICO PAREDES PRIMER NIVEL &amp; SEGUNDO NIVEL</t>
  </si>
  <si>
    <t>MECANICO MUROS 1NIVEL</t>
  </si>
  <si>
    <t>MECANICO MUROS 2NIVEL</t>
  </si>
  <si>
    <t>Uni</t>
  </si>
  <si>
    <t>M3 totales de lastres</t>
  </si>
  <si>
    <t>Bolsa cal</t>
  </si>
  <si>
    <t>Crayon lyra amarillo</t>
  </si>
  <si>
    <t>Cuerda albañil blanca</t>
  </si>
  <si>
    <t>Bolsa</t>
  </si>
  <si>
    <t>Horas de Back hoe</t>
  </si>
  <si>
    <t>Compactador</t>
  </si>
  <si>
    <t>Arena lavada</t>
  </si>
  <si>
    <t>Mecha blanca</t>
  </si>
  <si>
    <t>Acetona</t>
  </si>
  <si>
    <t>Tubo 1X2X1.5MM HN</t>
  </si>
  <si>
    <t>Varilla deforme #4</t>
  </si>
  <si>
    <t>Cuerda albañil blanca</t>
  </si>
  <si>
    <t>Regla semiduro 1X3X4 sin cepillar</t>
  </si>
  <si>
    <t>VIGAS DE FUNDACION</t>
  </si>
  <si>
    <t>Separador tipo cono 2.5cm (1") SP125</t>
  </si>
  <si>
    <t>Separadores tipo cono 12CM SP450</t>
  </si>
  <si>
    <t>Disco corte metal fino 9"</t>
  </si>
  <si>
    <t>Disco corte fino metal 4-1/2</t>
  </si>
  <si>
    <t>Aditivo Ergo 4000 PG50</t>
  </si>
  <si>
    <t>Fibra de vidrio</t>
  </si>
  <si>
    <t>Espuma expansiva 750ML</t>
  </si>
  <si>
    <t>.</t>
  </si>
  <si>
    <t>Brocha corriente 3"</t>
  </si>
  <si>
    <t>Anticorrosivo minio galon</t>
  </si>
  <si>
    <t xml:space="preserve"> Brocha corriente 3" </t>
  </si>
  <si>
    <t xml:space="preserve"> Maxistik 590 (epoxico) </t>
  </si>
  <si>
    <t xml:space="preserve"> Merula c/catalizador </t>
  </si>
  <si>
    <t xml:space="preserve">Bobina acero suave blanco 4011 0.44 x 1220 mm </t>
  </si>
  <si>
    <t xml:space="preserve"> Clip esmaltado calibre 24 </t>
  </si>
  <si>
    <t xml:space="preserve"> Tornillo gypsum 7/16 punta fina con arandela </t>
  </si>
  <si>
    <t xml:space="preserve"> Duretan blanco </t>
  </si>
  <si>
    <t>BARANDAS DE GRADAS (N2)</t>
  </si>
  <si>
    <t>1/4 galon</t>
  </si>
  <si>
    <t>Merula c/catalizador</t>
  </si>
  <si>
    <t>Hojalateria de 60cm</t>
  </si>
  <si>
    <t>Sikaflex 1A plus, sellador</t>
  </si>
  <si>
    <t>Aditivo Ergo</t>
  </si>
  <si>
    <t>Aditivo Ergo 4000</t>
  </si>
  <si>
    <t>Fibra</t>
  </si>
  <si>
    <t>Rollo plastico negro 3,6mx100m</t>
  </si>
  <si>
    <t>Piedra p/lavado gruesa gris con verde</t>
  </si>
  <si>
    <t>Maxiclear brillante</t>
  </si>
  <si>
    <t>galon</t>
  </si>
  <si>
    <t>Baldosa lisa 2m de largo (190X50X4)</t>
  </si>
  <si>
    <t>Baldosa lisa 1.5m de largo (140X50X4)</t>
  </si>
  <si>
    <t>Baldosa lisa 0.8m de largo (0.8X50X4)</t>
  </si>
  <si>
    <t>Baldosa lisa 0.7m de largo (0.70X50X4)</t>
  </si>
  <si>
    <t>Columna en T prefa 3.30x12x12</t>
  </si>
  <si>
    <t>Columna  prefa 3.30x12x12</t>
  </si>
  <si>
    <t>M10-0094</t>
  </si>
  <si>
    <t>M10-0093</t>
  </si>
  <si>
    <t>M10-0096</t>
  </si>
  <si>
    <t>M10-0095 </t>
  </si>
  <si>
    <t>M10-0097 </t>
  </si>
  <si>
    <t>BALDOSA LISA 2M LARGO (190x50x4)</t>
  </si>
  <si>
    <t>BALDOSA LISA 1,5M LARGO (140x50x4)</t>
  </si>
  <si>
    <t>BALDOSA LISA 0,8M LARGO (80x50x4)</t>
  </si>
  <si>
    <t xml:space="preserve"> BALDOSA LISA 0,7M LARGO (70x50x4)</t>
  </si>
  <si>
    <t>COLUMNA EN T PREFA 3,30x12x12</t>
  </si>
  <si>
    <t>COLUMNA PREFA 3,30x12x12</t>
  </si>
  <si>
    <t>Tornillo gypsum  7/16 punta broca con arandela</t>
  </si>
  <si>
    <t>Lija de agua #120</t>
  </si>
  <si>
    <t>Masking azul 2"</t>
  </si>
  <si>
    <t xml:space="preserve">uni </t>
  </si>
  <si>
    <t>Lija de agua #180</t>
  </si>
  <si>
    <t>Duretan blanco</t>
  </si>
  <si>
    <t>Silicon pintable</t>
  </si>
  <si>
    <t>Thinner industrial</t>
  </si>
  <si>
    <t>Pintura super dry galon</t>
  </si>
  <si>
    <t>Brocha corriente 2"</t>
  </si>
  <si>
    <t>Felpa 3/4</t>
  </si>
  <si>
    <t>Rodillo para felpa</t>
  </si>
  <si>
    <t>Masking blanco 2"</t>
  </si>
  <si>
    <t>Masking azul 3/4"</t>
  </si>
  <si>
    <t>Rollo plastico c/cinta 80°c-120 cm. x 20 m</t>
  </si>
  <si>
    <t>Impermeabilizante base 201</t>
  </si>
  <si>
    <t>Impermeabilizante top 202</t>
  </si>
  <si>
    <t>Arena silica</t>
  </si>
  <si>
    <t>Masking azul 2</t>
  </si>
  <si>
    <t>ini</t>
  </si>
  <si>
    <t>Bisagra recta slow motion clip on</t>
  </si>
  <si>
    <t xml:space="preserve">Pata niveladora plastica 12 cm </t>
  </si>
  <si>
    <t xml:space="preserve">Tiradera cilindrica cc:12.8cm </t>
  </si>
  <si>
    <t xml:space="preserve">Soporte lateral niquel 3h+3tr </t>
  </si>
  <si>
    <t xml:space="preserve">Tubo oval p/closet 3 mt </t>
  </si>
  <si>
    <t xml:space="preserve">Riel telesc slow motion la 350m rs-c45ga-350 (14") </t>
  </si>
  <si>
    <t xml:space="preserve">Riel telescopico slow motion la 450m rs-a45dt (18") </t>
  </si>
  <si>
    <t xml:space="preserve">Rodapie alumi inox 150-300-rod2 al </t>
  </si>
  <si>
    <t xml:space="preserve">Set corredizo doble ducasse p/closet </t>
  </si>
  <si>
    <t xml:space="preserve">Dedales para puerta corrediza </t>
  </si>
  <si>
    <t xml:space="preserve">Melamina 18x1830x2500 </t>
  </si>
  <si>
    <t xml:space="preserve">Tapeta 22x0.45mm </t>
  </si>
  <si>
    <t xml:space="preserve"> Riel superi acl-rsu09 3mtrs</t>
  </si>
  <si>
    <t xml:space="preserve">Tapa tornillo (100) </t>
  </si>
  <si>
    <t xml:space="preserve">Tornillo p/madera 2x0.6mm negro rosca ordinaria </t>
  </si>
  <si>
    <t xml:space="preserve">Tornillo p/madera 3/4x0.6mm negro rosca ordinaria </t>
  </si>
  <si>
    <t xml:space="preserve">Tornillo p/madera 2 1/2x0.8mm amarillo rosca ordinaria </t>
  </si>
  <si>
    <t xml:space="preserve">Tornillo p/madera 1 1/4x0.6mm negro rosca ordinaria </t>
  </si>
  <si>
    <t xml:space="preserve">Espander plastico #8 </t>
  </si>
  <si>
    <t xml:space="preserve">Clavo negro 1" (100) </t>
  </si>
  <si>
    <t xml:space="preserve"> Espuma expansiva 750ml </t>
  </si>
  <si>
    <t xml:space="preserve">Esquinero plastico 1 1/4x10 </t>
  </si>
  <si>
    <t xml:space="preserve">Soporte p/estante trans 5mm sp-1-pl-hu </t>
  </si>
  <si>
    <t xml:space="preserve">Masking blanco 2" </t>
  </si>
  <si>
    <t xml:space="preserve">Mecha blanca </t>
  </si>
  <si>
    <t xml:space="preserve">Pegamento p/muebles 20kg </t>
  </si>
  <si>
    <t xml:space="preserve"> Plastico para paletizar 80-120 cm </t>
  </si>
  <si>
    <t xml:space="preserve">Cerradura interna manija yale  </t>
  </si>
  <si>
    <t xml:space="preserve">Cerradura principal yale </t>
  </si>
  <si>
    <t xml:space="preserve">Rodapie (generico) </t>
  </si>
  <si>
    <t xml:space="preserve">Puerta + marco + moldura buque 100cm (ad) </t>
  </si>
  <si>
    <t xml:space="preserve">Puerta + marco + moldura buque 80cm (ad) </t>
  </si>
  <si>
    <t xml:space="preserve">Puerta + marco + moldura buque 90cm (ad) </t>
  </si>
  <si>
    <t>Zacate San Agustin</t>
  </si>
  <si>
    <t>DRENAJE_ LONGITUD</t>
  </si>
  <si>
    <t>Saran, para drenaje (tipo geotextil)</t>
  </si>
  <si>
    <t>METRO</t>
  </si>
  <si>
    <t>Saran verde, para drenaje</t>
  </si>
  <si>
    <t>Piedra cuartilla</t>
  </si>
  <si>
    <t>Tubo SDR41 JC PVC 3"</t>
  </si>
  <si>
    <t>Tubo 3¨ PVC, sanitario</t>
  </si>
  <si>
    <t>Disco de corte</t>
  </si>
  <si>
    <t>SANITARIO EN LOSA</t>
  </si>
  <si>
    <t>POTABLE EN LOSA</t>
  </si>
  <si>
    <t>ACOMETIDA &amp; ELECTRICO LOSA</t>
  </si>
  <si>
    <t>ELECTRICO ENTREPISO</t>
  </si>
  <si>
    <t>M05-0160</t>
  </si>
  <si>
    <t>CAJA RECTANGULAR INTEMPERIE B5V 3HUECOS 1/2" (UL)</t>
  </si>
  <si>
    <t>ELECTRICO AZOTEA</t>
  </si>
  <si>
    <t>Conector conduit 1/2"</t>
  </si>
  <si>
    <t>M06-0061</t>
  </si>
  <si>
    <t>M06-0496</t>
  </si>
  <si>
    <t>TORNILLO GYPSUM 1 1/4"</t>
  </si>
  <si>
    <t>TORNILLO 8X1 1/4 P/BROCA</t>
  </si>
  <si>
    <t>Conduleta botagua 1-1/4</t>
  </si>
  <si>
    <t>Conduleta botagua 1</t>
  </si>
  <si>
    <t>Tubo emt 1-1/4</t>
  </si>
  <si>
    <t>Conector tornillo emt 11/4</t>
  </si>
  <si>
    <t>Base medidor ms1254jcbm+a125+qo2100</t>
  </si>
  <si>
    <t>Conector conduit 1/2 ul</t>
  </si>
  <si>
    <t>Conector conduit 1 1/2 ul</t>
  </si>
  <si>
    <t>Tubo conduit 1-1/2 ul</t>
  </si>
  <si>
    <t>Tubo conduit 1 ul</t>
  </si>
  <si>
    <t>Tubo conduit 1/2 ul</t>
  </si>
  <si>
    <t>Curva conduit 1 ul</t>
  </si>
  <si>
    <t>Curva conduit 1-1/2 ul</t>
  </si>
  <si>
    <t>Curva conduit 1/2 ul</t>
  </si>
  <si>
    <t>Varilla cooperwell 5/8 3m</t>
  </si>
  <si>
    <t>Gaza p/varilla copperweld usa ul</t>
  </si>
  <si>
    <t>Cable aluminio 1/0 serie 8000</t>
  </si>
  <si>
    <t>Cable #8 blanco</t>
  </si>
  <si>
    <t>Conector de barril para 1/0 cu-al</t>
  </si>
  <si>
    <t>Conector 1 1/2 UL</t>
  </si>
  <si>
    <t>Conecotr 1 UL</t>
  </si>
  <si>
    <t>Conector 1/2 UL</t>
  </si>
  <si>
    <t>Conector 3/4 UL</t>
  </si>
  <si>
    <t>Union 1 1/2 UL</t>
  </si>
  <si>
    <t>Union 1 UL</t>
  </si>
  <si>
    <t>Union 1/2 UL</t>
  </si>
  <si>
    <t>Union 3/4 UL</t>
  </si>
  <si>
    <t>Regla 1x3 s/cepillar</t>
  </si>
  <si>
    <t>Caja rectangular 1/2</t>
  </si>
  <si>
    <t>Centro Carga 24 espacios</t>
  </si>
  <si>
    <t>Gabinete 15" plastico</t>
  </si>
  <si>
    <t>Curva 1/2 UL</t>
  </si>
  <si>
    <t>Centro de Carga 30 espacios</t>
  </si>
  <si>
    <t>TABLERO</t>
  </si>
  <si>
    <t>M05-0331</t>
  </si>
  <si>
    <t>CENTRO CARGA 32 ESPACIOS SQUARE D QO DE EMPOTRAR</t>
  </si>
  <si>
    <t>CABLE DELGADO</t>
  </si>
  <si>
    <t>M05-0271</t>
  </si>
  <si>
    <t>CABLE GRUESO</t>
  </si>
  <si>
    <t>M05-0446</t>
  </si>
  <si>
    <t>M06-0497</t>
  </si>
  <si>
    <t>M06-0084</t>
  </si>
  <si>
    <t>TORNILLO MADERA 10X2 1/2</t>
  </si>
  <si>
    <t>TORNILLO MADERA 2"</t>
  </si>
  <si>
    <t>LÁMPARA LED REDONDA DE 12W DE PARCHE LUZ BLANCA</t>
  </si>
  <si>
    <t>M13-0061</t>
  </si>
  <si>
    <t>curva conduit 3/4 ul</t>
  </si>
  <si>
    <t>Union conduit 1-1/2 ul</t>
  </si>
  <si>
    <t>Union conduit 1 ul</t>
  </si>
  <si>
    <t>Union conduit 1/2 ul</t>
  </si>
  <si>
    <t>Conector conduit 1" ul</t>
  </si>
  <si>
    <t xml:space="preserve">Conector tornillo emt 1 </t>
  </si>
  <si>
    <t>Caja de registro 30x30para varilla coperwell</t>
  </si>
  <si>
    <t>Gubo emt 1 (3m)</t>
  </si>
  <si>
    <t>CAJA REGISTRO 30X30 PARA VARILLA COOPERWELL</t>
  </si>
  <si>
    <t>3.1.10</t>
  </si>
  <si>
    <r>
      <t xml:space="preserve">Modelo </t>
    </r>
    <r>
      <rPr>
        <sz val="12"/>
        <color rgb="FF000000"/>
        <rFont val="Aptos Narrow"/>
        <family val="2"/>
      </rPr>
      <t>→</t>
    </r>
  </si>
  <si>
    <t>Trampa para grasa 4"</t>
  </si>
  <si>
    <t>Sifon p/concreto 4"</t>
  </si>
  <si>
    <t>Cemento industrial</t>
  </si>
  <si>
    <t>Piedra cuartilla</t>
  </si>
  <si>
    <t>Arena fina de rio</t>
  </si>
  <si>
    <t>Hidrometro de 1/2q (12mm) encapsulado roscado arad</t>
  </si>
  <si>
    <t>Juego de accesorios 1/2 bronce btp</t>
  </si>
  <si>
    <t>Caja de 1/2" de proteccion agua hf funidadelima</t>
  </si>
  <si>
    <t>Regla semiduro 1x3x4 sin cepillar</t>
  </si>
  <si>
    <t>SUBCONTRATO CALENTADOR DE AGUA</t>
  </si>
  <si>
    <t>ERROR</t>
  </si>
  <si>
    <t>AREA DE MUROS</t>
  </si>
  <si>
    <t>Fabricacion de muebles</t>
  </si>
  <si>
    <t>Back hoe peque</t>
  </si>
  <si>
    <t>1hora</t>
  </si>
  <si>
    <t>6 horas</t>
  </si>
  <si>
    <t>Rodillo</t>
  </si>
  <si>
    <t>Vagoneta</t>
  </si>
  <si>
    <t>2 horas</t>
  </si>
  <si>
    <t xml:space="preserve">EXCAVACION TUBERIA SANITARIA </t>
  </si>
  <si>
    <t>Tubo PVC 3"</t>
  </si>
  <si>
    <t>Codo 90 PVC 3"</t>
  </si>
  <si>
    <t>Codo 45 PVC 3"</t>
  </si>
  <si>
    <t>Codo 90 PVC 2"</t>
  </si>
  <si>
    <t>Yee PVC 3"</t>
  </si>
  <si>
    <t>Reducción 3" a 4"</t>
  </si>
  <si>
    <t>Reducción 2" a 3"</t>
  </si>
  <si>
    <t>VAGONETA</t>
  </si>
  <si>
    <t>Tubería</t>
  </si>
  <si>
    <t>Accesorios</t>
  </si>
  <si>
    <t>POTABLE DE LOSA</t>
  </si>
  <si>
    <t>3.2.2.1</t>
  </si>
  <si>
    <t>POTABLE DE ENTREPISO</t>
  </si>
  <si>
    <t>3.2.2.2</t>
  </si>
  <si>
    <t>SANITARIO DE ENTREPISO</t>
  </si>
  <si>
    <t>Tubo SDR41 pvc 1 1/4</t>
  </si>
  <si>
    <t>Tubo PVC 1/2 p/gruesa</t>
  </si>
  <si>
    <t>Tubo CPVC 1/2</t>
  </si>
  <si>
    <t>Tubo SDR41 PVC 1 1/4</t>
  </si>
  <si>
    <t>Codo 90 PVC liso 1/2"</t>
  </si>
  <si>
    <t>Codo 90 CPVC 1/2"</t>
  </si>
  <si>
    <t>Adaptador macho PVC 1/2</t>
  </si>
  <si>
    <t>Adaptador macho CPVC 1/2</t>
  </si>
  <si>
    <t>Tapon hembra liso PVC 1/2</t>
  </si>
  <si>
    <t>Tapon liso CPVC 1/2</t>
  </si>
  <si>
    <t>Tapon liso PVC sanitario 11/4</t>
  </si>
  <si>
    <t>MEDIDOR</t>
  </si>
  <si>
    <t>Caja de registro pluvial y sanitaria</t>
  </si>
  <si>
    <t>Caja de registro secadora</t>
  </si>
  <si>
    <t>3.2.5</t>
  </si>
  <si>
    <t>3.2.6</t>
  </si>
  <si>
    <t>TUBERIA</t>
  </si>
  <si>
    <t>ACCESORIOS</t>
  </si>
  <si>
    <t xml:space="preserve">TUBERÍA </t>
  </si>
  <si>
    <t>Área total de casa</t>
  </si>
  <si>
    <t>Área interna de casa</t>
  </si>
  <si>
    <t>Área prorrateada</t>
  </si>
  <si>
    <t>Accesorios potable</t>
  </si>
  <si>
    <t>Accesorios pluvial</t>
  </si>
  <si>
    <t>/ml</t>
  </si>
  <si>
    <t>/und</t>
  </si>
  <si>
    <t>Mano de obra ml de tuberia</t>
  </si>
  <si>
    <t>Mano de obra accesorios</t>
  </si>
  <si>
    <t>ml</t>
  </si>
  <si>
    <t>Etiquetas de fila</t>
  </si>
  <si>
    <t>Cuenta de Colaboradores</t>
  </si>
  <si>
    <t>Suma de Salario + Cargas</t>
  </si>
  <si>
    <t>PROMEDIO</t>
  </si>
  <si>
    <t>Aceros</t>
  </si>
  <si>
    <t>Apoyo</t>
  </si>
  <si>
    <t>Complementarias</t>
  </si>
  <si>
    <t>Complementarias 2</t>
  </si>
  <si>
    <t>Complementarias 3</t>
  </si>
  <si>
    <t>Cubierta Techos</t>
  </si>
  <si>
    <t>Enchape</t>
  </si>
  <si>
    <t>Fontaneria</t>
  </si>
  <si>
    <t>Gypsum</t>
  </si>
  <si>
    <t>Hojalateria</t>
  </si>
  <si>
    <t>Infraestructura</t>
  </si>
  <si>
    <t>Limpieza Casas</t>
  </si>
  <si>
    <t>Losa 2</t>
  </si>
  <si>
    <t>Mantenimiento</t>
  </si>
  <si>
    <t>Muebles</t>
  </si>
  <si>
    <t>Prefabricados</t>
  </si>
  <si>
    <t>COSTO MANO DE OBRA PROMEDIADO DE CUADRILLAS</t>
  </si>
  <si>
    <t>Costo hora</t>
  </si>
  <si>
    <t>Maderas (FABRICA)</t>
  </si>
  <si>
    <t>NA</t>
  </si>
  <si>
    <t>Mano de obra (geoceldas)</t>
  </si>
  <si>
    <t>Mano de obra de tapicheles</t>
  </si>
  <si>
    <t>Mano de obra aleros, cielo PVC</t>
  </si>
  <si>
    <t>Mano de obra de pared de patio</t>
  </si>
  <si>
    <t>Mano de obra Cielos de gypsum</t>
  </si>
  <si>
    <t>Mano de obra de Paredes livianas</t>
  </si>
  <si>
    <t>Mano de obra de enchape de baño</t>
  </si>
  <si>
    <t>Mano de obra enchape, porcelanato</t>
  </si>
  <si>
    <t>Mano de obra empaste</t>
  </si>
  <si>
    <t>Mano de obra Instalación de puertas</t>
  </si>
  <si>
    <t>Mano de obra Instalación de rodapiés</t>
  </si>
  <si>
    <t>Accesorios sanitarios_entrepiso</t>
  </si>
  <si>
    <t>Accesorios sanitarios_losa</t>
  </si>
  <si>
    <t>Tuberia sanitaria_losa</t>
  </si>
  <si>
    <t>Tuberia sanitaria_entrepiso</t>
  </si>
  <si>
    <t>Tuberia potable</t>
  </si>
  <si>
    <t>Tuberia pluvial</t>
  </si>
  <si>
    <t>Mano de obra de Acabados mecanicos</t>
  </si>
  <si>
    <t>Medidor</t>
  </si>
  <si>
    <t>m.o</t>
  </si>
  <si>
    <t>Precio anterior</t>
  </si>
  <si>
    <t>3.2.7</t>
  </si>
  <si>
    <t>V-5
m. lineales</t>
  </si>
  <si>
    <t>V-6
m. lineales</t>
  </si>
  <si>
    <t>CONCRETO LOSA CENITAL</t>
  </si>
  <si>
    <t>FORMALETA LOSA CENITAL</t>
  </si>
  <si>
    <t>Puerta 1,50 m x 2,1 m</t>
  </si>
  <si>
    <t>Puerta 1 m x 1,15 m</t>
  </si>
  <si>
    <t>Zante / Azotea</t>
  </si>
  <si>
    <t>ESTIMADO ZANTE AZOTEA</t>
  </si>
  <si>
    <t>COSTOS INDIRECTOS</t>
  </si>
  <si>
    <t>OTROS + IMPUESTOS</t>
  </si>
  <si>
    <t>ADMINISTRACION (CAMPO)</t>
  </si>
  <si>
    <t>ADMINISTRACION (PERMISOS, CONSULTORIA)</t>
  </si>
  <si>
    <t>REPARACION Y POSVENTA</t>
  </si>
  <si>
    <t>PAGO GREEN</t>
  </si>
  <si>
    <t>COMISION DE VENTAS</t>
  </si>
  <si>
    <t>FORMALIZACION</t>
  </si>
  <si>
    <t>MERCADEO</t>
  </si>
  <si>
    <t>REGALIAS GERENCIA</t>
  </si>
  <si>
    <t>TOTAL INDIRECTOS</t>
  </si>
  <si>
    <t>COSTO POSVENTA</t>
  </si>
  <si>
    <t>PUBLICIDAD</t>
  </si>
  <si>
    <t>FIORA &amp; BLEND</t>
  </si>
  <si>
    <t>BOMBA</t>
  </si>
  <si>
    <t>BOMBA DE CONCRETO</t>
  </si>
  <si>
    <t>DIFERENCIA PRESUPUESTO DJ CON MO A 110.000 M2</t>
  </si>
  <si>
    <t>PRESUPUESTO CON MO DE FORMATO ORIGINAL</t>
  </si>
  <si>
    <t>AUMENTO DE MANO OBRA POR AJUSTE EN COSTO POR M2</t>
  </si>
  <si>
    <t>REFUERZO DE LOSA CENITAL</t>
  </si>
  <si>
    <t xml:space="preserve">CONCRETO LOSA AZOTEA </t>
  </si>
  <si>
    <t>AREA LOSA AZOTEA</t>
  </si>
  <si>
    <t># Tubos 2" x 6" x 1,8mm HG</t>
  </si>
  <si>
    <t>Mano de oBra de repellos</t>
  </si>
  <si>
    <t>1.1</t>
  </si>
  <si>
    <t>1.3</t>
  </si>
  <si>
    <t>1.5</t>
  </si>
  <si>
    <t>1.6</t>
  </si>
  <si>
    <t>2.1</t>
  </si>
  <si>
    <t>2.4</t>
  </si>
  <si>
    <t>2.5</t>
  </si>
  <si>
    <t>2.6</t>
  </si>
  <si>
    <t>2.7</t>
  </si>
  <si>
    <t>2.8</t>
  </si>
  <si>
    <t>3.1</t>
  </si>
  <si>
    <t>3.2</t>
  </si>
  <si>
    <t>SUBTOTAL</t>
  </si>
  <si>
    <t>OTROS (LASTRE, MAQUINARIA, FORMALETA)</t>
  </si>
  <si>
    <t>IMPREVISTOS</t>
  </si>
  <si>
    <t>Varilla #3 G60</t>
  </si>
  <si>
    <t>Variante</t>
  </si>
  <si>
    <t>Áreas de pilas+terraza</t>
  </si>
  <si>
    <t>PA-1</t>
  </si>
  <si>
    <t>C-1</t>
  </si>
  <si>
    <t>VARILLA DEFORME #3</t>
  </si>
  <si>
    <t>Desencofre y Resane</t>
  </si>
  <si>
    <t>Hojalatería Botaguas y Canoa</t>
  </si>
  <si>
    <t xml:space="preserve">Liviano Exteriores </t>
  </si>
  <si>
    <t>Sello, pintura interna, externa y grietas y resane</t>
  </si>
  <si>
    <t>Griferia y pilas</t>
  </si>
  <si>
    <t>CERRADURA INTERNA MANIJA YALE</t>
  </si>
  <si>
    <t>GAS  BUTANO PARA SOPLETE</t>
  </si>
  <si>
    <t>APAGADOR DOBLE TRIWAY</t>
  </si>
  <si>
    <t>BARRA A TIERRA PK27GTA 27 TERMINALES</t>
  </si>
  <si>
    <t>N Tarea</t>
  </si>
  <si>
    <t>CABLE #12</t>
  </si>
  <si>
    <t>04</t>
  </si>
  <si>
    <t>AZUL</t>
  </si>
  <si>
    <t>BLANCO</t>
  </si>
  <si>
    <t>NEGRO</t>
  </si>
  <si>
    <t>ROJO</t>
  </si>
  <si>
    <t>VERDE</t>
  </si>
  <si>
    <t>CABLE #10</t>
  </si>
  <si>
    <t>CABLE #8</t>
  </si>
  <si>
    <t>Cantidad Total</t>
  </si>
  <si>
    <t>Auxiliar</t>
  </si>
  <si>
    <t>Artículo</t>
  </si>
  <si>
    <t>TOTAL PUERTAS Y VENTANAS</t>
  </si>
  <si>
    <t>PAGO BRENES</t>
  </si>
  <si>
    <t>P13</t>
  </si>
  <si>
    <t>PUERTAS Y V.</t>
  </si>
  <si>
    <t>Conector  3/4" UL</t>
  </si>
  <si>
    <t>COD VARIANTE</t>
  </si>
  <si>
    <t>M10-0090</t>
  </si>
  <si>
    <t>REPEMAX CAPA GRUESA 80XA-W2 (40KG)</t>
  </si>
  <si>
    <t>M06-0240</t>
  </si>
  <si>
    <t>PERNO ANCLAJE 3/8X3-1/2</t>
  </si>
  <si>
    <t>M06-0526</t>
  </si>
  <si>
    <t>STONE GRIP EPOXICO</t>
  </si>
  <si>
    <t>M11-0141</t>
  </si>
  <si>
    <t>PINTURA EN SPRAY VERDE FLUORESCENTE</t>
  </si>
  <si>
    <t>M13-0021</t>
  </si>
  <si>
    <t>TEFLON CINTA 3/4 (10M)</t>
  </si>
  <si>
    <t>PAREDES BAÑO (estructura 4")</t>
  </si>
  <si>
    <t>PAREDES NORMALES (estructura 3")</t>
  </si>
  <si>
    <t>Bondex Plus 40 kg INTACO</t>
  </si>
  <si>
    <t>PASTEL</t>
  </si>
  <si>
    <t>GREEN EARTH</t>
  </si>
  <si>
    <t>ROOM GREEN</t>
  </si>
  <si>
    <t>11</t>
  </si>
  <si>
    <t>12</t>
  </si>
  <si>
    <t>M10-0091</t>
  </si>
  <si>
    <t>CONCRETO FC 120 CM2 (Concreto Pobre, Sello)</t>
  </si>
  <si>
    <t>Costo Partidas</t>
  </si>
  <si>
    <t>P12</t>
  </si>
  <si>
    <t>EB-4</t>
  </si>
  <si>
    <t>EB-5</t>
  </si>
  <si>
    <t>EB-6</t>
  </si>
  <si>
    <t>Base desayunador</t>
  </si>
  <si>
    <t>Base fregadero</t>
  </si>
  <si>
    <t>V-7
m. lineales</t>
  </si>
  <si>
    <t>TUBO 1X1X1.8MM H.N.</t>
  </si>
  <si>
    <t>M15-0020</t>
  </si>
  <si>
    <t>BOBINA GALVALUME 0.53MM X 48" BLANCO</t>
  </si>
  <si>
    <t>P15</t>
  </si>
  <si>
    <t>P14</t>
  </si>
  <si>
    <t>VA2</t>
  </si>
  <si>
    <t>VA9</t>
  </si>
  <si>
    <t>VC6</t>
  </si>
  <si>
    <t>VA7</t>
  </si>
  <si>
    <t>VA6</t>
  </si>
  <si>
    <t>VA8</t>
  </si>
  <si>
    <t>VN-I.13</t>
  </si>
  <si>
    <r>
      <t xml:space="preserve">Incluye: </t>
    </r>
    <r>
      <rPr>
        <b/>
        <sz val="12"/>
        <rFont val="Aptos Narrow"/>
        <family val="2"/>
      </rPr>
      <t>area total + area cochera * 60% + pila * 60% + terraza * 60%</t>
    </r>
  </si>
  <si>
    <r>
      <t xml:space="preserve">Incluye: </t>
    </r>
    <r>
      <rPr>
        <b/>
        <sz val="12"/>
        <rFont val="Aptos Narrow"/>
        <family val="2"/>
      </rPr>
      <t>Area N1 y N2 sin garage, azotea, pilas ni terraza. Sí se debe incluir area de ducto de escalera (monitor de azotea)</t>
    </r>
  </si>
  <si>
    <r>
      <t xml:space="preserve">Incluye: </t>
    </r>
    <r>
      <rPr>
        <b/>
        <sz val="12"/>
        <rFont val="Aptos Narrow"/>
        <family val="2"/>
      </rPr>
      <t>Area total N1 y N2  interna, pilas, terrazas, ducto de escaleras SIN AZOTEA</t>
    </r>
  </si>
  <si>
    <t>DATOS OVET 02/09/2025_CONFORMACION DE TERRAZA &amp; EXCAVACION</t>
  </si>
  <si>
    <t>Espesor lastre:</t>
  </si>
  <si>
    <t>VF1 - VF2 - VF3 - VF4  / 0.20mX0.20m</t>
  </si>
  <si>
    <t>VF5 - VF6 - VF7 / 0.53mx0.20m</t>
  </si>
  <si>
    <t>Altura</t>
  </si>
  <si>
    <t>Puertas Nivel 1</t>
  </si>
  <si>
    <t>Puertas Nivel 2</t>
  </si>
  <si>
    <t>Ventanas Nivel 1</t>
  </si>
  <si>
    <t>Ventanas Nivel 2</t>
  </si>
  <si>
    <t>Area losa cenital</t>
  </si>
  <si>
    <t>VENTANAS</t>
  </si>
  <si>
    <t>VT-1 (2"x6")</t>
  </si>
  <si>
    <t>VT-2 (2"x4")</t>
  </si>
  <si>
    <t>Tubo cerchas (2"x4")</t>
  </si>
  <si>
    <r>
      <t xml:space="preserve">Ancho de seccion de techo </t>
    </r>
    <r>
      <rPr>
        <b/>
        <sz val="12"/>
        <color rgb="FFFF0066"/>
        <rFont val="Calibri"/>
        <family val="2"/>
        <scheme val="minor"/>
      </rPr>
      <t>ANCHO DE LAMINA 60CM, APROVECHABLE 50CM</t>
    </r>
  </si>
  <si>
    <t>AREA INCLUYE UPVC, BANDEJA Y POLICARBONATO</t>
  </si>
  <si>
    <t>Ancho total (m)</t>
  </si>
  <si>
    <t>Largo con desperdicio (m)</t>
  </si>
  <si>
    <t>Precinta + Paredes de oficina y monitor de azotea (3er nivel)</t>
  </si>
  <si>
    <t>Ventanas</t>
  </si>
  <si>
    <t>Area ventana</t>
  </si>
  <si>
    <t>Area cerrada</t>
  </si>
  <si>
    <t>Costo total</t>
  </si>
  <si>
    <t>Costo SIN IVA</t>
  </si>
  <si>
    <t xml:space="preserve"> Monto IVA</t>
  </si>
  <si>
    <t>Casa</t>
  </si>
  <si>
    <t>Santorini Azotea</t>
  </si>
  <si>
    <t>Tebas Azotea</t>
  </si>
  <si>
    <t>B.26</t>
  </si>
  <si>
    <t>Ikaria Azotea</t>
  </si>
  <si>
    <t>B.27</t>
  </si>
  <si>
    <t>B.29</t>
  </si>
  <si>
    <t>B.30</t>
  </si>
  <si>
    <t>B.31</t>
  </si>
  <si>
    <t>B.32</t>
  </si>
  <si>
    <t>B.33</t>
  </si>
  <si>
    <t>Estella Azotea</t>
  </si>
  <si>
    <t>B.34</t>
  </si>
  <si>
    <t>C.01</t>
  </si>
  <si>
    <t>Zante Azotea</t>
  </si>
  <si>
    <t>C.02</t>
  </si>
  <si>
    <t>Milo Azotea</t>
  </si>
  <si>
    <t>C.03</t>
  </si>
  <si>
    <t>C.04</t>
  </si>
  <si>
    <t>C.07</t>
  </si>
  <si>
    <t>C.08</t>
  </si>
  <si>
    <t>C.10</t>
  </si>
  <si>
    <t>C.12</t>
  </si>
  <si>
    <t>C.13</t>
  </si>
  <si>
    <t>C.14</t>
  </si>
  <si>
    <t>C.15</t>
  </si>
  <si>
    <t>C.17</t>
  </si>
  <si>
    <t>C.19</t>
  </si>
  <si>
    <t>C.20</t>
  </si>
  <si>
    <t>C.21</t>
  </si>
  <si>
    <t>C.22</t>
  </si>
  <si>
    <t>C.24</t>
  </si>
  <si>
    <t>Estella Techo</t>
  </si>
  <si>
    <t>D.14</t>
  </si>
  <si>
    <t>Ikaria Techo</t>
  </si>
  <si>
    <t>D.16</t>
  </si>
  <si>
    <t>D.17</t>
  </si>
  <si>
    <t>D.19</t>
  </si>
  <si>
    <t>Milo Techo</t>
  </si>
  <si>
    <t>Caspe Azotea</t>
  </si>
  <si>
    <t>Tebas Techo</t>
  </si>
  <si>
    <t>D.21</t>
  </si>
  <si>
    <t>D.23</t>
  </si>
  <si>
    <t>F.12</t>
  </si>
  <si>
    <t>F.16</t>
  </si>
  <si>
    <t>Modulo</t>
  </si>
  <si>
    <t>Aereo fregadero</t>
  </si>
  <si>
    <t>Aereo cocina</t>
  </si>
  <si>
    <t>Base gavetas</t>
  </si>
  <si>
    <t>Aereo gavetas</t>
  </si>
  <si>
    <t>Base micro</t>
  </si>
  <si>
    <t>Aereo Micro</t>
  </si>
  <si>
    <t>Base puertas</t>
  </si>
  <si>
    <t>Aereo puertas</t>
  </si>
  <si>
    <t>Fregadero 1,10m / bar</t>
  </si>
  <si>
    <t>Fregadero 1,10m / a nivel</t>
  </si>
  <si>
    <t>Closet 2 gavetas / puertas</t>
  </si>
  <si>
    <t>Closet 4 gavetas / puertas</t>
  </si>
  <si>
    <t>WC estante + puerta</t>
  </si>
  <si>
    <t>WC 2 modulos + puerta</t>
  </si>
  <si>
    <t>Modulo Base  Fregadero</t>
  </si>
  <si>
    <t>Modulo Aereo Fregadero</t>
  </si>
  <si>
    <t>COSTO MODULO</t>
  </si>
  <si>
    <t>TOTAL MODULO</t>
  </si>
  <si>
    <r>
      <t xml:space="preserve">Total </t>
    </r>
    <r>
      <rPr>
        <b/>
        <sz val="11"/>
        <rFont val="Aptos Narrow"/>
        <family val="2"/>
      </rPr>
      <t>₵</t>
    </r>
  </si>
  <si>
    <t>COSTO C/ GRANITO</t>
  </si>
  <si>
    <t>Granito</t>
  </si>
  <si>
    <t>Soporte transparente</t>
  </si>
  <si>
    <t>Esquinero</t>
  </si>
  <si>
    <t>Tapatorinillo</t>
  </si>
  <si>
    <t>Riel superior</t>
  </si>
  <si>
    <t>Tapeta</t>
  </si>
  <si>
    <t>Melamina m2</t>
  </si>
  <si>
    <t>Cant. Láminas</t>
  </si>
  <si>
    <t>m2 lamina</t>
  </si>
  <si>
    <t>Dedales</t>
  </si>
  <si>
    <t>Set roller</t>
  </si>
  <si>
    <t>cm</t>
  </si>
  <si>
    <t>Rodapie</t>
  </si>
  <si>
    <t>Cant. ML</t>
  </si>
  <si>
    <t>Riel 18"</t>
  </si>
  <si>
    <t>Riel 14"</t>
  </si>
  <si>
    <t>Tubo ovalado</t>
  </si>
  <si>
    <t>Soporte lateral</t>
  </si>
  <si>
    <t>Tiradera</t>
  </si>
  <si>
    <t>Pata plastica</t>
  </si>
  <si>
    <t>Bisagra</t>
  </si>
  <si>
    <t>Precio Total</t>
  </si>
  <si>
    <t>Precio Unitario</t>
  </si>
  <si>
    <t>Modulo Aereo / Puerta</t>
  </si>
  <si>
    <t>Modulo Base / Puerta</t>
  </si>
  <si>
    <t>Fregadero 1,10m / A nivel</t>
  </si>
  <si>
    <t>Fregadero 1,10m / Bar</t>
  </si>
  <si>
    <t>WC / 2 modulos + puerta</t>
  </si>
  <si>
    <t>WC / estante + puerta</t>
  </si>
  <si>
    <t>Modulo Alacena</t>
  </si>
  <si>
    <t>Base Desayunador</t>
  </si>
  <si>
    <t>Modulo Baño</t>
  </si>
  <si>
    <t>Modulo Aereo Micro</t>
  </si>
  <si>
    <t>Modulo Base Micro</t>
  </si>
  <si>
    <t>Modulo Aereo Gavetas</t>
  </si>
  <si>
    <t>Modulo Base Gavetas</t>
  </si>
  <si>
    <t>Modulo Aereo Cocina</t>
  </si>
  <si>
    <t>IVA</t>
  </si>
  <si>
    <t>COSTO / ML</t>
  </si>
  <si>
    <t>Desp</t>
  </si>
  <si>
    <t>P  L  A  N  T  I  L  L  A    B  A  S  E</t>
  </si>
  <si>
    <t>Clavadores</t>
  </si>
  <si>
    <t/>
  </si>
  <si>
    <t>M05-0218</t>
  </si>
  <si>
    <t>SACO ARENA SILICA</t>
  </si>
  <si>
    <t>M11-0067</t>
  </si>
  <si>
    <t>(m)</t>
  </si>
  <si>
    <t>TUBERÍA PLUVIAL</t>
  </si>
  <si>
    <t>Modelo Casa</t>
  </si>
  <si>
    <t xml:space="preserve">Caja Registro 30x30 </t>
  </si>
  <si>
    <t xml:space="preserve">Base medidor </t>
  </si>
  <si>
    <t>Tubo emt 1 1/4</t>
  </si>
  <si>
    <t>Conector emt 1 1/4</t>
  </si>
  <si>
    <t>Varilla Cooperweld</t>
  </si>
  <si>
    <t>Tubo emt 1</t>
  </si>
  <si>
    <t>Gaza p/ Varilla tierra</t>
  </si>
  <si>
    <t>Conector emt 1</t>
  </si>
  <si>
    <t>Conduleta Botagua 1</t>
  </si>
  <si>
    <t xml:space="preserve">Conduleta Botagua 1 1/4 </t>
  </si>
  <si>
    <t>Conector  1" UL</t>
  </si>
  <si>
    <t>Conector  1 1/2" UL</t>
  </si>
  <si>
    <t>medidor</t>
  </si>
  <si>
    <t>BREAKER</t>
  </si>
  <si>
    <t>m06-0090</t>
  </si>
  <si>
    <t>PLAQUERIA</t>
  </si>
  <si>
    <t>Cable Delgado</t>
  </si>
  <si>
    <t>ILUMINACION</t>
  </si>
  <si>
    <t>AZOTEA (TUBERIA Y CAJAS)</t>
  </si>
  <si>
    <t>MURO N2</t>
  </si>
  <si>
    <t>ENTREPISO (TUBERIAS Y CAJAS)</t>
  </si>
  <si>
    <t>MURO N1</t>
  </si>
  <si>
    <t xml:space="preserve">                                                  </t>
  </si>
  <si>
    <t>Gyro / Azotea</t>
  </si>
  <si>
    <t>Avila / Techo</t>
  </si>
  <si>
    <t>Toledo / Techo</t>
  </si>
  <si>
    <t>Caspe / Azotea</t>
  </si>
  <si>
    <t>Fiora /Azotea</t>
  </si>
  <si>
    <t>Kora / Azotea</t>
  </si>
  <si>
    <t>Stella L 3DA / Azotea</t>
  </si>
  <si>
    <t>Zante DA / Azotea</t>
  </si>
  <si>
    <t>Stella L 1DA Amp / Azotea</t>
  </si>
  <si>
    <t>Stella L 2DA Amp / Azotea</t>
  </si>
  <si>
    <t>Stellita / Azotea</t>
  </si>
  <si>
    <t>Stella L 2DA / Azotea</t>
  </si>
  <si>
    <t>Stella L 2DA / Techo</t>
  </si>
  <si>
    <t>Stella L 1DA-2DA.2 / Azotea</t>
  </si>
  <si>
    <t>Stella L 1DA-2DA.1 / Azotea</t>
  </si>
  <si>
    <t>Stella L 1DA-1DA / Azotea</t>
  </si>
  <si>
    <t>Stella L 1DA / Azotea</t>
  </si>
  <si>
    <t>Stella 1DA-1DA / Azotea</t>
  </si>
  <si>
    <t>Stella 1DA / Techo</t>
  </si>
  <si>
    <t>Stella / Azotea</t>
  </si>
  <si>
    <t>Stella / Techo</t>
  </si>
  <si>
    <t>Zante Mod. / Azotea</t>
  </si>
  <si>
    <t>Zante Of / Azotea</t>
  </si>
  <si>
    <t>Zante Of / Techo</t>
  </si>
  <si>
    <t>Zante Crece / Azotea</t>
  </si>
  <si>
    <t>Zante Crece / Techo</t>
  </si>
  <si>
    <t>Zante / Techo</t>
  </si>
  <si>
    <t>Tebas / Azotea</t>
  </si>
  <si>
    <t>Tebas / Techo</t>
  </si>
  <si>
    <t>Skyros / Azotea</t>
  </si>
  <si>
    <t>Skyros / Techo</t>
  </si>
  <si>
    <t>Santorini DA / Azotea</t>
  </si>
  <si>
    <t>Santorini 4D / Azotea</t>
  </si>
  <si>
    <t>Santorini / Azotea</t>
  </si>
  <si>
    <t>Neo Tripoli / Azotea</t>
  </si>
  <si>
    <t>Neo Tripoli / Techo</t>
  </si>
  <si>
    <t>Milo 1,1 / Techo</t>
  </si>
  <si>
    <t>Milo / Techo</t>
  </si>
  <si>
    <t>Milo / Azotea</t>
  </si>
  <si>
    <t>Ikaria / Azotea</t>
  </si>
  <si>
    <t>Ikaria Especial / Techo</t>
  </si>
  <si>
    <t>Ikaria / Techo</t>
  </si>
  <si>
    <t>Modelos</t>
  </si>
  <si>
    <t>ACOMETIDA, LOSA</t>
  </si>
  <si>
    <t>Seleccionar modelo:</t>
  </si>
  <si>
    <t>BREAKERS</t>
  </si>
  <si>
    <t>Unit Mat</t>
  </si>
  <si>
    <t>N Actividad</t>
  </si>
  <si>
    <t>N Linea</t>
  </si>
  <si>
    <t>PROYECTO</t>
  </si>
  <si>
    <t>N Obra</t>
  </si>
  <si>
    <t>Tipo Tarea</t>
  </si>
  <si>
    <t>Precio de venta</t>
  </si>
  <si>
    <t>Precio de lote</t>
  </si>
  <si>
    <t>Sí</t>
  </si>
  <si>
    <t>P06</t>
  </si>
  <si>
    <t>P07</t>
  </si>
  <si>
    <t>P11</t>
  </si>
  <si>
    <t>NIVEL 1  ***Se debe borrar los busques en paredes livianas para cada presupuesto***</t>
  </si>
  <si>
    <t>VN-L.32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</si>
</sst>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₡&quot;#,##0.00;[Red]\-&quot;₡&quot;#,##0.00"/>
    <numFmt numFmtId="165" formatCode="_-&quot;₡&quot;* #,##0_-;\-&quot;₡&quot;* #,##0_-;_-&quot;₡&quot;* &quot;-&quot;_-;_-@_-"/>
    <numFmt numFmtId="166" formatCode="_-* #,##0_-;\-* #,##0_-;_-* &quot;-&quot;_-;_-@_-"/>
    <numFmt numFmtId="167" formatCode="_-&quot;₡&quot;* #,##0.00_-;\-&quot;₡&quot;* #,##0.00_-;_-&quot;₡&quot;* &quot;-&quot;??_-;_-@_-"/>
    <numFmt numFmtId="168" formatCode="_-* #,##0.00_-;\-* #,##0.00_-;_-* &quot;-&quot;??_-;_-@_-"/>
    <numFmt numFmtId="169" formatCode="_-* #,##0.00\ &quot;€&quot;_-;\-* #,##0.00\ &quot;€&quot;_-;_-* &quot;-&quot;??\ &quot;€&quot;_-;_-@_-"/>
    <numFmt numFmtId="170" formatCode="_(* #,##0_);_(* \(#,##0\);_(* &quot;-&quot;??_);_(@_)"/>
    <numFmt numFmtId="171" formatCode="_-[$$-409]* #,##0.00_ ;_-[$$-409]* \-#,##0.00\ ;_-[$$-409]* &quot;-&quot;??_ ;_-@_ "/>
    <numFmt numFmtId="172" formatCode="_-[$₡-140A]* #,##0.00_-;\-[$₡-140A]* #,##0.00_-;_-[$₡-140A]* &quot;-&quot;??_-;_-@_-"/>
    <numFmt numFmtId="173" formatCode="[$-F800]dddd\,\ mmmm\ dd\,\ yyyy"/>
    <numFmt numFmtId="174" formatCode="#,##0.000"/>
    <numFmt numFmtId="175" formatCode="#,##0.0000"/>
    <numFmt numFmtId="176" formatCode="_-[$₡-140A]* #,##0.00_ ;_-[$₡-140A]* \-#,##0.00\ ;_-[$₡-140A]* &quot;-&quot;??_ ;_-@_ "/>
    <numFmt numFmtId="177" formatCode="_([$$-409]* #,##0.00_);_([$$-409]* \(#,##0.00\);_([$$-409]* &quot;-&quot;??_);_(@_)"/>
    <numFmt numFmtId="178" formatCode="[$₡-140A]#,##0.00"/>
    <numFmt numFmtId="179" formatCode="[$$-409]#,##0.00"/>
    <numFmt numFmtId="180" formatCode="#,##0.0000000"/>
    <numFmt numFmtId="181" formatCode="0.0"/>
    <numFmt numFmtId="182" formatCode="&quot;₡&quot;#,##0.00"/>
    <numFmt numFmtId="183" formatCode="[$$-540A]#,##0.00"/>
    <numFmt numFmtId="184" formatCode="\ * #,##0.00&quot;    &quot;;\-* #,##0.00&quot;    &quot;;\ * \-#&quot;    &quot;;\ @\ "/>
    <numFmt numFmtId="185" formatCode="_-* #,##0\ _€_-;\-* #,##0\ _€_-;_-* &quot;-&quot;\ _€_-;_-@_-"/>
    <numFmt numFmtId="186" formatCode="0.0%"/>
    <numFmt numFmtId="187" formatCode="&quot;₡&quot;#,##0"/>
    <numFmt numFmtId="188" formatCode="0.000"/>
    <numFmt numFmtId="189" formatCode="0.00&quot; cm&quot;"/>
    <numFmt numFmtId="190" formatCode="0.00&quot; m2&quot;"/>
    <numFmt numFmtId="191" formatCode="0.00&quot; ud&quot;"/>
    <numFmt numFmtId="192" formatCode="0&quot; ud&quot;"/>
    <numFmt numFmtId="193" formatCode="0&quot; ml&quot;"/>
    <numFmt numFmtId="194" formatCode="0.00&quot; m&quot;"/>
    <numFmt numFmtId="195" formatCode="0.00&quot; ml&quot;"/>
  </numFmts>
  <fonts count="1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ahoma"/>
      <family val="2"/>
    </font>
    <font>
      <sz val="8"/>
      <name val="Arial Narrow"/>
      <family val="2"/>
    </font>
    <font>
      <b/>
      <sz val="12"/>
      <name val="Arial Narrow"/>
      <family val="2"/>
    </font>
    <font>
      <b/>
      <sz val="8"/>
      <name val="Arial Narrow"/>
      <family val="2"/>
    </font>
    <font>
      <b/>
      <sz val="8"/>
      <name val="Arial"/>
      <family val="2"/>
    </font>
    <font>
      <sz val="8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Tahoma"/>
      <family val="2"/>
    </font>
    <font>
      <sz val="12"/>
      <name val="Arial"/>
      <family val="2"/>
    </font>
    <font>
      <b/>
      <sz val="12"/>
      <name val="Arial"/>
      <family val="2"/>
    </font>
    <font>
      <sz val="10"/>
      <color theme="1"/>
      <name val="Tahoma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1"/>
      <name val="Calibri"/>
      <family val="2"/>
    </font>
    <font>
      <sz val="11"/>
      <color rgb="FF0070C0"/>
      <name val="Calibri"/>
      <family val="2"/>
    </font>
    <font>
      <b/>
      <sz val="11"/>
      <name val="Calibri"/>
      <family val="2"/>
    </font>
    <font>
      <b/>
      <sz val="16"/>
      <name val="Calibri"/>
      <family val="2"/>
      <scheme val="minor"/>
    </font>
    <font>
      <sz val="11"/>
      <color rgb="FF000000"/>
      <name val="Calibri"/>
      <family val="2"/>
    </font>
    <font>
      <b/>
      <sz val="16"/>
      <name val="Roboto"/>
    </font>
    <font>
      <b/>
      <sz val="16"/>
      <color theme="1"/>
      <name val="Calibri"/>
      <family val="2"/>
      <scheme val="minor"/>
    </font>
    <font>
      <b/>
      <sz val="12"/>
      <color theme="1"/>
      <name val="Roboto"/>
    </font>
    <font>
      <b/>
      <sz val="11"/>
      <color theme="1"/>
      <name val="Roboto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b/>
      <sz val="16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rgb="FFFF0000"/>
      <name val="Roboto"/>
    </font>
    <font>
      <b/>
      <sz val="12"/>
      <name val="Roboto"/>
    </font>
    <font>
      <b/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0"/>
      <name val="Calibri"/>
      <family val="2"/>
    </font>
    <font>
      <b/>
      <sz val="16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10"/>
      <color theme="9"/>
      <name val="Arial"/>
      <family val="2"/>
    </font>
    <font>
      <b/>
      <sz val="11"/>
      <color theme="8" tint="-0.249977111117893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2"/>
      <color rgb="FFFF0066"/>
      <name val="Aptos Narrow"/>
      <family val="2"/>
    </font>
    <font>
      <b/>
      <sz val="14"/>
      <color rgb="FFFF0066"/>
      <name val="Aptos Narrow"/>
      <family val="2"/>
    </font>
    <font>
      <sz val="11"/>
      <color rgb="FFFF0066"/>
      <name val="Calibri"/>
      <family val="2"/>
      <scheme val="minor"/>
    </font>
    <font>
      <sz val="12"/>
      <color rgb="FFFF0066"/>
      <name val="Aptos Narrow"/>
      <family val="2"/>
    </font>
    <font>
      <b/>
      <sz val="12"/>
      <color rgb="FF9966FF"/>
      <name val="Aptos Narrow"/>
      <family val="2"/>
    </font>
    <font>
      <sz val="11"/>
      <color rgb="FF9966FF"/>
      <name val="Calibri"/>
      <family val="2"/>
      <scheme val="minor"/>
    </font>
    <font>
      <b/>
      <sz val="11"/>
      <color rgb="FF9966FF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4"/>
      <color rgb="FFFF0000"/>
      <name val="Calibri"/>
      <family val="2"/>
    </font>
    <font>
      <b/>
      <sz val="12"/>
      <color rgb="FFFF0000"/>
      <name val="Calibri"/>
      <family val="2"/>
    </font>
    <font>
      <b/>
      <sz val="12"/>
      <color rgb="FFFF0000"/>
      <name val="Aptos Narrow"/>
      <family val="2"/>
    </font>
    <font>
      <b/>
      <sz val="11"/>
      <color rgb="FFFF0066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</font>
    <font>
      <b/>
      <sz val="9"/>
      <color theme="1"/>
      <name val="Calibri"/>
      <family val="2"/>
    </font>
    <font>
      <b/>
      <sz val="14"/>
      <color theme="0"/>
      <name val="Calibri"/>
      <family val="2"/>
    </font>
    <font>
      <b/>
      <sz val="11"/>
      <name val="Roboto"/>
    </font>
    <font>
      <b/>
      <sz val="16"/>
      <color theme="0"/>
      <name val="Roboto"/>
    </font>
    <font>
      <b/>
      <sz val="12"/>
      <color rgb="FF000000"/>
      <name val="Calibri"/>
      <family val="2"/>
      <scheme val="minor"/>
    </font>
    <font>
      <b/>
      <sz val="16"/>
      <color theme="0"/>
      <name val="Calibri"/>
      <family val="2"/>
    </font>
    <font>
      <b/>
      <sz val="12"/>
      <color rgb="FFFF0066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9966FF"/>
      <name val="Calibri"/>
      <family val="2"/>
      <scheme val="minor"/>
    </font>
    <font>
      <sz val="12"/>
      <color rgb="FFFF0066"/>
      <name val="Calibri"/>
      <family val="2"/>
      <scheme val="minor"/>
    </font>
    <font>
      <b/>
      <sz val="12"/>
      <color rgb="FF009999"/>
      <name val="Calibri"/>
      <family val="2"/>
      <scheme val="minor"/>
    </font>
    <font>
      <b/>
      <sz val="12"/>
      <color theme="8"/>
      <name val="Calibri"/>
      <family val="2"/>
      <scheme val="minor"/>
    </font>
    <font>
      <b/>
      <sz val="12"/>
      <color rgb="FF9966FF"/>
      <name val="Calibri"/>
      <family val="2"/>
      <scheme val="minor"/>
    </font>
    <font>
      <b/>
      <sz val="12"/>
      <color rgb="FF7030A0"/>
      <name val="Calibri"/>
      <family val="2"/>
      <scheme val="minor"/>
    </font>
    <font>
      <b/>
      <sz val="12"/>
      <color rgb="FF7030A0"/>
      <name val="Aptos Narrow"/>
      <family val="2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26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Aptos Narrow"/>
      <family val="2"/>
    </font>
    <font>
      <sz val="12"/>
      <color rgb="FF0070C0"/>
      <name val="Calibri"/>
      <family val="2"/>
      <scheme val="minor"/>
    </font>
    <font>
      <b/>
      <sz val="12"/>
      <color theme="5"/>
      <name val="Calibri"/>
      <family val="2"/>
      <scheme val="minor"/>
    </font>
    <font>
      <b/>
      <sz val="14"/>
      <color theme="5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2"/>
      <name val="Calibri"/>
      <family val="2"/>
    </font>
    <font>
      <b/>
      <sz val="12"/>
      <color theme="2"/>
      <name val="Roboto"/>
    </font>
    <font>
      <b/>
      <sz val="12"/>
      <color rgb="FFFF33CC"/>
      <name val="Calibri"/>
      <family val="2"/>
    </font>
    <font>
      <b/>
      <sz val="12"/>
      <color rgb="FFFF33CC"/>
      <name val="Tahoma"/>
      <family val="2"/>
    </font>
    <font>
      <b/>
      <sz val="12"/>
      <color theme="7" tint="-0.249977111117893"/>
      <name val="Calibri"/>
      <family val="2"/>
    </font>
    <font>
      <b/>
      <sz val="12"/>
      <color rgb="FFFF33CC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Calibri"/>
      <family val="2"/>
    </font>
    <font>
      <b/>
      <sz val="12"/>
      <color rgb="FF00B050"/>
      <name val="Aptos Narrow"/>
      <family val="2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2"/>
      <name val="Aptos Narrow"/>
      <family val="2"/>
    </font>
    <font>
      <b/>
      <sz val="12"/>
      <name val="Aptos Narrow"/>
      <family val="2"/>
    </font>
    <font>
      <b/>
      <sz val="11"/>
      <color rgb="FF3F3F76"/>
      <name val="Calibri"/>
      <family val="2"/>
      <scheme val="minor"/>
    </font>
    <font>
      <b/>
      <i/>
      <sz val="11"/>
      <name val="Arial"/>
      <family val="2"/>
    </font>
    <font>
      <b/>
      <sz val="11"/>
      <name val="Arial"/>
      <family val="2"/>
    </font>
    <font>
      <b/>
      <sz val="11"/>
      <name val="Aptos Narrow"/>
      <family val="2"/>
    </font>
    <font>
      <i/>
      <sz val="9"/>
      <color rgb="FFFF0000"/>
      <name val="Calibri"/>
      <family val="2"/>
      <scheme val="minor"/>
    </font>
    <font>
      <b/>
      <sz val="11"/>
      <color theme="0"/>
      <name val="Arial"/>
      <family val="2"/>
    </font>
    <font>
      <sz val="10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i/>
      <sz val="9"/>
      <name val="Calibri"/>
      <family val="2"/>
      <scheme val="minor"/>
    </font>
    <font>
      <sz val="11"/>
      <color theme="8"/>
      <name val="Calibri"/>
      <family val="2"/>
      <scheme val="minor"/>
    </font>
    <font>
      <i/>
      <sz val="10"/>
      <color theme="0" tint="-0.34998626667073579"/>
      <name val="Arial"/>
      <family val="2"/>
    </font>
    <font>
      <sz val="9"/>
      <color theme="1"/>
      <name val="Calibri"/>
      <family val="2"/>
      <scheme val="minor"/>
    </font>
    <font>
      <b/>
      <sz val="16"/>
      <color theme="0"/>
      <name val="Arial"/>
      <family val="2"/>
    </font>
    <font>
      <b/>
      <i/>
      <sz val="11"/>
      <color theme="0"/>
      <name val="Arial"/>
      <family val="2"/>
    </font>
    <font>
      <b/>
      <sz val="10"/>
      <name val="Arial"/>
      <family val="2"/>
    </font>
    <font>
      <sz val="12"/>
      <color theme="5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0"/>
      <color rgb="FFFF0000"/>
      <name val="Arial"/>
      <family val="2"/>
    </font>
    <font>
      <b/>
      <sz val="12"/>
      <color theme="0"/>
      <name val="Calibri"/>
      <family val="2"/>
      <scheme val="minor"/>
    </font>
    <font>
      <b/>
      <sz val="13"/>
      <name val="Calibri"/>
      <family val="2"/>
      <scheme val="minor"/>
    </font>
  </fonts>
  <fills count="6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A2A397"/>
        <bgColor rgb="FF000000"/>
      </patternFill>
    </fill>
    <fill>
      <patternFill patternType="solid">
        <fgColor rgb="FFFF00F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C66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D0B9FF"/>
        <bgColor indexed="64"/>
      </patternFill>
    </fill>
    <fill>
      <patternFill patternType="solid">
        <fgColor theme="9" tint="0.59999389629810485"/>
        <bgColor rgb="FF000000"/>
      </patternFill>
    </fill>
    <fill>
      <patternFill patternType="solid">
        <fgColor rgb="FFFFAFC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249977111117893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rgb="FFF2F8EE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2E49C"/>
        <bgColor indexed="64"/>
      </patternFill>
    </fill>
    <fill>
      <patternFill patternType="solid">
        <fgColor rgb="FFE3D5FF"/>
        <bgColor indexed="64"/>
      </patternFill>
    </fill>
    <fill>
      <patternFill patternType="solid">
        <fgColor rgb="FFFFE5F0"/>
        <bgColor indexed="64"/>
      </patternFill>
    </fill>
    <fill>
      <patternFill patternType="solid">
        <fgColor rgb="FFFFD85D"/>
        <bgColor indexed="64"/>
      </patternFill>
    </fill>
    <fill>
      <patternFill patternType="solid">
        <fgColor rgb="FF79DCFF"/>
        <bgColor indexed="64"/>
      </patternFill>
    </fill>
    <fill>
      <patternFill patternType="solid">
        <fgColor rgb="FF71A0FF"/>
        <bgColor indexed="64"/>
      </patternFill>
    </fill>
    <fill>
      <patternFill patternType="solid">
        <fgColor rgb="FFB381D9"/>
        <bgColor indexed="64"/>
      </patternFill>
    </fill>
    <fill>
      <patternFill patternType="solid">
        <fgColor rgb="FFFF8989"/>
        <bgColor indexed="64"/>
      </patternFill>
    </fill>
    <fill>
      <patternFill patternType="solid">
        <fgColor rgb="FF29FF8A"/>
        <bgColor indexed="64"/>
      </patternFill>
    </fill>
    <fill>
      <patternFill patternType="solid">
        <fgColor rgb="FF00FAB9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2" tint="-9.9978637043366805E-2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hair">
        <color auto="1"/>
      </left>
      <right/>
      <top/>
      <bottom style="double">
        <color indexed="64"/>
      </bottom>
      <diagonal/>
    </border>
    <border>
      <left style="hair">
        <color auto="1"/>
      </left>
      <right style="hair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rgb="FF7F7F7F"/>
      </right>
      <top style="thin">
        <color rgb="FF7F7F7F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indexed="64"/>
      </bottom>
      <diagonal/>
    </border>
    <border>
      <left style="thin">
        <color rgb="FF7F7F7F"/>
      </left>
      <right style="thin">
        <color indexed="64"/>
      </right>
      <top style="thin">
        <color rgb="FF7F7F7F"/>
      </top>
      <bottom style="thin">
        <color indexed="64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indexed="64"/>
      </right>
      <top/>
      <bottom style="thin">
        <color rgb="FF7F7F7F"/>
      </bottom>
      <diagonal/>
    </border>
    <border>
      <left style="thin">
        <color indexed="64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indexed="64"/>
      </right>
      <top style="thin">
        <color rgb="FF7F7F7F"/>
      </top>
      <bottom/>
      <diagonal/>
    </border>
    <border>
      <left style="medium">
        <color indexed="64"/>
      </left>
      <right style="thin">
        <color rgb="FF7F7F7F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8">
    <xf numFmtId="0" fontId="0" fillId="0" borderId="0"/>
    <xf numFmtId="44" fontId="1" fillId="0" borderId="0" applyFont="0" applyFill="0" applyBorder="0" applyAlignment="0" applyProtection="0"/>
    <xf numFmtId="0" fontId="2" fillId="0" borderId="0"/>
    <xf numFmtId="9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1" fillId="0" borderId="0"/>
    <xf numFmtId="167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29" fillId="0" borderId="0"/>
    <xf numFmtId="0" fontId="14" fillId="0" borderId="0" applyBorder="0"/>
    <xf numFmtId="0" fontId="1" fillId="0" borderId="0" applyBorder="0"/>
    <xf numFmtId="166" fontId="1" fillId="0" borderId="0" applyFont="0" applyFill="0" applyBorder="0" applyAlignment="0" applyProtection="0"/>
    <xf numFmtId="184" fontId="29" fillId="0" borderId="0" applyBorder="0" applyProtection="0"/>
    <xf numFmtId="166" fontId="29" fillId="0" borderId="0" applyFont="0" applyFill="0" applyBorder="0" applyAlignment="0" applyProtection="0"/>
    <xf numFmtId="165" fontId="14" fillId="0" borderId="0" applyFont="0" applyFill="0" applyBorder="0" applyAlignment="0" applyProtection="0"/>
    <xf numFmtId="18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01" fillId="56" borderId="45" applyNumberFormat="0" applyAlignment="0" applyProtection="0"/>
    <xf numFmtId="0" fontId="102" fillId="57" borderId="46" applyNumberFormat="0" applyAlignment="0" applyProtection="0"/>
    <xf numFmtId="0" fontId="1" fillId="58" borderId="47" applyNumberFormat="0" applyFont="0" applyAlignment="0" applyProtection="0"/>
  </cellStyleXfs>
  <cellXfs count="1211">
    <xf numFmtId="0" fontId="0" fillId="0" borderId="0" xfId="0"/>
    <xf numFmtId="4" fontId="4" fillId="9" borderId="0" xfId="4" applyNumberFormat="1" applyFont="1" applyFill="1"/>
    <xf numFmtId="4" fontId="5" fillId="9" borderId="0" xfId="4" applyNumberFormat="1" applyFont="1" applyFill="1"/>
    <xf numFmtId="173" fontId="6" fillId="9" borderId="0" xfId="4" applyNumberFormat="1" applyFont="1" applyFill="1" applyAlignment="1">
      <alignment horizontal="left"/>
    </xf>
    <xf numFmtId="4" fontId="6" fillId="9" borderId="0" xfId="4" applyNumberFormat="1" applyFont="1" applyFill="1" applyAlignment="1">
      <alignment horizontal="right"/>
    </xf>
    <xf numFmtId="4" fontId="6" fillId="9" borderId="0" xfId="4" applyNumberFormat="1" applyFont="1" applyFill="1"/>
    <xf numFmtId="4" fontId="4" fillId="9" borderId="0" xfId="4" applyNumberFormat="1" applyFont="1" applyFill="1" applyAlignment="1">
      <alignment horizontal="center"/>
    </xf>
    <xf numFmtId="4" fontId="6" fillId="9" borderId="0" xfId="4" applyNumberFormat="1" applyFont="1" applyFill="1" applyAlignment="1">
      <alignment horizontal="center"/>
    </xf>
    <xf numFmtId="3" fontId="4" fillId="9" borderId="0" xfId="4" applyNumberFormat="1" applyFont="1" applyFill="1" applyAlignment="1">
      <alignment horizontal="center"/>
    </xf>
    <xf numFmtId="4" fontId="5" fillId="9" borderId="0" xfId="4" applyNumberFormat="1" applyFont="1" applyFill="1" applyAlignment="1">
      <alignment horizontal="left"/>
    </xf>
    <xf numFmtId="4" fontId="7" fillId="9" borderId="1" xfId="4" applyNumberFormat="1" applyFont="1" applyFill="1" applyBorder="1"/>
    <xf numFmtId="4" fontId="7" fillId="9" borderId="2" xfId="4" applyNumberFormat="1" applyFont="1" applyFill="1" applyBorder="1" applyAlignment="1">
      <alignment horizontal="center"/>
    </xf>
    <xf numFmtId="4" fontId="7" fillId="9" borderId="3" xfId="4" applyNumberFormat="1" applyFont="1" applyFill="1" applyBorder="1"/>
    <xf numFmtId="4" fontId="7" fillId="9" borderId="1" xfId="4" applyNumberFormat="1" applyFont="1" applyFill="1" applyBorder="1" applyAlignment="1">
      <alignment horizontal="center"/>
    </xf>
    <xf numFmtId="4" fontId="7" fillId="9" borderId="3" xfId="4" applyNumberFormat="1" applyFont="1" applyFill="1" applyBorder="1" applyAlignment="1">
      <alignment horizontal="center"/>
    </xf>
    <xf numFmtId="4" fontId="7" fillId="9" borderId="4" xfId="4" applyNumberFormat="1" applyFont="1" applyFill="1" applyBorder="1" applyAlignment="1">
      <alignment horizontal="center"/>
    </xf>
    <xf numFmtId="4" fontId="7" fillId="9" borderId="0" xfId="4" applyNumberFormat="1" applyFont="1" applyFill="1" applyAlignment="1">
      <alignment horizontal="right"/>
    </xf>
    <xf numFmtId="4" fontId="7" fillId="9" borderId="5" xfId="4" applyNumberFormat="1" applyFont="1" applyFill="1" applyBorder="1" applyAlignment="1">
      <alignment horizontal="center"/>
    </xf>
    <xf numFmtId="4" fontId="7" fillId="9" borderId="6" xfId="4" applyNumberFormat="1" applyFont="1" applyFill="1" applyBorder="1" applyAlignment="1">
      <alignment horizontal="center"/>
    </xf>
    <xf numFmtId="4" fontId="7" fillId="9" borderId="7" xfId="4" applyNumberFormat="1" applyFont="1" applyFill="1" applyBorder="1" applyAlignment="1">
      <alignment horizontal="center"/>
    </xf>
    <xf numFmtId="4" fontId="7" fillId="9" borderId="8" xfId="4" applyNumberFormat="1" applyFont="1" applyFill="1" applyBorder="1" applyAlignment="1">
      <alignment horizontal="center"/>
    </xf>
    <xf numFmtId="4" fontId="7" fillId="9" borderId="0" xfId="4" applyNumberFormat="1" applyFont="1" applyFill="1" applyAlignment="1">
      <alignment horizontal="center"/>
    </xf>
    <xf numFmtId="4" fontId="7" fillId="9" borderId="0" xfId="4" applyNumberFormat="1" applyFont="1" applyFill="1" applyAlignment="1">
      <alignment horizontal="left"/>
    </xf>
    <xf numFmtId="4" fontId="8" fillId="9" borderId="0" xfId="4" applyNumberFormat="1" applyFont="1" applyFill="1"/>
    <xf numFmtId="4" fontId="8" fillId="9" borderId="0" xfId="4" applyNumberFormat="1" applyFont="1" applyFill="1" applyAlignment="1">
      <alignment horizontal="center"/>
    </xf>
    <xf numFmtId="4" fontId="7" fillId="9" borderId="0" xfId="4" applyNumberFormat="1" applyFont="1" applyFill="1"/>
    <xf numFmtId="4" fontId="8" fillId="9" borderId="9" xfId="4" applyNumberFormat="1" applyFont="1" applyFill="1" applyBorder="1" applyAlignment="1">
      <alignment horizontal="left"/>
    </xf>
    <xf numFmtId="4" fontId="8" fillId="9" borderId="9" xfId="4" applyNumberFormat="1" applyFont="1" applyFill="1" applyBorder="1"/>
    <xf numFmtId="4" fontId="8" fillId="9" borderId="9" xfId="4" applyNumberFormat="1" applyFont="1" applyFill="1" applyBorder="1" applyAlignment="1">
      <alignment horizontal="center"/>
    </xf>
    <xf numFmtId="4" fontId="7" fillId="10" borderId="9" xfId="4" applyNumberFormat="1" applyFont="1" applyFill="1" applyBorder="1" applyAlignment="1">
      <alignment horizontal="right"/>
    </xf>
    <xf numFmtId="4" fontId="8" fillId="9" borderId="0" xfId="4" applyNumberFormat="1" applyFont="1" applyFill="1" applyAlignment="1">
      <alignment horizontal="left"/>
    </xf>
    <xf numFmtId="4" fontId="7" fillId="0" borderId="0" xfId="4" applyNumberFormat="1" applyFont="1" applyAlignment="1">
      <alignment horizontal="right"/>
    </xf>
    <xf numFmtId="4" fontId="4" fillId="9" borderId="0" xfId="5" applyNumberFormat="1" applyFont="1" applyFill="1" applyBorder="1"/>
    <xf numFmtId="4" fontId="6" fillId="10" borderId="9" xfId="4" applyNumberFormat="1" applyFont="1" applyFill="1" applyBorder="1" applyAlignment="1">
      <alignment horizontal="right"/>
    </xf>
    <xf numFmtId="3" fontId="8" fillId="9" borderId="9" xfId="4" applyNumberFormat="1" applyFont="1" applyFill="1" applyBorder="1"/>
    <xf numFmtId="4" fontId="8" fillId="3" borderId="9" xfId="4" applyNumberFormat="1" applyFont="1" applyFill="1" applyBorder="1" applyAlignment="1">
      <alignment horizontal="left"/>
    </xf>
    <xf numFmtId="4" fontId="8" fillId="9" borderId="9" xfId="4" applyNumberFormat="1" applyFont="1" applyFill="1" applyBorder="1" applyAlignment="1">
      <alignment horizontal="left" wrapText="1"/>
    </xf>
    <xf numFmtId="174" fontId="8" fillId="9" borderId="9" xfId="4" applyNumberFormat="1" applyFont="1" applyFill="1" applyBorder="1"/>
    <xf numFmtId="175" fontId="8" fillId="9" borderId="9" xfId="4" applyNumberFormat="1" applyFont="1" applyFill="1" applyBorder="1"/>
    <xf numFmtId="4" fontId="8" fillId="9" borderId="0" xfId="5" applyNumberFormat="1" applyFont="1" applyFill="1" applyBorder="1" applyProtection="1"/>
    <xf numFmtId="10" fontId="7" fillId="9" borderId="0" xfId="5" applyNumberFormat="1" applyFont="1" applyFill="1" applyBorder="1"/>
    <xf numFmtId="4" fontId="7" fillId="9" borderId="0" xfId="5" applyNumberFormat="1" applyFont="1" applyFill="1" applyBorder="1"/>
    <xf numFmtId="10" fontId="7" fillId="9" borderId="0" xfId="4" applyNumberFormat="1" applyFont="1" applyFill="1" applyAlignment="1">
      <alignment horizontal="right"/>
    </xf>
    <xf numFmtId="176" fontId="7" fillId="9" borderId="0" xfId="4" applyNumberFormat="1" applyFont="1" applyFill="1"/>
    <xf numFmtId="177" fontId="7" fillId="9" borderId="0" xfId="4" applyNumberFormat="1" applyFont="1" applyFill="1"/>
    <xf numFmtId="178" fontId="6" fillId="10" borderId="9" xfId="4" applyNumberFormat="1" applyFont="1" applyFill="1" applyBorder="1" applyAlignment="1">
      <alignment horizontal="right"/>
    </xf>
    <xf numFmtId="179" fontId="6" fillId="10" borderId="9" xfId="4" applyNumberFormat="1" applyFont="1" applyFill="1" applyBorder="1" applyAlignment="1">
      <alignment horizontal="right"/>
    </xf>
    <xf numFmtId="180" fontId="4" fillId="9" borderId="0" xfId="4" applyNumberFormat="1" applyFont="1" applyFill="1"/>
    <xf numFmtId="0" fontId="3" fillId="0" borderId="0" xfId="0" applyFont="1"/>
    <xf numFmtId="0" fontId="3" fillId="0" borderId="0" xfId="0" applyFont="1" applyAlignment="1">
      <alignment vertical="center"/>
    </xf>
    <xf numFmtId="0" fontId="9" fillId="0" borderId="0" xfId="0" applyFont="1"/>
    <xf numFmtId="0" fontId="9" fillId="13" borderId="8" xfId="0" applyFont="1" applyFill="1" applyBorder="1"/>
    <xf numFmtId="0" fontId="9" fillId="13" borderId="8" xfId="0" applyFont="1" applyFill="1" applyBorder="1" applyAlignment="1">
      <alignment horizontal="center"/>
    </xf>
    <xf numFmtId="172" fontId="9" fillId="13" borderId="8" xfId="0" applyNumberFormat="1" applyFont="1" applyFill="1" applyBorder="1"/>
    <xf numFmtId="172" fontId="9" fillId="13" borderId="7" xfId="1" applyNumberFormat="1" applyFont="1" applyFill="1" applyBorder="1"/>
    <xf numFmtId="172" fontId="9" fillId="13" borderId="8" xfId="1" applyNumberFormat="1" applyFont="1" applyFill="1" applyBorder="1"/>
    <xf numFmtId="0" fontId="0" fillId="8" borderId="8" xfId="0" applyFill="1" applyBorder="1"/>
    <xf numFmtId="0" fontId="0" fillId="8" borderId="8" xfId="0" applyFill="1" applyBorder="1" applyAlignment="1">
      <alignment horizontal="center"/>
    </xf>
    <xf numFmtId="172" fontId="0" fillId="8" borderId="8" xfId="0" applyNumberFormat="1" applyFill="1" applyBorder="1"/>
    <xf numFmtId="172" fontId="0" fillId="8" borderId="7" xfId="1" applyNumberFormat="1" applyFont="1" applyFill="1" applyBorder="1"/>
    <xf numFmtId="172" fontId="0" fillId="8" borderId="8" xfId="1" applyNumberFormat="1" applyFont="1" applyFill="1" applyBorder="1"/>
    <xf numFmtId="172" fontId="0" fillId="0" borderId="10" xfId="1" applyNumberFormat="1" applyFont="1" applyBorder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172" fontId="0" fillId="0" borderId="4" xfId="0" applyNumberFormat="1" applyBorder="1"/>
    <xf numFmtId="172" fontId="0" fillId="0" borderId="4" xfId="1" applyNumberFormat="1" applyFont="1" applyBorder="1"/>
    <xf numFmtId="0" fontId="9" fillId="14" borderId="12" xfId="0" applyFont="1" applyFill="1" applyBorder="1"/>
    <xf numFmtId="0" fontId="9" fillId="14" borderId="12" xfId="0" applyFont="1" applyFill="1" applyBorder="1" applyAlignment="1">
      <alignment horizontal="center"/>
    </xf>
    <xf numFmtId="172" fontId="9" fillId="14" borderId="13" xfId="0" applyNumberFormat="1" applyFont="1" applyFill="1" applyBorder="1"/>
    <xf numFmtId="172" fontId="9" fillId="14" borderId="13" xfId="1" applyNumberFormat="1" applyFont="1" applyFill="1" applyBorder="1"/>
    <xf numFmtId="172" fontId="0" fillId="0" borderId="14" xfId="0" applyNumberFormat="1" applyBorder="1"/>
    <xf numFmtId="172" fontId="0" fillId="0" borderId="14" xfId="1" applyNumberFormat="1" applyFont="1" applyBorder="1"/>
    <xf numFmtId="0" fontId="0" fillId="13" borderId="12" xfId="0" applyFill="1" applyBorder="1"/>
    <xf numFmtId="0" fontId="0" fillId="13" borderId="12" xfId="0" applyFill="1" applyBorder="1" applyAlignment="1">
      <alignment horizontal="center"/>
    </xf>
    <xf numFmtId="172" fontId="0" fillId="13" borderId="13" xfId="0" applyNumberFormat="1" applyFill="1" applyBorder="1"/>
    <xf numFmtId="172" fontId="0" fillId="13" borderId="13" xfId="1" applyNumberFormat="1" applyFont="1" applyFill="1" applyBorder="1"/>
    <xf numFmtId="172" fontId="0" fillId="0" borderId="8" xfId="0" applyNumberFormat="1" applyBorder="1"/>
    <xf numFmtId="172" fontId="0" fillId="0" borderId="8" xfId="1" applyNumberFormat="1" applyFont="1" applyBorder="1"/>
    <xf numFmtId="0" fontId="0" fillId="0" borderId="8" xfId="0" applyBorder="1"/>
    <xf numFmtId="0" fontId="0" fillId="0" borderId="8" xfId="0" applyBorder="1" applyAlignment="1">
      <alignment horizontal="center"/>
    </xf>
    <xf numFmtId="172" fontId="0" fillId="0" borderId="10" xfId="0" applyNumberFormat="1" applyBorder="1"/>
    <xf numFmtId="172" fontId="0" fillId="0" borderId="0" xfId="0" applyNumberFormat="1"/>
    <xf numFmtId="172" fontId="9" fillId="14" borderId="12" xfId="0" applyNumberFormat="1" applyFont="1" applyFill="1" applyBorder="1"/>
    <xf numFmtId="0" fontId="9" fillId="13" borderId="12" xfId="0" applyFont="1" applyFill="1" applyBorder="1"/>
    <xf numFmtId="0" fontId="9" fillId="13" borderId="12" xfId="0" applyFont="1" applyFill="1" applyBorder="1" applyAlignment="1">
      <alignment horizontal="center"/>
    </xf>
    <xf numFmtId="172" fontId="9" fillId="13" borderId="12" xfId="0" applyNumberFormat="1" applyFont="1" applyFill="1" applyBorder="1"/>
    <xf numFmtId="172" fontId="9" fillId="13" borderId="13" xfId="1" applyNumberFormat="1" applyFont="1" applyFill="1" applyBorder="1"/>
    <xf numFmtId="172" fontId="9" fillId="13" borderId="13" xfId="0" applyNumberFormat="1" applyFont="1" applyFill="1" applyBorder="1"/>
    <xf numFmtId="172" fontId="0" fillId="13" borderId="12" xfId="0" applyNumberFormat="1" applyFill="1" applyBorder="1"/>
    <xf numFmtId="0" fontId="0" fillId="0" borderId="8" xfId="0" applyBorder="1" applyAlignment="1">
      <alignment horizontal="center" vertical="center"/>
    </xf>
    <xf numFmtId="172" fontId="9" fillId="0" borderId="0" xfId="0" applyNumberFormat="1" applyFont="1"/>
    <xf numFmtId="0" fontId="12" fillId="0" borderId="0" xfId="6" applyFont="1"/>
    <xf numFmtId="0" fontId="11" fillId="0" borderId="0" xfId="6"/>
    <xf numFmtId="172" fontId="12" fillId="0" borderId="0" xfId="7" applyNumberFormat="1" applyFont="1"/>
    <xf numFmtId="172" fontId="12" fillId="0" borderId="0" xfId="6" applyNumberFormat="1" applyFont="1"/>
    <xf numFmtId="9" fontId="12" fillId="0" borderId="0" xfId="8" applyFont="1"/>
    <xf numFmtId="14" fontId="12" fillId="0" borderId="0" xfId="6" applyNumberFormat="1" applyFont="1"/>
    <xf numFmtId="0" fontId="16" fillId="0" borderId="0" xfId="0" applyFont="1"/>
    <xf numFmtId="0" fontId="17" fillId="0" borderId="0" xfId="0" applyFont="1"/>
    <xf numFmtId="2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0" fontId="0" fillId="12" borderId="0" xfId="0" applyFill="1"/>
    <xf numFmtId="182" fontId="0" fillId="0" borderId="16" xfId="0" applyNumberFormat="1" applyBorder="1"/>
    <xf numFmtId="0" fontId="0" fillId="0" borderId="16" xfId="0" applyBorder="1"/>
    <xf numFmtId="0" fontId="0" fillId="23" borderId="16" xfId="0" applyFill="1" applyBorder="1" applyAlignment="1">
      <alignment horizontal="center"/>
    </xf>
    <xf numFmtId="0" fontId="0" fillId="15" borderId="16" xfId="0" applyFill="1" applyBorder="1" applyAlignment="1">
      <alignment horizontal="center" vertical="center"/>
    </xf>
    <xf numFmtId="0" fontId="0" fillId="0" borderId="16" xfId="0" applyBorder="1" applyAlignment="1">
      <alignment vertical="center" wrapText="1"/>
    </xf>
    <xf numFmtId="0" fontId="0" fillId="0" borderId="16" xfId="0" applyBorder="1" applyAlignment="1">
      <alignment vertical="center"/>
    </xf>
    <xf numFmtId="182" fontId="0" fillId="0" borderId="16" xfId="0" applyNumberForma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 wrapText="1"/>
    </xf>
    <xf numFmtId="182" fontId="0" fillId="0" borderId="16" xfId="0" applyNumberFormat="1" applyBorder="1" applyAlignment="1">
      <alignment horizontal="right" vertical="center" wrapText="1"/>
    </xf>
    <xf numFmtId="182" fontId="0" fillId="0" borderId="11" xfId="0" applyNumberFormat="1" applyBorder="1" applyAlignment="1">
      <alignment horizontal="right" vertical="center" wrapText="1"/>
    </xf>
    <xf numFmtId="0" fontId="0" fillId="0" borderId="11" xfId="0" applyBorder="1"/>
    <xf numFmtId="14" fontId="0" fillId="0" borderId="11" xfId="0" applyNumberFormat="1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6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82" fontId="0" fillId="0" borderId="16" xfId="0" applyNumberFormat="1" applyBorder="1" applyAlignment="1">
      <alignment vertical="center"/>
    </xf>
    <xf numFmtId="182" fontId="0" fillId="0" borderId="10" xfId="0" applyNumberFormat="1" applyBorder="1" applyAlignment="1">
      <alignment horizontal="center" vertical="center"/>
    </xf>
    <xf numFmtId="182" fontId="0" fillId="0" borderId="10" xfId="0" applyNumberFormat="1" applyBorder="1" applyAlignment="1">
      <alignment horizontal="right" vertical="center"/>
    </xf>
    <xf numFmtId="182" fontId="9" fillId="0" borderId="10" xfId="0" applyNumberFormat="1" applyFont="1" applyBorder="1" applyAlignment="1">
      <alignment vertical="center"/>
    </xf>
    <xf numFmtId="182" fontId="0" fillId="0" borderId="16" xfId="0" applyNumberFormat="1" applyBorder="1" applyAlignment="1">
      <alignment horizontal="right" vertical="center"/>
    </xf>
    <xf numFmtId="0" fontId="0" fillId="8" borderId="16" xfId="0" applyFill="1" applyBorder="1" applyAlignment="1">
      <alignment horizontal="center" vertical="center"/>
    </xf>
    <xf numFmtId="182" fontId="0" fillId="0" borderId="11" xfId="0" applyNumberFormat="1" applyBorder="1" applyAlignment="1">
      <alignment vertical="center"/>
    </xf>
    <xf numFmtId="182" fontId="0" fillId="16" borderId="11" xfId="0" applyNumberFormat="1" applyFill="1" applyBorder="1" applyAlignment="1">
      <alignment vertical="center"/>
    </xf>
    <xf numFmtId="182" fontId="0" fillId="15" borderId="11" xfId="0" applyNumberFormat="1" applyFill="1" applyBorder="1" applyAlignment="1">
      <alignment vertical="center"/>
    </xf>
    <xf numFmtId="182" fontId="0" fillId="0" borderId="10" xfId="0" applyNumberFormat="1" applyBorder="1" applyAlignment="1">
      <alignment vertical="center"/>
    </xf>
    <xf numFmtId="0" fontId="0" fillId="0" borderId="16" xfId="0" applyBorder="1" applyAlignment="1">
      <alignment horizontal="center" vertical="center" wrapText="1"/>
    </xf>
    <xf numFmtId="182" fontId="9" fillId="0" borderId="16" xfId="0" applyNumberFormat="1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 wrapText="1"/>
    </xf>
    <xf numFmtId="182" fontId="0" fillId="12" borderId="10" xfId="0" applyNumberFormat="1" applyFill="1" applyBorder="1" applyAlignment="1">
      <alignment horizontal="right" vertical="center"/>
    </xf>
    <xf numFmtId="0" fontId="0" fillId="0" borderId="16" xfId="0" applyBorder="1" applyAlignment="1">
      <alignment horizontal="center"/>
    </xf>
    <xf numFmtId="182" fontId="0" fillId="0" borderId="0" xfId="0" applyNumberFormat="1"/>
    <xf numFmtId="0" fontId="21" fillId="0" borderId="0" xfId="0" applyFont="1"/>
    <xf numFmtId="0" fontId="0" fillId="19" borderId="16" xfId="0" applyFill="1" applyBorder="1" applyAlignment="1">
      <alignment vertical="center" wrapText="1"/>
    </xf>
    <xf numFmtId="182" fontId="0" fillId="19" borderId="16" xfId="0" applyNumberFormat="1" applyFill="1" applyBorder="1" applyAlignment="1">
      <alignment vertical="center"/>
    </xf>
    <xf numFmtId="182" fontId="0" fillId="19" borderId="16" xfId="0" applyNumberFormat="1" applyFill="1" applyBorder="1" applyAlignment="1">
      <alignment horizontal="center" vertical="center"/>
    </xf>
    <xf numFmtId="182" fontId="0" fillId="19" borderId="16" xfId="0" applyNumberFormat="1" applyFill="1" applyBorder="1" applyAlignment="1">
      <alignment horizontal="right" vertical="center" wrapText="1"/>
    </xf>
    <xf numFmtId="182" fontId="0" fillId="19" borderId="11" xfId="0" applyNumberFormat="1" applyFill="1" applyBorder="1" applyAlignment="1">
      <alignment horizontal="right" vertical="center" wrapText="1"/>
    </xf>
    <xf numFmtId="0" fontId="0" fillId="19" borderId="11" xfId="0" applyFill="1" applyBorder="1"/>
    <xf numFmtId="14" fontId="0" fillId="19" borderId="11" xfId="0" applyNumberFormat="1" applyFill="1" applyBorder="1" applyAlignment="1">
      <alignment vertical="center"/>
    </xf>
    <xf numFmtId="182" fontId="9" fillId="19" borderId="16" xfId="0" applyNumberFormat="1" applyFont="1" applyFill="1" applyBorder="1" applyAlignment="1">
      <alignment vertical="center"/>
    </xf>
    <xf numFmtId="182" fontId="9" fillId="0" borderId="16" xfId="0" applyNumberFormat="1" applyFont="1" applyBorder="1" applyAlignment="1">
      <alignment vertical="center"/>
    </xf>
    <xf numFmtId="182" fontId="0" fillId="0" borderId="11" xfId="0" applyNumberFormat="1" applyBorder="1"/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5" borderId="16" xfId="0" applyFill="1" applyBorder="1" applyAlignment="1">
      <alignment vertical="center" wrapText="1"/>
    </xf>
    <xf numFmtId="0" fontId="16" fillId="0" borderId="0" xfId="0" applyFont="1" applyAlignment="1">
      <alignment horizontal="center"/>
    </xf>
    <xf numFmtId="0" fontId="23" fillId="0" borderId="0" xfId="0" applyFont="1"/>
    <xf numFmtId="0" fontId="17" fillId="0" borderId="0" xfId="0" applyFont="1" applyAlignment="1">
      <alignment horizontal="center"/>
    </xf>
    <xf numFmtId="0" fontId="23" fillId="0" borderId="0" xfId="0" applyFont="1" applyAlignment="1">
      <alignment vertical="center"/>
    </xf>
    <xf numFmtId="44" fontId="23" fillId="0" borderId="0" xfId="0" applyNumberFormat="1" applyFont="1"/>
    <xf numFmtId="10" fontId="24" fillId="0" borderId="0" xfId="3" applyNumberFormat="1" applyFont="1"/>
    <xf numFmtId="172" fontId="23" fillId="0" borderId="0" xfId="0" applyNumberFormat="1" applyFont="1"/>
    <xf numFmtId="0" fontId="16" fillId="0" borderId="16" xfId="0" applyFont="1" applyBorder="1" applyAlignment="1">
      <alignment horizontal="center" vertical="center" wrapText="1"/>
    </xf>
    <xf numFmtId="0" fontId="25" fillId="0" borderId="16" xfId="0" applyFont="1" applyBorder="1" applyAlignment="1">
      <alignment horizontal="center" vertical="center" wrapText="1"/>
    </xf>
    <xf numFmtId="170" fontId="25" fillId="0" borderId="16" xfId="0" applyNumberFormat="1" applyFont="1" applyBorder="1" applyAlignment="1">
      <alignment vertical="center"/>
    </xf>
    <xf numFmtId="2" fontId="25" fillId="0" borderId="16" xfId="0" applyNumberFormat="1" applyFont="1" applyBorder="1" applyAlignment="1">
      <alignment horizontal="center"/>
    </xf>
    <xf numFmtId="172" fontId="25" fillId="0" borderId="16" xfId="0" applyNumberFormat="1" applyFont="1" applyBorder="1" applyAlignment="1">
      <alignment horizontal="center" vertical="center"/>
    </xf>
    <xf numFmtId="172" fontId="25" fillId="0" borderId="16" xfId="0" applyNumberFormat="1" applyFont="1" applyBorder="1" applyAlignment="1">
      <alignment horizontal="right" vertical="center"/>
    </xf>
    <xf numFmtId="170" fontId="25" fillId="0" borderId="16" xfId="0" applyNumberFormat="1" applyFont="1" applyBorder="1" applyAlignment="1">
      <alignment horizontal="center" vertical="center"/>
    </xf>
    <xf numFmtId="0" fontId="17" fillId="18" borderId="16" xfId="0" applyFont="1" applyFill="1" applyBorder="1" applyAlignment="1">
      <alignment horizontal="center"/>
    </xf>
    <xf numFmtId="0" fontId="17" fillId="18" borderId="16" xfId="0" applyFont="1" applyFill="1" applyBorder="1"/>
    <xf numFmtId="2" fontId="16" fillId="18" borderId="16" xfId="0" applyNumberFormat="1" applyFont="1" applyFill="1" applyBorder="1" applyAlignment="1">
      <alignment horizontal="center"/>
    </xf>
    <xf numFmtId="0" fontId="16" fillId="18" borderId="16" xfId="0" applyFont="1" applyFill="1" applyBorder="1" applyAlignment="1">
      <alignment horizontal="center"/>
    </xf>
    <xf numFmtId="172" fontId="16" fillId="18" borderId="16" xfId="0" applyNumberFormat="1" applyFont="1" applyFill="1" applyBorder="1" applyAlignment="1">
      <alignment horizontal="right"/>
    </xf>
    <xf numFmtId="172" fontId="23" fillId="0" borderId="0" xfId="1" applyNumberFormat="1" applyFont="1"/>
    <xf numFmtId="44" fontId="23" fillId="0" borderId="0" xfId="1" applyFont="1"/>
    <xf numFmtId="170" fontId="16" fillId="0" borderId="16" xfId="0" applyNumberFormat="1" applyFont="1" applyBorder="1" applyAlignment="1">
      <alignment vertical="center"/>
    </xf>
    <xf numFmtId="2" fontId="16" fillId="0" borderId="16" xfId="0" applyNumberFormat="1" applyFont="1" applyBorder="1" applyAlignment="1">
      <alignment horizontal="center"/>
    </xf>
    <xf numFmtId="170" fontId="16" fillId="0" borderId="16" xfId="0" applyNumberFormat="1" applyFont="1" applyBorder="1" applyAlignment="1">
      <alignment horizontal="center" vertical="center"/>
    </xf>
    <xf numFmtId="172" fontId="16" fillId="0" borderId="16" xfId="0" applyNumberFormat="1" applyFont="1" applyBorder="1" applyAlignment="1">
      <alignment horizontal="right" vertical="center"/>
    </xf>
    <xf numFmtId="0" fontId="16" fillId="0" borderId="16" xfId="0" applyFont="1" applyBorder="1" applyAlignment="1">
      <alignment horizontal="center"/>
    </xf>
    <xf numFmtId="0" fontId="25" fillId="0" borderId="16" xfId="0" applyFont="1" applyBorder="1" applyAlignment="1">
      <alignment horizontal="center"/>
    </xf>
    <xf numFmtId="0" fontId="25" fillId="8" borderId="16" xfId="0" applyFont="1" applyFill="1" applyBorder="1" applyAlignment="1">
      <alignment horizontal="center"/>
    </xf>
    <xf numFmtId="2" fontId="25" fillId="8" borderId="16" xfId="0" applyNumberFormat="1" applyFont="1" applyFill="1" applyBorder="1" applyAlignment="1">
      <alignment horizontal="center"/>
    </xf>
    <xf numFmtId="170" fontId="25" fillId="8" borderId="16" xfId="0" applyNumberFormat="1" applyFont="1" applyFill="1" applyBorder="1" applyAlignment="1">
      <alignment horizontal="center" vertical="center"/>
    </xf>
    <xf numFmtId="172" fontId="25" fillId="8" borderId="16" xfId="0" applyNumberFormat="1" applyFont="1" applyFill="1" applyBorder="1" applyAlignment="1">
      <alignment horizontal="right" vertical="center"/>
    </xf>
    <xf numFmtId="2" fontId="16" fillId="8" borderId="16" xfId="0" applyNumberFormat="1" applyFont="1" applyFill="1" applyBorder="1" applyAlignment="1">
      <alignment horizontal="center"/>
    </xf>
    <xf numFmtId="170" fontId="16" fillId="8" borderId="16" xfId="0" applyNumberFormat="1" applyFont="1" applyFill="1" applyBorder="1" applyAlignment="1">
      <alignment horizontal="center" vertical="center"/>
    </xf>
    <xf numFmtId="172" fontId="16" fillId="8" borderId="16" xfId="0" applyNumberFormat="1" applyFont="1" applyFill="1" applyBorder="1" applyAlignment="1">
      <alignment horizontal="right" vertical="center"/>
    </xf>
    <xf numFmtId="0" fontId="17" fillId="0" borderId="16" xfId="0" applyFont="1" applyBorder="1" applyAlignment="1">
      <alignment horizontal="center"/>
    </xf>
    <xf numFmtId="172" fontId="16" fillId="0" borderId="0" xfId="0" applyNumberFormat="1" applyFont="1"/>
    <xf numFmtId="171" fontId="16" fillId="0" borderId="0" xfId="0" applyNumberFormat="1" applyFont="1"/>
    <xf numFmtId="9" fontId="16" fillId="0" borderId="0" xfId="3" applyFont="1"/>
    <xf numFmtId="9" fontId="16" fillId="0" borderId="0" xfId="0" applyNumberFormat="1" applyFont="1"/>
    <xf numFmtId="0" fontId="17" fillId="0" borderId="0" xfId="0" applyFont="1" applyAlignment="1">
      <alignment horizontal="right"/>
    </xf>
    <xf numFmtId="172" fontId="17" fillId="0" borderId="0" xfId="0" applyNumberFormat="1" applyFont="1" applyAlignment="1">
      <alignment horizontal="center"/>
    </xf>
    <xf numFmtId="172" fontId="17" fillId="0" borderId="0" xfId="0" applyNumberFormat="1" applyFont="1"/>
    <xf numFmtId="0" fontId="23" fillId="17" borderId="16" xfId="0" applyFont="1" applyFill="1" applyBorder="1" applyAlignment="1">
      <alignment horizontal="center"/>
    </xf>
    <xf numFmtId="0" fontId="23" fillId="21" borderId="16" xfId="0" applyFont="1" applyFill="1" applyBorder="1"/>
    <xf numFmtId="14" fontId="23" fillId="17" borderId="16" xfId="0" applyNumberFormat="1" applyFont="1" applyFill="1" applyBorder="1" applyAlignment="1">
      <alignment horizontal="center"/>
    </xf>
    <xf numFmtId="0" fontId="17" fillId="7" borderId="16" xfId="0" applyFont="1" applyFill="1" applyBorder="1" applyAlignment="1">
      <alignment horizontal="center" vertical="center"/>
    </xf>
    <xf numFmtId="0" fontId="17" fillId="7" borderId="16" xfId="0" applyFont="1" applyFill="1" applyBorder="1" applyAlignment="1">
      <alignment horizontal="center" vertical="center" wrapText="1"/>
    </xf>
    <xf numFmtId="0" fontId="17" fillId="20" borderId="16" xfId="0" applyFont="1" applyFill="1" applyBorder="1" applyAlignment="1">
      <alignment horizontal="center"/>
    </xf>
    <xf numFmtId="0" fontId="17" fillId="20" borderId="16" xfId="0" applyFont="1" applyFill="1" applyBorder="1"/>
    <xf numFmtId="0" fontId="16" fillId="20" borderId="16" xfId="0" applyFont="1" applyFill="1" applyBorder="1" applyAlignment="1">
      <alignment horizontal="center"/>
    </xf>
    <xf numFmtId="182" fontId="16" fillId="20" borderId="16" xfId="0" applyNumberFormat="1" applyFont="1" applyFill="1" applyBorder="1" applyAlignment="1">
      <alignment horizontal="right"/>
    </xf>
    <xf numFmtId="183" fontId="16" fillId="20" borderId="16" xfId="0" applyNumberFormat="1" applyFont="1" applyFill="1" applyBorder="1" applyAlignment="1">
      <alignment horizontal="right"/>
    </xf>
    <xf numFmtId="172" fontId="16" fillId="0" borderId="16" xfId="0" applyNumberFormat="1" applyFont="1" applyBorder="1" applyAlignment="1">
      <alignment horizontal="center" vertical="center"/>
    </xf>
    <xf numFmtId="0" fontId="25" fillId="17" borderId="16" xfId="0" applyFont="1" applyFill="1" applyBorder="1" applyAlignment="1">
      <alignment horizontal="center"/>
    </xf>
    <xf numFmtId="170" fontId="25" fillId="17" borderId="16" xfId="0" applyNumberFormat="1" applyFont="1" applyFill="1" applyBorder="1" applyAlignment="1">
      <alignment vertical="center"/>
    </xf>
    <xf numFmtId="2" fontId="16" fillId="17" borderId="16" xfId="0" applyNumberFormat="1" applyFont="1" applyFill="1" applyBorder="1" applyAlignment="1">
      <alignment horizontal="center"/>
    </xf>
    <xf numFmtId="170" fontId="16" fillId="17" borderId="16" xfId="0" applyNumberFormat="1" applyFont="1" applyFill="1" applyBorder="1" applyAlignment="1">
      <alignment horizontal="center" vertical="center"/>
    </xf>
    <xf numFmtId="172" fontId="16" fillId="17" borderId="16" xfId="0" applyNumberFormat="1" applyFont="1" applyFill="1" applyBorder="1" applyAlignment="1">
      <alignment horizontal="right" vertical="center"/>
    </xf>
    <xf numFmtId="0" fontId="25" fillId="15" borderId="16" xfId="0" applyFont="1" applyFill="1" applyBorder="1" applyAlignment="1">
      <alignment horizontal="center"/>
    </xf>
    <xf numFmtId="170" fontId="25" fillId="15" borderId="16" xfId="0" applyNumberFormat="1" applyFont="1" applyFill="1" applyBorder="1" applyAlignment="1">
      <alignment vertical="center"/>
    </xf>
    <xf numFmtId="2" fontId="25" fillId="15" borderId="16" xfId="0" applyNumberFormat="1" applyFont="1" applyFill="1" applyBorder="1" applyAlignment="1">
      <alignment horizontal="center"/>
    </xf>
    <xf numFmtId="170" fontId="25" fillId="15" borderId="16" xfId="0" applyNumberFormat="1" applyFont="1" applyFill="1" applyBorder="1" applyAlignment="1">
      <alignment horizontal="center" vertical="center"/>
    </xf>
    <xf numFmtId="172" fontId="25" fillId="15" borderId="16" xfId="0" applyNumberFormat="1" applyFont="1" applyFill="1" applyBorder="1" applyAlignment="1">
      <alignment horizontal="right" vertical="center"/>
    </xf>
    <xf numFmtId="0" fontId="17" fillId="8" borderId="16" xfId="0" applyFont="1" applyFill="1" applyBorder="1" applyAlignment="1">
      <alignment horizontal="center"/>
    </xf>
    <xf numFmtId="170" fontId="26" fillId="8" borderId="16" xfId="0" applyNumberFormat="1" applyFont="1" applyFill="1" applyBorder="1" applyAlignment="1">
      <alignment horizontal="center" vertical="center"/>
    </xf>
    <xf numFmtId="0" fontId="27" fillId="8" borderId="16" xfId="0" applyFont="1" applyFill="1" applyBorder="1" applyAlignment="1">
      <alignment horizontal="center"/>
    </xf>
    <xf numFmtId="44" fontId="16" fillId="0" borderId="16" xfId="1" applyFont="1" applyFill="1" applyBorder="1" applyAlignment="1">
      <alignment horizontal="right" vertical="center"/>
    </xf>
    <xf numFmtId="172" fontId="16" fillId="0" borderId="16" xfId="1" applyNumberFormat="1" applyFont="1" applyBorder="1" applyAlignment="1">
      <alignment horizontal="center"/>
    </xf>
    <xf numFmtId="170" fontId="3" fillId="8" borderId="16" xfId="0" applyNumberFormat="1" applyFont="1" applyFill="1" applyBorder="1" applyAlignment="1">
      <alignment horizontal="center" vertical="center"/>
    </xf>
    <xf numFmtId="43" fontId="3" fillId="8" borderId="16" xfId="0" applyNumberFormat="1" applyFont="1" applyFill="1" applyBorder="1" applyAlignment="1">
      <alignment horizontal="center" vertical="center"/>
    </xf>
    <xf numFmtId="170" fontId="3" fillId="8" borderId="16" xfId="0" applyNumberFormat="1" applyFont="1" applyFill="1" applyBorder="1" applyAlignment="1">
      <alignment horizontal="right" vertical="center"/>
    </xf>
    <xf numFmtId="170" fontId="10" fillId="8" borderId="16" xfId="0" applyNumberFormat="1" applyFont="1" applyFill="1" applyBorder="1" applyAlignment="1">
      <alignment horizontal="right" vertical="center"/>
    </xf>
    <xf numFmtId="0" fontId="9" fillId="0" borderId="16" xfId="0" applyFont="1" applyBorder="1"/>
    <xf numFmtId="0" fontId="0" fillId="8" borderId="16" xfId="0" applyFill="1" applyBorder="1" applyAlignment="1">
      <alignment horizontal="center"/>
    </xf>
    <xf numFmtId="172" fontId="0" fillId="0" borderId="16" xfId="0" applyNumberFormat="1" applyBorder="1"/>
    <xf numFmtId="2" fontId="0" fillId="0" borderId="16" xfId="0" applyNumberFormat="1" applyBorder="1" applyAlignment="1">
      <alignment horizontal="center"/>
    </xf>
    <xf numFmtId="0" fontId="0" fillId="0" borderId="16" xfId="0" applyBorder="1" applyAlignment="1">
      <alignment wrapText="1"/>
    </xf>
    <xf numFmtId="0" fontId="9" fillId="0" borderId="16" xfId="0" applyFont="1" applyBorder="1" applyAlignment="1">
      <alignment horizontal="center"/>
    </xf>
    <xf numFmtId="172" fontId="0" fillId="0" borderId="16" xfId="1" applyNumberFormat="1" applyFont="1" applyBorder="1"/>
    <xf numFmtId="172" fontId="0" fillId="12" borderId="16" xfId="1" applyNumberFormat="1" applyFont="1" applyFill="1" applyBorder="1"/>
    <xf numFmtId="4" fontId="7" fillId="9" borderId="16" xfId="4" applyNumberFormat="1" applyFont="1" applyFill="1" applyBorder="1"/>
    <xf numFmtId="176" fontId="7" fillId="9" borderId="16" xfId="4" applyNumberFormat="1" applyFont="1" applyFill="1" applyBorder="1"/>
    <xf numFmtId="177" fontId="7" fillId="9" borderId="16" xfId="4" applyNumberFormat="1" applyFont="1" applyFill="1" applyBorder="1"/>
    <xf numFmtId="43" fontId="10" fillId="11" borderId="16" xfId="0" applyNumberFormat="1" applyFont="1" applyFill="1" applyBorder="1" applyAlignment="1">
      <alignment horizontal="center" vertical="center"/>
    </xf>
    <xf numFmtId="170" fontId="10" fillId="11" borderId="16" xfId="0" applyNumberFormat="1" applyFont="1" applyFill="1" applyBorder="1" applyAlignment="1">
      <alignment horizontal="center" vertical="center"/>
    </xf>
    <xf numFmtId="172" fontId="3" fillId="12" borderId="16" xfId="1" applyNumberFormat="1" applyFont="1" applyFill="1" applyBorder="1" applyAlignment="1">
      <alignment horizontal="center" vertical="center"/>
    </xf>
    <xf numFmtId="172" fontId="3" fillId="8" borderId="16" xfId="1" applyNumberFormat="1" applyFont="1" applyFill="1" applyBorder="1" applyAlignment="1">
      <alignment horizontal="center" vertical="center"/>
    </xf>
    <xf numFmtId="172" fontId="0" fillId="12" borderId="16" xfId="0" applyNumberFormat="1" applyFill="1" applyBorder="1"/>
    <xf numFmtId="172" fontId="0" fillId="8" borderId="16" xfId="0" applyNumberFormat="1" applyFill="1" applyBorder="1"/>
    <xf numFmtId="0" fontId="0" fillId="13" borderId="16" xfId="0" applyFill="1" applyBorder="1"/>
    <xf numFmtId="0" fontId="0" fillId="13" borderId="16" xfId="0" applyFill="1" applyBorder="1" applyAlignment="1">
      <alignment horizontal="center"/>
    </xf>
    <xf numFmtId="172" fontId="0" fillId="13" borderId="16" xfId="0" applyNumberFormat="1" applyFill="1" applyBorder="1"/>
    <xf numFmtId="172" fontId="0" fillId="13" borderId="16" xfId="1" applyNumberFormat="1" applyFont="1" applyFill="1" applyBorder="1"/>
    <xf numFmtId="172" fontId="9" fillId="14" borderId="16" xfId="1" applyNumberFormat="1" applyFont="1" applyFill="1" applyBorder="1"/>
    <xf numFmtId="0" fontId="12" fillId="2" borderId="16" xfId="6" applyFont="1" applyFill="1" applyBorder="1" applyAlignment="1">
      <alignment horizontal="center"/>
    </xf>
    <xf numFmtId="0" fontId="11" fillId="0" borderId="16" xfId="6" applyBorder="1"/>
    <xf numFmtId="0" fontId="12" fillId="0" borderId="16" xfId="6" applyFont="1" applyBorder="1"/>
    <xf numFmtId="172" fontId="12" fillId="0" borderId="16" xfId="6" applyNumberFormat="1" applyFont="1" applyBorder="1"/>
    <xf numFmtId="172" fontId="13" fillId="0" borderId="16" xfId="6" applyNumberFormat="1" applyFont="1" applyBorder="1" applyAlignment="1">
      <alignment horizontal="center"/>
    </xf>
    <xf numFmtId="14" fontId="12" fillId="0" borderId="16" xfId="6" applyNumberFormat="1" applyFont="1" applyBorder="1"/>
    <xf numFmtId="0" fontId="9" fillId="11" borderId="16" xfId="0" applyFont="1" applyFill="1" applyBorder="1"/>
    <xf numFmtId="0" fontId="9" fillId="11" borderId="16" xfId="0" applyFont="1" applyFill="1" applyBorder="1" applyAlignment="1">
      <alignment horizontal="center"/>
    </xf>
    <xf numFmtId="0" fontId="0" fillId="12" borderId="16" xfId="0" applyFill="1" applyBorder="1" applyAlignment="1">
      <alignment vertical="center" wrapText="1"/>
    </xf>
    <xf numFmtId="182" fontId="0" fillId="5" borderId="11" xfId="0" applyNumberFormat="1" applyFill="1" applyBorder="1" applyAlignment="1">
      <alignment vertical="center"/>
    </xf>
    <xf numFmtId="182" fontId="0" fillId="5" borderId="16" xfId="0" applyNumberFormat="1" applyFill="1" applyBorder="1" applyAlignment="1">
      <alignment horizontal="center" vertical="center"/>
    </xf>
    <xf numFmtId="182" fontId="0" fillId="5" borderId="10" xfId="0" applyNumberFormat="1" applyFill="1" applyBorder="1" applyAlignment="1">
      <alignment vertical="center"/>
    </xf>
    <xf numFmtId="182" fontId="0" fillId="5" borderId="10" xfId="0" applyNumberFormat="1" applyFill="1" applyBorder="1" applyAlignment="1">
      <alignment horizontal="right" vertical="center"/>
    </xf>
    <xf numFmtId="0" fontId="0" fillId="0" borderId="16" xfId="0" applyBorder="1" applyAlignment="1">
      <alignment horizontal="right"/>
    </xf>
    <xf numFmtId="0" fontId="0" fillId="8" borderId="16" xfId="0" applyFill="1" applyBorder="1" applyAlignment="1">
      <alignment vertical="center" wrapText="1"/>
    </xf>
    <xf numFmtId="182" fontId="0" fillId="8" borderId="11" xfId="0" applyNumberFormat="1" applyFill="1" applyBorder="1" applyAlignment="1">
      <alignment vertical="center"/>
    </xf>
    <xf numFmtId="182" fontId="0" fillId="8" borderId="16" xfId="0" applyNumberFormat="1" applyFill="1" applyBorder="1" applyAlignment="1">
      <alignment horizontal="center" vertical="center"/>
    </xf>
    <xf numFmtId="2" fontId="16" fillId="15" borderId="16" xfId="0" applyNumberFormat="1" applyFont="1" applyFill="1" applyBorder="1" applyAlignment="1">
      <alignment horizontal="center"/>
    </xf>
    <xf numFmtId="170" fontId="16" fillId="15" borderId="16" xfId="0" applyNumberFormat="1" applyFont="1" applyFill="1" applyBorder="1" applyAlignment="1">
      <alignment horizontal="center" vertical="center"/>
    </xf>
    <xf numFmtId="172" fontId="16" fillId="15" borderId="16" xfId="0" applyNumberFormat="1" applyFont="1" applyFill="1" applyBorder="1" applyAlignment="1">
      <alignment horizontal="right" vertical="center"/>
    </xf>
    <xf numFmtId="0" fontId="16" fillId="15" borderId="16" xfId="0" applyFont="1" applyFill="1" applyBorder="1" applyAlignment="1">
      <alignment horizontal="center"/>
    </xf>
    <xf numFmtId="182" fontId="0" fillId="0" borderId="16" xfId="0" applyNumberFormat="1" applyBorder="1" applyAlignment="1">
      <alignment horizontal="right"/>
    </xf>
    <xf numFmtId="183" fontId="0" fillId="0" borderId="16" xfId="0" applyNumberFormat="1" applyBorder="1" applyAlignment="1">
      <alignment horizontal="right"/>
    </xf>
    <xf numFmtId="183" fontId="0" fillId="0" borderId="16" xfId="0" applyNumberFormat="1" applyBorder="1" applyAlignment="1">
      <alignment horizontal="right" vertical="center"/>
    </xf>
    <xf numFmtId="182" fontId="0" fillId="12" borderId="0" xfId="0" applyNumberFormat="1" applyFill="1"/>
    <xf numFmtId="182" fontId="17" fillId="0" borderId="0" xfId="0" applyNumberFormat="1" applyFont="1" applyAlignment="1">
      <alignment horizontal="center"/>
    </xf>
    <xf numFmtId="2" fontId="0" fillId="0" borderId="0" xfId="0" applyNumberFormat="1"/>
    <xf numFmtId="182" fontId="0" fillId="12" borderId="0" xfId="0" applyNumberFormat="1" applyFill="1" applyAlignment="1">
      <alignment horizontal="right"/>
    </xf>
    <xf numFmtId="182" fontId="0" fillId="18" borderId="10" xfId="0" applyNumberFormat="1" applyFill="1" applyBorder="1" applyAlignment="1">
      <alignment horizontal="right" vertical="center"/>
    </xf>
    <xf numFmtId="0" fontId="29" fillId="8" borderId="0" xfId="16" applyFill="1"/>
    <xf numFmtId="0" fontId="31" fillId="8" borderId="0" xfId="17" applyFont="1" applyFill="1"/>
    <xf numFmtId="166" fontId="0" fillId="8" borderId="0" xfId="21" applyFont="1" applyFill="1"/>
    <xf numFmtId="0" fontId="9" fillId="8" borderId="20" xfId="16" applyFont="1" applyFill="1" applyBorder="1"/>
    <xf numFmtId="0" fontId="9" fillId="8" borderId="0" xfId="17" applyFont="1" applyFill="1"/>
    <xf numFmtId="168" fontId="29" fillId="8" borderId="0" xfId="16" applyNumberFormat="1" applyFill="1"/>
    <xf numFmtId="0" fontId="9" fillId="8" borderId="22" xfId="16" applyFont="1" applyFill="1" applyBorder="1"/>
    <xf numFmtId="0" fontId="15" fillId="22" borderId="16" xfId="17" applyFont="1" applyFill="1" applyBorder="1" applyAlignment="1">
      <alignment horizontal="center"/>
    </xf>
    <xf numFmtId="182" fontId="15" fillId="22" borderId="16" xfId="17" applyNumberFormat="1" applyFont="1" applyFill="1" applyBorder="1"/>
    <xf numFmtId="0" fontId="29" fillId="8" borderId="16" xfId="16" applyFill="1" applyBorder="1" applyAlignment="1">
      <alignment horizontal="center" vertical="center"/>
    </xf>
    <xf numFmtId="0" fontId="29" fillId="8" borderId="16" xfId="16" applyFill="1" applyBorder="1" applyAlignment="1">
      <alignment wrapText="1"/>
    </xf>
    <xf numFmtId="0" fontId="29" fillId="8" borderId="16" xfId="16" applyFill="1" applyBorder="1"/>
    <xf numFmtId="182" fontId="1" fillId="8" borderId="16" xfId="20" applyNumberFormat="1" applyFont="1" applyFill="1" applyBorder="1" applyAlignment="1">
      <alignment vertical="center"/>
    </xf>
    <xf numFmtId="182" fontId="1" fillId="8" borderId="16" xfId="20" applyNumberFormat="1" applyFont="1" applyFill="1" applyBorder="1" applyAlignment="1">
      <alignment horizontal="right" vertical="center"/>
    </xf>
    <xf numFmtId="0" fontId="34" fillId="22" borderId="16" xfId="16" applyFont="1" applyFill="1" applyBorder="1" applyAlignment="1">
      <alignment horizontal="center"/>
    </xf>
    <xf numFmtId="167" fontId="30" fillId="25" borderId="16" xfId="16" applyNumberFormat="1" applyFont="1" applyFill="1" applyBorder="1" applyAlignment="1">
      <alignment vertical="center"/>
    </xf>
    <xf numFmtId="0" fontId="29" fillId="8" borderId="0" xfId="16" applyFill="1" applyAlignment="1">
      <alignment horizontal="center"/>
    </xf>
    <xf numFmtId="2" fontId="25" fillId="20" borderId="16" xfId="0" applyNumberFormat="1" applyFont="1" applyFill="1" applyBorder="1" applyAlignment="1">
      <alignment horizontal="center"/>
    </xf>
    <xf numFmtId="0" fontId="22" fillId="0" borderId="16" xfId="0" applyFont="1" applyBorder="1" applyAlignment="1">
      <alignment horizontal="center"/>
    </xf>
    <xf numFmtId="0" fontId="22" fillId="0" borderId="16" xfId="0" applyFont="1" applyBorder="1" applyAlignment="1">
      <alignment horizontal="center" vertical="center"/>
    </xf>
    <xf numFmtId="182" fontId="0" fillId="0" borderId="0" xfId="0" applyNumberFormat="1" applyAlignment="1">
      <alignment horizontal="right"/>
    </xf>
    <xf numFmtId="0" fontId="27" fillId="7" borderId="16" xfId="0" applyFont="1" applyFill="1" applyBorder="1" applyAlignment="1">
      <alignment horizontal="center" vertical="center"/>
    </xf>
    <xf numFmtId="4" fontId="25" fillId="8" borderId="16" xfId="16" applyNumberFormat="1" applyFont="1" applyFill="1" applyBorder="1" applyAlignment="1">
      <alignment horizontal="center" vertical="center"/>
    </xf>
    <xf numFmtId="2" fontId="25" fillId="20" borderId="16" xfId="0" applyNumberFormat="1" applyFont="1" applyFill="1" applyBorder="1" applyAlignment="1">
      <alignment horizontal="center" vertical="center"/>
    </xf>
    <xf numFmtId="182" fontId="22" fillId="5" borderId="16" xfId="0" applyNumberFormat="1" applyFont="1" applyFill="1" applyBorder="1" applyAlignment="1">
      <alignment horizontal="center"/>
    </xf>
    <xf numFmtId="0" fontId="22" fillId="0" borderId="16" xfId="0" applyFont="1" applyBorder="1" applyAlignment="1">
      <alignment horizontal="center" vertical="center" wrapText="1"/>
    </xf>
    <xf numFmtId="182" fontId="22" fillId="0" borderId="16" xfId="0" applyNumberFormat="1" applyFont="1" applyBorder="1" applyAlignment="1">
      <alignment horizontal="center"/>
    </xf>
    <xf numFmtId="2" fontId="22" fillId="0" borderId="16" xfId="0" applyNumberFormat="1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10" fontId="0" fillId="0" borderId="0" xfId="3" applyNumberFormat="1" applyFont="1" applyAlignment="1">
      <alignment horizontal="right"/>
    </xf>
    <xf numFmtId="0" fontId="9" fillId="0" borderId="11" xfId="0" applyFont="1" applyBorder="1"/>
    <xf numFmtId="0" fontId="0" fillId="0" borderId="5" xfId="0" applyBorder="1" applyAlignment="1">
      <alignment horizontal="center"/>
    </xf>
    <xf numFmtId="10" fontId="0" fillId="0" borderId="16" xfId="3" applyNumberFormat="1" applyFont="1" applyFill="1" applyBorder="1"/>
    <xf numFmtId="182" fontId="0" fillId="0" borderId="8" xfId="0" applyNumberFormat="1" applyBorder="1"/>
    <xf numFmtId="9" fontId="0" fillId="0" borderId="8" xfId="3" applyFont="1" applyFill="1" applyBorder="1"/>
    <xf numFmtId="43" fontId="16" fillId="0" borderId="16" xfId="0" applyNumberFormat="1" applyFont="1" applyBorder="1" applyAlignment="1">
      <alignment horizontal="center" vertical="center"/>
    </xf>
    <xf numFmtId="2" fontId="22" fillId="0" borderId="16" xfId="0" applyNumberFormat="1" applyFont="1" applyBorder="1" applyAlignment="1">
      <alignment horizontal="center" vertical="center"/>
    </xf>
    <xf numFmtId="168" fontId="0" fillId="0" borderId="0" xfId="24" applyFont="1"/>
    <xf numFmtId="182" fontId="9" fillId="6" borderId="0" xfId="0" applyNumberFormat="1" applyFont="1" applyFill="1" applyAlignment="1">
      <alignment horizontal="right"/>
    </xf>
    <xf numFmtId="0" fontId="27" fillId="18" borderId="16" xfId="0" applyFont="1" applyFill="1" applyBorder="1"/>
    <xf numFmtId="181" fontId="0" fillId="0" borderId="0" xfId="0" applyNumberFormat="1"/>
    <xf numFmtId="0" fontId="0" fillId="0" borderId="0" xfId="0" applyAlignment="1">
      <alignment wrapText="1"/>
    </xf>
    <xf numFmtId="181" fontId="0" fillId="0" borderId="0" xfId="0" applyNumberFormat="1" applyAlignment="1">
      <alignment horizontal="center" vertical="center"/>
    </xf>
    <xf numFmtId="170" fontId="25" fillId="8" borderId="16" xfId="0" applyNumberFormat="1" applyFont="1" applyFill="1" applyBorder="1" applyAlignment="1">
      <alignment vertical="center"/>
    </xf>
    <xf numFmtId="0" fontId="27" fillId="18" borderId="16" xfId="0" applyFont="1" applyFill="1" applyBorder="1" applyAlignment="1">
      <alignment horizontal="left"/>
    </xf>
    <xf numFmtId="0" fontId="22" fillId="0" borderId="0" xfId="0" applyFont="1" applyAlignment="1">
      <alignment horizontal="center" wrapText="1"/>
    </xf>
    <xf numFmtId="182" fontId="0" fillId="0" borderId="0" xfId="0" applyNumberFormat="1" applyAlignment="1">
      <alignment horizontal="center"/>
    </xf>
    <xf numFmtId="1" fontId="0" fillId="0" borderId="10" xfId="0" applyNumberFormat="1" applyBorder="1" applyAlignment="1">
      <alignment horizontal="center"/>
    </xf>
    <xf numFmtId="2" fontId="25" fillId="8" borderId="16" xfId="16" applyNumberFormat="1" applyFont="1" applyFill="1" applyBorder="1" applyAlignment="1">
      <alignment horizontal="center" vertical="center"/>
    </xf>
    <xf numFmtId="168" fontId="0" fillId="0" borderId="0" xfId="24" applyFont="1" applyAlignment="1">
      <alignment horizontal="right"/>
    </xf>
    <xf numFmtId="168" fontId="0" fillId="12" borderId="0" xfId="24" applyFont="1" applyFill="1"/>
    <xf numFmtId="168" fontId="0" fillId="0" borderId="0" xfId="0" applyNumberFormat="1" applyAlignment="1">
      <alignment horizontal="right"/>
    </xf>
    <xf numFmtId="187" fontId="9" fillId="5" borderId="0" xfId="0" applyNumberFormat="1" applyFont="1" applyFill="1"/>
    <xf numFmtId="0" fontId="0" fillId="0" borderId="11" xfId="0" applyBorder="1" applyAlignment="1">
      <alignment vertical="center" wrapText="1"/>
    </xf>
    <xf numFmtId="0" fontId="0" fillId="5" borderId="11" xfId="0" applyFill="1" applyBorder="1" applyAlignment="1">
      <alignment vertical="center" wrapText="1"/>
    </xf>
    <xf numFmtId="182" fontId="0" fillId="12" borderId="16" xfId="0" applyNumberFormat="1" applyFill="1" applyBorder="1" applyAlignment="1">
      <alignment horizontal="center" vertical="center"/>
    </xf>
    <xf numFmtId="182" fontId="0" fillId="12" borderId="11" xfId="0" applyNumberFormat="1" applyFill="1" applyBorder="1" applyAlignment="1">
      <alignment vertical="center"/>
    </xf>
    <xf numFmtId="182" fontId="0" fillId="12" borderId="10" xfId="0" applyNumberFormat="1" applyFill="1" applyBorder="1" applyAlignment="1">
      <alignment vertical="center"/>
    </xf>
    <xf numFmtId="0" fontId="0" fillId="3" borderId="16" xfId="0" applyFill="1" applyBorder="1" applyAlignment="1">
      <alignment vertical="center" wrapText="1"/>
    </xf>
    <xf numFmtId="182" fontId="0" fillId="3" borderId="16" xfId="0" applyNumberFormat="1" applyFill="1" applyBorder="1" applyAlignment="1">
      <alignment horizontal="center" vertical="center"/>
    </xf>
    <xf numFmtId="182" fontId="0" fillId="3" borderId="10" xfId="0" applyNumberFormat="1" applyFill="1" applyBorder="1" applyAlignment="1">
      <alignment vertical="center"/>
    </xf>
    <xf numFmtId="182" fontId="0" fillId="3" borderId="10" xfId="0" applyNumberFormat="1" applyFill="1" applyBorder="1" applyAlignment="1">
      <alignment horizontal="right" vertical="center"/>
    </xf>
    <xf numFmtId="0" fontId="27" fillId="18" borderId="16" xfId="0" applyFont="1" applyFill="1" applyBorder="1" applyAlignment="1">
      <alignment horizontal="center"/>
    </xf>
    <xf numFmtId="170" fontId="27" fillId="18" borderId="16" xfId="0" applyNumberFormat="1" applyFont="1" applyFill="1" applyBorder="1" applyAlignment="1">
      <alignment vertical="center"/>
    </xf>
    <xf numFmtId="2" fontId="17" fillId="18" borderId="16" xfId="0" applyNumberFormat="1" applyFont="1" applyFill="1" applyBorder="1" applyAlignment="1">
      <alignment horizontal="center"/>
    </xf>
    <xf numFmtId="170" fontId="17" fillId="18" borderId="16" xfId="0" applyNumberFormat="1" applyFont="1" applyFill="1" applyBorder="1" applyAlignment="1">
      <alignment horizontal="center" vertical="center"/>
    </xf>
    <xf numFmtId="172" fontId="17" fillId="18" borderId="16" xfId="0" applyNumberFormat="1" applyFont="1" applyFill="1" applyBorder="1" applyAlignment="1">
      <alignment horizontal="right" vertical="center"/>
    </xf>
    <xf numFmtId="0" fontId="0" fillId="3" borderId="11" xfId="0" applyFill="1" applyBorder="1" applyAlignment="1">
      <alignment vertical="center" wrapText="1"/>
    </xf>
    <xf numFmtId="0" fontId="0" fillId="8" borderId="0" xfId="0" applyFill="1" applyAlignment="1">
      <alignment horizontal="center"/>
    </xf>
    <xf numFmtId="0" fontId="0" fillId="8" borderId="16" xfId="0" applyFill="1" applyBorder="1"/>
    <xf numFmtId="0" fontId="0" fillId="3" borderId="16" xfId="0" applyFill="1" applyBorder="1"/>
    <xf numFmtId="0" fontId="0" fillId="3" borderId="16" xfId="0" applyFill="1" applyBorder="1" applyAlignment="1">
      <alignment horizontal="center" vertical="center"/>
    </xf>
    <xf numFmtId="0" fontId="0" fillId="27" borderId="16" xfId="0" applyFill="1" applyBorder="1" applyAlignment="1">
      <alignment horizontal="left" vertical="center" wrapText="1"/>
    </xf>
    <xf numFmtId="44" fontId="24" fillId="0" borderId="0" xfId="0" applyNumberFormat="1" applyFont="1" applyAlignment="1">
      <alignment vertical="center"/>
    </xf>
    <xf numFmtId="10" fontId="24" fillId="0" borderId="0" xfId="3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44" fillId="29" borderId="0" xfId="0" applyFont="1" applyFill="1" applyAlignment="1">
      <alignment horizontal="right"/>
    </xf>
    <xf numFmtId="2" fontId="44" fillId="29" borderId="0" xfId="0" applyNumberFormat="1" applyFont="1" applyFill="1" applyAlignment="1">
      <alignment horizontal="center"/>
    </xf>
    <xf numFmtId="0" fontId="45" fillId="30" borderId="0" xfId="0" applyFont="1" applyFill="1" applyAlignment="1">
      <alignment vertical="center" wrapText="1"/>
    </xf>
    <xf numFmtId="172" fontId="45" fillId="30" borderId="0" xfId="1" applyNumberFormat="1" applyFont="1" applyFill="1" applyAlignment="1">
      <alignment vertical="center" wrapText="1"/>
    </xf>
    <xf numFmtId="0" fontId="37" fillId="0" borderId="16" xfId="0" applyFont="1" applyBorder="1" applyAlignment="1">
      <alignment horizontal="left" vertical="center"/>
    </xf>
    <xf numFmtId="0" fontId="46" fillId="0" borderId="0" xfId="0" applyFont="1" applyAlignment="1">
      <alignment horizontal="center" vertical="center"/>
    </xf>
    <xf numFmtId="0" fontId="0" fillId="18" borderId="16" xfId="0" applyFill="1" applyBorder="1" applyAlignment="1">
      <alignment horizontal="left" vertical="center"/>
    </xf>
    <xf numFmtId="0" fontId="0" fillId="18" borderId="16" xfId="0" applyFill="1" applyBorder="1" applyAlignment="1">
      <alignment vertical="center" wrapText="1"/>
    </xf>
    <xf numFmtId="182" fontId="0" fillId="18" borderId="11" xfId="0" applyNumberFormat="1" applyFill="1" applyBorder="1" applyAlignment="1">
      <alignment vertical="center"/>
    </xf>
    <xf numFmtId="182" fontId="0" fillId="18" borderId="16" xfId="0" applyNumberFormat="1" applyFill="1" applyBorder="1" applyAlignment="1">
      <alignment horizontal="center" vertical="center"/>
    </xf>
    <xf numFmtId="182" fontId="0" fillId="18" borderId="10" xfId="0" applyNumberFormat="1" applyFill="1" applyBorder="1" applyAlignment="1">
      <alignment vertical="center"/>
    </xf>
    <xf numFmtId="0" fontId="0" fillId="0" borderId="16" xfId="0" applyBorder="1" applyAlignment="1">
      <alignment horizontal="left" vertical="center"/>
    </xf>
    <xf numFmtId="0" fontId="22" fillId="0" borderId="16" xfId="0" applyFont="1" applyBorder="1" applyAlignment="1">
      <alignment vertical="center" wrapText="1"/>
    </xf>
    <xf numFmtId="182" fontId="22" fillId="0" borderId="11" xfId="0" applyNumberFormat="1" applyFont="1" applyBorder="1" applyAlignment="1">
      <alignment vertical="center"/>
    </xf>
    <xf numFmtId="182" fontId="22" fillId="0" borderId="16" xfId="0" applyNumberFormat="1" applyFont="1" applyBorder="1" applyAlignment="1">
      <alignment horizontal="center" vertical="center"/>
    </xf>
    <xf numFmtId="182" fontId="22" fillId="0" borderId="10" xfId="0" applyNumberFormat="1" applyFont="1" applyBorder="1" applyAlignment="1">
      <alignment vertical="center"/>
    </xf>
    <xf numFmtId="182" fontId="22" fillId="0" borderId="10" xfId="0" applyNumberFormat="1" applyFont="1" applyBorder="1" applyAlignment="1">
      <alignment horizontal="right" vertical="center"/>
    </xf>
    <xf numFmtId="0" fontId="0" fillId="28" borderId="16" xfId="0" applyFill="1" applyBorder="1" applyAlignment="1">
      <alignment horizontal="center"/>
    </xf>
    <xf numFmtId="0" fontId="0" fillId="28" borderId="16" xfId="0" applyFill="1" applyBorder="1" applyAlignment="1">
      <alignment vertical="center" wrapText="1"/>
    </xf>
    <xf numFmtId="182" fontId="0" fillId="28" borderId="11" xfId="0" applyNumberFormat="1" applyFill="1" applyBorder="1" applyAlignment="1">
      <alignment vertical="center"/>
    </xf>
    <xf numFmtId="182" fontId="0" fillId="28" borderId="16" xfId="0" applyNumberFormat="1" applyFill="1" applyBorder="1" applyAlignment="1">
      <alignment horizontal="center" vertical="center"/>
    </xf>
    <xf numFmtId="182" fontId="0" fillId="28" borderId="10" xfId="0" applyNumberFormat="1" applyFill="1" applyBorder="1" applyAlignment="1">
      <alignment vertical="center"/>
    </xf>
    <xf numFmtId="182" fontId="0" fillId="28" borderId="10" xfId="0" applyNumberFormat="1" applyFill="1" applyBorder="1" applyAlignment="1">
      <alignment horizontal="right" vertical="center"/>
    </xf>
    <xf numFmtId="0" fontId="0" fillId="28" borderId="16" xfId="0" applyFill="1" applyBorder="1" applyAlignment="1">
      <alignment horizontal="left" vertical="center"/>
    </xf>
    <xf numFmtId="0" fontId="0" fillId="18" borderId="16" xfId="0" applyFill="1" applyBorder="1" applyAlignment="1">
      <alignment horizontal="center" vertical="center"/>
    </xf>
    <xf numFmtId="182" fontId="9" fillId="18" borderId="16" xfId="0" applyNumberFormat="1" applyFont="1" applyFill="1" applyBorder="1" applyAlignment="1">
      <alignment horizontal="center" vertical="center"/>
    </xf>
    <xf numFmtId="0" fontId="0" fillId="18" borderId="11" xfId="0" applyFill="1" applyBorder="1" applyAlignment="1">
      <alignment vertical="center" wrapText="1"/>
    </xf>
    <xf numFmtId="0" fontId="0" fillId="18" borderId="16" xfId="0" applyFill="1" applyBorder="1" applyAlignment="1">
      <alignment horizontal="left" vertical="center" wrapText="1"/>
    </xf>
    <xf numFmtId="0" fontId="0" fillId="18" borderId="11" xfId="0" applyFill="1" applyBorder="1" applyAlignment="1">
      <alignment horizontal="left" vertical="center" wrapText="1"/>
    </xf>
    <xf numFmtId="182" fontId="0" fillId="18" borderId="10" xfId="0" applyNumberFormat="1" applyFill="1" applyBorder="1" applyAlignment="1">
      <alignment horizontal="left" vertical="center"/>
    </xf>
    <xf numFmtId="182" fontId="0" fillId="13" borderId="10" xfId="0" applyNumberFormat="1" applyFill="1" applyBorder="1" applyAlignment="1">
      <alignment vertical="center"/>
    </xf>
    <xf numFmtId="0" fontId="46" fillId="18" borderId="0" xfId="0" applyFont="1" applyFill="1" applyAlignment="1">
      <alignment horizontal="center" vertical="center"/>
    </xf>
    <xf numFmtId="0" fontId="46" fillId="12" borderId="0" xfId="0" applyFont="1" applyFill="1" applyAlignment="1">
      <alignment horizontal="center" vertical="center"/>
    </xf>
    <xf numFmtId="182" fontId="0" fillId="18" borderId="16" xfId="0" applyNumberFormat="1" applyFill="1" applyBorder="1" applyAlignment="1">
      <alignment vertical="center"/>
    </xf>
    <xf numFmtId="182" fontId="0" fillId="28" borderId="16" xfId="0" applyNumberFormat="1" applyFill="1" applyBorder="1" applyAlignment="1">
      <alignment vertical="center"/>
    </xf>
    <xf numFmtId="0" fontId="45" fillId="31" borderId="16" xfId="0" applyFont="1" applyFill="1" applyBorder="1" applyAlignment="1">
      <alignment horizontal="left" vertical="center" wrapText="1"/>
    </xf>
    <xf numFmtId="0" fontId="45" fillId="31" borderId="16" xfId="0" applyFont="1" applyFill="1" applyBorder="1" applyAlignment="1">
      <alignment horizontal="center" vertical="center" wrapText="1"/>
    </xf>
    <xf numFmtId="0" fontId="37" fillId="0" borderId="8" xfId="0" applyFont="1" applyBorder="1" applyAlignment="1">
      <alignment horizontal="left" vertical="center"/>
    </xf>
    <xf numFmtId="0" fontId="0" fillId="0" borderId="8" xfId="0" applyBorder="1" applyAlignment="1">
      <alignment vertical="center" wrapText="1"/>
    </xf>
    <xf numFmtId="182" fontId="0" fillId="0" borderId="5" xfId="0" applyNumberFormat="1" applyBorder="1" applyAlignment="1">
      <alignment vertical="center"/>
    </xf>
    <xf numFmtId="182" fontId="0" fillId="0" borderId="8" xfId="0" applyNumberFormat="1" applyBorder="1" applyAlignment="1">
      <alignment horizontal="center" vertical="center"/>
    </xf>
    <xf numFmtId="182" fontId="0" fillId="0" borderId="7" xfId="0" applyNumberFormat="1" applyBorder="1" applyAlignment="1">
      <alignment vertical="center"/>
    </xf>
    <xf numFmtId="182" fontId="0" fillId="0" borderId="7" xfId="0" applyNumberFormat="1" applyBorder="1" applyAlignment="1">
      <alignment horizontal="right" vertical="center"/>
    </xf>
    <xf numFmtId="182" fontId="45" fillId="31" borderId="16" xfId="0" applyNumberFormat="1" applyFont="1" applyFill="1" applyBorder="1" applyAlignment="1">
      <alignment horizontal="center" vertical="center" wrapText="1"/>
    </xf>
    <xf numFmtId="0" fontId="0" fillId="22" borderId="16" xfId="0" applyFill="1" applyBorder="1" applyAlignment="1">
      <alignment horizontal="center"/>
    </xf>
    <xf numFmtId="0" fontId="0" fillId="22" borderId="16" xfId="0" applyFill="1" applyBorder="1" applyAlignment="1">
      <alignment vertical="center" wrapText="1"/>
    </xf>
    <xf numFmtId="182" fontId="0" fillId="22" borderId="11" xfId="0" applyNumberFormat="1" applyFill="1" applyBorder="1" applyAlignment="1">
      <alignment vertical="center"/>
    </xf>
    <xf numFmtId="182" fontId="0" fillId="22" borderId="16" xfId="0" applyNumberFormat="1" applyFill="1" applyBorder="1" applyAlignment="1">
      <alignment horizontal="center" vertical="center"/>
    </xf>
    <xf numFmtId="182" fontId="0" fillId="22" borderId="10" xfId="0" applyNumberFormat="1" applyFill="1" applyBorder="1" applyAlignment="1">
      <alignment vertical="center"/>
    </xf>
    <xf numFmtId="182" fontId="0" fillId="22" borderId="10" xfId="0" applyNumberFormat="1" applyFill="1" applyBorder="1" applyAlignment="1">
      <alignment horizontal="right" vertical="center"/>
    </xf>
    <xf numFmtId="0" fontId="46" fillId="22" borderId="0" xfId="0" applyFont="1" applyFill="1" applyAlignment="1">
      <alignment horizontal="center" vertical="center"/>
    </xf>
    <xf numFmtId="2" fontId="15" fillId="4" borderId="0" xfId="0" applyNumberFormat="1" applyFont="1" applyFill="1" applyAlignment="1">
      <alignment horizontal="center"/>
    </xf>
    <xf numFmtId="172" fontId="29" fillId="8" borderId="0" xfId="16" applyNumberFormat="1" applyFill="1"/>
    <xf numFmtId="167" fontId="29" fillId="8" borderId="0" xfId="16" applyNumberFormat="1" applyFill="1"/>
    <xf numFmtId="172" fontId="34" fillId="8" borderId="0" xfId="16" applyNumberFormat="1" applyFont="1" applyFill="1"/>
    <xf numFmtId="167" fontId="30" fillId="32" borderId="16" xfId="16" applyNumberFormat="1" applyFont="1" applyFill="1" applyBorder="1" applyAlignment="1">
      <alignment vertical="center"/>
    </xf>
    <xf numFmtId="0" fontId="0" fillId="14" borderId="0" xfId="0" applyFill="1"/>
    <xf numFmtId="2" fontId="47" fillId="0" borderId="0" xfId="0" applyNumberFormat="1" applyFont="1" applyAlignment="1">
      <alignment horizontal="center"/>
    </xf>
    <xf numFmtId="2" fontId="48" fillId="0" borderId="0" xfId="0" applyNumberFormat="1" applyFont="1" applyAlignment="1">
      <alignment horizontal="center"/>
    </xf>
    <xf numFmtId="0" fontId="48" fillId="0" borderId="0" xfId="0" applyFont="1"/>
    <xf numFmtId="2" fontId="49" fillId="0" borderId="0" xfId="0" applyNumberFormat="1" applyFont="1" applyAlignment="1">
      <alignment horizontal="center"/>
    </xf>
    <xf numFmtId="0" fontId="50" fillId="0" borderId="0" xfId="0" applyFont="1"/>
    <xf numFmtId="0" fontId="51" fillId="0" borderId="0" xfId="0" applyFont="1"/>
    <xf numFmtId="0" fontId="53" fillId="0" borderId="0" xfId="0" applyFont="1"/>
    <xf numFmtId="0" fontId="54" fillId="0" borderId="0" xfId="0" applyFont="1"/>
    <xf numFmtId="44" fontId="52" fillId="0" borderId="0" xfId="0" applyNumberFormat="1" applyFont="1" applyAlignment="1">
      <alignment vertical="center"/>
    </xf>
    <xf numFmtId="0" fontId="55" fillId="0" borderId="0" xfId="0" applyFont="1"/>
    <xf numFmtId="0" fontId="56" fillId="0" borderId="0" xfId="0" applyFont="1"/>
    <xf numFmtId="181" fontId="57" fillId="0" borderId="0" xfId="0" applyNumberFormat="1" applyFont="1" applyAlignment="1">
      <alignment horizontal="left" vertical="center"/>
    </xf>
    <xf numFmtId="0" fontId="59" fillId="0" borderId="0" xfId="0" applyFont="1" applyAlignment="1">
      <alignment horizontal="right"/>
    </xf>
    <xf numFmtId="9" fontId="29" fillId="8" borderId="0" xfId="3" applyFont="1" applyFill="1"/>
    <xf numFmtId="167" fontId="16" fillId="0" borderId="0" xfId="0" applyNumberFormat="1" applyFont="1"/>
    <xf numFmtId="0" fontId="62" fillId="0" borderId="0" xfId="0" applyFont="1"/>
    <xf numFmtId="0" fontId="63" fillId="0" borderId="0" xfId="0" applyFont="1"/>
    <xf numFmtId="0" fontId="63" fillId="0" borderId="0" xfId="0" applyFont="1" applyAlignment="1">
      <alignment horizontal="center"/>
    </xf>
    <xf numFmtId="181" fontId="37" fillId="0" borderId="0" xfId="0" applyNumberFormat="1" applyFont="1" applyAlignment="1">
      <alignment horizontal="left" vertical="center"/>
    </xf>
    <xf numFmtId="0" fontId="53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172" fontId="63" fillId="0" borderId="0" xfId="0" applyNumberFormat="1" applyFont="1"/>
    <xf numFmtId="172" fontId="63" fillId="0" borderId="0" xfId="0" applyNumberFormat="1" applyFont="1" applyAlignment="1">
      <alignment horizontal="center"/>
    </xf>
    <xf numFmtId="0" fontId="0" fillId="14" borderId="0" xfId="0" applyFill="1" applyAlignment="1">
      <alignment horizontal="center"/>
    </xf>
    <xf numFmtId="0" fontId="65" fillId="0" borderId="16" xfId="0" applyFont="1" applyBorder="1"/>
    <xf numFmtId="14" fontId="65" fillId="0" borderId="16" xfId="0" applyNumberFormat="1" applyFont="1" applyBorder="1" applyAlignment="1">
      <alignment horizontal="left"/>
    </xf>
    <xf numFmtId="0" fontId="65" fillId="0" borderId="16" xfId="0" applyFont="1" applyBorder="1" applyAlignment="1">
      <alignment horizontal="left"/>
    </xf>
    <xf numFmtId="0" fontId="43" fillId="39" borderId="16" xfId="0" applyFont="1" applyFill="1" applyBorder="1" applyAlignment="1">
      <alignment horizontal="center"/>
    </xf>
    <xf numFmtId="170" fontId="43" fillId="39" borderId="16" xfId="0" applyNumberFormat="1" applyFont="1" applyFill="1" applyBorder="1" applyAlignment="1">
      <alignment vertical="center"/>
    </xf>
    <xf numFmtId="2" fontId="43" fillId="39" borderId="16" xfId="0" applyNumberFormat="1" applyFont="1" applyFill="1" applyBorder="1" applyAlignment="1">
      <alignment horizontal="center"/>
    </xf>
    <xf numFmtId="170" fontId="43" fillId="39" borderId="16" xfId="0" applyNumberFormat="1" applyFont="1" applyFill="1" applyBorder="1" applyAlignment="1">
      <alignment horizontal="center" vertical="center"/>
    </xf>
    <xf numFmtId="172" fontId="43" fillId="39" borderId="16" xfId="0" applyNumberFormat="1" applyFont="1" applyFill="1" applyBorder="1" applyAlignment="1">
      <alignment horizontal="right" vertical="center"/>
    </xf>
    <xf numFmtId="0" fontId="43" fillId="40" borderId="16" xfId="0" applyFont="1" applyFill="1" applyBorder="1" applyAlignment="1">
      <alignment horizontal="center" vertical="center"/>
    </xf>
    <xf numFmtId="0" fontId="43" fillId="40" borderId="16" xfId="0" applyFont="1" applyFill="1" applyBorder="1" applyAlignment="1">
      <alignment vertical="center"/>
    </xf>
    <xf numFmtId="0" fontId="24" fillId="4" borderId="16" xfId="0" applyFont="1" applyFill="1" applyBorder="1" applyAlignment="1">
      <alignment horizontal="center" vertical="center"/>
    </xf>
    <xf numFmtId="0" fontId="24" fillId="4" borderId="16" xfId="0" applyFont="1" applyFill="1" applyBorder="1" applyAlignment="1">
      <alignment vertical="center"/>
    </xf>
    <xf numFmtId="2" fontId="24" fillId="4" borderId="16" xfId="0" applyNumberFormat="1" applyFont="1" applyFill="1" applyBorder="1" applyAlignment="1">
      <alignment horizontal="center" vertical="center"/>
    </xf>
    <xf numFmtId="182" fontId="24" fillId="4" borderId="16" xfId="0" applyNumberFormat="1" applyFont="1" applyFill="1" applyBorder="1" applyAlignment="1">
      <alignment horizontal="right" vertical="center"/>
    </xf>
    <xf numFmtId="2" fontId="43" fillId="40" borderId="16" xfId="0" applyNumberFormat="1" applyFont="1" applyFill="1" applyBorder="1" applyAlignment="1">
      <alignment horizontal="center" vertical="center"/>
    </xf>
    <xf numFmtId="167" fontId="43" fillId="40" borderId="16" xfId="0" applyNumberFormat="1" applyFont="1" applyFill="1" applyBorder="1" applyAlignment="1">
      <alignment horizontal="right" vertical="center"/>
    </xf>
    <xf numFmtId="0" fontId="25" fillId="28" borderId="16" xfId="0" applyFont="1" applyFill="1" applyBorder="1" applyAlignment="1">
      <alignment horizontal="center"/>
    </xf>
    <xf numFmtId="170" fontId="25" fillId="28" borderId="16" xfId="0" applyNumberFormat="1" applyFont="1" applyFill="1" applyBorder="1" applyAlignment="1">
      <alignment vertical="center"/>
    </xf>
    <xf numFmtId="2" fontId="16" fillId="28" borderId="16" xfId="0" applyNumberFormat="1" applyFont="1" applyFill="1" applyBorder="1" applyAlignment="1">
      <alignment horizontal="center"/>
    </xf>
    <xf numFmtId="170" fontId="16" fillId="28" borderId="16" xfId="0" applyNumberFormat="1" applyFont="1" applyFill="1" applyBorder="1" applyAlignment="1">
      <alignment horizontal="center" vertical="center"/>
    </xf>
    <xf numFmtId="172" fontId="16" fillId="28" borderId="16" xfId="0" applyNumberFormat="1" applyFont="1" applyFill="1" applyBorder="1" applyAlignment="1">
      <alignment horizontal="right" vertical="center"/>
    </xf>
    <xf numFmtId="0" fontId="17" fillId="16" borderId="16" xfId="0" applyFont="1" applyFill="1" applyBorder="1" applyAlignment="1">
      <alignment horizontal="center" vertical="center"/>
    </xf>
    <xf numFmtId="0" fontId="17" fillId="16" borderId="16" xfId="0" applyFont="1" applyFill="1" applyBorder="1" applyAlignment="1">
      <alignment vertical="center"/>
    </xf>
    <xf numFmtId="2" fontId="17" fillId="16" borderId="16" xfId="0" applyNumberFormat="1" applyFont="1" applyFill="1" applyBorder="1" applyAlignment="1">
      <alignment horizontal="center" vertical="center"/>
    </xf>
    <xf numFmtId="167" fontId="17" fillId="16" borderId="16" xfId="0" applyNumberFormat="1" applyFont="1" applyFill="1" applyBorder="1" applyAlignment="1">
      <alignment horizontal="right" vertical="center"/>
    </xf>
    <xf numFmtId="44" fontId="23" fillId="0" borderId="0" xfId="0" applyNumberFormat="1" applyFont="1" applyAlignment="1">
      <alignment vertical="center"/>
    </xf>
    <xf numFmtId="178" fontId="39" fillId="30" borderId="12" xfId="18" applyNumberFormat="1" applyFont="1" applyFill="1" applyBorder="1" applyAlignment="1">
      <alignment horizontal="center" vertical="center" wrapText="1"/>
    </xf>
    <xf numFmtId="0" fontId="27" fillId="30" borderId="24" xfId="0" applyFont="1" applyFill="1" applyBorder="1" applyAlignment="1">
      <alignment horizontal="center" vertical="center"/>
    </xf>
    <xf numFmtId="178" fontId="68" fillId="30" borderId="12" xfId="18" applyNumberFormat="1" applyFont="1" applyFill="1" applyBorder="1" applyAlignment="1">
      <alignment horizontal="center" vertical="center" wrapText="1"/>
    </xf>
    <xf numFmtId="178" fontId="68" fillId="30" borderId="25" xfId="18" applyNumberFormat="1" applyFont="1" applyFill="1" applyBorder="1" applyAlignment="1">
      <alignment horizontal="center" vertical="center" wrapText="1"/>
    </xf>
    <xf numFmtId="0" fontId="30" fillId="42" borderId="0" xfId="16" applyFont="1" applyFill="1" applyAlignment="1">
      <alignment vertical="center"/>
    </xf>
    <xf numFmtId="0" fontId="38" fillId="42" borderId="0" xfId="16" applyFont="1" applyFill="1" applyAlignment="1">
      <alignment vertical="center"/>
    </xf>
    <xf numFmtId="167" fontId="30" fillId="42" borderId="16" xfId="16" applyNumberFormat="1" applyFont="1" applyFill="1" applyBorder="1" applyAlignment="1">
      <alignment vertical="center"/>
    </xf>
    <xf numFmtId="0" fontId="27" fillId="22" borderId="4" xfId="0" applyFont="1" applyFill="1" applyBorder="1" applyAlignment="1">
      <alignment horizontal="center"/>
    </xf>
    <xf numFmtId="166" fontId="0" fillId="8" borderId="0" xfId="21" applyFont="1" applyFill="1" applyAlignment="1">
      <alignment vertical="center"/>
    </xf>
    <xf numFmtId="0" fontId="29" fillId="8" borderId="0" xfId="16" applyFill="1" applyAlignment="1">
      <alignment vertical="center"/>
    </xf>
    <xf numFmtId="0" fontId="24" fillId="17" borderId="16" xfId="0" applyFont="1" applyFill="1" applyBorder="1" applyAlignment="1">
      <alignment horizontal="center" vertical="center"/>
    </xf>
    <xf numFmtId="0" fontId="70" fillId="34" borderId="30" xfId="0" applyFont="1" applyFill="1" applyBorder="1" applyAlignment="1">
      <alignment horizontal="center"/>
    </xf>
    <xf numFmtId="0" fontId="71" fillId="40" borderId="16" xfId="0" applyFont="1" applyFill="1" applyBorder="1" applyAlignment="1">
      <alignment horizontal="center" vertical="center"/>
    </xf>
    <xf numFmtId="0" fontId="44" fillId="16" borderId="16" xfId="0" applyFont="1" applyFill="1" applyBorder="1" applyAlignment="1">
      <alignment horizontal="center" vertical="center"/>
    </xf>
    <xf numFmtId="0" fontId="44" fillId="16" borderId="16" xfId="0" applyFont="1" applyFill="1" applyBorder="1" applyAlignment="1">
      <alignment vertical="center"/>
    </xf>
    <xf numFmtId="0" fontId="72" fillId="0" borderId="0" xfId="0" applyFont="1" applyAlignment="1">
      <alignment horizontal="center" vertical="center"/>
    </xf>
    <xf numFmtId="0" fontId="71" fillId="39" borderId="16" xfId="0" applyFont="1" applyFill="1" applyBorder="1" applyAlignment="1">
      <alignment horizontal="center" vertical="center"/>
    </xf>
    <xf numFmtId="0" fontId="71" fillId="40" borderId="16" xfId="0" applyFont="1" applyFill="1" applyBorder="1" applyAlignment="1">
      <alignment vertical="center"/>
    </xf>
    <xf numFmtId="0" fontId="73" fillId="0" borderId="0" xfId="0" applyFont="1" applyAlignment="1">
      <alignment horizontal="right"/>
    </xf>
    <xf numFmtId="0" fontId="41" fillId="27" borderId="16" xfId="0" applyFont="1" applyFill="1" applyBorder="1"/>
    <xf numFmtId="0" fontId="14" fillId="0" borderId="0" xfId="0" applyFont="1" applyAlignment="1">
      <alignment horizontal="right"/>
    </xf>
    <xf numFmtId="0" fontId="14" fillId="0" borderId="0" xfId="0" applyFont="1"/>
    <xf numFmtId="0" fontId="14" fillId="0" borderId="0" xfId="0" applyFont="1" applyAlignment="1">
      <alignment horizontal="center"/>
    </xf>
    <xf numFmtId="0" fontId="14" fillId="0" borderId="16" xfId="0" applyFont="1" applyBorder="1"/>
    <xf numFmtId="0" fontId="14" fillId="26" borderId="16" xfId="0" applyFont="1" applyFill="1" applyBorder="1" applyAlignment="1">
      <alignment horizontal="center"/>
    </xf>
    <xf numFmtId="0" fontId="74" fillId="0" borderId="0" xfId="0" applyFont="1"/>
    <xf numFmtId="2" fontId="14" fillId="26" borderId="16" xfId="0" applyNumberFormat="1" applyFont="1" applyFill="1" applyBorder="1" applyAlignment="1">
      <alignment horizontal="center"/>
    </xf>
    <xf numFmtId="0" fontId="14" fillId="0" borderId="16" xfId="0" applyFont="1" applyBorder="1" applyAlignment="1">
      <alignment horizontal="center"/>
    </xf>
    <xf numFmtId="0" fontId="14" fillId="0" borderId="11" xfId="0" applyFont="1" applyBorder="1"/>
    <xf numFmtId="9" fontId="14" fillId="0" borderId="16" xfId="0" applyNumberFormat="1" applyFont="1" applyBorder="1" applyAlignment="1">
      <alignment horizontal="center"/>
    </xf>
    <xf numFmtId="0" fontId="14" fillId="0" borderId="4" xfId="0" applyFont="1" applyBorder="1"/>
    <xf numFmtId="0" fontId="14" fillId="0" borderId="16" xfId="0" applyFont="1" applyBorder="1" applyAlignment="1">
      <alignment wrapText="1"/>
    </xf>
    <xf numFmtId="2" fontId="14" fillId="0" borderId="16" xfId="0" applyNumberFormat="1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0" xfId="0" applyFont="1" applyAlignment="1">
      <alignment wrapText="1"/>
    </xf>
    <xf numFmtId="2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82" fontId="14" fillId="0" borderId="0" xfId="0" applyNumberFormat="1" applyFont="1"/>
    <xf numFmtId="182" fontId="14" fillId="0" borderId="0" xfId="0" applyNumberFormat="1" applyFont="1" applyAlignment="1">
      <alignment horizontal="center"/>
    </xf>
    <xf numFmtId="2" fontId="14" fillId="6" borderId="16" xfId="0" applyNumberFormat="1" applyFont="1" applyFill="1" applyBorder="1" applyAlignment="1">
      <alignment horizontal="center"/>
    </xf>
    <xf numFmtId="2" fontId="14" fillId="0" borderId="16" xfId="0" applyNumberFormat="1" applyFont="1" applyBorder="1" applyAlignment="1">
      <alignment horizontal="center"/>
    </xf>
    <xf numFmtId="0" fontId="72" fillId="0" borderId="0" xfId="0" applyFont="1"/>
    <xf numFmtId="0" fontId="75" fillId="0" borderId="0" xfId="0" applyFont="1"/>
    <xf numFmtId="2" fontId="14" fillId="0" borderId="0" xfId="0" applyNumberFormat="1" applyFont="1"/>
    <xf numFmtId="181" fontId="14" fillId="0" borderId="16" xfId="0" applyNumberFormat="1" applyFont="1" applyBorder="1" applyAlignment="1">
      <alignment horizontal="center" vertical="center"/>
    </xf>
    <xf numFmtId="0" fontId="74" fillId="0" borderId="16" xfId="0" applyFont="1" applyBorder="1" applyAlignment="1">
      <alignment horizontal="left" wrapText="1"/>
    </xf>
    <xf numFmtId="0" fontId="74" fillId="0" borderId="16" xfId="0" applyFont="1" applyBorder="1" applyAlignment="1">
      <alignment horizontal="center" vertical="center"/>
    </xf>
    <xf numFmtId="0" fontId="76" fillId="0" borderId="0" xfId="0" applyFont="1"/>
    <xf numFmtId="172" fontId="14" fillId="0" borderId="0" xfId="0" applyNumberFormat="1" applyFont="1"/>
    <xf numFmtId="181" fontId="14" fillId="0" borderId="0" xfId="0" applyNumberFormat="1" applyFont="1" applyAlignment="1">
      <alignment horizontal="center" vertical="center"/>
    </xf>
    <xf numFmtId="2" fontId="14" fillId="6" borderId="16" xfId="0" applyNumberFormat="1" applyFont="1" applyFill="1" applyBorder="1" applyAlignment="1">
      <alignment horizontal="center" vertical="center"/>
    </xf>
    <xf numFmtId="0" fontId="15" fillId="0" borderId="0" xfId="0" applyFont="1"/>
    <xf numFmtId="0" fontId="77" fillId="0" borderId="0" xfId="0" applyFont="1" applyAlignment="1">
      <alignment horizontal="center"/>
    </xf>
    <xf numFmtId="0" fontId="78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74" fillId="0" borderId="16" xfId="0" applyFont="1" applyBorder="1"/>
    <xf numFmtId="0" fontId="79" fillId="0" borderId="0" xfId="0" applyFont="1"/>
    <xf numFmtId="0" fontId="79" fillId="0" borderId="0" xfId="0" applyFont="1" applyAlignment="1">
      <alignment horizontal="center"/>
    </xf>
    <xf numFmtId="0" fontId="72" fillId="0" borderId="0" xfId="0" applyFont="1" applyAlignment="1">
      <alignment horizontal="right"/>
    </xf>
    <xf numFmtId="0" fontId="72" fillId="0" borderId="0" xfId="0" applyFont="1" applyAlignment="1">
      <alignment horizontal="center"/>
    </xf>
    <xf numFmtId="0" fontId="14" fillId="0" borderId="16" xfId="0" applyFont="1" applyBorder="1" applyAlignment="1">
      <alignment horizontal="left" vertical="center"/>
    </xf>
    <xf numFmtId="0" fontId="14" fillId="0" borderId="16" xfId="0" applyFont="1" applyBorder="1" applyAlignment="1">
      <alignment horizontal="center" vertical="center" wrapText="1"/>
    </xf>
    <xf numFmtId="0" fontId="14" fillId="0" borderId="16" xfId="0" applyFont="1" applyBorder="1" applyAlignment="1">
      <alignment horizontal="center" wrapText="1"/>
    </xf>
    <xf numFmtId="0" fontId="14" fillId="0" borderId="0" xfId="0" applyFont="1" applyAlignment="1">
      <alignment vertical="center"/>
    </xf>
    <xf numFmtId="0" fontId="51" fillId="0" borderId="0" xfId="0" applyFont="1" applyAlignment="1">
      <alignment vertical="center"/>
    </xf>
    <xf numFmtId="2" fontId="14" fillId="0" borderId="0" xfId="0" applyNumberFormat="1" applyFont="1" applyAlignment="1">
      <alignment horizontal="center"/>
    </xf>
    <xf numFmtId="0" fontId="80" fillId="0" borderId="0" xfId="0" applyFont="1" applyAlignment="1">
      <alignment horizontal="right"/>
    </xf>
    <xf numFmtId="0" fontId="80" fillId="0" borderId="0" xfId="0" applyFont="1" applyAlignment="1">
      <alignment horizontal="right" vertical="center"/>
    </xf>
    <xf numFmtId="0" fontId="14" fillId="0" borderId="8" xfId="0" applyFont="1" applyBorder="1" applyAlignment="1">
      <alignment wrapText="1"/>
    </xf>
    <xf numFmtId="0" fontId="79" fillId="0" borderId="0" xfId="0" applyFont="1" applyAlignment="1">
      <alignment horizontal="right"/>
    </xf>
    <xf numFmtId="44" fontId="14" fillId="0" borderId="0" xfId="1" applyFont="1"/>
    <xf numFmtId="2" fontId="72" fillId="0" borderId="0" xfId="0" applyNumberFormat="1" applyFont="1" applyAlignment="1">
      <alignment horizontal="center"/>
    </xf>
    <xf numFmtId="0" fontId="72" fillId="0" borderId="26" xfId="0" applyFont="1" applyBorder="1"/>
    <xf numFmtId="0" fontId="15" fillId="0" borderId="6" xfId="0" applyFont="1" applyBorder="1" applyAlignment="1">
      <alignment horizontal="center"/>
    </xf>
    <xf numFmtId="0" fontId="15" fillId="0" borderId="16" xfId="0" applyFont="1" applyBorder="1" applyAlignment="1">
      <alignment horizontal="center" vertical="center"/>
    </xf>
    <xf numFmtId="0" fontId="15" fillId="0" borderId="16" xfId="0" applyFont="1" applyBorder="1"/>
    <xf numFmtId="0" fontId="17" fillId="43" borderId="16" xfId="0" applyFont="1" applyFill="1" applyBorder="1" applyAlignment="1">
      <alignment horizontal="center"/>
    </xf>
    <xf numFmtId="170" fontId="27" fillId="43" borderId="16" xfId="0" applyNumberFormat="1" applyFont="1" applyFill="1" applyBorder="1" applyAlignment="1">
      <alignment vertical="center"/>
    </xf>
    <xf numFmtId="2" fontId="16" fillId="43" borderId="16" xfId="0" applyNumberFormat="1" applyFont="1" applyFill="1" applyBorder="1" applyAlignment="1">
      <alignment horizontal="center"/>
    </xf>
    <xf numFmtId="0" fontId="16" fillId="43" borderId="16" xfId="0" applyFont="1" applyFill="1" applyBorder="1" applyAlignment="1">
      <alignment horizontal="center"/>
    </xf>
    <xf numFmtId="172" fontId="16" fillId="43" borderId="16" xfId="0" applyNumberFormat="1" applyFont="1" applyFill="1" applyBorder="1" applyAlignment="1">
      <alignment horizontal="right"/>
    </xf>
    <xf numFmtId="0" fontId="82" fillId="0" borderId="0" xfId="0" applyFont="1" applyAlignment="1">
      <alignment horizontal="center"/>
    </xf>
    <xf numFmtId="0" fontId="80" fillId="0" borderId="0" xfId="0" applyFont="1" applyAlignment="1">
      <alignment horizontal="right" vertical="center" textRotation="90"/>
    </xf>
    <xf numFmtId="2" fontId="15" fillId="0" borderId="0" xfId="0" applyNumberFormat="1" applyFont="1" applyAlignment="1">
      <alignment horizontal="center"/>
    </xf>
    <xf numFmtId="0" fontId="83" fillId="0" borderId="0" xfId="0" applyFont="1"/>
    <xf numFmtId="182" fontId="14" fillId="0" borderId="3" xfId="0" applyNumberFormat="1" applyFont="1" applyBorder="1"/>
    <xf numFmtId="182" fontId="14" fillId="0" borderId="10" xfId="0" applyNumberFormat="1" applyFont="1" applyBorder="1" applyAlignment="1">
      <alignment horizontal="center"/>
    </xf>
    <xf numFmtId="172" fontId="72" fillId="0" borderId="0" xfId="0" applyNumberFormat="1" applyFont="1"/>
    <xf numFmtId="172" fontId="72" fillId="0" borderId="0" xfId="0" applyNumberFormat="1" applyFont="1" applyAlignment="1">
      <alignment horizontal="center"/>
    </xf>
    <xf numFmtId="172" fontId="72" fillId="0" borderId="26" xfId="0" applyNumberFormat="1" applyFont="1" applyBorder="1"/>
    <xf numFmtId="172" fontId="72" fillId="0" borderId="26" xfId="0" applyNumberFormat="1" applyFont="1" applyBorder="1" applyAlignment="1">
      <alignment horizontal="center"/>
    </xf>
    <xf numFmtId="0" fontId="15" fillId="0" borderId="16" xfId="0" applyFont="1" applyBorder="1" applyAlignment="1">
      <alignment horizontal="center"/>
    </xf>
    <xf numFmtId="0" fontId="80" fillId="0" borderId="0" xfId="0" applyFont="1" applyAlignment="1">
      <alignment horizontal="center"/>
    </xf>
    <xf numFmtId="0" fontId="9" fillId="0" borderId="16" xfId="0" applyFont="1" applyBorder="1" applyAlignment="1">
      <alignment horizontal="left"/>
    </xf>
    <xf numFmtId="0" fontId="85" fillId="40" borderId="16" xfId="0" applyFont="1" applyFill="1" applyBorder="1"/>
    <xf numFmtId="0" fontId="28" fillId="16" borderId="16" xfId="0" applyFont="1" applyFill="1" applyBorder="1" applyAlignment="1">
      <alignment horizontal="center"/>
    </xf>
    <xf numFmtId="0" fontId="31" fillId="16" borderId="16" xfId="0" applyFont="1" applyFill="1" applyBorder="1" applyAlignment="1">
      <alignment horizontal="center"/>
    </xf>
    <xf numFmtId="0" fontId="85" fillId="40" borderId="16" xfId="0" applyFont="1" applyFill="1" applyBorder="1" applyAlignment="1">
      <alignment vertical="center"/>
    </xf>
    <xf numFmtId="0" fontId="81" fillId="0" borderId="0" xfId="0" applyFont="1"/>
    <xf numFmtId="2" fontId="59" fillId="0" borderId="0" xfId="0" applyNumberFormat="1" applyFont="1" applyAlignment="1">
      <alignment horizontal="center"/>
    </xf>
    <xf numFmtId="0" fontId="14" fillId="0" borderId="8" xfId="0" applyFont="1" applyBorder="1"/>
    <xf numFmtId="0" fontId="14" fillId="27" borderId="16" xfId="0" applyFont="1" applyFill="1" applyBorder="1" applyAlignment="1">
      <alignment horizontal="center"/>
    </xf>
    <xf numFmtId="0" fontId="36" fillId="0" borderId="0" xfId="0" applyFont="1" applyAlignment="1">
      <alignment horizontal="left" vertical="center"/>
    </xf>
    <xf numFmtId="0" fontId="14" fillId="0" borderId="16" xfId="0" applyFont="1" applyBorder="1" applyAlignment="1">
      <alignment horizontal="left"/>
    </xf>
    <xf numFmtId="0" fontId="41" fillId="15" borderId="16" xfId="0" applyFont="1" applyFill="1" applyBorder="1" applyAlignment="1">
      <alignment horizontal="center" vertical="center"/>
    </xf>
    <xf numFmtId="182" fontId="41" fillId="15" borderId="16" xfId="0" applyNumberFormat="1" applyFont="1" applyFill="1" applyBorder="1" applyAlignment="1">
      <alignment horizontal="center" vertical="center"/>
    </xf>
    <xf numFmtId="0" fontId="17" fillId="17" borderId="16" xfId="0" applyFont="1" applyFill="1" applyBorder="1" applyAlignment="1">
      <alignment horizontal="center" vertical="center"/>
    </xf>
    <xf numFmtId="0" fontId="17" fillId="17" borderId="16" xfId="0" applyFont="1" applyFill="1" applyBorder="1" applyAlignment="1">
      <alignment vertical="center"/>
    </xf>
    <xf numFmtId="2" fontId="17" fillId="17" borderId="16" xfId="0" applyNumberFormat="1" applyFont="1" applyFill="1" applyBorder="1" applyAlignment="1">
      <alignment horizontal="center" vertical="center"/>
    </xf>
    <xf numFmtId="167" fontId="17" fillId="17" borderId="16" xfId="0" applyNumberFormat="1" applyFont="1" applyFill="1" applyBorder="1" applyAlignment="1">
      <alignment horizontal="right" vertical="center"/>
    </xf>
    <xf numFmtId="0" fontId="86" fillId="33" borderId="29" xfId="0" applyFont="1" applyFill="1" applyBorder="1" applyAlignment="1">
      <alignment horizontal="right"/>
    </xf>
    <xf numFmtId="0" fontId="86" fillId="33" borderId="30" xfId="0" applyFont="1" applyFill="1" applyBorder="1" applyAlignment="1">
      <alignment horizontal="center"/>
    </xf>
    <xf numFmtId="0" fontId="86" fillId="36" borderId="31" xfId="0" applyFont="1" applyFill="1" applyBorder="1" applyAlignment="1">
      <alignment horizontal="center"/>
    </xf>
    <xf numFmtId="0" fontId="86" fillId="33" borderId="32" xfId="0" applyFont="1" applyFill="1" applyBorder="1"/>
    <xf numFmtId="0" fontId="86" fillId="33" borderId="16" xfId="0" applyFont="1" applyFill="1" applyBorder="1" applyAlignment="1">
      <alignment horizontal="left"/>
    </xf>
    <xf numFmtId="0" fontId="86" fillId="33" borderId="16" xfId="0" applyFont="1" applyFill="1" applyBorder="1" applyAlignment="1">
      <alignment horizontal="center"/>
    </xf>
    <xf numFmtId="0" fontId="86" fillId="33" borderId="33" xfId="0" applyFont="1" applyFill="1" applyBorder="1" applyAlignment="1">
      <alignment horizontal="center"/>
    </xf>
    <xf numFmtId="0" fontId="86" fillId="0" borderId="36" xfId="0" applyFont="1" applyBorder="1" applyAlignment="1">
      <alignment horizontal="center"/>
    </xf>
    <xf numFmtId="0" fontId="86" fillId="0" borderId="37" xfId="0" applyFont="1" applyBorder="1" applyAlignment="1">
      <alignment horizontal="center"/>
    </xf>
    <xf numFmtId="172" fontId="86" fillId="0" borderId="37" xfId="0" applyNumberFormat="1" applyFont="1" applyBorder="1" applyAlignment="1">
      <alignment horizontal="center"/>
    </xf>
    <xf numFmtId="0" fontId="86" fillId="0" borderId="38" xfId="0" applyFont="1" applyBorder="1" applyAlignment="1">
      <alignment horizontal="center"/>
    </xf>
    <xf numFmtId="0" fontId="86" fillId="37" borderId="32" xfId="0" applyFont="1" applyFill="1" applyBorder="1" applyAlignment="1">
      <alignment horizontal="center"/>
    </xf>
    <xf numFmtId="0" fontId="86" fillId="37" borderId="16" xfId="0" applyFont="1" applyFill="1" applyBorder="1" applyAlignment="1">
      <alignment horizontal="left"/>
    </xf>
    <xf numFmtId="172" fontId="86" fillId="37" borderId="16" xfId="0" applyNumberFormat="1" applyFont="1" applyFill="1" applyBorder="1" applyAlignment="1">
      <alignment horizontal="center"/>
    </xf>
    <xf numFmtId="0" fontId="86" fillId="37" borderId="33" xfId="0" applyFont="1" applyFill="1" applyBorder="1" applyAlignment="1">
      <alignment horizontal="center"/>
    </xf>
    <xf numFmtId="0" fontId="86" fillId="37" borderId="34" xfId="0" applyFont="1" applyFill="1" applyBorder="1" applyAlignment="1">
      <alignment horizontal="center"/>
    </xf>
    <xf numFmtId="0" fontId="86" fillId="37" borderId="28" xfId="0" applyFont="1" applyFill="1" applyBorder="1" applyAlignment="1">
      <alignment horizontal="left"/>
    </xf>
    <xf numFmtId="172" fontId="86" fillId="37" borderId="28" xfId="0" applyNumberFormat="1" applyFont="1" applyFill="1" applyBorder="1" applyAlignment="1">
      <alignment horizontal="center"/>
    </xf>
    <xf numFmtId="0" fontId="86" fillId="37" borderId="35" xfId="0" applyFont="1" applyFill="1" applyBorder="1" applyAlignment="1">
      <alignment horizontal="center"/>
    </xf>
    <xf numFmtId="182" fontId="1" fillId="0" borderId="16" xfId="20" applyNumberFormat="1" applyFont="1" applyBorder="1" applyAlignment="1">
      <alignment horizontal="right" vertical="center"/>
    </xf>
    <xf numFmtId="0" fontId="41" fillId="15" borderId="16" xfId="0" applyFont="1" applyFill="1" applyBorder="1" applyAlignment="1">
      <alignment horizontal="right" vertical="center"/>
    </xf>
    <xf numFmtId="0" fontId="36" fillId="8" borderId="0" xfId="17" applyFont="1" applyFill="1" applyAlignment="1">
      <alignment vertical="center"/>
    </xf>
    <xf numFmtId="0" fontId="31" fillId="8" borderId="0" xfId="17" applyFont="1" applyFill="1" applyAlignment="1">
      <alignment vertical="center"/>
    </xf>
    <xf numFmtId="0" fontId="15" fillId="8" borderId="0" xfId="17" applyFont="1" applyFill="1" applyAlignment="1">
      <alignment vertical="center"/>
    </xf>
    <xf numFmtId="0" fontId="40" fillId="8" borderId="23" xfId="16" applyFont="1" applyFill="1" applyBorder="1" applyAlignment="1">
      <alignment vertical="center"/>
    </xf>
    <xf numFmtId="0" fontId="9" fillId="8" borderId="23" xfId="16" applyFont="1" applyFill="1" applyBorder="1" applyAlignment="1">
      <alignment vertical="center"/>
    </xf>
    <xf numFmtId="4" fontId="40" fillId="8" borderId="20" xfId="16" applyNumberFormat="1" applyFont="1" applyFill="1" applyBorder="1" applyAlignment="1">
      <alignment horizontal="center" vertical="center"/>
    </xf>
    <xf numFmtId="0" fontId="9" fillId="8" borderId="20" xfId="16" applyFont="1" applyFill="1" applyBorder="1" applyAlignment="1">
      <alignment horizontal="center" vertical="center"/>
    </xf>
    <xf numFmtId="167" fontId="9" fillId="8" borderId="20" xfId="16" applyNumberFormat="1" applyFont="1" applyFill="1" applyBorder="1" applyAlignment="1">
      <alignment vertical="center"/>
    </xf>
    <xf numFmtId="182" fontId="9" fillId="8" borderId="20" xfId="16" applyNumberFormat="1" applyFont="1" applyFill="1" applyBorder="1" applyAlignment="1">
      <alignment vertical="center"/>
    </xf>
    <xf numFmtId="0" fontId="21" fillId="8" borderId="0" xfId="17" applyFont="1" applyFill="1" applyAlignment="1">
      <alignment vertical="center"/>
    </xf>
    <xf numFmtId="0" fontId="0" fillId="8" borderId="0" xfId="17" applyFont="1" applyFill="1" applyAlignment="1">
      <alignment vertical="center"/>
    </xf>
    <xf numFmtId="165" fontId="0" fillId="8" borderId="0" xfId="22" applyFont="1" applyFill="1" applyAlignment="1">
      <alignment vertical="center"/>
    </xf>
    <xf numFmtId="0" fontId="37" fillId="8" borderId="23" xfId="16" applyFont="1" applyFill="1" applyBorder="1" applyAlignment="1">
      <alignment vertical="center"/>
    </xf>
    <xf numFmtId="0" fontId="9" fillId="8" borderId="22" xfId="16" applyFont="1" applyFill="1" applyBorder="1" applyAlignment="1">
      <alignment vertical="center"/>
    </xf>
    <xf numFmtId="0" fontId="35" fillId="8" borderId="0" xfId="16" applyFont="1" applyFill="1" applyAlignment="1">
      <alignment vertical="center"/>
    </xf>
    <xf numFmtId="0" fontId="34" fillId="8" borderId="0" xfId="16" applyFont="1" applyFill="1" applyAlignment="1">
      <alignment vertical="center"/>
    </xf>
    <xf numFmtId="172" fontId="34" fillId="8" borderId="0" xfId="16" applyNumberFormat="1" applyFont="1" applyFill="1" applyAlignment="1">
      <alignment vertical="center"/>
    </xf>
    <xf numFmtId="0" fontId="60" fillId="8" borderId="0" xfId="16" applyFont="1" applyFill="1" applyAlignment="1">
      <alignment vertical="center"/>
    </xf>
    <xf numFmtId="167" fontId="29" fillId="8" borderId="0" xfId="16" applyNumberFormat="1" applyFill="1" applyAlignment="1">
      <alignment vertical="center"/>
    </xf>
    <xf numFmtId="172" fontId="29" fillId="8" borderId="0" xfId="16" applyNumberFormat="1" applyFill="1" applyAlignment="1">
      <alignment vertical="center"/>
    </xf>
    <xf numFmtId="0" fontId="61" fillId="8" borderId="0" xfId="16" applyFont="1" applyFill="1" applyAlignment="1">
      <alignment vertical="center"/>
    </xf>
    <xf numFmtId="9" fontId="29" fillId="8" borderId="0" xfId="3" applyFont="1" applyFill="1" applyAlignment="1">
      <alignment vertical="center"/>
    </xf>
    <xf numFmtId="0" fontId="40" fillId="8" borderId="23" xfId="16" applyFont="1" applyFill="1" applyBorder="1"/>
    <xf numFmtId="0" fontId="27" fillId="30" borderId="40" xfId="0" applyFont="1" applyFill="1" applyBorder="1" applyAlignment="1">
      <alignment horizontal="center" vertical="center"/>
    </xf>
    <xf numFmtId="178" fontId="39" fillId="30" borderId="41" xfId="18" applyNumberFormat="1" applyFont="1" applyFill="1" applyBorder="1" applyAlignment="1">
      <alignment horizontal="center" vertical="center" wrapText="1"/>
    </xf>
    <xf numFmtId="178" fontId="68" fillId="30" borderId="41" xfId="18" applyNumberFormat="1" applyFont="1" applyFill="1" applyBorder="1" applyAlignment="1">
      <alignment horizontal="center" vertical="center" wrapText="1"/>
    </xf>
    <xf numFmtId="178" fontId="68" fillId="30" borderId="42" xfId="18" applyNumberFormat="1" applyFont="1" applyFill="1" applyBorder="1" applyAlignment="1">
      <alignment horizontal="center" vertical="center" wrapText="1"/>
    </xf>
    <xf numFmtId="0" fontId="27" fillId="22" borderId="16" xfId="0" applyFont="1" applyFill="1" applyBorder="1" applyAlignment="1">
      <alignment horizontal="center"/>
    </xf>
    <xf numFmtId="0" fontId="27" fillId="22" borderId="1" xfId="0" applyFont="1" applyFill="1" applyBorder="1" applyAlignment="1">
      <alignment horizontal="center"/>
    </xf>
    <xf numFmtId="0" fontId="9" fillId="8" borderId="43" xfId="16" applyFont="1" applyFill="1" applyBorder="1"/>
    <xf numFmtId="4" fontId="40" fillId="8" borderId="43" xfId="16" applyNumberFormat="1" applyFont="1" applyFill="1" applyBorder="1" applyAlignment="1">
      <alignment horizontal="center" vertical="center"/>
    </xf>
    <xf numFmtId="0" fontId="9" fillId="8" borderId="43" xfId="16" applyFont="1" applyFill="1" applyBorder="1" applyAlignment="1">
      <alignment horizontal="center" vertical="center"/>
    </xf>
    <xf numFmtId="167" fontId="9" fillId="8" borderId="43" xfId="16" applyNumberFormat="1" applyFont="1" applyFill="1" applyBorder="1" applyAlignment="1">
      <alignment vertical="center"/>
    </xf>
    <xf numFmtId="172" fontId="16" fillId="0" borderId="16" xfId="0" applyNumberFormat="1" applyFont="1" applyBorder="1" applyAlignment="1">
      <alignment vertical="center"/>
    </xf>
    <xf numFmtId="0" fontId="16" fillId="0" borderId="16" xfId="0" applyFont="1" applyBorder="1" applyAlignment="1">
      <alignment vertical="center"/>
    </xf>
    <xf numFmtId="0" fontId="89" fillId="0" borderId="0" xfId="0" applyFont="1"/>
    <xf numFmtId="0" fontId="72" fillId="0" borderId="0" xfId="0" applyFont="1" applyAlignment="1">
      <alignment horizontal="left" vertical="center"/>
    </xf>
    <xf numFmtId="182" fontId="9" fillId="0" borderId="10" xfId="0" applyNumberFormat="1" applyFont="1" applyBorder="1" applyAlignment="1">
      <alignment horizontal="center" vertical="center"/>
    </xf>
    <xf numFmtId="2" fontId="71" fillId="40" borderId="16" xfId="0" applyNumberFormat="1" applyFont="1" applyFill="1" applyBorder="1" applyAlignment="1">
      <alignment vertical="center"/>
    </xf>
    <xf numFmtId="2" fontId="73" fillId="0" borderId="0" xfId="0" applyNumberFormat="1" applyFont="1" applyAlignment="1">
      <alignment horizontal="right"/>
    </xf>
    <xf numFmtId="2" fontId="0" fillId="0" borderId="0" xfId="0" applyNumberFormat="1" applyAlignment="1">
      <alignment horizontal="right"/>
    </xf>
    <xf numFmtId="2" fontId="44" fillId="16" borderId="16" xfId="0" applyNumberFormat="1" applyFont="1" applyFill="1" applyBorder="1" applyAlignment="1">
      <alignment vertical="center"/>
    </xf>
    <xf numFmtId="2" fontId="81" fillId="0" borderId="0" xfId="0" applyNumberFormat="1" applyFont="1"/>
    <xf numFmtId="2" fontId="80" fillId="0" borderId="0" xfId="0" applyNumberFormat="1" applyFont="1" applyAlignment="1">
      <alignment horizontal="right"/>
    </xf>
    <xf numFmtId="2" fontId="59" fillId="0" borderId="0" xfId="0" applyNumberFormat="1" applyFont="1" applyAlignment="1">
      <alignment horizontal="right"/>
    </xf>
    <xf numFmtId="2" fontId="27" fillId="18" borderId="16" xfId="0" applyNumberFormat="1" applyFont="1" applyFill="1" applyBorder="1" applyAlignment="1">
      <alignment horizontal="center"/>
    </xf>
    <xf numFmtId="0" fontId="90" fillId="0" borderId="0" xfId="0" applyFont="1"/>
    <xf numFmtId="0" fontId="89" fillId="0" borderId="0" xfId="0" applyFont="1" applyAlignment="1">
      <alignment horizontal="left" vertical="center"/>
    </xf>
    <xf numFmtId="0" fontId="82" fillId="0" borderId="0" xfId="0" applyFont="1"/>
    <xf numFmtId="1" fontId="39" fillId="22" borderId="16" xfId="19" applyNumberFormat="1" applyFont="1" applyFill="1" applyBorder="1" applyAlignment="1"/>
    <xf numFmtId="0" fontId="27" fillId="30" borderId="40" xfId="0" applyFont="1" applyFill="1" applyBorder="1" applyAlignment="1">
      <alignment horizontal="center"/>
    </xf>
    <xf numFmtId="178" fontId="39" fillId="30" borderId="41" xfId="18" applyNumberFormat="1" applyFont="1" applyFill="1" applyBorder="1" applyAlignment="1">
      <alignment horizontal="center" wrapText="1"/>
    </xf>
    <xf numFmtId="0" fontId="27" fillId="30" borderId="24" xfId="0" applyFont="1" applyFill="1" applyBorder="1" applyAlignment="1">
      <alignment horizontal="center"/>
    </xf>
    <xf numFmtId="167" fontId="15" fillId="50" borderId="0" xfId="0" applyNumberFormat="1" applyFont="1" applyFill="1"/>
    <xf numFmtId="167" fontId="15" fillId="49" borderId="0" xfId="0" applyNumberFormat="1" applyFont="1" applyFill="1"/>
    <xf numFmtId="167" fontId="15" fillId="20" borderId="0" xfId="0" applyNumberFormat="1" applyFont="1" applyFill="1"/>
    <xf numFmtId="167" fontId="15" fillId="3" borderId="0" xfId="0" applyNumberFormat="1" applyFont="1" applyFill="1"/>
    <xf numFmtId="167" fontId="15" fillId="13" borderId="0" xfId="0" applyNumberFormat="1" applyFont="1" applyFill="1"/>
    <xf numFmtId="167" fontId="15" fillId="37" borderId="0" xfId="0" applyNumberFormat="1" applyFont="1" applyFill="1"/>
    <xf numFmtId="167" fontId="14" fillId="0" borderId="0" xfId="0" applyNumberFormat="1" applyFont="1"/>
    <xf numFmtId="167" fontId="15" fillId="4" borderId="0" xfId="0" applyNumberFormat="1" applyFont="1" applyFill="1"/>
    <xf numFmtId="167" fontId="15" fillId="45" borderId="0" xfId="0" applyNumberFormat="1" applyFont="1" applyFill="1"/>
    <xf numFmtId="167" fontId="15" fillId="6" borderId="0" xfId="0" applyNumberFormat="1" applyFont="1" applyFill="1"/>
    <xf numFmtId="167" fontId="15" fillId="35" borderId="0" xfId="0" applyNumberFormat="1" applyFont="1" applyFill="1"/>
    <xf numFmtId="167" fontId="15" fillId="18" borderId="0" xfId="0" applyNumberFormat="1" applyFont="1" applyFill="1"/>
    <xf numFmtId="167" fontId="15" fillId="47" borderId="0" xfId="0" applyNumberFormat="1" applyFont="1" applyFill="1"/>
    <xf numFmtId="167" fontId="15" fillId="46" borderId="0" xfId="0" applyNumberFormat="1" applyFont="1" applyFill="1"/>
    <xf numFmtId="167" fontId="15" fillId="48" borderId="0" xfId="0" applyNumberFormat="1" applyFont="1" applyFill="1"/>
    <xf numFmtId="0" fontId="15" fillId="44" borderId="0" xfId="0" applyFont="1" applyFill="1"/>
    <xf numFmtId="0" fontId="15" fillId="44" borderId="0" xfId="0" applyFont="1" applyFill="1" applyAlignment="1">
      <alignment horizontal="center"/>
    </xf>
    <xf numFmtId="0" fontId="15" fillId="45" borderId="0" xfId="0" applyFont="1" applyFill="1"/>
    <xf numFmtId="0" fontId="15" fillId="45" borderId="0" xfId="0" applyFont="1" applyFill="1" applyAlignment="1">
      <alignment horizontal="center"/>
    </xf>
    <xf numFmtId="0" fontId="15" fillId="6" borderId="0" xfId="0" applyFont="1" applyFill="1"/>
    <xf numFmtId="0" fontId="15" fillId="6" borderId="0" xfId="0" applyFont="1" applyFill="1" applyAlignment="1">
      <alignment horizontal="center"/>
    </xf>
    <xf numFmtId="0" fontId="15" fillId="37" borderId="0" xfId="0" applyFont="1" applyFill="1"/>
    <xf numFmtId="0" fontId="15" fillId="37" borderId="0" xfId="0" applyFont="1" applyFill="1" applyAlignment="1">
      <alignment horizontal="center"/>
    </xf>
    <xf numFmtId="0" fontId="15" fillId="3" borderId="0" xfId="0" applyFont="1" applyFill="1"/>
    <xf numFmtId="0" fontId="15" fillId="3" borderId="0" xfId="0" applyFont="1" applyFill="1" applyAlignment="1">
      <alignment horizontal="center"/>
    </xf>
    <xf numFmtId="0" fontId="15" fillId="18" borderId="0" xfId="0" applyFont="1" applyFill="1"/>
    <xf numFmtId="0" fontId="15" fillId="18" borderId="0" xfId="0" applyFont="1" applyFill="1" applyAlignment="1">
      <alignment horizontal="center"/>
    </xf>
    <xf numFmtId="0" fontId="15" fillId="50" borderId="0" xfId="0" applyFont="1" applyFill="1"/>
    <xf numFmtId="0" fontId="15" fillId="50" borderId="0" xfId="0" applyFont="1" applyFill="1" applyAlignment="1">
      <alignment horizontal="center"/>
    </xf>
    <xf numFmtId="0" fontId="15" fillId="49" borderId="0" xfId="0" applyFont="1" applyFill="1"/>
    <xf numFmtId="0" fontId="15" fillId="49" borderId="0" xfId="0" applyFont="1" applyFill="1" applyAlignment="1">
      <alignment horizontal="center"/>
    </xf>
    <xf numFmtId="0" fontId="15" fillId="48" borderId="0" xfId="0" applyFont="1" applyFill="1"/>
    <xf numFmtId="0" fontId="15" fillId="48" borderId="0" xfId="0" applyFont="1" applyFill="1" applyAlignment="1">
      <alignment horizontal="center"/>
    </xf>
    <xf numFmtId="0" fontId="15" fillId="47" borderId="0" xfId="0" applyFont="1" applyFill="1"/>
    <xf numFmtId="0" fontId="15" fillId="47" borderId="0" xfId="0" applyFont="1" applyFill="1" applyAlignment="1">
      <alignment horizontal="center"/>
    </xf>
    <xf numFmtId="0" fontId="15" fillId="35" borderId="0" xfId="0" applyFont="1" applyFill="1"/>
    <xf numFmtId="0" fontId="15" fillId="35" borderId="0" xfId="0" applyFont="1" applyFill="1" applyAlignment="1">
      <alignment horizontal="center"/>
    </xf>
    <xf numFmtId="0" fontId="15" fillId="13" borderId="0" xfId="0" applyFont="1" applyFill="1"/>
    <xf numFmtId="0" fontId="15" fillId="13" borderId="0" xfId="0" applyFont="1" applyFill="1" applyAlignment="1">
      <alignment horizontal="center"/>
    </xf>
    <xf numFmtId="0" fontId="15" fillId="46" borderId="0" xfId="0" applyFont="1" applyFill="1"/>
    <xf numFmtId="0" fontId="15" fillId="46" borderId="0" xfId="0" applyFont="1" applyFill="1" applyAlignment="1">
      <alignment horizontal="center"/>
    </xf>
    <xf numFmtId="0" fontId="15" fillId="4" borderId="0" xfId="0" applyFont="1" applyFill="1"/>
    <xf numFmtId="0" fontId="15" fillId="4" borderId="0" xfId="0" applyFont="1" applyFill="1" applyAlignment="1">
      <alignment horizontal="center"/>
    </xf>
    <xf numFmtId="0" fontId="15" fillId="20" borderId="0" xfId="0" applyFont="1" applyFill="1"/>
    <xf numFmtId="0" fontId="15" fillId="20" borderId="0" xfId="0" applyFont="1" applyFill="1" applyAlignment="1">
      <alignment horizontal="center"/>
    </xf>
    <xf numFmtId="167" fontId="15" fillId="38" borderId="0" xfId="0" applyNumberFormat="1" applyFont="1" applyFill="1"/>
    <xf numFmtId="0" fontId="15" fillId="38" borderId="0" xfId="0" applyFont="1" applyFill="1"/>
    <xf numFmtId="0" fontId="15" fillId="38" borderId="0" xfId="0" applyFont="1" applyFill="1" applyAlignment="1">
      <alignment horizontal="center"/>
    </xf>
    <xf numFmtId="167" fontId="15" fillId="51" borderId="0" xfId="0" applyNumberFormat="1" applyFont="1" applyFill="1"/>
    <xf numFmtId="0" fontId="15" fillId="51" borderId="0" xfId="0" applyFont="1" applyFill="1"/>
    <xf numFmtId="0" fontId="15" fillId="51" borderId="0" xfId="0" applyFont="1" applyFill="1" applyAlignment="1">
      <alignment horizontal="center"/>
    </xf>
    <xf numFmtId="167" fontId="15" fillId="52" borderId="0" xfId="0" applyNumberFormat="1" applyFont="1" applyFill="1"/>
    <xf numFmtId="0" fontId="15" fillId="52" borderId="0" xfId="0" applyFont="1" applyFill="1"/>
    <xf numFmtId="0" fontId="15" fillId="52" borderId="0" xfId="0" applyFont="1" applyFill="1" applyAlignment="1">
      <alignment horizontal="center"/>
    </xf>
    <xf numFmtId="0" fontId="15" fillId="53" borderId="0" xfId="0" applyFont="1" applyFill="1"/>
    <xf numFmtId="0" fontId="15" fillId="53" borderId="0" xfId="0" applyFont="1" applyFill="1" applyAlignment="1">
      <alignment horizontal="center"/>
    </xf>
    <xf numFmtId="167" fontId="15" fillId="53" borderId="0" xfId="0" applyNumberFormat="1" applyFont="1" applyFill="1"/>
    <xf numFmtId="167" fontId="15" fillId="54" borderId="0" xfId="0" applyNumberFormat="1" applyFont="1" applyFill="1"/>
    <xf numFmtId="0" fontId="15" fillId="54" borderId="0" xfId="0" applyFont="1" applyFill="1"/>
    <xf numFmtId="0" fontId="15" fillId="54" borderId="0" xfId="0" applyFont="1" applyFill="1" applyAlignment="1">
      <alignment horizontal="center"/>
    </xf>
    <xf numFmtId="167" fontId="15" fillId="55" borderId="0" xfId="0" applyNumberFormat="1" applyFont="1" applyFill="1"/>
    <xf numFmtId="0" fontId="15" fillId="55" borderId="0" xfId="0" applyFont="1" applyFill="1"/>
    <xf numFmtId="0" fontId="15" fillId="55" borderId="0" xfId="0" applyFont="1" applyFill="1" applyAlignment="1">
      <alignment horizontal="center"/>
    </xf>
    <xf numFmtId="0" fontId="14" fillId="0" borderId="10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181" fontId="0" fillId="0" borderId="0" xfId="0" applyNumberFormat="1" applyAlignment="1">
      <alignment horizontal="center"/>
    </xf>
    <xf numFmtId="0" fontId="59" fillId="0" borderId="0" xfId="0" applyFont="1" applyAlignment="1">
      <alignment horizontal="center"/>
    </xf>
    <xf numFmtId="0" fontId="51" fillId="0" borderId="0" xfId="0" applyFont="1" applyAlignment="1">
      <alignment horizontal="center"/>
    </xf>
    <xf numFmtId="0" fontId="76" fillId="0" borderId="0" xfId="0" applyFont="1" applyAlignment="1">
      <alignment horizontal="center"/>
    </xf>
    <xf numFmtId="167" fontId="24" fillId="0" borderId="0" xfId="0" applyNumberFormat="1" applyFont="1"/>
    <xf numFmtId="167" fontId="24" fillId="0" borderId="0" xfId="3" applyNumberFormat="1" applyFont="1"/>
    <xf numFmtId="9" fontId="24" fillId="0" borderId="0" xfId="3" applyFont="1" applyAlignment="1">
      <alignment horizontal="center"/>
    </xf>
    <xf numFmtId="172" fontId="94" fillId="0" borderId="0" xfId="0" applyNumberFormat="1" applyFont="1"/>
    <xf numFmtId="10" fontId="24" fillId="0" borderId="0" xfId="3" applyNumberFormat="1" applyFont="1" applyAlignment="1">
      <alignment horizontal="center"/>
    </xf>
    <xf numFmtId="172" fontId="95" fillId="0" borderId="0" xfId="0" applyNumberFormat="1" applyFont="1" applyAlignment="1">
      <alignment vertical="center"/>
    </xf>
    <xf numFmtId="10" fontId="24" fillId="0" borderId="26" xfId="3" applyNumberFormat="1" applyFont="1" applyBorder="1"/>
    <xf numFmtId="167" fontId="24" fillId="0" borderId="26" xfId="3" applyNumberFormat="1" applyFont="1" applyBorder="1"/>
    <xf numFmtId="10" fontId="24" fillId="0" borderId="26" xfId="3" applyNumberFormat="1" applyFont="1" applyBorder="1" applyAlignment="1">
      <alignment horizontal="center"/>
    </xf>
    <xf numFmtId="167" fontId="24" fillId="0" borderId="26" xfId="0" applyNumberFormat="1" applyFont="1" applyBorder="1"/>
    <xf numFmtId="167" fontId="96" fillId="0" borderId="26" xfId="0" applyNumberFormat="1" applyFont="1" applyBorder="1"/>
    <xf numFmtId="170" fontId="24" fillId="0" borderId="26" xfId="3" applyNumberFormat="1" applyFont="1" applyBorder="1"/>
    <xf numFmtId="170" fontId="24" fillId="0" borderId="26" xfId="3" applyNumberFormat="1" applyFont="1" applyBorder="1" applyAlignment="1">
      <alignment horizontal="left"/>
    </xf>
    <xf numFmtId="10" fontId="24" fillId="0" borderId="41" xfId="3" applyNumberFormat="1" applyFont="1" applyBorder="1"/>
    <xf numFmtId="167" fontId="24" fillId="0" borderId="41" xfId="3" applyNumberFormat="1" applyFont="1" applyBorder="1"/>
    <xf numFmtId="10" fontId="24" fillId="0" borderId="41" xfId="3" applyNumberFormat="1" applyFont="1" applyBorder="1" applyAlignment="1">
      <alignment horizontal="center"/>
    </xf>
    <xf numFmtId="167" fontId="24" fillId="0" borderId="41" xfId="0" applyNumberFormat="1" applyFont="1" applyBorder="1"/>
    <xf numFmtId="0" fontId="3" fillId="0" borderId="41" xfId="0" applyFont="1" applyBorder="1"/>
    <xf numFmtId="10" fontId="24" fillId="0" borderId="0" xfId="3" applyNumberFormat="1" applyFont="1" applyBorder="1"/>
    <xf numFmtId="167" fontId="24" fillId="0" borderId="0" xfId="3" applyNumberFormat="1" applyFont="1" applyBorder="1"/>
    <xf numFmtId="10" fontId="24" fillId="0" borderId="0" xfId="3" applyNumberFormat="1" applyFont="1" applyBorder="1" applyAlignment="1">
      <alignment horizontal="center"/>
    </xf>
    <xf numFmtId="10" fontId="24" fillId="0" borderId="12" xfId="3" applyNumberFormat="1" applyFont="1" applyBorder="1"/>
    <xf numFmtId="167" fontId="24" fillId="0" borderId="12" xfId="3" applyNumberFormat="1" applyFont="1" applyBorder="1"/>
    <xf numFmtId="10" fontId="24" fillId="0" borderId="12" xfId="3" applyNumberFormat="1" applyFont="1" applyBorder="1" applyAlignment="1">
      <alignment horizontal="center"/>
    </xf>
    <xf numFmtId="167" fontId="24" fillId="0" borderId="12" xfId="0" applyNumberFormat="1" applyFont="1" applyBorder="1"/>
    <xf numFmtId="0" fontId="3" fillId="0" borderId="12" xfId="0" applyFont="1" applyBorder="1"/>
    <xf numFmtId="170" fontId="24" fillId="0" borderId="12" xfId="3" applyNumberFormat="1" applyFont="1" applyBorder="1"/>
    <xf numFmtId="172" fontId="97" fillId="0" borderId="0" xfId="0" applyNumberFormat="1" applyFont="1"/>
    <xf numFmtId="0" fontId="9" fillId="2" borderId="0" xfId="17" applyFont="1" applyFill="1"/>
    <xf numFmtId="9" fontId="40" fillId="2" borderId="0" xfId="3" applyFont="1" applyFill="1" applyAlignment="1">
      <alignment horizontal="center" vertical="center"/>
    </xf>
    <xf numFmtId="10" fontId="40" fillId="8" borderId="0" xfId="3" applyNumberFormat="1" applyFont="1" applyFill="1" applyAlignment="1">
      <alignment horizontal="center" vertical="center"/>
    </xf>
    <xf numFmtId="172" fontId="0" fillId="8" borderId="0" xfId="17" applyNumberFormat="1" applyFont="1" applyFill="1" applyAlignment="1">
      <alignment vertical="center"/>
    </xf>
    <xf numFmtId="172" fontId="40" fillId="2" borderId="0" xfId="17" applyNumberFormat="1" applyFont="1" applyFill="1" applyAlignment="1">
      <alignment vertical="center"/>
    </xf>
    <xf numFmtId="172" fontId="22" fillId="8" borderId="0" xfId="17" applyNumberFormat="1" applyFont="1" applyFill="1" applyAlignment="1">
      <alignment vertical="center"/>
    </xf>
    <xf numFmtId="172" fontId="25" fillId="8" borderId="0" xfId="16" applyNumberFormat="1" applyFont="1" applyFill="1" applyAlignment="1">
      <alignment vertical="center"/>
    </xf>
    <xf numFmtId="10" fontId="27" fillId="8" borderId="0" xfId="3" applyNumberFormat="1" applyFont="1" applyFill="1" applyAlignment="1">
      <alignment horizontal="center" vertical="center"/>
    </xf>
    <xf numFmtId="0" fontId="34" fillId="8" borderId="0" xfId="16" applyFont="1" applyFill="1"/>
    <xf numFmtId="182" fontId="27" fillId="8" borderId="0" xfId="3" applyNumberFormat="1" applyFont="1" applyFill="1" applyAlignment="1">
      <alignment horizontal="center" vertical="center"/>
    </xf>
    <xf numFmtId="0" fontId="98" fillId="4" borderId="0" xfId="16" applyFont="1" applyFill="1" applyAlignment="1">
      <alignment vertical="center"/>
    </xf>
    <xf numFmtId="10" fontId="99" fillId="4" borderId="0" xfId="3" applyNumberFormat="1" applyFont="1" applyFill="1" applyAlignment="1">
      <alignment horizontal="center" vertical="center"/>
    </xf>
    <xf numFmtId="172" fontId="99" fillId="4" borderId="0" xfId="16" applyNumberFormat="1" applyFont="1" applyFill="1" applyAlignment="1">
      <alignment vertical="center"/>
    </xf>
    <xf numFmtId="0" fontId="15" fillId="17" borderId="0" xfId="17" applyFont="1" applyFill="1"/>
    <xf numFmtId="0" fontId="21" fillId="17" borderId="0" xfId="17" applyFont="1" applyFill="1" applyAlignment="1">
      <alignment vertical="center"/>
    </xf>
    <xf numFmtId="0" fontId="0" fillId="17" borderId="0" xfId="17" applyFont="1" applyFill="1" applyAlignment="1">
      <alignment vertical="center"/>
    </xf>
    <xf numFmtId="0" fontId="98" fillId="8" borderId="0" xfId="16" applyFont="1" applyFill="1" applyAlignment="1">
      <alignment horizontal="right" vertical="center"/>
    </xf>
    <xf numFmtId="172" fontId="98" fillId="8" borderId="0" xfId="16" applyNumberFormat="1" applyFont="1" applyFill="1" applyAlignment="1">
      <alignment vertical="center"/>
    </xf>
    <xf numFmtId="0" fontId="35" fillId="8" borderId="26" xfId="16" applyFont="1" applyFill="1" applyBorder="1" applyAlignment="1">
      <alignment vertical="center"/>
    </xf>
    <xf numFmtId="0" fontId="29" fillId="8" borderId="26" xfId="16" applyFill="1" applyBorder="1" applyAlignment="1">
      <alignment vertical="center"/>
    </xf>
    <xf numFmtId="0" fontId="98" fillId="8" borderId="26" xfId="16" applyFont="1" applyFill="1" applyBorder="1" applyAlignment="1">
      <alignment horizontal="right" vertical="center"/>
    </xf>
    <xf numFmtId="172" fontId="98" fillId="8" borderId="26" xfId="16" applyNumberFormat="1" applyFont="1" applyFill="1" applyBorder="1" applyAlignment="1">
      <alignment vertical="center"/>
    </xf>
    <xf numFmtId="0" fontId="29" fillId="8" borderId="26" xfId="16" applyFill="1" applyBorder="1"/>
    <xf numFmtId="172" fontId="65" fillId="8" borderId="0" xfId="16" applyNumberFormat="1" applyFont="1" applyFill="1" applyAlignment="1">
      <alignment vertical="center"/>
    </xf>
    <xf numFmtId="0" fontId="65" fillId="8" borderId="0" xfId="16" applyFont="1" applyFill="1" applyAlignment="1">
      <alignment vertical="center"/>
    </xf>
    <xf numFmtId="0" fontId="65" fillId="8" borderId="0" xfId="16" applyFont="1" applyFill="1" applyAlignment="1">
      <alignment horizontal="right" vertical="center"/>
    </xf>
    <xf numFmtId="188" fontId="0" fillId="0" borderId="0" xfId="0" applyNumberFormat="1"/>
    <xf numFmtId="2" fontId="14" fillId="26" borderId="4" xfId="0" applyNumberFormat="1" applyFont="1" applyFill="1" applyBorder="1" applyAlignment="1">
      <alignment horizontal="center"/>
    </xf>
    <xf numFmtId="183" fontId="40" fillId="8" borderId="0" xfId="3" applyNumberFormat="1" applyFont="1" applyFill="1" applyAlignment="1">
      <alignment horizontal="center" vertical="center"/>
    </xf>
    <xf numFmtId="182" fontId="25" fillId="8" borderId="0" xfId="3" applyNumberFormat="1" applyFont="1" applyFill="1" applyAlignment="1">
      <alignment horizontal="center" vertical="center"/>
    </xf>
    <xf numFmtId="172" fontId="23" fillId="0" borderId="0" xfId="1" applyNumberFormat="1" applyFont="1" applyFill="1"/>
    <xf numFmtId="0" fontId="17" fillId="16" borderId="10" xfId="0" applyFont="1" applyFill="1" applyBorder="1" applyAlignment="1">
      <alignment horizontal="center" vertical="center"/>
    </xf>
    <xf numFmtId="0" fontId="16" fillId="0" borderId="10" xfId="0" applyFont="1" applyBorder="1" applyAlignment="1">
      <alignment horizontal="center" vertical="center" wrapText="1"/>
    </xf>
    <xf numFmtId="0" fontId="25" fillId="0" borderId="10" xfId="0" applyFont="1" applyBorder="1" applyAlignment="1">
      <alignment horizontal="center" vertical="center" wrapText="1"/>
    </xf>
    <xf numFmtId="0" fontId="25" fillId="28" borderId="10" xfId="0" applyFont="1" applyFill="1" applyBorder="1" applyAlignment="1">
      <alignment horizontal="center"/>
    </xf>
    <xf numFmtId="0" fontId="25" fillId="15" borderId="10" xfId="0" applyFont="1" applyFill="1" applyBorder="1" applyAlignment="1">
      <alignment horizontal="center"/>
    </xf>
    <xf numFmtId="0" fontId="25" fillId="0" borderId="10" xfId="0" applyFont="1" applyBorder="1" applyAlignment="1">
      <alignment horizontal="center"/>
    </xf>
    <xf numFmtId="0" fontId="17" fillId="18" borderId="10" xfId="0" applyFont="1" applyFill="1" applyBorder="1" applyAlignment="1">
      <alignment horizontal="center"/>
    </xf>
    <xf numFmtId="0" fontId="42" fillId="8" borderId="10" xfId="0" applyFont="1" applyFill="1" applyBorder="1" applyAlignment="1">
      <alignment horizontal="center"/>
    </xf>
    <xf numFmtId="0" fontId="25" fillId="8" borderId="10" xfId="0" applyFont="1" applyFill="1" applyBorder="1" applyAlignment="1">
      <alignment horizontal="center"/>
    </xf>
    <xf numFmtId="0" fontId="43" fillId="40" borderId="10" xfId="0" applyFont="1" applyFill="1" applyBorder="1" applyAlignment="1">
      <alignment horizontal="center" vertical="center"/>
    </xf>
    <xf numFmtId="0" fontId="17" fillId="8" borderId="10" xfId="0" applyFont="1" applyFill="1" applyBorder="1" applyAlignment="1">
      <alignment horizontal="center"/>
    </xf>
    <xf numFmtId="0" fontId="16" fillId="8" borderId="10" xfId="0" applyFont="1" applyFill="1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27" fillId="8" borderId="10" xfId="0" applyFont="1" applyFill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8" borderId="10" xfId="0" applyFill="1" applyBorder="1" applyAlignment="1">
      <alignment horizontal="center" vertical="center" wrapText="1"/>
    </xf>
    <xf numFmtId="0" fontId="17" fillId="43" borderId="10" xfId="0" applyFont="1" applyFill="1" applyBorder="1" applyAlignment="1">
      <alignment horizontal="center"/>
    </xf>
    <xf numFmtId="0" fontId="43" fillId="39" borderId="10" xfId="0" applyFont="1" applyFill="1" applyBorder="1" applyAlignment="1">
      <alignment horizontal="center"/>
    </xf>
    <xf numFmtId="0" fontId="25" fillId="17" borderId="10" xfId="0" applyFont="1" applyFill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16" fillId="15" borderId="10" xfId="0" applyFont="1" applyFill="1" applyBorder="1" applyAlignment="1">
      <alignment horizontal="center"/>
    </xf>
    <xf numFmtId="0" fontId="17" fillId="17" borderId="10" xfId="0" applyFont="1" applyFill="1" applyBorder="1" applyAlignment="1">
      <alignment horizontal="center" vertical="center"/>
    </xf>
    <xf numFmtId="0" fontId="27" fillId="18" borderId="10" xfId="0" applyFont="1" applyFill="1" applyBorder="1" applyAlignment="1">
      <alignment horizontal="center"/>
    </xf>
    <xf numFmtId="0" fontId="17" fillId="0" borderId="10" xfId="0" applyFont="1" applyBorder="1" applyAlignment="1">
      <alignment horizontal="center"/>
    </xf>
    <xf numFmtId="49" fontId="0" fillId="0" borderId="16" xfId="0" applyNumberFormat="1" applyBorder="1" applyAlignment="1">
      <alignment horizontal="center" vertical="center"/>
    </xf>
    <xf numFmtId="49" fontId="45" fillId="31" borderId="16" xfId="0" applyNumberFormat="1" applyFont="1" applyFill="1" applyBorder="1" applyAlignment="1">
      <alignment horizontal="center" vertical="center" wrapText="1"/>
    </xf>
    <xf numFmtId="49" fontId="0" fillId="8" borderId="8" xfId="0" applyNumberFormat="1" applyFill="1" applyBorder="1" applyAlignment="1">
      <alignment horizontal="center" vertical="center"/>
    </xf>
    <xf numFmtId="49" fontId="0" fillId="8" borderId="16" xfId="0" applyNumberFormat="1" applyFill="1" applyBorder="1" applyAlignment="1">
      <alignment horizontal="center" vertical="center"/>
    </xf>
    <xf numFmtId="49" fontId="0" fillId="18" borderId="16" xfId="0" applyNumberFormat="1" applyFill="1" applyBorder="1" applyAlignment="1">
      <alignment vertical="center" wrapText="1"/>
    </xf>
    <xf numFmtId="49" fontId="0" fillId="18" borderId="16" xfId="0" applyNumberFormat="1" applyFill="1" applyBorder="1" applyAlignment="1">
      <alignment horizontal="center" vertical="center"/>
    </xf>
    <xf numFmtId="49" fontId="0" fillId="8" borderId="16" xfId="0" quotePrefix="1" applyNumberFormat="1" applyFill="1" applyBorder="1" applyAlignment="1">
      <alignment horizontal="center" vertical="center"/>
    </xf>
    <xf numFmtId="49" fontId="22" fillId="0" borderId="16" xfId="0" applyNumberFormat="1" applyFont="1" applyBorder="1" applyAlignment="1">
      <alignment horizontal="center" vertical="center"/>
    </xf>
    <xf numFmtId="49" fontId="0" fillId="0" borderId="16" xfId="0" quotePrefix="1" applyNumberFormat="1" applyBorder="1" applyAlignment="1">
      <alignment horizontal="center" vertical="center"/>
    </xf>
    <xf numFmtId="49" fontId="0" fillId="18" borderId="16" xfId="0" applyNumberFormat="1" applyFill="1" applyBorder="1" applyAlignment="1">
      <alignment horizontal="left" vertical="center"/>
    </xf>
    <xf numFmtId="49" fontId="0" fillId="22" borderId="16" xfId="0" applyNumberFormat="1" applyFill="1" applyBorder="1" applyAlignment="1">
      <alignment horizontal="center" vertical="center"/>
    </xf>
    <xf numFmtId="49" fontId="0" fillId="8" borderId="11" xfId="0" applyNumberFormat="1" applyFill="1" applyBorder="1"/>
    <xf numFmtId="49" fontId="0" fillId="3" borderId="11" xfId="0" applyNumberFormat="1" applyFill="1" applyBorder="1" applyAlignment="1">
      <alignment vertical="center" wrapText="1"/>
    </xf>
    <xf numFmtId="49" fontId="0" fillId="3" borderId="16" xfId="0" applyNumberFormat="1" applyFill="1" applyBorder="1"/>
    <xf numFmtId="49" fontId="0" fillId="8" borderId="5" xfId="0" applyNumberFormat="1" applyFill="1" applyBorder="1" applyAlignment="1">
      <alignment horizontal="center" vertical="center"/>
    </xf>
    <xf numFmtId="49" fontId="0" fillId="8" borderId="11" xfId="0" applyNumberFormat="1" applyFill="1" applyBorder="1" applyAlignment="1">
      <alignment horizontal="center" vertical="center"/>
    </xf>
    <xf numFmtId="49" fontId="0" fillId="18" borderId="11" xfId="0" applyNumberFormat="1" applyFill="1" applyBorder="1" applyAlignment="1">
      <alignment vertical="center" wrapText="1"/>
    </xf>
    <xf numFmtId="49" fontId="0" fillId="18" borderId="11" xfId="0" applyNumberFormat="1" applyFill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0" fillId="8" borderId="11" xfId="0" quotePrefix="1" applyNumberFormat="1" applyFill="1" applyBorder="1" applyAlignment="1">
      <alignment horizontal="center" vertical="center"/>
    </xf>
    <xf numFmtId="49" fontId="22" fillId="0" borderId="11" xfId="0" applyNumberFormat="1" applyFont="1" applyBorder="1" applyAlignment="1">
      <alignment horizontal="center" vertical="center"/>
    </xf>
    <xf numFmtId="49" fontId="0" fillId="0" borderId="11" xfId="0" quotePrefix="1" applyNumberFormat="1" applyBorder="1" applyAlignment="1">
      <alignment horizontal="center" vertical="center"/>
    </xf>
    <xf numFmtId="49" fontId="0" fillId="18" borderId="11" xfId="0" applyNumberFormat="1" applyFill="1" applyBorder="1" applyAlignment="1">
      <alignment horizontal="left" vertical="center"/>
    </xf>
    <xf numFmtId="49" fontId="0" fillId="22" borderId="11" xfId="0" applyNumberFormat="1" applyFill="1" applyBorder="1" applyAlignment="1">
      <alignment horizontal="center" vertical="center"/>
    </xf>
    <xf numFmtId="49" fontId="0" fillId="8" borderId="4" xfId="0" applyNumberFormat="1" applyFill="1" applyBorder="1" applyAlignment="1">
      <alignment horizontal="center" vertical="center"/>
    </xf>
    <xf numFmtId="49" fontId="17" fillId="0" borderId="16" xfId="0" applyNumberFormat="1" applyFont="1" applyBorder="1" applyAlignment="1">
      <alignment horizontal="center"/>
    </xf>
    <xf numFmtId="49" fontId="16" fillId="8" borderId="16" xfId="0" applyNumberFormat="1" applyFont="1" applyFill="1" applyBorder="1" applyAlignment="1">
      <alignment horizontal="center"/>
    </xf>
    <xf numFmtId="49" fontId="16" fillId="0" borderId="16" xfId="0" applyNumberFormat="1" applyFont="1" applyBorder="1" applyAlignment="1">
      <alignment horizontal="center"/>
    </xf>
    <xf numFmtId="49" fontId="25" fillId="0" borderId="16" xfId="0" applyNumberFormat="1" applyFont="1" applyBorder="1" applyAlignment="1">
      <alignment horizontal="center"/>
    </xf>
    <xf numFmtId="49" fontId="17" fillId="16" borderId="16" xfId="0" applyNumberFormat="1" applyFont="1" applyFill="1" applyBorder="1" applyAlignment="1">
      <alignment horizontal="center" vertical="center"/>
    </xf>
    <xf numFmtId="49" fontId="17" fillId="17" borderId="16" xfId="0" applyNumberFormat="1" applyFont="1" applyFill="1" applyBorder="1" applyAlignment="1">
      <alignment horizontal="center" vertical="center"/>
    </xf>
    <xf numFmtId="49" fontId="0" fillId="8" borderId="16" xfId="0" applyNumberFormat="1" applyFill="1" applyBorder="1" applyAlignment="1">
      <alignment horizontal="center" vertical="center" wrapText="1"/>
    </xf>
    <xf numFmtId="49" fontId="25" fillId="8" borderId="16" xfId="0" applyNumberFormat="1" applyFont="1" applyFill="1" applyBorder="1" applyAlignment="1">
      <alignment horizontal="center"/>
    </xf>
    <xf numFmtId="49" fontId="25" fillId="15" borderId="16" xfId="0" applyNumberFormat="1" applyFont="1" applyFill="1" applyBorder="1" applyAlignment="1">
      <alignment horizontal="center"/>
    </xf>
    <xf numFmtId="49" fontId="17" fillId="0" borderId="0" xfId="0" applyNumberFormat="1" applyFont="1"/>
    <xf numFmtId="2" fontId="17" fillId="0" borderId="0" xfId="0" applyNumberFormat="1" applyFont="1"/>
    <xf numFmtId="2" fontId="16" fillId="0" borderId="0" xfId="0" applyNumberFormat="1" applyFont="1" applyAlignment="1">
      <alignment horizontal="center"/>
    </xf>
    <xf numFmtId="49" fontId="0" fillId="0" borderId="0" xfId="0" applyNumberFormat="1"/>
    <xf numFmtId="181" fontId="16" fillId="0" borderId="16" xfId="0" applyNumberFormat="1" applyFont="1" applyBorder="1" applyAlignment="1">
      <alignment horizontal="center"/>
    </xf>
    <xf numFmtId="49" fontId="16" fillId="0" borderId="16" xfId="0" applyNumberFormat="1" applyFont="1" applyBorder="1" applyAlignment="1">
      <alignment horizontal="center" vertical="center" wrapText="1"/>
    </xf>
    <xf numFmtId="49" fontId="25" fillId="0" borderId="16" xfId="0" applyNumberFormat="1" applyFont="1" applyBorder="1" applyAlignment="1">
      <alignment horizontal="center" vertical="center" wrapText="1"/>
    </xf>
    <xf numFmtId="49" fontId="42" fillId="8" borderId="16" xfId="0" applyNumberFormat="1" applyFont="1" applyFill="1" applyBorder="1" applyAlignment="1">
      <alignment horizontal="center"/>
    </xf>
    <xf numFmtId="49" fontId="0" fillId="0" borderId="16" xfId="0" applyNumberFormat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16" xfId="0" applyNumberFormat="1" applyBorder="1" applyAlignment="1">
      <alignment horizontal="center"/>
    </xf>
    <xf numFmtId="49" fontId="0" fillId="0" borderId="8" xfId="0" applyNumberFormat="1" applyBorder="1" applyAlignment="1">
      <alignment horizontal="center" vertical="center"/>
    </xf>
    <xf numFmtId="182" fontId="40" fillId="8" borderId="0" xfId="3" applyNumberFormat="1" applyFont="1" applyFill="1" applyAlignment="1">
      <alignment horizontal="center" vertical="center"/>
    </xf>
    <xf numFmtId="0" fontId="0" fillId="18" borderId="8" xfId="0" applyFill="1" applyBorder="1" applyAlignment="1">
      <alignment vertical="center" wrapText="1"/>
    </xf>
    <xf numFmtId="49" fontId="0" fillId="3" borderId="16" xfId="0" applyNumberFormat="1" applyFill="1" applyBorder="1" applyAlignment="1">
      <alignment vertical="center" wrapText="1"/>
    </xf>
    <xf numFmtId="49" fontId="0" fillId="27" borderId="16" xfId="0" applyNumberFormat="1" applyFill="1" applyBorder="1" applyAlignment="1">
      <alignment horizontal="left" vertical="center" wrapText="1"/>
    </xf>
    <xf numFmtId="49" fontId="0" fillId="8" borderId="5" xfId="0" applyNumberFormat="1" applyFill="1" applyBorder="1"/>
    <xf numFmtId="49" fontId="0" fillId="8" borderId="16" xfId="0" applyNumberFormat="1" applyFill="1" applyBorder="1"/>
    <xf numFmtId="49" fontId="0" fillId="27" borderId="11" xfId="0" applyNumberFormat="1" applyFill="1" applyBorder="1" applyAlignment="1">
      <alignment horizontal="left" vertical="center" wrapText="1"/>
    </xf>
    <xf numFmtId="49" fontId="0" fillId="3" borderId="11" xfId="0" applyNumberFormat="1" applyFill="1" applyBorder="1"/>
    <xf numFmtId="49" fontId="0" fillId="18" borderId="8" xfId="0" applyNumberFormat="1" applyFill="1" applyBorder="1" applyAlignment="1">
      <alignment horizontal="center" vertical="center"/>
    </xf>
    <xf numFmtId="0" fontId="0" fillId="27" borderId="11" xfId="0" applyFill="1" applyBorder="1" applyAlignment="1">
      <alignment horizontal="left" vertical="center"/>
    </xf>
    <xf numFmtId="0" fontId="0" fillId="0" borderId="5" xfId="0" applyBorder="1" applyAlignment="1">
      <alignment vertical="center"/>
    </xf>
    <xf numFmtId="0" fontId="0" fillId="3" borderId="11" xfId="0" applyFill="1" applyBorder="1" applyAlignment="1">
      <alignment vertical="center"/>
    </xf>
    <xf numFmtId="182" fontId="0" fillId="18" borderId="8" xfId="0" applyNumberFormat="1" applyFill="1" applyBorder="1" applyAlignment="1">
      <alignment vertical="center"/>
    </xf>
    <xf numFmtId="182" fontId="0" fillId="18" borderId="4" xfId="0" applyNumberFormat="1" applyFill="1" applyBorder="1" applyAlignment="1">
      <alignment horizontal="center" vertical="center"/>
    </xf>
    <xf numFmtId="182" fontId="9" fillId="18" borderId="4" xfId="0" applyNumberFormat="1" applyFont="1" applyFill="1" applyBorder="1" applyAlignment="1">
      <alignment horizontal="center" vertical="center"/>
    </xf>
    <xf numFmtId="0" fontId="0" fillId="27" borderId="16" xfId="0" applyFill="1" applyBorder="1" applyAlignment="1">
      <alignment horizontal="left" vertical="center"/>
    </xf>
    <xf numFmtId="0" fontId="0" fillId="0" borderId="8" xfId="0" applyBorder="1" applyAlignment="1">
      <alignment vertical="center"/>
    </xf>
    <xf numFmtId="182" fontId="0" fillId="28" borderId="4" xfId="0" applyNumberFormat="1" applyFill="1" applyBorder="1" applyAlignment="1">
      <alignment horizontal="center" vertical="center"/>
    </xf>
    <xf numFmtId="182" fontId="0" fillId="18" borderId="8" xfId="0" applyNumberFormat="1" applyFill="1" applyBorder="1" applyAlignment="1">
      <alignment horizontal="center" vertical="center"/>
    </xf>
    <xf numFmtId="0" fontId="0" fillId="0" borderId="10" xfId="0" applyBorder="1"/>
    <xf numFmtId="182" fontId="0" fillId="18" borderId="0" xfId="0" applyNumberFormat="1" applyFill="1" applyAlignment="1">
      <alignment vertical="center"/>
    </xf>
    <xf numFmtId="0" fontId="0" fillId="27" borderId="10" xfId="0" applyFill="1" applyBorder="1" applyAlignment="1">
      <alignment horizontal="left"/>
    </xf>
    <xf numFmtId="167" fontId="0" fillId="3" borderId="10" xfId="14" applyFont="1" applyFill="1" applyBorder="1" applyAlignment="1">
      <alignment horizontal="center" vertical="center"/>
    </xf>
    <xf numFmtId="182" fontId="0" fillId="18" borderId="0" xfId="0" applyNumberFormat="1" applyFill="1" applyAlignment="1">
      <alignment horizontal="right" vertical="center"/>
    </xf>
    <xf numFmtId="0" fontId="0" fillId="28" borderId="4" xfId="0" applyFill="1" applyBorder="1" applyAlignment="1">
      <alignment vertical="center" wrapText="1"/>
    </xf>
    <xf numFmtId="182" fontId="0" fillId="28" borderId="4" xfId="0" applyNumberFormat="1" applyFill="1" applyBorder="1" applyAlignment="1">
      <alignment vertical="center"/>
    </xf>
    <xf numFmtId="182" fontId="0" fillId="8" borderId="4" xfId="0" applyNumberFormat="1" applyFill="1" applyBorder="1" applyAlignment="1">
      <alignment horizontal="center" vertical="center"/>
    </xf>
    <xf numFmtId="0" fontId="72" fillId="0" borderId="4" xfId="0" applyFont="1" applyBorder="1" applyAlignment="1">
      <alignment horizontal="center"/>
    </xf>
    <xf numFmtId="0" fontId="15" fillId="0" borderId="0" xfId="0" applyFont="1" applyAlignment="1">
      <alignment horizontal="right"/>
    </xf>
    <xf numFmtId="182" fontId="29" fillId="8" borderId="16" xfId="16" applyNumberFormat="1" applyFill="1" applyBorder="1"/>
    <xf numFmtId="182" fontId="29" fillId="8" borderId="16" xfId="16" applyNumberFormat="1" applyFill="1" applyBorder="1" applyAlignment="1">
      <alignment vertical="center"/>
    </xf>
    <xf numFmtId="0" fontId="34" fillId="8" borderId="0" xfId="16" applyFont="1" applyFill="1" applyAlignment="1">
      <alignment horizontal="center"/>
    </xf>
    <xf numFmtId="0" fontId="14" fillId="0" borderId="4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164" fontId="16" fillId="0" borderId="0" xfId="0" applyNumberFormat="1" applyFont="1"/>
    <xf numFmtId="182" fontId="23" fillId="0" borderId="0" xfId="0" applyNumberFormat="1" applyFont="1"/>
    <xf numFmtId="0" fontId="101" fillId="56" borderId="45" xfId="25" applyAlignment="1">
      <alignment horizontal="center"/>
    </xf>
    <xf numFmtId="0" fontId="14" fillId="58" borderId="47" xfId="27" applyFont="1" applyAlignment="1">
      <alignment horizontal="center"/>
    </xf>
    <xf numFmtId="2" fontId="101" fillId="56" borderId="45" xfId="25" applyNumberFormat="1" applyAlignment="1">
      <alignment horizontal="center"/>
    </xf>
    <xf numFmtId="2" fontId="14" fillId="58" borderId="47" xfId="27" applyNumberFormat="1" applyFont="1" applyAlignment="1">
      <alignment horizontal="center"/>
    </xf>
    <xf numFmtId="0" fontId="103" fillId="0" borderId="0" xfId="0" applyFont="1"/>
    <xf numFmtId="9" fontId="14" fillId="0" borderId="16" xfId="3" applyFont="1" applyFill="1" applyBorder="1" applyAlignment="1">
      <alignment horizontal="center"/>
    </xf>
    <xf numFmtId="0" fontId="14" fillId="0" borderId="15" xfId="0" applyFont="1" applyBorder="1" applyAlignment="1">
      <alignment horizontal="center"/>
    </xf>
    <xf numFmtId="186" fontId="14" fillId="0" borderId="16" xfId="0" applyNumberFormat="1" applyFont="1" applyBorder="1" applyAlignment="1">
      <alignment horizontal="center"/>
    </xf>
    <xf numFmtId="186" fontId="14" fillId="0" borderId="16" xfId="3" applyNumberFormat="1" applyFont="1" applyFill="1" applyBorder="1" applyAlignment="1">
      <alignment horizontal="center"/>
    </xf>
    <xf numFmtId="167" fontId="14" fillId="0" borderId="16" xfId="0" applyNumberFormat="1" applyFont="1" applyBorder="1" applyAlignment="1">
      <alignment horizontal="center"/>
    </xf>
    <xf numFmtId="167" fontId="14" fillId="0" borderId="4" xfId="0" applyNumberFormat="1" applyFont="1" applyBorder="1" applyAlignment="1">
      <alignment horizontal="center"/>
    </xf>
    <xf numFmtId="182" fontId="14" fillId="0" borderId="0" xfId="0" applyNumberFormat="1" applyFont="1" applyAlignment="1">
      <alignment horizontal="right"/>
    </xf>
    <xf numFmtId="0" fontId="85" fillId="40" borderId="16" xfId="0" applyFont="1" applyFill="1" applyBorder="1" applyAlignment="1">
      <alignment horizontal="center" vertical="center"/>
    </xf>
    <xf numFmtId="0" fontId="84" fillId="0" borderId="0" xfId="0" applyFont="1" applyAlignment="1">
      <alignment horizontal="right"/>
    </xf>
    <xf numFmtId="0" fontId="40" fillId="0" borderId="0" xfId="0" applyFont="1" applyAlignment="1">
      <alignment horizontal="right"/>
    </xf>
    <xf numFmtId="0" fontId="102" fillId="57" borderId="46" xfId="26"/>
    <xf numFmtId="0" fontId="102" fillId="57" borderId="46" xfId="26" applyAlignment="1">
      <alignment horizontal="center"/>
    </xf>
    <xf numFmtId="2" fontId="102" fillId="57" borderId="46" xfId="26" applyNumberFormat="1" applyAlignment="1">
      <alignment horizontal="center"/>
    </xf>
    <xf numFmtId="0" fontId="102" fillId="57" borderId="46" xfId="26" applyAlignment="1">
      <alignment horizontal="center" vertical="center"/>
    </xf>
    <xf numFmtId="2" fontId="102" fillId="57" borderId="46" xfId="26" applyNumberFormat="1" applyAlignment="1">
      <alignment horizontal="center" vertical="center"/>
    </xf>
    <xf numFmtId="182" fontId="102" fillId="57" borderId="46" xfId="26" applyNumberFormat="1" applyAlignment="1">
      <alignment horizontal="center"/>
    </xf>
    <xf numFmtId="1" fontId="102" fillId="57" borderId="46" xfId="26" applyNumberFormat="1" applyAlignment="1">
      <alignment horizontal="center"/>
    </xf>
    <xf numFmtId="182" fontId="102" fillId="57" borderId="46" xfId="26" applyNumberFormat="1" applyAlignment="1">
      <alignment horizontal="center" vertical="center"/>
    </xf>
    <xf numFmtId="1" fontId="102" fillId="57" borderId="46" xfId="26" applyNumberFormat="1" applyAlignment="1">
      <alignment horizontal="center" vertical="center"/>
    </xf>
    <xf numFmtId="0" fontId="84" fillId="0" borderId="0" xfId="0" applyFont="1"/>
    <xf numFmtId="0" fontId="102" fillId="57" borderId="46" xfId="26" applyAlignment="1">
      <alignment vertical="center"/>
    </xf>
    <xf numFmtId="0" fontId="104" fillId="0" borderId="0" xfId="0" applyFont="1"/>
    <xf numFmtId="2" fontId="101" fillId="0" borderId="45" xfId="25" applyNumberFormat="1" applyFill="1" applyAlignment="1">
      <alignment horizontal="center"/>
    </xf>
    <xf numFmtId="2" fontId="101" fillId="0" borderId="45" xfId="25" applyNumberFormat="1" applyFill="1" applyAlignment="1">
      <alignment horizontal="center" vertical="center"/>
    </xf>
    <xf numFmtId="0" fontId="102" fillId="57" borderId="46" xfId="26" applyAlignment="1">
      <alignment horizontal="left"/>
    </xf>
    <xf numFmtId="1" fontId="14" fillId="0" borderId="16" xfId="0" applyNumberFormat="1" applyFont="1" applyBorder="1" applyAlignment="1">
      <alignment horizontal="center" vertical="center"/>
    </xf>
    <xf numFmtId="0" fontId="14" fillId="0" borderId="39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01" fillId="56" borderId="48" xfId="25" applyBorder="1" applyAlignment="1">
      <alignment horizontal="center" vertical="center"/>
    </xf>
    <xf numFmtId="0" fontId="101" fillId="56" borderId="45" xfId="25" applyAlignment="1">
      <alignment horizontal="center" vertical="center"/>
    </xf>
    <xf numFmtId="0" fontId="101" fillId="56" borderId="49" xfId="25" applyBorder="1" applyAlignment="1">
      <alignment horizontal="center" vertical="center"/>
    </xf>
    <xf numFmtId="0" fontId="101" fillId="56" borderId="48" xfId="25" applyBorder="1"/>
    <xf numFmtId="0" fontId="101" fillId="56" borderId="45" xfId="25"/>
    <xf numFmtId="0" fontId="101" fillId="56" borderId="49" xfId="25" applyBorder="1"/>
    <xf numFmtId="0" fontId="101" fillId="56" borderId="50" xfId="25" applyBorder="1"/>
    <xf numFmtId="0" fontId="101" fillId="56" borderId="51" xfId="25" applyBorder="1"/>
    <xf numFmtId="0" fontId="101" fillId="56" borderId="52" xfId="25" applyBorder="1"/>
    <xf numFmtId="2" fontId="14" fillId="58" borderId="47" xfId="27" applyNumberFormat="1" applyFont="1" applyAlignment="1">
      <alignment horizontal="center" vertical="center"/>
    </xf>
    <xf numFmtId="2" fontId="9" fillId="0" borderId="16" xfId="0" applyNumberFormat="1" applyFont="1" applyBorder="1" applyAlignment="1">
      <alignment horizontal="center" vertical="center"/>
    </xf>
    <xf numFmtId="2" fontId="9" fillId="6" borderId="8" xfId="0" applyNumberFormat="1" applyFont="1" applyFill="1" applyBorder="1" applyAlignment="1">
      <alignment horizontal="center" vertical="center"/>
    </xf>
    <xf numFmtId="2" fontId="14" fillId="0" borderId="2" xfId="0" applyNumberFormat="1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5" xfId="0" applyFont="1" applyBorder="1" applyAlignment="1">
      <alignment horizontal="center" vertical="center"/>
    </xf>
    <xf numFmtId="2" fontId="14" fillId="0" borderId="6" xfId="0" applyNumberFormat="1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0" fontId="14" fillId="0" borderId="14" xfId="0" applyFont="1" applyBorder="1" applyAlignment="1">
      <alignment horizontal="center"/>
    </xf>
    <xf numFmtId="2" fontId="14" fillId="0" borderId="4" xfId="0" applyNumberFormat="1" applyFont="1" applyBorder="1" applyAlignment="1">
      <alignment horizontal="center"/>
    </xf>
    <xf numFmtId="2" fontId="14" fillId="0" borderId="8" xfId="0" applyNumberFormat="1" applyFont="1" applyBorder="1" applyAlignment="1">
      <alignment horizontal="center"/>
    </xf>
    <xf numFmtId="2" fontId="14" fillId="0" borderId="14" xfId="0" applyNumberFormat="1" applyFont="1" applyBorder="1" applyAlignment="1">
      <alignment horizontal="center"/>
    </xf>
    <xf numFmtId="0" fontId="14" fillId="0" borderId="3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58" borderId="47" xfId="27" applyFont="1" applyAlignment="1">
      <alignment horizontal="center" vertical="center"/>
    </xf>
    <xf numFmtId="0" fontId="102" fillId="57" borderId="46" xfId="26" applyAlignment="1">
      <alignment horizontal="left" vertical="center"/>
    </xf>
    <xf numFmtId="0" fontId="74" fillId="0" borderId="0" xfId="0" applyFont="1" applyAlignment="1">
      <alignment horizontal="right"/>
    </xf>
    <xf numFmtId="0" fontId="102" fillId="57" borderId="46" xfId="26" applyNumberFormat="1" applyAlignment="1">
      <alignment horizontal="center"/>
    </xf>
    <xf numFmtId="0" fontId="37" fillId="57" borderId="46" xfId="26" applyFont="1" applyAlignment="1">
      <alignment horizontal="center"/>
    </xf>
    <xf numFmtId="2" fontId="37" fillId="57" borderId="46" xfId="26" applyNumberFormat="1" applyFont="1" applyAlignment="1">
      <alignment horizontal="center"/>
    </xf>
    <xf numFmtId="182" fontId="37" fillId="57" borderId="46" xfId="26" applyNumberFormat="1" applyFont="1" applyAlignment="1">
      <alignment horizontal="center"/>
    </xf>
    <xf numFmtId="0" fontId="37" fillId="57" borderId="46" xfId="26" applyNumberFormat="1" applyFont="1" applyAlignment="1">
      <alignment horizontal="center"/>
    </xf>
    <xf numFmtId="2" fontId="74" fillId="0" borderId="16" xfId="0" applyNumberFormat="1" applyFont="1" applyBorder="1" applyAlignment="1">
      <alignment horizontal="center"/>
    </xf>
    <xf numFmtId="0" fontId="84" fillId="0" borderId="0" xfId="0" applyFont="1" applyAlignment="1">
      <alignment horizontal="right" vertical="center"/>
    </xf>
    <xf numFmtId="182" fontId="102" fillId="57" borderId="46" xfId="26" applyNumberFormat="1" applyAlignment="1">
      <alignment horizontal="left"/>
    </xf>
    <xf numFmtId="188" fontId="102" fillId="57" borderId="46" xfId="26" applyNumberFormat="1" applyAlignment="1">
      <alignment horizontal="center"/>
    </xf>
    <xf numFmtId="0" fontId="102" fillId="57" borderId="46" xfId="26" applyAlignment="1">
      <alignment wrapText="1"/>
    </xf>
    <xf numFmtId="0" fontId="102" fillId="57" borderId="46" xfId="26" applyAlignment="1">
      <alignment horizontal="right"/>
    </xf>
    <xf numFmtId="0" fontId="101" fillId="56" borderId="54" xfId="25" applyBorder="1" applyAlignment="1">
      <alignment horizontal="center" vertical="center"/>
    </xf>
    <xf numFmtId="0" fontId="15" fillId="0" borderId="16" xfId="0" applyFont="1" applyBorder="1" applyAlignment="1">
      <alignment horizontal="left"/>
    </xf>
    <xf numFmtId="2" fontId="102" fillId="57" borderId="46" xfId="26" applyNumberFormat="1" applyAlignment="1">
      <alignment horizontal="left"/>
    </xf>
    <xf numFmtId="0" fontId="84" fillId="0" borderId="0" xfId="0" applyFont="1" applyAlignment="1">
      <alignment horizontal="right" vertical="center" textRotation="90"/>
    </xf>
    <xf numFmtId="181" fontId="102" fillId="57" borderId="46" xfId="26" applyNumberFormat="1" applyAlignment="1">
      <alignment horizontal="center"/>
    </xf>
    <xf numFmtId="167" fontId="0" fillId="0" borderId="0" xfId="0" applyNumberFormat="1"/>
    <xf numFmtId="2" fontId="14" fillId="0" borderId="16" xfId="0" applyNumberFormat="1" applyFont="1" applyBorder="1" applyAlignment="1">
      <alignment vertical="center"/>
    </xf>
    <xf numFmtId="0" fontId="14" fillId="0" borderId="16" xfId="0" applyFont="1" applyBorder="1" applyAlignment="1">
      <alignment vertical="center"/>
    </xf>
    <xf numFmtId="182" fontId="14" fillId="0" borderId="16" xfId="0" applyNumberFormat="1" applyFont="1" applyBorder="1" applyAlignment="1">
      <alignment vertical="center"/>
    </xf>
    <xf numFmtId="182" fontId="14" fillId="0" borderId="16" xfId="0" applyNumberFormat="1" applyFont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182" fontId="0" fillId="0" borderId="0" xfId="0" applyNumberFormat="1" applyAlignment="1">
      <alignment horizontal="center" vertical="center"/>
    </xf>
    <xf numFmtId="182" fontId="109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182" fontId="110" fillId="59" borderId="25" xfId="0" applyNumberFormat="1" applyFont="1" applyFill="1" applyBorder="1" applyAlignment="1">
      <alignment horizontal="center" vertical="center"/>
    </xf>
    <xf numFmtId="0" fontId="111" fillId="59" borderId="55" xfId="0" applyFont="1" applyFill="1" applyBorder="1" applyAlignment="1">
      <alignment horizontal="center" vertical="center" wrapText="1"/>
    </xf>
    <xf numFmtId="182" fontId="112" fillId="39" borderId="63" xfId="0" applyNumberFormat="1" applyFont="1" applyFill="1" applyBorder="1" applyAlignment="1">
      <alignment horizontal="center" vertical="center"/>
    </xf>
    <xf numFmtId="0" fontId="113" fillId="0" borderId="0" xfId="0" applyFont="1" applyAlignment="1">
      <alignment horizontal="center" vertical="center"/>
    </xf>
    <xf numFmtId="182" fontId="0" fillId="0" borderId="62" xfId="0" applyNumberFormat="1" applyBorder="1" applyAlignment="1">
      <alignment horizontal="center" vertical="center"/>
    </xf>
    <xf numFmtId="189" fontId="21" fillId="0" borderId="61" xfId="0" applyNumberFormat="1" applyFont="1" applyBorder="1" applyAlignment="1">
      <alignment horizontal="center" vertical="center"/>
    </xf>
    <xf numFmtId="189" fontId="0" fillId="0" borderId="61" xfId="0" applyNumberFormat="1" applyBorder="1" applyAlignment="1">
      <alignment horizontal="center" vertical="center"/>
    </xf>
    <xf numFmtId="189" fontId="0" fillId="3" borderId="61" xfId="0" applyNumberFormat="1" applyFill="1" applyBorder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113" fillId="60" borderId="0" xfId="0" applyFont="1" applyFill="1" applyAlignment="1">
      <alignment horizontal="center" vertical="center"/>
    </xf>
    <xf numFmtId="182" fontId="110" fillId="61" borderId="59" xfId="0" applyNumberFormat="1" applyFont="1" applyFill="1" applyBorder="1" applyAlignment="1">
      <alignment horizontal="center" vertical="center"/>
    </xf>
    <xf numFmtId="182" fontId="110" fillId="61" borderId="0" xfId="0" applyNumberFormat="1" applyFont="1" applyFill="1" applyAlignment="1">
      <alignment horizontal="center" vertical="center"/>
    </xf>
    <xf numFmtId="182" fontId="110" fillId="61" borderId="27" xfId="0" applyNumberFormat="1" applyFont="1" applyFill="1" applyBorder="1" applyAlignment="1">
      <alignment horizontal="center" vertical="center"/>
    </xf>
    <xf numFmtId="182" fontId="9" fillId="0" borderId="0" xfId="0" applyNumberFormat="1" applyFont="1" applyAlignment="1">
      <alignment horizontal="center" vertical="center"/>
    </xf>
    <xf numFmtId="0" fontId="107" fillId="60" borderId="42" xfId="0" applyFont="1" applyFill="1" applyBorder="1" applyAlignment="1">
      <alignment horizontal="center" vertical="center"/>
    </xf>
    <xf numFmtId="0" fontId="107" fillId="60" borderId="41" xfId="0" applyFont="1" applyFill="1" applyBorder="1" applyAlignment="1">
      <alignment horizontal="center" vertical="center"/>
    </xf>
    <xf numFmtId="182" fontId="112" fillId="40" borderId="63" xfId="0" applyNumberFormat="1" applyFont="1" applyFill="1" applyBorder="1" applyAlignment="1">
      <alignment horizontal="center" vertical="center"/>
    </xf>
    <xf numFmtId="182" fontId="0" fillId="0" borderId="59" xfId="0" applyNumberFormat="1" applyBorder="1" applyAlignment="1">
      <alignment horizontal="center" vertical="center"/>
    </xf>
    <xf numFmtId="182" fontId="0" fillId="0" borderId="26" xfId="0" applyNumberFormat="1" applyBorder="1" applyAlignment="1">
      <alignment horizontal="center" vertical="center"/>
    </xf>
    <xf numFmtId="182" fontId="114" fillId="0" borderId="0" xfId="0" applyNumberFormat="1" applyFont="1" applyAlignment="1">
      <alignment horizontal="center" vertical="center"/>
    </xf>
    <xf numFmtId="182" fontId="0" fillId="0" borderId="60" xfId="0" applyNumberFormat="1" applyBorder="1" applyAlignment="1">
      <alignment horizontal="center" vertical="center"/>
    </xf>
    <xf numFmtId="182" fontId="0" fillId="0" borderId="42" xfId="0" applyNumberFormat="1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182" fontId="110" fillId="61" borderId="60" xfId="0" applyNumberFormat="1" applyFont="1" applyFill="1" applyBorder="1" applyAlignment="1">
      <alignment horizontal="center" vertical="center"/>
    </xf>
    <xf numFmtId="0" fontId="115" fillId="0" borderId="0" xfId="0" applyFont="1" applyAlignment="1">
      <alignment horizontal="center" vertical="center"/>
    </xf>
    <xf numFmtId="9" fontId="0" fillId="0" borderId="0" xfId="3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182" fontId="22" fillId="0" borderId="60" xfId="0" applyNumberFormat="1" applyFont="1" applyBorder="1" applyAlignment="1">
      <alignment horizontal="center" vertical="center"/>
    </xf>
    <xf numFmtId="0" fontId="22" fillId="0" borderId="56" xfId="0" applyFont="1" applyBorder="1" applyAlignment="1">
      <alignment horizontal="center" vertical="center"/>
    </xf>
    <xf numFmtId="190" fontId="109" fillId="0" borderId="0" xfId="0" applyNumberFormat="1" applyFont="1" applyAlignment="1">
      <alignment horizontal="center" vertical="center"/>
    </xf>
    <xf numFmtId="191" fontId="0" fillId="0" borderId="0" xfId="0" applyNumberFormat="1" applyAlignment="1">
      <alignment horizontal="center"/>
    </xf>
    <xf numFmtId="192" fontId="0" fillId="0" borderId="0" xfId="0" applyNumberFormat="1" applyAlignment="1">
      <alignment horizontal="center"/>
    </xf>
    <xf numFmtId="0" fontId="116" fillId="0" borderId="0" xfId="0" applyFont="1" applyAlignment="1">
      <alignment horizontal="center" vertical="center"/>
    </xf>
    <xf numFmtId="193" fontId="0" fillId="0" borderId="0" xfId="0" applyNumberFormat="1" applyAlignment="1">
      <alignment horizontal="center" vertical="center"/>
    </xf>
    <xf numFmtId="0" fontId="0" fillId="0" borderId="41" xfId="0" applyBorder="1" applyAlignment="1">
      <alignment horizontal="center" vertical="center"/>
    </xf>
    <xf numFmtId="182" fontId="0" fillId="0" borderId="0" xfId="0" applyNumberFormat="1" applyAlignment="1">
      <alignment horizontal="left" vertical="center"/>
    </xf>
    <xf numFmtId="0" fontId="119" fillId="0" borderId="0" xfId="0" applyFont="1" applyAlignment="1">
      <alignment horizontal="left" vertical="center"/>
    </xf>
    <xf numFmtId="0" fontId="119" fillId="0" borderId="0" xfId="0" applyFont="1" applyAlignment="1">
      <alignment horizontal="center" vertical="center"/>
    </xf>
    <xf numFmtId="182" fontId="0" fillId="0" borderId="0" xfId="0" applyNumberFormat="1" applyAlignment="1">
      <alignment vertical="center"/>
    </xf>
    <xf numFmtId="182" fontId="120" fillId="0" borderId="0" xfId="0" applyNumberFormat="1" applyFont="1" applyAlignment="1">
      <alignment horizontal="center" vertical="top"/>
    </xf>
    <xf numFmtId="189" fontId="0" fillId="0" borderId="26" xfId="0" applyNumberFormat="1" applyBorder="1" applyAlignment="1">
      <alignment horizontal="center" vertical="center"/>
    </xf>
    <xf numFmtId="194" fontId="0" fillId="0" borderId="0" xfId="0" applyNumberFormat="1" applyAlignment="1">
      <alignment vertical="center"/>
    </xf>
    <xf numFmtId="195" fontId="121" fillId="0" borderId="0" xfId="0" applyNumberFormat="1" applyFont="1" applyAlignment="1">
      <alignment horizontal="center" vertical="top"/>
    </xf>
    <xf numFmtId="182" fontId="122" fillId="0" borderId="0" xfId="0" applyNumberFormat="1" applyFont="1" applyAlignment="1">
      <alignment horizontal="center" vertical="center"/>
    </xf>
    <xf numFmtId="0" fontId="122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82" fontId="48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21" fillId="0" borderId="56" xfId="0" applyFont="1" applyBorder="1" applyAlignment="1">
      <alignment horizontal="center" vertical="center"/>
    </xf>
    <xf numFmtId="0" fontId="9" fillId="0" borderId="56" xfId="0" applyFont="1" applyBorder="1" applyAlignment="1">
      <alignment horizontal="center" vertical="center"/>
    </xf>
    <xf numFmtId="182" fontId="118" fillId="39" borderId="25" xfId="0" applyNumberFormat="1" applyFont="1" applyFill="1" applyBorder="1" applyAlignment="1">
      <alignment vertical="center" wrapText="1"/>
    </xf>
    <xf numFmtId="0" fontId="106" fillId="18" borderId="61" xfId="0" applyFont="1" applyFill="1" applyBorder="1" applyAlignment="1">
      <alignment horizontal="center" vertical="center" wrapText="1"/>
    </xf>
    <xf numFmtId="182" fontId="118" fillId="39" borderId="63" xfId="0" applyNumberFormat="1" applyFont="1" applyFill="1" applyBorder="1" applyAlignment="1">
      <alignment vertical="center" wrapText="1"/>
    </xf>
    <xf numFmtId="182" fontId="118" fillId="40" borderId="57" xfId="0" applyNumberFormat="1" applyFont="1" applyFill="1" applyBorder="1" applyAlignment="1">
      <alignment horizontal="center" vertical="center" wrapText="1"/>
    </xf>
    <xf numFmtId="0" fontId="106" fillId="18" borderId="56" xfId="0" applyFont="1" applyFill="1" applyBorder="1" applyAlignment="1">
      <alignment horizontal="center" vertical="center" wrapText="1"/>
    </xf>
    <xf numFmtId="182" fontId="118" fillId="40" borderId="63" xfId="0" applyNumberFormat="1" applyFont="1" applyFill="1" applyBorder="1" applyAlignment="1">
      <alignment horizontal="center" vertical="center" wrapText="1"/>
    </xf>
    <xf numFmtId="0" fontId="123" fillId="39" borderId="55" xfId="0" applyFont="1" applyFill="1" applyBorder="1" applyAlignment="1">
      <alignment vertical="center"/>
    </xf>
    <xf numFmtId="0" fontId="123" fillId="39" borderId="12" xfId="0" applyFont="1" applyFill="1" applyBorder="1" applyAlignment="1">
      <alignment vertical="center"/>
    </xf>
    <xf numFmtId="0" fontId="123" fillId="39" borderId="25" xfId="0" applyFont="1" applyFill="1" applyBorder="1" applyAlignment="1">
      <alignment vertical="center"/>
    </xf>
    <xf numFmtId="0" fontId="111" fillId="59" borderId="12" xfId="0" applyFont="1" applyFill="1" applyBorder="1" applyAlignment="1">
      <alignment horizontal="center" vertical="center" wrapText="1"/>
    </xf>
    <xf numFmtId="0" fontId="0" fillId="64" borderId="0" xfId="0" applyFill="1" applyAlignment="1">
      <alignment horizontal="center" vertical="center"/>
    </xf>
    <xf numFmtId="189" fontId="0" fillId="64" borderId="0" xfId="0" applyNumberFormat="1" applyFill="1" applyAlignment="1">
      <alignment horizontal="center" vertical="center"/>
    </xf>
    <xf numFmtId="0" fontId="106" fillId="64" borderId="0" xfId="0" applyFont="1" applyFill="1" applyAlignment="1">
      <alignment horizontal="center" vertical="center" wrapText="1"/>
    </xf>
    <xf numFmtId="182" fontId="118" fillId="64" borderId="0" xfId="0" applyNumberFormat="1" applyFont="1" applyFill="1" applyAlignment="1">
      <alignment horizontal="center" vertical="center" wrapText="1"/>
    </xf>
    <xf numFmtId="0" fontId="123" fillId="64" borderId="0" xfId="0" applyFont="1" applyFill="1" applyAlignment="1">
      <alignment horizontal="center" vertical="center"/>
    </xf>
    <xf numFmtId="0" fontId="107" fillId="64" borderId="0" xfId="0" applyFont="1" applyFill="1" applyAlignment="1">
      <alignment horizontal="center" vertical="center"/>
    </xf>
    <xf numFmtId="182" fontId="110" fillId="64" borderId="0" xfId="0" applyNumberFormat="1" applyFont="1" applyFill="1" applyAlignment="1">
      <alignment horizontal="center" vertical="center"/>
    </xf>
    <xf numFmtId="182" fontId="0" fillId="64" borderId="0" xfId="0" applyNumberFormat="1" applyFill="1" applyAlignment="1">
      <alignment horizontal="center" vertical="center"/>
    </xf>
    <xf numFmtId="9" fontId="0" fillId="64" borderId="0" xfId="3" applyFont="1" applyFill="1" applyBorder="1" applyAlignment="1">
      <alignment horizontal="center" vertical="center"/>
    </xf>
    <xf numFmtId="2" fontId="0" fillId="64" borderId="0" xfId="0" applyNumberFormat="1" applyFill="1" applyAlignment="1">
      <alignment horizontal="center" vertical="center"/>
    </xf>
    <xf numFmtId="182" fontId="110" fillId="59" borderId="12" xfId="0" applyNumberFormat="1" applyFont="1" applyFill="1" applyBorder="1" applyAlignment="1">
      <alignment horizontal="center" vertical="center"/>
    </xf>
    <xf numFmtId="189" fontId="21" fillId="0" borderId="26" xfId="0" applyNumberFormat="1" applyFont="1" applyBorder="1" applyAlignment="1">
      <alignment horizontal="center" vertical="center"/>
    </xf>
    <xf numFmtId="0" fontId="14" fillId="0" borderId="0" xfId="0" applyFont="1" applyAlignment="1">
      <alignment horizontal="left"/>
    </xf>
    <xf numFmtId="4" fontId="102" fillId="57" borderId="46" xfId="26" applyNumberFormat="1" applyAlignment="1">
      <alignment horizontal="center"/>
    </xf>
    <xf numFmtId="0" fontId="101" fillId="56" borderId="66" xfId="25" applyBorder="1"/>
    <xf numFmtId="0" fontId="101" fillId="56" borderId="69" xfId="25" applyBorder="1"/>
    <xf numFmtId="0" fontId="101" fillId="56" borderId="54" xfId="25" applyBorder="1"/>
    <xf numFmtId="0" fontId="101" fillId="56" borderId="70" xfId="25" applyBorder="1"/>
    <xf numFmtId="0" fontId="101" fillId="56" borderId="66" xfId="25" applyBorder="1" applyAlignment="1">
      <alignment horizontal="center" vertical="center"/>
    </xf>
    <xf numFmtId="0" fontId="101" fillId="56" borderId="67" xfId="25" applyBorder="1" applyAlignment="1">
      <alignment horizontal="center" vertical="center"/>
    </xf>
    <xf numFmtId="0" fontId="101" fillId="56" borderId="68" xfId="25" applyBorder="1" applyAlignment="1">
      <alignment horizontal="center" vertical="center"/>
    </xf>
    <xf numFmtId="0" fontId="105" fillId="0" borderId="71" xfId="25" applyFont="1" applyFill="1" applyBorder="1" applyAlignment="1">
      <alignment horizontal="center" vertical="center"/>
    </xf>
    <xf numFmtId="0" fontId="101" fillId="0" borderId="72" xfId="25" applyFill="1" applyBorder="1" applyAlignment="1">
      <alignment horizontal="center" vertical="center"/>
    </xf>
    <xf numFmtId="0" fontId="101" fillId="0" borderId="73" xfId="25" applyFill="1" applyBorder="1" applyAlignment="1">
      <alignment horizontal="center" vertical="center"/>
    </xf>
    <xf numFmtId="0" fontId="101" fillId="0" borderId="72" xfId="25" applyFill="1" applyBorder="1"/>
    <xf numFmtId="0" fontId="101" fillId="0" borderId="73" xfId="25" applyFill="1" applyBorder="1"/>
    <xf numFmtId="0" fontId="41" fillId="16" borderId="16" xfId="0" applyFont="1" applyFill="1" applyBorder="1"/>
    <xf numFmtId="0" fontId="41" fillId="16" borderId="16" xfId="0" applyFont="1" applyFill="1" applyBorder="1" applyAlignment="1">
      <alignment horizontal="center" vertical="center"/>
    </xf>
    <xf numFmtId="2" fontId="71" fillId="39" borderId="16" xfId="0" applyNumberFormat="1" applyFont="1" applyFill="1" applyBorder="1" applyAlignment="1">
      <alignment horizontal="left" vertical="center"/>
    </xf>
    <xf numFmtId="2" fontId="41" fillId="16" borderId="16" xfId="0" applyNumberFormat="1" applyFont="1" applyFill="1" applyBorder="1"/>
    <xf numFmtId="2" fontId="101" fillId="56" borderId="16" xfId="25" applyNumberFormat="1" applyBorder="1" applyAlignment="1">
      <alignment horizontal="center"/>
    </xf>
    <xf numFmtId="182" fontId="102" fillId="57" borderId="46" xfId="26" applyNumberFormat="1"/>
    <xf numFmtId="0" fontId="99" fillId="0" borderId="0" xfId="0" applyFont="1" applyAlignment="1">
      <alignment horizontal="right"/>
    </xf>
    <xf numFmtId="0" fontId="64" fillId="0" borderId="0" xfId="0" applyFont="1" applyAlignment="1">
      <alignment horizontal="center"/>
    </xf>
    <xf numFmtId="0" fontId="88" fillId="0" borderId="0" xfId="0" applyFont="1" applyAlignment="1">
      <alignment horizontal="center"/>
    </xf>
    <xf numFmtId="0" fontId="83" fillId="0" borderId="0" xfId="0" applyFont="1" applyAlignment="1">
      <alignment horizontal="center"/>
    </xf>
    <xf numFmtId="0" fontId="22" fillId="0" borderId="0" xfId="0" applyFont="1"/>
    <xf numFmtId="0" fontId="102" fillId="57" borderId="46" xfId="26" applyAlignment="1">
      <alignment vertical="center" wrapText="1"/>
    </xf>
    <xf numFmtId="2" fontId="85" fillId="40" borderId="16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right"/>
    </xf>
    <xf numFmtId="0" fontId="74" fillId="0" borderId="0" xfId="0" applyFont="1" applyAlignment="1">
      <alignment horizontal="center"/>
    </xf>
    <xf numFmtId="0" fontId="0" fillId="17" borderId="16" xfId="0" applyFill="1" applyBorder="1" applyAlignment="1">
      <alignment horizontal="center"/>
    </xf>
    <xf numFmtId="0" fontId="0" fillId="17" borderId="16" xfId="0" applyFill="1" applyBorder="1"/>
    <xf numFmtId="0" fontId="0" fillId="17" borderId="6" xfId="0" applyFill="1" applyBorder="1" applyAlignment="1">
      <alignment horizontal="center"/>
    </xf>
    <xf numFmtId="0" fontId="0" fillId="18" borderId="4" xfId="0" applyFill="1" applyBorder="1" applyAlignment="1">
      <alignment horizontal="center"/>
    </xf>
    <xf numFmtId="2" fontId="22" fillId="0" borderId="45" xfId="25" applyNumberFormat="1" applyFont="1" applyFill="1" applyAlignment="1">
      <alignment horizontal="center"/>
    </xf>
    <xf numFmtId="2" fontId="66" fillId="4" borderId="16" xfId="0" applyNumberFormat="1" applyFont="1" applyFill="1" applyBorder="1" applyAlignment="1">
      <alignment horizontal="center" vertical="center" wrapText="1"/>
    </xf>
    <xf numFmtId="0" fontId="66" fillId="4" borderId="10" xfId="0" applyFont="1" applyFill="1" applyBorder="1" applyAlignment="1">
      <alignment vertical="center" wrapText="1"/>
    </xf>
    <xf numFmtId="0" fontId="16" fillId="0" borderId="10" xfId="0" applyFont="1" applyBorder="1" applyAlignment="1">
      <alignment horizontal="center" vertical="center"/>
    </xf>
    <xf numFmtId="0" fontId="24" fillId="29" borderId="10" xfId="0" applyFont="1" applyFill="1" applyBorder="1" applyAlignment="1">
      <alignment horizontal="left" vertical="center"/>
    </xf>
    <xf numFmtId="0" fontId="100" fillId="0" borderId="10" xfId="0" applyFont="1" applyBorder="1" applyAlignment="1">
      <alignment horizontal="center"/>
    </xf>
    <xf numFmtId="0" fontId="24" fillId="29" borderId="10" xfId="0" applyFont="1" applyFill="1" applyBorder="1" applyAlignment="1">
      <alignment horizontal="left"/>
    </xf>
    <xf numFmtId="0" fontId="3" fillId="0" borderId="10" xfId="0" applyFont="1" applyBorder="1" applyAlignment="1">
      <alignment vertical="center"/>
    </xf>
    <xf numFmtId="182" fontId="24" fillId="4" borderId="11" xfId="0" applyNumberFormat="1" applyFont="1" applyFill="1" applyBorder="1" applyAlignment="1">
      <alignment horizontal="right" vertical="center"/>
    </xf>
    <xf numFmtId="183" fontId="43" fillId="39" borderId="11" xfId="1" applyNumberFormat="1" applyFont="1" applyFill="1" applyBorder="1" applyAlignment="1">
      <alignment horizontal="right" vertical="center"/>
    </xf>
    <xf numFmtId="171" fontId="43" fillId="40" borderId="11" xfId="0" applyNumberFormat="1" applyFont="1" applyFill="1" applyBorder="1" applyAlignment="1">
      <alignment horizontal="right" vertical="center"/>
    </xf>
    <xf numFmtId="171" fontId="17" fillId="16" borderId="11" xfId="0" applyNumberFormat="1" applyFont="1" applyFill="1" applyBorder="1" applyAlignment="1">
      <alignment horizontal="right" vertical="center"/>
    </xf>
    <xf numFmtId="183" fontId="16" fillId="0" borderId="11" xfId="1" applyNumberFormat="1" applyFont="1" applyFill="1" applyBorder="1" applyAlignment="1">
      <alignment horizontal="right" vertical="center"/>
    </xf>
    <xf numFmtId="183" fontId="25" fillId="0" borderId="11" xfId="1" applyNumberFormat="1" applyFont="1" applyFill="1" applyBorder="1" applyAlignment="1">
      <alignment horizontal="right" vertical="center"/>
    </xf>
    <xf numFmtId="183" fontId="16" fillId="28" borderId="11" xfId="1" applyNumberFormat="1" applyFont="1" applyFill="1" applyBorder="1" applyAlignment="1">
      <alignment horizontal="right" vertical="center"/>
    </xf>
    <xf numFmtId="183" fontId="25" fillId="15" borderId="11" xfId="1" applyNumberFormat="1" applyFont="1" applyFill="1" applyBorder="1" applyAlignment="1">
      <alignment horizontal="right" vertical="center"/>
    </xf>
    <xf numFmtId="183" fontId="16" fillId="18" borderId="11" xfId="0" applyNumberFormat="1" applyFont="1" applyFill="1" applyBorder="1" applyAlignment="1">
      <alignment horizontal="right"/>
    </xf>
    <xf numFmtId="183" fontId="16" fillId="8" borderId="11" xfId="1" applyNumberFormat="1" applyFont="1" applyFill="1" applyBorder="1" applyAlignment="1">
      <alignment horizontal="right" vertical="center"/>
    </xf>
    <xf numFmtId="183" fontId="25" fillId="8" borderId="11" xfId="1" applyNumberFormat="1" applyFont="1" applyFill="1" applyBorder="1" applyAlignment="1">
      <alignment horizontal="right" vertical="center"/>
    </xf>
    <xf numFmtId="167" fontId="17" fillId="16" borderId="11" xfId="0" applyNumberFormat="1" applyFont="1" applyFill="1" applyBorder="1" applyAlignment="1">
      <alignment horizontal="right" vertical="center"/>
    </xf>
    <xf numFmtId="183" fontId="16" fillId="43" borderId="11" xfId="0" applyNumberFormat="1" applyFont="1" applyFill="1" applyBorder="1" applyAlignment="1">
      <alignment horizontal="right"/>
    </xf>
    <xf numFmtId="183" fontId="16" fillId="17" borderId="11" xfId="1" applyNumberFormat="1" applyFont="1" applyFill="1" applyBorder="1" applyAlignment="1">
      <alignment horizontal="right" vertical="center"/>
    </xf>
    <xf numFmtId="183" fontId="16" fillId="0" borderId="11" xfId="1" applyNumberFormat="1" applyFont="1" applyFill="1" applyBorder="1" applyAlignment="1">
      <alignment vertical="center"/>
    </xf>
    <xf numFmtId="183" fontId="16" fillId="15" borderId="11" xfId="1" applyNumberFormat="1" applyFont="1" applyFill="1" applyBorder="1" applyAlignment="1">
      <alignment horizontal="right" vertical="center"/>
    </xf>
    <xf numFmtId="183" fontId="16" fillId="0" borderId="11" xfId="0" applyNumberFormat="1" applyFont="1" applyBorder="1" applyAlignment="1">
      <alignment horizontal="right"/>
    </xf>
    <xf numFmtId="171" fontId="17" fillId="17" borderId="11" xfId="0" applyNumberFormat="1" applyFont="1" applyFill="1" applyBorder="1" applyAlignment="1">
      <alignment horizontal="right" vertical="center"/>
    </xf>
    <xf numFmtId="183" fontId="17" fillId="18" borderId="11" xfId="1" applyNumberFormat="1" applyFont="1" applyFill="1" applyBorder="1" applyAlignment="1">
      <alignment horizontal="right" vertical="center"/>
    </xf>
    <xf numFmtId="0" fontId="66" fillId="4" borderId="27" xfId="0" applyFont="1" applyFill="1" applyBorder="1" applyAlignment="1">
      <alignment vertical="center" wrapText="1"/>
    </xf>
    <xf numFmtId="2" fontId="66" fillId="4" borderId="14" xfId="0" applyNumberFormat="1" applyFont="1" applyFill="1" applyBorder="1" applyAlignment="1">
      <alignment horizontal="center" vertical="center" wrapText="1"/>
    </xf>
    <xf numFmtId="0" fontId="17" fillId="4" borderId="8" xfId="0" applyFont="1" applyFill="1" applyBorder="1" applyAlignment="1">
      <alignment horizontal="center" vertical="center"/>
    </xf>
    <xf numFmtId="49" fontId="17" fillId="4" borderId="8" xfId="0" applyNumberFormat="1" applyFont="1" applyFill="1" applyBorder="1" applyAlignment="1">
      <alignment horizontal="center" vertical="center"/>
    </xf>
    <xf numFmtId="0" fontId="17" fillId="4" borderId="8" xfId="0" applyFont="1" applyFill="1" applyBorder="1" applyAlignment="1">
      <alignment horizontal="center" vertical="center" wrapText="1"/>
    </xf>
    <xf numFmtId="0" fontId="17" fillId="4" borderId="5" xfId="0" applyFont="1" applyFill="1" applyBorder="1" applyAlignment="1">
      <alignment horizontal="center" vertical="center" wrapText="1"/>
    </xf>
    <xf numFmtId="0" fontId="24" fillId="29" borderId="3" xfId="0" applyFont="1" applyFill="1" applyBorder="1" applyAlignment="1">
      <alignment horizontal="left" vertical="center"/>
    </xf>
    <xf numFmtId="181" fontId="16" fillId="0" borderId="4" xfId="0" applyNumberFormat="1" applyFont="1" applyBorder="1" applyAlignment="1">
      <alignment horizontal="center"/>
    </xf>
    <xf numFmtId="0" fontId="25" fillId="15" borderId="3" xfId="0" applyFont="1" applyFill="1" applyBorder="1" applyAlignment="1">
      <alignment horizontal="center"/>
    </xf>
    <xf numFmtId="0" fontId="25" fillId="15" borderId="4" xfId="0" applyFont="1" applyFill="1" applyBorder="1" applyAlignment="1">
      <alignment horizontal="center"/>
    </xf>
    <xf numFmtId="170" fontId="25" fillId="15" borderId="4" xfId="0" applyNumberFormat="1" applyFont="1" applyFill="1" applyBorder="1" applyAlignment="1">
      <alignment vertical="center"/>
    </xf>
    <xf numFmtId="2" fontId="25" fillId="15" borderId="4" xfId="0" applyNumberFormat="1" applyFont="1" applyFill="1" applyBorder="1" applyAlignment="1">
      <alignment horizontal="center"/>
    </xf>
    <xf numFmtId="170" fontId="25" fillId="15" borderId="4" xfId="0" applyNumberFormat="1" applyFont="1" applyFill="1" applyBorder="1" applyAlignment="1">
      <alignment horizontal="center" vertical="center"/>
    </xf>
    <xf numFmtId="172" fontId="25" fillId="15" borderId="4" xfId="0" applyNumberFormat="1" applyFont="1" applyFill="1" applyBorder="1" applyAlignment="1">
      <alignment horizontal="right" vertical="center"/>
    </xf>
    <xf numFmtId="183" fontId="25" fillId="15" borderId="1" xfId="1" applyNumberFormat="1" applyFont="1" applyFill="1" applyBorder="1" applyAlignment="1">
      <alignment horizontal="right" vertical="center"/>
    </xf>
    <xf numFmtId="0" fontId="29" fillId="8" borderId="16" xfId="16" applyFill="1" applyBorder="1" applyAlignment="1">
      <alignment vertical="center"/>
    </xf>
    <xf numFmtId="165" fontId="0" fillId="0" borderId="0" xfId="22" applyFont="1" applyFill="1" applyBorder="1" applyAlignment="1">
      <alignment vertical="center"/>
    </xf>
    <xf numFmtId="167" fontId="29" fillId="0" borderId="0" xfId="16" applyNumberFormat="1"/>
    <xf numFmtId="182" fontId="101" fillId="56" borderId="45" xfId="25" applyNumberFormat="1" applyAlignment="1">
      <alignment vertical="center"/>
    </xf>
    <xf numFmtId="0" fontId="101" fillId="0" borderId="45" xfId="25" applyFill="1" applyAlignment="1">
      <alignment horizontal="center"/>
    </xf>
    <xf numFmtId="0" fontId="101" fillId="56" borderId="69" xfId="25" applyBorder="1" applyAlignment="1">
      <alignment horizontal="center" vertical="center"/>
    </xf>
    <xf numFmtId="0" fontId="101" fillId="56" borderId="70" xfId="25" applyBorder="1" applyAlignment="1">
      <alignment horizontal="center" vertical="center"/>
    </xf>
    <xf numFmtId="181" fontId="101" fillId="56" borderId="45" xfId="25" applyNumberFormat="1" applyAlignment="1">
      <alignment horizontal="center" vertical="center"/>
    </xf>
    <xf numFmtId="1" fontId="39" fillId="22" borderId="16" xfId="19" applyNumberFormat="1" applyFont="1" applyFill="1" applyBorder="1" applyAlignment="1">
      <alignment horizontal="left"/>
    </xf>
    <xf numFmtId="0" fontId="69" fillId="41" borderId="0" xfId="16" applyFont="1" applyFill="1" applyAlignment="1">
      <alignment horizontal="center" vertical="center"/>
    </xf>
    <xf numFmtId="178" fontId="32" fillId="40" borderId="17" xfId="18" applyNumberFormat="1" applyFont="1" applyFill="1" applyBorder="1" applyAlignment="1">
      <alignment horizontal="center" vertical="center" wrapText="1"/>
    </xf>
    <xf numFmtId="178" fontId="32" fillId="40" borderId="19" xfId="18" applyNumberFormat="1" applyFont="1" applyFill="1" applyBorder="1" applyAlignment="1">
      <alignment horizontal="center" vertical="center" wrapText="1"/>
    </xf>
    <xf numFmtId="178" fontId="39" fillId="40" borderId="18" xfId="18" applyNumberFormat="1" applyFont="1" applyFill="1" applyBorder="1" applyAlignment="1">
      <alignment horizontal="center" vertical="center" wrapText="1"/>
    </xf>
    <xf numFmtId="178" fontId="39" fillId="40" borderId="20" xfId="18" applyNumberFormat="1" applyFont="1" applyFill="1" applyBorder="1" applyAlignment="1">
      <alignment horizontal="center" vertical="center" wrapText="1"/>
    </xf>
    <xf numFmtId="178" fontId="32" fillId="40" borderId="18" xfId="18" applyNumberFormat="1" applyFont="1" applyFill="1" applyBorder="1" applyAlignment="1">
      <alignment horizontal="center" vertical="center" wrapText="1"/>
    </xf>
    <xf numFmtId="178" fontId="32" fillId="40" borderId="20" xfId="18" applyNumberFormat="1" applyFont="1" applyFill="1" applyBorder="1" applyAlignment="1">
      <alignment horizontal="center" vertical="center" wrapText="1"/>
    </xf>
    <xf numFmtId="178" fontId="33" fillId="40" borderId="18" xfId="18" applyNumberFormat="1" applyFont="1" applyFill="1" applyBorder="1" applyAlignment="1">
      <alignment horizontal="center" vertical="center" wrapText="1"/>
    </xf>
    <xf numFmtId="178" fontId="33" fillId="40" borderId="20" xfId="18" applyNumberFormat="1" applyFont="1" applyFill="1" applyBorder="1" applyAlignment="1">
      <alignment horizontal="center" vertical="center" wrapText="1"/>
    </xf>
    <xf numFmtId="0" fontId="30" fillId="25" borderId="0" xfId="16" applyFont="1" applyFill="1" applyAlignment="1">
      <alignment horizontal="center" vertical="center"/>
    </xf>
    <xf numFmtId="0" fontId="30" fillId="25" borderId="27" xfId="16" applyFont="1" applyFill="1" applyBorder="1" applyAlignment="1">
      <alignment horizontal="center" vertical="center"/>
    </xf>
    <xf numFmtId="0" fontId="30" fillId="32" borderId="0" xfId="16" applyFont="1" applyFill="1" applyAlignment="1">
      <alignment horizontal="center" vertical="center"/>
    </xf>
    <xf numFmtId="0" fontId="30" fillId="32" borderId="27" xfId="16" applyFont="1" applyFill="1" applyBorder="1" applyAlignment="1">
      <alignment horizontal="center" vertical="center"/>
    </xf>
    <xf numFmtId="0" fontId="17" fillId="40" borderId="4" xfId="0" applyFont="1" applyFill="1" applyBorder="1" applyAlignment="1">
      <alignment horizontal="center" vertical="center"/>
    </xf>
    <xf numFmtId="0" fontId="17" fillId="40" borderId="8" xfId="0" applyFont="1" applyFill="1" applyBorder="1" applyAlignment="1">
      <alignment horizontal="center" vertical="center"/>
    </xf>
    <xf numFmtId="1" fontId="39" fillId="22" borderId="16" xfId="19" applyNumberFormat="1" applyFont="1" applyFill="1" applyBorder="1" applyAlignment="1">
      <alignment horizontal="left" vertical="center"/>
    </xf>
    <xf numFmtId="1" fontId="39" fillId="22" borderId="21" xfId="19" applyNumberFormat="1" applyFont="1" applyFill="1" applyBorder="1" applyAlignment="1">
      <alignment horizontal="left"/>
    </xf>
    <xf numFmtId="0" fontId="0" fillId="24" borderId="4" xfId="0" applyFill="1" applyBorder="1" applyAlignment="1">
      <alignment horizontal="center" vertical="center"/>
    </xf>
    <xf numFmtId="0" fontId="0" fillId="24" borderId="8" xfId="0" applyFill="1" applyBorder="1" applyAlignment="1">
      <alignment horizontal="center" vertical="center"/>
    </xf>
    <xf numFmtId="0" fontId="22" fillId="11" borderId="16" xfId="0" applyFont="1" applyFill="1" applyBorder="1" applyAlignment="1">
      <alignment horizontal="center" vertical="center" wrapText="1"/>
    </xf>
    <xf numFmtId="0" fontId="67" fillId="39" borderId="16" xfId="0" applyFont="1" applyFill="1" applyBorder="1" applyAlignment="1">
      <alignment horizontal="center" vertical="center"/>
    </xf>
    <xf numFmtId="49" fontId="67" fillId="39" borderId="16" xfId="0" applyNumberFormat="1" applyFont="1" applyFill="1" applyBorder="1" applyAlignment="1">
      <alignment horizontal="center" vertical="center"/>
    </xf>
    <xf numFmtId="0" fontId="14" fillId="0" borderId="4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/>
    </xf>
    <xf numFmtId="0" fontId="101" fillId="56" borderId="53" xfId="25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44" fillId="16" borderId="16" xfId="0" applyFont="1" applyFill="1" applyBorder="1" applyAlignment="1">
      <alignment horizontal="center" vertical="center"/>
    </xf>
    <xf numFmtId="2" fontId="101" fillId="56" borderId="53" xfId="25" applyNumberFormat="1" applyBorder="1" applyAlignment="1">
      <alignment horizontal="center" vertical="center"/>
    </xf>
    <xf numFmtId="0" fontId="44" fillId="16" borderId="11" xfId="0" applyFont="1" applyFill="1" applyBorder="1" applyAlignment="1">
      <alignment horizontal="center" vertical="center"/>
    </xf>
    <xf numFmtId="0" fontId="44" fillId="16" borderId="15" xfId="0" applyFont="1" applyFill="1" applyBorder="1" applyAlignment="1">
      <alignment horizontal="center" vertical="center"/>
    </xf>
    <xf numFmtId="0" fontId="44" fillId="16" borderId="10" xfId="0" applyFont="1" applyFill="1" applyBorder="1" applyAlignment="1">
      <alignment horizontal="center" vertical="center"/>
    </xf>
    <xf numFmtId="0" fontId="58" fillId="0" borderId="16" xfId="0" applyFont="1" applyBorder="1" applyAlignment="1">
      <alignment horizontal="center" vertical="center" textRotation="90"/>
    </xf>
    <xf numFmtId="0" fontId="9" fillId="0" borderId="0" xfId="0" applyFont="1" applyAlignment="1">
      <alignment horizontal="center"/>
    </xf>
    <xf numFmtId="0" fontId="14" fillId="0" borderId="4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/>
    </xf>
    <xf numFmtId="0" fontId="14" fillId="0" borderId="16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63" fillId="0" borderId="0" xfId="0" applyFont="1" applyAlignment="1">
      <alignment horizontal="center"/>
    </xf>
    <xf numFmtId="0" fontId="15" fillId="17" borderId="16" xfId="0" applyFont="1" applyFill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84" fillId="0" borderId="4" xfId="0" applyFont="1" applyBorder="1" applyAlignment="1">
      <alignment horizontal="center" vertical="center" textRotation="90"/>
    </xf>
    <xf numFmtId="0" fontId="84" fillId="0" borderId="14" xfId="0" applyFont="1" applyBorder="1" applyAlignment="1">
      <alignment horizontal="center" vertical="center" textRotation="90"/>
    </xf>
    <xf numFmtId="0" fontId="84" fillId="0" borderId="8" xfId="0" applyFont="1" applyBorder="1" applyAlignment="1">
      <alignment horizontal="center" vertical="center" textRotation="90"/>
    </xf>
    <xf numFmtId="0" fontId="28" fillId="16" borderId="11" xfId="0" applyFont="1" applyFill="1" applyBorder="1" applyAlignment="1">
      <alignment horizontal="center"/>
    </xf>
    <xf numFmtId="0" fontId="28" fillId="16" borderId="1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72" fillId="0" borderId="0" xfId="0" applyFont="1" applyAlignment="1">
      <alignment horizontal="center" wrapText="1"/>
    </xf>
    <xf numFmtId="0" fontId="72" fillId="0" borderId="26" xfId="0" applyFont="1" applyBorder="1" applyAlignment="1">
      <alignment horizontal="center" wrapText="1"/>
    </xf>
    <xf numFmtId="0" fontId="124" fillId="0" borderId="0" xfId="0" applyFont="1" applyAlignment="1">
      <alignment horizontal="center"/>
    </xf>
    <xf numFmtId="0" fontId="124" fillId="0" borderId="15" xfId="0" applyFont="1" applyBorder="1" applyAlignment="1">
      <alignment horizontal="center"/>
    </xf>
    <xf numFmtId="0" fontId="0" fillId="17" borderId="11" xfId="0" applyFill="1" applyBorder="1" applyAlignment="1">
      <alignment horizontal="center"/>
    </xf>
    <xf numFmtId="0" fontId="0" fillId="17" borderId="15" xfId="0" applyFill="1" applyBorder="1" applyAlignment="1">
      <alignment horizontal="center"/>
    </xf>
    <xf numFmtId="0" fontId="0" fillId="17" borderId="10" xfId="0" applyFill="1" applyBorder="1" applyAlignment="1">
      <alignment horizontal="center"/>
    </xf>
    <xf numFmtId="189" fontId="0" fillId="0" borderId="26" xfId="0" applyNumberFormat="1" applyBorder="1" applyAlignment="1">
      <alignment horizontal="center" vertical="center"/>
    </xf>
    <xf numFmtId="0" fontId="123" fillId="39" borderId="55" xfId="0" applyFont="1" applyFill="1" applyBorder="1" applyAlignment="1">
      <alignment horizontal="center" vertical="center"/>
    </xf>
    <xf numFmtId="0" fontId="123" fillId="39" borderId="25" xfId="0" applyFont="1" applyFill="1" applyBorder="1" applyAlignment="1">
      <alignment horizontal="center" vertical="center"/>
    </xf>
    <xf numFmtId="0" fontId="106" fillId="18" borderId="58" xfId="0" applyFont="1" applyFill="1" applyBorder="1" applyAlignment="1">
      <alignment horizontal="center" vertical="center" wrapText="1"/>
    </xf>
    <xf numFmtId="0" fontId="106" fillId="18" borderId="61" xfId="0" applyFont="1" applyFill="1" applyBorder="1" applyAlignment="1">
      <alignment horizontal="center" vertical="center" wrapText="1"/>
    </xf>
    <xf numFmtId="182" fontId="118" fillId="40" borderId="42" xfId="0" applyNumberFormat="1" applyFont="1" applyFill="1" applyBorder="1" applyAlignment="1">
      <alignment horizontal="center" vertical="center" wrapText="1"/>
    </xf>
    <xf numFmtId="182" fontId="118" fillId="40" borderId="59" xfId="0" applyNumberFormat="1" applyFont="1" applyFill="1" applyBorder="1" applyAlignment="1">
      <alignment horizontal="center" vertical="center" wrapText="1"/>
    </xf>
    <xf numFmtId="0" fontId="106" fillId="18" borderId="55" xfId="0" applyFont="1" applyFill="1" applyBorder="1" applyAlignment="1">
      <alignment horizontal="center" vertical="center" wrapText="1"/>
    </xf>
    <xf numFmtId="0" fontId="106" fillId="18" borderId="25" xfId="0" applyFont="1" applyFill="1" applyBorder="1" applyAlignment="1">
      <alignment horizontal="center" vertical="center" wrapText="1"/>
    </xf>
    <xf numFmtId="0" fontId="117" fillId="63" borderId="55" xfId="0" applyFont="1" applyFill="1" applyBorder="1" applyAlignment="1">
      <alignment horizontal="center" vertical="center"/>
    </xf>
    <xf numFmtId="0" fontId="117" fillId="63" borderId="12" xfId="0" applyFont="1" applyFill="1" applyBorder="1" applyAlignment="1">
      <alignment horizontal="center" vertical="center"/>
    </xf>
    <xf numFmtId="0" fontId="117" fillId="63" borderId="25" xfId="0" applyFont="1" applyFill="1" applyBorder="1" applyAlignment="1">
      <alignment horizontal="center" vertical="center"/>
    </xf>
    <xf numFmtId="0" fontId="107" fillId="60" borderId="58" xfId="0" applyFont="1" applyFill="1" applyBorder="1" applyAlignment="1">
      <alignment horizontal="center" vertical="center"/>
    </xf>
    <xf numFmtId="0" fontId="107" fillId="60" borderId="56" xfId="0" applyFont="1" applyFill="1" applyBorder="1" applyAlignment="1">
      <alignment horizontal="center" vertical="center"/>
    </xf>
    <xf numFmtId="182" fontId="107" fillId="62" borderId="56" xfId="0" applyNumberFormat="1" applyFont="1" applyFill="1" applyBorder="1" applyAlignment="1">
      <alignment horizontal="center" vertical="center" wrapText="1"/>
    </xf>
    <xf numFmtId="182" fontId="107" fillId="62" borderId="61" xfId="0" applyNumberFormat="1" applyFont="1" applyFill="1" applyBorder="1" applyAlignment="1">
      <alignment horizontal="center" vertical="center" wrapText="1"/>
    </xf>
    <xf numFmtId="182" fontId="107" fillId="62" borderId="60" xfId="0" applyNumberFormat="1" applyFont="1" applyFill="1" applyBorder="1" applyAlignment="1">
      <alignment horizontal="center" vertical="center" wrapText="1"/>
    </xf>
    <xf numFmtId="182" fontId="107" fillId="62" borderId="59" xfId="0" applyNumberFormat="1" applyFont="1" applyFill="1" applyBorder="1" applyAlignment="1">
      <alignment horizontal="center" vertical="center" wrapText="1"/>
    </xf>
    <xf numFmtId="182" fontId="107" fillId="62" borderId="65" xfId="0" applyNumberFormat="1" applyFont="1" applyFill="1" applyBorder="1" applyAlignment="1">
      <alignment horizontal="center" vertical="center" wrapText="1"/>
    </xf>
    <xf numFmtId="182" fontId="107" fillId="62" borderId="64" xfId="0" applyNumberFormat="1" applyFont="1" applyFill="1" applyBorder="1" applyAlignment="1">
      <alignment horizontal="center" vertical="center" wrapText="1"/>
    </xf>
    <xf numFmtId="0" fontId="107" fillId="60" borderId="61" xfId="0" applyFont="1" applyFill="1" applyBorder="1" applyAlignment="1">
      <alignment horizontal="center" vertical="center"/>
    </xf>
    <xf numFmtId="0" fontId="107" fillId="60" borderId="41" xfId="0" applyFont="1" applyFill="1" applyBorder="1" applyAlignment="1">
      <alignment horizontal="center" vertical="center"/>
    </xf>
    <xf numFmtId="0" fontId="107" fillId="60" borderId="26" xfId="0" applyFont="1" applyFill="1" applyBorder="1" applyAlignment="1">
      <alignment horizontal="center" vertical="center"/>
    </xf>
    <xf numFmtId="0" fontId="107" fillId="60" borderId="0" xfId="0" applyFont="1" applyFill="1" applyAlignment="1">
      <alignment horizontal="center" vertical="center"/>
    </xf>
    <xf numFmtId="1" fontId="39" fillId="22" borderId="11" xfId="19" applyNumberFormat="1" applyFont="1" applyFill="1" applyBorder="1" applyAlignment="1">
      <alignment horizontal="center"/>
    </xf>
    <xf numFmtId="1" fontId="39" fillId="22" borderId="10" xfId="19" applyNumberFormat="1" applyFont="1" applyFill="1" applyBorder="1" applyAlignment="1">
      <alignment horizontal="center"/>
    </xf>
    <xf numFmtId="178" fontId="39" fillId="30" borderId="44" xfId="18" applyNumberFormat="1" applyFont="1" applyFill="1" applyBorder="1" applyAlignment="1">
      <alignment horizontal="center" wrapText="1"/>
    </xf>
    <xf numFmtId="178" fontId="39" fillId="30" borderId="12" xfId="18" applyNumberFormat="1" applyFont="1" applyFill="1" applyBorder="1" applyAlignment="1">
      <alignment horizontal="center" vertical="center" wrapText="1"/>
    </xf>
    <xf numFmtId="0" fontId="92" fillId="40" borderId="4" xfId="0" applyFont="1" applyFill="1" applyBorder="1" applyAlignment="1">
      <alignment horizontal="center" vertical="center"/>
    </xf>
    <xf numFmtId="0" fontId="92" fillId="40" borderId="8" xfId="0" applyFont="1" applyFill="1" applyBorder="1" applyAlignment="1">
      <alignment horizontal="center" vertical="center"/>
    </xf>
    <xf numFmtId="178" fontId="93" fillId="40" borderId="17" xfId="18" applyNumberFormat="1" applyFont="1" applyFill="1" applyBorder="1" applyAlignment="1">
      <alignment horizontal="center" vertical="center" wrapText="1"/>
    </xf>
    <xf numFmtId="178" fontId="93" fillId="40" borderId="19" xfId="18" applyNumberFormat="1" applyFont="1" applyFill="1" applyBorder="1" applyAlignment="1">
      <alignment horizontal="center" vertical="center" wrapText="1"/>
    </xf>
    <xf numFmtId="0" fontId="91" fillId="35" borderId="0" xfId="0" applyFont="1" applyFill="1" applyAlignment="1">
      <alignment horizontal="center"/>
    </xf>
  </cellXfs>
  <cellStyles count="28">
    <cellStyle name="Comma 2" xfId="11" xr:uid="{812F4FD1-206C-4432-8344-F22C685D038C}"/>
    <cellStyle name="Currency 2" xfId="7" xr:uid="{96571AE0-D715-4B7C-B681-DB7B71D707AE}"/>
    <cellStyle name="Currency 3" xfId="10" xr:uid="{A32998F8-604A-4D0E-AD11-B8B0243B6002}"/>
    <cellStyle name="Currency 4" xfId="14" xr:uid="{48EB348E-9070-4F99-8979-E5108D6B7702}"/>
    <cellStyle name="Currency 5" xfId="12" xr:uid="{37C412D6-50A0-4851-A3E3-954791A73F13}"/>
    <cellStyle name="Entrada" xfId="25" builtinId="20"/>
    <cellStyle name="Legal 8? x 14 in" xfId="4" xr:uid="{00000000-0005-0000-0000-000000000000}"/>
    <cellStyle name="Millares" xfId="24" builtinId="3"/>
    <cellStyle name="Millares [0] 19" xfId="19" xr:uid="{5448642D-D62A-42C8-8BCF-15B5A66AF885}"/>
    <cellStyle name="Millares [0] 2" xfId="21" xr:uid="{2B594685-6C7F-4687-8EB0-78E6CED86147}"/>
    <cellStyle name="Millares [0] 2 2" xfId="23" xr:uid="{3334FF02-09BC-49DC-B059-693CA1626AE1}"/>
    <cellStyle name="Millares 2" xfId="13" xr:uid="{220EA302-1BAD-41B0-B4AA-751D5BB4470F}"/>
    <cellStyle name="Millares 3" xfId="20" xr:uid="{D7278A75-FE12-467D-8358-B175D8DA3D73}"/>
    <cellStyle name="Moneda" xfId="1" builtinId="4"/>
    <cellStyle name="Moneda [0] 2" xfId="22" xr:uid="{7EAB6E1A-93A6-444B-BBAF-7C5E0A31A155}"/>
    <cellStyle name="Moneda 2" xfId="15" xr:uid="{161E2229-363E-4B31-8026-8265ADA32908}"/>
    <cellStyle name="Normal" xfId="0" builtinId="0"/>
    <cellStyle name="Normal 2" xfId="2" xr:uid="{00000000-0005-0000-0000-000003000000}"/>
    <cellStyle name="Normal 2 3" xfId="17" xr:uid="{6A2A9D24-5D54-43C7-BB3A-CD240BED68A8}"/>
    <cellStyle name="Normal 3" xfId="6" xr:uid="{159A96EA-36D3-4AA5-807C-2CBF6F595F46}"/>
    <cellStyle name="Normal 4" xfId="16" xr:uid="{9E092AE6-D2DF-4651-8D10-E615E05D251B}"/>
    <cellStyle name="Normal 8" xfId="18" xr:uid="{373FEF27-C1BD-4704-A096-D81F72DA7A34}"/>
    <cellStyle name="Notas" xfId="27" builtinId="10"/>
    <cellStyle name="Percent 2" xfId="8" xr:uid="{DC0E059B-CCF0-4638-9CE5-0CACEECF200A}"/>
    <cellStyle name="Percent 3" xfId="9" xr:uid="{BC31F00A-C441-4EB8-9594-E64EA6AD2852}"/>
    <cellStyle name="Porcentaje" xfId="3" builtinId="5"/>
    <cellStyle name="Porcentaje 2" xfId="5" xr:uid="{00000000-0005-0000-0000-000005000000}"/>
    <cellStyle name="Salida" xfId="26" builtinId="21"/>
  </cellStyles>
  <dxfs count="1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83" formatCode="[$$-540A]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2" formatCode="_-[$₡-140A]* #,##0.00_-;\-[$₡-140A]* #,##0.00_-;_-[$₡-140A]* &quot;-&quot;??_-;_-@_-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2" formatCode="_-[$₡-140A]* #,##0.00_-;\-[$₡-140A]* #,##0.00_-;_-[$₡-140A]* &quot;-&quot;??_-;_-@_-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2" formatCode="_-[$₡-140A]* #,##0.00_-;\-[$₡-140A]* #,##0.00_-;_-[$₡-140A]* &quot;-&quot;??_-;_-@_-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2" formatCode="_-[$₡-140A]* #,##0.00_-;\-[$₡-140A]* #,##0.00_-;_-[$₡-140A]* &quot;-&quot;??_-;_-@_-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(* #,##0_);_(* \(#,##0\);_(* &quot;-&quot;??_);_(@_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(* #,##0_);_(* \(#,##0\);_(* &quot;-&quot;??_);_(@_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2" formatCode="_-[$₡-140A]* #,##0.00_-;\-[$₡-140A]* #,##0.00_-;_-[$₡-140A]* &quot;-&quot;??_-;_-@_-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(* #,##0_);_(* \(#,##0\);_(* &quot;-&quot;??_);_(@_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0" formatCode="_(* #,##0_);_(* \(#,##0\);_(* &quot;-&quot;??_);_(@_)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81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B381D9"/>
      <color rgb="FFFF33CC"/>
      <color rgb="FF00FAB9"/>
      <color rgb="FF00CC99"/>
      <color rgb="FF29FF8A"/>
      <color rgb="FFFF8989"/>
      <color rgb="FF71A0FF"/>
      <color rgb="FF79DCFF"/>
      <color rgb="FFFFD85D"/>
      <color rgb="FFFFE5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styles" Target="styles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connections" Target="connections.xml" /><Relationship Id="rId33" Type="http://schemas.openxmlformats.org/officeDocument/2006/relationships/customXml" Target="../customXml/item4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calcChain" Target="calcChain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theme" Target="theme/theme1.xml" /><Relationship Id="rId32" Type="http://schemas.openxmlformats.org/officeDocument/2006/relationships/customXml" Target="../customXml/item3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microsoft.com/office/2017/10/relationships/person" Target="persons/person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customXml" Target="../customXml/item2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sharedStrings" Target="sharedStrings.xml" /><Relationship Id="rId30" Type="http://schemas.openxmlformats.org/officeDocument/2006/relationships/customXml" Target="../customXml/item1.xml" 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1656</xdr:row>
      <xdr:rowOff>0</xdr:rowOff>
    </xdr:from>
    <xdr:to>
      <xdr:col>12</xdr:col>
      <xdr:colOff>304800</xdr:colOff>
      <xdr:row>1671</xdr:row>
      <xdr:rowOff>76198</xdr:rowOff>
    </xdr:to>
    <xdr:sp macro="" textlink="">
      <xdr:nvSpPr>
        <xdr:cNvPr id="136197" name="AutoShape 5">
          <a:extLst>
            <a:ext uri="{FF2B5EF4-FFF2-40B4-BE49-F238E27FC236}">
              <a16:creationId xmlns:a16="http://schemas.microsoft.com/office/drawing/2014/main" id="{3DCA33EC-A37D-E94D-7245-8CDABFDC3917}"/>
            </a:ext>
          </a:extLst>
        </xdr:cNvPr>
        <xdr:cNvSpPr>
          <a:spLocks noChangeAspect="1" noChangeArrowheads="1"/>
        </xdr:cNvSpPr>
      </xdr:nvSpPr>
      <xdr:spPr bwMode="auto">
        <a:xfrm>
          <a:off x="22345650" y="33175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76200</xdr:colOff>
      <xdr:row>0</xdr:row>
      <xdr:rowOff>0</xdr:rowOff>
    </xdr:from>
    <xdr:to>
      <xdr:col>19</xdr:col>
      <xdr:colOff>153599</xdr:colOff>
      <xdr:row>20</xdr:row>
      <xdr:rowOff>55930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53590B4-69BF-FB1D-43BB-0C0344CF8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11425" y="0"/>
          <a:ext cx="6763949" cy="463428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essica Guido Leiva" id="{0A7273F8-8EEB-4873-B9A6-2232624378AA}" userId="Jessica Guido Leiva" providerId="None"/>
  <person displayName="Andrea Serrano" id="{F2E4020C-7195-40C4-A5F6-5B268663944C}" userId="S::andreas@adelante.cr::0fd70c95-a430-4ac5-8e2b-bd1807d49be5" providerId="AD"/>
  <person displayName="Catalina Vazquez" id="{8BBC1282-7D2B-409E-85F8-5D22DEA82619}" userId="S::catalina@adelante.cr::2f559942-2503-4dd6-8871-d4e742330598" providerId="AD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0000000-0016-0000-0300-000000000000}" autoFormatId="16" applyNumberFormats="0" applyBorderFormats="0" applyFontFormats="0" applyPatternFormats="0" applyAlignmentFormats="0" applyWidthHeightFormats="0">
  <queryTableRefresh nextId="21">
    <queryTableFields count="10">
      <queryTableField id="15" name="N Obra" tableColumnId="10"/>
      <queryTableField id="13" name="N Linea" tableColumnId="9"/>
      <queryTableField id="8" name="N Actividad" tableColumnId="8"/>
      <queryTableField id="4" name="Descripcion actividad" tableColumnId="4"/>
      <queryTableField id="16" name="Tipo Tarea" tableColumnId="11"/>
      <queryTableField id="17" name="Tipo" tableColumnId="12"/>
      <queryTableField id="2" name="N°" tableColumnId="2"/>
      <queryTableField id="5" name="Cantidad" tableColumnId="5"/>
      <queryTableField id="6" name="Unit Mat" tableColumnId="6"/>
      <queryTableField id="3" name="Variant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0130173-90FC-4451-9C8F-AD3DCCC11894}" name="Descompuesto" displayName="Descompuesto" ref="A1:J352" tableType="queryTable" totalsRowShown="0">
  <autoFilter ref="A1:J352" xr:uid="{E0130173-90FC-4451-9C8F-AD3DCCC11894}"/>
  <tableColumns count="10">
    <tableColumn id="10" xr3:uid="{E1328869-0002-453D-A897-890623DB41EA}" uniqueName="10" name="N Obra" queryTableFieldId="15"/>
    <tableColumn id="9" xr3:uid="{A9EBC1F3-38D3-4518-947A-C8B6CE2275A9}" uniqueName="9" name="N Linea" queryTableFieldId="13"/>
    <tableColumn id="8" xr3:uid="{4A7F6058-ACA9-4180-A9D4-9E64213D7D02}" uniqueName="8" name="N Actividad" queryTableFieldId="8"/>
    <tableColumn id="4" xr3:uid="{7110B2CF-2028-4E5C-AA27-E2D8A07BAC2D}" uniqueName="4" name="Descripcion actividad" queryTableFieldId="4" dataDxfId="114"/>
    <tableColumn id="11" xr3:uid="{B7356262-A550-4522-A42A-B4F8774796A1}" uniqueName="11" name="Tipo Tarea" queryTableFieldId="16"/>
    <tableColumn id="12" xr3:uid="{5F2C1F88-34F7-412B-BDE8-7AB840044D6D}" uniqueName="12" name="Tipo" queryTableFieldId="17"/>
    <tableColumn id="2" xr3:uid="{8AE2BCAF-7219-4A55-B74A-44F2CA62D5E9}" uniqueName="2" name="N°" queryTableFieldId="2"/>
    <tableColumn id="5" xr3:uid="{12CD5F39-5CC5-4E0F-B9C3-E7D842723EBA}" uniqueName="5" name="Cantidad" queryTableFieldId="5"/>
    <tableColumn id="6" xr3:uid="{C9CFB373-0FFD-418D-AF91-C04DC745823D}" uniqueName="6" name="Unit Mat" queryTableFieldId="6"/>
    <tableColumn id="3" xr3:uid="{1E24877B-8213-49F0-8119-88FADE2D3CE9}" uniqueName="3" name="Variante" queryTableFieldId="3" dataDxfId="1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5828090-F2F7-42C8-BC25-EFC5915D6F2C}" name="TablaPresupuesto" displayName="TablaPresupuesto" ref="A7:O949" totalsRowShown="0" headerRowDxfId="112" dataDxfId="111" tableBorderDxfId="110">
  <autoFilter ref="A7:O949" xr:uid="{95828090-F2F7-42C8-BC25-EFC5915D6F2C}"/>
  <tableColumns count="15">
    <tableColumn id="1" xr3:uid="{5C0D852C-FF70-423E-8F89-5324B62D2194}" name="DESCRIPCION DE HORAS M.O." dataDxfId="109"/>
    <tableColumn id="2" xr3:uid="{C4505868-45A0-4F7A-9517-03A6402A0074}" name="N Tarea" dataDxfId="108">
      <calculatedColumnFormula>VALUE(IF(AND(LEN(TRIM(C8))-LEN(SUBSTITUTE(TRIM(C8),".",""))=1,ISNUMBER(VALUE(SUBSTITUTE(TRIM(C8),".","")))),TRIM(C8),B7))</calculatedColumnFormula>
    </tableColumn>
    <tableColumn id="3" xr3:uid="{F47AAED2-B9A9-4125-9048-97543A6FB4DF}" name="N°" dataDxfId="107"/>
    <tableColumn id="4" xr3:uid="{DBE23AB6-9BFF-40D9-B14D-73D26B1AB63A}" name="Variante" dataDxfId="106"/>
    <tableColumn id="5" xr3:uid="{D8258646-AB96-45DC-9E99-D7CFD63A69D4}" name="Descripcion actividad" dataDxfId="105"/>
    <tableColumn id="6" xr3:uid="{458DE206-F53B-43A6-9A95-54E521C3DDD0}" name="Cantidad" dataDxfId="104"/>
    <tableColumn id="7" xr3:uid="{C9B05D3E-B142-4325-AEE6-1F56C60228F5}" name="Unidad" dataDxfId="103"/>
    <tableColumn id="8" xr3:uid="{CED3FAD2-6F5C-439D-B53F-B9577E1CD531}" name="Unit mater" dataDxfId="102"/>
    <tableColumn id="9" xr3:uid="{E5BE45DC-52CE-4CE2-BD40-3BEF4717FD51}" name="Unit MO" dataDxfId="101"/>
    <tableColumn id="10" xr3:uid="{A66A7613-8108-4426-95A2-D5F5F4CA75CC}" name="Unit Sub/ Equipos" dataDxfId="100"/>
    <tableColumn id="11" xr3:uid="{0F05F167-3A3E-4521-B55C-373A7829D600}" name="Total Mater" dataDxfId="99">
      <calculatedColumnFormula>+F8*H8</calculatedColumnFormula>
    </tableColumn>
    <tableColumn id="12" xr3:uid="{8E4D439F-45D3-4AA3-BEF2-8B49C6E9ACF5}" name="Total MO" dataDxfId="98">
      <calculatedColumnFormula>+F8*I8</calculatedColumnFormula>
    </tableColumn>
    <tableColumn id="13" xr3:uid="{E4F384AC-8C95-4DAA-92CC-8F4C1FD7C0AD}" name="Total Sub/Equipos " dataDxfId="97">
      <calculatedColumnFormula>+F8*J8</calculatedColumnFormula>
    </tableColumn>
    <tableColumn id="14" xr3:uid="{4CB20714-9569-4956-AD6B-E640F52B6436}" name="Total Directo Colones " dataDxfId="96">
      <calculatedColumnFormula>SUM(K8:M8)</calculatedColumnFormula>
    </tableColumn>
    <tableColumn id="15" xr3:uid="{1FFB5A8D-428A-4033-895D-046D839E0440}" name="Total Directo Dólares " dataDxfId="95" dataCellStyle="Moneda">
      <calculatedColumnFormula>SUM(K8:M8)/tc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806DC2-5609-4871-A4BC-2881289A4ABC}" name="Tabla1" displayName="Tabla1" ref="A1:G55" totalsRowShown="0">
  <autoFilter ref="A1:G55" xr:uid="{FD806DC2-5609-4871-A4BC-2881289A4ABC}"/>
  <tableColumns count="7">
    <tableColumn id="1" xr3:uid="{7FBE46B4-34B7-437D-ABEA-3A4A52608A76}" name="Obra" dataDxfId="94"/>
    <tableColumn id="2" xr3:uid="{8F1F99A6-574F-4169-844D-0D251D93CCAB}" name="SubTareaObra"/>
    <tableColumn id="3" xr3:uid="{D1856FAB-F9C9-4CC9-995B-6FDED121BBDE}" name="Cantidad" dataDxfId="93"/>
    <tableColumn id="4" xr3:uid="{071BD964-CA86-4756-BF9B-41A1C61E2D18}" name="Horas" dataDxfId="92"/>
    <tableColumn id="5" xr3:uid="{C0F0CB45-E09D-4E7B-9806-47DD73435912}" name="IDObra" dataDxfId="91"/>
    <tableColumn id="6" xr3:uid="{8DC197E4-0792-4546-A53C-82DFDC89E146}" name="IDSubTareaObra" dataDxfId="90"/>
    <tableColumn id="7" xr3:uid="{9C31125A-5E90-40C1-AEA7-76A17E4314F1}" name="IDEncargado" dataDxfId="89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2" dT="2022-06-16T15:09:03.33" personId="{8BBC1282-7D2B-409E-85F8-5D22DEA82619}" id="{EBD6A02D-CB79-4DD7-BD59-F78A89B28048}">
    <text>Varilla de viga de losa y arranques de muros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40" dT="2022-06-16T15:07:57.52" personId="{8BBC1282-7D2B-409E-85F8-5D22DEA82619}" id="{6CFD2240-D730-471E-98E2-AFEF3BE168A9}">
    <text>Varilla viga losa y arranques de muros</text>
  </threadedComment>
  <threadedComment ref="E41" dT="2022-06-16T15:07:57.52" personId="{8BBC1282-7D2B-409E-85F8-5D22DEA82619}" id="{7ED34AF7-AE60-43D2-AE4D-60666E6827D9}">
    <text>Varilla viga losa y arranques de muros</text>
  </threadedComment>
  <threadedComment ref="E57" dT="2022-06-16T15:07:57.52" personId="{8BBC1282-7D2B-409E-85F8-5D22DEA82619}" id="{0D6A4E1F-ABFF-4F13-8966-B608ECFD8F68}">
    <text>Varilla viga losa y arranques de muros</text>
  </threadedComment>
  <threadedComment ref="E58" dT="2022-06-16T15:07:57.52" personId="{8BBC1282-7D2B-409E-85F8-5D22DEA82619}" id="{B1EAB073-BF29-4450-9B95-9A78B1B631EC}">
    <text>Varilla viga losa y arranques de muros</text>
  </threadedComment>
  <threadedComment ref="E59" dT="2022-06-16T15:07:57.52" personId="{8BBC1282-7D2B-409E-85F8-5D22DEA82619}" id="{62D4B823-E2E7-4685-87E8-E210E89E628E}">
    <text>Varilla viga losa y arranques de muros</text>
  </threadedComment>
  <threadedComment ref="E90" dT="2022-06-16T15:07:57.52" personId="{8BBC1282-7D2B-409E-85F8-5D22DEA82619}" id="{3B0BFCE5-504E-49E2-8AF1-69482B67E5F1}">
    <text>Varilla viga losa y arranques de muros</text>
  </threadedComment>
  <threadedComment ref="E91" dT="2022-06-16T15:07:57.52" personId="{8BBC1282-7D2B-409E-85F8-5D22DEA82619}" id="{DAA83C57-E352-4213-9CA9-2D0C2F46FE24}">
    <text>Varilla viga losa y arranques de muros</text>
  </threadedComment>
  <threadedComment ref="E92" dT="2022-06-16T15:07:57.52" personId="{8BBC1282-7D2B-409E-85F8-5D22DEA82619}" id="{1A96A4FB-32B6-4285-BB9D-C2467C8B29E2}">
    <text>Varilla viga losa y arranques de muros</text>
  </threadedComment>
  <threadedComment ref="E255" dT="2022-06-16T15:07:57.52" personId="{8BBC1282-7D2B-409E-85F8-5D22DEA82619}" id="{D72233F3-7960-49D0-9795-7F5A766BE59B}">
    <text>Varilla viga losa y arranques de muros</text>
  </threadedComment>
  <threadedComment ref="E518" dT="2022-06-27T22:20:39.65" personId="{0A7273F8-8EEB-4873-B9A6-2232624378AA}" id="{31EB201B-4C17-4459-9147-4AE0CB6FA28F}">
    <text>Largo de las unidades: 1 metro</text>
  </threadedComment>
  <threadedComment ref="E519" dT="2022-06-27T22:25:38.83" personId="{0A7273F8-8EEB-4873-B9A6-2232624378AA}" id="{5F942239-5346-4B46-AF87-AF590C8965DB}">
    <text>Se asume que la caja tiene 100 uds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412" dT="2022-06-16T21:57:18.00" personId="{8BBC1282-7D2B-409E-85F8-5D22DEA82619}" id="{AF9547D0-6A90-4494-9F51-6B3897C44E64}">
    <text>ESMERALDA 16 JUNIO JOSELYN</text>
  </threadedComment>
  <threadedComment ref="B415" dT="2022-06-16T21:59:20.60" personId="{8BBC1282-7D2B-409E-85F8-5D22DEA82619}" id="{8D06A13F-9A7E-4D1C-A16C-5D7577D7F605}">
    <text>RODATEC 16 JUNIO JOSELYN</text>
  </threadedComment>
  <threadedComment ref="B419" dT="2022-06-16T22:00:44.51" personId="{8BBC1282-7D2B-409E-85F8-5D22DEA82619}" id="{F2AE16AB-AD19-43A8-8E55-2EE5EB3B3AD7}">
    <text>RODATEC 16 JUNIO JOSELYN</text>
  </threadedComment>
  <threadedComment ref="B420" dT="2022-06-16T22:00:44.51" personId="{8BBC1282-7D2B-409E-85F8-5D22DEA82619}" id="{740AE382-6FCF-47D5-A713-366BCCDDA51F}">
    <text>RODATEC 16 JUNIO JOSELYN</text>
  </threadedComment>
  <threadedComment ref="B532" dT="2022-06-16T22:38:52.87" personId="{8BBC1282-7D2B-409E-85F8-5D22DEA82619}" id="{36F1B41A-96C3-4A7D-86A7-2B7E21689F33}">
    <text>Durman 16 junio joselyn</text>
  </threadedComment>
  <threadedComment ref="B572" dT="2022-06-16T22:59:59.35" personId="{8BBC1282-7D2B-409E-85F8-5D22DEA82619}" id="{D5A463C7-2C02-46CD-8E3D-783CD166F91F}">
    <text>DURMAN 16 JUNIO JOSELYN</text>
  </threadedComment>
  <threadedComment ref="B645" dT="2022-06-16T22:35:19.90" personId="{8BBC1282-7D2B-409E-85F8-5D22DEA82619}" id="{78E1D5CD-E965-48B0-9AC4-4646AC0DABEB}">
    <text>Durman 16 junio joselyn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D1" dT="2025-09-02T23:21:50.30" personId="{F2E4020C-7195-40C4-A5F6-5B268663944C}" id="{124BD147-756A-4F61-801D-2BE9F304D2EE}">
    <text>Precios actualizados 02 de setiembre 2025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 /><Relationship Id="rId2" Type="http://schemas.openxmlformats.org/officeDocument/2006/relationships/vmlDrawing" Target="../drawings/vmlDrawing1.vml" /><Relationship Id="rId1" Type="http://schemas.openxmlformats.org/officeDocument/2006/relationships/printerSettings" Target="../printerSettings/printerSettings1.bin" /><Relationship Id="rId4" Type="http://schemas.microsoft.com/office/2017/10/relationships/threadedComment" Target="../threadedComments/threadedComment1.xml" 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 /><Relationship Id="rId2" Type="http://schemas.openxmlformats.org/officeDocument/2006/relationships/vmlDrawing" Target="../drawings/vmlDrawing2.vml" /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 /><Relationship Id="rId2" Type="http://schemas.openxmlformats.org/officeDocument/2006/relationships/vmlDrawing" Target="../drawings/vmlDrawing3.vml" /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 /><Relationship Id="rId2" Type="http://schemas.openxmlformats.org/officeDocument/2006/relationships/vmlDrawing" Target="../drawings/vmlDrawing4.vml" /><Relationship Id="rId1" Type="http://schemas.openxmlformats.org/officeDocument/2006/relationships/printerSettings" Target="../printerSettings/printerSettings4.bin" /><Relationship Id="rId5" Type="http://schemas.microsoft.com/office/2017/10/relationships/threadedComment" Target="../threadedComments/threadedComment2.xml" /><Relationship Id="rId4" Type="http://schemas.openxmlformats.org/officeDocument/2006/relationships/comments" Target="../comments4.xml" 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 /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5.bin" /><Relationship Id="rId4" Type="http://schemas.openxmlformats.org/officeDocument/2006/relationships/comments" Target="../comments5.xml" 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 /><Relationship Id="rId2" Type="http://schemas.openxmlformats.org/officeDocument/2006/relationships/vmlDrawing" Target="../drawings/vmlDrawing6.vml" /><Relationship Id="rId1" Type="http://schemas.openxmlformats.org/officeDocument/2006/relationships/printerSettings" Target="../printerSettings/printerSettings8.bin" /><Relationship Id="rId4" Type="http://schemas.microsoft.com/office/2017/10/relationships/threadedComment" Target="../threadedComments/threadedComment3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 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 /><Relationship Id="rId2" Type="http://schemas.openxmlformats.org/officeDocument/2006/relationships/vmlDrawing" Target="../drawings/vmlDrawing7.vml" /><Relationship Id="rId1" Type="http://schemas.openxmlformats.org/officeDocument/2006/relationships/printerSettings" Target="../printerSettings/printerSettings9.bin" /><Relationship Id="rId4" Type="http://schemas.microsoft.com/office/2017/10/relationships/threadedComment" Target="../threadedComments/threadedComment4.xml" 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 /><Relationship Id="rId1" Type="http://schemas.openxmlformats.org/officeDocument/2006/relationships/printerSettings" Target="../printerSettings/printerSettings10.bin" 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 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 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FDD35-249D-45EC-9E52-6785C36C2B74}">
  <dimension ref="C1:M318"/>
  <sheetViews>
    <sheetView workbookViewId="0"/>
  </sheetViews>
  <sheetFormatPr defaultColWidth="10.4921875" defaultRowHeight="15" x14ac:dyDescent="0.2"/>
  <cols>
    <col min="2" max="2" width="11.43359375" customWidth="1"/>
    <col min="3" max="3" width="30.53515625" bestFit="1" customWidth="1"/>
    <col min="4" max="4" width="65.51171875" bestFit="1" customWidth="1"/>
    <col min="6" max="6" width="17.484375" style="115" bestFit="1" customWidth="1"/>
    <col min="7" max="7" width="13.44921875" style="103" bestFit="1" customWidth="1"/>
    <col min="8" max="8" width="14.52734375" bestFit="1" customWidth="1"/>
    <col min="9" max="9" width="13.44921875" bestFit="1" customWidth="1"/>
    <col min="10" max="10" width="11.43359375" customWidth="1"/>
    <col min="13" max="13" width="10.4921875" bestFit="1" customWidth="1"/>
  </cols>
  <sheetData>
    <row r="1" spans="3:13" x14ac:dyDescent="0.2">
      <c r="C1" s="229" t="s">
        <v>10</v>
      </c>
      <c r="D1" s="224" t="s">
        <v>261</v>
      </c>
      <c r="E1" s="305" t="s">
        <v>1023</v>
      </c>
      <c r="F1" s="305" t="s">
        <v>1412</v>
      </c>
      <c r="G1" s="224" t="s">
        <v>1413</v>
      </c>
      <c r="H1" s="224" t="s">
        <v>1414</v>
      </c>
    </row>
    <row r="2" spans="3:13" x14ac:dyDescent="0.2">
      <c r="C2" s="159" t="s">
        <v>535</v>
      </c>
      <c r="D2" s="78" t="str">
        <f>_xlfn.XLOOKUP(C2,Detallado!C:C,Detallado!E:E,"ERROR",0)</f>
        <v>ERROR</v>
      </c>
      <c r="E2" s="306">
        <f>SUMIF(Detallado!C:C,ANALISIS!C2,Detallado!F:F)</f>
        <v>0</v>
      </c>
      <c r="F2" s="147" t="str">
        <f>_xlfn.XLOOKUP(C2,Detallado!C:C,Detallado!H:H,"ERROR",0)</f>
        <v>ERROR</v>
      </c>
      <c r="G2" s="102" t="e">
        <f t="shared" ref="G2:G51" si="0">E2*F2</f>
        <v>#VALUE!</v>
      </c>
      <c r="H2" s="307" t="e">
        <f t="shared" ref="H2:H65" si="1">G2/$G$313</f>
        <v>#VALUE!</v>
      </c>
      <c r="J2" s="147">
        <v>35867.199999999997</v>
      </c>
      <c r="K2" s="147">
        <v>35867.199999999997</v>
      </c>
      <c r="M2" s="136" t="e">
        <f>+K2-G2</f>
        <v>#VALUE!</v>
      </c>
    </row>
    <row r="3" spans="3:13" ht="14.25" customHeight="1" x14ac:dyDescent="0.2">
      <c r="C3" s="159" t="s">
        <v>537</v>
      </c>
      <c r="D3" s="103" t="str">
        <f>_xlfn.XLOOKUP(C3,Detallado!C:C,Detallado!E:E,"ERROR",0)</f>
        <v>ERROR</v>
      </c>
      <c r="E3" s="306">
        <f>SUMIF(Detallado!C:C,ANALISIS!C3,Detallado!F:F)</f>
        <v>0</v>
      </c>
      <c r="F3" s="147" t="str">
        <f>_xlfn.XLOOKUP(C3,Detallado!C:C,Detallado!H:H,"ERROR",0)</f>
        <v>ERROR</v>
      </c>
      <c r="G3" s="102" t="e">
        <f t="shared" si="0"/>
        <v>#VALUE!</v>
      </c>
      <c r="H3" s="307" t="e">
        <f t="shared" si="1"/>
        <v>#VALUE!</v>
      </c>
      <c r="J3" s="147">
        <v>42456</v>
      </c>
      <c r="K3" s="147">
        <v>42456</v>
      </c>
      <c r="M3" s="136" t="e">
        <f t="shared" ref="M3:M66" si="2">+K3-G3</f>
        <v>#VALUE!</v>
      </c>
    </row>
    <row r="4" spans="3:13" x14ac:dyDescent="0.2">
      <c r="C4" s="160" t="s">
        <v>539</v>
      </c>
      <c r="D4" s="103" t="str">
        <f>_xlfn.XLOOKUP(C4,Detallado!C:C,Detallado!E:E,"ERROR",0)</f>
        <v>ERROR</v>
      </c>
      <c r="E4" s="306">
        <f>SUMIF(Detallado!C:C,ANALISIS!C4,Detallado!F:F)</f>
        <v>0</v>
      </c>
      <c r="F4" s="147" t="str">
        <f>_xlfn.XLOOKUP(C4,Detallado!C:C,Detallado!H:H,"ERROR",0)</f>
        <v>ERROR</v>
      </c>
      <c r="G4" s="102" t="e">
        <f t="shared" si="0"/>
        <v>#VALUE!</v>
      </c>
      <c r="H4" s="307" t="e">
        <f t="shared" si="1"/>
        <v>#VALUE!</v>
      </c>
      <c r="J4" s="147">
        <v>25198.679999999997</v>
      </c>
      <c r="K4" s="147">
        <v>0</v>
      </c>
      <c r="M4" s="136" t="e">
        <f t="shared" si="2"/>
        <v>#VALUE!</v>
      </c>
    </row>
    <row r="5" spans="3:13" x14ac:dyDescent="0.2">
      <c r="C5" s="177" t="s">
        <v>541</v>
      </c>
      <c r="D5" s="103" t="str">
        <f>_xlfn.XLOOKUP(C5,Detallado!C:C,Detallado!E:E,"ERROR",0)</f>
        <v>ERROR</v>
      </c>
      <c r="E5" s="306">
        <f>SUMIF(Detallado!C:C,ANALISIS!C5,Detallado!F:F)</f>
        <v>0</v>
      </c>
      <c r="F5" s="147" t="str">
        <f>_xlfn.XLOOKUP(C5,Detallado!C:C,Detallado!H:H,"ERROR",0)</f>
        <v>ERROR</v>
      </c>
      <c r="G5" s="102" t="e">
        <f t="shared" si="0"/>
        <v>#VALUE!</v>
      </c>
      <c r="H5" s="307" t="e">
        <f t="shared" si="1"/>
        <v>#VALUE!</v>
      </c>
      <c r="J5" s="147">
        <v>64593.33454545444</v>
      </c>
      <c r="K5" s="147">
        <v>64593.33454545444</v>
      </c>
      <c r="M5" s="136" t="e">
        <f t="shared" si="2"/>
        <v>#VALUE!</v>
      </c>
    </row>
    <row r="6" spans="3:13" x14ac:dyDescent="0.2">
      <c r="C6" s="177" t="s">
        <v>542</v>
      </c>
      <c r="D6" s="103" t="str">
        <f>_xlfn.XLOOKUP(C6,Detallado!C:C,Detallado!E:E,"ERROR",0)</f>
        <v>ERROR</v>
      </c>
      <c r="E6" s="306">
        <f>SUMIF(Detallado!C:C,ANALISIS!C6,Detallado!F:F)</f>
        <v>0</v>
      </c>
      <c r="F6" s="147" t="str">
        <f>_xlfn.XLOOKUP(C6,Detallado!C:C,Detallado!H:H,"ERROR",0)</f>
        <v>ERROR</v>
      </c>
      <c r="G6" s="102" t="e">
        <f t="shared" si="0"/>
        <v>#VALUE!</v>
      </c>
      <c r="H6" s="307" t="e">
        <f t="shared" si="1"/>
        <v>#VALUE!</v>
      </c>
      <c r="J6" s="147">
        <v>33640</v>
      </c>
      <c r="K6" s="147">
        <v>0</v>
      </c>
      <c r="M6" s="136" t="e">
        <f t="shared" si="2"/>
        <v>#VALUE!</v>
      </c>
    </row>
    <row r="7" spans="3:13" x14ac:dyDescent="0.2">
      <c r="C7" s="177" t="s">
        <v>555</v>
      </c>
      <c r="D7" s="103" t="str">
        <f>_xlfn.XLOOKUP(C7,Detallado!C:C,Detallado!E:E,"ERROR",0)</f>
        <v>ERROR</v>
      </c>
      <c r="E7" s="306">
        <f>SUMIF(Detallado!C:C,ANALISIS!C7,Detallado!F:F)</f>
        <v>0</v>
      </c>
      <c r="F7" s="147" t="str">
        <f>_xlfn.XLOOKUP(C7,Detallado!C:C,Detallado!H:H,"ERROR",0)</f>
        <v>ERROR</v>
      </c>
      <c r="G7" s="102" t="e">
        <f t="shared" si="0"/>
        <v>#VALUE!</v>
      </c>
      <c r="H7" s="307" t="e">
        <f t="shared" si="1"/>
        <v>#VALUE!</v>
      </c>
      <c r="J7" s="147">
        <v>83520</v>
      </c>
      <c r="K7" s="147">
        <v>83520</v>
      </c>
      <c r="M7" s="136" t="e">
        <f t="shared" si="2"/>
        <v>#VALUE!</v>
      </c>
    </row>
    <row r="8" spans="3:13" x14ac:dyDescent="0.2">
      <c r="C8" s="177" t="s">
        <v>602</v>
      </c>
      <c r="D8" s="103" t="str">
        <f>_xlfn.XLOOKUP(C8,Detallado!C:C,Detallado!E:E,"ERROR",0)</f>
        <v>ERROR</v>
      </c>
      <c r="E8" s="306">
        <f>SUMIF(Detallado!C:C,ANALISIS!C8,Detallado!F:F)</f>
        <v>0</v>
      </c>
      <c r="F8" s="147" t="str">
        <f>_xlfn.XLOOKUP(C8,Detallado!C:C,Detallado!H:H,"ERROR",0)</f>
        <v>ERROR</v>
      </c>
      <c r="G8" s="102" t="e">
        <f t="shared" si="0"/>
        <v>#VALUE!</v>
      </c>
      <c r="H8" s="307" t="e">
        <f t="shared" si="1"/>
        <v>#VALUE!</v>
      </c>
      <c r="J8" s="147">
        <v>25520</v>
      </c>
      <c r="K8" s="147">
        <v>25520</v>
      </c>
      <c r="M8" s="136" t="e">
        <f t="shared" si="2"/>
        <v>#VALUE!</v>
      </c>
    </row>
    <row r="9" spans="3:13" x14ac:dyDescent="0.2">
      <c r="C9" s="177" t="s">
        <v>603</v>
      </c>
      <c r="D9" s="103" t="str">
        <f>_xlfn.XLOOKUP(C9,Detallado!C:C,Detallado!E:E,"ERROR",0)</f>
        <v>ERROR</v>
      </c>
      <c r="E9" s="306">
        <f>SUMIF(Detallado!C:C,ANALISIS!C9,Detallado!F:F)</f>
        <v>0</v>
      </c>
      <c r="F9" s="147" t="str">
        <f>_xlfn.XLOOKUP(C9,Detallado!C:C,Detallado!H:H,"ERROR",0)</f>
        <v>ERROR</v>
      </c>
      <c r="G9" s="102" t="e">
        <f t="shared" si="0"/>
        <v>#VALUE!</v>
      </c>
      <c r="H9" s="307" t="e">
        <f t="shared" si="1"/>
        <v>#VALUE!</v>
      </c>
      <c r="J9" s="147">
        <v>26100</v>
      </c>
      <c r="K9" s="147">
        <v>0</v>
      </c>
      <c r="M9" s="136" t="e">
        <f t="shared" si="2"/>
        <v>#VALUE!</v>
      </c>
    </row>
    <row r="10" spans="3:13" x14ac:dyDescent="0.2">
      <c r="C10" s="177" t="s">
        <v>604</v>
      </c>
      <c r="D10" s="103" t="str">
        <f>_xlfn.XLOOKUP(C10,Detallado!C:C,Detallado!E:E,"ERROR",0)</f>
        <v>ERROR</v>
      </c>
      <c r="E10" s="306">
        <f>SUMIF(Detallado!C:C,ANALISIS!C10,Detallado!F:F)</f>
        <v>0</v>
      </c>
      <c r="F10" s="147" t="str">
        <f>_xlfn.XLOOKUP(C10,Detallado!C:C,Detallado!H:H,"ERROR",0)</f>
        <v>ERROR</v>
      </c>
      <c r="G10" s="102" t="e">
        <f t="shared" si="0"/>
        <v>#VALUE!</v>
      </c>
      <c r="H10" s="307" t="e">
        <f t="shared" si="1"/>
        <v>#VALUE!</v>
      </c>
      <c r="J10" s="147">
        <v>40426</v>
      </c>
      <c r="K10" s="147">
        <v>0</v>
      </c>
      <c r="M10" s="136" t="e">
        <f t="shared" si="2"/>
        <v>#VALUE!</v>
      </c>
    </row>
    <row r="11" spans="3:13" x14ac:dyDescent="0.2">
      <c r="C11" s="177" t="s">
        <v>670</v>
      </c>
      <c r="D11" s="103" t="str">
        <f>_xlfn.XLOOKUP(C11,Detallado!C:C,Detallado!E:E,"ERROR",0)</f>
        <v>ERROR</v>
      </c>
      <c r="E11" s="306">
        <f>SUMIF(Detallado!C:C,ANALISIS!C11,Detallado!F:F)</f>
        <v>0</v>
      </c>
      <c r="F11" s="147" t="str">
        <f>_xlfn.XLOOKUP(C11,Detallado!C:C,Detallado!H:H,"ERROR",0)</f>
        <v>ERROR</v>
      </c>
      <c r="G11" s="102" t="e">
        <f t="shared" si="0"/>
        <v>#VALUE!</v>
      </c>
      <c r="H11" s="307" t="e">
        <f t="shared" si="1"/>
        <v>#VALUE!</v>
      </c>
      <c r="J11" s="147">
        <v>102654.8728</v>
      </c>
      <c r="K11" s="147">
        <v>102654.8728</v>
      </c>
      <c r="M11" s="136" t="e">
        <f t="shared" si="2"/>
        <v>#VALUE!</v>
      </c>
    </row>
    <row r="12" spans="3:13" x14ac:dyDescent="0.2">
      <c r="C12" s="177" t="s">
        <v>82</v>
      </c>
      <c r="D12" s="103" t="str">
        <f>_xlfn.XLOOKUP(C12,Detallado!C:C,Detallado!E:E,"ERROR",0)</f>
        <v>ERROR</v>
      </c>
      <c r="E12" s="306">
        <f>SUMIF(Detallado!C:C,ANALISIS!C12,Detallado!F:F)</f>
        <v>0</v>
      </c>
      <c r="F12" s="147" t="str">
        <f>_xlfn.XLOOKUP(C12,Detallado!C:C,Detallado!H:H,"ERROR",0)</f>
        <v>ERROR</v>
      </c>
      <c r="G12" s="102" t="e">
        <f t="shared" si="0"/>
        <v>#VALUE!</v>
      </c>
      <c r="H12" s="307" t="e">
        <f t="shared" si="1"/>
        <v>#VALUE!</v>
      </c>
      <c r="J12" s="147">
        <v>866.02807879999989</v>
      </c>
      <c r="K12" s="147">
        <v>54559.768964399991</v>
      </c>
      <c r="M12" s="136" t="e">
        <f t="shared" si="2"/>
        <v>#VALUE!</v>
      </c>
    </row>
    <row r="13" spans="3:13" x14ac:dyDescent="0.2">
      <c r="C13" s="177" t="s">
        <v>80</v>
      </c>
      <c r="D13" s="103" t="str">
        <f>_xlfn.XLOOKUP(C13,Detallado!C:C,Detallado!E:E,"ERROR",0)</f>
        <v>ERROR</v>
      </c>
      <c r="E13" s="306">
        <f>SUMIF(Detallado!C:C,ANALISIS!C13,Detallado!F:F)</f>
        <v>0</v>
      </c>
      <c r="F13" s="147" t="str">
        <f>_xlfn.XLOOKUP(C13,Detallado!C:C,Detallado!H:H,"ERROR",0)</f>
        <v>ERROR</v>
      </c>
      <c r="G13" s="102" t="e">
        <f t="shared" si="0"/>
        <v>#VALUE!</v>
      </c>
      <c r="H13" s="307" t="e">
        <f t="shared" si="1"/>
        <v>#VALUE!</v>
      </c>
      <c r="J13" s="147">
        <v>27221.951999999997</v>
      </c>
      <c r="K13" s="147">
        <v>299441.47199999995</v>
      </c>
      <c r="M13" s="136" t="e">
        <f t="shared" si="2"/>
        <v>#VALUE!</v>
      </c>
    </row>
    <row r="14" spans="3:13" x14ac:dyDescent="0.2">
      <c r="C14" s="177" t="s">
        <v>842</v>
      </c>
      <c r="D14" s="103" t="str">
        <f>_xlfn.XLOOKUP(C14,Detallado!C:C,Detallado!E:E,"ERROR",0)</f>
        <v>ERROR</v>
      </c>
      <c r="E14" s="306">
        <f>SUMIF(Detallado!C:C,ANALISIS!C14,Detallado!F:F)</f>
        <v>0</v>
      </c>
      <c r="F14" s="147" t="str">
        <f>_xlfn.XLOOKUP(C14,Detallado!C:C,Detallado!H:H,"ERROR",0)</f>
        <v>ERROR</v>
      </c>
      <c r="G14" s="102" t="e">
        <f t="shared" si="0"/>
        <v>#VALUE!</v>
      </c>
      <c r="H14" s="307" t="e">
        <f t="shared" si="1"/>
        <v>#VALUE!</v>
      </c>
      <c r="J14" s="147">
        <v>15866.48</v>
      </c>
      <c r="K14" s="147">
        <v>0</v>
      </c>
      <c r="M14" s="136" t="e">
        <f t="shared" si="2"/>
        <v>#VALUE!</v>
      </c>
    </row>
    <row r="15" spans="3:13" x14ac:dyDescent="0.2">
      <c r="C15" s="177" t="s">
        <v>73</v>
      </c>
      <c r="D15" s="103" t="str">
        <f>_xlfn.XLOOKUP(C15,Detallado!C:C,Detallado!E:E,"ERROR",0)</f>
        <v>ERROR</v>
      </c>
      <c r="E15" s="306">
        <f>SUMIF(Detallado!C:C,ANALISIS!C15,Detallado!F:F)</f>
        <v>0</v>
      </c>
      <c r="F15" s="147" t="str">
        <f>_xlfn.XLOOKUP(C15,Detallado!C:C,Detallado!H:H,"ERROR",0)</f>
        <v>ERROR</v>
      </c>
      <c r="G15" s="102" t="e">
        <f t="shared" si="0"/>
        <v>#VALUE!</v>
      </c>
      <c r="H15" s="307" t="e">
        <f t="shared" si="1"/>
        <v>#VALUE!</v>
      </c>
      <c r="J15" s="147">
        <v>14615.999999999998</v>
      </c>
      <c r="K15" s="147">
        <v>14615.999999999998</v>
      </c>
      <c r="M15" s="136" t="e">
        <f t="shared" si="2"/>
        <v>#VALUE!</v>
      </c>
    </row>
    <row r="16" spans="3:13" x14ac:dyDescent="0.2">
      <c r="C16" s="177" t="s">
        <v>154</v>
      </c>
      <c r="D16" s="103" t="str">
        <f>_xlfn.XLOOKUP(C16,Detallado!C:C,Detallado!E:E,"ERROR",0)</f>
        <v>ERROR</v>
      </c>
      <c r="E16" s="306">
        <f>SUMIF(Detallado!C:C,ANALISIS!C16,Detallado!F:F)</f>
        <v>0</v>
      </c>
      <c r="F16" s="147" t="str">
        <f>_xlfn.XLOOKUP(C16,Detallado!C:C,Detallado!H:H,"ERROR",0)</f>
        <v>ERROR</v>
      </c>
      <c r="G16" s="102" t="e">
        <f t="shared" si="0"/>
        <v>#VALUE!</v>
      </c>
      <c r="H16" s="307" t="e">
        <f t="shared" si="1"/>
        <v>#VALUE!</v>
      </c>
      <c r="J16" s="147">
        <v>12127.359199999935</v>
      </c>
      <c r="K16" s="147">
        <v>0</v>
      </c>
      <c r="M16" s="136" t="e">
        <f t="shared" si="2"/>
        <v>#VALUE!</v>
      </c>
    </row>
    <row r="17" spans="3:13" x14ac:dyDescent="0.2">
      <c r="C17" s="177" t="s">
        <v>153</v>
      </c>
      <c r="D17" s="103" t="str">
        <f>_xlfn.XLOOKUP(C17,Detallado!C:C,Detallado!E:E,"ERROR",0)</f>
        <v>ERROR</v>
      </c>
      <c r="E17" s="306">
        <f>SUMIF(Detallado!C:C,ANALISIS!C17,Detallado!F:F)</f>
        <v>0</v>
      </c>
      <c r="F17" s="147" t="str">
        <f>_xlfn.XLOOKUP(C17,Detallado!C:C,Detallado!H:H,"ERROR",0)</f>
        <v>ERROR</v>
      </c>
      <c r="G17" s="102" t="e">
        <f t="shared" si="0"/>
        <v>#VALUE!</v>
      </c>
      <c r="H17" s="307" t="e">
        <f t="shared" si="1"/>
        <v>#VALUE!</v>
      </c>
      <c r="J17" s="147">
        <v>27479.007999999998</v>
      </c>
      <c r="K17" s="147">
        <v>247311.07199999999</v>
      </c>
      <c r="M17" s="136" t="e">
        <f t="shared" si="2"/>
        <v>#VALUE!</v>
      </c>
    </row>
    <row r="18" spans="3:13" x14ac:dyDescent="0.2">
      <c r="C18" s="177" t="s">
        <v>155</v>
      </c>
      <c r="D18" s="103" t="str">
        <f>_xlfn.XLOOKUP(C18,Detallado!C:C,Detallado!E:E,"ERROR",0)</f>
        <v>ERROR</v>
      </c>
      <c r="E18" s="306">
        <f>SUMIF(Detallado!C:C,ANALISIS!C18,Detallado!F:F)</f>
        <v>0</v>
      </c>
      <c r="F18" s="147" t="str">
        <f>_xlfn.XLOOKUP(C18,Detallado!C:C,Detallado!H:H,"ERROR",0)</f>
        <v>ERROR</v>
      </c>
      <c r="G18" s="102" t="e">
        <f t="shared" si="0"/>
        <v>#VALUE!</v>
      </c>
      <c r="H18" s="307" t="e">
        <f t="shared" si="1"/>
        <v>#VALUE!</v>
      </c>
      <c r="J18" s="147">
        <v>15060.67</v>
      </c>
      <c r="K18" s="147">
        <v>15060.67</v>
      </c>
      <c r="M18" s="136" t="e">
        <f t="shared" si="2"/>
        <v>#VALUE!</v>
      </c>
    </row>
    <row r="19" spans="3:13" x14ac:dyDescent="0.2">
      <c r="C19" s="177" t="s">
        <v>854</v>
      </c>
      <c r="D19" s="103" t="str">
        <f>_xlfn.XLOOKUP(C19,Detallado!C:C,Detallado!E:E,"ERROR",0)</f>
        <v>ERROR</v>
      </c>
      <c r="E19" s="306">
        <f>SUMIF(Detallado!C:C,ANALISIS!C19,Detallado!F:F)</f>
        <v>0</v>
      </c>
      <c r="F19" s="147" t="str">
        <f>_xlfn.XLOOKUP(C19,Detallado!C:C,Detallado!H:H,"ERROR",0)</f>
        <v>ERROR</v>
      </c>
      <c r="G19" s="102" t="e">
        <f t="shared" si="0"/>
        <v>#VALUE!</v>
      </c>
      <c r="H19" s="307" t="e">
        <f t="shared" si="1"/>
        <v>#VALUE!</v>
      </c>
      <c r="J19" s="147">
        <v>32369.8</v>
      </c>
      <c r="K19" s="147">
        <v>0</v>
      </c>
      <c r="M19" s="136" t="e">
        <f t="shared" si="2"/>
        <v>#VALUE!</v>
      </c>
    </row>
    <row r="20" spans="3:13" x14ac:dyDescent="0.2">
      <c r="C20" s="177" t="s">
        <v>113</v>
      </c>
      <c r="D20" s="103" t="str">
        <f>_xlfn.XLOOKUP(C20,Detallado!C:C,Detallado!E:E,"ERROR",0)</f>
        <v>ERROR</v>
      </c>
      <c r="E20" s="306">
        <f>SUMIF(Detallado!C:C,ANALISIS!C20,Detallado!F:F)</f>
        <v>0</v>
      </c>
      <c r="F20" s="147" t="str">
        <f>_xlfn.XLOOKUP(C20,Detallado!C:C,Detallado!H:H,"ERROR",0)</f>
        <v>ERROR</v>
      </c>
      <c r="G20" s="102" t="e">
        <f t="shared" si="0"/>
        <v>#VALUE!</v>
      </c>
      <c r="H20" s="307" t="e">
        <f t="shared" si="1"/>
        <v>#VALUE!</v>
      </c>
      <c r="J20" s="147">
        <v>929.98746666666625</v>
      </c>
      <c r="K20" s="147">
        <v>37199.498666666652</v>
      </c>
      <c r="M20" s="136" t="e">
        <f t="shared" si="2"/>
        <v>#VALUE!</v>
      </c>
    </row>
    <row r="21" spans="3:13" x14ac:dyDescent="0.2">
      <c r="C21" s="177" t="s">
        <v>81</v>
      </c>
      <c r="D21" s="103" t="str">
        <f>_xlfn.XLOOKUP(C21,Detallado!C:C,Detallado!E:E,"ERROR",0)</f>
        <v>ERROR</v>
      </c>
      <c r="E21" s="306">
        <f>SUMIF(Detallado!C:C,ANALISIS!C21,Detallado!F:F)</f>
        <v>0</v>
      </c>
      <c r="F21" s="147" t="str">
        <f>_xlfn.XLOOKUP(C21,Detallado!C:C,Detallado!H:H,"ERROR",0)</f>
        <v>ERROR</v>
      </c>
      <c r="G21" s="102" t="e">
        <f t="shared" si="0"/>
        <v>#VALUE!</v>
      </c>
      <c r="H21" s="307" t="e">
        <f t="shared" si="1"/>
        <v>#VALUE!</v>
      </c>
      <c r="J21" s="147">
        <v>2071.3238399999882</v>
      </c>
      <c r="K21" s="147">
        <v>559257.43679999677</v>
      </c>
      <c r="M21" s="136" t="e">
        <f t="shared" si="2"/>
        <v>#VALUE!</v>
      </c>
    </row>
    <row r="22" spans="3:13" x14ac:dyDescent="0.2">
      <c r="C22" s="177" t="s">
        <v>74</v>
      </c>
      <c r="D22" s="103" t="str">
        <f>_xlfn.XLOOKUP(C22,Detallado!C:C,Detallado!E:E,"ERROR",0)</f>
        <v>ERROR</v>
      </c>
      <c r="E22" s="306">
        <f>SUMIF(Detallado!C:C,ANALISIS!C22,Detallado!F:F)</f>
        <v>0</v>
      </c>
      <c r="F22" s="147" t="str">
        <f>_xlfn.XLOOKUP(C22,Detallado!C:C,Detallado!H:H,"ERROR",0)</f>
        <v>ERROR</v>
      </c>
      <c r="G22" s="102" t="e">
        <f t="shared" si="0"/>
        <v>#VALUE!</v>
      </c>
      <c r="H22" s="307" t="e">
        <f t="shared" si="1"/>
        <v>#VALUE!</v>
      </c>
      <c r="J22" s="147">
        <v>3612.3559999999998</v>
      </c>
      <c r="K22" s="147">
        <v>90308.9</v>
      </c>
      <c r="M22" s="136" t="e">
        <f t="shared" si="2"/>
        <v>#VALUE!</v>
      </c>
    </row>
    <row r="23" spans="3:13" x14ac:dyDescent="0.2">
      <c r="C23" s="177" t="s">
        <v>878</v>
      </c>
      <c r="D23" s="103" t="str">
        <f>_xlfn.XLOOKUP(C23,Detallado!C:C,Detallado!E:E,"ERROR",0)</f>
        <v>ERROR</v>
      </c>
      <c r="E23" s="306">
        <f>SUMIF(Detallado!C:C,ANALISIS!C23,Detallado!F:F)</f>
        <v>0</v>
      </c>
      <c r="F23" s="147" t="str">
        <f>_xlfn.XLOOKUP(C23,Detallado!C:C,Detallado!H:H,"ERROR",0)</f>
        <v>ERROR</v>
      </c>
      <c r="G23" s="102" t="e">
        <f t="shared" si="0"/>
        <v>#VALUE!</v>
      </c>
      <c r="H23" s="307" t="e">
        <f t="shared" si="1"/>
        <v>#VALUE!</v>
      </c>
      <c r="J23" s="147">
        <v>7069.4546999999366</v>
      </c>
      <c r="K23" s="147">
        <v>0</v>
      </c>
      <c r="M23" s="136" t="e">
        <f t="shared" si="2"/>
        <v>#VALUE!</v>
      </c>
    </row>
    <row r="24" spans="3:13" x14ac:dyDescent="0.2">
      <c r="C24" s="177" t="s">
        <v>664</v>
      </c>
      <c r="D24" s="103" t="str">
        <f>_xlfn.XLOOKUP(C24,Detallado!C:C,Detallado!E:E,"ERROR",0)</f>
        <v>ERROR</v>
      </c>
      <c r="E24" s="306">
        <f>SUMIF(Detallado!C:C,ANALISIS!C24,Detallado!F:F)</f>
        <v>0</v>
      </c>
      <c r="F24" s="147" t="str">
        <f>_xlfn.XLOOKUP(C24,Detallado!C:C,Detallado!H:H,"ERROR",0)</f>
        <v>ERROR</v>
      </c>
      <c r="G24" s="102" t="e">
        <f t="shared" si="0"/>
        <v>#VALUE!</v>
      </c>
      <c r="H24" s="307" t="e">
        <f t="shared" si="1"/>
        <v>#VALUE!</v>
      </c>
      <c r="J24" s="147">
        <v>9592.0399999999991</v>
      </c>
      <c r="K24" s="147">
        <v>19184.079999999998</v>
      </c>
      <c r="M24" s="136" t="e">
        <f t="shared" si="2"/>
        <v>#VALUE!</v>
      </c>
    </row>
    <row r="25" spans="3:13" x14ac:dyDescent="0.2">
      <c r="C25" s="177" t="s">
        <v>934</v>
      </c>
      <c r="D25" s="103" t="str">
        <f>_xlfn.XLOOKUP(C25,Detallado!C:C,Detallado!E:E,"ERROR",0)</f>
        <v>ERROR</v>
      </c>
      <c r="E25" s="306">
        <f>SUMIF(Detallado!C:C,ANALISIS!C25,Detallado!F:F)</f>
        <v>0</v>
      </c>
      <c r="F25" s="147" t="str">
        <f>_xlfn.XLOOKUP(C25,Detallado!C:C,Detallado!H:H,"ERROR",0)</f>
        <v>ERROR</v>
      </c>
      <c r="G25" s="102" t="e">
        <f t="shared" si="0"/>
        <v>#VALUE!</v>
      </c>
      <c r="H25" s="307" t="e">
        <f t="shared" si="1"/>
        <v>#VALUE!</v>
      </c>
      <c r="J25" s="147">
        <v>31041.599999999999</v>
      </c>
      <c r="K25" s="147">
        <v>31041.599999999999</v>
      </c>
      <c r="M25" s="136" t="e">
        <f t="shared" si="2"/>
        <v>#VALUE!</v>
      </c>
    </row>
    <row r="26" spans="3:13" x14ac:dyDescent="0.2">
      <c r="C26" s="177" t="s">
        <v>300</v>
      </c>
      <c r="D26" s="103" t="str">
        <f>_xlfn.XLOOKUP(C26,Detallado!C:C,Detallado!E:E,"ERROR",0)</f>
        <v>ERROR</v>
      </c>
      <c r="E26" s="306">
        <f>SUMIF(Detallado!C:C,ANALISIS!C26,Detallado!F:F)</f>
        <v>0</v>
      </c>
      <c r="F26" s="147" t="str">
        <f>_xlfn.XLOOKUP(C26,Detallado!C:C,Detallado!H:H,"ERROR",0)</f>
        <v>ERROR</v>
      </c>
      <c r="G26" s="102" t="e">
        <f t="shared" si="0"/>
        <v>#VALUE!</v>
      </c>
      <c r="H26" s="307" t="e">
        <f t="shared" si="1"/>
        <v>#VALUE!</v>
      </c>
      <c r="J26" s="147">
        <v>18154</v>
      </c>
      <c r="K26" s="147">
        <v>0</v>
      </c>
      <c r="M26" s="136" t="e">
        <f t="shared" si="2"/>
        <v>#VALUE!</v>
      </c>
    </row>
    <row r="27" spans="3:13" x14ac:dyDescent="0.2">
      <c r="C27" s="177" t="s">
        <v>145</v>
      </c>
      <c r="D27" s="103" t="str">
        <f>_xlfn.XLOOKUP(C27,Detallado!C:C,Detallado!E:E,"ERROR",0)</f>
        <v>ERROR</v>
      </c>
      <c r="E27" s="306">
        <f>SUMIF(Detallado!C:C,ANALISIS!C27,Detallado!F:F)</f>
        <v>0</v>
      </c>
      <c r="F27" s="147" t="str">
        <f>_xlfn.XLOOKUP(C27,Detallado!C:C,Detallado!H:H,"ERROR",0)</f>
        <v>ERROR</v>
      </c>
      <c r="G27" s="102" t="e">
        <f t="shared" si="0"/>
        <v>#VALUE!</v>
      </c>
      <c r="H27" s="307" t="e">
        <f t="shared" si="1"/>
        <v>#VALUE!</v>
      </c>
      <c r="J27" s="147">
        <v>21338.199999999997</v>
      </c>
      <c r="K27" s="147">
        <v>85352.799999999988</v>
      </c>
      <c r="M27" s="136" t="e">
        <f t="shared" si="2"/>
        <v>#VALUE!</v>
      </c>
    </row>
    <row r="28" spans="3:13" x14ac:dyDescent="0.2">
      <c r="C28" s="177" t="s">
        <v>144</v>
      </c>
      <c r="D28" s="103" t="str">
        <f>_xlfn.XLOOKUP(C28,Detallado!C:C,Detallado!E:E,"ERROR",0)</f>
        <v>ERROR</v>
      </c>
      <c r="E28" s="306">
        <f>SUMIF(Detallado!C:C,ANALISIS!C28,Detallado!F:F)</f>
        <v>0</v>
      </c>
      <c r="F28" s="147" t="str">
        <f>_xlfn.XLOOKUP(C28,Detallado!C:C,Detallado!H:H,"ERROR",0)</f>
        <v>ERROR</v>
      </c>
      <c r="G28" s="102" t="e">
        <f t="shared" si="0"/>
        <v>#VALUE!</v>
      </c>
      <c r="H28" s="307" t="e">
        <f t="shared" si="1"/>
        <v>#VALUE!</v>
      </c>
      <c r="J28" s="147">
        <v>12760</v>
      </c>
      <c r="K28" s="147">
        <v>204160</v>
      </c>
      <c r="M28" s="136" t="e">
        <f t="shared" si="2"/>
        <v>#VALUE!</v>
      </c>
    </row>
    <row r="29" spans="3:13" x14ac:dyDescent="0.2">
      <c r="C29" s="177" t="s">
        <v>143</v>
      </c>
      <c r="D29" s="103" t="str">
        <f>_xlfn.XLOOKUP(C29,Detallado!C:C,Detallado!E:E,"ERROR",0)</f>
        <v>ERROR</v>
      </c>
      <c r="E29" s="306">
        <f>SUMIF(Detallado!C:C,ANALISIS!C29,Detallado!F:F)</f>
        <v>0</v>
      </c>
      <c r="F29" s="147" t="str">
        <f>_xlfn.XLOOKUP(C29,Detallado!C:C,Detallado!H:H,"ERROR",0)</f>
        <v>ERROR</v>
      </c>
      <c r="G29" s="102" t="e">
        <f t="shared" si="0"/>
        <v>#VALUE!</v>
      </c>
      <c r="H29" s="307" t="e">
        <f t="shared" si="1"/>
        <v>#VALUE!</v>
      </c>
      <c r="J29" s="147">
        <v>24146.989199999996</v>
      </c>
      <c r="K29" s="147">
        <v>193175.91359999997</v>
      </c>
      <c r="M29" s="136" t="e">
        <f t="shared" si="2"/>
        <v>#VALUE!</v>
      </c>
    </row>
    <row r="30" spans="3:13" x14ac:dyDescent="0.2">
      <c r="C30" s="177" t="s">
        <v>563</v>
      </c>
      <c r="D30" s="103" t="str">
        <f>_xlfn.XLOOKUP(C30,Detallado!C:C,Detallado!E:E,"ERROR",0)</f>
        <v>ERROR</v>
      </c>
      <c r="E30" s="306">
        <f>SUMIF(Detallado!C:C,ANALISIS!C30,Detallado!F:F)</f>
        <v>0</v>
      </c>
      <c r="F30" s="147" t="str">
        <f>_xlfn.XLOOKUP(C30,Detallado!C:C,Detallado!H:H,"ERROR",0)</f>
        <v>ERROR</v>
      </c>
      <c r="G30" s="102" t="e">
        <f t="shared" si="0"/>
        <v>#VALUE!</v>
      </c>
      <c r="H30" s="307" t="e">
        <f t="shared" si="1"/>
        <v>#VALUE!</v>
      </c>
      <c r="J30" s="147">
        <v>4059.9999999999995</v>
      </c>
      <c r="K30" s="147">
        <v>0</v>
      </c>
      <c r="M30" s="136" t="e">
        <f t="shared" si="2"/>
        <v>#VALUE!</v>
      </c>
    </row>
    <row r="31" spans="3:13" x14ac:dyDescent="0.2">
      <c r="C31" s="178" t="s">
        <v>57</v>
      </c>
      <c r="D31" s="103" t="str">
        <f>_xlfn.XLOOKUP(C31,Detallado!C:C,Detallado!E:E,"ERROR",0)</f>
        <v>ERROR</v>
      </c>
      <c r="E31" s="306">
        <f>SUMIF(Detallado!C:C,ANALISIS!C31,Detallado!F:F)</f>
        <v>0</v>
      </c>
      <c r="F31" s="147" t="str">
        <f>_xlfn.XLOOKUP(C31,Detallado!C:C,Detallado!H:H,"ERROR",0)</f>
        <v>ERROR</v>
      </c>
      <c r="G31" s="102" t="e">
        <f t="shared" si="0"/>
        <v>#VALUE!</v>
      </c>
      <c r="H31" s="307" t="e">
        <f t="shared" si="1"/>
        <v>#VALUE!</v>
      </c>
      <c r="J31" s="147">
        <v>16474.768425473671</v>
      </c>
      <c r="K31" s="147">
        <v>295063.10250023345</v>
      </c>
      <c r="M31" s="136" t="e">
        <f t="shared" si="2"/>
        <v>#VALUE!</v>
      </c>
    </row>
    <row r="32" spans="3:13" x14ac:dyDescent="0.2">
      <c r="C32" s="178" t="s">
        <v>72</v>
      </c>
      <c r="D32" s="103" t="str">
        <f>_xlfn.XLOOKUP(C32,Detallado!C:C,Detallado!E:E,"ERROR",0)</f>
        <v>ERROR</v>
      </c>
      <c r="E32" s="306">
        <f>SUMIF(Detallado!C:C,ANALISIS!C32,Detallado!F:F)</f>
        <v>0</v>
      </c>
      <c r="F32" s="147" t="str">
        <f>_xlfn.XLOOKUP(C32,Detallado!C:C,Detallado!H:H,"ERROR",0)</f>
        <v>ERROR</v>
      </c>
      <c r="G32" s="102" t="e">
        <f t="shared" si="0"/>
        <v>#VALUE!</v>
      </c>
      <c r="H32" s="307" t="e">
        <f t="shared" si="1"/>
        <v>#VALUE!</v>
      </c>
      <c r="J32" s="147">
        <v>14281.577625999998</v>
      </c>
      <c r="K32" s="147">
        <v>207511.32290577996</v>
      </c>
      <c r="M32" s="136" t="e">
        <f t="shared" si="2"/>
        <v>#VALUE!</v>
      </c>
    </row>
    <row r="33" spans="3:13" x14ac:dyDescent="0.2">
      <c r="C33" s="178" t="s">
        <v>988</v>
      </c>
      <c r="D33" s="103" t="str">
        <f>_xlfn.XLOOKUP(C33,Detallado!C:C,Detallado!E:E,"ERROR",0)</f>
        <v>ERROR</v>
      </c>
      <c r="E33" s="306">
        <f>SUMIF(Detallado!C:C,ANALISIS!C33,Detallado!F:F)</f>
        <v>0</v>
      </c>
      <c r="F33" s="147" t="str">
        <f>_xlfn.XLOOKUP(C33,Detallado!C:C,Detallado!H:H,"ERROR",0)</f>
        <v>ERROR</v>
      </c>
      <c r="G33" s="102" t="e">
        <f t="shared" si="0"/>
        <v>#VALUE!</v>
      </c>
      <c r="H33" s="307" t="e">
        <f t="shared" si="1"/>
        <v>#VALUE!</v>
      </c>
      <c r="J33" s="147">
        <v>17083.609400666628</v>
      </c>
      <c r="K33" s="147">
        <v>99121.66428407788</v>
      </c>
      <c r="M33" s="136" t="e">
        <f t="shared" si="2"/>
        <v>#VALUE!</v>
      </c>
    </row>
    <row r="34" spans="3:13" x14ac:dyDescent="0.2">
      <c r="C34" s="178" t="s">
        <v>139</v>
      </c>
      <c r="D34" s="103" t="str">
        <f>_xlfn.XLOOKUP(C34,Detallado!C:C,Detallado!E:E,"ERROR",0)</f>
        <v>ERROR</v>
      </c>
      <c r="E34" s="306">
        <f>SUMIF(Detallado!C:C,ANALISIS!C34,Detallado!F:F)</f>
        <v>0</v>
      </c>
      <c r="F34" s="147" t="str">
        <f>_xlfn.XLOOKUP(C34,Detallado!C:C,Detallado!H:H,"ERROR",0)</f>
        <v>ERROR</v>
      </c>
      <c r="G34" s="102" t="e">
        <f t="shared" si="0"/>
        <v>#VALUE!</v>
      </c>
      <c r="H34" s="307" t="e">
        <f t="shared" si="1"/>
        <v>#VALUE!</v>
      </c>
      <c r="J34" s="147">
        <v>4059.9999999999995</v>
      </c>
      <c r="K34" s="147">
        <v>40599.999999999993</v>
      </c>
      <c r="M34" s="136" t="e">
        <f t="shared" si="2"/>
        <v>#VALUE!</v>
      </c>
    </row>
    <row r="35" spans="3:13" x14ac:dyDescent="0.2">
      <c r="C35" s="178" t="s">
        <v>30</v>
      </c>
      <c r="D35" s="103" t="str">
        <f>_xlfn.XLOOKUP(C35,Detallado!C:C,Detallado!E:E,"ERROR",0)</f>
        <v>ERROR</v>
      </c>
      <c r="E35" s="306">
        <f>SUMIF(Detallado!C:C,ANALISIS!C35,Detallado!F:F)</f>
        <v>0</v>
      </c>
      <c r="F35" s="147" t="str">
        <f>_xlfn.XLOOKUP(C35,Detallado!C:C,Detallado!H:H,"ERROR",0)</f>
        <v>ERROR</v>
      </c>
      <c r="G35" s="102" t="e">
        <f t="shared" si="0"/>
        <v>#VALUE!</v>
      </c>
      <c r="H35" s="307" t="e">
        <f t="shared" si="1"/>
        <v>#VALUE!</v>
      </c>
      <c r="J35" s="147">
        <v>4832.5599999999995</v>
      </c>
      <c r="K35" s="147">
        <v>65239.55999999999</v>
      </c>
      <c r="M35" s="136" t="e">
        <f t="shared" si="2"/>
        <v>#VALUE!</v>
      </c>
    </row>
    <row r="36" spans="3:13" x14ac:dyDescent="0.2">
      <c r="C36" s="178" t="s">
        <v>381</v>
      </c>
      <c r="D36" s="103" t="str">
        <f>_xlfn.XLOOKUP(C36,Detallado!C:C,Detallado!E:E,"ERROR",0)</f>
        <v>ERROR</v>
      </c>
      <c r="E36" s="306">
        <f>SUMIF(Detallado!C:C,ANALISIS!C36,Detallado!F:F)</f>
        <v>0</v>
      </c>
      <c r="F36" s="147" t="str">
        <f>_xlfn.XLOOKUP(C36,Detallado!C:C,Detallado!H:H,"ERROR",0)</f>
        <v>ERROR</v>
      </c>
      <c r="G36" s="102" t="e">
        <f t="shared" si="0"/>
        <v>#VALUE!</v>
      </c>
      <c r="H36" s="307" t="e">
        <f t="shared" si="1"/>
        <v>#VALUE!</v>
      </c>
      <c r="J36" s="147">
        <v>3551.8271999999997</v>
      </c>
      <c r="K36" s="147">
        <v>7103.6543999999994</v>
      </c>
      <c r="M36" s="136" t="e">
        <f t="shared" si="2"/>
        <v>#VALUE!</v>
      </c>
    </row>
    <row r="37" spans="3:13" x14ac:dyDescent="0.2">
      <c r="C37" s="177" t="s">
        <v>202</v>
      </c>
      <c r="D37" s="103" t="str">
        <f>_xlfn.XLOOKUP(C37,Detallado!C:C,Detallado!E:E,"ERROR",0)</f>
        <v>ERROR</v>
      </c>
      <c r="E37" s="306">
        <f>SUMIF(Detallado!C:C,ANALISIS!C37,Detallado!F:F)</f>
        <v>0</v>
      </c>
      <c r="F37" s="147" t="str">
        <f>_xlfn.XLOOKUP(C37,Detallado!C:C,Detallado!H:H,"ERROR",0)</f>
        <v>ERROR</v>
      </c>
      <c r="G37" s="102" t="e">
        <f t="shared" si="0"/>
        <v>#VALUE!</v>
      </c>
      <c r="H37" s="307" t="e">
        <f t="shared" si="1"/>
        <v>#VALUE!</v>
      </c>
      <c r="J37" s="147">
        <v>2253.2767999999996</v>
      </c>
      <c r="K37" s="147">
        <v>22532.767999999996</v>
      </c>
      <c r="M37" s="136" t="e">
        <f t="shared" si="2"/>
        <v>#VALUE!</v>
      </c>
    </row>
    <row r="38" spans="3:13" x14ac:dyDescent="0.2">
      <c r="C38" s="177" t="s">
        <v>201</v>
      </c>
      <c r="D38" s="103" t="str">
        <f>_xlfn.XLOOKUP(C38,Detallado!C:C,Detallado!E:E,"ERROR",0)</f>
        <v>ERROR</v>
      </c>
      <c r="E38" s="306">
        <f>SUMIF(Detallado!C:C,ANALISIS!C38,Detallado!F:F)</f>
        <v>0</v>
      </c>
      <c r="F38" s="147" t="str">
        <f>_xlfn.XLOOKUP(C38,Detallado!C:C,Detallado!H:H,"ERROR",0)</f>
        <v>ERROR</v>
      </c>
      <c r="G38" s="102" t="e">
        <f t="shared" si="0"/>
        <v>#VALUE!</v>
      </c>
      <c r="H38" s="307" t="e">
        <f t="shared" si="1"/>
        <v>#VALUE!</v>
      </c>
      <c r="J38" s="147">
        <v>3024.12</v>
      </c>
      <c r="K38" s="147">
        <v>87699.48</v>
      </c>
      <c r="M38" s="136" t="e">
        <f t="shared" si="2"/>
        <v>#VALUE!</v>
      </c>
    </row>
    <row r="39" spans="3:13" x14ac:dyDescent="0.2">
      <c r="C39" s="177" t="s">
        <v>741</v>
      </c>
      <c r="D39" s="103" t="str">
        <f>_xlfn.XLOOKUP(C39,Detallado!C:C,Detallado!E:E,"ERROR",0)</f>
        <v>ERROR</v>
      </c>
      <c r="E39" s="306">
        <f>SUMIF(Detallado!C:C,ANALISIS!C39,Detallado!F:F)</f>
        <v>0</v>
      </c>
      <c r="F39" s="147" t="str">
        <f>_xlfn.XLOOKUP(C39,Detallado!C:C,Detallado!H:H,"ERROR",0)</f>
        <v>ERROR</v>
      </c>
      <c r="G39" s="102" t="e">
        <f t="shared" si="0"/>
        <v>#VALUE!</v>
      </c>
      <c r="H39" s="307" t="e">
        <f t="shared" si="1"/>
        <v>#VALUE!</v>
      </c>
      <c r="J39" s="147">
        <v>4118</v>
      </c>
      <c r="K39" s="147">
        <v>8236</v>
      </c>
      <c r="M39" s="136" t="e">
        <f t="shared" si="2"/>
        <v>#VALUE!</v>
      </c>
    </row>
    <row r="40" spans="3:13" x14ac:dyDescent="0.2">
      <c r="C40" s="177" t="s">
        <v>1418</v>
      </c>
      <c r="D40" s="103" t="str">
        <f>_xlfn.XLOOKUP(C40,Detallado!C:C,Detallado!E:E,"ERROR",0)</f>
        <v>ERROR</v>
      </c>
      <c r="E40" s="306">
        <f>SUMIF(Detallado!C:C,ANALISIS!C40,Detallado!F:F)</f>
        <v>0</v>
      </c>
      <c r="F40" s="147" t="str">
        <f>_xlfn.XLOOKUP(C40,Detallado!C:C,Detallado!H:H,"ERROR",0)</f>
        <v>ERROR</v>
      </c>
      <c r="G40" s="102" t="e">
        <f t="shared" si="0"/>
        <v>#VALUE!</v>
      </c>
      <c r="H40" s="307" t="e">
        <f t="shared" si="1"/>
        <v>#VALUE!</v>
      </c>
      <c r="J40" s="147">
        <v>33833.337199999878</v>
      </c>
      <c r="K40" s="147">
        <v>338333.37199999881</v>
      </c>
      <c r="M40" s="136" t="e">
        <f t="shared" si="2"/>
        <v>#VALUE!</v>
      </c>
    </row>
    <row r="41" spans="3:13" x14ac:dyDescent="0.2">
      <c r="C41" s="177" t="s">
        <v>834</v>
      </c>
      <c r="D41" s="103" t="str">
        <f>_xlfn.XLOOKUP(C41,Detallado!C:C,Detallado!E:E,"ERROR",0)</f>
        <v>ERROR</v>
      </c>
      <c r="E41" s="306">
        <f>SUMIF(Detallado!C:C,ANALISIS!C41,Detallado!F:F)</f>
        <v>0</v>
      </c>
      <c r="F41" s="147" t="str">
        <f>_xlfn.XLOOKUP(C41,Detallado!C:C,Detallado!H:H,"ERROR",0)</f>
        <v>ERROR</v>
      </c>
      <c r="G41" s="102" t="e">
        <f t="shared" si="0"/>
        <v>#VALUE!</v>
      </c>
      <c r="H41" s="307" t="e">
        <f t="shared" si="1"/>
        <v>#VALUE!</v>
      </c>
      <c r="J41" s="147">
        <v>7273.2</v>
      </c>
      <c r="K41" s="147">
        <v>14546.4</v>
      </c>
      <c r="M41" s="136" t="e">
        <f t="shared" si="2"/>
        <v>#VALUE!</v>
      </c>
    </row>
    <row r="42" spans="3:13" x14ac:dyDescent="0.2">
      <c r="C42" s="177" t="s">
        <v>904</v>
      </c>
      <c r="D42" s="103" t="str">
        <f>_xlfn.XLOOKUP(C42,Detallado!C:C,Detallado!E:E,"ERROR",0)</f>
        <v>ERROR</v>
      </c>
      <c r="E42" s="306">
        <f>SUMIF(Detallado!C:C,ANALISIS!C42,Detallado!F:F)</f>
        <v>0</v>
      </c>
      <c r="F42" s="147" t="str">
        <f>_xlfn.XLOOKUP(C42,Detallado!C:C,Detallado!H:H,"ERROR",0)</f>
        <v>ERROR</v>
      </c>
      <c r="G42" s="102" t="e">
        <f t="shared" si="0"/>
        <v>#VALUE!</v>
      </c>
      <c r="H42" s="307" t="e">
        <f t="shared" si="1"/>
        <v>#VALUE!</v>
      </c>
      <c r="J42" s="147">
        <v>9952.3939999999984</v>
      </c>
      <c r="K42" s="147">
        <v>109476.33399999999</v>
      </c>
      <c r="M42" s="136" t="e">
        <f t="shared" si="2"/>
        <v>#VALUE!</v>
      </c>
    </row>
    <row r="43" spans="3:13" x14ac:dyDescent="0.2">
      <c r="C43" s="177" t="s">
        <v>121</v>
      </c>
      <c r="D43" s="103" t="str">
        <f>_xlfn.XLOOKUP(C43,Detallado!C:C,Detallado!E:E,"ERROR",0)</f>
        <v>ERROR</v>
      </c>
      <c r="E43" s="306">
        <f>SUMIF(Detallado!C:C,ANALISIS!C43,Detallado!F:F)</f>
        <v>0</v>
      </c>
      <c r="F43" s="147" t="str">
        <f>_xlfn.XLOOKUP(C43,Detallado!C:C,Detallado!H:H,"ERROR",0)</f>
        <v>ERROR</v>
      </c>
      <c r="G43" s="102" t="e">
        <f t="shared" si="0"/>
        <v>#VALUE!</v>
      </c>
      <c r="H43" s="307" t="e">
        <f t="shared" si="1"/>
        <v>#VALUE!</v>
      </c>
      <c r="J43" s="147">
        <v>5782.5186839999997</v>
      </c>
      <c r="K43" s="147">
        <v>57825.186839999995</v>
      </c>
      <c r="M43" s="136" t="e">
        <f t="shared" si="2"/>
        <v>#VALUE!</v>
      </c>
    </row>
    <row r="44" spans="3:13" x14ac:dyDescent="0.2">
      <c r="C44" s="177" t="s">
        <v>71</v>
      </c>
      <c r="D44" s="103" t="str">
        <f>_xlfn.XLOOKUP(C44,Detallado!C:C,Detallado!E:E,"ERROR",0)</f>
        <v>ERROR</v>
      </c>
      <c r="E44" s="306">
        <f>SUMIF(Detallado!C:C,ANALISIS!C44,Detallado!F:F)</f>
        <v>0</v>
      </c>
      <c r="F44" s="147" t="str">
        <f>_xlfn.XLOOKUP(C44,Detallado!C:C,Detallado!H:H,"ERROR",0)</f>
        <v>ERROR</v>
      </c>
      <c r="G44" s="102" t="e">
        <f t="shared" si="0"/>
        <v>#VALUE!</v>
      </c>
      <c r="H44" s="307" t="e">
        <f t="shared" si="1"/>
        <v>#VALUE!</v>
      </c>
      <c r="J44" s="147">
        <v>117.24752727272663</v>
      </c>
      <c r="K44" s="147">
        <v>1002818.1007636308</v>
      </c>
      <c r="M44" s="136" t="e">
        <f t="shared" si="2"/>
        <v>#VALUE!</v>
      </c>
    </row>
    <row r="45" spans="3:13" x14ac:dyDescent="0.2">
      <c r="C45" s="177" t="s">
        <v>1872</v>
      </c>
      <c r="D45" s="103" t="str">
        <f>_xlfn.XLOOKUP(C45,Detallado!C:C,Detallado!E:E,"ERROR",0)</f>
        <v>ERROR</v>
      </c>
      <c r="E45" s="306">
        <f>SUMIF(Detallado!C:C,ANALISIS!C45,Detallado!F:F)</f>
        <v>0</v>
      </c>
      <c r="F45" s="147" t="str">
        <f>_xlfn.XLOOKUP(C45,Detallado!C:C,Detallado!H:H,"ERROR",0)</f>
        <v>ERROR</v>
      </c>
      <c r="G45" s="102" t="e">
        <f t="shared" si="0"/>
        <v>#VALUE!</v>
      </c>
      <c r="H45" s="307" t="e">
        <f t="shared" si="1"/>
        <v>#VALUE!</v>
      </c>
      <c r="J45" s="147">
        <v>4836.851999999988</v>
      </c>
      <c r="K45" s="147">
        <v>372437.60399999906</v>
      </c>
      <c r="M45" s="136" t="e">
        <f t="shared" si="2"/>
        <v>#VALUE!</v>
      </c>
    </row>
    <row r="46" spans="3:13" x14ac:dyDescent="0.2">
      <c r="C46" s="177" t="s">
        <v>122</v>
      </c>
      <c r="D46" s="103" t="str">
        <f>_xlfn.XLOOKUP(C46,Detallado!C:C,Detallado!E:E,"ERROR",0)</f>
        <v>ERROR</v>
      </c>
      <c r="E46" s="306">
        <f>SUMIF(Detallado!C:C,ANALISIS!C46,Detallado!F:F)</f>
        <v>0</v>
      </c>
      <c r="F46" s="147" t="str">
        <f>_xlfn.XLOOKUP(C46,Detallado!C:C,Detallado!H:H,"ERROR",0)</f>
        <v>ERROR</v>
      </c>
      <c r="G46" s="102" t="e">
        <f t="shared" si="0"/>
        <v>#VALUE!</v>
      </c>
      <c r="H46" s="307" t="e">
        <f t="shared" si="1"/>
        <v>#VALUE!</v>
      </c>
      <c r="J46" s="147">
        <v>179916</v>
      </c>
      <c r="K46" s="147">
        <v>0</v>
      </c>
      <c r="M46" s="136" t="e">
        <f t="shared" si="2"/>
        <v>#VALUE!</v>
      </c>
    </row>
    <row r="47" spans="3:13" x14ac:dyDescent="0.2">
      <c r="C47" s="177" t="s">
        <v>962</v>
      </c>
      <c r="D47" s="103" t="str">
        <f>_xlfn.XLOOKUP(C47,Detallado!C:C,Detallado!E:E,"ERROR",0)</f>
        <v>ERROR</v>
      </c>
      <c r="E47" s="306">
        <f>SUMIF(Detallado!C:C,ANALISIS!C47,Detallado!F:F)</f>
        <v>0</v>
      </c>
      <c r="F47" s="147" t="str">
        <f>_xlfn.XLOOKUP(C47,Detallado!C:C,Detallado!H:H,"ERROR",0)</f>
        <v>ERROR</v>
      </c>
      <c r="G47" s="102" t="e">
        <f t="shared" si="0"/>
        <v>#VALUE!</v>
      </c>
      <c r="H47" s="307" t="e">
        <f t="shared" si="1"/>
        <v>#VALUE!</v>
      </c>
      <c r="J47" s="147">
        <v>271150</v>
      </c>
      <c r="K47" s="147">
        <v>0</v>
      </c>
      <c r="M47" s="136" t="e">
        <f t="shared" si="2"/>
        <v>#VALUE!</v>
      </c>
    </row>
    <row r="48" spans="3:13" x14ac:dyDescent="0.2">
      <c r="C48" s="177" t="s">
        <v>168</v>
      </c>
      <c r="D48" s="103" t="str">
        <f>_xlfn.XLOOKUP(C48,Detallado!C:C,Detallado!E:E,"ERROR",0)</f>
        <v>ERROR</v>
      </c>
      <c r="E48" s="306">
        <f>SUMIF(Detallado!C:C,ANALISIS!C48,Detallado!F:F)</f>
        <v>0</v>
      </c>
      <c r="F48" s="147" t="str">
        <f>_xlfn.XLOOKUP(C48,Detallado!C:C,Detallado!H:H,"ERROR",0)</f>
        <v>ERROR</v>
      </c>
      <c r="G48" s="102" t="e">
        <f t="shared" si="0"/>
        <v>#VALUE!</v>
      </c>
      <c r="H48" s="307" t="e">
        <f t="shared" si="1"/>
        <v>#VALUE!</v>
      </c>
      <c r="J48" s="147">
        <v>16186.97142857138</v>
      </c>
      <c r="K48" s="147">
        <v>16186.97142857138</v>
      </c>
      <c r="M48" s="136" t="e">
        <f t="shared" si="2"/>
        <v>#VALUE!</v>
      </c>
    </row>
    <row r="49" spans="3:13" x14ac:dyDescent="0.2">
      <c r="C49" s="177" t="s">
        <v>169</v>
      </c>
      <c r="D49" s="103" t="str">
        <f>_xlfn.XLOOKUP(C49,Detallado!C:C,Detallado!E:E,"ERROR",0)</f>
        <v>ERROR</v>
      </c>
      <c r="E49" s="306">
        <f>SUMIF(Detallado!C:C,ANALISIS!C49,Detallado!F:F)</f>
        <v>0</v>
      </c>
      <c r="F49" s="147" t="str">
        <f>_xlfn.XLOOKUP(C49,Detallado!C:C,Detallado!H:H,"ERROR",0)</f>
        <v>ERROR</v>
      </c>
      <c r="G49" s="102" t="e">
        <f t="shared" si="0"/>
        <v>#VALUE!</v>
      </c>
      <c r="H49" s="307" t="e">
        <f t="shared" si="1"/>
        <v>#VALUE!</v>
      </c>
      <c r="J49" s="147">
        <v>97450.439999999988</v>
      </c>
      <c r="K49" s="147">
        <v>155920.704</v>
      </c>
      <c r="M49" s="136" t="e">
        <f t="shared" si="2"/>
        <v>#VALUE!</v>
      </c>
    </row>
    <row r="50" spans="3:13" x14ac:dyDescent="0.2">
      <c r="C50" s="177" t="s">
        <v>163</v>
      </c>
      <c r="D50" s="103" t="str">
        <f>_xlfn.XLOOKUP(C50,Detallado!C:C,Detallado!E:E,"ERROR",0)</f>
        <v>ERROR</v>
      </c>
      <c r="E50" s="306">
        <f>SUMIF(Detallado!C:C,ANALISIS!C50,Detallado!F:F)</f>
        <v>0</v>
      </c>
      <c r="F50" s="147" t="str">
        <f>_xlfn.XLOOKUP(C50,Detallado!C:C,Detallado!H:H,"ERROR",0)</f>
        <v>ERROR</v>
      </c>
      <c r="G50" s="102" t="e">
        <f t="shared" si="0"/>
        <v>#VALUE!</v>
      </c>
      <c r="H50" s="307" t="e">
        <f t="shared" si="1"/>
        <v>#VALUE!</v>
      </c>
      <c r="J50" s="147">
        <v>878.69999999999993</v>
      </c>
      <c r="K50" s="147">
        <v>204737.09999999998</v>
      </c>
      <c r="M50" s="136" t="e">
        <f t="shared" si="2"/>
        <v>#VALUE!</v>
      </c>
    </row>
    <row r="51" spans="3:13" x14ac:dyDescent="0.2">
      <c r="C51" s="177" t="s">
        <v>170</v>
      </c>
      <c r="D51" s="103" t="str">
        <f>_xlfn.XLOOKUP(C51,Detallado!C:C,Detallado!E:E,"ERROR",0)</f>
        <v>ERROR</v>
      </c>
      <c r="E51" s="306">
        <f>SUMIF(Detallado!C:C,ANALISIS!C51,Detallado!F:F)</f>
        <v>0</v>
      </c>
      <c r="F51" s="147" t="str">
        <f>_xlfn.XLOOKUP(C51,Detallado!C:C,Detallado!H:H,"ERROR",0)</f>
        <v>ERROR</v>
      </c>
      <c r="G51" s="102" t="e">
        <f t="shared" si="0"/>
        <v>#VALUE!</v>
      </c>
      <c r="H51" s="307" t="e">
        <f t="shared" si="1"/>
        <v>#VALUE!</v>
      </c>
      <c r="J51" s="147">
        <v>13729.759999999998</v>
      </c>
      <c r="K51" s="147">
        <v>13729.759999999998</v>
      </c>
      <c r="M51" s="136" t="e">
        <f t="shared" si="2"/>
        <v>#VALUE!</v>
      </c>
    </row>
    <row r="52" spans="3:13" x14ac:dyDescent="0.2">
      <c r="C52" s="177" t="s">
        <v>171</v>
      </c>
      <c r="D52" s="103" t="str">
        <f>_xlfn.XLOOKUP(C52,Detallado!C:C,Detallado!E:E,"ERROR",0)</f>
        <v>ERROR</v>
      </c>
      <c r="E52" s="306">
        <f>SUMIF(Detallado!C:C,ANALISIS!C52,Detallado!F:F)</f>
        <v>0</v>
      </c>
      <c r="F52" s="147" t="str">
        <f>_xlfn.XLOOKUP(C52,Detallado!C:C,Detallado!H:H,"ERROR",0)</f>
        <v>ERROR</v>
      </c>
      <c r="G52" s="102" t="e">
        <f t="shared" ref="G52:G111" si="3">E52*F52</f>
        <v>#VALUE!</v>
      </c>
      <c r="H52" s="307" t="e">
        <f t="shared" si="1"/>
        <v>#VALUE!</v>
      </c>
      <c r="J52" s="147">
        <v>94424</v>
      </c>
      <c r="K52" s="147">
        <v>94424</v>
      </c>
      <c r="M52" s="136" t="e">
        <f t="shared" si="2"/>
        <v>#VALUE!</v>
      </c>
    </row>
    <row r="53" spans="3:13" x14ac:dyDescent="0.2">
      <c r="C53" s="177" t="s">
        <v>172</v>
      </c>
      <c r="D53" s="103" t="str">
        <f>_xlfn.XLOOKUP(C53,Detallado!C:C,Detallado!E:E,"ERROR",0)</f>
        <v>ERROR</v>
      </c>
      <c r="E53" s="306">
        <f>SUMIF(Detallado!C:C,ANALISIS!C53,Detallado!F:F)</f>
        <v>0</v>
      </c>
      <c r="F53" s="147" t="str">
        <f>_xlfn.XLOOKUP(C53,Detallado!C:C,Detallado!H:H,"ERROR",0)</f>
        <v>ERROR</v>
      </c>
      <c r="G53" s="102" t="e">
        <f t="shared" si="3"/>
        <v>#VALUE!</v>
      </c>
      <c r="H53" s="307" t="e">
        <f t="shared" si="1"/>
        <v>#VALUE!</v>
      </c>
      <c r="J53" s="147">
        <v>50.128571428571377</v>
      </c>
      <c r="K53" s="147">
        <v>1754.4999999999982</v>
      </c>
      <c r="M53" s="136" t="e">
        <f t="shared" si="2"/>
        <v>#VALUE!</v>
      </c>
    </row>
    <row r="54" spans="3:13" x14ac:dyDescent="0.2">
      <c r="C54" s="177" t="s">
        <v>173</v>
      </c>
      <c r="D54" s="103" t="str">
        <f>_xlfn.XLOOKUP(C54,Detallado!C:C,Detallado!E:E,"ERROR",0)</f>
        <v>ERROR</v>
      </c>
      <c r="E54" s="306">
        <f>SUMIF(Detallado!C:C,ANALISIS!C54,Detallado!F:F)</f>
        <v>0</v>
      </c>
      <c r="F54" s="147" t="str">
        <f>_xlfn.XLOOKUP(C54,Detallado!C:C,Detallado!H:H,"ERROR",0)</f>
        <v>ERROR</v>
      </c>
      <c r="G54" s="102" t="e">
        <f t="shared" si="3"/>
        <v>#VALUE!</v>
      </c>
      <c r="H54" s="307" t="e">
        <f t="shared" si="1"/>
        <v>#VALUE!</v>
      </c>
      <c r="J54" s="147">
        <v>187.75428571428552</v>
      </c>
      <c r="K54" s="147">
        <v>563.26285714285655</v>
      </c>
      <c r="M54" s="136" t="e">
        <f t="shared" si="2"/>
        <v>#VALUE!</v>
      </c>
    </row>
    <row r="55" spans="3:13" x14ac:dyDescent="0.2">
      <c r="C55" s="178" t="s">
        <v>174</v>
      </c>
      <c r="D55" s="103" t="str">
        <f>_xlfn.XLOOKUP(C55,Detallado!C:C,Detallado!E:E,"ERROR",0)</f>
        <v>ERROR</v>
      </c>
      <c r="E55" s="306">
        <f>SUMIF(Detallado!C:C,ANALISIS!C55,Detallado!F:F)</f>
        <v>0</v>
      </c>
      <c r="F55" s="147" t="str">
        <f>_xlfn.XLOOKUP(C55,Detallado!C:C,Detallado!H:H,"ERROR",0)</f>
        <v>ERROR</v>
      </c>
      <c r="G55" s="102" t="e">
        <f t="shared" si="3"/>
        <v>#VALUE!</v>
      </c>
      <c r="H55" s="307" t="e">
        <f t="shared" si="1"/>
        <v>#VALUE!</v>
      </c>
      <c r="J55" s="147">
        <v>407.40857142857101</v>
      </c>
      <c r="K55" s="147">
        <v>1222.2257142857129</v>
      </c>
      <c r="M55" s="136" t="e">
        <f t="shared" si="2"/>
        <v>#VALUE!</v>
      </c>
    </row>
    <row r="56" spans="3:13" x14ac:dyDescent="0.2">
      <c r="C56" s="178" t="s">
        <v>175</v>
      </c>
      <c r="D56" s="103" t="str">
        <f>_xlfn.XLOOKUP(C56,Detallado!C:C,Detallado!E:E,"ERROR",0)</f>
        <v>ERROR</v>
      </c>
      <c r="E56" s="306">
        <f>SUMIF(Detallado!C:C,ANALISIS!C56,Detallado!F:F)</f>
        <v>0</v>
      </c>
      <c r="F56" s="147" t="str">
        <f>_xlfn.XLOOKUP(C56,Detallado!C:C,Detallado!H:H,"ERROR",0)</f>
        <v>ERROR</v>
      </c>
      <c r="G56" s="102" t="e">
        <f t="shared" si="3"/>
        <v>#VALUE!</v>
      </c>
      <c r="H56" s="307" t="e">
        <f t="shared" si="1"/>
        <v>#VALUE!</v>
      </c>
      <c r="J56" s="147">
        <v>5322.7428571428545</v>
      </c>
      <c r="K56" s="147">
        <v>5322.7428571428545</v>
      </c>
      <c r="M56" s="136" t="e">
        <f t="shared" si="2"/>
        <v>#VALUE!</v>
      </c>
    </row>
    <row r="57" spans="3:13" x14ac:dyDescent="0.2">
      <c r="C57" s="178" t="s">
        <v>164</v>
      </c>
      <c r="D57" s="103" t="str">
        <f>_xlfn.XLOOKUP(C57,Detallado!C:C,Detallado!E:E,"ERROR",0)</f>
        <v>ERROR</v>
      </c>
      <c r="E57" s="306">
        <f>SUMIF(Detallado!C:C,ANALISIS!C57,Detallado!F:F)</f>
        <v>0</v>
      </c>
      <c r="F57" s="147" t="str">
        <f>_xlfn.XLOOKUP(C57,Detallado!C:C,Detallado!H:H,"ERROR",0)</f>
        <v>ERROR</v>
      </c>
      <c r="G57" s="102" t="e">
        <f t="shared" si="3"/>
        <v>#VALUE!</v>
      </c>
      <c r="H57" s="307" t="e">
        <f t="shared" si="1"/>
        <v>#VALUE!</v>
      </c>
      <c r="J57" s="147">
        <v>6.38</v>
      </c>
      <c r="K57" s="147">
        <v>6380</v>
      </c>
      <c r="M57" s="136" t="e">
        <f t="shared" si="2"/>
        <v>#VALUE!</v>
      </c>
    </row>
    <row r="58" spans="3:13" x14ac:dyDescent="0.2">
      <c r="C58" s="178" t="s">
        <v>166</v>
      </c>
      <c r="D58" s="103" t="str">
        <f>_xlfn.XLOOKUP(C58,Detallado!C:C,Detallado!E:E,"ERROR",0)</f>
        <v>ERROR</v>
      </c>
      <c r="E58" s="306">
        <f>SUMIF(Detallado!C:C,ANALISIS!C58,Detallado!F:F)</f>
        <v>0</v>
      </c>
      <c r="F58" s="147" t="str">
        <f>_xlfn.XLOOKUP(C58,Detallado!C:C,Detallado!H:H,"ERROR",0)</f>
        <v>ERROR</v>
      </c>
      <c r="G58" s="102" t="e">
        <f t="shared" si="3"/>
        <v>#VALUE!</v>
      </c>
      <c r="H58" s="307" t="e">
        <f t="shared" si="1"/>
        <v>#VALUE!</v>
      </c>
      <c r="J58" s="147">
        <v>214.6</v>
      </c>
      <c r="K58" s="147">
        <v>32190</v>
      </c>
      <c r="M58" s="136" t="e">
        <f t="shared" si="2"/>
        <v>#VALUE!</v>
      </c>
    </row>
    <row r="59" spans="3:13" x14ac:dyDescent="0.2">
      <c r="C59" s="178" t="s">
        <v>285</v>
      </c>
      <c r="D59" s="103" t="str">
        <f>_xlfn.XLOOKUP(C59,Detallado!C:C,Detallado!E:E,"ERROR",0)</f>
        <v>ERROR</v>
      </c>
      <c r="E59" s="306">
        <f>SUMIF(Detallado!C:C,ANALISIS!C59,Detallado!F:F)</f>
        <v>0</v>
      </c>
      <c r="F59" s="147" t="str">
        <f>_xlfn.XLOOKUP(C59,Detallado!C:C,Detallado!H:H,"ERROR",0)</f>
        <v>ERROR</v>
      </c>
      <c r="G59" s="102" t="e">
        <f t="shared" si="3"/>
        <v>#VALUE!</v>
      </c>
      <c r="H59" s="307" t="e">
        <f t="shared" si="1"/>
        <v>#VALUE!</v>
      </c>
      <c r="J59" s="147">
        <v>1251.4891999999998</v>
      </c>
      <c r="K59" s="147">
        <v>1251.4891999999998</v>
      </c>
      <c r="M59" s="136" t="e">
        <f t="shared" si="2"/>
        <v>#VALUE!</v>
      </c>
    </row>
    <row r="60" spans="3:13" x14ac:dyDescent="0.2">
      <c r="C60" s="178" t="s">
        <v>287</v>
      </c>
      <c r="D60" s="103" t="str">
        <f>_xlfn.XLOOKUP(C60,Detallado!C:C,Detallado!E:E,"ERROR",0)</f>
        <v>ERROR</v>
      </c>
      <c r="E60" s="306">
        <f>SUMIF(Detallado!C:C,ANALISIS!C60,Detallado!F:F)</f>
        <v>0</v>
      </c>
      <c r="F60" s="147" t="str">
        <f>_xlfn.XLOOKUP(C60,Detallado!C:C,Detallado!H:H,"ERROR",0)</f>
        <v>ERROR</v>
      </c>
      <c r="G60" s="102" t="e">
        <f t="shared" si="3"/>
        <v>#VALUE!</v>
      </c>
      <c r="H60" s="307" t="e">
        <f t="shared" si="1"/>
        <v>#VALUE!</v>
      </c>
      <c r="J60" s="147">
        <v>1251.4891999999998</v>
      </c>
      <c r="K60" s="147">
        <v>3754.467599999999</v>
      </c>
      <c r="M60" s="136" t="e">
        <f t="shared" si="2"/>
        <v>#VALUE!</v>
      </c>
    </row>
    <row r="61" spans="3:13" x14ac:dyDescent="0.2">
      <c r="C61" s="178" t="s">
        <v>307</v>
      </c>
      <c r="D61" s="103" t="str">
        <f>_xlfn.XLOOKUP(C61,Detallado!C:C,Detallado!E:E,"ERROR",0)</f>
        <v>ERROR</v>
      </c>
      <c r="E61" s="306">
        <f>SUMIF(Detallado!C:C,ANALISIS!C61,Detallado!F:F)</f>
        <v>0</v>
      </c>
      <c r="F61" s="147" t="str">
        <f>_xlfn.XLOOKUP(C61,Detallado!C:C,Detallado!H:H,"ERROR",0)</f>
        <v>ERROR</v>
      </c>
      <c r="G61" s="102" t="e">
        <f t="shared" si="3"/>
        <v>#VALUE!</v>
      </c>
      <c r="H61" s="307" t="e">
        <f t="shared" si="1"/>
        <v>#VALUE!</v>
      </c>
      <c r="J61" s="147">
        <v>3081.0643999999998</v>
      </c>
      <c r="K61" s="147">
        <v>6162.1287999999995</v>
      </c>
      <c r="M61" s="136" t="e">
        <f t="shared" si="2"/>
        <v>#VALUE!</v>
      </c>
    </row>
    <row r="62" spans="3:13" x14ac:dyDescent="0.2">
      <c r="C62" s="177" t="s">
        <v>309</v>
      </c>
      <c r="D62" s="103" t="str">
        <f>_xlfn.XLOOKUP(C62,Detallado!C:C,Detallado!E:E,"ERROR",0)</f>
        <v>ERROR</v>
      </c>
      <c r="E62" s="306">
        <f>SUMIF(Detallado!C:C,ANALISIS!C62,Detallado!F:F)</f>
        <v>0</v>
      </c>
      <c r="F62" s="147" t="str">
        <f>_xlfn.XLOOKUP(C62,Detallado!C:C,Detallado!H:H,"ERROR",0)</f>
        <v>ERROR</v>
      </c>
      <c r="G62" s="102" t="e">
        <f t="shared" si="3"/>
        <v>#VALUE!</v>
      </c>
      <c r="H62" s="307" t="e">
        <f t="shared" si="1"/>
        <v>#VALUE!</v>
      </c>
      <c r="J62" s="147">
        <v>1577.6</v>
      </c>
      <c r="K62" s="147">
        <v>6310.4</v>
      </c>
      <c r="M62" s="136" t="e">
        <f t="shared" si="2"/>
        <v>#VALUE!</v>
      </c>
    </row>
    <row r="63" spans="3:13" x14ac:dyDescent="0.2">
      <c r="C63" s="177" t="s">
        <v>312</v>
      </c>
      <c r="D63" s="103" t="str">
        <f>_xlfn.XLOOKUP(C63,Detallado!C:C,Detallado!E:E,"ERROR",0)</f>
        <v>ERROR</v>
      </c>
      <c r="E63" s="306">
        <f>SUMIF(Detallado!C:C,ANALISIS!C63,Detallado!F:F)</f>
        <v>0</v>
      </c>
      <c r="F63" s="147" t="str">
        <f>_xlfn.XLOOKUP(C63,Detallado!C:C,Detallado!H:H,"ERROR",0)</f>
        <v>ERROR</v>
      </c>
      <c r="G63" s="102" t="e">
        <f t="shared" si="3"/>
        <v>#VALUE!</v>
      </c>
      <c r="H63" s="307" t="e">
        <f t="shared" si="1"/>
        <v>#VALUE!</v>
      </c>
      <c r="J63" s="147">
        <v>5512.1485519999887</v>
      </c>
      <c r="K63" s="147">
        <v>5512.1485519999887</v>
      </c>
      <c r="M63" s="136" t="e">
        <f t="shared" si="2"/>
        <v>#VALUE!</v>
      </c>
    </row>
    <row r="64" spans="3:13" x14ac:dyDescent="0.2">
      <c r="C64" s="177" t="s">
        <v>315</v>
      </c>
      <c r="D64" s="103" t="str">
        <f>_xlfn.XLOOKUP(C64,Detallado!C:C,Detallado!E:E,"ERROR",0)</f>
        <v>ERROR</v>
      </c>
      <c r="E64" s="306">
        <f>SUMIF(Detallado!C:C,ANALISIS!C64,Detallado!F:F)</f>
        <v>0</v>
      </c>
      <c r="F64" s="147" t="str">
        <f>_xlfn.XLOOKUP(C64,Detallado!C:C,Detallado!H:H,"ERROR",0)</f>
        <v>ERROR</v>
      </c>
      <c r="G64" s="102" t="e">
        <f t="shared" si="3"/>
        <v>#VALUE!</v>
      </c>
      <c r="H64" s="307" t="e">
        <f t="shared" si="1"/>
        <v>#VALUE!</v>
      </c>
      <c r="J64" s="147">
        <v>243.30999999999997</v>
      </c>
      <c r="K64" s="147">
        <v>729.93</v>
      </c>
      <c r="M64" s="136" t="e">
        <f t="shared" si="2"/>
        <v>#VALUE!</v>
      </c>
    </row>
    <row r="65" spans="3:13" x14ac:dyDescent="0.2">
      <c r="C65" s="178" t="s">
        <v>318</v>
      </c>
      <c r="D65" s="103" t="str">
        <f>_xlfn.XLOOKUP(C65,Detallado!C:C,Detallado!E:E,"ERROR",0)</f>
        <v>ERROR</v>
      </c>
      <c r="E65" s="306">
        <f>SUMIF(Detallado!C:C,ANALISIS!C65,Detallado!F:F)</f>
        <v>0</v>
      </c>
      <c r="F65" s="147" t="str">
        <f>_xlfn.XLOOKUP(C65,Detallado!C:C,Detallado!H:H,"ERROR",0)</f>
        <v>ERROR</v>
      </c>
      <c r="G65" s="102" t="e">
        <f t="shared" si="3"/>
        <v>#VALUE!</v>
      </c>
      <c r="H65" s="307" t="e">
        <f t="shared" si="1"/>
        <v>#VALUE!</v>
      </c>
      <c r="J65" s="147">
        <v>88911.679999999993</v>
      </c>
      <c r="K65" s="147">
        <v>177823.35999999999</v>
      </c>
      <c r="M65" s="136" t="e">
        <f t="shared" si="2"/>
        <v>#VALUE!</v>
      </c>
    </row>
    <row r="66" spans="3:13" x14ac:dyDescent="0.2">
      <c r="C66" s="178" t="s">
        <v>327</v>
      </c>
      <c r="D66" s="103" t="str">
        <f>_xlfn.XLOOKUP(C66,Detallado!C:C,Detallado!E:E,"ERROR",0)</f>
        <v>ERROR</v>
      </c>
      <c r="E66" s="306">
        <f>SUMIF(Detallado!C:C,ANALISIS!C66,Detallado!F:F)</f>
        <v>0</v>
      </c>
      <c r="F66" s="147" t="str">
        <f>_xlfn.XLOOKUP(C66,Detallado!C:C,Detallado!H:H,"ERROR",0)</f>
        <v>ERROR</v>
      </c>
      <c r="G66" s="102" t="e">
        <f t="shared" si="3"/>
        <v>#VALUE!</v>
      </c>
      <c r="H66" s="307" t="e">
        <f t="shared" ref="H66:H129" si="4">G66/$G$313</f>
        <v>#VALUE!</v>
      </c>
      <c r="J66" s="147">
        <v>34470.223599999998</v>
      </c>
      <c r="K66" s="147">
        <v>34470.223599999998</v>
      </c>
      <c r="M66" s="136" t="e">
        <f t="shared" si="2"/>
        <v>#VALUE!</v>
      </c>
    </row>
    <row r="67" spans="3:13" x14ac:dyDescent="0.2">
      <c r="C67" s="178" t="s">
        <v>329</v>
      </c>
      <c r="D67" s="103" t="str">
        <f>_xlfn.XLOOKUP(C67,Detallado!C:C,Detallado!E:E,"ERROR",0)</f>
        <v>ERROR</v>
      </c>
      <c r="E67" s="306">
        <f>SUMIF(Detallado!C:C,ANALISIS!C67,Detallado!F:F)</f>
        <v>0</v>
      </c>
      <c r="F67" s="147" t="str">
        <f>_xlfn.XLOOKUP(C67,Detallado!C:C,Detallado!H:H,"ERROR",0)</f>
        <v>ERROR</v>
      </c>
      <c r="G67" s="102" t="e">
        <f t="shared" si="3"/>
        <v>#VALUE!</v>
      </c>
      <c r="H67" s="307" t="e">
        <f t="shared" si="4"/>
        <v>#VALUE!</v>
      </c>
      <c r="J67" s="147">
        <v>37178</v>
      </c>
      <c r="K67" s="147">
        <v>297424</v>
      </c>
      <c r="M67" s="136" t="e">
        <f t="shared" ref="M67:M130" si="5">+K67-G67</f>
        <v>#VALUE!</v>
      </c>
    </row>
    <row r="68" spans="3:13" x14ac:dyDescent="0.2">
      <c r="C68" s="178" t="s">
        <v>332</v>
      </c>
      <c r="D68" s="103" t="str">
        <f>_xlfn.XLOOKUP(C68,Detallado!C:C,Detallado!E:E,"ERROR",0)</f>
        <v>ERROR</v>
      </c>
      <c r="E68" s="306">
        <f>SUMIF(Detallado!C:C,ANALISIS!C68,Detallado!F:F)</f>
        <v>0</v>
      </c>
      <c r="F68" s="147" t="str">
        <f>_xlfn.XLOOKUP(C68,Detallado!C:C,Detallado!H:H,"ERROR",0)</f>
        <v>ERROR</v>
      </c>
      <c r="G68" s="102" t="e">
        <f t="shared" si="3"/>
        <v>#VALUE!</v>
      </c>
      <c r="H68" s="307" t="e">
        <f t="shared" si="4"/>
        <v>#VALUE!</v>
      </c>
      <c r="J68" s="147">
        <v>14666.691999999999</v>
      </c>
      <c r="K68" s="147">
        <v>14666.691999999999</v>
      </c>
      <c r="M68" s="136" t="e">
        <f t="shared" si="5"/>
        <v>#VALUE!</v>
      </c>
    </row>
    <row r="69" spans="3:13" x14ac:dyDescent="0.2">
      <c r="C69" s="178" t="s">
        <v>334</v>
      </c>
      <c r="D69" s="103" t="str">
        <f>_xlfn.XLOOKUP(C69,Detallado!C:C,Detallado!E:E,"ERROR",0)</f>
        <v>ERROR</v>
      </c>
      <c r="E69" s="306">
        <f>SUMIF(Detallado!C:C,ANALISIS!C69,Detallado!F:F)</f>
        <v>0</v>
      </c>
      <c r="F69" s="147" t="str">
        <f>_xlfn.XLOOKUP(C69,Detallado!C:C,Detallado!H:H,"ERROR",0)</f>
        <v>ERROR</v>
      </c>
      <c r="G69" s="102" t="e">
        <f t="shared" si="3"/>
        <v>#VALUE!</v>
      </c>
      <c r="H69" s="307" t="e">
        <f t="shared" si="4"/>
        <v>#VALUE!</v>
      </c>
      <c r="J69" s="147">
        <v>11588.4</v>
      </c>
      <c r="K69" s="147">
        <v>23176.799999999999</v>
      </c>
      <c r="M69" s="136" t="e">
        <f t="shared" si="5"/>
        <v>#VALUE!</v>
      </c>
    </row>
    <row r="70" spans="3:13" x14ac:dyDescent="0.2">
      <c r="C70" s="178" t="s">
        <v>344</v>
      </c>
      <c r="D70" s="103" t="str">
        <f>_xlfn.XLOOKUP(C70,Detallado!C:C,Detallado!E:E,"ERROR",0)</f>
        <v>ERROR</v>
      </c>
      <c r="E70" s="306">
        <f>SUMIF(Detallado!C:C,ANALISIS!C70,Detallado!F:F)</f>
        <v>0</v>
      </c>
      <c r="F70" s="147" t="str">
        <f>_xlfn.XLOOKUP(C70,Detallado!C:C,Detallado!H:H,"ERROR",0)</f>
        <v>ERROR</v>
      </c>
      <c r="G70" s="102" t="e">
        <f t="shared" si="3"/>
        <v>#VALUE!</v>
      </c>
      <c r="H70" s="307" t="e">
        <f t="shared" si="4"/>
        <v>#VALUE!</v>
      </c>
      <c r="J70" s="147">
        <v>484.87999999999994</v>
      </c>
      <c r="K70" s="147">
        <v>17455.679999999997</v>
      </c>
      <c r="M70" s="136" t="e">
        <f t="shared" si="5"/>
        <v>#VALUE!</v>
      </c>
    </row>
    <row r="71" spans="3:13" x14ac:dyDescent="0.2">
      <c r="C71" s="178" t="s">
        <v>346</v>
      </c>
      <c r="D71" s="103" t="str">
        <f>_xlfn.XLOOKUP(C71,Detallado!C:C,Detallado!E:E,"ERROR",0)</f>
        <v>ERROR</v>
      </c>
      <c r="E71" s="306">
        <f>SUMIF(Detallado!C:C,ANALISIS!C71,Detallado!F:F)</f>
        <v>0</v>
      </c>
      <c r="F71" s="147" t="str">
        <f>_xlfn.XLOOKUP(C71,Detallado!C:C,Detallado!H:H,"ERROR",0)</f>
        <v>ERROR</v>
      </c>
      <c r="G71" s="102" t="e">
        <f t="shared" si="3"/>
        <v>#VALUE!</v>
      </c>
      <c r="H71" s="307" t="e">
        <f t="shared" si="4"/>
        <v>#VALUE!</v>
      </c>
      <c r="J71" s="147">
        <v>504.02</v>
      </c>
      <c r="K71" s="147">
        <v>9072.36</v>
      </c>
      <c r="M71" s="136" t="e">
        <f t="shared" si="5"/>
        <v>#VALUE!</v>
      </c>
    </row>
    <row r="72" spans="3:13" x14ac:dyDescent="0.2">
      <c r="C72" s="178" t="s">
        <v>348</v>
      </c>
      <c r="D72" s="103" t="str">
        <f>_xlfn.XLOOKUP(C72,Detallado!C:C,Detallado!E:E,"ERROR",0)</f>
        <v>ERROR</v>
      </c>
      <c r="E72" s="306">
        <f>SUMIF(Detallado!C:C,ANALISIS!C72,Detallado!F:F)</f>
        <v>0</v>
      </c>
      <c r="F72" s="147" t="str">
        <f>_xlfn.XLOOKUP(C72,Detallado!C:C,Detallado!H:H,"ERROR",0)</f>
        <v>ERROR</v>
      </c>
      <c r="G72" s="102" t="e">
        <f t="shared" si="3"/>
        <v>#VALUE!</v>
      </c>
      <c r="H72" s="307" t="e">
        <f t="shared" si="4"/>
        <v>#VALUE!</v>
      </c>
      <c r="J72" s="147">
        <v>282.63400000000001</v>
      </c>
      <c r="K72" s="147">
        <v>28263.4</v>
      </c>
      <c r="M72" s="136" t="e">
        <f t="shared" si="5"/>
        <v>#VALUE!</v>
      </c>
    </row>
    <row r="73" spans="3:13" x14ac:dyDescent="0.2">
      <c r="C73" s="178" t="s">
        <v>350</v>
      </c>
      <c r="D73" s="103" t="str">
        <f>_xlfn.XLOOKUP(C73,Detallado!C:C,Detallado!E:E,"ERROR",0)</f>
        <v>ERROR</v>
      </c>
      <c r="E73" s="306">
        <f>SUMIF(Detallado!C:C,ANALISIS!C73,Detallado!F:F)</f>
        <v>0</v>
      </c>
      <c r="F73" s="147" t="str">
        <f>_xlfn.XLOOKUP(C73,Detallado!C:C,Detallado!H:H,"ERROR",0)</f>
        <v>ERROR</v>
      </c>
      <c r="G73" s="102" t="e">
        <f t="shared" si="3"/>
        <v>#VALUE!</v>
      </c>
      <c r="H73" s="307" t="e">
        <f t="shared" si="4"/>
        <v>#VALUE!</v>
      </c>
      <c r="J73" s="147">
        <v>280.71999999999997</v>
      </c>
      <c r="K73" s="147">
        <v>56143.999999999993</v>
      </c>
      <c r="M73" s="136" t="e">
        <f t="shared" si="5"/>
        <v>#VALUE!</v>
      </c>
    </row>
    <row r="74" spans="3:13" x14ac:dyDescent="0.2">
      <c r="C74" s="178" t="s">
        <v>352</v>
      </c>
      <c r="D74" s="103" t="str">
        <f>_xlfn.XLOOKUP(C74,Detallado!C:C,Detallado!E:E,"ERROR",0)</f>
        <v>ERROR</v>
      </c>
      <c r="E74" s="306">
        <f>SUMIF(Detallado!C:C,ANALISIS!C74,Detallado!F:F)</f>
        <v>0</v>
      </c>
      <c r="F74" s="147" t="str">
        <f>_xlfn.XLOOKUP(C74,Detallado!C:C,Detallado!H:H,"ERROR",0)</f>
        <v>ERROR</v>
      </c>
      <c r="G74" s="102" t="e">
        <f t="shared" si="3"/>
        <v>#VALUE!</v>
      </c>
      <c r="H74" s="307" t="e">
        <f t="shared" si="4"/>
        <v>#VALUE!</v>
      </c>
      <c r="J74" s="147">
        <v>280.71999999999997</v>
      </c>
      <c r="K74" s="147">
        <v>28071.999999999996</v>
      </c>
      <c r="M74" s="136" t="e">
        <f t="shared" si="5"/>
        <v>#VALUE!</v>
      </c>
    </row>
    <row r="75" spans="3:13" x14ac:dyDescent="0.2">
      <c r="C75" s="178" t="s">
        <v>355</v>
      </c>
      <c r="D75" s="103" t="str">
        <f>_xlfn.XLOOKUP(C75,Detallado!C:C,Detallado!E:E,"ERROR",0)</f>
        <v>ERROR</v>
      </c>
      <c r="E75" s="306">
        <f>SUMIF(Detallado!C:C,ANALISIS!C75,Detallado!F:F)</f>
        <v>0</v>
      </c>
      <c r="F75" s="147" t="str">
        <f>_xlfn.XLOOKUP(C75,Detallado!C:C,Detallado!H:H,"ERROR",0)</f>
        <v>ERROR</v>
      </c>
      <c r="G75" s="102" t="e">
        <f t="shared" si="3"/>
        <v>#VALUE!</v>
      </c>
      <c r="H75" s="307" t="e">
        <f t="shared" si="4"/>
        <v>#VALUE!</v>
      </c>
      <c r="J75" s="147">
        <v>281.67699999999996</v>
      </c>
      <c r="K75" s="147">
        <v>42251.549999999996</v>
      </c>
      <c r="M75" s="136" t="e">
        <f t="shared" si="5"/>
        <v>#VALUE!</v>
      </c>
    </row>
    <row r="76" spans="3:13" x14ac:dyDescent="0.2">
      <c r="C76" s="178" t="s">
        <v>356</v>
      </c>
      <c r="D76" s="103" t="str">
        <f>_xlfn.XLOOKUP(C76,Detallado!C:C,Detallado!E:E,"ERROR",0)</f>
        <v>ERROR</v>
      </c>
      <c r="E76" s="306">
        <f>SUMIF(Detallado!C:C,ANALISIS!C76,Detallado!F:F)</f>
        <v>0</v>
      </c>
      <c r="F76" s="147" t="str">
        <f>_xlfn.XLOOKUP(C76,Detallado!C:C,Detallado!H:H,"ERROR",0)</f>
        <v>ERROR</v>
      </c>
      <c r="G76" s="102" t="e">
        <f t="shared" si="3"/>
        <v>#VALUE!</v>
      </c>
      <c r="H76" s="307" t="e">
        <f t="shared" si="4"/>
        <v>#VALUE!</v>
      </c>
      <c r="J76" s="147">
        <v>281.43774999999999</v>
      </c>
      <c r="K76" s="147">
        <v>56287.549999999996</v>
      </c>
      <c r="M76" s="136" t="e">
        <f t="shared" si="5"/>
        <v>#VALUE!</v>
      </c>
    </row>
    <row r="77" spans="3:13" x14ac:dyDescent="0.2">
      <c r="C77" s="178" t="s">
        <v>358</v>
      </c>
      <c r="D77" s="103" t="str">
        <f>_xlfn.XLOOKUP(C77,Detallado!C:C,Detallado!E:E,"ERROR",0)</f>
        <v>ERROR</v>
      </c>
      <c r="E77" s="306">
        <f>SUMIF(Detallado!C:C,ANALISIS!C77,Detallado!F:F)</f>
        <v>0</v>
      </c>
      <c r="F77" s="147" t="str">
        <f>_xlfn.XLOOKUP(C77,Detallado!C:C,Detallado!H:H,"ERROR",0)</f>
        <v>ERROR</v>
      </c>
      <c r="G77" s="102" t="e">
        <f t="shared" si="3"/>
        <v>#VALUE!</v>
      </c>
      <c r="H77" s="307" t="e">
        <f t="shared" si="4"/>
        <v>#VALUE!</v>
      </c>
      <c r="J77" s="147">
        <v>848.54</v>
      </c>
      <c r="K77" s="147">
        <v>16970.8</v>
      </c>
      <c r="M77" s="136" t="e">
        <f t="shared" si="5"/>
        <v>#VALUE!</v>
      </c>
    </row>
    <row r="78" spans="3:13" x14ac:dyDescent="0.2">
      <c r="C78" s="178" t="s">
        <v>360</v>
      </c>
      <c r="D78" s="103" t="str">
        <f>_xlfn.XLOOKUP(C78,Detallado!C:C,Detallado!E:E,"ERROR",0)</f>
        <v>ERROR</v>
      </c>
      <c r="E78" s="306">
        <f>SUMIF(Detallado!C:C,ANALISIS!C78,Detallado!F:F)</f>
        <v>0</v>
      </c>
      <c r="F78" s="147" t="str">
        <f>_xlfn.XLOOKUP(C78,Detallado!C:C,Detallado!H:H,"ERROR",0)</f>
        <v>ERROR</v>
      </c>
      <c r="G78" s="102" t="e">
        <f t="shared" si="3"/>
        <v>#VALUE!</v>
      </c>
      <c r="H78" s="307" t="e">
        <f t="shared" si="4"/>
        <v>#VALUE!</v>
      </c>
      <c r="J78" s="147">
        <v>810.26</v>
      </c>
      <c r="K78" s="147">
        <v>48615.6</v>
      </c>
      <c r="M78" s="136" t="e">
        <f t="shared" si="5"/>
        <v>#VALUE!</v>
      </c>
    </row>
    <row r="79" spans="3:13" x14ac:dyDescent="0.2">
      <c r="C79" s="178" t="s">
        <v>362</v>
      </c>
      <c r="D79" s="103" t="str">
        <f>_xlfn.XLOOKUP(C79,Detallado!C:C,Detallado!E:E,"ERROR",0)</f>
        <v>ERROR</v>
      </c>
      <c r="E79" s="306">
        <f>SUMIF(Detallado!C:C,ANALISIS!C79,Detallado!F:F)</f>
        <v>0</v>
      </c>
      <c r="F79" s="147" t="str">
        <f>_xlfn.XLOOKUP(C79,Detallado!C:C,Detallado!H:H,"ERROR",0)</f>
        <v>ERROR</v>
      </c>
      <c r="G79" s="102" t="e">
        <f t="shared" si="3"/>
        <v>#VALUE!</v>
      </c>
      <c r="H79" s="307" t="e">
        <f t="shared" si="4"/>
        <v>#VALUE!</v>
      </c>
      <c r="J79" s="147">
        <v>810.26</v>
      </c>
      <c r="K79" s="147">
        <v>16205.2</v>
      </c>
      <c r="M79" s="136" t="e">
        <f t="shared" si="5"/>
        <v>#VALUE!</v>
      </c>
    </row>
    <row r="80" spans="3:13" x14ac:dyDescent="0.2">
      <c r="C80" s="178" t="s">
        <v>364</v>
      </c>
      <c r="D80" s="103" t="str">
        <f>_xlfn.XLOOKUP(C80,Detallado!C:C,Detallado!E:E,"ERROR",0)</f>
        <v>ERROR</v>
      </c>
      <c r="E80" s="306">
        <f>SUMIF(Detallado!C:C,ANALISIS!C80,Detallado!F:F)</f>
        <v>0</v>
      </c>
      <c r="F80" s="147" t="str">
        <f>_xlfn.XLOOKUP(C80,Detallado!C:C,Detallado!H:H,"ERROR",0)</f>
        <v>ERROR</v>
      </c>
      <c r="G80" s="102" t="e">
        <f t="shared" si="3"/>
        <v>#VALUE!</v>
      </c>
      <c r="H80" s="307" t="e">
        <f t="shared" si="4"/>
        <v>#VALUE!</v>
      </c>
      <c r="J80" s="147">
        <v>883.85040000000004</v>
      </c>
      <c r="K80" s="147">
        <v>132577.56</v>
      </c>
      <c r="M80" s="136" t="e">
        <f t="shared" si="5"/>
        <v>#VALUE!</v>
      </c>
    </row>
    <row r="81" spans="3:13" x14ac:dyDescent="0.2">
      <c r="C81" s="177" t="s">
        <v>367</v>
      </c>
      <c r="D81" s="103" t="str">
        <f>_xlfn.XLOOKUP(C81,Detallado!C:C,Detallado!E:E,"ERROR",0)</f>
        <v>ERROR</v>
      </c>
      <c r="E81" s="306">
        <f>SUMIF(Detallado!C:C,ANALISIS!C81,Detallado!F:F)</f>
        <v>0</v>
      </c>
      <c r="F81" s="147" t="str">
        <f>_xlfn.XLOOKUP(C81,Detallado!C:C,Detallado!H:H,"ERROR",0)</f>
        <v>ERROR</v>
      </c>
      <c r="G81" s="102" t="e">
        <f t="shared" si="3"/>
        <v>#VALUE!</v>
      </c>
      <c r="H81" s="307" t="e">
        <f t="shared" si="4"/>
        <v>#VALUE!</v>
      </c>
      <c r="J81" s="147">
        <v>349.70519999999999</v>
      </c>
      <c r="K81" s="147">
        <v>6994.1039999999994</v>
      </c>
      <c r="M81" s="136" t="e">
        <f t="shared" si="5"/>
        <v>#VALUE!</v>
      </c>
    </row>
    <row r="82" spans="3:13" x14ac:dyDescent="0.2">
      <c r="C82" s="177" t="s">
        <v>369</v>
      </c>
      <c r="D82" s="103" t="str">
        <f>_xlfn.XLOOKUP(C82,Detallado!C:C,Detallado!E:E,"ERROR",0)</f>
        <v>ERROR</v>
      </c>
      <c r="E82" s="306">
        <f>SUMIF(Detallado!C:C,ANALISIS!C82,Detallado!F:F)</f>
        <v>0</v>
      </c>
      <c r="F82" s="147" t="str">
        <f>_xlfn.XLOOKUP(C82,Detallado!C:C,Detallado!H:H,"ERROR",0)</f>
        <v>ERROR</v>
      </c>
      <c r="G82" s="102" t="e">
        <f t="shared" si="3"/>
        <v>#VALUE!</v>
      </c>
      <c r="H82" s="307" t="e">
        <f t="shared" si="4"/>
        <v>#VALUE!</v>
      </c>
      <c r="J82" s="147">
        <v>1461.02</v>
      </c>
      <c r="K82" s="147">
        <v>43830.6</v>
      </c>
      <c r="M82" s="136" t="e">
        <f t="shared" si="5"/>
        <v>#VALUE!</v>
      </c>
    </row>
    <row r="83" spans="3:13" x14ac:dyDescent="0.2">
      <c r="C83" s="177" t="s">
        <v>378</v>
      </c>
      <c r="D83" s="103" t="str">
        <f>_xlfn.XLOOKUP(C83,Detallado!C:C,Detallado!E:E,"ERROR",0)</f>
        <v>ERROR</v>
      </c>
      <c r="E83" s="306">
        <f>SUMIF(Detallado!C:C,ANALISIS!C83,Detallado!F:F)</f>
        <v>0</v>
      </c>
      <c r="F83" s="147" t="str">
        <f>_xlfn.XLOOKUP(C83,Detallado!C:C,Detallado!H:H,"ERROR",0)</f>
        <v>ERROR</v>
      </c>
      <c r="G83" s="102" t="e">
        <f t="shared" si="3"/>
        <v>#VALUE!</v>
      </c>
      <c r="H83" s="307" t="e">
        <f t="shared" si="4"/>
        <v>#VALUE!</v>
      </c>
      <c r="J83" s="147">
        <v>698.23879999999986</v>
      </c>
      <c r="K83" s="147">
        <v>698.23879999999986</v>
      </c>
      <c r="M83" s="136" t="e">
        <f t="shared" si="5"/>
        <v>#VALUE!</v>
      </c>
    </row>
    <row r="84" spans="3:13" x14ac:dyDescent="0.2">
      <c r="C84" s="177" t="s">
        <v>383</v>
      </c>
      <c r="D84" s="103" t="str">
        <f>_xlfn.XLOOKUP(C84,Detallado!C:C,Detallado!E:E,"ERROR",0)</f>
        <v>ERROR</v>
      </c>
      <c r="E84" s="306">
        <f>SUMIF(Detallado!C:C,ANALISIS!C84,Detallado!F:F)</f>
        <v>0</v>
      </c>
      <c r="F84" s="147" t="str">
        <f>_xlfn.XLOOKUP(C84,Detallado!C:C,Detallado!H:H,"ERROR",0)</f>
        <v>ERROR</v>
      </c>
      <c r="G84" s="102" t="e">
        <f t="shared" si="3"/>
        <v>#VALUE!</v>
      </c>
      <c r="H84" s="307" t="e">
        <f t="shared" si="4"/>
        <v>#VALUE!</v>
      </c>
      <c r="J84" s="147">
        <v>669.44179999999994</v>
      </c>
      <c r="K84" s="147">
        <v>8033.3015999999989</v>
      </c>
      <c r="M84" s="136" t="e">
        <f t="shared" si="5"/>
        <v>#VALUE!</v>
      </c>
    </row>
    <row r="85" spans="3:13" x14ac:dyDescent="0.2">
      <c r="C85" s="177" t="s">
        <v>574</v>
      </c>
      <c r="D85" s="103" t="str">
        <f>_xlfn.XLOOKUP(C85,Detallado!C:C,Detallado!E:E,"ERROR",0)</f>
        <v>ERROR</v>
      </c>
      <c r="E85" s="306">
        <f>SUMIF(Detallado!C:C,ANALISIS!C85,Detallado!F:F)</f>
        <v>0</v>
      </c>
      <c r="F85" s="147" t="str">
        <f>_xlfn.XLOOKUP(C85,Detallado!C:C,Detallado!H:H,"ERROR",0)</f>
        <v>ERROR</v>
      </c>
      <c r="G85" s="102" t="e">
        <f t="shared" si="3"/>
        <v>#VALUE!</v>
      </c>
      <c r="H85" s="307" t="e">
        <f t="shared" si="4"/>
        <v>#VALUE!</v>
      </c>
      <c r="J85" s="147">
        <v>594.12415999999996</v>
      </c>
      <c r="K85" s="147">
        <v>19011.973119999999</v>
      </c>
      <c r="M85" s="136" t="e">
        <f t="shared" si="5"/>
        <v>#VALUE!</v>
      </c>
    </row>
    <row r="86" spans="3:13" x14ac:dyDescent="0.2">
      <c r="C86" s="177" t="s">
        <v>389</v>
      </c>
      <c r="D86" s="103" t="str">
        <f>_xlfn.XLOOKUP(C86,Detallado!C:C,Detallado!E:E,"ERROR",0)</f>
        <v>ERROR</v>
      </c>
      <c r="E86" s="306">
        <f>SUMIF(Detallado!C:C,ANALISIS!C86,Detallado!F:F)</f>
        <v>0</v>
      </c>
      <c r="F86" s="147" t="str">
        <f>_xlfn.XLOOKUP(C86,Detallado!C:C,Detallado!H:H,"ERROR",0)</f>
        <v>ERROR</v>
      </c>
      <c r="G86" s="102" t="e">
        <f t="shared" si="3"/>
        <v>#VALUE!</v>
      </c>
      <c r="H86" s="307" t="e">
        <f t="shared" si="4"/>
        <v>#VALUE!</v>
      </c>
      <c r="J86" s="147">
        <v>200796</v>
      </c>
      <c r="K86" s="147">
        <v>200796</v>
      </c>
      <c r="M86" s="136" t="e">
        <f t="shared" si="5"/>
        <v>#VALUE!</v>
      </c>
    </row>
    <row r="87" spans="3:13" x14ac:dyDescent="0.2">
      <c r="C87" s="177" t="s">
        <v>394</v>
      </c>
      <c r="D87" s="103" t="str">
        <f>_xlfn.XLOOKUP(C87,Detallado!C:C,Detallado!E:E,"ERROR",0)</f>
        <v>ERROR</v>
      </c>
      <c r="E87" s="306">
        <f>SUMIF(Detallado!C:C,ANALISIS!C87,Detallado!F:F)</f>
        <v>0</v>
      </c>
      <c r="F87" s="147" t="str">
        <f>_xlfn.XLOOKUP(C87,Detallado!C:C,Detallado!H:H,"ERROR",0)</f>
        <v>ERROR</v>
      </c>
      <c r="G87" s="102" t="e">
        <f t="shared" si="3"/>
        <v>#VALUE!</v>
      </c>
      <c r="H87" s="307" t="e">
        <f t="shared" si="4"/>
        <v>#VALUE!</v>
      </c>
      <c r="J87" s="147">
        <v>86738.849199999982</v>
      </c>
      <c r="K87" s="147">
        <v>86738.849199999982</v>
      </c>
      <c r="M87" s="136" t="e">
        <f t="shared" si="5"/>
        <v>#VALUE!</v>
      </c>
    </row>
    <row r="88" spans="3:13" x14ac:dyDescent="0.2">
      <c r="C88" s="177" t="s">
        <v>428</v>
      </c>
      <c r="D88" s="103" t="str">
        <f>_xlfn.XLOOKUP(C88,Detallado!C:C,Detallado!E:E,"ERROR",0)</f>
        <v>ERROR</v>
      </c>
      <c r="E88" s="306">
        <f>SUMIF(Detallado!C:C,ANALISIS!C88,Detallado!F:F)</f>
        <v>0</v>
      </c>
      <c r="F88" s="147" t="str">
        <f>_xlfn.XLOOKUP(C88,Detallado!C:C,Detallado!H:H,"ERROR",0)</f>
        <v>ERROR</v>
      </c>
      <c r="G88" s="102" t="e">
        <f t="shared" si="3"/>
        <v>#VALUE!</v>
      </c>
      <c r="H88" s="307" t="e">
        <f t="shared" si="4"/>
        <v>#VALUE!</v>
      </c>
      <c r="J88" s="147">
        <v>2077.8384000000001</v>
      </c>
      <c r="K88" s="147">
        <v>4155.6768000000002</v>
      </c>
      <c r="M88" s="136" t="e">
        <f t="shared" si="5"/>
        <v>#VALUE!</v>
      </c>
    </row>
    <row r="89" spans="3:13" x14ac:dyDescent="0.2">
      <c r="C89" s="177" t="s">
        <v>430</v>
      </c>
      <c r="D89" s="103" t="str">
        <f>_xlfn.XLOOKUP(C89,Detallado!C:C,Detallado!E:E,"ERROR",0)</f>
        <v>ERROR</v>
      </c>
      <c r="E89" s="306">
        <f>SUMIF(Detallado!C:C,ANALISIS!C89,Detallado!F:F)</f>
        <v>0</v>
      </c>
      <c r="F89" s="147" t="str">
        <f>_xlfn.XLOOKUP(C89,Detallado!C:C,Detallado!H:H,"ERROR",0)</f>
        <v>ERROR</v>
      </c>
      <c r="G89" s="102" t="e">
        <f t="shared" si="3"/>
        <v>#VALUE!</v>
      </c>
      <c r="H89" s="307" t="e">
        <f t="shared" si="4"/>
        <v>#VALUE!</v>
      </c>
      <c r="J89" s="147">
        <v>1809.6</v>
      </c>
      <c r="K89" s="147">
        <v>3619.2</v>
      </c>
      <c r="M89" s="136" t="e">
        <f t="shared" si="5"/>
        <v>#VALUE!</v>
      </c>
    </row>
    <row r="90" spans="3:13" x14ac:dyDescent="0.2">
      <c r="C90" s="177" t="s">
        <v>433</v>
      </c>
      <c r="D90" s="103" t="str">
        <f>_xlfn.XLOOKUP(C90,Detallado!C:C,Detallado!E:E,"ERROR",0)</f>
        <v>ERROR</v>
      </c>
      <c r="E90" s="306">
        <f>SUMIF(Detallado!C:C,ANALISIS!C90,Detallado!F:F)</f>
        <v>0</v>
      </c>
      <c r="F90" s="147" t="str">
        <f>_xlfn.XLOOKUP(C90,Detallado!C:C,Detallado!H:H,"ERROR",0)</f>
        <v>ERROR</v>
      </c>
      <c r="G90" s="102" t="e">
        <f t="shared" si="3"/>
        <v>#VALUE!</v>
      </c>
      <c r="H90" s="307" t="e">
        <f t="shared" si="4"/>
        <v>#VALUE!</v>
      </c>
      <c r="J90" s="147">
        <v>2399.9761999999882</v>
      </c>
      <c r="K90" s="147">
        <v>2399.9761999999882</v>
      </c>
      <c r="M90" s="136" t="e">
        <f t="shared" si="5"/>
        <v>#VALUE!</v>
      </c>
    </row>
    <row r="91" spans="3:13" x14ac:dyDescent="0.2">
      <c r="C91" s="177" t="s">
        <v>439</v>
      </c>
      <c r="D91" s="103" t="str">
        <f>_xlfn.XLOOKUP(C91,Detallado!C:C,Detallado!E:E,"ERROR",0)</f>
        <v>ERROR</v>
      </c>
      <c r="E91" s="306">
        <f>SUMIF(Detallado!C:C,ANALISIS!C91,Detallado!F:F)</f>
        <v>0</v>
      </c>
      <c r="F91" s="147" t="str">
        <f>_xlfn.XLOOKUP(C91,Detallado!C:C,Detallado!H:H,"ERROR",0)</f>
        <v>ERROR</v>
      </c>
      <c r="G91" s="102" t="e">
        <f t="shared" si="3"/>
        <v>#VALUE!</v>
      </c>
      <c r="H91" s="307" t="e">
        <f t="shared" si="4"/>
        <v>#VALUE!</v>
      </c>
      <c r="J91" s="147">
        <v>247.64839999999998</v>
      </c>
      <c r="K91" s="147">
        <v>12382.419999999998</v>
      </c>
      <c r="M91" s="136" t="e">
        <f t="shared" si="5"/>
        <v>#VALUE!</v>
      </c>
    </row>
    <row r="92" spans="3:13" x14ac:dyDescent="0.2">
      <c r="C92" s="177" t="s">
        <v>444</v>
      </c>
      <c r="D92" s="103" t="str">
        <f>_xlfn.XLOOKUP(C92,Detallado!C:C,Detallado!E:E,"ERROR",0)</f>
        <v>ERROR</v>
      </c>
      <c r="E92" s="306">
        <f>SUMIF(Detallado!C:C,ANALISIS!C92,Detallado!F:F)</f>
        <v>0</v>
      </c>
      <c r="F92" s="147" t="str">
        <f>_xlfn.XLOOKUP(C92,Detallado!C:C,Detallado!H:H,"ERROR",0)</f>
        <v>ERROR</v>
      </c>
      <c r="G92" s="102" t="e">
        <f t="shared" si="3"/>
        <v>#VALUE!</v>
      </c>
      <c r="H92" s="307" t="e">
        <f t="shared" si="4"/>
        <v>#VALUE!</v>
      </c>
      <c r="J92" s="147">
        <v>120.63999999999999</v>
      </c>
      <c r="K92" s="147">
        <v>6031.9999999999991</v>
      </c>
      <c r="M92" s="136" t="e">
        <f t="shared" si="5"/>
        <v>#VALUE!</v>
      </c>
    </row>
    <row r="93" spans="3:13" x14ac:dyDescent="0.2">
      <c r="C93" s="177" t="s">
        <v>448</v>
      </c>
      <c r="D93" s="103" t="str">
        <f>_xlfn.XLOOKUP(C93,Detallado!C:C,Detallado!E:E,"ERROR",0)</f>
        <v>ERROR</v>
      </c>
      <c r="E93" s="306">
        <f>SUMIF(Detallado!C:C,ANALISIS!C93,Detallado!F:F)</f>
        <v>0</v>
      </c>
      <c r="F93" s="147" t="str">
        <f>_xlfn.XLOOKUP(C93,Detallado!C:C,Detallado!H:H,"ERROR",0)</f>
        <v>ERROR</v>
      </c>
      <c r="G93" s="102" t="e">
        <f t="shared" si="3"/>
        <v>#VALUE!</v>
      </c>
      <c r="H93" s="307" t="e">
        <f t="shared" si="4"/>
        <v>#VALUE!</v>
      </c>
      <c r="J93" s="147">
        <v>1290.6623999999999</v>
      </c>
      <c r="K93" s="147">
        <v>3871.9871999999996</v>
      </c>
      <c r="M93" s="136" t="e">
        <f t="shared" si="5"/>
        <v>#VALUE!</v>
      </c>
    </row>
    <row r="94" spans="3:13" x14ac:dyDescent="0.2">
      <c r="C94" s="177" t="s">
        <v>456</v>
      </c>
      <c r="D94" s="103" t="str">
        <f>_xlfn.XLOOKUP(C94,Detallado!C:C,Detallado!E:E,"ERROR",0)</f>
        <v>ERROR</v>
      </c>
      <c r="E94" s="306">
        <f>SUMIF(Detallado!C:C,ANALISIS!C94,Detallado!F:F)</f>
        <v>0</v>
      </c>
      <c r="F94" s="147" t="str">
        <f>_xlfn.XLOOKUP(C94,Detallado!C:C,Detallado!H:H,"ERROR",0)</f>
        <v>ERROR</v>
      </c>
      <c r="G94" s="102" t="e">
        <f t="shared" si="3"/>
        <v>#VALUE!</v>
      </c>
      <c r="H94" s="307" t="e">
        <f t="shared" si="4"/>
        <v>#VALUE!</v>
      </c>
      <c r="J94" s="147">
        <v>510.4</v>
      </c>
      <c r="K94" s="147">
        <v>0</v>
      </c>
      <c r="M94" s="136" t="e">
        <f t="shared" si="5"/>
        <v>#VALUE!</v>
      </c>
    </row>
    <row r="95" spans="3:13" x14ac:dyDescent="0.2">
      <c r="C95" s="177" t="s">
        <v>585</v>
      </c>
      <c r="D95" s="103" t="str">
        <f>_xlfn.XLOOKUP(C95,Detallado!C:C,Detallado!E:E,"ERROR",0)</f>
        <v>ERROR</v>
      </c>
      <c r="E95" s="306">
        <f>SUMIF(Detallado!C:C,ANALISIS!C95,Detallado!F:F)</f>
        <v>0</v>
      </c>
      <c r="F95" s="147" t="str">
        <f>_xlfn.XLOOKUP(C95,Detallado!C:C,Detallado!H:H,"ERROR",0)</f>
        <v>ERROR</v>
      </c>
      <c r="G95" s="102" t="e">
        <f t="shared" si="3"/>
        <v>#VALUE!</v>
      </c>
      <c r="H95" s="307" t="e">
        <f t="shared" si="4"/>
        <v>#VALUE!</v>
      </c>
      <c r="J95" s="147">
        <v>114.40499999999999</v>
      </c>
      <c r="K95" s="147">
        <v>5720.2499999999991</v>
      </c>
      <c r="M95" s="136" t="e">
        <f t="shared" si="5"/>
        <v>#VALUE!</v>
      </c>
    </row>
    <row r="96" spans="3:13" x14ac:dyDescent="0.2">
      <c r="C96" s="177" t="s">
        <v>458</v>
      </c>
      <c r="D96" s="103" t="str">
        <f>_xlfn.XLOOKUP(C96,Detallado!C:C,Detallado!E:E,"ERROR",0)</f>
        <v>ERROR</v>
      </c>
      <c r="E96" s="306">
        <f>SUMIF(Detallado!C:C,ANALISIS!C96,Detallado!F:F)</f>
        <v>0</v>
      </c>
      <c r="F96" s="147" t="str">
        <f>_xlfn.XLOOKUP(C96,Detallado!C:C,Detallado!H:H,"ERROR",0)</f>
        <v>ERROR</v>
      </c>
      <c r="G96" s="102" t="e">
        <f t="shared" si="3"/>
        <v>#VALUE!</v>
      </c>
      <c r="H96" s="307" t="e">
        <f t="shared" si="4"/>
        <v>#VALUE!</v>
      </c>
      <c r="J96" s="147">
        <v>2384.3335999999999</v>
      </c>
      <c r="K96" s="147">
        <v>9537.3343999999997</v>
      </c>
      <c r="M96" s="136" t="e">
        <f t="shared" si="5"/>
        <v>#VALUE!</v>
      </c>
    </row>
    <row r="97" spans="3:13" x14ac:dyDescent="0.2">
      <c r="C97" s="177" t="s">
        <v>459</v>
      </c>
      <c r="D97" s="103" t="str">
        <f>_xlfn.XLOOKUP(C97,Detallado!C:C,Detallado!E:E,"ERROR",0)</f>
        <v>ERROR</v>
      </c>
      <c r="E97" s="306">
        <f>SUMIF(Detallado!C:C,ANALISIS!C97,Detallado!F:F)</f>
        <v>0</v>
      </c>
      <c r="F97" s="147" t="str">
        <f>_xlfn.XLOOKUP(C97,Detallado!C:C,Detallado!H:H,"ERROR",0)</f>
        <v>ERROR</v>
      </c>
      <c r="G97" s="102" t="e">
        <f t="shared" si="3"/>
        <v>#VALUE!</v>
      </c>
      <c r="H97" s="307" t="e">
        <f t="shared" si="4"/>
        <v>#VALUE!</v>
      </c>
      <c r="J97" s="147">
        <v>174.8236</v>
      </c>
      <c r="K97" s="147">
        <v>699.2944</v>
      </c>
      <c r="M97" s="136" t="e">
        <f t="shared" si="5"/>
        <v>#VALUE!</v>
      </c>
    </row>
    <row r="98" spans="3:13" x14ac:dyDescent="0.2">
      <c r="C98" s="177" t="s">
        <v>461</v>
      </c>
      <c r="D98" s="103" t="str">
        <f>_xlfn.XLOOKUP(C98,Detallado!C:C,Detallado!E:E,"ERROR",0)</f>
        <v>ERROR</v>
      </c>
      <c r="E98" s="306">
        <f>SUMIF(Detallado!C:C,ANALISIS!C98,Detallado!F:F)</f>
        <v>0</v>
      </c>
      <c r="F98" s="147" t="str">
        <f>_xlfn.XLOOKUP(C98,Detallado!C:C,Detallado!H:H,"ERROR",0)</f>
        <v>ERROR</v>
      </c>
      <c r="G98" s="102" t="e">
        <f t="shared" si="3"/>
        <v>#VALUE!</v>
      </c>
      <c r="H98" s="307" t="e">
        <f t="shared" si="4"/>
        <v>#VALUE!</v>
      </c>
      <c r="J98" s="147">
        <v>157.48739999999998</v>
      </c>
      <c r="K98" s="147">
        <v>1889.8487999999998</v>
      </c>
      <c r="M98" s="136" t="e">
        <f t="shared" si="5"/>
        <v>#VALUE!</v>
      </c>
    </row>
    <row r="99" spans="3:13" x14ac:dyDescent="0.2">
      <c r="C99" s="177" t="s">
        <v>516</v>
      </c>
      <c r="D99" s="103" t="str">
        <f>_xlfn.XLOOKUP(C99,Detallado!C:C,Detallado!E:E,"ERROR",0)</f>
        <v>ERROR</v>
      </c>
      <c r="E99" s="306">
        <f>SUMIF(Detallado!C:C,ANALISIS!C99,Detallado!F:F)</f>
        <v>0</v>
      </c>
      <c r="F99" s="147" t="str">
        <f>_xlfn.XLOOKUP(C99,Detallado!C:C,Detallado!H:H,"ERROR",0)</f>
        <v>ERROR</v>
      </c>
      <c r="G99" s="102" t="e">
        <f t="shared" si="3"/>
        <v>#VALUE!</v>
      </c>
      <c r="H99" s="307" t="e">
        <f t="shared" si="4"/>
        <v>#VALUE!</v>
      </c>
      <c r="J99" s="147">
        <v>51968</v>
      </c>
      <c r="K99" s="147">
        <v>51968</v>
      </c>
      <c r="M99" s="136" t="e">
        <f t="shared" si="5"/>
        <v>#VALUE!</v>
      </c>
    </row>
    <row r="100" spans="3:13" x14ac:dyDescent="0.2">
      <c r="C100" s="177" t="s">
        <v>523</v>
      </c>
      <c r="D100" s="103" t="str">
        <f>_xlfn.XLOOKUP(C100,Detallado!C:C,Detallado!E:E,"ERROR",0)</f>
        <v>ERROR</v>
      </c>
      <c r="E100" s="306">
        <f>SUMIF(Detallado!C:C,ANALISIS!C100,Detallado!F:F)</f>
        <v>0</v>
      </c>
      <c r="F100" s="147" t="str">
        <f>_xlfn.XLOOKUP(C100,Detallado!C:C,Detallado!H:H,"ERROR",0)</f>
        <v>ERROR</v>
      </c>
      <c r="G100" s="102" t="e">
        <f t="shared" si="3"/>
        <v>#VALUE!</v>
      </c>
      <c r="H100" s="307" t="e">
        <f t="shared" si="4"/>
        <v>#VALUE!</v>
      </c>
      <c r="J100" s="147">
        <v>22.294899999999998</v>
      </c>
      <c r="K100" s="147">
        <v>668.84699999999998</v>
      </c>
      <c r="M100" s="136" t="e">
        <f t="shared" si="5"/>
        <v>#VALUE!</v>
      </c>
    </row>
    <row r="101" spans="3:13" x14ac:dyDescent="0.2">
      <c r="C101" s="177" t="s">
        <v>527</v>
      </c>
      <c r="D101" s="103" t="str">
        <f>_xlfn.XLOOKUP(C101,Detallado!C:C,Detallado!E:E,"ERROR",0)</f>
        <v>ERROR</v>
      </c>
      <c r="E101" s="306">
        <f>SUMIF(Detallado!C:C,ANALISIS!C101,Detallado!F:F)</f>
        <v>0</v>
      </c>
      <c r="F101" s="147" t="str">
        <f>_xlfn.XLOOKUP(C101,Detallado!C:C,Detallado!H:H,"ERROR",0)</f>
        <v>ERROR</v>
      </c>
      <c r="G101" s="102" t="e">
        <f t="shared" si="3"/>
        <v>#VALUE!</v>
      </c>
      <c r="H101" s="307" t="e">
        <f t="shared" si="4"/>
        <v>#VALUE!</v>
      </c>
      <c r="J101" s="147">
        <v>1059.0103999999999</v>
      </c>
      <c r="K101" s="147">
        <v>2118.0207999999998</v>
      </c>
      <c r="M101" s="136" t="e">
        <f t="shared" si="5"/>
        <v>#VALUE!</v>
      </c>
    </row>
    <row r="102" spans="3:13" x14ac:dyDescent="0.2">
      <c r="C102" s="177" t="s">
        <v>600</v>
      </c>
      <c r="D102" s="103" t="str">
        <f>_xlfn.XLOOKUP(C102,Detallado!C:C,Detallado!E:E,"ERROR",0)</f>
        <v>ERROR</v>
      </c>
      <c r="E102" s="306">
        <f>SUMIF(Detallado!C:C,ANALISIS!C102,Detallado!F:F)</f>
        <v>0</v>
      </c>
      <c r="F102" s="147" t="str">
        <f>_xlfn.XLOOKUP(C102,Detallado!C:C,Detallado!H:H,"ERROR",0)</f>
        <v>ERROR</v>
      </c>
      <c r="G102" s="102" t="e">
        <f t="shared" si="3"/>
        <v>#VALUE!</v>
      </c>
      <c r="H102" s="307" t="e">
        <f t="shared" si="4"/>
        <v>#VALUE!</v>
      </c>
      <c r="J102" s="147">
        <v>4434.8075999999883</v>
      </c>
      <c r="K102" s="147">
        <v>0</v>
      </c>
      <c r="M102" s="136" t="e">
        <f t="shared" si="5"/>
        <v>#VALUE!</v>
      </c>
    </row>
    <row r="103" spans="3:13" x14ac:dyDescent="0.2">
      <c r="C103" s="177" t="s">
        <v>696</v>
      </c>
      <c r="D103" s="103" t="str">
        <f>_xlfn.XLOOKUP(C103,Detallado!C:C,Detallado!E:E,"ERROR",0)</f>
        <v>ERROR</v>
      </c>
      <c r="E103" s="306">
        <f>SUMIF(Detallado!C:C,ANALISIS!C103,Detallado!F:F)</f>
        <v>0</v>
      </c>
      <c r="F103" s="147" t="str">
        <f>_xlfn.XLOOKUP(C103,Detallado!C:C,Detallado!H:H,"ERROR",0)</f>
        <v>ERROR</v>
      </c>
      <c r="G103" s="102" t="e">
        <f t="shared" si="3"/>
        <v>#VALUE!</v>
      </c>
      <c r="H103" s="307" t="e">
        <f t="shared" si="4"/>
        <v>#VALUE!</v>
      </c>
      <c r="J103" s="147">
        <v>4128.6372000000001</v>
      </c>
      <c r="K103" s="147">
        <v>8257.2744000000002</v>
      </c>
      <c r="M103" s="136" t="e">
        <f t="shared" si="5"/>
        <v>#VALUE!</v>
      </c>
    </row>
    <row r="104" spans="3:13" x14ac:dyDescent="0.2">
      <c r="C104" s="177" t="s">
        <v>698</v>
      </c>
      <c r="D104" s="103" t="str">
        <f>_xlfn.XLOOKUP(C104,Detallado!C:C,Detallado!E:E,"ERROR",0)</f>
        <v>ERROR</v>
      </c>
      <c r="E104" s="306">
        <f>SUMIF(Detallado!C:C,ANALISIS!C104,Detallado!F:F)</f>
        <v>0</v>
      </c>
      <c r="F104" s="147" t="str">
        <f>_xlfn.XLOOKUP(C104,Detallado!C:C,Detallado!H:H,"ERROR",0)</f>
        <v>ERROR</v>
      </c>
      <c r="G104" s="102" t="e">
        <f t="shared" si="3"/>
        <v>#VALUE!</v>
      </c>
      <c r="H104" s="307" t="e">
        <f t="shared" si="4"/>
        <v>#VALUE!</v>
      </c>
      <c r="J104" s="147">
        <v>932.64</v>
      </c>
      <c r="K104" s="147">
        <v>2797.92</v>
      </c>
      <c r="M104" s="136" t="e">
        <f t="shared" si="5"/>
        <v>#VALUE!</v>
      </c>
    </row>
    <row r="105" spans="3:13" x14ac:dyDescent="0.2">
      <c r="C105" s="177" t="s">
        <v>700</v>
      </c>
      <c r="D105" s="103" t="str">
        <f>_xlfn.XLOOKUP(C105,Detallado!C:C,Detallado!E:E,"ERROR",0)</f>
        <v>ERROR</v>
      </c>
      <c r="E105" s="306">
        <f>SUMIF(Detallado!C:C,ANALISIS!C105,Detallado!F:F)</f>
        <v>0</v>
      </c>
      <c r="F105" s="147" t="str">
        <f>_xlfn.XLOOKUP(C105,Detallado!C:C,Detallado!H:H,"ERROR",0)</f>
        <v>ERROR</v>
      </c>
      <c r="G105" s="102" t="e">
        <f t="shared" si="3"/>
        <v>#VALUE!</v>
      </c>
      <c r="H105" s="307" t="e">
        <f t="shared" si="4"/>
        <v>#VALUE!</v>
      </c>
      <c r="J105" s="147">
        <v>709.60680000000002</v>
      </c>
      <c r="K105" s="147">
        <v>24836.238000000001</v>
      </c>
      <c r="M105" s="136" t="e">
        <f t="shared" si="5"/>
        <v>#VALUE!</v>
      </c>
    </row>
    <row r="106" spans="3:13" x14ac:dyDescent="0.2">
      <c r="C106" s="177" t="s">
        <v>702</v>
      </c>
      <c r="D106" s="103" t="str">
        <f>_xlfn.XLOOKUP(C106,Detallado!C:C,Detallado!E:E,"ERROR",0)</f>
        <v>ERROR</v>
      </c>
      <c r="E106" s="306">
        <f>SUMIF(Detallado!C:C,ANALISIS!C106,Detallado!F:F)</f>
        <v>0</v>
      </c>
      <c r="F106" s="147" t="str">
        <f>_xlfn.XLOOKUP(C106,Detallado!C:C,Detallado!H:H,"ERROR",0)</f>
        <v>ERROR</v>
      </c>
      <c r="G106" s="102" t="e">
        <f t="shared" si="3"/>
        <v>#VALUE!</v>
      </c>
      <c r="H106" s="307" t="e">
        <f t="shared" si="4"/>
        <v>#VALUE!</v>
      </c>
      <c r="J106" s="147">
        <v>721.13719999999989</v>
      </c>
      <c r="K106" s="147">
        <v>8653.6463999999978</v>
      </c>
      <c r="M106" s="136" t="e">
        <f t="shared" si="5"/>
        <v>#VALUE!</v>
      </c>
    </row>
    <row r="107" spans="3:13" x14ac:dyDescent="0.2">
      <c r="C107" s="177" t="s">
        <v>772</v>
      </c>
      <c r="D107" s="103" t="str">
        <f>_xlfn.XLOOKUP(C107,Detallado!C:C,Detallado!E:E,"ERROR",0)</f>
        <v>ERROR</v>
      </c>
      <c r="E107" s="306">
        <f>SUMIF(Detallado!C:C,ANALISIS!C107,Detallado!F:F)</f>
        <v>0</v>
      </c>
      <c r="F107" s="147" t="str">
        <f>_xlfn.XLOOKUP(C107,Detallado!C:C,Detallado!H:H,"ERROR",0)</f>
        <v>ERROR</v>
      </c>
      <c r="G107" s="102" t="e">
        <f t="shared" si="3"/>
        <v>#VALUE!</v>
      </c>
      <c r="H107" s="307" t="e">
        <f t="shared" si="4"/>
        <v>#VALUE!</v>
      </c>
      <c r="J107" s="147">
        <v>284.40879999999999</v>
      </c>
      <c r="K107" s="147">
        <v>3412.9056</v>
      </c>
      <c r="M107" s="136" t="e">
        <f t="shared" si="5"/>
        <v>#VALUE!</v>
      </c>
    </row>
    <row r="108" spans="3:13" x14ac:dyDescent="0.2">
      <c r="C108" s="177" t="s">
        <v>774</v>
      </c>
      <c r="D108" s="103" t="str">
        <f>_xlfn.XLOOKUP(C108,Detallado!C:C,Detallado!E:E,"ERROR",0)</f>
        <v>ERROR</v>
      </c>
      <c r="E108" s="306">
        <f>SUMIF(Detallado!C:C,ANALISIS!C108,Detallado!F:F)</f>
        <v>0</v>
      </c>
      <c r="F108" s="147" t="str">
        <f>_xlfn.XLOOKUP(C108,Detallado!C:C,Detallado!H:H,"ERROR",0)</f>
        <v>ERROR</v>
      </c>
      <c r="G108" s="102" t="e">
        <f t="shared" si="3"/>
        <v>#VALUE!</v>
      </c>
      <c r="H108" s="307" t="e">
        <f t="shared" si="4"/>
        <v>#VALUE!</v>
      </c>
      <c r="J108" s="147">
        <v>556.79999999999995</v>
      </c>
      <c r="K108" s="147">
        <v>556.79999999999995</v>
      </c>
      <c r="M108" s="136" t="e">
        <f t="shared" si="5"/>
        <v>#VALUE!</v>
      </c>
    </row>
    <row r="109" spans="3:13" x14ac:dyDescent="0.2">
      <c r="C109" s="177" t="s">
        <v>779</v>
      </c>
      <c r="D109" s="103" t="str">
        <f>_xlfn.XLOOKUP(C109,Detallado!C:C,Detallado!E:E,"ERROR",0)</f>
        <v>ERROR</v>
      </c>
      <c r="E109" s="306">
        <f>SUMIF(Detallado!C:C,ANALISIS!C109,Detallado!F:F)</f>
        <v>0</v>
      </c>
      <c r="F109" s="147" t="str">
        <f>_xlfn.XLOOKUP(C109,Detallado!C:C,Detallado!H:H,"ERROR",0)</f>
        <v>ERROR</v>
      </c>
      <c r="G109" s="102" t="e">
        <f t="shared" si="3"/>
        <v>#VALUE!</v>
      </c>
      <c r="H109" s="307" t="e">
        <f t="shared" si="4"/>
        <v>#VALUE!</v>
      </c>
      <c r="J109" s="147">
        <v>706.06299999999987</v>
      </c>
      <c r="K109" s="147">
        <v>1412.1259999999997</v>
      </c>
      <c r="M109" s="136" t="e">
        <f t="shared" si="5"/>
        <v>#VALUE!</v>
      </c>
    </row>
    <row r="110" spans="3:13" x14ac:dyDescent="0.2">
      <c r="C110" s="177" t="s">
        <v>781</v>
      </c>
      <c r="D110" s="103" t="str">
        <f>_xlfn.XLOOKUP(C110,Detallado!C:C,Detallado!E:E,"ERROR",0)</f>
        <v>ERROR</v>
      </c>
      <c r="E110" s="306">
        <f>SUMIF(Detallado!C:C,ANALISIS!C110,Detallado!F:F)</f>
        <v>0</v>
      </c>
      <c r="F110" s="147" t="str">
        <f>_xlfn.XLOOKUP(C110,Detallado!C:C,Detallado!H:H,"ERROR",0)</f>
        <v>ERROR</v>
      </c>
      <c r="G110" s="102" t="e">
        <f t="shared" si="3"/>
        <v>#VALUE!</v>
      </c>
      <c r="H110" s="307" t="e">
        <f t="shared" si="4"/>
        <v>#VALUE!</v>
      </c>
      <c r="J110" s="147">
        <v>647.28</v>
      </c>
      <c r="K110" s="147">
        <v>1294.56</v>
      </c>
      <c r="M110" s="136" t="e">
        <f t="shared" si="5"/>
        <v>#VALUE!</v>
      </c>
    </row>
    <row r="111" spans="3:13" x14ac:dyDescent="0.2">
      <c r="C111" s="177" t="s">
        <v>783</v>
      </c>
      <c r="D111" s="103" t="str">
        <f>_xlfn.XLOOKUP(C111,Detallado!C:C,Detallado!E:E,"ERROR",0)</f>
        <v>ERROR</v>
      </c>
      <c r="E111" s="306">
        <f>SUMIF(Detallado!C:C,ANALISIS!C111,Detallado!F:F)</f>
        <v>0</v>
      </c>
      <c r="F111" s="147" t="str">
        <f>_xlfn.XLOOKUP(C111,Detallado!C:C,Detallado!H:H,"ERROR",0)</f>
        <v>ERROR</v>
      </c>
      <c r="G111" s="102" t="e">
        <f t="shared" si="3"/>
        <v>#VALUE!</v>
      </c>
      <c r="H111" s="307" t="e">
        <f t="shared" si="4"/>
        <v>#VALUE!</v>
      </c>
      <c r="J111" s="147">
        <v>3412.2946666666626</v>
      </c>
      <c r="K111" s="147">
        <v>6824.5893333333252</v>
      </c>
      <c r="M111" s="136" t="e">
        <f t="shared" si="5"/>
        <v>#VALUE!</v>
      </c>
    </row>
    <row r="112" spans="3:13" x14ac:dyDescent="0.2">
      <c r="C112" s="177" t="s">
        <v>806</v>
      </c>
      <c r="D112" s="103" t="str">
        <f>_xlfn.XLOOKUP(C112,Detallado!C:C,Detallado!E:E,"ERROR",0)</f>
        <v>ERROR</v>
      </c>
      <c r="E112" s="306">
        <f>SUMIF(Detallado!C:C,ANALISIS!C112,Detallado!F:F)</f>
        <v>0</v>
      </c>
      <c r="F112" s="147" t="str">
        <f>_xlfn.XLOOKUP(C112,Detallado!C:C,Detallado!H:H,"ERROR",0)</f>
        <v>ERROR</v>
      </c>
      <c r="G112" s="102" t="e">
        <f t="shared" ref="G112:G174" si="6">E112*F112</f>
        <v>#VALUE!</v>
      </c>
      <c r="H112" s="307" t="e">
        <f t="shared" si="4"/>
        <v>#VALUE!</v>
      </c>
      <c r="J112" s="147">
        <v>1160</v>
      </c>
      <c r="K112" s="147">
        <v>25520</v>
      </c>
      <c r="M112" s="136" t="e">
        <f t="shared" si="5"/>
        <v>#VALUE!</v>
      </c>
    </row>
    <row r="113" spans="3:13" x14ac:dyDescent="0.2">
      <c r="C113" s="131" t="s">
        <v>808</v>
      </c>
      <c r="D113" s="103" t="str">
        <f>_xlfn.XLOOKUP(C113,Detallado!C:C,Detallado!E:E,"ERROR",0)</f>
        <v>ERROR</v>
      </c>
      <c r="E113" s="306">
        <f>SUMIF(Detallado!C:C,ANALISIS!C113,Detallado!F:F)</f>
        <v>0</v>
      </c>
      <c r="F113" s="147" t="str">
        <f>_xlfn.XLOOKUP(C113,Detallado!C:C,Detallado!H:H,"ERROR",0)</f>
        <v>ERROR</v>
      </c>
      <c r="G113" s="102" t="e">
        <f t="shared" si="6"/>
        <v>#VALUE!</v>
      </c>
      <c r="H113" s="307" t="e">
        <f t="shared" si="4"/>
        <v>#VALUE!</v>
      </c>
      <c r="J113" s="147">
        <v>1981.28</v>
      </c>
      <c r="K113" s="147">
        <v>5943.84</v>
      </c>
      <c r="M113" s="136" t="e">
        <f t="shared" si="5"/>
        <v>#VALUE!</v>
      </c>
    </row>
    <row r="114" spans="3:13" x14ac:dyDescent="0.2">
      <c r="C114" s="131" t="s">
        <v>861</v>
      </c>
      <c r="D114" s="103" t="str">
        <f>_xlfn.XLOOKUP(C114,Detallado!C:C,Detallado!E:E,"ERROR",0)</f>
        <v>ERROR</v>
      </c>
      <c r="E114" s="306">
        <f>SUMIF(Detallado!C:C,ANALISIS!C114,Detallado!F:F)</f>
        <v>0</v>
      </c>
      <c r="F114" s="147" t="str">
        <f>_xlfn.XLOOKUP(C114,Detallado!C:C,Detallado!H:H,"ERROR",0)</f>
        <v>ERROR</v>
      </c>
      <c r="G114" s="102" t="e">
        <f t="shared" si="6"/>
        <v>#VALUE!</v>
      </c>
      <c r="H114" s="307" t="e">
        <f t="shared" si="4"/>
        <v>#VALUE!</v>
      </c>
      <c r="J114" s="147">
        <v>6310.4</v>
      </c>
      <c r="K114" s="147">
        <v>12620.8</v>
      </c>
      <c r="M114" s="136" t="e">
        <f t="shared" si="5"/>
        <v>#VALUE!</v>
      </c>
    </row>
    <row r="115" spans="3:13" x14ac:dyDescent="0.2">
      <c r="C115" s="131" t="s">
        <v>876</v>
      </c>
      <c r="D115" s="103" t="str">
        <f>_xlfn.XLOOKUP(C115,Detallado!C:C,Detallado!E:E,"ERROR",0)</f>
        <v>ERROR</v>
      </c>
      <c r="E115" s="306">
        <f>SUMIF(Detallado!C:C,ANALISIS!C115,Detallado!F:F)</f>
        <v>0</v>
      </c>
      <c r="F115" s="147" t="str">
        <f>_xlfn.XLOOKUP(C115,Detallado!C:C,Detallado!H:H,"ERROR",0)</f>
        <v>ERROR</v>
      </c>
      <c r="G115" s="102" t="e">
        <f t="shared" si="6"/>
        <v>#VALUE!</v>
      </c>
      <c r="H115" s="307" t="e">
        <f t="shared" si="4"/>
        <v>#VALUE!</v>
      </c>
      <c r="J115" s="147">
        <v>13657.503599999998</v>
      </c>
      <c r="K115" s="147">
        <v>27315.007199999996</v>
      </c>
      <c r="M115" s="136" t="e">
        <f t="shared" si="5"/>
        <v>#VALUE!</v>
      </c>
    </row>
    <row r="116" spans="3:13" x14ac:dyDescent="0.2">
      <c r="C116" s="131" t="s">
        <v>525</v>
      </c>
      <c r="D116" s="103" t="str">
        <f>_xlfn.XLOOKUP(C116,Detallado!C:C,Detallado!E:E,"ERROR",0)</f>
        <v>ERROR</v>
      </c>
      <c r="E116" s="306">
        <f>SUMIF(Detallado!C:C,ANALISIS!C116,Detallado!F:F)</f>
        <v>0</v>
      </c>
      <c r="F116" s="147" t="str">
        <f>_xlfn.XLOOKUP(C116,Detallado!C:C,Detallado!H:H,"ERROR",0)</f>
        <v>ERROR</v>
      </c>
      <c r="G116" s="102" t="e">
        <f t="shared" si="6"/>
        <v>#VALUE!</v>
      </c>
      <c r="H116" s="307" t="e">
        <f t="shared" si="4"/>
        <v>#VALUE!</v>
      </c>
      <c r="J116" s="147">
        <v>41.852799999999995</v>
      </c>
      <c r="K116" s="147">
        <v>1046.32</v>
      </c>
      <c r="M116" s="136" t="e">
        <f t="shared" si="5"/>
        <v>#VALUE!</v>
      </c>
    </row>
    <row r="117" spans="3:13" x14ac:dyDescent="0.2">
      <c r="C117" s="131" t="s">
        <v>116</v>
      </c>
      <c r="D117" s="103" t="str">
        <f>_xlfn.XLOOKUP(C117,Detallado!C:C,Detallado!E:E,"ERROR",0)</f>
        <v>ERROR</v>
      </c>
      <c r="E117" s="306">
        <f>SUMIF(Detallado!C:C,ANALISIS!C117,Detallado!F:F)</f>
        <v>0</v>
      </c>
      <c r="F117" s="147" t="str">
        <f>_xlfn.XLOOKUP(C117,Detallado!C:C,Detallado!H:H,"ERROR",0)</f>
        <v>ERROR</v>
      </c>
      <c r="G117" s="102" t="e">
        <f t="shared" si="6"/>
        <v>#VALUE!</v>
      </c>
      <c r="H117" s="307" t="e">
        <f t="shared" si="4"/>
        <v>#VALUE!</v>
      </c>
      <c r="J117" s="147">
        <v>630.99940000000004</v>
      </c>
      <c r="K117" s="147">
        <v>2523.9976000000001</v>
      </c>
      <c r="M117" s="136" t="e">
        <f t="shared" si="5"/>
        <v>#VALUE!</v>
      </c>
    </row>
    <row r="118" spans="3:13" x14ac:dyDescent="0.2">
      <c r="C118" s="131" t="s">
        <v>770</v>
      </c>
      <c r="D118" s="103" t="str">
        <f>_xlfn.XLOOKUP(C118,Detallado!C:C,Detallado!E:E,"ERROR",0)</f>
        <v>ERROR</v>
      </c>
      <c r="E118" s="306">
        <f>SUMIF(Detallado!C:C,ANALISIS!C118,Detallado!F:F)</f>
        <v>0</v>
      </c>
      <c r="F118" s="147" t="str">
        <f>_xlfn.XLOOKUP(C118,Detallado!C:C,Detallado!H:H,"ERROR",0)</f>
        <v>ERROR</v>
      </c>
      <c r="G118" s="102" t="e">
        <f t="shared" si="6"/>
        <v>#VALUE!</v>
      </c>
      <c r="H118" s="307" t="e">
        <f t="shared" si="4"/>
        <v>#VALUE!</v>
      </c>
      <c r="J118" s="147">
        <v>346.12466666666626</v>
      </c>
      <c r="K118" s="147">
        <v>692.24933333333252</v>
      </c>
      <c r="M118" s="136" t="e">
        <f t="shared" si="5"/>
        <v>#VALUE!</v>
      </c>
    </row>
    <row r="119" spans="3:13" x14ac:dyDescent="0.2">
      <c r="C119" s="131" t="s">
        <v>446</v>
      </c>
      <c r="D119" s="103" t="str">
        <f>_xlfn.XLOOKUP(C119,Detallado!C:C,Detallado!E:E,"ERROR",0)</f>
        <v>ERROR</v>
      </c>
      <c r="E119" s="306">
        <f>SUMIF(Detallado!C:C,ANALISIS!C119,Detallado!F:F)</f>
        <v>0</v>
      </c>
      <c r="F119" s="147" t="str">
        <f>_xlfn.XLOOKUP(C119,Detallado!C:C,Detallado!H:H,"ERROR",0)</f>
        <v>ERROR</v>
      </c>
      <c r="G119" s="102" t="e">
        <f t="shared" si="6"/>
        <v>#VALUE!</v>
      </c>
      <c r="H119" s="307" t="e">
        <f t="shared" si="4"/>
        <v>#VALUE!</v>
      </c>
      <c r="J119" s="147">
        <v>755.56600000000003</v>
      </c>
      <c r="K119" s="147">
        <v>3022.2640000000001</v>
      </c>
      <c r="M119" s="136" t="e">
        <f t="shared" si="5"/>
        <v>#VALUE!</v>
      </c>
    </row>
    <row r="120" spans="3:13" x14ac:dyDescent="0.2">
      <c r="C120" s="131" t="s">
        <v>837</v>
      </c>
      <c r="D120" s="103" t="str">
        <f>_xlfn.XLOOKUP(C120,Detallado!C:C,Detallado!E:E,"ERROR",0)</f>
        <v>ERROR</v>
      </c>
      <c r="E120" s="306">
        <f>SUMIF(Detallado!C:C,ANALISIS!C120,Detallado!F:F)</f>
        <v>0</v>
      </c>
      <c r="F120" s="147" t="str">
        <f>_xlfn.XLOOKUP(C120,Detallado!C:C,Detallado!H:H,"ERROR",0)</f>
        <v>ERROR</v>
      </c>
      <c r="G120" s="102" t="e">
        <f t="shared" si="6"/>
        <v>#VALUE!</v>
      </c>
      <c r="H120" s="307" t="e">
        <f t="shared" si="4"/>
        <v>#VALUE!</v>
      </c>
      <c r="J120" s="147">
        <v>11136</v>
      </c>
      <c r="K120" s="147">
        <v>22272</v>
      </c>
      <c r="M120" s="136" t="e">
        <f t="shared" si="5"/>
        <v>#VALUE!</v>
      </c>
    </row>
    <row r="121" spans="3:13" x14ac:dyDescent="0.2">
      <c r="C121" s="131" t="s">
        <v>442</v>
      </c>
      <c r="D121" s="103" t="str">
        <f>_xlfn.XLOOKUP(C121,Detallado!C:C,Detallado!E:E,"ERROR",0)</f>
        <v>ERROR</v>
      </c>
      <c r="E121" s="306">
        <f>SUMIF(Detallado!C:C,ANALISIS!C121,Detallado!F:F)</f>
        <v>0</v>
      </c>
      <c r="F121" s="147" t="str">
        <f>_xlfn.XLOOKUP(C121,Detallado!C:C,Detallado!H:H,"ERROR",0)</f>
        <v>ERROR</v>
      </c>
      <c r="G121" s="102" t="e">
        <f t="shared" si="6"/>
        <v>#VALUE!</v>
      </c>
      <c r="H121" s="307" t="e">
        <f t="shared" si="4"/>
        <v>#VALUE!</v>
      </c>
      <c r="J121" s="147">
        <v>78.114400000000003</v>
      </c>
      <c r="K121" s="147">
        <v>312.45760000000001</v>
      </c>
      <c r="M121" s="136" t="e">
        <f t="shared" si="5"/>
        <v>#VALUE!</v>
      </c>
    </row>
    <row r="122" spans="3:13" x14ac:dyDescent="0.2">
      <c r="C122" s="131" t="s">
        <v>323</v>
      </c>
      <c r="D122" s="103" t="str">
        <f>_xlfn.XLOOKUP(C122,Detallado!C:C,Detallado!E:E,"ERROR",0)</f>
        <v>ERROR</v>
      </c>
      <c r="E122" s="306">
        <f>SUMIF(Detallado!C:C,ANALISIS!C122,Detallado!F:F)</f>
        <v>0</v>
      </c>
      <c r="F122" s="147" t="str">
        <f>_xlfn.XLOOKUP(C122,Detallado!C:C,Detallado!H:H,"ERROR",0)</f>
        <v>ERROR</v>
      </c>
      <c r="G122" s="102" t="e">
        <f t="shared" si="6"/>
        <v>#VALUE!</v>
      </c>
      <c r="H122" s="307" t="e">
        <f t="shared" si="4"/>
        <v>#VALUE!</v>
      </c>
      <c r="J122" s="147">
        <v>621.35013333333245</v>
      </c>
      <c r="K122" s="147">
        <v>7456.2015999999894</v>
      </c>
      <c r="M122" s="136" t="e">
        <f t="shared" si="5"/>
        <v>#VALUE!</v>
      </c>
    </row>
    <row r="123" spans="3:13" x14ac:dyDescent="0.2">
      <c r="C123" s="131" t="s">
        <v>371</v>
      </c>
      <c r="D123" s="103" t="str">
        <f>_xlfn.XLOOKUP(C123,Detallado!C:C,Detallado!E:E,"ERROR",0)</f>
        <v>ERROR</v>
      </c>
      <c r="E123" s="306">
        <f>SUMIF(Detallado!C:C,ANALISIS!C123,Detallado!F:F)</f>
        <v>0</v>
      </c>
      <c r="F123" s="147" t="str">
        <f>_xlfn.XLOOKUP(C123,Detallado!C:C,Detallado!H:H,"ERROR",0)</f>
        <v>ERROR</v>
      </c>
      <c r="G123" s="102" t="e">
        <f t="shared" si="6"/>
        <v>#VALUE!</v>
      </c>
      <c r="H123" s="307" t="e">
        <f t="shared" si="4"/>
        <v>#VALUE!</v>
      </c>
      <c r="J123" s="147">
        <v>338.87466666666626</v>
      </c>
      <c r="K123" s="147">
        <v>20332.479999999974</v>
      </c>
      <c r="M123" s="136" t="e">
        <f t="shared" si="5"/>
        <v>#VALUE!</v>
      </c>
    </row>
    <row r="124" spans="3:13" x14ac:dyDescent="0.2">
      <c r="C124" s="131" t="s">
        <v>924</v>
      </c>
      <c r="D124" s="103" t="str">
        <f>_xlfn.XLOOKUP(C124,Detallado!C:C,Detallado!E:E,"ERROR",0)</f>
        <v>ERROR</v>
      </c>
      <c r="E124" s="306">
        <f>SUMIF(Detallado!C:C,ANALISIS!C124,Detallado!F:F)</f>
        <v>0</v>
      </c>
      <c r="F124" s="147" t="str">
        <f>_xlfn.XLOOKUP(C124,Detallado!C:C,Detallado!H:H,"ERROR",0)</f>
        <v>ERROR</v>
      </c>
      <c r="G124" s="102" t="e">
        <f t="shared" si="6"/>
        <v>#VALUE!</v>
      </c>
      <c r="H124" s="307" t="e">
        <f t="shared" si="4"/>
        <v>#VALUE!</v>
      </c>
      <c r="J124" s="147">
        <v>4640</v>
      </c>
      <c r="K124" s="147">
        <v>9280</v>
      </c>
      <c r="M124" s="136" t="e">
        <f t="shared" si="5"/>
        <v>#VALUE!</v>
      </c>
    </row>
    <row r="125" spans="3:13" x14ac:dyDescent="0.2">
      <c r="C125" s="131" t="s">
        <v>302</v>
      </c>
      <c r="D125" s="103" t="str">
        <f>_xlfn.XLOOKUP(C125,Detallado!C:C,Detallado!E:E,"ERROR",0)</f>
        <v>ERROR</v>
      </c>
      <c r="E125" s="306">
        <f>SUMIF(Detallado!C:C,ANALISIS!C125,Detallado!F:F)</f>
        <v>0</v>
      </c>
      <c r="F125" s="147" t="str">
        <f>_xlfn.XLOOKUP(C125,Detallado!C:C,Detallado!H:H,"ERROR",0)</f>
        <v>ERROR</v>
      </c>
      <c r="G125" s="102" t="e">
        <f t="shared" si="6"/>
        <v>#VALUE!</v>
      </c>
      <c r="H125" s="307" t="e">
        <f t="shared" si="4"/>
        <v>#VALUE!</v>
      </c>
      <c r="J125" s="147">
        <v>451.70399999999995</v>
      </c>
      <c r="K125" s="147">
        <v>8582.3759999999984</v>
      </c>
      <c r="M125" s="136" t="e">
        <f t="shared" si="5"/>
        <v>#VALUE!</v>
      </c>
    </row>
    <row r="126" spans="3:13" x14ac:dyDescent="0.2">
      <c r="C126" s="131" t="s">
        <v>391</v>
      </c>
      <c r="D126" s="103" t="str">
        <f>_xlfn.XLOOKUP(C126,Detallado!C:C,Detallado!E:E,"ERROR",0)</f>
        <v>ERROR</v>
      </c>
      <c r="E126" s="306">
        <f>SUMIF(Detallado!C:C,ANALISIS!C126,Detallado!F:F)</f>
        <v>0</v>
      </c>
      <c r="F126" s="147" t="str">
        <f>_xlfn.XLOOKUP(C126,Detallado!C:C,Detallado!H:H,"ERROR",0)</f>
        <v>ERROR</v>
      </c>
      <c r="G126" s="102" t="e">
        <f t="shared" si="6"/>
        <v>#VALUE!</v>
      </c>
      <c r="H126" s="307" t="e">
        <f t="shared" si="4"/>
        <v>#VALUE!</v>
      </c>
      <c r="J126" s="147">
        <v>1834.0527999999997</v>
      </c>
      <c r="K126" s="147">
        <v>22008.633599999997</v>
      </c>
      <c r="M126" s="136" t="e">
        <f t="shared" si="5"/>
        <v>#VALUE!</v>
      </c>
    </row>
    <row r="127" spans="3:13" x14ac:dyDescent="0.2">
      <c r="C127" s="131" t="s">
        <v>407</v>
      </c>
      <c r="D127" s="103" t="str">
        <f>_xlfn.XLOOKUP(C127,Detallado!C:C,Detallado!E:E,"ERROR",0)</f>
        <v>ERROR</v>
      </c>
      <c r="E127" s="306">
        <f>SUMIF(Detallado!C:C,ANALISIS!C127,Detallado!F:F)</f>
        <v>0</v>
      </c>
      <c r="F127" s="147" t="str">
        <f>_xlfn.XLOOKUP(C127,Detallado!C:C,Detallado!H:H,"ERROR",0)</f>
        <v>ERROR</v>
      </c>
      <c r="G127" s="102" t="e">
        <f t="shared" si="6"/>
        <v>#VALUE!</v>
      </c>
      <c r="H127" s="307" t="e">
        <f t="shared" si="4"/>
        <v>#VALUE!</v>
      </c>
      <c r="J127" s="147">
        <v>1074.4499999999998</v>
      </c>
      <c r="K127" s="147">
        <v>1074.4499999999998</v>
      </c>
      <c r="M127" s="136" t="e">
        <f t="shared" si="5"/>
        <v>#VALUE!</v>
      </c>
    </row>
    <row r="128" spans="3:13" x14ac:dyDescent="0.2">
      <c r="C128" s="131" t="s">
        <v>579</v>
      </c>
      <c r="D128" s="103" t="str">
        <f>_xlfn.XLOOKUP(C128,Detallado!C:C,Detallado!E:E,"ERROR",0)</f>
        <v>ERROR</v>
      </c>
      <c r="E128" s="306">
        <f>SUMIF(Detallado!C:C,ANALISIS!C128,Detallado!F:F)</f>
        <v>0</v>
      </c>
      <c r="F128" s="147" t="str">
        <f>_xlfn.XLOOKUP(C128,Detallado!C:C,Detallado!H:H,"ERROR",0)</f>
        <v>ERROR</v>
      </c>
      <c r="G128" s="102" t="e">
        <f t="shared" si="6"/>
        <v>#VALUE!</v>
      </c>
      <c r="H128" s="307" t="e">
        <f t="shared" si="4"/>
        <v>#VALUE!</v>
      </c>
      <c r="J128" s="147">
        <v>1692.0455999999999</v>
      </c>
      <c r="K128" s="147">
        <v>5076.1368000000002</v>
      </c>
      <c r="M128" s="136" t="e">
        <f t="shared" si="5"/>
        <v>#VALUE!</v>
      </c>
    </row>
    <row r="129" spans="3:13" x14ac:dyDescent="0.2">
      <c r="C129" s="131" t="s">
        <v>463</v>
      </c>
      <c r="D129" s="103" t="str">
        <f>_xlfn.XLOOKUP(C129,Detallado!C:C,Detallado!E:E,"ERROR",0)</f>
        <v>ERROR</v>
      </c>
      <c r="E129" s="306">
        <f>SUMIF(Detallado!C:C,ANALISIS!C129,Detallado!F:F)</f>
        <v>0</v>
      </c>
      <c r="F129" s="147" t="str">
        <f>_xlfn.XLOOKUP(C129,Detallado!C:C,Detallado!H:H,"ERROR",0)</f>
        <v>ERROR</v>
      </c>
      <c r="G129" s="102" t="e">
        <f t="shared" si="6"/>
        <v>#VALUE!</v>
      </c>
      <c r="H129" s="307" t="e">
        <f t="shared" si="4"/>
        <v>#VALUE!</v>
      </c>
      <c r="J129" s="147">
        <v>3739.8399999999997</v>
      </c>
      <c r="K129" s="147">
        <v>14959.359999999999</v>
      </c>
      <c r="M129" s="136" t="e">
        <f t="shared" si="5"/>
        <v>#VALUE!</v>
      </c>
    </row>
    <row r="130" spans="3:13" x14ac:dyDescent="0.2">
      <c r="C130" s="131" t="s">
        <v>498</v>
      </c>
      <c r="D130" s="103" t="str">
        <f>_xlfn.XLOOKUP(C130,Detallado!C:C,Detallado!E:E,"ERROR",0)</f>
        <v>ERROR</v>
      </c>
      <c r="E130" s="306">
        <f>SUMIF(Detallado!C:C,ANALISIS!C130,Detallado!F:F)</f>
        <v>0</v>
      </c>
      <c r="F130" s="147" t="str">
        <f>_xlfn.XLOOKUP(C130,Detallado!C:C,Detallado!H:H,"ERROR",0)</f>
        <v>ERROR</v>
      </c>
      <c r="G130" s="102" t="e">
        <f t="shared" si="6"/>
        <v>#VALUE!</v>
      </c>
      <c r="H130" s="307" t="e">
        <f t="shared" ref="H130:H193" si="7">G130/$G$313</f>
        <v>#VALUE!</v>
      </c>
      <c r="J130" s="147">
        <v>827.59039999999879</v>
      </c>
      <c r="K130" s="147">
        <v>11586.265599999982</v>
      </c>
      <c r="M130" s="136" t="e">
        <f t="shared" si="5"/>
        <v>#VALUE!</v>
      </c>
    </row>
    <row r="131" spans="3:13" x14ac:dyDescent="0.2">
      <c r="C131" s="131" t="s">
        <v>515</v>
      </c>
      <c r="D131" s="103" t="str">
        <f>_xlfn.XLOOKUP(C131,Detallado!C:C,Detallado!E:E,"ERROR",0)</f>
        <v>ERROR</v>
      </c>
      <c r="E131" s="306">
        <f>SUMIF(Detallado!C:C,ANALISIS!C131,Detallado!F:F)</f>
        <v>0</v>
      </c>
      <c r="F131" s="147" t="str">
        <f>_xlfn.XLOOKUP(C131,Detallado!C:C,Detallado!H:H,"ERROR",0)</f>
        <v>ERROR</v>
      </c>
      <c r="G131" s="102" t="e">
        <f t="shared" si="6"/>
        <v>#VALUE!</v>
      </c>
      <c r="H131" s="307" t="e">
        <f t="shared" si="7"/>
        <v>#VALUE!</v>
      </c>
      <c r="J131" s="147">
        <v>1030.3699999999999</v>
      </c>
      <c r="K131" s="147">
        <v>44305.909999999996</v>
      </c>
      <c r="M131" s="136" t="e">
        <f t="shared" ref="M131:M194" si="8">+K131-G131</f>
        <v>#VALUE!</v>
      </c>
    </row>
    <row r="132" spans="3:13" x14ac:dyDescent="0.2">
      <c r="C132" s="131" t="s">
        <v>543</v>
      </c>
      <c r="D132" s="103" t="str">
        <f>_xlfn.XLOOKUP(C132,Detallado!C:C,Detallado!E:E,"ERROR",0)</f>
        <v>ERROR</v>
      </c>
      <c r="E132" s="306">
        <f>SUMIF(Detallado!C:C,ANALISIS!C132,Detallado!F:F)</f>
        <v>0</v>
      </c>
      <c r="F132" s="147" t="str">
        <f>_xlfn.XLOOKUP(C132,Detallado!C:C,Detallado!H:H,"ERROR",0)</f>
        <v>ERROR</v>
      </c>
      <c r="G132" s="102" t="e">
        <f t="shared" si="6"/>
        <v>#VALUE!</v>
      </c>
      <c r="H132" s="307" t="e">
        <f t="shared" si="7"/>
        <v>#VALUE!</v>
      </c>
      <c r="J132" s="147">
        <v>19766.125818181776</v>
      </c>
      <c r="K132" s="147">
        <v>296491.88727272663</v>
      </c>
      <c r="M132" s="136" t="e">
        <f t="shared" si="8"/>
        <v>#VALUE!</v>
      </c>
    </row>
    <row r="133" spans="3:13" x14ac:dyDescent="0.2">
      <c r="C133" s="131" t="s">
        <v>545</v>
      </c>
      <c r="D133" s="103" t="str">
        <f>_xlfn.XLOOKUP(C133,Detallado!C:C,Detallado!E:E,"ERROR",0)</f>
        <v>ERROR</v>
      </c>
      <c r="E133" s="306">
        <f>SUMIF(Detallado!C:C,ANALISIS!C133,Detallado!F:F)</f>
        <v>0</v>
      </c>
      <c r="F133" s="147" t="str">
        <f>_xlfn.XLOOKUP(C133,Detallado!C:C,Detallado!H:H,"ERROR",0)</f>
        <v>ERROR</v>
      </c>
      <c r="G133" s="102" t="e">
        <f t="shared" si="6"/>
        <v>#VALUE!</v>
      </c>
      <c r="H133" s="307" t="e">
        <f t="shared" si="7"/>
        <v>#VALUE!</v>
      </c>
      <c r="J133" s="147">
        <v>10117.519999999999</v>
      </c>
      <c r="K133" s="147">
        <v>20235.039999999997</v>
      </c>
      <c r="M133" s="136" t="e">
        <f t="shared" si="8"/>
        <v>#VALUE!</v>
      </c>
    </row>
    <row r="134" spans="3:13" x14ac:dyDescent="0.2">
      <c r="C134" s="131" t="s">
        <v>547</v>
      </c>
      <c r="D134" s="103" t="str">
        <f>_xlfn.XLOOKUP(C134,Detallado!C:C,Detallado!E:E,"ERROR",0)</f>
        <v>ERROR</v>
      </c>
      <c r="E134" s="306">
        <f>SUMIF(Detallado!C:C,ANALISIS!C134,Detallado!F:F)</f>
        <v>0</v>
      </c>
      <c r="F134" s="147" t="str">
        <f>_xlfn.XLOOKUP(C134,Detallado!C:C,Detallado!H:H,"ERROR",0)</f>
        <v>ERROR</v>
      </c>
      <c r="G134" s="102" t="e">
        <f t="shared" si="6"/>
        <v>#VALUE!</v>
      </c>
      <c r="H134" s="307" t="e">
        <f t="shared" si="7"/>
        <v>#VALUE!</v>
      </c>
      <c r="J134" s="147">
        <v>6603.2999999999993</v>
      </c>
      <c r="K134" s="147">
        <v>138669.29999999999</v>
      </c>
      <c r="M134" s="136" t="e">
        <f t="shared" si="8"/>
        <v>#VALUE!</v>
      </c>
    </row>
    <row r="135" spans="3:13" x14ac:dyDescent="0.2">
      <c r="C135" s="131" t="s">
        <v>762</v>
      </c>
      <c r="D135" s="103" t="str">
        <f>_xlfn.XLOOKUP(C135,Detallado!C:C,Detallado!E:E,"ERROR",0)</f>
        <v>ERROR</v>
      </c>
      <c r="E135" s="306">
        <f>SUMIF(Detallado!C:C,ANALISIS!C135,Detallado!F:F)</f>
        <v>0</v>
      </c>
      <c r="F135" s="147" t="str">
        <f>_xlfn.XLOOKUP(C135,Detallado!C:C,Detallado!H:H,"ERROR",0)</f>
        <v>ERROR</v>
      </c>
      <c r="G135" s="102" t="e">
        <f t="shared" si="6"/>
        <v>#VALUE!</v>
      </c>
      <c r="H135" s="307" t="e">
        <f t="shared" si="7"/>
        <v>#VALUE!</v>
      </c>
      <c r="J135" s="147">
        <v>1265.7919999999999</v>
      </c>
      <c r="K135" s="147">
        <v>44302.719999999994</v>
      </c>
      <c r="M135" s="136" t="e">
        <f t="shared" si="8"/>
        <v>#VALUE!</v>
      </c>
    </row>
    <row r="136" spans="3:13" x14ac:dyDescent="0.2">
      <c r="C136" s="177" t="s">
        <v>1104</v>
      </c>
      <c r="D136" s="103" t="str">
        <f>_xlfn.XLOOKUP(C136,Detallado!C:C,Detallado!E:E,"ERROR",0)</f>
        <v>ERROR</v>
      </c>
      <c r="E136" s="306">
        <f>SUMIF(Detallado!C:C,ANALISIS!C136,Detallado!F:F)</f>
        <v>0</v>
      </c>
      <c r="F136" s="147" t="str">
        <f>_xlfn.XLOOKUP(C136,Detallado!C:C,Detallado!H:H,"ERROR",0)</f>
        <v>ERROR</v>
      </c>
      <c r="G136" s="102" t="e">
        <f t="shared" si="6"/>
        <v>#VALUE!</v>
      </c>
      <c r="H136" s="307" t="e">
        <f t="shared" si="7"/>
        <v>#VALUE!</v>
      </c>
      <c r="J136" s="147">
        <v>7114.2335999999996</v>
      </c>
      <c r="K136" s="147">
        <v>56913.868799999997</v>
      </c>
      <c r="M136" s="136" t="e">
        <f t="shared" si="8"/>
        <v>#VALUE!</v>
      </c>
    </row>
    <row r="137" spans="3:13" x14ac:dyDescent="0.2">
      <c r="C137" s="177" t="s">
        <v>827</v>
      </c>
      <c r="D137" s="103" t="str">
        <f>_xlfn.XLOOKUP(C137,Detallado!C:C,Detallado!E:E,"ERROR",0)</f>
        <v>ERROR</v>
      </c>
      <c r="E137" s="306">
        <f>SUMIF(Detallado!C:C,ANALISIS!C137,Detallado!F:F)</f>
        <v>0</v>
      </c>
      <c r="F137" s="147" t="str">
        <f>_xlfn.XLOOKUP(C137,Detallado!C:C,Detallado!H:H,"ERROR",0)</f>
        <v>ERROR</v>
      </c>
      <c r="G137" s="102" t="e">
        <f t="shared" si="6"/>
        <v>#VALUE!</v>
      </c>
      <c r="H137" s="307" t="e">
        <f t="shared" si="7"/>
        <v>#VALUE!</v>
      </c>
      <c r="J137" s="147">
        <v>66.507762222222127</v>
      </c>
      <c r="K137" s="147">
        <v>11572.35062666665</v>
      </c>
      <c r="M137" s="136" t="e">
        <f t="shared" si="8"/>
        <v>#VALUE!</v>
      </c>
    </row>
    <row r="138" spans="3:13" x14ac:dyDescent="0.2">
      <c r="C138" s="177" t="s">
        <v>829</v>
      </c>
      <c r="D138" s="103" t="str">
        <f>_xlfn.XLOOKUP(C138,Detallado!C:C,Detallado!E:E,"ERROR",0)</f>
        <v>ERROR</v>
      </c>
      <c r="E138" s="306">
        <f>SUMIF(Detallado!C:C,ANALISIS!C138,Detallado!F:F)</f>
        <v>0</v>
      </c>
      <c r="F138" s="147" t="str">
        <f>_xlfn.XLOOKUP(C138,Detallado!C:C,Detallado!H:H,"ERROR",0)</f>
        <v>ERROR</v>
      </c>
      <c r="G138" s="102" t="e">
        <f t="shared" si="6"/>
        <v>#VALUE!</v>
      </c>
      <c r="H138" s="307" t="e">
        <f t="shared" si="7"/>
        <v>#VALUE!</v>
      </c>
      <c r="J138" s="147">
        <v>6.5423999999999989</v>
      </c>
      <c r="K138" s="147">
        <v>11743.607999999998</v>
      </c>
      <c r="M138" s="136" t="e">
        <f t="shared" si="8"/>
        <v>#VALUE!</v>
      </c>
    </row>
    <row r="139" spans="3:13" x14ac:dyDescent="0.2">
      <c r="C139" s="177" t="s">
        <v>1105</v>
      </c>
      <c r="D139" s="103" t="str">
        <f>_xlfn.XLOOKUP(C139,Detallado!C:C,Detallado!E:E,"ERROR",0)</f>
        <v>ERROR</v>
      </c>
      <c r="E139" s="306">
        <f>SUMIF(Detallado!C:C,ANALISIS!C139,Detallado!F:F)</f>
        <v>0</v>
      </c>
      <c r="F139" s="147" t="str">
        <f>_xlfn.XLOOKUP(C139,Detallado!C:C,Detallado!H:H,"ERROR",0)</f>
        <v>ERROR</v>
      </c>
      <c r="G139" s="102" t="e">
        <f t="shared" si="6"/>
        <v>#VALUE!</v>
      </c>
      <c r="H139" s="307" t="e">
        <f t="shared" si="7"/>
        <v>#VALUE!</v>
      </c>
      <c r="J139" s="147">
        <v>657.71999999999991</v>
      </c>
      <c r="K139" s="147">
        <v>16442.999999999996</v>
      </c>
      <c r="M139" s="136" t="e">
        <f t="shared" si="8"/>
        <v>#VALUE!</v>
      </c>
    </row>
    <row r="140" spans="3:13" x14ac:dyDescent="0.2">
      <c r="C140" s="177" t="s">
        <v>831</v>
      </c>
      <c r="D140" s="103" t="str">
        <f>_xlfn.XLOOKUP(C140,Detallado!C:C,Detallado!E:E,"ERROR",0)</f>
        <v>ERROR</v>
      </c>
      <c r="E140" s="306">
        <f>SUMIF(Detallado!C:C,ANALISIS!C140,Detallado!F:F)</f>
        <v>0</v>
      </c>
      <c r="F140" s="147" t="str">
        <f>_xlfn.XLOOKUP(C140,Detallado!C:C,Detallado!H:H,"ERROR",0)</f>
        <v>ERROR</v>
      </c>
      <c r="G140" s="102" t="e">
        <f t="shared" si="6"/>
        <v>#VALUE!</v>
      </c>
      <c r="H140" s="307" t="e">
        <f t="shared" si="7"/>
        <v>#VALUE!</v>
      </c>
      <c r="J140" s="147">
        <v>1113.31</v>
      </c>
      <c r="K140" s="147">
        <v>13359.72</v>
      </c>
      <c r="M140" s="136" t="e">
        <f t="shared" si="8"/>
        <v>#VALUE!</v>
      </c>
    </row>
    <row r="141" spans="3:13" x14ac:dyDescent="0.2">
      <c r="C141" s="177" t="s">
        <v>814</v>
      </c>
      <c r="D141" s="103" t="str">
        <f>_xlfn.XLOOKUP(C141,Detallado!C:C,Detallado!E:E,"ERROR",0)</f>
        <v>ERROR</v>
      </c>
      <c r="E141" s="306">
        <f>SUMIF(Detallado!C:C,ANALISIS!C141,Detallado!F:F)</f>
        <v>0</v>
      </c>
      <c r="F141" s="147" t="str">
        <f>_xlfn.XLOOKUP(C141,Detallado!C:C,Detallado!H:H,"ERROR",0)</f>
        <v>ERROR</v>
      </c>
      <c r="G141" s="102" t="e">
        <f t="shared" si="6"/>
        <v>#VALUE!</v>
      </c>
      <c r="H141" s="307" t="e">
        <f t="shared" si="7"/>
        <v>#VALUE!</v>
      </c>
      <c r="J141" s="147">
        <v>14.125319999999999</v>
      </c>
      <c r="K141" s="147">
        <v>35313.299999999996</v>
      </c>
      <c r="M141" s="136" t="e">
        <f t="shared" si="8"/>
        <v>#VALUE!</v>
      </c>
    </row>
    <row r="142" spans="3:13" x14ac:dyDescent="0.2">
      <c r="C142" s="177" t="s">
        <v>495</v>
      </c>
      <c r="D142" s="103" t="str">
        <f>_xlfn.XLOOKUP(C142,Detallado!C:C,Detallado!E:E,"ERROR",0)</f>
        <v>ERROR</v>
      </c>
      <c r="E142" s="306">
        <f>SUMIF(Detallado!C:C,ANALISIS!C142,Detallado!F:F)</f>
        <v>0</v>
      </c>
      <c r="F142" s="147" t="str">
        <f>_xlfn.XLOOKUP(C142,Detallado!C:C,Detallado!H:H,"ERROR",0)</f>
        <v>ERROR</v>
      </c>
      <c r="G142" s="102" t="e">
        <f t="shared" si="6"/>
        <v>#VALUE!</v>
      </c>
      <c r="H142" s="307" t="e">
        <f t="shared" si="7"/>
        <v>#VALUE!</v>
      </c>
      <c r="J142" s="147">
        <v>35.553999999999995</v>
      </c>
      <c r="K142" s="147">
        <v>8888.4999999999982</v>
      </c>
      <c r="M142" s="136" t="e">
        <f t="shared" si="8"/>
        <v>#VALUE!</v>
      </c>
    </row>
    <row r="143" spans="3:13" x14ac:dyDescent="0.2">
      <c r="C143" s="177" t="s">
        <v>1419</v>
      </c>
      <c r="D143" s="103" t="str">
        <f>_xlfn.XLOOKUP(C143,Detallado!C:C,Detallado!E:E,"ERROR",0)</f>
        <v>ERROR</v>
      </c>
      <c r="E143" s="306">
        <f>SUMIF(Detallado!C:C,ANALISIS!C143,Detallado!F:F)</f>
        <v>0</v>
      </c>
      <c r="F143" s="147" t="str">
        <f>_xlfn.XLOOKUP(C143,Detallado!C:C,Detallado!H:H,"ERROR",0)</f>
        <v>ERROR</v>
      </c>
      <c r="G143" s="102" t="e">
        <f t="shared" si="6"/>
        <v>#VALUE!</v>
      </c>
      <c r="H143" s="307" t="e">
        <f t="shared" si="7"/>
        <v>#VALUE!</v>
      </c>
      <c r="J143" s="147">
        <v>1200</v>
      </c>
      <c r="K143" s="147">
        <v>16800</v>
      </c>
      <c r="M143" s="136" t="e">
        <f t="shared" si="8"/>
        <v>#VALUE!</v>
      </c>
    </row>
    <row r="144" spans="3:13" x14ac:dyDescent="0.2">
      <c r="C144" s="177" t="s">
        <v>60</v>
      </c>
      <c r="D144" s="103" t="str">
        <f>_xlfn.XLOOKUP(C144,Detallado!C:C,Detallado!E:E,"ERROR",0)</f>
        <v>ERROR</v>
      </c>
      <c r="E144" s="306">
        <f>SUMIF(Detallado!C:C,ANALISIS!C144,Detallado!F:F)</f>
        <v>0</v>
      </c>
      <c r="F144" s="147" t="str">
        <f>_xlfn.XLOOKUP(C144,Detallado!C:C,Detallado!H:H,"ERROR",0)</f>
        <v>ERROR</v>
      </c>
      <c r="G144" s="102" t="e">
        <f t="shared" si="6"/>
        <v>#VALUE!</v>
      </c>
      <c r="H144" s="307" t="e">
        <f t="shared" si="7"/>
        <v>#VALUE!</v>
      </c>
      <c r="J144" s="147">
        <v>6298.7071999999998</v>
      </c>
      <c r="K144" s="147">
        <v>6298.7071999999998</v>
      </c>
      <c r="M144" s="136" t="e">
        <f t="shared" si="8"/>
        <v>#VALUE!</v>
      </c>
    </row>
    <row r="145" spans="3:13" x14ac:dyDescent="0.2">
      <c r="C145" s="131" t="s">
        <v>336</v>
      </c>
      <c r="D145" s="103" t="str">
        <f>_xlfn.XLOOKUP(C145,Detallado!C:C,Detallado!E:E,"ERROR",0)</f>
        <v>ERROR</v>
      </c>
      <c r="E145" s="306">
        <f>SUMIF(Detallado!C:C,ANALISIS!C145,Detallado!F:F)</f>
        <v>0</v>
      </c>
      <c r="F145" s="147" t="str">
        <f>_xlfn.XLOOKUP(C145,Detallado!C:C,Detallado!H:H,"ERROR",0)</f>
        <v>ERROR</v>
      </c>
      <c r="G145" s="102" t="e">
        <f t="shared" si="6"/>
        <v>#VALUE!</v>
      </c>
      <c r="H145" s="307" t="e">
        <f t="shared" si="7"/>
        <v>#VALUE!</v>
      </c>
      <c r="J145" s="147">
        <v>4353.3523999999998</v>
      </c>
      <c r="K145" s="147">
        <v>4353.3523999999998</v>
      </c>
      <c r="M145" s="136" t="e">
        <f t="shared" si="8"/>
        <v>#VALUE!</v>
      </c>
    </row>
    <row r="146" spans="3:13" x14ac:dyDescent="0.2">
      <c r="C146" s="131" t="s">
        <v>338</v>
      </c>
      <c r="D146" s="103" t="str">
        <f>_xlfn.XLOOKUP(C146,Detallado!C:C,Detallado!E:E,"ERROR",0)</f>
        <v>ERROR</v>
      </c>
      <c r="E146" s="306">
        <f>SUMIF(Detallado!C:C,ANALISIS!C146,Detallado!F:F)</f>
        <v>0</v>
      </c>
      <c r="F146" s="147" t="str">
        <f>_xlfn.XLOOKUP(C146,Detallado!C:C,Detallado!H:H,"ERROR",0)</f>
        <v>ERROR</v>
      </c>
      <c r="G146" s="102" t="e">
        <f t="shared" si="6"/>
        <v>#VALUE!</v>
      </c>
      <c r="H146" s="307" t="e">
        <f t="shared" si="7"/>
        <v>#VALUE!</v>
      </c>
      <c r="J146" s="147">
        <v>1462.8400254999883</v>
      </c>
      <c r="K146" s="147">
        <v>1462.8400254999883</v>
      </c>
      <c r="M146" s="136" t="e">
        <f t="shared" si="8"/>
        <v>#VALUE!</v>
      </c>
    </row>
    <row r="147" spans="3:13" x14ac:dyDescent="0.2">
      <c r="C147" s="131" t="s">
        <v>146</v>
      </c>
      <c r="D147" s="103" t="str">
        <f>_xlfn.XLOOKUP(C147,Detallado!C:C,Detallado!E:E,"ERROR",0)</f>
        <v>ERROR</v>
      </c>
      <c r="E147" s="306">
        <f>SUMIF(Detallado!C:C,ANALISIS!C147,Detallado!F:F)</f>
        <v>0</v>
      </c>
      <c r="F147" s="147" t="str">
        <f>_xlfn.XLOOKUP(C147,Detallado!C:C,Detallado!H:H,"ERROR",0)</f>
        <v>ERROR</v>
      </c>
      <c r="G147" s="102" t="e">
        <f t="shared" si="6"/>
        <v>#VALUE!</v>
      </c>
      <c r="H147" s="307" t="e">
        <f t="shared" si="7"/>
        <v>#VALUE!</v>
      </c>
      <c r="J147" s="147">
        <v>2084.4817199999998</v>
      </c>
      <c r="K147" s="147">
        <v>8337.9268799999991</v>
      </c>
      <c r="M147" s="136" t="e">
        <f t="shared" si="8"/>
        <v>#VALUE!</v>
      </c>
    </row>
    <row r="148" spans="3:13" x14ac:dyDescent="0.2">
      <c r="C148" s="131" t="s">
        <v>375</v>
      </c>
      <c r="D148" s="103" t="str">
        <f>_xlfn.XLOOKUP(C148,Detallado!C:C,Detallado!E:E,"ERROR",0)</f>
        <v>ERROR</v>
      </c>
      <c r="E148" s="306">
        <f>SUMIF(Detallado!C:C,ANALISIS!C148,Detallado!F:F)</f>
        <v>0</v>
      </c>
      <c r="F148" s="147" t="str">
        <f>_xlfn.XLOOKUP(C148,Detallado!C:C,Detallado!H:H,"ERROR",0)</f>
        <v>ERROR</v>
      </c>
      <c r="G148" s="102" t="e">
        <f t="shared" si="6"/>
        <v>#VALUE!</v>
      </c>
      <c r="H148" s="307" t="e">
        <f t="shared" si="7"/>
        <v>#VALUE!</v>
      </c>
      <c r="J148" s="147">
        <v>17284</v>
      </c>
      <c r="K148" s="147">
        <v>17284</v>
      </c>
      <c r="M148" s="136" t="e">
        <f t="shared" si="8"/>
        <v>#VALUE!</v>
      </c>
    </row>
    <row r="149" spans="3:13" x14ac:dyDescent="0.2">
      <c r="C149" s="131" t="s">
        <v>385</v>
      </c>
      <c r="D149" s="103" t="str">
        <f>_xlfn.XLOOKUP(C149,Detallado!C:C,Detallado!E:E,"ERROR",0)</f>
        <v>ERROR</v>
      </c>
      <c r="E149" s="306">
        <f>SUMIF(Detallado!C:C,ANALISIS!C149,Detallado!F:F)</f>
        <v>0</v>
      </c>
      <c r="F149" s="147" t="str">
        <f>_xlfn.XLOOKUP(C149,Detallado!C:C,Detallado!H:H,"ERROR",0)</f>
        <v>ERROR</v>
      </c>
      <c r="G149" s="102" t="e">
        <f t="shared" si="6"/>
        <v>#VALUE!</v>
      </c>
      <c r="H149" s="307" t="e">
        <f t="shared" si="7"/>
        <v>#VALUE!</v>
      </c>
      <c r="J149" s="147">
        <v>24567.910666666627</v>
      </c>
      <c r="K149" s="147">
        <v>24567.910666666627</v>
      </c>
      <c r="M149" s="136" t="e">
        <f t="shared" si="8"/>
        <v>#VALUE!</v>
      </c>
    </row>
    <row r="150" spans="3:13" x14ac:dyDescent="0.2">
      <c r="C150" s="131" t="s">
        <v>31</v>
      </c>
      <c r="D150" s="103" t="str">
        <f>_xlfn.XLOOKUP(C150,Detallado!C:C,Detallado!E:E,"ERROR",0)</f>
        <v>ERROR</v>
      </c>
      <c r="E150" s="306">
        <f>SUMIF(Detallado!C:C,ANALISIS!C150,Detallado!F:F)</f>
        <v>0</v>
      </c>
      <c r="F150" s="147" t="str">
        <f>_xlfn.XLOOKUP(C150,Detallado!C:C,Detallado!H:H,"ERROR",0)</f>
        <v>ERROR</v>
      </c>
      <c r="G150" s="102" t="e">
        <f t="shared" si="6"/>
        <v>#VALUE!</v>
      </c>
      <c r="H150" s="307" t="e">
        <f t="shared" si="7"/>
        <v>#VALUE!</v>
      </c>
      <c r="J150" s="147">
        <v>1670.3999999999999</v>
      </c>
      <c r="K150" s="147">
        <v>3340.7999999999997</v>
      </c>
      <c r="M150" s="136" t="e">
        <f t="shared" si="8"/>
        <v>#VALUE!</v>
      </c>
    </row>
    <row r="151" spans="3:13" x14ac:dyDescent="0.2">
      <c r="C151" s="131" t="s">
        <v>68</v>
      </c>
      <c r="D151" s="103" t="str">
        <f>_xlfn.XLOOKUP(C151,Detallado!C:C,Detallado!E:E,"ERROR",0)</f>
        <v>ERROR</v>
      </c>
      <c r="E151" s="306">
        <f>SUMIF(Detallado!C:C,ANALISIS!C151,Detallado!F:F)</f>
        <v>0</v>
      </c>
      <c r="F151" s="147" t="str">
        <f>_xlfn.XLOOKUP(C151,Detallado!C:C,Detallado!H:H,"ERROR",0)</f>
        <v>ERROR</v>
      </c>
      <c r="G151" s="102" t="e">
        <f t="shared" si="6"/>
        <v>#VALUE!</v>
      </c>
      <c r="H151" s="307" t="e">
        <f t="shared" si="7"/>
        <v>#VALUE!</v>
      </c>
      <c r="J151" s="147">
        <v>2949.9158729999999</v>
      </c>
      <c r="K151" s="147">
        <v>14749.579365</v>
      </c>
      <c r="M151" s="136" t="e">
        <f t="shared" si="8"/>
        <v>#VALUE!</v>
      </c>
    </row>
    <row r="152" spans="3:13" x14ac:dyDescent="0.2">
      <c r="C152" s="131" t="s">
        <v>414</v>
      </c>
      <c r="D152" s="103" t="str">
        <f>_xlfn.XLOOKUP(C152,Detallado!C:C,Detallado!E:E,"ERROR",0)</f>
        <v>ERROR</v>
      </c>
      <c r="E152" s="306">
        <f>SUMIF(Detallado!C:C,ANALISIS!C152,Detallado!F:F)</f>
        <v>0</v>
      </c>
      <c r="F152" s="147" t="str">
        <f>_xlfn.XLOOKUP(C152,Detallado!C:C,Detallado!H:H,"ERROR",0)</f>
        <v>ERROR</v>
      </c>
      <c r="G152" s="102" t="e">
        <f t="shared" si="6"/>
        <v>#VALUE!</v>
      </c>
      <c r="H152" s="307" t="e">
        <f t="shared" si="7"/>
        <v>#VALUE!</v>
      </c>
      <c r="J152" s="147">
        <v>2155.0387199999996</v>
      </c>
      <c r="K152" s="147">
        <v>6465.1161599999987</v>
      </c>
      <c r="M152" s="136" t="e">
        <f t="shared" si="8"/>
        <v>#VALUE!</v>
      </c>
    </row>
    <row r="153" spans="3:13" x14ac:dyDescent="0.2">
      <c r="C153" s="131" t="s">
        <v>32</v>
      </c>
      <c r="D153" s="103" t="str">
        <f>_xlfn.XLOOKUP(C153,Detallado!C:C,Detallado!E:E,"ERROR",0)</f>
        <v>ERROR</v>
      </c>
      <c r="E153" s="306">
        <f>SUMIF(Detallado!C:C,ANALISIS!C153,Detallado!F:F)</f>
        <v>0</v>
      </c>
      <c r="F153" s="147" t="str">
        <f>_xlfn.XLOOKUP(C153,Detallado!C:C,Detallado!H:H,"ERROR",0)</f>
        <v>ERROR</v>
      </c>
      <c r="G153" s="102" t="e">
        <f t="shared" si="6"/>
        <v>#VALUE!</v>
      </c>
      <c r="H153" s="307" t="e">
        <f t="shared" si="7"/>
        <v>#VALUE!</v>
      </c>
      <c r="J153" s="147">
        <v>366.71544</v>
      </c>
      <c r="K153" s="147">
        <v>2200.2926400000001</v>
      </c>
      <c r="M153" s="136" t="e">
        <f t="shared" si="8"/>
        <v>#VALUE!</v>
      </c>
    </row>
    <row r="154" spans="3:13" x14ac:dyDescent="0.2">
      <c r="C154" s="131" t="s">
        <v>33</v>
      </c>
      <c r="D154" s="103" t="str">
        <f>_xlfn.XLOOKUP(C154,Detallado!C:C,Detallado!E:E,"ERROR",0)</f>
        <v>ERROR</v>
      </c>
      <c r="E154" s="306">
        <f>SUMIF(Detallado!C:C,ANALISIS!C154,Detallado!F:F)</f>
        <v>0</v>
      </c>
      <c r="F154" s="147" t="str">
        <f>_xlfn.XLOOKUP(C154,Detallado!C:C,Detallado!H:H,"ERROR",0)</f>
        <v>ERROR</v>
      </c>
      <c r="G154" s="102" t="e">
        <f t="shared" si="6"/>
        <v>#VALUE!</v>
      </c>
      <c r="H154" s="307" t="e">
        <f t="shared" si="7"/>
        <v>#VALUE!</v>
      </c>
      <c r="J154" s="147">
        <v>792.56894545454429</v>
      </c>
      <c r="K154" s="147">
        <v>5547.9826181818098</v>
      </c>
      <c r="M154" s="136" t="e">
        <f t="shared" si="8"/>
        <v>#VALUE!</v>
      </c>
    </row>
    <row r="155" spans="3:13" x14ac:dyDescent="0.2">
      <c r="C155" s="131" t="s">
        <v>59</v>
      </c>
      <c r="D155" s="103" t="str">
        <f>_xlfn.XLOOKUP(C155,Detallado!C:C,Detallado!E:E,"ERROR",0)</f>
        <v>ERROR</v>
      </c>
      <c r="E155" s="306">
        <f>SUMIF(Detallado!C:C,ANALISIS!C155,Detallado!F:F)</f>
        <v>0</v>
      </c>
      <c r="F155" s="147" t="str">
        <f>_xlfn.XLOOKUP(C155,Detallado!C:C,Detallado!H:H,"ERROR",0)</f>
        <v>ERROR</v>
      </c>
      <c r="G155" s="102" t="e">
        <f t="shared" si="6"/>
        <v>#VALUE!</v>
      </c>
      <c r="H155" s="307" t="e">
        <f t="shared" si="7"/>
        <v>#VALUE!</v>
      </c>
      <c r="J155" s="147">
        <v>897.84695999999985</v>
      </c>
      <c r="K155" s="147">
        <v>897.84695999999985</v>
      </c>
      <c r="M155" s="136" t="e">
        <f t="shared" si="8"/>
        <v>#VALUE!</v>
      </c>
    </row>
    <row r="156" spans="3:13" x14ac:dyDescent="0.2">
      <c r="C156" s="131" t="s">
        <v>85</v>
      </c>
      <c r="D156" s="103" t="str">
        <f>_xlfn.XLOOKUP(C156,Detallado!C:C,Detallado!E:E,"ERROR",0)</f>
        <v>ERROR</v>
      </c>
      <c r="E156" s="306">
        <f>SUMIF(Detallado!C:C,ANALISIS!C156,Detallado!F:F)</f>
        <v>0</v>
      </c>
      <c r="F156" s="147" t="str">
        <f>_xlfn.XLOOKUP(C156,Detallado!C:C,Detallado!H:H,"ERROR",0)</f>
        <v>ERROR</v>
      </c>
      <c r="G156" s="102" t="e">
        <f t="shared" si="6"/>
        <v>#VALUE!</v>
      </c>
      <c r="H156" s="307" t="e">
        <f t="shared" si="7"/>
        <v>#VALUE!</v>
      </c>
      <c r="J156" s="147">
        <v>2779.6409777777749</v>
      </c>
      <c r="K156" s="147">
        <v>27796.40977777775</v>
      </c>
      <c r="M156" s="136" t="e">
        <f t="shared" si="8"/>
        <v>#VALUE!</v>
      </c>
    </row>
    <row r="157" spans="3:13" x14ac:dyDescent="0.2">
      <c r="C157" s="131" t="s">
        <v>206</v>
      </c>
      <c r="D157" s="103" t="str">
        <f>_xlfn.XLOOKUP(C157,Detallado!C:C,Detallado!E:E,"ERROR",0)</f>
        <v>ERROR</v>
      </c>
      <c r="E157" s="306">
        <f>SUMIF(Detallado!C:C,ANALISIS!C157,Detallado!F:F)</f>
        <v>0</v>
      </c>
      <c r="F157" s="147" t="str">
        <f>_xlfn.XLOOKUP(C157,Detallado!C:C,Detallado!H:H,"ERROR",0)</f>
        <v>ERROR</v>
      </c>
      <c r="G157" s="102" t="e">
        <f t="shared" si="6"/>
        <v>#VALUE!</v>
      </c>
      <c r="H157" s="307" t="e">
        <f t="shared" si="7"/>
        <v>#VALUE!</v>
      </c>
      <c r="J157" s="147">
        <v>5542.48</v>
      </c>
      <c r="K157" s="147">
        <v>0</v>
      </c>
      <c r="M157" s="136" t="e">
        <f t="shared" si="8"/>
        <v>#VALUE!</v>
      </c>
    </row>
    <row r="158" spans="3:13" x14ac:dyDescent="0.2">
      <c r="C158" s="131" t="s">
        <v>147</v>
      </c>
      <c r="D158" s="103" t="str">
        <f>_xlfn.XLOOKUP(C158,Detallado!C:C,Detallado!E:E,"ERROR",0)</f>
        <v>ERROR</v>
      </c>
      <c r="E158" s="306">
        <f>SUMIF(Detallado!C:C,ANALISIS!C158,Detallado!F:F)</f>
        <v>0</v>
      </c>
      <c r="F158" s="147" t="str">
        <f>_xlfn.XLOOKUP(C158,Detallado!C:C,Detallado!H:H,"ERROR",0)</f>
        <v>ERROR</v>
      </c>
      <c r="G158" s="102" t="e">
        <f t="shared" si="6"/>
        <v>#VALUE!</v>
      </c>
      <c r="H158" s="307" t="e">
        <f t="shared" si="7"/>
        <v>#VALUE!</v>
      </c>
      <c r="J158" s="147">
        <v>927.99999999999989</v>
      </c>
      <c r="K158" s="147">
        <v>3711.9999999999995</v>
      </c>
      <c r="M158" s="136" t="e">
        <f t="shared" si="8"/>
        <v>#VALUE!</v>
      </c>
    </row>
    <row r="159" spans="3:13" x14ac:dyDescent="0.2">
      <c r="C159" s="131" t="s">
        <v>148</v>
      </c>
      <c r="D159" s="103" t="str">
        <f>_xlfn.XLOOKUP(C159,Detallado!C:C,Detallado!E:E,"ERROR",0)</f>
        <v>ERROR</v>
      </c>
      <c r="E159" s="306">
        <f>SUMIF(Detallado!C:C,ANALISIS!C159,Detallado!F:F)</f>
        <v>0</v>
      </c>
      <c r="F159" s="147" t="str">
        <f>_xlfn.XLOOKUP(C159,Detallado!C:C,Detallado!H:H,"ERROR",0)</f>
        <v>ERROR</v>
      </c>
      <c r="G159" s="102" t="e">
        <f t="shared" si="6"/>
        <v>#VALUE!</v>
      </c>
      <c r="H159" s="307" t="e">
        <f t="shared" si="7"/>
        <v>#VALUE!</v>
      </c>
      <c r="J159" s="147">
        <v>1295.952</v>
      </c>
      <c r="K159" s="147">
        <v>5183.808</v>
      </c>
      <c r="M159" s="136" t="e">
        <f t="shared" si="8"/>
        <v>#VALUE!</v>
      </c>
    </row>
    <row r="160" spans="3:13" x14ac:dyDescent="0.2">
      <c r="C160" s="131" t="s">
        <v>123</v>
      </c>
      <c r="D160" s="103" t="str">
        <f>_xlfn.XLOOKUP(C160,Detallado!C:C,Detallado!E:E,"ERROR",0)</f>
        <v>ERROR</v>
      </c>
      <c r="E160" s="306">
        <f>SUMIF(Detallado!C:C,ANALISIS!C160,Detallado!F:F)</f>
        <v>0</v>
      </c>
      <c r="F160" s="147" t="str">
        <f>_xlfn.XLOOKUP(C160,Detallado!C:C,Detallado!H:H,"ERROR",0)</f>
        <v>ERROR</v>
      </c>
      <c r="G160" s="102" t="e">
        <f t="shared" si="6"/>
        <v>#VALUE!</v>
      </c>
      <c r="H160" s="307" t="e">
        <f t="shared" si="7"/>
        <v>#VALUE!</v>
      </c>
      <c r="J160" s="147">
        <v>6380</v>
      </c>
      <c r="K160" s="147">
        <v>38280</v>
      </c>
      <c r="M160" s="136" t="e">
        <f t="shared" si="8"/>
        <v>#VALUE!</v>
      </c>
    </row>
    <row r="161" spans="3:13" x14ac:dyDescent="0.2">
      <c r="C161" s="131" t="s">
        <v>500</v>
      </c>
      <c r="D161" s="103" t="str">
        <f>_xlfn.XLOOKUP(C161,Detallado!C:C,Detallado!E:E,"ERROR",0)</f>
        <v>ERROR</v>
      </c>
      <c r="E161" s="306">
        <f>SUMIF(Detallado!C:C,ANALISIS!C161,Detallado!F:F)</f>
        <v>0</v>
      </c>
      <c r="F161" s="147" t="str">
        <f>_xlfn.XLOOKUP(C161,Detallado!C:C,Detallado!H:H,"ERROR",0)</f>
        <v>ERROR</v>
      </c>
      <c r="G161" s="102" t="e">
        <f t="shared" si="6"/>
        <v>#VALUE!</v>
      </c>
      <c r="H161" s="307" t="e">
        <f t="shared" si="7"/>
        <v>#VALUE!</v>
      </c>
      <c r="J161" s="147">
        <v>1393.7109999999998</v>
      </c>
      <c r="K161" s="147">
        <v>1393.7109999999998</v>
      </c>
      <c r="M161" s="136" t="e">
        <f t="shared" si="8"/>
        <v>#VALUE!</v>
      </c>
    </row>
    <row r="162" spans="3:13" x14ac:dyDescent="0.2">
      <c r="C162" s="131" t="s">
        <v>502</v>
      </c>
      <c r="D162" s="103" t="str">
        <f>_xlfn.XLOOKUP(C162,Detallado!C:C,Detallado!E:E,"ERROR",0)</f>
        <v>ERROR</v>
      </c>
      <c r="E162" s="306">
        <f>SUMIF(Detallado!C:C,ANALISIS!C162,Detallado!F:F)</f>
        <v>0</v>
      </c>
      <c r="F162" s="147" t="str">
        <f>_xlfn.XLOOKUP(C162,Detallado!C:C,Detallado!H:H,"ERROR",0)</f>
        <v>ERROR</v>
      </c>
      <c r="G162" s="102" t="e">
        <f t="shared" si="6"/>
        <v>#VALUE!</v>
      </c>
      <c r="H162" s="307" t="e">
        <f t="shared" si="7"/>
        <v>#VALUE!</v>
      </c>
      <c r="J162" s="147">
        <v>1775.9292599999999</v>
      </c>
      <c r="K162" s="147">
        <v>3551.8585199999998</v>
      </c>
      <c r="M162" s="136" t="e">
        <f t="shared" si="8"/>
        <v>#VALUE!</v>
      </c>
    </row>
    <row r="163" spans="3:13" x14ac:dyDescent="0.2">
      <c r="C163" s="131" t="s">
        <v>507</v>
      </c>
      <c r="D163" s="103" t="str">
        <f>_xlfn.XLOOKUP(C163,Detallado!C:C,Detallado!E:E,"ERROR",0)</f>
        <v>ERROR</v>
      </c>
      <c r="E163" s="306">
        <f>SUMIF(Detallado!C:C,ANALISIS!C163,Detallado!F:F)</f>
        <v>0</v>
      </c>
      <c r="F163" s="147" t="str">
        <f>_xlfn.XLOOKUP(C163,Detallado!C:C,Detallado!H:H,"ERROR",0)</f>
        <v>ERROR</v>
      </c>
      <c r="G163" s="102" t="e">
        <f t="shared" si="6"/>
        <v>#VALUE!</v>
      </c>
      <c r="H163" s="307" t="e">
        <f t="shared" si="7"/>
        <v>#VALUE!</v>
      </c>
      <c r="J163" s="147">
        <v>5235.08</v>
      </c>
      <c r="K163" s="147">
        <v>5235.08</v>
      </c>
      <c r="M163" s="136" t="e">
        <f t="shared" si="8"/>
        <v>#VALUE!</v>
      </c>
    </row>
    <row r="164" spans="3:13" x14ac:dyDescent="0.2">
      <c r="C164" s="131" t="s">
        <v>549</v>
      </c>
      <c r="D164" s="103" t="str">
        <f>_xlfn.XLOOKUP(C164,Detallado!C:C,Detallado!E:E,"ERROR",0)</f>
        <v>ERROR</v>
      </c>
      <c r="E164" s="306">
        <f>SUMIF(Detallado!C:C,ANALISIS!C164,Detallado!F:F)</f>
        <v>0</v>
      </c>
      <c r="F164" s="147" t="str">
        <f>_xlfn.XLOOKUP(C164,Detallado!C:C,Detallado!H:H,"ERROR",0)</f>
        <v>ERROR</v>
      </c>
      <c r="G164" s="102" t="e">
        <f t="shared" si="6"/>
        <v>#VALUE!</v>
      </c>
      <c r="H164" s="307" t="e">
        <f t="shared" si="7"/>
        <v>#VALUE!</v>
      </c>
      <c r="J164" s="147">
        <v>17980</v>
      </c>
      <c r="K164" s="147">
        <v>17980</v>
      </c>
      <c r="M164" s="136" t="e">
        <f t="shared" si="8"/>
        <v>#VALUE!</v>
      </c>
    </row>
    <row r="165" spans="3:13" x14ac:dyDescent="0.2">
      <c r="C165" s="131" t="s">
        <v>556</v>
      </c>
      <c r="D165" s="103" t="str">
        <f>_xlfn.XLOOKUP(C165,Detallado!C:C,Detallado!E:E,"ERROR",0)</f>
        <v>ERROR</v>
      </c>
      <c r="E165" s="306">
        <f>SUMIF(Detallado!C:C,ANALISIS!C165,Detallado!F:F)</f>
        <v>0</v>
      </c>
      <c r="F165" s="147" t="str">
        <f>_xlfn.XLOOKUP(C165,Detallado!C:C,Detallado!H:H,"ERROR",0)</f>
        <v>ERROR</v>
      </c>
      <c r="G165" s="102" t="e">
        <f t="shared" si="6"/>
        <v>#VALUE!</v>
      </c>
      <c r="H165" s="307" t="e">
        <f t="shared" si="7"/>
        <v>#VALUE!</v>
      </c>
      <c r="J165" s="147">
        <v>12594.282399999998</v>
      </c>
      <c r="K165" s="147">
        <v>12594.282399999998</v>
      </c>
      <c r="M165" s="136" t="e">
        <f t="shared" si="8"/>
        <v>#VALUE!</v>
      </c>
    </row>
    <row r="166" spans="3:13" x14ac:dyDescent="0.2">
      <c r="C166" s="131" t="s">
        <v>114</v>
      </c>
      <c r="D166" s="103" t="str">
        <f>_xlfn.XLOOKUP(C166,Detallado!C:C,Detallado!E:E,"ERROR",0)</f>
        <v>ERROR</v>
      </c>
      <c r="E166" s="306">
        <f>SUMIF(Detallado!C:C,ANALISIS!C166,Detallado!F:F)</f>
        <v>0</v>
      </c>
      <c r="F166" s="147" t="str">
        <f>_xlfn.XLOOKUP(C166,Detallado!C:C,Detallado!H:H,"ERROR",0)</f>
        <v>ERROR</v>
      </c>
      <c r="G166" s="102" t="e">
        <f t="shared" si="6"/>
        <v>#VALUE!</v>
      </c>
      <c r="H166" s="307" t="e">
        <f t="shared" si="7"/>
        <v>#VALUE!</v>
      </c>
      <c r="J166" s="147">
        <v>7239.5599999999995</v>
      </c>
      <c r="K166" s="147">
        <v>7239.5599999999995</v>
      </c>
      <c r="M166" s="136" t="e">
        <f t="shared" si="8"/>
        <v>#VALUE!</v>
      </c>
    </row>
    <row r="167" spans="3:13" x14ac:dyDescent="0.2">
      <c r="C167" s="131" t="s">
        <v>605</v>
      </c>
      <c r="D167" s="103" t="str">
        <f>_xlfn.XLOOKUP(C167,Detallado!C:C,Detallado!E:E,"ERROR",0)</f>
        <v>ERROR</v>
      </c>
      <c r="E167" s="306">
        <f>SUMIF(Detallado!C:C,ANALISIS!C167,Detallado!F:F)</f>
        <v>0</v>
      </c>
      <c r="F167" s="147" t="str">
        <f>_xlfn.XLOOKUP(C167,Detallado!C:C,Detallado!H:H,"ERROR",0)</f>
        <v>ERROR</v>
      </c>
      <c r="G167" s="102" t="e">
        <f t="shared" si="6"/>
        <v>#VALUE!</v>
      </c>
      <c r="H167" s="307" t="e">
        <f t="shared" si="7"/>
        <v>#VALUE!</v>
      </c>
      <c r="J167" s="147">
        <v>377.48209599999996</v>
      </c>
      <c r="K167" s="147">
        <v>8304.6061119999995</v>
      </c>
      <c r="M167" s="136" t="e">
        <f t="shared" si="8"/>
        <v>#VALUE!</v>
      </c>
    </row>
    <row r="168" spans="3:13" x14ac:dyDescent="0.2">
      <c r="C168" s="177" t="s">
        <v>608</v>
      </c>
      <c r="D168" s="103" t="str">
        <f>_xlfn.XLOOKUP(C168,Detallado!C:C,Detallado!E:E,"ERROR",0)</f>
        <v>ERROR</v>
      </c>
      <c r="E168" s="306">
        <f>SUMIF(Detallado!C:C,ANALISIS!C168,Detallado!F:F)</f>
        <v>0</v>
      </c>
      <c r="F168" s="147" t="str">
        <f>_xlfn.XLOOKUP(C168,Detallado!C:C,Detallado!H:H,"ERROR",0)</f>
        <v>ERROR</v>
      </c>
      <c r="G168" s="102" t="e">
        <f t="shared" si="6"/>
        <v>#VALUE!</v>
      </c>
      <c r="H168" s="307" t="e">
        <f t="shared" si="7"/>
        <v>#VALUE!</v>
      </c>
      <c r="J168" s="147">
        <v>323.36287599999997</v>
      </c>
      <c r="K168" s="147">
        <v>1616.8143799999998</v>
      </c>
      <c r="M168" s="136" t="e">
        <f t="shared" si="8"/>
        <v>#VALUE!</v>
      </c>
    </row>
    <row r="169" spans="3:13" x14ac:dyDescent="0.2">
      <c r="C169" s="177" t="s">
        <v>87</v>
      </c>
      <c r="D169" s="103" t="str">
        <f>_xlfn.XLOOKUP(C169,Detallado!C:C,Detallado!E:E,"ERROR",0)</f>
        <v>ERROR</v>
      </c>
      <c r="E169" s="306">
        <f>SUMIF(Detallado!C:C,ANALISIS!C169,Detallado!F:F)</f>
        <v>0</v>
      </c>
      <c r="F169" s="147" t="str">
        <f>_xlfn.XLOOKUP(C169,Detallado!C:C,Detallado!H:H,"ERROR",0)</f>
        <v>ERROR</v>
      </c>
      <c r="G169" s="102" t="e">
        <f t="shared" si="6"/>
        <v>#VALUE!</v>
      </c>
      <c r="H169" s="307" t="e">
        <f t="shared" si="7"/>
        <v>#VALUE!</v>
      </c>
      <c r="J169" s="147">
        <v>1818.1839999999884</v>
      </c>
      <c r="K169" s="147">
        <v>5454.5519999999651</v>
      </c>
      <c r="M169" s="136" t="e">
        <f t="shared" si="8"/>
        <v>#VALUE!</v>
      </c>
    </row>
    <row r="170" spans="3:13" x14ac:dyDescent="0.2">
      <c r="C170" s="177" t="s">
        <v>902</v>
      </c>
      <c r="D170" s="103" t="str">
        <f>_xlfn.XLOOKUP(C170,Detallado!C:C,Detallado!E:E,"ERROR",0)</f>
        <v>ERROR</v>
      </c>
      <c r="E170" s="306">
        <f>SUMIF(Detallado!C:C,ANALISIS!C170,Detallado!F:F)</f>
        <v>0</v>
      </c>
      <c r="F170" s="147" t="str">
        <f>_xlfn.XLOOKUP(C170,Detallado!C:C,Detallado!H:H,"ERROR",0)</f>
        <v>ERROR</v>
      </c>
      <c r="G170" s="102" t="e">
        <f t="shared" si="6"/>
        <v>#VALUE!</v>
      </c>
      <c r="H170" s="307" t="e">
        <f t="shared" si="7"/>
        <v>#VALUE!</v>
      </c>
      <c r="J170" s="147">
        <v>2896.288</v>
      </c>
      <c r="K170" s="147">
        <v>8688.8639999999996</v>
      </c>
      <c r="M170" s="136" t="e">
        <f t="shared" si="8"/>
        <v>#VALUE!</v>
      </c>
    </row>
    <row r="171" spans="3:13" x14ac:dyDescent="0.2">
      <c r="C171" s="177" t="s">
        <v>619</v>
      </c>
      <c r="D171" s="103" t="str">
        <f>_xlfn.XLOOKUP(C171,Detallado!C:C,Detallado!E:E,"ERROR",0)</f>
        <v>ERROR</v>
      </c>
      <c r="E171" s="306">
        <f>SUMIF(Detallado!C:C,ANALISIS!C171,Detallado!F:F)</f>
        <v>0</v>
      </c>
      <c r="F171" s="147" t="str">
        <f>_xlfn.XLOOKUP(C171,Detallado!C:C,Detallado!H:H,"ERROR",0)</f>
        <v>ERROR</v>
      </c>
      <c r="G171" s="102" t="e">
        <f t="shared" si="6"/>
        <v>#VALUE!</v>
      </c>
      <c r="H171" s="307" t="e">
        <f t="shared" si="7"/>
        <v>#VALUE!</v>
      </c>
      <c r="J171" s="147">
        <v>3827.6674666666627</v>
      </c>
      <c r="K171" s="147">
        <v>7655.3349333333254</v>
      </c>
      <c r="M171" s="136" t="e">
        <f t="shared" si="8"/>
        <v>#VALUE!</v>
      </c>
    </row>
    <row r="172" spans="3:13" x14ac:dyDescent="0.2">
      <c r="C172" s="177" t="s">
        <v>622</v>
      </c>
      <c r="D172" s="103" t="str">
        <f>_xlfn.XLOOKUP(C172,Detallado!C:C,Detallado!E:E,"ERROR",0)</f>
        <v>ERROR</v>
      </c>
      <c r="E172" s="306">
        <f>SUMIF(Detallado!C:C,ANALISIS!C172,Detallado!F:F)</f>
        <v>0</v>
      </c>
      <c r="F172" s="147" t="str">
        <f>_xlfn.XLOOKUP(C172,Detallado!C:C,Detallado!H:H,"ERROR",0)</f>
        <v>ERROR</v>
      </c>
      <c r="G172" s="102" t="e">
        <f t="shared" si="6"/>
        <v>#VALUE!</v>
      </c>
      <c r="H172" s="307" t="e">
        <f t="shared" si="7"/>
        <v>#VALUE!</v>
      </c>
      <c r="J172" s="147">
        <v>1632.0503999999999</v>
      </c>
      <c r="K172" s="147">
        <v>3264.1007999999997</v>
      </c>
      <c r="M172" s="136" t="e">
        <f t="shared" si="8"/>
        <v>#VALUE!</v>
      </c>
    </row>
    <row r="173" spans="3:13" x14ac:dyDescent="0.2">
      <c r="C173" s="177" t="s">
        <v>624</v>
      </c>
      <c r="D173" s="103" t="str">
        <f>_xlfn.XLOOKUP(C173,Detallado!C:C,Detallado!E:E,"ERROR",0)</f>
        <v>ERROR</v>
      </c>
      <c r="E173" s="306">
        <f>SUMIF(Detallado!C:C,ANALISIS!C173,Detallado!F:F)</f>
        <v>0</v>
      </c>
      <c r="F173" s="147" t="str">
        <f>_xlfn.XLOOKUP(C173,Detallado!C:C,Detallado!H:H,"ERROR",0)</f>
        <v>ERROR</v>
      </c>
      <c r="G173" s="102" t="e">
        <f t="shared" si="6"/>
        <v>#VALUE!</v>
      </c>
      <c r="H173" s="307" t="e">
        <f t="shared" si="7"/>
        <v>#VALUE!</v>
      </c>
      <c r="J173" s="147">
        <v>2086.8051999999998</v>
      </c>
      <c r="K173" s="147">
        <v>2086.8051999999998</v>
      </c>
      <c r="M173" s="136" t="e">
        <f t="shared" si="8"/>
        <v>#VALUE!</v>
      </c>
    </row>
    <row r="174" spans="3:13" x14ac:dyDescent="0.2">
      <c r="C174" s="131" t="s">
        <v>631</v>
      </c>
      <c r="D174" s="103" t="str">
        <f>_xlfn.XLOOKUP(C174,Detallado!C:C,Detallado!E:E,"ERROR",0)</f>
        <v>ERROR</v>
      </c>
      <c r="E174" s="306">
        <f>SUMIF(Detallado!C:C,ANALISIS!C174,Detallado!F:F)</f>
        <v>0</v>
      </c>
      <c r="F174" s="147" t="str">
        <f>_xlfn.XLOOKUP(C174,Detallado!C:C,Detallado!H:H,"ERROR",0)</f>
        <v>ERROR</v>
      </c>
      <c r="G174" s="102" t="e">
        <f t="shared" si="6"/>
        <v>#VALUE!</v>
      </c>
      <c r="H174" s="307" t="e">
        <f t="shared" si="7"/>
        <v>#VALUE!</v>
      </c>
      <c r="J174" s="147">
        <v>2912.2329733333254</v>
      </c>
      <c r="K174" s="147">
        <v>2912.2329733333254</v>
      </c>
      <c r="M174" s="136" t="e">
        <f t="shared" si="8"/>
        <v>#VALUE!</v>
      </c>
    </row>
    <row r="175" spans="3:13" x14ac:dyDescent="0.2">
      <c r="C175" s="177" t="s">
        <v>633</v>
      </c>
      <c r="D175" s="103" t="str">
        <f>_xlfn.XLOOKUP(C175,Detallado!C:C,Detallado!E:E,"ERROR",0)</f>
        <v>ERROR</v>
      </c>
      <c r="E175" s="306">
        <f>SUMIF(Detallado!C:C,ANALISIS!C175,Detallado!F:F)</f>
        <v>0</v>
      </c>
      <c r="F175" s="147" t="str">
        <f>_xlfn.XLOOKUP(C175,Detallado!C:C,Detallado!H:H,"ERROR",0)</f>
        <v>ERROR</v>
      </c>
      <c r="G175" s="102" t="e">
        <f t="shared" ref="G175:G230" si="9">E175*F175</f>
        <v>#VALUE!</v>
      </c>
      <c r="H175" s="307" t="e">
        <f t="shared" si="7"/>
        <v>#VALUE!</v>
      </c>
      <c r="J175" s="147">
        <v>6855.5175074285644</v>
      </c>
      <c r="K175" s="147">
        <v>34277.587537142819</v>
      </c>
      <c r="M175" s="136" t="e">
        <f t="shared" si="8"/>
        <v>#VALUE!</v>
      </c>
    </row>
    <row r="176" spans="3:13" x14ac:dyDescent="0.2">
      <c r="C176" s="177" t="s">
        <v>158</v>
      </c>
      <c r="D176" s="103" t="str">
        <f>_xlfn.XLOOKUP(C176,Detallado!C:C,Detallado!E:E,"ERROR",0)</f>
        <v>ERROR</v>
      </c>
      <c r="E176" s="306">
        <f>SUMIF(Detallado!C:C,ANALISIS!C176,Detallado!F:F)</f>
        <v>0</v>
      </c>
      <c r="F176" s="147" t="str">
        <f>_xlfn.XLOOKUP(C176,Detallado!C:C,Detallado!H:H,"ERROR",0)</f>
        <v>ERROR</v>
      </c>
      <c r="G176" s="102" t="e">
        <f t="shared" si="9"/>
        <v>#VALUE!</v>
      </c>
      <c r="H176" s="307" t="e">
        <f t="shared" si="7"/>
        <v>#VALUE!</v>
      </c>
      <c r="J176" s="147">
        <v>12779.72</v>
      </c>
      <c r="K176" s="147">
        <v>12779.72</v>
      </c>
      <c r="M176" s="136" t="e">
        <f t="shared" si="8"/>
        <v>#VALUE!</v>
      </c>
    </row>
    <row r="177" spans="3:13" x14ac:dyDescent="0.2">
      <c r="C177" s="177" t="s">
        <v>58</v>
      </c>
      <c r="D177" s="103" t="str">
        <f>_xlfn.XLOOKUP(C177,Detallado!C:C,Detallado!E:E,"ERROR",0)</f>
        <v>ERROR</v>
      </c>
      <c r="E177" s="306">
        <f>SUMIF(Detallado!C:C,ANALISIS!C177,Detallado!F:F)</f>
        <v>0</v>
      </c>
      <c r="F177" s="147" t="str">
        <f>_xlfn.XLOOKUP(C177,Detallado!C:C,Detallado!H:H,"ERROR",0)</f>
        <v>ERROR</v>
      </c>
      <c r="G177" s="102" t="e">
        <f t="shared" si="9"/>
        <v>#VALUE!</v>
      </c>
      <c r="H177" s="307" t="e">
        <f t="shared" si="7"/>
        <v>#VALUE!</v>
      </c>
      <c r="J177" s="147">
        <v>3903.6192399999995</v>
      </c>
      <c r="K177" s="147">
        <v>23421.715439999996</v>
      </c>
      <c r="M177" s="136" t="e">
        <f t="shared" si="8"/>
        <v>#VALUE!</v>
      </c>
    </row>
    <row r="178" spans="3:13" x14ac:dyDescent="0.2">
      <c r="C178" s="177" t="s">
        <v>159</v>
      </c>
      <c r="D178" s="103" t="str">
        <f>_xlfn.XLOOKUP(C178,Detallado!C:C,Detallado!E:E,"ERROR",0)</f>
        <v>ERROR</v>
      </c>
      <c r="E178" s="306">
        <f>SUMIF(Detallado!C:C,ANALISIS!C178,Detallado!F:F)</f>
        <v>0</v>
      </c>
      <c r="F178" s="147" t="str">
        <f>_xlfn.XLOOKUP(C178,Detallado!C:C,Detallado!H:H,"ERROR",0)</f>
        <v>ERROR</v>
      </c>
      <c r="G178" s="102" t="e">
        <f t="shared" si="9"/>
        <v>#VALUE!</v>
      </c>
      <c r="H178" s="307" t="e">
        <f t="shared" si="7"/>
        <v>#VALUE!</v>
      </c>
      <c r="J178" s="147">
        <v>4882.4399999999996</v>
      </c>
      <c r="K178" s="147">
        <v>4882.4399999999996</v>
      </c>
      <c r="M178" s="136" t="e">
        <f t="shared" si="8"/>
        <v>#VALUE!</v>
      </c>
    </row>
    <row r="179" spans="3:13" x14ac:dyDescent="0.2">
      <c r="C179" s="177" t="s">
        <v>138</v>
      </c>
      <c r="D179" s="103" t="str">
        <f>_xlfn.XLOOKUP(C179,Detallado!C:C,Detallado!E:E,"ERROR",0)</f>
        <v>ERROR</v>
      </c>
      <c r="E179" s="306">
        <f>SUMIF(Detallado!C:C,ANALISIS!C179,Detallado!F:F)</f>
        <v>0</v>
      </c>
      <c r="F179" s="147" t="str">
        <f>_xlfn.XLOOKUP(C179,Detallado!C:C,Detallado!H:H,"ERROR",0)</f>
        <v>ERROR</v>
      </c>
      <c r="G179" s="102" t="e">
        <f t="shared" si="9"/>
        <v>#VALUE!</v>
      </c>
      <c r="H179" s="307" t="e">
        <f t="shared" si="7"/>
        <v>#VALUE!</v>
      </c>
      <c r="J179" s="147">
        <v>71858.51999999999</v>
      </c>
      <c r="K179" s="147">
        <v>25618.855833359998</v>
      </c>
      <c r="M179" s="136" t="e">
        <f t="shared" si="8"/>
        <v>#VALUE!</v>
      </c>
    </row>
    <row r="180" spans="3:13" x14ac:dyDescent="0.2">
      <c r="C180" s="177" t="s">
        <v>724</v>
      </c>
      <c r="D180" s="103" t="str">
        <f>_xlfn.XLOOKUP(C180,Detallado!C:C,Detallado!E:E,"ERROR",0)</f>
        <v>ERROR</v>
      </c>
      <c r="E180" s="306">
        <f>SUMIF(Detallado!C:C,ANALISIS!C180,Detallado!F:F)</f>
        <v>0</v>
      </c>
      <c r="F180" s="147" t="str">
        <f>_xlfn.XLOOKUP(C180,Detallado!C:C,Detallado!H:H,"ERROR",0)</f>
        <v>ERROR</v>
      </c>
      <c r="G180" s="102" t="e">
        <f t="shared" si="9"/>
        <v>#VALUE!</v>
      </c>
      <c r="H180" s="307" t="e">
        <f t="shared" si="7"/>
        <v>#VALUE!</v>
      </c>
      <c r="J180" s="147">
        <v>2062.0406499999999</v>
      </c>
      <c r="K180" s="147">
        <v>4124.0812999999998</v>
      </c>
      <c r="M180" s="136" t="e">
        <f t="shared" si="8"/>
        <v>#VALUE!</v>
      </c>
    </row>
    <row r="181" spans="3:13" x14ac:dyDescent="0.2">
      <c r="C181" s="177" t="s">
        <v>83</v>
      </c>
      <c r="D181" s="103" t="str">
        <f>_xlfn.XLOOKUP(C181,Detallado!C:C,Detallado!E:E,"ERROR",0)</f>
        <v>ERROR</v>
      </c>
      <c r="E181" s="306">
        <f>SUMIF(Detallado!C:C,ANALISIS!C181,Detallado!F:F)</f>
        <v>0</v>
      </c>
      <c r="F181" s="147" t="str">
        <f>_xlfn.XLOOKUP(C181,Detallado!C:C,Detallado!H:H,"ERROR",0)</f>
        <v>ERROR</v>
      </c>
      <c r="G181" s="102" t="e">
        <f t="shared" si="9"/>
        <v>#VALUE!</v>
      </c>
      <c r="H181" s="307" t="e">
        <f t="shared" si="7"/>
        <v>#VALUE!</v>
      </c>
      <c r="J181" s="147">
        <v>74.239999999999995</v>
      </c>
      <c r="K181" s="147">
        <v>3489.2799999999997</v>
      </c>
      <c r="M181" s="136" t="e">
        <f t="shared" si="8"/>
        <v>#VALUE!</v>
      </c>
    </row>
    <row r="182" spans="3:13" x14ac:dyDescent="0.2">
      <c r="C182" s="177" t="s">
        <v>740</v>
      </c>
      <c r="D182" s="103" t="str">
        <f>_xlfn.XLOOKUP(C182,Detallado!C:C,Detallado!E:E,"ERROR",0)</f>
        <v>ERROR</v>
      </c>
      <c r="E182" s="306">
        <f>SUMIF(Detallado!C:C,ANALISIS!C182,Detallado!F:F)</f>
        <v>0</v>
      </c>
      <c r="F182" s="147" t="str">
        <f>_xlfn.XLOOKUP(C182,Detallado!C:C,Detallado!H:H,"ERROR",0)</f>
        <v>ERROR</v>
      </c>
      <c r="G182" s="102" t="e">
        <f t="shared" si="9"/>
        <v>#VALUE!</v>
      </c>
      <c r="H182" s="307" t="e">
        <f t="shared" si="7"/>
        <v>#VALUE!</v>
      </c>
      <c r="J182" s="147">
        <v>5007.4382857142818</v>
      </c>
      <c r="K182" s="147">
        <v>5007.4382857142818</v>
      </c>
      <c r="M182" s="136" t="e">
        <f t="shared" si="8"/>
        <v>#VALUE!</v>
      </c>
    </row>
    <row r="183" spans="3:13" x14ac:dyDescent="0.2">
      <c r="C183" s="177" t="s">
        <v>150</v>
      </c>
      <c r="D183" s="103" t="str">
        <f>_xlfn.XLOOKUP(C183,Detallado!C:C,Detallado!E:E,"ERROR",0)</f>
        <v>ERROR</v>
      </c>
      <c r="E183" s="306">
        <f>SUMIF(Detallado!C:C,ANALISIS!C183,Detallado!F:F)</f>
        <v>0</v>
      </c>
      <c r="F183" s="147" t="str">
        <f>_xlfn.XLOOKUP(C183,Detallado!C:C,Detallado!H:H,"ERROR",0)</f>
        <v>ERROR</v>
      </c>
      <c r="G183" s="102" t="e">
        <f t="shared" si="9"/>
        <v>#VALUE!</v>
      </c>
      <c r="H183" s="307" t="e">
        <f t="shared" si="7"/>
        <v>#VALUE!</v>
      </c>
      <c r="J183" s="147">
        <v>3284.9749999999881</v>
      </c>
      <c r="K183" s="147">
        <v>13471.813873999952</v>
      </c>
      <c r="M183" s="136" t="e">
        <f t="shared" si="8"/>
        <v>#VALUE!</v>
      </c>
    </row>
    <row r="184" spans="3:13" x14ac:dyDescent="0.2">
      <c r="C184" s="177" t="s">
        <v>777</v>
      </c>
      <c r="D184" s="103" t="str">
        <f>_xlfn.XLOOKUP(C184,Detallado!C:C,Detallado!E:E,"ERROR",0)</f>
        <v>ERROR</v>
      </c>
      <c r="E184" s="306">
        <f>SUMIF(Detallado!C:C,ANALISIS!C184,Detallado!F:F)</f>
        <v>0</v>
      </c>
      <c r="F184" s="147" t="str">
        <f>_xlfn.XLOOKUP(C184,Detallado!C:C,Detallado!H:H,"ERROR",0)</f>
        <v>ERROR</v>
      </c>
      <c r="G184" s="102" t="e">
        <f t="shared" si="9"/>
        <v>#VALUE!</v>
      </c>
      <c r="H184" s="307" t="e">
        <f t="shared" si="7"/>
        <v>#VALUE!</v>
      </c>
      <c r="J184" s="147">
        <v>3851.2</v>
      </c>
      <c r="K184" s="147">
        <v>3851.2</v>
      </c>
      <c r="M184" s="136" t="e">
        <f t="shared" si="8"/>
        <v>#VALUE!</v>
      </c>
    </row>
    <row r="185" spans="3:13" x14ac:dyDescent="0.2">
      <c r="C185" s="177" t="s">
        <v>799</v>
      </c>
      <c r="D185" s="103" t="str">
        <f>_xlfn.XLOOKUP(C185,Detallado!C:C,Detallado!E:E,"ERROR",0)</f>
        <v>ERROR</v>
      </c>
      <c r="E185" s="306">
        <f>SUMIF(Detallado!C:C,ANALISIS!C185,Detallado!F:F)</f>
        <v>0</v>
      </c>
      <c r="F185" s="147" t="str">
        <f>_xlfn.XLOOKUP(C185,Detallado!C:C,Detallado!H:H,"ERROR",0)</f>
        <v>ERROR</v>
      </c>
      <c r="G185" s="102" t="e">
        <f t="shared" si="9"/>
        <v>#VALUE!</v>
      </c>
      <c r="H185" s="307" t="e">
        <f t="shared" si="7"/>
        <v>#VALUE!</v>
      </c>
      <c r="J185" s="147">
        <v>172.42471999999998</v>
      </c>
      <c r="K185" s="147">
        <v>172.42471999999998</v>
      </c>
      <c r="M185" s="136" t="e">
        <f t="shared" si="8"/>
        <v>#VALUE!</v>
      </c>
    </row>
    <row r="186" spans="3:13" x14ac:dyDescent="0.2">
      <c r="C186" s="177" t="s">
        <v>803</v>
      </c>
      <c r="D186" s="103" t="str">
        <f>_xlfn.XLOOKUP(C186,Detallado!C:C,Detallado!E:E,"ERROR",0)</f>
        <v>ERROR</v>
      </c>
      <c r="E186" s="306">
        <f>SUMIF(Detallado!C:C,ANALISIS!C186,Detallado!F:F)</f>
        <v>0</v>
      </c>
      <c r="F186" s="147" t="str">
        <f>_xlfn.XLOOKUP(C186,Detallado!C:C,Detallado!H:H,"ERROR",0)</f>
        <v>ERROR</v>
      </c>
      <c r="G186" s="102" t="e">
        <f t="shared" si="9"/>
        <v>#VALUE!</v>
      </c>
      <c r="H186" s="307" t="e">
        <f t="shared" si="7"/>
        <v>#VALUE!</v>
      </c>
      <c r="J186" s="147">
        <v>3969.7055999999998</v>
      </c>
      <c r="K186" s="147">
        <v>11909.1168</v>
      </c>
      <c r="M186" s="136" t="e">
        <f t="shared" si="8"/>
        <v>#VALUE!</v>
      </c>
    </row>
    <row r="187" spans="3:13" x14ac:dyDescent="0.2">
      <c r="C187" s="177" t="s">
        <v>204</v>
      </c>
      <c r="D187" s="103" t="str">
        <f>_xlfn.XLOOKUP(C187,Detallado!C:C,Detallado!E:E,"ERROR",0)</f>
        <v>ERROR</v>
      </c>
      <c r="E187" s="306">
        <f>SUMIF(Detallado!C:C,ANALISIS!C187,Detallado!F:F)</f>
        <v>0</v>
      </c>
      <c r="F187" s="147" t="str">
        <f>_xlfn.XLOOKUP(C187,Detallado!C:C,Detallado!H:H,"ERROR",0)</f>
        <v>ERROR</v>
      </c>
      <c r="G187" s="102" t="e">
        <f t="shared" si="9"/>
        <v>#VALUE!</v>
      </c>
      <c r="H187" s="307" t="e">
        <f t="shared" si="7"/>
        <v>#VALUE!</v>
      </c>
      <c r="J187" s="147">
        <v>470.61199999999997</v>
      </c>
      <c r="K187" s="147">
        <v>470.61199999999997</v>
      </c>
      <c r="M187" s="136" t="e">
        <f t="shared" si="8"/>
        <v>#VALUE!</v>
      </c>
    </row>
    <row r="188" spans="3:13" x14ac:dyDescent="0.2">
      <c r="C188" s="177" t="s">
        <v>635</v>
      </c>
      <c r="D188" s="103" t="str">
        <f>_xlfn.XLOOKUP(C188,Detallado!C:C,Detallado!E:E,"ERROR",0)</f>
        <v>ERROR</v>
      </c>
      <c r="E188" s="306">
        <f>SUMIF(Detallado!C:C,ANALISIS!C188,Detallado!F:F)</f>
        <v>0</v>
      </c>
      <c r="F188" s="147" t="str">
        <f>_xlfn.XLOOKUP(C188,Detallado!C:C,Detallado!H:H,"ERROR",0)</f>
        <v>ERROR</v>
      </c>
      <c r="G188" s="102" t="e">
        <f t="shared" si="9"/>
        <v>#VALUE!</v>
      </c>
      <c r="H188" s="307" t="e">
        <f t="shared" si="7"/>
        <v>#VALUE!</v>
      </c>
      <c r="J188" s="147">
        <v>2704.9557439999999</v>
      </c>
      <c r="K188" s="147">
        <v>2704.9557439999999</v>
      </c>
      <c r="M188" s="136" t="e">
        <f t="shared" si="8"/>
        <v>#VALUE!</v>
      </c>
    </row>
    <row r="189" spans="3:13" x14ac:dyDescent="0.2">
      <c r="C189" s="177" t="s">
        <v>84</v>
      </c>
      <c r="D189" s="103" t="str">
        <f>_xlfn.XLOOKUP(C189,Detallado!C:C,Detallado!E:E,"ERROR",0)</f>
        <v>ERROR</v>
      </c>
      <c r="E189" s="306">
        <f>SUMIF(Detallado!C:C,ANALISIS!C189,Detallado!F:F)</f>
        <v>0</v>
      </c>
      <c r="F189" s="147" t="str">
        <f>_xlfn.XLOOKUP(C189,Detallado!C:C,Detallado!H:H,"ERROR",0)</f>
        <v>ERROR</v>
      </c>
      <c r="G189" s="102" t="e">
        <f t="shared" si="9"/>
        <v>#VALUE!</v>
      </c>
      <c r="H189" s="307" t="e">
        <f t="shared" si="7"/>
        <v>#VALUE!</v>
      </c>
      <c r="J189" s="147">
        <v>569.55999999999995</v>
      </c>
      <c r="K189" s="147">
        <v>26769.319999999996</v>
      </c>
      <c r="M189" s="136" t="e">
        <f t="shared" si="8"/>
        <v>#VALUE!</v>
      </c>
    </row>
    <row r="190" spans="3:13" x14ac:dyDescent="0.2">
      <c r="C190" s="177" t="s">
        <v>205</v>
      </c>
      <c r="D190" s="103" t="str">
        <f>_xlfn.XLOOKUP(C190,Detallado!C:C,Detallado!E:E,"ERROR",0)</f>
        <v>ERROR</v>
      </c>
      <c r="E190" s="306">
        <f>SUMIF(Detallado!C:C,ANALISIS!C190,Detallado!F:F)</f>
        <v>0</v>
      </c>
      <c r="F190" s="147" t="str">
        <f>_xlfn.XLOOKUP(C190,Detallado!C:C,Detallado!H:H,"ERROR",0)</f>
        <v>ERROR</v>
      </c>
      <c r="G190" s="102" t="e">
        <f t="shared" si="9"/>
        <v>#VALUE!</v>
      </c>
      <c r="H190" s="307" t="e">
        <f t="shared" si="7"/>
        <v>#VALUE!</v>
      </c>
      <c r="J190" s="147">
        <v>10122.16</v>
      </c>
      <c r="K190" s="147">
        <v>10122.16</v>
      </c>
      <c r="M190" s="136" t="e">
        <f t="shared" si="8"/>
        <v>#VALUE!</v>
      </c>
    </row>
    <row r="191" spans="3:13" x14ac:dyDescent="0.2">
      <c r="C191" s="177" t="s">
        <v>213</v>
      </c>
      <c r="D191" s="103" t="str">
        <f>_xlfn.XLOOKUP(C191,Detallado!C:C,Detallado!E:E,"ERROR",0)</f>
        <v>ERROR</v>
      </c>
      <c r="E191" s="306">
        <f>SUMIF(Detallado!C:C,ANALISIS!C191,Detallado!F:F)</f>
        <v>0</v>
      </c>
      <c r="F191" s="147" t="str">
        <f>_xlfn.XLOOKUP(C191,Detallado!C:C,Detallado!H:H,"ERROR",0)</f>
        <v>ERROR</v>
      </c>
      <c r="G191" s="102" t="e">
        <f t="shared" si="9"/>
        <v>#VALUE!</v>
      </c>
      <c r="H191" s="307" t="e">
        <f t="shared" si="7"/>
        <v>#VALUE!</v>
      </c>
      <c r="J191" s="147">
        <v>30.796375999999999</v>
      </c>
      <c r="K191" s="147">
        <v>7083.1664799999999</v>
      </c>
      <c r="M191" s="136" t="e">
        <f t="shared" si="8"/>
        <v>#VALUE!</v>
      </c>
    </row>
    <row r="192" spans="3:13" x14ac:dyDescent="0.2">
      <c r="C192" s="177" t="s">
        <v>1420</v>
      </c>
      <c r="D192" s="103" t="str">
        <f>_xlfn.XLOOKUP(C192,Detallado!C:C,Detallado!E:E,"ERROR",0)</f>
        <v>ERROR</v>
      </c>
      <c r="E192" s="306">
        <f>SUMIF(Detallado!C:C,ANALISIS!C192,Detallado!F:F)</f>
        <v>0</v>
      </c>
      <c r="F192" s="147" t="str">
        <f>_xlfn.XLOOKUP(C192,Detallado!C:C,Detallado!H:H,"ERROR",0)</f>
        <v>ERROR</v>
      </c>
      <c r="G192" s="102" t="e">
        <f t="shared" si="9"/>
        <v>#VALUE!</v>
      </c>
      <c r="H192" s="307" t="e">
        <f t="shared" si="7"/>
        <v>#VALUE!</v>
      </c>
      <c r="J192" s="147">
        <v>3335.7191999999995</v>
      </c>
      <c r="K192" s="147">
        <v>3335.7191999999995</v>
      </c>
      <c r="M192" s="136" t="e">
        <f t="shared" si="8"/>
        <v>#VALUE!</v>
      </c>
    </row>
    <row r="193" spans="3:13" x14ac:dyDescent="0.2">
      <c r="C193" s="177" t="s">
        <v>203</v>
      </c>
      <c r="D193" s="103" t="str">
        <f>_xlfn.XLOOKUP(C193,Detallado!C:C,Detallado!E:E,"ERROR",0)</f>
        <v>ERROR</v>
      </c>
      <c r="E193" s="306">
        <f>SUMIF(Detallado!C:C,ANALISIS!C193,Detallado!F:F)</f>
        <v>0</v>
      </c>
      <c r="F193" s="147" t="str">
        <f>_xlfn.XLOOKUP(C193,Detallado!C:C,Detallado!H:H,"ERROR",0)</f>
        <v>ERROR</v>
      </c>
      <c r="G193" s="102" t="e">
        <f t="shared" si="9"/>
        <v>#VALUE!</v>
      </c>
      <c r="H193" s="307" t="e">
        <f t="shared" si="7"/>
        <v>#VALUE!</v>
      </c>
      <c r="J193" s="147">
        <v>321.73759999999999</v>
      </c>
      <c r="K193" s="147">
        <v>1608.6879999999999</v>
      </c>
      <c r="M193" s="136" t="e">
        <f t="shared" si="8"/>
        <v>#VALUE!</v>
      </c>
    </row>
    <row r="194" spans="3:13" x14ac:dyDescent="0.2">
      <c r="C194" s="177" t="s">
        <v>817</v>
      </c>
      <c r="D194" s="103" t="str">
        <f>_xlfn.XLOOKUP(C194,Detallado!C:C,Detallado!E:E,"ERROR",0)</f>
        <v>ERROR</v>
      </c>
      <c r="E194" s="306">
        <f>SUMIF(Detallado!C:C,ANALISIS!C194,Detallado!F:F)</f>
        <v>0</v>
      </c>
      <c r="F194" s="147" t="str">
        <f>_xlfn.XLOOKUP(C194,Detallado!C:C,Detallado!H:H,"ERROR",0)</f>
        <v>ERROR</v>
      </c>
      <c r="G194" s="102" t="e">
        <f t="shared" si="9"/>
        <v>#VALUE!</v>
      </c>
      <c r="H194" s="307" t="e">
        <f t="shared" ref="H194:H257" si="10">G194/$G$313</f>
        <v>#VALUE!</v>
      </c>
      <c r="J194" s="147">
        <v>31.070599999999999</v>
      </c>
      <c r="K194" s="147">
        <v>3107.06</v>
      </c>
      <c r="M194" s="136" t="e">
        <f t="shared" si="8"/>
        <v>#VALUE!</v>
      </c>
    </row>
    <row r="195" spans="3:13" x14ac:dyDescent="0.2">
      <c r="C195" s="177" t="s">
        <v>615</v>
      </c>
      <c r="D195" s="103" t="str">
        <f>_xlfn.XLOOKUP(C195,Detallado!C:C,Detallado!E:E,"ERROR",0)</f>
        <v>ERROR</v>
      </c>
      <c r="E195" s="306">
        <f>SUMIF(Detallado!C:C,ANALISIS!C195,Detallado!F:F)</f>
        <v>0</v>
      </c>
      <c r="F195" s="147" t="str">
        <f>_xlfn.XLOOKUP(C195,Detallado!C:C,Detallado!H:H,"ERROR",0)</f>
        <v>ERROR</v>
      </c>
      <c r="G195" s="102" t="e">
        <f t="shared" si="9"/>
        <v>#VALUE!</v>
      </c>
      <c r="H195" s="307" t="e">
        <f t="shared" si="10"/>
        <v>#VALUE!</v>
      </c>
      <c r="J195" s="147">
        <v>3421.9999999999995</v>
      </c>
      <c r="K195" s="147">
        <v>3421.9999999999995</v>
      </c>
      <c r="M195" s="136" t="e">
        <f t="shared" ref="M195:M258" si="11">+K195-G195</f>
        <v>#VALUE!</v>
      </c>
    </row>
    <row r="196" spans="3:13" x14ac:dyDescent="0.2">
      <c r="C196" s="177" t="s">
        <v>176</v>
      </c>
      <c r="D196" s="103" t="str">
        <f>_xlfn.XLOOKUP(C196,Detallado!C:C,Detallado!E:E,"ERROR",0)</f>
        <v>ERROR</v>
      </c>
      <c r="E196" s="306">
        <f>SUMIF(Detallado!C:C,ANALISIS!C196,Detallado!F:F)</f>
        <v>0</v>
      </c>
      <c r="F196" s="147" t="str">
        <f>_xlfn.XLOOKUP(C196,Detallado!C:C,Detallado!H:H,"ERROR",0)</f>
        <v>ERROR</v>
      </c>
      <c r="G196" s="102" t="e">
        <f t="shared" si="9"/>
        <v>#VALUE!</v>
      </c>
      <c r="H196" s="307" t="e">
        <f t="shared" si="10"/>
        <v>#VALUE!</v>
      </c>
      <c r="J196" s="147">
        <v>61.236399999999996</v>
      </c>
      <c r="K196" s="147">
        <v>4041.6023999999998</v>
      </c>
      <c r="M196" s="136" t="e">
        <f t="shared" si="11"/>
        <v>#VALUE!</v>
      </c>
    </row>
    <row r="197" spans="3:13" x14ac:dyDescent="0.2">
      <c r="C197" s="177" t="s">
        <v>149</v>
      </c>
      <c r="D197" s="103" t="str">
        <f>_xlfn.XLOOKUP(C197,Detallado!C:C,Detallado!E:E,"ERROR",0)</f>
        <v>ERROR</v>
      </c>
      <c r="E197" s="306">
        <f>SUMIF(Detallado!C:C,ANALISIS!C197,Detallado!F:F)</f>
        <v>0</v>
      </c>
      <c r="F197" s="147" t="str">
        <f>_xlfn.XLOOKUP(C197,Detallado!C:C,Detallado!H:H,"ERROR",0)</f>
        <v>ERROR</v>
      </c>
      <c r="G197" s="102" t="e">
        <f t="shared" si="9"/>
        <v>#VALUE!</v>
      </c>
      <c r="H197" s="307" t="e">
        <f t="shared" si="10"/>
        <v>#VALUE!</v>
      </c>
      <c r="J197" s="147">
        <v>664.76506666666626</v>
      </c>
      <c r="K197" s="147">
        <v>4653.3554666666641</v>
      </c>
      <c r="M197" s="136" t="e">
        <f t="shared" si="11"/>
        <v>#VALUE!</v>
      </c>
    </row>
    <row r="198" spans="3:13" x14ac:dyDescent="0.2">
      <c r="C198" s="177" t="s">
        <v>75</v>
      </c>
      <c r="D198" s="103" t="str">
        <f>_xlfn.XLOOKUP(C198,Detallado!C:C,Detallado!E:E,"ERROR",0)</f>
        <v>ERROR</v>
      </c>
      <c r="E198" s="306">
        <f>SUMIF(Detallado!C:C,ANALISIS!C198,Detallado!F:F)</f>
        <v>0</v>
      </c>
      <c r="F198" s="147" t="str">
        <f>_xlfn.XLOOKUP(C198,Detallado!C:C,Detallado!H:H,"ERROR",0)</f>
        <v>ERROR</v>
      </c>
      <c r="G198" s="102" t="e">
        <f t="shared" si="9"/>
        <v>#VALUE!</v>
      </c>
      <c r="H198" s="307" t="e">
        <f t="shared" si="10"/>
        <v>#VALUE!</v>
      </c>
      <c r="J198" s="147">
        <v>2310.0147199999883</v>
      </c>
      <c r="K198" s="147">
        <v>16170.103039999918</v>
      </c>
      <c r="M198" s="136" t="e">
        <f t="shared" si="11"/>
        <v>#VALUE!</v>
      </c>
    </row>
    <row r="199" spans="3:13" x14ac:dyDescent="0.2">
      <c r="C199" s="177" t="s">
        <v>212</v>
      </c>
      <c r="D199" s="103" t="str">
        <f>_xlfn.XLOOKUP(C199,Detallado!C:C,Detallado!E:E,"ERROR",0)</f>
        <v>ERROR</v>
      </c>
      <c r="E199" s="306">
        <f>SUMIF(Detallado!C:C,ANALISIS!C199,Detallado!F:F)</f>
        <v>0</v>
      </c>
      <c r="F199" s="147" t="str">
        <f>_xlfn.XLOOKUP(C199,Detallado!C:C,Detallado!H:H,"ERROR",0)</f>
        <v>ERROR</v>
      </c>
      <c r="G199" s="102" t="e">
        <f t="shared" si="9"/>
        <v>#VALUE!</v>
      </c>
      <c r="H199" s="307" t="e">
        <f t="shared" si="10"/>
        <v>#VALUE!</v>
      </c>
      <c r="J199" s="147">
        <v>27.429359999999999</v>
      </c>
      <c r="K199" s="147">
        <v>1371.4679999999998</v>
      </c>
      <c r="M199" s="136" t="e">
        <f t="shared" si="11"/>
        <v>#VALUE!</v>
      </c>
    </row>
    <row r="200" spans="3:13" x14ac:dyDescent="0.2">
      <c r="C200" s="177" t="s">
        <v>900</v>
      </c>
      <c r="D200" s="103" t="str">
        <f>_xlfn.XLOOKUP(C200,Detallado!C:C,Detallado!E:E,"ERROR",0)</f>
        <v>ERROR</v>
      </c>
      <c r="E200" s="306">
        <f>SUMIF(Detallado!C:C,ANALISIS!C200,Detallado!F:F)</f>
        <v>0</v>
      </c>
      <c r="F200" s="147" t="str">
        <f>_xlfn.XLOOKUP(C200,Detallado!C:C,Detallado!H:H,"ERROR",0)</f>
        <v>ERROR</v>
      </c>
      <c r="G200" s="102" t="e">
        <f t="shared" si="9"/>
        <v>#VALUE!</v>
      </c>
      <c r="H200" s="307" t="e">
        <f t="shared" si="10"/>
        <v>#VALUE!</v>
      </c>
      <c r="J200" s="147">
        <v>1257.4399999999998</v>
      </c>
      <c r="K200" s="147">
        <v>0</v>
      </c>
      <c r="M200" s="136" t="e">
        <f t="shared" si="11"/>
        <v>#VALUE!</v>
      </c>
    </row>
    <row r="201" spans="3:13" x14ac:dyDescent="0.2">
      <c r="C201" s="177" t="s">
        <v>644</v>
      </c>
      <c r="D201" s="103" t="str">
        <f>_xlfn.XLOOKUP(C201,Detallado!C:C,Detallado!E:E,"ERROR",0)</f>
        <v>ERROR</v>
      </c>
      <c r="E201" s="306">
        <f>SUMIF(Detallado!C:C,ANALISIS!C201,Detallado!F:F)</f>
        <v>0</v>
      </c>
      <c r="F201" s="147" t="str">
        <f>_xlfn.XLOOKUP(C201,Detallado!C:C,Detallado!H:H,"ERROR",0)</f>
        <v>ERROR</v>
      </c>
      <c r="G201" s="102" t="e">
        <f t="shared" si="9"/>
        <v>#VALUE!</v>
      </c>
      <c r="H201" s="307" t="e">
        <f t="shared" si="10"/>
        <v>#VALUE!</v>
      </c>
      <c r="J201" s="147">
        <v>51389</v>
      </c>
      <c r="K201" s="147">
        <v>668057</v>
      </c>
      <c r="M201" s="136" t="e">
        <f t="shared" si="11"/>
        <v>#VALUE!</v>
      </c>
    </row>
    <row r="202" spans="3:13" x14ac:dyDescent="0.2">
      <c r="C202" s="177" t="s">
        <v>320</v>
      </c>
      <c r="D202" s="103" t="str">
        <f>_xlfn.XLOOKUP(C202,Detallado!C:C,Detallado!E:E,"ERROR",0)</f>
        <v>ERROR</v>
      </c>
      <c r="E202" s="306">
        <f>SUMIF(Detallado!C:C,ANALISIS!C202,Detallado!F:F)</f>
        <v>0</v>
      </c>
      <c r="F202" s="147" t="str">
        <f>_xlfn.XLOOKUP(C202,Detallado!C:C,Detallado!H:H,"ERROR",0)</f>
        <v>ERROR</v>
      </c>
      <c r="G202" s="102" t="e">
        <f t="shared" si="9"/>
        <v>#VALUE!</v>
      </c>
      <c r="H202" s="307" t="e">
        <f t="shared" si="10"/>
        <v>#VALUE!</v>
      </c>
      <c r="J202" s="147">
        <v>1288.3191999999997</v>
      </c>
      <c r="K202" s="147">
        <v>30919.660799999991</v>
      </c>
      <c r="M202" s="136" t="e">
        <f t="shared" si="11"/>
        <v>#VALUE!</v>
      </c>
    </row>
    <row r="203" spans="3:13" x14ac:dyDescent="0.2">
      <c r="C203" s="177" t="s">
        <v>1106</v>
      </c>
      <c r="D203" s="103" t="str">
        <f>_xlfn.XLOOKUP(C203,Detallado!C:C,Detallado!E:E,"ERROR",0)</f>
        <v>ERROR</v>
      </c>
      <c r="E203" s="306">
        <f>SUMIF(Detallado!C:C,ANALISIS!C203,Detallado!F:F)</f>
        <v>0</v>
      </c>
      <c r="F203" s="147" t="str">
        <f>_xlfn.XLOOKUP(C203,Detallado!C:C,Detallado!H:H,"ERROR",0)</f>
        <v>ERROR</v>
      </c>
      <c r="G203" s="102" t="e">
        <f t="shared" si="9"/>
        <v>#VALUE!</v>
      </c>
      <c r="H203" s="307" t="e">
        <f t="shared" si="10"/>
        <v>#VALUE!</v>
      </c>
      <c r="J203" s="147">
        <v>955.91539999999986</v>
      </c>
      <c r="K203" s="147">
        <v>3823.6615999999995</v>
      </c>
      <c r="M203" s="136" t="e">
        <f t="shared" si="11"/>
        <v>#VALUE!</v>
      </c>
    </row>
    <row r="204" spans="3:13" x14ac:dyDescent="0.2">
      <c r="C204" s="177" t="s">
        <v>591</v>
      </c>
      <c r="D204" s="103" t="str">
        <f>_xlfn.XLOOKUP(C204,Detallado!C:C,Detallado!E:E,"ERROR",0)</f>
        <v>ERROR</v>
      </c>
      <c r="E204" s="306">
        <f>SUMIF(Detallado!C:C,ANALISIS!C204,Detallado!F:F)</f>
        <v>0</v>
      </c>
      <c r="F204" s="147" t="str">
        <f>_xlfn.XLOOKUP(C204,Detallado!C:C,Detallado!H:H,"ERROR",0)</f>
        <v>ERROR</v>
      </c>
      <c r="G204" s="102" t="e">
        <f t="shared" si="9"/>
        <v>#VALUE!</v>
      </c>
      <c r="H204" s="307" t="e">
        <f t="shared" si="10"/>
        <v>#VALUE!</v>
      </c>
      <c r="J204" s="147">
        <v>513.27443028571406</v>
      </c>
      <c r="K204" s="147">
        <v>5646.0187331428551</v>
      </c>
      <c r="M204" s="136" t="e">
        <f t="shared" si="11"/>
        <v>#VALUE!</v>
      </c>
    </row>
    <row r="205" spans="3:13" x14ac:dyDescent="0.2">
      <c r="C205" s="177" t="s">
        <v>512</v>
      </c>
      <c r="D205" s="103" t="str">
        <f>_xlfn.XLOOKUP(C205,Detallado!C:C,Detallado!E:E,"ERROR",0)</f>
        <v>ERROR</v>
      </c>
      <c r="E205" s="306">
        <f>SUMIF(Detallado!C:C,ANALISIS!C205,Detallado!F:F)</f>
        <v>0</v>
      </c>
      <c r="F205" s="147" t="str">
        <f>_xlfn.XLOOKUP(C205,Detallado!C:C,Detallado!H:H,"ERROR",0)</f>
        <v>ERROR</v>
      </c>
      <c r="G205" s="102" t="e">
        <f t="shared" si="9"/>
        <v>#VALUE!</v>
      </c>
      <c r="H205" s="307" t="e">
        <f t="shared" si="10"/>
        <v>#VALUE!</v>
      </c>
      <c r="J205" s="147">
        <v>46148.28</v>
      </c>
      <c r="K205" s="147">
        <v>46148.28</v>
      </c>
      <c r="M205" s="136" t="e">
        <f t="shared" si="11"/>
        <v>#VALUE!</v>
      </c>
    </row>
    <row r="206" spans="3:13" x14ac:dyDescent="0.2">
      <c r="C206" s="177" t="s">
        <v>656</v>
      </c>
      <c r="D206" s="103" t="str">
        <f>_xlfn.XLOOKUP(C206,Detallado!C:C,Detallado!E:E,"ERROR",0)</f>
        <v>ERROR</v>
      </c>
      <c r="E206" s="306">
        <f>SUMIF(Detallado!C:C,ANALISIS!C206,Detallado!F:F)</f>
        <v>0</v>
      </c>
      <c r="F206" s="147" t="str">
        <f>_xlfn.XLOOKUP(C206,Detallado!C:C,Detallado!H:H,"ERROR",0)</f>
        <v>ERROR</v>
      </c>
      <c r="G206" s="102" t="e">
        <f t="shared" si="9"/>
        <v>#VALUE!</v>
      </c>
      <c r="H206" s="307" t="e">
        <f t="shared" si="10"/>
        <v>#VALUE!</v>
      </c>
      <c r="J206" s="147">
        <v>192.47787199999999</v>
      </c>
      <c r="K206" s="147">
        <v>5774.3361599999998</v>
      </c>
      <c r="M206" s="136" t="e">
        <f t="shared" si="11"/>
        <v>#VALUE!</v>
      </c>
    </row>
    <row r="207" spans="3:13" x14ac:dyDescent="0.2">
      <c r="C207" s="178" t="s">
        <v>718</v>
      </c>
      <c r="D207" s="103" t="str">
        <f>_xlfn.XLOOKUP(C207,Detallado!C:C,Detallado!E:E,"ERROR",0)</f>
        <v>ERROR</v>
      </c>
      <c r="E207" s="306">
        <f>SUMIF(Detallado!C:C,ANALISIS!C207,Detallado!F:F)</f>
        <v>0</v>
      </c>
      <c r="F207" s="147" t="str">
        <f>_xlfn.XLOOKUP(C207,Detallado!C:C,Detallado!H:H,"ERROR",0)</f>
        <v>ERROR</v>
      </c>
      <c r="G207" s="102" t="e">
        <f t="shared" si="9"/>
        <v>#VALUE!</v>
      </c>
      <c r="H207" s="307" t="e">
        <f t="shared" si="10"/>
        <v>#VALUE!</v>
      </c>
      <c r="J207" s="147">
        <v>7192.4291999999996</v>
      </c>
      <c r="K207" s="147">
        <v>7192.4291999999996</v>
      </c>
      <c r="M207" s="136" t="e">
        <f t="shared" si="11"/>
        <v>#VALUE!</v>
      </c>
    </row>
    <row r="208" spans="3:13" x14ac:dyDescent="0.2">
      <c r="C208" s="178" t="s">
        <v>720</v>
      </c>
      <c r="D208" s="103" t="str">
        <f>_xlfn.XLOOKUP(C208,Detallado!C:C,Detallado!E:E,"ERROR",0)</f>
        <v>ERROR</v>
      </c>
      <c r="E208" s="306">
        <f>SUMIF(Detallado!C:C,ANALISIS!C208,Detallado!F:F)</f>
        <v>0</v>
      </c>
      <c r="F208" s="147" t="str">
        <f>_xlfn.XLOOKUP(C208,Detallado!C:C,Detallado!H:H,"ERROR",0)</f>
        <v>ERROR</v>
      </c>
      <c r="G208" s="102" t="e">
        <f t="shared" si="9"/>
        <v>#VALUE!</v>
      </c>
      <c r="H208" s="307" t="e">
        <f t="shared" si="10"/>
        <v>#VALUE!</v>
      </c>
      <c r="J208" s="147">
        <v>3381.2926999999995</v>
      </c>
      <c r="K208" s="147">
        <v>27050.341599999996</v>
      </c>
      <c r="M208" s="136" t="e">
        <f t="shared" si="11"/>
        <v>#VALUE!</v>
      </c>
    </row>
    <row r="209" spans="3:13" x14ac:dyDescent="0.2">
      <c r="C209" s="178" t="s">
        <v>721</v>
      </c>
      <c r="D209" s="103" t="str">
        <f>_xlfn.XLOOKUP(C209,Detallado!C:C,Detallado!E:E,"ERROR",0)</f>
        <v>ERROR</v>
      </c>
      <c r="E209" s="306">
        <f>SUMIF(Detallado!C:C,ANALISIS!C209,Detallado!F:F)</f>
        <v>0</v>
      </c>
      <c r="F209" s="147" t="str">
        <f>_xlfn.XLOOKUP(C209,Detallado!C:C,Detallado!H:H,"ERROR",0)</f>
        <v>ERROR</v>
      </c>
      <c r="G209" s="102" t="e">
        <f t="shared" si="9"/>
        <v>#VALUE!</v>
      </c>
      <c r="H209" s="307" t="e">
        <f t="shared" si="10"/>
        <v>#VALUE!</v>
      </c>
      <c r="J209" s="147">
        <v>5325.8152</v>
      </c>
      <c r="K209" s="147">
        <v>31954.891199999998</v>
      </c>
      <c r="M209" s="136" t="e">
        <f t="shared" si="11"/>
        <v>#VALUE!</v>
      </c>
    </row>
    <row r="210" spans="3:13" x14ac:dyDescent="0.2">
      <c r="C210" s="178" t="s">
        <v>722</v>
      </c>
      <c r="D210" s="103" t="str">
        <f>_xlfn.XLOOKUP(C210,Detallado!C:C,Detallado!E:E,"ERROR",0)</f>
        <v>ERROR</v>
      </c>
      <c r="E210" s="306">
        <f>SUMIF(Detallado!C:C,ANALISIS!C210,Detallado!F:F)</f>
        <v>0</v>
      </c>
      <c r="F210" s="147" t="str">
        <f>_xlfn.XLOOKUP(C210,Detallado!C:C,Detallado!H:H,"ERROR",0)</f>
        <v>ERROR</v>
      </c>
      <c r="G210" s="102" t="e">
        <f t="shared" si="9"/>
        <v>#VALUE!</v>
      </c>
      <c r="H210" s="307" t="e">
        <f t="shared" si="10"/>
        <v>#VALUE!</v>
      </c>
      <c r="J210" s="147">
        <v>17036.804</v>
      </c>
      <c r="K210" s="147">
        <v>76665.618000000002</v>
      </c>
      <c r="M210" s="136" t="e">
        <f t="shared" si="11"/>
        <v>#VALUE!</v>
      </c>
    </row>
    <row r="211" spans="3:13" x14ac:dyDescent="0.2">
      <c r="C211" s="178" t="s">
        <v>739</v>
      </c>
      <c r="D211" s="103" t="str">
        <f>_xlfn.XLOOKUP(C211,Detallado!C:C,Detallado!E:E,"ERROR",0)</f>
        <v>ERROR</v>
      </c>
      <c r="E211" s="306">
        <f>SUMIF(Detallado!C:C,ANALISIS!C211,Detallado!F:F)</f>
        <v>0</v>
      </c>
      <c r="F211" s="147" t="str">
        <f>_xlfn.XLOOKUP(C211,Detallado!C:C,Detallado!H:H,"ERROR",0)</f>
        <v>ERROR</v>
      </c>
      <c r="G211" s="102" t="e">
        <f t="shared" si="9"/>
        <v>#VALUE!</v>
      </c>
      <c r="H211" s="307" t="e">
        <f t="shared" si="10"/>
        <v>#VALUE!</v>
      </c>
      <c r="J211" s="147">
        <v>5086.2983999999879</v>
      </c>
      <c r="K211" s="147">
        <v>20345.193599999951</v>
      </c>
      <c r="M211" s="136" t="e">
        <f t="shared" si="11"/>
        <v>#VALUE!</v>
      </c>
    </row>
    <row r="212" spans="3:13" x14ac:dyDescent="0.2">
      <c r="C212" s="178" t="s">
        <v>752</v>
      </c>
      <c r="D212" s="103" t="str">
        <f>_xlfn.XLOOKUP(C212,Detallado!C:C,Detallado!E:E,"ERROR",0)</f>
        <v>ERROR</v>
      </c>
      <c r="E212" s="306">
        <f>SUMIF(Detallado!C:C,ANALISIS!C212,Detallado!F:F)</f>
        <v>0</v>
      </c>
      <c r="F212" s="147" t="str">
        <f>_xlfn.XLOOKUP(C212,Detallado!C:C,Detallado!H:H,"ERROR",0)</f>
        <v>ERROR</v>
      </c>
      <c r="G212" s="102" t="e">
        <f t="shared" si="9"/>
        <v>#VALUE!</v>
      </c>
      <c r="H212" s="307" t="e">
        <f t="shared" si="10"/>
        <v>#VALUE!</v>
      </c>
      <c r="J212" s="147">
        <v>273.75578181818105</v>
      </c>
      <c r="K212" s="147">
        <v>2190.0462545454484</v>
      </c>
      <c r="M212" s="136" t="e">
        <f t="shared" si="11"/>
        <v>#VALUE!</v>
      </c>
    </row>
    <row r="213" spans="3:13" x14ac:dyDescent="0.2">
      <c r="C213" s="178" t="s">
        <v>754</v>
      </c>
      <c r="D213" s="103" t="str">
        <f>_xlfn.XLOOKUP(C213,Detallado!C:C,Detallado!E:E,"ERROR",0)</f>
        <v>ERROR</v>
      </c>
      <c r="E213" s="306">
        <f>SUMIF(Detallado!C:C,ANALISIS!C213,Detallado!F:F)</f>
        <v>0</v>
      </c>
      <c r="F213" s="147" t="str">
        <f>_xlfn.XLOOKUP(C213,Detallado!C:C,Detallado!H:H,"ERROR",0)</f>
        <v>ERROR</v>
      </c>
      <c r="G213" s="102" t="e">
        <f t="shared" si="9"/>
        <v>#VALUE!</v>
      </c>
      <c r="H213" s="307" t="e">
        <f t="shared" si="10"/>
        <v>#VALUE!</v>
      </c>
      <c r="J213" s="147">
        <v>21.912399999999998</v>
      </c>
      <c r="K213" s="147">
        <v>1314.7439999999999</v>
      </c>
      <c r="M213" s="136" t="e">
        <f t="shared" si="11"/>
        <v>#VALUE!</v>
      </c>
    </row>
    <row r="214" spans="3:13" x14ac:dyDescent="0.2">
      <c r="C214" s="178" t="s">
        <v>776</v>
      </c>
      <c r="D214" s="103" t="str">
        <f>_xlfn.XLOOKUP(C214,Detallado!C:C,Detallado!E:E,"ERROR",0)</f>
        <v>ERROR</v>
      </c>
      <c r="E214" s="306">
        <f>SUMIF(Detallado!C:C,ANALISIS!C214,Detallado!F:F)</f>
        <v>0</v>
      </c>
      <c r="F214" s="147" t="str">
        <f>_xlfn.XLOOKUP(C214,Detallado!C:C,Detallado!H:H,"ERROR",0)</f>
        <v>ERROR</v>
      </c>
      <c r="G214" s="102" t="e">
        <f t="shared" si="9"/>
        <v>#VALUE!</v>
      </c>
      <c r="H214" s="307" t="e">
        <f t="shared" si="10"/>
        <v>#VALUE!</v>
      </c>
      <c r="J214" s="147">
        <v>2654.6455000000001</v>
      </c>
      <c r="K214" s="147">
        <v>5309.2910000000002</v>
      </c>
      <c r="M214" s="136" t="e">
        <f t="shared" si="11"/>
        <v>#VALUE!</v>
      </c>
    </row>
    <row r="215" spans="3:13" x14ac:dyDescent="0.2">
      <c r="C215" s="178" t="s">
        <v>801</v>
      </c>
      <c r="D215" s="103" t="str">
        <f>_xlfn.XLOOKUP(C215,Detallado!C:C,Detallado!E:E,"ERROR",0)</f>
        <v>ERROR</v>
      </c>
      <c r="E215" s="306">
        <f>SUMIF(Detallado!C:C,ANALISIS!C215,Detallado!F:F)</f>
        <v>0</v>
      </c>
      <c r="F215" s="147" t="str">
        <f>_xlfn.XLOOKUP(C215,Detallado!C:C,Detallado!H:H,"ERROR",0)</f>
        <v>ERROR</v>
      </c>
      <c r="G215" s="102" t="e">
        <f t="shared" si="9"/>
        <v>#VALUE!</v>
      </c>
      <c r="H215" s="307" t="e">
        <f t="shared" si="10"/>
        <v>#VALUE!</v>
      </c>
      <c r="J215" s="147">
        <v>885.6715999999999</v>
      </c>
      <c r="K215" s="147">
        <v>16827.760399999999</v>
      </c>
      <c r="M215" s="136" t="e">
        <f t="shared" si="11"/>
        <v>#VALUE!</v>
      </c>
    </row>
    <row r="216" spans="3:13" x14ac:dyDescent="0.2">
      <c r="C216" s="178" t="s">
        <v>840</v>
      </c>
      <c r="D216" s="103" t="str">
        <f>_xlfn.XLOOKUP(C216,Detallado!C:C,Detallado!E:E,"ERROR",0)</f>
        <v>ERROR</v>
      </c>
      <c r="E216" s="306">
        <f>SUMIF(Detallado!C:C,ANALISIS!C216,Detallado!F:F)</f>
        <v>0</v>
      </c>
      <c r="F216" s="147" t="str">
        <f>_xlfn.XLOOKUP(C216,Detallado!C:C,Detallado!H:H,"ERROR",0)</f>
        <v>ERROR</v>
      </c>
      <c r="G216" s="102" t="e">
        <f t="shared" si="9"/>
        <v>#VALUE!</v>
      </c>
      <c r="H216" s="307" t="e">
        <f t="shared" si="10"/>
        <v>#VALUE!</v>
      </c>
      <c r="J216" s="147">
        <v>3480.1898181818106</v>
      </c>
      <c r="K216" s="147">
        <v>3480.1898181818106</v>
      </c>
      <c r="M216" s="136" t="e">
        <f t="shared" si="11"/>
        <v>#VALUE!</v>
      </c>
    </row>
    <row r="217" spans="3:13" x14ac:dyDescent="0.2">
      <c r="C217" s="178" t="s">
        <v>1117</v>
      </c>
      <c r="D217" s="103" t="str">
        <f>_xlfn.XLOOKUP(C217,Detallado!C:C,Detallado!E:E,"ERROR",0)</f>
        <v>ERROR</v>
      </c>
      <c r="E217" s="306">
        <f>SUMIF(Detallado!C:C,ANALISIS!C217,Detallado!F:F)</f>
        <v>0</v>
      </c>
      <c r="F217" s="147" t="str">
        <f>_xlfn.XLOOKUP(C217,Detallado!C:C,Detallado!H:H,"ERROR",0)</f>
        <v>ERROR</v>
      </c>
      <c r="G217" s="102" t="e">
        <f t="shared" si="9"/>
        <v>#VALUE!</v>
      </c>
      <c r="H217" s="307" t="e">
        <f t="shared" si="10"/>
        <v>#VALUE!</v>
      </c>
      <c r="J217" s="147">
        <v>17053.16</v>
      </c>
      <c r="K217" s="147">
        <v>0</v>
      </c>
      <c r="M217" s="136" t="e">
        <f t="shared" si="11"/>
        <v>#VALUE!</v>
      </c>
    </row>
    <row r="218" spans="3:13" x14ac:dyDescent="0.2">
      <c r="C218" s="178" t="s">
        <v>784</v>
      </c>
      <c r="D218" s="103" t="str">
        <f>_xlfn.XLOOKUP(C218,Detallado!C:C,Detallado!E:E,"ERROR",0)</f>
        <v>ERROR</v>
      </c>
      <c r="E218" s="306">
        <f>SUMIF(Detallado!C:C,ANALISIS!C218,Detallado!F:F)</f>
        <v>0</v>
      </c>
      <c r="F218" s="147" t="str">
        <f>_xlfn.XLOOKUP(C218,Detallado!C:C,Detallado!H:H,"ERROR",0)</f>
        <v>ERROR</v>
      </c>
      <c r="G218" s="102" t="e">
        <f t="shared" si="9"/>
        <v>#VALUE!</v>
      </c>
      <c r="H218" s="307" t="e">
        <f t="shared" si="10"/>
        <v>#VALUE!</v>
      </c>
      <c r="J218" s="147">
        <v>92.98</v>
      </c>
      <c r="K218" s="147">
        <v>37192</v>
      </c>
      <c r="M218" s="136" t="e">
        <f t="shared" si="11"/>
        <v>#VALUE!</v>
      </c>
    </row>
    <row r="219" spans="3:13" x14ac:dyDescent="0.2">
      <c r="C219" s="178" t="s">
        <v>151</v>
      </c>
      <c r="D219" s="103" t="str">
        <f>_xlfn.XLOOKUP(C219,Detallado!C:C,Detallado!E:E,"ERROR",0)</f>
        <v>ERROR</v>
      </c>
      <c r="E219" s="306">
        <f>SUMIF(Detallado!C:C,ANALISIS!C219,Detallado!F:F)</f>
        <v>0</v>
      </c>
      <c r="F219" s="147" t="str">
        <f>_xlfn.XLOOKUP(C219,Detallado!C:C,Detallado!H:H,"ERROR",0)</f>
        <v>ERROR</v>
      </c>
      <c r="G219" s="102" t="e">
        <f t="shared" si="9"/>
        <v>#VALUE!</v>
      </c>
      <c r="H219" s="307" t="e">
        <f t="shared" si="10"/>
        <v>#VALUE!</v>
      </c>
      <c r="J219" s="147">
        <v>14827.444799999999</v>
      </c>
      <c r="K219" s="147">
        <v>18534.306</v>
      </c>
      <c r="M219" s="136" t="e">
        <f t="shared" si="11"/>
        <v>#VALUE!</v>
      </c>
    </row>
    <row r="220" spans="3:13" x14ac:dyDescent="0.2">
      <c r="C220" s="178" t="s">
        <v>156</v>
      </c>
      <c r="D220" s="103" t="str">
        <f>_xlfn.XLOOKUP(C220,Detallado!C:C,Detallado!E:E,"ERROR",0)</f>
        <v>ERROR</v>
      </c>
      <c r="E220" s="306">
        <f>SUMIF(Detallado!C:C,ANALISIS!C220,Detallado!F:F)</f>
        <v>0</v>
      </c>
      <c r="F220" s="147" t="str">
        <f>_xlfn.XLOOKUP(C220,Detallado!C:C,Detallado!H:H,"ERROR",0)</f>
        <v>ERROR</v>
      </c>
      <c r="G220" s="102" t="e">
        <f t="shared" si="9"/>
        <v>#VALUE!</v>
      </c>
      <c r="H220" s="307" t="e">
        <f t="shared" si="10"/>
        <v>#VALUE!</v>
      </c>
      <c r="J220" s="147">
        <v>17913.274363999997</v>
      </c>
      <c r="K220" s="147">
        <v>17913.274363999997</v>
      </c>
      <c r="M220" s="136" t="e">
        <f t="shared" si="11"/>
        <v>#VALUE!</v>
      </c>
    </row>
    <row r="221" spans="3:13" x14ac:dyDescent="0.2">
      <c r="C221" s="178" t="s">
        <v>115</v>
      </c>
      <c r="D221" s="103" t="str">
        <f>_xlfn.XLOOKUP(C221,Detallado!C:C,Detallado!E:E,"ERROR",0)</f>
        <v>ERROR</v>
      </c>
      <c r="E221" s="306">
        <f>SUMIF(Detallado!C:C,ANALISIS!C221,Detallado!F:F)</f>
        <v>0</v>
      </c>
      <c r="F221" s="147" t="str">
        <f>_xlfn.XLOOKUP(C221,Detallado!C:C,Detallado!H:H,"ERROR",0)</f>
        <v>ERROR</v>
      </c>
      <c r="G221" s="102" t="e">
        <f t="shared" si="9"/>
        <v>#VALUE!</v>
      </c>
      <c r="H221" s="307" t="e">
        <f t="shared" si="10"/>
        <v>#VALUE!</v>
      </c>
      <c r="J221" s="147">
        <v>5528.0673015999992</v>
      </c>
      <c r="K221" s="147">
        <v>11056.134603199998</v>
      </c>
      <c r="M221" s="136" t="e">
        <f t="shared" si="11"/>
        <v>#VALUE!</v>
      </c>
    </row>
    <row r="222" spans="3:13" x14ac:dyDescent="0.2">
      <c r="C222" s="178" t="s">
        <v>160</v>
      </c>
      <c r="D222" s="103" t="str">
        <f>_xlfn.XLOOKUP(C222,Detallado!C:C,Detallado!E:E,"ERROR",0)</f>
        <v>ERROR</v>
      </c>
      <c r="E222" s="306">
        <f>SUMIF(Detallado!C:C,ANALISIS!C222,Detallado!F:F)</f>
        <v>0</v>
      </c>
      <c r="F222" s="147" t="str">
        <f>_xlfn.XLOOKUP(C222,Detallado!C:C,Detallado!H:H,"ERROR",0)</f>
        <v>ERROR</v>
      </c>
      <c r="G222" s="102" t="e">
        <f t="shared" si="9"/>
        <v>#VALUE!</v>
      </c>
      <c r="H222" s="307" t="e">
        <f t="shared" si="10"/>
        <v>#VALUE!</v>
      </c>
      <c r="J222" s="147">
        <v>8178.7568732307609</v>
      </c>
      <c r="K222" s="147">
        <v>49072.541239384562</v>
      </c>
      <c r="M222" s="136" t="e">
        <f t="shared" si="11"/>
        <v>#VALUE!</v>
      </c>
    </row>
    <row r="223" spans="3:13" x14ac:dyDescent="0.2">
      <c r="C223" s="178" t="s">
        <v>968</v>
      </c>
      <c r="D223" s="103" t="str">
        <f>_xlfn.XLOOKUP(C223,Detallado!C:C,Detallado!E:E,"ERROR",0)</f>
        <v>ERROR</v>
      </c>
      <c r="E223" s="306">
        <f>SUMIF(Detallado!C:C,ANALISIS!C223,Detallado!F:F)</f>
        <v>0</v>
      </c>
      <c r="F223" s="147" t="str">
        <f>_xlfn.XLOOKUP(C223,Detallado!C:C,Detallado!H:H,"ERROR",0)</f>
        <v>ERROR</v>
      </c>
      <c r="G223" s="102" t="e">
        <f t="shared" si="9"/>
        <v>#VALUE!</v>
      </c>
      <c r="H223" s="307" t="e">
        <f t="shared" si="10"/>
        <v>#VALUE!</v>
      </c>
      <c r="J223" s="147">
        <v>52543.894556999883</v>
      </c>
      <c r="K223" s="147">
        <v>157631.68367099966</v>
      </c>
      <c r="M223" s="136" t="e">
        <f t="shared" si="11"/>
        <v>#VALUE!</v>
      </c>
    </row>
    <row r="224" spans="3:13" x14ac:dyDescent="0.2">
      <c r="C224" s="178" t="s">
        <v>157</v>
      </c>
      <c r="D224" s="103" t="str">
        <f>_xlfn.XLOOKUP(C224,Detallado!C:C,Detallado!E:E,"ERROR",0)</f>
        <v>ERROR</v>
      </c>
      <c r="E224" s="306">
        <f>SUMIF(Detallado!C:C,ANALISIS!C224,Detallado!F:F)</f>
        <v>0</v>
      </c>
      <c r="F224" s="147" t="str">
        <f>_xlfn.XLOOKUP(C224,Detallado!C:C,Detallado!H:H,"ERROR",0)</f>
        <v>ERROR</v>
      </c>
      <c r="G224" s="102" t="e">
        <f t="shared" si="9"/>
        <v>#VALUE!</v>
      </c>
      <c r="H224" s="307" t="e">
        <f t="shared" si="10"/>
        <v>#VALUE!</v>
      </c>
      <c r="J224" s="147">
        <v>28070.045399999995</v>
      </c>
      <c r="K224" s="147">
        <v>56140.090799999991</v>
      </c>
      <c r="M224" s="136" t="e">
        <f t="shared" si="11"/>
        <v>#VALUE!</v>
      </c>
    </row>
    <row r="225" spans="3:13" x14ac:dyDescent="0.2">
      <c r="C225" s="178" t="s">
        <v>669</v>
      </c>
      <c r="D225" s="103" t="str">
        <f>_xlfn.XLOOKUP(C225,Detallado!C:C,Detallado!E:E,"ERROR",0)</f>
        <v>ERROR</v>
      </c>
      <c r="E225" s="306">
        <f>SUMIF(Detallado!C:C,ANALISIS!C225,Detallado!F:F)</f>
        <v>0</v>
      </c>
      <c r="F225" s="147" t="str">
        <f>_xlfn.XLOOKUP(C225,Detallado!C:C,Detallado!H:H,"ERROR",0)</f>
        <v>ERROR</v>
      </c>
      <c r="G225" s="102" t="e">
        <f t="shared" si="9"/>
        <v>#VALUE!</v>
      </c>
      <c r="H225" s="307" t="e">
        <f t="shared" si="10"/>
        <v>#VALUE!</v>
      </c>
      <c r="J225" s="147">
        <v>90310.619468000004</v>
      </c>
      <c r="K225" s="147">
        <v>0</v>
      </c>
      <c r="M225" s="136" t="e">
        <f t="shared" si="11"/>
        <v>#VALUE!</v>
      </c>
    </row>
    <row r="226" spans="3:13" x14ac:dyDescent="0.2">
      <c r="C226" s="177" t="s">
        <v>685</v>
      </c>
      <c r="D226" s="103" t="str">
        <f>_xlfn.XLOOKUP(C226,Detallado!C:C,Detallado!E:E,"ERROR",0)</f>
        <v>ERROR</v>
      </c>
      <c r="E226" s="306">
        <f>SUMIF(Detallado!C:C,ANALISIS!C226,Detallado!F:F)</f>
        <v>0</v>
      </c>
      <c r="F226" s="147" t="str">
        <f>_xlfn.XLOOKUP(C226,Detallado!C:C,Detallado!H:H,"ERROR",0)</f>
        <v>ERROR</v>
      </c>
      <c r="G226" s="102" t="e">
        <f t="shared" si="9"/>
        <v>#VALUE!</v>
      </c>
      <c r="H226" s="307" t="e">
        <f t="shared" si="10"/>
        <v>#VALUE!</v>
      </c>
      <c r="J226" s="147">
        <v>107175.87999999999</v>
      </c>
      <c r="K226" s="147">
        <v>214351.75999999998</v>
      </c>
      <c r="M226" s="136" t="e">
        <f t="shared" si="11"/>
        <v>#VALUE!</v>
      </c>
    </row>
    <row r="227" spans="3:13" x14ac:dyDescent="0.2">
      <c r="C227" s="177" t="s">
        <v>686</v>
      </c>
      <c r="D227" s="103" t="str">
        <f>_xlfn.XLOOKUP(C227,Detallado!C:C,Detallado!E:E,"ERROR",0)</f>
        <v>ERROR</v>
      </c>
      <c r="E227" s="306">
        <f>SUMIF(Detallado!C:C,ANALISIS!C227,Detallado!F:F)</f>
        <v>0</v>
      </c>
      <c r="F227" s="147" t="str">
        <f>_xlfn.XLOOKUP(C227,Detallado!C:C,Detallado!H:H,"ERROR",0)</f>
        <v>ERROR</v>
      </c>
      <c r="G227" s="102" t="e">
        <f t="shared" si="9"/>
        <v>#VALUE!</v>
      </c>
      <c r="H227" s="307" t="e">
        <f t="shared" si="10"/>
        <v>#VALUE!</v>
      </c>
      <c r="J227" s="147">
        <v>102500.885004</v>
      </c>
      <c r="K227" s="147">
        <v>0</v>
      </c>
      <c r="M227" s="136" t="e">
        <f t="shared" si="11"/>
        <v>#VALUE!</v>
      </c>
    </row>
    <row r="228" spans="3:13" x14ac:dyDescent="0.2">
      <c r="C228" s="177" t="s">
        <v>687</v>
      </c>
      <c r="D228" s="103" t="str">
        <f>_xlfn.XLOOKUP(C228,Detallado!C:C,Detallado!E:E,"ERROR",0)</f>
        <v>ERROR</v>
      </c>
      <c r="E228" s="306">
        <f>SUMIF(Detallado!C:C,ANALISIS!C228,Detallado!F:F)</f>
        <v>0</v>
      </c>
      <c r="F228" s="147" t="str">
        <f>_xlfn.XLOOKUP(C228,Detallado!C:C,Detallado!H:H,"ERROR",0)</f>
        <v>ERROR</v>
      </c>
      <c r="G228" s="102" t="e">
        <f t="shared" si="9"/>
        <v>#VALUE!</v>
      </c>
      <c r="H228" s="307" t="e">
        <f t="shared" si="10"/>
        <v>#VALUE!</v>
      </c>
      <c r="J228" s="147">
        <v>85742.56</v>
      </c>
      <c r="K228" s="147">
        <v>0</v>
      </c>
      <c r="M228" s="136" t="e">
        <f t="shared" si="11"/>
        <v>#VALUE!</v>
      </c>
    </row>
    <row r="229" spans="3:13" x14ac:dyDescent="0.2">
      <c r="C229" s="177" t="s">
        <v>200</v>
      </c>
      <c r="D229" s="103" t="str">
        <f>_xlfn.XLOOKUP(C229,Detallado!C:C,Detallado!E:E,"ERROR",0)</f>
        <v>ERROR</v>
      </c>
      <c r="E229" s="306">
        <f>SUMIF(Detallado!C:C,ANALISIS!C229,Detallado!F:F)</f>
        <v>0</v>
      </c>
      <c r="F229" s="147" t="str">
        <f>_xlfn.XLOOKUP(C229,Detallado!C:C,Detallado!H:H,"ERROR",0)</f>
        <v>ERROR</v>
      </c>
      <c r="G229" s="102" t="e">
        <f t="shared" si="9"/>
        <v>#VALUE!</v>
      </c>
      <c r="H229" s="307" t="e">
        <f t="shared" si="10"/>
        <v>#VALUE!</v>
      </c>
      <c r="J229" s="147">
        <v>9228.0203999999994</v>
      </c>
      <c r="K229" s="147">
        <v>73824.163199999995</v>
      </c>
      <c r="M229" s="136" t="e">
        <f t="shared" si="11"/>
        <v>#VALUE!</v>
      </c>
    </row>
    <row r="230" spans="3:13" x14ac:dyDescent="0.2">
      <c r="C230" s="177" t="s">
        <v>1118</v>
      </c>
      <c r="D230" s="103" t="str">
        <f>_xlfn.XLOOKUP(C230,Detallado!C:C,Detallado!E:E,"ERROR",0)</f>
        <v>ERROR</v>
      </c>
      <c r="E230" s="306">
        <f>SUMIF(Detallado!C:C,ANALISIS!C230,Detallado!F:F)</f>
        <v>0</v>
      </c>
      <c r="F230" s="147" t="str">
        <f>_xlfn.XLOOKUP(C230,Detallado!C:C,Detallado!H:H,"ERROR",0)</f>
        <v>ERROR</v>
      </c>
      <c r="G230" s="102" t="e">
        <f t="shared" si="9"/>
        <v>#VALUE!</v>
      </c>
      <c r="H230" s="307" t="e">
        <f t="shared" si="10"/>
        <v>#VALUE!</v>
      </c>
      <c r="J230" s="147">
        <v>26554.719999999998</v>
      </c>
      <c r="K230" s="147">
        <v>53109.439999999995</v>
      </c>
      <c r="M230" s="136" t="e">
        <f t="shared" si="11"/>
        <v>#VALUE!</v>
      </c>
    </row>
    <row r="231" spans="3:13" x14ac:dyDescent="0.2">
      <c r="C231" s="177" t="s">
        <v>1417</v>
      </c>
      <c r="D231" s="103" t="str">
        <f>_xlfn.XLOOKUP(C231,Detallado!C:C,Detallado!E:E,"ERROR",0)</f>
        <v>ERROR</v>
      </c>
      <c r="E231" s="306">
        <f>SUMIF(Detallado!C:C,ANALISIS!C231,Detallado!F:F)</f>
        <v>0</v>
      </c>
      <c r="F231" s="147" t="str">
        <f>_xlfn.XLOOKUP(C231,Detallado!C:C,Detallado!H:H,"ERROR",0)</f>
        <v>ERROR</v>
      </c>
      <c r="G231" s="102" t="e">
        <f t="shared" ref="G231:G280" si="12">E231*F231</f>
        <v>#VALUE!</v>
      </c>
      <c r="H231" s="307" t="e">
        <f t="shared" si="10"/>
        <v>#VALUE!</v>
      </c>
      <c r="J231" s="147">
        <v>9222</v>
      </c>
      <c r="K231" s="147">
        <v>479544</v>
      </c>
      <c r="M231" s="136" t="e">
        <f t="shared" si="11"/>
        <v>#VALUE!</v>
      </c>
    </row>
    <row r="232" spans="3:13" x14ac:dyDescent="0.2">
      <c r="C232" s="177" t="s">
        <v>210</v>
      </c>
      <c r="D232" s="103" t="str">
        <f>_xlfn.XLOOKUP(C232,Detallado!C:C,Detallado!E:E,"ERROR",0)</f>
        <v>ERROR</v>
      </c>
      <c r="E232" s="306">
        <f>SUMIF(Detallado!C:C,ANALISIS!C232,Detallado!F:F)</f>
        <v>0</v>
      </c>
      <c r="F232" s="147" t="str">
        <f>_xlfn.XLOOKUP(C232,Detallado!C:C,Detallado!H:H,"ERROR",0)</f>
        <v>ERROR</v>
      </c>
      <c r="G232" s="102" t="e">
        <f t="shared" si="12"/>
        <v>#VALUE!</v>
      </c>
      <c r="H232" s="307" t="e">
        <f t="shared" si="10"/>
        <v>#VALUE!</v>
      </c>
      <c r="J232" s="147">
        <v>10055.045714285705</v>
      </c>
      <c r="K232" s="147">
        <v>30165.137142857115</v>
      </c>
      <c r="M232" s="136" t="e">
        <f t="shared" si="11"/>
        <v>#VALUE!</v>
      </c>
    </row>
    <row r="233" spans="3:13" x14ac:dyDescent="0.2">
      <c r="C233" s="177" t="s">
        <v>211</v>
      </c>
      <c r="D233" s="103" t="str">
        <f>_xlfn.XLOOKUP(C233,Detallado!C:C,Detallado!E:E,"ERROR",0)</f>
        <v>ERROR</v>
      </c>
      <c r="E233" s="306">
        <f>SUMIF(Detallado!C:C,ANALISIS!C233,Detallado!F:F)</f>
        <v>0</v>
      </c>
      <c r="F233" s="147" t="str">
        <f>_xlfn.XLOOKUP(C233,Detallado!C:C,Detallado!H:H,"ERROR",0)</f>
        <v>ERROR</v>
      </c>
      <c r="G233" s="102" t="e">
        <f t="shared" si="12"/>
        <v>#VALUE!</v>
      </c>
      <c r="H233" s="307" t="e">
        <f t="shared" si="10"/>
        <v>#VALUE!</v>
      </c>
      <c r="J233" s="147">
        <v>21343.148228571408</v>
      </c>
      <c r="K233" s="147">
        <v>21343.148228571408</v>
      </c>
      <c r="M233" s="136" t="e">
        <f t="shared" si="11"/>
        <v>#VALUE!</v>
      </c>
    </row>
    <row r="234" spans="3:13" x14ac:dyDescent="0.2">
      <c r="C234" s="177" t="s">
        <v>1108</v>
      </c>
      <c r="D234" s="103" t="str">
        <f>_xlfn.XLOOKUP(C234,Detallado!C:C,Detallado!E:E,"ERROR",0)</f>
        <v>ERROR</v>
      </c>
      <c r="E234" s="306">
        <f>SUMIF(Detallado!C:C,ANALISIS!C234,Detallado!F:F)</f>
        <v>0</v>
      </c>
      <c r="F234" s="147" t="str">
        <f>_xlfn.XLOOKUP(C234,Detallado!C:C,Detallado!H:H,"ERROR",0)</f>
        <v>ERROR</v>
      </c>
      <c r="G234" s="102" t="e">
        <f t="shared" si="12"/>
        <v>#VALUE!</v>
      </c>
      <c r="H234" s="307" t="e">
        <f t="shared" si="10"/>
        <v>#VALUE!</v>
      </c>
      <c r="J234" s="147">
        <v>150902.65477999998</v>
      </c>
      <c r="K234" s="147">
        <v>150902.65477999998</v>
      </c>
      <c r="M234" s="136" t="e">
        <f t="shared" si="11"/>
        <v>#VALUE!</v>
      </c>
    </row>
    <row r="235" spans="3:13" x14ac:dyDescent="0.2">
      <c r="C235" s="177" t="s">
        <v>1109</v>
      </c>
      <c r="D235" s="103" t="str">
        <f>_xlfn.XLOOKUP(C235,Detallado!C:C,Detallado!E:E,"ERROR",0)</f>
        <v>ERROR</v>
      </c>
      <c r="E235" s="306">
        <f>SUMIF(Detallado!C:C,ANALISIS!C235,Detallado!F:F)</f>
        <v>0</v>
      </c>
      <c r="F235" s="147" t="str">
        <f>_xlfn.XLOOKUP(C235,Detallado!C:C,Detallado!H:H,"ERROR",0)</f>
        <v>ERROR</v>
      </c>
      <c r="G235" s="102" t="e">
        <f t="shared" si="12"/>
        <v>#VALUE!</v>
      </c>
      <c r="H235" s="307" t="e">
        <f t="shared" si="10"/>
        <v>#VALUE!</v>
      </c>
      <c r="J235" s="147">
        <v>150902.65477999998</v>
      </c>
      <c r="K235" s="147">
        <v>301805.30955999997</v>
      </c>
      <c r="M235" s="136" t="e">
        <f t="shared" si="11"/>
        <v>#VALUE!</v>
      </c>
    </row>
    <row r="236" spans="3:13" x14ac:dyDescent="0.2">
      <c r="C236" s="177" t="s">
        <v>1110</v>
      </c>
      <c r="D236" s="103" t="str">
        <f>_xlfn.XLOOKUP(C236,Detallado!C:C,Detallado!E:E,"ERROR",0)</f>
        <v>ERROR</v>
      </c>
      <c r="E236" s="306">
        <f>SUMIF(Detallado!C:C,ANALISIS!C236,Detallado!F:F)</f>
        <v>0</v>
      </c>
      <c r="F236" s="147" t="str">
        <f>_xlfn.XLOOKUP(C236,Detallado!C:C,Detallado!H:H,"ERROR",0)</f>
        <v>ERROR</v>
      </c>
      <c r="G236" s="102" t="e">
        <f t="shared" si="12"/>
        <v>#VALUE!</v>
      </c>
      <c r="H236" s="307" t="e">
        <f t="shared" si="10"/>
        <v>#VALUE!</v>
      </c>
      <c r="J236" s="147">
        <v>150902.64840000001</v>
      </c>
      <c r="K236" s="147">
        <v>150902.64840000001</v>
      </c>
      <c r="M236" s="136" t="e">
        <f t="shared" si="11"/>
        <v>#VALUE!</v>
      </c>
    </row>
    <row r="237" spans="3:13" x14ac:dyDescent="0.2">
      <c r="C237" s="177" t="s">
        <v>1421</v>
      </c>
      <c r="D237" s="103" t="str">
        <f>_xlfn.XLOOKUP(C237,Detallado!C:C,Detallado!E:E,"ERROR",0)</f>
        <v>ERROR</v>
      </c>
      <c r="E237" s="306">
        <f>SUMIF(Detallado!C:C,ANALISIS!C237,Detallado!F:F)</f>
        <v>0</v>
      </c>
      <c r="F237" s="147" t="str">
        <f>_xlfn.XLOOKUP(C237,Detallado!C:C,Detallado!H:H,"ERROR",0)</f>
        <v>ERROR</v>
      </c>
      <c r="G237" s="102" t="e">
        <f t="shared" si="12"/>
        <v>#VALUE!</v>
      </c>
      <c r="H237" s="307" t="e">
        <f t="shared" si="10"/>
        <v>#VALUE!</v>
      </c>
      <c r="J237" s="147">
        <v>4215.9039999999995</v>
      </c>
      <c r="K237" s="147">
        <v>193931.58399999997</v>
      </c>
      <c r="M237" s="136" t="e">
        <f t="shared" si="11"/>
        <v>#VALUE!</v>
      </c>
    </row>
    <row r="238" spans="3:13" x14ac:dyDescent="0.2">
      <c r="C238" s="177" t="s">
        <v>95</v>
      </c>
      <c r="D238" s="103" t="str">
        <f>_xlfn.XLOOKUP(C238,Detallado!C:C,Detallado!E:E,"ERROR",0)</f>
        <v>ERROR</v>
      </c>
      <c r="E238" s="306">
        <f>SUMIF(Detallado!C:C,ANALISIS!C238,Detallado!F:F)</f>
        <v>0</v>
      </c>
      <c r="F238" s="147" t="str">
        <f>_xlfn.XLOOKUP(C238,Detallado!C:C,Detallado!H:H,"ERROR",0)</f>
        <v>ERROR</v>
      </c>
      <c r="G238" s="102" t="e">
        <f t="shared" si="12"/>
        <v>#VALUE!</v>
      </c>
      <c r="H238" s="307" t="e">
        <f t="shared" si="10"/>
        <v>#VALUE!</v>
      </c>
      <c r="J238" s="147">
        <v>250.26999999999998</v>
      </c>
      <c r="K238" s="147">
        <v>1251.3499999999999</v>
      </c>
      <c r="M238" s="136" t="e">
        <f t="shared" si="11"/>
        <v>#VALUE!</v>
      </c>
    </row>
    <row r="239" spans="3:13" x14ac:dyDescent="0.2">
      <c r="C239" s="177" t="s">
        <v>86</v>
      </c>
      <c r="D239" s="103" t="str">
        <f>_xlfn.XLOOKUP(C239,Detallado!C:C,Detallado!E:E,"ERROR",0)</f>
        <v>ERROR</v>
      </c>
      <c r="E239" s="306">
        <f>SUMIF(Detallado!C:C,ANALISIS!C239,Detallado!F:F)</f>
        <v>0</v>
      </c>
      <c r="F239" s="147" t="str">
        <f>_xlfn.XLOOKUP(C239,Detallado!C:C,Detallado!H:H,"ERROR",0)</f>
        <v>ERROR</v>
      </c>
      <c r="G239" s="102" t="e">
        <f t="shared" si="12"/>
        <v>#VALUE!</v>
      </c>
      <c r="H239" s="307" t="e">
        <f t="shared" si="10"/>
        <v>#VALUE!</v>
      </c>
      <c r="J239" s="147">
        <v>72.5</v>
      </c>
      <c r="K239" s="147">
        <v>362.5</v>
      </c>
      <c r="M239" s="136" t="e">
        <f t="shared" si="11"/>
        <v>#VALUE!</v>
      </c>
    </row>
    <row r="240" spans="3:13" x14ac:dyDescent="0.2">
      <c r="C240" s="177" t="s">
        <v>54</v>
      </c>
      <c r="D240" s="103" t="str">
        <f>_xlfn.XLOOKUP(C240,Detallado!C:C,Detallado!E:E,"ERROR",0)</f>
        <v>ERROR</v>
      </c>
      <c r="E240" s="306">
        <f>SUMIF(Detallado!C:C,ANALISIS!C240,Detallado!F:F)</f>
        <v>0</v>
      </c>
      <c r="F240" s="147" t="str">
        <f>_xlfn.XLOOKUP(C240,Detallado!C:C,Detallado!H:H,"ERROR",0)</f>
        <v>ERROR</v>
      </c>
      <c r="G240" s="102" t="e">
        <f t="shared" si="12"/>
        <v>#VALUE!</v>
      </c>
      <c r="H240" s="307" t="e">
        <f t="shared" si="10"/>
        <v>#VALUE!</v>
      </c>
      <c r="J240" s="147">
        <v>1238.8799999999999</v>
      </c>
      <c r="K240" s="147">
        <v>0</v>
      </c>
      <c r="M240" s="136" t="e">
        <f t="shared" si="11"/>
        <v>#VALUE!</v>
      </c>
    </row>
    <row r="241" spans="3:13" x14ac:dyDescent="0.2">
      <c r="C241" s="177" t="s">
        <v>418</v>
      </c>
      <c r="D241" s="103" t="str">
        <f>_xlfn.XLOOKUP(C241,Detallado!C:C,Detallado!E:E,"ERROR",0)</f>
        <v>ERROR</v>
      </c>
      <c r="E241" s="306">
        <f>SUMIF(Detallado!C:C,ANALISIS!C241,Detallado!F:F)</f>
        <v>0</v>
      </c>
      <c r="F241" s="147" t="str">
        <f>_xlfn.XLOOKUP(C241,Detallado!C:C,Detallado!H:H,"ERROR",0)</f>
        <v>ERROR</v>
      </c>
      <c r="G241" s="102" t="e">
        <f t="shared" si="12"/>
        <v>#VALUE!</v>
      </c>
      <c r="H241" s="307" t="e">
        <f t="shared" si="10"/>
        <v>#VALUE!</v>
      </c>
      <c r="J241" s="147">
        <v>2179.9299999999998</v>
      </c>
      <c r="K241" s="147">
        <v>17439.439999999999</v>
      </c>
      <c r="M241" s="136" t="e">
        <f t="shared" si="11"/>
        <v>#VALUE!</v>
      </c>
    </row>
    <row r="242" spans="3:13" x14ac:dyDescent="0.2">
      <c r="C242" s="177" t="s">
        <v>421</v>
      </c>
      <c r="D242" s="103" t="str">
        <f>_xlfn.XLOOKUP(C242,Detallado!C:C,Detallado!E:E,"ERROR",0)</f>
        <v>ERROR</v>
      </c>
      <c r="E242" s="306">
        <f>SUMIF(Detallado!C:C,ANALISIS!C242,Detallado!F:F)</f>
        <v>0</v>
      </c>
      <c r="F242" s="147" t="str">
        <f>_xlfn.XLOOKUP(C242,Detallado!C:C,Detallado!H:H,"ERROR",0)</f>
        <v>ERROR</v>
      </c>
      <c r="G242" s="102" t="e">
        <f t="shared" si="12"/>
        <v>#VALUE!</v>
      </c>
      <c r="H242" s="307" t="e">
        <f t="shared" si="10"/>
        <v>#VALUE!</v>
      </c>
      <c r="J242" s="147">
        <v>484.87999999999994</v>
      </c>
      <c r="K242" s="147">
        <v>969.75999999999988</v>
      </c>
      <c r="M242" s="136" t="e">
        <f t="shared" si="11"/>
        <v>#VALUE!</v>
      </c>
    </row>
    <row r="243" spans="3:13" x14ac:dyDescent="0.2">
      <c r="C243" s="177" t="s">
        <v>88</v>
      </c>
      <c r="D243" s="103" t="str">
        <f>_xlfn.XLOOKUP(C243,Detallado!C:C,Detallado!E:E,"ERROR",0)</f>
        <v>ERROR</v>
      </c>
      <c r="E243" s="306">
        <f>SUMIF(Detallado!C:C,ANALISIS!C243,Detallado!F:F)</f>
        <v>0</v>
      </c>
      <c r="F243" s="147" t="str">
        <f>_xlfn.XLOOKUP(C243,Detallado!C:C,Detallado!H:H,"ERROR",0)</f>
        <v>ERROR</v>
      </c>
      <c r="G243" s="102" t="e">
        <f t="shared" si="12"/>
        <v>#VALUE!</v>
      </c>
      <c r="H243" s="307" t="e">
        <f t="shared" si="10"/>
        <v>#VALUE!</v>
      </c>
      <c r="J243" s="147">
        <v>87</v>
      </c>
      <c r="K243" s="147">
        <v>1479</v>
      </c>
      <c r="M243" s="136" t="e">
        <f t="shared" si="11"/>
        <v>#VALUE!</v>
      </c>
    </row>
    <row r="244" spans="3:13" x14ac:dyDescent="0.2">
      <c r="C244" s="131" t="s">
        <v>93</v>
      </c>
      <c r="D244" s="103" t="str">
        <f>_xlfn.XLOOKUP(C244,Detallado!C:C,Detallado!E:E,"ERROR",0)</f>
        <v>ERROR</v>
      </c>
      <c r="E244" s="306">
        <f>SUMIF(Detallado!C:C,ANALISIS!C244,Detallado!F:F)</f>
        <v>0</v>
      </c>
      <c r="F244" s="147" t="str">
        <f>_xlfn.XLOOKUP(C244,Detallado!C:C,Detallado!H:H,"ERROR",0)</f>
        <v>ERROR</v>
      </c>
      <c r="G244" s="102" t="e">
        <f t="shared" si="12"/>
        <v>#VALUE!</v>
      </c>
      <c r="H244" s="307" t="e">
        <f t="shared" si="10"/>
        <v>#VALUE!</v>
      </c>
      <c r="J244" s="147">
        <v>234.60999999999999</v>
      </c>
      <c r="K244" s="147">
        <v>3284.54</v>
      </c>
      <c r="M244" s="136" t="e">
        <f t="shared" si="11"/>
        <v>#VALUE!</v>
      </c>
    </row>
    <row r="245" spans="3:13" x14ac:dyDescent="0.2">
      <c r="C245" s="177" t="s">
        <v>97</v>
      </c>
      <c r="D245" s="103" t="str">
        <f>_xlfn.XLOOKUP(C245,Detallado!C:C,Detallado!E:E,"ERROR",0)</f>
        <v>ERROR</v>
      </c>
      <c r="E245" s="306">
        <f>SUMIF(Detallado!C:C,ANALISIS!C245,Detallado!F:F)</f>
        <v>0</v>
      </c>
      <c r="F245" s="147" t="str">
        <f>_xlfn.XLOOKUP(C245,Detallado!C:C,Detallado!H:H,"ERROR",0)</f>
        <v>ERROR</v>
      </c>
      <c r="G245" s="102" t="e">
        <f t="shared" si="12"/>
        <v>#VALUE!</v>
      </c>
      <c r="H245" s="307" t="e">
        <f t="shared" si="10"/>
        <v>#VALUE!</v>
      </c>
      <c r="J245" s="147">
        <v>412.38</v>
      </c>
      <c r="K245" s="147">
        <v>824.76</v>
      </c>
      <c r="M245" s="136" t="e">
        <f t="shared" si="11"/>
        <v>#VALUE!</v>
      </c>
    </row>
    <row r="246" spans="3:13" x14ac:dyDescent="0.2">
      <c r="C246" s="177" t="s">
        <v>46</v>
      </c>
      <c r="D246" s="103" t="str">
        <f>_xlfn.XLOOKUP(C246,Detallado!C:C,Detallado!E:E,"ERROR",0)</f>
        <v>ERROR</v>
      </c>
      <c r="E246" s="306">
        <f>SUMIF(Detallado!C:C,ANALISIS!C246,Detallado!F:F)</f>
        <v>0</v>
      </c>
      <c r="F246" s="147" t="str">
        <f>_xlfn.XLOOKUP(C246,Detallado!C:C,Detallado!H:H,"ERROR",0)</f>
        <v>ERROR</v>
      </c>
      <c r="G246" s="102" t="e">
        <f t="shared" si="12"/>
        <v>#VALUE!</v>
      </c>
      <c r="H246" s="307" t="e">
        <f t="shared" si="10"/>
        <v>#VALUE!</v>
      </c>
      <c r="J246" s="147">
        <v>529.82999999999993</v>
      </c>
      <c r="K246" s="147">
        <v>2119.3199999999997</v>
      </c>
      <c r="M246" s="136" t="e">
        <f t="shared" si="11"/>
        <v>#VALUE!</v>
      </c>
    </row>
    <row r="247" spans="3:13" x14ac:dyDescent="0.2">
      <c r="C247" s="177" t="s">
        <v>450</v>
      </c>
      <c r="D247" s="103" t="str">
        <f>_xlfn.XLOOKUP(C247,Detallado!C:C,Detallado!E:E,"ERROR",0)</f>
        <v>ERROR</v>
      </c>
      <c r="E247" s="306">
        <f>SUMIF(Detallado!C:C,ANALISIS!C247,Detallado!F:F)</f>
        <v>0</v>
      </c>
      <c r="F247" s="147" t="str">
        <f>_xlfn.XLOOKUP(C247,Detallado!C:C,Detallado!H:H,"ERROR",0)</f>
        <v>ERROR</v>
      </c>
      <c r="G247" s="102" t="e">
        <f t="shared" si="12"/>
        <v>#VALUE!</v>
      </c>
      <c r="H247" s="307" t="e">
        <f t="shared" si="10"/>
        <v>#VALUE!</v>
      </c>
      <c r="J247" s="147">
        <v>377.58</v>
      </c>
      <c r="K247" s="147">
        <v>1510.32</v>
      </c>
      <c r="M247" s="136" t="e">
        <f t="shared" si="11"/>
        <v>#VALUE!</v>
      </c>
    </row>
    <row r="248" spans="3:13" x14ac:dyDescent="0.2">
      <c r="C248" s="303" t="s">
        <v>452</v>
      </c>
      <c r="D248" s="103" t="str">
        <f>_xlfn.XLOOKUP(C248,Detallado!C:C,Detallado!E:E,"ERROR",0)</f>
        <v>ERROR</v>
      </c>
      <c r="E248" s="306">
        <f>SUMIF(Detallado!C:C,ANALISIS!C248,Detallado!F:F)</f>
        <v>0</v>
      </c>
      <c r="F248" s="147" t="str">
        <f>_xlfn.XLOOKUP(C248,Detallado!C:C,Detallado!H:H,"ERROR",0)</f>
        <v>ERROR</v>
      </c>
      <c r="G248" s="102" t="e">
        <f t="shared" si="12"/>
        <v>#VALUE!</v>
      </c>
      <c r="H248" s="307" t="e">
        <f t="shared" si="10"/>
        <v>#VALUE!</v>
      </c>
      <c r="J248" s="147">
        <v>339.88</v>
      </c>
      <c r="K248" s="147">
        <v>1359.52</v>
      </c>
      <c r="M248" s="136" t="e">
        <f t="shared" si="11"/>
        <v>#VALUE!</v>
      </c>
    </row>
    <row r="249" spans="3:13" x14ac:dyDescent="0.2">
      <c r="C249" s="303" t="s">
        <v>117</v>
      </c>
      <c r="D249" s="103" t="str">
        <f>_xlfn.XLOOKUP(C249,Detallado!C:C,Detallado!E:E,"ERROR",0)</f>
        <v>ERROR</v>
      </c>
      <c r="E249" s="306">
        <f>SUMIF(Detallado!C:C,ANALISIS!C249,Detallado!F:F)</f>
        <v>0</v>
      </c>
      <c r="F249" s="147" t="str">
        <f>_xlfn.XLOOKUP(C249,Detallado!C:C,Detallado!H:H,"ERROR",0)</f>
        <v>ERROR</v>
      </c>
      <c r="G249" s="102" t="e">
        <f t="shared" si="12"/>
        <v>#VALUE!</v>
      </c>
      <c r="H249" s="307" t="e">
        <f t="shared" si="10"/>
        <v>#VALUE!</v>
      </c>
      <c r="J249" s="147">
        <v>96.57</v>
      </c>
      <c r="K249" s="147">
        <v>10139.849999999999</v>
      </c>
      <c r="M249" s="136" t="e">
        <f t="shared" si="11"/>
        <v>#VALUE!</v>
      </c>
    </row>
    <row r="250" spans="3:13" x14ac:dyDescent="0.2">
      <c r="C250" s="303" t="s">
        <v>104</v>
      </c>
      <c r="D250" s="103" t="str">
        <f>_xlfn.XLOOKUP(C250,Detallado!C:C,Detallado!E:E,"ERROR",0)</f>
        <v>ERROR</v>
      </c>
      <c r="E250" s="306">
        <f>SUMIF(Detallado!C:C,ANALISIS!C250,Detallado!F:F)</f>
        <v>0</v>
      </c>
      <c r="F250" s="147" t="str">
        <f>_xlfn.XLOOKUP(C250,Detallado!C:C,Detallado!H:H,"ERROR",0)</f>
        <v>ERROR</v>
      </c>
      <c r="G250" s="102" t="e">
        <f t="shared" si="12"/>
        <v>#VALUE!</v>
      </c>
      <c r="H250" s="307" t="e">
        <f t="shared" si="10"/>
        <v>#VALUE!</v>
      </c>
      <c r="J250" s="147">
        <v>122.66999999999999</v>
      </c>
      <c r="K250" s="147">
        <v>2208.06</v>
      </c>
      <c r="M250" s="136" t="e">
        <f t="shared" si="11"/>
        <v>#VALUE!</v>
      </c>
    </row>
    <row r="251" spans="3:13" x14ac:dyDescent="0.2">
      <c r="C251" s="303" t="s">
        <v>63</v>
      </c>
      <c r="D251" s="103" t="str">
        <f>_xlfn.XLOOKUP(C251,Detallado!C:C,Detallado!E:E,"ERROR",0)</f>
        <v>ERROR</v>
      </c>
      <c r="E251" s="306">
        <f>SUMIF(Detallado!C:C,ANALISIS!C251,Detallado!F:F)</f>
        <v>0</v>
      </c>
      <c r="F251" s="147" t="str">
        <f>_xlfn.XLOOKUP(C251,Detallado!C:C,Detallado!H:H,"ERROR",0)</f>
        <v>ERROR</v>
      </c>
      <c r="G251" s="102" t="e">
        <f t="shared" si="12"/>
        <v>#VALUE!</v>
      </c>
      <c r="H251" s="307" t="e">
        <f t="shared" si="10"/>
        <v>#VALUE!</v>
      </c>
      <c r="J251" s="147">
        <v>1452.61</v>
      </c>
      <c r="K251" s="147">
        <v>4357.83</v>
      </c>
      <c r="M251" s="136" t="e">
        <f t="shared" si="11"/>
        <v>#VALUE!</v>
      </c>
    </row>
    <row r="252" spans="3:13" x14ac:dyDescent="0.2">
      <c r="C252" s="303" t="s">
        <v>64</v>
      </c>
      <c r="D252" s="103" t="str">
        <f>_xlfn.XLOOKUP(C252,Detallado!C:C,Detallado!E:E,"ERROR",0)</f>
        <v>ERROR</v>
      </c>
      <c r="E252" s="306">
        <f>SUMIF(Detallado!C:C,ANALISIS!C252,Detallado!F:F)</f>
        <v>0</v>
      </c>
      <c r="F252" s="147" t="str">
        <f>_xlfn.XLOOKUP(C252,Detallado!C:C,Detallado!H:H,"ERROR",0)</f>
        <v>ERROR</v>
      </c>
      <c r="G252" s="102" t="e">
        <f t="shared" si="12"/>
        <v>#VALUE!</v>
      </c>
      <c r="H252" s="307" t="e">
        <f t="shared" si="10"/>
        <v>#VALUE!</v>
      </c>
      <c r="J252" s="147">
        <v>500.24999999999994</v>
      </c>
      <c r="K252" s="147">
        <v>3501.7499999999995</v>
      </c>
      <c r="M252" s="136" t="e">
        <f t="shared" si="11"/>
        <v>#VALUE!</v>
      </c>
    </row>
    <row r="253" spans="3:13" x14ac:dyDescent="0.2">
      <c r="C253" s="303" t="s">
        <v>102</v>
      </c>
      <c r="D253" s="103" t="str">
        <f>_xlfn.XLOOKUP(C253,Detallado!C:C,Detallado!E:E,"ERROR",0)</f>
        <v>ERROR</v>
      </c>
      <c r="E253" s="306">
        <f>SUMIF(Detallado!C:C,ANALISIS!C253,Detallado!F:F)</f>
        <v>0</v>
      </c>
      <c r="F253" s="147" t="str">
        <f>_xlfn.XLOOKUP(C253,Detallado!C:C,Detallado!H:H,"ERROR",0)</f>
        <v>ERROR</v>
      </c>
      <c r="G253" s="102" t="e">
        <f t="shared" si="12"/>
        <v>#VALUE!</v>
      </c>
      <c r="H253" s="307" t="e">
        <f t="shared" si="10"/>
        <v>#VALUE!</v>
      </c>
      <c r="J253" s="147">
        <v>335.82</v>
      </c>
      <c r="K253" s="147">
        <v>13432.8</v>
      </c>
      <c r="M253" s="136" t="e">
        <f t="shared" si="11"/>
        <v>#VALUE!</v>
      </c>
    </row>
    <row r="254" spans="3:13" x14ac:dyDescent="0.2">
      <c r="C254" s="303" t="s">
        <v>103</v>
      </c>
      <c r="D254" s="103" t="str">
        <f>_xlfn.XLOOKUP(C254,Detallado!C:C,Detallado!E:E,"ERROR",0)</f>
        <v>ERROR</v>
      </c>
      <c r="E254" s="306">
        <f>SUMIF(Detallado!C:C,ANALISIS!C254,Detallado!F:F)</f>
        <v>0</v>
      </c>
      <c r="F254" s="147" t="str">
        <f>_xlfn.XLOOKUP(C254,Detallado!C:C,Detallado!H:H,"ERROR",0)</f>
        <v>ERROR</v>
      </c>
      <c r="G254" s="102" t="e">
        <f t="shared" si="12"/>
        <v>#VALUE!</v>
      </c>
      <c r="H254" s="307" t="e">
        <f t="shared" si="10"/>
        <v>#VALUE!</v>
      </c>
      <c r="J254" s="147">
        <v>411.79999999999995</v>
      </c>
      <c r="K254" s="147">
        <v>7824.1999999999989</v>
      </c>
      <c r="M254" s="136" t="e">
        <f t="shared" si="11"/>
        <v>#VALUE!</v>
      </c>
    </row>
    <row r="255" spans="3:13" x14ac:dyDescent="0.2">
      <c r="C255" s="303" t="s">
        <v>98</v>
      </c>
      <c r="D255" s="103" t="str">
        <f>_xlfn.XLOOKUP(C255,Detallado!C:C,Detallado!E:E,"ERROR",0)</f>
        <v>ERROR</v>
      </c>
      <c r="E255" s="306">
        <f>SUMIF(Detallado!C:C,ANALISIS!C255,Detallado!F:F)</f>
        <v>0</v>
      </c>
      <c r="F255" s="147" t="str">
        <f>_xlfn.XLOOKUP(C255,Detallado!C:C,Detallado!H:H,"ERROR",0)</f>
        <v>ERROR</v>
      </c>
      <c r="G255" s="102" t="e">
        <f t="shared" si="12"/>
        <v>#VALUE!</v>
      </c>
      <c r="H255" s="307" t="e">
        <f t="shared" si="10"/>
        <v>#VALUE!</v>
      </c>
      <c r="J255" s="147">
        <v>870.86999999999989</v>
      </c>
      <c r="K255" s="147">
        <v>870.86999999999989</v>
      </c>
      <c r="M255" s="136" t="e">
        <f t="shared" si="11"/>
        <v>#VALUE!</v>
      </c>
    </row>
    <row r="256" spans="3:13" x14ac:dyDescent="0.2">
      <c r="C256" s="303" t="s">
        <v>53</v>
      </c>
      <c r="D256" s="103" t="str">
        <f>_xlfn.XLOOKUP(C256,Detallado!C:C,Detallado!E:E,"ERROR",0)</f>
        <v>ERROR</v>
      </c>
      <c r="E256" s="306">
        <f>SUMIF(Detallado!C:C,ANALISIS!C256,Detallado!F:F)</f>
        <v>0</v>
      </c>
      <c r="F256" s="147" t="str">
        <f>_xlfn.XLOOKUP(C256,Detallado!C:C,Detallado!H:H,"ERROR",0)</f>
        <v>ERROR</v>
      </c>
      <c r="G256" s="102" t="e">
        <f t="shared" ref="G256:G271" si="13">E256*F256</f>
        <v>#VALUE!</v>
      </c>
      <c r="H256" s="307" t="e">
        <f t="shared" si="10"/>
        <v>#VALUE!</v>
      </c>
      <c r="J256" s="147">
        <v>1868.7599999999998</v>
      </c>
      <c r="K256" s="147">
        <v>0</v>
      </c>
      <c r="M256" s="136" t="e">
        <f t="shared" si="11"/>
        <v>#VALUE!</v>
      </c>
    </row>
    <row r="257" spans="3:13" x14ac:dyDescent="0.2">
      <c r="C257" s="303" t="s">
        <v>44</v>
      </c>
      <c r="D257" s="103" t="str">
        <f>_xlfn.XLOOKUP(C257,Detallado!C:C,Detallado!E:E,"ERROR",0)</f>
        <v>ERROR</v>
      </c>
      <c r="E257" s="306">
        <f>SUMIF(Detallado!C:C,ANALISIS!C257,Detallado!F:F)</f>
        <v>0</v>
      </c>
      <c r="F257" s="147" t="str">
        <f>_xlfn.XLOOKUP(C257,Detallado!C:C,Detallado!H:H,"ERROR",0)</f>
        <v>ERROR</v>
      </c>
      <c r="G257" s="102" t="e">
        <f t="shared" si="13"/>
        <v>#VALUE!</v>
      </c>
      <c r="H257" s="307" t="e">
        <f t="shared" si="10"/>
        <v>#VALUE!</v>
      </c>
      <c r="J257" s="147">
        <v>1858.61</v>
      </c>
      <c r="K257" s="147">
        <v>3717.22</v>
      </c>
      <c r="M257" s="136" t="e">
        <f t="shared" si="11"/>
        <v>#VALUE!</v>
      </c>
    </row>
    <row r="258" spans="3:13" x14ac:dyDescent="0.2">
      <c r="C258" s="303" t="s">
        <v>709</v>
      </c>
      <c r="D258" s="103" t="str">
        <f>_xlfn.XLOOKUP(C258,Detallado!C:C,Detallado!E:E,"ERROR",0)</f>
        <v>ERROR</v>
      </c>
      <c r="E258" s="306">
        <f>SUMIF(Detallado!C:C,ANALISIS!C258,Detallado!F:F)</f>
        <v>0</v>
      </c>
      <c r="F258" s="147" t="str">
        <f>_xlfn.XLOOKUP(C258,Detallado!C:C,Detallado!H:H,"ERROR",0)</f>
        <v>ERROR</v>
      </c>
      <c r="G258" s="102" t="e">
        <f t="shared" si="13"/>
        <v>#VALUE!</v>
      </c>
      <c r="H258" s="307" t="e">
        <f t="shared" ref="H258:H275" si="14">G258/$G$313</f>
        <v>#VALUE!</v>
      </c>
      <c r="J258" s="147">
        <v>686.43</v>
      </c>
      <c r="K258" s="147">
        <v>686.43</v>
      </c>
      <c r="M258" s="136" t="e">
        <f t="shared" si="11"/>
        <v>#VALUE!</v>
      </c>
    </row>
    <row r="259" spans="3:13" x14ac:dyDescent="0.2">
      <c r="C259" s="303" t="s">
        <v>47</v>
      </c>
      <c r="D259" s="103" t="str">
        <f>_xlfn.XLOOKUP(C259,Detallado!C:C,Detallado!E:E,"ERROR",0)</f>
        <v>ERROR</v>
      </c>
      <c r="E259" s="306">
        <f>SUMIF(Detallado!C:C,ANALISIS!C259,Detallado!F:F)</f>
        <v>0</v>
      </c>
      <c r="F259" s="147" t="str">
        <f>_xlfn.XLOOKUP(C259,Detallado!C:C,Detallado!H:H,"ERROR",0)</f>
        <v>ERROR</v>
      </c>
      <c r="G259" s="102" t="e">
        <f t="shared" si="13"/>
        <v>#VALUE!</v>
      </c>
      <c r="H259" s="307" t="e">
        <f t="shared" si="14"/>
        <v>#VALUE!</v>
      </c>
      <c r="J259" s="147">
        <v>870.86999999999989</v>
      </c>
      <c r="K259" s="147">
        <v>1741.7399999999998</v>
      </c>
      <c r="M259" s="136" t="e">
        <f t="shared" ref="M259:M309" si="15">+K259-G259</f>
        <v>#VALUE!</v>
      </c>
    </row>
    <row r="260" spans="3:13" x14ac:dyDescent="0.2">
      <c r="C260" s="303" t="s">
        <v>48</v>
      </c>
      <c r="D260" s="103" t="str">
        <f>_xlfn.XLOOKUP(C260,Detallado!C:C,Detallado!E:E,"ERROR",0)</f>
        <v>ERROR</v>
      </c>
      <c r="E260" s="306">
        <f>SUMIF(Detallado!C:C,ANALISIS!C260,Detallado!F:F)</f>
        <v>0</v>
      </c>
      <c r="F260" s="147" t="str">
        <f>_xlfn.XLOOKUP(C260,Detallado!C:C,Detallado!H:H,"ERROR",0)</f>
        <v>ERROR</v>
      </c>
      <c r="G260" s="102" t="e">
        <f t="shared" si="13"/>
        <v>#VALUE!</v>
      </c>
      <c r="H260" s="307" t="e">
        <f t="shared" si="14"/>
        <v>#VALUE!</v>
      </c>
      <c r="J260" s="147">
        <v>3712.87</v>
      </c>
      <c r="K260" s="147">
        <v>3712.87</v>
      </c>
      <c r="M260" s="136" t="e">
        <f t="shared" si="15"/>
        <v>#VALUE!</v>
      </c>
    </row>
    <row r="261" spans="3:13" x14ac:dyDescent="0.2">
      <c r="C261" s="303" t="s">
        <v>90</v>
      </c>
      <c r="D261" s="103" t="str">
        <f>_xlfn.XLOOKUP(C261,Detallado!C:C,Detallado!E:E,"ERROR",0)</f>
        <v>ERROR</v>
      </c>
      <c r="E261" s="306">
        <f>SUMIF(Detallado!C:C,ANALISIS!C261,Detallado!F:F)</f>
        <v>0</v>
      </c>
      <c r="F261" s="147" t="str">
        <f>_xlfn.XLOOKUP(C261,Detallado!C:C,Detallado!H:H,"ERROR",0)</f>
        <v>ERROR</v>
      </c>
      <c r="G261" s="102" t="e">
        <f t="shared" si="13"/>
        <v>#VALUE!</v>
      </c>
      <c r="H261" s="307" t="e">
        <f t="shared" si="14"/>
        <v>#VALUE!</v>
      </c>
      <c r="J261" s="147">
        <v>272.59999999999997</v>
      </c>
      <c r="K261" s="147">
        <v>1362.9999999999998</v>
      </c>
      <c r="M261" s="136" t="e">
        <f t="shared" si="15"/>
        <v>#VALUE!</v>
      </c>
    </row>
    <row r="262" spans="3:13" x14ac:dyDescent="0.2">
      <c r="C262" s="303" t="s">
        <v>51</v>
      </c>
      <c r="D262" s="103" t="str">
        <f>_xlfn.XLOOKUP(C262,Detallado!C:C,Detallado!E:E,"ERROR",0)</f>
        <v>ERROR</v>
      </c>
      <c r="E262" s="306">
        <f>SUMIF(Detallado!C:C,ANALISIS!C262,Detallado!F:F)</f>
        <v>0</v>
      </c>
      <c r="F262" s="147" t="str">
        <f>_xlfn.XLOOKUP(C262,Detallado!C:C,Detallado!H:H,"ERROR",0)</f>
        <v>ERROR</v>
      </c>
      <c r="G262" s="102" t="e">
        <f t="shared" si="13"/>
        <v>#VALUE!</v>
      </c>
      <c r="H262" s="307" t="e">
        <f t="shared" si="14"/>
        <v>#VALUE!</v>
      </c>
      <c r="J262" s="147">
        <v>370.33</v>
      </c>
      <c r="K262" s="147">
        <v>0</v>
      </c>
      <c r="L262" s="312"/>
      <c r="M262" s="136" t="e">
        <f t="shared" si="15"/>
        <v>#VALUE!</v>
      </c>
    </row>
    <row r="263" spans="3:13" x14ac:dyDescent="0.2">
      <c r="C263" s="303" t="s">
        <v>96</v>
      </c>
      <c r="D263" s="103" t="str">
        <f>_xlfn.XLOOKUP(C263,Detallado!C:C,Detallado!E:E,"ERROR",0)</f>
        <v>ERROR</v>
      </c>
      <c r="E263" s="306">
        <f>SUMIF(Detallado!C:C,ANALISIS!C263,Detallado!F:F)</f>
        <v>0</v>
      </c>
      <c r="F263" s="147" t="str">
        <f>_xlfn.XLOOKUP(C263,Detallado!C:C,Detallado!H:H,"ERROR",0)</f>
        <v>ERROR</v>
      </c>
      <c r="G263" s="102" t="e">
        <f t="shared" si="13"/>
        <v>#VALUE!</v>
      </c>
      <c r="H263" s="307" t="e">
        <f t="shared" si="14"/>
        <v>#VALUE!</v>
      </c>
      <c r="J263" s="147">
        <v>230.26</v>
      </c>
      <c r="K263" s="147">
        <v>1151.3</v>
      </c>
      <c r="M263" s="136" t="e">
        <f t="shared" si="15"/>
        <v>#VALUE!</v>
      </c>
    </row>
    <row r="264" spans="3:13" x14ac:dyDescent="0.2">
      <c r="C264" s="303" t="s">
        <v>789</v>
      </c>
      <c r="D264" s="103" t="str">
        <f>_xlfn.XLOOKUP(C264,Detallado!C:C,Detallado!E:E,"ERROR",0)</f>
        <v>ERROR</v>
      </c>
      <c r="E264" s="306">
        <f>SUMIF(Detallado!C:C,ANALISIS!C264,Detallado!F:F)</f>
        <v>0</v>
      </c>
      <c r="F264" s="147" t="str">
        <f>_xlfn.XLOOKUP(C264,Detallado!C:C,Detallado!H:H,"ERROR",0)</f>
        <v>ERROR</v>
      </c>
      <c r="G264" s="102" t="e">
        <f t="shared" si="13"/>
        <v>#VALUE!</v>
      </c>
      <c r="H264" s="307" t="e">
        <f t="shared" si="14"/>
        <v>#VALUE!</v>
      </c>
      <c r="J264" s="147">
        <v>63.8</v>
      </c>
      <c r="K264" s="147">
        <v>319</v>
      </c>
      <c r="M264" s="136" t="e">
        <f t="shared" si="15"/>
        <v>#VALUE!</v>
      </c>
    </row>
    <row r="265" spans="3:13" x14ac:dyDescent="0.2">
      <c r="C265" s="303" t="s">
        <v>92</v>
      </c>
      <c r="D265" s="103" t="str">
        <f>_xlfn.XLOOKUP(C265,Detallado!C:C,Detallado!E:E,"ERROR",0)</f>
        <v>ERROR</v>
      </c>
      <c r="E265" s="306">
        <f>SUMIF(Detallado!C:C,ANALISIS!C265,Detallado!F:F)</f>
        <v>0</v>
      </c>
      <c r="F265" s="147" t="str">
        <f>_xlfn.XLOOKUP(C265,Detallado!C:C,Detallado!H:H,"ERROR",0)</f>
        <v>ERROR</v>
      </c>
      <c r="G265" s="102" t="e">
        <f t="shared" si="13"/>
        <v>#VALUE!</v>
      </c>
      <c r="H265" s="307" t="e">
        <f t="shared" si="14"/>
        <v>#VALUE!</v>
      </c>
      <c r="J265" s="147">
        <v>310.58999999999997</v>
      </c>
      <c r="K265" s="147">
        <v>931.77</v>
      </c>
      <c r="M265" s="136" t="e">
        <f t="shared" si="15"/>
        <v>#VALUE!</v>
      </c>
    </row>
    <row r="266" spans="3:13" x14ac:dyDescent="0.2">
      <c r="C266" s="303" t="s">
        <v>89</v>
      </c>
      <c r="D266" s="103" t="str">
        <f>_xlfn.XLOOKUP(C266,Detallado!C:C,Detallado!E:E,"ERROR",0)</f>
        <v>ERROR</v>
      </c>
      <c r="E266" s="306">
        <f>SUMIF(Detallado!C:C,ANALISIS!C266,Detallado!F:F)</f>
        <v>0</v>
      </c>
      <c r="F266" s="147" t="str">
        <f>_xlfn.XLOOKUP(C266,Detallado!C:C,Detallado!H:H,"ERROR",0)</f>
        <v>ERROR</v>
      </c>
      <c r="G266" s="102" t="e">
        <f t="shared" si="13"/>
        <v>#VALUE!</v>
      </c>
      <c r="H266" s="307" t="e">
        <f t="shared" si="14"/>
        <v>#VALUE!</v>
      </c>
      <c r="J266" s="147">
        <v>88.449999999999989</v>
      </c>
      <c r="K266" s="147">
        <v>619.14999999999986</v>
      </c>
      <c r="M266" s="136" t="e">
        <f t="shared" si="15"/>
        <v>#VALUE!</v>
      </c>
    </row>
    <row r="267" spans="3:13" x14ac:dyDescent="0.2">
      <c r="C267" s="303" t="s">
        <v>796</v>
      </c>
      <c r="D267" s="103" t="str">
        <f>_xlfn.XLOOKUP(C267,Detallado!C:C,Detallado!E:E,"ERROR",0)</f>
        <v>ERROR</v>
      </c>
      <c r="E267" s="306">
        <f>SUMIF(Detallado!C:C,ANALISIS!C267,Detallado!F:F)</f>
        <v>0</v>
      </c>
      <c r="F267" s="147" t="str">
        <f>_xlfn.XLOOKUP(C267,Detallado!C:C,Detallado!H:H,"ERROR",0)</f>
        <v>ERROR</v>
      </c>
      <c r="G267" s="102" t="e">
        <f t="shared" si="13"/>
        <v>#VALUE!</v>
      </c>
      <c r="H267" s="307" t="e">
        <f t="shared" si="14"/>
        <v>#VALUE!</v>
      </c>
      <c r="J267" s="147">
        <v>1496.11</v>
      </c>
      <c r="K267" s="147">
        <v>1496.11</v>
      </c>
      <c r="M267" s="136" t="e">
        <f t="shared" si="15"/>
        <v>#VALUE!</v>
      </c>
    </row>
    <row r="268" spans="3:13" x14ac:dyDescent="0.2">
      <c r="C268" s="303" t="s">
        <v>43</v>
      </c>
      <c r="D268" s="103" t="str">
        <f>_xlfn.XLOOKUP(C268,Detallado!C:C,Detallado!E:E,"ERROR",0)</f>
        <v>ERROR</v>
      </c>
      <c r="E268" s="306">
        <f>SUMIF(Detallado!C:C,ANALISIS!C268,Detallado!F:F)</f>
        <v>0</v>
      </c>
      <c r="F268" s="147" t="str">
        <f>_xlfn.XLOOKUP(C268,Detallado!C:C,Detallado!H:H,"ERROR",0)</f>
        <v>ERROR</v>
      </c>
      <c r="G268" s="102" t="e">
        <f t="shared" si="13"/>
        <v>#VALUE!</v>
      </c>
      <c r="H268" s="307" t="e">
        <f t="shared" si="14"/>
        <v>#VALUE!</v>
      </c>
      <c r="J268" s="147">
        <v>3490.7299999999996</v>
      </c>
      <c r="K268" s="147">
        <v>0</v>
      </c>
      <c r="M268" s="136" t="e">
        <f t="shared" si="15"/>
        <v>#VALUE!</v>
      </c>
    </row>
    <row r="269" spans="3:13" x14ac:dyDescent="0.2">
      <c r="C269" s="303" t="s">
        <v>61</v>
      </c>
      <c r="D269" s="103" t="str">
        <f>_xlfn.XLOOKUP(C269,Detallado!C:C,Detallado!E:E,"ERROR",0)</f>
        <v>ERROR</v>
      </c>
      <c r="E269" s="306">
        <f>SUMIF(Detallado!C:C,ANALISIS!C269,Detallado!F:F)</f>
        <v>0</v>
      </c>
      <c r="F269" s="147" t="str">
        <f>_xlfn.XLOOKUP(C269,Detallado!C:C,Detallado!H:H,"ERROR",0)</f>
        <v>ERROR</v>
      </c>
      <c r="G269" s="102" t="e">
        <f t="shared" si="13"/>
        <v>#VALUE!</v>
      </c>
      <c r="H269" s="307" t="e">
        <f t="shared" si="14"/>
        <v>#VALUE!</v>
      </c>
      <c r="J269" s="147">
        <v>4101.4699999999993</v>
      </c>
      <c r="K269" s="147">
        <v>16405.879999999997</v>
      </c>
      <c r="M269" s="136" t="e">
        <f t="shared" si="15"/>
        <v>#VALUE!</v>
      </c>
    </row>
    <row r="270" spans="3:13" x14ac:dyDescent="0.2">
      <c r="C270" s="303" t="s">
        <v>62</v>
      </c>
      <c r="D270" s="103" t="str">
        <f>_xlfn.XLOOKUP(C270,Detallado!C:C,Detallado!E:E,"ERROR",0)</f>
        <v>ERROR</v>
      </c>
      <c r="E270" s="306">
        <f>SUMIF(Detallado!C:C,ANALISIS!C270,Detallado!F:F)</f>
        <v>0</v>
      </c>
      <c r="F270" s="147" t="str">
        <f>_xlfn.XLOOKUP(C270,Detallado!C:C,Detallado!H:H,"ERROR",0)</f>
        <v>ERROR</v>
      </c>
      <c r="G270" s="102" t="e">
        <f t="shared" si="13"/>
        <v>#VALUE!</v>
      </c>
      <c r="H270" s="307" t="e">
        <f t="shared" si="14"/>
        <v>#VALUE!</v>
      </c>
      <c r="J270" s="147">
        <v>2759.93</v>
      </c>
      <c r="K270" s="147">
        <v>22079.439999999999</v>
      </c>
      <c r="M270" s="136" t="e">
        <f t="shared" si="15"/>
        <v>#VALUE!</v>
      </c>
    </row>
    <row r="271" spans="3:13" x14ac:dyDescent="0.2">
      <c r="C271" s="303" t="s">
        <v>100</v>
      </c>
      <c r="D271" s="103" t="str">
        <f>_xlfn.XLOOKUP(C271,Detallado!C:C,Detallado!E:E,"ERROR",0)</f>
        <v>ERROR</v>
      </c>
      <c r="E271" s="306">
        <f>SUMIF(Detallado!C:C,ANALISIS!C271,Detallado!F:F)</f>
        <v>0</v>
      </c>
      <c r="F271" s="147" t="str">
        <f>_xlfn.XLOOKUP(C271,Detallado!C:C,Detallado!H:H,"ERROR",0)</f>
        <v>ERROR</v>
      </c>
      <c r="G271" s="102" t="e">
        <f t="shared" si="13"/>
        <v>#VALUE!</v>
      </c>
      <c r="H271" s="307" t="e">
        <f t="shared" si="14"/>
        <v>#VALUE!</v>
      </c>
      <c r="J271" s="147">
        <v>858.9799999999999</v>
      </c>
      <c r="K271" s="147">
        <v>55833.7</v>
      </c>
      <c r="M271" s="136" t="e">
        <f t="shared" si="15"/>
        <v>#VALUE!</v>
      </c>
    </row>
    <row r="272" spans="3:13" x14ac:dyDescent="0.2">
      <c r="C272" s="303" t="s">
        <v>101</v>
      </c>
      <c r="D272" s="103" t="str">
        <f>_xlfn.XLOOKUP(C272,Detallado!C:C,Detallado!E:E,"ERROR",0)</f>
        <v>ERROR</v>
      </c>
      <c r="E272" s="306">
        <f>SUMIF(Detallado!C:C,ANALISIS!C272,Detallado!F:F)</f>
        <v>0</v>
      </c>
      <c r="F272" s="147" t="str">
        <f>_xlfn.XLOOKUP(C272,Detallado!C:C,Detallado!H:H,"ERROR",0)</f>
        <v>ERROR</v>
      </c>
      <c r="G272" s="102" t="e">
        <f t="shared" ref="G272:G275" si="16">E272*F272</f>
        <v>#VALUE!</v>
      </c>
      <c r="H272" s="307" t="e">
        <f t="shared" si="14"/>
        <v>#VALUE!</v>
      </c>
      <c r="J272" s="147">
        <v>1369.0203999999999</v>
      </c>
      <c r="K272" s="147">
        <v>16428.2448</v>
      </c>
      <c r="M272" s="136" t="e">
        <f t="shared" si="15"/>
        <v>#VALUE!</v>
      </c>
    </row>
    <row r="273" spans="3:13" x14ac:dyDescent="0.2">
      <c r="C273" s="303" t="s">
        <v>94</v>
      </c>
      <c r="D273" s="103" t="str">
        <f>_xlfn.XLOOKUP(C273,Detallado!C:C,Detallado!E:E,"ERROR",0)</f>
        <v>ERROR</v>
      </c>
      <c r="E273" s="306">
        <f>SUMIF(Detallado!C:C,ANALISIS!C273,Detallado!F:F)</f>
        <v>0</v>
      </c>
      <c r="F273" s="147" t="str">
        <f>_xlfn.XLOOKUP(C273,Detallado!C:C,Detallado!H:H,"ERROR",0)</f>
        <v>ERROR</v>
      </c>
      <c r="G273" s="102" t="e">
        <f t="shared" si="16"/>
        <v>#VALUE!</v>
      </c>
      <c r="H273" s="307" t="e">
        <f t="shared" si="14"/>
        <v>#VALUE!</v>
      </c>
      <c r="J273" s="147">
        <v>5713</v>
      </c>
      <c r="K273" s="147">
        <v>114260</v>
      </c>
      <c r="M273" s="136" t="e">
        <f t="shared" si="15"/>
        <v>#VALUE!</v>
      </c>
    </row>
    <row r="274" spans="3:13" x14ac:dyDescent="0.2">
      <c r="C274" s="303" t="s">
        <v>91</v>
      </c>
      <c r="D274" s="103" t="str">
        <f>_xlfn.XLOOKUP(C274,Detallado!C:C,Detallado!E:E,"ERROR",0)</f>
        <v>ERROR</v>
      </c>
      <c r="E274" s="306">
        <f>SUMIF(Detallado!C:C,ANALISIS!C274,Detallado!F:F)</f>
        <v>0</v>
      </c>
      <c r="F274" s="147" t="str">
        <f>_xlfn.XLOOKUP(C274,Detallado!C:C,Detallado!H:H,"ERROR",0)</f>
        <v>ERROR</v>
      </c>
      <c r="G274" s="102" t="e">
        <f t="shared" si="16"/>
        <v>#VALUE!</v>
      </c>
      <c r="H274" s="307" t="e">
        <f t="shared" si="14"/>
        <v>#VALUE!</v>
      </c>
      <c r="J274" s="147">
        <v>3025.5699999999997</v>
      </c>
      <c r="K274" s="147">
        <v>90767.099999999991</v>
      </c>
      <c r="M274" s="136" t="e">
        <f t="shared" si="15"/>
        <v>#VALUE!</v>
      </c>
    </row>
    <row r="275" spans="3:13" x14ac:dyDescent="0.2">
      <c r="C275" s="303" t="s">
        <v>42</v>
      </c>
      <c r="D275" s="103" t="str">
        <f>_xlfn.XLOOKUP(C275,Detallado!C:C,Detallado!E:E,"ERROR",0)</f>
        <v>ERROR</v>
      </c>
      <c r="E275" s="306">
        <f>SUMIF(Detallado!C:C,ANALISIS!C275,Detallado!F:F)</f>
        <v>0</v>
      </c>
      <c r="F275" s="147" t="str">
        <f>_xlfn.XLOOKUP(C275,Detallado!C:C,Detallado!H:H,"ERROR",0)</f>
        <v>ERROR</v>
      </c>
      <c r="G275" s="102" t="e">
        <f t="shared" si="16"/>
        <v>#VALUE!</v>
      </c>
      <c r="H275" s="307" t="e">
        <f t="shared" si="14"/>
        <v>#VALUE!</v>
      </c>
      <c r="J275" s="147">
        <v>5515.8927999999996</v>
      </c>
      <c r="K275" s="147">
        <v>16547.678399999997</v>
      </c>
      <c r="M275" s="136" t="e">
        <f t="shared" si="15"/>
        <v>#VALUE!</v>
      </c>
    </row>
    <row r="276" spans="3:13" x14ac:dyDescent="0.2">
      <c r="C276" s="303" t="s">
        <v>41</v>
      </c>
      <c r="D276" s="103" t="str">
        <f>_xlfn.XLOOKUP(C276,Detallado!C:C,Detallado!E:E,"ERROR",0)</f>
        <v>ERROR</v>
      </c>
      <c r="E276" s="306">
        <f>SUMIF(Detallado!C:C,ANALISIS!C276,Detallado!F:F)</f>
        <v>0</v>
      </c>
      <c r="F276" s="147" t="str">
        <f>_xlfn.XLOOKUP(C276,Detallado!C:C,Detallado!H:H,"ERROR",0)</f>
        <v>ERROR</v>
      </c>
      <c r="G276" s="102" t="e">
        <f t="shared" ref="G276" si="17">E276*F276</f>
        <v>#VALUE!</v>
      </c>
      <c r="H276" s="307" t="e">
        <f t="shared" ref="H276" si="18">G276/$G$313</f>
        <v>#VALUE!</v>
      </c>
      <c r="J276" s="147">
        <v>6633.1699999999992</v>
      </c>
      <c r="K276" s="147">
        <v>19899.509999999998</v>
      </c>
      <c r="M276" s="136" t="e">
        <f t="shared" si="15"/>
        <v>#VALUE!</v>
      </c>
    </row>
    <row r="277" spans="3:13" x14ac:dyDescent="0.2">
      <c r="C277" s="303" t="s">
        <v>55</v>
      </c>
      <c r="D277" s="103" t="str">
        <f>_xlfn.XLOOKUP(C277,Detallado!C:C,Detallado!E:E,"ERROR",0)</f>
        <v>ERROR</v>
      </c>
      <c r="E277" s="306">
        <f>SUMIF(Detallado!C:C,ANALISIS!C277,Detallado!F:F)</f>
        <v>0</v>
      </c>
      <c r="F277" s="147" t="str">
        <f>_xlfn.XLOOKUP(C277,Detallado!C:C,Detallado!H:H,"ERROR",0)</f>
        <v>ERROR</v>
      </c>
      <c r="G277" s="102" t="e">
        <f t="shared" ref="G277:G278" si="19">E277*F277</f>
        <v>#VALUE!</v>
      </c>
      <c r="H277" s="307" t="e">
        <f>G277/$G$313</f>
        <v>#VALUE!</v>
      </c>
      <c r="J277" s="147">
        <v>60413.96</v>
      </c>
      <c r="K277" s="147">
        <v>0</v>
      </c>
      <c r="M277" s="136" t="e">
        <f t="shared" si="15"/>
        <v>#VALUE!</v>
      </c>
    </row>
    <row r="278" spans="3:13" x14ac:dyDescent="0.2">
      <c r="C278" s="303" t="s">
        <v>40</v>
      </c>
      <c r="D278" s="103" t="str">
        <f>_xlfn.XLOOKUP(C278,Detallado!C:C,Detallado!E:E,"ERROR",0)</f>
        <v>ERROR</v>
      </c>
      <c r="E278" s="306">
        <f>SUMIF(Detallado!C:C,ANALISIS!C278,Detallado!F:F)</f>
        <v>0</v>
      </c>
      <c r="F278" s="147" t="str">
        <f>_xlfn.XLOOKUP(C278,Detallado!C:C,Detallado!H:H,"ERROR",0)</f>
        <v>ERROR</v>
      </c>
      <c r="G278" s="102" t="e">
        <f t="shared" si="19"/>
        <v>#VALUE!</v>
      </c>
      <c r="H278" s="307" t="e">
        <f>G278/$G$313</f>
        <v>#VALUE!</v>
      </c>
      <c r="J278" s="147">
        <v>21550.769999999997</v>
      </c>
      <c r="K278" s="147">
        <v>129304.61999999998</v>
      </c>
      <c r="M278" s="136" t="e">
        <f t="shared" si="15"/>
        <v>#VALUE!</v>
      </c>
    </row>
    <row r="279" spans="3:13" x14ac:dyDescent="0.2">
      <c r="C279" s="177" t="s">
        <v>952</v>
      </c>
      <c r="D279" s="103" t="str">
        <f>_xlfn.XLOOKUP(C279,Detallado!C:C,Detallado!E:E,"ERROR",0)</f>
        <v>ERROR</v>
      </c>
      <c r="E279" s="306">
        <f>SUMIF(Detallado!C:C,ANALISIS!C279,Detallado!F:F)</f>
        <v>0</v>
      </c>
      <c r="F279" s="147" t="str">
        <f>_xlfn.XLOOKUP(C279,Detallado!C:C,Detallado!H:H,"ERROR",0)</f>
        <v>ERROR</v>
      </c>
      <c r="G279" s="102" t="e">
        <f t="shared" si="12"/>
        <v>#VALUE!</v>
      </c>
      <c r="H279" s="307" t="e">
        <f>G279/$G$313</f>
        <v>#VALUE!</v>
      </c>
      <c r="J279" s="147">
        <v>21550.336283185843</v>
      </c>
      <c r="K279" s="147">
        <v>86201.345132743372</v>
      </c>
      <c r="M279" s="136" t="e">
        <f t="shared" si="15"/>
        <v>#VALUE!</v>
      </c>
    </row>
    <row r="280" spans="3:13" x14ac:dyDescent="0.2">
      <c r="C280" s="177" t="s">
        <v>65</v>
      </c>
      <c r="D280" s="103" t="str">
        <f>_xlfn.XLOOKUP(C280,Detallado!C:C,Detallado!E:E,"ERROR",0)</f>
        <v>ERROR</v>
      </c>
      <c r="E280" s="306">
        <f>SUMIF(Detallado!C:C,ANALISIS!C280,Detallado!F:F)</f>
        <v>0</v>
      </c>
      <c r="F280" s="147" t="str">
        <f>_xlfn.XLOOKUP(C280,Detallado!C:C,Detallado!H:H,"ERROR",0)</f>
        <v>ERROR</v>
      </c>
      <c r="G280" s="102" t="e">
        <f t="shared" si="12"/>
        <v>#VALUE!</v>
      </c>
      <c r="H280" s="307" t="e">
        <f>G280/$G$313</f>
        <v>#VALUE!</v>
      </c>
      <c r="J280" s="147">
        <v>319.58</v>
      </c>
      <c r="K280" s="147">
        <v>1278.32</v>
      </c>
      <c r="M280" s="136" t="e">
        <f t="shared" si="15"/>
        <v>#VALUE!</v>
      </c>
    </row>
    <row r="281" spans="3:13" x14ac:dyDescent="0.2">
      <c r="C281" s="177" t="s">
        <v>66</v>
      </c>
      <c r="D281" s="103" t="str">
        <f>_xlfn.XLOOKUP(C281,Detallado!C:C,Detallado!E:E,"ERROR",0)</f>
        <v>ERROR</v>
      </c>
      <c r="E281" s="306">
        <f>SUMIF(Detallado!C:C,ANALISIS!C281,Detallado!F:F)</f>
        <v>0</v>
      </c>
      <c r="F281" s="147" t="str">
        <f>_xlfn.XLOOKUP(C281,Detallado!C:C,Detallado!H:H,"ERROR",0)</f>
        <v>ERROR</v>
      </c>
      <c r="G281" s="102" t="e">
        <f t="shared" ref="G281:G302" si="20">E281*F281</f>
        <v>#VALUE!</v>
      </c>
      <c r="H281" s="307" t="e">
        <f t="shared" ref="H281:H310" si="21">G281/$G$313</f>
        <v>#VALUE!</v>
      </c>
      <c r="J281" s="147">
        <v>174.57999999999998</v>
      </c>
      <c r="K281" s="147">
        <v>1047.48</v>
      </c>
      <c r="M281" s="136" t="e">
        <f t="shared" si="15"/>
        <v>#VALUE!</v>
      </c>
    </row>
    <row r="282" spans="3:13" x14ac:dyDescent="0.2">
      <c r="C282" s="177" t="s">
        <v>106</v>
      </c>
      <c r="D282" s="103" t="str">
        <f>_xlfn.XLOOKUP(C282,Detallado!C:C,Detallado!E:E,"ERROR",0)</f>
        <v>ERROR</v>
      </c>
      <c r="E282" s="306">
        <f>SUMIF(Detallado!C:C,ANALISIS!C282,Detallado!F:F)</f>
        <v>0</v>
      </c>
      <c r="F282" s="147" t="str">
        <f>_xlfn.XLOOKUP(C282,Detallado!C:C,Detallado!H:H,"ERROR",0)</f>
        <v>ERROR</v>
      </c>
      <c r="G282" s="102" t="e">
        <f t="shared" si="20"/>
        <v>#VALUE!</v>
      </c>
      <c r="H282" s="307" t="e">
        <f t="shared" si="21"/>
        <v>#VALUE!</v>
      </c>
      <c r="J282" s="147">
        <v>77.14</v>
      </c>
      <c r="K282" s="147">
        <v>3317.02</v>
      </c>
      <c r="M282" s="136" t="e">
        <f t="shared" si="15"/>
        <v>#VALUE!</v>
      </c>
    </row>
    <row r="283" spans="3:13" x14ac:dyDescent="0.2">
      <c r="C283" s="177" t="s">
        <v>105</v>
      </c>
      <c r="D283" s="103" t="str">
        <f>_xlfn.XLOOKUP(C283,Detallado!C:C,Detallado!E:E,"ERROR",0)</f>
        <v>ERROR</v>
      </c>
      <c r="E283" s="306">
        <f>SUMIF(Detallado!C:C,ANALISIS!C283,Detallado!F:F)</f>
        <v>0</v>
      </c>
      <c r="F283" s="147" t="str">
        <f>_xlfn.XLOOKUP(C283,Detallado!C:C,Detallado!H:H,"ERROR",0)</f>
        <v>ERROR</v>
      </c>
      <c r="G283" s="102" t="e">
        <f t="shared" si="20"/>
        <v>#VALUE!</v>
      </c>
      <c r="H283" s="307" t="e">
        <f t="shared" si="21"/>
        <v>#VALUE!</v>
      </c>
      <c r="J283" s="147">
        <v>109.61999999999999</v>
      </c>
      <c r="K283" s="147">
        <v>1644.3</v>
      </c>
      <c r="M283" s="136" t="e">
        <f t="shared" si="15"/>
        <v>#VALUE!</v>
      </c>
    </row>
    <row r="284" spans="3:13" x14ac:dyDescent="0.2">
      <c r="C284" s="177" t="s">
        <v>99</v>
      </c>
      <c r="D284" s="103" t="str">
        <f>_xlfn.XLOOKUP(C284,Detallado!C:C,Detallado!E:E,"ERROR",0)</f>
        <v>ERROR</v>
      </c>
      <c r="E284" s="306">
        <f>SUMIF(Detallado!C:C,ANALISIS!C284,Detallado!F:F)</f>
        <v>0</v>
      </c>
      <c r="F284" s="147" t="str">
        <f>_xlfn.XLOOKUP(C284,Detallado!C:C,Detallado!H:H,"ERROR",0)</f>
        <v>ERROR</v>
      </c>
      <c r="G284" s="102" t="e">
        <f t="shared" si="20"/>
        <v>#VALUE!</v>
      </c>
      <c r="H284" s="307" t="e">
        <f t="shared" si="21"/>
        <v>#VALUE!</v>
      </c>
      <c r="J284" s="147">
        <v>1789.8799999999999</v>
      </c>
      <c r="K284" s="147">
        <v>1789.8799999999999</v>
      </c>
      <c r="M284" s="136" t="e">
        <f t="shared" si="15"/>
        <v>#VALUE!</v>
      </c>
    </row>
    <row r="285" spans="3:13" x14ac:dyDescent="0.2">
      <c r="C285" s="177" t="s">
        <v>49</v>
      </c>
      <c r="D285" s="103" t="str">
        <f>_xlfn.XLOOKUP(C285,Detallado!C:C,Detallado!E:E,"ERROR",0)</f>
        <v>ERROR</v>
      </c>
      <c r="E285" s="306">
        <f>SUMIF(Detallado!C:C,ANALISIS!C285,Detallado!F:F)</f>
        <v>0</v>
      </c>
      <c r="F285" s="147" t="str">
        <f>_xlfn.XLOOKUP(C285,Detallado!C:C,Detallado!H:H,"ERROR",0)</f>
        <v>ERROR</v>
      </c>
      <c r="G285" s="102" t="e">
        <f t="shared" si="20"/>
        <v>#VALUE!</v>
      </c>
      <c r="H285" s="307" t="e">
        <f t="shared" si="21"/>
        <v>#VALUE!</v>
      </c>
      <c r="J285" s="147">
        <v>569.90800000000002</v>
      </c>
      <c r="K285" s="147">
        <v>0</v>
      </c>
      <c r="M285" s="136" t="e">
        <f t="shared" si="15"/>
        <v>#VALUE!</v>
      </c>
    </row>
    <row r="286" spans="3:13" x14ac:dyDescent="0.2">
      <c r="C286" s="177" t="s">
        <v>880</v>
      </c>
      <c r="D286" s="103" t="str">
        <f>_xlfn.XLOOKUP(C286,Detallado!C:C,Detallado!E:E,"ERROR",0)</f>
        <v>ERROR</v>
      </c>
      <c r="E286" s="306">
        <f>SUMIF(Detallado!C:C,ANALISIS!C286,Detallado!F:F)</f>
        <v>0</v>
      </c>
      <c r="F286" s="147" t="str">
        <f>_xlfn.XLOOKUP(C286,Detallado!C:C,Detallado!H:H,"ERROR",0)</f>
        <v>ERROR</v>
      </c>
      <c r="G286" s="102" t="e">
        <f t="shared" si="20"/>
        <v>#VALUE!</v>
      </c>
      <c r="H286" s="307" t="e">
        <f t="shared" si="21"/>
        <v>#VALUE!</v>
      </c>
      <c r="J286" s="147">
        <v>1753.34</v>
      </c>
      <c r="K286" s="147">
        <v>1753.34</v>
      </c>
      <c r="M286" s="136" t="e">
        <f t="shared" si="15"/>
        <v>#VALUE!</v>
      </c>
    </row>
    <row r="287" spans="3:13" x14ac:dyDescent="0.2">
      <c r="C287" s="177" t="s">
        <v>45</v>
      </c>
      <c r="D287" s="103" t="str">
        <f>_xlfn.XLOOKUP(C287,Detallado!C:C,Detallado!E:E,"ERROR",0)</f>
        <v>ERROR</v>
      </c>
      <c r="E287" s="306">
        <f>SUMIF(Detallado!C:C,ANALISIS!C287,Detallado!F:F)</f>
        <v>0</v>
      </c>
      <c r="F287" s="147" t="str">
        <f>_xlfn.XLOOKUP(C287,Detallado!C:C,Detallado!H:H,"ERROR",0)</f>
        <v>ERROR</v>
      </c>
      <c r="G287" s="102" t="e">
        <f t="shared" si="20"/>
        <v>#VALUE!</v>
      </c>
      <c r="H287" s="307" t="e">
        <f t="shared" si="21"/>
        <v>#VALUE!</v>
      </c>
      <c r="J287" s="147">
        <v>4362.4699999999993</v>
      </c>
      <c r="K287" s="147">
        <v>8724.9399999999987</v>
      </c>
      <c r="M287" s="136" t="e">
        <f t="shared" si="15"/>
        <v>#VALUE!</v>
      </c>
    </row>
    <row r="288" spans="3:13" x14ac:dyDescent="0.2">
      <c r="C288" s="177" t="s">
        <v>52</v>
      </c>
      <c r="D288" s="103" t="str">
        <f>_xlfn.XLOOKUP(C288,Detallado!C:C,Detallado!E:E,"ERROR",0)</f>
        <v>ERROR</v>
      </c>
      <c r="E288" s="306">
        <f>SUMIF(Detallado!C:C,ANALISIS!C288,Detallado!F:F)</f>
        <v>0</v>
      </c>
      <c r="F288" s="147" t="str">
        <f>_xlfn.XLOOKUP(C288,Detallado!C:C,Detallado!H:H,"ERROR",0)</f>
        <v>ERROR</v>
      </c>
      <c r="G288" s="102" t="e">
        <f t="shared" si="20"/>
        <v>#VALUE!</v>
      </c>
      <c r="H288" s="307" t="e">
        <f t="shared" si="21"/>
        <v>#VALUE!</v>
      </c>
      <c r="J288" s="147">
        <v>362.5</v>
      </c>
      <c r="K288" s="147">
        <v>362.5</v>
      </c>
      <c r="M288" s="136" t="e">
        <f t="shared" si="15"/>
        <v>#VALUE!</v>
      </c>
    </row>
    <row r="289" spans="3:13" x14ac:dyDescent="0.2">
      <c r="C289" s="177" t="s">
        <v>56</v>
      </c>
      <c r="D289" s="103" t="str">
        <f>_xlfn.XLOOKUP(C289,Detallado!C:C,Detallado!E:E,"ERROR",0)</f>
        <v>ERROR</v>
      </c>
      <c r="E289" s="306">
        <f>SUMIF(Detallado!C:C,ANALISIS!C289,Detallado!F:F)</f>
        <v>0</v>
      </c>
      <c r="F289" s="147" t="str">
        <f>_xlfn.XLOOKUP(C289,Detallado!C:C,Detallado!H:H,"ERROR",0)</f>
        <v>ERROR</v>
      </c>
      <c r="G289" s="102" t="e">
        <f t="shared" si="20"/>
        <v>#VALUE!</v>
      </c>
      <c r="H289" s="307" t="e">
        <f t="shared" si="21"/>
        <v>#VALUE!</v>
      </c>
      <c r="J289" s="147">
        <v>313.48999999999995</v>
      </c>
      <c r="K289" s="147">
        <v>0</v>
      </c>
      <c r="M289" s="136" t="e">
        <f t="shared" si="15"/>
        <v>#VALUE!</v>
      </c>
    </row>
    <row r="290" spans="3:13" x14ac:dyDescent="0.2">
      <c r="C290" s="177" t="s">
        <v>50</v>
      </c>
      <c r="D290" s="103" t="str">
        <f>_xlfn.XLOOKUP(C290,Detallado!C:C,Detallado!E:E,"ERROR",0)</f>
        <v>ERROR</v>
      </c>
      <c r="E290" s="306">
        <f>SUMIF(Detallado!C:C,ANALISIS!C290,Detallado!F:F)</f>
        <v>0</v>
      </c>
      <c r="F290" s="147" t="str">
        <f>_xlfn.XLOOKUP(C290,Detallado!C:C,Detallado!H:H,"ERROR",0)</f>
        <v>ERROR</v>
      </c>
      <c r="G290" s="102" t="e">
        <f t="shared" si="20"/>
        <v>#VALUE!</v>
      </c>
      <c r="H290" s="307" t="e">
        <f t="shared" si="21"/>
        <v>#VALUE!</v>
      </c>
      <c r="J290" s="147">
        <v>310.88</v>
      </c>
      <c r="K290" s="147">
        <v>0</v>
      </c>
      <c r="M290" s="136" t="e">
        <f t="shared" si="15"/>
        <v>#VALUE!</v>
      </c>
    </row>
    <row r="291" spans="3:13" x14ac:dyDescent="0.2">
      <c r="C291" s="177" t="s">
        <v>520</v>
      </c>
      <c r="D291" s="103" t="str">
        <f>_xlfn.XLOOKUP(C291,Detallado!C:C,Detallado!E:E,"ERROR",0)</f>
        <v>ERROR</v>
      </c>
      <c r="E291" s="306">
        <f>SUMIF(Detallado!C:C,ANALISIS!C291,Detallado!F:F)</f>
        <v>0</v>
      </c>
      <c r="F291" s="147" t="str">
        <f>_xlfn.XLOOKUP(C291,Detallado!C:C,Detallado!H:H,"ERROR",0)</f>
        <v>ERROR</v>
      </c>
      <c r="G291" s="102" t="e">
        <f t="shared" si="20"/>
        <v>#VALUE!</v>
      </c>
      <c r="H291" s="307" t="e">
        <f t="shared" si="21"/>
        <v>#VALUE!</v>
      </c>
      <c r="J291" s="147">
        <v>1272.52</v>
      </c>
      <c r="K291" s="147">
        <v>10180.16</v>
      </c>
      <c r="M291" s="136" t="e">
        <f t="shared" si="15"/>
        <v>#VALUE!</v>
      </c>
    </row>
    <row r="292" spans="3:13" x14ac:dyDescent="0.2">
      <c r="C292" s="177" t="s">
        <v>165</v>
      </c>
      <c r="D292" s="103" t="str">
        <f>_xlfn.XLOOKUP(C292,Detallado!C:C,Detallado!E:E,"ERROR",0)</f>
        <v>ERROR</v>
      </c>
      <c r="E292" s="306">
        <f>SUMIF(Detallado!C:C,ANALISIS!C292,Detallado!F:F)</f>
        <v>0</v>
      </c>
      <c r="F292" s="147" t="str">
        <f>_xlfn.XLOOKUP(C292,Detallado!C:C,Detallado!H:H,"ERROR",0)</f>
        <v>ERROR</v>
      </c>
      <c r="G292" s="102" t="e">
        <f t="shared" si="20"/>
        <v>#VALUE!</v>
      </c>
      <c r="H292" s="307" t="e">
        <f t="shared" si="21"/>
        <v>#VALUE!</v>
      </c>
      <c r="J292" s="147">
        <v>5522.3764266666622</v>
      </c>
      <c r="K292" s="147">
        <v>16567.129279999986</v>
      </c>
      <c r="M292" s="136" t="e">
        <f t="shared" si="15"/>
        <v>#VALUE!</v>
      </c>
    </row>
    <row r="293" spans="3:13" x14ac:dyDescent="0.2">
      <c r="C293" s="177" t="s">
        <v>640</v>
      </c>
      <c r="D293" s="103" t="str">
        <f>_xlfn.XLOOKUP(C293,Detallado!C:C,Detallado!E:E,"ERROR",0)</f>
        <v>ERROR</v>
      </c>
      <c r="E293" s="306">
        <f>SUMIF(Detallado!C:C,ANALISIS!C293,Detallado!F:F)</f>
        <v>0</v>
      </c>
      <c r="F293" s="147" t="str">
        <f>_xlfn.XLOOKUP(C293,Detallado!C:C,Detallado!H:H,"ERROR",0)</f>
        <v>ERROR</v>
      </c>
      <c r="G293" s="102" t="e">
        <f t="shared" si="20"/>
        <v>#VALUE!</v>
      </c>
      <c r="H293" s="307" t="e">
        <f t="shared" si="21"/>
        <v>#VALUE!</v>
      </c>
      <c r="J293" s="147">
        <v>11013.039999999999</v>
      </c>
      <c r="K293" s="147">
        <v>0</v>
      </c>
      <c r="M293" s="136" t="e">
        <f t="shared" si="15"/>
        <v>#VALUE!</v>
      </c>
    </row>
    <row r="294" spans="3:13" x14ac:dyDescent="0.2">
      <c r="C294" s="177" t="s">
        <v>67</v>
      </c>
      <c r="D294" s="103" t="str">
        <f>_xlfn.XLOOKUP(C294,Detallado!C:C,Detallado!E:E,"ERROR",0)</f>
        <v>ERROR</v>
      </c>
      <c r="E294" s="306">
        <f>SUMIF(Detallado!C:C,ANALISIS!C294,Detallado!F:F)</f>
        <v>0</v>
      </c>
      <c r="F294" s="147" t="str">
        <f>_xlfn.XLOOKUP(C294,Detallado!C:C,Detallado!H:H,"ERROR",0)</f>
        <v>ERROR</v>
      </c>
      <c r="G294" s="102" t="e">
        <f t="shared" si="20"/>
        <v>#VALUE!</v>
      </c>
      <c r="H294" s="307" t="e">
        <f t="shared" si="21"/>
        <v>#VALUE!</v>
      </c>
      <c r="J294" s="147">
        <v>6183.9924219999994</v>
      </c>
      <c r="K294" s="147">
        <v>12367.984843999999</v>
      </c>
      <c r="M294" s="136" t="e">
        <f t="shared" si="15"/>
        <v>#VALUE!</v>
      </c>
    </row>
    <row r="295" spans="3:13" x14ac:dyDescent="0.2">
      <c r="C295" s="177" t="s">
        <v>1394</v>
      </c>
      <c r="D295" s="103" t="str">
        <f>_xlfn.XLOOKUP(C295,Detallado!C:C,Detallado!E:E,"ERROR",0)</f>
        <v>ERROR</v>
      </c>
      <c r="E295" s="306">
        <f>SUMIF(Detallado!C:C,ANALISIS!C295,Detallado!F:F)</f>
        <v>0</v>
      </c>
      <c r="F295" s="147" t="str">
        <f>_xlfn.XLOOKUP(C295,Detallado!C:C,Detallado!H:H,"ERROR",0)</f>
        <v>ERROR</v>
      </c>
      <c r="G295" s="102" t="e">
        <f t="shared" si="20"/>
        <v>#VALUE!</v>
      </c>
      <c r="H295" s="307" t="e">
        <f t="shared" si="21"/>
        <v>#VALUE!</v>
      </c>
      <c r="J295" s="147">
        <v>4867.2566371681423</v>
      </c>
      <c r="K295" s="147">
        <v>29203.539823008854</v>
      </c>
      <c r="M295" s="136" t="e">
        <f t="shared" si="15"/>
        <v>#VALUE!</v>
      </c>
    </row>
    <row r="296" spans="3:13" x14ac:dyDescent="0.2">
      <c r="C296" s="177" t="s">
        <v>744</v>
      </c>
      <c r="D296" s="103" t="str">
        <f>_xlfn.XLOOKUP(C296,Detallado!C:C,Detallado!E:E,"ERROR",0)</f>
        <v>ERROR</v>
      </c>
      <c r="E296" s="306">
        <f>SUMIF(Detallado!C:C,ANALISIS!C296,Detallado!F:F)</f>
        <v>0</v>
      </c>
      <c r="F296" s="147" t="str">
        <f>_xlfn.XLOOKUP(C296,Detallado!C:C,Detallado!H:H,"ERROR",0)</f>
        <v>ERROR</v>
      </c>
      <c r="G296" s="102" t="e">
        <f t="shared" si="20"/>
        <v>#VALUE!</v>
      </c>
      <c r="H296" s="307" t="e">
        <f t="shared" si="21"/>
        <v>#VALUE!</v>
      </c>
      <c r="J296" s="147">
        <v>2917.2802106666622</v>
      </c>
      <c r="K296" s="147">
        <v>8751.8406319999867</v>
      </c>
      <c r="M296" s="136" t="e">
        <f t="shared" si="15"/>
        <v>#VALUE!</v>
      </c>
    </row>
    <row r="297" spans="3:13" x14ac:dyDescent="0.2">
      <c r="C297" s="177" t="s">
        <v>746</v>
      </c>
      <c r="D297" s="103" t="str">
        <f>_xlfn.XLOOKUP(C297,Detallado!C:C,Detallado!E:E,"ERROR",0)</f>
        <v>ERROR</v>
      </c>
      <c r="E297" s="306">
        <f>SUMIF(Detallado!C:C,ANALISIS!C297,Detallado!F:F)</f>
        <v>0</v>
      </c>
      <c r="F297" s="147" t="str">
        <f>_xlfn.XLOOKUP(C297,Detallado!C:C,Detallado!H:H,"ERROR",0)</f>
        <v>ERROR</v>
      </c>
      <c r="G297" s="102" t="e">
        <f t="shared" si="20"/>
        <v>#VALUE!</v>
      </c>
      <c r="H297" s="307" t="e">
        <f t="shared" si="21"/>
        <v>#VALUE!</v>
      </c>
      <c r="J297" s="147">
        <v>6508.3186199999991</v>
      </c>
      <c r="K297" s="147">
        <v>19524.955859999998</v>
      </c>
      <c r="M297" s="136" t="e">
        <f t="shared" si="15"/>
        <v>#VALUE!</v>
      </c>
    </row>
    <row r="298" spans="3:13" x14ac:dyDescent="0.2">
      <c r="C298" s="177" t="s">
        <v>984</v>
      </c>
      <c r="D298" s="103" t="str">
        <f>_xlfn.XLOOKUP(C298,Detallado!C:C,Detallado!E:E,"ERROR",0)</f>
        <v>ERROR</v>
      </c>
      <c r="E298" s="306">
        <f>SUMIF(Detallado!C:C,ANALISIS!C298,Detallado!F:F)</f>
        <v>0</v>
      </c>
      <c r="F298" s="147" t="str">
        <f>_xlfn.XLOOKUP(C298,Detallado!C:C,Detallado!H:H,"ERROR",0)</f>
        <v>ERROR</v>
      </c>
      <c r="G298" s="102" t="e">
        <f t="shared" si="20"/>
        <v>#VALUE!</v>
      </c>
      <c r="H298" s="307" t="e">
        <f t="shared" si="21"/>
        <v>#VALUE!</v>
      </c>
      <c r="J298" s="147">
        <v>877.7133</v>
      </c>
      <c r="K298" s="147">
        <v>21942.8325</v>
      </c>
      <c r="M298" s="136" t="e">
        <f t="shared" si="15"/>
        <v>#VALUE!</v>
      </c>
    </row>
    <row r="299" spans="3:13" x14ac:dyDescent="0.2">
      <c r="C299" s="177" t="s">
        <v>79</v>
      </c>
      <c r="D299" s="103" t="str">
        <f>_xlfn.XLOOKUP(C299,Detallado!C:C,Detallado!E:E,"ERROR",0)</f>
        <v>ERROR</v>
      </c>
      <c r="E299" s="306">
        <f>SUMIF(Detallado!C:C,ANALISIS!C299,Detallado!F:F)</f>
        <v>0</v>
      </c>
      <c r="F299" s="147" t="str">
        <f>_xlfn.XLOOKUP(C299,Detallado!C:C,Detallado!H:H,"ERROR",0)</f>
        <v>ERROR</v>
      </c>
      <c r="G299" s="102" t="e">
        <f t="shared" si="20"/>
        <v>#VALUE!</v>
      </c>
      <c r="H299" s="307" t="e">
        <f t="shared" si="21"/>
        <v>#VALUE!</v>
      </c>
      <c r="J299" s="147">
        <v>988.89999999999986</v>
      </c>
      <c r="K299" s="147">
        <v>7911.1999999999989</v>
      </c>
      <c r="M299" s="136" t="e">
        <f t="shared" si="15"/>
        <v>#VALUE!</v>
      </c>
    </row>
    <row r="300" spans="3:13" x14ac:dyDescent="0.2">
      <c r="C300" s="177" t="s">
        <v>120</v>
      </c>
      <c r="D300" s="103" t="str">
        <f>_xlfn.XLOOKUP(C300,Detallado!C:C,Detallado!E:E,"ERROR",0)</f>
        <v>ERROR</v>
      </c>
      <c r="E300" s="306">
        <f>SUMIF(Detallado!C:C,ANALISIS!C300,Detallado!F:F)</f>
        <v>0</v>
      </c>
      <c r="F300" s="147" t="str">
        <f>_xlfn.XLOOKUP(C300,Detallado!C:C,Detallado!H:H,"ERROR",0)</f>
        <v>ERROR</v>
      </c>
      <c r="G300" s="102" t="e">
        <f t="shared" si="20"/>
        <v>#VALUE!</v>
      </c>
      <c r="H300" s="307" t="e">
        <f t="shared" si="21"/>
        <v>#VALUE!</v>
      </c>
      <c r="J300" s="147">
        <v>2214.0962962962963</v>
      </c>
      <c r="K300" s="147">
        <v>0</v>
      </c>
      <c r="M300" s="136" t="e">
        <f t="shared" si="15"/>
        <v>#VALUE!</v>
      </c>
    </row>
    <row r="301" spans="3:13" x14ac:dyDescent="0.2">
      <c r="C301" s="177" t="s">
        <v>216</v>
      </c>
      <c r="D301" s="103" t="str">
        <f>_xlfn.XLOOKUP(C301,Detallado!C:C,Detallado!E:E,"ERROR",0)</f>
        <v>ERROR</v>
      </c>
      <c r="E301" s="306">
        <f>SUMIF(Detallado!C:C,ANALISIS!C301,Detallado!F:F)</f>
        <v>0</v>
      </c>
      <c r="F301" s="147" t="str">
        <f>_xlfn.XLOOKUP(C301,Detallado!C:C,Detallado!H:H,"ERROR",0)</f>
        <v>ERROR</v>
      </c>
      <c r="G301" s="102" t="e">
        <f t="shared" si="20"/>
        <v>#VALUE!</v>
      </c>
      <c r="H301" s="307" t="e">
        <f t="shared" si="21"/>
        <v>#VALUE!</v>
      </c>
      <c r="J301" s="147">
        <v>1796.4572000000001</v>
      </c>
      <c r="K301" s="147">
        <v>86229.945600000006</v>
      </c>
      <c r="M301" s="136" t="e">
        <f t="shared" si="15"/>
        <v>#VALUE!</v>
      </c>
    </row>
    <row r="302" spans="3:13" x14ac:dyDescent="0.2">
      <c r="C302" s="177" t="s">
        <v>532</v>
      </c>
      <c r="D302" s="103" t="str">
        <f>_xlfn.XLOOKUP(C302,Detallado!C:C,Detallado!E:E,"ERROR",0)</f>
        <v>ERROR</v>
      </c>
      <c r="E302" s="306">
        <f>SUMIF(Detallado!C:C,ANALISIS!C302,Detallado!F:F)</f>
        <v>0</v>
      </c>
      <c r="F302" s="147" t="str">
        <f>_xlfn.XLOOKUP(C302,Detallado!C:C,Detallado!H:H,"ERROR",0)</f>
        <v>ERROR</v>
      </c>
      <c r="G302" s="102" t="e">
        <f t="shared" si="20"/>
        <v>#VALUE!</v>
      </c>
      <c r="H302" s="307" t="e">
        <f t="shared" si="21"/>
        <v>#VALUE!</v>
      </c>
      <c r="J302" s="147">
        <v>2424.3999999999996</v>
      </c>
      <c r="K302" s="147">
        <v>24243.999999999996</v>
      </c>
      <c r="M302" s="136" t="e">
        <f t="shared" si="15"/>
        <v>#VALUE!</v>
      </c>
    </row>
    <row r="303" spans="3:13" x14ac:dyDescent="0.2">
      <c r="C303" s="177" t="s">
        <v>179</v>
      </c>
      <c r="D303" s="103" t="str">
        <f>_xlfn.XLOOKUP(C303,Detallado!C:C,Detallado!E:E,"ERROR",0)</f>
        <v>ERROR</v>
      </c>
      <c r="E303" s="306">
        <f>SUMIF(Detallado!C:C,ANALISIS!C303,Detallado!F:F)</f>
        <v>0</v>
      </c>
      <c r="F303" s="147" t="str">
        <f>_xlfn.XLOOKUP(C303,Detallado!C:C,Detallado!H:H,"ERROR",0)</f>
        <v>ERROR</v>
      </c>
      <c r="G303" s="102" t="e">
        <f t="shared" ref="G303:G307" si="22">E303*F303</f>
        <v>#VALUE!</v>
      </c>
      <c r="H303" s="307" t="e">
        <f t="shared" si="21"/>
        <v>#VALUE!</v>
      </c>
      <c r="J303" s="147">
        <v>6843.9999999999991</v>
      </c>
      <c r="K303" s="147">
        <v>219007.99999999997</v>
      </c>
      <c r="M303" s="136" t="e">
        <f t="shared" si="15"/>
        <v>#VALUE!</v>
      </c>
    </row>
    <row r="304" spans="3:13" x14ac:dyDescent="0.2">
      <c r="C304" s="177" t="s">
        <v>178</v>
      </c>
      <c r="D304" s="103" t="str">
        <f>_xlfn.XLOOKUP(C304,Detallado!C:C,Detallado!E:E,"ERROR",0)</f>
        <v>ERROR</v>
      </c>
      <c r="E304" s="306">
        <f>SUMIF(Detallado!C:C,ANALISIS!C304,Detallado!F:F)</f>
        <v>0</v>
      </c>
      <c r="F304" s="147" t="str">
        <f>_xlfn.XLOOKUP(C304,Detallado!C:C,Detallado!H:H,"ERROR",0)</f>
        <v>ERROR</v>
      </c>
      <c r="G304" s="102" t="e">
        <f t="shared" si="22"/>
        <v>#VALUE!</v>
      </c>
      <c r="H304" s="307" t="e">
        <f t="shared" si="21"/>
        <v>#VALUE!</v>
      </c>
      <c r="J304" s="147">
        <v>11021.16</v>
      </c>
      <c r="K304" s="147">
        <v>165317.4</v>
      </c>
      <c r="M304" s="136" t="e">
        <f t="shared" si="15"/>
        <v>#VALUE!</v>
      </c>
    </row>
    <row r="305" spans="3:13" x14ac:dyDescent="0.2">
      <c r="C305" s="177" t="s">
        <v>35</v>
      </c>
      <c r="D305" s="103" t="str">
        <f>_xlfn.XLOOKUP(C305,Detallado!C:C,Detallado!E:E,"ERROR",0)</f>
        <v xml:space="preserve">COMPACTADOR </v>
      </c>
      <c r="E305" s="306">
        <f>SUMIF(Detallado!C:C,ANALISIS!C305,Detallado!F:F)</f>
        <v>1</v>
      </c>
      <c r="F305" s="147">
        <f>_xlfn.XLOOKUP(C305,Detallado!C:C,Detallado!H:H,"ERROR",0)</f>
        <v>0</v>
      </c>
      <c r="G305" s="102">
        <f t="shared" si="22"/>
        <v>0</v>
      </c>
      <c r="H305" s="307" t="e">
        <f t="shared" si="21"/>
        <v>#VALUE!</v>
      </c>
      <c r="J305" s="147">
        <v>0</v>
      </c>
      <c r="K305" s="147">
        <v>0</v>
      </c>
      <c r="M305" s="136">
        <f t="shared" si="15"/>
        <v>0</v>
      </c>
    </row>
    <row r="306" spans="3:13" x14ac:dyDescent="0.2">
      <c r="C306" s="177" t="s">
        <v>107</v>
      </c>
      <c r="D306" s="103" t="str">
        <f>_xlfn.XLOOKUP(C306,Detallado!C:C,Detallado!E:E,"ERROR",0)</f>
        <v>ERROR</v>
      </c>
      <c r="E306" s="306">
        <f>SUMIF(Detallado!C:C,ANALISIS!C306,Detallado!F:F)</f>
        <v>0</v>
      </c>
      <c r="F306" s="147" t="str">
        <f>_xlfn.XLOOKUP(C306,Detallado!C:C,Detallado!H:H,"ERROR",0)</f>
        <v>ERROR</v>
      </c>
      <c r="G306" s="102" t="e">
        <f t="shared" si="22"/>
        <v>#VALUE!</v>
      </c>
      <c r="H306" s="307" t="e">
        <f t="shared" si="21"/>
        <v>#VALUE!</v>
      </c>
      <c r="J306" s="147">
        <v>1257.4399999999998</v>
      </c>
      <c r="K306" s="147">
        <v>5029.7599999999993</v>
      </c>
      <c r="M306" s="136" t="e">
        <f t="shared" si="15"/>
        <v>#VALUE!</v>
      </c>
    </row>
    <row r="307" spans="3:13" x14ac:dyDescent="0.2">
      <c r="C307" s="177" t="s">
        <v>180</v>
      </c>
      <c r="D307" s="103" t="str">
        <f>_xlfn.XLOOKUP(C307,Detallado!C:C,Detallado!E:E,"ERROR",0)</f>
        <v>ERROR</v>
      </c>
      <c r="E307" s="306">
        <f>SUMIF(Detallado!C:C,ANALISIS!C307,Detallado!F:F)</f>
        <v>0</v>
      </c>
      <c r="F307" s="147" t="str">
        <f>_xlfn.XLOOKUP(C307,Detallado!C:C,Detallado!H:H,"ERROR",0)</f>
        <v>ERROR</v>
      </c>
      <c r="G307" s="102" t="e">
        <f t="shared" si="22"/>
        <v>#VALUE!</v>
      </c>
      <c r="H307" s="307" t="e">
        <f t="shared" si="21"/>
        <v>#VALUE!</v>
      </c>
      <c r="J307" s="147">
        <v>1467.3999999999999</v>
      </c>
      <c r="K307" s="147">
        <v>38152.399999999994</v>
      </c>
      <c r="M307" s="136" t="e">
        <f t="shared" si="15"/>
        <v>#VALUE!</v>
      </c>
    </row>
    <row r="308" spans="3:13" x14ac:dyDescent="0.2">
      <c r="C308" s="177" t="s">
        <v>1395</v>
      </c>
      <c r="D308" s="103" t="str">
        <f>_xlfn.XLOOKUP(C308,Detallado!C:C,Detallado!E:E,"ERROR",0)</f>
        <v>ERROR</v>
      </c>
      <c r="E308" s="306">
        <f>SUMIF(Detallado!C:C,ANALISIS!C308,Detallado!F:F)</f>
        <v>0</v>
      </c>
      <c r="F308" s="147" t="str">
        <f>_xlfn.XLOOKUP(C308,Detallado!C:C,Detallado!H:H,"ERROR",0)</f>
        <v>ERROR</v>
      </c>
      <c r="G308" s="102" t="e">
        <f t="shared" ref="G308:G310" si="23">E308*F308</f>
        <v>#VALUE!</v>
      </c>
      <c r="H308" s="307" t="e">
        <f t="shared" si="21"/>
        <v>#VALUE!</v>
      </c>
      <c r="J308" s="147">
        <v>26.548672566371685</v>
      </c>
      <c r="K308" s="147">
        <v>106.19469026548674</v>
      </c>
      <c r="M308" s="136" t="e">
        <f t="shared" si="15"/>
        <v>#VALUE!</v>
      </c>
    </row>
    <row r="309" spans="3:13" x14ac:dyDescent="0.2">
      <c r="C309" s="177" t="s">
        <v>1396</v>
      </c>
      <c r="D309" s="103" t="str">
        <f>_xlfn.XLOOKUP(C309,Detallado!C:C,Detallado!E:E,"ERROR",0)</f>
        <v>ERROR</v>
      </c>
      <c r="E309" s="306">
        <f>SUMIF(Detallado!C:C,ANALISIS!C309,Detallado!F:F)</f>
        <v>0</v>
      </c>
      <c r="F309" s="147" t="str">
        <f>_xlfn.XLOOKUP(C309,Detallado!C:C,Detallado!H:H,"ERROR",0)</f>
        <v>ERROR</v>
      </c>
      <c r="G309" s="102" t="e">
        <f t="shared" si="23"/>
        <v>#VALUE!</v>
      </c>
      <c r="H309" s="307" t="e">
        <f t="shared" si="21"/>
        <v>#VALUE!</v>
      </c>
      <c r="J309" s="147">
        <v>1172.5663716814161</v>
      </c>
      <c r="K309" s="147">
        <v>4690.2654867256642</v>
      </c>
      <c r="M309" s="136" t="e">
        <f t="shared" si="15"/>
        <v>#VALUE!</v>
      </c>
    </row>
    <row r="310" spans="3:13" x14ac:dyDescent="0.2">
      <c r="C310" s="103"/>
      <c r="D310" s="103" t="str">
        <f>_xlfn.XLOOKUP(C310,Detallado!C:C,Detallado!E:E,"ERROR",0)</f>
        <v>TOTAL PRESUPUESTO</v>
      </c>
      <c r="E310" s="306">
        <f>SUMIF(Detallado!C:C,ANALISIS!C310,Detallado!F:F)</f>
        <v>0</v>
      </c>
      <c r="F310" s="147">
        <f>_xlfn.XLOOKUP(C310,Detallado!C:C,Detallado!H:H,"ERROR",0)</f>
        <v>0</v>
      </c>
      <c r="G310" s="102">
        <f t="shared" si="23"/>
        <v>0</v>
      </c>
      <c r="H310" s="307" t="e">
        <f t="shared" si="21"/>
        <v>#VALUE!</v>
      </c>
    </row>
    <row r="311" spans="3:13" x14ac:dyDescent="0.2">
      <c r="C311" s="103"/>
      <c r="D311" s="103"/>
      <c r="E311" s="135"/>
      <c r="F311" s="147"/>
      <c r="G311" s="102"/>
      <c r="H311" s="307"/>
    </row>
    <row r="312" spans="3:13" x14ac:dyDescent="0.2">
      <c r="C312" s="103"/>
      <c r="D312" s="103"/>
      <c r="E312" s="135"/>
      <c r="F312" s="102"/>
      <c r="G312" s="102"/>
      <c r="H312" s="307"/>
    </row>
    <row r="313" spans="3:13" x14ac:dyDescent="0.2">
      <c r="F313" s="78" t="s">
        <v>1016</v>
      </c>
      <c r="G313" s="308" t="e">
        <f>SUM(G2:G312)</f>
        <v>#VALUE!</v>
      </c>
      <c r="H313" s="309" t="e">
        <f>SUM(H2:H312)</f>
        <v>#VALUE!</v>
      </c>
    </row>
    <row r="314" spans="3:13" x14ac:dyDescent="0.2">
      <c r="F314"/>
      <c r="G314"/>
    </row>
    <row r="315" spans="3:13" x14ac:dyDescent="0.2">
      <c r="F315" t="s">
        <v>1462</v>
      </c>
      <c r="G315" s="102">
        <f>Detallado!K8</f>
        <v>23471757.565369409</v>
      </c>
    </row>
    <row r="316" spans="3:13" x14ac:dyDescent="0.2">
      <c r="F316" t="s">
        <v>1463</v>
      </c>
      <c r="G316" s="136" t="e">
        <f>G313-G315</f>
        <v>#VALUE!</v>
      </c>
    </row>
    <row r="317" spans="3:13" x14ac:dyDescent="0.2">
      <c r="F317"/>
      <c r="G317"/>
    </row>
    <row r="318" spans="3:13" x14ac:dyDescent="0.2">
      <c r="F318"/>
      <c r="G318" s="325">
        <v>15693774.220471</v>
      </c>
    </row>
  </sheetData>
  <autoFilter ref="B1:H1116" xr:uid="{A45FDD35-249D-45EC-9E52-6785C36C2B74}"/>
  <dataConsolidate/>
  <phoneticPr fontId="20" type="noConversion"/>
  <conditionalFormatting sqref="C251:C278">
    <cfRule type="duplicateValues" dxfId="88" priority="56"/>
  </conditionalFormatting>
  <conditionalFormatting sqref="C319:C1048576 C1:C247 C252:C278 C310:C317">
    <cfRule type="duplicateValues" dxfId="87" priority="4"/>
  </conditionalFormatting>
  <conditionalFormatting sqref="C319:C1048576 C1:C278 C310:C317">
    <cfRule type="duplicateValues" dxfId="86" priority="1"/>
    <cfRule type="duplicateValues" dxfId="85" priority="3"/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79E24-BC1E-498B-825B-7476B54259C2}">
  <dimension ref="A3:M100"/>
  <sheetViews>
    <sheetView workbookViewId="0"/>
  </sheetViews>
  <sheetFormatPr defaultColWidth="10.4921875" defaultRowHeight="15" x14ac:dyDescent="0.2"/>
  <cols>
    <col min="1" max="1" width="8.47265625" customWidth="1"/>
    <col min="2" max="2" width="34.4375" customWidth="1"/>
    <col min="3" max="3" width="11.43359375" style="137"/>
    <col min="5" max="5" width="16.54296875" style="100" bestFit="1" customWidth="1"/>
    <col min="6" max="6" width="21.5234375" style="100" bestFit="1" customWidth="1"/>
    <col min="7" max="7" width="17.484375" style="100" customWidth="1"/>
    <col min="8" max="8" width="14.52734375" style="100" customWidth="1"/>
    <col min="9" max="9" width="11.43359375" style="100"/>
    <col min="10" max="10" width="13.98828125" bestFit="1" customWidth="1"/>
    <col min="11" max="11" width="18.5625" bestFit="1" customWidth="1"/>
    <col min="12" max="12" width="13.98828125" bestFit="1" customWidth="1"/>
  </cols>
  <sheetData>
    <row r="3" spans="1:13" ht="27.75" x14ac:dyDescent="0.2">
      <c r="A3" s="197" t="s">
        <v>11</v>
      </c>
      <c r="B3" s="197" t="s">
        <v>261</v>
      </c>
      <c r="C3" s="296" t="s">
        <v>1025</v>
      </c>
      <c r="D3" s="197" t="s">
        <v>262</v>
      </c>
      <c r="E3" s="197" t="s">
        <v>1353</v>
      </c>
      <c r="F3" s="197" t="s">
        <v>1354</v>
      </c>
      <c r="G3" s="198" t="s">
        <v>1355</v>
      </c>
      <c r="H3" s="198" t="s">
        <v>1356</v>
      </c>
      <c r="I3" s="198" t="s">
        <v>1357</v>
      </c>
      <c r="J3" s="198" t="s">
        <v>1444</v>
      </c>
    </row>
    <row r="4" spans="1:13" x14ac:dyDescent="0.2">
      <c r="A4" s="199">
        <v>1</v>
      </c>
      <c r="B4" s="200" t="s">
        <v>25</v>
      </c>
      <c r="C4" s="292">
        <f>+'1_OG y 2_ACA'!D12</f>
        <v>48.12</v>
      </c>
      <c r="D4" s="201" t="s">
        <v>78</v>
      </c>
      <c r="E4" s="202">
        <f>SUM(E5:E8)</f>
        <v>1835286.7121498801</v>
      </c>
      <c r="F4" s="202">
        <f t="shared" ref="F4:G4" si="0">SUM(F5:F8)</f>
        <v>1179900</v>
      </c>
      <c r="G4" s="202">
        <f t="shared" si="0"/>
        <v>151000</v>
      </c>
      <c r="H4" s="202">
        <f>SUM(H5:H8)</f>
        <v>3166186.7121498799</v>
      </c>
      <c r="I4" s="203">
        <f>SUM(I5:I8)</f>
        <v>6147.9353633978262</v>
      </c>
      <c r="J4" s="202">
        <f>H4/C4</f>
        <v>65797.728847669991</v>
      </c>
    </row>
    <row r="5" spans="1:13" x14ac:dyDescent="0.2">
      <c r="A5" s="135" t="s">
        <v>27</v>
      </c>
      <c r="B5" s="103" t="s">
        <v>28</v>
      </c>
      <c r="C5" s="311">
        <f>+C4</f>
        <v>48.12</v>
      </c>
      <c r="D5" s="135" t="s">
        <v>78</v>
      </c>
      <c r="E5" s="267">
        <f>Detallado!K11</f>
        <v>276899.83300000004</v>
      </c>
      <c r="F5" s="267">
        <f>Detallado!L11</f>
        <v>168187.5</v>
      </c>
      <c r="G5" s="267">
        <f>Detallado!M11</f>
        <v>151000</v>
      </c>
      <c r="H5" s="267">
        <f>Detallado!N11</f>
        <v>596087.3330000001</v>
      </c>
      <c r="I5" s="268">
        <f>Detallado!O11</f>
        <v>1157.4511320388349</v>
      </c>
      <c r="J5" s="121">
        <f>H5/C5</f>
        <v>12387.517310889445</v>
      </c>
    </row>
    <row r="6" spans="1:13" ht="39" customHeight="1" x14ac:dyDescent="0.2">
      <c r="A6" s="118" t="s">
        <v>38</v>
      </c>
      <c r="B6" s="106" t="s">
        <v>39</v>
      </c>
      <c r="C6" s="311">
        <f>+C4</f>
        <v>48.12</v>
      </c>
      <c r="D6" s="118" t="s">
        <v>78</v>
      </c>
      <c r="E6" s="125">
        <f>Detallado!K21</f>
        <v>13982.94205</v>
      </c>
      <c r="F6" s="125">
        <f>Detallado!L21</f>
        <v>131962.5</v>
      </c>
      <c r="G6" s="125">
        <f>Detallado!M21</f>
        <v>0</v>
      </c>
      <c r="H6" s="125">
        <f>Detallado!N21</f>
        <v>145945.44205000001</v>
      </c>
      <c r="I6" s="269">
        <f>Detallado!O21</f>
        <v>283.38920786407766</v>
      </c>
      <c r="J6" s="121">
        <f t="shared" ref="J6:J19" si="1">H6/C6</f>
        <v>3032.9476735245225</v>
      </c>
    </row>
    <row r="7" spans="1:13" x14ac:dyDescent="0.2">
      <c r="A7" s="135" t="s">
        <v>1358</v>
      </c>
      <c r="B7" s="103" t="s">
        <v>69</v>
      </c>
      <c r="C7" s="311">
        <f>+C4</f>
        <v>48.12</v>
      </c>
      <c r="D7" s="135" t="s">
        <v>78</v>
      </c>
      <c r="E7" s="125">
        <f>Detallado!K28</f>
        <v>157774.97502099996</v>
      </c>
      <c r="F7" s="125">
        <f>Detallado!L28</f>
        <v>23287.5</v>
      </c>
      <c r="G7" s="125">
        <f>Detallado!M28</f>
        <v>0</v>
      </c>
      <c r="H7" s="125">
        <f>Detallado!N28</f>
        <v>181062.47502099996</v>
      </c>
      <c r="I7" s="269">
        <f>Detallado!O28</f>
        <v>351.57762139999994</v>
      </c>
      <c r="J7" s="121">
        <f t="shared" si="1"/>
        <v>3762.7280760806311</v>
      </c>
    </row>
    <row r="8" spans="1:13" ht="27.75" x14ac:dyDescent="0.2">
      <c r="A8" s="118" t="s">
        <v>76</v>
      </c>
      <c r="B8" s="228" t="s">
        <v>77</v>
      </c>
      <c r="C8" s="311">
        <f>+C4</f>
        <v>48.12</v>
      </c>
      <c r="D8" s="118" t="s">
        <v>78</v>
      </c>
      <c r="E8" s="125">
        <f>Detallado!K37</f>
        <v>1386628.9620788801</v>
      </c>
      <c r="F8" s="125">
        <f>Detallado!L37</f>
        <v>856462.5</v>
      </c>
      <c r="G8" s="125">
        <f>Detallado!M37</f>
        <v>0</v>
      </c>
      <c r="H8" s="125">
        <f>Detallado!N37</f>
        <v>2243091.4620788801</v>
      </c>
      <c r="I8" s="269">
        <f>Detallado!O37</f>
        <v>4355.5174020949135</v>
      </c>
      <c r="J8" s="121">
        <f t="shared" si="1"/>
        <v>46614.535787175395</v>
      </c>
      <c r="L8" t="s">
        <v>26</v>
      </c>
      <c r="M8" t="s">
        <v>1478</v>
      </c>
    </row>
    <row r="9" spans="1:13" x14ac:dyDescent="0.2">
      <c r="A9" s="199">
        <v>2</v>
      </c>
      <c r="B9" s="200" t="s">
        <v>110</v>
      </c>
      <c r="C9" s="298">
        <f>C10</f>
        <v>129.47999999999999</v>
      </c>
      <c r="D9" s="201" t="s">
        <v>78</v>
      </c>
      <c r="E9" s="202">
        <f>SUM(E10:E12)</f>
        <v>2432321.7608199702</v>
      </c>
      <c r="F9" s="202">
        <f>SUM(F10:F12)</f>
        <v>2093287.5</v>
      </c>
      <c r="G9" s="202">
        <f t="shared" ref="G9:I9" si="2">SUM(G10:G12)</f>
        <v>276815.7</v>
      </c>
      <c r="H9" s="202">
        <f t="shared" si="2"/>
        <v>4802424.9608199699</v>
      </c>
      <c r="I9" s="203">
        <f t="shared" si="2"/>
        <v>9325.0970113009116</v>
      </c>
      <c r="J9" s="202">
        <f>H9/C9</f>
        <v>37090.090831170608</v>
      </c>
      <c r="L9" s="312">
        <v>2702858.2982144458</v>
      </c>
      <c r="M9" s="312">
        <v>959962.5</v>
      </c>
    </row>
    <row r="10" spans="1:13" ht="27.75" x14ac:dyDescent="0.2">
      <c r="A10" s="118" t="s">
        <v>111</v>
      </c>
      <c r="B10" s="228" t="s">
        <v>112</v>
      </c>
      <c r="C10" s="294">
        <f>+'1_OG y 2_ACA'!D343</f>
        <v>129.47999999999999</v>
      </c>
      <c r="D10" s="118" t="s">
        <v>78</v>
      </c>
      <c r="E10" s="125">
        <f>Detallado!K55</f>
        <v>704662.49689999991</v>
      </c>
      <c r="F10" s="125">
        <f>Detallado!L55</f>
        <v>1112625</v>
      </c>
      <c r="G10" s="125">
        <f>Detallado!M55</f>
        <v>0</v>
      </c>
      <c r="H10" s="125">
        <f>Detallado!N55</f>
        <v>1817287.4968999999</v>
      </c>
      <c r="I10" s="269">
        <f>Detallado!O55</f>
        <v>3528.7135862135915</v>
      </c>
      <c r="J10" s="121">
        <f t="shared" si="1"/>
        <v>14035.275694315726</v>
      </c>
      <c r="K10" t="s">
        <v>1479</v>
      </c>
      <c r="L10" s="136">
        <f>+L9-E9</f>
        <v>270536.53739447566</v>
      </c>
      <c r="M10" s="136">
        <f>+M9-F9</f>
        <v>-1133325</v>
      </c>
    </row>
    <row r="11" spans="1:13" ht="41.25" x14ac:dyDescent="0.2">
      <c r="A11" s="118" t="s">
        <v>118</v>
      </c>
      <c r="B11" s="228" t="s">
        <v>119</v>
      </c>
      <c r="C11" s="294">
        <f>+C10</f>
        <v>129.47999999999999</v>
      </c>
      <c r="D11" s="118" t="s">
        <v>78</v>
      </c>
      <c r="E11" s="125">
        <f>Detallado!K68</f>
        <v>1727659.2639199703</v>
      </c>
      <c r="F11" s="125">
        <f>Detallado!L68</f>
        <v>980662.5</v>
      </c>
      <c r="G11" s="125">
        <f>Detallado!M68</f>
        <v>276815.7</v>
      </c>
      <c r="H11" s="125">
        <f>Detallado!N68</f>
        <v>2985137.4639199702</v>
      </c>
      <c r="I11" s="269">
        <f>Detallado!O68</f>
        <v>5796.3834250873206</v>
      </c>
      <c r="J11" s="121">
        <f t="shared" si="1"/>
        <v>23054.815136854886</v>
      </c>
      <c r="K11" t="s">
        <v>1480</v>
      </c>
    </row>
    <row r="12" spans="1:13" x14ac:dyDescent="0.2">
      <c r="A12" s="135" t="s">
        <v>1359</v>
      </c>
      <c r="B12" s="103" t="s">
        <v>125</v>
      </c>
      <c r="C12" s="294">
        <v>1</v>
      </c>
      <c r="D12" s="135" t="s">
        <v>1393</v>
      </c>
      <c r="E12" s="125">
        <f>Detallado!K84</f>
        <v>0</v>
      </c>
      <c r="F12" s="125">
        <f>Detallado!L84</f>
        <v>0</v>
      </c>
      <c r="G12" s="125">
        <f>Detallado!M84</f>
        <v>0</v>
      </c>
      <c r="H12" s="125">
        <f>Detallado!N84</f>
        <v>0</v>
      </c>
      <c r="I12" s="269">
        <f>Detallado!O84</f>
        <v>0</v>
      </c>
      <c r="J12" s="121">
        <f>H12/C12</f>
        <v>0</v>
      </c>
    </row>
    <row r="13" spans="1:13" x14ac:dyDescent="0.2">
      <c r="A13" s="199">
        <v>3</v>
      </c>
      <c r="B13" s="200" t="s">
        <v>127</v>
      </c>
      <c r="C13" s="292">
        <v>1</v>
      </c>
      <c r="D13" s="201" t="s">
        <v>1393</v>
      </c>
      <c r="E13" s="202">
        <f>SUM(E14:E15)</f>
        <v>1979575.0344402962</v>
      </c>
      <c r="F13" s="202">
        <f t="shared" ref="F13:I13" si="3">SUM(F14:F15)</f>
        <v>1283400</v>
      </c>
      <c r="G13" s="202">
        <f t="shared" si="3"/>
        <v>254144.44999999995</v>
      </c>
      <c r="H13" s="202">
        <f t="shared" si="3"/>
        <v>3570907.4844402964</v>
      </c>
      <c r="I13" s="203">
        <f t="shared" si="3"/>
        <v>6829.3582222141667</v>
      </c>
      <c r="J13" s="202">
        <f>H13/C13</f>
        <v>3570907.4844402964</v>
      </c>
    </row>
    <row r="14" spans="1:13" ht="27.75" x14ac:dyDescent="0.2">
      <c r="A14" s="118" t="s">
        <v>128</v>
      </c>
      <c r="B14" s="228" t="s">
        <v>129</v>
      </c>
      <c r="C14" s="294">
        <v>1</v>
      </c>
      <c r="D14" s="118" t="s">
        <v>1393</v>
      </c>
      <c r="E14" s="125">
        <f>Detallado!K89</f>
        <v>423822.74861745152</v>
      </c>
      <c r="F14" s="125">
        <f>Detallado!L89</f>
        <v>859050</v>
      </c>
      <c r="G14" s="125">
        <f>Detallado!M89</f>
        <v>0</v>
      </c>
      <c r="H14" s="125">
        <f>Detallado!N89</f>
        <v>1336660.7486174516</v>
      </c>
      <c r="I14" s="269">
        <f>Detallado!O89</f>
        <v>2491.0150458591288</v>
      </c>
      <c r="J14" s="121">
        <f t="shared" si="1"/>
        <v>1336660.7486174516</v>
      </c>
    </row>
    <row r="15" spans="1:13" ht="41.25" x14ac:dyDescent="0.2">
      <c r="A15" s="118" t="s">
        <v>1360</v>
      </c>
      <c r="B15" s="106" t="s">
        <v>130</v>
      </c>
      <c r="C15" s="294">
        <v>1</v>
      </c>
      <c r="D15" s="118" t="s">
        <v>1393</v>
      </c>
      <c r="E15" s="125">
        <f>Detallado!K101</f>
        <v>1555752.2858228448</v>
      </c>
      <c r="F15" s="125">
        <f>Detallado!L101</f>
        <v>424350</v>
      </c>
      <c r="G15" s="125">
        <f>Detallado!M101</f>
        <v>254144.44999999995</v>
      </c>
      <c r="H15" s="125">
        <f>Detallado!N101</f>
        <v>2234246.7358228448</v>
      </c>
      <c r="I15" s="269">
        <f>Detallado!O101</f>
        <v>4338.3431763550379</v>
      </c>
      <c r="J15" s="121">
        <f t="shared" si="1"/>
        <v>2234246.7358228448</v>
      </c>
    </row>
    <row r="16" spans="1:13" x14ac:dyDescent="0.2">
      <c r="A16" s="199">
        <v>4</v>
      </c>
      <c r="B16" s="200" t="s">
        <v>131</v>
      </c>
      <c r="C16" s="292">
        <v>1</v>
      </c>
      <c r="D16" s="201" t="s">
        <v>1393</v>
      </c>
      <c r="E16" s="202">
        <f>SUM(E17:E19)</f>
        <v>1212110.650108482</v>
      </c>
      <c r="F16" s="202">
        <f t="shared" ref="F16:I16" si="4">SUM(F17:F19)</f>
        <v>1304100</v>
      </c>
      <c r="G16" s="202">
        <f t="shared" si="4"/>
        <v>59260.200000000004</v>
      </c>
      <c r="H16" s="202">
        <f t="shared" si="4"/>
        <v>2575470.8501084819</v>
      </c>
      <c r="I16" s="203">
        <f t="shared" si="4"/>
        <v>5000.9142720553045</v>
      </c>
      <c r="J16" s="202">
        <f>H16/C16</f>
        <v>2575470.8501084819</v>
      </c>
    </row>
    <row r="17" spans="1:10" x14ac:dyDescent="0.2">
      <c r="A17" s="135" t="s">
        <v>132</v>
      </c>
      <c r="B17" s="103" t="s">
        <v>133</v>
      </c>
      <c r="C17" s="293">
        <v>1</v>
      </c>
      <c r="D17" s="135" t="s">
        <v>1393</v>
      </c>
      <c r="E17" s="125">
        <f>Detallado!K254</f>
        <v>341339.456897392</v>
      </c>
      <c r="F17" s="125">
        <f>Detallado!L254</f>
        <v>543375</v>
      </c>
      <c r="G17" s="125">
        <f>Detallado!M254</f>
        <v>44260.200000000004</v>
      </c>
      <c r="H17" s="125">
        <f>Detallado!N254</f>
        <v>928974.65689739201</v>
      </c>
      <c r="I17" s="269">
        <f>Detallado!O254</f>
        <v>1803.8342852376543</v>
      </c>
      <c r="J17" s="121">
        <f t="shared" si="1"/>
        <v>928974.65689739201</v>
      </c>
    </row>
    <row r="18" spans="1:10" x14ac:dyDescent="0.2">
      <c r="A18" s="135" t="s">
        <v>1361</v>
      </c>
      <c r="B18" s="103" t="s">
        <v>134</v>
      </c>
      <c r="C18" s="293">
        <v>1</v>
      </c>
      <c r="D18" s="135" t="s">
        <v>1393</v>
      </c>
      <c r="E18" s="125">
        <f>Detallado!K269</f>
        <v>89072.416665959987</v>
      </c>
      <c r="F18" s="125">
        <f>Detallado!L269</f>
        <v>152662.5</v>
      </c>
      <c r="G18" s="125">
        <f>Detallado!M269</f>
        <v>0</v>
      </c>
      <c r="H18" s="125">
        <f>Detallado!N269</f>
        <v>241734.91666595999</v>
      </c>
      <c r="I18" s="269">
        <f>Detallado!O269</f>
        <v>469.38818770089318</v>
      </c>
      <c r="J18" s="121">
        <f t="shared" si="1"/>
        <v>241734.91666595999</v>
      </c>
    </row>
    <row r="19" spans="1:10" x14ac:dyDescent="0.2">
      <c r="A19" s="135" t="s">
        <v>1362</v>
      </c>
      <c r="B19" s="103" t="s">
        <v>136</v>
      </c>
      <c r="C19" s="293">
        <v>33.01</v>
      </c>
      <c r="D19" s="135" t="s">
        <v>78</v>
      </c>
      <c r="E19" s="125">
        <f>Detallado!K282</f>
        <v>781698.77654512995</v>
      </c>
      <c r="F19" s="125">
        <f>Detallado!L282</f>
        <v>608062.5</v>
      </c>
      <c r="G19" s="125">
        <f>Detallado!M282</f>
        <v>15000</v>
      </c>
      <c r="H19" s="125">
        <f>Detallado!N282</f>
        <v>1404761.2765451299</v>
      </c>
      <c r="I19" s="269">
        <f>Detallado!O282</f>
        <v>2727.691799116757</v>
      </c>
      <c r="J19" s="121">
        <f t="shared" si="1"/>
        <v>42555.627886856411</v>
      </c>
    </row>
    <row r="20" spans="1:10" x14ac:dyDescent="0.2">
      <c r="A20" s="199">
        <v>5</v>
      </c>
      <c r="B20" s="200" t="s">
        <v>141</v>
      </c>
      <c r="C20" s="292">
        <f>C21+C22</f>
        <v>60.8</v>
      </c>
      <c r="D20" s="201" t="s">
        <v>78</v>
      </c>
      <c r="E20" s="202">
        <f>SUM(E21:E28)</f>
        <v>1467743.7820005</v>
      </c>
      <c r="F20" s="202">
        <f t="shared" ref="F20:H20" si="5">SUM(F21:F28)</f>
        <v>2632312.5</v>
      </c>
      <c r="G20" s="202">
        <f t="shared" si="5"/>
        <v>0</v>
      </c>
      <c r="H20" s="202">
        <f t="shared" si="5"/>
        <v>4100056.2820004998</v>
      </c>
      <c r="I20" s="203">
        <f>SUM(I21:I28)</f>
        <v>7961.2743339815524</v>
      </c>
      <c r="J20" s="202">
        <f t="shared" ref="J20:J25" si="6">H20/C20</f>
        <v>67435.136217113482</v>
      </c>
    </row>
    <row r="21" spans="1:10" x14ac:dyDescent="0.2">
      <c r="A21" s="135" t="s">
        <v>1363</v>
      </c>
      <c r="B21" s="103" t="s">
        <v>142</v>
      </c>
      <c r="C21" s="293">
        <f>+'1_OG y 2_ACA'!E724</f>
        <v>44.8</v>
      </c>
      <c r="D21" s="135" t="s">
        <v>78</v>
      </c>
      <c r="E21" s="125">
        <f>Detallado!K116</f>
        <v>729007.47431399999</v>
      </c>
      <c r="F21" s="125">
        <f>Detallado!L116</f>
        <v>1047000</v>
      </c>
      <c r="G21" s="125">
        <f>Detallado!M116</f>
        <v>0</v>
      </c>
      <c r="H21" s="125">
        <f>Detallado!N116</f>
        <v>1776007.474314</v>
      </c>
      <c r="I21" s="269">
        <f>Detallado!O116</f>
        <v>3448.5582025514559</v>
      </c>
      <c r="J21" s="121">
        <f t="shared" si="6"/>
        <v>39643.023980223217</v>
      </c>
    </row>
    <row r="22" spans="1:10" x14ac:dyDescent="0.2">
      <c r="A22" s="135" t="s">
        <v>1365</v>
      </c>
      <c r="B22" s="103" t="s">
        <v>1364</v>
      </c>
      <c r="C22" s="293">
        <f>+'1_OG y 2_ACA'!E797</f>
        <v>16</v>
      </c>
      <c r="D22" s="135" t="s">
        <v>78</v>
      </c>
      <c r="E22" s="125">
        <f>Detallado!K144</f>
        <v>263802.05825699994</v>
      </c>
      <c r="F22" s="125">
        <f>Detallado!L144</f>
        <v>408000</v>
      </c>
      <c r="G22" s="125">
        <f>Detallado!M144</f>
        <v>0</v>
      </c>
      <c r="H22" s="125">
        <f>Detallado!N144</f>
        <v>671802.05825699994</v>
      </c>
      <c r="I22" s="269">
        <f>Detallado!O144</f>
        <v>1304.4700160330094</v>
      </c>
      <c r="J22" s="121">
        <f t="shared" si="6"/>
        <v>41987.628641062496</v>
      </c>
    </row>
    <row r="23" spans="1:10" x14ac:dyDescent="0.2">
      <c r="A23" s="135" t="s">
        <v>161</v>
      </c>
      <c r="B23" s="103" t="s">
        <v>162</v>
      </c>
      <c r="C23" s="293">
        <f>+C21</f>
        <v>44.8</v>
      </c>
      <c r="D23" s="135" t="s">
        <v>78</v>
      </c>
      <c r="E23" s="125">
        <f>Detallado!K168</f>
        <v>150159.26549749999</v>
      </c>
      <c r="F23" s="125">
        <f>Detallado!L168</f>
        <v>403650</v>
      </c>
      <c r="G23" s="125">
        <f>Detallado!M168</f>
        <v>0</v>
      </c>
      <c r="H23" s="125">
        <f>Detallado!N168</f>
        <v>553809.26549749996</v>
      </c>
      <c r="I23" s="269">
        <f>Detallado!O168</f>
        <v>1075.3577970825243</v>
      </c>
      <c r="J23" s="121">
        <f t="shared" si="6"/>
        <v>12361.813961997768</v>
      </c>
    </row>
    <row r="24" spans="1:10" x14ac:dyDescent="0.2">
      <c r="A24" s="135" t="s">
        <v>1366</v>
      </c>
      <c r="B24" s="103" t="s">
        <v>167</v>
      </c>
      <c r="C24" s="293">
        <f>+C22</f>
        <v>16</v>
      </c>
      <c r="D24" s="135" t="s">
        <v>1393</v>
      </c>
      <c r="E24" s="125">
        <f>Detallado!K175</f>
        <v>0</v>
      </c>
      <c r="F24" s="125">
        <f>Detallado!L175</f>
        <v>0</v>
      </c>
      <c r="G24" s="125">
        <f>Detallado!M175</f>
        <v>0</v>
      </c>
      <c r="H24" s="125">
        <f>Detallado!N175</f>
        <v>0</v>
      </c>
      <c r="I24" s="269">
        <f>Detallado!O175</f>
        <v>0</v>
      </c>
      <c r="J24" s="121">
        <f t="shared" si="6"/>
        <v>0</v>
      </c>
    </row>
    <row r="25" spans="1:10" x14ac:dyDescent="0.2">
      <c r="A25" s="135" t="s">
        <v>1367</v>
      </c>
      <c r="B25" s="103" t="s">
        <v>177</v>
      </c>
      <c r="C25" s="293">
        <v>1</v>
      </c>
      <c r="D25" s="135" t="s">
        <v>1393</v>
      </c>
      <c r="E25" s="125">
        <f>Detallado!K237</f>
        <v>143392.11139999999</v>
      </c>
      <c r="F25" s="125">
        <f>Detallado!L237</f>
        <v>553725</v>
      </c>
      <c r="G25" s="125">
        <f>Detallado!M237</f>
        <v>0</v>
      </c>
      <c r="H25" s="125">
        <f>Detallado!N237</f>
        <v>697117.11140000005</v>
      </c>
      <c r="I25" s="269">
        <f>Detallado!O237</f>
        <v>1353.625459029126</v>
      </c>
      <c r="J25" s="121">
        <f t="shared" si="6"/>
        <v>697117.11140000005</v>
      </c>
    </row>
    <row r="26" spans="1:10" ht="27.75" x14ac:dyDescent="0.2">
      <c r="A26" s="118" t="s">
        <v>1368</v>
      </c>
      <c r="B26" s="228" t="s">
        <v>181</v>
      </c>
      <c r="C26" s="294">
        <v>1</v>
      </c>
      <c r="D26" s="118" t="s">
        <v>1393</v>
      </c>
      <c r="E26" s="125">
        <f>Detallado!K187</f>
        <v>0</v>
      </c>
      <c r="F26" s="125">
        <f>Detallado!L187</f>
        <v>0</v>
      </c>
      <c r="G26" s="125">
        <f>Detallado!M187</f>
        <v>0</v>
      </c>
      <c r="H26" s="125">
        <f>Detallado!N187</f>
        <v>0</v>
      </c>
      <c r="I26" s="269">
        <f>Detallado!O187</f>
        <v>0</v>
      </c>
      <c r="J26" s="121">
        <f t="shared" ref="J26:J30" si="7">H26/C26</f>
        <v>0</v>
      </c>
    </row>
    <row r="27" spans="1:10" x14ac:dyDescent="0.2">
      <c r="A27" s="135" t="s">
        <v>182</v>
      </c>
      <c r="B27" s="103" t="s">
        <v>183</v>
      </c>
      <c r="C27" s="293">
        <v>1</v>
      </c>
      <c r="D27" s="135" t="s">
        <v>1393</v>
      </c>
      <c r="E27" s="125">
        <f>Detallado!K213</f>
        <v>181382.87253199998</v>
      </c>
      <c r="F27" s="125">
        <f>Detallado!L213</f>
        <v>219937.5</v>
      </c>
      <c r="G27" s="125">
        <f>Detallado!M213</f>
        <v>0</v>
      </c>
      <c r="H27" s="125">
        <f>Detallado!N213</f>
        <v>401320.37253199995</v>
      </c>
      <c r="I27" s="269">
        <f>Detallado!O213</f>
        <v>779.26285928543678</v>
      </c>
      <c r="J27" s="121">
        <f t="shared" si="7"/>
        <v>401320.37253199995</v>
      </c>
    </row>
    <row r="28" spans="1:10" x14ac:dyDescent="0.2">
      <c r="A28" s="135" t="s">
        <v>184</v>
      </c>
      <c r="B28" s="103" t="s">
        <v>1369</v>
      </c>
      <c r="C28" s="293">
        <v>1</v>
      </c>
      <c r="D28" s="135" t="s">
        <v>1393</v>
      </c>
      <c r="E28" s="125">
        <f>Detallado!K229</f>
        <v>0</v>
      </c>
      <c r="F28" s="125">
        <f>Detallado!L229</f>
        <v>0</v>
      </c>
      <c r="G28" s="125">
        <f>Detallado!M229</f>
        <v>0</v>
      </c>
      <c r="H28" s="125">
        <f>Detallado!N229</f>
        <v>0</v>
      </c>
      <c r="I28" s="269">
        <f>Detallado!O229</f>
        <v>0</v>
      </c>
      <c r="J28" s="121">
        <f t="shared" si="7"/>
        <v>0</v>
      </c>
    </row>
    <row r="29" spans="1:10" x14ac:dyDescent="0.2">
      <c r="A29" s="199">
        <v>6</v>
      </c>
      <c r="B29" s="200" t="s">
        <v>187</v>
      </c>
      <c r="C29" s="292">
        <f>C30+C31</f>
        <v>105.44999999999999</v>
      </c>
      <c r="D29" s="201" t="s">
        <v>78</v>
      </c>
      <c r="E29" s="202">
        <f>SUM(E30:E31)</f>
        <v>1635299.3681519995</v>
      </c>
      <c r="F29" s="202">
        <f t="shared" ref="F29:I29" si="8">SUM(F30:F31)</f>
        <v>540787.5</v>
      </c>
      <c r="G29" s="202">
        <f t="shared" si="8"/>
        <v>0</v>
      </c>
      <c r="H29" s="202">
        <f t="shared" si="8"/>
        <v>2176086.8681519995</v>
      </c>
      <c r="I29" s="203">
        <f t="shared" si="8"/>
        <v>4225.4113944699029</v>
      </c>
      <c r="J29" s="202">
        <f>H29/C29</f>
        <v>20636.195999544805</v>
      </c>
    </row>
    <row r="30" spans="1:10" x14ac:dyDescent="0.2">
      <c r="A30" s="135" t="s">
        <v>1370</v>
      </c>
      <c r="B30" s="103" t="s">
        <v>188</v>
      </c>
      <c r="C30" s="293">
        <f>+'1_OG y 2_ACA'!D1299+'1_OG y 2_ACA'!D1318+'1_OG y 2_ACA'!D1341</f>
        <v>52.55</v>
      </c>
      <c r="D30" s="135" t="s">
        <v>78</v>
      </c>
      <c r="E30" s="125">
        <f>Detallado!K323</f>
        <v>514909.39855199982</v>
      </c>
      <c r="F30" s="125">
        <f>Detallado!L323</f>
        <v>243225</v>
      </c>
      <c r="G30" s="125">
        <f>Detallado!M323</f>
        <v>0</v>
      </c>
      <c r="H30" s="125">
        <f>Detallado!N323</f>
        <v>758134.39855199982</v>
      </c>
      <c r="I30" s="269">
        <f>Detallado!O323</f>
        <v>1472.1056282563109</v>
      </c>
      <c r="J30" s="121">
        <f t="shared" si="7"/>
        <v>14426.915291189342</v>
      </c>
    </row>
    <row r="31" spans="1:10" ht="27.75" x14ac:dyDescent="0.2">
      <c r="A31" s="118" t="s">
        <v>1371</v>
      </c>
      <c r="B31" s="228" t="s">
        <v>189</v>
      </c>
      <c r="C31" s="311">
        <f>+'1_OG y 2_ACA'!D1366+'1_OG y 2_ACA'!E1390</f>
        <v>52.9</v>
      </c>
      <c r="D31" s="118" t="s">
        <v>78</v>
      </c>
      <c r="E31" s="125">
        <f>Detallado!K361</f>
        <v>1120389.9695999997</v>
      </c>
      <c r="F31" s="125">
        <f>Detallado!L361</f>
        <v>297562.5</v>
      </c>
      <c r="G31" s="125">
        <f>Detallado!M361</f>
        <v>0</v>
      </c>
      <c r="H31" s="125">
        <f>Detallado!N361</f>
        <v>1417952.4695999997</v>
      </c>
      <c r="I31" s="269">
        <f>Detallado!O361</f>
        <v>2753.3057662135921</v>
      </c>
      <c r="J31" s="121">
        <f>H31/C31</f>
        <v>26804.394510396971</v>
      </c>
    </row>
    <row r="32" spans="1:10" x14ac:dyDescent="0.2">
      <c r="A32" s="199">
        <v>7</v>
      </c>
      <c r="B32" s="200" t="s">
        <v>191</v>
      </c>
      <c r="C32" s="292">
        <f>C33</f>
        <v>474.28249999999997</v>
      </c>
      <c r="D32" s="201" t="s">
        <v>78</v>
      </c>
      <c r="E32" s="202">
        <f>SUM(E33:E34)</f>
        <v>1229814.5611</v>
      </c>
      <c r="F32" s="202">
        <f t="shared" ref="F32:H32" si="9">SUM(F33:F34)</f>
        <v>1278225</v>
      </c>
      <c r="G32" s="202">
        <f t="shared" si="9"/>
        <v>0</v>
      </c>
      <c r="H32" s="202">
        <f t="shared" si="9"/>
        <v>2508039.5611</v>
      </c>
      <c r="I32" s="203">
        <f t="shared" ref="I32" si="10">SUM(I33:I34)</f>
        <v>4869.9797302912621</v>
      </c>
      <c r="J32" s="202">
        <f t="shared" ref="J32:J52" si="11">H32/C32</f>
        <v>5288.0710570177062</v>
      </c>
    </row>
    <row r="33" spans="1:10" x14ac:dyDescent="0.2">
      <c r="A33" s="135" t="s">
        <v>192</v>
      </c>
      <c r="B33" s="103" t="s">
        <v>193</v>
      </c>
      <c r="C33" s="302">
        <f>+'1_OG y 2_ACA'!D1453</f>
        <v>474.28249999999997</v>
      </c>
      <c r="D33" s="118" t="s">
        <v>78</v>
      </c>
      <c r="E33" s="125">
        <f>Detallado!K395</f>
        <v>960861.6</v>
      </c>
      <c r="F33" s="125">
        <f>Detallado!L395</f>
        <v>1014300</v>
      </c>
      <c r="G33" s="125">
        <f>Detallado!M395</f>
        <v>0</v>
      </c>
      <c r="H33" s="125">
        <f>Detallado!N395</f>
        <v>1975161.6</v>
      </c>
      <c r="I33" s="269">
        <f>Detallado!O395</f>
        <v>3835.2652427184466</v>
      </c>
      <c r="J33" s="121">
        <f t="shared" si="11"/>
        <v>4164.5255728389729</v>
      </c>
    </row>
    <row r="34" spans="1:10" x14ac:dyDescent="0.2">
      <c r="A34" s="135" t="s">
        <v>194</v>
      </c>
      <c r="B34" s="103" t="s">
        <v>195</v>
      </c>
      <c r="C34" s="302">
        <f>+'1_OG y 2_ACA'!D1465</f>
        <v>225.01249999999999</v>
      </c>
      <c r="D34" s="118" t="s">
        <v>78</v>
      </c>
      <c r="E34" s="125">
        <f>Detallado!K399</f>
        <v>268952.96109999996</v>
      </c>
      <c r="F34" s="125">
        <f>Detallado!L399</f>
        <v>263925</v>
      </c>
      <c r="G34" s="125">
        <f>Detallado!M399</f>
        <v>0</v>
      </c>
      <c r="H34" s="125">
        <f>Detallado!N399</f>
        <v>532877.96109999996</v>
      </c>
      <c r="I34" s="269">
        <f>Detallado!O399</f>
        <v>1034.7144875728156</v>
      </c>
      <c r="J34" s="121">
        <f t="shared" si="11"/>
        <v>2368.214926281873</v>
      </c>
    </row>
    <row r="35" spans="1:10" x14ac:dyDescent="0.2">
      <c r="A35" s="199">
        <v>8</v>
      </c>
      <c r="B35" s="200" t="s">
        <v>196</v>
      </c>
      <c r="C35" s="292">
        <v>1</v>
      </c>
      <c r="D35" s="201" t="s">
        <v>1393</v>
      </c>
      <c r="E35" s="202">
        <f>E36</f>
        <v>844081.2548</v>
      </c>
      <c r="F35" s="202">
        <f t="shared" ref="F35:I35" si="12">F36</f>
        <v>626175</v>
      </c>
      <c r="G35" s="202">
        <f t="shared" si="12"/>
        <v>0</v>
      </c>
      <c r="H35" s="202">
        <f t="shared" si="12"/>
        <v>1470256.2548</v>
      </c>
      <c r="I35" s="203">
        <f t="shared" si="12"/>
        <v>2854.866514174757</v>
      </c>
      <c r="J35" s="202">
        <f t="shared" si="11"/>
        <v>1470256.2548</v>
      </c>
    </row>
    <row r="36" spans="1:10" x14ac:dyDescent="0.2">
      <c r="A36" s="135" t="s">
        <v>197</v>
      </c>
      <c r="B36" s="103" t="s">
        <v>198</v>
      </c>
      <c r="C36" s="302" t="e">
        <f>+'1_OG y 2_ACA'!D1489+'1_OG y 2_ACA'!D1550+'1_OG y 2_ACA'!D1509+'1_OG y 2_ACA'!#REF!</f>
        <v>#REF!</v>
      </c>
      <c r="D36" s="135" t="s">
        <v>78</v>
      </c>
      <c r="E36" s="125">
        <f>Detallado!K407</f>
        <v>844081.2548</v>
      </c>
      <c r="F36" s="125">
        <f>Detallado!L407</f>
        <v>626175</v>
      </c>
      <c r="G36" s="125">
        <f>Detallado!M407</f>
        <v>0</v>
      </c>
      <c r="H36" s="125">
        <f>Detallado!N407</f>
        <v>1470256.2548</v>
      </c>
      <c r="I36" s="269">
        <f>Detallado!O407</f>
        <v>2854.866514174757</v>
      </c>
      <c r="J36" s="121" t="e">
        <f t="shared" si="11"/>
        <v>#REF!</v>
      </c>
    </row>
    <row r="37" spans="1:10" x14ac:dyDescent="0.2">
      <c r="A37" s="199">
        <v>9</v>
      </c>
      <c r="B37" s="200" t="s">
        <v>207</v>
      </c>
      <c r="C37" s="292">
        <v>1</v>
      </c>
      <c r="D37" s="201" t="s">
        <v>1393</v>
      </c>
      <c r="E37" s="202">
        <f>SUM(E38:E39)</f>
        <v>3664782.6771098333</v>
      </c>
      <c r="F37" s="202">
        <f t="shared" ref="F37:I37" si="13">SUM(F38:F39)</f>
        <v>618262.5</v>
      </c>
      <c r="G37" s="202">
        <f t="shared" si="13"/>
        <v>268000</v>
      </c>
      <c r="H37" s="202">
        <f t="shared" si="13"/>
        <v>4551045.1771098338</v>
      </c>
      <c r="I37" s="203">
        <f t="shared" si="13"/>
        <v>8836.9809264268624</v>
      </c>
      <c r="J37" s="202">
        <f t="shared" si="11"/>
        <v>4551045.1771098338</v>
      </c>
    </row>
    <row r="38" spans="1:10" x14ac:dyDescent="0.2">
      <c r="A38" s="135" t="s">
        <v>1372</v>
      </c>
      <c r="B38" s="103" t="s">
        <v>208</v>
      </c>
      <c r="C38" s="293">
        <v>5</v>
      </c>
      <c r="D38" s="135" t="s">
        <v>1024</v>
      </c>
      <c r="E38" s="125">
        <f>Detallado!K477</f>
        <v>1806677.8556098337</v>
      </c>
      <c r="F38" s="125">
        <f>Detallado!L477</f>
        <v>300000</v>
      </c>
      <c r="G38" s="125">
        <f>Detallado!M477</f>
        <v>268000</v>
      </c>
      <c r="H38" s="125">
        <f>Detallado!N477</f>
        <v>2374677.8556098337</v>
      </c>
      <c r="I38" s="269">
        <f>Detallado!O477</f>
        <v>4611.0249623491927</v>
      </c>
      <c r="J38" s="121">
        <f t="shared" si="11"/>
        <v>474935.57112196676</v>
      </c>
    </row>
    <row r="39" spans="1:10" x14ac:dyDescent="0.2">
      <c r="A39" s="135" t="s">
        <v>1373</v>
      </c>
      <c r="B39" s="103" t="s">
        <v>209</v>
      </c>
      <c r="C39" s="293">
        <v>1</v>
      </c>
      <c r="D39" s="135" t="s">
        <v>1393</v>
      </c>
      <c r="E39" s="125">
        <f>Detallado!K513</f>
        <v>1858104.8214999996</v>
      </c>
      <c r="F39" s="125">
        <f>Detallado!L513</f>
        <v>318262.5</v>
      </c>
      <c r="G39" s="125">
        <f>Detallado!M513</f>
        <v>0</v>
      </c>
      <c r="H39" s="125">
        <f>Detallado!N513</f>
        <v>2176367.3214999996</v>
      </c>
      <c r="I39" s="269">
        <f>Detallado!O513</f>
        <v>4225.9559640776697</v>
      </c>
      <c r="J39" s="121">
        <f t="shared" si="11"/>
        <v>2176367.3214999996</v>
      </c>
    </row>
    <row r="40" spans="1:10" x14ac:dyDescent="0.2">
      <c r="A40" s="199">
        <v>10</v>
      </c>
      <c r="B40" s="200" t="s">
        <v>214</v>
      </c>
      <c r="C40" s="292">
        <v>1</v>
      </c>
      <c r="D40" s="201" t="s">
        <v>1393</v>
      </c>
      <c r="E40" s="202">
        <f>SUM(E41:E43)</f>
        <v>670539.00902244681</v>
      </c>
      <c r="F40" s="202">
        <f t="shared" ref="F40:I40" si="14">SUM(F41:F43)</f>
        <v>455400</v>
      </c>
      <c r="G40" s="202">
        <f t="shared" si="14"/>
        <v>0</v>
      </c>
      <c r="H40" s="202">
        <f t="shared" si="14"/>
        <v>1125939.0090224468</v>
      </c>
      <c r="I40" s="203">
        <f t="shared" si="14"/>
        <v>2186.289337907664</v>
      </c>
      <c r="J40" s="202">
        <f t="shared" si="11"/>
        <v>1125939.0090224468</v>
      </c>
    </row>
    <row r="41" spans="1:10" x14ac:dyDescent="0.2">
      <c r="A41" s="135" t="s">
        <v>1374</v>
      </c>
      <c r="B41" s="103" t="s">
        <v>215</v>
      </c>
      <c r="C41" s="302">
        <f>+Detallado!F549</f>
        <v>36.339999999999989</v>
      </c>
      <c r="D41" s="135" t="s">
        <v>78</v>
      </c>
      <c r="E41" s="125">
        <f>Detallado!K549</f>
        <v>195691.58182999995</v>
      </c>
      <c r="F41" s="125">
        <f>Detallado!L549</f>
        <v>150075</v>
      </c>
      <c r="G41" s="125">
        <f>Detallado!M549</f>
        <v>0</v>
      </c>
      <c r="H41" s="125">
        <f>Detallado!N549</f>
        <v>345766.58182999992</v>
      </c>
      <c r="I41" s="269">
        <f>Detallado!O549</f>
        <v>671.39142102912626</v>
      </c>
      <c r="J41" s="121">
        <f t="shared" si="11"/>
        <v>9514.7655979636766</v>
      </c>
    </row>
    <row r="42" spans="1:10" x14ac:dyDescent="0.2">
      <c r="A42" s="135" t="s">
        <v>1375</v>
      </c>
      <c r="B42" s="103" t="s">
        <v>217</v>
      </c>
      <c r="C42" s="302" t="e">
        <f>+Detallado!#REF!</f>
        <v>#REF!</v>
      </c>
      <c r="D42" s="135" t="s">
        <v>1076</v>
      </c>
      <c r="E42" s="125">
        <f>Detallado!K299</f>
        <v>277853.73134442407</v>
      </c>
      <c r="F42" s="125">
        <f>Detallado!L299</f>
        <v>144900</v>
      </c>
      <c r="G42" s="125">
        <f>Detallado!M299</f>
        <v>0</v>
      </c>
      <c r="H42" s="125">
        <f>Detallado!N299</f>
        <v>422753.73134442407</v>
      </c>
      <c r="I42" s="269">
        <f>Detallado!O299</f>
        <v>820.88103173674563</v>
      </c>
      <c r="J42" s="121" t="e">
        <f t="shared" si="11"/>
        <v>#REF!</v>
      </c>
    </row>
    <row r="43" spans="1:10" x14ac:dyDescent="0.2">
      <c r="A43" s="135" t="s">
        <v>1376</v>
      </c>
      <c r="B43" s="103" t="s">
        <v>218</v>
      </c>
      <c r="C43" s="302">
        <f>+Detallado!F312</f>
        <v>12.24</v>
      </c>
      <c r="D43" s="135" t="s">
        <v>78</v>
      </c>
      <c r="E43" s="125">
        <f>Detallado!K312</f>
        <v>196993.69584802288</v>
      </c>
      <c r="F43" s="125">
        <f>Detallado!L312</f>
        <v>160425</v>
      </c>
      <c r="G43" s="125">
        <f>Detallado!M312</f>
        <v>0</v>
      </c>
      <c r="H43" s="125">
        <f>Detallado!N312</f>
        <v>357418.69584802288</v>
      </c>
      <c r="I43" s="269">
        <f>Detallado!O312</f>
        <v>694.01688514179193</v>
      </c>
      <c r="J43" s="121">
        <f t="shared" si="11"/>
        <v>29200.873843792717</v>
      </c>
    </row>
    <row r="44" spans="1:10" x14ac:dyDescent="0.2">
      <c r="A44" s="199">
        <v>11</v>
      </c>
      <c r="B44" s="200" t="s">
        <v>219</v>
      </c>
      <c r="C44" s="292">
        <v>1</v>
      </c>
      <c r="D44" s="201" t="s">
        <v>1393</v>
      </c>
      <c r="E44" s="202" t="e">
        <f>SUM(E45:E48)</f>
        <v>#REF!</v>
      </c>
      <c r="F44" s="202" t="e">
        <f t="shared" ref="F44:I44" si="15">SUM(F45:F48)</f>
        <v>#REF!</v>
      </c>
      <c r="G44" s="202" t="e">
        <f t="shared" si="15"/>
        <v>#REF!</v>
      </c>
      <c r="H44" s="202" t="e">
        <f t="shared" si="15"/>
        <v>#REF!</v>
      </c>
      <c r="I44" s="203" t="e">
        <f t="shared" si="15"/>
        <v>#REF!</v>
      </c>
      <c r="J44" s="202" t="e">
        <f t="shared" si="11"/>
        <v>#REF!</v>
      </c>
    </row>
    <row r="45" spans="1:10" x14ac:dyDescent="0.2">
      <c r="A45" s="135" t="s">
        <v>1377</v>
      </c>
      <c r="B45" s="103" t="s">
        <v>220</v>
      </c>
      <c r="C45" s="302">
        <f>+'1_OG y 2_ACA'!D1572</f>
        <v>538.38249999999994</v>
      </c>
      <c r="D45" s="135" t="s">
        <v>78</v>
      </c>
      <c r="E45" s="125" t="e">
        <f>Detallado!#REF!</f>
        <v>#REF!</v>
      </c>
      <c r="F45" s="125" t="e">
        <f>Detallado!#REF!</f>
        <v>#REF!</v>
      </c>
      <c r="G45" s="125" t="e">
        <f>Detallado!#REF!</f>
        <v>#REF!</v>
      </c>
      <c r="H45" s="125" t="e">
        <f>Detallado!#REF!</f>
        <v>#REF!</v>
      </c>
      <c r="I45" s="269" t="e">
        <f>Detallado!#REF!</f>
        <v>#REF!</v>
      </c>
      <c r="J45" s="121" t="e">
        <f t="shared" si="11"/>
        <v>#REF!</v>
      </c>
    </row>
    <row r="46" spans="1:10" x14ac:dyDescent="0.2">
      <c r="A46" s="135" t="s">
        <v>1378</v>
      </c>
      <c r="B46" s="103" t="s">
        <v>221</v>
      </c>
      <c r="C46" s="293" t="e">
        <f>+'1_OG y 2_ACA'!#REF!+'1_OG y 2_ACA'!#REF!+'1_OG y 2_ACA'!#REF!+'1_OG y 2_ACA'!#REF!+'1_OG y 2_ACA'!#REF!</f>
        <v>#REF!</v>
      </c>
      <c r="D46" s="135" t="s">
        <v>1024</v>
      </c>
      <c r="E46" s="125">
        <f>Detallado!K526</f>
        <v>669316.46177699999</v>
      </c>
      <c r="F46" s="125">
        <f>Detallado!L526</f>
        <v>77625</v>
      </c>
      <c r="G46" s="125">
        <f>Detallado!M526</f>
        <v>0</v>
      </c>
      <c r="H46" s="125">
        <f>Detallado!N526</f>
        <v>746941.46177699999</v>
      </c>
      <c r="I46" s="269">
        <f>Detallado!O526</f>
        <v>1450.3717704407763</v>
      </c>
      <c r="J46" s="121" t="e">
        <f t="shared" si="11"/>
        <v>#REF!</v>
      </c>
    </row>
    <row r="47" spans="1:10" x14ac:dyDescent="0.2">
      <c r="A47" s="135" t="s">
        <v>1379</v>
      </c>
      <c r="B47" s="103" t="s">
        <v>222</v>
      </c>
      <c r="C47" s="293">
        <v>1</v>
      </c>
      <c r="D47" s="135" t="s">
        <v>1393</v>
      </c>
      <c r="E47" s="125">
        <f>Detallado!K452</f>
        <v>964895.07849999995</v>
      </c>
      <c r="F47" s="125">
        <f>Detallado!L452</f>
        <v>113850</v>
      </c>
      <c r="G47" s="125">
        <f>Detallado!M452</f>
        <v>0</v>
      </c>
      <c r="H47" s="125">
        <f>Detallado!N452</f>
        <v>1078745.0784999998</v>
      </c>
      <c r="I47" s="269">
        <f>Detallado!O452</f>
        <v>2094.6506378640775</v>
      </c>
      <c r="J47" s="121">
        <f t="shared" si="11"/>
        <v>1078745.0784999998</v>
      </c>
    </row>
    <row r="48" spans="1:10" x14ac:dyDescent="0.2">
      <c r="A48" s="135" t="s">
        <v>223</v>
      </c>
      <c r="B48" s="103" t="s">
        <v>224</v>
      </c>
      <c r="C48" s="293">
        <v>1</v>
      </c>
      <c r="D48" s="135" t="s">
        <v>1393</v>
      </c>
      <c r="E48" s="125">
        <f>Detallado!K462</f>
        <v>0</v>
      </c>
      <c r="F48" s="125">
        <f>Detallado!L462</f>
        <v>310500</v>
      </c>
      <c r="G48" s="125">
        <f>Detallado!M462</f>
        <v>0</v>
      </c>
      <c r="H48" s="125">
        <f>Detallado!N462</f>
        <v>310500</v>
      </c>
      <c r="I48" s="269">
        <f>Detallado!O462</f>
        <v>602.91262135922329</v>
      </c>
      <c r="J48" s="121">
        <f t="shared" si="11"/>
        <v>310500</v>
      </c>
    </row>
    <row r="49" spans="1:10" x14ac:dyDescent="0.2">
      <c r="A49" s="199">
        <v>12</v>
      </c>
      <c r="B49" s="200" t="s">
        <v>225</v>
      </c>
      <c r="C49" s="292">
        <f>C50</f>
        <v>21.005000000000003</v>
      </c>
      <c r="D49" s="201" t="s">
        <v>78</v>
      </c>
      <c r="E49" s="202">
        <f>E50</f>
        <v>0</v>
      </c>
      <c r="F49" s="202">
        <f t="shared" ref="F49:I49" si="16">F50</f>
        <v>0</v>
      </c>
      <c r="G49" s="202">
        <f t="shared" si="16"/>
        <v>1151015.175</v>
      </c>
      <c r="H49" s="202">
        <f t="shared" si="16"/>
        <v>1151015.175</v>
      </c>
      <c r="I49" s="203">
        <f t="shared" si="16"/>
        <v>2234.9809223300972</v>
      </c>
      <c r="J49" s="202">
        <f t="shared" si="11"/>
        <v>54797.19947631516</v>
      </c>
    </row>
    <row r="50" spans="1:10" x14ac:dyDescent="0.2">
      <c r="A50" s="135" t="s">
        <v>226</v>
      </c>
      <c r="B50" s="103" t="s">
        <v>225</v>
      </c>
      <c r="C50" s="302">
        <f>+'1_OG y 2_ACA'!G1666</f>
        <v>21.005000000000003</v>
      </c>
      <c r="D50" s="135" t="s">
        <v>78</v>
      </c>
      <c r="E50" s="125">
        <f>Detallado!K472</f>
        <v>0</v>
      </c>
      <c r="F50" s="125">
        <f>Detallado!L472</f>
        <v>0</v>
      </c>
      <c r="G50" s="125">
        <f>Detallado!M472</f>
        <v>1151015.175</v>
      </c>
      <c r="H50" s="125">
        <f>Detallado!N472</f>
        <v>1151015.175</v>
      </c>
      <c r="I50" s="269">
        <f>Detallado!O472</f>
        <v>2234.9809223300972</v>
      </c>
      <c r="J50" s="121">
        <f t="shared" si="11"/>
        <v>54797.19947631516</v>
      </c>
    </row>
    <row r="51" spans="1:10" x14ac:dyDescent="0.2">
      <c r="A51" s="199">
        <v>13</v>
      </c>
      <c r="B51" s="200" t="s">
        <v>227</v>
      </c>
      <c r="C51" s="292">
        <v>1</v>
      </c>
      <c r="D51" s="201" t="s">
        <v>1393</v>
      </c>
      <c r="E51" s="202" t="e">
        <f>SUM(E52:E60)</f>
        <v>#REF!</v>
      </c>
      <c r="F51" s="202" t="e">
        <f t="shared" ref="F51:H51" si="17">SUM(F52:F60)</f>
        <v>#REF!</v>
      </c>
      <c r="G51" s="202" t="e">
        <f t="shared" si="17"/>
        <v>#REF!</v>
      </c>
      <c r="H51" s="202" t="e">
        <f t="shared" si="17"/>
        <v>#REF!</v>
      </c>
      <c r="I51" s="203" t="e">
        <f>SUM(I52:I60)</f>
        <v>#REF!</v>
      </c>
      <c r="J51" s="202" t="e">
        <f t="shared" si="11"/>
        <v>#REF!</v>
      </c>
    </row>
    <row r="52" spans="1:10" x14ac:dyDescent="0.2">
      <c r="A52" s="135" t="s">
        <v>1380</v>
      </c>
      <c r="B52" s="103" t="s">
        <v>228</v>
      </c>
      <c r="C52" s="293">
        <v>1</v>
      </c>
      <c r="D52" s="135" t="s">
        <v>1393</v>
      </c>
      <c r="E52" s="125">
        <f>Detallado!K559</f>
        <v>141132.47220300001</v>
      </c>
      <c r="F52" s="125">
        <f>Detallado!L559</f>
        <v>0</v>
      </c>
      <c r="G52" s="125">
        <f>Detallado!M559</f>
        <v>211250</v>
      </c>
      <c r="H52" s="125">
        <f>Detallado!N559</f>
        <v>352382.47220299998</v>
      </c>
      <c r="I52" s="269">
        <f>Detallado!O559</f>
        <v>684.23781010291259</v>
      </c>
      <c r="J52" s="102">
        <f t="shared" si="11"/>
        <v>352382.47220299998</v>
      </c>
    </row>
    <row r="53" spans="1:10" x14ac:dyDescent="0.2">
      <c r="A53" s="135" t="s">
        <v>1382</v>
      </c>
      <c r="B53" s="103" t="s">
        <v>1381</v>
      </c>
      <c r="C53" s="293">
        <v>1</v>
      </c>
      <c r="D53" s="135" t="s">
        <v>1393</v>
      </c>
      <c r="E53" s="125" t="e">
        <f>Detallado!#REF!</f>
        <v>#REF!</v>
      </c>
      <c r="F53" s="125" t="e">
        <f>Detallado!#REF!</f>
        <v>#REF!</v>
      </c>
      <c r="G53" s="125" t="e">
        <f>Detallado!#REF!</f>
        <v>#REF!</v>
      </c>
      <c r="H53" s="125" t="e">
        <f>Detallado!#REF!</f>
        <v>#REF!</v>
      </c>
      <c r="I53" s="269" t="e">
        <f>Detallado!#REF!</f>
        <v>#REF!</v>
      </c>
      <c r="J53" s="102" t="e">
        <f t="shared" ref="J53:J68" si="18">H53/C53</f>
        <v>#REF!</v>
      </c>
    </row>
    <row r="54" spans="1:10" x14ac:dyDescent="0.2">
      <c r="A54" s="135" t="s">
        <v>1383</v>
      </c>
      <c r="B54" s="103" t="s">
        <v>230</v>
      </c>
      <c r="C54" s="293">
        <v>1</v>
      </c>
      <c r="D54" s="135" t="s">
        <v>1393</v>
      </c>
      <c r="E54" s="125">
        <f>Detallado!K583</f>
        <v>133305.702918</v>
      </c>
      <c r="F54" s="125">
        <f>Detallado!L583</f>
        <v>0</v>
      </c>
      <c r="G54" s="125">
        <f>Detallado!M583</f>
        <v>71250</v>
      </c>
      <c r="H54" s="125">
        <f>Detallado!N583</f>
        <v>204555.702918</v>
      </c>
      <c r="I54" s="269">
        <f>Detallado!O583</f>
        <v>397.1955396466019</v>
      </c>
      <c r="J54" s="102">
        <f t="shared" si="18"/>
        <v>204555.702918</v>
      </c>
    </row>
    <row r="55" spans="1:10" x14ac:dyDescent="0.2">
      <c r="A55" s="135" t="s">
        <v>1385</v>
      </c>
      <c r="B55" s="103" t="s">
        <v>1384</v>
      </c>
      <c r="C55" s="293">
        <v>1</v>
      </c>
      <c r="D55" s="135" t="s">
        <v>1393</v>
      </c>
      <c r="E55" s="125">
        <f>Detallado!K696</f>
        <v>115787.23539999998</v>
      </c>
      <c r="F55" s="125">
        <f>Detallado!L696</f>
        <v>0</v>
      </c>
      <c r="G55" s="125">
        <f>Detallado!M696</f>
        <v>25000</v>
      </c>
      <c r="H55" s="125">
        <f>Detallado!N696</f>
        <v>140787.23539999998</v>
      </c>
      <c r="I55" s="269">
        <f>Detallado!O696</f>
        <v>273.37327262135921</v>
      </c>
      <c r="J55" s="102">
        <f t="shared" si="18"/>
        <v>140787.23539999998</v>
      </c>
    </row>
    <row r="56" spans="1:10" x14ac:dyDescent="0.2">
      <c r="A56" s="135" t="s">
        <v>1386</v>
      </c>
      <c r="B56" s="103" t="s">
        <v>235</v>
      </c>
      <c r="C56" s="293">
        <v>1</v>
      </c>
      <c r="D56" s="135" t="s">
        <v>1393</v>
      </c>
      <c r="E56" s="125" t="e">
        <f>Detallado!#REF!</f>
        <v>#REF!</v>
      </c>
      <c r="F56" s="125" t="e">
        <f>Detallado!#REF!</f>
        <v>#REF!</v>
      </c>
      <c r="G56" s="125" t="e">
        <f>Detallado!#REF!</f>
        <v>#REF!</v>
      </c>
      <c r="H56" s="125" t="e">
        <f>Detallado!#REF!</f>
        <v>#REF!</v>
      </c>
      <c r="I56" s="269" t="e">
        <f>Detallado!#REF!</f>
        <v>#REF!</v>
      </c>
      <c r="J56" s="102" t="e">
        <f t="shared" si="18"/>
        <v>#REF!</v>
      </c>
    </row>
    <row r="57" spans="1:10" x14ac:dyDescent="0.2">
      <c r="A57" s="135" t="s">
        <v>1387</v>
      </c>
      <c r="B57" s="103" t="s">
        <v>236</v>
      </c>
      <c r="C57" s="293">
        <v>1</v>
      </c>
      <c r="D57" s="135" t="s">
        <v>1393</v>
      </c>
      <c r="E57" s="125">
        <f>Detallado!K729</f>
        <v>140431.51557499997</v>
      </c>
      <c r="F57" s="125">
        <f>Detallado!L729</f>
        <v>0</v>
      </c>
      <c r="G57" s="125">
        <f>Detallado!M729</f>
        <v>32500</v>
      </c>
      <c r="H57" s="125">
        <f>Detallado!N729</f>
        <v>172931.51557499997</v>
      </c>
      <c r="I57" s="269">
        <f>Detallado!O729</f>
        <v>335.78935063106792</v>
      </c>
      <c r="J57" s="102">
        <f t="shared" si="18"/>
        <v>172931.51557499997</v>
      </c>
    </row>
    <row r="58" spans="1:10" x14ac:dyDescent="0.2">
      <c r="A58" s="135" t="s">
        <v>1388</v>
      </c>
      <c r="B58" s="103" t="s">
        <v>237</v>
      </c>
      <c r="C58" s="293">
        <v>1</v>
      </c>
      <c r="D58" s="135" t="s">
        <v>1393</v>
      </c>
      <c r="E58" s="125">
        <f>Detallado!K747</f>
        <v>399790.97160000005</v>
      </c>
      <c r="F58" s="125">
        <f>Detallado!L747</f>
        <v>0</v>
      </c>
      <c r="G58" s="125">
        <f>Detallado!M747</f>
        <v>442468</v>
      </c>
      <c r="H58" s="125">
        <f>Detallado!N747</f>
        <v>842258.97160000005</v>
      </c>
      <c r="I58" s="269">
        <f>Detallado!O747</f>
        <v>1635.4543137864075</v>
      </c>
      <c r="J58" s="102">
        <f t="shared" si="18"/>
        <v>842258.97160000005</v>
      </c>
    </row>
    <row r="59" spans="1:10" x14ac:dyDescent="0.2">
      <c r="A59" s="135" t="s">
        <v>1389</v>
      </c>
      <c r="B59" s="103" t="s">
        <v>238</v>
      </c>
      <c r="C59" s="293">
        <v>1</v>
      </c>
      <c r="D59" s="135" t="s">
        <v>1393</v>
      </c>
      <c r="E59" s="125">
        <f>Detallado!K769</f>
        <v>556820.39269999985</v>
      </c>
      <c r="F59" s="125">
        <f>Detallado!L769</f>
        <v>0</v>
      </c>
      <c r="G59" s="125">
        <f>Detallado!M769</f>
        <v>123750</v>
      </c>
      <c r="H59" s="125">
        <f>Detallado!N769</f>
        <v>680570.39269999985</v>
      </c>
      <c r="I59" s="269">
        <f>Detallado!O769</f>
        <v>1321.4959081553397</v>
      </c>
      <c r="J59" s="102">
        <f t="shared" si="18"/>
        <v>680570.39269999985</v>
      </c>
    </row>
    <row r="60" spans="1:10" x14ac:dyDescent="0.2">
      <c r="A60" s="135" t="s">
        <v>1390</v>
      </c>
      <c r="B60" s="103" t="s">
        <v>239</v>
      </c>
      <c r="C60" s="293">
        <v>1</v>
      </c>
      <c r="D60" s="135" t="s">
        <v>1393</v>
      </c>
      <c r="E60" s="125">
        <f>Detallado!K800</f>
        <v>1350272.4593999998</v>
      </c>
      <c r="F60" s="125">
        <f>Detallado!L800</f>
        <v>0</v>
      </c>
      <c r="G60" s="125">
        <f>Detallado!M800</f>
        <v>156250</v>
      </c>
      <c r="H60" s="125">
        <f>Detallado!N800</f>
        <v>1506522.4593999998</v>
      </c>
      <c r="I60" s="269">
        <f>Detallado!O800</f>
        <v>2925.2863289320389</v>
      </c>
      <c r="J60" s="102">
        <f t="shared" si="18"/>
        <v>1506522.4593999998</v>
      </c>
    </row>
    <row r="61" spans="1:10" x14ac:dyDescent="0.2">
      <c r="A61" s="199">
        <v>14</v>
      </c>
      <c r="B61" s="200" t="s">
        <v>240</v>
      </c>
      <c r="C61" s="292">
        <v>1</v>
      </c>
      <c r="D61" s="201" t="s">
        <v>1393</v>
      </c>
      <c r="E61" s="202">
        <f>SUM(E62:E64)</f>
        <v>314588.41281499993</v>
      </c>
      <c r="F61" s="202">
        <f t="shared" ref="F61:I61" si="19">SUM(F62:F64)</f>
        <v>411412.5</v>
      </c>
      <c r="G61" s="202">
        <f t="shared" si="19"/>
        <v>0</v>
      </c>
      <c r="H61" s="202">
        <f t="shared" si="19"/>
        <v>726000.91281499993</v>
      </c>
      <c r="I61" s="203">
        <f t="shared" si="19"/>
        <v>1409.7105103203883</v>
      </c>
      <c r="J61" s="202">
        <f>H61/C61</f>
        <v>726000.91281499993</v>
      </c>
    </row>
    <row r="62" spans="1:10" x14ac:dyDescent="0.2">
      <c r="A62" s="135" t="s">
        <v>241</v>
      </c>
      <c r="B62" s="103" t="s">
        <v>242</v>
      </c>
      <c r="C62" s="293">
        <v>1</v>
      </c>
      <c r="D62" s="135" t="s">
        <v>1393</v>
      </c>
      <c r="E62" s="125">
        <f>Detallado!K911</f>
        <v>192838.28041499996</v>
      </c>
      <c r="F62" s="125">
        <f>Detallado!L911</f>
        <v>181125</v>
      </c>
      <c r="G62" s="125">
        <f>Detallado!M911</f>
        <v>0</v>
      </c>
      <c r="H62" s="125">
        <f>Detallado!N911</f>
        <v>373963.28041499993</v>
      </c>
      <c r="I62" s="269">
        <f>Detallado!O911</f>
        <v>726.14229206796108</v>
      </c>
      <c r="J62" s="102">
        <f t="shared" si="18"/>
        <v>373963.28041499993</v>
      </c>
    </row>
    <row r="63" spans="1:10" x14ac:dyDescent="0.2">
      <c r="A63" s="135" t="s">
        <v>243</v>
      </c>
      <c r="B63" s="103" t="s">
        <v>244</v>
      </c>
      <c r="C63" s="293">
        <v>1</v>
      </c>
      <c r="D63" s="135" t="s">
        <v>1393</v>
      </c>
      <c r="E63" s="125">
        <f>Detallado!K248</f>
        <v>17251.517899999995</v>
      </c>
      <c r="F63" s="125">
        <f>Detallado!L248</f>
        <v>160425</v>
      </c>
      <c r="G63" s="125">
        <f>Detallado!M248</f>
        <v>0</v>
      </c>
      <c r="H63" s="125">
        <f>Detallado!N248</f>
        <v>177676.51789999998</v>
      </c>
      <c r="I63" s="269">
        <f>Detallado!O248</f>
        <v>345.00294737864078</v>
      </c>
      <c r="J63" s="102">
        <f t="shared" si="18"/>
        <v>177676.51789999998</v>
      </c>
    </row>
    <row r="64" spans="1:10" x14ac:dyDescent="0.2">
      <c r="A64" s="135" t="s">
        <v>245</v>
      </c>
      <c r="B64" s="103" t="s">
        <v>246</v>
      </c>
      <c r="C64" s="293">
        <v>1</v>
      </c>
      <c r="D64" s="135" t="s">
        <v>1393</v>
      </c>
      <c r="E64" s="125">
        <f>Detallado!K930</f>
        <v>104498.6145</v>
      </c>
      <c r="F64" s="125">
        <f>Detallado!L930</f>
        <v>69862.5</v>
      </c>
      <c r="G64" s="125">
        <f>Detallado!M930</f>
        <v>0</v>
      </c>
      <c r="H64" s="125">
        <f>Detallado!N930</f>
        <v>174361.1145</v>
      </c>
      <c r="I64" s="269">
        <f>Detallado!O930</f>
        <v>338.56527087378646</v>
      </c>
      <c r="J64" s="102">
        <f t="shared" si="18"/>
        <v>174361.1145</v>
      </c>
    </row>
    <row r="65" spans="1:12" x14ac:dyDescent="0.2">
      <c r="A65" s="199">
        <v>15</v>
      </c>
      <c r="B65" s="200" t="s">
        <v>247</v>
      </c>
      <c r="C65" s="292">
        <v>1</v>
      </c>
      <c r="D65" s="201" t="s">
        <v>1393</v>
      </c>
      <c r="E65" s="202" t="e">
        <f>E66</f>
        <v>#REF!</v>
      </c>
      <c r="F65" s="202" t="e">
        <f t="shared" ref="F65:H65" si="20">F66</f>
        <v>#REF!</v>
      </c>
      <c r="G65" s="202" t="e">
        <f t="shared" si="20"/>
        <v>#REF!</v>
      </c>
      <c r="H65" s="202" t="e">
        <f t="shared" si="20"/>
        <v>#REF!</v>
      </c>
      <c r="I65" s="203" t="e">
        <f>I66</f>
        <v>#REF!</v>
      </c>
      <c r="J65" s="202" t="e">
        <f>H65/C65</f>
        <v>#REF!</v>
      </c>
    </row>
    <row r="66" spans="1:12" x14ac:dyDescent="0.2">
      <c r="A66" s="135" t="s">
        <v>1391</v>
      </c>
      <c r="B66" s="103" t="s">
        <v>247</v>
      </c>
      <c r="C66" s="293">
        <v>1</v>
      </c>
      <c r="D66" s="135" t="s">
        <v>1393</v>
      </c>
      <c r="E66" s="125" t="e">
        <f>Detallado!#REF!</f>
        <v>#REF!</v>
      </c>
      <c r="F66" s="125" t="e">
        <f>Detallado!#REF!</f>
        <v>#REF!</v>
      </c>
      <c r="G66" s="125" t="e">
        <f>Detallado!#REF!</f>
        <v>#REF!</v>
      </c>
      <c r="H66" s="125" t="e">
        <f>Detallado!#REF!</f>
        <v>#REF!</v>
      </c>
      <c r="I66" s="269" t="e">
        <f>Detallado!#REF!</f>
        <v>#REF!</v>
      </c>
      <c r="J66" s="102" t="e">
        <f t="shared" si="18"/>
        <v>#REF!</v>
      </c>
    </row>
    <row r="67" spans="1:12" x14ac:dyDescent="0.2">
      <c r="A67" s="199">
        <v>16</v>
      </c>
      <c r="B67" s="200" t="s">
        <v>248</v>
      </c>
      <c r="C67" s="292">
        <v>1</v>
      </c>
      <c r="D67" s="201" t="s">
        <v>1393</v>
      </c>
      <c r="E67" s="202" t="e">
        <f>Detallado!#REF!</f>
        <v>#REF!</v>
      </c>
      <c r="F67" s="202" t="e">
        <f>F68</f>
        <v>#REF!</v>
      </c>
      <c r="G67" s="202" t="e">
        <f t="shared" ref="G67:I67" si="21">G68</f>
        <v>#REF!</v>
      </c>
      <c r="H67" s="202" t="e">
        <f t="shared" si="21"/>
        <v>#REF!</v>
      </c>
      <c r="I67" s="203" t="e">
        <f t="shared" si="21"/>
        <v>#REF!</v>
      </c>
      <c r="J67" s="202" t="e">
        <f>H67/C67</f>
        <v>#REF!</v>
      </c>
    </row>
    <row r="68" spans="1:12" x14ac:dyDescent="0.2">
      <c r="A68" s="135" t="s">
        <v>1392</v>
      </c>
      <c r="B68" s="103" t="s">
        <v>248</v>
      </c>
      <c r="C68" s="293">
        <v>1</v>
      </c>
      <c r="D68" s="135" t="s">
        <v>1393</v>
      </c>
      <c r="E68" s="125" t="e">
        <f>Detallado!#REF!</f>
        <v>#REF!</v>
      </c>
      <c r="F68" s="125" t="e">
        <f>Detallado!#REF!</f>
        <v>#REF!</v>
      </c>
      <c r="G68" s="125" t="e">
        <f>Detallado!#REF!</f>
        <v>#REF!</v>
      </c>
      <c r="H68" s="125" t="e">
        <f>Detallado!#REF!</f>
        <v>#REF!</v>
      </c>
      <c r="I68" s="269" t="e">
        <f>Detallado!#REF!</f>
        <v>#REF!</v>
      </c>
      <c r="J68" s="102" t="e">
        <f t="shared" si="18"/>
        <v>#REF!</v>
      </c>
      <c r="K68" s="101" t="s">
        <v>1401</v>
      </c>
      <c r="L68" s="270" t="e">
        <f>H70-Detallado!N951</f>
        <v>#REF!</v>
      </c>
    </row>
    <row r="69" spans="1:12" x14ac:dyDescent="0.2">
      <c r="A69" s="63"/>
      <c r="C69" s="148"/>
      <c r="D69" s="135"/>
      <c r="E69" s="125"/>
      <c r="F69" s="125"/>
      <c r="G69" s="125"/>
      <c r="H69" s="125"/>
      <c r="I69" s="125"/>
      <c r="J69" s="103"/>
      <c r="L69" s="136"/>
    </row>
    <row r="70" spans="1:12" x14ac:dyDescent="0.2">
      <c r="D70" s="259" t="s">
        <v>1081</v>
      </c>
      <c r="E70" s="267" t="e">
        <f>SUM(E4:E68)/2</f>
        <v>#REF!</v>
      </c>
      <c r="F70" s="267" t="e">
        <f>SUM(F4:F68)/2</f>
        <v>#REF!</v>
      </c>
      <c r="G70" s="267" t="e">
        <f>SUM(G4:G68)/2</f>
        <v>#REF!</v>
      </c>
      <c r="H70" s="267" t="e">
        <f>SUM(H4:H68)/2</f>
        <v>#REF!</v>
      </c>
      <c r="I70" s="268" t="e">
        <f>SUM(I4:I68)/2</f>
        <v>#REF!</v>
      </c>
      <c r="J70" s="103"/>
    </row>
    <row r="71" spans="1:12" x14ac:dyDescent="0.2">
      <c r="F71" s="304" t="e">
        <f>F70/E70</f>
        <v>#REF!</v>
      </c>
    </row>
    <row r="72" spans="1:12" x14ac:dyDescent="0.2">
      <c r="F72" s="295"/>
      <c r="G72" s="100" t="s">
        <v>1474</v>
      </c>
      <c r="H72" s="295">
        <f>'1_OG y 2_ACA'!D1843*E82</f>
        <v>813170.01464543096</v>
      </c>
    </row>
    <row r="73" spans="1:12" x14ac:dyDescent="0.2">
      <c r="G73" s="100" t="s">
        <v>1475</v>
      </c>
      <c r="H73" s="295">
        <f>'1_OG y 2_ACA'!D1844*C86</f>
        <v>367887.80850561993</v>
      </c>
    </row>
    <row r="74" spans="1:12" x14ac:dyDescent="0.2">
      <c r="F74" s="295"/>
      <c r="G74" s="100" t="s">
        <v>1476</v>
      </c>
      <c r="H74" s="295">
        <v>150000</v>
      </c>
    </row>
    <row r="75" spans="1:12" x14ac:dyDescent="0.2">
      <c r="G75" s="100" t="s">
        <v>1477</v>
      </c>
      <c r="H75" s="295">
        <f>+E78</f>
        <v>152320</v>
      </c>
      <c r="J75" s="136">
        <f>+H75+H74+H73+H72</f>
        <v>1483377.8231510508</v>
      </c>
    </row>
    <row r="76" spans="1:12" x14ac:dyDescent="0.2">
      <c r="H76" s="313" t="e">
        <f>SUM(H70:H75)</f>
        <v>#REF!</v>
      </c>
    </row>
    <row r="77" spans="1:12" x14ac:dyDescent="0.2">
      <c r="B77" s="1139" t="s">
        <v>1405</v>
      </c>
      <c r="C77" s="293" t="s">
        <v>78</v>
      </c>
      <c r="D77" s="293" t="s">
        <v>1336</v>
      </c>
      <c r="E77" s="293" t="s">
        <v>1013</v>
      </c>
    </row>
    <row r="78" spans="1:12" x14ac:dyDescent="0.2">
      <c r="B78" s="1140"/>
      <c r="C78" s="311">
        <f>+Detallado!F168</f>
        <v>44.8</v>
      </c>
      <c r="D78" s="301">
        <v>3400</v>
      </c>
      <c r="E78" s="299">
        <f>C78*D78</f>
        <v>152320</v>
      </c>
      <c r="H78" s="273" t="e">
        <f>+F70+G51</f>
        <v>#REF!</v>
      </c>
      <c r="L78" s="295">
        <v>18627702</v>
      </c>
    </row>
    <row r="79" spans="1:12" x14ac:dyDescent="0.2">
      <c r="C79" s="149"/>
      <c r="D79" s="149"/>
      <c r="E79" s="149"/>
      <c r="G79" s="100" t="s">
        <v>1482</v>
      </c>
      <c r="H79" s="295">
        <v>63500</v>
      </c>
      <c r="J79" s="136">
        <f>+H79+88000</f>
        <v>151500</v>
      </c>
      <c r="L79" s="295">
        <v>7577636</v>
      </c>
    </row>
    <row r="80" spans="1:12" x14ac:dyDescent="0.2">
      <c r="C80" s="1141" t="s">
        <v>1407</v>
      </c>
      <c r="D80" s="1141"/>
      <c r="E80" s="1141"/>
      <c r="G80" s="100" t="s">
        <v>1481</v>
      </c>
      <c r="H80" s="295">
        <f>+Detallado!K12+Detallado!K283</f>
        <v>488749.87694999995</v>
      </c>
      <c r="J80" s="136"/>
      <c r="L80" s="136">
        <f>SUM(L78:L79)</f>
        <v>26205338</v>
      </c>
    </row>
    <row r="81" spans="2:10" ht="41.25" x14ac:dyDescent="0.2">
      <c r="B81" s="1139" t="s">
        <v>1406</v>
      </c>
      <c r="C81" s="300" t="s">
        <v>1408</v>
      </c>
      <c r="D81" s="300" t="s">
        <v>1409</v>
      </c>
      <c r="E81" s="294" t="s">
        <v>1410</v>
      </c>
      <c r="H81" s="295" t="e">
        <f>+H76-H78-H79-H80</f>
        <v>#REF!</v>
      </c>
      <c r="J81" s="136" t="e">
        <f>+H81+H78</f>
        <v>#REF!</v>
      </c>
    </row>
    <row r="82" spans="2:10" x14ac:dyDescent="0.2">
      <c r="B82" s="1140"/>
      <c r="C82" s="301">
        <v>61339.064020939855</v>
      </c>
      <c r="D82" s="301">
        <v>75000</v>
      </c>
      <c r="E82" s="299">
        <f>D82-C82</f>
        <v>13660.935979060145</v>
      </c>
    </row>
    <row r="83" spans="2:10" x14ac:dyDescent="0.2">
      <c r="C83" s="149"/>
      <c r="D83" s="149"/>
      <c r="E83" s="149"/>
      <c r="G83" s="100" t="s">
        <v>906</v>
      </c>
      <c r="H83" s="295">
        <f>('1_OG y 2_ACA'!D521+'1_OG y 2_ACA'!D706)*1150</f>
        <v>684755.99999999988</v>
      </c>
    </row>
    <row r="84" spans="2:10" x14ac:dyDescent="0.2">
      <c r="C84" s="149"/>
      <c r="D84" s="149"/>
      <c r="E84" s="149"/>
      <c r="J84" s="136" t="e">
        <f>+J81-L80</f>
        <v>#REF!</v>
      </c>
    </row>
    <row r="85" spans="2:10" ht="27.75" x14ac:dyDescent="0.2">
      <c r="B85" s="1139" t="s">
        <v>1415</v>
      </c>
      <c r="C85" s="300" t="s">
        <v>1416</v>
      </c>
      <c r="D85" s="149"/>
      <c r="E85" s="149"/>
      <c r="G85" s="100" t="s">
        <v>1483</v>
      </c>
      <c r="H85" s="313" t="e">
        <f>+H76+H79-H80+H83</f>
        <v>#REF!</v>
      </c>
    </row>
    <row r="86" spans="2:10" x14ac:dyDescent="0.2">
      <c r="B86" s="1140"/>
      <c r="C86" s="299">
        <f>(129807.75*1.04)/15</f>
        <v>9000.003999999999</v>
      </c>
      <c r="D86" s="149"/>
      <c r="E86" s="149"/>
    </row>
    <row r="87" spans="2:10" x14ac:dyDescent="0.2">
      <c r="C87" s="149"/>
      <c r="D87" s="149"/>
      <c r="E87" s="149"/>
      <c r="H87" s="324">
        <v>21026675.954214148</v>
      </c>
    </row>
    <row r="89" spans="2:10" x14ac:dyDescent="0.2">
      <c r="H89" s="295" t="e">
        <f>+H87-H85</f>
        <v>#REF!</v>
      </c>
    </row>
    <row r="91" spans="2:10" x14ac:dyDescent="0.2">
      <c r="G91" s="206" t="s">
        <v>34</v>
      </c>
      <c r="H91" s="324">
        <f>+SUMIF(Detallado!E7:E818,DESGLOSE!G91,Detallado!M7:M818)</f>
        <v>105000</v>
      </c>
    </row>
    <row r="92" spans="2:10" x14ac:dyDescent="0.2">
      <c r="G92" s="206" t="s">
        <v>35</v>
      </c>
      <c r="H92" s="324">
        <f>+SUMIF(Detallado!E7:E818,DESGLOSE!G92,Detallado!M7:M818)</f>
        <v>13000</v>
      </c>
    </row>
    <row r="93" spans="2:10" x14ac:dyDescent="0.2">
      <c r="H93" s="326">
        <f>SUM(H91:H92)</f>
        <v>118000</v>
      </c>
    </row>
    <row r="95" spans="2:10" x14ac:dyDescent="0.2">
      <c r="G95" s="100" t="s">
        <v>1876</v>
      </c>
      <c r="H95" s="136" t="e">
        <f>+(E70+G70)-H80-H93</f>
        <v>#REF!</v>
      </c>
    </row>
    <row r="96" spans="2:10" x14ac:dyDescent="0.2">
      <c r="G96" s="100" t="s">
        <v>1877</v>
      </c>
      <c r="H96" s="136" t="e">
        <f>+F70*1.04</f>
        <v>#REF!</v>
      </c>
    </row>
    <row r="97" spans="7:8" x14ac:dyDescent="0.2">
      <c r="G97" s="100" t="s">
        <v>1878</v>
      </c>
      <c r="H97" s="136">
        <f>+J75</f>
        <v>1483377.8231510508</v>
      </c>
    </row>
    <row r="98" spans="7:8" x14ac:dyDescent="0.2">
      <c r="G98" s="100" t="s">
        <v>1481</v>
      </c>
      <c r="H98" s="136">
        <f>+H80</f>
        <v>488749.87694999995</v>
      </c>
    </row>
    <row r="99" spans="7:8" x14ac:dyDescent="0.2">
      <c r="G99" s="100" t="s">
        <v>1879</v>
      </c>
      <c r="H99" s="136">
        <f>+H83+H93</f>
        <v>802755.99999999988</v>
      </c>
    </row>
    <row r="100" spans="7:8" x14ac:dyDescent="0.2">
      <c r="G100" s="100" t="s">
        <v>1483</v>
      </c>
      <c r="H100" s="327" t="e">
        <f>SUM(H95:H99)</f>
        <v>#REF!</v>
      </c>
    </row>
  </sheetData>
  <mergeCells count="4">
    <mergeCell ref="B77:B78"/>
    <mergeCell ref="B81:B82"/>
    <mergeCell ref="C80:E80"/>
    <mergeCell ref="B85:B86"/>
  </mergeCells>
  <phoneticPr fontId="20" type="noConversion"/>
  <pageMargins left="0.7" right="0.7" top="1.3149999999999999" bottom="0.75" header="0.3" footer="0.3"/>
  <pageSetup paperSize="9" scale="95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1FBBF-452D-4131-BF9C-903498D750E3}">
  <dimension ref="A1:J168"/>
  <sheetViews>
    <sheetView tabSelected="1" topLeftCell="A119" workbookViewId="0">
      <selection activeCell="F167" sqref="F167:F168"/>
    </sheetView>
  </sheetViews>
  <sheetFormatPr defaultColWidth="11.43359375" defaultRowHeight="15" x14ac:dyDescent="0.2"/>
  <cols>
    <col min="1" max="1" width="6.45703125" style="275" customWidth="1"/>
    <col min="2" max="2" width="52.05859375" style="275" customWidth="1"/>
    <col min="3" max="3" width="15.46875" style="603" customWidth="1"/>
    <col min="4" max="5" width="15.46875" style="467" customWidth="1"/>
    <col min="6" max="6" width="25.55859375" style="467" bestFit="1" customWidth="1"/>
    <col min="7" max="7" width="25.55859375" style="275" bestFit="1" customWidth="1"/>
    <col min="8" max="8" width="23.5390625" style="275" customWidth="1"/>
    <col min="9" max="9" width="14.52734375" style="275" hidden="1" customWidth="1"/>
    <col min="10" max="16384" width="11.43359375" style="275"/>
  </cols>
  <sheetData>
    <row r="1" spans="1:9" ht="22.5" x14ac:dyDescent="0.2">
      <c r="A1" s="275" t="s">
        <v>3006</v>
      </c>
      <c r="B1" s="1122" t="s">
        <v>3457</v>
      </c>
      <c r="C1" s="1122"/>
      <c r="D1" s="1122"/>
      <c r="E1" s="1122"/>
      <c r="F1" s="1122"/>
      <c r="G1" s="282" t="s">
        <v>1442</v>
      </c>
      <c r="H1" s="283">
        <v>505</v>
      </c>
    </row>
    <row r="2" spans="1:9" ht="21" x14ac:dyDescent="0.3">
      <c r="B2" s="276"/>
      <c r="C2" s="589"/>
      <c r="D2" s="590"/>
      <c r="E2" s="591"/>
      <c r="F2" s="591"/>
    </row>
    <row r="3" spans="1:9" x14ac:dyDescent="0.2">
      <c r="A3" s="1135" t="s">
        <v>11</v>
      </c>
      <c r="B3" s="1123" t="s">
        <v>250</v>
      </c>
      <c r="C3" s="1125" t="s">
        <v>13</v>
      </c>
      <c r="D3" s="1127" t="s">
        <v>14</v>
      </c>
      <c r="E3" s="1129" t="s">
        <v>1443</v>
      </c>
      <c r="F3" s="1129" t="s">
        <v>1138</v>
      </c>
    </row>
    <row r="4" spans="1:9" ht="15.75" thickBot="1" x14ac:dyDescent="0.25">
      <c r="A4" s="1136"/>
      <c r="B4" s="1124"/>
      <c r="C4" s="1126"/>
      <c r="D4" s="1128"/>
      <c r="E4" s="1130"/>
      <c r="F4" s="1130"/>
    </row>
    <row r="5" spans="1:9" ht="17.25" x14ac:dyDescent="0.2">
      <c r="A5" s="612">
        <v>1</v>
      </c>
      <c r="B5" s="613" t="s">
        <v>2037</v>
      </c>
      <c r="C5" s="613"/>
      <c r="D5" s="613"/>
      <c r="E5" s="614"/>
      <c r="F5" s="615"/>
    </row>
    <row r="6" spans="1:9" ht="17.25" x14ac:dyDescent="0.25">
      <c r="A6" s="616">
        <v>1.1000000000000001</v>
      </c>
      <c r="B6" s="1121" t="s">
        <v>3137</v>
      </c>
      <c r="C6" s="1121"/>
      <c r="D6" s="1121"/>
      <c r="E6" s="1121"/>
      <c r="F6" s="1121"/>
    </row>
    <row r="7" spans="1:9" x14ac:dyDescent="0.2">
      <c r="A7" s="135" t="s">
        <v>2038</v>
      </c>
      <c r="B7" s="103" t="s">
        <v>1885</v>
      </c>
      <c r="C7" s="323">
        <f>+Detallado!F11</f>
        <v>57.62</v>
      </c>
      <c r="D7" s="284" t="s">
        <v>78</v>
      </c>
      <c r="E7" s="287">
        <f>F7/C7</f>
        <v>10345.146355432144</v>
      </c>
      <c r="F7" s="288">
        <f>Detallado!N11</f>
        <v>596087.3330000001</v>
      </c>
      <c r="I7" s="277" t="s">
        <v>3070</v>
      </c>
    </row>
    <row r="8" spans="1:9" x14ac:dyDescent="0.2">
      <c r="A8" s="135" t="s">
        <v>2039</v>
      </c>
      <c r="B8" s="106" t="s">
        <v>1886</v>
      </c>
      <c r="C8" s="323">
        <f>+Detallado!F21</f>
        <v>57.62</v>
      </c>
      <c r="D8" s="284" t="s">
        <v>78</v>
      </c>
      <c r="E8" s="287">
        <f t="shared" ref="E8:E9" si="0">F8/C8</f>
        <v>2532.8955579659842</v>
      </c>
      <c r="F8" s="288">
        <f>Detallado!N21</f>
        <v>145945.44205000001</v>
      </c>
      <c r="I8" s="277" t="s">
        <v>3071</v>
      </c>
    </row>
    <row r="9" spans="1:9" x14ac:dyDescent="0.2">
      <c r="A9" s="135" t="s">
        <v>2040</v>
      </c>
      <c r="B9" s="103" t="s">
        <v>69</v>
      </c>
      <c r="C9" s="323">
        <f>+Detallado!F28</f>
        <v>48.12</v>
      </c>
      <c r="D9" s="284" t="s">
        <v>78</v>
      </c>
      <c r="E9" s="287">
        <f t="shared" si="0"/>
        <v>3762.7280760806311</v>
      </c>
      <c r="F9" s="288">
        <f>Detallado!N28</f>
        <v>181062.47502099996</v>
      </c>
      <c r="I9" s="277" t="s">
        <v>3072</v>
      </c>
    </row>
    <row r="10" spans="1:9" s="467" customFormat="1" x14ac:dyDescent="0.2">
      <c r="A10" s="118" t="s">
        <v>2041</v>
      </c>
      <c r="B10" s="106" t="s">
        <v>1887</v>
      </c>
      <c r="C10" s="323">
        <f>+Detallado!F37</f>
        <v>48.12</v>
      </c>
      <c r="D10" s="284" t="s">
        <v>78</v>
      </c>
      <c r="E10" s="287">
        <f>F10/C10</f>
        <v>46614.535787175395</v>
      </c>
      <c r="F10" s="288">
        <f>Detallado!N37</f>
        <v>2243091.4620788801</v>
      </c>
      <c r="I10" s="466" t="s">
        <v>3073</v>
      </c>
    </row>
    <row r="11" spans="1:9" ht="15.75" thickBot="1" x14ac:dyDescent="0.25">
      <c r="B11" s="281"/>
      <c r="C11" s="592"/>
      <c r="D11" s="593"/>
      <c r="E11" s="593"/>
      <c r="F11" s="593"/>
    </row>
    <row r="12" spans="1:9" ht="15.75" thickTop="1" x14ac:dyDescent="0.2">
      <c r="B12" s="278" t="s">
        <v>1894</v>
      </c>
      <c r="C12" s="594">
        <f>+C8</f>
        <v>57.62</v>
      </c>
      <c r="D12" s="595" t="s">
        <v>78</v>
      </c>
      <c r="E12" s="596">
        <f>+F12/C12</f>
        <v>54949.439641615412</v>
      </c>
      <c r="F12" s="597">
        <f>+SUBTOTAL(9,F7:F10)</f>
        <v>3166186.7121498799</v>
      </c>
    </row>
    <row r="13" spans="1:9" x14ac:dyDescent="0.2">
      <c r="B13" s="279"/>
      <c r="C13" s="598"/>
      <c r="D13" s="599"/>
      <c r="E13" s="600"/>
      <c r="F13" s="600"/>
    </row>
    <row r="14" spans="1:9" ht="17.25" x14ac:dyDescent="0.25">
      <c r="A14" s="465">
        <v>1.2</v>
      </c>
      <c r="B14" s="1121" t="s">
        <v>1888</v>
      </c>
      <c r="C14" s="1121"/>
      <c r="D14" s="1121"/>
      <c r="E14" s="1121"/>
      <c r="F14" s="1121"/>
    </row>
    <row r="15" spans="1:9" x14ac:dyDescent="0.2">
      <c r="A15" s="118" t="s">
        <v>2042</v>
      </c>
      <c r="B15" s="285" t="s">
        <v>1889</v>
      </c>
      <c r="C15" s="297">
        <f>+Detallado!F55</f>
        <v>129.47999999999999</v>
      </c>
      <c r="D15" s="284" t="s">
        <v>78</v>
      </c>
      <c r="E15" s="287">
        <f>F15/C15</f>
        <v>14035.275694315726</v>
      </c>
      <c r="F15" s="288">
        <f>Detallado!N55</f>
        <v>1817287.4968999999</v>
      </c>
      <c r="I15" s="280" t="s">
        <v>3141</v>
      </c>
    </row>
    <row r="16" spans="1:9" x14ac:dyDescent="0.2">
      <c r="A16" s="118" t="s">
        <v>2043</v>
      </c>
      <c r="B16" s="285" t="s">
        <v>1890</v>
      </c>
      <c r="C16" s="297">
        <f>+Detallado!F68</f>
        <v>129.47999999999999</v>
      </c>
      <c r="D16" s="284" t="s">
        <v>78</v>
      </c>
      <c r="E16" s="287">
        <f t="shared" ref="E16:E19" si="1">F16/C16</f>
        <v>23054.815136854886</v>
      </c>
      <c r="F16" s="288">
        <f>Detallado!N68</f>
        <v>2985137.4639199702</v>
      </c>
      <c r="I16" s="275" t="s">
        <v>3140</v>
      </c>
    </row>
    <row r="17" spans="1:9" x14ac:dyDescent="0.2">
      <c r="A17" s="118" t="s">
        <v>2044</v>
      </c>
      <c r="B17" s="286" t="s">
        <v>125</v>
      </c>
      <c r="C17" s="297">
        <f>+Detallado!F84</f>
        <v>1</v>
      </c>
      <c r="D17" s="284" t="s">
        <v>1393</v>
      </c>
      <c r="E17" s="287">
        <f t="shared" si="1"/>
        <v>0</v>
      </c>
      <c r="F17" s="288">
        <f>Detallado!N84</f>
        <v>0</v>
      </c>
      <c r="I17" s="275" t="s">
        <v>3142</v>
      </c>
    </row>
    <row r="18" spans="1:9" x14ac:dyDescent="0.2">
      <c r="A18" s="118" t="s">
        <v>2045</v>
      </c>
      <c r="B18" s="228" t="s">
        <v>1891</v>
      </c>
      <c r="C18" s="311">
        <f>+Detallado!F89</f>
        <v>132.88</v>
      </c>
      <c r="D18" s="118" t="s">
        <v>1393</v>
      </c>
      <c r="E18" s="287">
        <f t="shared" si="1"/>
        <v>10059.156747572635</v>
      </c>
      <c r="F18" s="288">
        <f>Detallado!N89</f>
        <v>1336660.7486174516</v>
      </c>
      <c r="I18" s="275" t="s">
        <v>3143</v>
      </c>
    </row>
    <row r="19" spans="1:9" x14ac:dyDescent="0.2">
      <c r="A19" s="118" t="s">
        <v>2046</v>
      </c>
      <c r="B19" s="106" t="s">
        <v>1892</v>
      </c>
      <c r="C19" s="311">
        <f>+Detallado!F101</f>
        <v>132.88</v>
      </c>
      <c r="D19" s="118" t="s">
        <v>1393</v>
      </c>
      <c r="E19" s="287">
        <f t="shared" si="1"/>
        <v>16814.018180484985</v>
      </c>
      <c r="F19" s="288">
        <f>Detallado!N101</f>
        <v>2234246.7358228448</v>
      </c>
      <c r="I19" s="275" t="s">
        <v>3144</v>
      </c>
    </row>
    <row r="20" spans="1:9" ht="15.75" thickBot="1" x14ac:dyDescent="0.25">
      <c r="B20" s="281"/>
      <c r="C20" s="592"/>
      <c r="D20" s="593"/>
      <c r="E20" s="593"/>
      <c r="F20" s="593"/>
    </row>
    <row r="21" spans="1:9" ht="15.75" thickTop="1" x14ac:dyDescent="0.2">
      <c r="B21" s="278" t="s">
        <v>1893</v>
      </c>
      <c r="C21" s="594">
        <f>C15</f>
        <v>129.47999999999999</v>
      </c>
      <c r="D21" s="595" t="s">
        <v>137</v>
      </c>
      <c r="E21" s="596">
        <f>+F21/C21</f>
        <v>64668.925280045311</v>
      </c>
      <c r="F21" s="597">
        <f>+SUBTOTAL(9,F15:F19)</f>
        <v>8373332.4452602658</v>
      </c>
    </row>
    <row r="22" spans="1:9" x14ac:dyDescent="0.2">
      <c r="B22" s="279"/>
      <c r="C22" s="598"/>
      <c r="D22" s="599"/>
      <c r="E22" s="600"/>
      <c r="F22" s="600"/>
    </row>
    <row r="23" spans="1:9" ht="17.25" x14ac:dyDescent="0.25">
      <c r="A23" s="616">
        <v>1.3</v>
      </c>
      <c r="B23" s="1121" t="s">
        <v>141</v>
      </c>
      <c r="C23" s="1121"/>
      <c r="D23" s="1121"/>
      <c r="E23" s="1121"/>
      <c r="F23" s="1121"/>
    </row>
    <row r="24" spans="1:9" x14ac:dyDescent="0.2">
      <c r="A24" s="135" t="s">
        <v>2047</v>
      </c>
      <c r="B24" s="103" t="s">
        <v>142</v>
      </c>
      <c r="C24" s="311">
        <f>+Detallado!F116</f>
        <v>44.8</v>
      </c>
      <c r="D24" s="118" t="s">
        <v>78</v>
      </c>
      <c r="E24" s="287">
        <f>F24/C24</f>
        <v>39643.023980223217</v>
      </c>
      <c r="F24" s="288">
        <f>Detallado!N116</f>
        <v>1776007.474314</v>
      </c>
      <c r="I24" s="275" t="s">
        <v>3074</v>
      </c>
    </row>
    <row r="25" spans="1:9" x14ac:dyDescent="0.2">
      <c r="A25" s="135" t="s">
        <v>2048</v>
      </c>
      <c r="B25" s="103" t="s">
        <v>1364</v>
      </c>
      <c r="C25" s="311">
        <f>+Detallado!F144</f>
        <v>16</v>
      </c>
      <c r="D25" s="118" t="s">
        <v>78</v>
      </c>
      <c r="E25" s="287">
        <f t="shared" ref="E25:E30" si="2">F25/C25</f>
        <v>41987.628641062496</v>
      </c>
      <c r="F25" s="288">
        <f>Detallado!N144</f>
        <v>671802.05825699994</v>
      </c>
      <c r="I25" s="275" t="s">
        <v>3075</v>
      </c>
    </row>
    <row r="26" spans="1:9" x14ac:dyDescent="0.2">
      <c r="A26" s="135" t="s">
        <v>2049</v>
      </c>
      <c r="B26" s="103" t="s">
        <v>162</v>
      </c>
      <c r="C26" s="311">
        <f>+Detallado!F168</f>
        <v>44.8</v>
      </c>
      <c r="D26" s="118" t="s">
        <v>78</v>
      </c>
      <c r="E26" s="287">
        <f t="shared" si="2"/>
        <v>12361.813961997768</v>
      </c>
      <c r="F26" s="288">
        <f>Detallado!N168</f>
        <v>553809.26549749996</v>
      </c>
      <c r="I26" s="275" t="s">
        <v>3076</v>
      </c>
    </row>
    <row r="27" spans="1:9" x14ac:dyDescent="0.2">
      <c r="A27" s="135" t="s">
        <v>2050</v>
      </c>
      <c r="B27" s="103" t="s">
        <v>167</v>
      </c>
      <c r="C27" s="311">
        <f>+Detallado!F175</f>
        <v>16</v>
      </c>
      <c r="D27" s="118" t="s">
        <v>78</v>
      </c>
      <c r="E27" s="287">
        <f t="shared" si="2"/>
        <v>0</v>
      </c>
      <c r="F27" s="288">
        <f>Detallado!N175</f>
        <v>0</v>
      </c>
      <c r="I27" s="275" t="s">
        <v>3077</v>
      </c>
    </row>
    <row r="28" spans="1:9" x14ac:dyDescent="0.2">
      <c r="A28" s="135" t="s">
        <v>2051</v>
      </c>
      <c r="B28" s="228" t="s">
        <v>181</v>
      </c>
      <c r="C28" s="311">
        <f>+Detallado!F187</f>
        <v>1</v>
      </c>
      <c r="D28" s="118" t="s">
        <v>1393</v>
      </c>
      <c r="E28" s="287">
        <f t="shared" si="2"/>
        <v>0</v>
      </c>
      <c r="F28" s="288">
        <f>Detallado!N187</f>
        <v>0</v>
      </c>
      <c r="I28" s="275" t="s">
        <v>3078</v>
      </c>
    </row>
    <row r="29" spans="1:9" x14ac:dyDescent="0.2">
      <c r="A29" s="135" t="s">
        <v>2052</v>
      </c>
      <c r="B29" s="103" t="s">
        <v>183</v>
      </c>
      <c r="C29" s="311">
        <f>+Detallado!F213</f>
        <v>1</v>
      </c>
      <c r="D29" s="118" t="s">
        <v>1393</v>
      </c>
      <c r="E29" s="287">
        <f t="shared" si="2"/>
        <v>401320.37253199995</v>
      </c>
      <c r="F29" s="288">
        <f>Detallado!N213</f>
        <v>401320.37253199995</v>
      </c>
      <c r="I29" s="275" t="s">
        <v>3079</v>
      </c>
    </row>
    <row r="30" spans="1:9" x14ac:dyDescent="0.2">
      <c r="A30" s="135" t="s">
        <v>2053</v>
      </c>
      <c r="B30" s="103" t="s">
        <v>1369</v>
      </c>
      <c r="C30" s="311">
        <f>+Detallado!F229</f>
        <v>1</v>
      </c>
      <c r="D30" s="118" t="s">
        <v>1393</v>
      </c>
      <c r="E30" s="287">
        <f t="shared" si="2"/>
        <v>0</v>
      </c>
      <c r="F30" s="288">
        <f>Detallado!N229</f>
        <v>0</v>
      </c>
      <c r="I30" s="275" t="s">
        <v>3080</v>
      </c>
    </row>
    <row r="31" spans="1:9" ht="15.75" thickBot="1" x14ac:dyDescent="0.25">
      <c r="B31" s="281"/>
      <c r="C31" s="601"/>
      <c r="D31" s="593"/>
      <c r="E31" s="593"/>
      <c r="F31" s="593"/>
    </row>
    <row r="32" spans="1:9" ht="15.75" thickTop="1" x14ac:dyDescent="0.2">
      <c r="B32" s="278" t="s">
        <v>1445</v>
      </c>
      <c r="C32" s="594">
        <f>C24+C25</f>
        <v>60.8</v>
      </c>
      <c r="D32" s="595" t="s">
        <v>137</v>
      </c>
      <c r="E32" s="596">
        <f>+F32/C32</f>
        <v>55969.394253297702</v>
      </c>
      <c r="F32" s="597">
        <f>+SUBTOTAL(9,F24:F30)</f>
        <v>3402939.1706005</v>
      </c>
    </row>
    <row r="34" spans="1:9" ht="17.25" x14ac:dyDescent="0.25">
      <c r="A34" s="465">
        <v>1.4</v>
      </c>
      <c r="B34" s="1121" t="s">
        <v>1895</v>
      </c>
      <c r="C34" s="1121"/>
      <c r="D34" s="1121"/>
      <c r="E34" s="1121"/>
      <c r="F34" s="1121"/>
    </row>
    <row r="35" spans="1:9" x14ac:dyDescent="0.2">
      <c r="A35" s="135" t="s">
        <v>2054</v>
      </c>
      <c r="B35" s="103" t="s">
        <v>1896</v>
      </c>
      <c r="C35" s="311">
        <f>+Detallado!F237</f>
        <v>1</v>
      </c>
      <c r="D35" s="118" t="s">
        <v>1393</v>
      </c>
      <c r="E35" s="287">
        <f>F35/C35</f>
        <v>697117.11140000005</v>
      </c>
      <c r="F35" s="288">
        <f>Detallado!N237</f>
        <v>697117.11140000005</v>
      </c>
      <c r="I35" s="275" t="s">
        <v>3081</v>
      </c>
    </row>
    <row r="36" spans="1:9" x14ac:dyDescent="0.2">
      <c r="A36" s="135" t="s">
        <v>2055</v>
      </c>
      <c r="B36" s="103" t="s">
        <v>244</v>
      </c>
      <c r="C36" s="311">
        <f>+Detallado!F248</f>
        <v>1</v>
      </c>
      <c r="D36" s="118" t="s">
        <v>1393</v>
      </c>
      <c r="E36" s="287">
        <f>F36/C36</f>
        <v>177676.51789999998</v>
      </c>
      <c r="F36" s="125">
        <f>Detallado!N248</f>
        <v>177676.51789999998</v>
      </c>
      <c r="I36" s="275" t="s">
        <v>3082</v>
      </c>
    </row>
    <row r="37" spans="1:9" ht="15.75" thickBot="1" x14ac:dyDescent="0.25">
      <c r="B37" s="281"/>
      <c r="C37" s="592"/>
      <c r="D37" s="593"/>
      <c r="E37" s="593"/>
      <c r="F37" s="593"/>
    </row>
    <row r="38" spans="1:9" ht="15.75" thickTop="1" x14ac:dyDescent="0.2">
      <c r="B38" s="278" t="s">
        <v>1897</v>
      </c>
      <c r="C38" s="594">
        <f>C35+C36</f>
        <v>2</v>
      </c>
      <c r="D38" s="595" t="s">
        <v>137</v>
      </c>
      <c r="E38" s="596">
        <f>+F38/C38</f>
        <v>437396.81465000001</v>
      </c>
      <c r="F38" s="597">
        <f>+SUBTOTAL(9,F35:F36)</f>
        <v>874793.62930000003</v>
      </c>
    </row>
    <row r="39" spans="1:9" x14ac:dyDescent="0.2">
      <c r="B39" s="279"/>
      <c r="C39" s="598"/>
      <c r="D39" s="599"/>
      <c r="E39" s="600"/>
      <c r="F39" s="600"/>
    </row>
    <row r="40" spans="1:9" ht="17.25" x14ac:dyDescent="0.25">
      <c r="A40" s="465">
        <v>1.5</v>
      </c>
      <c r="B40" s="1121" t="s">
        <v>1898</v>
      </c>
      <c r="C40" s="1121"/>
      <c r="D40" s="1121"/>
      <c r="E40" s="1121"/>
      <c r="F40" s="1121"/>
    </row>
    <row r="41" spans="1:9" x14ac:dyDescent="0.2">
      <c r="A41" s="118" t="s">
        <v>2056</v>
      </c>
      <c r="B41" s="103" t="s">
        <v>133</v>
      </c>
      <c r="C41" s="311">
        <f>+Detallado!F253</f>
        <v>1</v>
      </c>
      <c r="D41" s="118" t="s">
        <v>1393</v>
      </c>
      <c r="E41" s="287">
        <f>F41/C41</f>
        <v>928974.65689739201</v>
      </c>
      <c r="F41" s="288">
        <f>Detallado!N254</f>
        <v>928974.65689739201</v>
      </c>
      <c r="I41" s="275" t="s">
        <v>3083</v>
      </c>
    </row>
    <row r="42" spans="1:9" x14ac:dyDescent="0.2">
      <c r="A42" s="118" t="s">
        <v>2057</v>
      </c>
      <c r="B42" s="103" t="s">
        <v>134</v>
      </c>
      <c r="C42" s="311">
        <f>+Detallado!F269</f>
        <v>1</v>
      </c>
      <c r="D42" s="118" t="s">
        <v>1393</v>
      </c>
      <c r="E42" s="287">
        <f t="shared" ref="E42:E43" si="3">F42/C42</f>
        <v>241734.91666595999</v>
      </c>
      <c r="F42" s="288">
        <f>Detallado!N269</f>
        <v>241734.91666595999</v>
      </c>
    </row>
    <row r="43" spans="1:9" x14ac:dyDescent="0.2">
      <c r="A43" s="118" t="s">
        <v>2058</v>
      </c>
      <c r="B43" s="103" t="s">
        <v>136</v>
      </c>
      <c r="C43" s="311">
        <f>+Detallado!F282</f>
        <v>39.299999999999997</v>
      </c>
      <c r="D43" s="118" t="s">
        <v>78</v>
      </c>
      <c r="E43" s="287">
        <f t="shared" si="3"/>
        <v>35744.561744150895</v>
      </c>
      <c r="F43" s="288">
        <f>Detallado!N282</f>
        <v>1404761.2765451299</v>
      </c>
    </row>
    <row r="44" spans="1:9" x14ac:dyDescent="0.2">
      <c r="A44" s="118" t="s">
        <v>2059</v>
      </c>
      <c r="B44" s="103" t="s">
        <v>217</v>
      </c>
      <c r="C44" s="311">
        <f>+Detallado!F299</f>
        <v>8.5</v>
      </c>
      <c r="D44" s="118" t="s">
        <v>1076</v>
      </c>
      <c r="E44" s="287">
        <f t="shared" ref="E44:E45" si="4">F44/C44</f>
        <v>49735.733099344012</v>
      </c>
      <c r="F44" s="125">
        <f>Detallado!N299</f>
        <v>422753.73134442407</v>
      </c>
    </row>
    <row r="45" spans="1:9" x14ac:dyDescent="0.2">
      <c r="A45" s="118" t="s">
        <v>2060</v>
      </c>
      <c r="B45" s="103" t="s">
        <v>218</v>
      </c>
      <c r="C45" s="311">
        <f>+Detallado!F312</f>
        <v>12.24</v>
      </c>
      <c r="D45" s="118" t="s">
        <v>78</v>
      </c>
      <c r="E45" s="287">
        <f t="shared" si="4"/>
        <v>29200.873843792717</v>
      </c>
      <c r="F45" s="125">
        <f>Detallado!N312</f>
        <v>357418.69584802288</v>
      </c>
    </row>
    <row r="46" spans="1:9" ht="15.75" thickBot="1" x14ac:dyDescent="0.25">
      <c r="B46" s="281"/>
      <c r="C46" s="592"/>
      <c r="D46" s="593"/>
      <c r="E46" s="593"/>
      <c r="F46" s="593"/>
    </row>
    <row r="47" spans="1:9" ht="15.75" thickTop="1" x14ac:dyDescent="0.2">
      <c r="B47" s="618" t="s">
        <v>1899</v>
      </c>
      <c r="C47" s="619">
        <v>1</v>
      </c>
      <c r="D47" s="620" t="s">
        <v>1393</v>
      </c>
      <c r="E47" s="621">
        <f>+F47/C47</f>
        <v>3355643.2773009292</v>
      </c>
      <c r="F47" s="597">
        <f>+SUBTOTAL(9,F41:F45)</f>
        <v>3355643.2773009292</v>
      </c>
    </row>
    <row r="49" spans="1:6" ht="17.25" x14ac:dyDescent="0.2">
      <c r="A49" s="617">
        <v>1.6</v>
      </c>
      <c r="B49" s="1137" t="s">
        <v>187</v>
      </c>
      <c r="C49" s="1137"/>
      <c r="D49" s="1137"/>
      <c r="E49" s="1137"/>
      <c r="F49" s="1137"/>
    </row>
    <row r="50" spans="1:6" x14ac:dyDescent="0.2">
      <c r="A50" s="62" t="s">
        <v>2124</v>
      </c>
      <c r="B50" s="106" t="s">
        <v>1900</v>
      </c>
      <c r="C50" s="311">
        <f>+Detallado!F324+Detallado!F334+Detallado!F345</f>
        <v>52.55</v>
      </c>
      <c r="D50" s="118" t="s">
        <v>137</v>
      </c>
      <c r="E50" s="287">
        <f>F50/C50</f>
        <v>14426.915291189342</v>
      </c>
      <c r="F50" s="288">
        <f>Detallado!N323</f>
        <v>758134.39855199982</v>
      </c>
    </row>
    <row r="51" spans="1:6" x14ac:dyDescent="0.2">
      <c r="A51" s="62" t="s">
        <v>2125</v>
      </c>
      <c r="B51" s="106" t="s">
        <v>189</v>
      </c>
      <c r="C51" s="311">
        <f>+Detallado!F362+Detallado!F375</f>
        <v>52.9</v>
      </c>
      <c r="D51" s="118" t="s">
        <v>137</v>
      </c>
      <c r="E51" s="287">
        <f t="shared" ref="E51" si="5">F51/C51</f>
        <v>26804.394510396971</v>
      </c>
      <c r="F51" s="288">
        <f>Detallado!N361</f>
        <v>1417952.4695999997</v>
      </c>
    </row>
    <row r="52" spans="1:6" ht="15.75" thickBot="1" x14ac:dyDescent="0.25">
      <c r="B52" s="281"/>
      <c r="C52" s="611"/>
      <c r="D52" s="593"/>
      <c r="E52" s="593"/>
      <c r="F52" s="593"/>
    </row>
    <row r="53" spans="1:6" ht="15.75" thickTop="1" x14ac:dyDescent="0.2">
      <c r="B53" s="278" t="s">
        <v>1446</v>
      </c>
      <c r="C53" s="594">
        <f>C50+C51</f>
        <v>105.44999999999999</v>
      </c>
      <c r="D53" s="595" t="s">
        <v>137</v>
      </c>
      <c r="E53" s="596">
        <f>+F53/C53</f>
        <v>20636.195999544805</v>
      </c>
      <c r="F53" s="597">
        <f>+SUBTOTAL(9,F50:F51)</f>
        <v>2176086.8681519995</v>
      </c>
    </row>
    <row r="54" spans="1:6" ht="15.75" thickBot="1" x14ac:dyDescent="0.25">
      <c r="B54" s="279"/>
      <c r="C54" s="598"/>
      <c r="D54" s="599"/>
      <c r="E54" s="600"/>
      <c r="F54" s="600"/>
    </row>
    <row r="55" spans="1:6" ht="18" thickBot="1" x14ac:dyDescent="0.25">
      <c r="A55" s="459">
        <v>2</v>
      </c>
      <c r="B55" s="613" t="s">
        <v>373</v>
      </c>
      <c r="C55" s="613"/>
      <c r="D55" s="613"/>
      <c r="E55" s="614"/>
      <c r="F55" s="615"/>
    </row>
    <row r="56" spans="1:6" ht="17.25" x14ac:dyDescent="0.25">
      <c r="A56" s="465">
        <v>2.1</v>
      </c>
      <c r="B56" s="1121" t="s">
        <v>1901</v>
      </c>
      <c r="C56" s="1121"/>
      <c r="D56" s="1121"/>
      <c r="E56" s="1121"/>
      <c r="F56" s="1121"/>
    </row>
    <row r="57" spans="1:6" x14ac:dyDescent="0.2">
      <c r="A57" s="135" t="s">
        <v>2061</v>
      </c>
      <c r="B57" s="103" t="s">
        <v>193</v>
      </c>
      <c r="C57" s="311">
        <f>+Detallado!F395</f>
        <v>474.28249999999997</v>
      </c>
      <c r="D57" s="118" t="s">
        <v>137</v>
      </c>
      <c r="E57" s="287">
        <f>F57/C57</f>
        <v>4164.5255728389729</v>
      </c>
      <c r="F57" s="288">
        <f>Detallado!N395</f>
        <v>1975161.6</v>
      </c>
    </row>
    <row r="58" spans="1:6" x14ac:dyDescent="0.2">
      <c r="A58" s="135" t="s">
        <v>2062</v>
      </c>
      <c r="B58" s="103" t="s">
        <v>195</v>
      </c>
      <c r="C58" s="311">
        <f>+Detallado!F399</f>
        <v>225.01249999999999</v>
      </c>
      <c r="D58" s="118" t="s">
        <v>137</v>
      </c>
      <c r="E58" s="287">
        <f t="shared" ref="E58" si="6">F58/C58</f>
        <v>2368.214926281873</v>
      </c>
      <c r="F58" s="288">
        <f>Detallado!N399</f>
        <v>532877.96109999996</v>
      </c>
    </row>
    <row r="59" spans="1:6" ht="15.75" thickBot="1" x14ac:dyDescent="0.25">
      <c r="B59" s="281"/>
      <c r="C59" s="592"/>
      <c r="D59" s="593"/>
      <c r="E59" s="593"/>
      <c r="F59" s="593"/>
    </row>
    <row r="60" spans="1:6" ht="15.75" thickTop="1" x14ac:dyDescent="0.2">
      <c r="B60" s="278" t="s">
        <v>1447</v>
      </c>
      <c r="C60" s="594">
        <f>C57</f>
        <v>474.28249999999997</v>
      </c>
      <c r="D60" s="595" t="s">
        <v>137</v>
      </c>
      <c r="E60" s="596">
        <f>+F60/C60</f>
        <v>5288.0710570177062</v>
      </c>
      <c r="F60" s="597">
        <f>+SUBTOTAL(9,F57:F58)</f>
        <v>2508039.5611</v>
      </c>
    </row>
    <row r="61" spans="1:6" x14ac:dyDescent="0.2">
      <c r="B61" s="279"/>
      <c r="C61" s="598"/>
      <c r="D61" s="599"/>
      <c r="E61" s="600"/>
      <c r="F61" s="600"/>
    </row>
    <row r="62" spans="1:6" ht="17.25" x14ac:dyDescent="0.25">
      <c r="A62" s="616">
        <v>2.2000000000000002</v>
      </c>
      <c r="B62" s="1121" t="s">
        <v>1437</v>
      </c>
      <c r="C62" s="1121"/>
      <c r="D62" s="1121"/>
      <c r="E62" s="1121"/>
      <c r="F62" s="1121"/>
    </row>
    <row r="63" spans="1:6" x14ac:dyDescent="0.2">
      <c r="A63" s="135" t="s">
        <v>2063</v>
      </c>
      <c r="B63" s="103" t="s">
        <v>1902</v>
      </c>
      <c r="C63" s="311">
        <f>+Detallado!F407</f>
        <v>121.6</v>
      </c>
      <c r="D63" s="118" t="s">
        <v>137</v>
      </c>
      <c r="E63" s="287">
        <f>F63/C63</f>
        <v>12090.923148026317</v>
      </c>
      <c r="F63" s="125">
        <f>Detallado!N407</f>
        <v>1470256.2548</v>
      </c>
    </row>
    <row r="65" spans="1:6" ht="15.75" thickTop="1" x14ac:dyDescent="0.2">
      <c r="B65" s="278" t="s">
        <v>1448</v>
      </c>
      <c r="C65" s="594">
        <f>C63</f>
        <v>121.6</v>
      </c>
      <c r="D65" s="595" t="s">
        <v>137</v>
      </c>
      <c r="E65" s="596">
        <f>+F65/C65</f>
        <v>12090.923148026317</v>
      </c>
      <c r="F65" s="597">
        <f>+SUBTOTAL(9,F63)</f>
        <v>1470256.2548</v>
      </c>
    </row>
    <row r="66" spans="1:6" x14ac:dyDescent="0.2">
      <c r="B66" s="279"/>
      <c r="C66" s="598"/>
      <c r="D66" s="599"/>
      <c r="E66" s="600"/>
      <c r="F66" s="600"/>
    </row>
    <row r="67" spans="1:6" ht="17.25" x14ac:dyDescent="0.25">
      <c r="A67" s="616">
        <v>2.2999999999999998</v>
      </c>
      <c r="B67" s="1121" t="s">
        <v>1903</v>
      </c>
      <c r="C67" s="1121"/>
      <c r="D67" s="1121"/>
      <c r="E67" s="1121"/>
      <c r="F67" s="1121"/>
    </row>
    <row r="68" spans="1:6" x14ac:dyDescent="0.2">
      <c r="A68" s="135" t="s">
        <v>2064</v>
      </c>
      <c r="B68" s="103" t="s">
        <v>1904</v>
      </c>
      <c r="C68" s="311">
        <f>+Detallado!F429</f>
        <v>538.38249999999994</v>
      </c>
      <c r="D68" s="118" t="s">
        <v>78</v>
      </c>
      <c r="E68" s="287">
        <f>F68/C68</f>
        <v>2826.3317240363494</v>
      </c>
      <c r="F68" s="288">
        <f>+Detallado!N429</f>
        <v>1521647.5394159998</v>
      </c>
    </row>
    <row r="69" spans="1:6" x14ac:dyDescent="0.2">
      <c r="A69" s="135" t="s">
        <v>2126</v>
      </c>
      <c r="B69" s="103" t="s">
        <v>222</v>
      </c>
      <c r="C69" s="311">
        <f>+Detallado!F452</f>
        <v>55.7</v>
      </c>
      <c r="D69" s="118" t="s">
        <v>1393</v>
      </c>
      <c r="E69" s="287">
        <f>F69/C69</f>
        <v>19367.057064631954</v>
      </c>
      <c r="F69" s="288">
        <f>Detallado!N452</f>
        <v>1078745.0784999998</v>
      </c>
    </row>
    <row r="70" spans="1:6" x14ac:dyDescent="0.2">
      <c r="A70" s="135" t="s">
        <v>2127</v>
      </c>
      <c r="B70" s="103" t="s">
        <v>224</v>
      </c>
      <c r="C70" s="311">
        <f>+Detallado!F462</f>
        <v>1</v>
      </c>
      <c r="D70" s="118" t="s">
        <v>1393</v>
      </c>
      <c r="E70" s="287">
        <f>F70/C70</f>
        <v>310500</v>
      </c>
      <c r="F70" s="288">
        <f>Detallado!N462</f>
        <v>310500</v>
      </c>
    </row>
    <row r="71" spans="1:6" ht="15.75" thickBot="1" x14ac:dyDescent="0.25">
      <c r="B71" s="281"/>
      <c r="C71" s="602"/>
      <c r="D71" s="593"/>
      <c r="E71" s="593"/>
      <c r="F71" s="593"/>
    </row>
    <row r="72" spans="1:6" ht="15.75" thickTop="1" x14ac:dyDescent="0.2">
      <c r="B72" s="278" t="s">
        <v>1439</v>
      </c>
      <c r="C72" s="594">
        <v>1</v>
      </c>
      <c r="D72" s="595" t="s">
        <v>1393</v>
      </c>
      <c r="E72" s="596">
        <f>+F72/C72</f>
        <v>2910892.6179159996</v>
      </c>
      <c r="F72" s="597">
        <f>+SUBTOTAL(9,F68:F70)</f>
        <v>2910892.6179159996</v>
      </c>
    </row>
    <row r="73" spans="1:6" x14ac:dyDescent="0.2">
      <c r="B73" s="279"/>
      <c r="C73" s="598"/>
      <c r="D73" s="599"/>
      <c r="E73" s="600"/>
      <c r="F73" s="600"/>
    </row>
    <row r="74" spans="1:6" ht="17.25" x14ac:dyDescent="0.25">
      <c r="A74" s="616">
        <v>2.4</v>
      </c>
      <c r="B74" s="1121" t="s">
        <v>1905</v>
      </c>
      <c r="C74" s="1121"/>
      <c r="D74" s="1121"/>
      <c r="E74" s="1121"/>
      <c r="F74" s="1121"/>
    </row>
    <row r="75" spans="1:6" x14ac:dyDescent="0.2">
      <c r="A75" s="135" t="s">
        <v>2065</v>
      </c>
      <c r="B75" s="103" t="s">
        <v>1906</v>
      </c>
      <c r="C75" s="311">
        <f>+Detallado!F466</f>
        <v>1</v>
      </c>
      <c r="D75" s="118" t="s">
        <v>78</v>
      </c>
      <c r="E75" s="287">
        <f>F75/C75</f>
        <v>0</v>
      </c>
      <c r="F75" s="288"/>
    </row>
    <row r="76" spans="1:6" x14ac:dyDescent="0.2">
      <c r="A76" s="135" t="s">
        <v>2066</v>
      </c>
      <c r="B76" s="103" t="s">
        <v>1907</v>
      </c>
      <c r="C76" s="311">
        <f>+Detallado!F466</f>
        <v>1</v>
      </c>
      <c r="D76" s="118" t="s">
        <v>78</v>
      </c>
      <c r="E76" s="287">
        <f>F76/C76</f>
        <v>0</v>
      </c>
      <c r="F76" s="288"/>
    </row>
    <row r="77" spans="1:6" ht="15.75" thickBot="1" x14ac:dyDescent="0.25">
      <c r="B77" s="281"/>
      <c r="C77" s="602"/>
      <c r="D77" s="593"/>
      <c r="E77" s="593"/>
      <c r="F77" s="593"/>
    </row>
    <row r="78" spans="1:6" ht="15.75" thickTop="1" x14ac:dyDescent="0.2">
      <c r="B78" s="278" t="s">
        <v>1908</v>
      </c>
      <c r="C78" s="594">
        <v>1</v>
      </c>
      <c r="D78" s="595" t="s">
        <v>1393</v>
      </c>
      <c r="E78" s="596">
        <f>+F78/C78</f>
        <v>0</v>
      </c>
      <c r="F78" s="597">
        <f>+SUBTOTAL(9,F75:F76)</f>
        <v>0</v>
      </c>
    </row>
    <row r="79" spans="1:6" x14ac:dyDescent="0.2">
      <c r="B79" s="279"/>
      <c r="C79" s="598"/>
      <c r="D79" s="599"/>
      <c r="E79" s="600"/>
      <c r="F79" s="600"/>
    </row>
    <row r="80" spans="1:6" ht="17.25" x14ac:dyDescent="0.25">
      <c r="A80" s="616">
        <v>2.5</v>
      </c>
      <c r="B80" s="1121" t="s">
        <v>225</v>
      </c>
      <c r="C80" s="1121"/>
      <c r="D80" s="1121"/>
      <c r="E80" s="1121"/>
      <c r="F80" s="1121"/>
    </row>
    <row r="81" spans="1:6" x14ac:dyDescent="0.2">
      <c r="A81" s="135" t="s">
        <v>2067</v>
      </c>
      <c r="B81" s="103" t="s">
        <v>225</v>
      </c>
      <c r="C81" s="311">
        <f>+Detallado!F471</f>
        <v>21.005000000000003</v>
      </c>
      <c r="D81" s="118" t="s">
        <v>137</v>
      </c>
      <c r="E81" s="125">
        <f t="shared" ref="E81" si="7">F81/C81</f>
        <v>54797.19947631516</v>
      </c>
      <c r="F81" s="125">
        <f>Detallado!N471</f>
        <v>1151015.175</v>
      </c>
    </row>
    <row r="82" spans="1:6" ht="15.75" thickBot="1" x14ac:dyDescent="0.25">
      <c r="B82" s="281"/>
      <c r="C82" s="601"/>
      <c r="D82" s="593"/>
      <c r="E82" s="593"/>
      <c r="F82" s="593"/>
    </row>
    <row r="83" spans="1:6" ht="15.75" thickTop="1" x14ac:dyDescent="0.2">
      <c r="B83" s="278" t="s">
        <v>1453</v>
      </c>
      <c r="C83" s="594">
        <f>C81</f>
        <v>21.005000000000003</v>
      </c>
      <c r="D83" s="595" t="s">
        <v>137</v>
      </c>
      <c r="E83" s="596">
        <f>+F83/C83</f>
        <v>54797.19947631516</v>
      </c>
      <c r="F83" s="597">
        <f>+SUBTOTAL(9,F81)</f>
        <v>1151015.175</v>
      </c>
    </row>
    <row r="84" spans="1:6" x14ac:dyDescent="0.2">
      <c r="B84" s="279"/>
      <c r="C84" s="598"/>
      <c r="D84" s="599"/>
      <c r="E84" s="600"/>
      <c r="F84" s="600"/>
    </row>
    <row r="85" spans="1:6" ht="17.25" x14ac:dyDescent="0.25">
      <c r="A85" s="616">
        <v>2.6</v>
      </c>
      <c r="B85" s="1121" t="s">
        <v>207</v>
      </c>
      <c r="C85" s="1121"/>
      <c r="D85" s="1121"/>
      <c r="E85" s="1121"/>
      <c r="F85" s="1121"/>
    </row>
    <row r="86" spans="1:6" x14ac:dyDescent="0.2">
      <c r="A86" s="135" t="s">
        <v>2068</v>
      </c>
      <c r="B86" s="103" t="s">
        <v>208</v>
      </c>
      <c r="C86" s="311">
        <f>+Detallado!F477</f>
        <v>1</v>
      </c>
      <c r="D86" s="118" t="s">
        <v>1024</v>
      </c>
      <c r="E86" s="287">
        <f>F86/C86</f>
        <v>2374677.8556098337</v>
      </c>
      <c r="F86" s="125">
        <f>Detallado!N477</f>
        <v>2374677.8556098337</v>
      </c>
    </row>
    <row r="87" spans="1:6" x14ac:dyDescent="0.2">
      <c r="A87" s="135" t="s">
        <v>2128</v>
      </c>
      <c r="B87" s="103" t="s">
        <v>209</v>
      </c>
      <c r="C87" s="311">
        <f>+Detallado!F513</f>
        <v>1</v>
      </c>
      <c r="D87" s="118" t="s">
        <v>1393</v>
      </c>
      <c r="E87" s="287">
        <f>F87/C87</f>
        <v>2176367.3214999996</v>
      </c>
      <c r="F87" s="125">
        <f>Detallado!N513</f>
        <v>2176367.3214999996</v>
      </c>
    </row>
    <row r="88" spans="1:6" ht="15.75" thickBot="1" x14ac:dyDescent="0.25">
      <c r="B88" s="281"/>
      <c r="C88" s="294"/>
      <c r="D88" s="593"/>
      <c r="E88" s="593"/>
      <c r="F88" s="593"/>
    </row>
    <row r="89" spans="1:6" ht="15.75" thickTop="1" x14ac:dyDescent="0.2">
      <c r="B89" s="278" t="s">
        <v>1449</v>
      </c>
      <c r="C89" s="594">
        <v>1</v>
      </c>
      <c r="D89" s="595" t="s">
        <v>1393</v>
      </c>
      <c r="E89" s="596">
        <f>+F89/C89</f>
        <v>4551045.1771098338</v>
      </c>
      <c r="F89" s="597">
        <f>+SUBTOTAL(9,F86:F87)</f>
        <v>4551045.1771098338</v>
      </c>
    </row>
    <row r="90" spans="1:6" x14ac:dyDescent="0.2">
      <c r="B90" s="279"/>
      <c r="C90" s="598"/>
      <c r="D90" s="599"/>
      <c r="E90" s="600"/>
      <c r="F90" s="600"/>
    </row>
    <row r="91" spans="1:6" ht="17.25" x14ac:dyDescent="0.25">
      <c r="A91" s="616">
        <v>2.7</v>
      </c>
      <c r="B91" s="1121" t="s">
        <v>1909</v>
      </c>
      <c r="C91" s="1121"/>
      <c r="D91" s="1121"/>
      <c r="E91" s="1121"/>
      <c r="F91" s="1121"/>
    </row>
    <row r="92" spans="1:6" x14ac:dyDescent="0.2">
      <c r="A92" s="135" t="s">
        <v>2069</v>
      </c>
      <c r="B92" s="103" t="s">
        <v>221</v>
      </c>
      <c r="C92" s="311">
        <f>+Detallado!F525</f>
        <v>1</v>
      </c>
      <c r="D92" s="118" t="s">
        <v>1024</v>
      </c>
      <c r="E92" s="287">
        <f t="shared" ref="E92" si="8">F92/C92</f>
        <v>746941.46177699999</v>
      </c>
      <c r="F92" s="288">
        <f>Detallado!N526</f>
        <v>746941.46177699999</v>
      </c>
    </row>
    <row r="93" spans="1:6" ht="15.75" thickBot="1" x14ac:dyDescent="0.25">
      <c r="B93" s="281"/>
      <c r="C93" s="592"/>
      <c r="D93" s="593"/>
      <c r="E93" s="593"/>
      <c r="F93" s="593"/>
    </row>
    <row r="94" spans="1:6" ht="15.75" thickTop="1" x14ac:dyDescent="0.2">
      <c r="B94" s="278" t="s">
        <v>1457</v>
      </c>
      <c r="C94" s="594">
        <v>1</v>
      </c>
      <c r="D94" s="595" t="s">
        <v>1393</v>
      </c>
      <c r="E94" s="596">
        <f>+F94/C94</f>
        <v>746941.46177699999</v>
      </c>
      <c r="F94" s="597">
        <f>+SUBTOTAL(9,F92)</f>
        <v>746941.46177699999</v>
      </c>
    </row>
    <row r="95" spans="1:6" x14ac:dyDescent="0.2">
      <c r="B95" s="279"/>
      <c r="C95" s="598"/>
      <c r="D95" s="599"/>
      <c r="E95" s="600"/>
      <c r="F95" s="600"/>
    </row>
    <row r="96" spans="1:6" ht="17.25" x14ac:dyDescent="0.25">
      <c r="A96" s="616">
        <v>2.8</v>
      </c>
      <c r="B96" s="1121" t="s">
        <v>215</v>
      </c>
      <c r="C96" s="1121"/>
      <c r="D96" s="1121"/>
      <c r="E96" s="1121"/>
      <c r="F96" s="1121"/>
    </row>
    <row r="97" spans="1:8" x14ac:dyDescent="0.2">
      <c r="A97" s="135" t="s">
        <v>2070</v>
      </c>
      <c r="B97" s="103" t="s">
        <v>215</v>
      </c>
      <c r="C97" s="311">
        <f>+Detallado!F549</f>
        <v>36.339999999999989</v>
      </c>
      <c r="D97" s="118" t="s">
        <v>78</v>
      </c>
      <c r="E97" s="287">
        <f>F97/C97</f>
        <v>9514.7655979636766</v>
      </c>
      <c r="F97" s="125">
        <f>Detallado!N549</f>
        <v>345766.58182999992</v>
      </c>
    </row>
    <row r="98" spans="1:8" ht="15.75" thickBot="1" x14ac:dyDescent="0.25">
      <c r="B98" s="281"/>
      <c r="C98" s="601"/>
      <c r="D98" s="593"/>
      <c r="E98" s="593"/>
      <c r="F98" s="593"/>
    </row>
    <row r="99" spans="1:8" ht="15.75" thickTop="1" x14ac:dyDescent="0.2">
      <c r="B99" s="278" t="s">
        <v>1450</v>
      </c>
      <c r="C99" s="594">
        <v>1</v>
      </c>
      <c r="D99" s="595" t="s">
        <v>1393</v>
      </c>
      <c r="E99" s="596">
        <f>+F99/C99</f>
        <v>345766.58182999992</v>
      </c>
      <c r="F99" s="597">
        <f>+SUBTOTAL(9,F97:F98)</f>
        <v>345766.58182999992</v>
      </c>
    </row>
    <row r="100" spans="1:8" ht="15.75" thickBot="1" x14ac:dyDescent="0.25">
      <c r="B100" s="279"/>
      <c r="C100" s="598"/>
      <c r="D100" s="599"/>
      <c r="E100" s="600"/>
      <c r="F100" s="600"/>
    </row>
    <row r="101" spans="1:8" ht="18" thickBot="1" x14ac:dyDescent="0.25">
      <c r="A101" s="459">
        <v>3</v>
      </c>
      <c r="B101" s="458" t="s">
        <v>2071</v>
      </c>
      <c r="C101" s="458"/>
      <c r="D101" s="458"/>
      <c r="E101" s="460"/>
      <c r="F101" s="461"/>
    </row>
    <row r="102" spans="1:8" ht="17.25" x14ac:dyDescent="0.25">
      <c r="A102" s="465">
        <v>3.1</v>
      </c>
      <c r="B102" s="1138" t="s">
        <v>227</v>
      </c>
      <c r="C102" s="1138"/>
      <c r="D102" s="1138"/>
      <c r="E102" s="1138"/>
      <c r="F102" s="1138"/>
    </row>
    <row r="103" spans="1:8" x14ac:dyDescent="0.2">
      <c r="A103" s="135" t="s">
        <v>2072</v>
      </c>
      <c r="B103" s="103" t="s">
        <v>228</v>
      </c>
      <c r="C103" s="311">
        <f>+Detallado!F559</f>
        <v>1</v>
      </c>
      <c r="D103" s="118" t="s">
        <v>1393</v>
      </c>
      <c r="E103" s="287">
        <f>F103/C103</f>
        <v>352382.47220299998</v>
      </c>
      <c r="F103" s="288">
        <f>Detallado!N559</f>
        <v>352382.47220299998</v>
      </c>
    </row>
    <row r="104" spans="1:8" x14ac:dyDescent="0.2">
      <c r="A104" s="135" t="s">
        <v>2073</v>
      </c>
      <c r="B104" s="103" t="s">
        <v>230</v>
      </c>
      <c r="C104" s="311">
        <f>+Detallado!F583</f>
        <v>1</v>
      </c>
      <c r="D104" s="118" t="s">
        <v>1393</v>
      </c>
      <c r="E104" s="287">
        <f t="shared" ref="E104:E112" si="9">F104/C104</f>
        <v>204555.702918</v>
      </c>
      <c r="F104" s="288">
        <f>+Detallado!N583</f>
        <v>204555.702918</v>
      </c>
    </row>
    <row r="105" spans="1:8" x14ac:dyDescent="0.2">
      <c r="A105" s="135" t="s">
        <v>2074</v>
      </c>
      <c r="B105" s="103" t="s">
        <v>3275</v>
      </c>
      <c r="C105" s="311">
        <f>+Detallado!F609</f>
        <v>1</v>
      </c>
      <c r="D105" s="118" t="s">
        <v>1393</v>
      </c>
      <c r="E105" s="287">
        <f t="shared" si="9"/>
        <v>105474.430859</v>
      </c>
      <c r="F105" s="288">
        <f>+Detallado!N609</f>
        <v>105474.430859</v>
      </c>
    </row>
    <row r="106" spans="1:8" x14ac:dyDescent="0.2">
      <c r="A106" s="135" t="s">
        <v>2075</v>
      </c>
      <c r="B106" s="103" t="s">
        <v>3278</v>
      </c>
      <c r="C106" s="311">
        <f>+Detallado!F635</f>
        <v>1</v>
      </c>
      <c r="D106" s="118" t="s">
        <v>1393</v>
      </c>
      <c r="E106" s="287">
        <f t="shared" si="9"/>
        <v>64967.907102999998</v>
      </c>
      <c r="F106" s="587">
        <f>+Detallado!N635</f>
        <v>64967.907102999998</v>
      </c>
    </row>
    <row r="107" spans="1:8" x14ac:dyDescent="0.2">
      <c r="A107" s="135" t="s">
        <v>2076</v>
      </c>
      <c r="B107" s="103" t="s">
        <v>235</v>
      </c>
      <c r="C107" s="311">
        <f>+Detallado!F662</f>
        <v>1</v>
      </c>
      <c r="D107" s="118" t="s">
        <v>1393</v>
      </c>
      <c r="E107" s="287">
        <f t="shared" si="9"/>
        <v>408311.24839999987</v>
      </c>
      <c r="F107" s="288">
        <f>+Detallado!N662</f>
        <v>408311.24839999987</v>
      </c>
      <c r="H107" s="872" t="s">
        <v>3551</v>
      </c>
    </row>
    <row r="108" spans="1:8" x14ac:dyDescent="0.2">
      <c r="A108" s="135" t="s">
        <v>2077</v>
      </c>
      <c r="B108" s="103" t="s">
        <v>233</v>
      </c>
      <c r="C108" s="311">
        <f>+Detallado!F696</f>
        <v>1</v>
      </c>
      <c r="D108" s="118" t="s">
        <v>1393</v>
      </c>
      <c r="E108" s="287">
        <f t="shared" si="9"/>
        <v>140787.23539999998</v>
      </c>
      <c r="F108" s="288">
        <f>+Detallado!N696</f>
        <v>140787.23539999998</v>
      </c>
      <c r="H108" s="870">
        <f>F12</f>
        <v>3166186.7121498799</v>
      </c>
    </row>
    <row r="109" spans="1:8" x14ac:dyDescent="0.2">
      <c r="A109" s="135" t="s">
        <v>2078</v>
      </c>
      <c r="B109" s="103" t="s">
        <v>236</v>
      </c>
      <c r="C109" s="311">
        <f>+Detallado!F729</f>
        <v>1</v>
      </c>
      <c r="D109" s="118" t="s">
        <v>1393</v>
      </c>
      <c r="E109" s="287">
        <f t="shared" si="9"/>
        <v>172931.51557499997</v>
      </c>
      <c r="F109" s="288">
        <f>+Detallado!N729</f>
        <v>172931.51557499997</v>
      </c>
      <c r="H109" s="870">
        <f>F21</f>
        <v>8373332.4452602658</v>
      </c>
    </row>
    <row r="110" spans="1:8" x14ac:dyDescent="0.2">
      <c r="A110" s="135" t="s">
        <v>2079</v>
      </c>
      <c r="B110" s="103" t="s">
        <v>237</v>
      </c>
      <c r="C110" s="311">
        <f>+Detallado!F747</f>
        <v>1</v>
      </c>
      <c r="D110" s="118" t="s">
        <v>1393</v>
      </c>
      <c r="E110" s="287">
        <f t="shared" ref="E110:E111" si="10">F110/C110</f>
        <v>842258.97160000005</v>
      </c>
      <c r="F110" s="288">
        <f>+Detallado!N747</f>
        <v>842258.97160000005</v>
      </c>
      <c r="H110" s="870">
        <f>F32</f>
        <v>3402939.1706005</v>
      </c>
    </row>
    <row r="111" spans="1:8" x14ac:dyDescent="0.2">
      <c r="A111" s="135" t="s">
        <v>2080</v>
      </c>
      <c r="B111" s="103" t="s">
        <v>238</v>
      </c>
      <c r="C111" s="311">
        <f>+Detallado!F769</f>
        <v>1</v>
      </c>
      <c r="D111" s="118" t="s">
        <v>1393</v>
      </c>
      <c r="E111" s="287">
        <f t="shared" si="10"/>
        <v>680570.39269999985</v>
      </c>
      <c r="F111" s="288">
        <f>+Detallado!N769</f>
        <v>680570.39269999985</v>
      </c>
      <c r="H111" s="870">
        <f>F38</f>
        <v>874793.62930000003</v>
      </c>
    </row>
    <row r="112" spans="1:8" x14ac:dyDescent="0.2">
      <c r="A112" s="135" t="s">
        <v>3338</v>
      </c>
      <c r="B112" s="103" t="s">
        <v>239</v>
      </c>
      <c r="C112" s="311">
        <f>+Detallado!F800</f>
        <v>1</v>
      </c>
      <c r="D112" s="118" t="s">
        <v>1393</v>
      </c>
      <c r="E112" s="287">
        <f t="shared" si="9"/>
        <v>1506522.4593999998</v>
      </c>
      <c r="F112" s="288">
        <f>+Detallado!N800</f>
        <v>1506522.4593999998</v>
      </c>
      <c r="H112" s="870">
        <f>F47</f>
        <v>3355643.2773009292</v>
      </c>
    </row>
    <row r="113" spans="1:10" x14ac:dyDescent="0.2">
      <c r="H113" s="871">
        <f>F53</f>
        <v>2176086.8681519995</v>
      </c>
    </row>
    <row r="114" spans="1:10" x14ac:dyDescent="0.2">
      <c r="B114" s="278" t="s">
        <v>1451</v>
      </c>
      <c r="C114" s="594">
        <v>1</v>
      </c>
      <c r="D114" s="595" t="s">
        <v>1393</v>
      </c>
      <c r="E114" s="596">
        <f>+F114/C114</f>
        <v>4478762.3361579999</v>
      </c>
      <c r="F114" s="597">
        <f>+SUBTOTAL(9,F103:F113)</f>
        <v>4478762.3361579999</v>
      </c>
    </row>
    <row r="115" spans="1:10" x14ac:dyDescent="0.2">
      <c r="B115" s="279"/>
      <c r="C115" s="598"/>
      <c r="D115" s="599"/>
      <c r="E115" s="600"/>
      <c r="F115" s="600"/>
      <c r="H115" s="870">
        <f>F60</f>
        <v>2508039.5611</v>
      </c>
    </row>
    <row r="116" spans="1:10" ht="17.25" x14ac:dyDescent="0.25">
      <c r="A116" s="616">
        <v>3.2</v>
      </c>
      <c r="B116" s="1121" t="s">
        <v>240</v>
      </c>
      <c r="C116" s="1121"/>
      <c r="D116" s="1121"/>
      <c r="E116" s="1121"/>
      <c r="F116" s="1121"/>
      <c r="H116" s="870">
        <f>F65</f>
        <v>1470256.2548</v>
      </c>
    </row>
    <row r="117" spans="1:10" x14ac:dyDescent="0.2">
      <c r="A117" s="135" t="s">
        <v>2081</v>
      </c>
      <c r="B117" s="103" t="s">
        <v>3359</v>
      </c>
      <c r="C117" s="311">
        <f>+Detallado!F822</f>
        <v>1</v>
      </c>
      <c r="D117" s="118" t="s">
        <v>1393</v>
      </c>
      <c r="E117" s="287">
        <f>F117/C117</f>
        <v>338833.90499999991</v>
      </c>
      <c r="F117" s="125">
        <f>+Detallado!N822</f>
        <v>338833.90499999991</v>
      </c>
      <c r="H117" s="870">
        <f>F72</f>
        <v>2910892.6179159996</v>
      </c>
    </row>
    <row r="118" spans="1:10" x14ac:dyDescent="0.2">
      <c r="A118" s="135" t="s">
        <v>2082</v>
      </c>
      <c r="B118" s="103" t="s">
        <v>3370</v>
      </c>
      <c r="C118" s="311">
        <f>+Detallado!F843</f>
        <v>1</v>
      </c>
      <c r="D118" s="118" t="s">
        <v>1393</v>
      </c>
      <c r="E118" s="287">
        <f t="shared" ref="E118:E119" si="11">F118/C118</f>
        <v>150804.5085</v>
      </c>
      <c r="F118" s="125">
        <f>+Detallado!N843</f>
        <v>150804.5085</v>
      </c>
      <c r="H118" s="870">
        <f>F78</f>
        <v>0</v>
      </c>
    </row>
    <row r="119" spans="1:10" x14ac:dyDescent="0.2">
      <c r="A119" s="135" t="s">
        <v>3371</v>
      </c>
      <c r="B119" s="106" t="s">
        <v>3372</v>
      </c>
      <c r="C119" s="323">
        <f>+Detallado!F860</f>
        <v>1</v>
      </c>
      <c r="D119" s="284" t="s">
        <v>1393</v>
      </c>
      <c r="E119" s="287">
        <f t="shared" si="11"/>
        <v>0</v>
      </c>
      <c r="F119" s="288">
        <f>+Detallado!N860</f>
        <v>0</v>
      </c>
      <c r="H119" s="870">
        <f>F83</f>
        <v>1151015.175</v>
      </c>
    </row>
    <row r="120" spans="1:10" x14ac:dyDescent="0.2">
      <c r="A120" s="135" t="s">
        <v>3373</v>
      </c>
      <c r="B120" s="103" t="s">
        <v>3374</v>
      </c>
      <c r="C120" s="311">
        <f>+Detallado!F875</f>
        <v>1</v>
      </c>
      <c r="D120" s="118" t="s">
        <v>1393</v>
      </c>
      <c r="E120" s="287">
        <f>F120/C120</f>
        <v>0</v>
      </c>
      <c r="F120" s="125">
        <f>+Detallado!N875</f>
        <v>0</v>
      </c>
      <c r="H120" s="870">
        <f>F89</f>
        <v>4551045.1771098338</v>
      </c>
    </row>
    <row r="121" spans="1:10" x14ac:dyDescent="0.2">
      <c r="A121" s="135" t="s">
        <v>2083</v>
      </c>
      <c r="B121" s="103" t="s">
        <v>1915</v>
      </c>
      <c r="C121" s="311">
        <f>+Detallado!F891</f>
        <v>1</v>
      </c>
      <c r="D121" s="118" t="s">
        <v>1393</v>
      </c>
      <c r="E121" s="287">
        <f t="shared" ref="E121:E124" si="12">F121/C121</f>
        <v>41226.479299999999</v>
      </c>
      <c r="F121" s="125">
        <f>+Detallado!N891</f>
        <v>41226.479299999999</v>
      </c>
      <c r="H121" s="870">
        <f>F94</f>
        <v>746941.46177699999</v>
      </c>
    </row>
    <row r="122" spans="1:10" x14ac:dyDescent="0.2">
      <c r="A122" s="135" t="s">
        <v>2084</v>
      </c>
      <c r="B122" s="106" t="s">
        <v>242</v>
      </c>
      <c r="C122" s="323">
        <f>+Detallado!F822</f>
        <v>1</v>
      </c>
      <c r="D122" s="284" t="s">
        <v>1393</v>
      </c>
      <c r="E122" s="287">
        <f t="shared" si="12"/>
        <v>373963.28041499993</v>
      </c>
      <c r="F122" s="288">
        <f>+Detallado!N911</f>
        <v>373963.28041499993</v>
      </c>
      <c r="H122" s="870">
        <f>F99</f>
        <v>345766.58182999992</v>
      </c>
    </row>
    <row r="123" spans="1:10" x14ac:dyDescent="0.2">
      <c r="A123" s="135" t="s">
        <v>3389</v>
      </c>
      <c r="B123" s="106" t="s">
        <v>246</v>
      </c>
      <c r="C123" s="323">
        <f>+Detallado!F930</f>
        <v>1</v>
      </c>
      <c r="D123" s="284" t="s">
        <v>1393</v>
      </c>
      <c r="E123" s="287">
        <f t="shared" ref="E123" si="13">F123/C123</f>
        <v>174361.1145</v>
      </c>
      <c r="F123" s="288">
        <f>+Detallado!N930</f>
        <v>174361.1145</v>
      </c>
    </row>
    <row r="124" spans="1:10" x14ac:dyDescent="0.2">
      <c r="A124" s="135" t="s">
        <v>3390</v>
      </c>
      <c r="B124" s="106" t="s">
        <v>3386</v>
      </c>
      <c r="C124" s="323">
        <f>+Detallado!F943</f>
        <v>1</v>
      </c>
      <c r="D124" s="284" t="s">
        <v>1393</v>
      </c>
      <c r="E124" s="287">
        <f t="shared" si="12"/>
        <v>151045.53419999999</v>
      </c>
      <c r="F124" s="288">
        <f>+Detallado!N943</f>
        <v>151045.53419999999</v>
      </c>
      <c r="H124" s="870">
        <f>F114</f>
        <v>4478762.3361579999</v>
      </c>
    </row>
    <row r="125" spans="1:10" ht="15.75" thickBot="1" x14ac:dyDescent="0.25">
      <c r="B125" s="281"/>
      <c r="C125" s="592"/>
      <c r="D125" s="593"/>
      <c r="E125" s="593"/>
      <c r="F125" s="593"/>
      <c r="H125" s="870">
        <f>F126</f>
        <v>1230234.8219149997</v>
      </c>
    </row>
    <row r="126" spans="1:10" ht="15.75" thickTop="1" x14ac:dyDescent="0.2">
      <c r="B126" s="278" t="s">
        <v>1452</v>
      </c>
      <c r="C126" s="594">
        <v>1</v>
      </c>
      <c r="D126" s="595" t="s">
        <v>1393</v>
      </c>
      <c r="E126" s="596">
        <f>+F126/C126</f>
        <v>1230234.8219149997</v>
      </c>
      <c r="F126" s="597">
        <f>+SUBTOTAL(9,F117:F125)</f>
        <v>1230234.8219149997</v>
      </c>
    </row>
    <row r="127" spans="1:10" x14ac:dyDescent="0.2">
      <c r="F127" s="600"/>
    </row>
    <row r="128" spans="1:10" hidden="1" x14ac:dyDescent="0.2">
      <c r="B128" s="279"/>
      <c r="C128" s="598"/>
      <c r="D128" s="599"/>
      <c r="E128" s="600"/>
      <c r="F128" s="600"/>
      <c r="G128" s="289" t="s">
        <v>1455</v>
      </c>
      <c r="H128" s="289">
        <f>Detallado!E6</f>
        <v>126.78999999999999</v>
      </c>
      <c r="I128" s="275" t="s">
        <v>78</v>
      </c>
      <c r="J128" s="275" t="s">
        <v>137</v>
      </c>
    </row>
    <row r="129" spans="1:8" hidden="1" x14ac:dyDescent="0.2"/>
    <row r="130" spans="1:8" x14ac:dyDescent="0.2">
      <c r="B130" s="279"/>
      <c r="C130" s="598"/>
      <c r="D130" s="599"/>
      <c r="E130" s="600"/>
      <c r="F130" s="600"/>
      <c r="G130" s="291" t="s">
        <v>1336</v>
      </c>
    </row>
    <row r="131" spans="1:8" ht="22.5" x14ac:dyDescent="0.2">
      <c r="A131" s="462" t="s">
        <v>1454</v>
      </c>
      <c r="B131" s="462"/>
      <c r="C131" s="463"/>
      <c r="D131" s="462"/>
      <c r="E131" s="462"/>
      <c r="F131" s="464">
        <f>SUBTOTAL(9,F6:F127)</f>
        <v>40741936.090369426</v>
      </c>
      <c r="G131" s="464">
        <f>+F131/H128</f>
        <v>321333.98604282219</v>
      </c>
      <c r="H131" s="404">
        <f>+Detallado!F960-'Resumen Presupuesto'!F131</f>
        <v>0</v>
      </c>
    </row>
    <row r="132" spans="1:8" x14ac:dyDescent="0.2">
      <c r="F132" s="1114" t="s">
        <v>1456</v>
      </c>
      <c r="G132" s="1115">
        <f>F131-Detallado!N8</f>
        <v>0</v>
      </c>
    </row>
    <row r="133" spans="1:8" hidden="1" x14ac:dyDescent="0.2"/>
    <row r="134" spans="1:8" ht="21" hidden="1" x14ac:dyDescent="0.2">
      <c r="C134" s="1131" t="s">
        <v>2972</v>
      </c>
      <c r="D134" s="1131"/>
      <c r="E134" s="1132"/>
      <c r="F134" s="290"/>
      <c r="G134" s="290">
        <f>SUM(G135:G136)</f>
        <v>40741936.090369403</v>
      </c>
    </row>
    <row r="135" spans="1:8" hidden="1" x14ac:dyDescent="0.2">
      <c r="E135" s="604" t="s">
        <v>1876</v>
      </c>
      <c r="F135" s="605">
        <f>F134*0.7</f>
        <v>0</v>
      </c>
      <c r="G135" s="405">
        <f>+Detallado!F957+Detallado!F959</f>
        <v>26789461.090369407</v>
      </c>
      <c r="H135" s="403">
        <f>+G135-F135</f>
        <v>26789461.090369407</v>
      </c>
    </row>
    <row r="136" spans="1:8" hidden="1" x14ac:dyDescent="0.2">
      <c r="E136" s="604" t="s">
        <v>1612</v>
      </c>
      <c r="F136" s="605">
        <f>F134*0.3</f>
        <v>0</v>
      </c>
      <c r="G136" s="405">
        <f>+Detallado!F958</f>
        <v>13952475</v>
      </c>
      <c r="H136" s="403">
        <f>+G136-F136</f>
        <v>13952475</v>
      </c>
    </row>
    <row r="137" spans="1:8" ht="18.95" hidden="1" x14ac:dyDescent="0.2">
      <c r="F137" s="606"/>
      <c r="H137" s="403">
        <f>SUM(H135:H136)</f>
        <v>40741936.090369403</v>
      </c>
    </row>
    <row r="138" spans="1:8" hidden="1" x14ac:dyDescent="0.2">
      <c r="F138" s="607"/>
    </row>
    <row r="139" spans="1:8" ht="21" hidden="1" x14ac:dyDescent="0.2">
      <c r="C139" s="1133" t="s">
        <v>2973</v>
      </c>
      <c r="D139" s="1133"/>
      <c r="E139" s="1134"/>
      <c r="F139" s="406">
        <f>+F134-F131</f>
        <v>-40741936.090369426</v>
      </c>
    </row>
    <row r="140" spans="1:8" hidden="1" x14ac:dyDescent="0.2">
      <c r="G140" s="404"/>
    </row>
    <row r="141" spans="1:8" ht="15.95" hidden="1" x14ac:dyDescent="0.2">
      <c r="E141" s="755" t="s">
        <v>3474</v>
      </c>
      <c r="F141" s="756">
        <v>-7928736.2937022671</v>
      </c>
    </row>
    <row r="142" spans="1:8" ht="17.100000000000001" hidden="1" thickBot="1" x14ac:dyDescent="0.25">
      <c r="C142" s="757"/>
      <c r="D142" s="758"/>
      <c r="E142" s="759" t="s">
        <v>3475</v>
      </c>
      <c r="F142" s="760">
        <v>-3530923.7937022746</v>
      </c>
      <c r="G142" s="761"/>
    </row>
    <row r="143" spans="1:8" hidden="1" x14ac:dyDescent="0.2">
      <c r="E143" s="467" t="s">
        <v>3098</v>
      </c>
      <c r="F143" s="608">
        <v>30332028.780000001</v>
      </c>
      <c r="G143" s="403">
        <v>17399065.32</v>
      </c>
      <c r="H143" s="403">
        <f>+F143+G143</f>
        <v>47731094.100000001</v>
      </c>
    </row>
    <row r="144" spans="1:8" ht="15.95" hidden="1" x14ac:dyDescent="0.2">
      <c r="D144" s="609" t="s">
        <v>3097</v>
      </c>
      <c r="F144" s="610">
        <f>+F143/H143</f>
        <v>0.63547734138363277</v>
      </c>
      <c r="G144" s="421">
        <f>+G143/H143</f>
        <v>0.36452265861636723</v>
      </c>
    </row>
    <row r="145" spans="2:8" hidden="1" x14ac:dyDescent="0.2">
      <c r="E145" s="467" t="s">
        <v>3099</v>
      </c>
      <c r="F145" s="608">
        <f>46298194.1*F144</f>
        <v>29421453.297531392</v>
      </c>
      <c r="G145" s="403">
        <f>46298194.1*G144</f>
        <v>16876740.802468609</v>
      </c>
      <c r="H145" s="403">
        <f>+F145+G145</f>
        <v>46298194.100000001</v>
      </c>
    </row>
    <row r="146" spans="2:8" hidden="1" x14ac:dyDescent="0.2">
      <c r="C146" s="763"/>
      <c r="D146" s="763"/>
      <c r="E146" s="764" t="s">
        <v>3476</v>
      </c>
      <c r="F146" s="762">
        <f>+F141-F142</f>
        <v>-4397812.4999999925</v>
      </c>
    </row>
    <row r="148" spans="2:8" x14ac:dyDescent="0.2">
      <c r="E148" s="1113" t="s">
        <v>3789</v>
      </c>
      <c r="F148" s="1116">
        <v>98356248.200000003</v>
      </c>
    </row>
    <row r="149" spans="2:8" x14ac:dyDescent="0.2">
      <c r="E149" s="1113" t="s">
        <v>3790</v>
      </c>
      <c r="F149" s="1116">
        <v>12870485.460000001</v>
      </c>
    </row>
    <row r="151" spans="2:8" x14ac:dyDescent="0.2">
      <c r="B151" s="752" t="s">
        <v>3458</v>
      </c>
      <c r="C151" s="753"/>
      <c r="D151" s="753"/>
      <c r="E151" s="753"/>
      <c r="F151" s="754"/>
    </row>
    <row r="152" spans="2:8" x14ac:dyDescent="0.2">
      <c r="B152" s="279" t="s">
        <v>3460</v>
      </c>
      <c r="C152" s="467"/>
      <c r="E152" s="741">
        <v>0.02</v>
      </c>
      <c r="F152" s="742">
        <f>+F131*E152</f>
        <v>814838.72180738859</v>
      </c>
    </row>
    <row r="153" spans="2:8" x14ac:dyDescent="0.2">
      <c r="B153" s="279" t="s">
        <v>3459</v>
      </c>
      <c r="C153" s="467"/>
      <c r="E153" s="741">
        <v>6.5000000000000002E-2</v>
      </c>
      <c r="F153" s="742">
        <f>+F131*E153</f>
        <v>2648225.8458740129</v>
      </c>
    </row>
    <row r="154" spans="2:8" x14ac:dyDescent="0.2">
      <c r="B154" s="279" t="s">
        <v>3495</v>
      </c>
      <c r="C154" s="467"/>
      <c r="E154" s="741"/>
      <c r="F154" s="742">
        <f>295000+1336000</f>
        <v>1631000</v>
      </c>
    </row>
    <row r="155" spans="2:8" x14ac:dyDescent="0.2">
      <c r="B155" s="739" t="s">
        <v>3494</v>
      </c>
      <c r="C155" s="740"/>
      <c r="D155" s="740"/>
      <c r="E155" s="740"/>
      <c r="F155" s="743">
        <f>+F153+F152+F131</f>
        <v>44205000.658050828</v>
      </c>
    </row>
    <row r="156" spans="2:8" x14ac:dyDescent="0.2">
      <c r="B156" s="279" t="s">
        <v>3461</v>
      </c>
      <c r="C156" s="467"/>
      <c r="E156" s="741">
        <v>0.2</v>
      </c>
      <c r="F156" s="744">
        <f>+F155*E156</f>
        <v>8841000.1316101663</v>
      </c>
    </row>
    <row r="157" spans="2:8" x14ac:dyDescent="0.2">
      <c r="B157" s="279" t="s">
        <v>3496</v>
      </c>
      <c r="C157" s="467"/>
      <c r="E157" s="741">
        <v>3.5000000000000003E-2</v>
      </c>
      <c r="F157" s="744">
        <f>E157*F131</f>
        <v>1425967.76316293</v>
      </c>
    </row>
    <row r="158" spans="2:8" x14ac:dyDescent="0.2">
      <c r="B158" s="279" t="s">
        <v>3462</v>
      </c>
      <c r="C158" s="467"/>
      <c r="E158" s="741">
        <v>0.02</v>
      </c>
      <c r="F158" s="744">
        <f>+F131*E158</f>
        <v>814838.72180738859</v>
      </c>
    </row>
    <row r="159" spans="2:8" x14ac:dyDescent="0.2">
      <c r="B159" s="279" t="s">
        <v>3463</v>
      </c>
      <c r="C159" s="467"/>
      <c r="E159" s="767">
        <v>5</v>
      </c>
      <c r="F159" s="744">
        <f>+E159*'1_OG y 2_ACA'!D23*'Resumen Presupuesto'!H1</f>
        <v>312494</v>
      </c>
    </row>
    <row r="160" spans="2:8" x14ac:dyDescent="0.2">
      <c r="B160" s="279" t="s">
        <v>3526</v>
      </c>
      <c r="C160" s="467"/>
      <c r="E160" s="841">
        <v>2400000</v>
      </c>
      <c r="F160" s="745">
        <f>E160</f>
        <v>2400000</v>
      </c>
    </row>
    <row r="161" spans="2:6" x14ac:dyDescent="0.2">
      <c r="B161" s="747" t="s">
        <v>3464</v>
      </c>
      <c r="C161" s="467"/>
      <c r="E161" s="746">
        <v>1.5800000000000002E-2</v>
      </c>
      <c r="F161" s="745">
        <f>+F148*E161</f>
        <v>1554028.7215600002</v>
      </c>
    </row>
    <row r="162" spans="2:6" x14ac:dyDescent="0.2">
      <c r="B162" s="747" t="s">
        <v>3465</v>
      </c>
      <c r="C162" s="467"/>
      <c r="E162" s="746">
        <v>8.0000000000000002E-3</v>
      </c>
      <c r="F162" s="745">
        <f>+F148*E162</f>
        <v>786849.98560000001</v>
      </c>
    </row>
    <row r="163" spans="2:6" x14ac:dyDescent="0.2">
      <c r="B163" s="747" t="s">
        <v>3466</v>
      </c>
      <c r="C163" s="467"/>
      <c r="E163" s="746">
        <v>8.0000000000000002E-3</v>
      </c>
      <c r="F163" s="745">
        <f>+F148*E163</f>
        <v>786849.98560000001</v>
      </c>
    </row>
    <row r="164" spans="2:6" x14ac:dyDescent="0.2">
      <c r="B164" s="747" t="s">
        <v>3470</v>
      </c>
      <c r="C164" s="467"/>
      <c r="E164" s="746">
        <v>0.01</v>
      </c>
      <c r="F164" s="745">
        <f>F148*E164</f>
        <v>983562.48200000008</v>
      </c>
    </row>
    <row r="165" spans="2:6" x14ac:dyDescent="0.2">
      <c r="B165" s="747" t="s">
        <v>3467</v>
      </c>
      <c r="C165" s="467"/>
      <c r="E165" s="748">
        <v>450000</v>
      </c>
      <c r="F165" s="745">
        <f>+E165</f>
        <v>450000</v>
      </c>
    </row>
    <row r="166" spans="2:6" x14ac:dyDescent="0.2">
      <c r="B166" s="747"/>
      <c r="C166" s="467"/>
      <c r="E166" s="768"/>
      <c r="F166" s="745"/>
    </row>
    <row r="167" spans="2:6" x14ac:dyDescent="0.2">
      <c r="B167" s="749" t="s">
        <v>3468</v>
      </c>
      <c r="C167" s="750"/>
      <c r="D167" s="750"/>
      <c r="E167" s="750"/>
      <c r="F167" s="751">
        <f>+F152+F153+F156+F159+F161+F162+F163+F164+F165+F166+F154+F157+F160</f>
        <v>22634817.6372145</v>
      </c>
    </row>
    <row r="168" spans="2:6" x14ac:dyDescent="0.2">
      <c r="B168" s="749" t="s">
        <v>3469</v>
      </c>
      <c r="C168" s="750"/>
      <c r="D168" s="750"/>
      <c r="E168" s="750"/>
      <c r="F168" s="751">
        <f>+F158</f>
        <v>814838.72180738859</v>
      </c>
    </row>
  </sheetData>
  <mergeCells count="25">
    <mergeCell ref="C134:E134"/>
    <mergeCell ref="C139:E139"/>
    <mergeCell ref="B116:F116"/>
    <mergeCell ref="B91:F91"/>
    <mergeCell ref="A3:A4"/>
    <mergeCell ref="B23:F23"/>
    <mergeCell ref="B49:F49"/>
    <mergeCell ref="B56:F56"/>
    <mergeCell ref="B62:F62"/>
    <mergeCell ref="B85:F85"/>
    <mergeCell ref="B6:F6"/>
    <mergeCell ref="B14:F14"/>
    <mergeCell ref="B96:F96"/>
    <mergeCell ref="B80:F80"/>
    <mergeCell ref="B102:F102"/>
    <mergeCell ref="B34:F34"/>
    <mergeCell ref="B40:F40"/>
    <mergeCell ref="B67:F67"/>
    <mergeCell ref="B74:F74"/>
    <mergeCell ref="B1:F1"/>
    <mergeCell ref="B3:B4"/>
    <mergeCell ref="C3:C4"/>
    <mergeCell ref="D3:D4"/>
    <mergeCell ref="E3:E4"/>
    <mergeCell ref="F3:F4"/>
  </mergeCells>
  <phoneticPr fontId="20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742D9-7BC1-4FC2-8A58-DBC0C297A27C}">
  <dimension ref="A1:L352"/>
  <sheetViews>
    <sheetView topLeftCell="A318" workbookViewId="0">
      <selection activeCell="D332" sqref="D332"/>
    </sheetView>
  </sheetViews>
  <sheetFormatPr defaultColWidth="10.76171875" defaultRowHeight="15" x14ac:dyDescent="0.2"/>
  <cols>
    <col min="1" max="1" width="9.55078125" bestFit="1" customWidth="1"/>
    <col min="2" max="2" width="9.81640625" bestFit="1" customWidth="1"/>
    <col min="3" max="3" width="13.44921875" bestFit="1" customWidth="1"/>
    <col min="4" max="4" width="73.44921875" bestFit="1" customWidth="1"/>
    <col min="5" max="5" width="12.5078125" bestFit="1" customWidth="1"/>
    <col min="6" max="6" width="7.80078125" bestFit="1" customWidth="1"/>
    <col min="7" max="7" width="10.22265625" bestFit="1" customWidth="1"/>
    <col min="8" max="9" width="12.5078125" bestFit="1" customWidth="1"/>
    <col min="10" max="10" width="10.89453125" customWidth="1"/>
    <col min="11" max="11" width="11.97265625" bestFit="1" customWidth="1"/>
    <col min="12" max="12" width="13.31640625" bestFit="1" customWidth="1"/>
  </cols>
  <sheetData>
    <row r="1" spans="1:12" x14ac:dyDescent="0.2">
      <c r="A1" t="s">
        <v>3787</v>
      </c>
      <c r="B1" t="s">
        <v>3785</v>
      </c>
      <c r="C1" t="s">
        <v>3784</v>
      </c>
      <c r="D1" t="s">
        <v>12</v>
      </c>
      <c r="E1" t="s">
        <v>3788</v>
      </c>
      <c r="F1" t="s">
        <v>1141</v>
      </c>
      <c r="G1" t="s">
        <v>11</v>
      </c>
      <c r="H1" t="s">
        <v>13</v>
      </c>
      <c r="I1" t="s">
        <v>3783</v>
      </c>
      <c r="J1" t="s">
        <v>3498</v>
      </c>
    </row>
    <row r="2" spans="1:12" x14ac:dyDescent="0.2">
      <c r="A2" t="s">
        <v>3796</v>
      </c>
      <c r="B2">
        <v>1</v>
      </c>
      <c r="C2">
        <v>1.1000000000000001</v>
      </c>
      <c r="D2" t="s">
        <v>964</v>
      </c>
      <c r="E2" t="s">
        <v>3523</v>
      </c>
      <c r="F2" t="s">
        <v>3524</v>
      </c>
      <c r="G2" t="s">
        <v>1910</v>
      </c>
      <c r="H2">
        <v>19</v>
      </c>
      <c r="I2">
        <v>14166.6631</v>
      </c>
      <c r="J2" t="s">
        <v>3707</v>
      </c>
      <c r="L2" s="118" t="s">
        <v>3786</v>
      </c>
    </row>
    <row r="3" spans="1:12" x14ac:dyDescent="0.2">
      <c r="A3" t="s">
        <v>3796</v>
      </c>
      <c r="B3">
        <v>2</v>
      </c>
      <c r="C3">
        <v>1.1000000000000001</v>
      </c>
      <c r="D3" t="s">
        <v>1911</v>
      </c>
      <c r="E3" t="s">
        <v>3523</v>
      </c>
      <c r="F3" t="s">
        <v>3524</v>
      </c>
      <c r="G3" t="s">
        <v>2179</v>
      </c>
      <c r="H3">
        <v>2</v>
      </c>
      <c r="I3">
        <v>1627.1999999999998</v>
      </c>
      <c r="J3" t="s">
        <v>3707</v>
      </c>
      <c r="L3" s="118" t="str">
        <f>'1_OG y 2_ACA'!E3</f>
        <v>VN-L.32</v>
      </c>
    </row>
    <row r="4" spans="1:12" x14ac:dyDescent="0.2">
      <c r="A4" t="s">
        <v>3796</v>
      </c>
      <c r="B4">
        <v>3</v>
      </c>
      <c r="C4">
        <v>1.1000000000000001</v>
      </c>
      <c r="D4" t="s">
        <v>2557</v>
      </c>
      <c r="E4" t="s">
        <v>3523</v>
      </c>
      <c r="F4" t="s">
        <v>3524</v>
      </c>
      <c r="G4" t="s">
        <v>2180</v>
      </c>
      <c r="H4">
        <v>6</v>
      </c>
      <c r="I4">
        <v>340.01699999999994</v>
      </c>
      <c r="J4" t="s">
        <v>3707</v>
      </c>
    </row>
    <row r="5" spans="1:12" x14ac:dyDescent="0.2">
      <c r="A5" t="s">
        <v>3796</v>
      </c>
      <c r="B5">
        <v>4</v>
      </c>
      <c r="C5">
        <v>1.1000000000000001</v>
      </c>
      <c r="D5" t="s">
        <v>466</v>
      </c>
      <c r="E5" t="s">
        <v>3523</v>
      </c>
      <c r="F5" t="s">
        <v>3524</v>
      </c>
      <c r="G5" t="s">
        <v>2181</v>
      </c>
      <c r="H5">
        <v>7</v>
      </c>
      <c r="I5">
        <v>812.91069999999991</v>
      </c>
      <c r="J5" t="s">
        <v>3707</v>
      </c>
    </row>
    <row r="6" spans="1:12" x14ac:dyDescent="0.2">
      <c r="A6" t="s">
        <v>3796</v>
      </c>
      <c r="B6">
        <v>5</v>
      </c>
      <c r="C6">
        <v>1.1000000000000001</v>
      </c>
      <c r="D6" t="s">
        <v>2433</v>
      </c>
      <c r="E6" t="s">
        <v>3523</v>
      </c>
      <c r="F6" t="s">
        <v>3524</v>
      </c>
      <c r="G6" t="s">
        <v>1914</v>
      </c>
      <c r="H6">
        <v>0.5</v>
      </c>
      <c r="I6">
        <v>12044.5005</v>
      </c>
      <c r="J6" t="s">
        <v>3707</v>
      </c>
    </row>
    <row r="7" spans="1:12" x14ac:dyDescent="0.2">
      <c r="A7" t="s">
        <v>3796</v>
      </c>
      <c r="B7">
        <v>6</v>
      </c>
      <c r="C7">
        <v>1.1000000000000001</v>
      </c>
      <c r="D7" t="s">
        <v>643</v>
      </c>
      <c r="E7" t="s">
        <v>3523</v>
      </c>
      <c r="F7" t="s">
        <v>3524</v>
      </c>
      <c r="G7" t="s">
        <v>2182</v>
      </c>
      <c r="H7">
        <v>1</v>
      </c>
      <c r="I7">
        <v>4338.0021999999999</v>
      </c>
      <c r="J7" t="s">
        <v>3707</v>
      </c>
    </row>
    <row r="8" spans="1:12" x14ac:dyDescent="0.2">
      <c r="A8" t="s">
        <v>3796</v>
      </c>
      <c r="B8">
        <v>7</v>
      </c>
      <c r="C8">
        <v>1.1000000000000001</v>
      </c>
      <c r="D8" t="s">
        <v>278</v>
      </c>
      <c r="E8" t="s">
        <v>3523</v>
      </c>
      <c r="F8" t="s">
        <v>3524</v>
      </c>
      <c r="G8" t="s">
        <v>2183</v>
      </c>
      <c r="H8">
        <v>1</v>
      </c>
      <c r="I8">
        <v>2809.7788999999998</v>
      </c>
      <c r="J8" t="s">
        <v>3707</v>
      </c>
    </row>
    <row r="9" spans="1:12" x14ac:dyDescent="0.2">
      <c r="A9" t="s">
        <v>3796</v>
      </c>
      <c r="B9">
        <v>8</v>
      </c>
      <c r="C9">
        <v>1.1000000000000001</v>
      </c>
      <c r="D9" t="s">
        <v>845</v>
      </c>
      <c r="E9" t="s">
        <v>3523</v>
      </c>
      <c r="F9" t="s">
        <v>3524</v>
      </c>
      <c r="G9" t="s">
        <v>2185</v>
      </c>
      <c r="H9">
        <v>1</v>
      </c>
      <c r="I9">
        <v>14237.999999999998</v>
      </c>
      <c r="J9" t="s">
        <v>3707</v>
      </c>
    </row>
    <row r="10" spans="1:12" x14ac:dyDescent="0.2">
      <c r="A10" t="s">
        <v>3796</v>
      </c>
      <c r="B10">
        <v>9</v>
      </c>
      <c r="C10">
        <v>1.1000000000000001</v>
      </c>
      <c r="D10" t="s">
        <v>2407</v>
      </c>
      <c r="E10" t="s">
        <v>3523</v>
      </c>
      <c r="F10" t="s">
        <v>3524</v>
      </c>
      <c r="G10" t="s">
        <v>1919</v>
      </c>
      <c r="H10">
        <v>1</v>
      </c>
      <c r="I10">
        <v>2395.6</v>
      </c>
      <c r="J10" t="s">
        <v>3707</v>
      </c>
    </row>
    <row r="11" spans="1:12" x14ac:dyDescent="0.2">
      <c r="A11" t="s">
        <v>3796</v>
      </c>
      <c r="B11">
        <v>10</v>
      </c>
      <c r="C11">
        <v>1.1000000000000001</v>
      </c>
      <c r="D11" t="s">
        <v>712</v>
      </c>
      <c r="E11" t="s">
        <v>3523</v>
      </c>
      <c r="F11" t="s">
        <v>3524</v>
      </c>
      <c r="G11" t="s">
        <v>2186</v>
      </c>
      <c r="H11">
        <v>5</v>
      </c>
      <c r="I11">
        <v>1524.9914999999999</v>
      </c>
      <c r="J11" t="s">
        <v>3707</v>
      </c>
    </row>
    <row r="12" spans="1:12" x14ac:dyDescent="0.2">
      <c r="A12" t="s">
        <v>3796</v>
      </c>
      <c r="B12">
        <v>11</v>
      </c>
      <c r="C12">
        <v>1.1000000000000001</v>
      </c>
      <c r="D12" t="s">
        <v>3550</v>
      </c>
      <c r="E12" t="s">
        <v>3523</v>
      </c>
      <c r="F12" t="s">
        <v>3524</v>
      </c>
      <c r="G12" t="s">
        <v>3549</v>
      </c>
      <c r="H12">
        <v>2.4060000000000001</v>
      </c>
      <c r="I12">
        <v>54479.503499999992</v>
      </c>
      <c r="J12" t="s">
        <v>3707</v>
      </c>
    </row>
    <row r="13" spans="1:12" x14ac:dyDescent="0.2">
      <c r="A13" t="s">
        <v>3796</v>
      </c>
      <c r="B13">
        <v>12</v>
      </c>
      <c r="C13">
        <v>1.1000000000000001</v>
      </c>
      <c r="D13" t="s">
        <v>2087</v>
      </c>
      <c r="E13" t="s">
        <v>3523</v>
      </c>
      <c r="F13" t="s">
        <v>3524</v>
      </c>
      <c r="G13" t="s">
        <v>2086</v>
      </c>
      <c r="H13">
        <v>8</v>
      </c>
      <c r="I13">
        <v>748.62499999999989</v>
      </c>
      <c r="J13" t="s">
        <v>3707</v>
      </c>
    </row>
    <row r="14" spans="1:12" x14ac:dyDescent="0.2">
      <c r="A14" t="s">
        <v>3796</v>
      </c>
      <c r="B14">
        <v>13</v>
      </c>
      <c r="C14">
        <v>1.1000000000000001</v>
      </c>
      <c r="D14" t="s">
        <v>2406</v>
      </c>
      <c r="E14" t="s">
        <v>3523</v>
      </c>
      <c r="F14" t="s">
        <v>3524</v>
      </c>
      <c r="G14" t="s">
        <v>2188</v>
      </c>
      <c r="H14">
        <v>53</v>
      </c>
      <c r="I14">
        <v>569.8024999999999</v>
      </c>
      <c r="J14" t="s">
        <v>3707</v>
      </c>
    </row>
    <row r="15" spans="1:12" x14ac:dyDescent="0.2">
      <c r="A15" t="s">
        <v>3796</v>
      </c>
      <c r="B15">
        <v>14</v>
      </c>
      <c r="C15">
        <v>1.1000000000000001</v>
      </c>
      <c r="D15" t="s">
        <v>3502</v>
      </c>
      <c r="E15" t="s">
        <v>3523</v>
      </c>
      <c r="F15" t="s">
        <v>3524</v>
      </c>
      <c r="G15" t="s">
        <v>1918</v>
      </c>
      <c r="H15">
        <v>361</v>
      </c>
      <c r="I15">
        <v>1344.6999999999998</v>
      </c>
      <c r="J15" t="s">
        <v>109</v>
      </c>
    </row>
    <row r="16" spans="1:12" x14ac:dyDescent="0.2">
      <c r="A16" t="s">
        <v>3796</v>
      </c>
      <c r="B16">
        <v>16</v>
      </c>
      <c r="C16">
        <v>1.1000000000000001</v>
      </c>
      <c r="D16" t="s">
        <v>296</v>
      </c>
      <c r="E16" t="s">
        <v>3523</v>
      </c>
      <c r="F16" t="s">
        <v>3524</v>
      </c>
      <c r="G16" t="s">
        <v>1920</v>
      </c>
      <c r="H16">
        <v>58</v>
      </c>
      <c r="I16">
        <v>586.85419999999999</v>
      </c>
      <c r="J16" t="s">
        <v>3707</v>
      </c>
    </row>
    <row r="17" spans="1:10" x14ac:dyDescent="0.2">
      <c r="A17" t="s">
        <v>3796</v>
      </c>
      <c r="B17">
        <v>17</v>
      </c>
      <c r="C17">
        <v>1.1000000000000001</v>
      </c>
      <c r="D17" t="s">
        <v>735</v>
      </c>
      <c r="E17" t="s">
        <v>3523</v>
      </c>
      <c r="F17" t="s">
        <v>3524</v>
      </c>
      <c r="G17" t="s">
        <v>2189</v>
      </c>
      <c r="H17">
        <v>49</v>
      </c>
      <c r="I17">
        <v>56.499999999999993</v>
      </c>
      <c r="J17" t="s">
        <v>3707</v>
      </c>
    </row>
    <row r="18" spans="1:10" x14ac:dyDescent="0.2">
      <c r="A18" t="s">
        <v>3796</v>
      </c>
      <c r="B18">
        <v>18</v>
      </c>
      <c r="C18">
        <v>1.1000000000000001</v>
      </c>
      <c r="D18" t="s">
        <v>736</v>
      </c>
      <c r="E18" t="s">
        <v>3523</v>
      </c>
      <c r="F18" t="s">
        <v>3524</v>
      </c>
      <c r="G18" t="s">
        <v>1991</v>
      </c>
      <c r="H18">
        <v>49</v>
      </c>
      <c r="I18">
        <v>203.39999999999998</v>
      </c>
      <c r="J18" t="s">
        <v>3707</v>
      </c>
    </row>
    <row r="19" spans="1:10" x14ac:dyDescent="0.2">
      <c r="A19" t="s">
        <v>3796</v>
      </c>
      <c r="B19">
        <v>19</v>
      </c>
      <c r="C19">
        <v>1.1000000000000001</v>
      </c>
      <c r="D19" t="s">
        <v>485</v>
      </c>
      <c r="E19" t="s">
        <v>3523</v>
      </c>
      <c r="F19" t="s">
        <v>3524</v>
      </c>
      <c r="G19" t="s">
        <v>1922</v>
      </c>
      <c r="H19">
        <v>7</v>
      </c>
      <c r="I19">
        <v>3037.6320999999998</v>
      </c>
      <c r="J19" t="s">
        <v>3707</v>
      </c>
    </row>
    <row r="20" spans="1:10" x14ac:dyDescent="0.2">
      <c r="A20" t="s">
        <v>3796</v>
      </c>
      <c r="B20">
        <v>20</v>
      </c>
      <c r="C20">
        <v>1.1000000000000001</v>
      </c>
      <c r="D20" t="s">
        <v>583</v>
      </c>
      <c r="E20" t="s">
        <v>3523</v>
      </c>
      <c r="F20" t="s">
        <v>3524</v>
      </c>
      <c r="G20" t="s">
        <v>2438</v>
      </c>
      <c r="H20">
        <v>10.105200000000002</v>
      </c>
      <c r="I20">
        <v>78867.084399999992</v>
      </c>
      <c r="J20" t="s">
        <v>3707</v>
      </c>
    </row>
    <row r="21" spans="1:10" x14ac:dyDescent="0.2">
      <c r="A21" t="s">
        <v>3796</v>
      </c>
      <c r="B21">
        <v>21</v>
      </c>
      <c r="C21">
        <v>1.2</v>
      </c>
      <c r="D21" t="s">
        <v>2406</v>
      </c>
      <c r="E21" t="s">
        <v>3523</v>
      </c>
      <c r="F21" t="s">
        <v>3524</v>
      </c>
      <c r="G21" t="s">
        <v>2188</v>
      </c>
      <c r="H21">
        <v>6</v>
      </c>
      <c r="I21">
        <v>569.8024999999999</v>
      </c>
      <c r="J21" t="s">
        <v>3707</v>
      </c>
    </row>
    <row r="22" spans="1:10" x14ac:dyDescent="0.2">
      <c r="A22" t="s">
        <v>3796</v>
      </c>
      <c r="B22">
        <v>22</v>
      </c>
      <c r="C22">
        <v>1.2</v>
      </c>
      <c r="D22" t="s">
        <v>3502</v>
      </c>
      <c r="E22" t="s">
        <v>3523</v>
      </c>
      <c r="F22" t="s">
        <v>3524</v>
      </c>
      <c r="G22" t="s">
        <v>1918</v>
      </c>
      <c r="H22">
        <v>146</v>
      </c>
      <c r="I22">
        <v>1344.6999999999998</v>
      </c>
      <c r="J22" t="s">
        <v>24</v>
      </c>
    </row>
    <row r="23" spans="1:10" x14ac:dyDescent="0.2">
      <c r="A23" t="s">
        <v>3796</v>
      </c>
      <c r="B23">
        <v>23</v>
      </c>
      <c r="C23">
        <v>1.2</v>
      </c>
      <c r="D23" t="s">
        <v>3502</v>
      </c>
      <c r="E23" t="s">
        <v>3523</v>
      </c>
      <c r="F23" t="s">
        <v>3524</v>
      </c>
      <c r="G23" t="s">
        <v>1918</v>
      </c>
      <c r="H23">
        <v>323</v>
      </c>
      <c r="I23">
        <v>1344.6999999999998</v>
      </c>
      <c r="J23" t="s">
        <v>109</v>
      </c>
    </row>
    <row r="24" spans="1:10" x14ac:dyDescent="0.2">
      <c r="A24" t="s">
        <v>3796</v>
      </c>
      <c r="B24">
        <v>24</v>
      </c>
      <c r="C24">
        <v>1.2</v>
      </c>
      <c r="D24" t="s">
        <v>2407</v>
      </c>
      <c r="E24" t="s">
        <v>3523</v>
      </c>
      <c r="F24" t="s">
        <v>3524</v>
      </c>
      <c r="G24" t="s">
        <v>1919</v>
      </c>
      <c r="H24">
        <v>78.5</v>
      </c>
      <c r="I24">
        <v>2395.6</v>
      </c>
      <c r="J24" t="s">
        <v>3707</v>
      </c>
    </row>
    <row r="25" spans="1:10" x14ac:dyDescent="0.2">
      <c r="A25" t="s">
        <v>3796</v>
      </c>
      <c r="B25">
        <v>25</v>
      </c>
      <c r="C25">
        <v>1.2</v>
      </c>
      <c r="D25" t="s">
        <v>2400</v>
      </c>
      <c r="E25" t="s">
        <v>3523</v>
      </c>
      <c r="F25" t="s">
        <v>3524</v>
      </c>
      <c r="G25" t="s">
        <v>2187</v>
      </c>
      <c r="H25">
        <v>13.317174515235457</v>
      </c>
      <c r="I25">
        <v>18762.497399999997</v>
      </c>
      <c r="J25" t="s">
        <v>3707</v>
      </c>
    </row>
    <row r="26" spans="1:10" x14ac:dyDescent="0.2">
      <c r="A26" t="s">
        <v>3796</v>
      </c>
      <c r="B26">
        <v>26</v>
      </c>
      <c r="C26">
        <v>1.2</v>
      </c>
      <c r="D26" t="s">
        <v>296</v>
      </c>
      <c r="E26" t="s">
        <v>3523</v>
      </c>
      <c r="F26" t="s">
        <v>3524</v>
      </c>
      <c r="G26" t="s">
        <v>1920</v>
      </c>
      <c r="H26">
        <v>108</v>
      </c>
      <c r="I26">
        <v>586.85419999999999</v>
      </c>
      <c r="J26" t="s">
        <v>3707</v>
      </c>
    </row>
    <row r="27" spans="1:10" x14ac:dyDescent="0.2">
      <c r="A27" t="s">
        <v>3796</v>
      </c>
      <c r="B27">
        <v>27</v>
      </c>
      <c r="C27">
        <v>1.2</v>
      </c>
      <c r="D27" t="s">
        <v>2648</v>
      </c>
      <c r="E27" t="s">
        <v>3523</v>
      </c>
      <c r="F27" t="s">
        <v>3524</v>
      </c>
      <c r="G27" t="s">
        <v>1923</v>
      </c>
      <c r="H27">
        <v>7</v>
      </c>
      <c r="I27">
        <v>3661.2</v>
      </c>
      <c r="J27" t="s">
        <v>3707</v>
      </c>
    </row>
    <row r="28" spans="1:10" x14ac:dyDescent="0.2">
      <c r="A28" t="s">
        <v>3796</v>
      </c>
      <c r="B28">
        <v>28</v>
      </c>
      <c r="C28">
        <v>1.2</v>
      </c>
      <c r="D28" t="s">
        <v>485</v>
      </c>
      <c r="E28" t="s">
        <v>3523</v>
      </c>
      <c r="F28" t="s">
        <v>3524</v>
      </c>
      <c r="G28" t="s">
        <v>1922</v>
      </c>
      <c r="H28">
        <v>7</v>
      </c>
      <c r="I28">
        <v>3037.6320999999998</v>
      </c>
      <c r="J28" t="s">
        <v>3707</v>
      </c>
    </row>
    <row r="29" spans="1:10" x14ac:dyDescent="0.2">
      <c r="A29" t="s">
        <v>3796</v>
      </c>
      <c r="B29">
        <v>29</v>
      </c>
      <c r="C29">
        <v>1.2</v>
      </c>
      <c r="D29" t="s">
        <v>2569</v>
      </c>
      <c r="E29" t="s">
        <v>3523</v>
      </c>
      <c r="F29" t="s">
        <v>3524</v>
      </c>
      <c r="G29" t="s">
        <v>2191</v>
      </c>
      <c r="H29">
        <v>4</v>
      </c>
      <c r="I29">
        <v>6420.0045999999993</v>
      </c>
      <c r="J29" t="s">
        <v>3707</v>
      </c>
    </row>
    <row r="30" spans="1:10" x14ac:dyDescent="0.2">
      <c r="A30" t="s">
        <v>3796</v>
      </c>
      <c r="B30">
        <v>30</v>
      </c>
      <c r="C30">
        <v>1.2</v>
      </c>
      <c r="D30" t="s">
        <v>514</v>
      </c>
      <c r="E30" t="s">
        <v>3523</v>
      </c>
      <c r="F30" t="s">
        <v>3524</v>
      </c>
      <c r="G30" t="s">
        <v>2576</v>
      </c>
      <c r="H30">
        <v>1200</v>
      </c>
      <c r="I30">
        <v>29.553228999999998</v>
      </c>
      <c r="J30" t="s">
        <v>3707</v>
      </c>
    </row>
    <row r="31" spans="1:10" x14ac:dyDescent="0.2">
      <c r="A31" t="s">
        <v>3796</v>
      </c>
      <c r="B31">
        <v>31</v>
      </c>
      <c r="C31">
        <v>1.2</v>
      </c>
      <c r="D31" t="s">
        <v>712</v>
      </c>
      <c r="E31" t="s">
        <v>3523</v>
      </c>
      <c r="F31" t="s">
        <v>3524</v>
      </c>
      <c r="G31" t="s">
        <v>2186</v>
      </c>
      <c r="H31">
        <v>10</v>
      </c>
      <c r="I31">
        <v>1524.9914999999999</v>
      </c>
      <c r="J31" t="s">
        <v>3707</v>
      </c>
    </row>
    <row r="32" spans="1:10" x14ac:dyDescent="0.2">
      <c r="A32" t="s">
        <v>3796</v>
      </c>
      <c r="B32">
        <v>32</v>
      </c>
      <c r="C32">
        <v>1.2</v>
      </c>
      <c r="D32" t="s">
        <v>2459</v>
      </c>
      <c r="E32" t="s">
        <v>3523</v>
      </c>
      <c r="F32" t="s">
        <v>3524</v>
      </c>
      <c r="G32" t="s">
        <v>2132</v>
      </c>
      <c r="H32">
        <v>2</v>
      </c>
      <c r="I32">
        <v>6370.3749999999991</v>
      </c>
      <c r="J32" t="s">
        <v>3707</v>
      </c>
    </row>
    <row r="33" spans="1:10" x14ac:dyDescent="0.2">
      <c r="A33" t="s">
        <v>3796</v>
      </c>
      <c r="B33">
        <v>33</v>
      </c>
      <c r="C33">
        <v>1.2</v>
      </c>
      <c r="D33" t="s">
        <v>3532</v>
      </c>
      <c r="E33" t="s">
        <v>3523</v>
      </c>
      <c r="F33" t="s">
        <v>3524</v>
      </c>
      <c r="G33" t="s">
        <v>3531</v>
      </c>
      <c r="H33">
        <v>6</v>
      </c>
      <c r="I33">
        <v>5527.4966999999997</v>
      </c>
      <c r="J33" t="s">
        <v>3707</v>
      </c>
    </row>
    <row r="34" spans="1:10" x14ac:dyDescent="0.2">
      <c r="A34" t="s">
        <v>3796</v>
      </c>
      <c r="B34">
        <v>34</v>
      </c>
      <c r="C34">
        <v>1.2</v>
      </c>
      <c r="D34" t="s">
        <v>3534</v>
      </c>
      <c r="E34" t="s">
        <v>3523</v>
      </c>
      <c r="F34" t="s">
        <v>3524</v>
      </c>
      <c r="G34" t="s">
        <v>3533</v>
      </c>
      <c r="H34">
        <v>60</v>
      </c>
      <c r="I34">
        <v>156.81010000000001</v>
      </c>
      <c r="J34" t="s">
        <v>3707</v>
      </c>
    </row>
    <row r="35" spans="1:10" x14ac:dyDescent="0.2">
      <c r="A35" t="s">
        <v>3796</v>
      </c>
      <c r="B35">
        <v>35</v>
      </c>
      <c r="C35">
        <v>1.2</v>
      </c>
      <c r="D35" t="s">
        <v>2557</v>
      </c>
      <c r="E35" t="s">
        <v>3523</v>
      </c>
      <c r="F35" t="s">
        <v>3524</v>
      </c>
      <c r="G35" t="s">
        <v>2180</v>
      </c>
      <c r="H35">
        <v>10</v>
      </c>
      <c r="I35">
        <v>340.01699999999994</v>
      </c>
      <c r="J35" t="s">
        <v>3707</v>
      </c>
    </row>
    <row r="36" spans="1:10" x14ac:dyDescent="0.2">
      <c r="A36" t="s">
        <v>3796</v>
      </c>
      <c r="B36">
        <v>36</v>
      </c>
      <c r="C36">
        <v>1.2</v>
      </c>
      <c r="D36" t="s">
        <v>897</v>
      </c>
      <c r="E36" t="s">
        <v>3523</v>
      </c>
      <c r="F36" t="s">
        <v>3524</v>
      </c>
      <c r="G36" t="s">
        <v>2437</v>
      </c>
      <c r="H36">
        <v>37.925725</v>
      </c>
      <c r="I36">
        <v>82601.169399999999</v>
      </c>
      <c r="J36" t="s">
        <v>3707</v>
      </c>
    </row>
    <row r="37" spans="1:10" x14ac:dyDescent="0.2">
      <c r="A37" t="s">
        <v>3796</v>
      </c>
      <c r="B37">
        <v>37</v>
      </c>
      <c r="C37">
        <v>1.2</v>
      </c>
      <c r="D37" t="s">
        <v>736</v>
      </c>
      <c r="E37" t="s">
        <v>3523</v>
      </c>
      <c r="F37" t="s">
        <v>3524</v>
      </c>
      <c r="G37" t="s">
        <v>1991</v>
      </c>
      <c r="H37">
        <v>60</v>
      </c>
      <c r="I37">
        <v>203.39999999999998</v>
      </c>
      <c r="J37" t="s">
        <v>3707</v>
      </c>
    </row>
    <row r="38" spans="1:10" x14ac:dyDescent="0.2">
      <c r="A38" t="s">
        <v>3796</v>
      </c>
      <c r="B38">
        <v>38</v>
      </c>
      <c r="C38">
        <v>1.2</v>
      </c>
      <c r="D38" t="s">
        <v>735</v>
      </c>
      <c r="E38" t="s">
        <v>3523</v>
      </c>
      <c r="F38" t="s">
        <v>3524</v>
      </c>
      <c r="G38" t="s">
        <v>2189</v>
      </c>
      <c r="H38">
        <v>60</v>
      </c>
      <c r="I38">
        <v>56.499999999999993</v>
      </c>
      <c r="J38" t="s">
        <v>3707</v>
      </c>
    </row>
    <row r="39" spans="1:10" x14ac:dyDescent="0.2">
      <c r="A39" t="s">
        <v>3796</v>
      </c>
      <c r="B39">
        <v>39</v>
      </c>
      <c r="C39">
        <v>1.3</v>
      </c>
      <c r="D39" t="s">
        <v>848</v>
      </c>
      <c r="E39" t="s">
        <v>3523</v>
      </c>
      <c r="F39" t="s">
        <v>3524</v>
      </c>
      <c r="G39" t="s">
        <v>2036</v>
      </c>
      <c r="H39">
        <v>11</v>
      </c>
      <c r="I39">
        <v>19517.359999999997</v>
      </c>
      <c r="J39" t="s">
        <v>3707</v>
      </c>
    </row>
    <row r="40" spans="1:10" x14ac:dyDescent="0.2">
      <c r="A40" t="s">
        <v>3796</v>
      </c>
      <c r="B40">
        <v>42</v>
      </c>
      <c r="C40">
        <v>1.3</v>
      </c>
      <c r="D40" t="s">
        <v>940</v>
      </c>
      <c r="E40" t="s">
        <v>3523</v>
      </c>
      <c r="F40" t="s">
        <v>3524</v>
      </c>
      <c r="G40" t="s">
        <v>2405</v>
      </c>
      <c r="H40">
        <v>37</v>
      </c>
      <c r="I40">
        <v>5513.4959999999992</v>
      </c>
      <c r="J40" t="s">
        <v>3707</v>
      </c>
    </row>
    <row r="41" spans="1:10" x14ac:dyDescent="0.2">
      <c r="A41" t="s">
        <v>3796</v>
      </c>
      <c r="B41">
        <v>43</v>
      </c>
      <c r="C41">
        <v>1.3</v>
      </c>
      <c r="D41" t="s">
        <v>2404</v>
      </c>
      <c r="E41" t="s">
        <v>3523</v>
      </c>
      <c r="F41" t="s">
        <v>3524</v>
      </c>
      <c r="G41" t="s">
        <v>1960</v>
      </c>
      <c r="H41">
        <v>1</v>
      </c>
      <c r="I41">
        <v>16564.1276</v>
      </c>
      <c r="J41" t="s">
        <v>3707</v>
      </c>
    </row>
    <row r="42" spans="1:10" x14ac:dyDescent="0.2">
      <c r="A42" t="s">
        <v>3796</v>
      </c>
      <c r="B42">
        <v>44</v>
      </c>
      <c r="C42">
        <v>1.3</v>
      </c>
      <c r="D42" t="s">
        <v>2402</v>
      </c>
      <c r="E42" t="s">
        <v>3523</v>
      </c>
      <c r="F42" t="s">
        <v>3524</v>
      </c>
      <c r="G42" t="s">
        <v>2401</v>
      </c>
      <c r="H42">
        <v>1</v>
      </c>
      <c r="I42">
        <v>15485.757299999997</v>
      </c>
      <c r="J42" t="s">
        <v>3707</v>
      </c>
    </row>
    <row r="43" spans="1:10" x14ac:dyDescent="0.2">
      <c r="A43" t="s">
        <v>3796</v>
      </c>
      <c r="B43">
        <v>45</v>
      </c>
      <c r="C43">
        <v>1.3</v>
      </c>
      <c r="D43" t="s">
        <v>299</v>
      </c>
      <c r="E43" t="s">
        <v>3523</v>
      </c>
      <c r="F43" t="s">
        <v>3524</v>
      </c>
      <c r="G43" t="s">
        <v>2421</v>
      </c>
      <c r="H43">
        <v>1</v>
      </c>
      <c r="I43">
        <v>4081.0740999999998</v>
      </c>
      <c r="J43" t="s">
        <v>3707</v>
      </c>
    </row>
    <row r="44" spans="1:10" x14ac:dyDescent="0.2">
      <c r="A44" t="s">
        <v>3796</v>
      </c>
      <c r="B44">
        <v>46</v>
      </c>
      <c r="C44">
        <v>1.3</v>
      </c>
      <c r="D44" t="s">
        <v>3502</v>
      </c>
      <c r="E44" t="s">
        <v>3523</v>
      </c>
      <c r="F44" t="s">
        <v>3524</v>
      </c>
      <c r="G44" t="s">
        <v>1918</v>
      </c>
      <c r="H44">
        <v>6</v>
      </c>
      <c r="I44">
        <v>1344.6999999999998</v>
      </c>
      <c r="J44" t="s">
        <v>24</v>
      </c>
    </row>
    <row r="45" spans="1:10" x14ac:dyDescent="0.2">
      <c r="A45" t="s">
        <v>3796</v>
      </c>
      <c r="B45">
        <v>47</v>
      </c>
      <c r="C45">
        <v>1.3</v>
      </c>
      <c r="D45" t="s">
        <v>2407</v>
      </c>
      <c r="E45" t="s">
        <v>3523</v>
      </c>
      <c r="F45" t="s">
        <v>3524</v>
      </c>
      <c r="G45" t="s">
        <v>1919</v>
      </c>
      <c r="H45">
        <v>4</v>
      </c>
      <c r="I45">
        <v>2395.6</v>
      </c>
      <c r="J45" t="s">
        <v>3707</v>
      </c>
    </row>
    <row r="46" spans="1:10" x14ac:dyDescent="0.2">
      <c r="A46" t="s">
        <v>3796</v>
      </c>
      <c r="B46">
        <v>48</v>
      </c>
      <c r="C46">
        <v>1.3</v>
      </c>
      <c r="D46" t="s">
        <v>751</v>
      </c>
      <c r="E46" t="s">
        <v>3523</v>
      </c>
      <c r="F46" t="s">
        <v>3524</v>
      </c>
      <c r="G46" t="s">
        <v>2195</v>
      </c>
      <c r="H46">
        <v>5</v>
      </c>
      <c r="I46">
        <v>3600.0330999999996</v>
      </c>
      <c r="J46" t="s">
        <v>3707</v>
      </c>
    </row>
    <row r="47" spans="1:10" x14ac:dyDescent="0.2">
      <c r="A47" t="s">
        <v>3796</v>
      </c>
      <c r="B47">
        <v>49</v>
      </c>
      <c r="C47">
        <v>1.3</v>
      </c>
      <c r="D47" t="s">
        <v>485</v>
      </c>
      <c r="E47" t="s">
        <v>3523</v>
      </c>
      <c r="F47" t="s">
        <v>3524</v>
      </c>
      <c r="G47" t="s">
        <v>1922</v>
      </c>
      <c r="H47">
        <v>17</v>
      </c>
      <c r="I47">
        <v>3037.6320999999998</v>
      </c>
      <c r="J47" t="s">
        <v>3707</v>
      </c>
    </row>
    <row r="48" spans="1:10" x14ac:dyDescent="0.2">
      <c r="A48" t="s">
        <v>3796</v>
      </c>
      <c r="B48">
        <v>50</v>
      </c>
      <c r="C48">
        <v>1.3</v>
      </c>
      <c r="D48" t="s">
        <v>2564</v>
      </c>
      <c r="E48" t="s">
        <v>3523</v>
      </c>
      <c r="F48" t="s">
        <v>3524</v>
      </c>
      <c r="G48" t="s">
        <v>1959</v>
      </c>
      <c r="H48">
        <v>17</v>
      </c>
      <c r="I48">
        <v>1519.85</v>
      </c>
      <c r="J48" t="s">
        <v>3707</v>
      </c>
    </row>
    <row r="49" spans="1:10" x14ac:dyDescent="0.2">
      <c r="A49" t="s">
        <v>3796</v>
      </c>
      <c r="B49">
        <v>51</v>
      </c>
      <c r="C49">
        <v>1.3</v>
      </c>
      <c r="D49" t="s">
        <v>2565</v>
      </c>
      <c r="E49" t="s">
        <v>3523</v>
      </c>
      <c r="F49" t="s">
        <v>3524</v>
      </c>
      <c r="G49" t="s">
        <v>2088</v>
      </c>
      <c r="H49">
        <v>17</v>
      </c>
      <c r="I49">
        <v>1672.6034</v>
      </c>
      <c r="J49" t="s">
        <v>3707</v>
      </c>
    </row>
    <row r="50" spans="1:10" x14ac:dyDescent="0.2">
      <c r="A50" t="s">
        <v>3796</v>
      </c>
      <c r="B50">
        <v>52</v>
      </c>
      <c r="C50">
        <v>1.3</v>
      </c>
      <c r="D50" t="s">
        <v>2648</v>
      </c>
      <c r="E50" t="s">
        <v>3523</v>
      </c>
      <c r="F50" t="s">
        <v>3524</v>
      </c>
      <c r="G50" t="s">
        <v>1923</v>
      </c>
      <c r="H50">
        <v>17</v>
      </c>
      <c r="I50">
        <v>3661.2</v>
      </c>
      <c r="J50" t="s">
        <v>3707</v>
      </c>
    </row>
    <row r="51" spans="1:10" x14ac:dyDescent="0.2">
      <c r="A51" t="s">
        <v>3796</v>
      </c>
      <c r="B51">
        <v>53</v>
      </c>
      <c r="C51">
        <v>1.3</v>
      </c>
      <c r="D51" t="s">
        <v>2700</v>
      </c>
      <c r="E51" t="s">
        <v>3523</v>
      </c>
      <c r="F51" t="s">
        <v>3524</v>
      </c>
      <c r="G51" t="s">
        <v>2201</v>
      </c>
      <c r="H51">
        <v>4</v>
      </c>
      <c r="I51">
        <v>6464.999957</v>
      </c>
      <c r="J51" t="s">
        <v>3707</v>
      </c>
    </row>
    <row r="52" spans="1:10" x14ac:dyDescent="0.2">
      <c r="A52" t="s">
        <v>3796</v>
      </c>
      <c r="B52">
        <v>54</v>
      </c>
      <c r="C52">
        <v>1.3</v>
      </c>
      <c r="D52" t="s">
        <v>643</v>
      </c>
      <c r="E52" t="s">
        <v>3523</v>
      </c>
      <c r="F52" t="s">
        <v>3524</v>
      </c>
      <c r="G52" t="s">
        <v>2182</v>
      </c>
      <c r="H52">
        <v>4</v>
      </c>
      <c r="I52">
        <v>4338.0021999999999</v>
      </c>
      <c r="J52" t="s">
        <v>3707</v>
      </c>
    </row>
    <row r="53" spans="1:10" x14ac:dyDescent="0.2">
      <c r="A53" t="s">
        <v>3796</v>
      </c>
      <c r="B53">
        <v>55</v>
      </c>
      <c r="C53">
        <v>1.3</v>
      </c>
      <c r="D53" t="s">
        <v>340</v>
      </c>
      <c r="E53" t="s">
        <v>3523</v>
      </c>
      <c r="F53" t="s">
        <v>3524</v>
      </c>
      <c r="G53" t="s">
        <v>1939</v>
      </c>
      <c r="H53">
        <v>8</v>
      </c>
      <c r="I53">
        <v>2060.0012999999999</v>
      </c>
      <c r="J53" t="s">
        <v>3707</v>
      </c>
    </row>
    <row r="54" spans="1:10" x14ac:dyDescent="0.2">
      <c r="A54" t="s">
        <v>3796</v>
      </c>
      <c r="B54">
        <v>56</v>
      </c>
      <c r="C54">
        <v>1.3</v>
      </c>
      <c r="D54" t="s">
        <v>2089</v>
      </c>
      <c r="E54" t="s">
        <v>3523</v>
      </c>
      <c r="F54" t="s">
        <v>3524</v>
      </c>
      <c r="G54" t="s">
        <v>1961</v>
      </c>
      <c r="H54">
        <v>3.5</v>
      </c>
      <c r="I54">
        <v>17605.004499999999</v>
      </c>
      <c r="J54" t="s">
        <v>3707</v>
      </c>
    </row>
    <row r="55" spans="1:10" x14ac:dyDescent="0.2">
      <c r="A55" t="s">
        <v>3796</v>
      </c>
      <c r="B55">
        <v>57</v>
      </c>
      <c r="C55">
        <v>1.3</v>
      </c>
      <c r="D55" t="s">
        <v>3536</v>
      </c>
      <c r="E55" t="s">
        <v>3523</v>
      </c>
      <c r="F55" t="s">
        <v>3524</v>
      </c>
      <c r="G55" t="s">
        <v>3535</v>
      </c>
      <c r="H55">
        <v>2</v>
      </c>
      <c r="I55">
        <v>12244.504849999998</v>
      </c>
      <c r="J55" t="s">
        <v>3707</v>
      </c>
    </row>
    <row r="56" spans="1:10" x14ac:dyDescent="0.2">
      <c r="A56" t="s">
        <v>3796</v>
      </c>
      <c r="B56">
        <v>58</v>
      </c>
      <c r="C56">
        <v>1.3</v>
      </c>
      <c r="D56" t="s">
        <v>606</v>
      </c>
      <c r="E56" t="s">
        <v>3523</v>
      </c>
      <c r="F56" t="s">
        <v>3524</v>
      </c>
      <c r="G56" t="s">
        <v>1978</v>
      </c>
      <c r="H56">
        <v>10</v>
      </c>
      <c r="I56">
        <v>369.99589999999995</v>
      </c>
      <c r="J56" t="s">
        <v>3707</v>
      </c>
    </row>
    <row r="57" spans="1:10" x14ac:dyDescent="0.2">
      <c r="A57" t="s">
        <v>3796</v>
      </c>
      <c r="B57">
        <v>59</v>
      </c>
      <c r="C57">
        <v>1.3</v>
      </c>
      <c r="D57" t="s">
        <v>706</v>
      </c>
      <c r="E57" t="s">
        <v>3523</v>
      </c>
      <c r="F57" t="s">
        <v>3524</v>
      </c>
      <c r="G57" t="s">
        <v>2649</v>
      </c>
      <c r="H57">
        <v>5</v>
      </c>
      <c r="I57">
        <v>525.44999999999993</v>
      </c>
      <c r="J57" t="s">
        <v>3707</v>
      </c>
    </row>
    <row r="58" spans="1:10" x14ac:dyDescent="0.2">
      <c r="A58" t="s">
        <v>3796</v>
      </c>
      <c r="B58">
        <v>60</v>
      </c>
      <c r="C58">
        <v>1.3</v>
      </c>
      <c r="D58" t="s">
        <v>339</v>
      </c>
      <c r="E58" t="s">
        <v>3523</v>
      </c>
      <c r="F58" t="s">
        <v>3524</v>
      </c>
      <c r="G58" t="s">
        <v>1938</v>
      </c>
      <c r="H58">
        <v>2</v>
      </c>
      <c r="I58">
        <v>1425.0090999999998</v>
      </c>
      <c r="J58" t="s">
        <v>3707</v>
      </c>
    </row>
    <row r="59" spans="1:10" x14ac:dyDescent="0.2">
      <c r="A59" t="s">
        <v>3796</v>
      </c>
      <c r="B59">
        <v>61</v>
      </c>
      <c r="C59">
        <v>1.3</v>
      </c>
      <c r="D59" t="s">
        <v>901</v>
      </c>
      <c r="E59" t="s">
        <v>3523</v>
      </c>
      <c r="F59" t="s">
        <v>3524</v>
      </c>
      <c r="G59" t="s">
        <v>2613</v>
      </c>
      <c r="H59">
        <v>2</v>
      </c>
      <c r="I59">
        <v>351.9837</v>
      </c>
      <c r="J59" t="s">
        <v>3707</v>
      </c>
    </row>
    <row r="60" spans="1:10" x14ac:dyDescent="0.2">
      <c r="A60" t="s">
        <v>3796</v>
      </c>
      <c r="B60">
        <v>62</v>
      </c>
      <c r="C60">
        <v>1.3</v>
      </c>
      <c r="D60" t="s">
        <v>851</v>
      </c>
      <c r="E60" t="s">
        <v>3523</v>
      </c>
      <c r="F60" t="s">
        <v>3524</v>
      </c>
      <c r="G60" t="s">
        <v>2196</v>
      </c>
      <c r="H60">
        <v>5</v>
      </c>
      <c r="I60">
        <v>19095.553599999999</v>
      </c>
      <c r="J60" t="s">
        <v>3707</v>
      </c>
    </row>
    <row r="61" spans="1:10" x14ac:dyDescent="0.2">
      <c r="A61" t="s">
        <v>3796</v>
      </c>
      <c r="B61">
        <v>63</v>
      </c>
      <c r="C61">
        <v>1.3</v>
      </c>
      <c r="D61" t="s">
        <v>853</v>
      </c>
      <c r="E61" t="s">
        <v>3523</v>
      </c>
      <c r="F61" t="s">
        <v>3524</v>
      </c>
      <c r="G61" t="s">
        <v>2198</v>
      </c>
      <c r="H61">
        <v>2</v>
      </c>
      <c r="I61">
        <v>13772.439999999999</v>
      </c>
      <c r="J61" t="s">
        <v>3707</v>
      </c>
    </row>
    <row r="62" spans="1:10" x14ac:dyDescent="0.2">
      <c r="A62" t="s">
        <v>3796</v>
      </c>
      <c r="B62">
        <v>64</v>
      </c>
      <c r="C62">
        <v>1.3</v>
      </c>
      <c r="D62" t="s">
        <v>847</v>
      </c>
      <c r="E62" t="s">
        <v>3523</v>
      </c>
      <c r="F62" t="s">
        <v>3524</v>
      </c>
      <c r="G62" t="s">
        <v>2197</v>
      </c>
      <c r="H62">
        <v>4</v>
      </c>
      <c r="I62">
        <v>12234.509999999998</v>
      </c>
      <c r="J62" t="s">
        <v>3707</v>
      </c>
    </row>
    <row r="63" spans="1:10" x14ac:dyDescent="0.2">
      <c r="A63" t="s">
        <v>3796</v>
      </c>
      <c r="B63">
        <v>67</v>
      </c>
      <c r="C63">
        <v>1.3</v>
      </c>
      <c r="D63" t="s">
        <v>2697</v>
      </c>
      <c r="E63" t="s">
        <v>3523</v>
      </c>
      <c r="F63" t="s">
        <v>3524</v>
      </c>
      <c r="G63" t="s">
        <v>2199</v>
      </c>
      <c r="H63">
        <v>1</v>
      </c>
      <c r="I63">
        <v>26215.954799999996</v>
      </c>
      <c r="J63" t="s">
        <v>3707</v>
      </c>
    </row>
    <row r="64" spans="1:10" x14ac:dyDescent="0.2">
      <c r="A64" t="s">
        <v>3796</v>
      </c>
      <c r="B64">
        <v>68</v>
      </c>
      <c r="C64">
        <v>1.3</v>
      </c>
      <c r="D64" t="s">
        <v>950</v>
      </c>
      <c r="E64" t="s">
        <v>3523</v>
      </c>
      <c r="F64" t="s">
        <v>3524</v>
      </c>
      <c r="G64" t="s">
        <v>2200</v>
      </c>
      <c r="H64">
        <v>1</v>
      </c>
      <c r="I64">
        <v>12450.001</v>
      </c>
      <c r="J64" t="s">
        <v>3707</v>
      </c>
    </row>
    <row r="65" spans="1:10" x14ac:dyDescent="0.2">
      <c r="A65" t="s">
        <v>3796</v>
      </c>
      <c r="B65">
        <v>69</v>
      </c>
      <c r="C65">
        <v>1.3</v>
      </c>
      <c r="D65" t="s">
        <v>645</v>
      </c>
      <c r="E65" t="s">
        <v>3523</v>
      </c>
      <c r="F65" t="s">
        <v>3524</v>
      </c>
      <c r="G65" t="s">
        <v>1963</v>
      </c>
      <c r="H65">
        <v>2</v>
      </c>
      <c r="I65">
        <v>7156.0865999999987</v>
      </c>
      <c r="J65" t="s">
        <v>3707</v>
      </c>
    </row>
    <row r="66" spans="1:10" x14ac:dyDescent="0.2">
      <c r="A66" t="s">
        <v>3796</v>
      </c>
      <c r="B66">
        <v>70</v>
      </c>
      <c r="C66">
        <v>1.3</v>
      </c>
      <c r="D66" t="s">
        <v>3561</v>
      </c>
      <c r="E66" t="s">
        <v>3523</v>
      </c>
      <c r="F66" t="s">
        <v>3524</v>
      </c>
      <c r="G66" t="s">
        <v>3560</v>
      </c>
      <c r="H66">
        <v>131.46175000000002</v>
      </c>
      <c r="I66">
        <v>868.96999999999991</v>
      </c>
      <c r="J66" t="s">
        <v>3707</v>
      </c>
    </row>
    <row r="67" spans="1:10" x14ac:dyDescent="0.2">
      <c r="A67" t="s">
        <v>3796</v>
      </c>
      <c r="B67">
        <v>71</v>
      </c>
      <c r="C67">
        <v>1.3</v>
      </c>
      <c r="D67" t="s">
        <v>415</v>
      </c>
      <c r="E67" t="s">
        <v>3523</v>
      </c>
      <c r="F67" t="s">
        <v>3524</v>
      </c>
      <c r="G67" t="s">
        <v>1964</v>
      </c>
      <c r="H67">
        <v>150</v>
      </c>
      <c r="I67">
        <v>199.99869999999999</v>
      </c>
      <c r="J67" t="s">
        <v>3707</v>
      </c>
    </row>
    <row r="68" spans="1:10" x14ac:dyDescent="0.2">
      <c r="A68" t="s">
        <v>3796</v>
      </c>
      <c r="B68">
        <v>72</v>
      </c>
      <c r="C68">
        <v>1.3</v>
      </c>
      <c r="D68" t="s">
        <v>828</v>
      </c>
      <c r="E68" t="s">
        <v>3523</v>
      </c>
      <c r="F68" t="s">
        <v>3524</v>
      </c>
      <c r="G68" t="s">
        <v>2203</v>
      </c>
      <c r="H68">
        <v>300</v>
      </c>
      <c r="I68">
        <v>3.9211</v>
      </c>
      <c r="J68" t="s">
        <v>3707</v>
      </c>
    </row>
    <row r="69" spans="1:10" x14ac:dyDescent="0.2">
      <c r="A69" t="s">
        <v>3796</v>
      </c>
      <c r="B69">
        <v>73</v>
      </c>
      <c r="C69">
        <v>1.3</v>
      </c>
      <c r="D69" t="s">
        <v>487</v>
      </c>
      <c r="E69" t="s">
        <v>3523</v>
      </c>
      <c r="F69" t="s">
        <v>3524</v>
      </c>
      <c r="G69" t="s">
        <v>1936</v>
      </c>
      <c r="H69">
        <v>1</v>
      </c>
      <c r="I69">
        <v>4746.8135999999995</v>
      </c>
      <c r="J69" t="s">
        <v>3707</v>
      </c>
    </row>
    <row r="70" spans="1:10" x14ac:dyDescent="0.2">
      <c r="A70" t="s">
        <v>3796</v>
      </c>
      <c r="B70">
        <v>84</v>
      </c>
      <c r="C70">
        <v>1.3</v>
      </c>
      <c r="D70" t="s">
        <v>879</v>
      </c>
      <c r="E70" t="s">
        <v>3523</v>
      </c>
      <c r="F70" t="s">
        <v>3524</v>
      </c>
      <c r="G70" t="s">
        <v>2206</v>
      </c>
      <c r="H70">
        <v>6</v>
      </c>
      <c r="I70">
        <v>5674.86</v>
      </c>
      <c r="J70" t="s">
        <v>3707</v>
      </c>
    </row>
    <row r="71" spans="1:10" x14ac:dyDescent="0.2">
      <c r="A71" t="s">
        <v>3796</v>
      </c>
      <c r="B71">
        <v>85</v>
      </c>
      <c r="C71">
        <v>1.3</v>
      </c>
      <c r="D71" t="s">
        <v>843</v>
      </c>
      <c r="E71" t="s">
        <v>3523</v>
      </c>
      <c r="F71" t="s">
        <v>3524</v>
      </c>
      <c r="G71" t="s">
        <v>2207</v>
      </c>
      <c r="H71">
        <v>7</v>
      </c>
      <c r="I71">
        <v>13537.399999999998</v>
      </c>
      <c r="J71" t="s">
        <v>3707</v>
      </c>
    </row>
    <row r="72" spans="1:10" x14ac:dyDescent="0.2">
      <c r="A72" t="s">
        <v>3796</v>
      </c>
      <c r="B72">
        <v>89</v>
      </c>
      <c r="C72">
        <v>1.3</v>
      </c>
      <c r="D72" t="s">
        <v>2699</v>
      </c>
      <c r="E72" t="s">
        <v>3523</v>
      </c>
      <c r="F72" t="s">
        <v>3524</v>
      </c>
      <c r="G72" t="s">
        <v>1937</v>
      </c>
      <c r="H72">
        <v>0.25</v>
      </c>
      <c r="I72">
        <v>24555.9961</v>
      </c>
      <c r="J72" t="s">
        <v>3707</v>
      </c>
    </row>
    <row r="73" spans="1:10" x14ac:dyDescent="0.2">
      <c r="A73" t="s">
        <v>3796</v>
      </c>
      <c r="B73">
        <v>90</v>
      </c>
      <c r="C73">
        <v>1.4</v>
      </c>
      <c r="D73" t="s">
        <v>3129</v>
      </c>
      <c r="E73" t="s">
        <v>3523</v>
      </c>
      <c r="F73" t="s">
        <v>3524</v>
      </c>
      <c r="G73" t="s">
        <v>3128</v>
      </c>
      <c r="H73">
        <v>57</v>
      </c>
      <c r="I73">
        <v>2045.2999999999997</v>
      </c>
      <c r="J73" t="s">
        <v>3707</v>
      </c>
    </row>
    <row r="74" spans="1:10" x14ac:dyDescent="0.2">
      <c r="A74" t="s">
        <v>3796</v>
      </c>
      <c r="B74">
        <v>91</v>
      </c>
      <c r="C74">
        <v>1.4</v>
      </c>
      <c r="D74" t="s">
        <v>824</v>
      </c>
      <c r="E74" t="s">
        <v>3523</v>
      </c>
      <c r="F74" t="s">
        <v>3524</v>
      </c>
      <c r="G74" t="s">
        <v>2208</v>
      </c>
      <c r="H74">
        <v>600</v>
      </c>
      <c r="I74">
        <v>5.8759999999999994</v>
      </c>
      <c r="J74" t="s">
        <v>3707</v>
      </c>
    </row>
    <row r="75" spans="1:10" x14ac:dyDescent="0.2">
      <c r="A75" t="s">
        <v>3796</v>
      </c>
      <c r="B75">
        <v>92</v>
      </c>
      <c r="C75">
        <v>1.4</v>
      </c>
      <c r="D75" t="s">
        <v>705</v>
      </c>
      <c r="E75" t="s">
        <v>3523</v>
      </c>
      <c r="F75" t="s">
        <v>3524</v>
      </c>
      <c r="G75" t="s">
        <v>2403</v>
      </c>
      <c r="H75">
        <v>1</v>
      </c>
      <c r="I75">
        <v>1747.8613999999998</v>
      </c>
      <c r="J75" t="s">
        <v>3707</v>
      </c>
    </row>
    <row r="76" spans="1:10" x14ac:dyDescent="0.2">
      <c r="A76" t="s">
        <v>3796</v>
      </c>
      <c r="B76">
        <v>93</v>
      </c>
      <c r="C76">
        <v>1.4</v>
      </c>
      <c r="D76" t="s">
        <v>2868</v>
      </c>
      <c r="E76" t="s">
        <v>3523</v>
      </c>
      <c r="F76" t="s">
        <v>3524</v>
      </c>
      <c r="G76" t="s">
        <v>2130</v>
      </c>
      <c r="H76">
        <v>5</v>
      </c>
      <c r="I76">
        <v>4307.3100000000004</v>
      </c>
      <c r="J76" t="s">
        <v>3707</v>
      </c>
    </row>
    <row r="77" spans="1:10" x14ac:dyDescent="0.2">
      <c r="A77" t="s">
        <v>3796</v>
      </c>
      <c r="B77">
        <v>94</v>
      </c>
      <c r="C77">
        <v>1.4</v>
      </c>
      <c r="D77" t="s">
        <v>3131</v>
      </c>
      <c r="E77" t="s">
        <v>3523</v>
      </c>
      <c r="F77" t="s">
        <v>3524</v>
      </c>
      <c r="G77" t="s">
        <v>3130</v>
      </c>
      <c r="H77">
        <v>1</v>
      </c>
      <c r="I77">
        <v>3799.9978999999994</v>
      </c>
      <c r="J77" t="s">
        <v>3707</v>
      </c>
    </row>
    <row r="78" spans="1:10" x14ac:dyDescent="0.2">
      <c r="A78" t="s">
        <v>3796</v>
      </c>
      <c r="B78">
        <v>95</v>
      </c>
      <c r="C78">
        <v>1.4</v>
      </c>
      <c r="D78" t="s">
        <v>3127</v>
      </c>
      <c r="E78" t="s">
        <v>3523</v>
      </c>
      <c r="F78" t="s">
        <v>3524</v>
      </c>
      <c r="G78" t="s">
        <v>3126</v>
      </c>
      <c r="H78">
        <v>12</v>
      </c>
      <c r="I78">
        <v>1120.9599999999998</v>
      </c>
      <c r="J78" t="s">
        <v>3707</v>
      </c>
    </row>
    <row r="79" spans="1:10" x14ac:dyDescent="0.2">
      <c r="A79" t="s">
        <v>3796</v>
      </c>
      <c r="B79">
        <v>96</v>
      </c>
      <c r="C79">
        <v>1.5</v>
      </c>
      <c r="D79" t="s">
        <v>3502</v>
      </c>
      <c r="E79" t="s">
        <v>3523</v>
      </c>
      <c r="F79" t="s">
        <v>3524</v>
      </c>
      <c r="G79" t="s">
        <v>1918</v>
      </c>
      <c r="H79">
        <v>87</v>
      </c>
      <c r="I79">
        <v>1344.6999999999998</v>
      </c>
      <c r="J79" t="s">
        <v>109</v>
      </c>
    </row>
    <row r="80" spans="1:10" x14ac:dyDescent="0.2">
      <c r="A80" t="s">
        <v>3796</v>
      </c>
      <c r="B80">
        <v>97</v>
      </c>
      <c r="C80">
        <v>1.5</v>
      </c>
      <c r="D80" t="s">
        <v>296</v>
      </c>
      <c r="E80" t="s">
        <v>3523</v>
      </c>
      <c r="F80" t="s">
        <v>3524</v>
      </c>
      <c r="G80" t="s">
        <v>1920</v>
      </c>
      <c r="H80">
        <v>27.1</v>
      </c>
      <c r="I80">
        <v>586.85419999999999</v>
      </c>
      <c r="J80" t="s">
        <v>3707</v>
      </c>
    </row>
    <row r="81" spans="1:10" x14ac:dyDescent="0.2">
      <c r="A81" t="s">
        <v>3796</v>
      </c>
      <c r="B81">
        <v>98</v>
      </c>
      <c r="C81">
        <v>1.5</v>
      </c>
      <c r="D81" t="s">
        <v>2648</v>
      </c>
      <c r="E81" t="s">
        <v>3523</v>
      </c>
      <c r="F81" t="s">
        <v>3524</v>
      </c>
      <c r="G81" t="s">
        <v>1923</v>
      </c>
      <c r="H81">
        <v>1</v>
      </c>
      <c r="I81">
        <v>3661.2</v>
      </c>
      <c r="J81" t="s">
        <v>3707</v>
      </c>
    </row>
    <row r="82" spans="1:10" x14ac:dyDescent="0.2">
      <c r="A82" t="s">
        <v>3796</v>
      </c>
      <c r="B82">
        <v>99</v>
      </c>
      <c r="C82">
        <v>1.5</v>
      </c>
      <c r="D82" t="s">
        <v>485</v>
      </c>
      <c r="E82" t="s">
        <v>3523</v>
      </c>
      <c r="F82" t="s">
        <v>3524</v>
      </c>
      <c r="G82" t="s">
        <v>1922</v>
      </c>
      <c r="H82">
        <v>1</v>
      </c>
      <c r="I82">
        <v>3037.6320999999998</v>
      </c>
      <c r="J82" t="s">
        <v>3707</v>
      </c>
    </row>
    <row r="83" spans="1:10" x14ac:dyDescent="0.2">
      <c r="A83" t="s">
        <v>3796</v>
      </c>
      <c r="B83">
        <v>100</v>
      </c>
      <c r="C83">
        <v>1.5</v>
      </c>
      <c r="D83" t="s">
        <v>583</v>
      </c>
      <c r="E83" t="s">
        <v>3523</v>
      </c>
      <c r="F83" t="s">
        <v>3524</v>
      </c>
      <c r="G83" t="s">
        <v>2438</v>
      </c>
      <c r="H83">
        <v>9.088280000000001</v>
      </c>
      <c r="I83">
        <v>78867.084399999992</v>
      </c>
      <c r="J83" t="s">
        <v>3707</v>
      </c>
    </row>
    <row r="84" spans="1:10" x14ac:dyDescent="0.2">
      <c r="A84" t="s">
        <v>3796</v>
      </c>
      <c r="B84">
        <v>101</v>
      </c>
      <c r="C84">
        <v>1.5</v>
      </c>
      <c r="D84" t="s">
        <v>2406</v>
      </c>
      <c r="E84" t="s">
        <v>3523</v>
      </c>
      <c r="F84" t="s">
        <v>3524</v>
      </c>
      <c r="G84" t="s">
        <v>2188</v>
      </c>
      <c r="H84">
        <v>15</v>
      </c>
      <c r="I84">
        <v>569.8024999999999</v>
      </c>
      <c r="J84" t="s">
        <v>3707</v>
      </c>
    </row>
    <row r="85" spans="1:10" x14ac:dyDescent="0.2">
      <c r="A85" t="s">
        <v>3796</v>
      </c>
      <c r="B85">
        <v>102</v>
      </c>
      <c r="C85">
        <v>1.5</v>
      </c>
      <c r="D85" t="s">
        <v>964</v>
      </c>
      <c r="E85" t="s">
        <v>3523</v>
      </c>
      <c r="F85" t="s">
        <v>3524</v>
      </c>
      <c r="G85" t="s">
        <v>1910</v>
      </c>
      <c r="H85">
        <v>15.5</v>
      </c>
      <c r="I85">
        <v>14166.6631</v>
      </c>
      <c r="J85" t="s">
        <v>3707</v>
      </c>
    </row>
    <row r="86" spans="1:10" x14ac:dyDescent="0.2">
      <c r="A86" t="s">
        <v>3796</v>
      </c>
      <c r="B86">
        <v>103</v>
      </c>
      <c r="C86">
        <v>1.5</v>
      </c>
      <c r="D86" t="s">
        <v>2400</v>
      </c>
      <c r="E86" t="s">
        <v>3523</v>
      </c>
      <c r="F86" t="s">
        <v>3524</v>
      </c>
      <c r="G86" t="s">
        <v>2187</v>
      </c>
      <c r="H86">
        <v>9.5</v>
      </c>
      <c r="I86">
        <v>18762.497399999997</v>
      </c>
      <c r="J86" t="s">
        <v>3707</v>
      </c>
    </row>
    <row r="87" spans="1:10" x14ac:dyDescent="0.2">
      <c r="A87" t="s">
        <v>3796</v>
      </c>
      <c r="B87">
        <v>104</v>
      </c>
      <c r="C87">
        <v>1.5</v>
      </c>
      <c r="D87" t="s">
        <v>2588</v>
      </c>
      <c r="E87" t="s">
        <v>3523</v>
      </c>
      <c r="F87" t="s">
        <v>3524</v>
      </c>
      <c r="G87" t="s">
        <v>2210</v>
      </c>
      <c r="H87">
        <v>8.6459999999999995E-2</v>
      </c>
      <c r="I87">
        <v>65407.055499999995</v>
      </c>
      <c r="J87" t="s">
        <v>3707</v>
      </c>
    </row>
    <row r="88" spans="1:10" x14ac:dyDescent="0.2">
      <c r="A88" t="s">
        <v>3796</v>
      </c>
      <c r="B88">
        <v>105</v>
      </c>
      <c r="C88">
        <v>1.5</v>
      </c>
      <c r="D88" t="s">
        <v>2435</v>
      </c>
      <c r="E88" t="s">
        <v>3523</v>
      </c>
      <c r="F88" t="s">
        <v>3524</v>
      </c>
      <c r="G88" t="s">
        <v>1975</v>
      </c>
      <c r="H88">
        <v>10</v>
      </c>
      <c r="I88">
        <v>4520</v>
      </c>
      <c r="J88" t="s">
        <v>3707</v>
      </c>
    </row>
    <row r="89" spans="1:10" x14ac:dyDescent="0.2">
      <c r="A89" t="s">
        <v>3796</v>
      </c>
      <c r="B89">
        <v>106</v>
      </c>
      <c r="C89">
        <v>1.5</v>
      </c>
      <c r="D89" t="s">
        <v>639</v>
      </c>
      <c r="E89" t="s">
        <v>3523</v>
      </c>
      <c r="F89" t="s">
        <v>3524</v>
      </c>
      <c r="G89" t="s">
        <v>2211</v>
      </c>
      <c r="H89">
        <v>1</v>
      </c>
      <c r="I89">
        <v>29260.005299999997</v>
      </c>
      <c r="J89" t="s">
        <v>3707</v>
      </c>
    </row>
    <row r="90" spans="1:10" x14ac:dyDescent="0.2">
      <c r="A90" t="s">
        <v>3796</v>
      </c>
      <c r="B90">
        <v>108</v>
      </c>
      <c r="C90">
        <v>1.5</v>
      </c>
      <c r="D90" t="s">
        <v>3205</v>
      </c>
      <c r="E90" t="s">
        <v>3523</v>
      </c>
      <c r="F90" t="s">
        <v>3524</v>
      </c>
      <c r="G90" t="s">
        <v>3199</v>
      </c>
      <c r="H90">
        <v>30</v>
      </c>
      <c r="I90">
        <v>6988.62</v>
      </c>
      <c r="J90" t="s">
        <v>3707</v>
      </c>
    </row>
    <row r="91" spans="1:10" x14ac:dyDescent="0.2">
      <c r="A91" t="s">
        <v>3796</v>
      </c>
      <c r="B91">
        <v>111</v>
      </c>
      <c r="C91">
        <v>1.5</v>
      </c>
      <c r="D91" t="s">
        <v>3208</v>
      </c>
      <c r="E91" t="s">
        <v>3523</v>
      </c>
      <c r="F91" t="s">
        <v>3524</v>
      </c>
      <c r="G91" t="s">
        <v>3202</v>
      </c>
      <c r="H91">
        <v>1</v>
      </c>
      <c r="I91">
        <v>6115.08</v>
      </c>
      <c r="J91" t="s">
        <v>3707</v>
      </c>
    </row>
    <row r="92" spans="1:10" x14ac:dyDescent="0.2">
      <c r="A92" t="s">
        <v>3796</v>
      </c>
      <c r="B92">
        <v>112</v>
      </c>
      <c r="C92">
        <v>1.5</v>
      </c>
      <c r="D92" t="s">
        <v>3209</v>
      </c>
      <c r="E92" t="s">
        <v>3523</v>
      </c>
      <c r="F92" t="s">
        <v>3524</v>
      </c>
      <c r="G92" t="s">
        <v>3203</v>
      </c>
      <c r="H92">
        <v>7</v>
      </c>
      <c r="I92">
        <v>6877.8900000000012</v>
      </c>
      <c r="J92" t="s">
        <v>3707</v>
      </c>
    </row>
    <row r="93" spans="1:10" x14ac:dyDescent="0.2">
      <c r="A93" t="s">
        <v>3796</v>
      </c>
      <c r="B93">
        <v>113</v>
      </c>
      <c r="C93">
        <v>1.5</v>
      </c>
      <c r="D93" t="s">
        <v>2413</v>
      </c>
      <c r="E93" t="s">
        <v>3523</v>
      </c>
      <c r="F93" t="s">
        <v>3524</v>
      </c>
      <c r="G93" t="s">
        <v>2212</v>
      </c>
      <c r="H93">
        <v>2</v>
      </c>
      <c r="I93">
        <v>6785.5369999999994</v>
      </c>
      <c r="J93" t="s">
        <v>3707</v>
      </c>
    </row>
    <row r="94" spans="1:10" x14ac:dyDescent="0.2">
      <c r="A94" t="s">
        <v>3796</v>
      </c>
      <c r="B94">
        <v>114</v>
      </c>
      <c r="C94">
        <v>1.5</v>
      </c>
      <c r="D94" t="s">
        <v>751</v>
      </c>
      <c r="E94" t="s">
        <v>3523</v>
      </c>
      <c r="F94" t="s">
        <v>3524</v>
      </c>
      <c r="G94" t="s">
        <v>2195</v>
      </c>
      <c r="H94">
        <v>0.10104</v>
      </c>
      <c r="I94">
        <v>3600.0330999999996</v>
      </c>
      <c r="J94" t="s">
        <v>3707</v>
      </c>
    </row>
    <row r="95" spans="1:10" x14ac:dyDescent="0.2">
      <c r="A95" t="s">
        <v>3796</v>
      </c>
      <c r="B95">
        <v>115</v>
      </c>
      <c r="C95">
        <v>1.5</v>
      </c>
      <c r="D95" t="s">
        <v>533</v>
      </c>
      <c r="E95" t="s">
        <v>3523</v>
      </c>
      <c r="F95" t="s">
        <v>3524</v>
      </c>
      <c r="G95" t="s">
        <v>2213</v>
      </c>
      <c r="H95">
        <v>24.107142857142858</v>
      </c>
      <c r="I95">
        <v>2418.1999999999998</v>
      </c>
      <c r="J95" t="s">
        <v>3707</v>
      </c>
    </row>
    <row r="96" spans="1:10" x14ac:dyDescent="0.2">
      <c r="A96" t="s">
        <v>3796</v>
      </c>
      <c r="B96">
        <v>116</v>
      </c>
      <c r="C96">
        <v>1.5</v>
      </c>
      <c r="D96" t="s">
        <v>2434</v>
      </c>
      <c r="E96" t="s">
        <v>3523</v>
      </c>
      <c r="F96" t="s">
        <v>3524</v>
      </c>
      <c r="G96" t="s">
        <v>2190</v>
      </c>
      <c r="H96">
        <v>0.46800000000000008</v>
      </c>
      <c r="I96">
        <v>17012.149999999998</v>
      </c>
      <c r="J96" t="s">
        <v>3707</v>
      </c>
    </row>
    <row r="97" spans="1:10" x14ac:dyDescent="0.2">
      <c r="A97" t="s">
        <v>3796</v>
      </c>
      <c r="B97">
        <v>117</v>
      </c>
      <c r="C97">
        <v>1.6</v>
      </c>
      <c r="D97" t="s">
        <v>544</v>
      </c>
      <c r="E97" t="s">
        <v>3523</v>
      </c>
      <c r="F97" t="s">
        <v>3524</v>
      </c>
      <c r="G97" t="s">
        <v>2214</v>
      </c>
      <c r="H97">
        <v>34</v>
      </c>
      <c r="I97">
        <v>17952.004899999996</v>
      </c>
      <c r="J97" t="s">
        <v>3707</v>
      </c>
    </row>
    <row r="98" spans="1:10" x14ac:dyDescent="0.2">
      <c r="A98" t="s">
        <v>3796</v>
      </c>
      <c r="B98">
        <v>118</v>
      </c>
      <c r="C98">
        <v>1.6</v>
      </c>
      <c r="D98" t="s">
        <v>763</v>
      </c>
      <c r="E98" t="s">
        <v>3523</v>
      </c>
      <c r="F98" t="s">
        <v>3524</v>
      </c>
      <c r="G98" t="s">
        <v>2091</v>
      </c>
      <c r="H98">
        <v>52</v>
      </c>
      <c r="I98">
        <v>853.46639999999991</v>
      </c>
      <c r="J98" t="s">
        <v>3707</v>
      </c>
    </row>
    <row r="99" spans="1:10" x14ac:dyDescent="0.2">
      <c r="A99" t="s">
        <v>3796</v>
      </c>
      <c r="B99">
        <v>119</v>
      </c>
      <c r="C99">
        <v>1.6</v>
      </c>
      <c r="D99" t="s">
        <v>832</v>
      </c>
      <c r="E99" t="s">
        <v>3523</v>
      </c>
      <c r="F99" t="s">
        <v>3524</v>
      </c>
      <c r="G99" t="s">
        <v>2218</v>
      </c>
      <c r="H99">
        <v>16</v>
      </c>
      <c r="I99">
        <v>711.53839999999991</v>
      </c>
      <c r="J99" t="s">
        <v>3707</v>
      </c>
    </row>
    <row r="100" spans="1:10" x14ac:dyDescent="0.2">
      <c r="A100" t="s">
        <v>3796</v>
      </c>
      <c r="B100">
        <v>120</v>
      </c>
      <c r="C100">
        <v>1.6</v>
      </c>
      <c r="D100" t="s">
        <v>580</v>
      </c>
      <c r="E100" t="s">
        <v>3523</v>
      </c>
      <c r="F100" t="s">
        <v>3524</v>
      </c>
      <c r="G100" t="s">
        <v>2216</v>
      </c>
      <c r="H100">
        <v>6</v>
      </c>
      <c r="I100">
        <v>1477.7574999999999</v>
      </c>
      <c r="J100" t="s">
        <v>3707</v>
      </c>
    </row>
    <row r="101" spans="1:10" x14ac:dyDescent="0.2">
      <c r="A101" t="s">
        <v>3796</v>
      </c>
      <c r="B101">
        <v>121</v>
      </c>
      <c r="C101">
        <v>1.6</v>
      </c>
      <c r="D101" t="s">
        <v>647</v>
      </c>
      <c r="E101" t="s">
        <v>3523</v>
      </c>
      <c r="F101" t="s">
        <v>3524</v>
      </c>
      <c r="G101" t="s">
        <v>2003</v>
      </c>
      <c r="H101">
        <v>33</v>
      </c>
      <c r="I101">
        <v>974.06</v>
      </c>
      <c r="J101" t="s">
        <v>3707</v>
      </c>
    </row>
    <row r="102" spans="1:10" x14ac:dyDescent="0.2">
      <c r="A102" t="s">
        <v>3796</v>
      </c>
      <c r="B102">
        <v>122</v>
      </c>
      <c r="C102">
        <v>1.6</v>
      </c>
      <c r="D102" t="s">
        <v>499</v>
      </c>
      <c r="E102" t="s">
        <v>3523</v>
      </c>
      <c r="F102" t="s">
        <v>3524</v>
      </c>
      <c r="G102" t="s">
        <v>2217</v>
      </c>
      <c r="H102">
        <v>33</v>
      </c>
      <c r="I102">
        <v>942.42</v>
      </c>
      <c r="J102" t="s">
        <v>3707</v>
      </c>
    </row>
    <row r="103" spans="1:10" x14ac:dyDescent="0.2">
      <c r="A103" t="s">
        <v>3796</v>
      </c>
      <c r="B103">
        <v>123</v>
      </c>
      <c r="C103">
        <v>1.6</v>
      </c>
      <c r="D103" t="s">
        <v>828</v>
      </c>
      <c r="E103" t="s">
        <v>3523</v>
      </c>
      <c r="F103" t="s">
        <v>3524</v>
      </c>
      <c r="G103" t="s">
        <v>2203</v>
      </c>
      <c r="H103">
        <v>1446</v>
      </c>
      <c r="I103">
        <v>3.9211</v>
      </c>
      <c r="J103" t="s">
        <v>3707</v>
      </c>
    </row>
    <row r="104" spans="1:10" x14ac:dyDescent="0.2">
      <c r="A104" t="s">
        <v>3796</v>
      </c>
      <c r="B104">
        <v>124</v>
      </c>
      <c r="C104">
        <v>1.6</v>
      </c>
      <c r="D104" t="s">
        <v>2093</v>
      </c>
      <c r="E104" t="s">
        <v>3523</v>
      </c>
      <c r="F104" t="s">
        <v>3524</v>
      </c>
      <c r="G104" t="s">
        <v>2884</v>
      </c>
      <c r="H104">
        <v>1000</v>
      </c>
      <c r="I104">
        <v>4.3731</v>
      </c>
      <c r="J104" t="s">
        <v>3707</v>
      </c>
    </row>
    <row r="105" spans="1:10" x14ac:dyDescent="0.2">
      <c r="A105" t="s">
        <v>3796</v>
      </c>
      <c r="B105">
        <v>125</v>
      </c>
      <c r="C105">
        <v>1.6</v>
      </c>
      <c r="D105" t="s">
        <v>2536</v>
      </c>
      <c r="E105" t="s">
        <v>3523</v>
      </c>
      <c r="F105" t="s">
        <v>3524</v>
      </c>
      <c r="G105" t="s">
        <v>2215</v>
      </c>
      <c r="H105">
        <v>2710</v>
      </c>
      <c r="I105">
        <v>4.1696999999999997</v>
      </c>
      <c r="J105" t="s">
        <v>3707</v>
      </c>
    </row>
    <row r="106" spans="1:10" x14ac:dyDescent="0.2">
      <c r="A106" t="s">
        <v>3796</v>
      </c>
      <c r="B106">
        <v>126</v>
      </c>
      <c r="C106">
        <v>1.6</v>
      </c>
      <c r="D106" t="s">
        <v>2534</v>
      </c>
      <c r="E106" t="s">
        <v>3523</v>
      </c>
      <c r="F106" t="s">
        <v>3524</v>
      </c>
      <c r="G106" t="s">
        <v>2004</v>
      </c>
      <c r="H106">
        <v>11</v>
      </c>
      <c r="I106">
        <v>6930.2447999999995</v>
      </c>
      <c r="J106" t="s">
        <v>3707</v>
      </c>
    </row>
    <row r="107" spans="1:10" x14ac:dyDescent="0.2">
      <c r="A107" t="s">
        <v>3796</v>
      </c>
      <c r="B107">
        <v>127</v>
      </c>
      <c r="C107">
        <v>1.6</v>
      </c>
      <c r="D107" t="s">
        <v>2531</v>
      </c>
      <c r="E107" t="s">
        <v>3523</v>
      </c>
      <c r="F107" t="s">
        <v>3524</v>
      </c>
      <c r="G107" t="s">
        <v>2219</v>
      </c>
      <c r="H107">
        <v>2</v>
      </c>
      <c r="I107">
        <v>2227.5463999999997</v>
      </c>
      <c r="J107" t="s">
        <v>3707</v>
      </c>
    </row>
    <row r="108" spans="1:10" x14ac:dyDescent="0.2">
      <c r="A108" t="s">
        <v>3796</v>
      </c>
      <c r="B108">
        <v>128</v>
      </c>
      <c r="C108">
        <v>1.6</v>
      </c>
      <c r="D108" t="s">
        <v>303</v>
      </c>
      <c r="E108" t="s">
        <v>3523</v>
      </c>
      <c r="F108" t="s">
        <v>3524</v>
      </c>
      <c r="G108" t="s">
        <v>2220</v>
      </c>
      <c r="H108">
        <v>21</v>
      </c>
      <c r="I108">
        <v>531.09999999999991</v>
      </c>
      <c r="J108" t="s">
        <v>3707</v>
      </c>
    </row>
    <row r="109" spans="1:10" x14ac:dyDescent="0.2">
      <c r="A109" t="s">
        <v>3796</v>
      </c>
      <c r="B109">
        <v>129</v>
      </c>
      <c r="C109">
        <v>1.6</v>
      </c>
      <c r="D109" t="s">
        <v>392</v>
      </c>
      <c r="E109" t="s">
        <v>3523</v>
      </c>
      <c r="F109" t="s">
        <v>3524</v>
      </c>
      <c r="G109" t="s">
        <v>1931</v>
      </c>
      <c r="H109">
        <v>11</v>
      </c>
      <c r="I109">
        <v>1966.1999999999998</v>
      </c>
      <c r="J109" t="s">
        <v>3707</v>
      </c>
    </row>
    <row r="110" spans="1:10" x14ac:dyDescent="0.2">
      <c r="A110" t="s">
        <v>3796</v>
      </c>
      <c r="B110">
        <v>130</v>
      </c>
      <c r="C110">
        <v>1.6</v>
      </c>
      <c r="D110" t="s">
        <v>2532</v>
      </c>
      <c r="E110" t="s">
        <v>3523</v>
      </c>
      <c r="F110" t="s">
        <v>3524</v>
      </c>
      <c r="G110" t="s">
        <v>2221</v>
      </c>
      <c r="H110">
        <v>41</v>
      </c>
      <c r="I110">
        <v>1231.6999999999998</v>
      </c>
      <c r="J110" t="s">
        <v>3707</v>
      </c>
    </row>
    <row r="111" spans="1:10" x14ac:dyDescent="0.2">
      <c r="A111" t="s">
        <v>3796</v>
      </c>
      <c r="B111">
        <v>131</v>
      </c>
      <c r="C111">
        <v>1.6</v>
      </c>
      <c r="D111" t="s">
        <v>2460</v>
      </c>
      <c r="E111" t="s">
        <v>3523</v>
      </c>
      <c r="F111" t="s">
        <v>3524</v>
      </c>
      <c r="G111" t="s">
        <v>2222</v>
      </c>
      <c r="H111">
        <v>192.2</v>
      </c>
      <c r="I111">
        <v>2118.75</v>
      </c>
      <c r="J111" t="s">
        <v>3707</v>
      </c>
    </row>
    <row r="112" spans="1:10" x14ac:dyDescent="0.2">
      <c r="A112" t="s">
        <v>3796</v>
      </c>
      <c r="B112">
        <v>132</v>
      </c>
      <c r="C112">
        <v>1.6</v>
      </c>
      <c r="D112" t="s">
        <v>2599</v>
      </c>
      <c r="E112" t="s">
        <v>3523</v>
      </c>
      <c r="F112" t="s">
        <v>3524</v>
      </c>
      <c r="G112" t="s">
        <v>2006</v>
      </c>
      <c r="H112">
        <v>4.0999999999999996</v>
      </c>
      <c r="I112">
        <v>3282.9211999999993</v>
      </c>
      <c r="J112" t="s">
        <v>3707</v>
      </c>
    </row>
    <row r="113" spans="1:10" x14ac:dyDescent="0.2">
      <c r="A113" t="s">
        <v>3796</v>
      </c>
      <c r="B113">
        <v>133</v>
      </c>
      <c r="C113">
        <v>1.6</v>
      </c>
      <c r="D113" t="s">
        <v>548</v>
      </c>
      <c r="E113" t="s">
        <v>3523</v>
      </c>
      <c r="F113" t="s">
        <v>3524</v>
      </c>
      <c r="G113" t="s">
        <v>2223</v>
      </c>
      <c r="H113">
        <v>34</v>
      </c>
      <c r="I113">
        <v>6384.0028000000002</v>
      </c>
      <c r="J113" t="s">
        <v>3707</v>
      </c>
    </row>
    <row r="114" spans="1:10" x14ac:dyDescent="0.2">
      <c r="A114" t="s">
        <v>3796</v>
      </c>
      <c r="B114">
        <v>134</v>
      </c>
      <c r="C114">
        <v>1.6</v>
      </c>
      <c r="D114" t="s">
        <v>546</v>
      </c>
      <c r="E114" t="s">
        <v>3523</v>
      </c>
      <c r="F114" t="s">
        <v>3524</v>
      </c>
      <c r="G114" t="s">
        <v>2224</v>
      </c>
      <c r="H114">
        <v>2</v>
      </c>
      <c r="I114">
        <v>8383.684699999998</v>
      </c>
      <c r="J114" t="s">
        <v>3707</v>
      </c>
    </row>
    <row r="115" spans="1:10" x14ac:dyDescent="0.2">
      <c r="A115" t="s">
        <v>3796</v>
      </c>
      <c r="B115">
        <v>135</v>
      </c>
      <c r="C115">
        <v>1.6</v>
      </c>
      <c r="D115" t="s">
        <v>408</v>
      </c>
      <c r="E115" t="s">
        <v>3523</v>
      </c>
      <c r="F115" t="s">
        <v>3524</v>
      </c>
      <c r="G115" t="s">
        <v>2225</v>
      </c>
      <c r="H115">
        <v>1</v>
      </c>
      <c r="I115">
        <v>1182.0590999999997</v>
      </c>
      <c r="J115" t="s">
        <v>3707</v>
      </c>
    </row>
    <row r="116" spans="1:10" x14ac:dyDescent="0.2">
      <c r="A116" t="s">
        <v>3796</v>
      </c>
      <c r="B116">
        <v>136</v>
      </c>
      <c r="C116">
        <v>1.6</v>
      </c>
      <c r="D116" t="s">
        <v>824</v>
      </c>
      <c r="E116" t="s">
        <v>3523</v>
      </c>
      <c r="F116" t="s">
        <v>3524</v>
      </c>
      <c r="G116" t="s">
        <v>2208</v>
      </c>
      <c r="H116">
        <v>2300</v>
      </c>
      <c r="I116">
        <v>5.8759999999999994</v>
      </c>
      <c r="J116" t="s">
        <v>3707</v>
      </c>
    </row>
    <row r="117" spans="1:10" x14ac:dyDescent="0.2">
      <c r="A117" t="s">
        <v>3796</v>
      </c>
      <c r="B117">
        <v>137</v>
      </c>
      <c r="C117">
        <v>1.6</v>
      </c>
      <c r="D117" t="s">
        <v>764</v>
      </c>
      <c r="E117" t="s">
        <v>3523</v>
      </c>
      <c r="F117" t="s">
        <v>3524</v>
      </c>
      <c r="G117" t="s">
        <v>2533</v>
      </c>
      <c r="H117">
        <v>31</v>
      </c>
      <c r="I117">
        <v>1069.7031999999999</v>
      </c>
      <c r="J117" t="s">
        <v>3707</v>
      </c>
    </row>
    <row r="118" spans="1:10" x14ac:dyDescent="0.2">
      <c r="A118" t="s">
        <v>3796</v>
      </c>
      <c r="B118">
        <v>138</v>
      </c>
      <c r="C118">
        <v>1.6</v>
      </c>
      <c r="D118" t="s">
        <v>833</v>
      </c>
      <c r="E118" t="s">
        <v>3523</v>
      </c>
      <c r="F118" t="s">
        <v>3524</v>
      </c>
      <c r="G118" t="s">
        <v>2540</v>
      </c>
      <c r="H118">
        <v>13</v>
      </c>
      <c r="I118">
        <v>940.18259999999987</v>
      </c>
      <c r="J118" t="s">
        <v>3707</v>
      </c>
    </row>
    <row r="119" spans="1:10" x14ac:dyDescent="0.2">
      <c r="A119" t="s">
        <v>3796</v>
      </c>
      <c r="B119">
        <v>139</v>
      </c>
      <c r="C119">
        <v>2.1</v>
      </c>
      <c r="D119" t="s">
        <v>650</v>
      </c>
      <c r="E119" t="s">
        <v>3523</v>
      </c>
      <c r="F119" t="s">
        <v>3524</v>
      </c>
      <c r="G119" t="s">
        <v>2226</v>
      </c>
      <c r="H119">
        <v>144</v>
      </c>
      <c r="I119">
        <v>6672.65</v>
      </c>
      <c r="J119" t="s">
        <v>3707</v>
      </c>
    </row>
    <row r="120" spans="1:10" x14ac:dyDescent="0.2">
      <c r="A120" t="s">
        <v>3796</v>
      </c>
      <c r="B120">
        <v>140</v>
      </c>
      <c r="C120">
        <v>2.1</v>
      </c>
      <c r="D120" t="s">
        <v>2448</v>
      </c>
      <c r="E120" t="s">
        <v>3523</v>
      </c>
      <c r="F120" t="s">
        <v>3524</v>
      </c>
      <c r="G120" t="s">
        <v>1976</v>
      </c>
      <c r="H120">
        <v>21</v>
      </c>
      <c r="I120">
        <v>10615.005299999999</v>
      </c>
      <c r="J120" t="s">
        <v>3707</v>
      </c>
    </row>
    <row r="121" spans="1:10" x14ac:dyDescent="0.2">
      <c r="A121" t="s">
        <v>3796</v>
      </c>
      <c r="B121">
        <v>141</v>
      </c>
      <c r="C121">
        <v>2.1</v>
      </c>
      <c r="D121" t="s">
        <v>606</v>
      </c>
      <c r="E121" t="s">
        <v>3523</v>
      </c>
      <c r="F121" t="s">
        <v>3524</v>
      </c>
      <c r="G121" t="s">
        <v>1978</v>
      </c>
      <c r="H121">
        <v>42</v>
      </c>
      <c r="I121">
        <v>369.99589999999995</v>
      </c>
      <c r="J121" t="s">
        <v>3707</v>
      </c>
    </row>
    <row r="122" spans="1:10" x14ac:dyDescent="0.2">
      <c r="A122" t="s">
        <v>3796</v>
      </c>
      <c r="B122">
        <v>142</v>
      </c>
      <c r="C122">
        <v>2.1</v>
      </c>
      <c r="D122" t="s">
        <v>634</v>
      </c>
      <c r="E122" t="s">
        <v>3523</v>
      </c>
      <c r="F122" t="s">
        <v>3524</v>
      </c>
      <c r="G122" t="s">
        <v>2227</v>
      </c>
      <c r="H122">
        <v>6</v>
      </c>
      <c r="I122">
        <v>4360.0032999999994</v>
      </c>
      <c r="J122" t="s">
        <v>3707</v>
      </c>
    </row>
    <row r="123" spans="1:10" x14ac:dyDescent="0.2">
      <c r="A123" t="s">
        <v>3796</v>
      </c>
      <c r="B123">
        <v>143</v>
      </c>
      <c r="C123">
        <v>2.1</v>
      </c>
      <c r="D123" t="s">
        <v>643</v>
      </c>
      <c r="E123" t="s">
        <v>3523</v>
      </c>
      <c r="F123" t="s">
        <v>3524</v>
      </c>
      <c r="G123" t="s">
        <v>2182</v>
      </c>
      <c r="H123">
        <v>1</v>
      </c>
      <c r="I123">
        <v>4338.0021999999999</v>
      </c>
      <c r="J123" t="s">
        <v>3707</v>
      </c>
    </row>
    <row r="124" spans="1:10" x14ac:dyDescent="0.2">
      <c r="A124" t="s">
        <v>3796</v>
      </c>
      <c r="B124">
        <v>144</v>
      </c>
      <c r="C124">
        <v>2.2000000000000002</v>
      </c>
      <c r="D124" t="s">
        <v>2749</v>
      </c>
      <c r="E124" t="s">
        <v>3523</v>
      </c>
      <c r="F124" t="s">
        <v>3524</v>
      </c>
      <c r="G124" t="s">
        <v>2228</v>
      </c>
      <c r="H124">
        <v>94</v>
      </c>
      <c r="I124">
        <v>4303.04</v>
      </c>
      <c r="J124" t="s">
        <v>3707</v>
      </c>
    </row>
    <row r="125" spans="1:10" x14ac:dyDescent="0.2">
      <c r="A125" t="s">
        <v>3796</v>
      </c>
      <c r="B125">
        <v>145</v>
      </c>
      <c r="C125">
        <v>2.2000000000000002</v>
      </c>
      <c r="D125" t="s">
        <v>2724</v>
      </c>
      <c r="E125" t="s">
        <v>3523</v>
      </c>
      <c r="F125" t="s">
        <v>3524</v>
      </c>
      <c r="G125" t="s">
        <v>2229</v>
      </c>
      <c r="H125">
        <v>25</v>
      </c>
      <c r="I125">
        <v>8450.4224999999988</v>
      </c>
      <c r="J125" t="s">
        <v>3707</v>
      </c>
    </row>
    <row r="126" spans="1:10" x14ac:dyDescent="0.2">
      <c r="A126" t="s">
        <v>3796</v>
      </c>
      <c r="B126">
        <v>146</v>
      </c>
      <c r="C126">
        <v>2.2000000000000002</v>
      </c>
      <c r="D126" t="s">
        <v>2550</v>
      </c>
      <c r="E126" t="s">
        <v>3523</v>
      </c>
      <c r="F126" t="s">
        <v>3524</v>
      </c>
      <c r="G126" t="s">
        <v>2549</v>
      </c>
      <c r="H126">
        <v>20</v>
      </c>
      <c r="I126">
        <v>7280.7368999999999</v>
      </c>
      <c r="J126" t="s">
        <v>3707</v>
      </c>
    </row>
    <row r="127" spans="1:10" x14ac:dyDescent="0.2">
      <c r="A127" t="s">
        <v>3796</v>
      </c>
      <c r="B127">
        <v>147</v>
      </c>
      <c r="C127">
        <v>2.2000000000000002</v>
      </c>
      <c r="D127" t="s">
        <v>2440</v>
      </c>
      <c r="E127" t="s">
        <v>3523</v>
      </c>
      <c r="F127" t="s">
        <v>3524</v>
      </c>
      <c r="G127" t="s">
        <v>2231</v>
      </c>
      <c r="H127">
        <v>18</v>
      </c>
      <c r="I127">
        <v>1720.877</v>
      </c>
      <c r="J127" t="s">
        <v>3707</v>
      </c>
    </row>
    <row r="128" spans="1:10" x14ac:dyDescent="0.2">
      <c r="A128" t="s">
        <v>3796</v>
      </c>
      <c r="B128">
        <v>148</v>
      </c>
      <c r="C128">
        <v>2.2000000000000002</v>
      </c>
      <c r="D128" t="s">
        <v>2624</v>
      </c>
      <c r="E128" t="s">
        <v>3523</v>
      </c>
      <c r="F128" t="s">
        <v>3524</v>
      </c>
      <c r="G128" t="s">
        <v>1979</v>
      </c>
      <c r="H128">
        <v>7</v>
      </c>
      <c r="I128">
        <v>502.35279999999995</v>
      </c>
      <c r="J128" t="s">
        <v>3707</v>
      </c>
    </row>
    <row r="129" spans="1:10" x14ac:dyDescent="0.2">
      <c r="A129" t="s">
        <v>3796</v>
      </c>
      <c r="B129">
        <v>149</v>
      </c>
      <c r="C129">
        <v>2.2000000000000002</v>
      </c>
      <c r="D129" t="s">
        <v>497</v>
      </c>
      <c r="E129" t="s">
        <v>3523</v>
      </c>
      <c r="F129" t="s">
        <v>3524</v>
      </c>
      <c r="G129" t="s">
        <v>2232</v>
      </c>
      <c r="H129">
        <v>2</v>
      </c>
      <c r="I129">
        <v>429.90849999999995</v>
      </c>
      <c r="J129" t="s">
        <v>3707</v>
      </c>
    </row>
    <row r="130" spans="1:10" x14ac:dyDescent="0.2">
      <c r="A130" t="s">
        <v>3796</v>
      </c>
      <c r="B130">
        <v>150</v>
      </c>
      <c r="C130">
        <v>2.2000000000000002</v>
      </c>
      <c r="D130" t="s">
        <v>892</v>
      </c>
      <c r="E130" t="s">
        <v>3523</v>
      </c>
      <c r="F130" t="s">
        <v>3524</v>
      </c>
      <c r="G130" t="s">
        <v>2233</v>
      </c>
      <c r="H130">
        <v>1</v>
      </c>
      <c r="I130">
        <v>7137.2381999999998</v>
      </c>
      <c r="J130" t="s">
        <v>3707</v>
      </c>
    </row>
    <row r="131" spans="1:10" x14ac:dyDescent="0.2">
      <c r="A131" t="s">
        <v>3796</v>
      </c>
      <c r="B131">
        <v>151</v>
      </c>
      <c r="C131">
        <v>2.2000000000000002</v>
      </c>
      <c r="D131" t="s">
        <v>2563</v>
      </c>
      <c r="E131" t="s">
        <v>3523</v>
      </c>
      <c r="F131" t="s">
        <v>3524</v>
      </c>
      <c r="G131" t="s">
        <v>1981</v>
      </c>
      <c r="H131">
        <v>1</v>
      </c>
      <c r="I131">
        <v>4802.4434999999994</v>
      </c>
      <c r="J131" t="s">
        <v>3707</v>
      </c>
    </row>
    <row r="132" spans="1:10" x14ac:dyDescent="0.2">
      <c r="A132" t="s">
        <v>3796</v>
      </c>
      <c r="B132">
        <v>152</v>
      </c>
      <c r="C132">
        <v>2.2000000000000002</v>
      </c>
      <c r="D132" t="s">
        <v>2731</v>
      </c>
      <c r="E132" t="s">
        <v>3523</v>
      </c>
      <c r="F132" t="s">
        <v>3524</v>
      </c>
      <c r="G132" t="s">
        <v>2234</v>
      </c>
      <c r="H132">
        <v>1</v>
      </c>
      <c r="I132">
        <v>25867.96</v>
      </c>
      <c r="J132" t="s">
        <v>3707</v>
      </c>
    </row>
    <row r="133" spans="1:10" x14ac:dyDescent="0.2">
      <c r="A133" t="s">
        <v>3796</v>
      </c>
      <c r="B133">
        <v>153</v>
      </c>
      <c r="C133">
        <v>2.2000000000000002</v>
      </c>
      <c r="D133" t="s">
        <v>2460</v>
      </c>
      <c r="E133" t="s">
        <v>3523</v>
      </c>
      <c r="F133" t="s">
        <v>3524</v>
      </c>
      <c r="G133" t="s">
        <v>2222</v>
      </c>
      <c r="H133">
        <v>2</v>
      </c>
      <c r="I133">
        <v>1875</v>
      </c>
      <c r="J133" t="s">
        <v>3707</v>
      </c>
    </row>
    <row r="134" spans="1:10" x14ac:dyDescent="0.2">
      <c r="A134" t="s">
        <v>3796</v>
      </c>
      <c r="B134">
        <v>154</v>
      </c>
      <c r="C134">
        <v>2.2000000000000002</v>
      </c>
      <c r="D134" t="s">
        <v>2599</v>
      </c>
      <c r="E134" t="s">
        <v>3523</v>
      </c>
      <c r="F134" t="s">
        <v>3524</v>
      </c>
      <c r="G134" t="s">
        <v>2006</v>
      </c>
      <c r="H134">
        <v>2</v>
      </c>
      <c r="I134">
        <v>2905.24</v>
      </c>
      <c r="J134" t="s">
        <v>3707</v>
      </c>
    </row>
    <row r="135" spans="1:10" x14ac:dyDescent="0.2">
      <c r="A135" t="s">
        <v>3796</v>
      </c>
      <c r="B135">
        <v>155</v>
      </c>
      <c r="C135">
        <v>2.2999999999999998</v>
      </c>
      <c r="D135" t="s">
        <v>969</v>
      </c>
      <c r="E135" t="s">
        <v>3523</v>
      </c>
      <c r="F135" t="s">
        <v>3524</v>
      </c>
      <c r="G135" t="s">
        <v>2235</v>
      </c>
      <c r="H135">
        <v>5</v>
      </c>
      <c r="I135">
        <v>44999.993728999994</v>
      </c>
      <c r="J135" t="s">
        <v>3707</v>
      </c>
    </row>
    <row r="136" spans="1:10" x14ac:dyDescent="0.2">
      <c r="A136" t="s">
        <v>3796</v>
      </c>
      <c r="B136">
        <v>156</v>
      </c>
      <c r="C136">
        <v>2.2999999999999998</v>
      </c>
      <c r="D136" t="s">
        <v>2095</v>
      </c>
      <c r="E136" t="s">
        <v>3523</v>
      </c>
      <c r="F136" t="s">
        <v>3524</v>
      </c>
      <c r="G136" t="s">
        <v>2236</v>
      </c>
      <c r="H136">
        <v>4</v>
      </c>
      <c r="I136">
        <v>73043.199999999997</v>
      </c>
      <c r="J136" t="s">
        <v>140</v>
      </c>
    </row>
    <row r="137" spans="1:10" x14ac:dyDescent="0.2">
      <c r="A137" t="s">
        <v>3796</v>
      </c>
      <c r="B137">
        <v>159</v>
      </c>
      <c r="C137">
        <v>2.2999999999999998</v>
      </c>
      <c r="D137" t="s">
        <v>2704</v>
      </c>
      <c r="E137" t="s">
        <v>3523</v>
      </c>
      <c r="F137" t="s">
        <v>3524</v>
      </c>
      <c r="G137" t="s">
        <v>2237</v>
      </c>
      <c r="H137">
        <v>1</v>
      </c>
      <c r="I137">
        <v>79640.004399999991</v>
      </c>
      <c r="J137" t="s">
        <v>3707</v>
      </c>
    </row>
    <row r="138" spans="1:10" x14ac:dyDescent="0.2">
      <c r="A138" t="s">
        <v>3796</v>
      </c>
      <c r="B138">
        <v>160</v>
      </c>
      <c r="C138">
        <v>2.2999999999999998</v>
      </c>
      <c r="D138" t="s">
        <v>609</v>
      </c>
      <c r="E138" t="s">
        <v>3523</v>
      </c>
      <c r="F138" t="s">
        <v>3524</v>
      </c>
      <c r="G138" t="s">
        <v>1935</v>
      </c>
      <c r="H138">
        <v>9</v>
      </c>
      <c r="I138">
        <v>324.99930000000001</v>
      </c>
      <c r="J138" t="s">
        <v>3707</v>
      </c>
    </row>
    <row r="139" spans="1:10" x14ac:dyDescent="0.2">
      <c r="A139" t="s">
        <v>3796</v>
      </c>
      <c r="B139">
        <v>161</v>
      </c>
      <c r="C139">
        <v>2.2999999999999998</v>
      </c>
      <c r="D139" t="s">
        <v>487</v>
      </c>
      <c r="E139" t="s">
        <v>3523</v>
      </c>
      <c r="F139" t="s">
        <v>3524</v>
      </c>
      <c r="G139" t="s">
        <v>1936</v>
      </c>
      <c r="H139">
        <v>1</v>
      </c>
      <c r="I139">
        <v>4746.8135999999995</v>
      </c>
      <c r="J139" t="s">
        <v>3707</v>
      </c>
    </row>
    <row r="140" spans="1:10" x14ac:dyDescent="0.2">
      <c r="A140" t="s">
        <v>3796</v>
      </c>
      <c r="B140">
        <v>162</v>
      </c>
      <c r="C140">
        <v>2.2999999999999998</v>
      </c>
      <c r="D140" t="s">
        <v>745</v>
      </c>
      <c r="E140" t="s">
        <v>3523</v>
      </c>
      <c r="F140" t="s">
        <v>3524</v>
      </c>
      <c r="G140" t="s">
        <v>2238</v>
      </c>
      <c r="H140">
        <v>2</v>
      </c>
      <c r="I140">
        <v>2839.4978999999998</v>
      </c>
      <c r="J140" t="s">
        <v>3707</v>
      </c>
    </row>
    <row r="141" spans="1:10" x14ac:dyDescent="0.2">
      <c r="A141" t="s">
        <v>3796</v>
      </c>
      <c r="B141">
        <v>163</v>
      </c>
      <c r="C141">
        <v>2.2999999999999998</v>
      </c>
      <c r="D141" t="s">
        <v>643</v>
      </c>
      <c r="E141" t="s">
        <v>3523</v>
      </c>
      <c r="F141" t="s">
        <v>3524</v>
      </c>
      <c r="G141" t="s">
        <v>2182</v>
      </c>
      <c r="H141">
        <v>2</v>
      </c>
      <c r="I141">
        <v>4338.0021999999999</v>
      </c>
      <c r="J141" t="s">
        <v>3707</v>
      </c>
    </row>
    <row r="142" spans="1:10" x14ac:dyDescent="0.2">
      <c r="A142" t="s">
        <v>3796</v>
      </c>
      <c r="B142">
        <v>164</v>
      </c>
      <c r="C142">
        <v>2.2999999999999998</v>
      </c>
      <c r="D142" t="s">
        <v>2700</v>
      </c>
      <c r="E142" t="s">
        <v>3523</v>
      </c>
      <c r="F142" t="s">
        <v>3524</v>
      </c>
      <c r="G142" t="s">
        <v>2201</v>
      </c>
      <c r="H142">
        <v>3</v>
      </c>
      <c r="I142">
        <v>6464.999957</v>
      </c>
      <c r="J142" t="s">
        <v>3707</v>
      </c>
    </row>
    <row r="143" spans="1:10" x14ac:dyDescent="0.2">
      <c r="A143" t="s">
        <v>3796</v>
      </c>
      <c r="B143">
        <v>165</v>
      </c>
      <c r="C143">
        <v>2.2999999999999998</v>
      </c>
      <c r="D143" t="s">
        <v>2699</v>
      </c>
      <c r="E143" t="s">
        <v>3523</v>
      </c>
      <c r="F143" t="s">
        <v>3524</v>
      </c>
      <c r="G143" t="s">
        <v>1937</v>
      </c>
      <c r="H143">
        <v>1</v>
      </c>
      <c r="I143">
        <v>24555.9961</v>
      </c>
      <c r="J143" t="s">
        <v>3707</v>
      </c>
    </row>
    <row r="144" spans="1:10" x14ac:dyDescent="0.2">
      <c r="A144" t="s">
        <v>3796</v>
      </c>
      <c r="B144">
        <v>166</v>
      </c>
      <c r="C144">
        <v>2.2999999999999998</v>
      </c>
      <c r="D144" t="s">
        <v>339</v>
      </c>
      <c r="E144" t="s">
        <v>3523</v>
      </c>
      <c r="F144" t="s">
        <v>3524</v>
      </c>
      <c r="G144" t="s">
        <v>1938</v>
      </c>
      <c r="H144">
        <v>3</v>
      </c>
      <c r="I144">
        <v>1425.0090999999998</v>
      </c>
      <c r="J144" t="s">
        <v>3707</v>
      </c>
    </row>
    <row r="145" spans="1:10" x14ac:dyDescent="0.2">
      <c r="A145" t="s">
        <v>3796</v>
      </c>
      <c r="B145">
        <v>167</v>
      </c>
      <c r="C145">
        <v>2.2999999999999998</v>
      </c>
      <c r="D145" t="s">
        <v>340</v>
      </c>
      <c r="E145" t="s">
        <v>3523</v>
      </c>
      <c r="F145" t="s">
        <v>3524</v>
      </c>
      <c r="G145" t="s">
        <v>1939</v>
      </c>
      <c r="H145">
        <v>6</v>
      </c>
      <c r="I145">
        <v>2060.0012999999999</v>
      </c>
      <c r="J145" t="s">
        <v>3707</v>
      </c>
    </row>
    <row r="146" spans="1:10" x14ac:dyDescent="0.2">
      <c r="A146" t="s">
        <v>3796</v>
      </c>
      <c r="B146">
        <v>168</v>
      </c>
      <c r="C146">
        <v>2.2999999999999998</v>
      </c>
      <c r="D146" t="s">
        <v>503</v>
      </c>
      <c r="E146" t="s">
        <v>3523</v>
      </c>
      <c r="F146" t="s">
        <v>3524</v>
      </c>
      <c r="G146" t="s">
        <v>1940</v>
      </c>
      <c r="H146">
        <v>6</v>
      </c>
      <c r="I146">
        <v>1739.9965999999997</v>
      </c>
      <c r="J146" t="s">
        <v>3707</v>
      </c>
    </row>
    <row r="147" spans="1:10" x14ac:dyDescent="0.2">
      <c r="A147" t="s">
        <v>3796</v>
      </c>
      <c r="B147">
        <v>169</v>
      </c>
      <c r="C147">
        <v>2.2999999999999998</v>
      </c>
      <c r="D147" t="s">
        <v>725</v>
      </c>
      <c r="E147" t="s">
        <v>3523</v>
      </c>
      <c r="F147" t="s">
        <v>3524</v>
      </c>
      <c r="G147" t="s">
        <v>1941</v>
      </c>
      <c r="H147">
        <v>6</v>
      </c>
      <c r="I147">
        <v>2410.29</v>
      </c>
      <c r="J147" t="s">
        <v>3707</v>
      </c>
    </row>
    <row r="148" spans="1:10" x14ac:dyDescent="0.2">
      <c r="A148" t="s">
        <v>3796</v>
      </c>
      <c r="B148">
        <v>170</v>
      </c>
      <c r="C148">
        <v>2.2999999999999998</v>
      </c>
      <c r="D148" t="s">
        <v>632</v>
      </c>
      <c r="E148" t="s">
        <v>3523</v>
      </c>
      <c r="F148" t="s">
        <v>3524</v>
      </c>
      <c r="G148" t="s">
        <v>2239</v>
      </c>
      <c r="H148">
        <v>3</v>
      </c>
      <c r="I148">
        <v>2885.0029999999997</v>
      </c>
      <c r="J148" t="s">
        <v>3707</v>
      </c>
    </row>
    <row r="149" spans="1:10" x14ac:dyDescent="0.2">
      <c r="A149" t="s">
        <v>3796</v>
      </c>
      <c r="B149">
        <v>171</v>
      </c>
      <c r="C149">
        <v>2.2999999999999998</v>
      </c>
      <c r="D149" t="s">
        <v>634</v>
      </c>
      <c r="E149" t="s">
        <v>3523</v>
      </c>
      <c r="F149" t="s">
        <v>3524</v>
      </c>
      <c r="G149" t="s">
        <v>2227</v>
      </c>
      <c r="H149">
        <v>6</v>
      </c>
      <c r="I149">
        <v>4360.0032999999994</v>
      </c>
      <c r="J149" t="s">
        <v>3707</v>
      </c>
    </row>
    <row r="150" spans="1:10" x14ac:dyDescent="0.2">
      <c r="A150" t="s">
        <v>3796</v>
      </c>
      <c r="B150">
        <v>172</v>
      </c>
      <c r="C150">
        <v>2.2999999999999998</v>
      </c>
      <c r="D150" t="s">
        <v>636</v>
      </c>
      <c r="E150" t="s">
        <v>3523</v>
      </c>
      <c r="F150" t="s">
        <v>3524</v>
      </c>
      <c r="G150" t="s">
        <v>2240</v>
      </c>
      <c r="H150">
        <v>3</v>
      </c>
      <c r="I150">
        <v>1569.9993999999999</v>
      </c>
      <c r="J150" t="s">
        <v>3707</v>
      </c>
    </row>
    <row r="151" spans="1:10" x14ac:dyDescent="0.2">
      <c r="A151" t="s">
        <v>3796</v>
      </c>
      <c r="B151">
        <v>173</v>
      </c>
      <c r="C151">
        <v>2.2999999999999998</v>
      </c>
      <c r="D151" t="s">
        <v>729</v>
      </c>
      <c r="E151" t="s">
        <v>3523</v>
      </c>
      <c r="F151" t="s">
        <v>3524</v>
      </c>
      <c r="G151" t="s">
        <v>2131</v>
      </c>
      <c r="H151">
        <v>1</v>
      </c>
      <c r="I151">
        <v>4032.97</v>
      </c>
      <c r="J151" t="s">
        <v>3707</v>
      </c>
    </row>
    <row r="152" spans="1:10" x14ac:dyDescent="0.2">
      <c r="A152" t="s">
        <v>3796</v>
      </c>
      <c r="B152">
        <v>174</v>
      </c>
      <c r="C152">
        <v>2.2999999999999998</v>
      </c>
      <c r="D152" t="s">
        <v>641</v>
      </c>
      <c r="E152" t="s">
        <v>3523</v>
      </c>
      <c r="F152" t="s">
        <v>3524</v>
      </c>
      <c r="G152" t="s">
        <v>1977</v>
      </c>
      <c r="H152">
        <v>1</v>
      </c>
      <c r="I152">
        <v>15030.005699999998</v>
      </c>
      <c r="J152" t="s">
        <v>3707</v>
      </c>
    </row>
    <row r="153" spans="1:10" x14ac:dyDescent="0.2">
      <c r="A153" t="s">
        <v>3796</v>
      </c>
      <c r="B153">
        <v>175</v>
      </c>
      <c r="C153">
        <v>2.2999999999999998</v>
      </c>
      <c r="D153" t="s">
        <v>552</v>
      </c>
      <c r="E153" t="s">
        <v>3523</v>
      </c>
      <c r="F153" t="s">
        <v>3524</v>
      </c>
      <c r="G153" t="s">
        <v>1942</v>
      </c>
      <c r="H153">
        <v>2</v>
      </c>
      <c r="I153">
        <v>201684.65999999997</v>
      </c>
      <c r="J153" t="s">
        <v>3707</v>
      </c>
    </row>
    <row r="154" spans="1:10" x14ac:dyDescent="0.2">
      <c r="A154" t="s">
        <v>3796</v>
      </c>
      <c r="B154">
        <v>176</v>
      </c>
      <c r="C154">
        <v>2.2999999999999998</v>
      </c>
      <c r="D154" t="s">
        <v>963</v>
      </c>
      <c r="E154" t="s">
        <v>3523</v>
      </c>
      <c r="F154" t="s">
        <v>3524</v>
      </c>
      <c r="G154" t="s">
        <v>1943</v>
      </c>
      <c r="H154">
        <v>2</v>
      </c>
      <c r="I154">
        <v>268854.12</v>
      </c>
      <c r="J154" t="s">
        <v>3707</v>
      </c>
    </row>
    <row r="155" spans="1:10" x14ac:dyDescent="0.2">
      <c r="A155" t="s">
        <v>3796</v>
      </c>
      <c r="B155">
        <v>177</v>
      </c>
      <c r="C155">
        <v>2.2999999999999998</v>
      </c>
      <c r="D155" t="s">
        <v>3709</v>
      </c>
      <c r="E155" t="s">
        <v>3523</v>
      </c>
      <c r="F155" t="s">
        <v>3524</v>
      </c>
      <c r="G155" t="s">
        <v>1944</v>
      </c>
      <c r="H155">
        <v>2</v>
      </c>
      <c r="I155">
        <v>4443.6120000000001</v>
      </c>
      <c r="J155" t="s">
        <v>3707</v>
      </c>
    </row>
    <row r="156" spans="1:10" x14ac:dyDescent="0.2">
      <c r="A156" t="s">
        <v>3796</v>
      </c>
      <c r="B156">
        <v>178</v>
      </c>
      <c r="C156">
        <v>2.6</v>
      </c>
      <c r="D156" t="s">
        <v>321</v>
      </c>
      <c r="E156" t="s">
        <v>3523</v>
      </c>
      <c r="F156" t="s">
        <v>3524</v>
      </c>
      <c r="G156" t="s">
        <v>2245</v>
      </c>
      <c r="H156">
        <v>44</v>
      </c>
      <c r="I156">
        <v>487.38029999999998</v>
      </c>
      <c r="J156" t="s">
        <v>3707</v>
      </c>
    </row>
    <row r="157" spans="1:10" x14ac:dyDescent="0.2">
      <c r="A157" t="s">
        <v>3796</v>
      </c>
      <c r="B157">
        <v>179</v>
      </c>
      <c r="C157">
        <v>2.6</v>
      </c>
      <c r="D157" t="s">
        <v>2097</v>
      </c>
      <c r="E157" t="s">
        <v>3523</v>
      </c>
      <c r="F157" t="s">
        <v>3524</v>
      </c>
      <c r="G157" t="s">
        <v>2096</v>
      </c>
      <c r="H157">
        <v>94</v>
      </c>
      <c r="I157">
        <v>200.54109999999997</v>
      </c>
      <c r="J157" t="s">
        <v>3707</v>
      </c>
    </row>
    <row r="158" spans="1:10" x14ac:dyDescent="0.2">
      <c r="A158" t="s">
        <v>3796</v>
      </c>
      <c r="B158">
        <v>180</v>
      </c>
      <c r="C158">
        <v>2.6</v>
      </c>
      <c r="D158" t="s">
        <v>802</v>
      </c>
      <c r="E158" t="s">
        <v>3523</v>
      </c>
      <c r="F158" t="s">
        <v>3524</v>
      </c>
      <c r="G158" t="s">
        <v>2243</v>
      </c>
      <c r="H158">
        <v>48</v>
      </c>
      <c r="I158">
        <v>862.76629999999989</v>
      </c>
      <c r="J158" t="s">
        <v>3707</v>
      </c>
    </row>
    <row r="159" spans="1:10" x14ac:dyDescent="0.2">
      <c r="A159" t="s">
        <v>3796</v>
      </c>
      <c r="B159">
        <v>181</v>
      </c>
      <c r="C159">
        <v>2.6</v>
      </c>
      <c r="D159" t="s">
        <v>753</v>
      </c>
      <c r="E159" t="s">
        <v>3523</v>
      </c>
      <c r="F159" t="s">
        <v>3524</v>
      </c>
      <c r="G159" t="s">
        <v>1947</v>
      </c>
      <c r="H159">
        <v>44</v>
      </c>
      <c r="I159">
        <v>228.89279999999999</v>
      </c>
      <c r="J159" t="s">
        <v>3707</v>
      </c>
    </row>
    <row r="160" spans="1:10" x14ac:dyDescent="0.2">
      <c r="A160" t="s">
        <v>3796</v>
      </c>
      <c r="B160">
        <v>182</v>
      </c>
      <c r="C160">
        <v>2.6</v>
      </c>
      <c r="D160" t="s">
        <v>841</v>
      </c>
      <c r="E160" t="s">
        <v>3523</v>
      </c>
      <c r="F160" t="s">
        <v>3524</v>
      </c>
      <c r="G160" t="s">
        <v>2242</v>
      </c>
      <c r="H160">
        <v>11</v>
      </c>
      <c r="I160">
        <v>3598.5189</v>
      </c>
      <c r="J160" t="s">
        <v>3707</v>
      </c>
    </row>
    <row r="161" spans="1:10" x14ac:dyDescent="0.2">
      <c r="A161" t="s">
        <v>3796</v>
      </c>
      <c r="B161">
        <v>183</v>
      </c>
      <c r="C161">
        <v>2.6</v>
      </c>
      <c r="D161" t="s">
        <v>2687</v>
      </c>
      <c r="E161" t="s">
        <v>3523</v>
      </c>
      <c r="F161" t="s">
        <v>3524</v>
      </c>
      <c r="G161" t="s">
        <v>2244</v>
      </c>
      <c r="H161">
        <v>22</v>
      </c>
      <c r="I161">
        <v>2770.6695999999997</v>
      </c>
      <c r="J161" t="s">
        <v>3707</v>
      </c>
    </row>
    <row r="162" spans="1:10" x14ac:dyDescent="0.2">
      <c r="A162" t="s">
        <v>3796</v>
      </c>
      <c r="B162">
        <v>184</v>
      </c>
      <c r="C162">
        <v>2.6</v>
      </c>
      <c r="D162" t="s">
        <v>2688</v>
      </c>
      <c r="E162" t="s">
        <v>3523</v>
      </c>
      <c r="F162" t="s">
        <v>3524</v>
      </c>
      <c r="G162" t="s">
        <v>2246</v>
      </c>
      <c r="H162">
        <v>6</v>
      </c>
      <c r="I162">
        <v>3311.2728999999995</v>
      </c>
      <c r="J162" t="s">
        <v>3707</v>
      </c>
    </row>
    <row r="163" spans="1:10" x14ac:dyDescent="0.2">
      <c r="A163" t="s">
        <v>3796</v>
      </c>
      <c r="B163">
        <v>185</v>
      </c>
      <c r="C163">
        <v>2.6</v>
      </c>
      <c r="D163" t="s">
        <v>723</v>
      </c>
      <c r="E163" t="s">
        <v>3523</v>
      </c>
      <c r="F163" t="s">
        <v>3524</v>
      </c>
      <c r="G163" t="s">
        <v>1949</v>
      </c>
      <c r="H163">
        <v>13.65</v>
      </c>
      <c r="I163">
        <v>2353.5671388888886</v>
      </c>
      <c r="J163" t="s">
        <v>3707</v>
      </c>
    </row>
    <row r="164" spans="1:10" x14ac:dyDescent="0.2">
      <c r="A164" t="s">
        <v>3796</v>
      </c>
      <c r="B164">
        <v>186</v>
      </c>
      <c r="C164">
        <v>2.6</v>
      </c>
      <c r="D164" t="s">
        <v>2689</v>
      </c>
      <c r="E164" t="s">
        <v>3523</v>
      </c>
      <c r="F164" t="s">
        <v>3524</v>
      </c>
      <c r="G164" t="s">
        <v>1946</v>
      </c>
      <c r="H164">
        <v>18</v>
      </c>
      <c r="I164">
        <v>4320.0012999999999</v>
      </c>
      <c r="J164" t="s">
        <v>3707</v>
      </c>
    </row>
    <row r="165" spans="1:10" x14ac:dyDescent="0.2">
      <c r="A165" t="s">
        <v>3796</v>
      </c>
      <c r="B165">
        <v>187</v>
      </c>
      <c r="C165">
        <v>2.6</v>
      </c>
      <c r="D165" t="s">
        <v>1116</v>
      </c>
      <c r="E165" t="s">
        <v>3523</v>
      </c>
      <c r="F165" t="s">
        <v>3524</v>
      </c>
      <c r="G165" t="s">
        <v>1945</v>
      </c>
      <c r="H165">
        <v>18</v>
      </c>
      <c r="I165">
        <v>940.27299999999991</v>
      </c>
      <c r="J165" t="s">
        <v>3707</v>
      </c>
    </row>
    <row r="166" spans="1:10" x14ac:dyDescent="0.2">
      <c r="A166" t="s">
        <v>3796</v>
      </c>
      <c r="B166">
        <v>188</v>
      </c>
      <c r="C166">
        <v>2.6</v>
      </c>
      <c r="D166" t="s">
        <v>2686</v>
      </c>
      <c r="E166" t="s">
        <v>3523</v>
      </c>
      <c r="F166" t="s">
        <v>3524</v>
      </c>
      <c r="G166" t="s">
        <v>2685</v>
      </c>
      <c r="H166">
        <v>29</v>
      </c>
      <c r="I166">
        <v>42038.26</v>
      </c>
      <c r="J166" t="s">
        <v>3707</v>
      </c>
    </row>
    <row r="167" spans="1:10" x14ac:dyDescent="0.2">
      <c r="A167" t="s">
        <v>3796</v>
      </c>
      <c r="B167">
        <v>189</v>
      </c>
      <c r="C167">
        <v>2.6</v>
      </c>
      <c r="D167" t="s">
        <v>2693</v>
      </c>
      <c r="E167" t="s">
        <v>3523</v>
      </c>
      <c r="F167" t="s">
        <v>3524</v>
      </c>
      <c r="G167" t="s">
        <v>2247</v>
      </c>
      <c r="H167">
        <v>94</v>
      </c>
      <c r="I167">
        <v>91.04816799999999</v>
      </c>
      <c r="J167" t="s">
        <v>3707</v>
      </c>
    </row>
    <row r="168" spans="1:10" x14ac:dyDescent="0.2">
      <c r="A168" t="s">
        <v>3796</v>
      </c>
      <c r="B168">
        <v>190</v>
      </c>
      <c r="C168">
        <v>2.6</v>
      </c>
      <c r="D168" t="s">
        <v>719</v>
      </c>
      <c r="E168" t="s">
        <v>3523</v>
      </c>
      <c r="F168" t="s">
        <v>3524</v>
      </c>
      <c r="G168" t="s">
        <v>2241</v>
      </c>
      <c r="H168">
        <v>9</v>
      </c>
      <c r="I168">
        <v>10776.617899999999</v>
      </c>
      <c r="J168" t="s">
        <v>3707</v>
      </c>
    </row>
    <row r="169" spans="1:10" x14ac:dyDescent="0.2">
      <c r="A169" t="s">
        <v>3796</v>
      </c>
      <c r="B169">
        <v>191</v>
      </c>
      <c r="C169">
        <v>2.6</v>
      </c>
      <c r="D169" t="s">
        <v>2101</v>
      </c>
      <c r="E169" t="s">
        <v>3523</v>
      </c>
      <c r="F169" t="s">
        <v>3524</v>
      </c>
      <c r="G169" t="s">
        <v>2100</v>
      </c>
      <c r="H169">
        <v>12</v>
      </c>
      <c r="I169">
        <v>3502.9999999999995</v>
      </c>
      <c r="J169" t="s">
        <v>3707</v>
      </c>
    </row>
    <row r="170" spans="1:10" x14ac:dyDescent="0.2">
      <c r="A170" t="s">
        <v>3796</v>
      </c>
      <c r="B170">
        <v>192</v>
      </c>
      <c r="C170">
        <v>2.6</v>
      </c>
      <c r="D170" t="s">
        <v>820</v>
      </c>
      <c r="E170" t="s">
        <v>3523</v>
      </c>
      <c r="F170" t="s">
        <v>3524</v>
      </c>
      <c r="G170" t="s">
        <v>2656</v>
      </c>
      <c r="H170">
        <v>1575</v>
      </c>
      <c r="I170">
        <v>10.904499999999999</v>
      </c>
      <c r="J170" t="s">
        <v>3707</v>
      </c>
    </row>
    <row r="171" spans="1:10" x14ac:dyDescent="0.2">
      <c r="A171" t="s">
        <v>3796</v>
      </c>
      <c r="B171">
        <v>193</v>
      </c>
      <c r="C171">
        <v>2.6</v>
      </c>
      <c r="D171" t="s">
        <v>821</v>
      </c>
      <c r="E171" t="s">
        <v>3523</v>
      </c>
      <c r="F171" t="s">
        <v>3524</v>
      </c>
      <c r="G171" t="s">
        <v>2668</v>
      </c>
      <c r="H171">
        <v>300</v>
      </c>
      <c r="I171">
        <v>5.4466000000000001</v>
      </c>
      <c r="J171" t="s">
        <v>3707</v>
      </c>
    </row>
    <row r="172" spans="1:10" x14ac:dyDescent="0.2">
      <c r="A172" t="s">
        <v>3796</v>
      </c>
      <c r="B172">
        <v>194</v>
      </c>
      <c r="C172">
        <v>2.6</v>
      </c>
      <c r="D172" t="s">
        <v>2107</v>
      </c>
      <c r="E172" t="s">
        <v>3523</v>
      </c>
      <c r="F172" t="s">
        <v>3524</v>
      </c>
      <c r="G172" t="s">
        <v>2667</v>
      </c>
      <c r="H172">
        <v>425</v>
      </c>
      <c r="I172">
        <v>26.724499999999995</v>
      </c>
      <c r="J172" t="s">
        <v>3707</v>
      </c>
    </row>
    <row r="173" spans="1:10" x14ac:dyDescent="0.2">
      <c r="A173" t="s">
        <v>3796</v>
      </c>
      <c r="B173">
        <v>195</v>
      </c>
      <c r="C173">
        <v>2.6</v>
      </c>
      <c r="D173" t="s">
        <v>819</v>
      </c>
      <c r="E173" t="s">
        <v>3523</v>
      </c>
      <c r="F173" t="s">
        <v>3524</v>
      </c>
      <c r="G173" t="s">
        <v>2657</v>
      </c>
      <c r="H173">
        <v>100</v>
      </c>
      <c r="I173">
        <v>7.0850999999999988</v>
      </c>
      <c r="J173" t="s">
        <v>3707</v>
      </c>
    </row>
    <row r="174" spans="1:10" x14ac:dyDescent="0.2">
      <c r="A174" t="s">
        <v>3796</v>
      </c>
      <c r="B174">
        <v>196</v>
      </c>
      <c r="C174">
        <v>2.6</v>
      </c>
      <c r="D174" t="s">
        <v>496</v>
      </c>
      <c r="E174" t="s">
        <v>3523</v>
      </c>
      <c r="F174" t="s">
        <v>3524</v>
      </c>
      <c r="G174" t="s">
        <v>2568</v>
      </c>
      <c r="H174">
        <v>50</v>
      </c>
      <c r="I174">
        <v>5.5482999999999993</v>
      </c>
      <c r="J174" t="s">
        <v>3707</v>
      </c>
    </row>
    <row r="175" spans="1:10" x14ac:dyDescent="0.2">
      <c r="A175" t="s">
        <v>3796</v>
      </c>
      <c r="B175">
        <v>197</v>
      </c>
      <c r="C175">
        <v>2.6</v>
      </c>
      <c r="D175" t="s">
        <v>2133</v>
      </c>
      <c r="E175" t="s">
        <v>3523</v>
      </c>
      <c r="F175" t="s">
        <v>3524</v>
      </c>
      <c r="G175" t="s">
        <v>2253</v>
      </c>
      <c r="H175">
        <v>5</v>
      </c>
      <c r="I175">
        <v>475.6961</v>
      </c>
      <c r="J175" t="s">
        <v>3707</v>
      </c>
    </row>
    <row r="176" spans="1:10" x14ac:dyDescent="0.2">
      <c r="A176" t="s">
        <v>3796</v>
      </c>
      <c r="B176">
        <v>198</v>
      </c>
      <c r="C176">
        <v>2.6</v>
      </c>
      <c r="D176" t="s">
        <v>2569</v>
      </c>
      <c r="E176" t="s">
        <v>3523</v>
      </c>
      <c r="F176" t="s">
        <v>3524</v>
      </c>
      <c r="G176" t="s">
        <v>2191</v>
      </c>
      <c r="H176">
        <v>5</v>
      </c>
      <c r="I176">
        <v>6420.0045999999993</v>
      </c>
      <c r="J176" t="s">
        <v>3707</v>
      </c>
    </row>
    <row r="177" spans="1:10" x14ac:dyDescent="0.2">
      <c r="A177" t="s">
        <v>3796</v>
      </c>
      <c r="B177">
        <v>199</v>
      </c>
      <c r="C177">
        <v>2.6</v>
      </c>
      <c r="D177" t="s">
        <v>499</v>
      </c>
      <c r="E177" t="s">
        <v>3523</v>
      </c>
      <c r="F177" t="s">
        <v>3524</v>
      </c>
      <c r="G177" t="s">
        <v>2217</v>
      </c>
      <c r="H177">
        <v>15</v>
      </c>
      <c r="I177">
        <v>942.42</v>
      </c>
      <c r="J177" t="s">
        <v>3707</v>
      </c>
    </row>
    <row r="178" spans="1:10" x14ac:dyDescent="0.2">
      <c r="A178" t="s">
        <v>3796</v>
      </c>
      <c r="B178">
        <v>200</v>
      </c>
      <c r="C178">
        <v>2.6</v>
      </c>
      <c r="D178" t="s">
        <v>755</v>
      </c>
      <c r="E178" t="s">
        <v>3523</v>
      </c>
      <c r="F178" t="s">
        <v>3524</v>
      </c>
      <c r="G178" t="s">
        <v>1948</v>
      </c>
      <c r="H178">
        <v>16</v>
      </c>
      <c r="I178">
        <v>21.345699999999997</v>
      </c>
      <c r="J178" t="s">
        <v>3707</v>
      </c>
    </row>
    <row r="179" spans="1:10" x14ac:dyDescent="0.2">
      <c r="A179" t="s">
        <v>3796</v>
      </c>
      <c r="B179">
        <v>201</v>
      </c>
      <c r="C179">
        <v>2.6</v>
      </c>
      <c r="D179" t="s">
        <v>632</v>
      </c>
      <c r="E179" t="s">
        <v>3523</v>
      </c>
      <c r="F179" t="s">
        <v>3524</v>
      </c>
      <c r="G179" t="s">
        <v>2239</v>
      </c>
      <c r="H179">
        <v>1</v>
      </c>
      <c r="I179">
        <v>2885.0029999999997</v>
      </c>
      <c r="J179" t="s">
        <v>3707</v>
      </c>
    </row>
    <row r="180" spans="1:10" x14ac:dyDescent="0.2">
      <c r="A180" t="s">
        <v>3796</v>
      </c>
      <c r="B180">
        <v>202</v>
      </c>
      <c r="C180">
        <v>2.6</v>
      </c>
      <c r="D180" t="s">
        <v>643</v>
      </c>
      <c r="E180" t="s">
        <v>3523</v>
      </c>
      <c r="F180" t="s">
        <v>3524</v>
      </c>
      <c r="G180" t="s">
        <v>2182</v>
      </c>
      <c r="H180">
        <v>1</v>
      </c>
      <c r="I180">
        <v>4338.0021999999999</v>
      </c>
      <c r="J180" t="s">
        <v>3707</v>
      </c>
    </row>
    <row r="181" spans="1:10" x14ac:dyDescent="0.2">
      <c r="A181" t="s">
        <v>3796</v>
      </c>
      <c r="B181">
        <v>203</v>
      </c>
      <c r="C181">
        <v>2.6</v>
      </c>
      <c r="D181" t="s">
        <v>3008</v>
      </c>
      <c r="E181" t="s">
        <v>3523</v>
      </c>
      <c r="F181" t="s">
        <v>3524</v>
      </c>
      <c r="G181" t="s">
        <v>3007</v>
      </c>
      <c r="H181">
        <v>1</v>
      </c>
      <c r="I181">
        <v>7368.1724579999991</v>
      </c>
      <c r="J181" t="s">
        <v>3707</v>
      </c>
    </row>
    <row r="182" spans="1:10" x14ac:dyDescent="0.2">
      <c r="A182" t="s">
        <v>3796</v>
      </c>
      <c r="B182">
        <v>204</v>
      </c>
      <c r="C182">
        <v>2.6</v>
      </c>
      <c r="D182" t="s">
        <v>704</v>
      </c>
      <c r="E182" t="s">
        <v>3523</v>
      </c>
      <c r="F182" t="s">
        <v>3524</v>
      </c>
      <c r="G182" t="s">
        <v>2251</v>
      </c>
      <c r="H182">
        <v>2</v>
      </c>
      <c r="I182">
        <v>2510.3966999999998</v>
      </c>
      <c r="J182" t="s">
        <v>3707</v>
      </c>
    </row>
    <row r="183" spans="1:10" x14ac:dyDescent="0.2">
      <c r="A183" t="s">
        <v>3796</v>
      </c>
      <c r="B183">
        <v>205</v>
      </c>
      <c r="C183">
        <v>2.6</v>
      </c>
      <c r="D183" t="s">
        <v>2700</v>
      </c>
      <c r="E183" t="s">
        <v>3523</v>
      </c>
      <c r="F183" t="s">
        <v>3524</v>
      </c>
      <c r="G183" t="s">
        <v>2201</v>
      </c>
      <c r="H183">
        <v>2</v>
      </c>
      <c r="I183">
        <v>6464.999957</v>
      </c>
      <c r="J183" t="s">
        <v>3707</v>
      </c>
    </row>
    <row r="184" spans="1:10" x14ac:dyDescent="0.2">
      <c r="A184" t="s">
        <v>3796</v>
      </c>
      <c r="B184">
        <v>206</v>
      </c>
      <c r="C184">
        <v>2.6</v>
      </c>
      <c r="D184" t="s">
        <v>3508</v>
      </c>
      <c r="E184" t="s">
        <v>3523</v>
      </c>
      <c r="F184" t="s">
        <v>3524</v>
      </c>
      <c r="G184" t="s">
        <v>2102</v>
      </c>
      <c r="H184">
        <v>10</v>
      </c>
      <c r="I184">
        <v>6821.8099999999995</v>
      </c>
      <c r="J184" t="s">
        <v>3707</v>
      </c>
    </row>
    <row r="185" spans="1:10" x14ac:dyDescent="0.2">
      <c r="A185" t="s">
        <v>3796</v>
      </c>
      <c r="B185">
        <v>208</v>
      </c>
      <c r="C185">
        <v>2.6</v>
      </c>
      <c r="D185" t="s">
        <v>2755</v>
      </c>
      <c r="E185" t="s">
        <v>3523</v>
      </c>
      <c r="F185" t="s">
        <v>3524</v>
      </c>
      <c r="G185" t="s">
        <v>2252</v>
      </c>
      <c r="H185">
        <v>76</v>
      </c>
      <c r="I185">
        <v>4055.5699999999997</v>
      </c>
      <c r="J185" t="s">
        <v>3707</v>
      </c>
    </row>
    <row r="186" spans="1:10" x14ac:dyDescent="0.2">
      <c r="A186" t="s">
        <v>3796</v>
      </c>
      <c r="B186">
        <v>209</v>
      </c>
      <c r="C186">
        <v>2.6</v>
      </c>
      <c r="D186" t="s">
        <v>2752</v>
      </c>
      <c r="E186" t="s">
        <v>3523</v>
      </c>
      <c r="F186" t="s">
        <v>3524</v>
      </c>
      <c r="G186" t="s">
        <v>1951</v>
      </c>
      <c r="H186">
        <v>1</v>
      </c>
      <c r="I186">
        <v>147000.00499999998</v>
      </c>
      <c r="J186" t="s">
        <v>3707</v>
      </c>
    </row>
    <row r="187" spans="1:10" x14ac:dyDescent="0.2">
      <c r="A187" t="s">
        <v>3796</v>
      </c>
      <c r="B187">
        <v>210</v>
      </c>
      <c r="C187">
        <v>2.6</v>
      </c>
      <c r="D187" t="s">
        <v>2753</v>
      </c>
      <c r="E187" t="s">
        <v>3523</v>
      </c>
      <c r="F187" t="s">
        <v>3524</v>
      </c>
      <c r="G187" t="s">
        <v>1953</v>
      </c>
      <c r="H187">
        <v>4</v>
      </c>
      <c r="I187">
        <v>147000.00499999998</v>
      </c>
      <c r="J187" t="s">
        <v>3707</v>
      </c>
    </row>
    <row r="188" spans="1:10" x14ac:dyDescent="0.2">
      <c r="A188" t="s">
        <v>3796</v>
      </c>
      <c r="B188">
        <v>211</v>
      </c>
      <c r="C188">
        <v>2.6</v>
      </c>
      <c r="D188" t="s">
        <v>2754</v>
      </c>
      <c r="E188" t="s">
        <v>3523</v>
      </c>
      <c r="F188" t="s">
        <v>3524</v>
      </c>
      <c r="G188" t="s">
        <v>1952</v>
      </c>
      <c r="H188">
        <v>5</v>
      </c>
      <c r="I188">
        <v>147000.00499999998</v>
      </c>
      <c r="J188" t="s">
        <v>3707</v>
      </c>
    </row>
    <row r="189" spans="1:10" x14ac:dyDescent="0.2">
      <c r="A189" t="s">
        <v>3796</v>
      </c>
      <c r="B189">
        <v>212</v>
      </c>
      <c r="C189">
        <v>2.7</v>
      </c>
      <c r="D189" t="s">
        <v>2387</v>
      </c>
      <c r="E189" t="s">
        <v>3523</v>
      </c>
      <c r="F189" t="s">
        <v>3524</v>
      </c>
      <c r="G189" t="s">
        <v>2254</v>
      </c>
      <c r="H189">
        <v>3</v>
      </c>
      <c r="I189">
        <v>53006.910099999994</v>
      </c>
      <c r="J189" t="s">
        <v>3707</v>
      </c>
    </row>
    <row r="190" spans="1:10" x14ac:dyDescent="0.2">
      <c r="A190" t="s">
        <v>3796</v>
      </c>
      <c r="B190">
        <v>213</v>
      </c>
      <c r="C190">
        <v>2.7</v>
      </c>
      <c r="D190" t="s">
        <v>2551</v>
      </c>
      <c r="E190" t="s">
        <v>3523</v>
      </c>
      <c r="F190" t="s">
        <v>3524</v>
      </c>
      <c r="G190" t="s">
        <v>2255</v>
      </c>
      <c r="H190">
        <v>3</v>
      </c>
      <c r="I190">
        <v>4121.1099999999997</v>
      </c>
      <c r="J190" t="s">
        <v>3707</v>
      </c>
    </row>
    <row r="191" spans="1:10" x14ac:dyDescent="0.2">
      <c r="A191" t="s">
        <v>3796</v>
      </c>
      <c r="B191">
        <v>214</v>
      </c>
      <c r="C191">
        <v>2.7</v>
      </c>
      <c r="D191" t="s">
        <v>625</v>
      </c>
      <c r="E191" t="s">
        <v>3523</v>
      </c>
      <c r="F191" t="s">
        <v>3524</v>
      </c>
      <c r="G191" t="s">
        <v>2256</v>
      </c>
      <c r="H191">
        <v>3</v>
      </c>
      <c r="I191">
        <v>1541.6363999999999</v>
      </c>
      <c r="J191" t="s">
        <v>3707</v>
      </c>
    </row>
    <row r="192" spans="1:10" x14ac:dyDescent="0.2">
      <c r="A192" t="s">
        <v>3796</v>
      </c>
      <c r="B192">
        <v>215</v>
      </c>
      <c r="C192">
        <v>2.7</v>
      </c>
      <c r="D192" t="s">
        <v>2109</v>
      </c>
      <c r="E192" t="s">
        <v>3523</v>
      </c>
      <c r="F192" t="s">
        <v>3524</v>
      </c>
      <c r="G192" t="s">
        <v>2257</v>
      </c>
      <c r="H192">
        <v>3</v>
      </c>
      <c r="I192">
        <v>24808.065199999997</v>
      </c>
      <c r="J192" t="s">
        <v>3707</v>
      </c>
    </row>
    <row r="193" spans="1:10" x14ac:dyDescent="0.2">
      <c r="A193" t="s">
        <v>3796</v>
      </c>
      <c r="B193">
        <v>217</v>
      </c>
      <c r="C193">
        <v>2.7</v>
      </c>
      <c r="D193" t="s">
        <v>536</v>
      </c>
      <c r="E193" t="s">
        <v>3523</v>
      </c>
      <c r="F193" t="s">
        <v>3524</v>
      </c>
      <c r="G193" t="s">
        <v>2259</v>
      </c>
      <c r="H193">
        <v>3</v>
      </c>
      <c r="I193">
        <v>34939.599999999999</v>
      </c>
      <c r="J193" t="s">
        <v>3707</v>
      </c>
    </row>
    <row r="194" spans="1:10" x14ac:dyDescent="0.2">
      <c r="A194" t="s">
        <v>3796</v>
      </c>
      <c r="B194">
        <v>218</v>
      </c>
      <c r="C194">
        <v>2.7</v>
      </c>
      <c r="D194" t="s">
        <v>2111</v>
      </c>
      <c r="E194" t="s">
        <v>3523</v>
      </c>
      <c r="F194" t="s">
        <v>3524</v>
      </c>
      <c r="G194" t="s">
        <v>2260</v>
      </c>
      <c r="H194">
        <v>1</v>
      </c>
      <c r="I194">
        <v>30830.750499999995</v>
      </c>
      <c r="J194" t="s">
        <v>3707</v>
      </c>
    </row>
    <row r="195" spans="1:10" x14ac:dyDescent="0.2">
      <c r="A195" t="s">
        <v>3796</v>
      </c>
      <c r="B195">
        <v>220</v>
      </c>
      <c r="C195">
        <v>2.7</v>
      </c>
      <c r="D195" t="s">
        <v>747</v>
      </c>
      <c r="E195" t="s">
        <v>3523</v>
      </c>
      <c r="F195" t="s">
        <v>3524</v>
      </c>
      <c r="G195" t="s">
        <v>2262</v>
      </c>
      <c r="H195">
        <v>3</v>
      </c>
      <c r="I195">
        <v>4534.9999589999998</v>
      </c>
      <c r="J195" t="s">
        <v>3707</v>
      </c>
    </row>
    <row r="196" spans="1:10" x14ac:dyDescent="0.2">
      <c r="A196" t="s">
        <v>3796</v>
      </c>
      <c r="B196">
        <v>221</v>
      </c>
      <c r="C196">
        <v>2.7</v>
      </c>
      <c r="D196" t="s">
        <v>2112</v>
      </c>
      <c r="E196" t="s">
        <v>3523</v>
      </c>
      <c r="F196" t="s">
        <v>3524</v>
      </c>
      <c r="G196" t="s">
        <v>2263</v>
      </c>
      <c r="H196">
        <v>3</v>
      </c>
      <c r="I196">
        <v>5141.4999999999991</v>
      </c>
      <c r="J196" t="s">
        <v>3707</v>
      </c>
    </row>
    <row r="197" spans="1:10" x14ac:dyDescent="0.2">
      <c r="A197" t="s">
        <v>3796</v>
      </c>
      <c r="B197">
        <v>222</v>
      </c>
      <c r="C197">
        <v>2.7</v>
      </c>
      <c r="D197" t="s">
        <v>2570</v>
      </c>
      <c r="E197" t="s">
        <v>3523</v>
      </c>
      <c r="F197" t="s">
        <v>3524</v>
      </c>
      <c r="G197" t="s">
        <v>2264</v>
      </c>
      <c r="H197">
        <v>3</v>
      </c>
      <c r="I197">
        <v>1095.1620999999998</v>
      </c>
      <c r="J197" t="s">
        <v>3707</v>
      </c>
    </row>
    <row r="198" spans="1:10" x14ac:dyDescent="0.2">
      <c r="A198" t="s">
        <v>3796</v>
      </c>
      <c r="B198">
        <v>223</v>
      </c>
      <c r="C198">
        <v>2.7</v>
      </c>
      <c r="D198" t="s">
        <v>671</v>
      </c>
      <c r="E198" t="s">
        <v>3523</v>
      </c>
      <c r="F198" t="s">
        <v>3524</v>
      </c>
      <c r="G198" t="s">
        <v>2265</v>
      </c>
      <c r="H198">
        <v>1</v>
      </c>
      <c r="I198">
        <v>89999.99129999998</v>
      </c>
      <c r="J198" t="s">
        <v>3707</v>
      </c>
    </row>
    <row r="199" spans="1:10" x14ac:dyDescent="0.2">
      <c r="A199" t="s">
        <v>3796</v>
      </c>
      <c r="B199">
        <v>224</v>
      </c>
      <c r="C199">
        <v>2.7</v>
      </c>
      <c r="D199" t="s">
        <v>903</v>
      </c>
      <c r="E199" t="s">
        <v>3523</v>
      </c>
      <c r="F199" t="s">
        <v>3524</v>
      </c>
      <c r="G199" t="s">
        <v>2266</v>
      </c>
      <c r="H199">
        <v>1</v>
      </c>
      <c r="I199">
        <v>2821.384</v>
      </c>
      <c r="J199" t="s">
        <v>3707</v>
      </c>
    </row>
    <row r="200" spans="1:10" x14ac:dyDescent="0.2">
      <c r="A200" t="s">
        <v>3796</v>
      </c>
      <c r="B200">
        <v>225</v>
      </c>
      <c r="C200">
        <v>2.7</v>
      </c>
      <c r="D200" t="s">
        <v>538</v>
      </c>
      <c r="E200" t="s">
        <v>3523</v>
      </c>
      <c r="F200" t="s">
        <v>3524</v>
      </c>
      <c r="G200" t="s">
        <v>2267</v>
      </c>
      <c r="H200">
        <v>2</v>
      </c>
      <c r="I200">
        <v>33055.89</v>
      </c>
      <c r="J200" t="s">
        <v>3707</v>
      </c>
    </row>
    <row r="201" spans="1:10" x14ac:dyDescent="0.2">
      <c r="A201" t="s">
        <v>3796</v>
      </c>
      <c r="B201">
        <v>226</v>
      </c>
      <c r="C201">
        <v>2.7</v>
      </c>
      <c r="D201" t="s">
        <v>513</v>
      </c>
      <c r="E201" t="s">
        <v>3523</v>
      </c>
      <c r="F201" t="s">
        <v>3524</v>
      </c>
      <c r="G201" t="s">
        <v>2268</v>
      </c>
      <c r="H201">
        <v>1</v>
      </c>
      <c r="I201">
        <v>40092.614699999998</v>
      </c>
      <c r="J201" t="s">
        <v>3707</v>
      </c>
    </row>
    <row r="202" spans="1:10" x14ac:dyDescent="0.2">
      <c r="A202" t="s">
        <v>3796</v>
      </c>
      <c r="B202">
        <v>227</v>
      </c>
      <c r="C202">
        <v>2.7</v>
      </c>
      <c r="D202" t="s">
        <v>540</v>
      </c>
      <c r="E202" t="s">
        <v>3523</v>
      </c>
      <c r="F202" t="s">
        <v>3524</v>
      </c>
      <c r="G202" t="s">
        <v>2269</v>
      </c>
      <c r="H202">
        <v>1</v>
      </c>
      <c r="I202">
        <v>24546.989999999998</v>
      </c>
      <c r="J202" t="s">
        <v>3707</v>
      </c>
    </row>
    <row r="203" spans="1:10" x14ac:dyDescent="0.2">
      <c r="A203" t="s">
        <v>3796</v>
      </c>
      <c r="B203">
        <v>228</v>
      </c>
      <c r="C203">
        <v>2.7</v>
      </c>
      <c r="D203" t="s">
        <v>2115</v>
      </c>
      <c r="E203" t="s">
        <v>3523</v>
      </c>
      <c r="F203" t="s">
        <v>3524</v>
      </c>
      <c r="G203" t="s">
        <v>2270</v>
      </c>
      <c r="H203">
        <v>1</v>
      </c>
      <c r="I203">
        <v>27345.999999999996</v>
      </c>
      <c r="J203" t="s">
        <v>3707</v>
      </c>
    </row>
    <row r="204" spans="1:10" x14ac:dyDescent="0.2">
      <c r="A204" t="s">
        <v>3796</v>
      </c>
      <c r="B204">
        <v>229</v>
      </c>
      <c r="C204">
        <v>2.8</v>
      </c>
      <c r="D204" t="s">
        <v>921</v>
      </c>
      <c r="E204" t="s">
        <v>3523</v>
      </c>
      <c r="F204" t="s">
        <v>3524</v>
      </c>
      <c r="G204" t="s">
        <v>1983</v>
      </c>
      <c r="H204">
        <v>39</v>
      </c>
      <c r="I204">
        <v>1327.7499999999998</v>
      </c>
      <c r="J204" t="s">
        <v>3707</v>
      </c>
    </row>
    <row r="205" spans="1:10" x14ac:dyDescent="0.2">
      <c r="A205" t="s">
        <v>3796</v>
      </c>
      <c r="B205">
        <v>230</v>
      </c>
      <c r="C205">
        <v>2.8</v>
      </c>
      <c r="D205" t="s">
        <v>2590</v>
      </c>
      <c r="E205" t="s">
        <v>3523</v>
      </c>
      <c r="F205" t="s">
        <v>3524</v>
      </c>
      <c r="G205" t="s">
        <v>2134</v>
      </c>
      <c r="H205">
        <v>7</v>
      </c>
      <c r="I205">
        <v>1735.93199</v>
      </c>
      <c r="J205" t="s">
        <v>3707</v>
      </c>
    </row>
    <row r="206" spans="1:10" x14ac:dyDescent="0.2">
      <c r="A206" t="s">
        <v>3796</v>
      </c>
      <c r="B206">
        <v>231</v>
      </c>
      <c r="C206">
        <v>2.8</v>
      </c>
      <c r="D206" t="s">
        <v>987</v>
      </c>
      <c r="E206" t="s">
        <v>3523</v>
      </c>
      <c r="F206" t="s">
        <v>3524</v>
      </c>
      <c r="G206" t="s">
        <v>1917</v>
      </c>
      <c r="H206">
        <v>1</v>
      </c>
      <c r="I206">
        <v>17012.149999999998</v>
      </c>
      <c r="J206" t="s">
        <v>3707</v>
      </c>
    </row>
    <row r="207" spans="1:10" x14ac:dyDescent="0.2">
      <c r="A207" t="s">
        <v>3796</v>
      </c>
      <c r="B207">
        <v>232</v>
      </c>
      <c r="C207">
        <v>2.8</v>
      </c>
      <c r="D207" t="s">
        <v>2814</v>
      </c>
      <c r="E207" t="s">
        <v>3523</v>
      </c>
      <c r="F207" t="s">
        <v>3524</v>
      </c>
      <c r="G207" t="s">
        <v>2271</v>
      </c>
      <c r="H207">
        <v>2</v>
      </c>
      <c r="I207">
        <v>55020.829999999994</v>
      </c>
      <c r="J207" t="s">
        <v>3707</v>
      </c>
    </row>
    <row r="208" spans="1:10" x14ac:dyDescent="0.2">
      <c r="A208" t="s">
        <v>3796</v>
      </c>
      <c r="B208">
        <v>233</v>
      </c>
      <c r="C208">
        <v>2.8</v>
      </c>
      <c r="D208" t="s">
        <v>484</v>
      </c>
      <c r="E208" t="s">
        <v>3523</v>
      </c>
      <c r="F208" t="s">
        <v>3524</v>
      </c>
      <c r="G208" t="s">
        <v>2638</v>
      </c>
      <c r="H208">
        <v>1</v>
      </c>
      <c r="I208">
        <v>4703.9978999999994</v>
      </c>
      <c r="J208" t="s">
        <v>3707</v>
      </c>
    </row>
    <row r="209" spans="1:10" x14ac:dyDescent="0.2">
      <c r="A209" t="s">
        <v>3796</v>
      </c>
      <c r="B209">
        <v>234</v>
      </c>
      <c r="C209">
        <v>3.1</v>
      </c>
      <c r="D209" t="s">
        <v>2784</v>
      </c>
      <c r="E209" t="s">
        <v>3523</v>
      </c>
      <c r="F209" t="s">
        <v>3524</v>
      </c>
      <c r="G209" t="s">
        <v>1993</v>
      </c>
      <c r="H209">
        <v>2</v>
      </c>
      <c r="I209">
        <v>1415.0424999999998</v>
      </c>
      <c r="J209" t="s">
        <v>3707</v>
      </c>
    </row>
    <row r="210" spans="1:10" x14ac:dyDescent="0.2">
      <c r="A210" t="s">
        <v>3796</v>
      </c>
      <c r="B210">
        <v>235</v>
      </c>
      <c r="C210">
        <v>3.1</v>
      </c>
      <c r="D210" t="s">
        <v>470</v>
      </c>
      <c r="E210" t="s">
        <v>3523</v>
      </c>
      <c r="F210" t="s">
        <v>3524</v>
      </c>
      <c r="G210" t="s">
        <v>1994</v>
      </c>
      <c r="H210">
        <v>4</v>
      </c>
      <c r="I210">
        <v>487.31249999999994</v>
      </c>
      <c r="J210" t="s">
        <v>3707</v>
      </c>
    </row>
    <row r="211" spans="1:10" x14ac:dyDescent="0.2">
      <c r="A211" t="s">
        <v>3796</v>
      </c>
      <c r="B211">
        <v>236</v>
      </c>
      <c r="C211">
        <v>3.1</v>
      </c>
      <c r="D211" t="s">
        <v>471</v>
      </c>
      <c r="E211" t="s">
        <v>3523</v>
      </c>
      <c r="F211" t="s">
        <v>3524</v>
      </c>
      <c r="G211" t="s">
        <v>1992</v>
      </c>
      <c r="H211">
        <v>138</v>
      </c>
      <c r="I211">
        <v>327.13499999999999</v>
      </c>
      <c r="J211" t="s">
        <v>3707</v>
      </c>
    </row>
    <row r="212" spans="1:10" x14ac:dyDescent="0.2">
      <c r="A212" t="s">
        <v>3796</v>
      </c>
      <c r="B212">
        <v>237</v>
      </c>
      <c r="C212">
        <v>3.1</v>
      </c>
      <c r="D212" t="s">
        <v>473</v>
      </c>
      <c r="E212" t="s">
        <v>3523</v>
      </c>
      <c r="F212" t="s">
        <v>3524</v>
      </c>
      <c r="G212" t="s">
        <v>1998</v>
      </c>
      <c r="H212">
        <v>41</v>
      </c>
      <c r="I212">
        <v>401.15</v>
      </c>
      <c r="J212" t="s">
        <v>3707</v>
      </c>
    </row>
    <row r="213" spans="1:10" x14ac:dyDescent="0.2">
      <c r="A213" t="s">
        <v>3796</v>
      </c>
      <c r="B213">
        <v>238</v>
      </c>
      <c r="C213">
        <v>3.1</v>
      </c>
      <c r="D213" t="s">
        <v>2811</v>
      </c>
      <c r="E213" t="s">
        <v>3523</v>
      </c>
      <c r="F213" t="s">
        <v>3524</v>
      </c>
      <c r="G213" t="s">
        <v>1997</v>
      </c>
      <c r="H213">
        <v>6</v>
      </c>
      <c r="I213">
        <v>3515.9949999999999</v>
      </c>
      <c r="J213" t="s">
        <v>3707</v>
      </c>
    </row>
    <row r="214" spans="1:10" x14ac:dyDescent="0.2">
      <c r="A214" t="s">
        <v>3796</v>
      </c>
      <c r="B214">
        <v>239</v>
      </c>
      <c r="C214">
        <v>3.1</v>
      </c>
      <c r="D214" t="s">
        <v>857</v>
      </c>
      <c r="E214" t="s">
        <v>3523</v>
      </c>
      <c r="F214" t="s">
        <v>3524</v>
      </c>
      <c r="G214" t="s">
        <v>2282</v>
      </c>
      <c r="H214">
        <v>9</v>
      </c>
      <c r="I214">
        <v>2365.9375</v>
      </c>
      <c r="J214" t="s">
        <v>3707</v>
      </c>
    </row>
    <row r="215" spans="1:10" x14ac:dyDescent="0.2">
      <c r="A215" t="s">
        <v>3796</v>
      </c>
      <c r="B215">
        <v>240</v>
      </c>
      <c r="C215">
        <v>3.1</v>
      </c>
      <c r="D215" t="s">
        <v>858</v>
      </c>
      <c r="E215" t="s">
        <v>3523</v>
      </c>
      <c r="F215" t="s">
        <v>3524</v>
      </c>
      <c r="G215" t="s">
        <v>2288</v>
      </c>
      <c r="H215">
        <v>125</v>
      </c>
      <c r="I215">
        <v>736.47749999999996</v>
      </c>
      <c r="J215" t="s">
        <v>3707</v>
      </c>
    </row>
    <row r="216" spans="1:10" x14ac:dyDescent="0.2">
      <c r="A216" t="s">
        <v>3796</v>
      </c>
      <c r="B216">
        <v>241</v>
      </c>
      <c r="C216">
        <v>3.1</v>
      </c>
      <c r="D216" t="s">
        <v>859</v>
      </c>
      <c r="E216" t="s">
        <v>3523</v>
      </c>
      <c r="F216" t="s">
        <v>3524</v>
      </c>
      <c r="G216" t="s">
        <v>2289</v>
      </c>
      <c r="H216">
        <v>53</v>
      </c>
      <c r="I216">
        <v>1096.3824999999999</v>
      </c>
      <c r="J216" t="s">
        <v>3707</v>
      </c>
    </row>
    <row r="217" spans="1:10" x14ac:dyDescent="0.2">
      <c r="A217" t="s">
        <v>3796</v>
      </c>
      <c r="B217">
        <v>242</v>
      </c>
      <c r="C217">
        <v>3.1</v>
      </c>
      <c r="D217" t="s">
        <v>2821</v>
      </c>
      <c r="E217" t="s">
        <v>3523</v>
      </c>
      <c r="F217" t="s">
        <v>3524</v>
      </c>
      <c r="G217" t="s">
        <v>2283</v>
      </c>
      <c r="H217">
        <v>5</v>
      </c>
      <c r="I217">
        <v>311.315</v>
      </c>
      <c r="J217" t="s">
        <v>3707</v>
      </c>
    </row>
    <row r="218" spans="1:10" x14ac:dyDescent="0.2">
      <c r="A218" t="s">
        <v>3796</v>
      </c>
      <c r="B218">
        <v>243</v>
      </c>
      <c r="C218">
        <v>3.1</v>
      </c>
      <c r="D218" t="s">
        <v>868</v>
      </c>
      <c r="E218" t="s">
        <v>3523</v>
      </c>
      <c r="F218" t="s">
        <v>3524</v>
      </c>
      <c r="G218" t="s">
        <v>2284</v>
      </c>
      <c r="H218">
        <v>6</v>
      </c>
      <c r="I218">
        <v>170.065</v>
      </c>
      <c r="J218" t="s">
        <v>3707</v>
      </c>
    </row>
    <row r="219" spans="1:10" x14ac:dyDescent="0.2">
      <c r="A219" t="s">
        <v>3796</v>
      </c>
      <c r="B219">
        <v>244</v>
      </c>
      <c r="C219">
        <v>3.1</v>
      </c>
      <c r="D219" t="s">
        <v>869</v>
      </c>
      <c r="E219" t="s">
        <v>3523</v>
      </c>
      <c r="F219" t="s">
        <v>3524</v>
      </c>
      <c r="G219" t="s">
        <v>2292</v>
      </c>
      <c r="H219">
        <v>84</v>
      </c>
      <c r="I219">
        <v>75.144999999999996</v>
      </c>
      <c r="J219" t="s">
        <v>3707</v>
      </c>
    </row>
    <row r="220" spans="1:10" x14ac:dyDescent="0.2">
      <c r="A220" t="s">
        <v>3796</v>
      </c>
      <c r="B220">
        <v>245</v>
      </c>
      <c r="C220">
        <v>3.1</v>
      </c>
      <c r="D220" t="s">
        <v>871</v>
      </c>
      <c r="E220" t="s">
        <v>3523</v>
      </c>
      <c r="F220" t="s">
        <v>3524</v>
      </c>
      <c r="G220" t="s">
        <v>2290</v>
      </c>
      <c r="H220">
        <v>53</v>
      </c>
      <c r="I220">
        <v>106.785</v>
      </c>
      <c r="J220" t="s">
        <v>3707</v>
      </c>
    </row>
    <row r="221" spans="1:10" x14ac:dyDescent="0.2">
      <c r="A221" t="s">
        <v>3796</v>
      </c>
      <c r="B221">
        <v>246</v>
      </c>
      <c r="C221">
        <v>3.1</v>
      </c>
      <c r="D221" t="s">
        <v>454</v>
      </c>
      <c r="E221" t="s">
        <v>3523</v>
      </c>
      <c r="F221" t="s">
        <v>3524</v>
      </c>
      <c r="G221" t="s">
        <v>2295</v>
      </c>
      <c r="H221">
        <v>158</v>
      </c>
      <c r="I221">
        <v>94.072499999999991</v>
      </c>
      <c r="J221" t="s">
        <v>3707</v>
      </c>
    </row>
    <row r="222" spans="1:10" x14ac:dyDescent="0.2">
      <c r="A222" t="s">
        <v>3796</v>
      </c>
      <c r="B222">
        <v>247</v>
      </c>
      <c r="C222">
        <v>3.1</v>
      </c>
      <c r="D222" t="s">
        <v>675</v>
      </c>
      <c r="E222" t="s">
        <v>3523</v>
      </c>
      <c r="F222" t="s">
        <v>3524</v>
      </c>
      <c r="G222" t="s">
        <v>1999</v>
      </c>
      <c r="H222">
        <v>5</v>
      </c>
      <c r="I222">
        <v>5495.0000469999995</v>
      </c>
      <c r="J222" t="s">
        <v>3707</v>
      </c>
    </row>
    <row r="223" spans="1:10" x14ac:dyDescent="0.2">
      <c r="A223" t="s">
        <v>3796</v>
      </c>
      <c r="B223">
        <v>248</v>
      </c>
      <c r="C223">
        <v>3.1</v>
      </c>
      <c r="D223" t="s">
        <v>406</v>
      </c>
      <c r="E223" t="s">
        <v>3523</v>
      </c>
      <c r="F223" t="s">
        <v>3524</v>
      </c>
      <c r="G223" t="s">
        <v>2287</v>
      </c>
      <c r="H223">
        <v>8</v>
      </c>
      <c r="I223">
        <v>2909.9999559999997</v>
      </c>
      <c r="J223" t="s">
        <v>3707</v>
      </c>
    </row>
    <row r="224" spans="1:10" x14ac:dyDescent="0.2">
      <c r="A224" t="s">
        <v>3796</v>
      </c>
      <c r="B224">
        <v>249</v>
      </c>
      <c r="C224">
        <v>3.1</v>
      </c>
      <c r="D224" t="s">
        <v>2865</v>
      </c>
      <c r="E224" t="s">
        <v>3523</v>
      </c>
      <c r="F224" t="s">
        <v>3524</v>
      </c>
      <c r="G224" t="s">
        <v>2286</v>
      </c>
      <c r="H224">
        <v>6</v>
      </c>
      <c r="I224">
        <v>5835.0036</v>
      </c>
      <c r="J224" t="s">
        <v>3707</v>
      </c>
    </row>
    <row r="225" spans="1:10" x14ac:dyDescent="0.2">
      <c r="A225" t="s">
        <v>3796</v>
      </c>
      <c r="B225">
        <v>250</v>
      </c>
      <c r="C225">
        <v>3.1</v>
      </c>
      <c r="D225" t="s">
        <v>551</v>
      </c>
      <c r="E225" t="s">
        <v>3523</v>
      </c>
      <c r="F225" t="s">
        <v>3524</v>
      </c>
      <c r="G225" t="s">
        <v>2285</v>
      </c>
      <c r="H225">
        <v>4</v>
      </c>
      <c r="I225">
        <v>585.65639999999996</v>
      </c>
      <c r="J225" t="s">
        <v>3707</v>
      </c>
    </row>
    <row r="226" spans="1:10" x14ac:dyDescent="0.2">
      <c r="A226" t="s">
        <v>3796</v>
      </c>
      <c r="B226">
        <v>251</v>
      </c>
      <c r="C226">
        <v>3.1</v>
      </c>
      <c r="D226" t="s">
        <v>560</v>
      </c>
      <c r="E226" t="s">
        <v>3523</v>
      </c>
      <c r="F226" t="s">
        <v>3524</v>
      </c>
      <c r="G226" t="s">
        <v>1930</v>
      </c>
      <c r="H226">
        <v>3</v>
      </c>
      <c r="I226">
        <v>5509.7217999999993</v>
      </c>
      <c r="J226" t="s">
        <v>3707</v>
      </c>
    </row>
    <row r="227" spans="1:10" x14ac:dyDescent="0.2">
      <c r="A227" t="s">
        <v>3796</v>
      </c>
      <c r="B227">
        <v>252</v>
      </c>
      <c r="C227">
        <v>3.1</v>
      </c>
      <c r="D227" t="s">
        <v>2486</v>
      </c>
      <c r="E227" t="s">
        <v>3523</v>
      </c>
      <c r="F227" t="s">
        <v>3524</v>
      </c>
      <c r="G227" t="s">
        <v>2297</v>
      </c>
      <c r="H227">
        <v>19</v>
      </c>
      <c r="I227">
        <v>389.00249999999994</v>
      </c>
      <c r="J227" t="s">
        <v>3707</v>
      </c>
    </row>
    <row r="228" spans="1:10" x14ac:dyDescent="0.2">
      <c r="A228" t="s">
        <v>3796</v>
      </c>
      <c r="B228">
        <v>253</v>
      </c>
      <c r="C228">
        <v>3.1</v>
      </c>
      <c r="D228" t="s">
        <v>3509</v>
      </c>
      <c r="E228" t="s">
        <v>3523</v>
      </c>
      <c r="F228" t="s">
        <v>3524</v>
      </c>
      <c r="G228" t="s">
        <v>2293</v>
      </c>
      <c r="H228">
        <v>7</v>
      </c>
      <c r="I228">
        <v>1606.6678999999997</v>
      </c>
      <c r="J228" t="s">
        <v>3707</v>
      </c>
    </row>
    <row r="229" spans="1:10" x14ac:dyDescent="0.2">
      <c r="A229" t="s">
        <v>3796</v>
      </c>
      <c r="B229">
        <v>254</v>
      </c>
      <c r="C229">
        <v>3.1</v>
      </c>
      <c r="D229" t="s">
        <v>379</v>
      </c>
      <c r="E229" t="s">
        <v>3523</v>
      </c>
      <c r="F229" t="s">
        <v>3524</v>
      </c>
      <c r="G229" t="s">
        <v>2296</v>
      </c>
      <c r="H229">
        <v>1</v>
      </c>
      <c r="I229">
        <v>1265.5999999999999</v>
      </c>
      <c r="J229" t="s">
        <v>3707</v>
      </c>
    </row>
    <row r="230" spans="1:10" x14ac:dyDescent="0.2">
      <c r="A230" t="s">
        <v>3796</v>
      </c>
      <c r="B230">
        <v>255</v>
      </c>
      <c r="C230">
        <v>3.1</v>
      </c>
      <c r="D230" t="s">
        <v>2485</v>
      </c>
      <c r="E230" t="s">
        <v>3523</v>
      </c>
      <c r="F230" t="s">
        <v>3524</v>
      </c>
      <c r="G230" t="s">
        <v>2484</v>
      </c>
      <c r="H230">
        <v>10</v>
      </c>
      <c r="I230">
        <v>355.95</v>
      </c>
      <c r="J230" t="s">
        <v>3707</v>
      </c>
    </row>
    <row r="231" spans="1:10" x14ac:dyDescent="0.2">
      <c r="A231" t="s">
        <v>3796</v>
      </c>
      <c r="B231">
        <v>256</v>
      </c>
      <c r="C231">
        <v>3.1</v>
      </c>
      <c r="D231" t="s">
        <v>2120</v>
      </c>
      <c r="E231" t="s">
        <v>3523</v>
      </c>
      <c r="F231" t="s">
        <v>3524</v>
      </c>
      <c r="G231" t="s">
        <v>1987</v>
      </c>
      <c r="H231">
        <v>56</v>
      </c>
      <c r="I231">
        <v>764.99869999999999</v>
      </c>
      <c r="J231" t="s">
        <v>3707</v>
      </c>
    </row>
    <row r="232" spans="1:10" x14ac:dyDescent="0.2">
      <c r="A232" t="s">
        <v>3796</v>
      </c>
      <c r="B232">
        <v>258</v>
      </c>
      <c r="C232">
        <v>3.1</v>
      </c>
      <c r="D232" t="s">
        <v>451</v>
      </c>
      <c r="E232" t="s">
        <v>3523</v>
      </c>
      <c r="F232" t="s">
        <v>3524</v>
      </c>
      <c r="G232" t="s">
        <v>1995</v>
      </c>
      <c r="H232">
        <v>2</v>
      </c>
      <c r="I232">
        <v>367.81499999999994</v>
      </c>
      <c r="J232" t="s">
        <v>3707</v>
      </c>
    </row>
    <row r="233" spans="1:10" x14ac:dyDescent="0.2">
      <c r="A233" t="s">
        <v>3796</v>
      </c>
      <c r="B233">
        <v>259</v>
      </c>
      <c r="C233">
        <v>3.1</v>
      </c>
      <c r="D233" t="s">
        <v>453</v>
      </c>
      <c r="E233" t="s">
        <v>3523</v>
      </c>
      <c r="F233" t="s">
        <v>3524</v>
      </c>
      <c r="G233" t="s">
        <v>1996</v>
      </c>
      <c r="H233">
        <v>3</v>
      </c>
      <c r="I233">
        <v>331.09</v>
      </c>
      <c r="J233" t="s">
        <v>3707</v>
      </c>
    </row>
    <row r="234" spans="1:10" x14ac:dyDescent="0.2">
      <c r="A234" t="s">
        <v>3796</v>
      </c>
      <c r="B234">
        <v>260</v>
      </c>
      <c r="C234">
        <v>3.1</v>
      </c>
      <c r="D234" t="s">
        <v>455</v>
      </c>
      <c r="E234" t="s">
        <v>3523</v>
      </c>
      <c r="F234" t="s">
        <v>3524</v>
      </c>
      <c r="G234" t="s">
        <v>2291</v>
      </c>
      <c r="H234">
        <v>40</v>
      </c>
      <c r="I234">
        <v>119.49749999999999</v>
      </c>
      <c r="J234" t="s">
        <v>3707</v>
      </c>
    </row>
    <row r="235" spans="1:10" x14ac:dyDescent="0.2">
      <c r="A235" t="s">
        <v>3796</v>
      </c>
      <c r="B235">
        <v>261</v>
      </c>
      <c r="C235">
        <v>3.1</v>
      </c>
      <c r="D235" t="s">
        <v>839</v>
      </c>
      <c r="E235" t="s">
        <v>3523</v>
      </c>
      <c r="F235" t="s">
        <v>3524</v>
      </c>
      <c r="G235" t="s">
        <v>1988</v>
      </c>
      <c r="H235">
        <v>10</v>
      </c>
      <c r="I235">
        <v>2172.3797999999997</v>
      </c>
      <c r="J235" t="s">
        <v>3707</v>
      </c>
    </row>
    <row r="236" spans="1:10" x14ac:dyDescent="0.2">
      <c r="A236" t="s">
        <v>3796</v>
      </c>
      <c r="B236">
        <v>262</v>
      </c>
      <c r="C236">
        <v>3.1</v>
      </c>
      <c r="D236" t="s">
        <v>314</v>
      </c>
      <c r="E236" t="s">
        <v>3523</v>
      </c>
      <c r="F236" t="s">
        <v>3524</v>
      </c>
      <c r="G236" t="s">
        <v>1985</v>
      </c>
      <c r="H236">
        <v>4</v>
      </c>
      <c r="I236">
        <v>159.08139999999997</v>
      </c>
      <c r="J236" t="s">
        <v>3707</v>
      </c>
    </row>
    <row r="237" spans="1:10" x14ac:dyDescent="0.2">
      <c r="A237" t="s">
        <v>3796</v>
      </c>
      <c r="B237">
        <v>263</v>
      </c>
      <c r="C237">
        <v>3.1</v>
      </c>
      <c r="D237" t="s">
        <v>3502</v>
      </c>
      <c r="E237" t="s">
        <v>3523</v>
      </c>
      <c r="F237" t="s">
        <v>3524</v>
      </c>
      <c r="G237" t="s">
        <v>1918</v>
      </c>
      <c r="H237">
        <v>6</v>
      </c>
      <c r="I237">
        <v>1344.6999999999998</v>
      </c>
      <c r="J237" t="s">
        <v>24</v>
      </c>
    </row>
    <row r="238" spans="1:10" x14ac:dyDescent="0.2">
      <c r="A238" t="s">
        <v>3796</v>
      </c>
      <c r="B238">
        <v>264</v>
      </c>
      <c r="C238">
        <v>3.1</v>
      </c>
      <c r="D238" t="s">
        <v>3277</v>
      </c>
      <c r="E238" t="s">
        <v>3523</v>
      </c>
      <c r="F238" t="s">
        <v>3524</v>
      </c>
      <c r="G238" t="s">
        <v>3276</v>
      </c>
      <c r="H238">
        <v>2</v>
      </c>
      <c r="I238">
        <v>1408.9178999999997</v>
      </c>
      <c r="J238" t="s">
        <v>3707</v>
      </c>
    </row>
    <row r="239" spans="1:10" x14ac:dyDescent="0.2">
      <c r="A239" t="s">
        <v>3796</v>
      </c>
      <c r="B239">
        <v>265</v>
      </c>
      <c r="C239">
        <v>3.1</v>
      </c>
      <c r="D239" t="s">
        <v>370</v>
      </c>
      <c r="E239" t="s">
        <v>3523</v>
      </c>
      <c r="F239" t="s">
        <v>3524</v>
      </c>
      <c r="G239" t="s">
        <v>2314</v>
      </c>
      <c r="H239">
        <v>25</v>
      </c>
      <c r="I239">
        <v>1344.1914999999999</v>
      </c>
      <c r="J239" t="s">
        <v>3707</v>
      </c>
    </row>
    <row r="240" spans="1:10" x14ac:dyDescent="0.2">
      <c r="A240" t="s">
        <v>3796</v>
      </c>
      <c r="B240">
        <v>266</v>
      </c>
      <c r="C240">
        <v>3.1</v>
      </c>
      <c r="D240" t="s">
        <v>526</v>
      </c>
      <c r="E240" t="s">
        <v>3523</v>
      </c>
      <c r="F240" t="s">
        <v>3524</v>
      </c>
      <c r="G240" t="s">
        <v>2323</v>
      </c>
      <c r="H240">
        <v>25</v>
      </c>
      <c r="I240">
        <v>18.305999999999997</v>
      </c>
      <c r="J240" t="s">
        <v>3707</v>
      </c>
    </row>
    <row r="241" spans="1:10" x14ac:dyDescent="0.2">
      <c r="A241" t="s">
        <v>3796</v>
      </c>
      <c r="B241">
        <v>267</v>
      </c>
      <c r="C241">
        <v>3.1</v>
      </c>
      <c r="D241" t="s">
        <v>773</v>
      </c>
      <c r="E241" t="s">
        <v>3523</v>
      </c>
      <c r="F241" t="s">
        <v>3524</v>
      </c>
      <c r="G241" t="s">
        <v>2317</v>
      </c>
      <c r="H241">
        <v>9</v>
      </c>
      <c r="I241">
        <v>156.01909999999998</v>
      </c>
      <c r="J241" t="s">
        <v>3707</v>
      </c>
    </row>
    <row r="242" spans="1:10" x14ac:dyDescent="0.2">
      <c r="A242" t="s">
        <v>3796</v>
      </c>
      <c r="B242">
        <v>268</v>
      </c>
      <c r="C242">
        <v>3.1</v>
      </c>
      <c r="D242" t="s">
        <v>771</v>
      </c>
      <c r="E242" t="s">
        <v>3523</v>
      </c>
      <c r="F242" t="s">
        <v>3524</v>
      </c>
      <c r="G242" t="s">
        <v>2322</v>
      </c>
      <c r="H242">
        <v>3</v>
      </c>
      <c r="I242">
        <v>154.48229999999998</v>
      </c>
      <c r="J242" t="s">
        <v>3707</v>
      </c>
    </row>
    <row r="243" spans="1:10" x14ac:dyDescent="0.2">
      <c r="A243" t="s">
        <v>3796</v>
      </c>
      <c r="B243">
        <v>269</v>
      </c>
      <c r="C243">
        <v>3.1</v>
      </c>
      <c r="D243" t="s">
        <v>440</v>
      </c>
      <c r="E243" t="s">
        <v>3523</v>
      </c>
      <c r="F243" t="s">
        <v>3524</v>
      </c>
      <c r="G243" t="s">
        <v>2005</v>
      </c>
      <c r="H243">
        <v>100</v>
      </c>
      <c r="I243">
        <v>116.69509999999998</v>
      </c>
      <c r="J243" t="s">
        <v>3707</v>
      </c>
    </row>
    <row r="244" spans="1:10" x14ac:dyDescent="0.2">
      <c r="A244" t="s">
        <v>3796</v>
      </c>
      <c r="B244">
        <v>270</v>
      </c>
      <c r="C244">
        <v>3.1</v>
      </c>
      <c r="D244" t="s">
        <v>445</v>
      </c>
      <c r="E244" t="s">
        <v>3523</v>
      </c>
      <c r="F244" t="s">
        <v>3524</v>
      </c>
      <c r="G244" t="s">
        <v>2318</v>
      </c>
      <c r="H244">
        <v>25</v>
      </c>
      <c r="I244">
        <v>108.00539999999999</v>
      </c>
      <c r="J244" t="s">
        <v>3707</v>
      </c>
    </row>
    <row r="245" spans="1:10" x14ac:dyDescent="0.2">
      <c r="A245" t="s">
        <v>3796</v>
      </c>
      <c r="B245">
        <v>271</v>
      </c>
      <c r="C245">
        <v>3.1</v>
      </c>
      <c r="D245" t="s">
        <v>2491</v>
      </c>
      <c r="E245" t="s">
        <v>3523</v>
      </c>
      <c r="F245" t="s">
        <v>3524</v>
      </c>
      <c r="G245" t="s">
        <v>2320</v>
      </c>
      <c r="H245">
        <v>3</v>
      </c>
      <c r="I245">
        <v>2530.8044999999997</v>
      </c>
      <c r="J245" t="s">
        <v>3707</v>
      </c>
    </row>
    <row r="246" spans="1:10" x14ac:dyDescent="0.2">
      <c r="A246" t="s">
        <v>3796</v>
      </c>
      <c r="B246">
        <v>272</v>
      </c>
      <c r="C246">
        <v>3.1</v>
      </c>
      <c r="D246" t="s">
        <v>3513</v>
      </c>
      <c r="E246" t="s">
        <v>3523</v>
      </c>
      <c r="F246" t="s">
        <v>3524</v>
      </c>
      <c r="G246" t="s">
        <v>2312</v>
      </c>
      <c r="H246">
        <v>200</v>
      </c>
      <c r="I246">
        <v>265.54999999999995</v>
      </c>
      <c r="J246" t="s">
        <v>24</v>
      </c>
    </row>
    <row r="247" spans="1:10" x14ac:dyDescent="0.2">
      <c r="A247" t="s">
        <v>3796</v>
      </c>
      <c r="B247">
        <v>273</v>
      </c>
      <c r="C247">
        <v>3.1</v>
      </c>
      <c r="D247" t="s">
        <v>3513</v>
      </c>
      <c r="E247" t="s">
        <v>3523</v>
      </c>
      <c r="F247" t="s">
        <v>3524</v>
      </c>
      <c r="G247" t="s">
        <v>2312</v>
      </c>
      <c r="H247">
        <v>430</v>
      </c>
      <c r="I247">
        <v>265.54999999999995</v>
      </c>
      <c r="J247" t="s">
        <v>109</v>
      </c>
    </row>
    <row r="248" spans="1:10" x14ac:dyDescent="0.2">
      <c r="A248" t="s">
        <v>3796</v>
      </c>
      <c r="B248">
        <v>274</v>
      </c>
      <c r="C248">
        <v>3.1</v>
      </c>
      <c r="D248" t="s">
        <v>3513</v>
      </c>
      <c r="E248" t="s">
        <v>3523</v>
      </c>
      <c r="F248" t="s">
        <v>3524</v>
      </c>
      <c r="G248" t="s">
        <v>2312</v>
      </c>
      <c r="H248">
        <v>200</v>
      </c>
      <c r="I248">
        <v>265.54999999999995</v>
      </c>
      <c r="J248" t="s">
        <v>126</v>
      </c>
    </row>
    <row r="249" spans="1:10" x14ac:dyDescent="0.2">
      <c r="A249" t="s">
        <v>3796</v>
      </c>
      <c r="B249">
        <v>275</v>
      </c>
      <c r="C249">
        <v>3.1</v>
      </c>
      <c r="D249" t="s">
        <v>3513</v>
      </c>
      <c r="E249" t="s">
        <v>3523</v>
      </c>
      <c r="F249" t="s">
        <v>3524</v>
      </c>
      <c r="G249" t="s">
        <v>2312</v>
      </c>
      <c r="H249">
        <v>430</v>
      </c>
      <c r="I249">
        <v>265.54999999999995</v>
      </c>
      <c r="J249" t="s">
        <v>140</v>
      </c>
    </row>
    <row r="250" spans="1:10" x14ac:dyDescent="0.2">
      <c r="A250" t="s">
        <v>3796</v>
      </c>
      <c r="B250">
        <v>276</v>
      </c>
      <c r="C250">
        <v>3.1</v>
      </c>
      <c r="D250" t="s">
        <v>462</v>
      </c>
      <c r="E250" t="s">
        <v>3523</v>
      </c>
      <c r="F250" t="s">
        <v>3524</v>
      </c>
      <c r="G250" t="s">
        <v>2324</v>
      </c>
      <c r="H250">
        <v>10</v>
      </c>
      <c r="I250">
        <v>91.529999999999987</v>
      </c>
      <c r="J250" t="s">
        <v>3707</v>
      </c>
    </row>
    <row r="251" spans="1:10" x14ac:dyDescent="0.2">
      <c r="A251" t="s">
        <v>3796</v>
      </c>
      <c r="B251">
        <v>277</v>
      </c>
      <c r="C251">
        <v>3.1</v>
      </c>
      <c r="D251" t="s">
        <v>586</v>
      </c>
      <c r="E251" t="s">
        <v>3523</v>
      </c>
      <c r="F251" t="s">
        <v>3524</v>
      </c>
      <c r="G251" t="s">
        <v>2319</v>
      </c>
      <c r="H251">
        <v>100</v>
      </c>
      <c r="I251">
        <v>89.699399999999983</v>
      </c>
      <c r="J251" t="s">
        <v>3707</v>
      </c>
    </row>
    <row r="252" spans="1:10" x14ac:dyDescent="0.2">
      <c r="A252" t="s">
        <v>3796</v>
      </c>
      <c r="B252">
        <v>278</v>
      </c>
      <c r="C252">
        <v>3.1</v>
      </c>
      <c r="D252" t="s">
        <v>712</v>
      </c>
      <c r="E252" t="s">
        <v>3523</v>
      </c>
      <c r="F252" t="s">
        <v>3524</v>
      </c>
      <c r="G252" t="s">
        <v>2186</v>
      </c>
      <c r="H252">
        <v>1</v>
      </c>
      <c r="I252">
        <v>1524.9914999999999</v>
      </c>
      <c r="J252" t="s">
        <v>3707</v>
      </c>
    </row>
    <row r="253" spans="1:10" x14ac:dyDescent="0.2">
      <c r="A253" t="s">
        <v>3796</v>
      </c>
      <c r="B253">
        <v>279</v>
      </c>
      <c r="C253">
        <v>3.1</v>
      </c>
      <c r="D253" t="s">
        <v>3283</v>
      </c>
      <c r="E253" t="s">
        <v>3523</v>
      </c>
      <c r="F253" t="s">
        <v>3524</v>
      </c>
      <c r="G253" t="s">
        <v>3280</v>
      </c>
      <c r="H253">
        <v>100</v>
      </c>
      <c r="I253">
        <v>14.5</v>
      </c>
      <c r="J253" t="s">
        <v>3707</v>
      </c>
    </row>
    <row r="254" spans="1:10" x14ac:dyDescent="0.2">
      <c r="A254" t="s">
        <v>3796</v>
      </c>
      <c r="B254">
        <v>280</v>
      </c>
      <c r="C254">
        <v>3.1</v>
      </c>
      <c r="D254" t="s">
        <v>3282</v>
      </c>
      <c r="E254" t="s">
        <v>3523</v>
      </c>
      <c r="F254" t="s">
        <v>3524</v>
      </c>
      <c r="G254" t="s">
        <v>3281</v>
      </c>
      <c r="H254">
        <v>200</v>
      </c>
      <c r="I254">
        <v>5.4999999999999991</v>
      </c>
      <c r="J254" t="s">
        <v>3707</v>
      </c>
    </row>
    <row r="255" spans="1:10" x14ac:dyDescent="0.2">
      <c r="A255" t="s">
        <v>3796</v>
      </c>
      <c r="B255">
        <v>281</v>
      </c>
      <c r="C255">
        <v>3.1</v>
      </c>
      <c r="D255" t="s">
        <v>3520</v>
      </c>
      <c r="E255" t="s">
        <v>3523</v>
      </c>
      <c r="F255" t="s">
        <v>3524</v>
      </c>
      <c r="G255" t="s">
        <v>2313</v>
      </c>
      <c r="H255">
        <v>35</v>
      </c>
      <c r="I255">
        <v>463.29999999999995</v>
      </c>
      <c r="J255" t="s">
        <v>3514</v>
      </c>
    </row>
    <row r="256" spans="1:10" x14ac:dyDescent="0.2">
      <c r="A256" t="s">
        <v>3796</v>
      </c>
      <c r="B256">
        <v>282</v>
      </c>
      <c r="C256">
        <v>3.1</v>
      </c>
      <c r="D256" t="s">
        <v>429</v>
      </c>
      <c r="E256" t="s">
        <v>3523</v>
      </c>
      <c r="F256" t="s">
        <v>3524</v>
      </c>
      <c r="G256" t="s">
        <v>2274</v>
      </c>
      <c r="H256">
        <v>1</v>
      </c>
      <c r="I256">
        <v>1006.8299999999999</v>
      </c>
      <c r="J256" t="s">
        <v>3707</v>
      </c>
    </row>
    <row r="257" spans="1:10" x14ac:dyDescent="0.2">
      <c r="A257" t="s">
        <v>3796</v>
      </c>
      <c r="B257">
        <v>283</v>
      </c>
      <c r="C257">
        <v>3.1</v>
      </c>
      <c r="D257" t="s">
        <v>431</v>
      </c>
      <c r="E257" t="s">
        <v>3523</v>
      </c>
      <c r="F257" t="s">
        <v>3524</v>
      </c>
      <c r="G257" t="s">
        <v>2009</v>
      </c>
      <c r="H257">
        <v>1</v>
      </c>
      <c r="I257">
        <v>824.9</v>
      </c>
      <c r="J257" t="s">
        <v>3707</v>
      </c>
    </row>
    <row r="258" spans="1:10" x14ac:dyDescent="0.2">
      <c r="A258" t="s">
        <v>3796</v>
      </c>
      <c r="B258">
        <v>285</v>
      </c>
      <c r="C258">
        <v>3.1</v>
      </c>
      <c r="D258" t="s">
        <v>460</v>
      </c>
      <c r="E258" t="s">
        <v>3523</v>
      </c>
      <c r="F258" t="s">
        <v>3524</v>
      </c>
      <c r="G258" t="s">
        <v>2118</v>
      </c>
      <c r="H258">
        <v>1</v>
      </c>
      <c r="I258">
        <v>172.4606</v>
      </c>
      <c r="J258" t="s">
        <v>3707</v>
      </c>
    </row>
    <row r="259" spans="1:10" x14ac:dyDescent="0.2">
      <c r="A259" t="s">
        <v>3796</v>
      </c>
      <c r="B259">
        <v>286</v>
      </c>
      <c r="C259">
        <v>3.1</v>
      </c>
      <c r="D259" t="s">
        <v>528</v>
      </c>
      <c r="E259" t="s">
        <v>3523</v>
      </c>
      <c r="F259" t="s">
        <v>3524</v>
      </c>
      <c r="G259" t="s">
        <v>2273</v>
      </c>
      <c r="H259">
        <v>1</v>
      </c>
      <c r="I259">
        <v>933.17660000000001</v>
      </c>
      <c r="J259" t="s">
        <v>3707</v>
      </c>
    </row>
    <row r="260" spans="1:10" x14ac:dyDescent="0.2">
      <c r="A260" t="s">
        <v>3796</v>
      </c>
      <c r="B260">
        <v>287</v>
      </c>
      <c r="C260">
        <v>3.1</v>
      </c>
      <c r="D260" t="s">
        <v>862</v>
      </c>
      <c r="E260" t="s">
        <v>3523</v>
      </c>
      <c r="F260" t="s">
        <v>3524</v>
      </c>
      <c r="G260" t="s">
        <v>2276</v>
      </c>
      <c r="H260">
        <v>1</v>
      </c>
      <c r="I260">
        <v>5878.2260999999999</v>
      </c>
      <c r="J260" t="s">
        <v>3707</v>
      </c>
    </row>
    <row r="261" spans="1:10" x14ac:dyDescent="0.2">
      <c r="A261" t="s">
        <v>3796</v>
      </c>
      <c r="B261">
        <v>288</v>
      </c>
      <c r="C261">
        <v>3.1</v>
      </c>
      <c r="D261" t="s">
        <v>877</v>
      </c>
      <c r="E261" t="s">
        <v>3523</v>
      </c>
      <c r="F261" t="s">
        <v>3524</v>
      </c>
      <c r="G261" t="s">
        <v>2280</v>
      </c>
      <c r="H261">
        <v>1</v>
      </c>
      <c r="I261">
        <v>10590.359999999999</v>
      </c>
      <c r="J261" t="s">
        <v>3707</v>
      </c>
    </row>
    <row r="262" spans="1:10" x14ac:dyDescent="0.2">
      <c r="A262" t="s">
        <v>3796</v>
      </c>
      <c r="B262">
        <v>289</v>
      </c>
      <c r="C262">
        <v>3.1</v>
      </c>
      <c r="D262" t="s">
        <v>447</v>
      </c>
      <c r="E262" t="s">
        <v>3523</v>
      </c>
      <c r="F262" t="s">
        <v>3524</v>
      </c>
      <c r="G262" t="s">
        <v>2275</v>
      </c>
      <c r="H262">
        <v>2</v>
      </c>
      <c r="I262">
        <v>560.77379999999994</v>
      </c>
      <c r="J262" t="s">
        <v>3707</v>
      </c>
    </row>
    <row r="263" spans="1:10" x14ac:dyDescent="0.2">
      <c r="A263" t="s">
        <v>3796</v>
      </c>
      <c r="B263">
        <v>290</v>
      </c>
      <c r="C263">
        <v>3.1</v>
      </c>
      <c r="D263" t="s">
        <v>1869</v>
      </c>
      <c r="E263" t="s">
        <v>3523</v>
      </c>
      <c r="F263" t="s">
        <v>3524</v>
      </c>
      <c r="G263" t="s">
        <v>2277</v>
      </c>
      <c r="H263">
        <v>1</v>
      </c>
      <c r="I263">
        <v>8271.0914999999986</v>
      </c>
      <c r="J263" t="s">
        <v>3707</v>
      </c>
    </row>
    <row r="264" spans="1:10" x14ac:dyDescent="0.2">
      <c r="A264" t="s">
        <v>3796</v>
      </c>
      <c r="B264">
        <v>291</v>
      </c>
      <c r="C264">
        <v>3.1</v>
      </c>
      <c r="D264" t="s">
        <v>319</v>
      </c>
      <c r="E264" t="s">
        <v>3523</v>
      </c>
      <c r="F264" t="s">
        <v>3524</v>
      </c>
      <c r="G264" t="s">
        <v>2298</v>
      </c>
      <c r="H264">
        <v>1</v>
      </c>
      <c r="I264">
        <v>64014.499999999993</v>
      </c>
      <c r="J264" t="s">
        <v>3707</v>
      </c>
    </row>
    <row r="265" spans="1:10" x14ac:dyDescent="0.2">
      <c r="A265" t="s">
        <v>3796</v>
      </c>
      <c r="B265">
        <v>292</v>
      </c>
      <c r="C265">
        <v>3.1</v>
      </c>
      <c r="D265" t="s">
        <v>3521</v>
      </c>
      <c r="E265" t="s">
        <v>3523</v>
      </c>
      <c r="F265" t="s">
        <v>3524</v>
      </c>
      <c r="G265" t="s">
        <v>2300</v>
      </c>
      <c r="H265">
        <v>31</v>
      </c>
      <c r="I265">
        <v>751.44999999999993</v>
      </c>
      <c r="J265" t="s">
        <v>24</v>
      </c>
    </row>
    <row r="266" spans="1:10" x14ac:dyDescent="0.2">
      <c r="A266" t="s">
        <v>3796</v>
      </c>
      <c r="B266">
        <v>293</v>
      </c>
      <c r="C266">
        <v>3.1</v>
      </c>
      <c r="D266" t="s">
        <v>365</v>
      </c>
      <c r="E266" t="s">
        <v>3523</v>
      </c>
      <c r="F266" t="s">
        <v>3524</v>
      </c>
      <c r="G266" t="s">
        <v>2299</v>
      </c>
      <c r="H266">
        <v>60</v>
      </c>
      <c r="I266">
        <v>827.63459999999986</v>
      </c>
      <c r="J266" t="s">
        <v>3707</v>
      </c>
    </row>
    <row r="267" spans="1:10" x14ac:dyDescent="0.2">
      <c r="A267" t="s">
        <v>3796</v>
      </c>
      <c r="B267">
        <v>294</v>
      </c>
      <c r="C267">
        <v>3.1</v>
      </c>
      <c r="D267" t="s">
        <v>3337</v>
      </c>
      <c r="E267" t="s">
        <v>3523</v>
      </c>
      <c r="F267" t="s">
        <v>3524</v>
      </c>
      <c r="G267" t="s">
        <v>3328</v>
      </c>
      <c r="H267">
        <v>1</v>
      </c>
      <c r="I267">
        <v>3968.1079999999997</v>
      </c>
      <c r="J267" t="s">
        <v>3707</v>
      </c>
    </row>
    <row r="268" spans="1:10" x14ac:dyDescent="0.2">
      <c r="A268" t="s">
        <v>3796</v>
      </c>
      <c r="B268">
        <v>296</v>
      </c>
      <c r="C268">
        <v>3.1</v>
      </c>
      <c r="D268" t="s">
        <v>517</v>
      </c>
      <c r="E268" t="s">
        <v>3523</v>
      </c>
      <c r="F268" t="s">
        <v>3524</v>
      </c>
      <c r="G268" t="s">
        <v>2309</v>
      </c>
      <c r="H268">
        <v>1</v>
      </c>
      <c r="I268">
        <v>48510.899999999994</v>
      </c>
      <c r="J268" t="s">
        <v>3707</v>
      </c>
    </row>
    <row r="269" spans="1:10" x14ac:dyDescent="0.2">
      <c r="A269" t="s">
        <v>3796</v>
      </c>
      <c r="B269">
        <v>297</v>
      </c>
      <c r="C269">
        <v>3.1</v>
      </c>
      <c r="D269" t="s">
        <v>3318</v>
      </c>
      <c r="E269" t="s">
        <v>3523</v>
      </c>
      <c r="F269" t="s">
        <v>3524</v>
      </c>
      <c r="G269" t="s">
        <v>3317</v>
      </c>
      <c r="H269">
        <v>1</v>
      </c>
      <c r="I269">
        <v>82500.890374999974</v>
      </c>
      <c r="J269" t="s">
        <v>3707</v>
      </c>
    </row>
    <row r="270" spans="1:10" x14ac:dyDescent="0.2">
      <c r="A270" t="s">
        <v>3796</v>
      </c>
      <c r="B270">
        <v>298</v>
      </c>
      <c r="C270">
        <v>3.1</v>
      </c>
      <c r="D270" t="s">
        <v>3513</v>
      </c>
      <c r="E270" t="s">
        <v>3523</v>
      </c>
      <c r="F270" t="s">
        <v>3524</v>
      </c>
      <c r="G270" t="s">
        <v>2312</v>
      </c>
      <c r="H270">
        <v>230</v>
      </c>
      <c r="I270">
        <v>265.54999999999995</v>
      </c>
      <c r="J270" t="s">
        <v>3514</v>
      </c>
    </row>
    <row r="271" spans="1:10" x14ac:dyDescent="0.2">
      <c r="A271" t="s">
        <v>3796</v>
      </c>
      <c r="B271">
        <v>299</v>
      </c>
      <c r="C271">
        <v>3.1</v>
      </c>
      <c r="D271" t="s">
        <v>368</v>
      </c>
      <c r="E271" t="s">
        <v>3523</v>
      </c>
      <c r="F271" t="s">
        <v>3524</v>
      </c>
      <c r="G271" t="s">
        <v>2316</v>
      </c>
      <c r="H271">
        <v>20</v>
      </c>
      <c r="I271">
        <v>282.43219999999997</v>
      </c>
      <c r="J271" t="s">
        <v>3707</v>
      </c>
    </row>
    <row r="272" spans="1:10" x14ac:dyDescent="0.2">
      <c r="A272" t="s">
        <v>3796</v>
      </c>
      <c r="B272">
        <v>300</v>
      </c>
      <c r="C272">
        <v>3.1</v>
      </c>
      <c r="D272" t="s">
        <v>372</v>
      </c>
      <c r="E272" t="s">
        <v>3523</v>
      </c>
      <c r="F272" t="s">
        <v>3524</v>
      </c>
      <c r="G272" t="s">
        <v>2315</v>
      </c>
      <c r="H272">
        <v>70</v>
      </c>
      <c r="I272">
        <v>349.46379999999994</v>
      </c>
      <c r="J272" t="s">
        <v>3707</v>
      </c>
    </row>
    <row r="273" spans="1:10" x14ac:dyDescent="0.2">
      <c r="A273" t="s">
        <v>3796</v>
      </c>
      <c r="B273">
        <v>301</v>
      </c>
      <c r="C273">
        <v>3.1</v>
      </c>
      <c r="D273" t="s">
        <v>780</v>
      </c>
      <c r="E273" t="s">
        <v>3523</v>
      </c>
      <c r="F273" t="s">
        <v>3524</v>
      </c>
      <c r="G273" t="s">
        <v>2278</v>
      </c>
      <c r="H273">
        <v>2</v>
      </c>
      <c r="I273">
        <v>807.47539999999992</v>
      </c>
      <c r="J273" t="s">
        <v>3707</v>
      </c>
    </row>
    <row r="274" spans="1:10" x14ac:dyDescent="0.2">
      <c r="A274" t="s">
        <v>3796</v>
      </c>
      <c r="B274">
        <v>302</v>
      </c>
      <c r="C274">
        <v>3.1</v>
      </c>
      <c r="D274" t="s">
        <v>782</v>
      </c>
      <c r="E274" t="s">
        <v>3523</v>
      </c>
      <c r="F274" t="s">
        <v>3524</v>
      </c>
      <c r="G274" t="s">
        <v>2279</v>
      </c>
      <c r="H274">
        <v>1</v>
      </c>
      <c r="I274">
        <v>797.26019999999983</v>
      </c>
      <c r="J274" t="s">
        <v>3707</v>
      </c>
    </row>
    <row r="275" spans="1:10" x14ac:dyDescent="0.2">
      <c r="A275" t="s">
        <v>3796</v>
      </c>
      <c r="B275">
        <v>303</v>
      </c>
      <c r="C275">
        <v>3.1</v>
      </c>
      <c r="D275" t="s">
        <v>3520</v>
      </c>
      <c r="E275" t="s">
        <v>3523</v>
      </c>
      <c r="F275" t="s">
        <v>3524</v>
      </c>
      <c r="G275" t="s">
        <v>2313</v>
      </c>
      <c r="H275">
        <v>50</v>
      </c>
      <c r="I275">
        <v>463.29999999999995</v>
      </c>
      <c r="J275" t="s">
        <v>109</v>
      </c>
    </row>
    <row r="276" spans="1:10" x14ac:dyDescent="0.2">
      <c r="A276" t="s">
        <v>3796</v>
      </c>
      <c r="B276">
        <v>304</v>
      </c>
      <c r="C276">
        <v>3.1</v>
      </c>
      <c r="D276" t="s">
        <v>3520</v>
      </c>
      <c r="E276" t="s">
        <v>3523</v>
      </c>
      <c r="F276" t="s">
        <v>3524</v>
      </c>
      <c r="G276" t="s">
        <v>2313</v>
      </c>
      <c r="H276">
        <v>25</v>
      </c>
      <c r="I276">
        <v>463.29999999999995</v>
      </c>
      <c r="J276" t="s">
        <v>24</v>
      </c>
    </row>
    <row r="277" spans="1:10" x14ac:dyDescent="0.2">
      <c r="A277" t="s">
        <v>3796</v>
      </c>
      <c r="B277">
        <v>305</v>
      </c>
      <c r="C277">
        <v>3.1</v>
      </c>
      <c r="D277" t="s">
        <v>3520</v>
      </c>
      <c r="E277" t="s">
        <v>3523</v>
      </c>
      <c r="F277" t="s">
        <v>3524</v>
      </c>
      <c r="G277" t="s">
        <v>2313</v>
      </c>
      <c r="H277">
        <v>40</v>
      </c>
      <c r="I277">
        <v>463.29999999999995</v>
      </c>
      <c r="J277" t="s">
        <v>126</v>
      </c>
    </row>
    <row r="278" spans="1:10" x14ac:dyDescent="0.2">
      <c r="A278" t="s">
        <v>3796</v>
      </c>
      <c r="B278">
        <v>306</v>
      </c>
      <c r="C278">
        <v>3.1</v>
      </c>
      <c r="D278" t="s">
        <v>3521</v>
      </c>
      <c r="E278" t="s">
        <v>3523</v>
      </c>
      <c r="F278" t="s">
        <v>3524</v>
      </c>
      <c r="G278" t="s">
        <v>2300</v>
      </c>
      <c r="H278">
        <v>60</v>
      </c>
      <c r="I278">
        <v>751.44999999999993</v>
      </c>
      <c r="J278" t="s">
        <v>109</v>
      </c>
    </row>
    <row r="279" spans="1:10" x14ac:dyDescent="0.2">
      <c r="A279" t="s">
        <v>3796</v>
      </c>
      <c r="B279">
        <v>307</v>
      </c>
      <c r="C279">
        <v>3.1</v>
      </c>
      <c r="D279" t="s">
        <v>3521</v>
      </c>
      <c r="E279" t="s">
        <v>3523</v>
      </c>
      <c r="F279" t="s">
        <v>3524</v>
      </c>
      <c r="G279" t="s">
        <v>2300</v>
      </c>
      <c r="H279">
        <v>22</v>
      </c>
      <c r="I279">
        <v>751.44999999999993</v>
      </c>
      <c r="J279" t="s">
        <v>126</v>
      </c>
    </row>
    <row r="280" spans="1:10" x14ac:dyDescent="0.2">
      <c r="A280" t="s">
        <v>3796</v>
      </c>
      <c r="B280">
        <v>308</v>
      </c>
      <c r="C280">
        <v>3.1</v>
      </c>
      <c r="D280" t="s">
        <v>286</v>
      </c>
      <c r="E280" t="s">
        <v>3523</v>
      </c>
      <c r="F280" t="s">
        <v>3524</v>
      </c>
      <c r="G280" t="s">
        <v>2011</v>
      </c>
      <c r="H280">
        <v>3</v>
      </c>
      <c r="I280">
        <v>964.50019999999984</v>
      </c>
      <c r="J280" t="s">
        <v>3707</v>
      </c>
    </row>
    <row r="281" spans="1:10" x14ac:dyDescent="0.2">
      <c r="A281" t="s">
        <v>3796</v>
      </c>
      <c r="B281">
        <v>309</v>
      </c>
      <c r="C281">
        <v>3.1</v>
      </c>
      <c r="D281" t="s">
        <v>288</v>
      </c>
      <c r="E281" t="s">
        <v>3523</v>
      </c>
      <c r="F281" t="s">
        <v>3524</v>
      </c>
      <c r="G281" t="s">
        <v>2321</v>
      </c>
      <c r="H281">
        <v>5</v>
      </c>
      <c r="I281">
        <v>2395.6</v>
      </c>
      <c r="J281" t="s">
        <v>3707</v>
      </c>
    </row>
    <row r="282" spans="1:10" x14ac:dyDescent="0.2">
      <c r="A282" t="s">
        <v>3796</v>
      </c>
      <c r="B282">
        <v>310</v>
      </c>
      <c r="C282">
        <v>3.1</v>
      </c>
      <c r="D282" t="s">
        <v>308</v>
      </c>
      <c r="E282" t="s">
        <v>3523</v>
      </c>
      <c r="F282" t="s">
        <v>3524</v>
      </c>
      <c r="G282" t="s">
        <v>2010</v>
      </c>
      <c r="H282">
        <v>2</v>
      </c>
      <c r="I282">
        <v>2707.4799999999996</v>
      </c>
      <c r="J282" t="s">
        <v>3707</v>
      </c>
    </row>
    <row r="283" spans="1:10" x14ac:dyDescent="0.2">
      <c r="A283" t="s">
        <v>3796</v>
      </c>
      <c r="B283">
        <v>311</v>
      </c>
      <c r="C283">
        <v>3.1</v>
      </c>
      <c r="D283" t="s">
        <v>3510</v>
      </c>
      <c r="E283" t="s">
        <v>3523</v>
      </c>
      <c r="F283" t="s">
        <v>3524</v>
      </c>
      <c r="G283" t="s">
        <v>2479</v>
      </c>
      <c r="H283">
        <v>2</v>
      </c>
      <c r="I283">
        <v>6409.6198999999988</v>
      </c>
      <c r="J283" t="s">
        <v>3707</v>
      </c>
    </row>
    <row r="284" spans="1:10" x14ac:dyDescent="0.2">
      <c r="A284" t="s">
        <v>3796</v>
      </c>
      <c r="B284">
        <v>312</v>
      </c>
      <c r="C284">
        <v>3.1</v>
      </c>
      <c r="D284" t="s">
        <v>310</v>
      </c>
      <c r="E284" t="s">
        <v>3523</v>
      </c>
      <c r="F284" t="s">
        <v>3524</v>
      </c>
      <c r="G284" t="s">
        <v>2301</v>
      </c>
      <c r="H284">
        <v>10</v>
      </c>
      <c r="I284">
        <v>997.67699999999991</v>
      </c>
      <c r="J284" t="s">
        <v>3707</v>
      </c>
    </row>
    <row r="285" spans="1:10" x14ac:dyDescent="0.2">
      <c r="A285" t="s">
        <v>3796</v>
      </c>
      <c r="B285">
        <v>313</v>
      </c>
      <c r="C285">
        <v>3.1</v>
      </c>
      <c r="D285" t="s">
        <v>311</v>
      </c>
      <c r="E285" t="s">
        <v>3523</v>
      </c>
      <c r="F285" t="s">
        <v>3524</v>
      </c>
      <c r="G285" t="s">
        <v>2481</v>
      </c>
      <c r="H285">
        <v>2</v>
      </c>
      <c r="I285">
        <v>1509.6799999999998</v>
      </c>
      <c r="J285" t="s">
        <v>3707</v>
      </c>
    </row>
    <row r="286" spans="1:10" x14ac:dyDescent="0.2">
      <c r="A286" t="s">
        <v>3796</v>
      </c>
      <c r="B286">
        <v>314</v>
      </c>
      <c r="C286">
        <v>3.1</v>
      </c>
      <c r="D286" t="s">
        <v>313</v>
      </c>
      <c r="E286" t="s">
        <v>3523</v>
      </c>
      <c r="F286" t="s">
        <v>3524</v>
      </c>
      <c r="G286" t="s">
        <v>2302</v>
      </c>
      <c r="H286">
        <v>1</v>
      </c>
      <c r="I286">
        <v>2933.4799999999996</v>
      </c>
      <c r="J286" t="s">
        <v>3707</v>
      </c>
    </row>
    <row r="287" spans="1:10" x14ac:dyDescent="0.2">
      <c r="A287" t="s">
        <v>3796</v>
      </c>
      <c r="B287">
        <v>315</v>
      </c>
      <c r="C287">
        <v>3.1</v>
      </c>
      <c r="D287" t="s">
        <v>316</v>
      </c>
      <c r="E287" t="s">
        <v>3523</v>
      </c>
      <c r="F287" t="s">
        <v>3524</v>
      </c>
      <c r="G287" t="s">
        <v>1986</v>
      </c>
      <c r="H287">
        <v>4</v>
      </c>
      <c r="I287">
        <v>165.17209999999997</v>
      </c>
      <c r="J287" t="s">
        <v>3707</v>
      </c>
    </row>
    <row r="288" spans="1:10" x14ac:dyDescent="0.2">
      <c r="A288" t="s">
        <v>3796</v>
      </c>
      <c r="B288">
        <v>316</v>
      </c>
      <c r="C288">
        <v>3.1</v>
      </c>
      <c r="D288" t="s">
        <v>601</v>
      </c>
      <c r="E288" t="s">
        <v>3523</v>
      </c>
      <c r="F288" t="s">
        <v>3524</v>
      </c>
      <c r="G288" t="s">
        <v>2303</v>
      </c>
      <c r="H288">
        <v>5</v>
      </c>
      <c r="I288">
        <v>3223.6866</v>
      </c>
      <c r="J288" t="s">
        <v>3707</v>
      </c>
    </row>
    <row r="289" spans="1:10" x14ac:dyDescent="0.2">
      <c r="A289" t="s">
        <v>3796</v>
      </c>
      <c r="B289">
        <v>317</v>
      </c>
      <c r="C289">
        <v>3.1</v>
      </c>
      <c r="D289" t="s">
        <v>697</v>
      </c>
      <c r="E289" t="s">
        <v>3523</v>
      </c>
      <c r="F289" t="s">
        <v>3524</v>
      </c>
      <c r="G289" t="s">
        <v>2330</v>
      </c>
      <c r="H289">
        <v>6</v>
      </c>
      <c r="I289">
        <v>3053.9944999999998</v>
      </c>
      <c r="J289" t="s">
        <v>3707</v>
      </c>
    </row>
    <row r="290" spans="1:10" x14ac:dyDescent="0.2">
      <c r="A290" t="s">
        <v>3796</v>
      </c>
      <c r="B290">
        <v>318</v>
      </c>
      <c r="C290">
        <v>3.1</v>
      </c>
      <c r="D290" t="s">
        <v>699</v>
      </c>
      <c r="E290" t="s">
        <v>3523</v>
      </c>
      <c r="F290" t="s">
        <v>3524</v>
      </c>
      <c r="G290" t="s">
        <v>2327</v>
      </c>
      <c r="H290">
        <v>3</v>
      </c>
      <c r="I290">
        <v>890.23659999999995</v>
      </c>
      <c r="J290" t="s">
        <v>3707</v>
      </c>
    </row>
    <row r="291" spans="1:10" x14ac:dyDescent="0.2">
      <c r="A291" t="s">
        <v>3796</v>
      </c>
      <c r="B291">
        <v>319</v>
      </c>
      <c r="C291">
        <v>3.1</v>
      </c>
      <c r="D291" t="s">
        <v>701</v>
      </c>
      <c r="E291" t="s">
        <v>3523</v>
      </c>
      <c r="F291" t="s">
        <v>3524</v>
      </c>
      <c r="G291" t="s">
        <v>2331</v>
      </c>
      <c r="H291">
        <v>53</v>
      </c>
      <c r="I291">
        <v>524.8963</v>
      </c>
      <c r="J291" t="s">
        <v>3707</v>
      </c>
    </row>
    <row r="292" spans="1:10" x14ac:dyDescent="0.2">
      <c r="A292" t="s">
        <v>3796</v>
      </c>
      <c r="B292">
        <v>321</v>
      </c>
      <c r="C292">
        <v>3.1</v>
      </c>
      <c r="D292" t="s">
        <v>2953</v>
      </c>
      <c r="E292" t="s">
        <v>3523</v>
      </c>
      <c r="F292" t="s">
        <v>3524</v>
      </c>
      <c r="G292" t="s">
        <v>2938</v>
      </c>
      <c r="H292">
        <v>36</v>
      </c>
      <c r="I292">
        <v>9930.8580999999995</v>
      </c>
      <c r="J292" t="s">
        <v>3707</v>
      </c>
    </row>
    <row r="293" spans="1:10" x14ac:dyDescent="0.2">
      <c r="A293" t="s">
        <v>3796</v>
      </c>
      <c r="B293">
        <v>322</v>
      </c>
      <c r="C293">
        <v>3.1</v>
      </c>
      <c r="D293" t="s">
        <v>809</v>
      </c>
      <c r="E293" t="s">
        <v>3523</v>
      </c>
      <c r="F293" t="s">
        <v>3524</v>
      </c>
      <c r="G293" t="s">
        <v>2328</v>
      </c>
      <c r="H293">
        <v>4</v>
      </c>
      <c r="I293">
        <v>1944.2440999999997</v>
      </c>
      <c r="J293" t="s">
        <v>3707</v>
      </c>
    </row>
    <row r="294" spans="1:10" x14ac:dyDescent="0.2">
      <c r="A294" t="s">
        <v>3796</v>
      </c>
      <c r="B294">
        <v>323</v>
      </c>
      <c r="C294">
        <v>3.1</v>
      </c>
      <c r="D294" t="s">
        <v>3327</v>
      </c>
      <c r="E294" t="s">
        <v>3523</v>
      </c>
      <c r="F294" t="s">
        <v>3524</v>
      </c>
      <c r="G294" t="s">
        <v>3322</v>
      </c>
      <c r="H294">
        <v>18</v>
      </c>
      <c r="I294">
        <v>2262.29</v>
      </c>
      <c r="J294" t="s">
        <v>3707</v>
      </c>
    </row>
    <row r="295" spans="1:10" x14ac:dyDescent="0.2">
      <c r="A295" t="s">
        <v>3796</v>
      </c>
      <c r="B295">
        <v>324</v>
      </c>
      <c r="C295">
        <v>3.1</v>
      </c>
      <c r="D295" t="s">
        <v>449</v>
      </c>
      <c r="E295" t="s">
        <v>3523</v>
      </c>
      <c r="F295" t="s">
        <v>3524</v>
      </c>
      <c r="G295" t="s">
        <v>1989</v>
      </c>
      <c r="H295">
        <v>6</v>
      </c>
      <c r="I295">
        <v>954.36410000000001</v>
      </c>
      <c r="J295" t="s">
        <v>3707</v>
      </c>
    </row>
    <row r="296" spans="1:10" x14ac:dyDescent="0.2">
      <c r="A296" t="s">
        <v>3796</v>
      </c>
      <c r="B296">
        <v>325</v>
      </c>
      <c r="C296">
        <v>3.1</v>
      </c>
      <c r="D296" t="s">
        <v>2122</v>
      </c>
      <c r="E296" t="s">
        <v>3523</v>
      </c>
      <c r="F296" t="s">
        <v>3524</v>
      </c>
      <c r="G296" t="s">
        <v>2001</v>
      </c>
      <c r="H296">
        <v>8</v>
      </c>
      <c r="I296">
        <v>966.6697999999999</v>
      </c>
      <c r="J296" t="s">
        <v>3707</v>
      </c>
    </row>
    <row r="297" spans="1:10" x14ac:dyDescent="0.2">
      <c r="A297" t="s">
        <v>3796</v>
      </c>
      <c r="B297">
        <v>326</v>
      </c>
      <c r="C297">
        <v>3.1</v>
      </c>
      <c r="D297" t="s">
        <v>775</v>
      </c>
      <c r="E297" t="s">
        <v>3523</v>
      </c>
      <c r="F297" t="s">
        <v>3524</v>
      </c>
      <c r="G297" t="s">
        <v>2332</v>
      </c>
      <c r="H297">
        <v>2</v>
      </c>
      <c r="I297">
        <v>456.99459999999999</v>
      </c>
      <c r="J297" t="s">
        <v>3707</v>
      </c>
    </row>
    <row r="298" spans="1:10" x14ac:dyDescent="0.2">
      <c r="A298" t="s">
        <v>3796</v>
      </c>
      <c r="B298">
        <v>327</v>
      </c>
      <c r="C298">
        <v>3.1</v>
      </c>
      <c r="D298" t="s">
        <v>443</v>
      </c>
      <c r="E298" t="s">
        <v>3523</v>
      </c>
      <c r="F298" t="s">
        <v>3524</v>
      </c>
      <c r="G298" t="s">
        <v>2310</v>
      </c>
      <c r="H298">
        <v>10</v>
      </c>
      <c r="I298">
        <v>228.2826</v>
      </c>
      <c r="J298" t="s">
        <v>3707</v>
      </c>
    </row>
    <row r="299" spans="1:10" x14ac:dyDescent="0.2">
      <c r="A299" t="s">
        <v>3796</v>
      </c>
      <c r="B299">
        <v>328</v>
      </c>
      <c r="C299">
        <v>3.1</v>
      </c>
      <c r="D299" t="s">
        <v>3326</v>
      </c>
      <c r="E299" t="s">
        <v>3523</v>
      </c>
      <c r="F299" t="s">
        <v>3524</v>
      </c>
      <c r="G299" t="s">
        <v>3323</v>
      </c>
      <c r="H299">
        <v>30</v>
      </c>
      <c r="I299">
        <v>36.5</v>
      </c>
      <c r="J299" t="s">
        <v>3707</v>
      </c>
    </row>
    <row r="300" spans="1:10" x14ac:dyDescent="0.2">
      <c r="A300" t="s">
        <v>3796</v>
      </c>
      <c r="B300">
        <v>329</v>
      </c>
      <c r="C300">
        <v>3.1</v>
      </c>
      <c r="D300" t="s">
        <v>3325</v>
      </c>
      <c r="E300" t="s">
        <v>3523</v>
      </c>
      <c r="F300" t="s">
        <v>3524</v>
      </c>
      <c r="G300" t="s">
        <v>3324</v>
      </c>
      <c r="H300">
        <v>30</v>
      </c>
      <c r="I300">
        <v>83.3333333333333</v>
      </c>
      <c r="J300" t="s">
        <v>3707</v>
      </c>
    </row>
    <row r="301" spans="1:10" x14ac:dyDescent="0.2">
      <c r="A301" t="s">
        <v>3796</v>
      </c>
      <c r="B301">
        <v>331</v>
      </c>
      <c r="C301">
        <v>3.1</v>
      </c>
      <c r="D301" t="s">
        <v>2959</v>
      </c>
      <c r="E301" t="s">
        <v>3523</v>
      </c>
      <c r="F301" t="s">
        <v>3524</v>
      </c>
      <c r="G301" t="s">
        <v>2954</v>
      </c>
      <c r="H301">
        <v>1</v>
      </c>
      <c r="I301">
        <v>56645.77</v>
      </c>
      <c r="J301" t="s">
        <v>3707</v>
      </c>
    </row>
    <row r="302" spans="1:10" x14ac:dyDescent="0.2">
      <c r="A302" t="s">
        <v>3796</v>
      </c>
      <c r="B302">
        <v>332</v>
      </c>
      <c r="C302">
        <v>3.1</v>
      </c>
      <c r="D302" t="s">
        <v>2960</v>
      </c>
      <c r="E302" t="s">
        <v>3523</v>
      </c>
      <c r="F302" t="s">
        <v>3524</v>
      </c>
      <c r="G302" t="s">
        <v>2955</v>
      </c>
      <c r="H302">
        <v>14</v>
      </c>
      <c r="I302">
        <v>67051.939999999988</v>
      </c>
      <c r="J302" t="s">
        <v>3707</v>
      </c>
    </row>
    <row r="303" spans="1:10" x14ac:dyDescent="0.2">
      <c r="A303" t="s">
        <v>3796</v>
      </c>
      <c r="B303">
        <v>333</v>
      </c>
      <c r="C303">
        <v>3.1</v>
      </c>
      <c r="D303" t="s">
        <v>922</v>
      </c>
      <c r="E303" t="s">
        <v>3523</v>
      </c>
      <c r="F303" t="s">
        <v>3524</v>
      </c>
      <c r="G303" t="s">
        <v>2482</v>
      </c>
      <c r="H303">
        <v>1</v>
      </c>
      <c r="I303">
        <v>57695.539999999994</v>
      </c>
      <c r="J303" t="s">
        <v>3707</v>
      </c>
    </row>
    <row r="304" spans="1:10" x14ac:dyDescent="0.2">
      <c r="A304" t="s">
        <v>3796</v>
      </c>
      <c r="B304">
        <v>334</v>
      </c>
      <c r="C304">
        <v>3.1</v>
      </c>
      <c r="D304" t="s">
        <v>2961</v>
      </c>
      <c r="E304" t="s">
        <v>3523</v>
      </c>
      <c r="F304" t="s">
        <v>3524</v>
      </c>
      <c r="G304" t="s">
        <v>2956</v>
      </c>
      <c r="H304">
        <v>3</v>
      </c>
      <c r="I304">
        <v>63529.368399999992</v>
      </c>
      <c r="J304" t="s">
        <v>3707</v>
      </c>
    </row>
    <row r="305" spans="1:10" x14ac:dyDescent="0.2">
      <c r="A305" t="s">
        <v>3796</v>
      </c>
      <c r="B305">
        <v>335</v>
      </c>
      <c r="C305">
        <v>3.1</v>
      </c>
      <c r="D305" t="s">
        <v>2123</v>
      </c>
      <c r="E305" t="s">
        <v>3523</v>
      </c>
      <c r="F305" t="s">
        <v>3524</v>
      </c>
      <c r="G305" t="s">
        <v>2957</v>
      </c>
      <c r="H305">
        <v>1</v>
      </c>
      <c r="I305">
        <v>60643.958599999998</v>
      </c>
      <c r="J305" t="s">
        <v>3707</v>
      </c>
    </row>
    <row r="306" spans="1:10" x14ac:dyDescent="0.2">
      <c r="A306" t="s">
        <v>3796</v>
      </c>
      <c r="B306">
        <v>337</v>
      </c>
      <c r="C306">
        <v>3.1</v>
      </c>
      <c r="D306" t="s">
        <v>2965</v>
      </c>
      <c r="E306" t="s">
        <v>3523</v>
      </c>
      <c r="F306" t="s">
        <v>3524</v>
      </c>
      <c r="G306" t="s">
        <v>2964</v>
      </c>
      <c r="H306">
        <v>1</v>
      </c>
      <c r="I306">
        <v>33379.397700000001</v>
      </c>
      <c r="J306" t="s">
        <v>3707</v>
      </c>
    </row>
    <row r="307" spans="1:10" x14ac:dyDescent="0.2">
      <c r="A307" t="s">
        <v>3796</v>
      </c>
      <c r="B307">
        <v>338</v>
      </c>
      <c r="C307">
        <v>3.1</v>
      </c>
      <c r="D307" t="s">
        <v>3511</v>
      </c>
      <c r="E307" t="s">
        <v>3523</v>
      </c>
      <c r="F307" t="s">
        <v>3524</v>
      </c>
      <c r="G307" t="s">
        <v>2962</v>
      </c>
      <c r="H307">
        <v>1</v>
      </c>
      <c r="I307">
        <v>5568.6399999999994</v>
      </c>
      <c r="J307" t="s">
        <v>3707</v>
      </c>
    </row>
    <row r="308" spans="1:10" x14ac:dyDescent="0.2">
      <c r="A308" t="s">
        <v>3796</v>
      </c>
      <c r="B308">
        <v>339</v>
      </c>
      <c r="C308">
        <v>3.1</v>
      </c>
      <c r="D308" t="s">
        <v>2966</v>
      </c>
      <c r="E308" t="s">
        <v>3523</v>
      </c>
      <c r="F308" t="s">
        <v>3524</v>
      </c>
      <c r="G308" t="s">
        <v>2958</v>
      </c>
      <c r="H308">
        <v>1</v>
      </c>
      <c r="I308">
        <v>2726.0006999999996</v>
      </c>
      <c r="J308" t="s">
        <v>3707</v>
      </c>
    </row>
    <row r="309" spans="1:10" x14ac:dyDescent="0.2">
      <c r="A309" t="s">
        <v>3796</v>
      </c>
      <c r="B309">
        <v>340</v>
      </c>
      <c r="C309">
        <v>3.1</v>
      </c>
      <c r="D309" t="s">
        <v>778</v>
      </c>
      <c r="E309" t="s">
        <v>3523</v>
      </c>
      <c r="F309" t="s">
        <v>3524</v>
      </c>
      <c r="G309" t="s">
        <v>1921</v>
      </c>
      <c r="H309">
        <v>1</v>
      </c>
      <c r="I309">
        <v>3490.4117999999999</v>
      </c>
      <c r="J309" t="s">
        <v>3707</v>
      </c>
    </row>
    <row r="310" spans="1:10" x14ac:dyDescent="0.2">
      <c r="A310" t="s">
        <v>3796</v>
      </c>
      <c r="B310">
        <v>341</v>
      </c>
      <c r="C310">
        <v>3.2</v>
      </c>
      <c r="D310" t="s">
        <v>2817</v>
      </c>
      <c r="E310" t="s">
        <v>3523</v>
      </c>
      <c r="F310" t="s">
        <v>3524</v>
      </c>
      <c r="G310" t="s">
        <v>2032</v>
      </c>
      <c r="H310">
        <v>13</v>
      </c>
      <c r="I310">
        <v>20993.422499999997</v>
      </c>
      <c r="J310" t="s">
        <v>3707</v>
      </c>
    </row>
    <row r="311" spans="1:10" x14ac:dyDescent="0.2">
      <c r="A311" t="s">
        <v>3796</v>
      </c>
      <c r="B311">
        <v>343</v>
      </c>
      <c r="C311">
        <v>3.2</v>
      </c>
      <c r="D311" t="s">
        <v>2813</v>
      </c>
      <c r="E311" t="s">
        <v>3523</v>
      </c>
      <c r="F311" t="s">
        <v>3524</v>
      </c>
      <c r="G311" t="s">
        <v>2016</v>
      </c>
      <c r="H311">
        <v>4</v>
      </c>
      <c r="I311">
        <v>6461.6224999999995</v>
      </c>
      <c r="J311" t="s">
        <v>3707</v>
      </c>
    </row>
    <row r="312" spans="1:10" x14ac:dyDescent="0.2">
      <c r="A312" t="s">
        <v>3796</v>
      </c>
      <c r="B312">
        <v>344</v>
      </c>
      <c r="C312">
        <v>3.2</v>
      </c>
      <c r="D312" t="s">
        <v>425</v>
      </c>
      <c r="E312" t="s">
        <v>3523</v>
      </c>
      <c r="F312" t="s">
        <v>3524</v>
      </c>
      <c r="G312" t="s">
        <v>2783</v>
      </c>
      <c r="H312">
        <v>6</v>
      </c>
      <c r="I312">
        <v>2529.5049999999997</v>
      </c>
      <c r="J312" t="s">
        <v>3707</v>
      </c>
    </row>
    <row r="313" spans="1:10" x14ac:dyDescent="0.2">
      <c r="A313" t="s">
        <v>3796</v>
      </c>
      <c r="B313">
        <v>345</v>
      </c>
      <c r="C313">
        <v>3.2</v>
      </c>
      <c r="D313" t="s">
        <v>2777</v>
      </c>
      <c r="E313" t="s">
        <v>3523</v>
      </c>
      <c r="F313" t="s">
        <v>3524</v>
      </c>
      <c r="G313" t="s">
        <v>2209</v>
      </c>
      <c r="H313">
        <v>8</v>
      </c>
      <c r="I313">
        <v>2123.5524999999998</v>
      </c>
      <c r="J313" t="s">
        <v>3707</v>
      </c>
    </row>
    <row r="314" spans="1:10" x14ac:dyDescent="0.2">
      <c r="A314" t="s">
        <v>3796</v>
      </c>
      <c r="B314">
        <v>348</v>
      </c>
      <c r="C314">
        <v>3.2</v>
      </c>
      <c r="D314" t="s">
        <v>894</v>
      </c>
      <c r="E314" t="s">
        <v>3523</v>
      </c>
      <c r="F314" t="s">
        <v>3524</v>
      </c>
      <c r="G314" t="s">
        <v>2847</v>
      </c>
      <c r="H314">
        <v>9</v>
      </c>
      <c r="I314">
        <v>5353.94</v>
      </c>
      <c r="J314" t="s">
        <v>3707</v>
      </c>
    </row>
    <row r="315" spans="1:10" x14ac:dyDescent="0.2">
      <c r="A315" t="s">
        <v>3796</v>
      </c>
      <c r="B315">
        <v>349</v>
      </c>
      <c r="C315">
        <v>3.2</v>
      </c>
      <c r="D315" t="s">
        <v>2778</v>
      </c>
      <c r="E315" t="s">
        <v>3523</v>
      </c>
      <c r="F315" t="s">
        <v>3524</v>
      </c>
      <c r="G315" t="s">
        <v>2033</v>
      </c>
      <c r="H315">
        <v>2</v>
      </c>
      <c r="I315">
        <v>472.34</v>
      </c>
      <c r="J315" t="s">
        <v>3707</v>
      </c>
    </row>
    <row r="316" spans="1:10" x14ac:dyDescent="0.2">
      <c r="A316" t="s">
        <v>3796</v>
      </c>
      <c r="B316">
        <v>350</v>
      </c>
      <c r="C316">
        <v>3.2</v>
      </c>
      <c r="D316" t="s">
        <v>2834</v>
      </c>
      <c r="E316" t="s">
        <v>3523</v>
      </c>
      <c r="F316" t="s">
        <v>3524</v>
      </c>
      <c r="G316" t="s">
        <v>2345</v>
      </c>
      <c r="H316">
        <v>5</v>
      </c>
      <c r="I316">
        <v>4249.6475</v>
      </c>
      <c r="J316" t="s">
        <v>3707</v>
      </c>
    </row>
    <row r="317" spans="1:10" x14ac:dyDescent="0.2">
      <c r="A317" t="s">
        <v>3796</v>
      </c>
      <c r="B317">
        <v>352</v>
      </c>
      <c r="C317">
        <v>3.2</v>
      </c>
      <c r="D317" t="s">
        <v>2832</v>
      </c>
      <c r="E317" t="s">
        <v>3523</v>
      </c>
      <c r="F317" t="s">
        <v>3524</v>
      </c>
      <c r="G317" t="s">
        <v>2347</v>
      </c>
      <c r="H317">
        <v>3</v>
      </c>
      <c r="I317">
        <v>1707.9949999999999</v>
      </c>
      <c r="J317" t="s">
        <v>3707</v>
      </c>
    </row>
    <row r="318" spans="1:10" x14ac:dyDescent="0.2">
      <c r="A318" t="s">
        <v>3796</v>
      </c>
      <c r="B318">
        <v>353</v>
      </c>
      <c r="C318">
        <v>3.2</v>
      </c>
      <c r="D318" t="s">
        <v>2786</v>
      </c>
      <c r="E318" t="s">
        <v>3523</v>
      </c>
      <c r="F318" t="s">
        <v>3524</v>
      </c>
      <c r="G318" t="s">
        <v>2350</v>
      </c>
      <c r="H318">
        <v>2</v>
      </c>
      <c r="I318">
        <v>1820.4299999999998</v>
      </c>
      <c r="J318" t="s">
        <v>3707</v>
      </c>
    </row>
    <row r="319" spans="1:10" x14ac:dyDescent="0.2">
      <c r="A319" t="s">
        <v>3796</v>
      </c>
      <c r="B319">
        <v>355</v>
      </c>
      <c r="C319">
        <v>3.2</v>
      </c>
      <c r="D319" t="s">
        <v>863</v>
      </c>
      <c r="E319" t="s">
        <v>3523</v>
      </c>
      <c r="F319" t="s">
        <v>3524</v>
      </c>
      <c r="G319" t="s">
        <v>2031</v>
      </c>
      <c r="H319">
        <v>9</v>
      </c>
      <c r="I319">
        <v>2711.4349999999999</v>
      </c>
      <c r="J319" t="s">
        <v>3707</v>
      </c>
    </row>
    <row r="320" spans="1:10" x14ac:dyDescent="0.2">
      <c r="A320" t="s">
        <v>3796</v>
      </c>
      <c r="B320">
        <v>356</v>
      </c>
      <c r="C320">
        <v>3.2</v>
      </c>
      <c r="D320" t="s">
        <v>860</v>
      </c>
      <c r="E320" t="s">
        <v>3523</v>
      </c>
      <c r="F320" t="s">
        <v>3524</v>
      </c>
      <c r="G320" t="s">
        <v>2358</v>
      </c>
      <c r="H320">
        <v>7</v>
      </c>
      <c r="I320">
        <v>5565.2499999999991</v>
      </c>
      <c r="J320" t="s">
        <v>3707</v>
      </c>
    </row>
    <row r="321" spans="1:10" x14ac:dyDescent="0.2">
      <c r="A321" t="s">
        <v>3796</v>
      </c>
      <c r="B321">
        <v>357</v>
      </c>
      <c r="C321">
        <v>3.2</v>
      </c>
      <c r="D321" t="s">
        <v>426</v>
      </c>
      <c r="E321" t="s">
        <v>3523</v>
      </c>
      <c r="F321" t="s">
        <v>3524</v>
      </c>
      <c r="G321" t="s">
        <v>2353</v>
      </c>
      <c r="H321">
        <v>18</v>
      </c>
      <c r="I321">
        <v>84.749999999999986</v>
      </c>
      <c r="J321" t="s">
        <v>3707</v>
      </c>
    </row>
    <row r="322" spans="1:10" x14ac:dyDescent="0.2">
      <c r="A322" t="s">
        <v>3796</v>
      </c>
      <c r="B322">
        <v>358</v>
      </c>
      <c r="C322">
        <v>3.2</v>
      </c>
      <c r="D322" t="s">
        <v>423</v>
      </c>
      <c r="E322" t="s">
        <v>3523</v>
      </c>
      <c r="F322" t="s">
        <v>3524</v>
      </c>
      <c r="G322" t="s">
        <v>2357</v>
      </c>
      <c r="H322">
        <v>15</v>
      </c>
      <c r="I322">
        <v>228.54249999999999</v>
      </c>
      <c r="J322" t="s">
        <v>3707</v>
      </c>
    </row>
    <row r="323" spans="1:10" x14ac:dyDescent="0.2">
      <c r="A323" t="s">
        <v>3796</v>
      </c>
      <c r="B323">
        <v>359</v>
      </c>
      <c r="C323">
        <v>3.2</v>
      </c>
      <c r="D323" t="s">
        <v>795</v>
      </c>
      <c r="E323" t="s">
        <v>3523</v>
      </c>
      <c r="F323" t="s">
        <v>3524</v>
      </c>
      <c r="G323" t="s">
        <v>2354</v>
      </c>
      <c r="H323">
        <v>12</v>
      </c>
      <c r="I323">
        <v>86.162499999999994</v>
      </c>
      <c r="J323" t="s">
        <v>3707</v>
      </c>
    </row>
    <row r="324" spans="1:10" x14ac:dyDescent="0.2">
      <c r="A324" t="s">
        <v>3796</v>
      </c>
      <c r="B324">
        <v>360</v>
      </c>
      <c r="C324">
        <v>3.2</v>
      </c>
      <c r="D324" t="s">
        <v>792</v>
      </c>
      <c r="E324" t="s">
        <v>3523</v>
      </c>
      <c r="F324" t="s">
        <v>3524</v>
      </c>
      <c r="G324" t="s">
        <v>2356</v>
      </c>
      <c r="H324">
        <v>5</v>
      </c>
      <c r="I324">
        <v>302.55749999999995</v>
      </c>
      <c r="J324" t="s">
        <v>3707</v>
      </c>
    </row>
    <row r="325" spans="1:10" x14ac:dyDescent="0.2">
      <c r="A325" t="s">
        <v>3796</v>
      </c>
      <c r="B325">
        <v>361</v>
      </c>
      <c r="C325">
        <v>3.2</v>
      </c>
      <c r="D325" t="s">
        <v>942</v>
      </c>
      <c r="E325" t="s">
        <v>3523</v>
      </c>
      <c r="F325" t="s">
        <v>3524</v>
      </c>
      <c r="G325" t="s">
        <v>2352</v>
      </c>
      <c r="H325">
        <v>1</v>
      </c>
      <c r="I325">
        <v>70.625</v>
      </c>
      <c r="J325" t="s">
        <v>3707</v>
      </c>
    </row>
    <row r="326" spans="1:10" x14ac:dyDescent="0.2">
      <c r="A326" t="s">
        <v>3796</v>
      </c>
      <c r="B326">
        <v>362</v>
      </c>
      <c r="C326">
        <v>3.2</v>
      </c>
      <c r="D326" t="s">
        <v>561</v>
      </c>
      <c r="E326" t="s">
        <v>3523</v>
      </c>
      <c r="F326" t="s">
        <v>3524</v>
      </c>
      <c r="G326" t="s">
        <v>2359</v>
      </c>
      <c r="H326">
        <v>1</v>
      </c>
      <c r="I326">
        <v>243.79749999999999</v>
      </c>
      <c r="J326" t="s">
        <v>3707</v>
      </c>
    </row>
    <row r="327" spans="1:10" x14ac:dyDescent="0.2">
      <c r="A327" t="s">
        <v>3796</v>
      </c>
      <c r="B327">
        <v>363</v>
      </c>
      <c r="C327">
        <v>3.2</v>
      </c>
      <c r="D327" t="s">
        <v>617</v>
      </c>
      <c r="E327" t="s">
        <v>3523</v>
      </c>
      <c r="F327" t="s">
        <v>3524</v>
      </c>
      <c r="G327" t="s">
        <v>2341</v>
      </c>
      <c r="H327">
        <v>7</v>
      </c>
      <c r="I327">
        <v>1771.162</v>
      </c>
      <c r="J327" t="s">
        <v>3707</v>
      </c>
    </row>
    <row r="328" spans="1:10" x14ac:dyDescent="0.2">
      <c r="A328" t="s">
        <v>3796</v>
      </c>
      <c r="B328">
        <v>364</v>
      </c>
      <c r="C328">
        <v>3.2</v>
      </c>
      <c r="D328" t="s">
        <v>903</v>
      </c>
      <c r="E328" t="s">
        <v>3523</v>
      </c>
      <c r="F328" t="s">
        <v>3524</v>
      </c>
      <c r="G328" t="s">
        <v>2266</v>
      </c>
      <c r="H328">
        <v>1</v>
      </c>
      <c r="I328">
        <v>2821.384</v>
      </c>
      <c r="J328" t="s">
        <v>3707</v>
      </c>
    </row>
    <row r="329" spans="1:10" x14ac:dyDescent="0.2">
      <c r="A329" t="s">
        <v>3796</v>
      </c>
      <c r="B329">
        <v>369</v>
      </c>
      <c r="C329">
        <v>3.2</v>
      </c>
      <c r="D329" t="s">
        <v>2865</v>
      </c>
      <c r="E329" t="s">
        <v>3523</v>
      </c>
      <c r="F329" t="s">
        <v>3524</v>
      </c>
      <c r="G329" t="s">
        <v>2286</v>
      </c>
      <c r="H329">
        <v>2</v>
      </c>
      <c r="I329">
        <v>5835.0036</v>
      </c>
      <c r="J329" t="s">
        <v>3707</v>
      </c>
    </row>
    <row r="330" spans="1:10" x14ac:dyDescent="0.2">
      <c r="A330" t="s">
        <v>3796</v>
      </c>
      <c r="B330">
        <v>370</v>
      </c>
      <c r="C330">
        <v>3.2</v>
      </c>
      <c r="D330" t="s">
        <v>560</v>
      </c>
      <c r="E330" t="s">
        <v>3523</v>
      </c>
      <c r="F330" t="s">
        <v>3524</v>
      </c>
      <c r="G330" t="s">
        <v>1930</v>
      </c>
      <c r="H330">
        <v>3</v>
      </c>
      <c r="I330">
        <v>5509.7217999999993</v>
      </c>
      <c r="J330" t="s">
        <v>3707</v>
      </c>
    </row>
    <row r="331" spans="1:10" x14ac:dyDescent="0.2">
      <c r="A331" t="s">
        <v>3796</v>
      </c>
      <c r="B331">
        <v>371</v>
      </c>
      <c r="C331">
        <v>3.2</v>
      </c>
      <c r="D331" t="s">
        <v>3538</v>
      </c>
      <c r="E331" t="s">
        <v>3523</v>
      </c>
      <c r="F331" t="s">
        <v>3524</v>
      </c>
      <c r="G331" t="s">
        <v>3537</v>
      </c>
      <c r="H331">
        <v>2</v>
      </c>
      <c r="I331">
        <v>4945.558</v>
      </c>
      <c r="J331" t="s">
        <v>3707</v>
      </c>
    </row>
    <row r="332" spans="1:10" x14ac:dyDescent="0.2">
      <c r="A332" t="s">
        <v>3796</v>
      </c>
      <c r="B332">
        <v>372</v>
      </c>
      <c r="C332">
        <v>3.2</v>
      </c>
      <c r="D332" t="s">
        <v>928</v>
      </c>
      <c r="E332" t="s">
        <v>3523</v>
      </c>
      <c r="F332" t="s">
        <v>3524</v>
      </c>
      <c r="G332" t="s">
        <v>2501</v>
      </c>
      <c r="H332">
        <v>1</v>
      </c>
      <c r="I332">
        <v>1000.2420999999998</v>
      </c>
      <c r="J332" t="s">
        <v>3707</v>
      </c>
    </row>
    <row r="333" spans="1:10" x14ac:dyDescent="0.2">
      <c r="A333" t="s">
        <v>3796</v>
      </c>
      <c r="B333">
        <v>373</v>
      </c>
      <c r="C333">
        <v>3.2</v>
      </c>
      <c r="D333" t="s">
        <v>3540</v>
      </c>
      <c r="E333" t="s">
        <v>3523</v>
      </c>
      <c r="F333" t="s">
        <v>3524</v>
      </c>
      <c r="G333" t="s">
        <v>3539</v>
      </c>
      <c r="H333">
        <v>4</v>
      </c>
      <c r="I333">
        <v>333.93759999999997</v>
      </c>
      <c r="J333" t="s">
        <v>3707</v>
      </c>
    </row>
    <row r="334" spans="1:10" x14ac:dyDescent="0.2">
      <c r="A334" t="s">
        <v>3796</v>
      </c>
      <c r="B334">
        <v>374</v>
      </c>
      <c r="C334">
        <v>3.2</v>
      </c>
      <c r="D334" t="s">
        <v>589</v>
      </c>
      <c r="E334" t="s">
        <v>3523</v>
      </c>
      <c r="F334" t="s">
        <v>3524</v>
      </c>
      <c r="G334" t="s">
        <v>2500</v>
      </c>
      <c r="H334">
        <v>1</v>
      </c>
      <c r="I334">
        <v>800.19819999999993</v>
      </c>
      <c r="J334" t="s">
        <v>3707</v>
      </c>
    </row>
    <row r="335" spans="1:10" x14ac:dyDescent="0.2">
      <c r="A335" t="s">
        <v>3796</v>
      </c>
      <c r="B335">
        <v>375</v>
      </c>
      <c r="C335">
        <v>3.2</v>
      </c>
      <c r="D335" t="s">
        <v>835</v>
      </c>
      <c r="E335" t="s">
        <v>3523</v>
      </c>
      <c r="F335" t="s">
        <v>3524</v>
      </c>
      <c r="G335" t="s">
        <v>2334</v>
      </c>
      <c r="H335">
        <v>1</v>
      </c>
      <c r="I335">
        <v>7085.0999999999995</v>
      </c>
      <c r="J335" t="s">
        <v>3707</v>
      </c>
    </row>
    <row r="336" spans="1:10" x14ac:dyDescent="0.2">
      <c r="A336" t="s">
        <v>3796</v>
      </c>
      <c r="B336">
        <v>376</v>
      </c>
      <c r="C336">
        <v>3.2</v>
      </c>
      <c r="D336" t="s">
        <v>742</v>
      </c>
      <c r="E336" t="s">
        <v>3523</v>
      </c>
      <c r="F336" t="s">
        <v>3524</v>
      </c>
      <c r="G336" t="s">
        <v>1984</v>
      </c>
      <c r="H336">
        <v>3</v>
      </c>
      <c r="I336">
        <v>4011.4999999999995</v>
      </c>
      <c r="J336" t="s">
        <v>3707</v>
      </c>
    </row>
    <row r="337" spans="1:10" x14ac:dyDescent="0.2">
      <c r="A337" t="s">
        <v>3796</v>
      </c>
      <c r="B337">
        <v>377</v>
      </c>
      <c r="C337">
        <v>3.2</v>
      </c>
      <c r="D337" t="s">
        <v>986</v>
      </c>
      <c r="E337" t="s">
        <v>3523</v>
      </c>
      <c r="F337" t="s">
        <v>3524</v>
      </c>
      <c r="G337" t="s">
        <v>2184</v>
      </c>
      <c r="H337">
        <v>127</v>
      </c>
      <c r="I337">
        <v>121.3959</v>
      </c>
      <c r="J337" t="s">
        <v>3707</v>
      </c>
    </row>
    <row r="338" spans="1:10" x14ac:dyDescent="0.2">
      <c r="A338" t="s">
        <v>3796</v>
      </c>
      <c r="B338">
        <v>378</v>
      </c>
      <c r="C338">
        <v>3.2</v>
      </c>
      <c r="D338" t="s">
        <v>987</v>
      </c>
      <c r="E338" t="s">
        <v>3523</v>
      </c>
      <c r="F338" t="s">
        <v>3524</v>
      </c>
      <c r="G338" t="s">
        <v>1917</v>
      </c>
      <c r="H338">
        <v>0.24000000000000002</v>
      </c>
      <c r="I338">
        <v>17012.149999999998</v>
      </c>
      <c r="J338" t="s">
        <v>3707</v>
      </c>
    </row>
    <row r="339" spans="1:10" x14ac:dyDescent="0.2">
      <c r="A339" t="s">
        <v>3796</v>
      </c>
      <c r="B339">
        <v>379</v>
      </c>
      <c r="C339">
        <v>3.2</v>
      </c>
      <c r="D339" t="s">
        <v>2433</v>
      </c>
      <c r="E339" t="s">
        <v>3523</v>
      </c>
      <c r="F339" t="s">
        <v>3524</v>
      </c>
      <c r="G339" t="s">
        <v>1914</v>
      </c>
      <c r="H339">
        <v>0.23</v>
      </c>
      <c r="I339">
        <v>12044.5005</v>
      </c>
      <c r="J339" t="s">
        <v>3707</v>
      </c>
    </row>
    <row r="340" spans="1:10" x14ac:dyDescent="0.2">
      <c r="A340" t="s">
        <v>3796</v>
      </c>
      <c r="B340">
        <v>380</v>
      </c>
      <c r="C340">
        <v>3.2</v>
      </c>
      <c r="D340" t="s">
        <v>623</v>
      </c>
      <c r="E340" t="s">
        <v>3523</v>
      </c>
      <c r="F340" t="s">
        <v>3524</v>
      </c>
      <c r="G340" t="s">
        <v>2336</v>
      </c>
      <c r="H340">
        <v>6</v>
      </c>
      <c r="I340">
        <v>2366.9092999999998</v>
      </c>
      <c r="J340" t="s">
        <v>3707</v>
      </c>
    </row>
    <row r="341" spans="1:10" x14ac:dyDescent="0.2">
      <c r="A341" t="s">
        <v>3796</v>
      </c>
      <c r="B341">
        <v>381</v>
      </c>
      <c r="C341">
        <v>3.2</v>
      </c>
      <c r="D341" t="s">
        <v>620</v>
      </c>
      <c r="E341" t="s">
        <v>3523</v>
      </c>
      <c r="F341" t="s">
        <v>3524</v>
      </c>
      <c r="G341" t="s">
        <v>2337</v>
      </c>
      <c r="H341">
        <v>6</v>
      </c>
      <c r="I341">
        <v>3839.9998999999998</v>
      </c>
      <c r="J341" t="s">
        <v>3707</v>
      </c>
    </row>
    <row r="342" spans="1:10" x14ac:dyDescent="0.2">
      <c r="A342" t="s">
        <v>3796</v>
      </c>
      <c r="B342">
        <v>382</v>
      </c>
      <c r="C342">
        <v>3.2</v>
      </c>
      <c r="D342" t="s">
        <v>2719</v>
      </c>
      <c r="E342" t="s">
        <v>3523</v>
      </c>
      <c r="F342" t="s">
        <v>3524</v>
      </c>
      <c r="G342" t="s">
        <v>2338</v>
      </c>
      <c r="H342">
        <v>13</v>
      </c>
      <c r="I342">
        <v>265.54999999999995</v>
      </c>
      <c r="J342" t="s">
        <v>3707</v>
      </c>
    </row>
    <row r="343" spans="1:10" x14ac:dyDescent="0.2">
      <c r="A343" t="s">
        <v>3796</v>
      </c>
      <c r="B343">
        <v>383</v>
      </c>
      <c r="C343">
        <v>3.2</v>
      </c>
      <c r="D343" t="s">
        <v>2790</v>
      </c>
      <c r="E343" t="s">
        <v>3523</v>
      </c>
      <c r="F343" t="s">
        <v>3524</v>
      </c>
      <c r="G343" t="s">
        <v>2339</v>
      </c>
      <c r="H343">
        <v>3</v>
      </c>
      <c r="I343">
        <v>476.57749999999993</v>
      </c>
      <c r="J343" t="s">
        <v>3707</v>
      </c>
    </row>
    <row r="344" spans="1:10" x14ac:dyDescent="0.2">
      <c r="A344" t="s">
        <v>3796</v>
      </c>
      <c r="B344">
        <v>384</v>
      </c>
      <c r="C344">
        <v>3.2</v>
      </c>
      <c r="D344" t="s">
        <v>2806</v>
      </c>
      <c r="E344" t="s">
        <v>3523</v>
      </c>
      <c r="F344" t="s">
        <v>3524</v>
      </c>
      <c r="G344" t="s">
        <v>2025</v>
      </c>
      <c r="H344">
        <v>3</v>
      </c>
      <c r="I344">
        <v>1457.4174999999998</v>
      </c>
      <c r="J344" t="s">
        <v>3707</v>
      </c>
    </row>
    <row r="345" spans="1:10" x14ac:dyDescent="0.2">
      <c r="A345" t="s">
        <v>3796</v>
      </c>
      <c r="B345">
        <v>385</v>
      </c>
      <c r="C345">
        <v>3.2</v>
      </c>
      <c r="D345" t="s">
        <v>800</v>
      </c>
      <c r="E345" t="s">
        <v>3523</v>
      </c>
      <c r="F345" t="s">
        <v>3524</v>
      </c>
      <c r="G345" t="s">
        <v>2340</v>
      </c>
      <c r="H345">
        <v>3</v>
      </c>
      <c r="I345">
        <v>191.99829999999997</v>
      </c>
      <c r="J345" t="s">
        <v>3707</v>
      </c>
    </row>
    <row r="346" spans="1:10" x14ac:dyDescent="0.2">
      <c r="A346" t="s">
        <v>3796</v>
      </c>
      <c r="B346">
        <v>386</v>
      </c>
      <c r="C346">
        <v>3.2</v>
      </c>
      <c r="D346" t="s">
        <v>386</v>
      </c>
      <c r="E346" t="s">
        <v>3523</v>
      </c>
      <c r="F346" t="s">
        <v>3524</v>
      </c>
      <c r="G346" t="s">
        <v>2113</v>
      </c>
      <c r="H346">
        <v>1</v>
      </c>
      <c r="I346">
        <v>21500.487399999998</v>
      </c>
      <c r="J346" t="s">
        <v>3707</v>
      </c>
    </row>
    <row r="347" spans="1:10" x14ac:dyDescent="0.2">
      <c r="A347" t="s">
        <v>3796</v>
      </c>
      <c r="B347">
        <v>387</v>
      </c>
      <c r="C347">
        <v>3.2</v>
      </c>
      <c r="D347" t="s">
        <v>2573</v>
      </c>
      <c r="E347" t="s">
        <v>3523</v>
      </c>
      <c r="F347" t="s">
        <v>3524</v>
      </c>
      <c r="G347" t="s">
        <v>2342</v>
      </c>
      <c r="H347">
        <v>3</v>
      </c>
      <c r="I347">
        <v>5099.6899999999996</v>
      </c>
      <c r="J347" t="s">
        <v>3707</v>
      </c>
    </row>
    <row r="348" spans="1:10" x14ac:dyDescent="0.2">
      <c r="A348" t="s">
        <v>3796</v>
      </c>
      <c r="B348">
        <v>388</v>
      </c>
      <c r="C348">
        <v>3.2</v>
      </c>
      <c r="D348" t="s">
        <v>616</v>
      </c>
      <c r="E348" t="s">
        <v>3523</v>
      </c>
      <c r="F348" t="s">
        <v>3524</v>
      </c>
      <c r="G348" t="s">
        <v>2343</v>
      </c>
      <c r="H348">
        <v>3</v>
      </c>
      <c r="I348">
        <v>3333.4999999999995</v>
      </c>
      <c r="J348" t="s">
        <v>3707</v>
      </c>
    </row>
    <row r="349" spans="1:10" x14ac:dyDescent="0.2">
      <c r="A349" t="s">
        <v>3796</v>
      </c>
      <c r="B349">
        <v>389</v>
      </c>
      <c r="C349">
        <v>3.2</v>
      </c>
      <c r="D349" t="s">
        <v>550</v>
      </c>
      <c r="E349" t="s">
        <v>3523</v>
      </c>
      <c r="F349" t="s">
        <v>3524</v>
      </c>
      <c r="G349" t="s">
        <v>2013</v>
      </c>
      <c r="H349">
        <v>1</v>
      </c>
      <c r="I349">
        <v>17515</v>
      </c>
      <c r="J349" t="s">
        <v>3707</v>
      </c>
    </row>
    <row r="350" spans="1:10" x14ac:dyDescent="0.2">
      <c r="A350" t="s">
        <v>3796</v>
      </c>
      <c r="B350">
        <v>390</v>
      </c>
      <c r="C350">
        <v>3.2</v>
      </c>
      <c r="D350" t="s">
        <v>557</v>
      </c>
      <c r="E350" t="s">
        <v>3523</v>
      </c>
      <c r="F350" t="s">
        <v>3524</v>
      </c>
      <c r="G350" t="s">
        <v>2335</v>
      </c>
      <c r="H350">
        <v>1</v>
      </c>
      <c r="I350">
        <v>12268.568199999998</v>
      </c>
      <c r="J350" t="s">
        <v>3707</v>
      </c>
    </row>
    <row r="351" spans="1:10" x14ac:dyDescent="0.2">
      <c r="A351" t="s">
        <v>3796</v>
      </c>
      <c r="B351">
        <v>391</v>
      </c>
      <c r="C351">
        <v>3.2</v>
      </c>
      <c r="D351" t="s">
        <v>376</v>
      </c>
      <c r="E351" t="s">
        <v>3523</v>
      </c>
      <c r="F351" t="s">
        <v>3524</v>
      </c>
      <c r="G351" t="s">
        <v>2014</v>
      </c>
      <c r="H351">
        <v>1</v>
      </c>
      <c r="I351">
        <v>16837</v>
      </c>
      <c r="J351" t="s">
        <v>3707</v>
      </c>
    </row>
    <row r="352" spans="1:10" x14ac:dyDescent="0.2">
      <c r="A352" t="s">
        <v>3796</v>
      </c>
      <c r="B352">
        <v>392</v>
      </c>
      <c r="C352">
        <v>3.2</v>
      </c>
      <c r="D352" t="s">
        <v>712</v>
      </c>
      <c r="E352" t="s">
        <v>3523</v>
      </c>
      <c r="F352" t="s">
        <v>3524</v>
      </c>
      <c r="G352" t="s">
        <v>2186</v>
      </c>
      <c r="H352">
        <v>4</v>
      </c>
      <c r="I352">
        <v>1524.9914999999999</v>
      </c>
      <c r="J352" t="s">
        <v>3707</v>
      </c>
    </row>
  </sheetData>
  <phoneticPr fontId="20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07726-412C-47A5-9D36-7B9629379F75}">
  <sheetPr>
    <tabColor theme="7" tint="0.39997558519241921"/>
  </sheetPr>
  <dimension ref="A1:AA983"/>
  <sheetViews>
    <sheetView topLeftCell="F7" zoomScale="70" zoomScaleNormal="70" workbookViewId="0">
      <pane ySplit="2" topLeftCell="F9" activePane="bottomLeft" state="frozen"/>
      <selection activeCell="A7" sqref="A7"/>
      <selection pane="bottomLeft" activeCell="P19" sqref="P19"/>
    </sheetView>
  </sheetViews>
  <sheetFormatPr defaultColWidth="11.43359375" defaultRowHeight="15.75" outlineLevelCol="1" x14ac:dyDescent="0.2"/>
  <cols>
    <col min="1" max="1" width="32.6875" style="152" customWidth="1"/>
    <col min="2" max="2" width="13.44921875" style="831" customWidth="1"/>
    <col min="3" max="3" width="26.76953125" style="98" bestFit="1" customWidth="1"/>
    <col min="4" max="4" width="15.33203125" style="829" customWidth="1"/>
    <col min="5" max="5" width="86.36328125" style="97" bestFit="1" customWidth="1"/>
    <col min="6" max="6" width="21.5234375" style="152" customWidth="1"/>
    <col min="7" max="7" width="18.29296875" style="97" bestFit="1" customWidth="1"/>
    <col min="8" max="8" width="17.484375" style="97" customWidth="1" outlineLevel="1"/>
    <col min="9" max="9" width="14.66015625" style="97" customWidth="1" outlineLevel="1"/>
    <col min="10" max="10" width="28.515625" style="97" bestFit="1" customWidth="1" outlineLevel="1"/>
    <col min="11" max="11" width="22.46484375" style="97" customWidth="1" outlineLevel="1"/>
    <col min="12" max="12" width="20.17578125" style="97" bestFit="1" customWidth="1" outlineLevel="1"/>
    <col min="13" max="13" width="29.7265625" style="97" bestFit="1" customWidth="1" outlineLevel="1"/>
    <col min="14" max="14" width="28.515625" style="97" customWidth="1" outlineLevel="1"/>
    <col min="15" max="15" width="27.7109375" style="97" customWidth="1" outlineLevel="1"/>
    <col min="16" max="16" width="12.5078125" style="153" bestFit="1" customWidth="1"/>
    <col min="17" max="17" width="6.45703125" style="153" customWidth="1"/>
    <col min="18" max="18" width="22.46484375" style="153" customWidth="1"/>
    <col min="19" max="19" width="16.54296875" style="153" bestFit="1" customWidth="1"/>
    <col min="20" max="20" width="27.44140625" style="153" customWidth="1"/>
    <col min="21" max="21" width="14.52734375" style="48" bestFit="1" customWidth="1"/>
    <col min="22" max="22" width="5.51171875" style="48" customWidth="1"/>
    <col min="23" max="23" width="42.640625" style="48" customWidth="1"/>
    <col min="24" max="24" width="18.29296875" style="48" bestFit="1" customWidth="1"/>
    <col min="25" max="25" width="18.0234375" style="48" bestFit="1" customWidth="1"/>
    <col min="26" max="26" width="14.9296875" style="48" bestFit="1" customWidth="1"/>
    <col min="27" max="27" width="12.5078125" style="48" bestFit="1" customWidth="1"/>
    <col min="28" max="16384" width="11.43359375" style="48"/>
  </cols>
  <sheetData>
    <row r="1" spans="1:27" ht="24.6" customHeight="1" x14ac:dyDescent="0.2">
      <c r="A1" s="98"/>
      <c r="B1" s="830"/>
      <c r="C1" s="1142" t="s">
        <v>0</v>
      </c>
      <c r="D1" s="1143"/>
      <c r="E1" s="1142"/>
      <c r="F1" s="1142"/>
      <c r="G1" s="1142"/>
      <c r="H1" s="1142"/>
      <c r="I1" s="1142"/>
      <c r="J1" s="1142"/>
      <c r="K1" s="1142"/>
      <c r="L1" s="1142"/>
      <c r="M1" s="1142"/>
      <c r="N1" s="1142"/>
      <c r="O1" s="1142"/>
    </row>
    <row r="2" spans="1:27" x14ac:dyDescent="0.2">
      <c r="A2" s="98"/>
      <c r="B2" s="830"/>
      <c r="C2" s="186" t="s">
        <v>1</v>
      </c>
      <c r="D2" s="820"/>
      <c r="E2" s="432" t="str">
        <f>+'1_OG y 2_ACA'!D3</f>
        <v>Modelo Casa</v>
      </c>
      <c r="F2" s="154"/>
      <c r="G2" s="154"/>
      <c r="H2" s="154"/>
      <c r="I2" s="154"/>
      <c r="J2" s="154"/>
      <c r="K2" s="154"/>
      <c r="L2" s="154"/>
      <c r="M2" s="154"/>
      <c r="N2" s="154"/>
      <c r="O2" s="154"/>
    </row>
    <row r="3" spans="1:27" x14ac:dyDescent="0.2">
      <c r="A3" s="98"/>
      <c r="B3" s="830"/>
      <c r="C3" s="186" t="s">
        <v>2</v>
      </c>
      <c r="D3" s="820"/>
      <c r="E3" s="432" t="s">
        <v>3</v>
      </c>
      <c r="F3" s="154"/>
      <c r="G3" s="154"/>
      <c r="H3" s="154"/>
      <c r="I3" s="154"/>
      <c r="J3" s="154"/>
      <c r="K3" s="154"/>
      <c r="L3" s="154"/>
      <c r="M3" s="154"/>
      <c r="N3" s="154"/>
      <c r="O3" s="154"/>
      <c r="R3" s="194" t="s">
        <v>4</v>
      </c>
    </row>
    <row r="4" spans="1:27" x14ac:dyDescent="0.2">
      <c r="A4" s="98"/>
      <c r="B4" s="830"/>
      <c r="C4" s="186" t="s">
        <v>5</v>
      </c>
      <c r="D4" s="820"/>
      <c r="E4" s="433">
        <v>45995</v>
      </c>
      <c r="F4" s="154"/>
      <c r="G4" s="154"/>
      <c r="H4" s="154"/>
      <c r="I4" s="154"/>
      <c r="J4" s="154"/>
      <c r="K4" s="154"/>
      <c r="L4" s="154"/>
      <c r="M4" s="154"/>
      <c r="N4" s="154"/>
      <c r="O4" s="154"/>
      <c r="P4" s="195" t="s">
        <v>6</v>
      </c>
      <c r="Q4" s="195">
        <v>515</v>
      </c>
      <c r="R4" s="196">
        <v>45727</v>
      </c>
    </row>
    <row r="5" spans="1:27" x14ac:dyDescent="0.2">
      <c r="A5" s="98"/>
      <c r="B5" s="830"/>
      <c r="C5" s="186" t="s">
        <v>7</v>
      </c>
      <c r="D5" s="820"/>
      <c r="E5" s="432" t="s">
        <v>8</v>
      </c>
      <c r="F5" s="154"/>
      <c r="G5" s="154"/>
      <c r="H5" s="154"/>
      <c r="I5" s="154"/>
      <c r="J5" s="154"/>
      <c r="K5" s="154"/>
      <c r="L5" s="154"/>
      <c r="M5" s="154"/>
      <c r="N5" s="154"/>
      <c r="O5" s="154"/>
    </row>
    <row r="6" spans="1:27" x14ac:dyDescent="0.2">
      <c r="A6" s="98"/>
      <c r="B6" s="830"/>
      <c r="C6" s="186" t="s">
        <v>9</v>
      </c>
      <c r="D6" s="820"/>
      <c r="E6" s="434">
        <f>'1_OG y 2_ACA'!D9</f>
        <v>126.78999999999999</v>
      </c>
      <c r="F6" s="154"/>
      <c r="G6" s="154"/>
      <c r="H6" s="154"/>
      <c r="I6" s="154"/>
      <c r="J6" s="154"/>
      <c r="K6" s="154"/>
      <c r="L6" s="154"/>
      <c r="M6" s="154"/>
      <c r="N6" s="271"/>
      <c r="O6" s="154"/>
    </row>
    <row r="7" spans="1:27" s="49" customFormat="1" ht="52.5" customHeight="1" x14ac:dyDescent="0.2">
      <c r="A7" s="1098" t="s">
        <v>3132</v>
      </c>
      <c r="B7" s="1099" t="s">
        <v>3512</v>
      </c>
      <c r="C7" s="1100" t="s">
        <v>11</v>
      </c>
      <c r="D7" s="1101" t="s">
        <v>3498</v>
      </c>
      <c r="E7" s="1100" t="s">
        <v>12</v>
      </c>
      <c r="F7" s="1100" t="s">
        <v>13</v>
      </c>
      <c r="G7" s="1100" t="s">
        <v>14</v>
      </c>
      <c r="H7" s="1100" t="s">
        <v>15</v>
      </c>
      <c r="I7" s="1100" t="s">
        <v>16</v>
      </c>
      <c r="J7" s="1100" t="s">
        <v>17</v>
      </c>
      <c r="K7" s="1100" t="s">
        <v>18</v>
      </c>
      <c r="L7" s="1100" t="s">
        <v>19</v>
      </c>
      <c r="M7" s="1100" t="s">
        <v>20</v>
      </c>
      <c r="N7" s="1102" t="s">
        <v>21</v>
      </c>
      <c r="O7" s="1103" t="s">
        <v>22</v>
      </c>
      <c r="P7" s="155"/>
      <c r="Q7" s="155"/>
      <c r="R7" s="155"/>
      <c r="V7" s="348"/>
      <c r="W7" s="349"/>
      <c r="X7" s="350" t="s">
        <v>3447</v>
      </c>
      <c r="Y7" s="716">
        <f>+X50/'1_OG y 2_ACA'!D11</f>
        <v>107706.7427296903</v>
      </c>
      <c r="Z7" s="350">
        <f>+'1_OG y 2_ACA'!D11</f>
        <v>116.57000000000001</v>
      </c>
      <c r="AA7" s="350"/>
    </row>
    <row r="8" spans="1:27" s="350" customFormat="1" ht="24" customHeight="1" x14ac:dyDescent="0.2">
      <c r="A8" s="1073"/>
      <c r="B8" s="1072"/>
      <c r="C8" s="442"/>
      <c r="D8" s="442"/>
      <c r="E8" s="443" t="s">
        <v>23</v>
      </c>
      <c r="F8" s="444"/>
      <c r="G8" s="442"/>
      <c r="H8" s="442"/>
      <c r="I8" s="442"/>
      <c r="J8" s="442"/>
      <c r="K8" s="445">
        <f>+SUBTOTAL(9,K9:K950)</f>
        <v>23471757.565369409</v>
      </c>
      <c r="L8" s="445">
        <f>+SUBTOTAL(9,L9:L950)</f>
        <v>13952475</v>
      </c>
      <c r="M8" s="445">
        <f>+SUBTOTAL(9,M9:M950)</f>
        <v>3317703.5249999999</v>
      </c>
      <c r="N8" s="445">
        <f>+SUBTOTAL(9,N9:N950)</f>
        <v>40741936.090369403</v>
      </c>
      <c r="O8" s="1079">
        <f>+SUBTOTAL(9,O9:O950)</f>
        <v>79110.555515280517</v>
      </c>
      <c r="P8" s="348"/>
      <c r="V8" s="157" t="str">
        <f>+C11</f>
        <v>1.1.1</v>
      </c>
      <c r="W8" s="157" t="str">
        <f>+E11</f>
        <v xml:space="preserve">TRAZADO Y RELLENOS </v>
      </c>
      <c r="X8" s="711">
        <f>+L11</f>
        <v>168187.5</v>
      </c>
      <c r="Y8" s="715">
        <f t="shared" ref="Y8:Y49" si="0">+X8/$X$50</f>
        <v>1.3395657238433738E-2</v>
      </c>
      <c r="Z8" s="711">
        <f t="shared" ref="Z8:Z50" si="1">+X8/$Z$7</f>
        <v>1442.8026078750963</v>
      </c>
      <c r="AA8" s="48"/>
    </row>
    <row r="9" spans="1:27" x14ac:dyDescent="0.2">
      <c r="A9" s="303"/>
      <c r="B9" s="174"/>
      <c r="C9" s="435">
        <v>1</v>
      </c>
      <c r="D9" s="435"/>
      <c r="E9" s="436" t="s">
        <v>2037</v>
      </c>
      <c r="F9" s="437"/>
      <c r="G9" s="438"/>
      <c r="H9" s="439"/>
      <c r="I9" s="439"/>
      <c r="J9" s="439"/>
      <c r="K9" s="439">
        <f>+SUBTOTAL(9,K10:K392)</f>
        <v>11108224.252763577</v>
      </c>
      <c r="L9" s="439">
        <f>+SUBTOTAL(9,L10:L392)</f>
        <v>9499537.5</v>
      </c>
      <c r="M9" s="439">
        <f>+SUBTOTAL(9,M10:M392)</f>
        <v>741220.34999999986</v>
      </c>
      <c r="N9" s="439">
        <f>+SUBTOTAL(9,N10:N392)</f>
        <v>21348982.102763571</v>
      </c>
      <c r="O9" s="1080">
        <f>+SUBTOTAL(9,O10:O392)</f>
        <v>41454.334180123471</v>
      </c>
      <c r="P9" s="156"/>
      <c r="V9" s="157" t="str">
        <f>+C21</f>
        <v>1.1.2</v>
      </c>
      <c r="W9" s="157" t="str">
        <f>+E21</f>
        <v>EXCAVACIÓN</v>
      </c>
      <c r="X9" s="711">
        <f>+L21</f>
        <v>131962.5</v>
      </c>
      <c r="Y9" s="715">
        <f t="shared" si="0"/>
        <v>1.0510438756309548E-2</v>
      </c>
      <c r="Z9" s="711">
        <f t="shared" si="1"/>
        <v>1132.0451231019988</v>
      </c>
    </row>
    <row r="10" spans="1:27" x14ac:dyDescent="0.2">
      <c r="A10" s="303"/>
      <c r="B10" s="833">
        <f t="shared" ref="B10:B65" si="2">VALUE(IF(AND(LEN(TRIM(C10))-LEN(SUBSTITUTE(TRIM(C10),".",""))=1,ISNUMBER(VALUE(SUBSTITUTE(TRIM(C10),".","")))),TRIM(C10),B9))</f>
        <v>1.1000000000000001</v>
      </c>
      <c r="C10" s="440" t="s">
        <v>3482</v>
      </c>
      <c r="D10" s="440"/>
      <c r="E10" s="441" t="s">
        <v>3137</v>
      </c>
      <c r="F10" s="446">
        <v>1</v>
      </c>
      <c r="G10" s="440" t="s">
        <v>271</v>
      </c>
      <c r="H10" s="440"/>
      <c r="I10" s="440"/>
      <c r="J10" s="440"/>
      <c r="K10" s="447">
        <f>+SUBTOTAL(9,K11:K53)</f>
        <v>1835286.7121498799</v>
      </c>
      <c r="L10" s="447">
        <f>+SUBTOTAL(9,L11:L53)</f>
        <v>1179900</v>
      </c>
      <c r="M10" s="447">
        <f>+SUBTOTAL(9,M11:M53)</f>
        <v>151000</v>
      </c>
      <c r="N10" s="447">
        <f>+SUBTOTAL(9,N11:N53)</f>
        <v>3166186.7121498804</v>
      </c>
      <c r="O10" s="1081">
        <f>+SUBTOTAL(9,O11:O53)</f>
        <v>6147.9353633978253</v>
      </c>
      <c r="P10" s="156"/>
      <c r="V10" s="157" t="str">
        <f>+C28</f>
        <v>1.1.3</v>
      </c>
      <c r="W10" s="157" t="str">
        <f>+E28</f>
        <v xml:space="preserve">SELLO DE CONCRETO </v>
      </c>
      <c r="X10" s="712">
        <f>+L28</f>
        <v>23287.5</v>
      </c>
      <c r="Y10" s="715">
        <f t="shared" si="0"/>
        <v>1.8547833099369791E-3</v>
      </c>
      <c r="Z10" s="711">
        <f t="shared" si="1"/>
        <v>199.77266878270567</v>
      </c>
      <c r="AA10" s="49"/>
    </row>
    <row r="11" spans="1:27" s="49" customFormat="1" ht="18.600000000000001" customHeight="1" thickBot="1" x14ac:dyDescent="0.25">
      <c r="A11" s="1074"/>
      <c r="B11" s="833">
        <f t="shared" si="2"/>
        <v>1.1000000000000001</v>
      </c>
      <c r="C11" s="770" t="s">
        <v>2038</v>
      </c>
      <c r="D11" s="453"/>
      <c r="E11" s="454" t="s">
        <v>1885</v>
      </c>
      <c r="F11" s="455">
        <f>+'1_OG y 2_ACA'!D219</f>
        <v>57.62</v>
      </c>
      <c r="G11" s="453" t="s">
        <v>78</v>
      </c>
      <c r="H11" s="453"/>
      <c r="I11" s="453"/>
      <c r="J11" s="453"/>
      <c r="K11" s="456">
        <f>+SUBTOTAL(9,K12:K20)</f>
        <v>276899.83300000004</v>
      </c>
      <c r="L11" s="456">
        <f>+SUBTOTAL(9,L12:L20)</f>
        <v>168187.5</v>
      </c>
      <c r="M11" s="456">
        <f>+SUBTOTAL(9,M12:M20)</f>
        <v>151000</v>
      </c>
      <c r="N11" s="456">
        <f>+SUBTOTAL(9,N12:N20)</f>
        <v>596087.3330000001</v>
      </c>
      <c r="O11" s="1082">
        <f>+SUBTOTAL(9,O12:O20)</f>
        <v>1157.4511320388349</v>
      </c>
      <c r="P11" s="416"/>
      <c r="V11" s="717" t="str">
        <f>+C37</f>
        <v>1.1.4</v>
      </c>
      <c r="W11" s="717" t="str">
        <f>+E37</f>
        <v xml:space="preserve">LOSA FLOTANTE (ACERO, CONCRETO) </v>
      </c>
      <c r="X11" s="718">
        <f>+L37</f>
        <v>856462.5</v>
      </c>
      <c r="Y11" s="719">
        <f t="shared" si="0"/>
        <v>6.8214808398793347E-2</v>
      </c>
      <c r="Z11" s="720">
        <f t="shared" si="1"/>
        <v>7347.1948185639521</v>
      </c>
      <c r="AA11" s="721">
        <f>+AVERAGE(Z8:Z11)</f>
        <v>2530.4538045809381</v>
      </c>
    </row>
    <row r="12" spans="1:27" ht="15" customHeight="1" x14ac:dyDescent="0.2">
      <c r="A12" s="303"/>
      <c r="B12" s="833">
        <f t="shared" si="2"/>
        <v>1.1000000000000001</v>
      </c>
      <c r="C12" s="771" t="s">
        <v>1910</v>
      </c>
      <c r="D12" s="834"/>
      <c r="E12" s="173" t="str">
        <f>_xlfn.XLOOKUP(C12,'BASE DATOS PRECIOS '!B:B,'BASE DATOS PRECIOS '!E:E)</f>
        <v>LASTRE FINO</v>
      </c>
      <c r="F12" s="174">
        <f>ROUNDUP('1_OG y 2_ACA'!D222,0)</f>
        <v>19</v>
      </c>
      <c r="G12" s="204" t="str">
        <f>+_xlfn.XLOOKUP(C12,'BASE DATOS PRECIOS '!B:B,'BASE DATOS PRECIOS '!F:F)</f>
        <v>M3</v>
      </c>
      <c r="H12" s="176">
        <f>+_xlfn.XLOOKUP(E12,'BASE DATOS PRECIOS '!E:E,'BASE DATOS PRECIOS '!H:H)</f>
        <v>14166.6631</v>
      </c>
      <c r="I12" s="175"/>
      <c r="J12" s="175"/>
      <c r="K12" s="176">
        <f>+F12*H12</f>
        <v>269166.59889999998</v>
      </c>
      <c r="L12" s="176">
        <f t="shared" ref="L12:L20" si="3">+F12*I12</f>
        <v>0</v>
      </c>
      <c r="M12" s="176">
        <f t="shared" ref="M12:M20" si="4">+F12*J12</f>
        <v>0</v>
      </c>
      <c r="N12" s="176">
        <f t="shared" ref="N12:N20" si="5">SUM(K12:M12)</f>
        <v>269166.59889999998</v>
      </c>
      <c r="O12" s="1083">
        <f t="shared" ref="O12:O20" si="6">SUM(K12:M12)/tc</f>
        <v>522.65359009708732</v>
      </c>
      <c r="V12" s="157" t="str">
        <f>+C55</f>
        <v xml:space="preserve">1.2.1 </v>
      </c>
      <c r="W12" s="157" t="str">
        <f>+E55</f>
        <v xml:space="preserve">ACERO EN PAREDES MUROS N1 </v>
      </c>
      <c r="X12" s="712">
        <f>+L55</f>
        <v>1112625</v>
      </c>
      <c r="Y12" s="715">
        <f t="shared" si="0"/>
        <v>8.8617424808100115E-2</v>
      </c>
      <c r="Z12" s="711">
        <f t="shared" si="1"/>
        <v>9544.694175173714</v>
      </c>
    </row>
    <row r="13" spans="1:27" ht="15" customHeight="1" x14ac:dyDescent="0.2">
      <c r="A13" s="303"/>
      <c r="B13" s="833">
        <f t="shared" si="2"/>
        <v>1.1000000000000001</v>
      </c>
      <c r="C13" s="771" t="s">
        <v>2179</v>
      </c>
      <c r="D13" s="834"/>
      <c r="E13" s="161" t="str">
        <f>_xlfn.XLOOKUP(C13,'BASE DATOS PRECIOS '!B:B,'BASE DATOS PRECIOS '!E:E)</f>
        <v>BOLSA CAL</v>
      </c>
      <c r="F13" s="174">
        <f>+'1_OG y 2_ACA'!D223</f>
        <v>2</v>
      </c>
      <c r="G13" s="204" t="str">
        <f>+_xlfn.XLOOKUP(C13,'BASE DATOS PRECIOS '!B:B,'BASE DATOS PRECIOS '!F:F)</f>
        <v>BOLSA</v>
      </c>
      <c r="H13" s="176">
        <f>+_xlfn.XLOOKUP(E13,'BASE DATOS PRECIOS '!E:E,'BASE DATOS PRECIOS '!H:H)</f>
        <v>1627.1999999999998</v>
      </c>
      <c r="I13" s="175"/>
      <c r="J13" s="175"/>
      <c r="K13" s="176">
        <f t="shared" ref="K13:K20" si="7">+F13*H13</f>
        <v>3254.3999999999996</v>
      </c>
      <c r="L13" s="176">
        <f t="shared" si="3"/>
        <v>0</v>
      </c>
      <c r="M13" s="176">
        <f t="shared" si="4"/>
        <v>0</v>
      </c>
      <c r="N13" s="176">
        <f t="shared" si="5"/>
        <v>3254.3999999999996</v>
      </c>
      <c r="O13" s="1083">
        <f t="shared" si="6"/>
        <v>6.3192233009708731</v>
      </c>
      <c r="V13" s="157" t="str">
        <f>+C68</f>
        <v>1.2.2</v>
      </c>
      <c r="W13" s="157" t="str">
        <f>+E68</f>
        <v>PAREDES, MUROS N1 (FORMALETA, CONCRETO, DESENCOFRADO)</v>
      </c>
      <c r="X13" s="712">
        <f>+L68</f>
        <v>980662.5</v>
      </c>
      <c r="Y13" s="715">
        <f t="shared" si="0"/>
        <v>7.8106986051790561E-2</v>
      </c>
      <c r="Z13" s="711">
        <f t="shared" si="1"/>
        <v>8412.6490520717161</v>
      </c>
    </row>
    <row r="14" spans="1:27" ht="15" customHeight="1" x14ac:dyDescent="0.2">
      <c r="A14" s="303"/>
      <c r="B14" s="833">
        <f t="shared" si="2"/>
        <v>1.1000000000000001</v>
      </c>
      <c r="C14" s="772" t="s">
        <v>2180</v>
      </c>
      <c r="D14" s="835"/>
      <c r="E14" s="161" t="str">
        <f>_xlfn.XLOOKUP(C14,'BASE DATOS PRECIOS '!B:B,'BASE DATOS PRECIOS '!E:E)</f>
        <v>CRAYON LYRA AMARILLO</v>
      </c>
      <c r="F14" s="174">
        <f>+'1_OG y 2_ACA'!D224</f>
        <v>6</v>
      </c>
      <c r="G14" s="163" t="str">
        <f>+_xlfn.XLOOKUP(C14,'BASE DATOS PRECIOS '!B:B,'BASE DATOS PRECIOS '!F:F)</f>
        <v>UND</v>
      </c>
      <c r="H14" s="164">
        <f>+_xlfn.XLOOKUP(E14,'BASE DATOS PRECIOS '!E:E,'BASE DATOS PRECIOS '!H:H)</f>
        <v>340.01699999999994</v>
      </c>
      <c r="I14" s="165"/>
      <c r="J14" s="165"/>
      <c r="K14" s="176">
        <f t="shared" si="7"/>
        <v>2040.1019999999996</v>
      </c>
      <c r="L14" s="164">
        <f t="shared" si="3"/>
        <v>0</v>
      </c>
      <c r="M14" s="164">
        <f t="shared" si="4"/>
        <v>0</v>
      </c>
      <c r="N14" s="164">
        <f t="shared" si="5"/>
        <v>2040.1019999999996</v>
      </c>
      <c r="O14" s="1084">
        <f t="shared" si="6"/>
        <v>3.9613631067961159</v>
      </c>
      <c r="V14" s="157" t="str">
        <f>+C84</f>
        <v xml:space="preserve">1.2.3 </v>
      </c>
      <c r="W14" s="157" t="str">
        <f>+E84</f>
        <v xml:space="preserve">MAMPOSTERIA </v>
      </c>
      <c r="X14" s="712">
        <f>+L84</f>
        <v>0</v>
      </c>
      <c r="Y14" s="715">
        <f t="shared" si="0"/>
        <v>0</v>
      </c>
      <c r="Z14" s="711">
        <f t="shared" si="1"/>
        <v>0</v>
      </c>
    </row>
    <row r="15" spans="1:27" ht="15" customHeight="1" x14ac:dyDescent="0.2">
      <c r="A15" s="303"/>
      <c r="B15" s="833">
        <f t="shared" si="2"/>
        <v>1.1000000000000001</v>
      </c>
      <c r="C15" s="772" t="s">
        <v>2181</v>
      </c>
      <c r="D15" s="835"/>
      <c r="E15" s="161" t="str">
        <f>_xlfn.XLOOKUP(C15,'BASE DATOS PRECIOS '!B:B,'BASE DATOS PRECIOS '!E:E)</f>
        <v>CUERDA ALBAÑIL BLANCA</v>
      </c>
      <c r="F15" s="174">
        <f>+'1_OG y 2_ACA'!D225</f>
        <v>3</v>
      </c>
      <c r="G15" s="163" t="str">
        <f>+_xlfn.XLOOKUP(C15,'BASE DATOS PRECIOS '!B:B,'BASE DATOS PRECIOS '!F:F)</f>
        <v>UND</v>
      </c>
      <c r="H15" s="164">
        <f>+_xlfn.XLOOKUP(E15,'BASE DATOS PRECIOS '!E:E,'BASE DATOS PRECIOS '!H:H)</f>
        <v>812.91069999999991</v>
      </c>
      <c r="I15" s="165"/>
      <c r="J15" s="165"/>
      <c r="K15" s="176">
        <f t="shared" si="7"/>
        <v>2438.7320999999997</v>
      </c>
      <c r="L15" s="164">
        <f t="shared" si="3"/>
        <v>0</v>
      </c>
      <c r="M15" s="164">
        <f t="shared" si="4"/>
        <v>0</v>
      </c>
      <c r="N15" s="164">
        <f t="shared" si="5"/>
        <v>2438.7320999999997</v>
      </c>
      <c r="O15" s="1084">
        <f t="shared" si="6"/>
        <v>4.7354021359223299</v>
      </c>
      <c r="V15" s="157" t="str">
        <f>+C89</f>
        <v>1.2.4</v>
      </c>
      <c r="W15" s="157" t="str">
        <f>+E89</f>
        <v xml:space="preserve">ACERO EN PAREDES MUROS N2 </v>
      </c>
      <c r="X15" s="712">
        <f>+L89</f>
        <v>859050</v>
      </c>
      <c r="Y15" s="715">
        <f t="shared" si="0"/>
        <v>6.8420895433230794E-2</v>
      </c>
      <c r="Z15" s="711">
        <f t="shared" si="1"/>
        <v>7369.3917817620313</v>
      </c>
    </row>
    <row r="16" spans="1:27" ht="15" customHeight="1" thickBot="1" x14ac:dyDescent="0.25">
      <c r="A16" s="303"/>
      <c r="B16" s="833">
        <f t="shared" si="2"/>
        <v>1.1000000000000001</v>
      </c>
      <c r="C16" s="773" t="s">
        <v>34</v>
      </c>
      <c r="D16" s="448"/>
      <c r="E16" s="449" t="str">
        <f>+_xlfn.XLOOKUP(C16,'BASE DATOS EQUIPOS Y SUBCONTRAT'!A:A,'BASE DATOS EQUIPOS Y SUBCONTRAT'!B:B)</f>
        <v xml:space="preserve">BACK HOE </v>
      </c>
      <c r="F16" s="450">
        <f>+'1_OG y 2_ACA'!F233</f>
        <v>6</v>
      </c>
      <c r="G16" s="451" t="str">
        <f>+_xlfn.XLOOKUP(C16,'BASE DATOS EQUIPOS Y SUBCONTRAT'!A:A,'BASE DATOS EQUIPOS Y SUBCONTRAT'!C:C)</f>
        <v xml:space="preserve">HORA </v>
      </c>
      <c r="H16" s="452">
        <v>0</v>
      </c>
      <c r="I16" s="451"/>
      <c r="J16" s="452">
        <f>+_xlfn.XLOOKUP(C16,'BASE DATOS EQUIPOS Y SUBCONTRAT'!A:A,'BASE DATOS EQUIPOS Y SUBCONTRAT'!E:E)</f>
        <v>15000</v>
      </c>
      <c r="K16" s="452">
        <f t="shared" si="7"/>
        <v>0</v>
      </c>
      <c r="L16" s="452">
        <f t="shared" si="3"/>
        <v>0</v>
      </c>
      <c r="M16" s="452">
        <f>+F16*J16</f>
        <v>90000</v>
      </c>
      <c r="N16" s="452">
        <f t="shared" si="5"/>
        <v>90000</v>
      </c>
      <c r="O16" s="1085">
        <f t="shared" si="6"/>
        <v>174.75728155339806</v>
      </c>
      <c r="V16" s="717" t="str">
        <f>+C101</f>
        <v>1.2.5</v>
      </c>
      <c r="W16" s="717" t="str">
        <f>+E101</f>
        <v>PAREDES, MUROS N2 (FORMALETA, CONCRETO, DESENCOFRADO)</v>
      </c>
      <c r="X16" s="718">
        <f>+L101</f>
        <v>424350</v>
      </c>
      <c r="Y16" s="719">
        <f t="shared" si="0"/>
        <v>3.3798273647740511E-2</v>
      </c>
      <c r="Z16" s="720">
        <f t="shared" si="1"/>
        <v>3640.3019644848587</v>
      </c>
      <c r="AA16" s="721">
        <f>+AVERAGE(Z12:Z16)</f>
        <v>5793.4073946984636</v>
      </c>
    </row>
    <row r="17" spans="1:27" ht="15" customHeight="1" x14ac:dyDescent="0.2">
      <c r="A17" s="303"/>
      <c r="B17" s="833">
        <f t="shared" si="2"/>
        <v>1.1000000000000001</v>
      </c>
      <c r="C17" s="773" t="s">
        <v>35</v>
      </c>
      <c r="D17" s="448"/>
      <c r="E17" s="449" t="str">
        <f>+_xlfn.XLOOKUP(C17,'BASE DATOS EQUIPOS Y SUBCONTRAT'!A:A,'BASE DATOS EQUIPOS Y SUBCONTRAT'!B:B)</f>
        <v xml:space="preserve">COMPACTADOR </v>
      </c>
      <c r="F17" s="450">
        <f>+'1_OG y 2_ACA'!F234</f>
        <v>1</v>
      </c>
      <c r="G17" s="451" t="str">
        <f>+_xlfn.XLOOKUP(C17,'BASE DATOS EQUIPOS Y SUBCONTRAT'!A:A,'BASE DATOS EQUIPOS Y SUBCONTRAT'!C:C)</f>
        <v xml:space="preserve">HORA </v>
      </c>
      <c r="H17" s="452">
        <v>0</v>
      </c>
      <c r="I17" s="451"/>
      <c r="J17" s="452">
        <f>+_xlfn.XLOOKUP(C17,'BASE DATOS EQUIPOS Y SUBCONTRAT'!A:A,'BASE DATOS EQUIPOS Y SUBCONTRAT'!E:E)</f>
        <v>13000</v>
      </c>
      <c r="K17" s="452">
        <f t="shared" si="7"/>
        <v>0</v>
      </c>
      <c r="L17" s="452">
        <f t="shared" si="3"/>
        <v>0</v>
      </c>
      <c r="M17" s="452">
        <f>+F17*J17</f>
        <v>13000</v>
      </c>
      <c r="N17" s="452">
        <f t="shared" si="5"/>
        <v>13000</v>
      </c>
      <c r="O17" s="1085">
        <f t="shared" si="6"/>
        <v>25.242718446601941</v>
      </c>
      <c r="V17" s="157" t="str">
        <f>+C116</f>
        <v>1.3.1</v>
      </c>
      <c r="W17" s="157" t="str">
        <f>+E116</f>
        <v xml:space="preserve">ESTRUCTURA TECHO CASA </v>
      </c>
      <c r="X17" s="712">
        <f>+L116</f>
        <v>1047000</v>
      </c>
      <c r="Y17" s="715">
        <f t="shared" si="0"/>
        <v>8.3390579731788178E-2</v>
      </c>
      <c r="Z17" s="711">
        <f t="shared" si="1"/>
        <v>8981.7277172514368</v>
      </c>
    </row>
    <row r="18" spans="1:27" ht="15" customHeight="1" x14ac:dyDescent="0.2">
      <c r="A18" s="303"/>
      <c r="B18" s="833">
        <f t="shared" si="2"/>
        <v>1.1000000000000001</v>
      </c>
      <c r="C18" s="773" t="s">
        <v>3367</v>
      </c>
      <c r="D18" s="448"/>
      <c r="E18" s="449" t="str">
        <f>+_xlfn.XLOOKUP(C18,'BASE DATOS EQUIPOS Y SUBCONTRAT'!A:A,'BASE DATOS EQUIPOS Y SUBCONTRAT'!B:B)</f>
        <v>VAGONETA</v>
      </c>
      <c r="F18" s="450">
        <f>+'1_OG y 2_ACA'!F235</f>
        <v>2</v>
      </c>
      <c r="G18" s="451" t="str">
        <f>+_xlfn.XLOOKUP(C18,'BASE DATOS EQUIPOS Y SUBCONTRAT'!A:A,'BASE DATOS EQUIPOS Y SUBCONTRAT'!C:C)</f>
        <v xml:space="preserve">HORA </v>
      </c>
      <c r="H18" s="452"/>
      <c r="I18" s="451"/>
      <c r="J18" s="452">
        <f>+_xlfn.XLOOKUP(C18,'BASE DATOS EQUIPOS Y SUBCONTRAT'!A:A,'BASE DATOS EQUIPOS Y SUBCONTRAT'!E:E)</f>
        <v>24000</v>
      </c>
      <c r="K18" s="452">
        <f t="shared" ref="K18" si="8">+F18*H18</f>
        <v>0</v>
      </c>
      <c r="L18" s="452">
        <f t="shared" ref="L18" si="9">+F18*I18</f>
        <v>0</v>
      </c>
      <c r="M18" s="452">
        <f>+F18*J18</f>
        <v>48000</v>
      </c>
      <c r="N18" s="452">
        <f t="shared" ref="N18" si="10">SUM(K18:M18)</f>
        <v>48000</v>
      </c>
      <c r="O18" s="1085">
        <f t="shared" ref="O18" si="11">SUM(K18:M18)/tc</f>
        <v>93.203883495145632</v>
      </c>
      <c r="V18" s="157" t="str">
        <f>+C144</f>
        <v>1.3.2</v>
      </c>
      <c r="W18" s="157" t="str">
        <f>+E144</f>
        <v xml:space="preserve">ESTRUCTURA TECHO COCHERA </v>
      </c>
      <c r="X18" s="712">
        <f>+L144</f>
        <v>408000</v>
      </c>
      <c r="Y18" s="715">
        <f t="shared" si="0"/>
        <v>3.2496042531585077E-2</v>
      </c>
      <c r="Z18" s="711">
        <f t="shared" si="1"/>
        <v>3500.042892682508</v>
      </c>
    </row>
    <row r="19" spans="1:27" ht="15" customHeight="1" x14ac:dyDescent="0.2">
      <c r="A19" s="1075" t="s">
        <v>2138</v>
      </c>
      <c r="B19" s="833">
        <f t="shared" si="2"/>
        <v>1.1000000000000001</v>
      </c>
      <c r="C19" s="774" t="s">
        <v>36</v>
      </c>
      <c r="D19" s="210"/>
      <c r="E19" s="211" t="str">
        <f>+_xlfn.XLOOKUP(C19,'BASE DATOS MANO DE OBRA'!A:A,'BASE DATOS MANO DE OBRA'!B:B)</f>
        <v xml:space="preserve">OPERARIO PLUS </v>
      </c>
      <c r="F19" s="212">
        <f>ROUND('1_OG y 2_ACA'!F230,0)/2</f>
        <v>32.5</v>
      </c>
      <c r="G19" s="213" t="str">
        <f>+_xlfn.XLOOKUP(C19,'BASE DATOS MANO DE OBRA'!A:A,'BASE DATOS MANO DE OBRA'!C:C)</f>
        <v xml:space="preserve">hora </v>
      </c>
      <c r="H19" s="214">
        <v>0</v>
      </c>
      <c r="I19" s="214">
        <f>+_xlfn.XLOOKUP(C19,'BASE DATOS MANO DE OBRA'!A:A,'BASE DATOS MANO DE OBRA'!E:E)</f>
        <v>2850</v>
      </c>
      <c r="J19" s="214">
        <v>0</v>
      </c>
      <c r="K19" s="214">
        <f t="shared" si="7"/>
        <v>0</v>
      </c>
      <c r="L19" s="214">
        <f t="shared" si="3"/>
        <v>92625</v>
      </c>
      <c r="M19" s="214">
        <f t="shared" si="4"/>
        <v>0</v>
      </c>
      <c r="N19" s="214">
        <f t="shared" si="5"/>
        <v>92625</v>
      </c>
      <c r="O19" s="1086">
        <f t="shared" si="6"/>
        <v>179.85436893203882</v>
      </c>
      <c r="V19" s="157" t="str">
        <f>+C168</f>
        <v>1.3.3</v>
      </c>
      <c r="W19" s="157" t="str">
        <f>+E168</f>
        <v xml:space="preserve">CUBIERTA TECHO CASA </v>
      </c>
      <c r="X19" s="712">
        <f>+L168</f>
        <v>403650</v>
      </c>
      <c r="Y19" s="715">
        <f t="shared" si="0"/>
        <v>3.2149577372240973E-2</v>
      </c>
      <c r="Z19" s="711">
        <f t="shared" si="1"/>
        <v>3462.7262589002312</v>
      </c>
    </row>
    <row r="20" spans="1:27" ht="15" customHeight="1" x14ac:dyDescent="0.2">
      <c r="A20" s="1075" t="s">
        <v>2138</v>
      </c>
      <c r="B20" s="833">
        <f t="shared" si="2"/>
        <v>1.1000000000000001</v>
      </c>
      <c r="C20" s="774" t="s">
        <v>37</v>
      </c>
      <c r="D20" s="210"/>
      <c r="E20" s="211" t="str">
        <f>+_xlfn.XLOOKUP(C20,'BASE DATOS MANO DE OBRA'!A:A,'BASE DATOS MANO DE OBRA'!B:B)</f>
        <v xml:space="preserve">AYUDANTE PLUS </v>
      </c>
      <c r="F20" s="212">
        <f>+F19</f>
        <v>32.5</v>
      </c>
      <c r="G20" s="213" t="str">
        <f>+_xlfn.XLOOKUP(C20,'BASE DATOS MANO DE OBRA'!A:A,'BASE DATOS MANO DE OBRA'!C:C)</f>
        <v xml:space="preserve">hora </v>
      </c>
      <c r="H20" s="214">
        <v>0</v>
      </c>
      <c r="I20" s="214">
        <f>+_xlfn.XLOOKUP(C20,'BASE DATOS MANO DE OBRA'!A:A,'BASE DATOS MANO DE OBRA'!E:E)</f>
        <v>2325</v>
      </c>
      <c r="J20" s="214">
        <v>0</v>
      </c>
      <c r="K20" s="214">
        <f t="shared" si="7"/>
        <v>0</v>
      </c>
      <c r="L20" s="214">
        <f t="shared" si="3"/>
        <v>75562.5</v>
      </c>
      <c r="M20" s="214">
        <f t="shared" si="4"/>
        <v>0</v>
      </c>
      <c r="N20" s="214">
        <f t="shared" si="5"/>
        <v>75562.5</v>
      </c>
      <c r="O20" s="1086">
        <f t="shared" si="6"/>
        <v>146.72330097087379</v>
      </c>
      <c r="V20" s="157" t="str">
        <f>+C175</f>
        <v>1.3.4</v>
      </c>
      <c r="W20" s="157" t="str">
        <f>+E175</f>
        <v xml:space="preserve">CUBIERTA TECHO COCHERA </v>
      </c>
      <c r="X20" s="712">
        <f>+L175</f>
        <v>0</v>
      </c>
      <c r="Y20" s="715">
        <f t="shared" si="0"/>
        <v>0</v>
      </c>
      <c r="Z20" s="711">
        <f>+X20/$Z$7</f>
        <v>0</v>
      </c>
      <c r="AA20" s="49"/>
    </row>
    <row r="21" spans="1:27" s="49" customFormat="1" ht="18.600000000000001" customHeight="1" collapsed="1" x14ac:dyDescent="0.2">
      <c r="A21" s="1074"/>
      <c r="B21" s="833">
        <f t="shared" si="2"/>
        <v>1.1000000000000001</v>
      </c>
      <c r="C21" s="770" t="s">
        <v>2039</v>
      </c>
      <c r="D21" s="453"/>
      <c r="E21" s="454" t="s">
        <v>1912</v>
      </c>
      <c r="F21" s="455">
        <f>+'1_OG y 2_ACA'!D219</f>
        <v>57.62</v>
      </c>
      <c r="G21" s="453" t="s">
        <v>78</v>
      </c>
      <c r="H21" s="453"/>
      <c r="I21" s="453"/>
      <c r="J21" s="453"/>
      <c r="K21" s="456">
        <f>+SUBTOTAL(9,K22:K27)</f>
        <v>13982.94205</v>
      </c>
      <c r="L21" s="456">
        <f>+SUBTOTAL(9,L22:L27)</f>
        <v>131962.5</v>
      </c>
      <c r="M21" s="456">
        <f>+SUBTOTAL(9,M22:M27)</f>
        <v>0</v>
      </c>
      <c r="N21" s="456">
        <f>+SUBTOTAL(9,N22:N27)</f>
        <v>145945.44205000001</v>
      </c>
      <c r="O21" s="1082">
        <f>+SUBTOTAL(9,O22:O27)</f>
        <v>283.38920786407766</v>
      </c>
      <c r="P21" s="416"/>
      <c r="V21" s="157" t="str">
        <f>+C187</f>
        <v>1.3.5</v>
      </c>
      <c r="W21" s="157" t="str">
        <f>+E187</f>
        <v xml:space="preserve">GRADAS ESTRUCTURA, PINTADO Y ACABADO </v>
      </c>
      <c r="X21" s="712">
        <f>+L187</f>
        <v>0</v>
      </c>
      <c r="Y21" s="715">
        <f t="shared" si="0"/>
        <v>0</v>
      </c>
      <c r="Z21" s="711">
        <f t="shared" si="1"/>
        <v>0</v>
      </c>
      <c r="AA21" s="48"/>
    </row>
    <row r="22" spans="1:27" x14ac:dyDescent="0.2">
      <c r="A22" s="303"/>
      <c r="B22" s="833">
        <f t="shared" si="2"/>
        <v>1.1000000000000001</v>
      </c>
      <c r="C22" s="775" t="s">
        <v>1914</v>
      </c>
      <c r="D22" s="823"/>
      <c r="E22" s="161" t="str">
        <f>+_xlfn.XLOOKUP(C22,'BASE DATOS PRECIOS '!B:B,'BASE DATOS PRECIOS '!E:E)</f>
        <v>ARENA LAVADA</v>
      </c>
      <c r="F22" s="183">
        <f>+'1_OG y 2_ACA'!D241</f>
        <v>0.5</v>
      </c>
      <c r="G22" s="175" t="str">
        <f>+_xlfn.XLOOKUP(C22,'BASE DATOS PRECIOS '!B:B,'BASE DATOS PRECIOS '!F:F)</f>
        <v>M3</v>
      </c>
      <c r="H22" s="176">
        <f>+_xlfn.XLOOKUP(E22,'BASE DATOS PRECIOS '!E:E,'BASE DATOS PRECIOS '!H:H)</f>
        <v>12044.5005</v>
      </c>
      <c r="I22" s="175"/>
      <c r="J22" s="175"/>
      <c r="K22" s="176">
        <f t="shared" ref="K22:K27" si="12">+F22*H22</f>
        <v>6022.2502500000001</v>
      </c>
      <c r="L22" s="176">
        <f t="shared" ref="L22:L27" si="13">+F22*I22</f>
        <v>0</v>
      </c>
      <c r="M22" s="176">
        <f t="shared" ref="M22:M27" si="14">+F22*J22</f>
        <v>0</v>
      </c>
      <c r="N22" s="176">
        <f t="shared" ref="N22:N27" si="15">SUM(K22:M22)</f>
        <v>6022.2502500000001</v>
      </c>
      <c r="O22" s="1083">
        <f t="shared" ref="O22:O27" si="16">SUM(K22:M22)/tc</f>
        <v>11.693689805825242</v>
      </c>
      <c r="P22" s="171"/>
      <c r="V22" s="157" t="str">
        <f>+C213</f>
        <v>1.3.6</v>
      </c>
      <c r="W22" s="157" t="str">
        <f>+E213</f>
        <v xml:space="preserve">BARANDA DE GRADAS (N2) </v>
      </c>
      <c r="X22" s="712">
        <f>+L213</f>
        <v>219937.5</v>
      </c>
      <c r="Y22" s="715">
        <f t="shared" si="0"/>
        <v>1.7517397927182581E-2</v>
      </c>
      <c r="Z22" s="711">
        <f t="shared" si="1"/>
        <v>1886.7418718366646</v>
      </c>
    </row>
    <row r="23" spans="1:27" ht="16.5" thickBot="1" x14ac:dyDescent="0.25">
      <c r="A23" s="303"/>
      <c r="B23" s="833">
        <f t="shared" si="2"/>
        <v>1.1000000000000001</v>
      </c>
      <c r="C23" s="775" t="s">
        <v>2182</v>
      </c>
      <c r="D23" s="823"/>
      <c r="E23" s="161" t="str">
        <f>+_xlfn.XLOOKUP(C23,'BASE DATOS PRECIOS '!B:B,'BASE DATOS PRECIOS '!E:E)</f>
        <v>MECHA BLANCA</v>
      </c>
      <c r="F23" s="183">
        <f>+'1_OG y 2_ACA'!D242</f>
        <v>1</v>
      </c>
      <c r="G23" s="175" t="str">
        <f>+_xlfn.XLOOKUP(C23,'BASE DATOS PRECIOS '!B:B,'BASE DATOS PRECIOS '!F:F)</f>
        <v>KG</v>
      </c>
      <c r="H23" s="176">
        <f>+_xlfn.XLOOKUP(E23,'BASE DATOS PRECIOS '!E:E,'BASE DATOS PRECIOS '!H:H)</f>
        <v>4338.0021999999999</v>
      </c>
      <c r="I23" s="175"/>
      <c r="J23" s="175"/>
      <c r="K23" s="176">
        <f t="shared" si="12"/>
        <v>4338.0021999999999</v>
      </c>
      <c r="L23" s="176">
        <f t="shared" si="13"/>
        <v>0</v>
      </c>
      <c r="M23" s="176">
        <f t="shared" si="14"/>
        <v>0</v>
      </c>
      <c r="N23" s="176">
        <f t="shared" si="15"/>
        <v>4338.0021999999999</v>
      </c>
      <c r="O23" s="1083">
        <f t="shared" si="16"/>
        <v>8.4233052427184472</v>
      </c>
      <c r="P23" s="171"/>
      <c r="V23" s="723" t="str">
        <f>+C229</f>
        <v>1.3.7</v>
      </c>
      <c r="W23" s="722" t="str">
        <f>+E229</f>
        <v xml:space="preserve">ESTRUCTURA METÁLICA INTERNA </v>
      </c>
      <c r="X23" s="722">
        <f>+L229</f>
        <v>0</v>
      </c>
      <c r="Y23" s="719">
        <f t="shared" si="0"/>
        <v>0</v>
      </c>
      <c r="Z23" s="720">
        <f t="shared" si="1"/>
        <v>0</v>
      </c>
      <c r="AA23" s="721">
        <f>+AVERAGE(Z17:Z23)</f>
        <v>2547.3198200958345</v>
      </c>
    </row>
    <row r="24" spans="1:27" x14ac:dyDescent="0.2">
      <c r="A24" s="303"/>
      <c r="B24" s="833">
        <f t="shared" si="2"/>
        <v>1.1000000000000001</v>
      </c>
      <c r="C24" s="775" t="s">
        <v>2181</v>
      </c>
      <c r="D24" s="823"/>
      <c r="E24" s="161" t="str">
        <f>+_xlfn.XLOOKUP(C24,'BASE DATOS PRECIOS '!B:B,'BASE DATOS PRECIOS '!E:E)</f>
        <v>CUERDA ALBAÑIL BLANCA</v>
      </c>
      <c r="F24" s="183">
        <f>+'1_OG y 2_ACA'!D243</f>
        <v>1</v>
      </c>
      <c r="G24" s="175" t="str">
        <f>+_xlfn.XLOOKUP(C24,'BASE DATOS PRECIOS '!B:B,'BASE DATOS PRECIOS '!F:F)</f>
        <v>UND</v>
      </c>
      <c r="H24" s="176">
        <f>+_xlfn.XLOOKUP(E24,'BASE DATOS PRECIOS '!E:E,'BASE DATOS PRECIOS '!H:H)</f>
        <v>812.91069999999991</v>
      </c>
      <c r="I24" s="175"/>
      <c r="J24" s="175"/>
      <c r="K24" s="176">
        <f t="shared" si="12"/>
        <v>812.91069999999991</v>
      </c>
      <c r="L24" s="176">
        <f t="shared" si="13"/>
        <v>0</v>
      </c>
      <c r="M24" s="176">
        <f t="shared" si="14"/>
        <v>0</v>
      </c>
      <c r="N24" s="176">
        <f t="shared" si="15"/>
        <v>812.91069999999991</v>
      </c>
      <c r="O24" s="1083">
        <f t="shared" si="16"/>
        <v>1.5784673786407766</v>
      </c>
      <c r="P24" s="171"/>
      <c r="V24" s="724" t="str">
        <f>+C237</f>
        <v>1.4.1</v>
      </c>
      <c r="W24" s="724" t="str">
        <f>+E237</f>
        <v xml:space="preserve">BOTAGUAS Y CANOAS </v>
      </c>
      <c r="X24" s="725">
        <f>+L237</f>
        <v>553725</v>
      </c>
      <c r="Y24" s="726">
        <f t="shared" si="0"/>
        <v>4.4102625369612618E-2</v>
      </c>
      <c r="Z24" s="727">
        <f t="shared" si="1"/>
        <v>4750.1501243887787</v>
      </c>
      <c r="AA24" s="728"/>
    </row>
    <row r="25" spans="1:27" ht="16.5" thickBot="1" x14ac:dyDescent="0.25">
      <c r="A25" s="303"/>
      <c r="B25" s="833">
        <f t="shared" si="2"/>
        <v>1.1000000000000001</v>
      </c>
      <c r="C25" s="775" t="s">
        <v>2183</v>
      </c>
      <c r="D25" s="823"/>
      <c r="E25" s="161" t="str">
        <f>+_xlfn.XLOOKUP(C25,'BASE DATOS PRECIOS '!B:B,'BASE DATOS PRECIOS '!E:E)</f>
        <v>ACETONA</v>
      </c>
      <c r="F25" s="183">
        <f>+'1_OG y 2_ACA'!D244</f>
        <v>1</v>
      </c>
      <c r="G25" s="175" t="str">
        <f>+_xlfn.XLOOKUP(C25,'BASE DATOS PRECIOS '!B:B,'BASE DATOS PRECIOS '!F:F)</f>
        <v>LITRO</v>
      </c>
      <c r="H25" s="176">
        <f>+_xlfn.XLOOKUP(E25,'BASE DATOS PRECIOS '!E:E,'BASE DATOS PRECIOS '!H:H)</f>
        <v>2809.7788999999998</v>
      </c>
      <c r="I25" s="175"/>
      <c r="J25" s="175"/>
      <c r="K25" s="176">
        <f t="shared" si="12"/>
        <v>2809.7788999999998</v>
      </c>
      <c r="L25" s="176">
        <f t="shared" si="13"/>
        <v>0</v>
      </c>
      <c r="M25" s="176">
        <f t="shared" si="14"/>
        <v>0</v>
      </c>
      <c r="N25" s="176">
        <f t="shared" si="15"/>
        <v>2809.7788999999998</v>
      </c>
      <c r="O25" s="1083">
        <f t="shared" si="16"/>
        <v>5.4558813592233006</v>
      </c>
      <c r="P25" s="171"/>
      <c r="V25" s="717" t="str">
        <f>+C248</f>
        <v>1.4.2</v>
      </c>
      <c r="W25" s="717" t="str">
        <f>+E248</f>
        <v xml:space="preserve">BAJANTES </v>
      </c>
      <c r="X25" s="718">
        <f>+L248</f>
        <v>160425</v>
      </c>
      <c r="Y25" s="719">
        <f t="shared" si="0"/>
        <v>1.2777396135121412E-2</v>
      </c>
      <c r="Z25" s="720">
        <f t="shared" si="1"/>
        <v>1376.2117182808613</v>
      </c>
      <c r="AA25" s="721">
        <f>+AVERAGE(Z24:Z25)</f>
        <v>3063.1809213348201</v>
      </c>
    </row>
    <row r="26" spans="1:27" x14ac:dyDescent="0.2">
      <c r="A26" s="1075" t="s">
        <v>2138</v>
      </c>
      <c r="B26" s="833">
        <f t="shared" si="2"/>
        <v>1.1000000000000001</v>
      </c>
      <c r="C26" s="774" t="s">
        <v>36</v>
      </c>
      <c r="D26" s="210"/>
      <c r="E26" s="211" t="str">
        <f>+_xlfn.XLOOKUP(C26,'BASE DATOS MANO DE OBRA'!A:A,'BASE DATOS MANO DE OBRA'!B:B)</f>
        <v xml:space="preserve">OPERARIO PLUS </v>
      </c>
      <c r="F26" s="212">
        <f>ROUND('1_OG y 2_ACA'!F248,0)/2</f>
        <v>25.5</v>
      </c>
      <c r="G26" s="213" t="str">
        <f>+_xlfn.XLOOKUP(C26,'BASE DATOS MANO DE OBRA'!A:A,'BASE DATOS MANO DE OBRA'!C:C)</f>
        <v xml:space="preserve">hora </v>
      </c>
      <c r="H26" s="214">
        <v>0</v>
      </c>
      <c r="I26" s="214">
        <f>+_xlfn.XLOOKUP(C26,'BASE DATOS MANO DE OBRA'!A:A,'BASE DATOS MANO DE OBRA'!E:E)</f>
        <v>2850</v>
      </c>
      <c r="J26" s="214">
        <v>0</v>
      </c>
      <c r="K26" s="214">
        <f t="shared" si="12"/>
        <v>0</v>
      </c>
      <c r="L26" s="214">
        <f t="shared" si="13"/>
        <v>72675</v>
      </c>
      <c r="M26" s="214">
        <f t="shared" si="14"/>
        <v>0</v>
      </c>
      <c r="N26" s="214">
        <f t="shared" si="15"/>
        <v>72675</v>
      </c>
      <c r="O26" s="1086">
        <f t="shared" si="16"/>
        <v>141.11650485436894</v>
      </c>
      <c r="P26" s="171"/>
      <c r="V26" s="157" t="str">
        <f>+C254</f>
        <v>1.5.1</v>
      </c>
      <c r="W26" s="157" t="str">
        <f>+E254</f>
        <v xml:space="preserve">GRADAS EN CONCRETO </v>
      </c>
      <c r="X26" s="712">
        <f>+L254</f>
        <v>543375</v>
      </c>
      <c r="Y26" s="715">
        <f t="shared" si="0"/>
        <v>4.3278277231862845E-2</v>
      </c>
      <c r="Z26" s="711">
        <f t="shared" si="1"/>
        <v>4661.3622715964657</v>
      </c>
    </row>
    <row r="27" spans="1:27" x14ac:dyDescent="0.2">
      <c r="A27" s="1075" t="s">
        <v>2138</v>
      </c>
      <c r="B27" s="833">
        <f t="shared" si="2"/>
        <v>1.1000000000000001</v>
      </c>
      <c r="C27" s="774" t="s">
        <v>37</v>
      </c>
      <c r="D27" s="210"/>
      <c r="E27" s="211" t="str">
        <f>+_xlfn.XLOOKUP(C27,'BASE DATOS MANO DE OBRA'!A:A,'BASE DATOS MANO DE OBRA'!B:B)</f>
        <v xml:space="preserve">AYUDANTE PLUS </v>
      </c>
      <c r="F27" s="212">
        <f>+F26</f>
        <v>25.5</v>
      </c>
      <c r="G27" s="213" t="str">
        <f>+_xlfn.XLOOKUP(C27,'BASE DATOS MANO DE OBRA'!A:A,'BASE DATOS MANO DE OBRA'!C:C)</f>
        <v xml:space="preserve">hora </v>
      </c>
      <c r="H27" s="214">
        <v>0</v>
      </c>
      <c r="I27" s="214">
        <f>+_xlfn.XLOOKUP(C27,'BASE DATOS MANO DE OBRA'!A:A,'BASE DATOS MANO DE OBRA'!E:E)</f>
        <v>2325</v>
      </c>
      <c r="J27" s="214">
        <v>0</v>
      </c>
      <c r="K27" s="214">
        <f t="shared" si="12"/>
        <v>0</v>
      </c>
      <c r="L27" s="214">
        <f t="shared" si="13"/>
        <v>59287.5</v>
      </c>
      <c r="M27" s="214">
        <f t="shared" si="14"/>
        <v>0</v>
      </c>
      <c r="N27" s="214">
        <f t="shared" si="15"/>
        <v>59287.5</v>
      </c>
      <c r="O27" s="1086">
        <f t="shared" si="16"/>
        <v>115.12135922330097</v>
      </c>
      <c r="P27" s="171"/>
      <c r="V27" s="157" t="str">
        <f>+C269</f>
        <v>1.5.2</v>
      </c>
      <c r="W27" s="157" t="str">
        <f>+E269</f>
        <v>COLUMNAS (MEDIDOR)</v>
      </c>
      <c r="X27" s="712">
        <f>+L269</f>
        <v>152662.5</v>
      </c>
      <c r="Y27" s="715">
        <f t="shared" si="0"/>
        <v>1.2159135031809086E-2</v>
      </c>
      <c r="Z27" s="711">
        <f t="shared" si="1"/>
        <v>1309.6208286866261</v>
      </c>
      <c r="AA27" s="49"/>
    </row>
    <row r="28" spans="1:27" s="49" customFormat="1" ht="18.600000000000001" customHeight="1" collapsed="1" x14ac:dyDescent="0.2">
      <c r="A28" s="1074"/>
      <c r="B28" s="833">
        <f t="shared" si="2"/>
        <v>1.1000000000000001</v>
      </c>
      <c r="C28" s="770" t="s">
        <v>2040</v>
      </c>
      <c r="D28" s="453"/>
      <c r="E28" s="454" t="s">
        <v>69</v>
      </c>
      <c r="F28" s="455">
        <f>+'1_OG y 2_ACA'!D253</f>
        <v>48.12</v>
      </c>
      <c r="G28" s="453" t="s">
        <v>78</v>
      </c>
      <c r="H28" s="453"/>
      <c r="I28" s="453"/>
      <c r="J28" s="453"/>
      <c r="K28" s="456">
        <f>+SUBTOTAL(9,K29:K36)</f>
        <v>157774.97502099996</v>
      </c>
      <c r="L28" s="456">
        <f>+SUBTOTAL(9,L29:L36)</f>
        <v>23287.5</v>
      </c>
      <c r="M28" s="456">
        <f>+SUBTOTAL(9,M29:M36)</f>
        <v>0</v>
      </c>
      <c r="N28" s="456">
        <f>+SUBTOTAL(9,N29:N36)</f>
        <v>181062.47502099996</v>
      </c>
      <c r="O28" s="1082">
        <f>+SUBTOTAL(9,O29:O36)</f>
        <v>351.57762139999994</v>
      </c>
      <c r="P28" s="416"/>
      <c r="V28" s="157" t="str">
        <f>+C282</f>
        <v>1.5.3</v>
      </c>
      <c r="W28" s="157" t="str">
        <f>+E282</f>
        <v xml:space="preserve">CHORREA DE COCHERAS Y PILAS </v>
      </c>
      <c r="X28" s="712">
        <f>+L282</f>
        <v>608062.5</v>
      </c>
      <c r="Y28" s="715">
        <f t="shared" si="0"/>
        <v>4.8430453092798899E-2</v>
      </c>
      <c r="Z28" s="711">
        <f t="shared" si="1"/>
        <v>5216.286351548426</v>
      </c>
      <c r="AA28" s="48"/>
    </row>
    <row r="29" spans="1:27" ht="16.350000000000001" customHeight="1" thickBot="1" x14ac:dyDescent="0.3">
      <c r="A29" s="1076"/>
      <c r="B29" s="833">
        <f t="shared" si="2"/>
        <v>1.1000000000000001</v>
      </c>
      <c r="C29" s="776"/>
      <c r="D29" s="166"/>
      <c r="E29" s="167" t="s">
        <v>70</v>
      </c>
      <c r="F29" s="168"/>
      <c r="G29" s="169"/>
      <c r="H29" s="169"/>
      <c r="I29" s="169"/>
      <c r="J29" s="169"/>
      <c r="K29" s="170"/>
      <c r="L29" s="170"/>
      <c r="M29" s="170"/>
      <c r="N29" s="170"/>
      <c r="O29" s="1087"/>
      <c r="P29" s="171"/>
      <c r="V29" s="729" t="str">
        <f>+C299</f>
        <v>1.5.4</v>
      </c>
      <c r="W29" s="729" t="str">
        <f>+E299</f>
        <v xml:space="preserve">TAPIAS PREFABRICADAS </v>
      </c>
      <c r="X29" s="730">
        <f>+L299</f>
        <v>144900</v>
      </c>
      <c r="Y29" s="731">
        <f t="shared" si="0"/>
        <v>1.1540873928496759E-2</v>
      </c>
      <c r="Z29" s="711">
        <f t="shared" si="1"/>
        <v>1243.0299390923908</v>
      </c>
    </row>
    <row r="30" spans="1:27" x14ac:dyDescent="0.2">
      <c r="A30" s="303"/>
      <c r="B30" s="833">
        <f t="shared" si="2"/>
        <v>1.1000000000000001</v>
      </c>
      <c r="C30" s="303" t="s">
        <v>2185</v>
      </c>
      <c r="D30" s="822"/>
      <c r="E30" s="173" t="str">
        <f>+_xlfn.XLOOKUP(C30,'BASE DATOS PRECIOS '!B:B,'BASE DATOS PRECIOS '!E:E)</f>
        <v>TUBO 1X2X1.5MM HN</v>
      </c>
      <c r="F30" s="174">
        <f>+'1_OG y 2_ACA'!D261</f>
        <v>1</v>
      </c>
      <c r="G30" s="175" t="str">
        <f>+_xlfn.XLOOKUP(C30,'BASE DATOS PRECIOS '!B:B,'BASE DATOS PRECIOS '!F:F)</f>
        <v>UND</v>
      </c>
      <c r="H30" s="176">
        <f>+_xlfn.XLOOKUP(E30,'BASE DATOS PRECIOS '!E:E,'BASE DATOS PRECIOS '!H:H)</f>
        <v>14237.999999999998</v>
      </c>
      <c r="I30" s="175"/>
      <c r="J30" s="175"/>
      <c r="K30" s="176">
        <f t="shared" ref="K30:K36" si="17">+F30*H30</f>
        <v>14237.999999999998</v>
      </c>
      <c r="L30" s="176">
        <f t="shared" ref="L30:L36" si="18">+F30*I30</f>
        <v>0</v>
      </c>
      <c r="M30" s="176">
        <f t="shared" ref="M30:M36" si="19">+F30*J30</f>
        <v>0</v>
      </c>
      <c r="N30" s="176">
        <f t="shared" ref="N30:N36" si="20">SUM(K30:M30)</f>
        <v>14237.999999999998</v>
      </c>
      <c r="O30" s="1083">
        <f t="shared" ref="O30:O36" si="21">SUM(K30:M30)/tc</f>
        <v>27.646601941747569</v>
      </c>
      <c r="P30" s="171"/>
      <c r="V30" s="724" t="str">
        <f>+C395</f>
        <v>2.1.1</v>
      </c>
      <c r="W30" s="724" t="str">
        <f>+E395</f>
        <v xml:space="preserve">REPELLOS INTERNO Y EXTERNO </v>
      </c>
      <c r="X30" s="725">
        <f>+L395</f>
        <v>1014300</v>
      </c>
      <c r="Y30" s="726">
        <f t="shared" si="0"/>
        <v>8.0786117499477311E-2</v>
      </c>
      <c r="Z30" s="727">
        <f t="shared" si="1"/>
        <v>8701.2095736467345</v>
      </c>
      <c r="AA30" s="728"/>
    </row>
    <row r="31" spans="1:27" ht="16.5" thickBot="1" x14ac:dyDescent="0.25">
      <c r="A31" s="303"/>
      <c r="B31" s="833">
        <f t="shared" si="2"/>
        <v>1.1000000000000001</v>
      </c>
      <c r="C31" s="303" t="s">
        <v>1919</v>
      </c>
      <c r="D31" s="822"/>
      <c r="E31" s="173" t="str">
        <f>+_xlfn.XLOOKUP(C31,'BASE DATOS PRECIOS '!B:B,'BASE DATOS PRECIOS '!E:E)</f>
        <v>VARILLA DEFORME #4</v>
      </c>
      <c r="F31" s="174">
        <f>+'1_OG y 2_ACA'!D262</f>
        <v>1</v>
      </c>
      <c r="G31" s="175" t="str">
        <f>+_xlfn.XLOOKUP(C31,'BASE DATOS PRECIOS '!B:B,'BASE DATOS PRECIOS '!F:F)</f>
        <v>UND</v>
      </c>
      <c r="H31" s="176">
        <f>+_xlfn.XLOOKUP(E31,'BASE DATOS PRECIOS '!E:E,'BASE DATOS PRECIOS '!H:H)</f>
        <v>2395.6</v>
      </c>
      <c r="I31" s="175"/>
      <c r="J31" s="175"/>
      <c r="K31" s="176">
        <f t="shared" si="17"/>
        <v>2395.6</v>
      </c>
      <c r="L31" s="176">
        <f t="shared" si="18"/>
        <v>0</v>
      </c>
      <c r="M31" s="176">
        <f t="shared" si="19"/>
        <v>0</v>
      </c>
      <c r="N31" s="176">
        <f t="shared" si="20"/>
        <v>2395.6</v>
      </c>
      <c r="O31" s="1083">
        <f t="shared" si="21"/>
        <v>4.6516504854368934</v>
      </c>
      <c r="P31" s="171"/>
      <c r="V31" s="717" t="str">
        <f>+C399</f>
        <v>2.1.2</v>
      </c>
      <c r="W31" s="717" t="str">
        <f>+E399</f>
        <v xml:space="preserve">EMPASTE </v>
      </c>
      <c r="X31" s="718">
        <f>+L399</f>
        <v>263925</v>
      </c>
      <c r="Y31" s="719">
        <f t="shared" si="0"/>
        <v>2.1020877512619097E-2</v>
      </c>
      <c r="Z31" s="720">
        <f t="shared" si="1"/>
        <v>2264.0902462039976</v>
      </c>
      <c r="AA31" s="721">
        <f>+AVERAGE(Z30:Z31)</f>
        <v>5482.649909925366</v>
      </c>
    </row>
    <row r="32" spans="1:27" ht="16.5" thickBot="1" x14ac:dyDescent="0.25">
      <c r="A32" s="303"/>
      <c r="B32" s="833">
        <f t="shared" si="2"/>
        <v>1.1000000000000001</v>
      </c>
      <c r="C32" s="303" t="s">
        <v>2181</v>
      </c>
      <c r="D32" s="822"/>
      <c r="E32" s="173" t="str">
        <f>+_xlfn.XLOOKUP(C32,'BASE DATOS PRECIOS '!B:B,'BASE DATOS PRECIOS '!E:E)</f>
        <v>CUERDA ALBAÑIL BLANCA</v>
      </c>
      <c r="F32" s="174">
        <f>+'1_OG y 2_ACA'!D263</f>
        <v>3</v>
      </c>
      <c r="G32" s="175" t="str">
        <f>+_xlfn.XLOOKUP(C32,'BASE DATOS PRECIOS '!B:B,'BASE DATOS PRECIOS '!F:F)</f>
        <v>UND</v>
      </c>
      <c r="H32" s="176">
        <f>+_xlfn.XLOOKUP(E32,'BASE DATOS PRECIOS '!E:E,'BASE DATOS PRECIOS '!H:H)</f>
        <v>812.91069999999991</v>
      </c>
      <c r="I32" s="175"/>
      <c r="J32" s="175"/>
      <c r="K32" s="176">
        <f t="shared" si="17"/>
        <v>2438.7320999999997</v>
      </c>
      <c r="L32" s="176">
        <f t="shared" si="18"/>
        <v>0</v>
      </c>
      <c r="M32" s="176">
        <f t="shared" si="19"/>
        <v>0</v>
      </c>
      <c r="N32" s="176">
        <f t="shared" si="20"/>
        <v>2438.7320999999997</v>
      </c>
      <c r="O32" s="1083">
        <f t="shared" si="21"/>
        <v>4.7354021359223299</v>
      </c>
      <c r="P32" s="171"/>
      <c r="V32" s="732" t="str">
        <f>+C407</f>
        <v>2.2.1</v>
      </c>
      <c r="W32" s="732" t="str">
        <f>+E407</f>
        <v>ENCHAPES (INTERNO Y EXTERNO)</v>
      </c>
      <c r="X32" s="733">
        <f>+L407</f>
        <v>626175</v>
      </c>
      <c r="Y32" s="734">
        <f t="shared" si="0"/>
        <v>4.9873062333860997E-2</v>
      </c>
      <c r="Z32" s="735">
        <f t="shared" si="1"/>
        <v>5371.6650939349747</v>
      </c>
      <c r="AA32" s="721">
        <f>+AVERAGE(Z32)</f>
        <v>5371.6650939349747</v>
      </c>
    </row>
    <row r="33" spans="1:27" x14ac:dyDescent="0.2">
      <c r="A33" s="303"/>
      <c r="B33" s="833">
        <f t="shared" si="2"/>
        <v>1.1000000000000001</v>
      </c>
      <c r="C33" s="303" t="s">
        <v>2186</v>
      </c>
      <c r="D33" s="822"/>
      <c r="E33" s="173" t="str">
        <f>+_xlfn.XLOOKUP(C33,'BASE DATOS PRECIOS '!B:B,'BASE DATOS PRECIOS '!E:E)</f>
        <v>REGLA SEMIDURO 1X3X4 SIN CEPILLAR</v>
      </c>
      <c r="F33" s="174">
        <f>+'1_OG y 2_ACA'!D264</f>
        <v>5</v>
      </c>
      <c r="G33" s="175" t="str">
        <f>+_xlfn.XLOOKUP(C33,'BASE DATOS PRECIOS '!B:B,'BASE DATOS PRECIOS '!F:F)</f>
        <v>UND</v>
      </c>
      <c r="H33" s="176">
        <f>+_xlfn.XLOOKUP(E33,'BASE DATOS PRECIOS '!E:E,'BASE DATOS PRECIOS '!H:H)</f>
        <v>1524.9914999999999</v>
      </c>
      <c r="I33" s="175"/>
      <c r="J33" s="175"/>
      <c r="K33" s="176">
        <f t="shared" si="17"/>
        <v>7624.9574999999995</v>
      </c>
      <c r="L33" s="176">
        <f t="shared" si="18"/>
        <v>0</v>
      </c>
      <c r="M33" s="176">
        <f t="shared" si="19"/>
        <v>0</v>
      </c>
      <c r="N33" s="176">
        <f t="shared" si="20"/>
        <v>7624.9574999999995</v>
      </c>
      <c r="O33" s="1083">
        <f t="shared" si="21"/>
        <v>14.8057427184466</v>
      </c>
      <c r="P33" s="171"/>
      <c r="V33" s="157" t="str">
        <f>+C429</f>
        <v>2.3.1</v>
      </c>
      <c r="W33" s="157" t="str">
        <f>+E429</f>
        <v>PINTURA PAREDES Y CIELOS</v>
      </c>
      <c r="X33" s="712">
        <f>+L429</f>
        <v>773662.5</v>
      </c>
      <c r="Y33" s="715">
        <f t="shared" si="0"/>
        <v>6.1620023296795196E-2</v>
      </c>
      <c r="Z33" s="711">
        <f t="shared" si="1"/>
        <v>6636.8919962254431</v>
      </c>
    </row>
    <row r="34" spans="1:27" x14ac:dyDescent="0.2">
      <c r="A34" s="303"/>
      <c r="B34" s="833">
        <f t="shared" si="2"/>
        <v>1.1000000000000001</v>
      </c>
      <c r="C34" s="303" t="s">
        <v>3549</v>
      </c>
      <c r="D34" s="822"/>
      <c r="E34" s="173" t="str">
        <f>+_xlfn.XLOOKUP(C34,'BASE DATOS PRECIOS '!B:B,'BASE DATOS PRECIOS '!E:E)</f>
        <v>CONCRETO FC 120 CM2 (Concreto Pobre, Sello)</v>
      </c>
      <c r="F34" s="174">
        <f>'1_OG y 2_ACA'!D255</f>
        <v>2.4060000000000001</v>
      </c>
      <c r="G34" s="175" t="str">
        <f>+_xlfn.XLOOKUP(C34,'BASE DATOS PRECIOS '!B:B,'BASE DATOS PRECIOS '!F:F)</f>
        <v>M3</v>
      </c>
      <c r="H34" s="176">
        <f>+_xlfn.XLOOKUP(E34,'BASE DATOS PRECIOS '!E:E,'BASE DATOS PRECIOS '!H:H)</f>
        <v>54479.503499999992</v>
      </c>
      <c r="I34" s="175"/>
      <c r="J34" s="175"/>
      <c r="K34" s="176">
        <f t="shared" ref="K34" si="22">+F34*H34</f>
        <v>131077.68542099997</v>
      </c>
      <c r="L34" s="176">
        <f t="shared" ref="L34" si="23">+F34*I34</f>
        <v>0</v>
      </c>
      <c r="M34" s="176">
        <f t="shared" ref="M34" si="24">+F34*J34</f>
        <v>0</v>
      </c>
      <c r="N34" s="176">
        <f t="shared" ref="N34" si="25">SUM(K34:M34)</f>
        <v>131077.68542099997</v>
      </c>
      <c r="O34" s="1083">
        <f t="shared" ref="O34" si="26">SUM(K34:M34)/tc</f>
        <v>254.5197775165048</v>
      </c>
      <c r="P34" s="171"/>
      <c r="V34" s="157" t="str">
        <f>+C431</f>
        <v>M11-0115</v>
      </c>
      <c r="W34" s="157" t="str">
        <f>+E431</f>
        <v>PINTURA SEAL COAT CUBETA</v>
      </c>
      <c r="X34" s="712">
        <f>+L431</f>
        <v>0</v>
      </c>
      <c r="Y34" s="715">
        <f t="shared" si="0"/>
        <v>0</v>
      </c>
      <c r="Z34" s="711">
        <f t="shared" ref="Z34" si="27">+X34/$Z$7</f>
        <v>0</v>
      </c>
    </row>
    <row r="35" spans="1:27" x14ac:dyDescent="0.2">
      <c r="A35" s="1075" t="s">
        <v>2139</v>
      </c>
      <c r="B35" s="833">
        <f t="shared" si="2"/>
        <v>1.1000000000000001</v>
      </c>
      <c r="C35" s="774" t="s">
        <v>36</v>
      </c>
      <c r="D35" s="210"/>
      <c r="E35" s="211" t="str">
        <f>+_xlfn.XLOOKUP(C35,'BASE DATOS MANO DE OBRA'!A:A,'BASE DATOS MANO DE OBRA'!B:B)</f>
        <v xml:space="preserve">OPERARIO PLUS </v>
      </c>
      <c r="F35" s="212">
        <f>ROUND('1_OG y 2_ACA'!F267,0)/2</f>
        <v>4.5</v>
      </c>
      <c r="G35" s="213" t="str">
        <f>+_xlfn.XLOOKUP(C35,'BASE DATOS MANO DE OBRA'!A:A,'BASE DATOS MANO DE OBRA'!C:C)</f>
        <v xml:space="preserve">hora </v>
      </c>
      <c r="H35" s="214">
        <v>0</v>
      </c>
      <c r="I35" s="214">
        <f>+_xlfn.XLOOKUP(C35,'BASE DATOS MANO DE OBRA'!A:A,'BASE DATOS MANO DE OBRA'!E:E)</f>
        <v>2850</v>
      </c>
      <c r="J35" s="214">
        <v>0</v>
      </c>
      <c r="K35" s="214">
        <f t="shared" si="17"/>
        <v>0</v>
      </c>
      <c r="L35" s="214">
        <f t="shared" si="18"/>
        <v>12825</v>
      </c>
      <c r="M35" s="214">
        <f t="shared" si="19"/>
        <v>0</v>
      </c>
      <c r="N35" s="214">
        <f t="shared" si="20"/>
        <v>12825</v>
      </c>
      <c r="O35" s="1086">
        <f t="shared" si="21"/>
        <v>24.902912621359224</v>
      </c>
      <c r="P35" s="171"/>
      <c r="V35" s="157" t="str">
        <f>+C452</f>
        <v>2.3.2</v>
      </c>
      <c r="W35" s="157" t="str">
        <f>+E452</f>
        <v>ACABADOS DE AZOTEA</v>
      </c>
      <c r="X35" s="712">
        <f>+L452</f>
        <v>113850</v>
      </c>
      <c r="Y35" s="715">
        <f t="shared" si="0"/>
        <v>9.0678295152474536E-3</v>
      </c>
      <c r="Z35" s="711">
        <f t="shared" si="1"/>
        <v>976.66638071544992</v>
      </c>
    </row>
    <row r="36" spans="1:27" ht="16.5" thickBot="1" x14ac:dyDescent="0.25">
      <c r="A36" s="1075" t="s">
        <v>2139</v>
      </c>
      <c r="B36" s="833">
        <f t="shared" si="2"/>
        <v>1.1000000000000001</v>
      </c>
      <c r="C36" s="774" t="s">
        <v>37</v>
      </c>
      <c r="D36" s="210"/>
      <c r="E36" s="211" t="str">
        <f>+_xlfn.XLOOKUP(C36,'BASE DATOS MANO DE OBRA'!A:A,'BASE DATOS MANO DE OBRA'!B:B)</f>
        <v xml:space="preserve">AYUDANTE PLUS </v>
      </c>
      <c r="F36" s="212">
        <f>+F35</f>
        <v>4.5</v>
      </c>
      <c r="G36" s="213" t="str">
        <f>+_xlfn.XLOOKUP(C36,'BASE DATOS MANO DE OBRA'!A:A,'BASE DATOS MANO DE OBRA'!C:C)</f>
        <v xml:space="preserve">hora </v>
      </c>
      <c r="H36" s="214">
        <v>0</v>
      </c>
      <c r="I36" s="214">
        <f>+_xlfn.XLOOKUP(C36,'BASE DATOS MANO DE OBRA'!A:A,'BASE DATOS MANO DE OBRA'!E:E)</f>
        <v>2325</v>
      </c>
      <c r="J36" s="214">
        <v>0</v>
      </c>
      <c r="K36" s="214">
        <f t="shared" si="17"/>
        <v>0</v>
      </c>
      <c r="L36" s="214">
        <f t="shared" si="18"/>
        <v>10462.5</v>
      </c>
      <c r="M36" s="214">
        <f t="shared" si="19"/>
        <v>0</v>
      </c>
      <c r="N36" s="214">
        <f t="shared" si="20"/>
        <v>10462.5</v>
      </c>
      <c r="O36" s="1086">
        <f t="shared" si="21"/>
        <v>20.315533980582526</v>
      </c>
      <c r="P36" s="171"/>
      <c r="V36" s="717" t="str">
        <f>+C462</f>
        <v>2.3.3</v>
      </c>
      <c r="W36" s="717" t="str">
        <f>+E462</f>
        <v xml:space="preserve">PONCHEO FINAL </v>
      </c>
      <c r="X36" s="718">
        <f>+L462</f>
        <v>310500</v>
      </c>
      <c r="Y36" s="719">
        <f t="shared" si="0"/>
        <v>2.4730444132493055E-2</v>
      </c>
      <c r="Z36" s="720">
        <f t="shared" si="1"/>
        <v>2663.6355837694086</v>
      </c>
      <c r="AA36" s="721">
        <f>+AVERAGE(Z33:Z36)</f>
        <v>2569.2984901775753</v>
      </c>
    </row>
    <row r="37" spans="1:27" s="49" customFormat="1" ht="18.600000000000001" customHeight="1" collapsed="1" thickBot="1" x14ac:dyDescent="0.25">
      <c r="A37" s="303"/>
      <c r="B37" s="833">
        <f t="shared" si="2"/>
        <v>1.1000000000000001</v>
      </c>
      <c r="C37" s="770" t="s">
        <v>2041</v>
      </c>
      <c r="D37" s="453"/>
      <c r="E37" s="454" t="s">
        <v>1913</v>
      </c>
      <c r="F37" s="455">
        <f>+'1_OG y 2_ACA'!D12</f>
        <v>48.12</v>
      </c>
      <c r="G37" s="453" t="s">
        <v>78</v>
      </c>
      <c r="H37" s="453"/>
      <c r="I37" s="453"/>
      <c r="J37" s="453"/>
      <c r="K37" s="456">
        <f>+SUBTOTAL(9,K38:K53)</f>
        <v>1386628.9620788801</v>
      </c>
      <c r="L37" s="456">
        <f>+SUBTOTAL(9,L38:L53)</f>
        <v>856462.5</v>
      </c>
      <c r="M37" s="456">
        <f>+SUBTOTAL(9,M38:M53)</f>
        <v>0</v>
      </c>
      <c r="N37" s="456">
        <f>+SUBTOTAL(9,N38:N53)</f>
        <v>2243091.4620788801</v>
      </c>
      <c r="O37" s="1082">
        <f>+SUBTOTAL(9,O38:O53)</f>
        <v>4355.5174020949135</v>
      </c>
      <c r="P37" s="416"/>
      <c r="V37" s="732" t="str">
        <f>+C466</f>
        <v>2.4.1</v>
      </c>
      <c r="W37" s="732" t="str">
        <f>+E466</f>
        <v xml:space="preserve">MUEBLES </v>
      </c>
      <c r="X37" s="733">
        <f>+L466</f>
        <v>0</v>
      </c>
      <c r="Y37" s="734">
        <f t="shared" si="0"/>
        <v>0</v>
      </c>
      <c r="Z37" s="735">
        <f t="shared" si="1"/>
        <v>0</v>
      </c>
      <c r="AA37" s="736"/>
    </row>
    <row r="38" spans="1:27" ht="16.5" thickBot="1" x14ac:dyDescent="0.25">
      <c r="A38" s="303"/>
      <c r="B38" s="833">
        <f t="shared" si="2"/>
        <v>1.1000000000000001</v>
      </c>
      <c r="C38" s="776"/>
      <c r="D38" s="166"/>
      <c r="E38" s="167" t="s">
        <v>1956</v>
      </c>
      <c r="F38" s="168"/>
      <c r="G38" s="169"/>
      <c r="H38" s="169"/>
      <c r="I38" s="169"/>
      <c r="J38" s="169"/>
      <c r="K38" s="170"/>
      <c r="L38" s="170"/>
      <c r="M38" s="170"/>
      <c r="N38" s="170"/>
      <c r="O38" s="1087"/>
      <c r="P38" s="171"/>
      <c r="V38" s="732" t="str">
        <f>+C472</f>
        <v>2.5.1</v>
      </c>
      <c r="W38" s="732" t="str">
        <f>+E472</f>
        <v xml:space="preserve">VENTANERIA (INCLUYE PUERTAS DE ALUMINIO) </v>
      </c>
      <c r="X38" s="733">
        <f>+L472</f>
        <v>0</v>
      </c>
      <c r="Y38" s="734">
        <f t="shared" si="0"/>
        <v>0</v>
      </c>
      <c r="Z38" s="735">
        <f t="shared" si="1"/>
        <v>0</v>
      </c>
      <c r="AA38" s="736"/>
    </row>
    <row r="39" spans="1:27" ht="15.6" customHeight="1" thickBot="1" x14ac:dyDescent="0.25">
      <c r="A39" s="303"/>
      <c r="B39" s="833">
        <f t="shared" si="2"/>
        <v>1.1000000000000001</v>
      </c>
      <c r="C39" s="777" t="s">
        <v>2086</v>
      </c>
      <c r="D39" s="836"/>
      <c r="E39" s="161" t="str">
        <f>+_xlfn.XLOOKUP(C39,'BASE DATOS PRECIOS '!B:B,'BASE DATOS PRECIOS '!E:E)</f>
        <v>ADITIVO ERGO 4000 PG50</v>
      </c>
      <c r="F39" s="180">
        <f>+'1_OG y 2_ACA'!D283</f>
        <v>8</v>
      </c>
      <c r="G39" s="175" t="str">
        <f>+_xlfn.XLOOKUP(C39,'BASE DATOS PRECIOS '!B:B,'BASE DATOS PRECIOS '!F:F)</f>
        <v>LITRO</v>
      </c>
      <c r="H39" s="176">
        <f>(+_xlfn.XLOOKUP(E39,'BASE DATOS PRECIOS '!E:E,'BASE DATOS PRECIOS '!H:H))</f>
        <v>748.62499999999989</v>
      </c>
      <c r="I39" s="175"/>
      <c r="J39" s="175"/>
      <c r="K39" s="176">
        <f t="shared" ref="K39:K53" si="28">+F39*H39</f>
        <v>5988.9999999999991</v>
      </c>
      <c r="L39" s="176">
        <f t="shared" ref="L39:L53" si="29">+F39*I39</f>
        <v>0</v>
      </c>
      <c r="M39" s="176">
        <f t="shared" ref="M39:M53" si="30">+F39*J39</f>
        <v>0</v>
      </c>
      <c r="N39" s="176">
        <f t="shared" ref="N39:N53" si="31">SUM(K39:M39)</f>
        <v>5988.9999999999991</v>
      </c>
      <c r="O39" s="1083">
        <f t="shared" ref="O39:O53" si="32">SUM(K39:M39)/tc</f>
        <v>11.629126213592231</v>
      </c>
      <c r="P39" s="171"/>
      <c r="V39" s="732" t="str">
        <f>+C549</f>
        <v>2.8.1</v>
      </c>
      <c r="W39" s="732" t="str">
        <f>+E549</f>
        <v xml:space="preserve">ZACATE </v>
      </c>
      <c r="X39" s="733">
        <f>+L549</f>
        <v>150075</v>
      </c>
      <c r="Y39" s="734">
        <f t="shared" si="0"/>
        <v>1.1953047997371643E-2</v>
      </c>
      <c r="Z39" s="735">
        <f t="shared" si="1"/>
        <v>1287.4238654885476</v>
      </c>
      <c r="AA39" s="721">
        <f>+AVERAGE(Z39)</f>
        <v>1287.4238654885476</v>
      </c>
    </row>
    <row r="40" spans="1:27" ht="16.5" thickBot="1" x14ac:dyDescent="0.25">
      <c r="A40" s="303"/>
      <c r="B40" s="833">
        <f t="shared" si="2"/>
        <v>1.1000000000000001</v>
      </c>
      <c r="C40" s="775" t="s">
        <v>2188</v>
      </c>
      <c r="D40" s="823"/>
      <c r="E40" s="161" t="str">
        <f>+_xlfn.XLOOKUP(C40,'BASE DATOS PRECIOS '!B:B,'BASE DATOS PRECIOS '!E:E)</f>
        <v>VARILLA DEFORME #2</v>
      </c>
      <c r="F40" s="180">
        <f>+'1_OG y 2_ACA'!D313</f>
        <v>53</v>
      </c>
      <c r="G40" s="165" t="s">
        <v>271</v>
      </c>
      <c r="H40" s="164">
        <f>+_xlfn.XLOOKUP(E40,'BASE DATOS PRECIOS '!E:E,'BASE DATOS PRECIOS '!H:H)</f>
        <v>569.8024999999999</v>
      </c>
      <c r="I40" s="165"/>
      <c r="J40" s="165"/>
      <c r="K40" s="164">
        <f t="shared" si="28"/>
        <v>30199.532499999994</v>
      </c>
      <c r="L40" s="164">
        <f t="shared" si="29"/>
        <v>0</v>
      </c>
      <c r="M40" s="164">
        <f t="shared" si="30"/>
        <v>0</v>
      </c>
      <c r="N40" s="164">
        <f t="shared" si="31"/>
        <v>30199.532499999994</v>
      </c>
      <c r="O40" s="1084">
        <f t="shared" si="32"/>
        <v>58.639868932038823</v>
      </c>
      <c r="P40" s="171"/>
      <c r="V40" s="737" t="str">
        <f>+C558</f>
        <v>3.1</v>
      </c>
      <c r="W40" s="737" t="str">
        <f>+E558</f>
        <v xml:space="preserve">ELÉCTRICO </v>
      </c>
      <c r="X40" s="737">
        <f>+L558</f>
        <v>0</v>
      </c>
      <c r="Y40" s="734">
        <f t="shared" si="0"/>
        <v>0</v>
      </c>
      <c r="Z40" s="735">
        <f t="shared" si="1"/>
        <v>0</v>
      </c>
      <c r="AA40" s="736"/>
    </row>
    <row r="41" spans="1:27" x14ac:dyDescent="0.2">
      <c r="A41" s="303"/>
      <c r="B41" s="833">
        <f t="shared" si="2"/>
        <v>1.1000000000000001</v>
      </c>
      <c r="C41" s="775" t="s">
        <v>1918</v>
      </c>
      <c r="D41" s="834" t="s">
        <v>109</v>
      </c>
      <c r="E41" s="161" t="s">
        <v>3502</v>
      </c>
      <c r="F41" s="180">
        <f>'1_OG y 2_ACA'!D314</f>
        <v>361</v>
      </c>
      <c r="G41" s="165" t="s">
        <v>271</v>
      </c>
      <c r="H41" s="164">
        <f>+_xlfn.XLOOKUP(E41,'BASE DATOS PRECIOS '!E:E,'BASE DATOS PRECIOS '!H:H)</f>
        <v>1344.6999999999998</v>
      </c>
      <c r="I41" s="165"/>
      <c r="J41" s="165"/>
      <c r="K41" s="164">
        <f t="shared" si="28"/>
        <v>485436.69999999995</v>
      </c>
      <c r="L41" s="164">
        <f t="shared" si="29"/>
        <v>0</v>
      </c>
      <c r="M41" s="164">
        <f t="shared" si="30"/>
        <v>0</v>
      </c>
      <c r="N41" s="164">
        <f t="shared" si="31"/>
        <v>485436.69999999995</v>
      </c>
      <c r="O41" s="1084">
        <f t="shared" si="32"/>
        <v>942.59553398058245</v>
      </c>
      <c r="P41" s="769"/>
      <c r="V41" s="157" t="str">
        <f>+C822</f>
        <v>3.2.1</v>
      </c>
      <c r="W41" s="157" t="str">
        <f>+E822</f>
        <v xml:space="preserve">EXCAVACION TUBERIA SANITARIA </v>
      </c>
      <c r="X41" s="712">
        <f>+L822</f>
        <v>80212.5</v>
      </c>
      <c r="Y41" s="715">
        <f t="shared" si="0"/>
        <v>6.3886980675607061E-3</v>
      </c>
      <c r="Z41" s="711">
        <f t="shared" si="1"/>
        <v>688.10585914043065</v>
      </c>
    </row>
    <row r="42" spans="1:27" x14ac:dyDescent="0.2">
      <c r="A42" s="303"/>
      <c r="B42" s="833">
        <f t="shared" si="2"/>
        <v>1.1000000000000001</v>
      </c>
      <c r="C42" s="775" t="s">
        <v>2187</v>
      </c>
      <c r="D42" s="823"/>
      <c r="E42" s="161" t="str">
        <f>+_xlfn.XLOOKUP(C42,'BASE DATOS PRECIOS '!B:B,'BASE DATOS PRECIOS '!E:E)</f>
        <v>MALLA ELECTROSOLDADA #2 (5.3 MM)</v>
      </c>
      <c r="F42" s="180">
        <f>+'1_OG y 2_ACA'!D315</f>
        <v>0</v>
      </c>
      <c r="G42" s="165" t="s">
        <v>271</v>
      </c>
      <c r="H42" s="164">
        <f>+_xlfn.XLOOKUP(E42,'BASE DATOS PRECIOS '!E:E,'BASE DATOS PRECIOS '!H:H)</f>
        <v>18762.497399999997</v>
      </c>
      <c r="I42" s="165"/>
      <c r="J42" s="165"/>
      <c r="K42" s="164">
        <f t="shared" si="28"/>
        <v>0</v>
      </c>
      <c r="L42" s="164">
        <f t="shared" si="29"/>
        <v>0</v>
      </c>
      <c r="M42" s="164">
        <f t="shared" si="30"/>
        <v>0</v>
      </c>
      <c r="N42" s="164">
        <f t="shared" si="31"/>
        <v>0</v>
      </c>
      <c r="O42" s="1084">
        <f t="shared" si="32"/>
        <v>0</v>
      </c>
      <c r="P42" s="171"/>
      <c r="V42" s="157" t="str">
        <f>+C843</f>
        <v>3.2.2</v>
      </c>
      <c r="W42" s="157" t="str">
        <f>+E843</f>
        <v>POTABLE DE LOSA</v>
      </c>
      <c r="X42" s="712">
        <f>+L843</f>
        <v>75037.5</v>
      </c>
      <c r="Y42" s="715">
        <f t="shared" si="0"/>
        <v>5.9765239986858216E-3</v>
      </c>
      <c r="Z42" s="711">
        <f t="shared" si="1"/>
        <v>643.71193274427378</v>
      </c>
    </row>
    <row r="43" spans="1:27" x14ac:dyDescent="0.2">
      <c r="A43" s="303"/>
      <c r="B43" s="833">
        <f t="shared" si="2"/>
        <v>1.1000000000000001</v>
      </c>
      <c r="C43" s="775" t="s">
        <v>1920</v>
      </c>
      <c r="D43" s="823"/>
      <c r="E43" s="161" t="str">
        <f>+_xlfn.XLOOKUP(C43,'BASE DATOS PRECIOS '!B:B,'BASE DATOS PRECIOS '!E:E)</f>
        <v>ALAMBRE NEGRO #16 (1.68MM)</v>
      </c>
      <c r="F43" s="180">
        <f>+'1_OG y 2_ACA'!D316</f>
        <v>58</v>
      </c>
      <c r="G43" s="165" t="s">
        <v>276</v>
      </c>
      <c r="H43" s="164">
        <f>+_xlfn.XLOOKUP(E43,'BASE DATOS PRECIOS '!E:E,'BASE DATOS PRECIOS '!H:H)</f>
        <v>586.85419999999999</v>
      </c>
      <c r="I43" s="165"/>
      <c r="J43" s="165"/>
      <c r="K43" s="164">
        <f t="shared" si="28"/>
        <v>34037.543599999997</v>
      </c>
      <c r="L43" s="164">
        <f t="shared" si="29"/>
        <v>0</v>
      </c>
      <c r="M43" s="164">
        <f t="shared" si="30"/>
        <v>0</v>
      </c>
      <c r="N43" s="164">
        <f t="shared" si="31"/>
        <v>34037.543599999997</v>
      </c>
      <c r="O43" s="1084">
        <f t="shared" si="32"/>
        <v>66.092317669902911</v>
      </c>
      <c r="P43" s="171"/>
      <c r="V43" s="157" t="str">
        <f>+C860</f>
        <v>3.2.2.1</v>
      </c>
      <c r="W43" s="157" t="str">
        <f>+E860</f>
        <v>POTABLE DE ENTREPISO</v>
      </c>
      <c r="X43" s="712">
        <f>+L860</f>
        <v>0</v>
      </c>
      <c r="Y43" s="715">
        <f t="shared" si="0"/>
        <v>0</v>
      </c>
      <c r="Z43" s="711">
        <f t="shared" si="1"/>
        <v>0</v>
      </c>
    </row>
    <row r="44" spans="1:27" x14ac:dyDescent="0.2">
      <c r="A44" s="303"/>
      <c r="B44" s="833">
        <f t="shared" si="2"/>
        <v>1.1000000000000001</v>
      </c>
      <c r="C44" s="775" t="s">
        <v>2189</v>
      </c>
      <c r="D44" s="823"/>
      <c r="E44" s="161" t="str">
        <f>+_xlfn.XLOOKUP(C44,'BASE DATOS PRECIOS '!B:B,'BASE DATOS PRECIOS '!E:E)</f>
        <v>SEPARADOR TIPO CONO 2.5CM (1") SP125</v>
      </c>
      <c r="F44" s="180">
        <f>ROUNDUP('1_OG y 2_ACA'!D317,0)</f>
        <v>49</v>
      </c>
      <c r="G44" s="165" t="s">
        <v>271</v>
      </c>
      <c r="H44" s="164">
        <f>+_xlfn.XLOOKUP(E44,'BASE DATOS PRECIOS '!E:E,'BASE DATOS PRECIOS '!H:H)</f>
        <v>56.499999999999993</v>
      </c>
      <c r="I44" s="165"/>
      <c r="J44" s="165"/>
      <c r="K44" s="164">
        <f t="shared" si="28"/>
        <v>2768.4999999999995</v>
      </c>
      <c r="L44" s="164">
        <f t="shared" si="29"/>
        <v>0</v>
      </c>
      <c r="M44" s="164">
        <f t="shared" si="30"/>
        <v>0</v>
      </c>
      <c r="N44" s="164">
        <f t="shared" si="31"/>
        <v>2768.4999999999995</v>
      </c>
      <c r="O44" s="1084">
        <f t="shared" si="32"/>
        <v>5.3757281553398046</v>
      </c>
      <c r="P44" s="171"/>
      <c r="V44" s="157" t="str">
        <f>+C875</f>
        <v>3.2.2.2</v>
      </c>
      <c r="W44" s="157" t="str">
        <f>+E875</f>
        <v>SANITARIO DE ENTREPISO</v>
      </c>
      <c r="X44" s="712">
        <f>+L875</f>
        <v>0</v>
      </c>
      <c r="Y44" s="715">
        <f t="shared" si="0"/>
        <v>0</v>
      </c>
      <c r="Z44" s="711">
        <f t="shared" si="1"/>
        <v>0</v>
      </c>
    </row>
    <row r="45" spans="1:27" x14ac:dyDescent="0.2">
      <c r="A45" s="303"/>
      <c r="B45" s="833">
        <f t="shared" si="2"/>
        <v>1.1000000000000001</v>
      </c>
      <c r="C45" s="778" t="s">
        <v>1991</v>
      </c>
      <c r="D45" s="827"/>
      <c r="E45" s="161" t="str">
        <f>+_xlfn.XLOOKUP(C45,'BASE DATOS PRECIOS '!B:B,'BASE DATOS PRECIOS '!E:E)</f>
        <v>SEPARADORES TIPO CONO 12CM SP450</v>
      </c>
      <c r="F45" s="180">
        <f>+F44</f>
        <v>49</v>
      </c>
      <c r="G45" s="165" t="s">
        <v>271</v>
      </c>
      <c r="H45" s="164">
        <f>+_xlfn.XLOOKUP(E45,'BASE DATOS PRECIOS '!E:E,'BASE DATOS PRECIOS '!H:H)</f>
        <v>203.39999999999998</v>
      </c>
      <c r="I45" s="165"/>
      <c r="J45" s="165"/>
      <c r="K45" s="164">
        <f t="shared" si="28"/>
        <v>9966.5999999999985</v>
      </c>
      <c r="L45" s="164">
        <f t="shared" si="29"/>
        <v>0</v>
      </c>
      <c r="M45" s="164">
        <f t="shared" si="30"/>
        <v>0</v>
      </c>
      <c r="N45" s="164">
        <f t="shared" si="31"/>
        <v>9966.5999999999985</v>
      </c>
      <c r="O45" s="1084">
        <f t="shared" si="32"/>
        <v>19.352621359223299</v>
      </c>
      <c r="P45" s="171"/>
      <c r="V45" s="157" t="str">
        <f>+C891</f>
        <v>3.2.3</v>
      </c>
      <c r="W45" s="157" t="str">
        <f>+E891</f>
        <v>TUBERÍA MECÁNICA MUROS</v>
      </c>
      <c r="X45" s="712">
        <f>+L891</f>
        <v>0</v>
      </c>
      <c r="Y45" s="715">
        <f t="shared" si="0"/>
        <v>0</v>
      </c>
      <c r="Z45" s="711">
        <f t="shared" si="1"/>
        <v>0</v>
      </c>
    </row>
    <row r="46" spans="1:27" x14ac:dyDescent="0.2">
      <c r="A46" s="303"/>
      <c r="B46" s="833">
        <f t="shared" si="2"/>
        <v>1.1000000000000001</v>
      </c>
      <c r="C46" s="775" t="s">
        <v>1922</v>
      </c>
      <c r="D46" s="823"/>
      <c r="E46" s="161" t="str">
        <f>+_xlfn.XLOOKUP(C46,'BASE DATOS PRECIOS '!B:B,'BASE DATOS PRECIOS '!E:E)</f>
        <v>DISCO CORTE METAL FINO 9"</v>
      </c>
      <c r="F46" s="180">
        <f>+'1_OG y 2_ACA'!D319</f>
        <v>7</v>
      </c>
      <c r="G46" s="165" t="s">
        <v>271</v>
      </c>
      <c r="H46" s="164">
        <f>+_xlfn.XLOOKUP(E46,'BASE DATOS PRECIOS '!E:E,'BASE DATOS PRECIOS '!H:H)</f>
        <v>3037.6320999999998</v>
      </c>
      <c r="I46" s="165"/>
      <c r="J46" s="165"/>
      <c r="K46" s="164">
        <f t="shared" si="28"/>
        <v>21263.4247</v>
      </c>
      <c r="L46" s="164">
        <f t="shared" si="29"/>
        <v>0</v>
      </c>
      <c r="M46" s="164">
        <f t="shared" si="30"/>
        <v>0</v>
      </c>
      <c r="N46" s="164">
        <f t="shared" si="31"/>
        <v>21263.4247</v>
      </c>
      <c r="O46" s="1084">
        <f t="shared" si="32"/>
        <v>41.288203300970871</v>
      </c>
      <c r="P46" s="171"/>
      <c r="V46" s="157" t="str">
        <f>+C911</f>
        <v>3.2.4</v>
      </c>
      <c r="W46" s="157" t="str">
        <f>+E911</f>
        <v xml:space="preserve">CAJAS Y TUBERIAS MECÁNICAS </v>
      </c>
      <c r="X46" s="712">
        <f>+L911</f>
        <v>181125</v>
      </c>
      <c r="Y46" s="715">
        <f t="shared" si="0"/>
        <v>1.4426092410620948E-2</v>
      </c>
      <c r="Z46" s="711">
        <f t="shared" si="1"/>
        <v>1553.7874238654883</v>
      </c>
    </row>
    <row r="47" spans="1:27" x14ac:dyDescent="0.2">
      <c r="A47" s="303"/>
      <c r="B47" s="833">
        <f t="shared" ref="B47:B48" si="33">VALUE(IF(AND(LEN(TRIM(C47))-LEN(SUBSTITUTE(TRIM(C47),".",""))=1,ISNUMBER(VALUE(SUBSTITUTE(TRIM(C47),".","")))),TRIM(C47),B46))</f>
        <v>1.1000000000000001</v>
      </c>
      <c r="C47" s="775" t="s">
        <v>2438</v>
      </c>
      <c r="D47" s="822"/>
      <c r="E47" s="173" t="str">
        <f>+_xlfn.XLOOKUP(C47,'BASE DATOS PRECIOS '!B:B,'BASE DATOS PRECIOS '!E:E)</f>
        <v>CONCRETO FC 210 KG/CM2 NORMAL</v>
      </c>
      <c r="F47" s="174">
        <f>'1_OG y 2_ACA'!D277</f>
        <v>10.105200000000002</v>
      </c>
      <c r="G47" s="175" t="str">
        <f>+_xlfn.XLOOKUP(C47,'BASE DATOS PRECIOS '!B:B,'BASE DATOS PRECIOS '!F:F)</f>
        <v>M3</v>
      </c>
      <c r="H47" s="176">
        <f>+_xlfn.XLOOKUP(E47,'BASE DATOS PRECIOS '!E:E,'BASE DATOS PRECIOS '!H:H)</f>
        <v>78867.084399999992</v>
      </c>
      <c r="I47" s="175"/>
      <c r="J47" s="175"/>
      <c r="K47" s="176">
        <f t="shared" si="28"/>
        <v>796967.66127888008</v>
      </c>
      <c r="L47" s="176">
        <f t="shared" si="29"/>
        <v>0</v>
      </c>
      <c r="M47" s="176">
        <f t="shared" si="30"/>
        <v>0</v>
      </c>
      <c r="N47" s="176">
        <f t="shared" si="31"/>
        <v>796967.66127888008</v>
      </c>
      <c r="O47" s="1083">
        <f t="shared" si="32"/>
        <v>1547.5100219007381</v>
      </c>
      <c r="P47" s="171"/>
      <c r="V47" s="157" t="str">
        <f>+C912</f>
        <v>M13-0060</v>
      </c>
      <c r="W47" s="157" t="str">
        <f>+E912</f>
        <v>TRAMPA PARA GRASA 4"</v>
      </c>
      <c r="X47" s="712">
        <f>+L912</f>
        <v>0</v>
      </c>
      <c r="Y47" s="715">
        <f t="shared" si="0"/>
        <v>0</v>
      </c>
      <c r="Z47" s="711">
        <f t="shared" ref="Z47" si="34">+X47/$Z$7</f>
        <v>0</v>
      </c>
    </row>
    <row r="48" spans="1:27" x14ac:dyDescent="0.2">
      <c r="A48" s="1075" t="s">
        <v>2140</v>
      </c>
      <c r="B48" s="833">
        <f t="shared" si="33"/>
        <v>1.1000000000000001</v>
      </c>
      <c r="C48" s="774" t="s">
        <v>36</v>
      </c>
      <c r="D48" s="210"/>
      <c r="E48" s="211" t="str">
        <f>+_xlfn.XLOOKUP(C48,'BASE DATOS MANO DE OBRA'!A:A,'BASE DATOS MANO DE OBRA'!B:B)</f>
        <v xml:space="preserve">OPERARIO PLUS </v>
      </c>
      <c r="F48" s="212">
        <f>ROUND('1_OG y 2_ACA'!F330,0)/2</f>
        <v>138</v>
      </c>
      <c r="G48" s="213" t="str">
        <f>+_xlfn.XLOOKUP(C48,'BASE DATOS MANO DE OBRA'!A:A,'BASE DATOS MANO DE OBRA'!C:C)</f>
        <v xml:space="preserve">hora </v>
      </c>
      <c r="H48" s="214">
        <v>0</v>
      </c>
      <c r="I48" s="214">
        <f>+_xlfn.XLOOKUP(C48,'BASE DATOS MANO DE OBRA'!A:A,'BASE DATOS MANO DE OBRA'!E:E)</f>
        <v>2850</v>
      </c>
      <c r="J48" s="214">
        <v>0</v>
      </c>
      <c r="K48" s="214">
        <f t="shared" si="28"/>
        <v>0</v>
      </c>
      <c r="L48" s="214">
        <f t="shared" si="29"/>
        <v>393300</v>
      </c>
      <c r="M48" s="214">
        <f t="shared" si="30"/>
        <v>0</v>
      </c>
      <c r="N48" s="214">
        <f t="shared" si="31"/>
        <v>393300</v>
      </c>
      <c r="O48" s="1086">
        <f t="shared" si="32"/>
        <v>763.68932038834953</v>
      </c>
      <c r="P48" s="171"/>
      <c r="V48" s="157" t="str">
        <f>+C930</f>
        <v>3.2.5</v>
      </c>
      <c r="W48" s="157" t="str">
        <f>+E930</f>
        <v xml:space="preserve">ACABADOS MECÁNICOS </v>
      </c>
      <c r="X48" s="712">
        <f>+L930</f>
        <v>69862.5</v>
      </c>
      <c r="Y48" s="715">
        <f t="shared" si="0"/>
        <v>5.5643499298109371E-3</v>
      </c>
      <c r="Z48" s="711">
        <f t="shared" si="1"/>
        <v>599.31800634811702</v>
      </c>
    </row>
    <row r="49" spans="1:27" ht="16.5" thickBot="1" x14ac:dyDescent="0.25">
      <c r="A49" s="1075" t="s">
        <v>2140</v>
      </c>
      <c r="B49" s="833">
        <f t="shared" si="2"/>
        <v>1.1000000000000001</v>
      </c>
      <c r="C49" s="774" t="s">
        <v>37</v>
      </c>
      <c r="D49" s="210"/>
      <c r="E49" s="211" t="str">
        <f>+_xlfn.XLOOKUP(C49,'BASE DATOS MANO DE OBRA'!A:A,'BASE DATOS MANO DE OBRA'!B:B)</f>
        <v xml:space="preserve">AYUDANTE PLUS </v>
      </c>
      <c r="F49" s="212">
        <f>+F48</f>
        <v>138</v>
      </c>
      <c r="G49" s="213" t="str">
        <f>+_xlfn.XLOOKUP(C49,'BASE DATOS MANO DE OBRA'!A:A,'BASE DATOS MANO DE OBRA'!C:C)</f>
        <v xml:space="preserve">hora </v>
      </c>
      <c r="H49" s="214">
        <v>0</v>
      </c>
      <c r="I49" s="214">
        <f>+_xlfn.XLOOKUP(C49,'BASE DATOS MANO DE OBRA'!A:A,'BASE DATOS MANO DE OBRA'!E:E)</f>
        <v>2325</v>
      </c>
      <c r="J49" s="214">
        <v>0</v>
      </c>
      <c r="K49" s="214">
        <f t="shared" si="28"/>
        <v>0</v>
      </c>
      <c r="L49" s="214">
        <f t="shared" si="29"/>
        <v>320850</v>
      </c>
      <c r="M49" s="214">
        <f t="shared" si="30"/>
        <v>0</v>
      </c>
      <c r="N49" s="214">
        <f t="shared" si="31"/>
        <v>320850</v>
      </c>
      <c r="O49" s="1086">
        <f t="shared" si="32"/>
        <v>623.00970873786412</v>
      </c>
      <c r="P49" s="171"/>
      <c r="V49" s="717" t="str">
        <f>+C943</f>
        <v>3.2.6</v>
      </c>
      <c r="W49" s="717" t="str">
        <f>+E943</f>
        <v>MEDIDOR</v>
      </c>
      <c r="X49" s="718">
        <f>+L943</f>
        <v>98325</v>
      </c>
      <c r="Y49" s="719">
        <f t="shared" si="0"/>
        <v>7.8313073086228018E-3</v>
      </c>
      <c r="Z49" s="720">
        <f t="shared" si="1"/>
        <v>843.48460152697942</v>
      </c>
      <c r="AA49" s="721">
        <f>+AVERAGE(Z41:Z49)</f>
        <v>480.93420262503213</v>
      </c>
    </row>
    <row r="50" spans="1:27" x14ac:dyDescent="0.2">
      <c r="A50" s="1075" t="s">
        <v>2138</v>
      </c>
      <c r="B50" s="833">
        <f t="shared" si="2"/>
        <v>1.1000000000000001</v>
      </c>
      <c r="C50" s="774" t="s">
        <v>36</v>
      </c>
      <c r="D50" s="210"/>
      <c r="E50" s="211" t="str">
        <f>+_xlfn.XLOOKUP(C50,'BASE DATOS MANO DE OBRA'!A:A,'BASE DATOS MANO DE OBRA'!B:B)</f>
        <v xml:space="preserve">OPERARIO PLUS </v>
      </c>
      <c r="F50" s="212">
        <f>ROUND('1_OG y 2_ACA'!F331,0)/2</f>
        <v>7.5</v>
      </c>
      <c r="G50" s="213" t="str">
        <f>+_xlfn.XLOOKUP(C50,'BASE DATOS MANO DE OBRA'!A:A,'BASE DATOS MANO DE OBRA'!C:C)</f>
        <v xml:space="preserve">hora </v>
      </c>
      <c r="H50" s="214">
        <v>0</v>
      </c>
      <c r="I50" s="214">
        <f>+_xlfn.XLOOKUP(C50,'BASE DATOS MANO DE OBRA'!A:A,'BASE DATOS MANO DE OBRA'!E:E)</f>
        <v>2850</v>
      </c>
      <c r="J50" s="214">
        <v>0</v>
      </c>
      <c r="K50" s="214">
        <f t="shared" si="28"/>
        <v>0</v>
      </c>
      <c r="L50" s="214">
        <f t="shared" si="29"/>
        <v>21375</v>
      </c>
      <c r="M50" s="214">
        <f t="shared" si="30"/>
        <v>0</v>
      </c>
      <c r="N50" s="214">
        <f t="shared" si="31"/>
        <v>21375</v>
      </c>
      <c r="O50" s="1086">
        <f t="shared" si="32"/>
        <v>41.504854368932037</v>
      </c>
      <c r="P50" s="171"/>
      <c r="V50" s="171"/>
      <c r="W50" s="172"/>
      <c r="X50" s="711">
        <f>SUM(X8:X49)</f>
        <v>12555375</v>
      </c>
      <c r="Y50" s="713">
        <f>SUM(Y8:Y49)</f>
        <v>0.99999999999999989</v>
      </c>
      <c r="Z50" s="711">
        <f t="shared" si="1"/>
        <v>107706.7427296903</v>
      </c>
    </row>
    <row r="51" spans="1:27" x14ac:dyDescent="0.2">
      <c r="A51" s="1075" t="s">
        <v>2138</v>
      </c>
      <c r="B51" s="833">
        <f t="shared" si="2"/>
        <v>1.1000000000000001</v>
      </c>
      <c r="C51" s="774" t="s">
        <v>37</v>
      </c>
      <c r="D51" s="210"/>
      <c r="E51" s="211" t="str">
        <f>+_xlfn.XLOOKUP(C51,'BASE DATOS MANO DE OBRA'!A:A,'BASE DATOS MANO DE OBRA'!B:B)</f>
        <v xml:space="preserve">AYUDANTE PLUS </v>
      </c>
      <c r="F51" s="212">
        <f>+F50</f>
        <v>7.5</v>
      </c>
      <c r="G51" s="213" t="str">
        <f>+_xlfn.XLOOKUP(C51,'BASE DATOS MANO DE OBRA'!A:A,'BASE DATOS MANO DE OBRA'!C:C)</f>
        <v xml:space="preserve">hora </v>
      </c>
      <c r="H51" s="214">
        <v>0</v>
      </c>
      <c r="I51" s="214">
        <f>+_xlfn.XLOOKUP(C51,'BASE DATOS MANO DE OBRA'!A:A,'BASE DATOS MANO DE OBRA'!E:E)</f>
        <v>2325</v>
      </c>
      <c r="J51" s="214">
        <v>0</v>
      </c>
      <c r="K51" s="214">
        <f t="shared" si="28"/>
        <v>0</v>
      </c>
      <c r="L51" s="214">
        <f t="shared" si="29"/>
        <v>17437.5</v>
      </c>
      <c r="M51" s="214">
        <f t="shared" si="30"/>
        <v>0</v>
      </c>
      <c r="N51" s="214">
        <f t="shared" si="31"/>
        <v>17437.5</v>
      </c>
      <c r="O51" s="1086">
        <f t="shared" si="32"/>
        <v>33.859223300970875</v>
      </c>
      <c r="P51" s="171"/>
      <c r="V51" s="171"/>
      <c r="W51" s="172"/>
      <c r="X51" s="714">
        <f>+X50-L951</f>
        <v>-1397100</v>
      </c>
      <c r="Y51" s="153"/>
    </row>
    <row r="52" spans="1:27" x14ac:dyDescent="0.2">
      <c r="A52" s="1075" t="s">
        <v>2141</v>
      </c>
      <c r="B52" s="833">
        <f t="shared" si="2"/>
        <v>1.1000000000000001</v>
      </c>
      <c r="C52" s="774" t="s">
        <v>36</v>
      </c>
      <c r="D52" s="210"/>
      <c r="E52" s="211" t="str">
        <f>+_xlfn.XLOOKUP(C52,'BASE DATOS MANO DE OBRA'!A:A,'BASE DATOS MANO DE OBRA'!B:B)</f>
        <v xml:space="preserve">OPERARIO PLUS </v>
      </c>
      <c r="F52" s="212">
        <f>ROUND('1_OG y 2_ACA'!F329,0)/2</f>
        <v>20</v>
      </c>
      <c r="G52" s="213" t="str">
        <f>+_xlfn.XLOOKUP(C52,'BASE DATOS MANO DE OBRA'!A:A,'BASE DATOS MANO DE OBRA'!C:C)</f>
        <v xml:space="preserve">hora </v>
      </c>
      <c r="H52" s="214">
        <v>0</v>
      </c>
      <c r="I52" s="214">
        <f>+_xlfn.XLOOKUP(C52,'BASE DATOS MANO DE OBRA'!A:A,'BASE DATOS MANO DE OBRA'!E:E)</f>
        <v>2850</v>
      </c>
      <c r="J52" s="214">
        <v>0</v>
      </c>
      <c r="K52" s="214">
        <f t="shared" si="28"/>
        <v>0</v>
      </c>
      <c r="L52" s="214">
        <f t="shared" si="29"/>
        <v>57000</v>
      </c>
      <c r="M52" s="214">
        <f t="shared" si="30"/>
        <v>0</v>
      </c>
      <c r="N52" s="214">
        <f t="shared" si="31"/>
        <v>57000</v>
      </c>
      <c r="O52" s="1086">
        <f t="shared" si="32"/>
        <v>110.67961165048544</v>
      </c>
      <c r="P52" s="171"/>
    </row>
    <row r="53" spans="1:27" x14ac:dyDescent="0.2">
      <c r="A53" s="1075" t="s">
        <v>2141</v>
      </c>
      <c r="B53" s="833">
        <f t="shared" si="2"/>
        <v>1.1000000000000001</v>
      </c>
      <c r="C53" s="774" t="s">
        <v>37</v>
      </c>
      <c r="D53" s="210"/>
      <c r="E53" s="211" t="str">
        <f>+_xlfn.XLOOKUP(C53,'BASE DATOS MANO DE OBRA'!A:A,'BASE DATOS MANO DE OBRA'!B:B)</f>
        <v xml:space="preserve">AYUDANTE PLUS </v>
      </c>
      <c r="F53" s="212">
        <f>+F52</f>
        <v>20</v>
      </c>
      <c r="G53" s="213" t="str">
        <f>+_xlfn.XLOOKUP(C53,'BASE DATOS MANO DE OBRA'!A:A,'BASE DATOS MANO DE OBRA'!C:C)</f>
        <v xml:space="preserve">hora </v>
      </c>
      <c r="H53" s="214">
        <v>0</v>
      </c>
      <c r="I53" s="214">
        <f>+_xlfn.XLOOKUP(C53,'BASE DATOS MANO DE OBRA'!A:A,'BASE DATOS MANO DE OBRA'!E:E)</f>
        <v>2325</v>
      </c>
      <c r="J53" s="214">
        <v>0</v>
      </c>
      <c r="K53" s="214">
        <f t="shared" si="28"/>
        <v>0</v>
      </c>
      <c r="L53" s="214">
        <f t="shared" si="29"/>
        <v>46500</v>
      </c>
      <c r="M53" s="214">
        <f t="shared" si="30"/>
        <v>0</v>
      </c>
      <c r="N53" s="214">
        <f t="shared" si="31"/>
        <v>46500</v>
      </c>
      <c r="O53" s="1086">
        <f t="shared" si="32"/>
        <v>90.291262135922324</v>
      </c>
      <c r="P53" s="171"/>
      <c r="Q53" s="171"/>
      <c r="R53" s="172"/>
    </row>
    <row r="54" spans="1:27" x14ac:dyDescent="0.2">
      <c r="A54" s="303"/>
      <c r="B54" s="833">
        <f t="shared" si="2"/>
        <v>1.2</v>
      </c>
      <c r="C54" s="779" t="s">
        <v>38</v>
      </c>
      <c r="D54" s="440"/>
      <c r="E54" s="441" t="s">
        <v>3138</v>
      </c>
      <c r="F54" s="446">
        <v>1</v>
      </c>
      <c r="G54" s="440" t="s">
        <v>271</v>
      </c>
      <c r="H54" s="440"/>
      <c r="I54" s="440"/>
      <c r="J54" s="440"/>
      <c r="K54" s="447">
        <f>+SUBTOTAL(9,K55:K114)</f>
        <v>4465684.7952602673</v>
      </c>
      <c r="L54" s="447">
        <f>+SUBTOTAL(9,L55:L114)</f>
        <v>3376687.5</v>
      </c>
      <c r="M54" s="447">
        <f>+SUBTOTAL(9,M55:M114)</f>
        <v>530960.14999999991</v>
      </c>
      <c r="N54" s="447">
        <f>+SUBTOTAL(9,N55:N114)</f>
        <v>8373332.4452602677</v>
      </c>
      <c r="O54" s="1081">
        <f>+SUBTOTAL(9,O55:O114)</f>
        <v>16258.897951961682</v>
      </c>
      <c r="P54" s="156"/>
      <c r="Q54" s="156"/>
      <c r="R54" s="157"/>
    </row>
    <row r="55" spans="1:27" s="49" customFormat="1" ht="18.600000000000001" customHeight="1" x14ac:dyDescent="0.2">
      <c r="A55" s="303"/>
      <c r="B55" s="833">
        <f t="shared" si="2"/>
        <v>1.2</v>
      </c>
      <c r="C55" s="770" t="s">
        <v>2085</v>
      </c>
      <c r="D55" s="453"/>
      <c r="E55" s="454" t="s">
        <v>1889</v>
      </c>
      <c r="F55" s="455">
        <f>+'1_OG y 2_ACA'!D462</f>
        <v>129.47999999999999</v>
      </c>
      <c r="G55" s="453" t="s">
        <v>78</v>
      </c>
      <c r="H55" s="453"/>
      <c r="I55" s="453"/>
      <c r="J55" s="453"/>
      <c r="K55" s="456">
        <f>+SUBTOTAL(9,K56:K67)</f>
        <v>704662.49689999991</v>
      </c>
      <c r="L55" s="456">
        <f>+SUBTOTAL(9,L56:L67)</f>
        <v>1112625</v>
      </c>
      <c r="M55" s="456">
        <f>+SUBTOTAL(9,M56:M67)</f>
        <v>0</v>
      </c>
      <c r="N55" s="456">
        <f>+SUBTOTAL(9,N56:N67)</f>
        <v>1817287.4968999999</v>
      </c>
      <c r="O55" s="1082">
        <f>+SUBTOTAL(9,O56:O67)</f>
        <v>3528.7135862135915</v>
      </c>
      <c r="P55" s="416"/>
      <c r="Q55" s="457"/>
      <c r="R55" s="155"/>
    </row>
    <row r="56" spans="1:27" x14ac:dyDescent="0.2">
      <c r="A56" s="303"/>
      <c r="B56" s="833">
        <f t="shared" si="2"/>
        <v>1.2</v>
      </c>
      <c r="C56" s="775" t="s">
        <v>2188</v>
      </c>
      <c r="D56" s="823"/>
      <c r="E56" s="161" t="str">
        <f>+_xlfn.XLOOKUP(C56,'BASE DATOS PRECIOS '!B:B,'BASE DATOS PRECIOS '!E:E)</f>
        <v>VARILLA DEFORME #2</v>
      </c>
      <c r="F56" s="180">
        <f>+'1_OG y 2_ACA'!D445</f>
        <v>6</v>
      </c>
      <c r="G56" s="165" t="str">
        <f>+_xlfn.XLOOKUP(C56,'BASE DATOS PRECIOS '!B:B,'BASE DATOS PRECIOS '!F:F)</f>
        <v>UND</v>
      </c>
      <c r="H56" s="164">
        <f>+_xlfn.XLOOKUP(E56,'BASE DATOS PRECIOS '!E:E,'BASE DATOS PRECIOS '!H:H)</f>
        <v>569.8024999999999</v>
      </c>
      <c r="I56" s="165"/>
      <c r="J56" s="165"/>
      <c r="K56" s="164">
        <f t="shared" ref="K56:K67" si="35">+F56*H56</f>
        <v>3418.8149999999996</v>
      </c>
      <c r="L56" s="164">
        <f t="shared" ref="L56:L67" si="36">+F56*I56</f>
        <v>0</v>
      </c>
      <c r="M56" s="164">
        <f t="shared" ref="M56:M67" si="37">+F56*J56</f>
        <v>0</v>
      </c>
      <c r="N56" s="164">
        <f t="shared" ref="N56:N67" si="38">SUM(K56:M56)</f>
        <v>3418.8149999999996</v>
      </c>
      <c r="O56" s="1084">
        <f t="shared" ref="O56:O67" si="39">SUM(K56:M56)/tc</f>
        <v>6.6384757281553393</v>
      </c>
    </row>
    <row r="57" spans="1:27" x14ac:dyDescent="0.2">
      <c r="A57" s="303"/>
      <c r="B57" s="833">
        <f t="shared" si="2"/>
        <v>1.2</v>
      </c>
      <c r="C57" s="775" t="s">
        <v>1918</v>
      </c>
      <c r="D57" s="834" t="s">
        <v>24</v>
      </c>
      <c r="E57" s="161" t="s">
        <v>3502</v>
      </c>
      <c r="F57" s="180">
        <f>'1_OG y 2_ACA'!D446</f>
        <v>106</v>
      </c>
      <c r="G57" s="165" t="str">
        <f>+_xlfn.XLOOKUP(C57,'BASE DATOS PRECIOS '!B:B,'BASE DATOS PRECIOS '!F:F)</f>
        <v>UND</v>
      </c>
      <c r="H57" s="164">
        <f>+_xlfn.XLOOKUP(E57,'BASE DATOS PRECIOS '!E:E,'BASE DATOS PRECIOS '!H:H)</f>
        <v>1344.6999999999998</v>
      </c>
      <c r="I57" s="165"/>
      <c r="J57" s="165"/>
      <c r="K57" s="164">
        <f t="shared" ref="K57" si="40">+F57*H57</f>
        <v>142538.19999999998</v>
      </c>
      <c r="L57" s="164">
        <f t="shared" ref="L57" si="41">+F57*I57</f>
        <v>0</v>
      </c>
      <c r="M57" s="164">
        <f t="shared" ref="M57" si="42">+F57*J57</f>
        <v>0</v>
      </c>
      <c r="N57" s="164">
        <f t="shared" ref="N57" si="43">SUM(K57:M57)</f>
        <v>142538.19999999998</v>
      </c>
      <c r="O57" s="1084">
        <f t="shared" ref="O57" si="44">SUM(K57:M57)/tc</f>
        <v>276.77320388349511</v>
      </c>
    </row>
    <row r="58" spans="1:27" x14ac:dyDescent="0.2">
      <c r="A58" s="303"/>
      <c r="B58" s="833">
        <f t="shared" si="2"/>
        <v>1.2</v>
      </c>
      <c r="C58" s="775" t="s">
        <v>1918</v>
      </c>
      <c r="D58" s="834" t="s">
        <v>109</v>
      </c>
      <c r="E58" s="161" t="s">
        <v>3502</v>
      </c>
      <c r="F58" s="180">
        <f>'1_OG y 2_ACA'!D447</f>
        <v>161</v>
      </c>
      <c r="G58" s="165" t="str">
        <f>+_xlfn.XLOOKUP(C58,'BASE DATOS PRECIOS '!B:B,'BASE DATOS PRECIOS '!F:F)</f>
        <v>UND</v>
      </c>
      <c r="H58" s="164">
        <f>+_xlfn.XLOOKUP(E58,'BASE DATOS PRECIOS '!E:E,'BASE DATOS PRECIOS '!H:H)</f>
        <v>1344.6999999999998</v>
      </c>
      <c r="I58" s="165"/>
      <c r="J58" s="165"/>
      <c r="K58" s="164">
        <f t="shared" si="35"/>
        <v>216496.69999999998</v>
      </c>
      <c r="L58" s="164">
        <f t="shared" si="36"/>
        <v>0</v>
      </c>
      <c r="M58" s="164">
        <f t="shared" si="37"/>
        <v>0</v>
      </c>
      <c r="N58" s="164">
        <f t="shared" si="38"/>
        <v>216496.69999999998</v>
      </c>
      <c r="O58" s="1084">
        <f t="shared" si="39"/>
        <v>420.3819417475728</v>
      </c>
    </row>
    <row r="59" spans="1:27" x14ac:dyDescent="0.2">
      <c r="A59" s="303"/>
      <c r="B59" s="833">
        <f t="shared" si="2"/>
        <v>1.2</v>
      </c>
      <c r="C59" s="775" t="s">
        <v>1919</v>
      </c>
      <c r="D59" s="823"/>
      <c r="E59" s="161" t="str">
        <f>+_xlfn.XLOOKUP(C59,'BASE DATOS PRECIOS '!B:B,'BASE DATOS PRECIOS '!E:E)</f>
        <v>VARILLA DEFORME #4</v>
      </c>
      <c r="F59" s="180">
        <f>+'1_OG y 2_ACA'!D448</f>
        <v>57</v>
      </c>
      <c r="G59" s="165" t="str">
        <f>+_xlfn.XLOOKUP(C59,'BASE DATOS PRECIOS '!B:B,'BASE DATOS PRECIOS '!F:F)</f>
        <v>UND</v>
      </c>
      <c r="H59" s="164">
        <f>+_xlfn.XLOOKUP(E59,'BASE DATOS PRECIOS '!E:E,'BASE DATOS PRECIOS '!H:H)</f>
        <v>2395.6</v>
      </c>
      <c r="I59" s="165"/>
      <c r="J59" s="165"/>
      <c r="K59" s="164">
        <f t="shared" si="35"/>
        <v>136549.19999999998</v>
      </c>
      <c r="L59" s="164">
        <f t="shared" si="36"/>
        <v>0</v>
      </c>
      <c r="M59" s="164">
        <f t="shared" si="37"/>
        <v>0</v>
      </c>
      <c r="N59" s="164">
        <f t="shared" si="38"/>
        <v>136549.19999999998</v>
      </c>
      <c r="O59" s="1084">
        <f t="shared" si="39"/>
        <v>265.14407766990286</v>
      </c>
    </row>
    <row r="60" spans="1:27" x14ac:dyDescent="0.2">
      <c r="A60" s="303"/>
      <c r="B60" s="833">
        <f t="shared" si="2"/>
        <v>1.2</v>
      </c>
      <c r="C60" s="775" t="s">
        <v>2187</v>
      </c>
      <c r="D60" s="823"/>
      <c r="E60" s="161" t="str">
        <f>+_xlfn.XLOOKUP(C60,'BASE DATOS PRECIOS '!B:B,'BASE DATOS PRECIOS '!E:E)</f>
        <v>MALLA ELECTROSOLDADA #2 (5.3 MM)</v>
      </c>
      <c r="F60" s="180">
        <f>+'1_OG y 2_ACA'!D449</f>
        <v>7.5</v>
      </c>
      <c r="G60" s="165" t="str">
        <f>+_xlfn.XLOOKUP(C60,'BASE DATOS PRECIOS '!B:B,'BASE DATOS PRECIOS '!F:F)</f>
        <v>UND</v>
      </c>
      <c r="H60" s="164">
        <f>+_xlfn.XLOOKUP(E60,'BASE DATOS PRECIOS '!E:E,'BASE DATOS PRECIOS '!H:H)</f>
        <v>18762.497399999997</v>
      </c>
      <c r="I60" s="165"/>
      <c r="J60" s="165"/>
      <c r="K60" s="164">
        <f t="shared" si="35"/>
        <v>140718.73049999998</v>
      </c>
      <c r="L60" s="164">
        <f t="shared" si="36"/>
        <v>0</v>
      </c>
      <c r="M60" s="164">
        <f t="shared" si="37"/>
        <v>0</v>
      </c>
      <c r="N60" s="164">
        <f t="shared" si="38"/>
        <v>140718.73049999998</v>
      </c>
      <c r="O60" s="1084">
        <f t="shared" si="39"/>
        <v>273.2402533980582</v>
      </c>
    </row>
    <row r="61" spans="1:27" x14ac:dyDescent="0.2">
      <c r="A61" s="303"/>
      <c r="B61" s="833">
        <f t="shared" si="2"/>
        <v>1.2</v>
      </c>
      <c r="C61" s="775" t="s">
        <v>1920</v>
      </c>
      <c r="D61" s="823"/>
      <c r="E61" s="161" t="str">
        <f>+_xlfn.XLOOKUP(C61,'BASE DATOS PRECIOS '!B:B,'BASE DATOS PRECIOS '!E:E)</f>
        <v>ALAMBRE NEGRO #16 (1.68MM)</v>
      </c>
      <c r="F61" s="180">
        <f>+'1_OG y 2_ACA'!D450</f>
        <v>65</v>
      </c>
      <c r="G61" s="165" t="str">
        <f>+_xlfn.XLOOKUP(C61,'BASE DATOS PRECIOS '!B:B,'BASE DATOS PRECIOS '!F:F)</f>
        <v>KG</v>
      </c>
      <c r="H61" s="164">
        <f>+_xlfn.XLOOKUP(E61,'BASE DATOS PRECIOS '!E:E,'BASE DATOS PRECIOS '!H:H)</f>
        <v>586.85419999999999</v>
      </c>
      <c r="I61" s="165"/>
      <c r="J61" s="165"/>
      <c r="K61" s="164">
        <f t="shared" si="35"/>
        <v>38145.523000000001</v>
      </c>
      <c r="L61" s="164">
        <f t="shared" si="36"/>
        <v>0</v>
      </c>
      <c r="M61" s="164">
        <f t="shared" si="37"/>
        <v>0</v>
      </c>
      <c r="N61" s="164">
        <f t="shared" si="38"/>
        <v>38145.523000000001</v>
      </c>
      <c r="O61" s="1084">
        <f t="shared" si="39"/>
        <v>74.068976699029122</v>
      </c>
    </row>
    <row r="62" spans="1:27" x14ac:dyDescent="0.2">
      <c r="A62" s="303"/>
      <c r="B62" s="833">
        <f t="shared" si="2"/>
        <v>1.2</v>
      </c>
      <c r="C62" s="775" t="s">
        <v>1923</v>
      </c>
      <c r="D62" s="823"/>
      <c r="E62" s="161" t="str">
        <f>+_xlfn.XLOOKUP(C62,'BASE DATOS PRECIOS '!B:B,'BASE DATOS PRECIOS '!E:E)</f>
        <v>DISCO CORTE FINO METAL 4-1/2</v>
      </c>
      <c r="F62" s="180">
        <f>+'1_OG y 2_ACA'!D451</f>
        <v>4</v>
      </c>
      <c r="G62" s="165" t="str">
        <f>+_xlfn.XLOOKUP(C62,'BASE DATOS PRECIOS '!B:B,'BASE DATOS PRECIOS '!F:F)</f>
        <v>UND</v>
      </c>
      <c r="H62" s="164">
        <f>+_xlfn.XLOOKUP(E62,'BASE DATOS PRECIOS '!E:E,'BASE DATOS PRECIOS '!H:H)</f>
        <v>3661.2</v>
      </c>
      <c r="I62" s="165"/>
      <c r="J62" s="165"/>
      <c r="K62" s="164">
        <f t="shared" si="35"/>
        <v>14644.8</v>
      </c>
      <c r="L62" s="164">
        <f t="shared" si="36"/>
        <v>0</v>
      </c>
      <c r="M62" s="164">
        <f t="shared" si="37"/>
        <v>0</v>
      </c>
      <c r="N62" s="164">
        <f t="shared" si="38"/>
        <v>14644.8</v>
      </c>
      <c r="O62" s="1084">
        <f t="shared" si="39"/>
        <v>28.43650485436893</v>
      </c>
    </row>
    <row r="63" spans="1:27" x14ac:dyDescent="0.2">
      <c r="A63" s="303"/>
      <c r="B63" s="833">
        <f t="shared" si="2"/>
        <v>1.2</v>
      </c>
      <c r="C63" s="775" t="s">
        <v>1922</v>
      </c>
      <c r="D63" s="823"/>
      <c r="E63" s="161" t="str">
        <f>+_xlfn.XLOOKUP(C63,'BASE DATOS PRECIOS '!B:B,'BASE DATOS PRECIOS '!E:E)</f>
        <v>DISCO CORTE METAL FINO 9"</v>
      </c>
      <c r="F63" s="180">
        <f>+F62</f>
        <v>4</v>
      </c>
      <c r="G63" s="165" t="str">
        <f>+_xlfn.XLOOKUP(C63,'BASE DATOS PRECIOS '!B:B,'BASE DATOS PRECIOS '!F:F)</f>
        <v>UND</v>
      </c>
      <c r="H63" s="164">
        <f>+_xlfn.XLOOKUP(E63,'BASE DATOS PRECIOS '!E:E,'BASE DATOS PRECIOS '!H:H)</f>
        <v>3037.6320999999998</v>
      </c>
      <c r="I63" s="165"/>
      <c r="J63" s="165"/>
      <c r="K63" s="164">
        <f t="shared" si="35"/>
        <v>12150.528399999999</v>
      </c>
      <c r="L63" s="164">
        <f t="shared" si="36"/>
        <v>0</v>
      </c>
      <c r="M63" s="164">
        <f t="shared" si="37"/>
        <v>0</v>
      </c>
      <c r="N63" s="164">
        <f t="shared" si="38"/>
        <v>12150.528399999999</v>
      </c>
      <c r="O63" s="1084">
        <f t="shared" si="39"/>
        <v>23.593259029126212</v>
      </c>
    </row>
    <row r="64" spans="1:27" x14ac:dyDescent="0.2">
      <c r="A64" s="1075" t="s">
        <v>2142</v>
      </c>
      <c r="B64" s="833">
        <f t="shared" si="2"/>
        <v>1.2</v>
      </c>
      <c r="C64" s="774" t="s">
        <v>36</v>
      </c>
      <c r="D64" s="210"/>
      <c r="E64" s="211" t="str">
        <f>+_xlfn.XLOOKUP(C64,'BASE DATOS MANO DE OBRA'!A:A,'BASE DATOS MANO DE OBRA'!B:B)</f>
        <v xml:space="preserve">OPERARIO PLUS </v>
      </c>
      <c r="F64" s="212">
        <f>+ROUNDUP('1_OG y 2_ACA'!F455,0)/2</f>
        <v>145</v>
      </c>
      <c r="G64" s="213" t="str">
        <f>+_xlfn.XLOOKUP(C64,'BASE DATOS MANO DE OBRA'!A:A,'BASE DATOS MANO DE OBRA'!C:C)</f>
        <v xml:space="preserve">hora </v>
      </c>
      <c r="H64" s="214">
        <v>0</v>
      </c>
      <c r="I64" s="214">
        <f>+_xlfn.XLOOKUP(C64,'BASE DATOS MANO DE OBRA'!A:A,'BASE DATOS MANO DE OBRA'!E:E)</f>
        <v>2850</v>
      </c>
      <c r="J64" s="214">
        <v>0</v>
      </c>
      <c r="K64" s="214">
        <f t="shared" si="35"/>
        <v>0</v>
      </c>
      <c r="L64" s="214">
        <f t="shared" si="36"/>
        <v>413250</v>
      </c>
      <c r="M64" s="214">
        <f t="shared" si="37"/>
        <v>0</v>
      </c>
      <c r="N64" s="214">
        <f t="shared" si="38"/>
        <v>413250</v>
      </c>
      <c r="O64" s="1086">
        <f t="shared" si="39"/>
        <v>802.42718446601941</v>
      </c>
    </row>
    <row r="65" spans="1:26" x14ac:dyDescent="0.2">
      <c r="A65" s="1075" t="s">
        <v>2142</v>
      </c>
      <c r="B65" s="833">
        <f t="shared" si="2"/>
        <v>1.2</v>
      </c>
      <c r="C65" s="774" t="s">
        <v>37</v>
      </c>
      <c r="D65" s="210"/>
      <c r="E65" s="211" t="str">
        <f>+_xlfn.XLOOKUP(C65,'BASE DATOS MANO DE OBRA'!A:A,'BASE DATOS MANO DE OBRA'!B:B)</f>
        <v xml:space="preserve">AYUDANTE PLUS </v>
      </c>
      <c r="F65" s="212">
        <f>+F64</f>
        <v>145</v>
      </c>
      <c r="G65" s="213" t="str">
        <f>+_xlfn.XLOOKUP(C65,'BASE DATOS MANO DE OBRA'!A:A,'BASE DATOS MANO DE OBRA'!C:C)</f>
        <v xml:space="preserve">hora </v>
      </c>
      <c r="H65" s="214">
        <v>0</v>
      </c>
      <c r="I65" s="214">
        <f>+_xlfn.XLOOKUP(C65,'BASE DATOS MANO DE OBRA'!A:A,'BASE DATOS MANO DE OBRA'!E:E)</f>
        <v>2325</v>
      </c>
      <c r="J65" s="214">
        <v>0</v>
      </c>
      <c r="K65" s="214">
        <f t="shared" si="35"/>
        <v>0</v>
      </c>
      <c r="L65" s="214">
        <f t="shared" si="36"/>
        <v>337125</v>
      </c>
      <c r="M65" s="214">
        <f t="shared" si="37"/>
        <v>0</v>
      </c>
      <c r="N65" s="214">
        <f t="shared" si="38"/>
        <v>337125</v>
      </c>
      <c r="O65" s="1086">
        <f t="shared" si="39"/>
        <v>654.61165048543694</v>
      </c>
    </row>
    <row r="66" spans="1:26" x14ac:dyDescent="0.2">
      <c r="A66" s="1075" t="s">
        <v>2143</v>
      </c>
      <c r="B66" s="833">
        <f t="shared" ref="B66:B133" si="45">VALUE(IF(AND(LEN(TRIM(C66))-LEN(SUBSTITUTE(TRIM(C66),".",""))=1,ISNUMBER(VALUE(SUBSTITUTE(TRIM(C66),".","")))),TRIM(C66),B65))</f>
        <v>1.2</v>
      </c>
      <c r="C66" s="774" t="s">
        <v>36</v>
      </c>
      <c r="D66" s="210"/>
      <c r="E66" s="211" t="str">
        <f>+_xlfn.XLOOKUP(C66,'BASE DATOS MANO DE OBRA'!A:A,'BASE DATOS MANO DE OBRA'!B:B)</f>
        <v xml:space="preserve">OPERARIO PLUS </v>
      </c>
      <c r="F66" s="212">
        <f>+ROUNDUP('1_OG y 2_ACA'!F531,0)/2</f>
        <v>70</v>
      </c>
      <c r="G66" s="213" t="str">
        <f>+_xlfn.XLOOKUP(C66,'BASE DATOS MANO DE OBRA'!A:A,'BASE DATOS MANO DE OBRA'!C:C)</f>
        <v xml:space="preserve">hora </v>
      </c>
      <c r="H66" s="214">
        <v>0</v>
      </c>
      <c r="I66" s="214">
        <f>+_xlfn.XLOOKUP(C66,'BASE DATOS MANO DE OBRA'!A:A,'BASE DATOS MANO DE OBRA'!E:E)</f>
        <v>2850</v>
      </c>
      <c r="J66" s="214">
        <v>0</v>
      </c>
      <c r="K66" s="214">
        <f t="shared" si="35"/>
        <v>0</v>
      </c>
      <c r="L66" s="214">
        <f t="shared" si="36"/>
        <v>199500</v>
      </c>
      <c r="M66" s="214">
        <f t="shared" si="37"/>
        <v>0</v>
      </c>
      <c r="N66" s="214">
        <f t="shared" si="38"/>
        <v>199500</v>
      </c>
      <c r="O66" s="1086">
        <f t="shared" si="39"/>
        <v>387.378640776699</v>
      </c>
    </row>
    <row r="67" spans="1:26" x14ac:dyDescent="0.2">
      <c r="A67" s="1075" t="s">
        <v>2143</v>
      </c>
      <c r="B67" s="833">
        <f t="shared" si="45"/>
        <v>1.2</v>
      </c>
      <c r="C67" s="774" t="s">
        <v>37</v>
      </c>
      <c r="D67" s="210"/>
      <c r="E67" s="211" t="str">
        <f>+_xlfn.XLOOKUP(C67,'BASE DATOS MANO DE OBRA'!A:A,'BASE DATOS MANO DE OBRA'!B:B)</f>
        <v xml:space="preserve">AYUDANTE PLUS </v>
      </c>
      <c r="F67" s="212">
        <f>+F66</f>
        <v>70</v>
      </c>
      <c r="G67" s="213" t="str">
        <f>+_xlfn.XLOOKUP(C67,'BASE DATOS MANO DE OBRA'!A:A,'BASE DATOS MANO DE OBRA'!C:C)</f>
        <v xml:space="preserve">hora </v>
      </c>
      <c r="H67" s="214">
        <v>0</v>
      </c>
      <c r="I67" s="214">
        <f>+_xlfn.XLOOKUP(C67,'BASE DATOS MANO DE OBRA'!A:A,'BASE DATOS MANO DE OBRA'!E:E)</f>
        <v>2325</v>
      </c>
      <c r="J67" s="214">
        <v>0</v>
      </c>
      <c r="K67" s="214">
        <f t="shared" si="35"/>
        <v>0</v>
      </c>
      <c r="L67" s="214">
        <f t="shared" si="36"/>
        <v>162750</v>
      </c>
      <c r="M67" s="214">
        <f t="shared" si="37"/>
        <v>0</v>
      </c>
      <c r="N67" s="214">
        <f t="shared" si="38"/>
        <v>162750</v>
      </c>
      <c r="O67" s="1086">
        <f t="shared" si="39"/>
        <v>316.01941747572818</v>
      </c>
    </row>
    <row r="68" spans="1:26" s="49" customFormat="1" ht="18.600000000000001" customHeight="1" collapsed="1" x14ac:dyDescent="0.2">
      <c r="A68" s="303"/>
      <c r="B68" s="833">
        <f t="shared" si="45"/>
        <v>1.2</v>
      </c>
      <c r="C68" s="770" t="s">
        <v>2043</v>
      </c>
      <c r="D68" s="453"/>
      <c r="E68" s="454" t="s">
        <v>1925</v>
      </c>
      <c r="F68" s="455">
        <f>+'1_OG y 2_ACA'!D462</f>
        <v>129.47999999999999</v>
      </c>
      <c r="G68" s="453" t="s">
        <v>78</v>
      </c>
      <c r="H68" s="453"/>
      <c r="I68" s="453"/>
      <c r="J68" s="453"/>
      <c r="K68" s="456">
        <f>+SUBTOTAL(9,K69:K83)</f>
        <v>1727659.2639199703</v>
      </c>
      <c r="L68" s="456">
        <f>+SUBTOTAL(9,L69:L83)</f>
        <v>980662.5</v>
      </c>
      <c r="M68" s="456">
        <f>+SUBTOTAL(9,M69:M83)</f>
        <v>276815.7</v>
      </c>
      <c r="N68" s="456">
        <f>+SUBTOTAL(9,N69:N83)</f>
        <v>2985137.4639199702</v>
      </c>
      <c r="O68" s="1082">
        <f>+SUBTOTAL(9,O69:O83)</f>
        <v>5796.3834250873206</v>
      </c>
      <c r="P68" s="416"/>
      <c r="Q68" s="457"/>
      <c r="R68" s="155"/>
    </row>
    <row r="69" spans="1:26" x14ac:dyDescent="0.2">
      <c r="A69" s="303"/>
      <c r="B69" s="833">
        <f t="shared" si="45"/>
        <v>1.2</v>
      </c>
      <c r="C69" s="303" t="s">
        <v>2191</v>
      </c>
      <c r="D69" s="822"/>
      <c r="E69" s="161" t="str">
        <f>+_xlfn.XLOOKUP(C69,'BASE DATOS PRECIOS '!B:B,'BASE DATOS PRECIOS '!E:E)</f>
        <v>ESPUMA EXPANSIVA 750ML</v>
      </c>
      <c r="F69" s="162">
        <f>+'1_OG y 2_ACA'!D499</f>
        <v>4</v>
      </c>
      <c r="G69" s="175" t="str">
        <f>+_xlfn.XLOOKUP(C69,'BASE DATOS PRECIOS '!B:B,'BASE DATOS PRECIOS '!F:F)</f>
        <v>UND</v>
      </c>
      <c r="H69" s="176">
        <f>+_xlfn.XLOOKUP(E69,'BASE DATOS PRECIOS '!E:E,'BASE DATOS PRECIOS '!H:H)</f>
        <v>6420.0045999999993</v>
      </c>
      <c r="I69" s="175"/>
      <c r="J69" s="175"/>
      <c r="K69" s="176">
        <f t="shared" ref="K69:K83" si="46">+F69*H69</f>
        <v>25680.018399999997</v>
      </c>
      <c r="L69" s="176">
        <f t="shared" ref="L69:L83" si="47">+F69*I69</f>
        <v>0</v>
      </c>
      <c r="M69" s="176">
        <f t="shared" ref="M69:M83" si="48">+F69*J69</f>
        <v>0</v>
      </c>
      <c r="N69" s="176">
        <f t="shared" ref="N69:N83" si="49">SUM(K69:M69)</f>
        <v>25680.018399999997</v>
      </c>
      <c r="O69" s="1083">
        <f t="shared" ref="O69:O83" si="50">SUM(K69:M69)/tc</f>
        <v>49.864113398058244</v>
      </c>
      <c r="P69" s="171"/>
      <c r="Q69" s="171"/>
      <c r="R69" s="172"/>
    </row>
    <row r="70" spans="1:26" x14ac:dyDescent="0.2">
      <c r="A70" s="303"/>
      <c r="B70" s="833">
        <f t="shared" ref="B70" si="51">VALUE(IF(AND(LEN(TRIM(C70))-LEN(SUBSTITUTE(TRIM(C70),".",""))=1,ISNUMBER(VALUE(SUBSTITUTE(TRIM(C70),".","")))),TRIM(C70),B69))</f>
        <v>1.2</v>
      </c>
      <c r="C70" s="303" t="s">
        <v>2576</v>
      </c>
      <c r="D70" s="822"/>
      <c r="E70" s="161" t="str">
        <f>+_xlfn.XLOOKUP(C70,'BASE DATOS PRECIOS '!B:B,'BASE DATOS PRECIOS '!E:E)</f>
        <v>FUNDAS DE 10CM</v>
      </c>
      <c r="F70" s="162">
        <f>'1_OG y 2_ACA'!D523</f>
        <v>600</v>
      </c>
      <c r="G70" s="175" t="str">
        <f>+_xlfn.XLOOKUP(C70,'BASE DATOS PRECIOS '!B:B,'BASE DATOS PRECIOS '!F:F)</f>
        <v>UND</v>
      </c>
      <c r="H70" s="176">
        <f>+_xlfn.XLOOKUP(E70,'BASE DATOS PRECIOS '!E:E,'BASE DATOS PRECIOS '!H:H)</f>
        <v>29.553228999999998</v>
      </c>
      <c r="I70" s="175"/>
      <c r="J70" s="175"/>
      <c r="K70" s="176">
        <f t="shared" ref="K70" si="52">+F70*H70</f>
        <v>17731.937399999999</v>
      </c>
      <c r="L70" s="176">
        <f t="shared" ref="L70" si="53">+F70*I70</f>
        <v>0</v>
      </c>
      <c r="M70" s="176">
        <f t="shared" ref="M70" si="54">+F70*J70</f>
        <v>0</v>
      </c>
      <c r="N70" s="176">
        <f t="shared" ref="N70" si="55">SUM(K70:M70)</f>
        <v>17731.937399999999</v>
      </c>
      <c r="O70" s="1083">
        <f t="shared" ref="O70" si="56">SUM(K70:M70)/tc</f>
        <v>34.430946407766989</v>
      </c>
      <c r="P70" s="171"/>
      <c r="Q70" s="171"/>
      <c r="R70" s="172"/>
    </row>
    <row r="71" spans="1:26" x14ac:dyDescent="0.2">
      <c r="A71" s="303"/>
      <c r="B71" s="833">
        <f t="shared" ref="B71" si="57">VALUE(IF(AND(LEN(TRIM(C71))-LEN(SUBSTITUTE(TRIM(C71),".",""))=1,ISNUMBER(VALUE(SUBSTITUTE(TRIM(C71),".","")))),TRIM(C71),B70))</f>
        <v>1.2</v>
      </c>
      <c r="C71" s="303" t="s">
        <v>2186</v>
      </c>
      <c r="D71" s="822"/>
      <c r="E71" s="161" t="str">
        <f>+_xlfn.XLOOKUP(C71,'BASE DATOS PRECIOS '!B:B,'BASE DATOS PRECIOS '!E:E)</f>
        <v>REGLA SEMIDURO 1X3X4 SIN CEPILLAR</v>
      </c>
      <c r="F71" s="162">
        <f>'1_OG y 2_ACA'!D524</f>
        <v>10</v>
      </c>
      <c r="G71" s="175" t="str">
        <f>+_xlfn.XLOOKUP(C71,'BASE DATOS PRECIOS '!B:B,'BASE DATOS PRECIOS '!F:F)</f>
        <v>UND</v>
      </c>
      <c r="H71" s="176">
        <f>+_xlfn.XLOOKUP(E71,'BASE DATOS PRECIOS '!E:E,'BASE DATOS PRECIOS '!H:H)</f>
        <v>1524.9914999999999</v>
      </c>
      <c r="I71" s="175"/>
      <c r="J71" s="175"/>
      <c r="K71" s="176">
        <f t="shared" ref="K71" si="58">+F71*H71</f>
        <v>15249.914999999999</v>
      </c>
      <c r="L71" s="176">
        <f t="shared" ref="L71" si="59">+F71*I71</f>
        <v>0</v>
      </c>
      <c r="M71" s="176">
        <f t="shared" ref="M71" si="60">+F71*J71</f>
        <v>0</v>
      </c>
      <c r="N71" s="176">
        <f t="shared" ref="N71" si="61">SUM(K71:M71)</f>
        <v>15249.914999999999</v>
      </c>
      <c r="O71" s="1083">
        <f t="shared" ref="O71" si="62">SUM(K71:M71)/tc</f>
        <v>29.611485436893201</v>
      </c>
      <c r="P71" s="171"/>
      <c r="Q71" s="171"/>
      <c r="R71" s="172"/>
    </row>
    <row r="72" spans="1:26" x14ac:dyDescent="0.2">
      <c r="A72" s="303"/>
      <c r="B72" s="833">
        <f t="shared" ref="B72" si="63">VALUE(IF(AND(LEN(TRIM(C72))-LEN(SUBSTITUTE(TRIM(C72),".",""))=1,ISNUMBER(VALUE(SUBSTITUTE(TRIM(C72),".","")))),TRIM(C72),B71))</f>
        <v>1.2</v>
      </c>
      <c r="C72" s="303" t="s">
        <v>2132</v>
      </c>
      <c r="D72" s="822"/>
      <c r="E72" s="161" t="str">
        <f>+_xlfn.XLOOKUP(C72,'BASE DATOS PRECIOS '!B:B,'BASE DATOS PRECIOS '!E:E)</f>
        <v>CLAVO ACERO 2 X 3.8MM CAJA (250)</v>
      </c>
      <c r="F72" s="162">
        <f>'1_OG y 2_ACA'!D525</f>
        <v>1</v>
      </c>
      <c r="G72" s="175" t="str">
        <f>+_xlfn.XLOOKUP(C72,'BASE DATOS PRECIOS '!B:B,'BASE DATOS PRECIOS '!F:F)</f>
        <v>CJ</v>
      </c>
      <c r="H72" s="176">
        <f>+_xlfn.XLOOKUP(E72,'BASE DATOS PRECIOS '!E:E,'BASE DATOS PRECIOS '!H:H)</f>
        <v>6370.3749999999991</v>
      </c>
      <c r="I72" s="175"/>
      <c r="J72" s="175"/>
      <c r="K72" s="176">
        <f t="shared" ref="K72" si="64">+F72*H72</f>
        <v>6370.3749999999991</v>
      </c>
      <c r="L72" s="176">
        <f t="shared" ref="L72" si="65">+F72*I72</f>
        <v>0</v>
      </c>
      <c r="M72" s="176">
        <f t="shared" ref="M72" si="66">+F72*J72</f>
        <v>0</v>
      </c>
      <c r="N72" s="176">
        <f t="shared" ref="N72" si="67">SUM(K72:M72)</f>
        <v>6370.3749999999991</v>
      </c>
      <c r="O72" s="1083">
        <f t="shared" ref="O72" si="68">SUM(K72:M72)/tc</f>
        <v>12.369660194174756</v>
      </c>
      <c r="P72" s="171"/>
      <c r="Q72" s="171"/>
      <c r="R72" s="172"/>
    </row>
    <row r="73" spans="1:26" x14ac:dyDescent="0.2">
      <c r="A73" s="303"/>
      <c r="B73" s="833">
        <f t="shared" ref="B73:B74" si="69">VALUE(IF(AND(LEN(TRIM(C73))-LEN(SUBSTITUTE(TRIM(C73),".",""))=1,ISNUMBER(VALUE(SUBSTITUTE(TRIM(C73),".","")))),TRIM(C73),B72))</f>
        <v>1.2</v>
      </c>
      <c r="C73" s="303" t="s">
        <v>3531</v>
      </c>
      <c r="D73" s="822"/>
      <c r="E73" s="161" t="str">
        <f>+_xlfn.XLOOKUP(C73,'BASE DATOS PRECIOS '!B:B,'BASE DATOS PRECIOS '!E:E)</f>
        <v>REPEMAX CAPA GRUESA 80XA-W2 (40KG)</v>
      </c>
      <c r="F73" s="162">
        <f>'1_OG y 2_ACA'!D526</f>
        <v>3</v>
      </c>
      <c r="G73" s="175" t="str">
        <f>+_xlfn.XLOOKUP(C73,'BASE DATOS PRECIOS '!B:B,'BASE DATOS PRECIOS '!F:F)</f>
        <v>SACO</v>
      </c>
      <c r="H73" s="176">
        <f>+_xlfn.XLOOKUP(E73,'BASE DATOS PRECIOS '!E:E,'BASE DATOS PRECIOS '!H:H)</f>
        <v>5527.4966999999997</v>
      </c>
      <c r="I73" s="175"/>
      <c r="J73" s="175"/>
      <c r="K73" s="176">
        <f t="shared" ref="K73:K74" si="70">+F73*H73</f>
        <v>16582.490099999999</v>
      </c>
      <c r="L73" s="176">
        <f t="shared" ref="L73:L74" si="71">+F73*I73</f>
        <v>0</v>
      </c>
      <c r="M73" s="176">
        <f t="shared" ref="M73:M74" si="72">+F73*J73</f>
        <v>0</v>
      </c>
      <c r="N73" s="176">
        <f t="shared" ref="N73:N74" si="73">SUM(K73:M73)</f>
        <v>16582.490099999999</v>
      </c>
      <c r="O73" s="1083">
        <f t="shared" ref="O73:O74" si="74">SUM(K73:M73)/tc</f>
        <v>32.199009902912621</v>
      </c>
      <c r="P73" s="171"/>
      <c r="Q73" s="171"/>
      <c r="R73" s="172"/>
    </row>
    <row r="74" spans="1:26" x14ac:dyDescent="0.2">
      <c r="A74" s="303"/>
      <c r="B74" s="833">
        <f t="shared" si="69"/>
        <v>1.2</v>
      </c>
      <c r="C74" s="303" t="s">
        <v>3533</v>
      </c>
      <c r="D74" s="822"/>
      <c r="E74" s="161" t="str">
        <f>+_xlfn.XLOOKUP(C74,'BASE DATOS PRECIOS '!B:B,'BASE DATOS PRECIOS '!E:E)</f>
        <v>PERNO ANCLAJE 3/8X3-1/2</v>
      </c>
      <c r="F74" s="162">
        <f>'1_OG y 2_ACA'!D527</f>
        <v>60</v>
      </c>
      <c r="G74" s="175" t="str">
        <f>+_xlfn.XLOOKUP(C74,'BASE DATOS PRECIOS '!B:B,'BASE DATOS PRECIOS '!F:F)</f>
        <v>UND</v>
      </c>
      <c r="H74" s="176">
        <f>+_xlfn.XLOOKUP(E74,'BASE DATOS PRECIOS '!E:E,'BASE DATOS PRECIOS '!H:H)</f>
        <v>156.81010000000001</v>
      </c>
      <c r="I74" s="175"/>
      <c r="J74" s="175"/>
      <c r="K74" s="176">
        <f t="shared" si="70"/>
        <v>9408.6059999999998</v>
      </c>
      <c r="L74" s="176">
        <f t="shared" si="71"/>
        <v>0</v>
      </c>
      <c r="M74" s="176">
        <f t="shared" si="72"/>
        <v>0</v>
      </c>
      <c r="N74" s="176">
        <f t="shared" si="73"/>
        <v>9408.6059999999998</v>
      </c>
      <c r="O74" s="1083">
        <f t="shared" si="74"/>
        <v>18.26913786407767</v>
      </c>
      <c r="P74" s="171"/>
      <c r="Q74" s="171"/>
      <c r="R74" s="172"/>
    </row>
    <row r="75" spans="1:26" x14ac:dyDescent="0.2">
      <c r="A75" s="303"/>
      <c r="B75" s="833">
        <f t="shared" ref="B75" si="75">VALUE(IF(AND(LEN(TRIM(C75))-LEN(SUBSTITUTE(TRIM(C75),".",""))=1,ISNUMBER(VALUE(SUBSTITUTE(TRIM(C75),".","")))),TRIM(C75),B74))</f>
        <v>1.2</v>
      </c>
      <c r="C75" s="303" t="s">
        <v>2180</v>
      </c>
      <c r="D75" s="822"/>
      <c r="E75" s="161" t="str">
        <f>+_xlfn.XLOOKUP(C75,'BASE DATOS PRECIOS '!B:B,'BASE DATOS PRECIOS '!E:E)</f>
        <v>CRAYON LYRA AMARILLO</v>
      </c>
      <c r="F75" s="162">
        <f>'1_OG y 2_ACA'!D528</f>
        <v>10</v>
      </c>
      <c r="G75" s="175" t="str">
        <f>+_xlfn.XLOOKUP(C75,'BASE DATOS PRECIOS '!B:B,'BASE DATOS PRECIOS '!F:F)</f>
        <v>UND</v>
      </c>
      <c r="H75" s="176">
        <f>+_xlfn.XLOOKUP(E75,'BASE DATOS PRECIOS '!E:E,'BASE DATOS PRECIOS '!H:H)</f>
        <v>340.01699999999994</v>
      </c>
      <c r="I75" s="175"/>
      <c r="J75" s="175"/>
      <c r="K75" s="176">
        <f t="shared" ref="K75" si="76">+F75*H75</f>
        <v>3400.1699999999992</v>
      </c>
      <c r="L75" s="176">
        <f t="shared" ref="L75" si="77">+F75*I75</f>
        <v>0</v>
      </c>
      <c r="M75" s="176">
        <f t="shared" ref="M75" si="78">+F75*J75</f>
        <v>0</v>
      </c>
      <c r="N75" s="176">
        <f t="shared" ref="N75" si="79">SUM(K75:M75)</f>
        <v>3400.1699999999992</v>
      </c>
      <c r="O75" s="1083">
        <f t="shared" ref="O75" si="80">SUM(K75:M75)/tc</f>
        <v>6.6022718446601925</v>
      </c>
      <c r="P75" s="171"/>
      <c r="Q75" s="171"/>
      <c r="R75" s="172"/>
    </row>
    <row r="76" spans="1:26" x14ac:dyDescent="0.2">
      <c r="A76" s="303"/>
      <c r="B76" s="833">
        <f t="shared" ref="B76:B77" si="81">VALUE(IF(AND(LEN(TRIM(C76))-LEN(SUBSTITUTE(TRIM(C76),".",""))=1,ISNUMBER(VALUE(SUBSTITUTE(TRIM(C76),".","")))),TRIM(C76),B75))</f>
        <v>1.2</v>
      </c>
      <c r="C76" s="303" t="s">
        <v>2437</v>
      </c>
      <c r="D76" s="822"/>
      <c r="E76" s="161" t="str">
        <f>+_xlfn.XLOOKUP(C76,'BASE DATOS PRECIOS '!B:B,'BASE DATOS PRECIOS '!E:E)</f>
        <v>CONCRETO FC 210 KG/CM2 AUTOCOMPACTABLE</v>
      </c>
      <c r="F76" s="162">
        <f>'1_OG y 2_ACA'!D491</f>
        <v>19.772550000000003</v>
      </c>
      <c r="G76" s="175" t="str">
        <f>+_xlfn.XLOOKUP(C76,'BASE DATOS PRECIOS '!B:B,'BASE DATOS PRECIOS '!F:F)</f>
        <v>M3</v>
      </c>
      <c r="H76" s="176">
        <f>+_xlfn.XLOOKUP(E76,'BASE DATOS PRECIOS '!E:E,'BASE DATOS PRECIOS '!H:H)</f>
        <v>82601.169399999999</v>
      </c>
      <c r="I76" s="175"/>
      <c r="J76" s="175"/>
      <c r="K76" s="176">
        <f t="shared" ref="K76" si="82">+F76*H76</f>
        <v>1633235.7520199702</v>
      </c>
      <c r="L76" s="176">
        <f t="shared" ref="L76" si="83">+F76*I76</f>
        <v>0</v>
      </c>
      <c r="M76" s="176">
        <f t="shared" ref="M76" si="84">+F76*J76</f>
        <v>0</v>
      </c>
      <c r="N76" s="176">
        <f t="shared" ref="N76" si="85">SUM(K76:M76)</f>
        <v>1633235.7520199702</v>
      </c>
      <c r="O76" s="1083">
        <f t="shared" ref="O76" si="86">SUM(K76:M76)/tc</f>
        <v>3171.3315573203304</v>
      </c>
      <c r="P76" s="171"/>
      <c r="Q76" s="171"/>
      <c r="R76" s="172"/>
    </row>
    <row r="77" spans="1:26" ht="15" customHeight="1" x14ac:dyDescent="0.2">
      <c r="A77" s="303"/>
      <c r="B77" s="833">
        <f t="shared" si="81"/>
        <v>1.2</v>
      </c>
      <c r="C77" s="773" t="s">
        <v>3472</v>
      </c>
      <c r="D77" s="448"/>
      <c r="E77" s="449" t="str">
        <f>+_xlfn.XLOOKUP(C77,'BASE DATOS EQUIPOS Y SUBCONTRAT'!A:A,'BASE DATOS EQUIPOS Y SUBCONTRAT'!B:B)</f>
        <v>BOMBA DE CONCRETO</v>
      </c>
      <c r="F77" s="450">
        <f>F76</f>
        <v>19.772550000000003</v>
      </c>
      <c r="G77" s="451" t="str">
        <f>+_xlfn.XLOOKUP(C77,'BASE DATOS EQUIPOS Y SUBCONTRAT'!A:A,'BASE DATOS EQUIPOS Y SUBCONTRAT'!C:C)</f>
        <v>M3</v>
      </c>
      <c r="H77" s="452">
        <v>0</v>
      </c>
      <c r="I77" s="451"/>
      <c r="J77" s="452">
        <v>14000</v>
      </c>
      <c r="K77" s="452">
        <f>+F77*H77</f>
        <v>0</v>
      </c>
      <c r="L77" s="452">
        <f>+F77*I77</f>
        <v>0</v>
      </c>
      <c r="M77" s="452">
        <f>+F77*J77</f>
        <v>276815.7</v>
      </c>
      <c r="N77" s="452">
        <f>SUM(K77:M77)</f>
        <v>276815.7</v>
      </c>
      <c r="O77" s="1085">
        <f>SUM(K77:M77)/tc</f>
        <v>537.50621359223305</v>
      </c>
      <c r="V77" s="157" t="str">
        <f>+C179</f>
        <v>M15-0001</v>
      </c>
      <c r="W77" s="157" t="str">
        <f>+E179</f>
        <v>BASE ALUMINIO NEGRA PARA TAPA DE POLYCARBONATO 6.40</v>
      </c>
      <c r="X77" s="712">
        <f>+L179</f>
        <v>0</v>
      </c>
      <c r="Y77" s="715">
        <f>+X77/$X$50</f>
        <v>0</v>
      </c>
      <c r="Z77" s="711">
        <f t="shared" ref="Z77" si="87">+X77/$Z$7</f>
        <v>0</v>
      </c>
    </row>
    <row r="78" spans="1:26" x14ac:dyDescent="0.2">
      <c r="A78" s="1075" t="s">
        <v>2143</v>
      </c>
      <c r="B78" s="833">
        <f>VALUE(IF(AND(LEN(TRIM(C78))-LEN(SUBSTITUTE(TRIM(C78),".",""))=1,ISNUMBER(VALUE(SUBSTITUTE(TRIM(C78),".","")))),TRIM(C78),B77))</f>
        <v>1.2</v>
      </c>
      <c r="C78" s="774" t="s">
        <v>36</v>
      </c>
      <c r="D78" s="210"/>
      <c r="E78" s="211" t="str">
        <f>+_xlfn.XLOOKUP(C78,'BASE DATOS MANO DE OBRA'!A:A,'BASE DATOS MANO DE OBRA'!B:B)</f>
        <v xml:space="preserve">OPERARIO PLUS </v>
      </c>
      <c r="F78" s="212">
        <f>+ROUNDUP('1_OG y 2_ACA'!F532,0)/2</f>
        <v>38.5</v>
      </c>
      <c r="G78" s="213" t="str">
        <f>+_xlfn.XLOOKUP(C78,'BASE DATOS MANO DE OBRA'!A:A,'BASE DATOS MANO DE OBRA'!C:C)</f>
        <v xml:space="preserve">hora </v>
      </c>
      <c r="H78" s="214">
        <v>0</v>
      </c>
      <c r="I78" s="214">
        <f>+_xlfn.XLOOKUP(C78,'BASE DATOS MANO DE OBRA'!A:A,'BASE DATOS MANO DE OBRA'!E:E)</f>
        <v>2850</v>
      </c>
      <c r="J78" s="214">
        <v>0</v>
      </c>
      <c r="K78" s="214">
        <f t="shared" si="46"/>
        <v>0</v>
      </c>
      <c r="L78" s="214">
        <f t="shared" si="47"/>
        <v>109725</v>
      </c>
      <c r="M78" s="214">
        <f t="shared" si="48"/>
        <v>0</v>
      </c>
      <c r="N78" s="214">
        <f t="shared" si="49"/>
        <v>109725</v>
      </c>
      <c r="O78" s="1086">
        <f t="shared" si="50"/>
        <v>213.05825242718447</v>
      </c>
      <c r="P78" s="171"/>
      <c r="Q78" s="171"/>
      <c r="R78" s="172"/>
    </row>
    <row r="79" spans="1:26" x14ac:dyDescent="0.2">
      <c r="A79" s="1075" t="s">
        <v>2143</v>
      </c>
      <c r="B79" s="833">
        <f t="shared" si="45"/>
        <v>1.2</v>
      </c>
      <c r="C79" s="774" t="s">
        <v>37</v>
      </c>
      <c r="D79" s="210"/>
      <c r="E79" s="211" t="str">
        <f>+_xlfn.XLOOKUP(C79,'BASE DATOS MANO DE OBRA'!A:A,'BASE DATOS MANO DE OBRA'!B:B)</f>
        <v xml:space="preserve">AYUDANTE PLUS </v>
      </c>
      <c r="F79" s="212">
        <f>+F78</f>
        <v>38.5</v>
      </c>
      <c r="G79" s="213" t="str">
        <f>+_xlfn.XLOOKUP(C79,'BASE DATOS MANO DE OBRA'!A:A,'BASE DATOS MANO DE OBRA'!C:C)</f>
        <v xml:space="preserve">hora </v>
      </c>
      <c r="H79" s="214">
        <v>0</v>
      </c>
      <c r="I79" s="214">
        <f>+_xlfn.XLOOKUP(C79,'BASE DATOS MANO DE OBRA'!A:A,'BASE DATOS MANO DE OBRA'!E:E)</f>
        <v>2325</v>
      </c>
      <c r="J79" s="214">
        <v>0</v>
      </c>
      <c r="K79" s="214">
        <f t="shared" si="46"/>
        <v>0</v>
      </c>
      <c r="L79" s="214">
        <f t="shared" si="47"/>
        <v>89512.5</v>
      </c>
      <c r="M79" s="214">
        <f t="shared" si="48"/>
        <v>0</v>
      </c>
      <c r="N79" s="214">
        <f t="shared" si="49"/>
        <v>89512.5</v>
      </c>
      <c r="O79" s="1086">
        <f t="shared" si="50"/>
        <v>173.8106796116505</v>
      </c>
      <c r="P79" s="171"/>
      <c r="Q79" s="171"/>
      <c r="R79" s="172"/>
    </row>
    <row r="80" spans="1:26" x14ac:dyDescent="0.2">
      <c r="A80" s="1075" t="s">
        <v>2143</v>
      </c>
      <c r="B80" s="833">
        <f t="shared" si="45"/>
        <v>1.2</v>
      </c>
      <c r="C80" s="774" t="s">
        <v>36</v>
      </c>
      <c r="D80" s="210"/>
      <c r="E80" s="211" t="str">
        <f>+_xlfn.XLOOKUP(C80,'BASE DATOS MANO DE OBRA'!A:A,'BASE DATOS MANO DE OBRA'!B:B)</f>
        <v xml:space="preserve">OPERARIO PLUS </v>
      </c>
      <c r="F80" s="212">
        <f>+ROUNDUP(('1_OG y 2_ACA'!F533+'1_OG y 2_ACA'!F531),0)/2</f>
        <v>87.5</v>
      </c>
      <c r="G80" s="213" t="str">
        <f>+_xlfn.XLOOKUP(C80,'BASE DATOS MANO DE OBRA'!A:A,'BASE DATOS MANO DE OBRA'!C:C)</f>
        <v xml:space="preserve">hora </v>
      </c>
      <c r="H80" s="214">
        <v>0</v>
      </c>
      <c r="I80" s="214">
        <f>+_xlfn.XLOOKUP(C80,'BASE DATOS MANO DE OBRA'!A:A,'BASE DATOS MANO DE OBRA'!E:E)</f>
        <v>2850</v>
      </c>
      <c r="J80" s="214">
        <v>0</v>
      </c>
      <c r="K80" s="214">
        <f t="shared" si="46"/>
        <v>0</v>
      </c>
      <c r="L80" s="214">
        <f t="shared" si="47"/>
        <v>249375</v>
      </c>
      <c r="M80" s="214">
        <f t="shared" si="48"/>
        <v>0</v>
      </c>
      <c r="N80" s="214">
        <f t="shared" si="49"/>
        <v>249375</v>
      </c>
      <c r="O80" s="1086">
        <f t="shared" si="50"/>
        <v>484.22330097087377</v>
      </c>
      <c r="P80" s="171"/>
      <c r="Q80" s="171"/>
      <c r="R80" s="172"/>
    </row>
    <row r="81" spans="1:18" x14ac:dyDescent="0.2">
      <c r="A81" s="1075" t="s">
        <v>2143</v>
      </c>
      <c r="B81" s="833">
        <f t="shared" si="45"/>
        <v>1.2</v>
      </c>
      <c r="C81" s="774" t="s">
        <v>37</v>
      </c>
      <c r="D81" s="210"/>
      <c r="E81" s="211" t="str">
        <f>+_xlfn.XLOOKUP(C81,'BASE DATOS MANO DE OBRA'!A:A,'BASE DATOS MANO DE OBRA'!B:B)</f>
        <v xml:space="preserve">AYUDANTE PLUS </v>
      </c>
      <c r="F81" s="212">
        <f>+F80</f>
        <v>87.5</v>
      </c>
      <c r="G81" s="213" t="str">
        <f>+_xlfn.XLOOKUP(C81,'BASE DATOS MANO DE OBRA'!A:A,'BASE DATOS MANO DE OBRA'!C:C)</f>
        <v xml:space="preserve">hora </v>
      </c>
      <c r="H81" s="214">
        <v>0</v>
      </c>
      <c r="I81" s="214">
        <f>+_xlfn.XLOOKUP(C81,'BASE DATOS MANO DE OBRA'!A:A,'BASE DATOS MANO DE OBRA'!E:E)</f>
        <v>2325</v>
      </c>
      <c r="J81" s="214">
        <v>0</v>
      </c>
      <c r="K81" s="214">
        <f t="shared" si="46"/>
        <v>0</v>
      </c>
      <c r="L81" s="214">
        <f t="shared" si="47"/>
        <v>203437.5</v>
      </c>
      <c r="M81" s="214">
        <f t="shared" si="48"/>
        <v>0</v>
      </c>
      <c r="N81" s="214">
        <f t="shared" si="49"/>
        <v>203437.5</v>
      </c>
      <c r="O81" s="1086">
        <f t="shared" si="50"/>
        <v>395.02427184466018</v>
      </c>
      <c r="P81" s="171"/>
      <c r="Q81" s="171"/>
      <c r="R81" s="172"/>
    </row>
    <row r="82" spans="1:18" x14ac:dyDescent="0.2">
      <c r="A82" s="1075" t="s">
        <v>3503</v>
      </c>
      <c r="B82" s="833">
        <f t="shared" si="45"/>
        <v>1.2</v>
      </c>
      <c r="C82" s="774" t="s">
        <v>36</v>
      </c>
      <c r="D82" s="210"/>
      <c r="E82" s="211" t="str">
        <f>+_xlfn.XLOOKUP(C82,'BASE DATOS MANO DE OBRA'!A:A,'BASE DATOS MANO DE OBRA'!B:B)</f>
        <v xml:space="preserve">OPERARIO PLUS </v>
      </c>
      <c r="F82" s="212">
        <f>+ROUNDUP(('1_OG y 2_ACA'!F534+'1_OG y 2_ACA'!F535),0)/2</f>
        <v>63.5</v>
      </c>
      <c r="G82" s="213" t="str">
        <f>+_xlfn.XLOOKUP(C82,'BASE DATOS MANO DE OBRA'!A:A,'BASE DATOS MANO DE OBRA'!C:C)</f>
        <v xml:space="preserve">hora </v>
      </c>
      <c r="H82" s="214">
        <v>0</v>
      </c>
      <c r="I82" s="214">
        <f>+_xlfn.XLOOKUP(C82,'BASE DATOS MANO DE OBRA'!A:A,'BASE DATOS MANO DE OBRA'!E:E)</f>
        <v>2850</v>
      </c>
      <c r="J82" s="214">
        <v>0</v>
      </c>
      <c r="K82" s="214">
        <f t="shared" si="46"/>
        <v>0</v>
      </c>
      <c r="L82" s="214">
        <f t="shared" si="47"/>
        <v>180975</v>
      </c>
      <c r="M82" s="214">
        <f t="shared" si="48"/>
        <v>0</v>
      </c>
      <c r="N82" s="214">
        <f t="shared" si="49"/>
        <v>180975</v>
      </c>
      <c r="O82" s="1086">
        <f t="shared" si="50"/>
        <v>351.40776699029124</v>
      </c>
      <c r="P82" s="171"/>
      <c r="Q82" s="171"/>
      <c r="R82" s="172"/>
    </row>
    <row r="83" spans="1:18" ht="15" customHeight="1" x14ac:dyDescent="0.2">
      <c r="A83" s="1075" t="s">
        <v>3503</v>
      </c>
      <c r="B83" s="833">
        <f t="shared" si="45"/>
        <v>1.2</v>
      </c>
      <c r="C83" s="774" t="s">
        <v>37</v>
      </c>
      <c r="D83" s="210"/>
      <c r="E83" s="211" t="str">
        <f>+_xlfn.XLOOKUP(C83,'BASE DATOS MANO DE OBRA'!A:A,'BASE DATOS MANO DE OBRA'!B:B)</f>
        <v xml:space="preserve">AYUDANTE PLUS </v>
      </c>
      <c r="F83" s="212">
        <f>+F82</f>
        <v>63.5</v>
      </c>
      <c r="G83" s="213" t="str">
        <f>+_xlfn.XLOOKUP(C83,'BASE DATOS MANO DE OBRA'!A:A,'BASE DATOS MANO DE OBRA'!C:C)</f>
        <v xml:space="preserve">hora </v>
      </c>
      <c r="H83" s="214">
        <v>0</v>
      </c>
      <c r="I83" s="214">
        <f>+_xlfn.XLOOKUP(C83,'BASE DATOS MANO DE OBRA'!A:A,'BASE DATOS MANO DE OBRA'!E:E)</f>
        <v>2325</v>
      </c>
      <c r="J83" s="214">
        <v>0</v>
      </c>
      <c r="K83" s="214">
        <f t="shared" si="46"/>
        <v>0</v>
      </c>
      <c r="L83" s="214">
        <f t="shared" si="47"/>
        <v>147637.5</v>
      </c>
      <c r="M83" s="214">
        <f t="shared" si="48"/>
        <v>0</v>
      </c>
      <c r="N83" s="214">
        <f t="shared" si="49"/>
        <v>147637.5</v>
      </c>
      <c r="O83" s="1086">
        <f t="shared" si="50"/>
        <v>286.67475728155341</v>
      </c>
      <c r="P83" s="171"/>
      <c r="Q83" s="171"/>
      <c r="R83" s="172"/>
    </row>
    <row r="84" spans="1:18" s="49" customFormat="1" ht="18.600000000000001" customHeight="1" collapsed="1" x14ac:dyDescent="0.2">
      <c r="A84" s="303"/>
      <c r="B84" s="833">
        <f t="shared" si="45"/>
        <v>1.2</v>
      </c>
      <c r="C84" s="770" t="s">
        <v>2192</v>
      </c>
      <c r="D84" s="453"/>
      <c r="E84" s="454" t="s">
        <v>125</v>
      </c>
      <c r="F84" s="455">
        <v>1</v>
      </c>
      <c r="G84" s="453" t="s">
        <v>29</v>
      </c>
      <c r="H84" s="453"/>
      <c r="I84" s="453"/>
      <c r="J84" s="453"/>
      <c r="K84" s="456">
        <f>+SUBTOTAL(9,K85:K88)</f>
        <v>0</v>
      </c>
      <c r="L84" s="456">
        <f>+SUBTOTAL(9,L85:L88)</f>
        <v>0</v>
      </c>
      <c r="M84" s="456">
        <f>+SUBTOTAL(9,M85:M88)</f>
        <v>0</v>
      </c>
      <c r="N84" s="456">
        <f>+SUBTOTAL(9,N85:N88)</f>
        <v>0</v>
      </c>
      <c r="O84" s="1082">
        <f>+SUBTOTAL(9,O85:O88)</f>
        <v>0</v>
      </c>
      <c r="P84" s="416"/>
      <c r="Q84" s="457"/>
      <c r="R84" s="155"/>
    </row>
    <row r="85" spans="1:18" x14ac:dyDescent="0.2">
      <c r="A85" s="303"/>
      <c r="B85" s="833">
        <f t="shared" si="45"/>
        <v>1.2</v>
      </c>
      <c r="C85" s="780"/>
      <c r="D85" s="215"/>
      <c r="E85" s="318"/>
      <c r="F85" s="183"/>
      <c r="G85" s="184"/>
      <c r="H85" s="184"/>
      <c r="I85" s="184"/>
      <c r="J85" s="184"/>
      <c r="K85" s="185"/>
      <c r="L85" s="185"/>
      <c r="M85" s="185"/>
      <c r="N85" s="185"/>
      <c r="O85" s="1088"/>
      <c r="P85" s="171"/>
      <c r="Q85" s="171"/>
      <c r="R85" s="172"/>
    </row>
    <row r="86" spans="1:18" x14ac:dyDescent="0.2">
      <c r="A86" s="303"/>
      <c r="B86" s="833">
        <f t="shared" si="45"/>
        <v>1.2</v>
      </c>
      <c r="C86" s="780"/>
      <c r="D86" s="215"/>
      <c r="E86" s="318"/>
      <c r="F86" s="183"/>
      <c r="G86" s="184"/>
      <c r="H86" s="216"/>
      <c r="I86" s="184"/>
      <c r="J86" s="184"/>
      <c r="K86" s="185"/>
      <c r="L86" s="185"/>
      <c r="M86" s="185"/>
      <c r="N86" s="185"/>
      <c r="O86" s="1088"/>
      <c r="P86" s="171"/>
      <c r="Q86" s="171"/>
      <c r="R86" s="172"/>
    </row>
    <row r="87" spans="1:18" x14ac:dyDescent="0.2">
      <c r="A87" s="1074"/>
      <c r="B87" s="833">
        <f t="shared" si="45"/>
        <v>1.2</v>
      </c>
      <c r="C87" s="774" t="s">
        <v>36</v>
      </c>
      <c r="D87" s="210"/>
      <c r="E87" s="211" t="str">
        <f>+_xlfn.XLOOKUP(C87,'BASE DATOS MANO DE OBRA'!A:A,'BASE DATOS MANO DE OBRA'!B:B)</f>
        <v xml:space="preserve">OPERARIO PLUS </v>
      </c>
      <c r="F87" s="212">
        <v>0</v>
      </c>
      <c r="G87" s="213" t="str">
        <f>+_xlfn.XLOOKUP(C87,'BASE DATOS MANO DE OBRA'!A:A,'BASE DATOS MANO DE OBRA'!C:C)</f>
        <v xml:space="preserve">hora </v>
      </c>
      <c r="H87" s="214">
        <v>0</v>
      </c>
      <c r="I87" s="214">
        <f>+_xlfn.XLOOKUP(C87,'BASE DATOS MANO DE OBRA'!A:A,'BASE DATOS MANO DE OBRA'!E:E)</f>
        <v>2850</v>
      </c>
      <c r="J87" s="214">
        <v>0</v>
      </c>
      <c r="K87" s="214">
        <f>+F87*H87</f>
        <v>0</v>
      </c>
      <c r="L87" s="214">
        <f>+F87*I87</f>
        <v>0</v>
      </c>
      <c r="M87" s="214">
        <f>+F87*J87</f>
        <v>0</v>
      </c>
      <c r="N87" s="214">
        <f>SUM(K87:M87)</f>
        <v>0</v>
      </c>
      <c r="O87" s="1086">
        <f>SUM(K87:M87)/tc</f>
        <v>0</v>
      </c>
      <c r="P87" s="171"/>
      <c r="Q87" s="171"/>
      <c r="R87" s="172"/>
    </row>
    <row r="88" spans="1:18" x14ac:dyDescent="0.2">
      <c r="A88" s="303"/>
      <c r="B88" s="833">
        <f t="shared" si="45"/>
        <v>1.2</v>
      </c>
      <c r="C88" s="774" t="s">
        <v>37</v>
      </c>
      <c r="D88" s="210"/>
      <c r="E88" s="211" t="str">
        <f>+_xlfn.XLOOKUP(C88,'BASE DATOS MANO DE OBRA'!A:A,'BASE DATOS MANO DE OBRA'!B:B)</f>
        <v xml:space="preserve">AYUDANTE PLUS </v>
      </c>
      <c r="F88" s="212">
        <v>0</v>
      </c>
      <c r="G88" s="213" t="str">
        <f>+_xlfn.XLOOKUP(C88,'BASE DATOS MANO DE OBRA'!A:A,'BASE DATOS MANO DE OBRA'!C:C)</f>
        <v xml:space="preserve">hora </v>
      </c>
      <c r="H88" s="214">
        <v>0</v>
      </c>
      <c r="I88" s="214">
        <f>+_xlfn.XLOOKUP(C88,'BASE DATOS MANO DE OBRA'!A:A,'BASE DATOS MANO DE OBRA'!E:E)</f>
        <v>2325</v>
      </c>
      <c r="J88" s="214">
        <v>0</v>
      </c>
      <c r="K88" s="214">
        <f>+F88*H88</f>
        <v>0</v>
      </c>
      <c r="L88" s="214">
        <f>+F88*I88</f>
        <v>0</v>
      </c>
      <c r="M88" s="214">
        <f>+F88*J88</f>
        <v>0</v>
      </c>
      <c r="N88" s="214">
        <f>SUM(K88:M88)</f>
        <v>0</v>
      </c>
      <c r="O88" s="1086">
        <f>SUM(K88:M88)/tc</f>
        <v>0</v>
      </c>
      <c r="P88" s="171"/>
      <c r="Q88" s="171"/>
      <c r="R88" s="172"/>
    </row>
    <row r="89" spans="1:18" s="49" customFormat="1" ht="18.600000000000001" customHeight="1" collapsed="1" x14ac:dyDescent="0.2">
      <c r="A89" s="303"/>
      <c r="B89" s="833">
        <f t="shared" si="45"/>
        <v>1.2</v>
      </c>
      <c r="C89" s="770" t="s">
        <v>2045</v>
      </c>
      <c r="D89" s="453"/>
      <c r="E89" s="454" t="s">
        <v>1926</v>
      </c>
      <c r="F89" s="455">
        <f>+'1_OG y 2_ACA'!D647</f>
        <v>132.88</v>
      </c>
      <c r="G89" s="453" t="s">
        <v>137</v>
      </c>
      <c r="H89" s="453"/>
      <c r="I89" s="453"/>
      <c r="J89" s="453"/>
      <c r="K89" s="456">
        <f>+SUBTOTAL(9,K91:K100)</f>
        <v>423822.74861745152</v>
      </c>
      <c r="L89" s="456">
        <f>+SUBTOTAL(9,L91:L100)</f>
        <v>859050</v>
      </c>
      <c r="M89" s="456">
        <f>+SUBTOTAL(9,M91:M100)</f>
        <v>0</v>
      </c>
      <c r="N89" s="456">
        <f>+SUBTOTAL(9,N90:N100)</f>
        <v>1336660.7486174516</v>
      </c>
      <c r="O89" s="1082">
        <f>+SUBTOTAL(9,O91:O100)</f>
        <v>2491.0150458591288</v>
      </c>
      <c r="P89" s="416"/>
      <c r="Q89" s="457"/>
      <c r="R89" s="155"/>
    </row>
    <row r="90" spans="1:18" s="49" customFormat="1" ht="18.600000000000001" customHeight="1" x14ac:dyDescent="0.2">
      <c r="A90" s="303"/>
      <c r="B90" s="833">
        <f t="shared" si="45"/>
        <v>1.2</v>
      </c>
      <c r="C90" s="775" t="s">
        <v>1918</v>
      </c>
      <c r="D90" s="834" t="s">
        <v>24</v>
      </c>
      <c r="E90" s="161" t="s">
        <v>3502</v>
      </c>
      <c r="F90" s="162">
        <f>'1_OG y 2_ACA'!D630</f>
        <v>40</v>
      </c>
      <c r="G90" s="165" t="str">
        <f>+_xlfn.XLOOKUP(C90,'BASE DATOS PRECIOS '!B:B,'BASE DATOS PRECIOS '!F:F)</f>
        <v>UND</v>
      </c>
      <c r="H90" s="164">
        <f>+_xlfn.XLOOKUP(E90,'BASE DATOS PRECIOS '!E:E,'BASE DATOS PRECIOS '!H:H)</f>
        <v>1344.6999999999998</v>
      </c>
      <c r="I90" s="165"/>
      <c r="J90" s="165"/>
      <c r="K90" s="164">
        <f t="shared" ref="K90" si="88">+F90*H90</f>
        <v>53787.999999999993</v>
      </c>
      <c r="L90" s="164">
        <f t="shared" ref="L90" si="89">+F90*I90</f>
        <v>0</v>
      </c>
      <c r="M90" s="164">
        <f t="shared" ref="M90" si="90">+F90*J90</f>
        <v>0</v>
      </c>
      <c r="N90" s="164">
        <f t="shared" ref="N90" si="91">SUM(K90:M90)</f>
        <v>53787.999999999993</v>
      </c>
      <c r="O90" s="1084">
        <f t="shared" ref="O90" si="92">SUM(K90:M90)/tc</f>
        <v>104.44271844660193</v>
      </c>
      <c r="P90" s="416"/>
      <c r="Q90" s="457"/>
      <c r="R90" s="155"/>
    </row>
    <row r="91" spans="1:18" x14ac:dyDescent="0.2">
      <c r="A91" s="303"/>
      <c r="B91" s="833">
        <f t="shared" si="45"/>
        <v>1.2</v>
      </c>
      <c r="C91" s="775" t="s">
        <v>1918</v>
      </c>
      <c r="D91" s="834" t="s">
        <v>109</v>
      </c>
      <c r="E91" s="161" t="s">
        <v>3502</v>
      </c>
      <c r="F91" s="162">
        <f>'1_OG y 2_ACA'!D631</f>
        <v>162</v>
      </c>
      <c r="G91" s="165" t="str">
        <f>+_xlfn.XLOOKUP(C91,'BASE DATOS PRECIOS '!B:B,'BASE DATOS PRECIOS '!F:F)</f>
        <v>UND</v>
      </c>
      <c r="H91" s="164">
        <f>+_xlfn.XLOOKUP(E91,'BASE DATOS PRECIOS '!E:E,'BASE DATOS PRECIOS '!H:H)</f>
        <v>1344.6999999999998</v>
      </c>
      <c r="I91" s="165"/>
      <c r="J91" s="165"/>
      <c r="K91" s="164">
        <f t="shared" ref="K91:K100" si="93">+F91*H91</f>
        <v>217841.39999999997</v>
      </c>
      <c r="L91" s="164">
        <f t="shared" ref="L91:L100" si="94">+F91*I91</f>
        <v>0</v>
      </c>
      <c r="M91" s="164">
        <f t="shared" ref="M91:M100" si="95">+F91*J91</f>
        <v>0</v>
      </c>
      <c r="N91" s="164">
        <f t="shared" ref="N91:N100" si="96">SUM(K91:M91)</f>
        <v>217841.39999999997</v>
      </c>
      <c r="O91" s="1084">
        <f t="shared" ref="O91:O100" si="97">SUM(K91:M91)/tc</f>
        <v>422.99300970873782</v>
      </c>
      <c r="P91" s="769"/>
    </row>
    <row r="92" spans="1:18" x14ac:dyDescent="0.2">
      <c r="A92" s="303"/>
      <c r="B92" s="833">
        <f t="shared" si="45"/>
        <v>1.2</v>
      </c>
      <c r="C92" s="775" t="s">
        <v>1919</v>
      </c>
      <c r="D92" s="823"/>
      <c r="E92" s="161" t="str">
        <f>+_xlfn.XLOOKUP(C92,'BASE DATOS PRECIOS '!B:B,'BASE DATOS PRECIOS '!E:E)</f>
        <v>VARILLA DEFORME #4</v>
      </c>
      <c r="F92" s="162">
        <f>+'1_OG y 2_ACA'!D632</f>
        <v>21.5</v>
      </c>
      <c r="G92" s="165" t="str">
        <f>+_xlfn.XLOOKUP(C92,'BASE DATOS PRECIOS '!B:B,'BASE DATOS PRECIOS '!F:F)</f>
        <v>UND</v>
      </c>
      <c r="H92" s="164">
        <f>+_xlfn.XLOOKUP(E92,'BASE DATOS PRECIOS '!E:E,'BASE DATOS PRECIOS '!H:H)</f>
        <v>2395.6</v>
      </c>
      <c r="I92" s="165"/>
      <c r="J92" s="165"/>
      <c r="K92" s="164">
        <f t="shared" si="93"/>
        <v>51505.4</v>
      </c>
      <c r="L92" s="164">
        <f t="shared" si="94"/>
        <v>0</v>
      </c>
      <c r="M92" s="164">
        <f t="shared" si="95"/>
        <v>0</v>
      </c>
      <c r="N92" s="164">
        <f t="shared" si="96"/>
        <v>51505.4</v>
      </c>
      <c r="O92" s="1084">
        <f t="shared" si="97"/>
        <v>100.01048543689321</v>
      </c>
      <c r="P92" s="171"/>
    </row>
    <row r="93" spans="1:18" x14ac:dyDescent="0.2">
      <c r="A93" s="303"/>
      <c r="B93" s="833">
        <f t="shared" si="45"/>
        <v>1.2</v>
      </c>
      <c r="C93" s="775" t="s">
        <v>2187</v>
      </c>
      <c r="D93" s="823"/>
      <c r="E93" s="161" t="str">
        <f>+_xlfn.XLOOKUP(C93,'BASE DATOS PRECIOS '!B:B,'BASE DATOS PRECIOS '!E:E)</f>
        <v>MALLA ELECTROSOLDADA #2 (5.3 MM)</v>
      </c>
      <c r="F93" s="162">
        <f>+'1_OG y 2_ACA'!D633</f>
        <v>5.8171745152354566</v>
      </c>
      <c r="G93" s="165" t="str">
        <f>+_xlfn.XLOOKUP(C93,'BASE DATOS PRECIOS '!B:B,'BASE DATOS PRECIOS '!F:F)</f>
        <v>UND</v>
      </c>
      <c r="H93" s="164">
        <f>+_xlfn.XLOOKUP(E93,'BASE DATOS PRECIOS '!E:E,'BASE DATOS PRECIOS '!H:H)</f>
        <v>18762.497399999997</v>
      </c>
      <c r="I93" s="165"/>
      <c r="J93" s="165"/>
      <c r="K93" s="164">
        <f t="shared" si="93"/>
        <v>109144.7217174515</v>
      </c>
      <c r="L93" s="164">
        <f t="shared" si="94"/>
        <v>0</v>
      </c>
      <c r="M93" s="164">
        <f t="shared" si="95"/>
        <v>0</v>
      </c>
      <c r="N93" s="164">
        <f t="shared" si="96"/>
        <v>109144.7217174515</v>
      </c>
      <c r="O93" s="1084">
        <f t="shared" si="97"/>
        <v>211.93149848048833</v>
      </c>
      <c r="P93" s="171"/>
    </row>
    <row r="94" spans="1:18" x14ac:dyDescent="0.2">
      <c r="A94" s="303"/>
      <c r="B94" s="833">
        <f t="shared" si="45"/>
        <v>1.2</v>
      </c>
      <c r="C94" s="775" t="s">
        <v>1920</v>
      </c>
      <c r="D94" s="823"/>
      <c r="E94" s="161" t="str">
        <f>+_xlfn.XLOOKUP(C94,'BASE DATOS PRECIOS '!B:B,'BASE DATOS PRECIOS '!E:E)</f>
        <v>ALAMBRE NEGRO #16 (1.68MM)</v>
      </c>
      <c r="F94" s="162">
        <f>+'1_OG y 2_ACA'!D634</f>
        <v>43</v>
      </c>
      <c r="G94" s="165" t="str">
        <f>+_xlfn.XLOOKUP(C94,'BASE DATOS PRECIOS '!B:B,'BASE DATOS PRECIOS '!F:F)</f>
        <v>KG</v>
      </c>
      <c r="H94" s="164">
        <f>+_xlfn.XLOOKUP(E94,'BASE DATOS PRECIOS '!E:E,'BASE DATOS PRECIOS '!H:H)</f>
        <v>586.85419999999999</v>
      </c>
      <c r="I94" s="165"/>
      <c r="J94" s="165"/>
      <c r="K94" s="164">
        <f t="shared" si="93"/>
        <v>25234.730599999999</v>
      </c>
      <c r="L94" s="164">
        <f t="shared" si="94"/>
        <v>0</v>
      </c>
      <c r="M94" s="164">
        <f t="shared" si="95"/>
        <v>0</v>
      </c>
      <c r="N94" s="164">
        <f t="shared" si="96"/>
        <v>25234.730599999999</v>
      </c>
      <c r="O94" s="1084">
        <f t="shared" si="97"/>
        <v>48.999476893203884</v>
      </c>
      <c r="P94" s="171"/>
    </row>
    <row r="95" spans="1:18" x14ac:dyDescent="0.2">
      <c r="A95" s="303"/>
      <c r="B95" s="833">
        <f t="shared" si="45"/>
        <v>1.2</v>
      </c>
      <c r="C95" s="775" t="s">
        <v>1923</v>
      </c>
      <c r="D95" s="823"/>
      <c r="E95" s="161" t="str">
        <f>+_xlfn.XLOOKUP(C95,'BASE DATOS PRECIOS '!B:B,'BASE DATOS PRECIOS '!E:E)</f>
        <v>DISCO CORTE FINO METAL 4-1/2</v>
      </c>
      <c r="F95" s="162">
        <f>+'1_OG y 2_ACA'!D635</f>
        <v>3</v>
      </c>
      <c r="G95" s="165" t="str">
        <f>+_xlfn.XLOOKUP(C95,'BASE DATOS PRECIOS '!B:B,'BASE DATOS PRECIOS '!F:F)</f>
        <v>UND</v>
      </c>
      <c r="H95" s="164">
        <f>+_xlfn.XLOOKUP(E95,'BASE DATOS PRECIOS '!E:E,'BASE DATOS PRECIOS '!H:H)</f>
        <v>3661.2</v>
      </c>
      <c r="I95" s="165"/>
      <c r="J95" s="165"/>
      <c r="K95" s="164">
        <f t="shared" si="93"/>
        <v>10983.599999999999</v>
      </c>
      <c r="L95" s="164">
        <f t="shared" si="94"/>
        <v>0</v>
      </c>
      <c r="M95" s="164">
        <f t="shared" si="95"/>
        <v>0</v>
      </c>
      <c r="N95" s="164">
        <f t="shared" si="96"/>
        <v>10983.599999999999</v>
      </c>
      <c r="O95" s="1084">
        <f t="shared" si="97"/>
        <v>21.327378640776697</v>
      </c>
      <c r="P95" s="171"/>
    </row>
    <row r="96" spans="1:18" x14ac:dyDescent="0.2">
      <c r="A96" s="303"/>
      <c r="B96" s="833">
        <f t="shared" si="45"/>
        <v>1.2</v>
      </c>
      <c r="C96" s="775" t="s">
        <v>1922</v>
      </c>
      <c r="D96" s="823"/>
      <c r="E96" s="161" t="str">
        <f>+_xlfn.XLOOKUP(C96,'BASE DATOS PRECIOS '!B:B,'BASE DATOS PRECIOS '!E:E)</f>
        <v>DISCO CORTE METAL FINO 9"</v>
      </c>
      <c r="F96" s="162">
        <f>+'1_OG y 2_ACA'!D636</f>
        <v>3</v>
      </c>
      <c r="G96" s="165" t="str">
        <f>+_xlfn.XLOOKUP(C96,'BASE DATOS PRECIOS '!B:B,'BASE DATOS PRECIOS '!F:F)</f>
        <v>UND</v>
      </c>
      <c r="H96" s="164">
        <f>+_xlfn.XLOOKUP(E96,'BASE DATOS PRECIOS '!E:E,'BASE DATOS PRECIOS '!H:H)</f>
        <v>3037.6320999999998</v>
      </c>
      <c r="I96" s="165"/>
      <c r="J96" s="165"/>
      <c r="K96" s="164">
        <f t="shared" si="93"/>
        <v>9112.8963000000003</v>
      </c>
      <c r="L96" s="164">
        <f t="shared" si="94"/>
        <v>0</v>
      </c>
      <c r="M96" s="164">
        <f t="shared" si="95"/>
        <v>0</v>
      </c>
      <c r="N96" s="164">
        <f t="shared" si="96"/>
        <v>9112.8963000000003</v>
      </c>
      <c r="O96" s="1084">
        <f t="shared" si="97"/>
        <v>17.694944271844662</v>
      </c>
    </row>
    <row r="97" spans="1:26" x14ac:dyDescent="0.2">
      <c r="A97" s="1075" t="s">
        <v>2142</v>
      </c>
      <c r="B97" s="833">
        <f t="shared" si="45"/>
        <v>1.2</v>
      </c>
      <c r="C97" s="774" t="s">
        <v>36</v>
      </c>
      <c r="D97" s="210"/>
      <c r="E97" s="211" t="str">
        <f>+_xlfn.XLOOKUP(C97,'BASE DATOS MANO DE OBRA'!A:A,'BASE DATOS MANO DE OBRA'!B:B)</f>
        <v xml:space="preserve">OPERARIO PLUS </v>
      </c>
      <c r="F97" s="212">
        <f>+ROUNDUP('1_OG y 2_ACA'!F639,0)/2</f>
        <v>96</v>
      </c>
      <c r="G97" s="213" t="str">
        <f>+_xlfn.XLOOKUP(C97,'BASE DATOS MANO DE OBRA'!A:A,'BASE DATOS MANO DE OBRA'!C:C)</f>
        <v xml:space="preserve">hora </v>
      </c>
      <c r="H97" s="214">
        <v>0</v>
      </c>
      <c r="I97" s="214">
        <f>+_xlfn.XLOOKUP(C97,'BASE DATOS MANO DE OBRA'!A:A,'BASE DATOS MANO DE OBRA'!E:E)</f>
        <v>2850</v>
      </c>
      <c r="J97" s="214">
        <v>0</v>
      </c>
      <c r="K97" s="214">
        <f t="shared" si="93"/>
        <v>0</v>
      </c>
      <c r="L97" s="214">
        <f t="shared" si="94"/>
        <v>273600</v>
      </c>
      <c r="M97" s="214">
        <f t="shared" si="95"/>
        <v>0</v>
      </c>
      <c r="N97" s="214">
        <f t="shared" si="96"/>
        <v>273600</v>
      </c>
      <c r="O97" s="1086">
        <f t="shared" si="97"/>
        <v>531.26213592233012</v>
      </c>
      <c r="P97" s="171"/>
    </row>
    <row r="98" spans="1:26" x14ac:dyDescent="0.2">
      <c r="A98" s="1075" t="s">
        <v>2142</v>
      </c>
      <c r="B98" s="833">
        <f t="shared" si="45"/>
        <v>1.2</v>
      </c>
      <c r="C98" s="774" t="s">
        <v>37</v>
      </c>
      <c r="D98" s="210"/>
      <c r="E98" s="211" t="str">
        <f>+_xlfn.XLOOKUP(C98,'BASE DATOS MANO DE OBRA'!A:A,'BASE DATOS MANO DE OBRA'!B:B)</f>
        <v xml:space="preserve">AYUDANTE PLUS </v>
      </c>
      <c r="F98" s="212">
        <f>+F97</f>
        <v>96</v>
      </c>
      <c r="G98" s="213" t="str">
        <f>+_xlfn.XLOOKUP(C98,'BASE DATOS MANO DE OBRA'!A:A,'BASE DATOS MANO DE OBRA'!C:C)</f>
        <v xml:space="preserve">hora </v>
      </c>
      <c r="H98" s="214">
        <v>0</v>
      </c>
      <c r="I98" s="214">
        <f>+_xlfn.XLOOKUP(C98,'BASE DATOS MANO DE OBRA'!A:A,'BASE DATOS MANO DE OBRA'!E:E)</f>
        <v>2325</v>
      </c>
      <c r="J98" s="214">
        <v>0</v>
      </c>
      <c r="K98" s="214">
        <f t="shared" si="93"/>
        <v>0</v>
      </c>
      <c r="L98" s="214">
        <f t="shared" si="94"/>
        <v>223200</v>
      </c>
      <c r="M98" s="214">
        <f t="shared" si="95"/>
        <v>0</v>
      </c>
      <c r="N98" s="214">
        <f t="shared" si="96"/>
        <v>223200</v>
      </c>
      <c r="O98" s="1086">
        <f t="shared" si="97"/>
        <v>433.39805825242718</v>
      </c>
      <c r="P98" s="171"/>
    </row>
    <row r="99" spans="1:26" x14ac:dyDescent="0.2">
      <c r="A99" s="1075" t="s">
        <v>2143</v>
      </c>
      <c r="B99" s="833">
        <f t="shared" si="45"/>
        <v>1.2</v>
      </c>
      <c r="C99" s="774" t="s">
        <v>36</v>
      </c>
      <c r="D99" s="210"/>
      <c r="E99" s="211" t="str">
        <f>+_xlfn.XLOOKUP(C99,'BASE DATOS MANO DE OBRA'!A:A,'BASE DATOS MANO DE OBRA'!B:B)</f>
        <v xml:space="preserve">OPERARIO PLUS </v>
      </c>
      <c r="F99" s="212">
        <f>+ROUNDUP('1_OG y 2_ACA'!F715,0)/2</f>
        <v>70</v>
      </c>
      <c r="G99" s="213" t="str">
        <f>+_xlfn.XLOOKUP(C99,'BASE DATOS MANO DE OBRA'!A:A,'BASE DATOS MANO DE OBRA'!C:C)</f>
        <v xml:space="preserve">hora </v>
      </c>
      <c r="H99" s="214">
        <v>0</v>
      </c>
      <c r="I99" s="214">
        <f>+_xlfn.XLOOKUP(C99,'BASE DATOS MANO DE OBRA'!A:A,'BASE DATOS MANO DE OBRA'!E:E)</f>
        <v>2850</v>
      </c>
      <c r="J99" s="214">
        <v>0</v>
      </c>
      <c r="K99" s="214">
        <f t="shared" si="93"/>
        <v>0</v>
      </c>
      <c r="L99" s="214">
        <f t="shared" si="94"/>
        <v>199500</v>
      </c>
      <c r="M99" s="214">
        <f t="shared" si="95"/>
        <v>0</v>
      </c>
      <c r="N99" s="214">
        <f t="shared" si="96"/>
        <v>199500</v>
      </c>
      <c r="O99" s="1086">
        <f t="shared" si="97"/>
        <v>387.378640776699</v>
      </c>
      <c r="P99" s="171"/>
    </row>
    <row r="100" spans="1:26" x14ac:dyDescent="0.2">
      <c r="A100" s="1075" t="s">
        <v>2143</v>
      </c>
      <c r="B100" s="833">
        <f t="shared" si="45"/>
        <v>1.2</v>
      </c>
      <c r="C100" s="774" t="s">
        <v>37</v>
      </c>
      <c r="D100" s="210"/>
      <c r="E100" s="211" t="str">
        <f>+_xlfn.XLOOKUP(C100,'BASE DATOS MANO DE OBRA'!A:A,'BASE DATOS MANO DE OBRA'!B:B)</f>
        <v xml:space="preserve">AYUDANTE PLUS </v>
      </c>
      <c r="F100" s="212">
        <f>+F99</f>
        <v>70</v>
      </c>
      <c r="G100" s="213" t="str">
        <f>+_xlfn.XLOOKUP(C100,'BASE DATOS MANO DE OBRA'!A:A,'BASE DATOS MANO DE OBRA'!C:C)</f>
        <v xml:space="preserve">hora </v>
      </c>
      <c r="H100" s="214">
        <v>0</v>
      </c>
      <c r="I100" s="214">
        <f>+_xlfn.XLOOKUP(C100,'BASE DATOS MANO DE OBRA'!A:A,'BASE DATOS MANO DE OBRA'!E:E)</f>
        <v>2325</v>
      </c>
      <c r="J100" s="214">
        <v>0</v>
      </c>
      <c r="K100" s="214">
        <f t="shared" si="93"/>
        <v>0</v>
      </c>
      <c r="L100" s="214">
        <f t="shared" si="94"/>
        <v>162750</v>
      </c>
      <c r="M100" s="214">
        <f t="shared" si="95"/>
        <v>0</v>
      </c>
      <c r="N100" s="214">
        <f t="shared" si="96"/>
        <v>162750</v>
      </c>
      <c r="O100" s="1086">
        <f t="shared" si="97"/>
        <v>316.01941747572818</v>
      </c>
      <c r="P100" s="171"/>
    </row>
    <row r="101" spans="1:26" s="49" customFormat="1" ht="18.600000000000001" customHeight="1" collapsed="1" x14ac:dyDescent="0.2">
      <c r="A101" s="303"/>
      <c r="B101" s="833">
        <f t="shared" si="45"/>
        <v>1.2</v>
      </c>
      <c r="C101" s="770" t="s">
        <v>2046</v>
      </c>
      <c r="D101" s="453"/>
      <c r="E101" s="454" t="s">
        <v>1927</v>
      </c>
      <c r="F101" s="455">
        <f>+'1_OG y 2_ACA'!D647</f>
        <v>132.88</v>
      </c>
      <c r="G101" s="453" t="s">
        <v>137</v>
      </c>
      <c r="H101" s="453"/>
      <c r="I101" s="453"/>
      <c r="J101" s="453"/>
      <c r="K101" s="456">
        <f>+SUBTOTAL(9,K102:K114)</f>
        <v>1555752.2858228448</v>
      </c>
      <c r="L101" s="456">
        <f>+SUBTOTAL(9,L102:L114)</f>
        <v>424350</v>
      </c>
      <c r="M101" s="456">
        <f>+SUBTOTAL(9,M102:M114)</f>
        <v>254144.44999999995</v>
      </c>
      <c r="N101" s="456">
        <f>+SUBTOTAL(9,N102:N114)</f>
        <v>2234246.7358228448</v>
      </c>
      <c r="O101" s="1082">
        <f>+SUBTOTAL(9,O102:O114)</f>
        <v>4338.3431763550379</v>
      </c>
      <c r="P101" s="416"/>
      <c r="R101" s="49">
        <v>1853757.3855999999</v>
      </c>
    </row>
    <row r="102" spans="1:26" x14ac:dyDescent="0.2">
      <c r="A102" s="303"/>
      <c r="B102" s="833">
        <f t="shared" si="45"/>
        <v>1.2</v>
      </c>
      <c r="C102" s="303" t="s">
        <v>2576</v>
      </c>
      <c r="D102" s="822"/>
      <c r="E102" s="161" t="str">
        <f>+_xlfn.XLOOKUP(C102,'BASE DATOS PRECIOS '!B:B,'BASE DATOS PRECIOS '!E:E)</f>
        <v>FUNDAS DE 10CM</v>
      </c>
      <c r="F102" s="162">
        <f>'1_OG y 2_ACA'!D708</f>
        <v>600</v>
      </c>
      <c r="G102" s="175" t="str">
        <f>+_xlfn.XLOOKUP(C102,'BASE DATOS PRECIOS '!B:B,'BASE DATOS PRECIOS '!F:F)</f>
        <v>UND</v>
      </c>
      <c r="H102" s="176">
        <f>+_xlfn.XLOOKUP(E102,'BASE DATOS PRECIOS '!E:E,'BASE DATOS PRECIOS '!H:H)</f>
        <v>29.553228999999998</v>
      </c>
      <c r="I102" s="175"/>
      <c r="J102" s="175"/>
      <c r="K102" s="176">
        <f t="shared" ref="K102:K114" si="98">+F102*H102</f>
        <v>17731.937399999999</v>
      </c>
      <c r="L102" s="176">
        <f t="shared" ref="L102:L114" si="99">+F102*I102</f>
        <v>0</v>
      </c>
      <c r="M102" s="176">
        <f t="shared" ref="M102:M114" si="100">+F102*J102</f>
        <v>0</v>
      </c>
      <c r="N102" s="176">
        <f t="shared" ref="N102:N114" si="101">SUM(K102:M102)</f>
        <v>17731.937399999999</v>
      </c>
      <c r="O102" s="1083">
        <f t="shared" ref="O102:O114" si="102">SUM(K102:M102)/tc</f>
        <v>34.430946407766989</v>
      </c>
      <c r="P102" s="171"/>
      <c r="Q102" s="171"/>
      <c r="R102" s="172"/>
    </row>
    <row r="103" spans="1:26" x14ac:dyDescent="0.2">
      <c r="A103" s="303"/>
      <c r="B103" s="833">
        <f t="shared" si="45"/>
        <v>1.2</v>
      </c>
      <c r="C103" s="303" t="s">
        <v>2132</v>
      </c>
      <c r="D103" s="822"/>
      <c r="E103" s="161" t="str">
        <f>+_xlfn.XLOOKUP(C103,'BASE DATOS PRECIOS '!B:B,'BASE DATOS PRECIOS '!E:E)</f>
        <v>CLAVO ACERO 2 X 3.8MM CAJA (250)</v>
      </c>
      <c r="F103" s="162">
        <f>'1_OG y 2_ACA'!D709</f>
        <v>1</v>
      </c>
      <c r="G103" s="175" t="str">
        <f>+_xlfn.XLOOKUP(C103,'BASE DATOS PRECIOS '!B:B,'BASE DATOS PRECIOS '!F:F)</f>
        <v>CJ</v>
      </c>
      <c r="H103" s="176">
        <f>+_xlfn.XLOOKUP(E103,'BASE DATOS PRECIOS '!E:E,'BASE DATOS PRECIOS '!H:H)</f>
        <v>6370.3749999999991</v>
      </c>
      <c r="I103" s="175"/>
      <c r="J103" s="175"/>
      <c r="K103" s="176">
        <f t="shared" si="98"/>
        <v>6370.3749999999991</v>
      </c>
      <c r="L103" s="176">
        <f t="shared" si="99"/>
        <v>0</v>
      </c>
      <c r="M103" s="176">
        <f t="shared" si="100"/>
        <v>0</v>
      </c>
      <c r="N103" s="176">
        <f t="shared" si="101"/>
        <v>6370.3749999999991</v>
      </c>
      <c r="O103" s="1083">
        <f t="shared" si="102"/>
        <v>12.369660194174756</v>
      </c>
      <c r="P103" s="171"/>
      <c r="Q103" s="171"/>
      <c r="R103" s="172"/>
    </row>
    <row r="104" spans="1:26" x14ac:dyDescent="0.2">
      <c r="A104" s="303"/>
      <c r="B104" s="833">
        <f>VALUE(IF(AND(LEN(TRIM(C104))-LEN(SUBSTITUTE(TRIM(C104),".",""))=1,ISNUMBER(VALUE(SUBSTITUTE(TRIM(C104),".","")))),TRIM(C104),B102))</f>
        <v>1.2</v>
      </c>
      <c r="C104" s="303" t="s">
        <v>3531</v>
      </c>
      <c r="D104" s="822"/>
      <c r="E104" s="161" t="str">
        <f>+_xlfn.XLOOKUP(C104,'BASE DATOS PRECIOS '!B:B,'BASE DATOS PRECIOS '!E:E)</f>
        <v>REPEMAX CAPA GRUESA 80XA-W2 (40KG)</v>
      </c>
      <c r="F104" s="162">
        <f>'1_OG y 2_ACA'!D710</f>
        <v>3</v>
      </c>
      <c r="G104" s="175" t="str">
        <f>+_xlfn.XLOOKUP(C104,'BASE DATOS PRECIOS '!B:B,'BASE DATOS PRECIOS '!F:F)</f>
        <v>SACO</v>
      </c>
      <c r="H104" s="176">
        <f>+_xlfn.XLOOKUP(E104,'BASE DATOS PRECIOS '!E:E,'BASE DATOS PRECIOS '!H:H)</f>
        <v>5527.4966999999997</v>
      </c>
      <c r="I104" s="175"/>
      <c r="J104" s="175"/>
      <c r="K104" s="176">
        <f t="shared" si="98"/>
        <v>16582.490099999999</v>
      </c>
      <c r="L104" s="176">
        <f t="shared" si="99"/>
        <v>0</v>
      </c>
      <c r="M104" s="176">
        <f t="shared" si="100"/>
        <v>0</v>
      </c>
      <c r="N104" s="176">
        <f t="shared" si="101"/>
        <v>16582.490099999999</v>
      </c>
      <c r="O104" s="1083">
        <f t="shared" si="102"/>
        <v>32.199009902912621</v>
      </c>
      <c r="P104" s="171"/>
      <c r="Q104" s="171"/>
      <c r="R104" s="172"/>
    </row>
    <row r="105" spans="1:26" x14ac:dyDescent="0.2">
      <c r="A105" s="303"/>
      <c r="B105" s="833">
        <f t="shared" ref="B105:B106" si="103">VALUE(IF(AND(LEN(TRIM(C105))-LEN(SUBSTITUTE(TRIM(C105),".",""))=1,ISNUMBER(VALUE(SUBSTITUTE(TRIM(C105),".","")))),TRIM(C105),B104))</f>
        <v>1.2</v>
      </c>
      <c r="C105" s="303" t="s">
        <v>1991</v>
      </c>
      <c r="D105" s="822"/>
      <c r="E105" s="161" t="str">
        <f>+_xlfn.XLOOKUP(C105,'BASE DATOS PRECIOS '!B:B,'BASE DATOS PRECIOS '!E:E)</f>
        <v>SEPARADORES TIPO CONO 12CM SP450</v>
      </c>
      <c r="F105" s="162">
        <f>'1_OG y 2_ACA'!D711</f>
        <v>60</v>
      </c>
      <c r="G105" s="175" t="str">
        <f>+_xlfn.XLOOKUP(C105,'BASE DATOS PRECIOS '!B:B,'BASE DATOS PRECIOS '!F:F)</f>
        <v>UND</v>
      </c>
      <c r="H105" s="176">
        <f>+_xlfn.XLOOKUP(E105,'BASE DATOS PRECIOS '!E:E,'BASE DATOS PRECIOS '!H:H)</f>
        <v>203.39999999999998</v>
      </c>
      <c r="I105" s="175"/>
      <c r="J105" s="175"/>
      <c r="K105" s="176">
        <f t="shared" ref="K105:K106" si="104">+F105*H105</f>
        <v>12203.999999999998</v>
      </c>
      <c r="L105" s="176">
        <f t="shared" ref="L105:L106" si="105">+F105*I105</f>
        <v>0</v>
      </c>
      <c r="M105" s="176">
        <f t="shared" ref="M105:M106" si="106">+F105*J105</f>
        <v>0</v>
      </c>
      <c r="N105" s="176">
        <f t="shared" ref="N105:N106" si="107">SUM(K105:M105)</f>
        <v>12203.999999999998</v>
      </c>
      <c r="O105" s="1083">
        <f t="shared" ref="O105:O106" si="108">SUM(K105:M105)/tc</f>
        <v>23.697087378640774</v>
      </c>
      <c r="P105" s="171"/>
      <c r="Q105" s="171"/>
      <c r="R105" s="172"/>
    </row>
    <row r="106" spans="1:26" x14ac:dyDescent="0.2">
      <c r="A106" s="303"/>
      <c r="B106" s="833">
        <f t="shared" si="103"/>
        <v>1.2</v>
      </c>
      <c r="C106" s="303" t="s">
        <v>2189</v>
      </c>
      <c r="D106" s="822"/>
      <c r="E106" s="161" t="str">
        <f>+_xlfn.XLOOKUP(C106,'BASE DATOS PRECIOS '!B:B,'BASE DATOS PRECIOS '!E:E)</f>
        <v>SEPARADOR TIPO CONO 2.5CM (1") SP125</v>
      </c>
      <c r="F106" s="162">
        <f>'1_OG y 2_ACA'!D712</f>
        <v>60</v>
      </c>
      <c r="G106" s="175" t="str">
        <f>+_xlfn.XLOOKUP(C106,'BASE DATOS PRECIOS '!B:B,'BASE DATOS PRECIOS '!F:F)</f>
        <v>UND</v>
      </c>
      <c r="H106" s="176">
        <f>+_xlfn.XLOOKUP(E106,'BASE DATOS PRECIOS '!E:E,'BASE DATOS PRECIOS '!H:H)</f>
        <v>56.499999999999993</v>
      </c>
      <c r="I106" s="175"/>
      <c r="J106" s="175"/>
      <c r="K106" s="176">
        <f t="shared" si="104"/>
        <v>3389.9999999999995</v>
      </c>
      <c r="L106" s="176">
        <f t="shared" si="105"/>
        <v>0</v>
      </c>
      <c r="M106" s="176">
        <f t="shared" si="106"/>
        <v>0</v>
      </c>
      <c r="N106" s="176">
        <f t="shared" si="107"/>
        <v>3389.9999999999995</v>
      </c>
      <c r="O106" s="1083">
        <f t="shared" si="108"/>
        <v>6.582524271844659</v>
      </c>
      <c r="P106" s="171"/>
      <c r="Q106" s="171"/>
      <c r="R106" s="172"/>
    </row>
    <row r="107" spans="1:26" x14ac:dyDescent="0.2">
      <c r="A107" s="303"/>
      <c r="B107" s="833">
        <f t="shared" ref="B107:B108" si="109">VALUE(IF(AND(LEN(TRIM(C107))-LEN(SUBSTITUTE(TRIM(C107),".",""))=1,ISNUMBER(VALUE(SUBSTITUTE(TRIM(C107),".","")))),TRIM(C107),B106))</f>
        <v>1.2</v>
      </c>
      <c r="C107" s="303" t="s">
        <v>2437</v>
      </c>
      <c r="D107" s="822"/>
      <c r="E107" s="161" t="str">
        <f>+_xlfn.XLOOKUP(C107,'BASE DATOS PRECIOS '!B:B,'BASE DATOS PRECIOS '!E:E)</f>
        <v>CONCRETO FC 210 KG/CM2 AUTOCOMPACTABLE</v>
      </c>
      <c r="F107" s="162">
        <f>'1_OG y 2_ACA'!D677</f>
        <v>18.153174999999997</v>
      </c>
      <c r="G107" s="175" t="str">
        <f>+_xlfn.XLOOKUP(C107,'BASE DATOS PRECIOS '!B:B,'BASE DATOS PRECIOS '!F:F)</f>
        <v>M3</v>
      </c>
      <c r="H107" s="176">
        <f>+_xlfn.XLOOKUP(E107,'BASE DATOS PRECIOS '!E:E,'BASE DATOS PRECIOS '!H:H)</f>
        <v>82601.169399999999</v>
      </c>
      <c r="I107" s="175"/>
      <c r="J107" s="175"/>
      <c r="K107" s="176">
        <f t="shared" ref="K107" si="110">+F107*H107</f>
        <v>1499473.4833228448</v>
      </c>
      <c r="L107" s="176">
        <f t="shared" ref="L107" si="111">+F107*I107</f>
        <v>0</v>
      </c>
      <c r="M107" s="176">
        <f t="shared" ref="M107" si="112">+F107*J107</f>
        <v>0</v>
      </c>
      <c r="N107" s="176">
        <f t="shared" ref="N107" si="113">SUM(K107:M107)</f>
        <v>1499473.4833228448</v>
      </c>
      <c r="O107" s="1083">
        <f t="shared" ref="O107" si="114">SUM(K107:M107)/tc</f>
        <v>2911.5989967433879</v>
      </c>
      <c r="P107" s="171"/>
      <c r="Q107" s="171"/>
      <c r="R107" s="172"/>
    </row>
    <row r="108" spans="1:26" ht="15" customHeight="1" x14ac:dyDescent="0.2">
      <c r="A108" s="303"/>
      <c r="B108" s="833">
        <f t="shared" si="109"/>
        <v>1.2</v>
      </c>
      <c r="C108" s="773" t="s">
        <v>3472</v>
      </c>
      <c r="D108" s="448"/>
      <c r="E108" s="449" t="str">
        <f>+_xlfn.XLOOKUP(C108,'BASE DATOS EQUIPOS Y SUBCONTRAT'!A:A,'BASE DATOS EQUIPOS Y SUBCONTRAT'!B:B)</f>
        <v>BOMBA DE CONCRETO</v>
      </c>
      <c r="F108" s="450">
        <f>F107</f>
        <v>18.153174999999997</v>
      </c>
      <c r="G108" s="451" t="str">
        <f>+_xlfn.XLOOKUP(C108,'BASE DATOS EQUIPOS Y SUBCONTRAT'!A:A,'BASE DATOS EQUIPOS Y SUBCONTRAT'!C:C)</f>
        <v>M3</v>
      </c>
      <c r="H108" s="452">
        <v>0</v>
      </c>
      <c r="I108" s="451"/>
      <c r="J108" s="452">
        <v>14000</v>
      </c>
      <c r="K108" s="452">
        <f>+F108*H108</f>
        <v>0</v>
      </c>
      <c r="L108" s="452">
        <f>+F108*I108</f>
        <v>0</v>
      </c>
      <c r="M108" s="452">
        <f>+F108*J108</f>
        <v>254144.44999999995</v>
      </c>
      <c r="N108" s="452">
        <f>SUM(K108:M108)</f>
        <v>254144.44999999995</v>
      </c>
      <c r="O108" s="1085">
        <f>SUM(K108:M108)/tc</f>
        <v>493.48436893203876</v>
      </c>
      <c r="V108" s="157" t="str">
        <f>+C209</f>
        <v xml:space="preserve">OPERARIO </v>
      </c>
      <c r="W108" s="157" t="str">
        <f>+E209</f>
        <v xml:space="preserve">OPERARIO PLUS </v>
      </c>
      <c r="X108" s="712">
        <f>+L209</f>
        <v>0</v>
      </c>
      <c r="Y108" s="715">
        <f>+X108/$X$50</f>
        <v>0</v>
      </c>
      <c r="Z108" s="711">
        <f t="shared" ref="Z108" si="115">+X108/$Z$7</f>
        <v>0</v>
      </c>
    </row>
    <row r="109" spans="1:26" x14ac:dyDescent="0.2">
      <c r="A109" s="1075" t="s">
        <v>2143</v>
      </c>
      <c r="B109" s="833">
        <f t="shared" si="45"/>
        <v>1.2</v>
      </c>
      <c r="C109" s="774" t="s">
        <v>36</v>
      </c>
      <c r="D109" s="210"/>
      <c r="E109" s="211" t="str">
        <f>+_xlfn.XLOOKUP(C109,'BASE DATOS MANO DE OBRA'!A:A,'BASE DATOS MANO DE OBRA'!B:B)</f>
        <v xml:space="preserve">OPERARIO PLUS </v>
      </c>
      <c r="F109" s="212">
        <f>+ROUNDUP('1_OG y 2_ACA'!F716,0)/2</f>
        <v>35.5</v>
      </c>
      <c r="G109" s="213" t="str">
        <f>+_xlfn.XLOOKUP(C109,'BASE DATOS MANO DE OBRA'!A:A,'BASE DATOS MANO DE OBRA'!C:C)</f>
        <v xml:space="preserve">hora </v>
      </c>
      <c r="H109" s="214">
        <v>0</v>
      </c>
      <c r="I109" s="214">
        <f>+_xlfn.XLOOKUP(C109,'BASE DATOS MANO DE OBRA'!A:A,'BASE DATOS MANO DE OBRA'!E:E)</f>
        <v>2850</v>
      </c>
      <c r="J109" s="214">
        <v>0</v>
      </c>
      <c r="K109" s="214">
        <f t="shared" si="98"/>
        <v>0</v>
      </c>
      <c r="L109" s="214">
        <f t="shared" si="99"/>
        <v>101175</v>
      </c>
      <c r="M109" s="214">
        <f t="shared" si="100"/>
        <v>0</v>
      </c>
      <c r="N109" s="214">
        <f t="shared" si="101"/>
        <v>101175</v>
      </c>
      <c r="O109" s="1086">
        <f t="shared" si="102"/>
        <v>196.45631067961165</v>
      </c>
    </row>
    <row r="110" spans="1:26" x14ac:dyDescent="0.2">
      <c r="A110" s="1075" t="s">
        <v>2143</v>
      </c>
      <c r="B110" s="833">
        <f t="shared" si="45"/>
        <v>1.2</v>
      </c>
      <c r="C110" s="774" t="s">
        <v>37</v>
      </c>
      <c r="D110" s="210"/>
      <c r="E110" s="211" t="str">
        <f>+_xlfn.XLOOKUP(C110,'BASE DATOS MANO DE OBRA'!A:A,'BASE DATOS MANO DE OBRA'!B:B)</f>
        <v xml:space="preserve">AYUDANTE PLUS </v>
      </c>
      <c r="F110" s="212">
        <f>+F109</f>
        <v>35.5</v>
      </c>
      <c r="G110" s="213" t="str">
        <f>+_xlfn.XLOOKUP(C110,'BASE DATOS MANO DE OBRA'!A:A,'BASE DATOS MANO DE OBRA'!C:C)</f>
        <v xml:space="preserve">hora </v>
      </c>
      <c r="H110" s="214">
        <v>0</v>
      </c>
      <c r="I110" s="214">
        <f>+_xlfn.XLOOKUP(C110,'BASE DATOS MANO DE OBRA'!A:A,'BASE DATOS MANO DE OBRA'!E:E)</f>
        <v>2325</v>
      </c>
      <c r="J110" s="214">
        <v>0</v>
      </c>
      <c r="K110" s="214">
        <f t="shared" si="98"/>
        <v>0</v>
      </c>
      <c r="L110" s="214">
        <f t="shared" si="99"/>
        <v>82537.5</v>
      </c>
      <c r="M110" s="214">
        <f t="shared" si="100"/>
        <v>0</v>
      </c>
      <c r="N110" s="214">
        <f t="shared" si="101"/>
        <v>82537.5</v>
      </c>
      <c r="O110" s="1086">
        <f t="shared" si="102"/>
        <v>160.26699029126215</v>
      </c>
    </row>
    <row r="111" spans="1:26" x14ac:dyDescent="0.2">
      <c r="A111" s="1075" t="s">
        <v>2143</v>
      </c>
      <c r="B111" s="833">
        <f t="shared" si="45"/>
        <v>1.2</v>
      </c>
      <c r="C111" s="774" t="s">
        <v>36</v>
      </c>
      <c r="D111" s="210"/>
      <c r="E111" s="211" t="str">
        <f>+_xlfn.XLOOKUP(C111,'BASE DATOS MANO DE OBRA'!A:A,'BASE DATOS MANO DE OBRA'!B:B)</f>
        <v xml:space="preserve">OPERARIO PLUS </v>
      </c>
      <c r="F111" s="212">
        <f>+ROUNDUP('1_OG y 2_ACA'!F717,0)/2</f>
        <v>17.5</v>
      </c>
      <c r="G111" s="213" t="str">
        <f>+_xlfn.XLOOKUP(C111,'BASE DATOS MANO DE OBRA'!A:A,'BASE DATOS MANO DE OBRA'!C:C)</f>
        <v xml:space="preserve">hora </v>
      </c>
      <c r="H111" s="214">
        <v>0</v>
      </c>
      <c r="I111" s="214">
        <f>+_xlfn.XLOOKUP(C111,'BASE DATOS MANO DE OBRA'!A:A,'BASE DATOS MANO DE OBRA'!E:E)</f>
        <v>2850</v>
      </c>
      <c r="J111" s="214">
        <v>0</v>
      </c>
      <c r="K111" s="214">
        <f t="shared" si="98"/>
        <v>0</v>
      </c>
      <c r="L111" s="214">
        <f t="shared" si="99"/>
        <v>49875</v>
      </c>
      <c r="M111" s="214">
        <f t="shared" si="100"/>
        <v>0</v>
      </c>
      <c r="N111" s="214">
        <f t="shared" si="101"/>
        <v>49875</v>
      </c>
      <c r="O111" s="1086">
        <f t="shared" si="102"/>
        <v>96.84466019417475</v>
      </c>
    </row>
    <row r="112" spans="1:26" x14ac:dyDescent="0.2">
      <c r="A112" s="1075" t="s">
        <v>2143</v>
      </c>
      <c r="B112" s="833">
        <f t="shared" si="45"/>
        <v>1.2</v>
      </c>
      <c r="C112" s="774" t="s">
        <v>37</v>
      </c>
      <c r="D112" s="210"/>
      <c r="E112" s="211" t="str">
        <f>+_xlfn.XLOOKUP(C112,'BASE DATOS MANO DE OBRA'!A:A,'BASE DATOS MANO DE OBRA'!B:B)</f>
        <v xml:space="preserve">AYUDANTE PLUS </v>
      </c>
      <c r="F112" s="212">
        <f>+F111</f>
        <v>17.5</v>
      </c>
      <c r="G112" s="213" t="str">
        <f>+_xlfn.XLOOKUP(C112,'BASE DATOS MANO DE OBRA'!A:A,'BASE DATOS MANO DE OBRA'!C:C)</f>
        <v xml:space="preserve">hora </v>
      </c>
      <c r="H112" s="214">
        <v>0</v>
      </c>
      <c r="I112" s="214">
        <f>+_xlfn.XLOOKUP(C112,'BASE DATOS MANO DE OBRA'!A:A,'BASE DATOS MANO DE OBRA'!E:E)</f>
        <v>2325</v>
      </c>
      <c r="J112" s="214">
        <v>0</v>
      </c>
      <c r="K112" s="214">
        <f t="shared" si="98"/>
        <v>0</v>
      </c>
      <c r="L112" s="214">
        <f t="shared" si="99"/>
        <v>40687.5</v>
      </c>
      <c r="M112" s="214">
        <f t="shared" si="100"/>
        <v>0</v>
      </c>
      <c r="N112" s="214">
        <f t="shared" si="101"/>
        <v>40687.5</v>
      </c>
      <c r="O112" s="1086">
        <f t="shared" si="102"/>
        <v>79.004854368932044</v>
      </c>
    </row>
    <row r="113" spans="1:16" x14ac:dyDescent="0.2">
      <c r="A113" s="1075" t="s">
        <v>3503</v>
      </c>
      <c r="B113" s="833">
        <f t="shared" si="45"/>
        <v>1.2</v>
      </c>
      <c r="C113" s="774" t="s">
        <v>36</v>
      </c>
      <c r="D113" s="210"/>
      <c r="E113" s="211" t="str">
        <f>+_xlfn.XLOOKUP(C113,'BASE DATOS MANO DE OBRA'!A:A,'BASE DATOS MANO DE OBRA'!B:B)</f>
        <v xml:space="preserve">OPERARIO PLUS </v>
      </c>
      <c r="F113" s="212">
        <f>+ROUNDUP('1_OG y 2_ACA'!F718,0)/2</f>
        <v>29</v>
      </c>
      <c r="G113" s="213" t="str">
        <f>+_xlfn.XLOOKUP(C113,'BASE DATOS MANO DE OBRA'!A:A,'BASE DATOS MANO DE OBRA'!C:C)</f>
        <v xml:space="preserve">hora </v>
      </c>
      <c r="H113" s="214">
        <v>0</v>
      </c>
      <c r="I113" s="214">
        <f>+_xlfn.XLOOKUP(C113,'BASE DATOS MANO DE OBRA'!A:A,'BASE DATOS MANO DE OBRA'!E:E)</f>
        <v>2850</v>
      </c>
      <c r="J113" s="214">
        <v>0</v>
      </c>
      <c r="K113" s="214">
        <f t="shared" si="98"/>
        <v>0</v>
      </c>
      <c r="L113" s="214">
        <f t="shared" si="99"/>
        <v>82650</v>
      </c>
      <c r="M113" s="214">
        <f t="shared" si="100"/>
        <v>0</v>
      </c>
      <c r="N113" s="214">
        <f t="shared" si="101"/>
        <v>82650</v>
      </c>
      <c r="O113" s="1086">
        <f t="shared" si="102"/>
        <v>160.48543689320388</v>
      </c>
    </row>
    <row r="114" spans="1:16" x14ac:dyDescent="0.2">
      <c r="A114" s="1075" t="s">
        <v>3503</v>
      </c>
      <c r="B114" s="833">
        <f t="shared" si="45"/>
        <v>1.2</v>
      </c>
      <c r="C114" s="774" t="s">
        <v>37</v>
      </c>
      <c r="D114" s="210"/>
      <c r="E114" s="211" t="str">
        <f>+_xlfn.XLOOKUP(C114,'BASE DATOS MANO DE OBRA'!A:A,'BASE DATOS MANO DE OBRA'!B:B)</f>
        <v xml:space="preserve">AYUDANTE PLUS </v>
      </c>
      <c r="F114" s="212">
        <f>+F113</f>
        <v>29</v>
      </c>
      <c r="G114" s="213" t="str">
        <f>+_xlfn.XLOOKUP(C114,'BASE DATOS MANO DE OBRA'!A:A,'BASE DATOS MANO DE OBRA'!C:C)</f>
        <v xml:space="preserve">hora </v>
      </c>
      <c r="H114" s="214">
        <v>0</v>
      </c>
      <c r="I114" s="214">
        <f>+_xlfn.XLOOKUP(C114,'BASE DATOS MANO DE OBRA'!A:A,'BASE DATOS MANO DE OBRA'!E:E)</f>
        <v>2325</v>
      </c>
      <c r="J114" s="214">
        <v>0</v>
      </c>
      <c r="K114" s="214">
        <f t="shared" si="98"/>
        <v>0</v>
      </c>
      <c r="L114" s="214">
        <f t="shared" si="99"/>
        <v>67425</v>
      </c>
      <c r="M114" s="214">
        <f t="shared" si="100"/>
        <v>0</v>
      </c>
      <c r="N114" s="214">
        <f t="shared" si="101"/>
        <v>67425</v>
      </c>
      <c r="O114" s="1086">
        <f t="shared" si="102"/>
        <v>130.92233009708738</v>
      </c>
    </row>
    <row r="115" spans="1:16" ht="15" customHeight="1" x14ac:dyDescent="0.2">
      <c r="A115" s="303"/>
      <c r="B115" s="833">
        <f t="shared" si="45"/>
        <v>1.3</v>
      </c>
      <c r="C115" s="779" t="s">
        <v>3483</v>
      </c>
      <c r="D115" s="440"/>
      <c r="E115" s="441" t="s">
        <v>141</v>
      </c>
      <c r="F115" s="446">
        <v>1</v>
      </c>
      <c r="G115" s="440" t="s">
        <v>271</v>
      </c>
      <c r="H115" s="440"/>
      <c r="I115" s="440"/>
      <c r="J115" s="440"/>
      <c r="K115" s="447">
        <f>+SUBTOTAL(9,K116:K235)</f>
        <v>1324351.6706004997</v>
      </c>
      <c r="L115" s="447">
        <f>+SUBTOTAL(9,L116:L235)</f>
        <v>2078587.5</v>
      </c>
      <c r="M115" s="447">
        <f>+SUBTOTAL(9,M116:M235)</f>
        <v>0</v>
      </c>
      <c r="N115" s="447">
        <f>+SUBTOTAL(9,N116:N235)</f>
        <v>3402939.1706004995</v>
      </c>
      <c r="O115" s="1081">
        <f>+SUBTOTAL(9,O116:O235)</f>
        <v>6607.6488749524269</v>
      </c>
    </row>
    <row r="116" spans="1:16" s="49" customFormat="1" ht="18.600000000000001" customHeight="1" x14ac:dyDescent="0.2">
      <c r="A116" s="303"/>
      <c r="B116" s="833">
        <f t="shared" si="45"/>
        <v>1.3</v>
      </c>
      <c r="C116" s="770" t="s">
        <v>2047</v>
      </c>
      <c r="D116" s="453"/>
      <c r="E116" s="454" t="s">
        <v>142</v>
      </c>
      <c r="F116" s="455">
        <f>+'1_OG y 2_ACA'!E724</f>
        <v>44.8</v>
      </c>
      <c r="G116" s="453" t="s">
        <v>137</v>
      </c>
      <c r="H116" s="453"/>
      <c r="I116" s="453"/>
      <c r="J116" s="453"/>
      <c r="K116" s="456">
        <f>+SUBTOTAL(9,K117:K143)</f>
        <v>729007.47431399999</v>
      </c>
      <c r="L116" s="456">
        <f>+SUBTOTAL(9,L117:L143)</f>
        <v>1047000</v>
      </c>
      <c r="M116" s="456">
        <f>+SUBTOTAL(9,M117:M143)</f>
        <v>0</v>
      </c>
      <c r="N116" s="456">
        <f>+SUBTOTAL(9,N117:N143)</f>
        <v>1776007.474314</v>
      </c>
      <c r="O116" s="1082">
        <f>+SUBTOTAL(9,O117:O143)</f>
        <v>3448.5582025514559</v>
      </c>
      <c r="P116" s="416"/>
    </row>
    <row r="117" spans="1:16" ht="15.6" customHeight="1" x14ac:dyDescent="0.2">
      <c r="A117" s="303"/>
      <c r="B117" s="833">
        <f t="shared" si="45"/>
        <v>1.3</v>
      </c>
      <c r="C117" s="303" t="s">
        <v>2036</v>
      </c>
      <c r="D117" s="822"/>
      <c r="E117" s="161" t="str">
        <f>+_xlfn.XLOOKUP(C117,'BASE DATOS PRECIOS '!B:B,'BASE DATOS PRECIOS '!E:E)</f>
        <v>TUBO 2X4X1.8MM H.G</v>
      </c>
      <c r="F117" s="162">
        <f>+'1_OG y 2_ACA'!F772</f>
        <v>11</v>
      </c>
      <c r="G117" s="175" t="str">
        <f>+_xlfn.XLOOKUP(C117,'BASE DATOS PRECIOS '!B:B,'BASE DATOS PRECIOS '!F:F)</f>
        <v>UND</v>
      </c>
      <c r="H117" s="176">
        <f>+_xlfn.XLOOKUP(E117,'BASE DATOS PRECIOS '!E:E,'BASE DATOS PRECIOS '!H:H)</f>
        <v>19517.359999999997</v>
      </c>
      <c r="I117" s="175"/>
      <c r="J117" s="175"/>
      <c r="K117" s="176">
        <f>+F117*H117</f>
        <v>214690.95999999996</v>
      </c>
      <c r="L117" s="176">
        <f t="shared" ref="L117:L143" si="116">+F117*I117</f>
        <v>0</v>
      </c>
      <c r="M117" s="176">
        <f t="shared" ref="M117:M143" si="117">+F117*J117</f>
        <v>0</v>
      </c>
      <c r="N117" s="176">
        <f t="shared" ref="N117:N143" si="118">SUM(K117:M117)</f>
        <v>214690.95999999996</v>
      </c>
      <c r="O117" s="1083">
        <f t="shared" ref="O117:O143" si="119">SUM(K117:M117)/tc</f>
        <v>416.87565048543684</v>
      </c>
    </row>
    <row r="118" spans="1:16" ht="15" customHeight="1" x14ac:dyDescent="0.2">
      <c r="A118" s="303"/>
      <c r="B118" s="833">
        <f t="shared" si="45"/>
        <v>1.3</v>
      </c>
      <c r="C118" s="303" t="s">
        <v>2194</v>
      </c>
      <c r="D118" s="822"/>
      <c r="E118" s="161" t="str">
        <f>+_xlfn.XLOOKUP(C118,'BASE DATOS PRECIOS '!B:B,'BASE DATOS PRECIOS '!E:E)</f>
        <v>TUBO 3X3X1.8MM H.G.</v>
      </c>
      <c r="F118" s="162">
        <f>+'1_OG y 2_ACA'!F773</f>
        <v>0</v>
      </c>
      <c r="G118" s="175" t="str">
        <f>+_xlfn.XLOOKUP(C118,'BASE DATOS PRECIOS '!B:B,'BASE DATOS PRECIOS '!F:F)</f>
        <v>UND</v>
      </c>
      <c r="H118" s="176">
        <f>+_xlfn.XLOOKUP(E118,'BASE DATOS PRECIOS '!E:E,'BASE DATOS PRECIOS '!H:H)</f>
        <v>18327.469999999998</v>
      </c>
      <c r="I118" s="175"/>
      <c r="J118" s="175"/>
      <c r="K118" s="176">
        <f t="shared" ref="K118:K143" si="120">+F118*H118</f>
        <v>0</v>
      </c>
      <c r="L118" s="176">
        <f t="shared" si="116"/>
        <v>0</v>
      </c>
      <c r="M118" s="176">
        <f t="shared" si="117"/>
        <v>0</v>
      </c>
      <c r="N118" s="176">
        <f t="shared" si="118"/>
        <v>0</v>
      </c>
      <c r="O118" s="1083">
        <f t="shared" si="119"/>
        <v>0</v>
      </c>
    </row>
    <row r="119" spans="1:16" ht="15" customHeight="1" x14ac:dyDescent="0.2">
      <c r="A119" s="303"/>
      <c r="B119" s="833">
        <f>VALUE(IF(AND(LEN(TRIM(C119))-LEN(SUBSTITUTE(TRIM(C119),".",""))=1,ISNUMBER(VALUE(SUBSTITUTE(TRIM(C119),".","")))),TRIM(C119),B117))</f>
        <v>1.3</v>
      </c>
      <c r="C119" s="303" t="s">
        <v>2193</v>
      </c>
      <c r="D119" s="822"/>
      <c r="E119" s="161" t="str">
        <f>+_xlfn.XLOOKUP(C119,'BASE DATOS PRECIOS '!B:B,'BASE DATOS PRECIOS '!E:E)</f>
        <v>TUBO 2X2X1.8MM H.G</v>
      </c>
      <c r="F119" s="162">
        <f>+'1_OG y 2_ACA'!F773</f>
        <v>0</v>
      </c>
      <c r="G119" s="175" t="str">
        <f>+_xlfn.XLOOKUP(C119,'BASE DATOS PRECIOS '!B:B,'BASE DATOS PRECIOS '!F:F)</f>
        <v>UND</v>
      </c>
      <c r="H119" s="176">
        <f>+_xlfn.XLOOKUP(E119,'BASE DATOS PRECIOS '!E:E,'BASE DATOS PRECIOS '!H:H)</f>
        <v>13682.039999999999</v>
      </c>
      <c r="I119" s="175"/>
      <c r="J119" s="175"/>
      <c r="K119" s="176">
        <f t="shared" ref="K119" si="121">+F119*H119</f>
        <v>0</v>
      </c>
      <c r="L119" s="176">
        <f t="shared" ref="L119" si="122">+F119*I119</f>
        <v>0</v>
      </c>
      <c r="M119" s="176">
        <f t="shared" ref="M119" si="123">+F119*J119</f>
        <v>0</v>
      </c>
      <c r="N119" s="176">
        <f t="shared" ref="N119" si="124">SUM(K119:M119)</f>
        <v>0</v>
      </c>
      <c r="O119" s="1083">
        <f t="shared" ref="O119" si="125">SUM(K119:M119)/tc</f>
        <v>0</v>
      </c>
    </row>
    <row r="120" spans="1:16" ht="15" customHeight="1" x14ac:dyDescent="0.2">
      <c r="A120" s="303"/>
      <c r="B120" s="833">
        <f>VALUE(IF(AND(LEN(TRIM(C120))-LEN(SUBSTITUTE(TRIM(C120),".",""))=1,ISNUMBER(VALUE(SUBSTITUTE(TRIM(C120),".","")))),TRIM(C120),B118))</f>
        <v>1.3</v>
      </c>
      <c r="C120" s="303" t="s">
        <v>2405</v>
      </c>
      <c r="D120" s="822"/>
      <c r="E120" s="161" t="str">
        <f>+_xlfn.XLOOKUP(C120,'BASE DATOS PRECIOS '!B:B,'BASE DATOS PRECIOS '!E:E)</f>
        <v>TUBO 1X1X1.8MM H.N.</v>
      </c>
      <c r="F120" s="162">
        <f>'1_OG y 2_ACA'!D762</f>
        <v>37</v>
      </c>
      <c r="G120" s="175" t="str">
        <f>+_xlfn.XLOOKUP(C120,'BASE DATOS PRECIOS '!B:B,'BASE DATOS PRECIOS '!F:F)</f>
        <v>UND</v>
      </c>
      <c r="H120" s="176">
        <f>+_xlfn.XLOOKUP(E120,'BASE DATOS PRECIOS '!E:E,'BASE DATOS PRECIOS '!H:H)</f>
        <v>5513.4959999999992</v>
      </c>
      <c r="I120" s="175"/>
      <c r="J120" s="175"/>
      <c r="K120" s="176">
        <f t="shared" si="120"/>
        <v>203999.35199999996</v>
      </c>
      <c r="L120" s="176">
        <f t="shared" si="116"/>
        <v>0</v>
      </c>
      <c r="M120" s="176">
        <f t="shared" si="117"/>
        <v>0</v>
      </c>
      <c r="N120" s="176">
        <f t="shared" si="118"/>
        <v>203999.35199999996</v>
      </c>
      <c r="O120" s="1083">
        <f t="shared" si="119"/>
        <v>396.11524660194164</v>
      </c>
    </row>
    <row r="121" spans="1:16" ht="15" customHeight="1" x14ac:dyDescent="0.2">
      <c r="A121" s="303"/>
      <c r="B121" s="833">
        <f t="shared" si="45"/>
        <v>1.3</v>
      </c>
      <c r="C121" s="303" t="s">
        <v>1960</v>
      </c>
      <c r="D121" s="822"/>
      <c r="E121" s="318" t="str">
        <f>+_xlfn.XLOOKUP(C121,'BASE DATOS PRECIOS '!B:B,'BASE DATOS PRECIOS '!E:E)</f>
        <v>PLATINA HN 4X1/4</v>
      </c>
      <c r="F121" s="183">
        <f>+'1_OG y 2_ACA'!F776</f>
        <v>1</v>
      </c>
      <c r="G121" s="184" t="str">
        <f>+_xlfn.XLOOKUP(C121,'BASE DATOS PRECIOS '!B:B,'BASE DATOS PRECIOS '!F:F)</f>
        <v>UND</v>
      </c>
      <c r="H121" s="176">
        <f>+_xlfn.XLOOKUP(E121,'BASE DATOS PRECIOS '!E:E,'BASE DATOS PRECIOS '!H:H)</f>
        <v>16564.1276</v>
      </c>
      <c r="I121" s="184"/>
      <c r="J121" s="184"/>
      <c r="K121" s="185">
        <f t="shared" si="120"/>
        <v>16564.1276</v>
      </c>
      <c r="L121" s="185">
        <f t="shared" si="116"/>
        <v>0</v>
      </c>
      <c r="M121" s="185">
        <f t="shared" si="117"/>
        <v>0</v>
      </c>
      <c r="N121" s="185">
        <f t="shared" si="118"/>
        <v>16564.1276</v>
      </c>
      <c r="O121" s="1088">
        <f t="shared" si="119"/>
        <v>32.163354563106793</v>
      </c>
    </row>
    <row r="122" spans="1:16" ht="15" customHeight="1" x14ac:dyDescent="0.2">
      <c r="A122" s="303"/>
      <c r="B122" s="833">
        <f t="shared" ref="B122" si="126">VALUE(IF(AND(LEN(TRIM(C122))-LEN(SUBSTITUTE(TRIM(C122),".",""))=1,ISNUMBER(VALUE(SUBSTITUTE(TRIM(C122),".","")))),TRIM(C122),B121))</f>
        <v>1.3</v>
      </c>
      <c r="C122" s="303" t="s">
        <v>2401</v>
      </c>
      <c r="D122" s="822"/>
      <c r="E122" s="318" t="str">
        <f>+_xlfn.XLOOKUP(C122,'BASE DATOS PRECIOS '!B:B,'BASE DATOS PRECIOS '!E:E)</f>
        <v>PLATINA HN 3X1/4</v>
      </c>
      <c r="F122" s="183">
        <f>+'1_OG y 2_ACA'!F777</f>
        <v>1</v>
      </c>
      <c r="G122" s="184" t="str">
        <f>+_xlfn.XLOOKUP(C122,'BASE DATOS PRECIOS '!B:B,'BASE DATOS PRECIOS '!F:F)</f>
        <v>UND</v>
      </c>
      <c r="H122" s="176">
        <f>+_xlfn.XLOOKUP(E122,'BASE DATOS PRECIOS '!E:E,'BASE DATOS PRECIOS '!H:H)</f>
        <v>15485.757299999997</v>
      </c>
      <c r="I122" s="184"/>
      <c r="J122" s="184"/>
      <c r="K122" s="185">
        <f t="shared" ref="K122" si="127">+F122*H122</f>
        <v>15485.757299999997</v>
      </c>
      <c r="L122" s="185">
        <f t="shared" ref="L122" si="128">+F122*I122</f>
        <v>0</v>
      </c>
      <c r="M122" s="185">
        <f t="shared" ref="M122" si="129">+F122*J122</f>
        <v>0</v>
      </c>
      <c r="N122" s="185">
        <f t="shared" ref="N122" si="130">SUM(K122:M122)</f>
        <v>15485.757299999997</v>
      </c>
      <c r="O122" s="1088">
        <f t="shared" ref="O122" si="131">SUM(K122:M122)/tc</f>
        <v>30.069431650485431</v>
      </c>
    </row>
    <row r="123" spans="1:16" ht="15" customHeight="1" x14ac:dyDescent="0.2">
      <c r="A123" s="303"/>
      <c r="B123" s="833">
        <f t="shared" ref="B123" si="132">VALUE(IF(AND(LEN(TRIM(C123))-LEN(SUBSTITUTE(TRIM(C123),".",""))=1,ISNUMBER(VALUE(SUBSTITUTE(TRIM(C123),".","")))),TRIM(C123),B122))</f>
        <v>1.3</v>
      </c>
      <c r="C123" s="303" t="s">
        <v>2421</v>
      </c>
      <c r="D123" s="822"/>
      <c r="E123" s="318" t="str">
        <f>+_xlfn.XLOOKUP(C123,'BASE DATOS PRECIOS '!B:B,'BASE DATOS PRECIOS '!E:E)</f>
        <v>ANGULAR HN 1"X1/8</v>
      </c>
      <c r="F123" s="183">
        <f>+'1_OG y 2_ACA'!F778</f>
        <v>1</v>
      </c>
      <c r="G123" s="184" t="str">
        <f>+_xlfn.XLOOKUP(C123,'BASE DATOS PRECIOS '!B:B,'BASE DATOS PRECIOS '!F:F)</f>
        <v>UND</v>
      </c>
      <c r="H123" s="176">
        <f>+_xlfn.XLOOKUP(E123,'BASE DATOS PRECIOS '!E:E,'BASE DATOS PRECIOS '!H:H)</f>
        <v>4081.0740999999998</v>
      </c>
      <c r="I123" s="184"/>
      <c r="J123" s="184"/>
      <c r="K123" s="185">
        <f t="shared" ref="K123" si="133">+F123*H123</f>
        <v>4081.0740999999998</v>
      </c>
      <c r="L123" s="185">
        <f t="shared" ref="L123" si="134">+F123*I123</f>
        <v>0</v>
      </c>
      <c r="M123" s="185">
        <f t="shared" ref="M123" si="135">+F123*J123</f>
        <v>0</v>
      </c>
      <c r="N123" s="185">
        <f t="shared" ref="N123" si="136">SUM(K123:M123)</f>
        <v>4081.0740999999998</v>
      </c>
      <c r="O123" s="1088">
        <f t="shared" ref="O123" si="137">SUM(K123:M123)/tc</f>
        <v>7.9244157281553393</v>
      </c>
    </row>
    <row r="124" spans="1:16" ht="15" customHeight="1" x14ac:dyDescent="0.2">
      <c r="A124" s="303"/>
      <c r="B124" s="833">
        <f>VALUE(IF(AND(LEN(TRIM(C124))-LEN(SUBSTITUTE(TRIM(C124),".",""))=1,ISNUMBER(VALUE(SUBSTITUTE(TRIM(C124),".","")))),TRIM(C124),B121))</f>
        <v>1.3</v>
      </c>
      <c r="C124" s="303" t="s">
        <v>1918</v>
      </c>
      <c r="D124" s="834" t="s">
        <v>24</v>
      </c>
      <c r="E124" s="318" t="s">
        <v>3502</v>
      </c>
      <c r="F124" s="183">
        <f>+'1_OG y 2_ACA'!F779</f>
        <v>6</v>
      </c>
      <c r="G124" s="184" t="str">
        <f>+_xlfn.XLOOKUP(C124,'BASE DATOS PRECIOS '!B:B,'BASE DATOS PRECIOS '!F:F)</f>
        <v>UND</v>
      </c>
      <c r="H124" s="176">
        <f>+_xlfn.XLOOKUP(E124,'BASE DATOS PRECIOS '!E:E,'BASE DATOS PRECIOS '!H:H)</f>
        <v>1344.6999999999998</v>
      </c>
      <c r="I124" s="184"/>
      <c r="J124" s="184"/>
      <c r="K124" s="185">
        <f t="shared" si="120"/>
        <v>8068.1999999999989</v>
      </c>
      <c r="L124" s="185">
        <f t="shared" si="116"/>
        <v>0</v>
      </c>
      <c r="M124" s="185">
        <f t="shared" si="117"/>
        <v>0</v>
      </c>
      <c r="N124" s="185">
        <f t="shared" si="118"/>
        <v>8068.1999999999989</v>
      </c>
      <c r="O124" s="1088">
        <f t="shared" si="119"/>
        <v>15.666407766990289</v>
      </c>
    </row>
    <row r="125" spans="1:16" ht="15" customHeight="1" x14ac:dyDescent="0.2">
      <c r="A125" s="303"/>
      <c r="B125" s="833">
        <f t="shared" si="45"/>
        <v>1.3</v>
      </c>
      <c r="C125" s="303" t="s">
        <v>1919</v>
      </c>
      <c r="D125" s="822"/>
      <c r="E125" s="318" t="str">
        <f>+_xlfn.XLOOKUP(C125,'BASE DATOS PRECIOS '!B:B,'BASE DATOS PRECIOS '!E:E)</f>
        <v>VARILLA DEFORME #4</v>
      </c>
      <c r="F125" s="183">
        <f>+'1_OG y 2_ACA'!F780</f>
        <v>4</v>
      </c>
      <c r="G125" s="184" t="str">
        <f>+_xlfn.XLOOKUP(C125,'BASE DATOS PRECIOS '!B:B,'BASE DATOS PRECIOS '!F:F)</f>
        <v>UND</v>
      </c>
      <c r="H125" s="176">
        <f>+_xlfn.XLOOKUP(E125,'BASE DATOS PRECIOS '!E:E,'BASE DATOS PRECIOS '!H:H)</f>
        <v>2395.6</v>
      </c>
      <c r="I125" s="184"/>
      <c r="J125" s="184"/>
      <c r="K125" s="185">
        <f t="shared" si="120"/>
        <v>9582.4</v>
      </c>
      <c r="L125" s="185">
        <f t="shared" si="116"/>
        <v>0</v>
      </c>
      <c r="M125" s="185">
        <f t="shared" si="117"/>
        <v>0</v>
      </c>
      <c r="N125" s="185">
        <f t="shared" si="118"/>
        <v>9582.4</v>
      </c>
      <c r="O125" s="1088">
        <f t="shared" si="119"/>
        <v>18.606601941747574</v>
      </c>
    </row>
    <row r="126" spans="1:16" ht="15" customHeight="1" x14ac:dyDescent="0.2">
      <c r="A126" s="303"/>
      <c r="B126" s="833">
        <f t="shared" si="45"/>
        <v>1.3</v>
      </c>
      <c r="C126" s="303" t="s">
        <v>2195</v>
      </c>
      <c r="D126" s="822"/>
      <c r="E126" s="161" t="str">
        <f>+_xlfn.XLOOKUP(C126,'BASE DATOS PRECIOS '!B:B,'BASE DATOS PRECIOS '!E:E)</f>
        <v>SOLDADURA 3/32 (6013)</v>
      </c>
      <c r="F126" s="162">
        <f>+'1_OG y 2_ACA'!F782</f>
        <v>3</v>
      </c>
      <c r="G126" s="175" t="str">
        <f>+_xlfn.XLOOKUP(C126,'BASE DATOS PRECIOS '!B:B,'BASE DATOS PRECIOS '!F:F)</f>
        <v>KG</v>
      </c>
      <c r="H126" s="176">
        <f>+_xlfn.XLOOKUP(E126,'BASE DATOS PRECIOS '!E:E,'BASE DATOS PRECIOS '!H:H)</f>
        <v>3600.0330999999996</v>
      </c>
      <c r="I126" s="175"/>
      <c r="J126" s="175"/>
      <c r="K126" s="176">
        <f t="shared" si="120"/>
        <v>10800.099299999998</v>
      </c>
      <c r="L126" s="176">
        <f t="shared" si="116"/>
        <v>0</v>
      </c>
      <c r="M126" s="176">
        <f t="shared" si="117"/>
        <v>0</v>
      </c>
      <c r="N126" s="176">
        <f t="shared" si="118"/>
        <v>10800.099299999998</v>
      </c>
      <c r="O126" s="1083">
        <f t="shared" si="119"/>
        <v>20.971066601941743</v>
      </c>
    </row>
    <row r="127" spans="1:16" ht="15.6" customHeight="1" x14ac:dyDescent="0.2">
      <c r="A127" s="303"/>
      <c r="B127" s="833">
        <f t="shared" si="45"/>
        <v>1.3</v>
      </c>
      <c r="C127" s="775" t="s">
        <v>1922</v>
      </c>
      <c r="D127" s="823"/>
      <c r="E127" s="161" t="str">
        <f>+_xlfn.XLOOKUP(C127,'BASE DATOS PRECIOS '!B:B,'BASE DATOS PRECIOS '!E:E)</f>
        <v>DISCO CORTE METAL FINO 9"</v>
      </c>
      <c r="F127" s="162">
        <f>+'1_OG y 2_ACA'!F783</f>
        <v>15</v>
      </c>
      <c r="G127" s="175" t="str">
        <f>+_xlfn.XLOOKUP(C127,'BASE DATOS PRECIOS '!B:B,'BASE DATOS PRECIOS '!F:F)</f>
        <v>UND</v>
      </c>
      <c r="H127" s="176">
        <f>+_xlfn.XLOOKUP(E127,'BASE DATOS PRECIOS '!E:E,'BASE DATOS PRECIOS '!H:H)</f>
        <v>3037.6320999999998</v>
      </c>
      <c r="I127" s="175"/>
      <c r="J127" s="175"/>
      <c r="K127" s="176">
        <f t="shared" si="120"/>
        <v>45564.481499999994</v>
      </c>
      <c r="L127" s="176">
        <f t="shared" si="116"/>
        <v>0</v>
      </c>
      <c r="M127" s="176">
        <f t="shared" si="117"/>
        <v>0</v>
      </c>
      <c r="N127" s="176">
        <f t="shared" si="118"/>
        <v>45564.481499999994</v>
      </c>
      <c r="O127" s="1083">
        <f t="shared" si="119"/>
        <v>88.474721359223295</v>
      </c>
    </row>
    <row r="128" spans="1:16" ht="15.6" customHeight="1" x14ac:dyDescent="0.2">
      <c r="A128" s="303"/>
      <c r="B128" s="833">
        <f t="shared" si="45"/>
        <v>1.3</v>
      </c>
      <c r="C128" s="303" t="s">
        <v>1959</v>
      </c>
      <c r="D128" s="822"/>
      <c r="E128" s="161" t="str">
        <f>+_xlfn.XLOOKUP(C128,'BASE DATOS PRECIOS '!B:B,'BASE DATOS PRECIOS '!E:E)</f>
        <v>DISCO ESMERILAR 4-1/2</v>
      </c>
      <c r="F128" s="162">
        <f>+F127</f>
        <v>15</v>
      </c>
      <c r="G128" s="175" t="str">
        <f>+_xlfn.XLOOKUP(C128,'BASE DATOS PRECIOS '!B:B,'BASE DATOS PRECIOS '!F:F)</f>
        <v>UND</v>
      </c>
      <c r="H128" s="176">
        <f>+_xlfn.XLOOKUP(E128,'BASE DATOS PRECIOS '!E:E,'BASE DATOS PRECIOS '!H:H)</f>
        <v>1519.85</v>
      </c>
      <c r="I128" s="175"/>
      <c r="J128" s="175"/>
      <c r="K128" s="176">
        <f t="shared" si="120"/>
        <v>22797.75</v>
      </c>
      <c r="L128" s="176">
        <f t="shared" si="116"/>
        <v>0</v>
      </c>
      <c r="M128" s="176">
        <f t="shared" si="117"/>
        <v>0</v>
      </c>
      <c r="N128" s="176">
        <f t="shared" si="118"/>
        <v>22797.75</v>
      </c>
      <c r="O128" s="1083">
        <f t="shared" si="119"/>
        <v>44.26747572815534</v>
      </c>
    </row>
    <row r="129" spans="1:16" ht="15" customHeight="1" x14ac:dyDescent="0.2">
      <c r="A129" s="303"/>
      <c r="B129" s="833">
        <f t="shared" si="45"/>
        <v>1.3</v>
      </c>
      <c r="C129" s="781" t="s">
        <v>2088</v>
      </c>
      <c r="D129" s="821"/>
      <c r="E129" s="161" t="str">
        <f>+_xlfn.XLOOKUP(C129,'BASE DATOS PRECIOS '!B:B,'BASE DATOS PRECIOS '!E:E)</f>
        <v>DISCO FLAP G60 4-1/2"</v>
      </c>
      <c r="F129" s="162">
        <f>+F128</f>
        <v>15</v>
      </c>
      <c r="G129" s="175" t="str">
        <f>+_xlfn.XLOOKUP(C129,'BASE DATOS PRECIOS '!B:B,'BASE DATOS PRECIOS '!F:F)</f>
        <v>UND</v>
      </c>
      <c r="H129" s="176">
        <f>+_xlfn.XLOOKUP(E129,'BASE DATOS PRECIOS '!E:E,'BASE DATOS PRECIOS '!H:H)</f>
        <v>1672.6034</v>
      </c>
      <c r="I129" s="175"/>
      <c r="J129" s="175"/>
      <c r="K129" s="176">
        <f t="shared" si="120"/>
        <v>25089.050999999999</v>
      </c>
      <c r="L129" s="176">
        <f t="shared" si="116"/>
        <v>0</v>
      </c>
      <c r="M129" s="176">
        <f t="shared" si="117"/>
        <v>0</v>
      </c>
      <c r="N129" s="176">
        <f t="shared" si="118"/>
        <v>25089.050999999999</v>
      </c>
      <c r="O129" s="1083">
        <f t="shared" si="119"/>
        <v>48.716603883495146</v>
      </c>
    </row>
    <row r="130" spans="1:16" ht="15" customHeight="1" x14ac:dyDescent="0.2">
      <c r="A130" s="303"/>
      <c r="B130" s="833">
        <f t="shared" si="45"/>
        <v>1.3</v>
      </c>
      <c r="C130" s="303" t="s">
        <v>1923</v>
      </c>
      <c r="D130" s="822"/>
      <c r="E130" s="161" t="str">
        <f>+_xlfn.XLOOKUP(C130,'BASE DATOS PRECIOS '!B:B,'BASE DATOS PRECIOS '!E:E)</f>
        <v>DISCO CORTE FINO METAL 4-1/2</v>
      </c>
      <c r="F130" s="162">
        <f>+F129</f>
        <v>15</v>
      </c>
      <c r="G130" s="175" t="str">
        <f>+_xlfn.XLOOKUP(C130,'BASE DATOS PRECIOS '!B:B,'BASE DATOS PRECIOS '!F:F)</f>
        <v>UND</v>
      </c>
      <c r="H130" s="176">
        <f>+_xlfn.XLOOKUP(E130,'BASE DATOS PRECIOS '!E:E,'BASE DATOS PRECIOS '!H:H)</f>
        <v>3661.2</v>
      </c>
      <c r="I130" s="175"/>
      <c r="J130" s="175"/>
      <c r="K130" s="176">
        <f t="shared" si="120"/>
        <v>54918</v>
      </c>
      <c r="L130" s="176">
        <f t="shared" si="116"/>
        <v>0</v>
      </c>
      <c r="M130" s="176">
        <f t="shared" si="117"/>
        <v>0</v>
      </c>
      <c r="N130" s="176">
        <f t="shared" si="118"/>
        <v>54918</v>
      </c>
      <c r="O130" s="1083">
        <f t="shared" si="119"/>
        <v>106.63689320388349</v>
      </c>
    </row>
    <row r="131" spans="1:16" ht="15" customHeight="1" x14ac:dyDescent="0.2">
      <c r="A131" s="303"/>
      <c r="B131" s="833">
        <f t="shared" si="45"/>
        <v>1.3</v>
      </c>
      <c r="C131" s="303" t="s">
        <v>2201</v>
      </c>
      <c r="D131" s="822"/>
      <c r="E131" s="318" t="str">
        <f>+_xlfn.XLOOKUP(C131,'BASE DATOS PRECIOS '!B:B,'BASE DATOS PRECIOS '!E:E)</f>
        <v>THINNER INDUSTRIAL</v>
      </c>
      <c r="F131" s="183">
        <f>+'1_OG y 2_ACA'!F784</f>
        <v>2</v>
      </c>
      <c r="G131" s="184" t="str">
        <f>+_xlfn.XLOOKUP(C131,'BASE DATOS PRECIOS '!B:B,'BASE DATOS PRECIOS '!F:F)</f>
        <v>GALON</v>
      </c>
      <c r="H131" s="176">
        <f>+_xlfn.XLOOKUP(E131,'BASE DATOS PRECIOS '!E:E,'BASE DATOS PRECIOS '!H:H)</f>
        <v>6464.999957</v>
      </c>
      <c r="I131" s="184"/>
      <c r="J131" s="184"/>
      <c r="K131" s="185">
        <f t="shared" si="120"/>
        <v>12929.999914</v>
      </c>
      <c r="L131" s="185">
        <f t="shared" si="116"/>
        <v>0</v>
      </c>
      <c r="M131" s="185">
        <f t="shared" si="117"/>
        <v>0</v>
      </c>
      <c r="N131" s="185">
        <f t="shared" si="118"/>
        <v>12929.999914</v>
      </c>
      <c r="O131" s="1088">
        <f t="shared" si="119"/>
        <v>25.106795949514563</v>
      </c>
    </row>
    <row r="132" spans="1:16" ht="15" customHeight="1" x14ac:dyDescent="0.2">
      <c r="A132" s="303"/>
      <c r="B132" s="833">
        <f t="shared" si="45"/>
        <v>1.3</v>
      </c>
      <c r="C132" s="303" t="s">
        <v>2182</v>
      </c>
      <c r="D132" s="822"/>
      <c r="E132" s="318" t="str">
        <f>+_xlfn.XLOOKUP(C132,'BASE DATOS PRECIOS '!B:B,'BASE DATOS PRECIOS '!E:E)</f>
        <v>MECHA BLANCA</v>
      </c>
      <c r="F132" s="183">
        <f>+'1_OG y 2_ACA'!F785</f>
        <v>2</v>
      </c>
      <c r="G132" s="184" t="str">
        <f>+_xlfn.XLOOKUP(C132,'BASE DATOS PRECIOS '!B:B,'BASE DATOS PRECIOS '!F:F)</f>
        <v>KG</v>
      </c>
      <c r="H132" s="176">
        <f>+_xlfn.XLOOKUP(E132,'BASE DATOS PRECIOS '!E:E,'BASE DATOS PRECIOS '!H:H)</f>
        <v>4338.0021999999999</v>
      </c>
      <c r="I132" s="184"/>
      <c r="J132" s="184"/>
      <c r="K132" s="185">
        <f t="shared" si="120"/>
        <v>8676.0043999999998</v>
      </c>
      <c r="L132" s="185">
        <f t="shared" si="116"/>
        <v>0</v>
      </c>
      <c r="M132" s="185">
        <f t="shared" si="117"/>
        <v>0</v>
      </c>
      <c r="N132" s="185">
        <f t="shared" si="118"/>
        <v>8676.0043999999998</v>
      </c>
      <c r="O132" s="1088">
        <f t="shared" si="119"/>
        <v>16.846610485436894</v>
      </c>
    </row>
    <row r="133" spans="1:16" ht="14.1" customHeight="1" x14ac:dyDescent="0.2">
      <c r="A133" s="303"/>
      <c r="B133" s="833">
        <f t="shared" si="45"/>
        <v>1.3</v>
      </c>
      <c r="C133" s="303" t="s">
        <v>1939</v>
      </c>
      <c r="D133" s="822"/>
      <c r="E133" s="161" t="str">
        <f>+_xlfn.XLOOKUP(C133,'BASE DATOS PRECIOS '!B:B,'BASE DATOS PRECIOS '!E:E)</f>
        <v>BROCHA CORRIENTE 3"</v>
      </c>
      <c r="F133" s="162">
        <f>+'1_OG y 2_ACA'!F786</f>
        <v>3</v>
      </c>
      <c r="G133" s="175" t="str">
        <f>+_xlfn.XLOOKUP(C133,'BASE DATOS PRECIOS '!B:B,'BASE DATOS PRECIOS '!F:F)</f>
        <v>UND</v>
      </c>
      <c r="H133" s="176">
        <f>+_xlfn.XLOOKUP(E133,'BASE DATOS PRECIOS '!E:E,'BASE DATOS PRECIOS '!H:H)</f>
        <v>2060.0012999999999</v>
      </c>
      <c r="I133" s="175"/>
      <c r="J133" s="175"/>
      <c r="K133" s="176">
        <f t="shared" si="120"/>
        <v>6180.0038999999997</v>
      </c>
      <c r="L133" s="176">
        <f t="shared" si="116"/>
        <v>0</v>
      </c>
      <c r="M133" s="176">
        <f t="shared" si="117"/>
        <v>0</v>
      </c>
      <c r="N133" s="176">
        <f t="shared" si="118"/>
        <v>6180.0038999999997</v>
      </c>
      <c r="O133" s="1083">
        <f t="shared" si="119"/>
        <v>12.000007572815534</v>
      </c>
      <c r="P133" s="156"/>
    </row>
    <row r="134" spans="1:16" ht="15" customHeight="1" x14ac:dyDescent="0.2">
      <c r="A134" s="303"/>
      <c r="B134" s="833">
        <f t="shared" ref="B134:B202" si="138">VALUE(IF(AND(LEN(TRIM(C134))-LEN(SUBSTITUTE(TRIM(C134),".",""))=1,ISNUMBER(VALUE(SUBSTITUTE(TRIM(C134),".","")))),TRIM(C134),B133))</f>
        <v>1.3</v>
      </c>
      <c r="C134" s="303" t="s">
        <v>1961</v>
      </c>
      <c r="D134" s="822"/>
      <c r="E134" s="318" t="str">
        <f>+_xlfn.XLOOKUP(C134,'BASE DATOS PRECIOS '!B:B,'BASE DATOS PRECIOS '!E:E)</f>
        <v>ANTICORROSIVO MINIO GALON</v>
      </c>
      <c r="F134" s="162">
        <f>+'1_OG y 2_ACA'!F787</f>
        <v>2</v>
      </c>
      <c r="G134" s="184" t="str">
        <f>+_xlfn.XLOOKUP(C134,'BASE DATOS PRECIOS '!B:B,'BASE DATOS PRECIOS '!F:F)</f>
        <v>GAL</v>
      </c>
      <c r="H134" s="176">
        <f>+_xlfn.XLOOKUP(E134,'BASE DATOS PRECIOS '!E:E,'BASE DATOS PRECIOS '!H:H)</f>
        <v>17605.004499999999</v>
      </c>
      <c r="I134" s="184"/>
      <c r="J134" s="184"/>
      <c r="K134" s="185">
        <f t="shared" si="120"/>
        <v>35210.008999999998</v>
      </c>
      <c r="L134" s="185">
        <f t="shared" si="116"/>
        <v>0</v>
      </c>
      <c r="M134" s="185">
        <f t="shared" si="117"/>
        <v>0</v>
      </c>
      <c r="N134" s="185">
        <f t="shared" si="118"/>
        <v>35210.008999999998</v>
      </c>
      <c r="O134" s="1088">
        <f t="shared" si="119"/>
        <v>68.368949514563099</v>
      </c>
    </row>
    <row r="135" spans="1:16" ht="15" customHeight="1" x14ac:dyDescent="0.2">
      <c r="A135" s="303"/>
      <c r="B135" s="833">
        <f t="shared" ref="B135" si="139">VALUE(IF(AND(LEN(TRIM(C135))-LEN(SUBSTITUTE(TRIM(C135),".",""))=1,ISNUMBER(VALUE(SUBSTITUTE(TRIM(C135),".","")))),TRIM(C135),B134))</f>
        <v>1.3</v>
      </c>
      <c r="C135" s="303" t="s">
        <v>3535</v>
      </c>
      <c r="D135" s="822"/>
      <c r="E135" s="318" t="str">
        <f>+_xlfn.XLOOKUP(C135,'BASE DATOS PRECIOS '!B:B,'BASE DATOS PRECIOS '!E:E)</f>
        <v>STONE GRIP EPOXICO</v>
      </c>
      <c r="F135" s="162">
        <f>+'1_OG y 2_ACA'!F788</f>
        <v>2</v>
      </c>
      <c r="G135" s="184" t="str">
        <f>+_xlfn.XLOOKUP(C135,'BASE DATOS PRECIOS '!B:B,'BASE DATOS PRECIOS '!F:F)</f>
        <v>UND</v>
      </c>
      <c r="H135" s="176">
        <f>+_xlfn.XLOOKUP(E135,'BASE DATOS PRECIOS '!E:E,'BASE DATOS PRECIOS '!H:H)</f>
        <v>12244.504849999998</v>
      </c>
      <c r="I135" s="184"/>
      <c r="J135" s="184"/>
      <c r="K135" s="185">
        <f t="shared" ref="K135" si="140">+F135*H135</f>
        <v>24489.009699999995</v>
      </c>
      <c r="L135" s="185">
        <f t="shared" ref="L135" si="141">+F135*I135</f>
        <v>0</v>
      </c>
      <c r="M135" s="185">
        <f t="shared" ref="M135" si="142">+F135*J135</f>
        <v>0</v>
      </c>
      <c r="N135" s="185">
        <f t="shared" ref="N135" si="143">SUM(K135:M135)</f>
        <v>24489.009699999995</v>
      </c>
      <c r="O135" s="1088">
        <f t="shared" ref="O135" si="144">SUM(K135:M135)/tc</f>
        <v>47.551475145631059</v>
      </c>
    </row>
    <row r="136" spans="1:16" ht="15" customHeight="1" x14ac:dyDescent="0.2">
      <c r="A136" s="303"/>
      <c r="B136" s="833">
        <f t="shared" ref="B136" si="145">VALUE(IF(AND(LEN(TRIM(C136))-LEN(SUBSTITUTE(TRIM(C136),".",""))=1,ISNUMBER(VALUE(SUBSTITUTE(TRIM(C136),".","")))),TRIM(C136),B135))</f>
        <v>1.3</v>
      </c>
      <c r="C136" s="303" t="s">
        <v>1978</v>
      </c>
      <c r="D136" s="822"/>
      <c r="E136" s="318" t="str">
        <f>+_xlfn.XLOOKUP(C136,'BASE DATOS PRECIOS '!B:B,'BASE DATOS PRECIOS '!E:E)</f>
        <v>LIJA DE AGUA #120</v>
      </c>
      <c r="F136" s="162">
        <f>+'1_OG y 2_ACA'!F789</f>
        <v>10</v>
      </c>
      <c r="G136" s="184" t="str">
        <f>+_xlfn.XLOOKUP(C136,'BASE DATOS PRECIOS '!B:B,'BASE DATOS PRECIOS '!F:F)</f>
        <v>UND</v>
      </c>
      <c r="H136" s="176">
        <f>+_xlfn.XLOOKUP(E136,'BASE DATOS PRECIOS '!E:E,'BASE DATOS PRECIOS '!H:H)</f>
        <v>369.99589999999995</v>
      </c>
      <c r="I136" s="184"/>
      <c r="J136" s="184"/>
      <c r="K136" s="185">
        <f t="shared" ref="K136" si="146">+F136*H136</f>
        <v>3699.9589999999994</v>
      </c>
      <c r="L136" s="185">
        <f t="shared" ref="L136" si="147">+F136*I136</f>
        <v>0</v>
      </c>
      <c r="M136" s="185">
        <f t="shared" ref="M136" si="148">+F136*J136</f>
        <v>0</v>
      </c>
      <c r="N136" s="185">
        <f t="shared" ref="N136" si="149">SUM(K136:M136)</f>
        <v>3699.9589999999994</v>
      </c>
      <c r="O136" s="1088">
        <f t="shared" ref="O136" si="150">SUM(K136:M136)/tc</f>
        <v>7.184386407766989</v>
      </c>
    </row>
    <row r="137" spans="1:16" ht="15" customHeight="1" x14ac:dyDescent="0.2">
      <c r="A137" s="303"/>
      <c r="B137" s="833">
        <f t="shared" ref="B137" si="151">VALUE(IF(AND(LEN(TRIM(C137))-LEN(SUBSTITUTE(TRIM(C137),".",""))=1,ISNUMBER(VALUE(SUBSTITUTE(TRIM(C137),".","")))),TRIM(C137),B136))</f>
        <v>1.3</v>
      </c>
      <c r="C137" s="303" t="s">
        <v>2649</v>
      </c>
      <c r="D137" s="822"/>
      <c r="E137" s="318" t="str">
        <f>+_xlfn.XLOOKUP(C137,'BASE DATOS PRECIOS '!B:B,'BASE DATOS PRECIOS '!E:E)</f>
        <v>PUNTA PHILLIPS PH#2</v>
      </c>
      <c r="F137" s="162">
        <f>+'1_OG y 2_ACA'!F790</f>
        <v>5</v>
      </c>
      <c r="G137" s="184" t="str">
        <f>+_xlfn.XLOOKUP(C137,'BASE DATOS PRECIOS '!B:B,'BASE DATOS PRECIOS '!F:F)</f>
        <v>UND</v>
      </c>
      <c r="H137" s="176">
        <f>+_xlfn.XLOOKUP(E137,'BASE DATOS PRECIOS '!E:E,'BASE DATOS PRECIOS '!H:H)</f>
        <v>525.44999999999993</v>
      </c>
      <c r="I137" s="184"/>
      <c r="J137" s="184"/>
      <c r="K137" s="185">
        <f t="shared" ref="K137" si="152">+F137*H137</f>
        <v>2627.2499999999995</v>
      </c>
      <c r="L137" s="185">
        <f t="shared" ref="L137" si="153">+F137*I137</f>
        <v>0</v>
      </c>
      <c r="M137" s="185">
        <f t="shared" ref="M137" si="154">+F137*J137</f>
        <v>0</v>
      </c>
      <c r="N137" s="185">
        <f t="shared" ref="N137" si="155">SUM(K137:M137)</f>
        <v>2627.2499999999995</v>
      </c>
      <c r="O137" s="1088">
        <f t="shared" ref="O137" si="156">SUM(K137:M137)/tc</f>
        <v>5.1014563106796107</v>
      </c>
    </row>
    <row r="138" spans="1:16" ht="15" customHeight="1" x14ac:dyDescent="0.2">
      <c r="A138" s="303"/>
      <c r="B138" s="833">
        <f t="shared" ref="B138" si="157">VALUE(IF(AND(LEN(TRIM(C138))-LEN(SUBSTITUTE(TRIM(C138),".",""))=1,ISNUMBER(VALUE(SUBSTITUTE(TRIM(C138),".","")))),TRIM(C138),B137))</f>
        <v>1.3</v>
      </c>
      <c r="C138" s="303" t="s">
        <v>1938</v>
      </c>
      <c r="D138" s="822"/>
      <c r="E138" s="318" t="str">
        <f>+_xlfn.XLOOKUP(C138,'BASE DATOS PRECIOS '!B:B,'BASE DATOS PRECIOS '!E:E)</f>
        <v>BROCHA CORRIENTE 2"</v>
      </c>
      <c r="F138" s="162">
        <f>+'1_OG y 2_ACA'!F791</f>
        <v>2</v>
      </c>
      <c r="G138" s="184" t="str">
        <f>+_xlfn.XLOOKUP(C138,'BASE DATOS PRECIOS '!B:B,'BASE DATOS PRECIOS '!F:F)</f>
        <v>UND</v>
      </c>
      <c r="H138" s="176">
        <f>+_xlfn.XLOOKUP(E138,'BASE DATOS PRECIOS '!E:E,'BASE DATOS PRECIOS '!H:H)</f>
        <v>1425.0090999999998</v>
      </c>
      <c r="I138" s="184"/>
      <c r="J138" s="184"/>
      <c r="K138" s="185">
        <f t="shared" ref="K138" si="158">+F138*H138</f>
        <v>2850.0181999999995</v>
      </c>
      <c r="L138" s="185">
        <f t="shared" ref="L138" si="159">+F138*I138</f>
        <v>0</v>
      </c>
      <c r="M138" s="185">
        <f t="shared" ref="M138" si="160">+F138*J138</f>
        <v>0</v>
      </c>
      <c r="N138" s="185">
        <f t="shared" ref="N138" si="161">SUM(K138:M138)</f>
        <v>2850.0181999999995</v>
      </c>
      <c r="O138" s="1088">
        <f t="shared" ref="O138" si="162">SUM(K138:M138)/tc</f>
        <v>5.534015922330096</v>
      </c>
    </row>
    <row r="139" spans="1:16" ht="15" customHeight="1" x14ac:dyDescent="0.2">
      <c r="A139" s="303"/>
      <c r="B139" s="833">
        <f t="shared" ref="B139" si="163">VALUE(IF(AND(LEN(TRIM(C139))-LEN(SUBSTITUTE(TRIM(C139),".",""))=1,ISNUMBER(VALUE(SUBSTITUTE(TRIM(C139),".","")))),TRIM(C139),B138))</f>
        <v>1.3</v>
      </c>
      <c r="C139" s="303" t="s">
        <v>2613</v>
      </c>
      <c r="D139" s="822"/>
      <c r="E139" s="318" t="str">
        <f>+_xlfn.XLOOKUP(C139,'BASE DATOS PRECIOS '!B:B,'BASE DATOS PRECIOS '!E:E)</f>
        <v>LAPIZ ROJO/VERDE/NARANJA</v>
      </c>
      <c r="F139" s="162">
        <f>+'1_OG y 2_ACA'!F792</f>
        <v>2</v>
      </c>
      <c r="G139" s="184" t="str">
        <f>+_xlfn.XLOOKUP(C139,'BASE DATOS PRECIOS '!B:B,'BASE DATOS PRECIOS '!F:F)</f>
        <v>UND</v>
      </c>
      <c r="H139" s="176">
        <f>+_xlfn.XLOOKUP(E139,'BASE DATOS PRECIOS '!E:E,'BASE DATOS PRECIOS '!H:H)</f>
        <v>351.9837</v>
      </c>
      <c r="I139" s="184"/>
      <c r="J139" s="184"/>
      <c r="K139" s="185">
        <f t="shared" ref="K139" si="164">+F139*H139</f>
        <v>703.9674</v>
      </c>
      <c r="L139" s="185">
        <f t="shared" ref="L139" si="165">+F139*I139</f>
        <v>0</v>
      </c>
      <c r="M139" s="185">
        <f t="shared" ref="M139" si="166">+F139*J139</f>
        <v>0</v>
      </c>
      <c r="N139" s="185">
        <f t="shared" ref="N139" si="167">SUM(K139:M139)</f>
        <v>703.9674</v>
      </c>
      <c r="O139" s="1088">
        <f t="shared" ref="O139" si="168">SUM(K139:M139)/tc</f>
        <v>1.3669269902912622</v>
      </c>
    </row>
    <row r="140" spans="1:16" ht="15" customHeight="1" x14ac:dyDescent="0.2">
      <c r="A140" s="1077" t="s">
        <v>2146</v>
      </c>
      <c r="B140" s="833">
        <f>VALUE(IF(AND(LEN(TRIM(C140))-LEN(SUBSTITUTE(TRIM(C140),".",""))=1,ISNUMBER(VALUE(SUBSTITUTE(TRIM(C140),".","")))),TRIM(C140),B134))</f>
        <v>1.3</v>
      </c>
      <c r="C140" s="774" t="s">
        <v>1404</v>
      </c>
      <c r="D140" s="210"/>
      <c r="E140" s="211" t="str">
        <f>+_xlfn.XLOOKUP(C140,'BASE DATOS MANO DE OBRA'!A:A,'BASE DATOS MANO DE OBRA'!B:B)</f>
        <v xml:space="preserve">OPERARIO CALIFICADO PLUS </v>
      </c>
      <c r="F140" s="212">
        <f>+ROUNDUP('1_OG y 2_ACA'!F794,0)/2</f>
        <v>174.5</v>
      </c>
      <c r="G140" s="213" t="str">
        <f>+_xlfn.XLOOKUP(C140,'BASE DATOS MANO DE OBRA'!A:A,'BASE DATOS MANO DE OBRA'!C:C)</f>
        <v xml:space="preserve">hora </v>
      </c>
      <c r="H140" s="214">
        <v>0</v>
      </c>
      <c r="I140" s="214">
        <f>+_xlfn.XLOOKUP(C140,'BASE DATOS MANO DE OBRA'!A:A,'BASE DATOS MANO DE OBRA'!E:E)</f>
        <v>3000</v>
      </c>
      <c r="J140" s="214">
        <v>0</v>
      </c>
      <c r="K140" s="214">
        <f t="shared" si="120"/>
        <v>0</v>
      </c>
      <c r="L140" s="214">
        <f>+F140*I140</f>
        <v>523500</v>
      </c>
      <c r="M140" s="214">
        <f t="shared" si="117"/>
        <v>0</v>
      </c>
      <c r="N140" s="214">
        <f t="shared" si="118"/>
        <v>523500</v>
      </c>
      <c r="O140" s="1086">
        <f t="shared" si="119"/>
        <v>1016.504854368932</v>
      </c>
    </row>
    <row r="141" spans="1:16" ht="15" customHeight="1" x14ac:dyDescent="0.2">
      <c r="A141" s="1077" t="s">
        <v>2146</v>
      </c>
      <c r="B141" s="833">
        <f t="shared" si="138"/>
        <v>1.3</v>
      </c>
      <c r="C141" s="774" t="s">
        <v>1404</v>
      </c>
      <c r="D141" s="210"/>
      <c r="E141" s="211" t="str">
        <f>+_xlfn.XLOOKUP(C141,'BASE DATOS MANO DE OBRA'!A:A,'BASE DATOS MANO DE OBRA'!B:B)</f>
        <v xml:space="preserve">OPERARIO CALIFICADO PLUS </v>
      </c>
      <c r="F141" s="212">
        <f>+F140</f>
        <v>174.5</v>
      </c>
      <c r="G141" s="213" t="str">
        <f>+_xlfn.XLOOKUP(C141,'BASE DATOS MANO DE OBRA'!A:A,'BASE DATOS MANO DE OBRA'!C:C)</f>
        <v xml:space="preserve">hora </v>
      </c>
      <c r="H141" s="214">
        <v>0</v>
      </c>
      <c r="I141" s="214">
        <f>+_xlfn.XLOOKUP(C141,'BASE DATOS MANO DE OBRA'!A:A,'BASE DATOS MANO DE OBRA'!E:E)</f>
        <v>3000</v>
      </c>
      <c r="J141" s="214">
        <v>0</v>
      </c>
      <c r="K141" s="214">
        <f t="shared" si="120"/>
        <v>0</v>
      </c>
      <c r="L141" s="214">
        <f t="shared" si="116"/>
        <v>523500</v>
      </c>
      <c r="M141" s="214">
        <f t="shared" si="117"/>
        <v>0</v>
      </c>
      <c r="N141" s="214">
        <f t="shared" si="118"/>
        <v>523500</v>
      </c>
      <c r="O141" s="1086">
        <f t="shared" si="119"/>
        <v>1016.504854368932</v>
      </c>
    </row>
    <row r="142" spans="1:16" ht="15" customHeight="1" x14ac:dyDescent="0.2">
      <c r="A142" s="303"/>
      <c r="B142" s="833">
        <f t="shared" si="138"/>
        <v>1.3</v>
      </c>
      <c r="C142" s="774" t="s">
        <v>1404</v>
      </c>
      <c r="D142" s="210"/>
      <c r="E142" s="211" t="str">
        <f>+_xlfn.XLOOKUP(C142,'BASE DATOS MANO DE OBRA'!A:A,'BASE DATOS MANO DE OBRA'!B:B)</f>
        <v xml:space="preserve">OPERARIO CALIFICADO PLUS </v>
      </c>
      <c r="F142" s="212">
        <v>0</v>
      </c>
      <c r="G142" s="213" t="str">
        <f>+_xlfn.XLOOKUP(C142,'BASE DATOS MANO DE OBRA'!A:A,'BASE DATOS MANO DE OBRA'!C:C)</f>
        <v xml:space="preserve">hora </v>
      </c>
      <c r="H142" s="214">
        <v>0</v>
      </c>
      <c r="I142" s="214">
        <f>+_xlfn.XLOOKUP(C142,'BASE DATOS MANO DE OBRA'!A:A,'BASE DATOS MANO DE OBRA'!E:E)</f>
        <v>3000</v>
      </c>
      <c r="J142" s="214">
        <v>0</v>
      </c>
      <c r="K142" s="214">
        <f t="shared" si="120"/>
        <v>0</v>
      </c>
      <c r="L142" s="214">
        <f t="shared" si="116"/>
        <v>0</v>
      </c>
      <c r="M142" s="214">
        <f t="shared" si="117"/>
        <v>0</v>
      </c>
      <c r="N142" s="214">
        <f t="shared" si="118"/>
        <v>0</v>
      </c>
      <c r="O142" s="1086">
        <f t="shared" si="119"/>
        <v>0</v>
      </c>
    </row>
    <row r="143" spans="1:16" ht="15" customHeight="1" x14ac:dyDescent="0.2">
      <c r="A143" s="303"/>
      <c r="B143" s="833">
        <f t="shared" si="138"/>
        <v>1.3</v>
      </c>
      <c r="C143" s="774" t="s">
        <v>1404</v>
      </c>
      <c r="D143" s="210"/>
      <c r="E143" s="211" t="str">
        <f>+_xlfn.XLOOKUP(C143,'BASE DATOS MANO DE OBRA'!A:A,'BASE DATOS MANO DE OBRA'!B:B)</f>
        <v xml:space="preserve">OPERARIO CALIFICADO PLUS </v>
      </c>
      <c r="F143" s="212">
        <v>0</v>
      </c>
      <c r="G143" s="213" t="str">
        <f>+_xlfn.XLOOKUP(C143,'BASE DATOS MANO DE OBRA'!A:A,'BASE DATOS MANO DE OBRA'!C:C)</f>
        <v xml:space="preserve">hora </v>
      </c>
      <c r="H143" s="214">
        <v>0</v>
      </c>
      <c r="I143" s="214">
        <f>+_xlfn.XLOOKUP(C143,'BASE DATOS MANO DE OBRA'!A:A,'BASE DATOS MANO DE OBRA'!E:E)</f>
        <v>3000</v>
      </c>
      <c r="J143" s="214">
        <v>0</v>
      </c>
      <c r="K143" s="214">
        <f t="shared" si="120"/>
        <v>0</v>
      </c>
      <c r="L143" s="214">
        <f t="shared" si="116"/>
        <v>0</v>
      </c>
      <c r="M143" s="214">
        <f t="shared" si="117"/>
        <v>0</v>
      </c>
      <c r="N143" s="214">
        <f t="shared" si="118"/>
        <v>0</v>
      </c>
      <c r="O143" s="1086">
        <f t="shared" si="119"/>
        <v>0</v>
      </c>
    </row>
    <row r="144" spans="1:16" s="49" customFormat="1" ht="18.600000000000001" customHeight="1" collapsed="1" x14ac:dyDescent="0.2">
      <c r="A144" s="303"/>
      <c r="B144" s="833">
        <f t="shared" si="138"/>
        <v>1.3</v>
      </c>
      <c r="C144" s="770" t="s">
        <v>2048</v>
      </c>
      <c r="D144" s="453"/>
      <c r="E144" s="454" t="s">
        <v>152</v>
      </c>
      <c r="F144" s="455">
        <f>+'1_OG y 2_ACA'!E797</f>
        <v>16</v>
      </c>
      <c r="G144" s="453" t="s">
        <v>137</v>
      </c>
      <c r="H144" s="453"/>
      <c r="I144" s="453"/>
      <c r="J144" s="453"/>
      <c r="K144" s="456">
        <f>+SUBTOTAL(9,K145:K167)</f>
        <v>263802.05825699994</v>
      </c>
      <c r="L144" s="456">
        <f>+SUBTOTAL(9,L145:L167)</f>
        <v>408000</v>
      </c>
      <c r="M144" s="456">
        <f>+SUBTOTAL(9,M145:M167)</f>
        <v>0</v>
      </c>
      <c r="N144" s="456">
        <f>+SUBTOTAL(9,N145:N167)</f>
        <v>671802.05825699994</v>
      </c>
      <c r="O144" s="1082">
        <f>+SUBTOTAL(9,O145:O167)</f>
        <v>1304.4700160330094</v>
      </c>
      <c r="P144" s="416"/>
    </row>
    <row r="145" spans="1:16" ht="15" customHeight="1" x14ac:dyDescent="0.2">
      <c r="A145" s="303"/>
      <c r="B145" s="833">
        <f t="shared" si="138"/>
        <v>1.3</v>
      </c>
      <c r="C145" s="303" t="s">
        <v>2196</v>
      </c>
      <c r="D145" s="822"/>
      <c r="E145" s="161" t="str">
        <f>+_xlfn.XLOOKUP(C145,'BASE DATOS PRECIOS '!B:B,'BASE DATOS PRECIOS '!E:E)</f>
        <v>TUBO 2X6X1.8MM H.N.</v>
      </c>
      <c r="F145" s="162">
        <f>+'1_OG y 2_ACA'!F827</f>
        <v>5</v>
      </c>
      <c r="G145" s="175" t="str">
        <f>+_xlfn.XLOOKUP(C145,'BASE DATOS PRECIOS '!B:B,'BASE DATOS PRECIOS '!F:F)</f>
        <v>UND</v>
      </c>
      <c r="H145" s="176">
        <f>+_xlfn.XLOOKUP(E145,'BASE DATOS PRECIOS '!E:E,'BASE DATOS PRECIOS '!H:H)</f>
        <v>19095.553599999999</v>
      </c>
      <c r="I145" s="175"/>
      <c r="J145" s="175"/>
      <c r="K145" s="176">
        <f t="shared" ref="K145:K167" si="169">+F145*H145</f>
        <v>95477.767999999996</v>
      </c>
      <c r="L145" s="176">
        <f t="shared" ref="L145:L167" si="170">+F145*I145</f>
        <v>0</v>
      </c>
      <c r="M145" s="176">
        <f t="shared" ref="M145:M167" si="171">+F145*J145</f>
        <v>0</v>
      </c>
      <c r="N145" s="176">
        <f t="shared" ref="N145:N167" si="172">SUM(K145:M145)</f>
        <v>95477.767999999996</v>
      </c>
      <c r="O145" s="1083">
        <f t="shared" ref="O145:O167" si="173">SUM(K145:M145)/tc</f>
        <v>185.39372427184466</v>
      </c>
    </row>
    <row r="146" spans="1:16" ht="15" customHeight="1" x14ac:dyDescent="0.2">
      <c r="A146" s="303"/>
      <c r="B146" s="833">
        <f t="shared" si="138"/>
        <v>1.3</v>
      </c>
      <c r="C146" s="303" t="s">
        <v>2198</v>
      </c>
      <c r="D146" s="822"/>
      <c r="E146" s="161" t="str">
        <f>+_xlfn.XLOOKUP(C146,'BASE DATOS PRECIOS '!B:B,'BASE DATOS PRECIOS '!E:E)</f>
        <v>TUBO 3X3X1.8MM H.N.</v>
      </c>
      <c r="F146" s="162">
        <f>+'1_OG y 2_ACA'!F828</f>
        <v>2</v>
      </c>
      <c r="G146" s="175" t="str">
        <f>+_xlfn.XLOOKUP(C146,'BASE DATOS PRECIOS '!B:B,'BASE DATOS PRECIOS '!F:F)</f>
        <v>UND</v>
      </c>
      <c r="H146" s="176">
        <f>+_xlfn.XLOOKUP(E146,'BASE DATOS PRECIOS '!E:E,'BASE DATOS PRECIOS '!H:H)</f>
        <v>13772.439999999999</v>
      </c>
      <c r="I146" s="175"/>
      <c r="J146" s="175"/>
      <c r="K146" s="176">
        <f t="shared" si="169"/>
        <v>27544.879999999997</v>
      </c>
      <c r="L146" s="176">
        <f t="shared" si="170"/>
        <v>0</v>
      </c>
      <c r="M146" s="176">
        <f t="shared" si="171"/>
        <v>0</v>
      </c>
      <c r="N146" s="176">
        <f t="shared" si="172"/>
        <v>27544.879999999997</v>
      </c>
      <c r="O146" s="1083">
        <f t="shared" si="173"/>
        <v>53.485203883495139</v>
      </c>
    </row>
    <row r="147" spans="1:16" ht="15" customHeight="1" x14ac:dyDescent="0.2">
      <c r="A147" s="303"/>
      <c r="B147" s="833">
        <f t="shared" si="138"/>
        <v>1.3</v>
      </c>
      <c r="C147" s="303" t="s">
        <v>2197</v>
      </c>
      <c r="D147" s="822"/>
      <c r="E147" s="161" t="str">
        <f>+_xlfn.XLOOKUP(C147,'BASE DATOS PRECIOS '!B:B,'BASE DATOS PRECIOS '!E:E)</f>
        <v>TUBO 2X2X1.8MM H.N</v>
      </c>
      <c r="F147" s="162">
        <f>+'1_OG y 2_ACA'!F829</f>
        <v>4</v>
      </c>
      <c r="G147" s="175" t="str">
        <f>+_xlfn.XLOOKUP(C147,'BASE DATOS PRECIOS '!B:B,'BASE DATOS PRECIOS '!F:F)</f>
        <v>UND</v>
      </c>
      <c r="H147" s="176">
        <f>+_xlfn.XLOOKUP(E147,'BASE DATOS PRECIOS '!E:E,'BASE DATOS PRECIOS '!H:H)</f>
        <v>12234.509999999998</v>
      </c>
      <c r="I147" s="175"/>
      <c r="J147" s="175"/>
      <c r="K147" s="176">
        <f t="shared" si="169"/>
        <v>48938.039999999994</v>
      </c>
      <c r="L147" s="176">
        <f t="shared" si="170"/>
        <v>0</v>
      </c>
      <c r="M147" s="176">
        <f t="shared" si="171"/>
        <v>0</v>
      </c>
      <c r="N147" s="176">
        <f t="shared" si="172"/>
        <v>48938.039999999994</v>
      </c>
      <c r="O147" s="1083">
        <f t="shared" si="173"/>
        <v>95.025320388349499</v>
      </c>
    </row>
    <row r="148" spans="1:16" ht="15" customHeight="1" x14ac:dyDescent="0.2">
      <c r="A148" s="303"/>
      <c r="B148" s="833">
        <f t="shared" si="138"/>
        <v>1.3</v>
      </c>
      <c r="C148" s="303" t="s">
        <v>1962</v>
      </c>
      <c r="D148" s="822"/>
      <c r="E148" s="161" t="str">
        <f>+_xlfn.XLOOKUP(C148,'BASE DATOS PRECIOS '!B:B,'BASE DATOS PRECIOS '!E:E)</f>
        <v>TUBO 2X4X1.8MM HN</v>
      </c>
      <c r="F148" s="162">
        <f>+'1_OG y 2_ACA'!F830</f>
        <v>0</v>
      </c>
      <c r="G148" s="175" t="str">
        <f>+_xlfn.XLOOKUP(C148,'BASE DATOS PRECIOS '!B:B,'BASE DATOS PRECIOS '!F:F)</f>
        <v>UND</v>
      </c>
      <c r="H148" s="176">
        <f>+_xlfn.XLOOKUP(E148,'BASE DATOS PRECIOS '!E:E,'BASE DATOS PRECIOS '!H:H)</f>
        <v>21326.489999999998</v>
      </c>
      <c r="I148" s="175"/>
      <c r="J148" s="175"/>
      <c r="K148" s="176">
        <f t="shared" si="169"/>
        <v>0</v>
      </c>
      <c r="L148" s="176">
        <f t="shared" si="170"/>
        <v>0</v>
      </c>
      <c r="M148" s="176">
        <f t="shared" si="171"/>
        <v>0</v>
      </c>
      <c r="N148" s="176">
        <f t="shared" si="172"/>
        <v>0</v>
      </c>
      <c r="O148" s="1083">
        <f t="shared" si="173"/>
        <v>0</v>
      </c>
    </row>
    <row r="149" spans="1:16" ht="15" customHeight="1" x14ac:dyDescent="0.2">
      <c r="A149" s="303"/>
      <c r="B149" s="833">
        <f t="shared" si="138"/>
        <v>1.3</v>
      </c>
      <c r="C149" s="303" t="s">
        <v>1960</v>
      </c>
      <c r="D149" s="822"/>
      <c r="E149" s="161" t="str">
        <f>+_xlfn.XLOOKUP(C149,'BASE DATOS PRECIOS '!B:B,'BASE DATOS PRECIOS '!E:E)</f>
        <v>PLATINA HN 4X1/4</v>
      </c>
      <c r="F149" s="162">
        <f>+'1_OG y 2_ACA'!F831</f>
        <v>0</v>
      </c>
      <c r="G149" s="175" t="str">
        <f>+_xlfn.XLOOKUP(C149,'BASE DATOS PRECIOS '!B:B,'BASE DATOS PRECIOS '!F:F)</f>
        <v>UND</v>
      </c>
      <c r="H149" s="176">
        <f>+_xlfn.XLOOKUP(E149,'BASE DATOS PRECIOS '!E:E,'BASE DATOS PRECIOS '!H:H)</f>
        <v>16564.1276</v>
      </c>
      <c r="I149" s="175"/>
      <c r="J149" s="175"/>
      <c r="K149" s="176">
        <f t="shared" si="169"/>
        <v>0</v>
      </c>
      <c r="L149" s="176">
        <f t="shared" si="170"/>
        <v>0</v>
      </c>
      <c r="M149" s="176">
        <f t="shared" si="171"/>
        <v>0</v>
      </c>
      <c r="N149" s="176">
        <f t="shared" si="172"/>
        <v>0</v>
      </c>
      <c r="O149" s="1083">
        <f t="shared" si="173"/>
        <v>0</v>
      </c>
    </row>
    <row r="150" spans="1:16" ht="15" customHeight="1" x14ac:dyDescent="0.2">
      <c r="A150" s="303"/>
      <c r="B150" s="833">
        <f t="shared" si="138"/>
        <v>1.3</v>
      </c>
      <c r="C150" s="303" t="s">
        <v>1918</v>
      </c>
      <c r="D150" s="834" t="s">
        <v>109</v>
      </c>
      <c r="E150" s="161" t="s">
        <v>3502</v>
      </c>
      <c r="F150" s="162">
        <f>+'1_OG y 2_ACA'!F832</f>
        <v>0</v>
      </c>
      <c r="G150" s="175" t="str">
        <f>+_xlfn.XLOOKUP(C150,'BASE DATOS PRECIOS '!B:B,'BASE DATOS PRECIOS '!F:F)</f>
        <v>UND</v>
      </c>
      <c r="H150" s="176">
        <f>+_xlfn.XLOOKUP(E150,'BASE DATOS PRECIOS '!E:E,'BASE DATOS PRECIOS '!H:H)</f>
        <v>1344.6999999999998</v>
      </c>
      <c r="I150" s="175"/>
      <c r="J150" s="175"/>
      <c r="K150" s="176">
        <f t="shared" si="169"/>
        <v>0</v>
      </c>
      <c r="L150" s="176">
        <f t="shared" si="170"/>
        <v>0</v>
      </c>
      <c r="M150" s="176">
        <f t="shared" si="171"/>
        <v>0</v>
      </c>
      <c r="N150" s="176">
        <f t="shared" si="172"/>
        <v>0</v>
      </c>
      <c r="O150" s="1083">
        <f t="shared" si="173"/>
        <v>0</v>
      </c>
    </row>
    <row r="151" spans="1:16" ht="15" customHeight="1" x14ac:dyDescent="0.2">
      <c r="A151" s="303"/>
      <c r="B151" s="833">
        <f t="shared" si="138"/>
        <v>1.3</v>
      </c>
      <c r="C151" s="303" t="s">
        <v>1919</v>
      </c>
      <c r="D151" s="822"/>
      <c r="E151" s="161" t="str">
        <f>+_xlfn.XLOOKUP(C151,'BASE DATOS PRECIOS '!B:B,'BASE DATOS PRECIOS '!E:E)</f>
        <v>VARILLA DEFORME #4</v>
      </c>
      <c r="F151" s="162">
        <f>+'1_OG y 2_ACA'!F833</f>
        <v>0</v>
      </c>
      <c r="G151" s="175" t="str">
        <f>+_xlfn.XLOOKUP(C151,'BASE DATOS PRECIOS '!B:B,'BASE DATOS PRECIOS '!F:F)</f>
        <v>UND</v>
      </c>
      <c r="H151" s="176">
        <f>+_xlfn.XLOOKUP(E151,'BASE DATOS PRECIOS '!E:E,'BASE DATOS PRECIOS '!H:H)</f>
        <v>2395.6</v>
      </c>
      <c r="I151" s="175"/>
      <c r="J151" s="175"/>
      <c r="K151" s="176">
        <f t="shared" si="169"/>
        <v>0</v>
      </c>
      <c r="L151" s="176">
        <f t="shared" si="170"/>
        <v>0</v>
      </c>
      <c r="M151" s="176">
        <f t="shared" si="171"/>
        <v>0</v>
      </c>
      <c r="N151" s="176">
        <f t="shared" si="172"/>
        <v>0</v>
      </c>
      <c r="O151" s="1083">
        <f t="shared" si="173"/>
        <v>0</v>
      </c>
    </row>
    <row r="152" spans="1:16" x14ac:dyDescent="0.2">
      <c r="A152" s="303"/>
      <c r="B152" s="833">
        <f t="shared" si="138"/>
        <v>1.3</v>
      </c>
      <c r="C152" s="303" t="s">
        <v>2195</v>
      </c>
      <c r="D152" s="822"/>
      <c r="E152" s="161" t="str">
        <f>+_xlfn.XLOOKUP(C152,'BASE DATOS PRECIOS '!B:B,'BASE DATOS PRECIOS '!E:E)</f>
        <v>SOLDADURA 3/32 (6013)</v>
      </c>
      <c r="F152" s="162">
        <f>+'1_OG y 2_ACA'!F835</f>
        <v>1</v>
      </c>
      <c r="G152" s="175" t="str">
        <f>+_xlfn.XLOOKUP(C152,'BASE DATOS PRECIOS '!B:B,'BASE DATOS PRECIOS '!F:F)</f>
        <v>KG</v>
      </c>
      <c r="H152" s="176">
        <f>+_xlfn.XLOOKUP(E152,'BASE DATOS PRECIOS '!E:E,'BASE DATOS PRECIOS '!H:H)</f>
        <v>3600.0330999999996</v>
      </c>
      <c r="I152" s="175"/>
      <c r="J152" s="175"/>
      <c r="K152" s="176">
        <f t="shared" si="169"/>
        <v>3600.0330999999996</v>
      </c>
      <c r="L152" s="176">
        <f t="shared" si="170"/>
        <v>0</v>
      </c>
      <c r="M152" s="176">
        <f t="shared" si="171"/>
        <v>0</v>
      </c>
      <c r="N152" s="176">
        <f t="shared" si="172"/>
        <v>3600.0330999999996</v>
      </c>
      <c r="O152" s="1083">
        <f t="shared" si="173"/>
        <v>6.9903555339805816</v>
      </c>
      <c r="P152" s="171"/>
    </row>
    <row r="153" spans="1:16" x14ac:dyDescent="0.2">
      <c r="A153" s="303"/>
      <c r="B153" s="833">
        <f t="shared" si="138"/>
        <v>1.3</v>
      </c>
      <c r="C153" s="775" t="s">
        <v>1922</v>
      </c>
      <c r="D153" s="823"/>
      <c r="E153" s="161" t="str">
        <f>+_xlfn.XLOOKUP(C153,'BASE DATOS PRECIOS '!B:B,'BASE DATOS PRECIOS '!E:E)</f>
        <v>DISCO CORTE METAL FINO 9"</v>
      </c>
      <c r="F153" s="162">
        <f>+'1_OG y 2_ACA'!F836</f>
        <v>1</v>
      </c>
      <c r="G153" s="175" t="str">
        <f>+_xlfn.XLOOKUP(C153,'BASE DATOS PRECIOS '!B:B,'BASE DATOS PRECIOS '!F:F)</f>
        <v>UND</v>
      </c>
      <c r="H153" s="176">
        <f>+_xlfn.XLOOKUP(E153,'BASE DATOS PRECIOS '!E:E,'BASE DATOS PRECIOS '!H:H)</f>
        <v>3037.6320999999998</v>
      </c>
      <c r="I153" s="175"/>
      <c r="J153" s="175"/>
      <c r="K153" s="176">
        <f t="shared" si="169"/>
        <v>3037.6320999999998</v>
      </c>
      <c r="L153" s="176">
        <f t="shared" si="170"/>
        <v>0</v>
      </c>
      <c r="M153" s="176">
        <f t="shared" si="171"/>
        <v>0</v>
      </c>
      <c r="N153" s="176">
        <f t="shared" si="172"/>
        <v>3037.6320999999998</v>
      </c>
      <c r="O153" s="1083">
        <f t="shared" si="173"/>
        <v>5.8983147572815531</v>
      </c>
      <c r="P153" s="171"/>
    </row>
    <row r="154" spans="1:16" x14ac:dyDescent="0.2">
      <c r="A154" s="303"/>
      <c r="B154" s="833">
        <f t="shared" si="138"/>
        <v>1.3</v>
      </c>
      <c r="C154" s="303" t="s">
        <v>1959</v>
      </c>
      <c r="D154" s="822"/>
      <c r="E154" s="161" t="str">
        <f>+_xlfn.XLOOKUP(C154,'BASE DATOS PRECIOS '!B:B,'BASE DATOS PRECIOS '!E:E)</f>
        <v>DISCO ESMERILAR 4-1/2</v>
      </c>
      <c r="F154" s="162">
        <f>+F153</f>
        <v>1</v>
      </c>
      <c r="G154" s="175" t="str">
        <f>+_xlfn.XLOOKUP(C154,'BASE DATOS PRECIOS '!B:B,'BASE DATOS PRECIOS '!F:F)</f>
        <v>UND</v>
      </c>
      <c r="H154" s="176">
        <f>+_xlfn.XLOOKUP(E154,'BASE DATOS PRECIOS '!E:E,'BASE DATOS PRECIOS '!H:H)</f>
        <v>1519.85</v>
      </c>
      <c r="I154" s="175"/>
      <c r="J154" s="175"/>
      <c r="K154" s="176">
        <f t="shared" si="169"/>
        <v>1519.85</v>
      </c>
      <c r="L154" s="176">
        <f t="shared" si="170"/>
        <v>0</v>
      </c>
      <c r="M154" s="176">
        <f t="shared" si="171"/>
        <v>0</v>
      </c>
      <c r="N154" s="176">
        <f t="shared" si="172"/>
        <v>1519.85</v>
      </c>
      <c r="O154" s="1083">
        <f t="shared" si="173"/>
        <v>2.9511650485436891</v>
      </c>
      <c r="P154" s="171"/>
    </row>
    <row r="155" spans="1:16" x14ac:dyDescent="0.2">
      <c r="A155" s="303"/>
      <c r="B155" s="833">
        <f t="shared" si="138"/>
        <v>1.3</v>
      </c>
      <c r="C155" s="777" t="s">
        <v>2088</v>
      </c>
      <c r="D155" s="836"/>
      <c r="E155" s="161" t="str">
        <f>+_xlfn.XLOOKUP(C155,'BASE DATOS PRECIOS '!B:B,'BASE DATOS PRECIOS '!E:E)</f>
        <v>DISCO FLAP G60 4-1/2"</v>
      </c>
      <c r="F155" s="162">
        <f>+F154</f>
        <v>1</v>
      </c>
      <c r="G155" s="175" t="str">
        <f>+_xlfn.XLOOKUP(C155,'BASE DATOS PRECIOS '!B:B,'BASE DATOS PRECIOS '!F:F)</f>
        <v>UND</v>
      </c>
      <c r="H155" s="176">
        <f>+_xlfn.XLOOKUP(E155,'BASE DATOS PRECIOS '!E:E,'BASE DATOS PRECIOS '!H:H)</f>
        <v>1672.6034</v>
      </c>
      <c r="I155" s="175"/>
      <c r="J155" s="175"/>
      <c r="K155" s="176">
        <f t="shared" si="169"/>
        <v>1672.6034</v>
      </c>
      <c r="L155" s="176">
        <f t="shared" si="170"/>
        <v>0</v>
      </c>
      <c r="M155" s="176">
        <f t="shared" si="171"/>
        <v>0</v>
      </c>
      <c r="N155" s="176">
        <f t="shared" si="172"/>
        <v>1672.6034</v>
      </c>
      <c r="O155" s="1083">
        <f t="shared" si="173"/>
        <v>3.2477735922330098</v>
      </c>
      <c r="P155" s="171"/>
    </row>
    <row r="156" spans="1:16" x14ac:dyDescent="0.2">
      <c r="A156" s="303"/>
      <c r="B156" s="833">
        <f t="shared" si="138"/>
        <v>1.3</v>
      </c>
      <c r="C156" s="775" t="s">
        <v>1923</v>
      </c>
      <c r="D156" s="823"/>
      <c r="E156" s="161" t="str">
        <f>+_xlfn.XLOOKUP(C156,'BASE DATOS PRECIOS '!B:B,'BASE DATOS PRECIOS '!E:E)</f>
        <v>DISCO CORTE FINO METAL 4-1/2</v>
      </c>
      <c r="F156" s="162">
        <f>+F155</f>
        <v>1</v>
      </c>
      <c r="G156" s="175" t="str">
        <f>+_xlfn.XLOOKUP(C156,'BASE DATOS PRECIOS '!B:B,'BASE DATOS PRECIOS '!F:F)</f>
        <v>UND</v>
      </c>
      <c r="H156" s="176">
        <f>+_xlfn.XLOOKUP(E156,'BASE DATOS PRECIOS '!E:E,'BASE DATOS PRECIOS '!H:H)</f>
        <v>3661.2</v>
      </c>
      <c r="I156" s="175"/>
      <c r="J156" s="175"/>
      <c r="K156" s="176">
        <f t="shared" si="169"/>
        <v>3661.2</v>
      </c>
      <c r="L156" s="176">
        <f t="shared" si="170"/>
        <v>0</v>
      </c>
      <c r="M156" s="176">
        <f t="shared" si="171"/>
        <v>0</v>
      </c>
      <c r="N156" s="176">
        <f t="shared" si="172"/>
        <v>3661.2</v>
      </c>
      <c r="O156" s="1083">
        <f t="shared" si="173"/>
        <v>7.1091262135922326</v>
      </c>
      <c r="P156" s="171"/>
    </row>
    <row r="157" spans="1:16" x14ac:dyDescent="0.2">
      <c r="A157" s="303"/>
      <c r="B157" s="833">
        <f t="shared" si="138"/>
        <v>1.3</v>
      </c>
      <c r="C157" s="303" t="s">
        <v>2201</v>
      </c>
      <c r="D157" s="822"/>
      <c r="E157" s="318" t="str">
        <f>+_xlfn.XLOOKUP(C157,'BASE DATOS PRECIOS '!B:B,'BASE DATOS PRECIOS '!E:E)</f>
        <v>THINNER INDUSTRIAL</v>
      </c>
      <c r="F157" s="183">
        <f>+'1_OG y 2_ACA'!F837</f>
        <v>1</v>
      </c>
      <c r="G157" s="184" t="str">
        <f>+_xlfn.XLOOKUP(C157,'BASE DATOS PRECIOS '!B:B,'BASE DATOS PRECIOS '!F:F)</f>
        <v>GALON</v>
      </c>
      <c r="H157" s="176">
        <f>+_xlfn.XLOOKUP(E157,'BASE DATOS PRECIOS '!E:E,'BASE DATOS PRECIOS '!H:H)</f>
        <v>6464.999957</v>
      </c>
      <c r="I157" s="184"/>
      <c r="J157" s="184"/>
      <c r="K157" s="185">
        <f t="shared" si="169"/>
        <v>6464.999957</v>
      </c>
      <c r="L157" s="185">
        <f t="shared" si="170"/>
        <v>0</v>
      </c>
      <c r="M157" s="185">
        <f t="shared" si="171"/>
        <v>0</v>
      </c>
      <c r="N157" s="185">
        <f t="shared" si="172"/>
        <v>6464.999957</v>
      </c>
      <c r="O157" s="1088">
        <f t="shared" si="173"/>
        <v>12.553397974757281</v>
      </c>
      <c r="P157" s="171"/>
    </row>
    <row r="158" spans="1:16" x14ac:dyDescent="0.2">
      <c r="A158" s="303"/>
      <c r="B158" s="833">
        <f t="shared" si="138"/>
        <v>1.3</v>
      </c>
      <c r="C158" s="303" t="s">
        <v>2182</v>
      </c>
      <c r="D158" s="822"/>
      <c r="E158" s="318" t="str">
        <f>+_xlfn.XLOOKUP(C158,'BASE DATOS PRECIOS '!B:B,'BASE DATOS PRECIOS '!E:E)</f>
        <v>MECHA BLANCA</v>
      </c>
      <c r="F158" s="183">
        <f>+'1_OG y 2_ACA'!F838</f>
        <v>1</v>
      </c>
      <c r="G158" s="184" t="str">
        <f>+_xlfn.XLOOKUP(C158,'BASE DATOS PRECIOS '!B:B,'BASE DATOS PRECIOS '!F:F)</f>
        <v>KG</v>
      </c>
      <c r="H158" s="176">
        <f>+_xlfn.XLOOKUP(E158,'BASE DATOS PRECIOS '!E:E,'BASE DATOS PRECIOS '!H:H)</f>
        <v>4338.0021999999999</v>
      </c>
      <c r="I158" s="184"/>
      <c r="J158" s="184"/>
      <c r="K158" s="185">
        <f t="shared" si="169"/>
        <v>4338.0021999999999</v>
      </c>
      <c r="L158" s="185">
        <f t="shared" si="170"/>
        <v>0</v>
      </c>
      <c r="M158" s="185">
        <f t="shared" si="171"/>
        <v>0</v>
      </c>
      <c r="N158" s="185">
        <f t="shared" si="172"/>
        <v>4338.0021999999999</v>
      </c>
      <c r="O158" s="1088">
        <f t="shared" si="173"/>
        <v>8.4233052427184472</v>
      </c>
      <c r="P158" s="171"/>
    </row>
    <row r="159" spans="1:16" x14ac:dyDescent="0.2">
      <c r="A159" s="303"/>
      <c r="B159" s="833">
        <f t="shared" si="138"/>
        <v>1.3</v>
      </c>
      <c r="C159" s="777" t="s">
        <v>1961</v>
      </c>
      <c r="D159" s="836"/>
      <c r="E159" s="318" t="str">
        <f>+_xlfn.XLOOKUP(C159,'BASE DATOS PRECIOS '!B:B,'BASE DATOS PRECIOS '!E:E)</f>
        <v>ANTICORROSIVO MINIO GALON</v>
      </c>
      <c r="F159" s="183">
        <f>+'1_OG y 2_ACA'!F839</f>
        <v>1</v>
      </c>
      <c r="G159" s="184" t="str">
        <f>+_xlfn.XLOOKUP(C159,'BASE DATOS PRECIOS '!B:B,'BASE DATOS PRECIOS '!F:F)</f>
        <v>GAL</v>
      </c>
      <c r="H159" s="176">
        <f>+_xlfn.XLOOKUP(E159,'BASE DATOS PRECIOS '!E:E,'BASE DATOS PRECIOS '!H:H)</f>
        <v>17605.004499999999</v>
      </c>
      <c r="I159" s="184"/>
      <c r="J159" s="184"/>
      <c r="K159" s="185">
        <f t="shared" si="169"/>
        <v>17605.004499999999</v>
      </c>
      <c r="L159" s="185">
        <f t="shared" si="170"/>
        <v>0</v>
      </c>
      <c r="M159" s="185">
        <f t="shared" si="171"/>
        <v>0</v>
      </c>
      <c r="N159" s="185">
        <f t="shared" si="172"/>
        <v>17605.004499999999</v>
      </c>
      <c r="O159" s="1088">
        <f t="shared" si="173"/>
        <v>34.184474757281549</v>
      </c>
      <c r="P159" s="171"/>
    </row>
    <row r="160" spans="1:16" x14ac:dyDescent="0.2">
      <c r="A160" s="303"/>
      <c r="B160" s="833">
        <f t="shared" si="138"/>
        <v>1.3</v>
      </c>
      <c r="C160" s="303" t="s">
        <v>2199</v>
      </c>
      <c r="D160" s="822"/>
      <c r="E160" s="318" t="str">
        <f>+_xlfn.XLOOKUP(C160,'BASE DATOS PRECIOS '!B:B,'BASE DATOS PRECIOS '!E:E)</f>
        <v>PINTURA DRY COAT MATE DEEP GRIS OSCURO</v>
      </c>
      <c r="F160" s="183">
        <f>+'1_OG y 2_ACA'!F839</f>
        <v>1</v>
      </c>
      <c r="G160" s="184" t="str">
        <f>+_xlfn.XLOOKUP(C160,'BASE DATOS PRECIOS '!B:B,'BASE DATOS PRECIOS '!F:F)</f>
        <v>GALON</v>
      </c>
      <c r="H160" s="176">
        <f>+_xlfn.XLOOKUP(E160,'BASE DATOS PRECIOS '!E:E,'BASE DATOS PRECIOS '!H:H)</f>
        <v>26215.954799999996</v>
      </c>
      <c r="I160" s="184"/>
      <c r="J160" s="184"/>
      <c r="K160" s="185">
        <f t="shared" si="169"/>
        <v>26215.954799999996</v>
      </c>
      <c r="L160" s="185">
        <f t="shared" si="170"/>
        <v>0</v>
      </c>
      <c r="M160" s="185">
        <f t="shared" si="171"/>
        <v>0</v>
      </c>
      <c r="N160" s="185">
        <f t="shared" si="172"/>
        <v>26215.954799999996</v>
      </c>
      <c r="O160" s="1088">
        <f t="shared" si="173"/>
        <v>50.904766601941738</v>
      </c>
      <c r="P160" s="171"/>
    </row>
    <row r="161" spans="1:16" ht="14.1" customHeight="1" x14ac:dyDescent="0.2">
      <c r="A161" s="303"/>
      <c r="B161" s="833">
        <f t="shared" si="138"/>
        <v>1.3</v>
      </c>
      <c r="C161" s="303" t="s">
        <v>1939</v>
      </c>
      <c r="D161" s="822"/>
      <c r="E161" s="161" t="str">
        <f>+_xlfn.XLOOKUP(C161,'BASE DATOS PRECIOS '!B:B,'BASE DATOS PRECIOS '!E:E)</f>
        <v>BROCHA CORRIENTE 3"</v>
      </c>
      <c r="F161" s="183">
        <f>+'1_OG y 2_ACA'!F840</f>
        <v>2</v>
      </c>
      <c r="G161" s="175" t="str">
        <f>+_xlfn.XLOOKUP(C161,'BASE DATOS PRECIOS '!B:B,'BASE DATOS PRECIOS '!F:F)</f>
        <v>UND</v>
      </c>
      <c r="H161" s="176">
        <f>+_xlfn.XLOOKUP(E161,'BASE DATOS PRECIOS '!E:E,'BASE DATOS PRECIOS '!H:H)</f>
        <v>2060.0012999999999</v>
      </c>
      <c r="I161" s="175"/>
      <c r="J161" s="175"/>
      <c r="K161" s="176">
        <f t="shared" si="169"/>
        <v>4120.0025999999998</v>
      </c>
      <c r="L161" s="176">
        <f t="shared" si="170"/>
        <v>0</v>
      </c>
      <c r="M161" s="176">
        <f t="shared" si="171"/>
        <v>0</v>
      </c>
      <c r="N161" s="176">
        <f t="shared" si="172"/>
        <v>4120.0025999999998</v>
      </c>
      <c r="O161" s="1083">
        <f t="shared" si="173"/>
        <v>8.0000050485436898</v>
      </c>
      <c r="P161" s="156"/>
    </row>
    <row r="162" spans="1:16" x14ac:dyDescent="0.2">
      <c r="A162" s="303"/>
      <c r="B162" s="833">
        <f t="shared" si="138"/>
        <v>1.3</v>
      </c>
      <c r="C162" s="303" t="s">
        <v>2200</v>
      </c>
      <c r="D162" s="822"/>
      <c r="E162" s="318" t="str">
        <f>+_xlfn.XLOOKUP(C162,'BASE DATOS PRECIOS '!B:B,'BASE DATOS PRECIOS '!E:E)</f>
        <v>MAXISTIK 590 (EPOXICO)</v>
      </c>
      <c r="F162" s="183">
        <f>+'1_OG y 2_ACA'!F841</f>
        <v>1</v>
      </c>
      <c r="G162" s="184" t="str">
        <f>+_xlfn.XLOOKUP(C162,'BASE DATOS PRECIOS '!B:B,'BASE DATOS PRECIOS '!F:F)</f>
        <v>UND</v>
      </c>
      <c r="H162" s="176">
        <f>+_xlfn.XLOOKUP(E162,'BASE DATOS PRECIOS '!E:E,'BASE DATOS PRECIOS '!H:H)</f>
        <v>12450.001</v>
      </c>
      <c r="I162" s="184"/>
      <c r="J162" s="184"/>
      <c r="K162" s="185">
        <f t="shared" si="169"/>
        <v>12450.001</v>
      </c>
      <c r="L162" s="185">
        <f t="shared" si="170"/>
        <v>0</v>
      </c>
      <c r="M162" s="185">
        <f t="shared" si="171"/>
        <v>0</v>
      </c>
      <c r="N162" s="185">
        <f t="shared" si="172"/>
        <v>12450.001</v>
      </c>
      <c r="O162" s="1088">
        <f t="shared" si="173"/>
        <v>24.17475922330097</v>
      </c>
      <c r="P162" s="171"/>
    </row>
    <row r="163" spans="1:16" x14ac:dyDescent="0.2">
      <c r="A163" s="303"/>
      <c r="B163" s="833">
        <f t="shared" si="138"/>
        <v>1.3</v>
      </c>
      <c r="C163" s="303" t="s">
        <v>1963</v>
      </c>
      <c r="D163" s="822"/>
      <c r="E163" s="318" t="str">
        <f>+_xlfn.XLOOKUP(C163,'BASE DATOS PRECIOS '!B:B,'BASE DATOS PRECIOS '!E:E)</f>
        <v>MERULA C/CATALIZADOR</v>
      </c>
      <c r="F163" s="183">
        <f>+'1_OG y 2_ACA'!F842</f>
        <v>1</v>
      </c>
      <c r="G163" s="184" t="str">
        <f>+_xlfn.XLOOKUP(C163,'BASE DATOS PRECIOS '!B:B,'BASE DATOS PRECIOS '!F:F)</f>
        <v>1/4 DE GALON</v>
      </c>
      <c r="H163" s="176">
        <f>+_xlfn.XLOOKUP(E163,'BASE DATOS PRECIOS '!E:E,'BASE DATOS PRECIOS '!H:H)</f>
        <v>7156.0865999999987</v>
      </c>
      <c r="I163" s="184"/>
      <c r="J163" s="184"/>
      <c r="K163" s="185">
        <f t="shared" si="169"/>
        <v>7156.0865999999987</v>
      </c>
      <c r="L163" s="185">
        <f t="shared" si="170"/>
        <v>0</v>
      </c>
      <c r="M163" s="185">
        <f t="shared" si="171"/>
        <v>0</v>
      </c>
      <c r="N163" s="185">
        <f t="shared" si="172"/>
        <v>7156.0865999999987</v>
      </c>
      <c r="O163" s="1088">
        <f t="shared" si="173"/>
        <v>13.895313786407765</v>
      </c>
      <c r="P163" s="171"/>
    </row>
    <row r="164" spans="1:16" x14ac:dyDescent="0.2">
      <c r="A164" s="1077" t="s">
        <v>2147</v>
      </c>
      <c r="B164" s="833">
        <f t="shared" si="138"/>
        <v>1.3</v>
      </c>
      <c r="C164" s="774" t="s">
        <v>1404</v>
      </c>
      <c r="D164" s="210"/>
      <c r="E164" s="211" t="str">
        <f>+_xlfn.XLOOKUP(C164,'BASE DATOS MANO DE OBRA'!A:A,'BASE DATOS MANO DE OBRA'!B:B)</f>
        <v xml:space="preserve">OPERARIO CALIFICADO PLUS </v>
      </c>
      <c r="F164" s="212">
        <f>+ROUNDUP('1_OG y 2_ACA'!F843,0)/2</f>
        <v>68</v>
      </c>
      <c r="G164" s="213" t="str">
        <f>+_xlfn.XLOOKUP(C164,'BASE DATOS MANO DE OBRA'!A:A,'BASE DATOS MANO DE OBRA'!C:C)</f>
        <v xml:space="preserve">hora </v>
      </c>
      <c r="H164" s="214">
        <v>0</v>
      </c>
      <c r="I164" s="214">
        <f>+_xlfn.XLOOKUP(C164,'BASE DATOS MANO DE OBRA'!A:A,'BASE DATOS MANO DE OBRA'!E:E)</f>
        <v>3000</v>
      </c>
      <c r="J164" s="214">
        <v>0</v>
      </c>
      <c r="K164" s="214">
        <f t="shared" si="169"/>
        <v>0</v>
      </c>
      <c r="L164" s="214">
        <f t="shared" si="170"/>
        <v>204000</v>
      </c>
      <c r="M164" s="214">
        <f t="shared" si="171"/>
        <v>0</v>
      </c>
      <c r="N164" s="214">
        <f t="shared" si="172"/>
        <v>204000</v>
      </c>
      <c r="O164" s="1086">
        <f t="shared" si="173"/>
        <v>396.11650485436894</v>
      </c>
      <c r="P164" s="171"/>
    </row>
    <row r="165" spans="1:16" x14ac:dyDescent="0.2">
      <c r="A165" s="1077" t="s">
        <v>2147</v>
      </c>
      <c r="B165" s="833">
        <f t="shared" si="138"/>
        <v>1.3</v>
      </c>
      <c r="C165" s="774" t="s">
        <v>1404</v>
      </c>
      <c r="D165" s="210"/>
      <c r="E165" s="211" t="str">
        <f>+_xlfn.XLOOKUP(C165,'BASE DATOS MANO DE OBRA'!A:A,'BASE DATOS MANO DE OBRA'!B:B)</f>
        <v xml:space="preserve">OPERARIO CALIFICADO PLUS </v>
      </c>
      <c r="F165" s="212">
        <f>+F164</f>
        <v>68</v>
      </c>
      <c r="G165" s="213" t="str">
        <f>+_xlfn.XLOOKUP(C165,'BASE DATOS MANO DE OBRA'!A:A,'BASE DATOS MANO DE OBRA'!C:C)</f>
        <v xml:space="preserve">hora </v>
      </c>
      <c r="H165" s="214">
        <v>0</v>
      </c>
      <c r="I165" s="214">
        <f>+_xlfn.XLOOKUP(C165,'BASE DATOS MANO DE OBRA'!A:A,'BASE DATOS MANO DE OBRA'!E:E)</f>
        <v>3000</v>
      </c>
      <c r="J165" s="214">
        <v>0</v>
      </c>
      <c r="K165" s="214">
        <f t="shared" si="169"/>
        <v>0</v>
      </c>
      <c r="L165" s="214">
        <f t="shared" si="170"/>
        <v>204000</v>
      </c>
      <c r="M165" s="214">
        <f t="shared" si="171"/>
        <v>0</v>
      </c>
      <c r="N165" s="214">
        <f t="shared" si="172"/>
        <v>204000</v>
      </c>
      <c r="O165" s="1086">
        <f t="shared" si="173"/>
        <v>396.11650485436894</v>
      </c>
      <c r="P165" s="171"/>
    </row>
    <row r="166" spans="1:16" x14ac:dyDescent="0.2">
      <c r="A166" s="303"/>
      <c r="B166" s="833">
        <f t="shared" si="138"/>
        <v>1.3</v>
      </c>
      <c r="C166" s="774" t="s">
        <v>1404</v>
      </c>
      <c r="D166" s="210"/>
      <c r="E166" s="211" t="str">
        <f>+_xlfn.XLOOKUP(C166,'BASE DATOS MANO DE OBRA'!A:A,'BASE DATOS MANO DE OBRA'!B:B)</f>
        <v xml:space="preserve">OPERARIO CALIFICADO PLUS </v>
      </c>
      <c r="F166" s="212">
        <v>0</v>
      </c>
      <c r="G166" s="213" t="str">
        <f>+_xlfn.XLOOKUP(C166,'BASE DATOS MANO DE OBRA'!A:A,'BASE DATOS MANO DE OBRA'!C:C)</f>
        <v xml:space="preserve">hora </v>
      </c>
      <c r="H166" s="214">
        <v>0</v>
      </c>
      <c r="I166" s="214">
        <f>+_xlfn.XLOOKUP(C166,'BASE DATOS MANO DE OBRA'!A:A,'BASE DATOS MANO DE OBRA'!E:E)</f>
        <v>3000</v>
      </c>
      <c r="J166" s="214">
        <v>0</v>
      </c>
      <c r="K166" s="214">
        <f t="shared" si="169"/>
        <v>0</v>
      </c>
      <c r="L166" s="214">
        <f t="shared" si="170"/>
        <v>0</v>
      </c>
      <c r="M166" s="214">
        <f t="shared" si="171"/>
        <v>0</v>
      </c>
      <c r="N166" s="214">
        <f t="shared" si="172"/>
        <v>0</v>
      </c>
      <c r="O166" s="1086">
        <f t="shared" si="173"/>
        <v>0</v>
      </c>
      <c r="P166" s="171"/>
    </row>
    <row r="167" spans="1:16" x14ac:dyDescent="0.2">
      <c r="A167" s="303"/>
      <c r="B167" s="833">
        <f t="shared" si="138"/>
        <v>1.3</v>
      </c>
      <c r="C167" s="774" t="s">
        <v>1404</v>
      </c>
      <c r="D167" s="210"/>
      <c r="E167" s="211" t="str">
        <f>+_xlfn.XLOOKUP(C167,'BASE DATOS MANO DE OBRA'!A:A,'BASE DATOS MANO DE OBRA'!B:B)</f>
        <v xml:space="preserve">OPERARIO CALIFICADO PLUS </v>
      </c>
      <c r="F167" s="212">
        <v>0</v>
      </c>
      <c r="G167" s="213" t="str">
        <f>+_xlfn.XLOOKUP(C167,'BASE DATOS MANO DE OBRA'!A:A,'BASE DATOS MANO DE OBRA'!C:C)</f>
        <v xml:space="preserve">hora </v>
      </c>
      <c r="H167" s="214">
        <v>0</v>
      </c>
      <c r="I167" s="214">
        <f>+_xlfn.XLOOKUP(C167,'BASE DATOS MANO DE OBRA'!A:A,'BASE DATOS MANO DE OBRA'!E:E)</f>
        <v>3000</v>
      </c>
      <c r="J167" s="214">
        <v>0</v>
      </c>
      <c r="K167" s="214">
        <f t="shared" si="169"/>
        <v>0</v>
      </c>
      <c r="L167" s="214">
        <f t="shared" si="170"/>
        <v>0</v>
      </c>
      <c r="M167" s="214">
        <f t="shared" si="171"/>
        <v>0</v>
      </c>
      <c r="N167" s="214">
        <f t="shared" si="172"/>
        <v>0</v>
      </c>
      <c r="O167" s="1086">
        <f t="shared" si="173"/>
        <v>0</v>
      </c>
      <c r="P167" s="171"/>
    </row>
    <row r="168" spans="1:16" s="49" customFormat="1" ht="18.600000000000001" customHeight="1" collapsed="1" x14ac:dyDescent="0.2">
      <c r="A168" s="303"/>
      <c r="B168" s="833">
        <f t="shared" si="138"/>
        <v>1.3</v>
      </c>
      <c r="C168" s="770" t="s">
        <v>2049</v>
      </c>
      <c r="D168" s="453"/>
      <c r="E168" s="454" t="s">
        <v>162</v>
      </c>
      <c r="F168" s="455">
        <f>+'1_OG y 2_ACA'!D21</f>
        <v>44.8</v>
      </c>
      <c r="G168" s="453" t="s">
        <v>78</v>
      </c>
      <c r="H168" s="453"/>
      <c r="I168" s="453"/>
      <c r="J168" s="453"/>
      <c r="K168" s="456">
        <f>+SUBTOTAL(9,K169:K174)</f>
        <v>150159.26549749999</v>
      </c>
      <c r="L168" s="456">
        <f>+SUBTOTAL(9,L169:L174)</f>
        <v>403650</v>
      </c>
      <c r="M168" s="456">
        <f>+SUBTOTAL(9,M169:M174)</f>
        <v>0</v>
      </c>
      <c r="N168" s="456">
        <f>+SUBTOTAL(9,N169:N174)</f>
        <v>553809.26549749996</v>
      </c>
      <c r="O168" s="1082">
        <f>+SUBTOTAL(9,O169:O174)</f>
        <v>1075.3577970825243</v>
      </c>
      <c r="P168" s="416"/>
    </row>
    <row r="169" spans="1:16" x14ac:dyDescent="0.2">
      <c r="A169" s="303"/>
      <c r="B169" s="833">
        <f t="shared" si="138"/>
        <v>1.3</v>
      </c>
      <c r="C169" s="775" t="s">
        <v>3560</v>
      </c>
      <c r="D169" s="823"/>
      <c r="E169" s="161" t="str">
        <f>+_xlfn.XLOOKUP(C169,'BASE DATOS PRECIOS '!B:B,'BASE DATOS PRECIOS '!E:E)</f>
        <v>BOBINA GALVALUME 0.53MM X 48" BLANCO</v>
      </c>
      <c r="F169" s="162">
        <f>+'1_OG y 2_ACA'!D872</f>
        <v>131.46175000000002</v>
      </c>
      <c r="G169" s="175" t="str">
        <f>+_xlfn.XLOOKUP(C169,'BASE DATOS PRECIOS '!B:B,'BASE DATOS PRECIOS '!F:F)</f>
        <v>KG</v>
      </c>
      <c r="H169" s="176">
        <f>+_xlfn.XLOOKUP(E169,'BASE DATOS PRECIOS '!E:E,'BASE DATOS PRECIOS '!H:H)</f>
        <v>868.96999999999991</v>
      </c>
      <c r="I169" s="175"/>
      <c r="J169" s="175"/>
      <c r="K169" s="176">
        <f t="shared" ref="K169:K174" si="174">+F169*H169</f>
        <v>114236.31689750002</v>
      </c>
      <c r="L169" s="176">
        <f t="shared" ref="L169:L174" si="175">+F169*I169</f>
        <v>0</v>
      </c>
      <c r="M169" s="176">
        <f t="shared" ref="M169:M174" si="176">+F169*J169</f>
        <v>0</v>
      </c>
      <c r="N169" s="176">
        <f t="shared" ref="N169:N174" si="177">SUM(K169:M169)</f>
        <v>114236.31689750002</v>
      </c>
      <c r="O169" s="1083">
        <f t="shared" ref="O169:O174" si="178">SUM(K169:M169)/tc</f>
        <v>221.81809106310683</v>
      </c>
      <c r="P169" s="171"/>
    </row>
    <row r="170" spans="1:16" x14ac:dyDescent="0.2">
      <c r="A170" s="303"/>
      <c r="B170" s="833">
        <f t="shared" si="138"/>
        <v>1.3</v>
      </c>
      <c r="C170" s="775" t="s">
        <v>1964</v>
      </c>
      <c r="D170" s="823"/>
      <c r="E170" s="161" t="str">
        <f>+_xlfn.XLOOKUP(C170,'BASE DATOS PRECIOS '!B:B,'BASE DATOS PRECIOS '!E:E)</f>
        <v>CLIP ESMALTADO CALIBRE 24</v>
      </c>
      <c r="F170" s="162">
        <f>+'1_OG y 2_ACA'!D873</f>
        <v>150</v>
      </c>
      <c r="G170" s="175" t="str">
        <f>+_xlfn.XLOOKUP(C170,'BASE DATOS PRECIOS '!B:B,'BASE DATOS PRECIOS '!F:F)</f>
        <v>UND</v>
      </c>
      <c r="H170" s="176">
        <f>+_xlfn.XLOOKUP(E170,'BASE DATOS PRECIOS '!E:E,'BASE DATOS PRECIOS '!H:H)</f>
        <v>199.99869999999999</v>
      </c>
      <c r="I170" s="175"/>
      <c r="J170" s="175"/>
      <c r="K170" s="176">
        <f t="shared" si="174"/>
        <v>29999.804999999997</v>
      </c>
      <c r="L170" s="176">
        <f t="shared" si="175"/>
        <v>0</v>
      </c>
      <c r="M170" s="176">
        <f t="shared" si="176"/>
        <v>0</v>
      </c>
      <c r="N170" s="176">
        <f t="shared" si="177"/>
        <v>29999.804999999997</v>
      </c>
      <c r="O170" s="1083">
        <f t="shared" si="178"/>
        <v>58.252048543689313</v>
      </c>
      <c r="P170" s="171"/>
    </row>
    <row r="171" spans="1:16" x14ac:dyDescent="0.2">
      <c r="A171" s="303"/>
      <c r="B171" s="833">
        <f t="shared" si="138"/>
        <v>1.3</v>
      </c>
      <c r="C171" s="775" t="s">
        <v>2203</v>
      </c>
      <c r="D171" s="823"/>
      <c r="E171" s="161" t="str">
        <f>+_xlfn.XLOOKUP(C171,'BASE DATOS PRECIOS '!B:B,'BASE DATOS PRECIOS '!E:E)</f>
        <v>TORNILLO GYPSUM 7/16 PUNTA FINA CON ARANDELA</v>
      </c>
      <c r="F171" s="162">
        <f>+'1_OG y 2_ACA'!D874</f>
        <v>300</v>
      </c>
      <c r="G171" s="175" t="str">
        <f>+_xlfn.XLOOKUP(C171,'BASE DATOS PRECIOS '!B:B,'BASE DATOS PRECIOS '!F:F)</f>
        <v>UND</v>
      </c>
      <c r="H171" s="176">
        <f>+_xlfn.XLOOKUP(E171,'BASE DATOS PRECIOS '!E:E,'BASE DATOS PRECIOS '!H:H)</f>
        <v>3.9211</v>
      </c>
      <c r="I171" s="175"/>
      <c r="J171" s="175"/>
      <c r="K171" s="176">
        <f t="shared" si="174"/>
        <v>1176.33</v>
      </c>
      <c r="L171" s="176">
        <f t="shared" si="175"/>
        <v>0</v>
      </c>
      <c r="M171" s="176">
        <f t="shared" si="176"/>
        <v>0</v>
      </c>
      <c r="N171" s="176">
        <f t="shared" si="177"/>
        <v>1176.33</v>
      </c>
      <c r="O171" s="1083">
        <f t="shared" si="178"/>
        <v>2.2841359223300968</v>
      </c>
      <c r="P171" s="171"/>
    </row>
    <row r="172" spans="1:16" x14ac:dyDescent="0.2">
      <c r="A172" s="1074"/>
      <c r="B172" s="833">
        <f t="shared" si="138"/>
        <v>1.3</v>
      </c>
      <c r="C172" s="775" t="s">
        <v>1936</v>
      </c>
      <c r="D172" s="823"/>
      <c r="E172" s="161" t="str">
        <f>+_xlfn.XLOOKUP(C172,'BASE DATOS PRECIOS '!B:B,'BASE DATOS PRECIOS '!E:E)</f>
        <v>DURETAN BLANCO</v>
      </c>
      <c r="F172" s="162">
        <f>+'1_OG y 2_ACA'!D875</f>
        <v>1</v>
      </c>
      <c r="G172" s="175" t="str">
        <f>+_xlfn.XLOOKUP(C172,'BASE DATOS PRECIOS '!B:B,'BASE DATOS PRECIOS '!F:F)</f>
        <v>CARTUCHO</v>
      </c>
      <c r="H172" s="176">
        <f>+_xlfn.XLOOKUP(E172,'BASE DATOS PRECIOS '!E:E,'BASE DATOS PRECIOS '!H:H)</f>
        <v>4746.8135999999995</v>
      </c>
      <c r="I172" s="175"/>
      <c r="J172" s="175"/>
      <c r="K172" s="176">
        <f t="shared" si="174"/>
        <v>4746.8135999999995</v>
      </c>
      <c r="L172" s="176">
        <f t="shared" si="175"/>
        <v>0</v>
      </c>
      <c r="M172" s="176">
        <f t="shared" si="176"/>
        <v>0</v>
      </c>
      <c r="N172" s="176">
        <f t="shared" si="177"/>
        <v>4746.8135999999995</v>
      </c>
      <c r="O172" s="1083">
        <f t="shared" si="178"/>
        <v>9.2171137864077668</v>
      </c>
      <c r="P172" s="171"/>
    </row>
    <row r="173" spans="1:16" x14ac:dyDescent="0.2">
      <c r="A173" s="1077" t="s">
        <v>2148</v>
      </c>
      <c r="B173" s="833">
        <f t="shared" si="138"/>
        <v>1.3</v>
      </c>
      <c r="C173" s="774" t="s">
        <v>36</v>
      </c>
      <c r="D173" s="210"/>
      <c r="E173" s="211" t="str">
        <f>+_xlfn.XLOOKUP(C173,'BASE DATOS MANO DE OBRA'!A:A,'BASE DATOS MANO DE OBRA'!B:B)</f>
        <v xml:space="preserve">OPERARIO PLUS </v>
      </c>
      <c r="F173" s="212">
        <f>+ROUNDUP('1_OG y 2_ACA'!F878,0)/2</f>
        <v>78</v>
      </c>
      <c r="G173" s="213" t="str">
        <f>+_xlfn.XLOOKUP(C173,'BASE DATOS MANO DE OBRA'!A:A,'BASE DATOS MANO DE OBRA'!C:C)</f>
        <v xml:space="preserve">hora </v>
      </c>
      <c r="H173" s="214">
        <v>0</v>
      </c>
      <c r="I173" s="214">
        <f>+_xlfn.XLOOKUP(C173,'BASE DATOS MANO DE OBRA'!A:A,'BASE DATOS MANO DE OBRA'!E:E)</f>
        <v>2850</v>
      </c>
      <c r="J173" s="214">
        <v>0</v>
      </c>
      <c r="K173" s="214">
        <f t="shared" si="174"/>
        <v>0</v>
      </c>
      <c r="L173" s="214">
        <f t="shared" si="175"/>
        <v>222300</v>
      </c>
      <c r="M173" s="214">
        <f t="shared" si="176"/>
        <v>0</v>
      </c>
      <c r="N173" s="214">
        <f t="shared" si="177"/>
        <v>222300</v>
      </c>
      <c r="O173" s="1086">
        <f t="shared" si="178"/>
        <v>431.65048543689318</v>
      </c>
      <c r="P173" s="171"/>
    </row>
    <row r="174" spans="1:16" x14ac:dyDescent="0.2">
      <c r="A174" s="1077" t="s">
        <v>2148</v>
      </c>
      <c r="B174" s="833">
        <f t="shared" si="138"/>
        <v>1.3</v>
      </c>
      <c r="C174" s="774" t="s">
        <v>37</v>
      </c>
      <c r="D174" s="210"/>
      <c r="E174" s="211" t="str">
        <f>+_xlfn.XLOOKUP(C174,'BASE DATOS MANO DE OBRA'!A:A,'BASE DATOS MANO DE OBRA'!B:B)</f>
        <v xml:space="preserve">AYUDANTE PLUS </v>
      </c>
      <c r="F174" s="212">
        <f>+F173</f>
        <v>78</v>
      </c>
      <c r="G174" s="213" t="str">
        <f>+_xlfn.XLOOKUP(C174,'BASE DATOS MANO DE OBRA'!A:A,'BASE DATOS MANO DE OBRA'!C:C)</f>
        <v xml:space="preserve">hora </v>
      </c>
      <c r="H174" s="214">
        <v>0</v>
      </c>
      <c r="I174" s="214">
        <f>+_xlfn.XLOOKUP(C174,'BASE DATOS MANO DE OBRA'!A:A,'BASE DATOS MANO DE OBRA'!E:E)</f>
        <v>2325</v>
      </c>
      <c r="J174" s="214">
        <v>0</v>
      </c>
      <c r="K174" s="214">
        <f t="shared" si="174"/>
        <v>0</v>
      </c>
      <c r="L174" s="214">
        <f t="shared" si="175"/>
        <v>181350</v>
      </c>
      <c r="M174" s="214">
        <f t="shared" si="176"/>
        <v>0</v>
      </c>
      <c r="N174" s="214">
        <f t="shared" si="177"/>
        <v>181350</v>
      </c>
      <c r="O174" s="1086">
        <f t="shared" si="178"/>
        <v>352.13592233009706</v>
      </c>
      <c r="P174" s="171"/>
    </row>
    <row r="175" spans="1:16" s="49" customFormat="1" ht="18.600000000000001" customHeight="1" collapsed="1" x14ac:dyDescent="0.2">
      <c r="A175" s="303"/>
      <c r="B175" s="833">
        <f t="shared" si="138"/>
        <v>1.3</v>
      </c>
      <c r="C175" s="770" t="s">
        <v>2050</v>
      </c>
      <c r="D175" s="453"/>
      <c r="E175" s="454" t="s">
        <v>167</v>
      </c>
      <c r="F175" s="455">
        <f>+'1_OG y 2_ACA'!D22</f>
        <v>16</v>
      </c>
      <c r="G175" s="453" t="s">
        <v>137</v>
      </c>
      <c r="H175" s="453"/>
      <c r="I175" s="453"/>
      <c r="J175" s="453"/>
      <c r="K175" s="456">
        <f>+SUBTOTAL(9,K176:K186)</f>
        <v>0</v>
      </c>
      <c r="L175" s="456">
        <f>+SUBTOTAL(9,L176:L186)</f>
        <v>0</v>
      </c>
      <c r="M175" s="456">
        <f>+SUBTOTAL(9,M176:M186)</f>
        <v>0</v>
      </c>
      <c r="N175" s="456">
        <f>+SUBTOTAL(9,N176:N186)</f>
        <v>0</v>
      </c>
      <c r="O175" s="1082">
        <f>+SUBTOTAL(9,O176:O186)</f>
        <v>0</v>
      </c>
      <c r="P175" s="416"/>
    </row>
    <row r="176" spans="1:16" x14ac:dyDescent="0.2">
      <c r="A176" s="303"/>
      <c r="B176" s="833">
        <f t="shared" si="138"/>
        <v>1.3</v>
      </c>
      <c r="C176" s="303" t="s">
        <v>2090</v>
      </c>
      <c r="D176" s="822"/>
      <c r="E176" s="161" t="str">
        <f>+_xlfn.XLOOKUP(C176,'BASE DATOS PRECIOS '!B:B,'BASE DATOS PRECIOS '!E:E)</f>
        <v>LAMINA UPVC 1.07 X 11.80X2.5MM</v>
      </c>
      <c r="F176" s="162">
        <f>+'1_OG y 2_ACA'!D893</f>
        <v>0</v>
      </c>
      <c r="G176" s="175" t="str">
        <f>+_xlfn.XLOOKUP(C176,'BASE DATOS PRECIOS '!B:B,'BASE DATOS PRECIOS '!F:F)</f>
        <v>UND</v>
      </c>
      <c r="H176" s="176">
        <f>+_xlfn.XLOOKUP(E176,'BASE DATOS PRECIOS '!E:E,'BASE DATOS PRECIOS '!H:H)</f>
        <v>57531.689999999995</v>
      </c>
      <c r="I176" s="175"/>
      <c r="J176" s="175"/>
      <c r="K176" s="176">
        <f t="shared" ref="K176:K186" si="179">+F176*H176</f>
        <v>0</v>
      </c>
      <c r="L176" s="176">
        <f t="shared" ref="L176:L186" si="180">+F176*I176</f>
        <v>0</v>
      </c>
      <c r="M176" s="176">
        <f t="shared" ref="M176:M186" si="181">+F176*J176</f>
        <v>0</v>
      </c>
      <c r="N176" s="176">
        <f t="shared" ref="N176:N186" si="182">SUM(K176:M176)</f>
        <v>0</v>
      </c>
      <c r="O176" s="1083">
        <f t="shared" ref="O176:O186" si="183">SUM(K176:M176)/tc</f>
        <v>0</v>
      </c>
      <c r="P176" s="171"/>
    </row>
    <row r="177" spans="1:16" x14ac:dyDescent="0.2">
      <c r="A177" s="303"/>
      <c r="B177" s="833">
        <f t="shared" si="138"/>
        <v>1.3</v>
      </c>
      <c r="C177" s="781" t="s">
        <v>2205</v>
      </c>
      <c r="D177" s="821"/>
      <c r="E177" s="161" t="str">
        <f>+_xlfn.XLOOKUP(C177,'BASE DATOS PRECIOS '!B:B,'BASE DATOS PRECIOS '!E:E)</f>
        <v>TORNILLO DE 3" C/EMPAQUE,TUERCA ARANDELA  Y TAPON (PARA UPVC)</v>
      </c>
      <c r="F177" s="162">
        <f>+'1_OG y 2_ACA'!D894</f>
        <v>0</v>
      </c>
      <c r="G177" s="175" t="str">
        <f>+_xlfn.XLOOKUP(C177,'BASE DATOS PRECIOS '!B:B,'BASE DATOS PRECIOS '!F:F)</f>
        <v>UND</v>
      </c>
      <c r="H177" s="176">
        <f>+_xlfn.XLOOKUP(E177,'BASE DATOS PRECIOS '!E:E,'BASE DATOS PRECIOS '!H:H)</f>
        <v>137.10289999999998</v>
      </c>
      <c r="I177" s="175"/>
      <c r="J177" s="175"/>
      <c r="K177" s="176">
        <f t="shared" si="179"/>
        <v>0</v>
      </c>
      <c r="L177" s="176">
        <f t="shared" si="180"/>
        <v>0</v>
      </c>
      <c r="M177" s="176">
        <f t="shared" si="181"/>
        <v>0</v>
      </c>
      <c r="N177" s="176">
        <f t="shared" si="182"/>
        <v>0</v>
      </c>
      <c r="O177" s="1083">
        <f t="shared" si="183"/>
        <v>0</v>
      </c>
      <c r="P177" s="171"/>
    </row>
    <row r="178" spans="1:16" x14ac:dyDescent="0.2">
      <c r="A178" s="303"/>
      <c r="B178" s="833">
        <f t="shared" si="138"/>
        <v>1.3</v>
      </c>
      <c r="C178" s="303" t="s">
        <v>1967</v>
      </c>
      <c r="D178" s="822"/>
      <c r="E178" s="161" t="str">
        <f>+_xlfn.XLOOKUP(C178,'BASE DATOS PRECIOS '!B:B,'BASE DATOS PRECIOS '!E:E)</f>
        <v>MARLON ST FORWALL 8MM HUMO 1.05 X 11.80 M</v>
      </c>
      <c r="F178" s="162">
        <f>+ROUNDUP('1_OG y 2_ACA'!D899,0)</f>
        <v>0</v>
      </c>
      <c r="G178" s="175" t="str">
        <f>+_xlfn.XLOOKUP(C178,'BASE DATOS PRECIOS '!B:B,'BASE DATOS PRECIOS '!F:F)</f>
        <v>UND</v>
      </c>
      <c r="H178" s="176">
        <f>+_xlfn.XLOOKUP(E178,'BASE DATOS PRECIOS '!E:E,'BASE DATOS PRECIOS '!H:H)</f>
        <v>69156</v>
      </c>
      <c r="I178" s="175"/>
      <c r="J178" s="175"/>
      <c r="K178" s="176">
        <f t="shared" si="179"/>
        <v>0</v>
      </c>
      <c r="L178" s="176">
        <f t="shared" si="180"/>
        <v>0</v>
      </c>
      <c r="M178" s="176">
        <f t="shared" si="181"/>
        <v>0</v>
      </c>
      <c r="N178" s="176">
        <f t="shared" si="182"/>
        <v>0</v>
      </c>
      <c r="O178" s="1083">
        <f t="shared" si="183"/>
        <v>0</v>
      </c>
      <c r="P178" s="171"/>
    </row>
    <row r="179" spans="1:16" x14ac:dyDescent="0.2">
      <c r="A179" s="303"/>
      <c r="B179" s="833">
        <f t="shared" si="138"/>
        <v>1.3</v>
      </c>
      <c r="C179" s="303" t="s">
        <v>1965</v>
      </c>
      <c r="D179" s="822"/>
      <c r="E179" s="161" t="str">
        <f>+_xlfn.XLOOKUP(C179,'BASE DATOS PRECIOS '!B:B,'BASE DATOS PRECIOS '!E:E)</f>
        <v>BASE ALUMINIO NEGRA PARA TAPA DE POLYCARBONATO 6.40</v>
      </c>
      <c r="F179" s="162">
        <f>+'1_OG y 2_ACA'!D900</f>
        <v>0</v>
      </c>
      <c r="G179" s="175" t="str">
        <f>+_xlfn.XLOOKUP(C179,'BASE DATOS PRECIOS '!B:B,'BASE DATOS PRECIOS '!F:F)</f>
        <v>UND</v>
      </c>
      <c r="H179" s="176">
        <f>+_xlfn.XLOOKUP(E179,'BASE DATOS PRECIOS '!E:E,'BASE DATOS PRECIOS '!H:H)</f>
        <v>16164.310999999998</v>
      </c>
      <c r="I179" s="175"/>
      <c r="J179" s="175"/>
      <c r="K179" s="176">
        <f t="shared" si="179"/>
        <v>0</v>
      </c>
      <c r="L179" s="176">
        <f t="shared" si="180"/>
        <v>0</v>
      </c>
      <c r="M179" s="176">
        <f t="shared" si="181"/>
        <v>0</v>
      </c>
      <c r="N179" s="176">
        <f t="shared" si="182"/>
        <v>0</v>
      </c>
      <c r="O179" s="1083">
        <f t="shared" si="183"/>
        <v>0</v>
      </c>
      <c r="P179" s="171"/>
    </row>
    <row r="180" spans="1:16" x14ac:dyDescent="0.2">
      <c r="A180" s="303"/>
      <c r="B180" s="833">
        <f t="shared" si="138"/>
        <v>1.3</v>
      </c>
      <c r="C180" s="303" t="s">
        <v>1966</v>
      </c>
      <c r="D180" s="822"/>
      <c r="E180" s="161" t="str">
        <f>+_xlfn.XLOOKUP(C180,'BASE DATOS PRECIOS '!B:B,'BASE DATOS PRECIOS '!E:E)</f>
        <v>TAPA POLICARBONATO HUMO EN 11.80 METROS</v>
      </c>
      <c r="F180" s="162">
        <f>+'1_OG y 2_ACA'!D901</f>
        <v>0</v>
      </c>
      <c r="G180" s="175" t="str">
        <f>+_xlfn.XLOOKUP(C180,'BASE DATOS PRECIOS '!B:B,'BASE DATOS PRECIOS '!F:F)</f>
        <v>UND</v>
      </c>
      <c r="H180" s="176">
        <f>+_xlfn.XLOOKUP(E180,'BASE DATOS PRECIOS '!E:E,'BASE DATOS PRECIOS '!H:H)</f>
        <v>13804.644999999999</v>
      </c>
      <c r="I180" s="175"/>
      <c r="J180" s="175"/>
      <c r="K180" s="176">
        <f t="shared" si="179"/>
        <v>0</v>
      </c>
      <c r="L180" s="176">
        <f t="shared" si="180"/>
        <v>0</v>
      </c>
      <c r="M180" s="176">
        <f t="shared" si="181"/>
        <v>0</v>
      </c>
      <c r="N180" s="176">
        <f t="shared" si="182"/>
        <v>0</v>
      </c>
      <c r="O180" s="1083">
        <f t="shared" si="183"/>
        <v>0</v>
      </c>
      <c r="P180" s="171"/>
    </row>
    <row r="181" spans="1:16" x14ac:dyDescent="0.2">
      <c r="A181" s="303"/>
      <c r="B181" s="833">
        <f t="shared" si="138"/>
        <v>1.3</v>
      </c>
      <c r="C181" s="303" t="s">
        <v>1968</v>
      </c>
      <c r="D181" s="822"/>
      <c r="E181" s="161" t="str">
        <f>+_xlfn.XLOOKUP(C181,'BASE DATOS PRECIOS '!B:B,'BASE DATOS PRECIOS '!E:E)</f>
        <v>CINTA DE ALUMINIO 25MM C/50M (POLYCARBONATO)</v>
      </c>
      <c r="F181" s="162">
        <f>+'1_OG y 2_ACA'!D902</f>
        <v>0</v>
      </c>
      <c r="G181" s="175" t="str">
        <f>+_xlfn.XLOOKUP(C181,'BASE DATOS PRECIOS '!B:B,'BASE DATOS PRECIOS '!F:F)</f>
        <v>UND</v>
      </c>
      <c r="H181" s="176">
        <f>+_xlfn.XLOOKUP(E181,'BASE DATOS PRECIOS '!E:E,'BASE DATOS PRECIOS '!H:H)</f>
        <v>195.94199999999998</v>
      </c>
      <c r="I181" s="175"/>
      <c r="J181" s="175"/>
      <c r="K181" s="176">
        <f t="shared" si="179"/>
        <v>0</v>
      </c>
      <c r="L181" s="176">
        <f t="shared" si="180"/>
        <v>0</v>
      </c>
      <c r="M181" s="176">
        <f t="shared" si="181"/>
        <v>0</v>
      </c>
      <c r="N181" s="176">
        <f t="shared" si="182"/>
        <v>0</v>
      </c>
      <c r="O181" s="1083">
        <f t="shared" si="183"/>
        <v>0</v>
      </c>
      <c r="P181" s="171"/>
    </row>
    <row r="182" spans="1:16" x14ac:dyDescent="0.2">
      <c r="A182" s="303"/>
      <c r="B182" s="833">
        <f t="shared" si="138"/>
        <v>1.3</v>
      </c>
      <c r="C182" s="303" t="s">
        <v>1969</v>
      </c>
      <c r="D182" s="822"/>
      <c r="E182" s="161" t="str">
        <f>+_xlfn.XLOOKUP(C182,'BASE DATOS PRECIOS '!B:B,'BASE DATOS PRECIOS '!E:E)</f>
        <v>CINTA DE VENTILACION 25MM / M PARA ST (POLYCARBONATO)</v>
      </c>
      <c r="F182" s="162">
        <f>+'1_OG y 2_ACA'!D903</f>
        <v>0</v>
      </c>
      <c r="G182" s="175" t="str">
        <f>+_xlfn.XLOOKUP(C182,'BASE DATOS PRECIOS '!B:B,'BASE DATOS PRECIOS '!F:F)</f>
        <v>UND</v>
      </c>
      <c r="H182" s="176">
        <f>+_xlfn.XLOOKUP(E182,'BASE DATOS PRECIOS '!E:E,'BASE DATOS PRECIOS '!H:H)</f>
        <v>310.74999999999994</v>
      </c>
      <c r="I182" s="175"/>
      <c r="J182" s="175"/>
      <c r="K182" s="176">
        <f t="shared" si="179"/>
        <v>0</v>
      </c>
      <c r="L182" s="176">
        <f t="shared" si="180"/>
        <v>0</v>
      </c>
      <c r="M182" s="176">
        <f t="shared" si="181"/>
        <v>0</v>
      </c>
      <c r="N182" s="176">
        <f t="shared" si="182"/>
        <v>0</v>
      </c>
      <c r="O182" s="1083">
        <f t="shared" si="183"/>
        <v>0</v>
      </c>
      <c r="P182" s="171"/>
    </row>
    <row r="183" spans="1:16" x14ac:dyDescent="0.2">
      <c r="A183" s="303"/>
      <c r="B183" s="833">
        <f t="shared" si="138"/>
        <v>1.3</v>
      </c>
      <c r="C183" s="303" t="s">
        <v>1970</v>
      </c>
      <c r="D183" s="822"/>
      <c r="E183" s="161" t="str">
        <f>+_xlfn.XLOOKUP(C183,'BASE DATOS PRECIOS '!B:B,'BASE DATOS PRECIOS '!E:E)</f>
        <v>PERFIL TIPO U TERMINAL LAMINA 8MM NEGRO 4.3 M (POLYCARBONATO)</v>
      </c>
      <c r="F183" s="162">
        <f>+'1_OG y 2_ACA'!D904</f>
        <v>0</v>
      </c>
      <c r="G183" s="175" t="str">
        <f>+_xlfn.XLOOKUP(C183,'BASE DATOS PRECIOS '!B:B,'BASE DATOS PRECIOS '!F:F)</f>
        <v>UND</v>
      </c>
      <c r="H183" s="176">
        <f>+_xlfn.XLOOKUP(E183,'BASE DATOS PRECIOS '!E:E,'BASE DATOS PRECIOS '!H:H)</f>
        <v>4887.2499999999991</v>
      </c>
      <c r="I183" s="175"/>
      <c r="J183" s="175"/>
      <c r="K183" s="176">
        <f t="shared" si="179"/>
        <v>0</v>
      </c>
      <c r="L183" s="176">
        <f t="shared" si="180"/>
        <v>0</v>
      </c>
      <c r="M183" s="176">
        <f t="shared" si="181"/>
        <v>0</v>
      </c>
      <c r="N183" s="176">
        <f t="shared" si="182"/>
        <v>0</v>
      </c>
      <c r="O183" s="1083">
        <f t="shared" si="183"/>
        <v>0</v>
      </c>
      <c r="P183" s="171"/>
    </row>
    <row r="184" spans="1:16" x14ac:dyDescent="0.2">
      <c r="A184" s="1074"/>
      <c r="B184" s="833">
        <f t="shared" si="138"/>
        <v>1.3</v>
      </c>
      <c r="C184" s="303" t="s">
        <v>2205</v>
      </c>
      <c r="D184" s="822"/>
      <c r="E184" s="161" t="str">
        <f>+_xlfn.XLOOKUP(C184,'BASE DATOS PRECIOS '!B:B,'BASE DATOS PRECIOS '!E:E)</f>
        <v>TORNILLO DE 3" C/EMPAQUE,TUERCA ARANDELA  Y TAPON (PARA UPVC)</v>
      </c>
      <c r="F184" s="162">
        <f>+'1_OG y 2_ACA'!D905</f>
        <v>0</v>
      </c>
      <c r="G184" s="175" t="str">
        <f>+_xlfn.XLOOKUP(C184,'BASE DATOS PRECIOS '!B:B,'BASE DATOS PRECIOS '!F:F)</f>
        <v>UND</v>
      </c>
      <c r="H184" s="176">
        <f>+_xlfn.XLOOKUP(E184,'BASE DATOS PRECIOS '!E:E,'BASE DATOS PRECIOS '!H:H)</f>
        <v>137.10289999999998</v>
      </c>
      <c r="I184" s="175"/>
      <c r="J184" s="175"/>
      <c r="K184" s="176">
        <f t="shared" si="179"/>
        <v>0</v>
      </c>
      <c r="L184" s="176">
        <f t="shared" si="180"/>
        <v>0</v>
      </c>
      <c r="M184" s="176">
        <f t="shared" si="181"/>
        <v>0</v>
      </c>
      <c r="N184" s="176">
        <f t="shared" si="182"/>
        <v>0</v>
      </c>
      <c r="O184" s="1083">
        <f t="shared" si="183"/>
        <v>0</v>
      </c>
      <c r="P184" s="171"/>
    </row>
    <row r="185" spans="1:16" x14ac:dyDescent="0.2">
      <c r="A185" s="1077" t="s">
        <v>2149</v>
      </c>
      <c r="B185" s="833">
        <f t="shared" si="138"/>
        <v>1.3</v>
      </c>
      <c r="C185" s="774" t="s">
        <v>36</v>
      </c>
      <c r="D185" s="210"/>
      <c r="E185" s="211" t="str">
        <f>+_xlfn.XLOOKUP(C185,'BASE DATOS MANO DE OBRA'!A:A,'BASE DATOS MANO DE OBRA'!B:B)</f>
        <v xml:space="preserve">OPERARIO PLUS </v>
      </c>
      <c r="F185" s="212">
        <f>+ROUNDUP('1_OG y 2_ACA'!F908,0)/2</f>
        <v>0</v>
      </c>
      <c r="G185" s="213" t="str">
        <f>+_xlfn.XLOOKUP(C185,'BASE DATOS MANO DE OBRA'!A:A,'BASE DATOS MANO DE OBRA'!C:C)</f>
        <v xml:space="preserve">hora </v>
      </c>
      <c r="H185" s="214">
        <v>0</v>
      </c>
      <c r="I185" s="214">
        <f>+_xlfn.XLOOKUP(C185,'BASE DATOS MANO DE OBRA'!A:A,'BASE DATOS MANO DE OBRA'!E:E)</f>
        <v>2850</v>
      </c>
      <c r="J185" s="214">
        <v>0</v>
      </c>
      <c r="K185" s="214">
        <f t="shared" si="179"/>
        <v>0</v>
      </c>
      <c r="L185" s="214">
        <f t="shared" si="180"/>
        <v>0</v>
      </c>
      <c r="M185" s="214">
        <f t="shared" si="181"/>
        <v>0</v>
      </c>
      <c r="N185" s="214">
        <f t="shared" si="182"/>
        <v>0</v>
      </c>
      <c r="O185" s="1086">
        <f t="shared" si="183"/>
        <v>0</v>
      </c>
      <c r="P185" s="171"/>
    </row>
    <row r="186" spans="1:16" x14ac:dyDescent="0.2">
      <c r="A186" s="1077" t="s">
        <v>2149</v>
      </c>
      <c r="B186" s="833">
        <f t="shared" si="138"/>
        <v>1.3</v>
      </c>
      <c r="C186" s="774" t="s">
        <v>37</v>
      </c>
      <c r="D186" s="210"/>
      <c r="E186" s="211" t="str">
        <f>+_xlfn.XLOOKUP(C186,'BASE DATOS MANO DE OBRA'!A:A,'BASE DATOS MANO DE OBRA'!B:B)</f>
        <v xml:space="preserve">AYUDANTE PLUS </v>
      </c>
      <c r="F186" s="212">
        <f>+F185</f>
        <v>0</v>
      </c>
      <c r="G186" s="213" t="str">
        <f>+_xlfn.XLOOKUP(C186,'BASE DATOS MANO DE OBRA'!A:A,'BASE DATOS MANO DE OBRA'!C:C)</f>
        <v xml:space="preserve">hora </v>
      </c>
      <c r="H186" s="214">
        <v>0</v>
      </c>
      <c r="I186" s="214">
        <f>+_xlfn.XLOOKUP(C186,'BASE DATOS MANO DE OBRA'!A:A,'BASE DATOS MANO DE OBRA'!E:E)</f>
        <v>2325</v>
      </c>
      <c r="J186" s="214">
        <v>0</v>
      </c>
      <c r="K186" s="214">
        <f t="shared" si="179"/>
        <v>0</v>
      </c>
      <c r="L186" s="214">
        <f t="shared" si="180"/>
        <v>0</v>
      </c>
      <c r="M186" s="214">
        <f t="shared" si="181"/>
        <v>0</v>
      </c>
      <c r="N186" s="214">
        <f t="shared" si="182"/>
        <v>0</v>
      </c>
      <c r="O186" s="1086">
        <f t="shared" si="183"/>
        <v>0</v>
      </c>
      <c r="P186" s="171"/>
    </row>
    <row r="187" spans="1:16" s="49" customFormat="1" ht="18.600000000000001" customHeight="1" collapsed="1" x14ac:dyDescent="0.2">
      <c r="A187" s="303"/>
      <c r="B187" s="833">
        <f t="shared" si="138"/>
        <v>1.3</v>
      </c>
      <c r="C187" s="770" t="s">
        <v>2051</v>
      </c>
      <c r="D187" s="453"/>
      <c r="E187" s="454" t="s">
        <v>181</v>
      </c>
      <c r="F187" s="455">
        <v>1</v>
      </c>
      <c r="G187" s="453" t="s">
        <v>29</v>
      </c>
      <c r="H187" s="453"/>
      <c r="I187" s="453"/>
      <c r="J187" s="453"/>
      <c r="K187" s="456">
        <f>+SUBTOTAL(9,K188:K212)</f>
        <v>0</v>
      </c>
      <c r="L187" s="456">
        <f>+SUBTOTAL(9,L188:L212)</f>
        <v>0</v>
      </c>
      <c r="M187" s="456">
        <f>+SUBTOTAL(9,M188:M212)</f>
        <v>0</v>
      </c>
      <c r="N187" s="456">
        <f>+SUBTOTAL(9,N188:N212)</f>
        <v>0</v>
      </c>
      <c r="O187" s="1082">
        <f>+SUBTOTAL(9,O188:O212)</f>
        <v>0</v>
      </c>
      <c r="P187" s="416"/>
    </row>
    <row r="188" spans="1:16" x14ac:dyDescent="0.2">
      <c r="A188" s="303"/>
      <c r="B188" s="833">
        <f t="shared" si="138"/>
        <v>1.3</v>
      </c>
      <c r="C188" s="782" t="s">
        <v>1958</v>
      </c>
      <c r="D188" s="837"/>
      <c r="E188" s="161" t="str">
        <f>+_xlfn.XLOOKUP(C188,'BASE DATOS PRECIOS '!B:B,'BASE DATOS PRECIOS '!E:E)</f>
        <v>TUBO 4X6X1.80MM HN</v>
      </c>
      <c r="F188" s="174">
        <f>+'1_OG y 2_ACA'!D942</f>
        <v>0</v>
      </c>
      <c r="G188" s="184" t="str">
        <f>+_xlfn.XLOOKUP(C188,'BASE DATOS PRECIOS '!B:B,'BASE DATOS PRECIOS '!F:F)</f>
        <v>UND</v>
      </c>
      <c r="H188" s="176">
        <f>+_xlfn.XLOOKUP(E188,'BASE DATOS PRECIOS '!E:E,'BASE DATOS PRECIOS '!H:H)</f>
        <v>31906.679999999997</v>
      </c>
      <c r="I188" s="184"/>
      <c r="J188" s="184"/>
      <c r="K188" s="185">
        <f t="shared" ref="K188:K212" si="184">+F188*H188</f>
        <v>0</v>
      </c>
      <c r="L188" s="185">
        <f t="shared" ref="L188:L212" si="185">+F188*I188</f>
        <v>0</v>
      </c>
      <c r="M188" s="185">
        <f t="shared" ref="M188:M212" si="186">+F188*J188</f>
        <v>0</v>
      </c>
      <c r="N188" s="176">
        <f t="shared" ref="N188:N212" si="187">SUM(K188:M188)</f>
        <v>0</v>
      </c>
      <c r="O188" s="1083">
        <f t="shared" ref="O188:O212" si="188">SUM(K188:M188)/tc</f>
        <v>0</v>
      </c>
    </row>
    <row r="189" spans="1:16" x14ac:dyDescent="0.2">
      <c r="A189" s="303"/>
      <c r="B189" s="833">
        <f t="shared" si="138"/>
        <v>1.3</v>
      </c>
      <c r="C189" s="782" t="s">
        <v>2196</v>
      </c>
      <c r="D189" s="837"/>
      <c r="E189" s="161" t="str">
        <f>+_xlfn.XLOOKUP(C189,'BASE DATOS PRECIOS '!B:B,'BASE DATOS PRECIOS '!E:E)</f>
        <v>TUBO 2X6X1.8MM H.N.</v>
      </c>
      <c r="F189" s="174">
        <f>+'1_OG y 2_ACA'!D943</f>
        <v>0</v>
      </c>
      <c r="G189" s="184" t="str">
        <f>+_xlfn.XLOOKUP(C189,'BASE DATOS PRECIOS '!B:B,'BASE DATOS PRECIOS '!F:F)</f>
        <v>UND</v>
      </c>
      <c r="H189" s="176">
        <f>+_xlfn.XLOOKUP(E189,'BASE DATOS PRECIOS '!E:E,'BASE DATOS PRECIOS '!H:H)</f>
        <v>19095.553599999999</v>
      </c>
      <c r="I189" s="184"/>
      <c r="J189" s="184"/>
      <c r="K189" s="185">
        <f t="shared" si="184"/>
        <v>0</v>
      </c>
      <c r="L189" s="185">
        <f t="shared" si="185"/>
        <v>0</v>
      </c>
      <c r="M189" s="185">
        <f t="shared" si="186"/>
        <v>0</v>
      </c>
      <c r="N189" s="176">
        <f t="shared" si="187"/>
        <v>0</v>
      </c>
      <c r="O189" s="1083">
        <f t="shared" si="188"/>
        <v>0</v>
      </c>
    </row>
    <row r="190" spans="1:16" x14ac:dyDescent="0.2">
      <c r="A190" s="303"/>
      <c r="B190" s="833">
        <f t="shared" si="138"/>
        <v>1.3</v>
      </c>
      <c r="C190" s="782" t="s">
        <v>2197</v>
      </c>
      <c r="D190" s="837"/>
      <c r="E190" s="161" t="str">
        <f>+_xlfn.XLOOKUP(C190,'BASE DATOS PRECIOS '!B:B,'BASE DATOS PRECIOS '!E:E)</f>
        <v>TUBO 2X2X1.8MM H.N</v>
      </c>
      <c r="F190" s="174">
        <f>+'1_OG y 2_ACA'!D944</f>
        <v>0</v>
      </c>
      <c r="G190" s="184" t="str">
        <f>+_xlfn.XLOOKUP(C190,'BASE DATOS PRECIOS '!B:B,'BASE DATOS PRECIOS '!F:F)</f>
        <v>UND</v>
      </c>
      <c r="H190" s="176">
        <f>+_xlfn.XLOOKUP(E190,'BASE DATOS PRECIOS '!E:E,'BASE DATOS PRECIOS '!H:H)</f>
        <v>12234.509999999998</v>
      </c>
      <c r="I190" s="184"/>
      <c r="J190" s="184"/>
      <c r="K190" s="185">
        <f t="shared" si="184"/>
        <v>0</v>
      </c>
      <c r="L190" s="185">
        <f t="shared" si="185"/>
        <v>0</v>
      </c>
      <c r="M190" s="185">
        <f t="shared" si="186"/>
        <v>0</v>
      </c>
      <c r="N190" s="176">
        <f t="shared" si="187"/>
        <v>0</v>
      </c>
      <c r="O190" s="1083">
        <f t="shared" si="188"/>
        <v>0</v>
      </c>
    </row>
    <row r="191" spans="1:16" x14ac:dyDescent="0.2">
      <c r="A191" s="303"/>
      <c r="B191" s="833">
        <f t="shared" si="138"/>
        <v>1.3</v>
      </c>
      <c r="C191" s="782" t="s">
        <v>1973</v>
      </c>
      <c r="D191" s="837"/>
      <c r="E191" s="161" t="str">
        <f>+_xlfn.XLOOKUP(C191,'BASE DATOS PRECIOS '!B:B,'BASE DATOS PRECIOS '!E:E)</f>
        <v>ANGULAR HN 2"X1/4</v>
      </c>
      <c r="F191" s="174">
        <f>+'1_OG y 2_ACA'!D945</f>
        <v>0</v>
      </c>
      <c r="G191" s="184" t="str">
        <f>+_xlfn.XLOOKUP(C191,'BASE DATOS PRECIOS '!B:B,'BASE DATOS PRECIOS '!F:F)</f>
        <v>UND</v>
      </c>
      <c r="H191" s="176">
        <f>+_xlfn.XLOOKUP(E191,'BASE DATOS PRECIOS '!E:E,'BASE DATOS PRECIOS '!H:H)</f>
        <v>16148.445799999998</v>
      </c>
      <c r="I191" s="184"/>
      <c r="J191" s="184"/>
      <c r="K191" s="185">
        <f t="shared" si="184"/>
        <v>0</v>
      </c>
      <c r="L191" s="185">
        <f t="shared" si="185"/>
        <v>0</v>
      </c>
      <c r="M191" s="185">
        <f t="shared" si="186"/>
        <v>0</v>
      </c>
      <c r="N191" s="176">
        <f t="shared" si="187"/>
        <v>0</v>
      </c>
      <c r="O191" s="1083">
        <f t="shared" si="188"/>
        <v>0</v>
      </c>
    </row>
    <row r="192" spans="1:16" x14ac:dyDescent="0.2">
      <c r="A192" s="303"/>
      <c r="B192" s="833">
        <f t="shared" si="138"/>
        <v>1.3</v>
      </c>
      <c r="C192" s="303" t="s">
        <v>1918</v>
      </c>
      <c r="D192" s="834" t="s">
        <v>24</v>
      </c>
      <c r="E192" s="161" t="s">
        <v>3502</v>
      </c>
      <c r="F192" s="174">
        <f>+'1_OG y 2_ACA'!D946</f>
        <v>0</v>
      </c>
      <c r="G192" s="184" t="str">
        <f>+_xlfn.XLOOKUP(C192,'BASE DATOS PRECIOS '!B:B,'BASE DATOS PRECIOS '!F:F)</f>
        <v>UND</v>
      </c>
      <c r="H192" s="176">
        <f>+_xlfn.XLOOKUP(E192,'BASE DATOS PRECIOS '!E:E,'BASE DATOS PRECIOS '!H:H)</f>
        <v>1344.6999999999998</v>
      </c>
      <c r="I192" s="184"/>
      <c r="J192" s="184"/>
      <c r="K192" s="185">
        <f t="shared" si="184"/>
        <v>0</v>
      </c>
      <c r="L192" s="185">
        <f t="shared" si="185"/>
        <v>0</v>
      </c>
      <c r="M192" s="185">
        <f t="shared" si="186"/>
        <v>0</v>
      </c>
      <c r="N192" s="176">
        <f t="shared" si="187"/>
        <v>0</v>
      </c>
      <c r="O192" s="1083">
        <f t="shared" si="188"/>
        <v>0</v>
      </c>
    </row>
    <row r="193" spans="1:15" x14ac:dyDescent="0.2">
      <c r="A193" s="303"/>
      <c r="B193" s="833">
        <f t="shared" si="138"/>
        <v>1.3</v>
      </c>
      <c r="C193" s="782" t="s">
        <v>2206</v>
      </c>
      <c r="D193" s="837"/>
      <c r="E193" s="161" t="str">
        <f>+_xlfn.XLOOKUP(C193,'BASE DATOS PRECIOS '!B:B,'BASE DATOS PRECIOS '!E:E)</f>
        <v>VARILLA LISA #5</v>
      </c>
      <c r="F193" s="174">
        <f>+'1_OG y 2_ACA'!D947</f>
        <v>0</v>
      </c>
      <c r="G193" s="184" t="str">
        <f>+_xlfn.XLOOKUP(C193,'BASE DATOS PRECIOS '!B:B,'BASE DATOS PRECIOS '!F:F)</f>
        <v>UND</v>
      </c>
      <c r="H193" s="176">
        <f>+_xlfn.XLOOKUP(E193,'BASE DATOS PRECIOS '!E:E,'BASE DATOS PRECIOS '!H:H)</f>
        <v>5674.86</v>
      </c>
      <c r="I193" s="184"/>
      <c r="J193" s="184"/>
      <c r="K193" s="185">
        <f t="shared" si="184"/>
        <v>0</v>
      </c>
      <c r="L193" s="185">
        <f t="shared" si="185"/>
        <v>0</v>
      </c>
      <c r="M193" s="185">
        <f t="shared" si="186"/>
        <v>0</v>
      </c>
      <c r="N193" s="176">
        <f t="shared" si="187"/>
        <v>0</v>
      </c>
      <c r="O193" s="1083">
        <f t="shared" si="188"/>
        <v>0</v>
      </c>
    </row>
    <row r="194" spans="1:15" x14ac:dyDescent="0.2">
      <c r="A194" s="303"/>
      <c r="B194" s="833">
        <f t="shared" si="138"/>
        <v>1.3</v>
      </c>
      <c r="C194" s="782" t="s">
        <v>2207</v>
      </c>
      <c r="D194" s="837"/>
      <c r="E194" s="161" t="str">
        <f>+_xlfn.XLOOKUP(C194,'BASE DATOS PRECIOS '!B:B,'BASE DATOS PRECIOS '!E:E)</f>
        <v>TUBO RED 11/4X1.8 HN</v>
      </c>
      <c r="F194" s="174">
        <f>+'1_OG y 2_ACA'!D948</f>
        <v>0</v>
      </c>
      <c r="G194" s="184" t="str">
        <f>+_xlfn.XLOOKUP(C194,'BASE DATOS PRECIOS '!B:B,'BASE DATOS PRECIOS '!F:F)</f>
        <v>UND</v>
      </c>
      <c r="H194" s="176">
        <f>+_xlfn.XLOOKUP(E194,'BASE DATOS PRECIOS '!E:E,'BASE DATOS PRECIOS '!H:H)</f>
        <v>13537.399999999998</v>
      </c>
      <c r="I194" s="184"/>
      <c r="J194" s="184"/>
      <c r="K194" s="185">
        <f t="shared" si="184"/>
        <v>0</v>
      </c>
      <c r="L194" s="185">
        <f t="shared" si="185"/>
        <v>0</v>
      </c>
      <c r="M194" s="185">
        <f t="shared" si="186"/>
        <v>0</v>
      </c>
      <c r="N194" s="176">
        <f t="shared" si="187"/>
        <v>0</v>
      </c>
      <c r="O194" s="1083">
        <f t="shared" si="188"/>
        <v>0</v>
      </c>
    </row>
    <row r="195" spans="1:15" x14ac:dyDescent="0.2">
      <c r="A195" s="303"/>
      <c r="B195" s="833">
        <f t="shared" si="138"/>
        <v>1.3</v>
      </c>
      <c r="C195" s="775" t="s">
        <v>2184</v>
      </c>
      <c r="D195" s="823"/>
      <c r="E195" s="161" t="str">
        <f>+_xlfn.XLOOKUP(C195,'BASE DATOS PRECIOS '!B:B,'BASE DATOS PRECIOS '!E:E)</f>
        <v>CEMENTO INDUSTRIAL</v>
      </c>
      <c r="F195" s="174">
        <f>ROUND('1_OG y 2_ACA'!D937,0)</f>
        <v>0</v>
      </c>
      <c r="G195" s="184" t="str">
        <f>+_xlfn.XLOOKUP(C195,'BASE DATOS PRECIOS '!B:B,'BASE DATOS PRECIOS '!F:F)</f>
        <v>KG</v>
      </c>
      <c r="H195" s="176">
        <f>+_xlfn.XLOOKUP(E195,'BASE DATOS PRECIOS '!E:E,'BASE DATOS PRECIOS '!H:H)</f>
        <v>121.3959</v>
      </c>
      <c r="I195" s="184"/>
      <c r="J195" s="184"/>
      <c r="K195" s="185">
        <f t="shared" si="184"/>
        <v>0</v>
      </c>
      <c r="L195" s="185">
        <f t="shared" si="185"/>
        <v>0</v>
      </c>
      <c r="M195" s="185">
        <f t="shared" si="186"/>
        <v>0</v>
      </c>
      <c r="N195" s="176">
        <f t="shared" si="187"/>
        <v>0</v>
      </c>
      <c r="O195" s="1083">
        <f t="shared" si="188"/>
        <v>0</v>
      </c>
    </row>
    <row r="196" spans="1:15" x14ac:dyDescent="0.2">
      <c r="A196" s="303"/>
      <c r="B196" s="833">
        <f t="shared" si="138"/>
        <v>1.3</v>
      </c>
      <c r="C196" s="775" t="s">
        <v>1914</v>
      </c>
      <c r="D196" s="823"/>
      <c r="E196" s="161" t="str">
        <f>+_xlfn.XLOOKUP(C196,'BASE DATOS PRECIOS '!B:B,'BASE DATOS PRECIOS '!E:E)</f>
        <v>ARENA LAVADA</v>
      </c>
      <c r="F196" s="174">
        <f>ROUNDUP('1_OG y 2_ACA'!D938/0.25,0)*0.25</f>
        <v>0</v>
      </c>
      <c r="G196" s="184" t="str">
        <f>+_xlfn.XLOOKUP(C196,'BASE DATOS PRECIOS '!B:B,'BASE DATOS PRECIOS '!F:F)</f>
        <v>M3</v>
      </c>
      <c r="H196" s="176">
        <f>+_xlfn.XLOOKUP(E196,'BASE DATOS PRECIOS '!E:E,'BASE DATOS PRECIOS '!H:H)</f>
        <v>12044.5005</v>
      </c>
      <c r="I196" s="184"/>
      <c r="J196" s="184"/>
      <c r="K196" s="185">
        <f t="shared" si="184"/>
        <v>0</v>
      </c>
      <c r="L196" s="185">
        <f t="shared" si="185"/>
        <v>0</v>
      </c>
      <c r="M196" s="185">
        <f t="shared" si="186"/>
        <v>0</v>
      </c>
      <c r="N196" s="176">
        <f t="shared" si="187"/>
        <v>0</v>
      </c>
      <c r="O196" s="1083">
        <f t="shared" si="188"/>
        <v>0</v>
      </c>
    </row>
    <row r="197" spans="1:15" x14ac:dyDescent="0.2">
      <c r="A197" s="303"/>
      <c r="B197" s="833">
        <f t="shared" si="138"/>
        <v>1.3</v>
      </c>
      <c r="C197" s="775" t="s">
        <v>2190</v>
      </c>
      <c r="D197" s="823"/>
      <c r="E197" s="161" t="str">
        <f>+_xlfn.XLOOKUP(C197,'BASE DATOS PRECIOS '!B:B,'BASE DATOS PRECIOS '!E:E)</f>
        <v>PIEDRA QUINTILLA BLANCA</v>
      </c>
      <c r="F197" s="174">
        <f>ROUNDUP('1_OG y 2_ACA'!D939/0.25,0)*0.25</f>
        <v>0</v>
      </c>
      <c r="G197" s="184" t="str">
        <f>+_xlfn.XLOOKUP(C197,'BASE DATOS PRECIOS '!B:B,'BASE DATOS PRECIOS '!F:F)</f>
        <v>M3</v>
      </c>
      <c r="H197" s="176">
        <f>+_xlfn.XLOOKUP(E197,'BASE DATOS PRECIOS '!E:E,'BASE DATOS PRECIOS '!H:H)</f>
        <v>17012.149999999998</v>
      </c>
      <c r="I197" s="184"/>
      <c r="J197" s="184"/>
      <c r="K197" s="185">
        <f t="shared" si="184"/>
        <v>0</v>
      </c>
      <c r="L197" s="185">
        <f t="shared" si="185"/>
        <v>0</v>
      </c>
      <c r="M197" s="185">
        <f t="shared" si="186"/>
        <v>0</v>
      </c>
      <c r="N197" s="176">
        <f t="shared" si="187"/>
        <v>0</v>
      </c>
      <c r="O197" s="1083">
        <f t="shared" si="188"/>
        <v>0</v>
      </c>
    </row>
    <row r="198" spans="1:15" x14ac:dyDescent="0.2">
      <c r="A198" s="303"/>
      <c r="B198" s="833">
        <f t="shared" si="138"/>
        <v>1.3</v>
      </c>
      <c r="C198" s="303" t="s">
        <v>1939</v>
      </c>
      <c r="D198" s="822"/>
      <c r="E198" s="161" t="str">
        <f>+_xlfn.XLOOKUP(C198,'BASE DATOS PRECIOS '!B:B,'BASE DATOS PRECIOS '!E:E)</f>
        <v>BROCHA CORRIENTE 3"</v>
      </c>
      <c r="F198" s="174">
        <f>IF('1_OG y 2_ACA'!D914="Sí",3,0)</f>
        <v>0</v>
      </c>
      <c r="G198" s="184" t="str">
        <f>+_xlfn.XLOOKUP(C198,'BASE DATOS PRECIOS '!B:B,'BASE DATOS PRECIOS '!F:F)</f>
        <v>UND</v>
      </c>
      <c r="H198" s="176">
        <f>+_xlfn.XLOOKUP(E198,'BASE DATOS PRECIOS '!E:E,'BASE DATOS PRECIOS '!H:H)</f>
        <v>2060.0012999999999</v>
      </c>
      <c r="I198" s="184"/>
      <c r="J198" s="184"/>
      <c r="K198" s="185">
        <f t="shared" si="184"/>
        <v>0</v>
      </c>
      <c r="L198" s="185">
        <f t="shared" si="185"/>
        <v>0</v>
      </c>
      <c r="M198" s="185">
        <f t="shared" si="186"/>
        <v>0</v>
      </c>
      <c r="N198" s="176">
        <f t="shared" si="187"/>
        <v>0</v>
      </c>
      <c r="O198" s="1083">
        <f t="shared" si="188"/>
        <v>0</v>
      </c>
    </row>
    <row r="199" spans="1:15" x14ac:dyDescent="0.2">
      <c r="A199" s="303"/>
      <c r="B199" s="833">
        <f t="shared" si="138"/>
        <v>1.3</v>
      </c>
      <c r="C199" s="303" t="s">
        <v>1922</v>
      </c>
      <c r="D199" s="822"/>
      <c r="E199" s="161" t="str">
        <f>+_xlfn.XLOOKUP(C199,'BASE DATOS PRECIOS '!B:B,'BASE DATOS PRECIOS '!E:E)</f>
        <v>DISCO CORTE METAL FINO 9"</v>
      </c>
      <c r="F199" s="174">
        <f>+'1_OG y 2_ACA'!D950</f>
        <v>0</v>
      </c>
      <c r="G199" s="184" t="str">
        <f>+_xlfn.XLOOKUP(C199,'BASE DATOS PRECIOS '!B:B,'BASE DATOS PRECIOS '!F:F)</f>
        <v>UND</v>
      </c>
      <c r="H199" s="176">
        <f>+_xlfn.XLOOKUP(E199,'BASE DATOS PRECIOS '!E:E,'BASE DATOS PRECIOS '!H:H)</f>
        <v>3037.6320999999998</v>
      </c>
      <c r="I199" s="184"/>
      <c r="J199" s="184"/>
      <c r="K199" s="185">
        <f t="shared" si="184"/>
        <v>0</v>
      </c>
      <c r="L199" s="185">
        <f t="shared" si="185"/>
        <v>0</v>
      </c>
      <c r="M199" s="185">
        <f t="shared" si="186"/>
        <v>0</v>
      </c>
      <c r="N199" s="176">
        <f t="shared" si="187"/>
        <v>0</v>
      </c>
      <c r="O199" s="1083">
        <f t="shared" si="188"/>
        <v>0</v>
      </c>
    </row>
    <row r="200" spans="1:15" x14ac:dyDescent="0.2">
      <c r="A200" s="303"/>
      <c r="B200" s="833">
        <f t="shared" si="138"/>
        <v>1.3</v>
      </c>
      <c r="C200" s="303" t="s">
        <v>1959</v>
      </c>
      <c r="D200" s="822"/>
      <c r="E200" s="161" t="str">
        <f>+_xlfn.XLOOKUP(C200,'BASE DATOS PRECIOS '!B:B,'BASE DATOS PRECIOS '!E:E)</f>
        <v>DISCO ESMERILAR 4-1/2</v>
      </c>
      <c r="F200" s="174">
        <f>+F199</f>
        <v>0</v>
      </c>
      <c r="G200" s="184" t="str">
        <f>+_xlfn.XLOOKUP(C200,'BASE DATOS PRECIOS '!B:B,'BASE DATOS PRECIOS '!F:F)</f>
        <v>UND</v>
      </c>
      <c r="H200" s="176">
        <f>+_xlfn.XLOOKUP(E200,'BASE DATOS PRECIOS '!E:E,'BASE DATOS PRECIOS '!H:H)</f>
        <v>1519.85</v>
      </c>
      <c r="I200" s="184"/>
      <c r="J200" s="184"/>
      <c r="K200" s="185">
        <f t="shared" si="184"/>
        <v>0</v>
      </c>
      <c r="L200" s="185">
        <f t="shared" si="185"/>
        <v>0</v>
      </c>
      <c r="M200" s="185">
        <f t="shared" si="186"/>
        <v>0</v>
      </c>
      <c r="N200" s="176">
        <f t="shared" si="187"/>
        <v>0</v>
      </c>
      <c r="O200" s="1083">
        <f t="shared" si="188"/>
        <v>0</v>
      </c>
    </row>
    <row r="201" spans="1:15" x14ac:dyDescent="0.2">
      <c r="A201" s="303"/>
      <c r="B201" s="833">
        <f t="shared" si="138"/>
        <v>1.3</v>
      </c>
      <c r="C201" s="781" t="s">
        <v>2088</v>
      </c>
      <c r="D201" s="821"/>
      <c r="E201" s="161" t="str">
        <f>+_xlfn.XLOOKUP(C201,'BASE DATOS PRECIOS '!B:B,'BASE DATOS PRECIOS '!E:E)</f>
        <v>DISCO FLAP G60 4-1/2"</v>
      </c>
      <c r="F201" s="174">
        <f>+F200</f>
        <v>0</v>
      </c>
      <c r="G201" s="184" t="str">
        <f>+_xlfn.XLOOKUP(C201,'BASE DATOS PRECIOS '!B:B,'BASE DATOS PRECIOS '!F:F)</f>
        <v>UND</v>
      </c>
      <c r="H201" s="176">
        <f>+_xlfn.XLOOKUP(E201,'BASE DATOS PRECIOS '!E:E,'BASE DATOS PRECIOS '!H:H)</f>
        <v>1672.6034</v>
      </c>
      <c r="I201" s="184"/>
      <c r="J201" s="184"/>
      <c r="K201" s="185">
        <f t="shared" si="184"/>
        <v>0</v>
      </c>
      <c r="L201" s="185">
        <f t="shared" si="185"/>
        <v>0</v>
      </c>
      <c r="M201" s="185">
        <f t="shared" si="186"/>
        <v>0</v>
      </c>
      <c r="N201" s="176">
        <f t="shared" si="187"/>
        <v>0</v>
      </c>
      <c r="O201" s="1083">
        <f t="shared" si="188"/>
        <v>0</v>
      </c>
    </row>
    <row r="202" spans="1:15" x14ac:dyDescent="0.2">
      <c r="A202" s="303"/>
      <c r="B202" s="833">
        <f t="shared" si="138"/>
        <v>1.3</v>
      </c>
      <c r="C202" s="303" t="s">
        <v>1923</v>
      </c>
      <c r="D202" s="822"/>
      <c r="E202" s="161" t="str">
        <f>+_xlfn.XLOOKUP(C202,'BASE DATOS PRECIOS '!B:B,'BASE DATOS PRECIOS '!E:E)</f>
        <v>DISCO CORTE FINO METAL 4-1/2</v>
      </c>
      <c r="F202" s="174">
        <f>+F200</f>
        <v>0</v>
      </c>
      <c r="G202" s="184" t="str">
        <f>+_xlfn.XLOOKUP(C202,'BASE DATOS PRECIOS '!B:B,'BASE DATOS PRECIOS '!F:F)</f>
        <v>UND</v>
      </c>
      <c r="H202" s="176">
        <f>+_xlfn.XLOOKUP(E202,'BASE DATOS PRECIOS '!E:E,'BASE DATOS PRECIOS '!H:H)</f>
        <v>3661.2</v>
      </c>
      <c r="I202" s="184"/>
      <c r="J202" s="184"/>
      <c r="K202" s="185">
        <f t="shared" si="184"/>
        <v>0</v>
      </c>
      <c r="L202" s="185">
        <f t="shared" si="185"/>
        <v>0</v>
      </c>
      <c r="M202" s="185">
        <f t="shared" si="186"/>
        <v>0</v>
      </c>
      <c r="N202" s="176">
        <f t="shared" si="187"/>
        <v>0</v>
      </c>
      <c r="O202" s="1083">
        <f t="shared" si="188"/>
        <v>0</v>
      </c>
    </row>
    <row r="203" spans="1:15" x14ac:dyDescent="0.2">
      <c r="A203" s="303"/>
      <c r="B203" s="833">
        <f t="shared" ref="B203:B262" si="189">VALUE(IF(AND(LEN(TRIM(C203))-LEN(SUBSTITUTE(TRIM(C203),".",""))=1,ISNUMBER(VALUE(SUBSTITUTE(TRIM(C203),".","")))),TRIM(C203),B202))</f>
        <v>1.3</v>
      </c>
      <c r="C203" s="303" t="s">
        <v>2195</v>
      </c>
      <c r="D203" s="822"/>
      <c r="E203" s="161" t="str">
        <f>+_xlfn.XLOOKUP(C203,'BASE DATOS PRECIOS '!B:B,'BASE DATOS PRECIOS '!E:E)</f>
        <v>SOLDADURA 3/32 (6013)</v>
      </c>
      <c r="F203" s="174">
        <f>+'1_OG y 2_ACA'!D949</f>
        <v>0</v>
      </c>
      <c r="G203" s="184" t="str">
        <f>+_xlfn.XLOOKUP(C203,'BASE DATOS PRECIOS '!B:B,'BASE DATOS PRECIOS '!F:F)</f>
        <v>KG</v>
      </c>
      <c r="H203" s="176">
        <f>+_xlfn.XLOOKUP(E203,'BASE DATOS PRECIOS '!E:E,'BASE DATOS PRECIOS '!H:H)</f>
        <v>3600.0330999999996</v>
      </c>
      <c r="I203" s="184"/>
      <c r="J203" s="184"/>
      <c r="K203" s="185">
        <f t="shared" si="184"/>
        <v>0</v>
      </c>
      <c r="L203" s="185">
        <f t="shared" si="185"/>
        <v>0</v>
      </c>
      <c r="M203" s="185">
        <f t="shared" si="186"/>
        <v>0</v>
      </c>
      <c r="N203" s="176">
        <f t="shared" si="187"/>
        <v>0</v>
      </c>
      <c r="O203" s="1083">
        <f t="shared" si="188"/>
        <v>0</v>
      </c>
    </row>
    <row r="204" spans="1:15" x14ac:dyDescent="0.2">
      <c r="A204" s="303"/>
      <c r="B204" s="833">
        <f t="shared" si="189"/>
        <v>1.3</v>
      </c>
      <c r="C204" s="777" t="s">
        <v>1961</v>
      </c>
      <c r="D204" s="836"/>
      <c r="E204" s="161" t="str">
        <f>+_xlfn.XLOOKUP(C204,'BASE DATOS PRECIOS '!B:B,'BASE DATOS PRECIOS '!E:E)</f>
        <v>ANTICORROSIVO MINIO GALON</v>
      </c>
      <c r="F204" s="174">
        <f>+'1_OG y 2_ACA'!D953</f>
        <v>0</v>
      </c>
      <c r="G204" s="184" t="str">
        <f>+_xlfn.XLOOKUP(C204,'BASE DATOS PRECIOS '!B:B,'BASE DATOS PRECIOS '!F:F)</f>
        <v>GAL</v>
      </c>
      <c r="H204" s="176">
        <f>+_xlfn.XLOOKUP(E204,'BASE DATOS PRECIOS '!E:E,'BASE DATOS PRECIOS '!H:H)</f>
        <v>17605.004499999999</v>
      </c>
      <c r="I204" s="184"/>
      <c r="J204" s="184"/>
      <c r="K204" s="185">
        <f t="shared" si="184"/>
        <v>0</v>
      </c>
      <c r="L204" s="185">
        <f t="shared" si="185"/>
        <v>0</v>
      </c>
      <c r="M204" s="185">
        <f t="shared" si="186"/>
        <v>0</v>
      </c>
      <c r="N204" s="176">
        <f t="shared" si="187"/>
        <v>0</v>
      </c>
      <c r="O204" s="1083">
        <f t="shared" si="188"/>
        <v>0</v>
      </c>
    </row>
    <row r="205" spans="1:15" x14ac:dyDescent="0.2">
      <c r="A205" s="303"/>
      <c r="B205" s="833">
        <f t="shared" si="189"/>
        <v>1.3</v>
      </c>
      <c r="C205" s="303" t="s">
        <v>1937</v>
      </c>
      <c r="D205" s="822"/>
      <c r="E205" s="161" t="str">
        <f>+_xlfn.XLOOKUP(C205,'BASE DATOS PRECIOS '!B:B,'BASE DATOS PRECIOS '!E:E)</f>
        <v>PINTURA SUPER DRY GALON</v>
      </c>
      <c r="F205" s="174">
        <f>+'1_OG y 2_ACA'!D955</f>
        <v>0</v>
      </c>
      <c r="G205" s="184" t="str">
        <f>+_xlfn.XLOOKUP(C205,'BASE DATOS PRECIOS '!B:B,'BASE DATOS PRECIOS '!F:F)</f>
        <v>GALON</v>
      </c>
      <c r="H205" s="176">
        <f>+_xlfn.XLOOKUP(E205,'BASE DATOS PRECIOS '!E:E,'BASE DATOS PRECIOS '!H:H)</f>
        <v>24555.9961</v>
      </c>
      <c r="I205" s="184"/>
      <c r="J205" s="184"/>
      <c r="K205" s="185">
        <f t="shared" si="184"/>
        <v>0</v>
      </c>
      <c r="L205" s="185">
        <f t="shared" si="185"/>
        <v>0</v>
      </c>
      <c r="M205" s="185">
        <f t="shared" si="186"/>
        <v>0</v>
      </c>
      <c r="N205" s="176">
        <f t="shared" si="187"/>
        <v>0</v>
      </c>
      <c r="O205" s="1083">
        <f t="shared" si="188"/>
        <v>0</v>
      </c>
    </row>
    <row r="206" spans="1:15" x14ac:dyDescent="0.2">
      <c r="A206" s="303"/>
      <c r="B206" s="833">
        <f t="shared" si="189"/>
        <v>1.3</v>
      </c>
      <c r="C206" s="303" t="s">
        <v>2182</v>
      </c>
      <c r="D206" s="822"/>
      <c r="E206" s="161" t="str">
        <f>+_xlfn.XLOOKUP(C206,'BASE DATOS PRECIOS '!B:B,'BASE DATOS PRECIOS '!E:E)</f>
        <v>MECHA BLANCA</v>
      </c>
      <c r="F206" s="174">
        <f>+'1_OG y 2_ACA'!D952</f>
        <v>0</v>
      </c>
      <c r="G206" s="184" t="str">
        <f>+_xlfn.XLOOKUP(C206,'BASE DATOS PRECIOS '!B:B,'BASE DATOS PRECIOS '!F:F)</f>
        <v>KG</v>
      </c>
      <c r="H206" s="176">
        <f>+_xlfn.XLOOKUP(E206,'BASE DATOS PRECIOS '!E:E,'BASE DATOS PRECIOS '!H:H)</f>
        <v>4338.0021999999999</v>
      </c>
      <c r="I206" s="184"/>
      <c r="J206" s="184"/>
      <c r="K206" s="185">
        <f t="shared" si="184"/>
        <v>0</v>
      </c>
      <c r="L206" s="185">
        <f t="shared" si="185"/>
        <v>0</v>
      </c>
      <c r="M206" s="185">
        <f t="shared" si="186"/>
        <v>0</v>
      </c>
      <c r="N206" s="176">
        <f t="shared" si="187"/>
        <v>0</v>
      </c>
      <c r="O206" s="1083">
        <f t="shared" si="188"/>
        <v>0</v>
      </c>
    </row>
    <row r="207" spans="1:15" x14ac:dyDescent="0.2">
      <c r="A207" s="303"/>
      <c r="B207" s="833">
        <f t="shared" si="189"/>
        <v>1.3</v>
      </c>
      <c r="C207" s="303" t="s">
        <v>1963</v>
      </c>
      <c r="D207" s="822"/>
      <c r="E207" s="161" t="str">
        <f>+_xlfn.XLOOKUP(C207,'BASE DATOS PRECIOS '!B:B,'BASE DATOS PRECIOS '!E:E)</f>
        <v>MERULA C/CATALIZADOR</v>
      </c>
      <c r="F207" s="174">
        <f>+F206</f>
        <v>0</v>
      </c>
      <c r="G207" s="184" t="str">
        <f>+_xlfn.XLOOKUP(C207,'BASE DATOS PRECIOS '!B:B,'BASE DATOS PRECIOS '!F:F)</f>
        <v>1/4 DE GALON</v>
      </c>
      <c r="H207" s="176">
        <f>+_xlfn.XLOOKUP(E207,'BASE DATOS PRECIOS '!E:E,'BASE DATOS PRECIOS '!H:H)</f>
        <v>7156.0865999999987</v>
      </c>
      <c r="I207" s="184"/>
      <c r="J207" s="184"/>
      <c r="K207" s="185">
        <f t="shared" si="184"/>
        <v>0</v>
      </c>
      <c r="L207" s="185">
        <f t="shared" si="185"/>
        <v>0</v>
      </c>
      <c r="M207" s="185">
        <f t="shared" si="186"/>
        <v>0</v>
      </c>
      <c r="N207" s="176">
        <f t="shared" si="187"/>
        <v>0</v>
      </c>
      <c r="O207" s="1083">
        <f t="shared" si="188"/>
        <v>0</v>
      </c>
    </row>
    <row r="208" spans="1:15" x14ac:dyDescent="0.2">
      <c r="A208" s="303"/>
      <c r="B208" s="833">
        <f t="shared" si="189"/>
        <v>1.3</v>
      </c>
      <c r="C208" s="303" t="s">
        <v>2201</v>
      </c>
      <c r="D208" s="822"/>
      <c r="E208" s="161" t="str">
        <f>+_xlfn.XLOOKUP(C208,'BASE DATOS PRECIOS '!B:B,'BASE DATOS PRECIOS '!E:E)</f>
        <v>THINNER INDUSTRIAL</v>
      </c>
      <c r="F208" s="174">
        <f>+'1_OG y 2_ACA'!D951</f>
        <v>0</v>
      </c>
      <c r="G208" s="184" t="str">
        <f>+_xlfn.XLOOKUP(C208,'BASE DATOS PRECIOS '!B:B,'BASE DATOS PRECIOS '!F:F)</f>
        <v>GALON</v>
      </c>
      <c r="H208" s="176">
        <f>+_xlfn.XLOOKUP(E208,'BASE DATOS PRECIOS '!E:E,'BASE DATOS PRECIOS '!H:H)</f>
        <v>6464.999957</v>
      </c>
      <c r="I208" s="184"/>
      <c r="J208" s="184"/>
      <c r="K208" s="185">
        <f t="shared" si="184"/>
        <v>0</v>
      </c>
      <c r="L208" s="185">
        <f t="shared" si="185"/>
        <v>0</v>
      </c>
      <c r="M208" s="185">
        <f t="shared" si="186"/>
        <v>0</v>
      </c>
      <c r="N208" s="176">
        <f t="shared" si="187"/>
        <v>0</v>
      </c>
      <c r="O208" s="1083">
        <f t="shared" si="188"/>
        <v>0</v>
      </c>
    </row>
    <row r="209" spans="1:16" x14ac:dyDescent="0.2">
      <c r="A209" s="1077" t="s">
        <v>2985</v>
      </c>
      <c r="B209" s="833">
        <f t="shared" si="189"/>
        <v>1.3</v>
      </c>
      <c r="C209" s="774" t="s">
        <v>36</v>
      </c>
      <c r="D209" s="210"/>
      <c r="E209" s="211" t="str">
        <f>+_xlfn.XLOOKUP(C209,'BASE DATOS MANO DE OBRA'!A:A,'BASE DATOS MANO DE OBRA'!B:B)</f>
        <v xml:space="preserve">OPERARIO PLUS </v>
      </c>
      <c r="F209" s="212">
        <f>+ROUNDUP('1_OG y 2_ACA'!F958,0)/2</f>
        <v>0</v>
      </c>
      <c r="G209" s="213" t="str">
        <f>+_xlfn.XLOOKUP(C209,'BASE DATOS MANO DE OBRA'!A:A,'BASE DATOS MANO DE OBRA'!C:C)</f>
        <v xml:space="preserve">hora </v>
      </c>
      <c r="H209" s="214">
        <v>0</v>
      </c>
      <c r="I209" s="214">
        <f>+_xlfn.XLOOKUP(C209,'BASE DATOS MANO DE OBRA'!A:A,'BASE DATOS MANO DE OBRA'!E:E)</f>
        <v>2850</v>
      </c>
      <c r="J209" s="214">
        <v>0</v>
      </c>
      <c r="K209" s="214">
        <f t="shared" si="184"/>
        <v>0</v>
      </c>
      <c r="L209" s="214">
        <f t="shared" si="185"/>
        <v>0</v>
      </c>
      <c r="M209" s="214">
        <f t="shared" si="186"/>
        <v>0</v>
      </c>
      <c r="N209" s="214">
        <f t="shared" si="187"/>
        <v>0</v>
      </c>
      <c r="O209" s="1086">
        <f t="shared" si="188"/>
        <v>0</v>
      </c>
    </row>
    <row r="210" spans="1:16" x14ac:dyDescent="0.2">
      <c r="A210" s="1077" t="s">
        <v>2985</v>
      </c>
      <c r="B210" s="833">
        <f t="shared" si="189"/>
        <v>1.3</v>
      </c>
      <c r="C210" s="774" t="s">
        <v>37</v>
      </c>
      <c r="D210" s="210"/>
      <c r="E210" s="211" t="str">
        <f>+_xlfn.XLOOKUP(C210,'BASE DATOS MANO DE OBRA'!A:A,'BASE DATOS MANO DE OBRA'!B:B)</f>
        <v xml:space="preserve">AYUDANTE PLUS </v>
      </c>
      <c r="F210" s="212">
        <f>+F209</f>
        <v>0</v>
      </c>
      <c r="G210" s="213" t="str">
        <f>+_xlfn.XLOOKUP(C210,'BASE DATOS MANO DE OBRA'!A:A,'BASE DATOS MANO DE OBRA'!C:C)</f>
        <v xml:space="preserve">hora </v>
      </c>
      <c r="H210" s="214">
        <v>0</v>
      </c>
      <c r="I210" s="214">
        <f>+_xlfn.XLOOKUP(C210,'BASE DATOS MANO DE OBRA'!A:A,'BASE DATOS MANO DE OBRA'!E:E)</f>
        <v>2325</v>
      </c>
      <c r="J210" s="214">
        <v>0</v>
      </c>
      <c r="K210" s="214">
        <f t="shared" si="184"/>
        <v>0</v>
      </c>
      <c r="L210" s="214">
        <f t="shared" si="185"/>
        <v>0</v>
      </c>
      <c r="M210" s="214">
        <f t="shared" si="186"/>
        <v>0</v>
      </c>
      <c r="N210" s="214">
        <f t="shared" si="187"/>
        <v>0</v>
      </c>
      <c r="O210" s="1086">
        <f t="shared" si="188"/>
        <v>0</v>
      </c>
    </row>
    <row r="211" spans="1:16" x14ac:dyDescent="0.2">
      <c r="A211" s="1077" t="s">
        <v>2987</v>
      </c>
      <c r="B211" s="833">
        <f t="shared" si="189"/>
        <v>1.3</v>
      </c>
      <c r="C211" s="774" t="s">
        <v>36</v>
      </c>
      <c r="D211" s="210"/>
      <c r="E211" s="211" t="str">
        <f>+_xlfn.XLOOKUP(C211,'BASE DATOS MANO DE OBRA'!A:A,'BASE DATOS MANO DE OBRA'!B:B)</f>
        <v xml:space="preserve">OPERARIO PLUS </v>
      </c>
      <c r="F211" s="212">
        <f>+ROUNDUP('1_OG y 2_ACA'!F959,0)/2</f>
        <v>0</v>
      </c>
      <c r="G211" s="213" t="str">
        <f>+_xlfn.XLOOKUP(C211,'BASE DATOS MANO DE OBRA'!A:A,'BASE DATOS MANO DE OBRA'!C:C)</f>
        <v xml:space="preserve">hora </v>
      </c>
      <c r="H211" s="214">
        <v>0</v>
      </c>
      <c r="I211" s="214">
        <f>+_xlfn.XLOOKUP(C211,'BASE DATOS MANO DE OBRA'!A:A,'BASE DATOS MANO DE OBRA'!E:E)</f>
        <v>2850</v>
      </c>
      <c r="J211" s="214">
        <v>0</v>
      </c>
      <c r="K211" s="214">
        <f t="shared" si="184"/>
        <v>0</v>
      </c>
      <c r="L211" s="214">
        <f t="shared" si="185"/>
        <v>0</v>
      </c>
      <c r="M211" s="214">
        <f t="shared" si="186"/>
        <v>0</v>
      </c>
      <c r="N211" s="214">
        <f t="shared" si="187"/>
        <v>0</v>
      </c>
      <c r="O211" s="1086">
        <f t="shared" si="188"/>
        <v>0</v>
      </c>
    </row>
    <row r="212" spans="1:16" x14ac:dyDescent="0.2">
      <c r="A212" s="1077" t="s">
        <v>2987</v>
      </c>
      <c r="B212" s="833">
        <f t="shared" si="189"/>
        <v>1.3</v>
      </c>
      <c r="C212" s="774" t="s">
        <v>37</v>
      </c>
      <c r="D212" s="210"/>
      <c r="E212" s="211" t="str">
        <f>+_xlfn.XLOOKUP(C212,'BASE DATOS MANO DE OBRA'!A:A,'BASE DATOS MANO DE OBRA'!B:B)</f>
        <v xml:space="preserve">AYUDANTE PLUS </v>
      </c>
      <c r="F212" s="212">
        <f>+F211</f>
        <v>0</v>
      </c>
      <c r="G212" s="213" t="str">
        <f>+_xlfn.XLOOKUP(C212,'BASE DATOS MANO DE OBRA'!A:A,'BASE DATOS MANO DE OBRA'!C:C)</f>
        <v xml:space="preserve">hora </v>
      </c>
      <c r="H212" s="214">
        <v>0</v>
      </c>
      <c r="I212" s="214">
        <f>+_xlfn.XLOOKUP(C212,'BASE DATOS MANO DE OBRA'!A:A,'BASE DATOS MANO DE OBRA'!E:E)</f>
        <v>2325</v>
      </c>
      <c r="J212" s="214">
        <v>0</v>
      </c>
      <c r="K212" s="214">
        <f t="shared" si="184"/>
        <v>0</v>
      </c>
      <c r="L212" s="214">
        <f t="shared" si="185"/>
        <v>0</v>
      </c>
      <c r="M212" s="214">
        <f t="shared" si="186"/>
        <v>0</v>
      </c>
      <c r="N212" s="214">
        <f t="shared" si="187"/>
        <v>0</v>
      </c>
      <c r="O212" s="1086">
        <f t="shared" si="188"/>
        <v>0</v>
      </c>
    </row>
    <row r="213" spans="1:16" s="49" customFormat="1" ht="18.600000000000001" customHeight="1" collapsed="1" x14ac:dyDescent="0.2">
      <c r="A213" s="303"/>
      <c r="B213" s="833">
        <f t="shared" si="189"/>
        <v>1.3</v>
      </c>
      <c r="C213" s="770" t="s">
        <v>2052</v>
      </c>
      <c r="D213" s="453"/>
      <c r="E213" s="454" t="s">
        <v>183</v>
      </c>
      <c r="F213" s="455">
        <f>IF('1_OG y 2_ACA'!D965="Sí",1,0)</f>
        <v>1</v>
      </c>
      <c r="G213" s="453" t="s">
        <v>29</v>
      </c>
      <c r="H213" s="453"/>
      <c r="I213" s="453"/>
      <c r="J213" s="453"/>
      <c r="K213" s="456">
        <f>+SUBTOTAL(9,K214:K228)</f>
        <v>181382.87253199998</v>
      </c>
      <c r="L213" s="456">
        <f t="shared" ref="L213:N213" si="190">+SUBTOTAL(9,L214:L228)</f>
        <v>219937.5</v>
      </c>
      <c r="M213" s="456">
        <f t="shared" si="190"/>
        <v>0</v>
      </c>
      <c r="N213" s="456">
        <f t="shared" si="190"/>
        <v>401320.37253199995</v>
      </c>
      <c r="O213" s="1082">
        <f>+SUBTOTAL(9,O214:O228)</f>
        <v>779.26285928543678</v>
      </c>
      <c r="P213" s="416"/>
    </row>
    <row r="214" spans="1:16" x14ac:dyDescent="0.2">
      <c r="A214" s="303"/>
      <c r="B214" s="833">
        <f t="shared" si="189"/>
        <v>1.3</v>
      </c>
      <c r="C214" s="782" t="s">
        <v>2207</v>
      </c>
      <c r="D214" s="837"/>
      <c r="E214" s="161" t="str">
        <f>+_xlfn.XLOOKUP(C214,'BASE DATOS PRECIOS '!B:B,'BASE DATOS PRECIOS '!E:E)</f>
        <v>TUBO RED 11/4X1.8 HN</v>
      </c>
      <c r="F214" s="174">
        <f>+'1_OG y 2_ACA'!D978</f>
        <v>7</v>
      </c>
      <c r="G214" s="184" t="str">
        <f>+_xlfn.XLOOKUP(C214,'BASE DATOS PRECIOS '!B:B,'BASE DATOS PRECIOS '!F:F)</f>
        <v>UND</v>
      </c>
      <c r="H214" s="176">
        <f>+_xlfn.XLOOKUP(E214,'BASE DATOS PRECIOS '!E:E,'BASE DATOS PRECIOS '!H:H)</f>
        <v>13537.399999999998</v>
      </c>
      <c r="I214" s="184"/>
      <c r="J214" s="184"/>
      <c r="K214" s="185">
        <f t="shared" ref="K214:K228" si="191">+F214*H214</f>
        <v>94761.799999999988</v>
      </c>
      <c r="L214" s="185">
        <f t="shared" ref="L214:L228" si="192">+F214*I214</f>
        <v>0</v>
      </c>
      <c r="M214" s="185">
        <f t="shared" ref="M214:M228" si="193">+F214*J214</f>
        <v>0</v>
      </c>
      <c r="N214" s="185">
        <f t="shared" ref="N214:N228" si="194">SUM(K214:M214)</f>
        <v>94761.799999999988</v>
      </c>
      <c r="O214" s="1088">
        <f t="shared" ref="O214:O228" si="195">SUM(K214:M214)/tc</f>
        <v>184.00349514563104</v>
      </c>
    </row>
    <row r="215" spans="1:16" x14ac:dyDescent="0.2">
      <c r="A215" s="303"/>
      <c r="B215" s="833">
        <f t="shared" si="189"/>
        <v>1.3</v>
      </c>
      <c r="C215" s="782" t="s">
        <v>2206</v>
      </c>
      <c r="D215" s="837"/>
      <c r="E215" s="161" t="str">
        <f>+_xlfn.XLOOKUP(C215,'BASE DATOS PRECIOS '!B:B,'BASE DATOS PRECIOS '!E:E)</f>
        <v>VARILLA LISA #5</v>
      </c>
      <c r="F215" s="174">
        <f>+'1_OG y 2_ACA'!D979</f>
        <v>6</v>
      </c>
      <c r="G215" s="184" t="str">
        <f>+_xlfn.XLOOKUP(C215,'BASE DATOS PRECIOS '!B:B,'BASE DATOS PRECIOS '!F:F)</f>
        <v>UND</v>
      </c>
      <c r="H215" s="176">
        <f>+_xlfn.XLOOKUP(E215,'BASE DATOS PRECIOS '!E:E,'BASE DATOS PRECIOS '!H:H)</f>
        <v>5674.86</v>
      </c>
      <c r="I215" s="184"/>
      <c r="J215" s="184"/>
      <c r="K215" s="185">
        <f t="shared" si="191"/>
        <v>34049.159999999996</v>
      </c>
      <c r="L215" s="185">
        <f t="shared" si="192"/>
        <v>0</v>
      </c>
      <c r="M215" s="185">
        <f t="shared" si="193"/>
        <v>0</v>
      </c>
      <c r="N215" s="185">
        <f t="shared" si="194"/>
        <v>34049.159999999996</v>
      </c>
      <c r="O215" s="1088">
        <f t="shared" si="195"/>
        <v>66.114873786407756</v>
      </c>
    </row>
    <row r="216" spans="1:16" x14ac:dyDescent="0.2">
      <c r="A216" s="303"/>
      <c r="B216" s="833">
        <f t="shared" si="189"/>
        <v>1.3</v>
      </c>
      <c r="C216" s="303" t="s">
        <v>2195</v>
      </c>
      <c r="D216" s="822"/>
      <c r="E216" s="161" t="str">
        <f>+_xlfn.XLOOKUP(C216,'BASE DATOS PRECIOS '!B:B,'BASE DATOS PRECIOS '!E:E)</f>
        <v>SOLDADURA 3/32 (6013)</v>
      </c>
      <c r="F216" s="174">
        <f>+'1_OG y 2_ACA'!D980</f>
        <v>1</v>
      </c>
      <c r="G216" s="184" t="str">
        <f>+_xlfn.XLOOKUP(C216,'BASE DATOS PRECIOS '!B:B,'BASE DATOS PRECIOS '!F:F)</f>
        <v>KG</v>
      </c>
      <c r="H216" s="176">
        <f>+_xlfn.XLOOKUP(E216,'BASE DATOS PRECIOS '!E:E,'BASE DATOS PRECIOS '!H:H)</f>
        <v>3600.0330999999996</v>
      </c>
      <c r="I216" s="184"/>
      <c r="J216" s="184"/>
      <c r="K216" s="185">
        <f t="shared" si="191"/>
        <v>3600.0330999999996</v>
      </c>
      <c r="L216" s="185">
        <f t="shared" si="192"/>
        <v>0</v>
      </c>
      <c r="M216" s="185">
        <f t="shared" si="193"/>
        <v>0</v>
      </c>
      <c r="N216" s="185">
        <f t="shared" si="194"/>
        <v>3600.0330999999996</v>
      </c>
      <c r="O216" s="1088">
        <f t="shared" si="195"/>
        <v>6.9903555339805816</v>
      </c>
    </row>
    <row r="217" spans="1:16" x14ac:dyDescent="0.2">
      <c r="A217" s="303"/>
      <c r="B217" s="833">
        <f t="shared" si="189"/>
        <v>1.3</v>
      </c>
      <c r="C217" s="303" t="s">
        <v>1922</v>
      </c>
      <c r="D217" s="822"/>
      <c r="E217" s="161" t="str">
        <f>+_xlfn.XLOOKUP(C217,'BASE DATOS PRECIOS '!B:B,'BASE DATOS PRECIOS '!E:E)</f>
        <v>DISCO CORTE METAL FINO 9"</v>
      </c>
      <c r="F217" s="174">
        <f>+'1_OG y 2_ACA'!D981</f>
        <v>1</v>
      </c>
      <c r="G217" s="184" t="str">
        <f>+_xlfn.XLOOKUP(C217,'BASE DATOS PRECIOS '!B:B,'BASE DATOS PRECIOS '!F:F)</f>
        <v>UND</v>
      </c>
      <c r="H217" s="176">
        <f>+_xlfn.XLOOKUP(E217,'BASE DATOS PRECIOS '!E:E,'BASE DATOS PRECIOS '!H:H)</f>
        <v>3037.6320999999998</v>
      </c>
      <c r="I217" s="184"/>
      <c r="J217" s="184"/>
      <c r="K217" s="185">
        <f t="shared" si="191"/>
        <v>3037.6320999999998</v>
      </c>
      <c r="L217" s="185">
        <f t="shared" si="192"/>
        <v>0</v>
      </c>
      <c r="M217" s="185">
        <f t="shared" si="193"/>
        <v>0</v>
      </c>
      <c r="N217" s="185">
        <f t="shared" si="194"/>
        <v>3037.6320999999998</v>
      </c>
      <c r="O217" s="1088">
        <f t="shared" si="195"/>
        <v>5.8983147572815531</v>
      </c>
    </row>
    <row r="218" spans="1:16" x14ac:dyDescent="0.2">
      <c r="A218" s="781"/>
      <c r="B218" s="833">
        <f t="shared" si="189"/>
        <v>1.3</v>
      </c>
      <c r="C218" s="303" t="s">
        <v>1959</v>
      </c>
      <c r="D218" s="822"/>
      <c r="E218" s="161" t="str">
        <f>+_xlfn.XLOOKUP(C218,'BASE DATOS PRECIOS '!B:B,'BASE DATOS PRECIOS '!E:E)</f>
        <v>DISCO ESMERILAR 4-1/2</v>
      </c>
      <c r="F218" s="174">
        <f>+F217</f>
        <v>1</v>
      </c>
      <c r="G218" s="184" t="str">
        <f>+_xlfn.XLOOKUP(C218,'BASE DATOS PRECIOS '!B:B,'BASE DATOS PRECIOS '!F:F)</f>
        <v>UND</v>
      </c>
      <c r="H218" s="176">
        <f>+_xlfn.XLOOKUP(E218,'BASE DATOS PRECIOS '!E:E,'BASE DATOS PRECIOS '!H:H)</f>
        <v>1519.85</v>
      </c>
      <c r="I218" s="184"/>
      <c r="J218" s="184"/>
      <c r="K218" s="185">
        <f t="shared" si="191"/>
        <v>1519.85</v>
      </c>
      <c r="L218" s="185">
        <f t="shared" si="192"/>
        <v>0</v>
      </c>
      <c r="M218" s="185">
        <f t="shared" si="193"/>
        <v>0</v>
      </c>
      <c r="N218" s="185">
        <f t="shared" si="194"/>
        <v>1519.85</v>
      </c>
      <c r="O218" s="1088">
        <f t="shared" si="195"/>
        <v>2.9511650485436891</v>
      </c>
    </row>
    <row r="219" spans="1:16" x14ac:dyDescent="0.2">
      <c r="A219" s="303"/>
      <c r="B219" s="833">
        <f t="shared" si="189"/>
        <v>1.3</v>
      </c>
      <c r="C219" s="777" t="s">
        <v>2088</v>
      </c>
      <c r="D219" s="836"/>
      <c r="E219" s="161" t="str">
        <f>+_xlfn.XLOOKUP(C219,'BASE DATOS PRECIOS '!B:B,'BASE DATOS PRECIOS '!E:E)</f>
        <v>DISCO FLAP G60 4-1/2"</v>
      </c>
      <c r="F219" s="174">
        <f>+F218</f>
        <v>1</v>
      </c>
      <c r="G219" s="184" t="str">
        <f>+_xlfn.XLOOKUP(C219,'BASE DATOS PRECIOS '!B:B,'BASE DATOS PRECIOS '!F:F)</f>
        <v>UND</v>
      </c>
      <c r="H219" s="176">
        <f>+_xlfn.XLOOKUP(E219,'BASE DATOS PRECIOS '!E:E,'BASE DATOS PRECIOS '!H:H)</f>
        <v>1672.6034</v>
      </c>
      <c r="I219" s="184"/>
      <c r="J219" s="184"/>
      <c r="K219" s="185">
        <f t="shared" si="191"/>
        <v>1672.6034</v>
      </c>
      <c r="L219" s="185">
        <f t="shared" si="192"/>
        <v>0</v>
      </c>
      <c r="M219" s="185">
        <f t="shared" si="193"/>
        <v>0</v>
      </c>
      <c r="N219" s="185">
        <f t="shared" si="194"/>
        <v>1672.6034</v>
      </c>
      <c r="O219" s="1088">
        <f t="shared" si="195"/>
        <v>3.2477735922330098</v>
      </c>
    </row>
    <row r="220" spans="1:16" x14ac:dyDescent="0.2">
      <c r="A220" s="303"/>
      <c r="B220" s="833">
        <f t="shared" si="189"/>
        <v>1.3</v>
      </c>
      <c r="C220" s="303" t="s">
        <v>1923</v>
      </c>
      <c r="D220" s="822"/>
      <c r="E220" s="161" t="str">
        <f>+_xlfn.XLOOKUP(C220,'BASE DATOS PRECIOS '!B:B,'BASE DATOS PRECIOS '!E:E)</f>
        <v>DISCO CORTE FINO METAL 4-1/2</v>
      </c>
      <c r="F220" s="174">
        <f>+F218</f>
        <v>1</v>
      </c>
      <c r="G220" s="184" t="str">
        <f>+_xlfn.XLOOKUP(C220,'BASE DATOS PRECIOS '!B:B,'BASE DATOS PRECIOS '!F:F)</f>
        <v>UND</v>
      </c>
      <c r="H220" s="176">
        <f>+_xlfn.XLOOKUP(E220,'BASE DATOS PRECIOS '!E:E,'BASE DATOS PRECIOS '!H:H)</f>
        <v>3661.2</v>
      </c>
      <c r="I220" s="184"/>
      <c r="J220" s="184"/>
      <c r="K220" s="185">
        <f t="shared" si="191"/>
        <v>3661.2</v>
      </c>
      <c r="L220" s="185">
        <f t="shared" si="192"/>
        <v>0</v>
      </c>
      <c r="M220" s="185">
        <f t="shared" si="193"/>
        <v>0</v>
      </c>
      <c r="N220" s="185">
        <f t="shared" si="194"/>
        <v>3661.2</v>
      </c>
      <c r="O220" s="1088">
        <f t="shared" si="195"/>
        <v>7.1091262135922326</v>
      </c>
    </row>
    <row r="221" spans="1:16" x14ac:dyDescent="0.2">
      <c r="A221" s="303"/>
      <c r="B221" s="833">
        <f t="shared" si="189"/>
        <v>1.3</v>
      </c>
      <c r="C221" s="303" t="s">
        <v>2201</v>
      </c>
      <c r="D221" s="822"/>
      <c r="E221" s="161" t="str">
        <f>+_xlfn.XLOOKUP(C221,'BASE DATOS PRECIOS '!B:B,'BASE DATOS PRECIOS '!E:E)</f>
        <v>THINNER INDUSTRIAL</v>
      </c>
      <c r="F221" s="174">
        <f>+'1_OG y 2_ACA'!D982</f>
        <v>1</v>
      </c>
      <c r="G221" s="184" t="str">
        <f>+_xlfn.XLOOKUP(C221,'BASE DATOS PRECIOS '!B:B,'BASE DATOS PRECIOS '!F:F)</f>
        <v>GALON</v>
      </c>
      <c r="H221" s="176">
        <f>+_xlfn.XLOOKUP(E221,'BASE DATOS PRECIOS '!E:E,'BASE DATOS PRECIOS '!H:H)</f>
        <v>6464.999957</v>
      </c>
      <c r="I221" s="184"/>
      <c r="J221" s="184"/>
      <c r="K221" s="185">
        <f t="shared" si="191"/>
        <v>6464.999957</v>
      </c>
      <c r="L221" s="185">
        <f t="shared" si="192"/>
        <v>0</v>
      </c>
      <c r="M221" s="185">
        <f t="shared" si="193"/>
        <v>0</v>
      </c>
      <c r="N221" s="185">
        <f t="shared" si="194"/>
        <v>6464.999957</v>
      </c>
      <c r="O221" s="1088">
        <f t="shared" si="195"/>
        <v>12.553397974757281</v>
      </c>
    </row>
    <row r="222" spans="1:16" x14ac:dyDescent="0.2">
      <c r="A222" s="303"/>
      <c r="B222" s="833">
        <f t="shared" si="189"/>
        <v>1.3</v>
      </c>
      <c r="C222" s="303" t="s">
        <v>2182</v>
      </c>
      <c r="D222" s="822"/>
      <c r="E222" s="161" t="str">
        <f>+_xlfn.XLOOKUP(C222,'BASE DATOS PRECIOS '!B:B,'BASE DATOS PRECIOS '!E:E)</f>
        <v>MECHA BLANCA</v>
      </c>
      <c r="F222" s="174">
        <f>+'1_OG y 2_ACA'!D983</f>
        <v>1</v>
      </c>
      <c r="G222" s="184" t="str">
        <f>+_xlfn.XLOOKUP(C222,'BASE DATOS PRECIOS '!B:B,'BASE DATOS PRECIOS '!F:F)</f>
        <v>KG</v>
      </c>
      <c r="H222" s="176">
        <f>+_xlfn.XLOOKUP(E222,'BASE DATOS PRECIOS '!E:E,'BASE DATOS PRECIOS '!H:H)</f>
        <v>4338.0021999999999</v>
      </c>
      <c r="I222" s="184"/>
      <c r="J222" s="184"/>
      <c r="K222" s="185">
        <f t="shared" si="191"/>
        <v>4338.0021999999999</v>
      </c>
      <c r="L222" s="185">
        <f t="shared" si="192"/>
        <v>0</v>
      </c>
      <c r="M222" s="185">
        <f t="shared" si="193"/>
        <v>0</v>
      </c>
      <c r="N222" s="185">
        <f t="shared" si="194"/>
        <v>4338.0021999999999</v>
      </c>
      <c r="O222" s="1088">
        <f t="shared" si="195"/>
        <v>8.4233052427184472</v>
      </c>
    </row>
    <row r="223" spans="1:16" x14ac:dyDescent="0.2">
      <c r="A223" s="781"/>
      <c r="B223" s="833">
        <f t="shared" si="189"/>
        <v>1.3</v>
      </c>
      <c r="C223" s="777" t="s">
        <v>1961</v>
      </c>
      <c r="D223" s="836"/>
      <c r="E223" s="161" t="str">
        <f>+_xlfn.XLOOKUP(C223,'BASE DATOS PRECIOS '!B:B,'BASE DATOS PRECIOS '!E:E)</f>
        <v>ANTICORROSIVO MINIO GALON</v>
      </c>
      <c r="F223" s="174">
        <f>+'1_OG y 2_ACA'!D984+'1_OG y 2_ACA'!D985</f>
        <v>0.5</v>
      </c>
      <c r="G223" s="184" t="str">
        <f>+_xlfn.XLOOKUP(C223,'BASE DATOS PRECIOS '!B:B,'BASE DATOS PRECIOS '!F:F)</f>
        <v>GAL</v>
      </c>
      <c r="H223" s="176">
        <f>+_xlfn.XLOOKUP(E223,'BASE DATOS PRECIOS '!E:E,'BASE DATOS PRECIOS '!H:H)</f>
        <v>17605.004499999999</v>
      </c>
      <c r="I223" s="184"/>
      <c r="J223" s="184"/>
      <c r="K223" s="185">
        <f t="shared" si="191"/>
        <v>8802.5022499999995</v>
      </c>
      <c r="L223" s="185">
        <f t="shared" si="192"/>
        <v>0</v>
      </c>
      <c r="M223" s="185">
        <f t="shared" si="193"/>
        <v>0</v>
      </c>
      <c r="N223" s="185">
        <f t="shared" si="194"/>
        <v>8802.5022499999995</v>
      </c>
      <c r="O223" s="1088">
        <f t="shared" si="195"/>
        <v>17.092237378640775</v>
      </c>
    </row>
    <row r="224" spans="1:16" x14ac:dyDescent="0.2">
      <c r="A224" s="303"/>
      <c r="B224" s="833">
        <f t="shared" si="189"/>
        <v>1.3</v>
      </c>
      <c r="C224" s="303" t="s">
        <v>1937</v>
      </c>
      <c r="D224" s="822"/>
      <c r="E224" s="161" t="str">
        <f>+_xlfn.XLOOKUP(C224,'BASE DATOS PRECIOS '!B:B,'BASE DATOS PRECIOS '!E:E)</f>
        <v>PINTURA SUPER DRY GALON</v>
      </c>
      <c r="F224" s="174">
        <f>+'1_OG y 2_ACA'!D986</f>
        <v>0.25</v>
      </c>
      <c r="G224" s="184" t="str">
        <f>+_xlfn.XLOOKUP(C224,'BASE DATOS PRECIOS '!B:B,'BASE DATOS PRECIOS '!F:F)</f>
        <v>GALON</v>
      </c>
      <c r="H224" s="176">
        <f>+_xlfn.XLOOKUP(E224,'BASE DATOS PRECIOS '!E:E,'BASE DATOS PRECIOS '!H:H)</f>
        <v>24555.9961</v>
      </c>
      <c r="I224" s="184"/>
      <c r="J224" s="184"/>
      <c r="K224" s="185">
        <f t="shared" si="191"/>
        <v>6138.9990250000001</v>
      </c>
      <c r="L224" s="185">
        <f t="shared" si="192"/>
        <v>0</v>
      </c>
      <c r="M224" s="185">
        <f t="shared" si="193"/>
        <v>0</v>
      </c>
      <c r="N224" s="185">
        <f t="shared" si="194"/>
        <v>6138.9990250000001</v>
      </c>
      <c r="O224" s="1088">
        <f t="shared" si="195"/>
        <v>11.920386456310681</v>
      </c>
    </row>
    <row r="225" spans="1:16" x14ac:dyDescent="0.2">
      <c r="A225" s="303"/>
      <c r="B225" s="833">
        <f t="shared" si="189"/>
        <v>1.3</v>
      </c>
      <c r="C225" s="303" t="s">
        <v>1939</v>
      </c>
      <c r="D225" s="822"/>
      <c r="E225" s="161" t="str">
        <f>+_xlfn.XLOOKUP(C225,'BASE DATOS PRECIOS '!B:B,'BASE DATOS PRECIOS '!E:E)</f>
        <v>BROCHA CORRIENTE 3"</v>
      </c>
      <c r="F225" s="174">
        <f>+F213*3</f>
        <v>3</v>
      </c>
      <c r="G225" s="184" t="str">
        <f>+_xlfn.XLOOKUP(C225,'BASE DATOS PRECIOS '!B:B,'BASE DATOS PRECIOS '!F:F)</f>
        <v>UND</v>
      </c>
      <c r="H225" s="176">
        <f>+_xlfn.XLOOKUP(E225,'BASE DATOS PRECIOS '!E:E,'BASE DATOS PRECIOS '!H:H)</f>
        <v>2060.0012999999999</v>
      </c>
      <c r="I225" s="184"/>
      <c r="J225" s="184"/>
      <c r="K225" s="185">
        <f t="shared" si="191"/>
        <v>6180.0038999999997</v>
      </c>
      <c r="L225" s="185">
        <f t="shared" si="192"/>
        <v>0</v>
      </c>
      <c r="M225" s="185">
        <f t="shared" si="193"/>
        <v>0</v>
      </c>
      <c r="N225" s="185">
        <f t="shared" si="194"/>
        <v>6180.0038999999997</v>
      </c>
      <c r="O225" s="1088">
        <f t="shared" si="195"/>
        <v>12.000007572815534</v>
      </c>
    </row>
    <row r="226" spans="1:16" x14ac:dyDescent="0.2">
      <c r="A226" s="1074"/>
      <c r="B226" s="833">
        <f t="shared" si="189"/>
        <v>1.3</v>
      </c>
      <c r="C226" s="303" t="s">
        <v>1963</v>
      </c>
      <c r="D226" s="822"/>
      <c r="E226" s="161" t="str">
        <f>+_xlfn.XLOOKUP(C226,'BASE DATOS PRECIOS '!B:B,'BASE DATOS PRECIOS '!E:E)</f>
        <v>MERULA C/CATALIZADOR</v>
      </c>
      <c r="F226" s="174">
        <f>+F222</f>
        <v>1</v>
      </c>
      <c r="G226" s="184" t="str">
        <f>+_xlfn.XLOOKUP(C226,'BASE DATOS PRECIOS '!B:B,'BASE DATOS PRECIOS '!F:F)</f>
        <v>1/4 DE GALON</v>
      </c>
      <c r="H226" s="176">
        <f>+_xlfn.XLOOKUP(E226,'BASE DATOS PRECIOS '!E:E,'BASE DATOS PRECIOS '!H:H)</f>
        <v>7156.0865999999987</v>
      </c>
      <c r="I226" s="184"/>
      <c r="J226" s="184"/>
      <c r="K226" s="185">
        <f t="shared" si="191"/>
        <v>7156.0865999999987</v>
      </c>
      <c r="L226" s="185">
        <f t="shared" si="192"/>
        <v>0</v>
      </c>
      <c r="M226" s="185">
        <f t="shared" si="193"/>
        <v>0</v>
      </c>
      <c r="N226" s="185">
        <f t="shared" si="194"/>
        <v>7156.0865999999987</v>
      </c>
      <c r="O226" s="1088">
        <f t="shared" si="195"/>
        <v>13.895313786407765</v>
      </c>
    </row>
    <row r="227" spans="1:16" x14ac:dyDescent="0.2">
      <c r="A227" s="1077" t="s">
        <v>2984</v>
      </c>
      <c r="B227" s="833">
        <f t="shared" si="189"/>
        <v>1.3</v>
      </c>
      <c r="C227" s="774" t="s">
        <v>36</v>
      </c>
      <c r="D227" s="210"/>
      <c r="E227" s="211" t="str">
        <f>+_xlfn.XLOOKUP(C227,'BASE DATOS MANO DE OBRA'!A:A,'BASE DATOS MANO DE OBRA'!B:B)</f>
        <v xml:space="preserve">OPERARIO PLUS </v>
      </c>
      <c r="F227" s="212">
        <f>+ROUNDUP('1_OG y 2_ACA'!F991,0)/2</f>
        <v>42.5</v>
      </c>
      <c r="G227" s="213" t="str">
        <f>+_xlfn.XLOOKUP(C227,'BASE DATOS MANO DE OBRA'!A:A,'BASE DATOS MANO DE OBRA'!C:C)</f>
        <v xml:space="preserve">hora </v>
      </c>
      <c r="H227" s="214">
        <v>0</v>
      </c>
      <c r="I227" s="214">
        <f>+_xlfn.XLOOKUP(C227,'BASE DATOS MANO DE OBRA'!A:A,'BASE DATOS MANO DE OBRA'!E:E)</f>
        <v>2850</v>
      </c>
      <c r="J227" s="214">
        <v>0</v>
      </c>
      <c r="K227" s="214">
        <f t="shared" si="191"/>
        <v>0</v>
      </c>
      <c r="L227" s="214">
        <f t="shared" si="192"/>
        <v>121125</v>
      </c>
      <c r="M227" s="214">
        <f t="shared" si="193"/>
        <v>0</v>
      </c>
      <c r="N227" s="214">
        <f t="shared" si="194"/>
        <v>121125</v>
      </c>
      <c r="O227" s="1086">
        <f t="shared" si="195"/>
        <v>235.19417475728156</v>
      </c>
      <c r="P227" s="171"/>
    </row>
    <row r="228" spans="1:16" x14ac:dyDescent="0.2">
      <c r="A228" s="1077" t="s">
        <v>2984</v>
      </c>
      <c r="B228" s="833">
        <f t="shared" si="189"/>
        <v>1.3</v>
      </c>
      <c r="C228" s="774" t="s">
        <v>37</v>
      </c>
      <c r="D228" s="210"/>
      <c r="E228" s="211" t="str">
        <f>+_xlfn.XLOOKUP(C228,'BASE DATOS MANO DE OBRA'!A:A,'BASE DATOS MANO DE OBRA'!B:B)</f>
        <v xml:space="preserve">AYUDANTE PLUS </v>
      </c>
      <c r="F228" s="212">
        <f>+F227</f>
        <v>42.5</v>
      </c>
      <c r="G228" s="213" t="str">
        <f>+_xlfn.XLOOKUP(C228,'BASE DATOS MANO DE OBRA'!A:A,'BASE DATOS MANO DE OBRA'!C:C)</f>
        <v xml:space="preserve">hora </v>
      </c>
      <c r="H228" s="214">
        <v>0</v>
      </c>
      <c r="I228" s="214">
        <f>+_xlfn.XLOOKUP(C228,'BASE DATOS MANO DE OBRA'!A:A,'BASE DATOS MANO DE OBRA'!E:E)</f>
        <v>2325</v>
      </c>
      <c r="J228" s="214">
        <v>0</v>
      </c>
      <c r="K228" s="214">
        <f t="shared" si="191"/>
        <v>0</v>
      </c>
      <c r="L228" s="214">
        <f t="shared" si="192"/>
        <v>98812.5</v>
      </c>
      <c r="M228" s="214">
        <f t="shared" si="193"/>
        <v>0</v>
      </c>
      <c r="N228" s="214">
        <f t="shared" si="194"/>
        <v>98812.5</v>
      </c>
      <c r="O228" s="1086">
        <f t="shared" si="195"/>
        <v>191.86893203883494</v>
      </c>
      <c r="P228" s="171"/>
    </row>
    <row r="229" spans="1:16" s="49" customFormat="1" ht="18.600000000000001" customHeight="1" x14ac:dyDescent="0.2">
      <c r="A229" s="781"/>
      <c r="B229" s="833">
        <f t="shared" si="189"/>
        <v>1.3</v>
      </c>
      <c r="C229" s="770" t="s">
        <v>2053</v>
      </c>
      <c r="D229" s="453"/>
      <c r="E229" s="454" t="s">
        <v>185</v>
      </c>
      <c r="F229" s="455">
        <v>1</v>
      </c>
      <c r="G229" s="453" t="s">
        <v>29</v>
      </c>
      <c r="H229" s="453"/>
      <c r="I229" s="453"/>
      <c r="J229" s="453"/>
      <c r="K229" s="456">
        <f>+SUBTOTAL(9,K230:K235)</f>
        <v>0</v>
      </c>
      <c r="L229" s="456">
        <f>+SUBTOTAL(9,L230:L235)</f>
        <v>0</v>
      </c>
      <c r="M229" s="456">
        <f>+SUBTOTAL(9,M230:M235)</f>
        <v>0</v>
      </c>
      <c r="N229" s="456">
        <f>+SUBTOTAL(9,N230:N235)</f>
        <v>0</v>
      </c>
      <c r="O229" s="1082">
        <f>+SUBTOTAL(9,O230:O235)</f>
        <v>0</v>
      </c>
      <c r="P229" s="416"/>
    </row>
    <row r="230" spans="1:16" x14ac:dyDescent="0.2">
      <c r="A230" s="781"/>
      <c r="B230" s="833">
        <f t="shared" si="189"/>
        <v>1.3</v>
      </c>
      <c r="C230" s="783"/>
      <c r="D230" s="217"/>
      <c r="E230" s="318"/>
      <c r="F230" s="180"/>
      <c r="G230" s="181"/>
      <c r="H230" s="181"/>
      <c r="I230" s="181"/>
      <c r="J230" s="181"/>
      <c r="K230" s="182"/>
      <c r="L230" s="182"/>
      <c r="M230" s="182"/>
      <c r="N230" s="182"/>
      <c r="O230" s="1089"/>
      <c r="P230" s="171"/>
    </row>
    <row r="231" spans="1:16" x14ac:dyDescent="0.2">
      <c r="A231" s="781"/>
      <c r="B231" s="833">
        <f t="shared" si="189"/>
        <v>1.3</v>
      </c>
      <c r="C231" s="783"/>
      <c r="D231" s="217"/>
      <c r="E231" s="318"/>
      <c r="F231" s="180"/>
      <c r="G231" s="181"/>
      <c r="H231" s="181"/>
      <c r="I231" s="181"/>
      <c r="J231" s="181"/>
      <c r="K231" s="182"/>
      <c r="L231" s="182"/>
      <c r="M231" s="182"/>
      <c r="N231" s="182"/>
      <c r="O231" s="1089"/>
      <c r="P231" s="171"/>
    </row>
    <row r="232" spans="1:16" x14ac:dyDescent="0.2">
      <c r="A232" s="781"/>
      <c r="B232" s="833">
        <f t="shared" si="189"/>
        <v>1.3</v>
      </c>
      <c r="C232" s="774" t="s">
        <v>36</v>
      </c>
      <c r="D232" s="210"/>
      <c r="E232" s="211" t="str">
        <f>+_xlfn.XLOOKUP(C232,'BASE DATOS MANO DE OBRA'!A:A,'BASE DATOS MANO DE OBRA'!B:B)</f>
        <v xml:space="preserve">OPERARIO PLUS </v>
      </c>
      <c r="F232" s="212">
        <v>0</v>
      </c>
      <c r="G232" s="213" t="str">
        <f>+_xlfn.XLOOKUP(C232,'BASE DATOS MANO DE OBRA'!A:A,'BASE DATOS MANO DE OBRA'!C:C)</f>
        <v xml:space="preserve">hora </v>
      </c>
      <c r="H232" s="214">
        <v>0</v>
      </c>
      <c r="I232" s="214">
        <f>+_xlfn.XLOOKUP(C232,'BASE DATOS MANO DE OBRA'!A:A,'BASE DATOS MANO DE OBRA'!E:E)</f>
        <v>2850</v>
      </c>
      <c r="J232" s="214">
        <v>0</v>
      </c>
      <c r="K232" s="214">
        <f>+F232*H232</f>
        <v>0</v>
      </c>
      <c r="L232" s="214">
        <f>+F232*I232</f>
        <v>0</v>
      </c>
      <c r="M232" s="214">
        <f>+F232*J232</f>
        <v>0</v>
      </c>
      <c r="N232" s="214">
        <f>SUM(K232:M232)</f>
        <v>0</v>
      </c>
      <c r="O232" s="1086">
        <f>SUM(K232:M232)/tc</f>
        <v>0</v>
      </c>
      <c r="P232" s="171"/>
    </row>
    <row r="233" spans="1:16" x14ac:dyDescent="0.2">
      <c r="A233" s="781"/>
      <c r="B233" s="833">
        <f t="shared" si="189"/>
        <v>1.3</v>
      </c>
      <c r="C233" s="774" t="s">
        <v>37</v>
      </c>
      <c r="D233" s="210"/>
      <c r="E233" s="211" t="str">
        <f>+_xlfn.XLOOKUP(C233,'BASE DATOS MANO DE OBRA'!A:A,'BASE DATOS MANO DE OBRA'!B:B)</f>
        <v xml:space="preserve">AYUDANTE PLUS </v>
      </c>
      <c r="F233" s="212">
        <v>0</v>
      </c>
      <c r="G233" s="213" t="str">
        <f>+_xlfn.XLOOKUP(C233,'BASE DATOS MANO DE OBRA'!A:A,'BASE DATOS MANO DE OBRA'!C:C)</f>
        <v xml:space="preserve">hora </v>
      </c>
      <c r="H233" s="214">
        <v>0</v>
      </c>
      <c r="I233" s="214">
        <f>+_xlfn.XLOOKUP(C233,'BASE DATOS MANO DE OBRA'!A:A,'BASE DATOS MANO DE OBRA'!E:E)</f>
        <v>2325</v>
      </c>
      <c r="J233" s="214">
        <v>0</v>
      </c>
      <c r="K233" s="214">
        <f>+F233*H233</f>
        <v>0</v>
      </c>
      <c r="L233" s="214">
        <f>+F233*I233</f>
        <v>0</v>
      </c>
      <c r="M233" s="214">
        <f>+F233*J233</f>
        <v>0</v>
      </c>
      <c r="N233" s="214">
        <f>SUM(K233:M233)</f>
        <v>0</v>
      </c>
      <c r="O233" s="1086">
        <f>SUM(K233:M233)/tc</f>
        <v>0</v>
      </c>
      <c r="P233" s="171"/>
    </row>
    <row r="234" spans="1:16" x14ac:dyDescent="0.2">
      <c r="A234" s="1074"/>
      <c r="B234" s="833">
        <f t="shared" si="189"/>
        <v>1.3</v>
      </c>
      <c r="C234" s="774" t="s">
        <v>36</v>
      </c>
      <c r="D234" s="210"/>
      <c r="E234" s="211" t="str">
        <f>+_xlfn.XLOOKUP(C234,'BASE DATOS MANO DE OBRA'!A:A,'BASE DATOS MANO DE OBRA'!B:B)</f>
        <v xml:space="preserve">OPERARIO PLUS </v>
      </c>
      <c r="F234" s="212">
        <v>0</v>
      </c>
      <c r="G234" s="213" t="str">
        <f>+_xlfn.XLOOKUP(C234,'BASE DATOS MANO DE OBRA'!A:A,'BASE DATOS MANO DE OBRA'!C:C)</f>
        <v xml:space="preserve">hora </v>
      </c>
      <c r="H234" s="214">
        <v>0</v>
      </c>
      <c r="I234" s="214">
        <f>+_xlfn.XLOOKUP(C234,'BASE DATOS MANO DE OBRA'!A:A,'BASE DATOS MANO DE OBRA'!E:E)</f>
        <v>2850</v>
      </c>
      <c r="J234" s="214">
        <v>0</v>
      </c>
      <c r="K234" s="214">
        <f>+F234*H234</f>
        <v>0</v>
      </c>
      <c r="L234" s="214">
        <f>+F234*I234</f>
        <v>0</v>
      </c>
      <c r="M234" s="214">
        <f>+F234*J234</f>
        <v>0</v>
      </c>
      <c r="N234" s="214">
        <f>SUM(K234:M234)</f>
        <v>0</v>
      </c>
      <c r="O234" s="1086">
        <f>SUM(K234:M234)/tc</f>
        <v>0</v>
      </c>
      <c r="P234" s="171"/>
    </row>
    <row r="235" spans="1:16" x14ac:dyDescent="0.2">
      <c r="A235" s="781"/>
      <c r="B235" s="833">
        <f t="shared" si="189"/>
        <v>1.3</v>
      </c>
      <c r="C235" s="774" t="s">
        <v>37</v>
      </c>
      <c r="D235" s="210"/>
      <c r="E235" s="211" t="str">
        <f>+_xlfn.XLOOKUP(C235,'BASE DATOS MANO DE OBRA'!A:A,'BASE DATOS MANO DE OBRA'!B:B)</f>
        <v xml:space="preserve">AYUDANTE PLUS </v>
      </c>
      <c r="F235" s="212">
        <v>0</v>
      </c>
      <c r="G235" s="213" t="str">
        <f>+_xlfn.XLOOKUP(C235,'BASE DATOS MANO DE OBRA'!A:A,'BASE DATOS MANO DE OBRA'!C:C)</f>
        <v xml:space="preserve">hora </v>
      </c>
      <c r="H235" s="214">
        <v>0</v>
      </c>
      <c r="I235" s="214">
        <f>+_xlfn.XLOOKUP(C235,'BASE DATOS MANO DE OBRA'!A:A,'BASE DATOS MANO DE OBRA'!E:E)</f>
        <v>2325</v>
      </c>
      <c r="J235" s="214">
        <v>0</v>
      </c>
      <c r="K235" s="214">
        <f>+F235*H235</f>
        <v>0</v>
      </c>
      <c r="L235" s="214">
        <f>+F235*I235</f>
        <v>0</v>
      </c>
      <c r="M235" s="214">
        <f>+F235*J235</f>
        <v>0</v>
      </c>
      <c r="N235" s="214">
        <f>SUM(K235:M235)</f>
        <v>0</v>
      </c>
      <c r="O235" s="1086">
        <f>SUM(K235:M235)/tc</f>
        <v>0</v>
      </c>
      <c r="P235" s="171"/>
    </row>
    <row r="236" spans="1:16" x14ac:dyDescent="0.2">
      <c r="A236" s="303"/>
      <c r="B236" s="833">
        <f t="shared" si="189"/>
        <v>1.4</v>
      </c>
      <c r="C236" s="779" t="s">
        <v>76</v>
      </c>
      <c r="D236" s="440"/>
      <c r="E236" s="441" t="s">
        <v>1895</v>
      </c>
      <c r="F236" s="446">
        <v>1</v>
      </c>
      <c r="G236" s="440" t="s">
        <v>271</v>
      </c>
      <c r="H236" s="440"/>
      <c r="I236" s="440"/>
      <c r="J236" s="440"/>
      <c r="K236" s="447">
        <f>+SUBTOTAL(9,K237:K252)</f>
        <v>160643.62929999997</v>
      </c>
      <c r="L236" s="447">
        <f>+SUBTOTAL(9,L237:L252)</f>
        <v>714150</v>
      </c>
      <c r="M236" s="447">
        <f>+SUBTOTAL(9,M237:M252)</f>
        <v>0</v>
      </c>
      <c r="N236" s="447">
        <f>+SUBTOTAL(9,N237:N252)</f>
        <v>874793.62930000003</v>
      </c>
      <c r="O236" s="1081">
        <f>+SUBTOTAL(9,O237:O252)</f>
        <v>1698.6284064077668</v>
      </c>
      <c r="P236" s="171"/>
    </row>
    <row r="237" spans="1:16" s="49" customFormat="1" ht="18.600000000000001" customHeight="1" x14ac:dyDescent="0.2">
      <c r="A237" s="303"/>
      <c r="B237" s="833">
        <f t="shared" si="189"/>
        <v>1.4</v>
      </c>
      <c r="C237" s="770" t="s">
        <v>2054</v>
      </c>
      <c r="D237" s="453"/>
      <c r="E237" s="454" t="s">
        <v>1928</v>
      </c>
      <c r="F237" s="455">
        <v>1</v>
      </c>
      <c r="G237" s="453" t="s">
        <v>29</v>
      </c>
      <c r="H237" s="453"/>
      <c r="I237" s="453"/>
      <c r="J237" s="453"/>
      <c r="K237" s="456">
        <f>+SUBTOTAL(9,K238:K247)</f>
        <v>143392.11139999999</v>
      </c>
      <c r="L237" s="456">
        <f>+SUBTOTAL(9,L238:L247)</f>
        <v>553725</v>
      </c>
      <c r="M237" s="456">
        <f>+SUBTOTAL(9,M238:M247)</f>
        <v>0</v>
      </c>
      <c r="N237" s="456">
        <f>+SUBTOTAL(9,N238:N247)</f>
        <v>697117.11140000005</v>
      </c>
      <c r="O237" s="1082">
        <f>+SUBTOTAL(9,O238:O247)</f>
        <v>1353.625459029126</v>
      </c>
      <c r="P237" s="416"/>
    </row>
    <row r="238" spans="1:16" x14ac:dyDescent="0.2">
      <c r="A238" s="303"/>
      <c r="B238" s="833">
        <f t="shared" si="189"/>
        <v>1.4</v>
      </c>
      <c r="C238" s="120" t="s">
        <v>3128</v>
      </c>
      <c r="D238" s="838"/>
      <c r="E238" s="161" t="str">
        <f>+_xlfn.XLOOKUP(C238,'BASE DATOS PRECIOS '!B:B,'BASE DATOS PRECIOS '!E:E)</f>
        <v>HOJALATERIA 60cm</v>
      </c>
      <c r="F238" s="162">
        <f>+ROUNDUP('1_OG y 2_ACA'!D1009,0)</f>
        <v>57</v>
      </c>
      <c r="G238" s="175" t="str">
        <f>+_xlfn.XLOOKUP(C238,'BASE DATOS PRECIOS '!B:B,'BASE DATOS PRECIOS '!F:F)</f>
        <v>M</v>
      </c>
      <c r="H238" s="176">
        <f>+_xlfn.XLOOKUP(E238,'BASE DATOS PRECIOS '!E:E,'BASE DATOS PRECIOS '!H:H)</f>
        <v>2045.2999999999997</v>
      </c>
      <c r="I238" s="175"/>
      <c r="J238" s="175"/>
      <c r="K238" s="176">
        <f t="shared" ref="K238:K247" si="196">+F238*H238</f>
        <v>116582.09999999999</v>
      </c>
      <c r="L238" s="176">
        <f t="shared" ref="L238:L247" si="197">+F238*I238</f>
        <v>0</v>
      </c>
      <c r="M238" s="176">
        <f t="shared" ref="M238:M247" si="198">+F238*J238</f>
        <v>0</v>
      </c>
      <c r="N238" s="176">
        <f t="shared" ref="N238:N247" si="199">SUM(K238:M238)</f>
        <v>116582.09999999999</v>
      </c>
      <c r="O238" s="1083">
        <f t="shared" ref="O238:O247" si="200">SUM(K238:M238)/tc</f>
        <v>226.37300970873784</v>
      </c>
      <c r="P238" s="171"/>
    </row>
    <row r="239" spans="1:16" x14ac:dyDescent="0.2">
      <c r="A239" s="303"/>
      <c r="B239" s="833">
        <f t="shared" si="189"/>
        <v>1.4</v>
      </c>
      <c r="C239" s="303" t="s">
        <v>2208</v>
      </c>
      <c r="D239" s="822"/>
      <c r="E239" s="161" t="str">
        <f>+_xlfn.XLOOKUP(C239,'BASE DATOS PRECIOS '!B:B,'BASE DATOS PRECIOS '!E:E)</f>
        <v>TORNILLO TORLAK 1" PTA BROCA</v>
      </c>
      <c r="F239" s="162">
        <f>+'1_OG y 2_ACA'!D1011</f>
        <v>600</v>
      </c>
      <c r="G239" s="175" t="str">
        <f>+_xlfn.XLOOKUP(C239,'BASE DATOS PRECIOS '!B:B,'BASE DATOS PRECIOS '!F:F)</f>
        <v>UND</v>
      </c>
      <c r="H239" s="176">
        <f>+_xlfn.XLOOKUP(E239,'BASE DATOS PRECIOS '!E:E,'BASE DATOS PRECIOS '!H:H)</f>
        <v>5.8759999999999994</v>
      </c>
      <c r="I239" s="175"/>
      <c r="J239" s="175"/>
      <c r="K239" s="176">
        <f t="shared" si="196"/>
        <v>3525.5999999999995</v>
      </c>
      <c r="L239" s="176">
        <f t="shared" si="197"/>
        <v>0</v>
      </c>
      <c r="M239" s="176">
        <f t="shared" si="198"/>
        <v>0</v>
      </c>
      <c r="N239" s="176">
        <f t="shared" si="199"/>
        <v>3525.5999999999995</v>
      </c>
      <c r="O239" s="1083">
        <f t="shared" si="200"/>
        <v>6.8458252427184458</v>
      </c>
      <c r="P239" s="171"/>
    </row>
    <row r="240" spans="1:16" x14ac:dyDescent="0.2">
      <c r="A240" s="303"/>
      <c r="B240" s="833">
        <f t="shared" si="189"/>
        <v>1.4</v>
      </c>
      <c r="C240" s="784" t="s">
        <v>2403</v>
      </c>
      <c r="D240" s="795"/>
      <c r="E240" s="161" t="str">
        <f>+_xlfn.XLOOKUP(C240,'BASE DATOS PRECIOS '!B:B,'BASE DATOS PRECIOS '!E:E)</f>
        <v>PLATINA HN 3/4X1/8</v>
      </c>
      <c r="F240" s="174">
        <f>+'1_OG y 2_ACA'!D1010</f>
        <v>1</v>
      </c>
      <c r="G240" s="184" t="str">
        <f>+_xlfn.XLOOKUP(C240,'BASE DATOS PRECIOS '!B:B,'BASE DATOS PRECIOS '!F:F)</f>
        <v>UND</v>
      </c>
      <c r="H240" s="176">
        <f>+_xlfn.XLOOKUP(E240,'BASE DATOS PRECIOS '!E:E,'BASE DATOS PRECIOS '!H:H)</f>
        <v>1747.8613999999998</v>
      </c>
      <c r="I240" s="184"/>
      <c r="J240" s="184"/>
      <c r="K240" s="185">
        <f t="shared" si="196"/>
        <v>1747.8613999999998</v>
      </c>
      <c r="L240" s="185">
        <f t="shared" si="197"/>
        <v>0</v>
      </c>
      <c r="M240" s="185">
        <f t="shared" si="198"/>
        <v>0</v>
      </c>
      <c r="N240" s="185">
        <f t="shared" si="199"/>
        <v>1747.8613999999998</v>
      </c>
      <c r="O240" s="1088">
        <f t="shared" si="200"/>
        <v>3.3939056310679607</v>
      </c>
      <c r="P240" s="171"/>
    </row>
    <row r="241" spans="1:16" x14ac:dyDescent="0.2">
      <c r="A241" s="303"/>
      <c r="B241" s="833">
        <f t="shared" si="189"/>
        <v>1.4</v>
      </c>
      <c r="C241" s="303" t="s">
        <v>2130</v>
      </c>
      <c r="D241" s="822"/>
      <c r="E241" s="161" t="str">
        <f>+_xlfn.XLOOKUP(C241,'BASE DATOS PRECIOS '!B:B,'BASE DATOS PRECIOS '!E:E)</f>
        <v>SIKAFLEX 1A PLUS</v>
      </c>
      <c r="F241" s="174">
        <f>+'1_OG y 2_ACA'!D1012</f>
        <v>5</v>
      </c>
      <c r="G241" s="184" t="str">
        <f>+_xlfn.XLOOKUP(C241,'BASE DATOS PRECIOS '!B:B,'BASE DATOS PRECIOS '!F:F)</f>
        <v>UND</v>
      </c>
      <c r="H241" s="176">
        <f>+_xlfn.XLOOKUP(E241,'BASE DATOS PRECIOS '!E:E,'BASE DATOS PRECIOS '!G:G)</f>
        <v>4307.3100000000004</v>
      </c>
      <c r="I241" s="184"/>
      <c r="J241" s="184"/>
      <c r="K241" s="185">
        <f t="shared" si="196"/>
        <v>21536.550000000003</v>
      </c>
      <c r="L241" s="185">
        <f t="shared" si="197"/>
        <v>0</v>
      </c>
      <c r="M241" s="185">
        <f t="shared" si="198"/>
        <v>0</v>
      </c>
      <c r="N241" s="185">
        <f t="shared" si="199"/>
        <v>21536.550000000003</v>
      </c>
      <c r="O241" s="1088">
        <f t="shared" si="200"/>
        <v>41.818543689320393</v>
      </c>
      <c r="P241" s="171"/>
    </row>
    <row r="242" spans="1:16" x14ac:dyDescent="0.2">
      <c r="A242" s="1077" t="s">
        <v>3504</v>
      </c>
      <c r="B242" s="833">
        <f t="shared" si="189"/>
        <v>1.4</v>
      </c>
      <c r="C242" s="774" t="s">
        <v>36</v>
      </c>
      <c r="D242" s="210"/>
      <c r="E242" s="211" t="str">
        <f>+_xlfn.XLOOKUP(C242,'BASE DATOS MANO DE OBRA'!A:A,'BASE DATOS MANO DE OBRA'!B:B)</f>
        <v xml:space="preserve">OPERARIO PLUS </v>
      </c>
      <c r="F242" s="212">
        <f>+ROUNDUP(('1_OG y 2_ACA'!F1015+'1_OG y 2_ACA'!F1020),0)/2</f>
        <v>48.5</v>
      </c>
      <c r="G242" s="213" t="str">
        <f>+_xlfn.XLOOKUP(C242,'BASE DATOS MANO DE OBRA'!A:A,'BASE DATOS MANO DE OBRA'!C:C)</f>
        <v xml:space="preserve">hora </v>
      </c>
      <c r="H242" s="214">
        <v>0</v>
      </c>
      <c r="I242" s="214">
        <f>+_xlfn.XLOOKUP(C242,'BASE DATOS MANO DE OBRA'!A:A,'BASE DATOS MANO DE OBRA'!E:E)</f>
        <v>2850</v>
      </c>
      <c r="J242" s="214">
        <v>0</v>
      </c>
      <c r="K242" s="214">
        <f t="shared" si="196"/>
        <v>0</v>
      </c>
      <c r="L242" s="214">
        <f t="shared" si="197"/>
        <v>138225</v>
      </c>
      <c r="M242" s="214">
        <f t="shared" si="198"/>
        <v>0</v>
      </c>
      <c r="N242" s="214">
        <f t="shared" si="199"/>
        <v>138225</v>
      </c>
      <c r="O242" s="1086">
        <f t="shared" si="200"/>
        <v>268.39805825242718</v>
      </c>
      <c r="P242" s="171"/>
    </row>
    <row r="243" spans="1:16" x14ac:dyDescent="0.2">
      <c r="A243" s="1077" t="s">
        <v>3504</v>
      </c>
      <c r="B243" s="833">
        <f t="shared" si="189"/>
        <v>1.4</v>
      </c>
      <c r="C243" s="774" t="s">
        <v>37</v>
      </c>
      <c r="D243" s="210"/>
      <c r="E243" s="211" t="str">
        <f>+_xlfn.XLOOKUP(C243,'BASE DATOS MANO DE OBRA'!A:A,'BASE DATOS MANO DE OBRA'!B:B)</f>
        <v xml:space="preserve">AYUDANTE PLUS </v>
      </c>
      <c r="F243" s="212">
        <f>+F242</f>
        <v>48.5</v>
      </c>
      <c r="G243" s="213" t="str">
        <f>+_xlfn.XLOOKUP(C243,'BASE DATOS MANO DE OBRA'!A:A,'BASE DATOS MANO DE OBRA'!C:C)</f>
        <v xml:space="preserve">hora </v>
      </c>
      <c r="H243" s="214">
        <v>0</v>
      </c>
      <c r="I243" s="214">
        <f>+_xlfn.XLOOKUP(C243,'BASE DATOS MANO DE OBRA'!A:A,'BASE DATOS MANO DE OBRA'!E:E)</f>
        <v>2325</v>
      </c>
      <c r="J243" s="214">
        <v>0</v>
      </c>
      <c r="K243" s="214">
        <f t="shared" si="196"/>
        <v>0</v>
      </c>
      <c r="L243" s="214">
        <f t="shared" si="197"/>
        <v>112762.5</v>
      </c>
      <c r="M243" s="214">
        <f t="shared" si="198"/>
        <v>0</v>
      </c>
      <c r="N243" s="214">
        <f t="shared" si="199"/>
        <v>112762.5</v>
      </c>
      <c r="O243" s="1086">
        <f t="shared" si="200"/>
        <v>218.95631067961165</v>
      </c>
      <c r="P243" s="171"/>
    </row>
    <row r="244" spans="1:16" x14ac:dyDescent="0.2">
      <c r="A244" s="1077" t="s">
        <v>3504</v>
      </c>
      <c r="B244" s="833">
        <f t="shared" si="189"/>
        <v>1.4</v>
      </c>
      <c r="C244" s="774" t="s">
        <v>36</v>
      </c>
      <c r="D244" s="210"/>
      <c r="E244" s="211" t="str">
        <f>+_xlfn.XLOOKUP(C244,'BASE DATOS MANO DE OBRA'!A:A,'BASE DATOS MANO DE OBRA'!B:B)</f>
        <v xml:space="preserve">OPERARIO PLUS </v>
      </c>
      <c r="F244" s="212">
        <f>+ROUNDUP(('1_OG y 2_ACA'!F1016+'1_OG y 2_ACA'!F1021),0)/2</f>
        <v>58.5</v>
      </c>
      <c r="G244" s="213" t="str">
        <f>+_xlfn.XLOOKUP(C244,'BASE DATOS MANO DE OBRA'!A:A,'BASE DATOS MANO DE OBRA'!C:C)</f>
        <v xml:space="preserve">hora </v>
      </c>
      <c r="H244" s="214">
        <v>0</v>
      </c>
      <c r="I244" s="214">
        <f>+_xlfn.XLOOKUP(C244,'BASE DATOS MANO DE OBRA'!A:A,'BASE DATOS MANO DE OBRA'!E:E)</f>
        <v>2850</v>
      </c>
      <c r="J244" s="214">
        <v>0</v>
      </c>
      <c r="K244" s="214">
        <f t="shared" si="196"/>
        <v>0</v>
      </c>
      <c r="L244" s="214">
        <f t="shared" si="197"/>
        <v>166725</v>
      </c>
      <c r="M244" s="214">
        <f t="shared" si="198"/>
        <v>0</v>
      </c>
      <c r="N244" s="214">
        <f t="shared" si="199"/>
        <v>166725</v>
      </c>
      <c r="O244" s="1086">
        <f t="shared" si="200"/>
        <v>323.73786407766988</v>
      </c>
      <c r="P244" s="171"/>
    </row>
    <row r="245" spans="1:16" x14ac:dyDescent="0.2">
      <c r="A245" s="1077" t="s">
        <v>3504</v>
      </c>
      <c r="B245" s="833">
        <f t="shared" si="189"/>
        <v>1.4</v>
      </c>
      <c r="C245" s="774" t="s">
        <v>37</v>
      </c>
      <c r="D245" s="210"/>
      <c r="E245" s="211" t="str">
        <f>+_xlfn.XLOOKUP(C245,'BASE DATOS MANO DE OBRA'!A:A,'BASE DATOS MANO DE OBRA'!B:B)</f>
        <v xml:space="preserve">AYUDANTE PLUS </v>
      </c>
      <c r="F245" s="212">
        <f>+F244</f>
        <v>58.5</v>
      </c>
      <c r="G245" s="213" t="str">
        <f>+_xlfn.XLOOKUP(C245,'BASE DATOS MANO DE OBRA'!A:A,'BASE DATOS MANO DE OBRA'!C:C)</f>
        <v xml:space="preserve">hora </v>
      </c>
      <c r="H245" s="214">
        <v>0</v>
      </c>
      <c r="I245" s="214">
        <f>+_xlfn.XLOOKUP(C245,'BASE DATOS MANO DE OBRA'!A:A,'BASE DATOS MANO DE OBRA'!E:E)</f>
        <v>2325</v>
      </c>
      <c r="J245" s="214">
        <v>0</v>
      </c>
      <c r="K245" s="214">
        <f t="shared" si="196"/>
        <v>0</v>
      </c>
      <c r="L245" s="214">
        <f t="shared" si="197"/>
        <v>136012.5</v>
      </c>
      <c r="M245" s="214">
        <f t="shared" si="198"/>
        <v>0</v>
      </c>
      <c r="N245" s="214">
        <f t="shared" si="199"/>
        <v>136012.5</v>
      </c>
      <c r="O245" s="1086">
        <f t="shared" si="200"/>
        <v>264.10194174757282</v>
      </c>
      <c r="P245" s="171"/>
    </row>
    <row r="246" spans="1:16" x14ac:dyDescent="0.2">
      <c r="A246" s="303"/>
      <c r="B246" s="833">
        <f t="shared" si="189"/>
        <v>1.4</v>
      </c>
      <c r="C246" s="774" t="s">
        <v>36</v>
      </c>
      <c r="D246" s="210"/>
      <c r="E246" s="211" t="str">
        <f>+_xlfn.XLOOKUP(C246,'BASE DATOS MANO DE OBRA'!A:A,'BASE DATOS MANO DE OBRA'!B:B)</f>
        <v xml:space="preserve">OPERARIO PLUS </v>
      </c>
      <c r="F246" s="212">
        <v>0</v>
      </c>
      <c r="G246" s="213" t="str">
        <f>+_xlfn.XLOOKUP(C246,'BASE DATOS MANO DE OBRA'!A:A,'BASE DATOS MANO DE OBRA'!C:C)</f>
        <v xml:space="preserve">hora </v>
      </c>
      <c r="H246" s="214">
        <v>0</v>
      </c>
      <c r="I246" s="214">
        <f>+_xlfn.XLOOKUP(C246,'BASE DATOS MANO DE OBRA'!A:A,'BASE DATOS MANO DE OBRA'!E:E)</f>
        <v>2850</v>
      </c>
      <c r="J246" s="214">
        <v>0</v>
      </c>
      <c r="K246" s="214">
        <f t="shared" si="196"/>
        <v>0</v>
      </c>
      <c r="L246" s="214">
        <f t="shared" si="197"/>
        <v>0</v>
      </c>
      <c r="M246" s="214">
        <f t="shared" si="198"/>
        <v>0</v>
      </c>
      <c r="N246" s="214">
        <f t="shared" si="199"/>
        <v>0</v>
      </c>
      <c r="O246" s="1086">
        <f t="shared" si="200"/>
        <v>0</v>
      </c>
      <c r="P246" s="171"/>
    </row>
    <row r="247" spans="1:16" x14ac:dyDescent="0.2">
      <c r="A247" s="303"/>
      <c r="B247" s="833">
        <f t="shared" si="189"/>
        <v>1.4</v>
      </c>
      <c r="C247" s="774" t="s">
        <v>37</v>
      </c>
      <c r="D247" s="210"/>
      <c r="E247" s="211" t="str">
        <f>+_xlfn.XLOOKUP(C247,'BASE DATOS MANO DE OBRA'!A:A,'BASE DATOS MANO DE OBRA'!B:B)</f>
        <v xml:space="preserve">AYUDANTE PLUS </v>
      </c>
      <c r="F247" s="212">
        <v>0</v>
      </c>
      <c r="G247" s="213" t="str">
        <f>+_xlfn.XLOOKUP(C247,'BASE DATOS MANO DE OBRA'!A:A,'BASE DATOS MANO DE OBRA'!C:C)</f>
        <v xml:space="preserve">hora </v>
      </c>
      <c r="H247" s="214">
        <v>0</v>
      </c>
      <c r="I247" s="214">
        <f>+_xlfn.XLOOKUP(C247,'BASE DATOS MANO DE OBRA'!A:A,'BASE DATOS MANO DE OBRA'!E:E)</f>
        <v>2325</v>
      </c>
      <c r="J247" s="214">
        <v>0</v>
      </c>
      <c r="K247" s="214">
        <f t="shared" si="196"/>
        <v>0</v>
      </c>
      <c r="L247" s="214">
        <f t="shared" si="197"/>
        <v>0</v>
      </c>
      <c r="M247" s="214">
        <f t="shared" si="198"/>
        <v>0</v>
      </c>
      <c r="N247" s="214">
        <f t="shared" si="199"/>
        <v>0</v>
      </c>
      <c r="O247" s="1086">
        <f t="shared" si="200"/>
        <v>0</v>
      </c>
      <c r="P247" s="171"/>
    </row>
    <row r="248" spans="1:16" s="49" customFormat="1" ht="18.600000000000001" customHeight="1" x14ac:dyDescent="0.2">
      <c r="A248" s="1078"/>
      <c r="B248" s="833">
        <f t="shared" si="189"/>
        <v>1.4</v>
      </c>
      <c r="C248" s="770" t="s">
        <v>2055</v>
      </c>
      <c r="D248" s="453"/>
      <c r="E248" s="454" t="s">
        <v>244</v>
      </c>
      <c r="F248" s="455">
        <v>1</v>
      </c>
      <c r="G248" s="453" t="s">
        <v>29</v>
      </c>
      <c r="H248" s="453"/>
      <c r="I248" s="453"/>
      <c r="J248" s="453"/>
      <c r="K248" s="456">
        <f>+SUBTOTAL(9,K249:K252)</f>
        <v>17251.517899999995</v>
      </c>
      <c r="L248" s="456">
        <f>+SUBTOTAL(9,L249:L252)</f>
        <v>160425</v>
      </c>
      <c r="M248" s="456">
        <f>+SUBTOTAL(9,M249:M252)</f>
        <v>0</v>
      </c>
      <c r="N248" s="456">
        <f>+SUBTOTAL(9,N249:N252)</f>
        <v>177676.51789999998</v>
      </c>
      <c r="O248" s="1082">
        <f>+SUBTOTAL(9,O249:O252)</f>
        <v>345.00294737864078</v>
      </c>
      <c r="P248" s="416"/>
    </row>
    <row r="249" spans="1:16" x14ac:dyDescent="0.2">
      <c r="A249" s="303"/>
      <c r="B249" s="833">
        <f t="shared" si="189"/>
        <v>1.4</v>
      </c>
      <c r="C249" s="785" t="s">
        <v>3130</v>
      </c>
      <c r="D249" s="839"/>
      <c r="E249" s="161" t="str">
        <f>+_xlfn.XLOOKUP(C249,'BASE DATOS PRECIOS '!B:B,'BASE DATOS PRECIOS '!E:E)</f>
        <v>PLATINA HN 1/8"X 1 1/2</v>
      </c>
      <c r="F249" s="174">
        <f>+'1_OG y 2_ACA'!D1027</f>
        <v>1</v>
      </c>
      <c r="G249" s="175" t="str">
        <f>+_xlfn.XLOOKUP(C249,'BASE DATOS PRECIOS '!B:B,'BASE DATOS PRECIOS '!F:F)</f>
        <v>UND</v>
      </c>
      <c r="H249" s="176">
        <f>+_xlfn.XLOOKUP(E249,'BASE DATOS PRECIOS '!E:E,'BASE DATOS PRECIOS '!H:H)</f>
        <v>3799.9978999999994</v>
      </c>
      <c r="I249" s="175"/>
      <c r="J249" s="175"/>
      <c r="K249" s="176">
        <f t="shared" ref="K249:K252" si="201">+F249*H249</f>
        <v>3799.9978999999994</v>
      </c>
      <c r="L249" s="176">
        <f t="shared" ref="L249:L252" si="202">+F249*I249</f>
        <v>0</v>
      </c>
      <c r="M249" s="176">
        <f t="shared" ref="M249:M252" si="203">+F249*J249</f>
        <v>0</v>
      </c>
      <c r="N249" s="176">
        <f t="shared" ref="N249:N252" si="204">SUM(K249:M249)</f>
        <v>3799.9978999999994</v>
      </c>
      <c r="O249" s="1083">
        <f t="shared" ref="O249:O252" si="205">SUM(K249:M249)/tc</f>
        <v>7.3786366990291254</v>
      </c>
      <c r="P249" s="171"/>
    </row>
    <row r="250" spans="1:16" x14ac:dyDescent="0.2">
      <c r="A250" s="303"/>
      <c r="B250" s="833">
        <f t="shared" si="189"/>
        <v>1.4</v>
      </c>
      <c r="C250" s="785" t="s">
        <v>3126</v>
      </c>
      <c r="D250" s="839"/>
      <c r="E250" s="161" t="str">
        <f>+_xlfn.XLOOKUP(C250,'BASE DATOS PRECIOS '!B:B,'BASE DATOS PRECIOS '!E:E)</f>
        <v>HOJALATERIA 30cm</v>
      </c>
      <c r="F250" s="174">
        <f>+'1_OG y 2_ACA'!D1028</f>
        <v>12</v>
      </c>
      <c r="G250" s="175" t="str">
        <f>+_xlfn.XLOOKUP(C250,'BASE DATOS PRECIOS '!B:B,'BASE DATOS PRECIOS '!F:F)</f>
        <v>M</v>
      </c>
      <c r="H250" s="176">
        <f>+_xlfn.XLOOKUP(E250,'BASE DATOS PRECIOS '!E:E,'BASE DATOS PRECIOS '!H:H)</f>
        <v>1120.9599999999998</v>
      </c>
      <c r="I250" s="175"/>
      <c r="J250" s="175"/>
      <c r="K250" s="176">
        <f t="shared" si="201"/>
        <v>13451.519999999997</v>
      </c>
      <c r="L250" s="176">
        <f t="shared" si="202"/>
        <v>0</v>
      </c>
      <c r="M250" s="176">
        <f t="shared" si="203"/>
        <v>0</v>
      </c>
      <c r="N250" s="176">
        <f t="shared" si="204"/>
        <v>13451.519999999997</v>
      </c>
      <c r="O250" s="1083">
        <f t="shared" si="205"/>
        <v>26.119456310679606</v>
      </c>
      <c r="P250" s="171"/>
    </row>
    <row r="251" spans="1:16" x14ac:dyDescent="0.2">
      <c r="A251" s="1075" t="s">
        <v>1841</v>
      </c>
      <c r="B251" s="833">
        <f t="shared" si="189"/>
        <v>1.4</v>
      </c>
      <c r="C251" s="774" t="s">
        <v>36</v>
      </c>
      <c r="D251" s="210"/>
      <c r="E251" s="211" t="str">
        <f>+_xlfn.XLOOKUP(C251,'BASE DATOS MANO DE OBRA'!A:A,'BASE DATOS MANO DE OBRA'!B:B)</f>
        <v xml:space="preserve">OPERARIO PLUS </v>
      </c>
      <c r="F251" s="212">
        <f>ROUND('1_OG y 2_ACA'!F1033,0)/2</f>
        <v>31</v>
      </c>
      <c r="G251" s="213" t="str">
        <f>+_xlfn.XLOOKUP(C251,'BASE DATOS MANO DE OBRA'!A:A,'BASE DATOS MANO DE OBRA'!C:C)</f>
        <v xml:space="preserve">hora </v>
      </c>
      <c r="H251" s="214">
        <v>0</v>
      </c>
      <c r="I251" s="214">
        <f>+_xlfn.XLOOKUP(C251,'BASE DATOS MANO DE OBRA'!A:A,'BASE DATOS MANO DE OBRA'!E:E)</f>
        <v>2850</v>
      </c>
      <c r="J251" s="214">
        <v>0</v>
      </c>
      <c r="K251" s="214">
        <f t="shared" si="201"/>
        <v>0</v>
      </c>
      <c r="L251" s="214">
        <f t="shared" si="202"/>
        <v>88350</v>
      </c>
      <c r="M251" s="214">
        <f t="shared" si="203"/>
        <v>0</v>
      </c>
      <c r="N251" s="214">
        <f t="shared" si="204"/>
        <v>88350</v>
      </c>
      <c r="O251" s="1086">
        <f t="shared" si="205"/>
        <v>171.55339805825244</v>
      </c>
      <c r="P251" s="171"/>
    </row>
    <row r="252" spans="1:16" x14ac:dyDescent="0.2">
      <c r="A252" s="1075" t="s">
        <v>1841</v>
      </c>
      <c r="B252" s="833">
        <f t="shared" si="189"/>
        <v>1.4</v>
      </c>
      <c r="C252" s="774" t="s">
        <v>37</v>
      </c>
      <c r="D252" s="210"/>
      <c r="E252" s="211" t="str">
        <f>+_xlfn.XLOOKUP(C252,'BASE DATOS MANO DE OBRA'!A:A,'BASE DATOS MANO DE OBRA'!B:B)</f>
        <v xml:space="preserve">AYUDANTE PLUS </v>
      </c>
      <c r="F252" s="212">
        <f>+F251</f>
        <v>31</v>
      </c>
      <c r="G252" s="213" t="str">
        <f>+_xlfn.XLOOKUP(C252,'BASE DATOS MANO DE OBRA'!A:A,'BASE DATOS MANO DE OBRA'!C:C)</f>
        <v xml:space="preserve">hora </v>
      </c>
      <c r="H252" s="214">
        <v>0</v>
      </c>
      <c r="I252" s="214">
        <f>+_xlfn.XLOOKUP(C252,'BASE DATOS MANO DE OBRA'!A:A,'BASE DATOS MANO DE OBRA'!E:E)</f>
        <v>2325</v>
      </c>
      <c r="J252" s="214">
        <v>0</v>
      </c>
      <c r="K252" s="214">
        <f t="shared" si="201"/>
        <v>0</v>
      </c>
      <c r="L252" s="214">
        <f t="shared" si="202"/>
        <v>72075</v>
      </c>
      <c r="M252" s="214">
        <f t="shared" si="203"/>
        <v>0</v>
      </c>
      <c r="N252" s="214">
        <f t="shared" si="204"/>
        <v>72075</v>
      </c>
      <c r="O252" s="1086">
        <f t="shared" si="205"/>
        <v>139.95145631067962</v>
      </c>
      <c r="P252" s="171"/>
    </row>
    <row r="253" spans="1:16" x14ac:dyDescent="0.2">
      <c r="A253" s="303"/>
      <c r="B253" s="833">
        <f t="shared" si="189"/>
        <v>1.5</v>
      </c>
      <c r="C253" s="779" t="s">
        <v>3484</v>
      </c>
      <c r="D253" s="440"/>
      <c r="E253" s="441" t="s">
        <v>1898</v>
      </c>
      <c r="F253" s="446">
        <v>1</v>
      </c>
      <c r="G253" s="440" t="s">
        <v>271</v>
      </c>
      <c r="H253" s="440"/>
      <c r="I253" s="440"/>
      <c r="J253" s="440"/>
      <c r="K253" s="447">
        <f>+SUBTOTAL(9,K254:K321)</f>
        <v>1686958.0773009292</v>
      </c>
      <c r="L253" s="447">
        <f>+SUBTOTAL(9,L254:L321)</f>
        <v>1609425</v>
      </c>
      <c r="M253" s="447">
        <f>+SUBTOTAL(9,M254:M321)</f>
        <v>59260.200000000004</v>
      </c>
      <c r="N253" s="447">
        <f>+SUBTOTAL(9,N254:N321)</f>
        <v>3355643.2773009287</v>
      </c>
      <c r="O253" s="1081">
        <f>+SUBTOTAL(9,O254:O321)</f>
        <v>6515.8121889338418</v>
      </c>
      <c r="P253" s="171"/>
    </row>
    <row r="254" spans="1:16" s="49" customFormat="1" ht="18.600000000000001" customHeight="1" x14ac:dyDescent="0.2">
      <c r="A254" s="303"/>
      <c r="B254" s="833">
        <f t="shared" si="189"/>
        <v>1.5</v>
      </c>
      <c r="C254" s="770" t="s">
        <v>2056</v>
      </c>
      <c r="D254" s="453"/>
      <c r="E254" s="454" t="s">
        <v>133</v>
      </c>
      <c r="F254" s="455">
        <v>1</v>
      </c>
      <c r="G254" s="453" t="s">
        <v>29</v>
      </c>
      <c r="H254" s="453"/>
      <c r="I254" s="453"/>
      <c r="J254" s="453"/>
      <c r="K254" s="456">
        <f>+SUBTOTAL(9,K255:K268)</f>
        <v>341339.456897392</v>
      </c>
      <c r="L254" s="456">
        <f>+SUBTOTAL(9,L255:L268)</f>
        <v>543375</v>
      </c>
      <c r="M254" s="456">
        <f>+SUBTOTAL(9,M255:M268)</f>
        <v>44260.200000000004</v>
      </c>
      <c r="N254" s="456">
        <f>+SUBTOTAL(9,N255:N268)</f>
        <v>928974.65689739201</v>
      </c>
      <c r="O254" s="1082">
        <f>+SUBTOTAL(9,O255:O268)</f>
        <v>1803.8342852376543</v>
      </c>
      <c r="P254" s="416"/>
    </row>
    <row r="255" spans="1:16" x14ac:dyDescent="0.2">
      <c r="A255" s="303"/>
      <c r="B255" s="833">
        <f t="shared" si="189"/>
        <v>1.5</v>
      </c>
      <c r="C255" s="775" t="s">
        <v>1918</v>
      </c>
      <c r="D255" s="834" t="s">
        <v>109</v>
      </c>
      <c r="E255" s="161" t="s">
        <v>3502</v>
      </c>
      <c r="F255" s="162">
        <f>+'1_OG y 2_ACA'!D1090</f>
        <v>71</v>
      </c>
      <c r="G255" s="165" t="str">
        <f>+_xlfn.XLOOKUP(C255,'BASE DATOS PRECIOS '!B:B,'BASE DATOS PRECIOS '!F:F)</f>
        <v>UND</v>
      </c>
      <c r="H255" s="164">
        <f>+_xlfn.XLOOKUP(E255,'BASE DATOS PRECIOS '!E:E,'BASE DATOS PRECIOS '!H:H)</f>
        <v>1344.6999999999998</v>
      </c>
      <c r="I255" s="165"/>
      <c r="J255" s="165"/>
      <c r="K255" s="164">
        <f t="shared" ref="K255:K268" si="206">+F255*H255</f>
        <v>95473.699999999983</v>
      </c>
      <c r="L255" s="164">
        <f t="shared" ref="L255:L268" si="207">+F255*I255</f>
        <v>0</v>
      </c>
      <c r="M255" s="164">
        <f t="shared" ref="M255:M268" si="208">+F255*J255</f>
        <v>0</v>
      </c>
      <c r="N255" s="164">
        <f t="shared" ref="N255:N268" si="209">SUM(K255:M255)</f>
        <v>95473.699999999983</v>
      </c>
      <c r="O255" s="1084">
        <f t="shared" ref="O255:O268" si="210">SUM(K255:M255)/tc</f>
        <v>185.38582524271843</v>
      </c>
      <c r="P255" s="769"/>
    </row>
    <row r="256" spans="1:16" x14ac:dyDescent="0.2">
      <c r="A256" s="303"/>
      <c r="B256" s="833">
        <f t="shared" si="189"/>
        <v>1.5</v>
      </c>
      <c r="C256" s="775" t="s">
        <v>1920</v>
      </c>
      <c r="D256" s="823"/>
      <c r="E256" s="161" t="str">
        <f>+_xlfn.XLOOKUP(C256,'BASE DATOS PRECIOS '!B:B,'BASE DATOS PRECIOS '!E:E)</f>
        <v>ALAMBRE NEGRO #16 (1.68MM)</v>
      </c>
      <c r="F256" s="162">
        <f>+'1_OG y 2_ACA'!D1091</f>
        <v>11</v>
      </c>
      <c r="G256" s="165" t="str">
        <f>+_xlfn.XLOOKUP(C256,'BASE DATOS PRECIOS '!B:B,'BASE DATOS PRECIOS '!F:F)</f>
        <v>KG</v>
      </c>
      <c r="H256" s="164">
        <f>+_xlfn.XLOOKUP(E256,'BASE DATOS PRECIOS '!E:E,'BASE DATOS PRECIOS '!H:H)</f>
        <v>586.85419999999999</v>
      </c>
      <c r="I256" s="165"/>
      <c r="J256" s="165"/>
      <c r="K256" s="164">
        <f t="shared" si="206"/>
        <v>6455.3962000000001</v>
      </c>
      <c r="L256" s="164">
        <f t="shared" si="207"/>
        <v>0</v>
      </c>
      <c r="M256" s="164">
        <f t="shared" si="208"/>
        <v>0</v>
      </c>
      <c r="N256" s="164">
        <f t="shared" si="209"/>
        <v>6455.3962000000001</v>
      </c>
      <c r="O256" s="1084">
        <f t="shared" si="210"/>
        <v>12.534749902912621</v>
      </c>
      <c r="P256" s="171"/>
    </row>
    <row r="257" spans="1:26" ht="14.85" customHeight="1" x14ac:dyDescent="0.2">
      <c r="A257" s="303"/>
      <c r="B257" s="833">
        <f t="shared" si="189"/>
        <v>1.5</v>
      </c>
      <c r="C257" s="775" t="s">
        <v>1923</v>
      </c>
      <c r="D257" s="823"/>
      <c r="E257" s="161" t="str">
        <f>+_xlfn.XLOOKUP(C257,'BASE DATOS PRECIOS '!B:B,'BASE DATOS PRECIOS '!E:E)</f>
        <v>DISCO CORTE FINO METAL 4-1/2</v>
      </c>
      <c r="F257" s="162">
        <f>+'1_OG y 2_ACA'!D1092</f>
        <v>1</v>
      </c>
      <c r="G257" s="165" t="str">
        <f>+_xlfn.XLOOKUP(C257,'BASE DATOS PRECIOS '!B:B,'BASE DATOS PRECIOS '!F:F)</f>
        <v>UND</v>
      </c>
      <c r="H257" s="164">
        <f>+_xlfn.XLOOKUP(E257,'BASE DATOS PRECIOS '!E:E,'BASE DATOS PRECIOS '!H:H)</f>
        <v>3661.2</v>
      </c>
      <c r="I257" s="165"/>
      <c r="J257" s="165"/>
      <c r="K257" s="164">
        <f t="shared" si="206"/>
        <v>3661.2</v>
      </c>
      <c r="L257" s="164">
        <f t="shared" si="207"/>
        <v>0</v>
      </c>
      <c r="M257" s="164">
        <f t="shared" si="208"/>
        <v>0</v>
      </c>
      <c r="N257" s="164">
        <f t="shared" si="209"/>
        <v>3661.2</v>
      </c>
      <c r="O257" s="1084">
        <f t="shared" si="210"/>
        <v>7.1091262135922326</v>
      </c>
      <c r="P257" s="171"/>
    </row>
    <row r="258" spans="1:26" x14ac:dyDescent="0.2">
      <c r="A258" s="303"/>
      <c r="B258" s="833">
        <f t="shared" si="189"/>
        <v>1.5</v>
      </c>
      <c r="C258" s="775" t="s">
        <v>1922</v>
      </c>
      <c r="D258" s="823"/>
      <c r="E258" s="161" t="str">
        <f>+_xlfn.XLOOKUP(C258,'BASE DATOS PRECIOS '!B:B,'BASE DATOS PRECIOS '!E:E)</f>
        <v>DISCO CORTE METAL FINO 9"</v>
      </c>
      <c r="F258" s="162">
        <f>+'1_OG y 2_ACA'!D1093</f>
        <v>1</v>
      </c>
      <c r="G258" s="165" t="str">
        <f>+_xlfn.XLOOKUP(C258,'BASE DATOS PRECIOS '!B:B,'BASE DATOS PRECIOS '!F:F)</f>
        <v>UND</v>
      </c>
      <c r="H258" s="164">
        <f>+_xlfn.XLOOKUP(E258,'BASE DATOS PRECIOS '!E:E,'BASE DATOS PRECIOS '!H:H)</f>
        <v>3037.6320999999998</v>
      </c>
      <c r="I258" s="165"/>
      <c r="J258" s="165"/>
      <c r="K258" s="164">
        <f t="shared" si="206"/>
        <v>3037.6320999999998</v>
      </c>
      <c r="L258" s="164">
        <f t="shared" si="207"/>
        <v>0</v>
      </c>
      <c r="M258" s="164">
        <f t="shared" si="208"/>
        <v>0</v>
      </c>
      <c r="N258" s="164">
        <f t="shared" si="209"/>
        <v>3037.6320999999998</v>
      </c>
      <c r="O258" s="1084">
        <f t="shared" si="210"/>
        <v>5.8983147572815531</v>
      </c>
      <c r="P258" s="171"/>
    </row>
    <row r="259" spans="1:26" x14ac:dyDescent="0.2">
      <c r="A259" s="303"/>
      <c r="B259" s="833">
        <f t="shared" ref="B259:B260" si="211">VALUE(IF(AND(LEN(TRIM(C259))-LEN(SUBSTITUTE(TRIM(C259),".",""))=1,ISNUMBER(VALUE(SUBSTITUTE(TRIM(C259),".","")))),TRIM(C259),B258))</f>
        <v>1.5</v>
      </c>
      <c r="C259" s="775" t="s">
        <v>2438</v>
      </c>
      <c r="D259" s="823"/>
      <c r="E259" s="161" t="str">
        <f>+_xlfn.XLOOKUP(C259,'BASE DATOS PRECIOS '!B:B,'BASE DATOS PRECIOS '!E:E)</f>
        <v>CONCRETO FC 210 KG/CM2 NORMAL</v>
      </c>
      <c r="F259" s="162">
        <f>'1_OG y 2_ACA'!D1061</f>
        <v>2.9506800000000002</v>
      </c>
      <c r="G259" s="165" t="str">
        <f>+_xlfn.XLOOKUP(C259,'BASE DATOS PRECIOS '!B:B,'BASE DATOS PRECIOS '!F:F)</f>
        <v>M3</v>
      </c>
      <c r="H259" s="164">
        <f>+_xlfn.XLOOKUP(E259,'BASE DATOS PRECIOS '!E:E,'BASE DATOS PRECIOS '!H:H)</f>
        <v>78867.084399999992</v>
      </c>
      <c r="I259" s="165"/>
      <c r="J259" s="165"/>
      <c r="K259" s="164">
        <f t="shared" ref="K259" si="212">+F259*H259</f>
        <v>232711.528597392</v>
      </c>
      <c r="L259" s="164">
        <f t="shared" ref="L259" si="213">+F259*I259</f>
        <v>0</v>
      </c>
      <c r="M259" s="164">
        <f t="shared" ref="M259" si="214">+F259*J259</f>
        <v>0</v>
      </c>
      <c r="N259" s="164">
        <f t="shared" ref="N259" si="215">SUM(K259:M259)</f>
        <v>232711.528597392</v>
      </c>
      <c r="O259" s="1084">
        <f t="shared" ref="O259" si="216">SUM(K259:M259)/tc</f>
        <v>451.86704582017865</v>
      </c>
      <c r="P259" s="171"/>
    </row>
    <row r="260" spans="1:26" ht="15" customHeight="1" x14ac:dyDescent="0.2">
      <c r="A260" s="303"/>
      <c r="B260" s="833">
        <f t="shared" si="211"/>
        <v>1.5</v>
      </c>
      <c r="C260" s="773" t="s">
        <v>3472</v>
      </c>
      <c r="D260" s="448"/>
      <c r="E260" s="449" t="str">
        <f>+_xlfn.XLOOKUP(C260,'BASE DATOS EQUIPOS Y SUBCONTRAT'!A:A,'BASE DATOS EQUIPOS Y SUBCONTRAT'!B:B)</f>
        <v>BOMBA DE CONCRETO</v>
      </c>
      <c r="F260" s="450">
        <f>F259</f>
        <v>2.9506800000000002</v>
      </c>
      <c r="G260" s="451" t="str">
        <f>+_xlfn.XLOOKUP(C260,'BASE DATOS EQUIPOS Y SUBCONTRAT'!A:A,'BASE DATOS EQUIPOS Y SUBCONTRAT'!C:C)</f>
        <v>M3</v>
      </c>
      <c r="H260" s="452">
        <v>0</v>
      </c>
      <c r="I260" s="451"/>
      <c r="J260" s="452">
        <f>+_xlfn.XLOOKUP(C260,'BASE DATOS EQUIPOS Y SUBCONTRAT'!A:A,'BASE DATOS EQUIPOS Y SUBCONTRAT'!E:E)</f>
        <v>15000</v>
      </c>
      <c r="K260" s="452">
        <f>+F260*H260</f>
        <v>0</v>
      </c>
      <c r="L260" s="452">
        <f>+F260*I260</f>
        <v>0</v>
      </c>
      <c r="M260" s="452">
        <f>+F260*J260</f>
        <v>44260.200000000004</v>
      </c>
      <c r="N260" s="452">
        <f>SUM(K260:M260)</f>
        <v>44260.200000000004</v>
      </c>
      <c r="O260" s="1085">
        <f>SUM(K260:M260)/tc</f>
        <v>85.94213592233011</v>
      </c>
      <c r="V260" s="157">
        <f>+C345</f>
        <v>0</v>
      </c>
      <c r="W260" s="157" t="str">
        <f>+E345</f>
        <v xml:space="preserve">PARED PATIO </v>
      </c>
      <c r="X260" s="712">
        <f>+L345</f>
        <v>0</v>
      </c>
      <c r="Y260" s="715">
        <f>+X260/$X$50</f>
        <v>0</v>
      </c>
      <c r="Z260" s="711">
        <f t="shared" ref="Z260" si="217">+X260/$Z$7</f>
        <v>0</v>
      </c>
    </row>
    <row r="261" spans="1:26" x14ac:dyDescent="0.2">
      <c r="A261" s="1075" t="s">
        <v>2986</v>
      </c>
      <c r="B261" s="833">
        <f>VALUE(IF(AND(LEN(TRIM(C261))-LEN(SUBSTITUTE(TRIM(C261),".",""))=1,ISNUMBER(VALUE(SUBSTITUTE(TRIM(C261),".","")))),TRIM(C261),B260))</f>
        <v>1.5</v>
      </c>
      <c r="C261" s="774" t="s">
        <v>36</v>
      </c>
      <c r="D261" s="210"/>
      <c r="E261" s="211" t="str">
        <f>+_xlfn.XLOOKUP(C261,'BASE DATOS MANO DE OBRA'!A:A,'BASE DATOS MANO DE OBRA'!B:B)</f>
        <v xml:space="preserve">OPERARIO PLUS </v>
      </c>
      <c r="F261" s="212">
        <f>+ROUNDUP('1_OG y 2_ACA'!F1097,0)/2</f>
        <v>65.5</v>
      </c>
      <c r="G261" s="213" t="str">
        <f>+_xlfn.XLOOKUP(C261,'BASE DATOS MANO DE OBRA'!A:A,'BASE DATOS MANO DE OBRA'!C:C)</f>
        <v xml:space="preserve">hora </v>
      </c>
      <c r="H261" s="214">
        <v>0</v>
      </c>
      <c r="I261" s="214">
        <f>+_xlfn.XLOOKUP(C261,'BASE DATOS MANO DE OBRA'!A:A,'BASE DATOS MANO DE OBRA'!E:E)</f>
        <v>2850</v>
      </c>
      <c r="J261" s="214">
        <v>0</v>
      </c>
      <c r="K261" s="214">
        <f t="shared" si="206"/>
        <v>0</v>
      </c>
      <c r="L261" s="214">
        <f t="shared" si="207"/>
        <v>186675</v>
      </c>
      <c r="M261" s="214">
        <f t="shared" si="208"/>
        <v>0</v>
      </c>
      <c r="N261" s="214">
        <f t="shared" si="209"/>
        <v>186675</v>
      </c>
      <c r="O261" s="1086">
        <f t="shared" si="210"/>
        <v>362.47572815533982</v>
      </c>
      <c r="P261" s="171"/>
    </row>
    <row r="262" spans="1:26" x14ac:dyDescent="0.2">
      <c r="A262" s="1075" t="s">
        <v>2986</v>
      </c>
      <c r="B262" s="833">
        <f t="shared" si="189"/>
        <v>1.5</v>
      </c>
      <c r="C262" s="774" t="s">
        <v>37</v>
      </c>
      <c r="D262" s="210"/>
      <c r="E262" s="211" t="str">
        <f>+_xlfn.XLOOKUP(C262,'BASE DATOS MANO DE OBRA'!A:A,'BASE DATOS MANO DE OBRA'!B:B)</f>
        <v xml:space="preserve">AYUDANTE PLUS </v>
      </c>
      <c r="F262" s="212">
        <f>+F261</f>
        <v>65.5</v>
      </c>
      <c r="G262" s="213" t="str">
        <f>+_xlfn.XLOOKUP(C262,'BASE DATOS MANO DE OBRA'!A:A,'BASE DATOS MANO DE OBRA'!C:C)</f>
        <v xml:space="preserve">hora </v>
      </c>
      <c r="H262" s="214">
        <v>0</v>
      </c>
      <c r="I262" s="214">
        <f>+_xlfn.XLOOKUP(C262,'BASE DATOS MANO DE OBRA'!A:A,'BASE DATOS MANO DE OBRA'!E:E)</f>
        <v>2325</v>
      </c>
      <c r="J262" s="214">
        <v>0</v>
      </c>
      <c r="K262" s="214">
        <f t="shared" si="206"/>
        <v>0</v>
      </c>
      <c r="L262" s="214">
        <f t="shared" si="207"/>
        <v>152287.5</v>
      </c>
      <c r="M262" s="214">
        <f t="shared" si="208"/>
        <v>0</v>
      </c>
      <c r="N262" s="214">
        <f t="shared" si="209"/>
        <v>152287.5</v>
      </c>
      <c r="O262" s="1086">
        <f t="shared" si="210"/>
        <v>295.70388349514565</v>
      </c>
      <c r="P262" s="171"/>
    </row>
    <row r="263" spans="1:26" x14ac:dyDescent="0.2">
      <c r="A263" s="1075" t="s">
        <v>2986</v>
      </c>
      <c r="B263" s="833">
        <f t="shared" ref="B263:B313" si="218">VALUE(IF(AND(LEN(TRIM(C263))-LEN(SUBSTITUTE(TRIM(C263),".",""))=1,ISNUMBER(VALUE(SUBSTITUTE(TRIM(C263),".","")))),TRIM(C263),B262))</f>
        <v>1.5</v>
      </c>
      <c r="C263" s="774" t="s">
        <v>36</v>
      </c>
      <c r="D263" s="210"/>
      <c r="E263" s="211" t="str">
        <f>+_xlfn.XLOOKUP(C263,'BASE DATOS MANO DE OBRA'!A:A,'BASE DATOS MANO DE OBRA'!B:B)</f>
        <v xml:space="preserve">OPERARIO PLUS </v>
      </c>
      <c r="F263" s="212">
        <f>+ROUNDUP('1_OG y 2_ACA'!F1096,0)/2</f>
        <v>19.5</v>
      </c>
      <c r="G263" s="213" t="str">
        <f>+_xlfn.XLOOKUP(C263,'BASE DATOS MANO DE OBRA'!A:A,'BASE DATOS MANO DE OBRA'!C:C)</f>
        <v xml:space="preserve">hora </v>
      </c>
      <c r="H263" s="214">
        <v>0</v>
      </c>
      <c r="I263" s="214">
        <f>+_xlfn.XLOOKUP(C263,'BASE DATOS MANO DE OBRA'!A:A,'BASE DATOS MANO DE OBRA'!E:E)</f>
        <v>2850</v>
      </c>
      <c r="J263" s="214">
        <v>0</v>
      </c>
      <c r="K263" s="214">
        <f t="shared" si="206"/>
        <v>0</v>
      </c>
      <c r="L263" s="214">
        <f t="shared" si="207"/>
        <v>55575</v>
      </c>
      <c r="M263" s="214">
        <f t="shared" si="208"/>
        <v>0</v>
      </c>
      <c r="N263" s="214">
        <f t="shared" si="209"/>
        <v>55575</v>
      </c>
      <c r="O263" s="1086">
        <f t="shared" si="210"/>
        <v>107.91262135922329</v>
      </c>
      <c r="P263" s="171"/>
    </row>
    <row r="264" spans="1:26" x14ac:dyDescent="0.2">
      <c r="A264" s="1075" t="s">
        <v>2986</v>
      </c>
      <c r="B264" s="833">
        <f t="shared" si="218"/>
        <v>1.5</v>
      </c>
      <c r="C264" s="774" t="s">
        <v>37</v>
      </c>
      <c r="D264" s="210"/>
      <c r="E264" s="211" t="str">
        <f>+_xlfn.XLOOKUP(C264,'BASE DATOS MANO DE OBRA'!A:A,'BASE DATOS MANO DE OBRA'!B:B)</f>
        <v xml:space="preserve">AYUDANTE PLUS </v>
      </c>
      <c r="F264" s="212">
        <f>+F263</f>
        <v>19.5</v>
      </c>
      <c r="G264" s="213" t="str">
        <f>+_xlfn.XLOOKUP(C264,'BASE DATOS MANO DE OBRA'!A:A,'BASE DATOS MANO DE OBRA'!C:C)</f>
        <v xml:space="preserve">hora </v>
      </c>
      <c r="H264" s="214">
        <v>0</v>
      </c>
      <c r="I264" s="214">
        <f>+_xlfn.XLOOKUP(C264,'BASE DATOS MANO DE OBRA'!A:A,'BASE DATOS MANO DE OBRA'!E:E)</f>
        <v>2325</v>
      </c>
      <c r="J264" s="214">
        <v>0</v>
      </c>
      <c r="K264" s="214">
        <f t="shared" si="206"/>
        <v>0</v>
      </c>
      <c r="L264" s="214">
        <f t="shared" si="207"/>
        <v>45337.5</v>
      </c>
      <c r="M264" s="214">
        <f t="shared" si="208"/>
        <v>0</v>
      </c>
      <c r="N264" s="214">
        <f t="shared" si="209"/>
        <v>45337.5</v>
      </c>
      <c r="O264" s="1086">
        <f t="shared" si="210"/>
        <v>88.033980582524265</v>
      </c>
      <c r="P264" s="171"/>
    </row>
    <row r="265" spans="1:26" x14ac:dyDescent="0.2">
      <c r="A265" s="1075" t="s">
        <v>2986</v>
      </c>
      <c r="B265" s="833">
        <f t="shared" si="218"/>
        <v>1.5</v>
      </c>
      <c r="C265" s="774" t="s">
        <v>36</v>
      </c>
      <c r="D265" s="210"/>
      <c r="E265" s="211" t="str">
        <f>+_xlfn.XLOOKUP(C265,'BASE DATOS MANO DE OBRA'!A:A,'BASE DATOS MANO DE OBRA'!B:B)</f>
        <v xml:space="preserve">OPERARIO PLUS </v>
      </c>
      <c r="F265" s="212">
        <f>+ROUNDUP('1_OG y 2_ACA'!F1098,0)/2</f>
        <v>8</v>
      </c>
      <c r="G265" s="213" t="str">
        <f>+_xlfn.XLOOKUP(C265,'BASE DATOS MANO DE OBRA'!A:A,'BASE DATOS MANO DE OBRA'!C:C)</f>
        <v xml:space="preserve">hora </v>
      </c>
      <c r="H265" s="214">
        <v>0</v>
      </c>
      <c r="I265" s="214">
        <f>+_xlfn.XLOOKUP(C265,'BASE DATOS MANO DE OBRA'!A:A,'BASE DATOS MANO DE OBRA'!E:E)</f>
        <v>2850</v>
      </c>
      <c r="J265" s="214">
        <v>0</v>
      </c>
      <c r="K265" s="214">
        <f t="shared" si="206"/>
        <v>0</v>
      </c>
      <c r="L265" s="214">
        <f t="shared" si="207"/>
        <v>22800</v>
      </c>
      <c r="M265" s="214">
        <f t="shared" si="208"/>
        <v>0</v>
      </c>
      <c r="N265" s="214">
        <f t="shared" si="209"/>
        <v>22800</v>
      </c>
      <c r="O265" s="1086">
        <f t="shared" si="210"/>
        <v>44.271844660194176</v>
      </c>
      <c r="P265" s="171"/>
    </row>
    <row r="266" spans="1:26" x14ac:dyDescent="0.2">
      <c r="A266" s="1075" t="s">
        <v>2986</v>
      </c>
      <c r="B266" s="833">
        <f t="shared" si="218"/>
        <v>1.5</v>
      </c>
      <c r="C266" s="774" t="s">
        <v>37</v>
      </c>
      <c r="D266" s="210"/>
      <c r="E266" s="211" t="str">
        <f>+_xlfn.XLOOKUP(C266,'BASE DATOS MANO DE OBRA'!A:A,'BASE DATOS MANO DE OBRA'!B:B)</f>
        <v xml:space="preserve">AYUDANTE PLUS </v>
      </c>
      <c r="F266" s="212">
        <f>+F265</f>
        <v>8</v>
      </c>
      <c r="G266" s="213" t="str">
        <f>+_xlfn.XLOOKUP(C266,'BASE DATOS MANO DE OBRA'!A:A,'BASE DATOS MANO DE OBRA'!C:C)</f>
        <v xml:space="preserve">hora </v>
      </c>
      <c r="H266" s="214">
        <v>0</v>
      </c>
      <c r="I266" s="214">
        <f>+_xlfn.XLOOKUP(C266,'BASE DATOS MANO DE OBRA'!A:A,'BASE DATOS MANO DE OBRA'!E:E)</f>
        <v>2325</v>
      </c>
      <c r="J266" s="214">
        <v>0</v>
      </c>
      <c r="K266" s="214">
        <f t="shared" si="206"/>
        <v>0</v>
      </c>
      <c r="L266" s="214">
        <f t="shared" si="207"/>
        <v>18600</v>
      </c>
      <c r="M266" s="214">
        <f t="shared" si="208"/>
        <v>0</v>
      </c>
      <c r="N266" s="214">
        <f t="shared" si="209"/>
        <v>18600</v>
      </c>
      <c r="O266" s="1086">
        <f t="shared" si="210"/>
        <v>36.116504854368934</v>
      </c>
      <c r="P266" s="171"/>
    </row>
    <row r="267" spans="1:26" x14ac:dyDescent="0.2">
      <c r="A267" s="1075" t="s">
        <v>2986</v>
      </c>
      <c r="B267" s="833">
        <f t="shared" si="218"/>
        <v>1.5</v>
      </c>
      <c r="C267" s="774" t="s">
        <v>36</v>
      </c>
      <c r="D267" s="210"/>
      <c r="E267" s="211" t="str">
        <f>+_xlfn.XLOOKUP(C267,'BASE DATOS MANO DE OBRA'!A:A,'BASE DATOS MANO DE OBRA'!B:B)</f>
        <v xml:space="preserve">OPERARIO PLUS </v>
      </c>
      <c r="F267" s="212">
        <f>+ROUNDUP(('1_OG y 2_ACA'!F1100+'1_OG y 2_ACA'!F1099),0)/2</f>
        <v>12</v>
      </c>
      <c r="G267" s="213" t="str">
        <f>+_xlfn.XLOOKUP(C267,'BASE DATOS MANO DE OBRA'!A:A,'BASE DATOS MANO DE OBRA'!C:C)</f>
        <v xml:space="preserve">hora </v>
      </c>
      <c r="H267" s="214">
        <v>0</v>
      </c>
      <c r="I267" s="214">
        <f>+_xlfn.XLOOKUP(C267,'BASE DATOS MANO DE OBRA'!A:A,'BASE DATOS MANO DE OBRA'!E:E)</f>
        <v>2850</v>
      </c>
      <c r="J267" s="214">
        <v>0</v>
      </c>
      <c r="K267" s="214">
        <f t="shared" si="206"/>
        <v>0</v>
      </c>
      <c r="L267" s="214">
        <f t="shared" si="207"/>
        <v>34200</v>
      </c>
      <c r="M267" s="214">
        <f t="shared" si="208"/>
        <v>0</v>
      </c>
      <c r="N267" s="214">
        <f t="shared" si="209"/>
        <v>34200</v>
      </c>
      <c r="O267" s="1086">
        <f t="shared" si="210"/>
        <v>66.407766990291265</v>
      </c>
      <c r="P267" s="171"/>
    </row>
    <row r="268" spans="1:26" x14ac:dyDescent="0.2">
      <c r="A268" s="1075" t="s">
        <v>2986</v>
      </c>
      <c r="B268" s="833">
        <f t="shared" si="218"/>
        <v>1.5</v>
      </c>
      <c r="C268" s="774" t="s">
        <v>37</v>
      </c>
      <c r="D268" s="210"/>
      <c r="E268" s="211" t="str">
        <f>+_xlfn.XLOOKUP(C268,'BASE DATOS MANO DE OBRA'!A:A,'BASE DATOS MANO DE OBRA'!B:B)</f>
        <v xml:space="preserve">AYUDANTE PLUS </v>
      </c>
      <c r="F268" s="212">
        <f>+F267</f>
        <v>12</v>
      </c>
      <c r="G268" s="213" t="str">
        <f>+_xlfn.XLOOKUP(C268,'BASE DATOS MANO DE OBRA'!A:A,'BASE DATOS MANO DE OBRA'!C:C)</f>
        <v xml:space="preserve">hora </v>
      </c>
      <c r="H268" s="214">
        <v>0</v>
      </c>
      <c r="I268" s="214">
        <f>+_xlfn.XLOOKUP(C268,'BASE DATOS MANO DE OBRA'!A:A,'BASE DATOS MANO DE OBRA'!E:E)</f>
        <v>2325</v>
      </c>
      <c r="J268" s="214">
        <v>0</v>
      </c>
      <c r="K268" s="214">
        <f t="shared" si="206"/>
        <v>0</v>
      </c>
      <c r="L268" s="214">
        <f t="shared" si="207"/>
        <v>27900</v>
      </c>
      <c r="M268" s="214">
        <f t="shared" si="208"/>
        <v>0</v>
      </c>
      <c r="N268" s="214">
        <f t="shared" si="209"/>
        <v>27900</v>
      </c>
      <c r="O268" s="1086">
        <f t="shared" si="210"/>
        <v>54.174757281553397</v>
      </c>
      <c r="P268" s="171"/>
    </row>
    <row r="269" spans="1:26" s="49" customFormat="1" ht="18.600000000000001" customHeight="1" collapsed="1" x14ac:dyDescent="0.2">
      <c r="A269" s="303"/>
      <c r="B269" s="833">
        <f t="shared" si="218"/>
        <v>1.5</v>
      </c>
      <c r="C269" s="770" t="s">
        <v>2057</v>
      </c>
      <c r="D269" s="453"/>
      <c r="E269" s="454" t="s">
        <v>134</v>
      </c>
      <c r="F269" s="455">
        <v>1</v>
      </c>
      <c r="G269" s="453" t="s">
        <v>29</v>
      </c>
      <c r="H269" s="453"/>
      <c r="I269" s="453"/>
      <c r="J269" s="453"/>
      <c r="K269" s="456">
        <f>+SUBTOTAL(9,K270:K281)</f>
        <v>89072.416665959987</v>
      </c>
      <c r="L269" s="456">
        <f>+SUBTOTAL(9,L270:L281)</f>
        <v>152662.5</v>
      </c>
      <c r="M269" s="456">
        <f>+SUBTOTAL(9,M270:M281)</f>
        <v>0</v>
      </c>
      <c r="N269" s="456">
        <f>+SUBTOTAL(9,N270:N281)</f>
        <v>241734.91666595999</v>
      </c>
      <c r="O269" s="1082">
        <f>+SUBTOTAL(9,O270:O281)</f>
        <v>469.38818770089318</v>
      </c>
      <c r="P269" s="416"/>
    </row>
    <row r="270" spans="1:26" x14ac:dyDescent="0.2">
      <c r="A270" s="303"/>
      <c r="B270" s="833">
        <f t="shared" si="218"/>
        <v>1.5</v>
      </c>
      <c r="C270" s="303" t="s">
        <v>2188</v>
      </c>
      <c r="D270" s="822"/>
      <c r="E270" s="161" t="str">
        <f>+_xlfn.XLOOKUP(C270,'BASE DATOS PRECIOS '!B:B,'BASE DATOS PRECIOS '!E:E)</f>
        <v>VARILLA DEFORME #2</v>
      </c>
      <c r="F270" s="162">
        <f>+'1_OG y 2_ACA'!D1171</f>
        <v>15</v>
      </c>
      <c r="G270" s="175" t="str">
        <f>+_xlfn.XLOOKUP(C270,'BASE DATOS PRECIOS '!B:B,'BASE DATOS PRECIOS '!F:F)</f>
        <v>UND</v>
      </c>
      <c r="H270" s="176">
        <f>+_xlfn.XLOOKUP(E270,'BASE DATOS PRECIOS '!E:E,'BASE DATOS PRECIOS '!H:H)</f>
        <v>569.8024999999999</v>
      </c>
      <c r="I270" s="175"/>
      <c r="J270" s="175"/>
      <c r="K270" s="176">
        <f t="shared" ref="K270:K281" si="219">+F270*H270</f>
        <v>8547.0374999999985</v>
      </c>
      <c r="L270" s="176">
        <f t="shared" ref="L270:L281" si="220">+F270*I270</f>
        <v>0</v>
      </c>
      <c r="M270" s="176">
        <f t="shared" ref="M270:M281" si="221">+F270*J270</f>
        <v>0</v>
      </c>
      <c r="N270" s="176">
        <f t="shared" ref="N270:N281" si="222">SUM(K270:M270)</f>
        <v>8547.0374999999985</v>
      </c>
      <c r="O270" s="1083">
        <f t="shared" ref="O270:O281" si="223">SUM(K270:M270)/tc</f>
        <v>16.596189320388348</v>
      </c>
      <c r="P270" s="171"/>
    </row>
    <row r="271" spans="1:26" x14ac:dyDescent="0.2">
      <c r="A271" s="303"/>
      <c r="B271" s="833">
        <f t="shared" si="218"/>
        <v>1.5</v>
      </c>
      <c r="C271" s="775" t="s">
        <v>1918</v>
      </c>
      <c r="D271" s="834" t="s">
        <v>109</v>
      </c>
      <c r="E271" s="161" t="s">
        <v>3502</v>
      </c>
      <c r="F271" s="162">
        <f>+'1_OG y 2_ACA'!D1172</f>
        <v>16</v>
      </c>
      <c r="G271" s="165" t="str">
        <f>+_xlfn.XLOOKUP(C271,'BASE DATOS PRECIOS '!B:B,'BASE DATOS PRECIOS '!F:F)</f>
        <v>UND</v>
      </c>
      <c r="H271" s="164">
        <f>+_xlfn.XLOOKUP(E271,'BASE DATOS PRECIOS '!E:E,'BASE DATOS PRECIOS '!H:H)</f>
        <v>1344.6999999999998</v>
      </c>
      <c r="I271" s="165"/>
      <c r="J271" s="165"/>
      <c r="K271" s="164">
        <f t="shared" si="219"/>
        <v>21515.199999999997</v>
      </c>
      <c r="L271" s="164">
        <f t="shared" si="220"/>
        <v>0</v>
      </c>
      <c r="M271" s="164">
        <f t="shared" si="221"/>
        <v>0</v>
      </c>
      <c r="N271" s="164">
        <f t="shared" si="222"/>
        <v>21515.199999999997</v>
      </c>
      <c r="O271" s="1084">
        <f t="shared" si="223"/>
        <v>41.777087378640772</v>
      </c>
      <c r="P271" s="769"/>
    </row>
    <row r="272" spans="1:26" x14ac:dyDescent="0.2">
      <c r="A272" s="303"/>
      <c r="B272" s="833">
        <f t="shared" si="218"/>
        <v>1.5</v>
      </c>
      <c r="C272" s="775" t="s">
        <v>1920</v>
      </c>
      <c r="D272" s="823"/>
      <c r="E272" s="161" t="str">
        <f>+_xlfn.XLOOKUP(C272,'BASE DATOS PRECIOS '!B:B,'BASE DATOS PRECIOS '!E:E)</f>
        <v>ALAMBRE NEGRO #16 (1.68MM)</v>
      </c>
      <c r="F272" s="162">
        <f>+'1_OG y 2_ACA'!D1173</f>
        <v>3</v>
      </c>
      <c r="G272" s="165" t="str">
        <f>+_xlfn.XLOOKUP(C272,'BASE DATOS PRECIOS '!B:B,'BASE DATOS PRECIOS '!F:F)</f>
        <v>KG</v>
      </c>
      <c r="H272" s="164">
        <f>+_xlfn.XLOOKUP(E272,'BASE DATOS PRECIOS '!E:E,'BASE DATOS PRECIOS '!H:H)</f>
        <v>586.85419999999999</v>
      </c>
      <c r="I272" s="165"/>
      <c r="J272" s="165"/>
      <c r="K272" s="164">
        <f t="shared" si="219"/>
        <v>1760.5626</v>
      </c>
      <c r="L272" s="164">
        <f t="shared" si="220"/>
        <v>0</v>
      </c>
      <c r="M272" s="164">
        <f t="shared" si="221"/>
        <v>0</v>
      </c>
      <c r="N272" s="164">
        <f t="shared" si="222"/>
        <v>1760.5626</v>
      </c>
      <c r="O272" s="1084">
        <f t="shared" si="223"/>
        <v>3.418568155339806</v>
      </c>
      <c r="P272" s="171"/>
    </row>
    <row r="273" spans="1:16" x14ac:dyDescent="0.2">
      <c r="A273" s="303"/>
      <c r="B273" s="833">
        <f t="shared" si="218"/>
        <v>1.5</v>
      </c>
      <c r="C273" s="775" t="s">
        <v>2438</v>
      </c>
      <c r="D273" s="823"/>
      <c r="E273" s="161" t="str">
        <f>+_xlfn.XLOOKUP(C273,'BASE DATOS PRECIOS '!B:B,'BASE DATOS PRECIOS '!E:E)</f>
        <v>CONCRETO FC 210 KG/CM2 NORMAL</v>
      </c>
      <c r="F273" s="162">
        <f>'1_OG y 2_ACA'!D1113+'1_OG y 2_ACA'!D1128+'1_OG y 2_ACA'!D1148</f>
        <v>0.72589999999999999</v>
      </c>
      <c r="G273" s="165" t="str">
        <f>+_xlfn.XLOOKUP(C273,'BASE DATOS PRECIOS '!B:B,'BASE DATOS PRECIOS '!F:F)</f>
        <v>M3</v>
      </c>
      <c r="H273" s="164">
        <f>+_xlfn.XLOOKUP(E273,'BASE DATOS PRECIOS '!E:E,'BASE DATOS PRECIOS '!H:H)</f>
        <v>78867.084399999992</v>
      </c>
      <c r="I273" s="165"/>
      <c r="J273" s="165"/>
      <c r="K273" s="164">
        <f t="shared" si="219"/>
        <v>57249.616565959994</v>
      </c>
      <c r="L273" s="164">
        <f t="shared" si="220"/>
        <v>0</v>
      </c>
      <c r="M273" s="164">
        <f t="shared" si="221"/>
        <v>0</v>
      </c>
      <c r="N273" s="164">
        <f t="shared" si="222"/>
        <v>57249.616565959994</v>
      </c>
      <c r="O273" s="1084">
        <f t="shared" si="223"/>
        <v>111.16430401157281</v>
      </c>
      <c r="P273" s="171"/>
    </row>
    <row r="274" spans="1:16" x14ac:dyDescent="0.2">
      <c r="A274" s="1077" t="s">
        <v>2152</v>
      </c>
      <c r="B274" s="833">
        <f t="shared" si="218"/>
        <v>1.5</v>
      </c>
      <c r="C274" s="774" t="s">
        <v>36</v>
      </c>
      <c r="D274" s="210"/>
      <c r="E274" s="211" t="str">
        <f>+_xlfn.XLOOKUP(C274,'BASE DATOS MANO DE OBRA'!A:A,'BASE DATOS MANO DE OBRA'!B:B)</f>
        <v xml:space="preserve">OPERARIO PLUS </v>
      </c>
      <c r="F274" s="212">
        <f>+ROUNDUP('1_OG y 2_ACA'!F1178,0)/2</f>
        <v>16</v>
      </c>
      <c r="G274" s="213" t="str">
        <f>+_xlfn.XLOOKUP(C274,'BASE DATOS MANO DE OBRA'!A:A,'BASE DATOS MANO DE OBRA'!C:C)</f>
        <v xml:space="preserve">hora </v>
      </c>
      <c r="H274" s="214">
        <v>0</v>
      </c>
      <c r="I274" s="214">
        <f>+_xlfn.XLOOKUP(C274,'BASE DATOS MANO DE OBRA'!A:A,'BASE DATOS MANO DE OBRA'!E:E)</f>
        <v>2850</v>
      </c>
      <c r="J274" s="214">
        <v>0</v>
      </c>
      <c r="K274" s="214">
        <f t="shared" si="219"/>
        <v>0</v>
      </c>
      <c r="L274" s="214">
        <f t="shared" si="220"/>
        <v>45600</v>
      </c>
      <c r="M274" s="214">
        <f t="shared" si="221"/>
        <v>0</v>
      </c>
      <c r="N274" s="214">
        <f t="shared" si="222"/>
        <v>45600</v>
      </c>
      <c r="O274" s="1086">
        <f t="shared" si="223"/>
        <v>88.543689320388353</v>
      </c>
      <c r="P274" s="171"/>
    </row>
    <row r="275" spans="1:16" x14ac:dyDescent="0.2">
      <c r="A275" s="1077" t="s">
        <v>2152</v>
      </c>
      <c r="B275" s="833">
        <f t="shared" si="218"/>
        <v>1.5</v>
      </c>
      <c r="C275" s="774" t="s">
        <v>37</v>
      </c>
      <c r="D275" s="210"/>
      <c r="E275" s="211" t="str">
        <f>+_xlfn.XLOOKUP(C275,'BASE DATOS MANO DE OBRA'!A:A,'BASE DATOS MANO DE OBRA'!B:B)</f>
        <v xml:space="preserve">AYUDANTE PLUS </v>
      </c>
      <c r="F275" s="212">
        <f>+F274</f>
        <v>16</v>
      </c>
      <c r="G275" s="213" t="str">
        <f>+_xlfn.XLOOKUP(C275,'BASE DATOS MANO DE OBRA'!A:A,'BASE DATOS MANO DE OBRA'!C:C)</f>
        <v xml:space="preserve">hora </v>
      </c>
      <c r="H275" s="214">
        <v>0</v>
      </c>
      <c r="I275" s="214">
        <f>+_xlfn.XLOOKUP(C275,'BASE DATOS MANO DE OBRA'!A:A,'BASE DATOS MANO DE OBRA'!E:E)</f>
        <v>2325</v>
      </c>
      <c r="J275" s="214">
        <v>0</v>
      </c>
      <c r="K275" s="214">
        <f t="shared" si="219"/>
        <v>0</v>
      </c>
      <c r="L275" s="214">
        <f t="shared" si="220"/>
        <v>37200</v>
      </c>
      <c r="M275" s="214">
        <f t="shared" si="221"/>
        <v>0</v>
      </c>
      <c r="N275" s="214">
        <f t="shared" si="222"/>
        <v>37200</v>
      </c>
      <c r="O275" s="1086">
        <f t="shared" si="223"/>
        <v>72.233009708737868</v>
      </c>
      <c r="P275" s="171"/>
    </row>
    <row r="276" spans="1:16" x14ac:dyDescent="0.2">
      <c r="A276" s="1077" t="s">
        <v>2152</v>
      </c>
      <c r="B276" s="833">
        <f t="shared" si="218"/>
        <v>1.5</v>
      </c>
      <c r="C276" s="774" t="s">
        <v>36</v>
      </c>
      <c r="D276" s="210"/>
      <c r="E276" s="211" t="str">
        <f>+_xlfn.XLOOKUP(C276,'BASE DATOS MANO DE OBRA'!A:A,'BASE DATOS MANO DE OBRA'!B:B)</f>
        <v xml:space="preserve">OPERARIO PLUS </v>
      </c>
      <c r="F276" s="212">
        <f>+ROUNDUP('1_OG y 2_ACA'!F1179,0)/2</f>
        <v>8.5</v>
      </c>
      <c r="G276" s="213" t="str">
        <f>+_xlfn.XLOOKUP(C276,'BASE DATOS MANO DE OBRA'!A:A,'BASE DATOS MANO DE OBRA'!C:C)</f>
        <v xml:space="preserve">hora </v>
      </c>
      <c r="H276" s="214">
        <v>0</v>
      </c>
      <c r="I276" s="214">
        <f>+_xlfn.XLOOKUP(C276,'BASE DATOS MANO DE OBRA'!A:A,'BASE DATOS MANO DE OBRA'!E:E)</f>
        <v>2850</v>
      </c>
      <c r="J276" s="214">
        <v>0</v>
      </c>
      <c r="K276" s="214">
        <f t="shared" si="219"/>
        <v>0</v>
      </c>
      <c r="L276" s="214">
        <f t="shared" si="220"/>
        <v>24225</v>
      </c>
      <c r="M276" s="214">
        <f t="shared" si="221"/>
        <v>0</v>
      </c>
      <c r="N276" s="214">
        <f t="shared" si="222"/>
        <v>24225</v>
      </c>
      <c r="O276" s="1086">
        <f t="shared" si="223"/>
        <v>47.038834951456309</v>
      </c>
      <c r="P276" s="171"/>
    </row>
    <row r="277" spans="1:16" x14ac:dyDescent="0.2">
      <c r="A277" s="1077" t="s">
        <v>2152</v>
      </c>
      <c r="B277" s="833">
        <f t="shared" si="218"/>
        <v>1.5</v>
      </c>
      <c r="C277" s="774" t="s">
        <v>37</v>
      </c>
      <c r="D277" s="210"/>
      <c r="E277" s="211" t="str">
        <f>+_xlfn.XLOOKUP(C277,'BASE DATOS MANO DE OBRA'!A:A,'BASE DATOS MANO DE OBRA'!B:B)</f>
        <v xml:space="preserve">AYUDANTE PLUS </v>
      </c>
      <c r="F277" s="212">
        <f>+F276</f>
        <v>8.5</v>
      </c>
      <c r="G277" s="213" t="str">
        <f>+_xlfn.XLOOKUP(C277,'BASE DATOS MANO DE OBRA'!A:A,'BASE DATOS MANO DE OBRA'!C:C)</f>
        <v xml:space="preserve">hora </v>
      </c>
      <c r="H277" s="214">
        <v>0</v>
      </c>
      <c r="I277" s="214">
        <f>+_xlfn.XLOOKUP(C277,'BASE DATOS MANO DE OBRA'!A:A,'BASE DATOS MANO DE OBRA'!E:E)</f>
        <v>2325</v>
      </c>
      <c r="J277" s="214">
        <v>0</v>
      </c>
      <c r="K277" s="214">
        <f t="shared" si="219"/>
        <v>0</v>
      </c>
      <c r="L277" s="214">
        <f t="shared" si="220"/>
        <v>19762.5</v>
      </c>
      <c r="M277" s="214">
        <f t="shared" si="221"/>
        <v>0</v>
      </c>
      <c r="N277" s="214">
        <f t="shared" si="222"/>
        <v>19762.5</v>
      </c>
      <c r="O277" s="1086">
        <f t="shared" si="223"/>
        <v>38.373786407766993</v>
      </c>
      <c r="P277" s="171"/>
    </row>
    <row r="278" spans="1:16" x14ac:dyDescent="0.2">
      <c r="A278" s="1077" t="s">
        <v>2152</v>
      </c>
      <c r="B278" s="833">
        <f t="shared" si="218"/>
        <v>1.5</v>
      </c>
      <c r="C278" s="774" t="s">
        <v>36</v>
      </c>
      <c r="D278" s="210"/>
      <c r="E278" s="211" t="str">
        <f>+_xlfn.XLOOKUP(C278,'BASE DATOS MANO DE OBRA'!A:A,'BASE DATOS MANO DE OBRA'!B:B)</f>
        <v xml:space="preserve">OPERARIO PLUS </v>
      </c>
      <c r="F278" s="212">
        <f>+ROUNDUP('1_OG y 2_ACA'!F1180,0)/2</f>
        <v>1.5</v>
      </c>
      <c r="G278" s="213" t="str">
        <f>+_xlfn.XLOOKUP(C278,'BASE DATOS MANO DE OBRA'!A:A,'BASE DATOS MANO DE OBRA'!C:C)</f>
        <v xml:space="preserve">hora </v>
      </c>
      <c r="H278" s="214">
        <v>0</v>
      </c>
      <c r="I278" s="214">
        <f>+_xlfn.XLOOKUP(C278,'BASE DATOS MANO DE OBRA'!A:A,'BASE DATOS MANO DE OBRA'!E:E)</f>
        <v>2850</v>
      </c>
      <c r="J278" s="214">
        <v>0</v>
      </c>
      <c r="K278" s="214">
        <f t="shared" si="219"/>
        <v>0</v>
      </c>
      <c r="L278" s="214">
        <f t="shared" si="220"/>
        <v>4275</v>
      </c>
      <c r="M278" s="214">
        <f t="shared" si="221"/>
        <v>0</v>
      </c>
      <c r="N278" s="214">
        <f t="shared" si="222"/>
        <v>4275</v>
      </c>
      <c r="O278" s="1086">
        <f t="shared" si="223"/>
        <v>8.3009708737864081</v>
      </c>
      <c r="P278" s="171"/>
    </row>
    <row r="279" spans="1:16" x14ac:dyDescent="0.2">
      <c r="A279" s="1077" t="s">
        <v>2152</v>
      </c>
      <c r="B279" s="833">
        <f t="shared" si="218"/>
        <v>1.5</v>
      </c>
      <c r="C279" s="774" t="s">
        <v>37</v>
      </c>
      <c r="D279" s="210"/>
      <c r="E279" s="211" t="str">
        <f>+_xlfn.XLOOKUP(C279,'BASE DATOS MANO DE OBRA'!A:A,'BASE DATOS MANO DE OBRA'!B:B)</f>
        <v xml:space="preserve">AYUDANTE PLUS </v>
      </c>
      <c r="F279" s="212">
        <f>+F278</f>
        <v>1.5</v>
      </c>
      <c r="G279" s="213" t="str">
        <f>+_xlfn.XLOOKUP(C279,'BASE DATOS MANO DE OBRA'!A:A,'BASE DATOS MANO DE OBRA'!C:C)</f>
        <v xml:space="preserve">hora </v>
      </c>
      <c r="H279" s="214">
        <v>0</v>
      </c>
      <c r="I279" s="214">
        <f>+_xlfn.XLOOKUP(C279,'BASE DATOS MANO DE OBRA'!A:A,'BASE DATOS MANO DE OBRA'!E:E)</f>
        <v>2325</v>
      </c>
      <c r="J279" s="214">
        <v>0</v>
      </c>
      <c r="K279" s="214">
        <f t="shared" si="219"/>
        <v>0</v>
      </c>
      <c r="L279" s="214">
        <f t="shared" si="220"/>
        <v>3487.5</v>
      </c>
      <c r="M279" s="214">
        <f t="shared" si="221"/>
        <v>0</v>
      </c>
      <c r="N279" s="214">
        <f t="shared" si="222"/>
        <v>3487.5</v>
      </c>
      <c r="O279" s="1086">
        <f t="shared" si="223"/>
        <v>6.7718446601941746</v>
      </c>
      <c r="P279" s="171"/>
    </row>
    <row r="280" spans="1:16" x14ac:dyDescent="0.2">
      <c r="A280" s="1077" t="s">
        <v>2152</v>
      </c>
      <c r="B280" s="833">
        <f t="shared" si="218"/>
        <v>1.5</v>
      </c>
      <c r="C280" s="774" t="s">
        <v>36</v>
      </c>
      <c r="D280" s="210"/>
      <c r="E280" s="211" t="str">
        <f>+_xlfn.XLOOKUP(C280,'BASE DATOS MANO DE OBRA'!A:A,'BASE DATOS MANO DE OBRA'!B:B)</f>
        <v xml:space="preserve">OPERARIO PLUS </v>
      </c>
      <c r="F280" s="212">
        <f>+ROUNDUP('1_OG y 2_ACA'!F1181,0)/2</f>
        <v>3.5</v>
      </c>
      <c r="G280" s="213" t="str">
        <f>+_xlfn.XLOOKUP(C280,'BASE DATOS MANO DE OBRA'!A:A,'BASE DATOS MANO DE OBRA'!C:C)</f>
        <v xml:space="preserve">hora </v>
      </c>
      <c r="H280" s="214">
        <v>0</v>
      </c>
      <c r="I280" s="214">
        <f>+_xlfn.XLOOKUP(C280,'BASE DATOS MANO DE OBRA'!A:A,'BASE DATOS MANO DE OBRA'!E:E)</f>
        <v>2850</v>
      </c>
      <c r="J280" s="214">
        <v>0</v>
      </c>
      <c r="K280" s="214">
        <f t="shared" si="219"/>
        <v>0</v>
      </c>
      <c r="L280" s="214">
        <f t="shared" si="220"/>
        <v>9975</v>
      </c>
      <c r="M280" s="214">
        <f t="shared" si="221"/>
        <v>0</v>
      </c>
      <c r="N280" s="214">
        <f t="shared" si="222"/>
        <v>9975</v>
      </c>
      <c r="O280" s="1086">
        <f t="shared" si="223"/>
        <v>19.368932038834952</v>
      </c>
      <c r="P280" s="171"/>
    </row>
    <row r="281" spans="1:16" x14ac:dyDescent="0.2">
      <c r="A281" s="1077" t="s">
        <v>2152</v>
      </c>
      <c r="B281" s="833">
        <f t="shared" si="218"/>
        <v>1.5</v>
      </c>
      <c r="C281" s="774" t="s">
        <v>37</v>
      </c>
      <c r="D281" s="210"/>
      <c r="E281" s="211" t="str">
        <f>+_xlfn.XLOOKUP(C281,'BASE DATOS MANO DE OBRA'!A:A,'BASE DATOS MANO DE OBRA'!B:B)</f>
        <v xml:space="preserve">AYUDANTE PLUS </v>
      </c>
      <c r="F281" s="212">
        <f>+F280</f>
        <v>3.5</v>
      </c>
      <c r="G281" s="213" t="str">
        <f>+_xlfn.XLOOKUP(C281,'BASE DATOS MANO DE OBRA'!A:A,'BASE DATOS MANO DE OBRA'!C:C)</f>
        <v xml:space="preserve">hora </v>
      </c>
      <c r="H281" s="214">
        <v>0</v>
      </c>
      <c r="I281" s="214">
        <f>+_xlfn.XLOOKUP(C281,'BASE DATOS MANO DE OBRA'!A:A,'BASE DATOS MANO DE OBRA'!E:E)</f>
        <v>2325</v>
      </c>
      <c r="J281" s="214">
        <v>0</v>
      </c>
      <c r="K281" s="214">
        <f t="shared" si="219"/>
        <v>0</v>
      </c>
      <c r="L281" s="214">
        <f t="shared" si="220"/>
        <v>8137.5</v>
      </c>
      <c r="M281" s="214">
        <f t="shared" si="221"/>
        <v>0</v>
      </c>
      <c r="N281" s="214">
        <f t="shared" si="222"/>
        <v>8137.5</v>
      </c>
      <c r="O281" s="1086">
        <f t="shared" si="223"/>
        <v>15.800970873786408</v>
      </c>
      <c r="P281" s="171"/>
    </row>
    <row r="282" spans="1:16" s="49" customFormat="1" ht="18.600000000000001" customHeight="1" collapsed="1" x14ac:dyDescent="0.2">
      <c r="A282" s="303"/>
      <c r="B282" s="833">
        <f t="shared" si="218"/>
        <v>1.5</v>
      </c>
      <c r="C282" s="770" t="s">
        <v>2058</v>
      </c>
      <c r="D282" s="453"/>
      <c r="E282" s="454" t="s">
        <v>136</v>
      </c>
      <c r="F282" s="455">
        <f>+'1_OG y 2_ACA'!D13+'1_OG y 2_ACA'!D14</f>
        <v>39.299999999999997</v>
      </c>
      <c r="G282" s="453" t="s">
        <v>137</v>
      </c>
      <c r="H282" s="453"/>
      <c r="I282" s="453"/>
      <c r="J282" s="453"/>
      <c r="K282" s="456">
        <f>+SUBTOTAL(9,K283:K298)</f>
        <v>781698.77654512995</v>
      </c>
      <c r="L282" s="456">
        <f>+SUBTOTAL(9,L283:L298)</f>
        <v>608062.5</v>
      </c>
      <c r="M282" s="456">
        <f>+SUBTOTAL(9,M283:M298)</f>
        <v>15000</v>
      </c>
      <c r="N282" s="456">
        <f>+SUBTOTAL(9,N283:N298)</f>
        <v>1404761.2765451299</v>
      </c>
      <c r="O282" s="1082">
        <f>+SUBTOTAL(9,O283:O298)</f>
        <v>2727.691799116757</v>
      </c>
      <c r="P282" s="416"/>
    </row>
    <row r="283" spans="1:16" x14ac:dyDescent="0.2">
      <c r="A283" s="303"/>
      <c r="B283" s="833">
        <f t="shared" si="218"/>
        <v>1.5</v>
      </c>
      <c r="C283" s="775" t="s">
        <v>1910</v>
      </c>
      <c r="D283" s="823"/>
      <c r="E283" s="161" t="str">
        <f>+_xlfn.XLOOKUP(C283,'BASE DATOS PRECIOS '!B:B,'BASE DATOS PRECIOS '!E:E)</f>
        <v>LASTRE FINO</v>
      </c>
      <c r="F283" s="162">
        <f>ROUNDUP('1_OG y 2_ACA'!D1197/0.5,0)*0.5</f>
        <v>15.5</v>
      </c>
      <c r="G283" s="175" t="str">
        <f>+_xlfn.XLOOKUP(C283,'BASE DATOS PRECIOS '!B:B,'BASE DATOS PRECIOS '!F:F)</f>
        <v>M3</v>
      </c>
      <c r="H283" s="176">
        <f>+_xlfn.XLOOKUP(E283,'BASE DATOS PRECIOS '!E:E,'BASE DATOS PRECIOS '!H:H)</f>
        <v>14166.6631</v>
      </c>
      <c r="I283" s="175"/>
      <c r="J283" s="175"/>
      <c r="K283" s="176">
        <f t="shared" ref="K283:K298" si="224">+F283*H283</f>
        <v>219583.27804999999</v>
      </c>
      <c r="L283" s="176">
        <f t="shared" ref="L283:L298" si="225">+F283*I283</f>
        <v>0</v>
      </c>
      <c r="M283" s="176">
        <f t="shared" ref="M283:M298" si="226">+F283*J283</f>
        <v>0</v>
      </c>
      <c r="N283" s="176">
        <f t="shared" ref="N283:N298" si="227">SUM(K283:M283)</f>
        <v>219583.27804999999</v>
      </c>
      <c r="O283" s="1083">
        <f t="shared" ref="O283:O298" si="228">SUM(K283:M283)/tc</f>
        <v>426.37529718446604</v>
      </c>
      <c r="P283" s="171"/>
    </row>
    <row r="284" spans="1:16" x14ac:dyDescent="0.2">
      <c r="A284" s="303"/>
      <c r="B284" s="833">
        <f t="shared" si="218"/>
        <v>1.5</v>
      </c>
      <c r="C284" s="775" t="s">
        <v>2187</v>
      </c>
      <c r="D284" s="823"/>
      <c r="E284" s="161" t="str">
        <f>+_xlfn.XLOOKUP(C284,'BASE DATOS PRECIOS '!B:B,'BASE DATOS PRECIOS '!E:E)</f>
        <v>MALLA ELECTROSOLDADA #2 (5.3 MM)</v>
      </c>
      <c r="F284" s="162">
        <f>ROUNDUP('1_OG y 2_ACA'!D1219,0)</f>
        <v>8</v>
      </c>
      <c r="G284" s="175" t="str">
        <f>+_xlfn.XLOOKUP(C284,'BASE DATOS PRECIOS '!B:B,'BASE DATOS PRECIOS '!F:F)</f>
        <v>UND</v>
      </c>
      <c r="H284" s="176">
        <f>+_xlfn.XLOOKUP(E284,'BASE DATOS PRECIOS '!E:E,'BASE DATOS PRECIOS '!H:H)</f>
        <v>18762.497399999997</v>
      </c>
      <c r="I284" s="175"/>
      <c r="J284" s="175"/>
      <c r="K284" s="176">
        <f t="shared" si="224"/>
        <v>150099.97919999997</v>
      </c>
      <c r="L284" s="176">
        <f t="shared" si="225"/>
        <v>0</v>
      </c>
      <c r="M284" s="176">
        <f t="shared" si="226"/>
        <v>0</v>
      </c>
      <c r="N284" s="176">
        <f t="shared" si="227"/>
        <v>150099.97919999997</v>
      </c>
      <c r="O284" s="1083">
        <f t="shared" si="228"/>
        <v>291.45627029126206</v>
      </c>
      <c r="P284" s="171"/>
    </row>
    <row r="285" spans="1:16" x14ac:dyDescent="0.2">
      <c r="A285" s="303"/>
      <c r="B285" s="833">
        <f t="shared" si="218"/>
        <v>1.5</v>
      </c>
      <c r="C285" s="775" t="s">
        <v>1920</v>
      </c>
      <c r="D285" s="823"/>
      <c r="E285" s="161" t="str">
        <f>+_xlfn.XLOOKUP(C285,'BASE DATOS PRECIOS '!B:B,'BASE DATOS PRECIOS '!E:E)</f>
        <v>ALAMBRE NEGRO #16 (1.68MM)</v>
      </c>
      <c r="F285" s="162">
        <f>+'1_OG y 2_ACA'!D1220</f>
        <v>11</v>
      </c>
      <c r="G285" s="175" t="str">
        <f>+_xlfn.XLOOKUP(C285,'BASE DATOS PRECIOS '!B:B,'BASE DATOS PRECIOS '!F:F)</f>
        <v>KG</v>
      </c>
      <c r="H285" s="176">
        <f>+_xlfn.XLOOKUP(E285,'BASE DATOS PRECIOS '!E:E,'BASE DATOS PRECIOS '!H:H)</f>
        <v>586.85419999999999</v>
      </c>
      <c r="I285" s="175"/>
      <c r="J285" s="175"/>
      <c r="K285" s="176">
        <f t="shared" si="224"/>
        <v>6455.3962000000001</v>
      </c>
      <c r="L285" s="176">
        <f t="shared" si="225"/>
        <v>0</v>
      </c>
      <c r="M285" s="176">
        <f t="shared" si="226"/>
        <v>0</v>
      </c>
      <c r="N285" s="176">
        <f t="shared" si="227"/>
        <v>6455.3962000000001</v>
      </c>
      <c r="O285" s="1083">
        <f t="shared" si="228"/>
        <v>12.534749902912621</v>
      </c>
      <c r="P285" s="171"/>
    </row>
    <row r="286" spans="1:16" x14ac:dyDescent="0.2">
      <c r="A286" s="303"/>
      <c r="B286" s="833">
        <f t="shared" si="218"/>
        <v>1.5</v>
      </c>
      <c r="C286" s="775" t="s">
        <v>2210</v>
      </c>
      <c r="D286" s="823"/>
      <c r="E286" s="161" t="str">
        <f>+_xlfn.XLOOKUP(C286,'BASE DATOS PRECIOS '!B:B,'BASE DATOS PRECIOS '!E:E)</f>
        <v>ROLLO PLASTICO NEGRO 3,6MX100M</v>
      </c>
      <c r="F286" s="162">
        <f>+'1_OG y 2_ACA'!D1221</f>
        <v>8.6459999999999995E-2</v>
      </c>
      <c r="G286" s="165" t="str">
        <f>+_xlfn.XLOOKUP(C286,'BASE DATOS PRECIOS '!B:B,'BASE DATOS PRECIOS '!F:F)</f>
        <v>ROLLO</v>
      </c>
      <c r="H286" s="164">
        <f>+_xlfn.XLOOKUP(E286,'BASE DATOS PRECIOS '!E:E,'BASE DATOS PRECIOS '!H:H)</f>
        <v>65407.055499999995</v>
      </c>
      <c r="I286" s="165"/>
      <c r="J286" s="165"/>
      <c r="K286" s="164">
        <f t="shared" si="224"/>
        <v>5655.0940185299996</v>
      </c>
      <c r="L286" s="164">
        <f t="shared" si="225"/>
        <v>0</v>
      </c>
      <c r="M286" s="164">
        <f t="shared" si="226"/>
        <v>0</v>
      </c>
      <c r="N286" s="164">
        <f t="shared" si="227"/>
        <v>5655.0940185299996</v>
      </c>
      <c r="O286" s="1084">
        <f t="shared" si="228"/>
        <v>10.980765084524272</v>
      </c>
      <c r="P286" s="171"/>
    </row>
    <row r="287" spans="1:16" x14ac:dyDescent="0.2">
      <c r="A287" s="303"/>
      <c r="B287" s="833">
        <f t="shared" si="218"/>
        <v>1.5</v>
      </c>
      <c r="C287" s="775" t="s">
        <v>1975</v>
      </c>
      <c r="D287" s="823"/>
      <c r="E287" s="161" t="str">
        <f>+_xlfn.XLOOKUP(C287,'BASE DATOS PRECIOS '!B:B,'BASE DATOS PRECIOS '!E:E)</f>
        <v>PIEDRA P/LAVADO GRUESA GRIS CON VERDE</v>
      </c>
      <c r="F287" s="162">
        <f>+'1_OG y 2_ACA'!D1222</f>
        <v>10</v>
      </c>
      <c r="G287" s="175" t="str">
        <f>+_xlfn.XLOOKUP(C287,'BASE DATOS PRECIOS '!B:B,'BASE DATOS PRECIOS '!F:F)</f>
        <v>SACO</v>
      </c>
      <c r="H287" s="176">
        <f>+_xlfn.XLOOKUP(E287,'BASE DATOS PRECIOS '!E:E,'BASE DATOS PRECIOS '!H:H)</f>
        <v>4520</v>
      </c>
      <c r="I287" s="175"/>
      <c r="J287" s="175"/>
      <c r="K287" s="204">
        <f t="shared" si="224"/>
        <v>45200</v>
      </c>
      <c r="L287" s="204">
        <f t="shared" si="225"/>
        <v>0</v>
      </c>
      <c r="M287" s="204">
        <f t="shared" si="226"/>
        <v>0</v>
      </c>
      <c r="N287" s="204">
        <f t="shared" si="227"/>
        <v>45200</v>
      </c>
      <c r="O287" s="1083">
        <f t="shared" si="228"/>
        <v>87.766990291262132</v>
      </c>
      <c r="P287" s="171"/>
    </row>
    <row r="288" spans="1:16" x14ac:dyDescent="0.2">
      <c r="A288" s="303"/>
      <c r="B288" s="833">
        <f t="shared" si="218"/>
        <v>1.5</v>
      </c>
      <c r="C288" s="778" t="s">
        <v>2211</v>
      </c>
      <c r="D288" s="827"/>
      <c r="E288" s="161" t="str">
        <f>+_xlfn.XLOOKUP(C288,'BASE DATOS PRECIOS '!B:B,'BASE DATOS PRECIOS '!E:E)</f>
        <v>MAXICLEAR BRILLANTE</v>
      </c>
      <c r="F288" s="162">
        <f>+'1_OG y 2_ACA'!D1223</f>
        <v>1</v>
      </c>
      <c r="G288" s="175" t="str">
        <f>+_xlfn.XLOOKUP(C288,'BASE DATOS PRECIOS '!B:B,'BASE DATOS PRECIOS '!F:F)</f>
        <v>GALON</v>
      </c>
      <c r="H288" s="176">
        <f>+_xlfn.XLOOKUP(E288,'BASE DATOS PRECIOS '!E:E,'BASE DATOS PRECIOS '!H:H)</f>
        <v>29260.005299999997</v>
      </c>
      <c r="I288" s="175"/>
      <c r="J288" s="175"/>
      <c r="K288" s="204">
        <f t="shared" si="224"/>
        <v>29260.005299999997</v>
      </c>
      <c r="L288" s="204">
        <f t="shared" si="225"/>
        <v>0</v>
      </c>
      <c r="M288" s="204">
        <f t="shared" si="226"/>
        <v>0</v>
      </c>
      <c r="N288" s="204">
        <f t="shared" si="227"/>
        <v>29260.005299999997</v>
      </c>
      <c r="O288" s="1083">
        <f t="shared" si="228"/>
        <v>56.815544271844658</v>
      </c>
      <c r="P288" s="171"/>
    </row>
    <row r="289" spans="1:16" x14ac:dyDescent="0.2">
      <c r="A289" s="303"/>
      <c r="B289" s="833">
        <f t="shared" ref="B289" si="229">VALUE(IF(AND(LEN(TRIM(C289))-LEN(SUBSTITUTE(TRIM(C289),".",""))=1,ISNUMBER(VALUE(SUBSTITUTE(TRIM(C289),".","")))),TRIM(C289),B288))</f>
        <v>1.5</v>
      </c>
      <c r="C289" s="775" t="s">
        <v>2438</v>
      </c>
      <c r="D289" s="823"/>
      <c r="E289" s="161" t="str">
        <f>+_xlfn.XLOOKUP(C289,'BASE DATOS PRECIOS '!B:B,'BASE DATOS PRECIOS '!E:E)</f>
        <v>CONCRETO FC 210 KG/CM2 NORMAL</v>
      </c>
      <c r="F289" s="162">
        <f>'1_OG y 2_ACA'!D1203</f>
        <v>4.1265000000000001</v>
      </c>
      <c r="G289" s="165" t="str">
        <f>+_xlfn.XLOOKUP(C289,'BASE DATOS PRECIOS '!B:B,'BASE DATOS PRECIOS '!F:F)</f>
        <v>M3</v>
      </c>
      <c r="H289" s="164">
        <f>+_xlfn.XLOOKUP(E289,'BASE DATOS PRECIOS '!E:E,'BASE DATOS PRECIOS '!H:H)</f>
        <v>78867.084399999992</v>
      </c>
      <c r="I289" s="165"/>
      <c r="J289" s="165"/>
      <c r="K289" s="164">
        <f t="shared" si="224"/>
        <v>325445.02377659996</v>
      </c>
      <c r="L289" s="164">
        <f t="shared" si="225"/>
        <v>0</v>
      </c>
      <c r="M289" s="164">
        <f t="shared" si="226"/>
        <v>0</v>
      </c>
      <c r="N289" s="164">
        <f t="shared" si="227"/>
        <v>325445.02377659996</v>
      </c>
      <c r="O289" s="1084">
        <f t="shared" si="228"/>
        <v>631.93208500310675</v>
      </c>
      <c r="P289" s="171"/>
    </row>
    <row r="290" spans="1:16" x14ac:dyDescent="0.2">
      <c r="A290" s="303"/>
      <c r="B290" s="833">
        <f>VALUE(IF(AND(LEN(TRIM(C290))-LEN(SUBSTITUTE(TRIM(C290),".",""))=1,ISNUMBER(VALUE(SUBSTITUTE(TRIM(C290),".","")))),TRIM(C290),B288))</f>
        <v>1.5</v>
      </c>
      <c r="C290" s="773" t="s">
        <v>34</v>
      </c>
      <c r="D290" s="448"/>
      <c r="E290" s="449" t="str">
        <f>+_xlfn.XLOOKUP(C290,'BASE DATOS EQUIPOS Y SUBCONTRAT'!A:A,'BASE DATOS EQUIPOS Y SUBCONTRAT'!B:B)</f>
        <v xml:space="preserve">BACK HOE </v>
      </c>
      <c r="F290" s="450">
        <f>+'1_OG y 2_ACA'!F1233</f>
        <v>1</v>
      </c>
      <c r="G290" s="451" t="str">
        <f>+_xlfn.XLOOKUP(C290,'BASE DATOS EQUIPOS Y SUBCONTRAT'!A:A,'BASE DATOS EQUIPOS Y SUBCONTRAT'!C:C)</f>
        <v xml:space="preserve">HORA </v>
      </c>
      <c r="H290" s="452">
        <v>0</v>
      </c>
      <c r="I290" s="451"/>
      <c r="J290" s="452">
        <f>+_xlfn.XLOOKUP(C290,'BASE DATOS EQUIPOS Y SUBCONTRAT'!A:A,'BASE DATOS EQUIPOS Y SUBCONTRAT'!E:E)</f>
        <v>15000</v>
      </c>
      <c r="K290" s="452">
        <f t="shared" si="224"/>
        <v>0</v>
      </c>
      <c r="L290" s="452">
        <f t="shared" si="225"/>
        <v>0</v>
      </c>
      <c r="M290" s="452">
        <f t="shared" si="226"/>
        <v>15000</v>
      </c>
      <c r="N290" s="452">
        <f t="shared" si="227"/>
        <v>15000</v>
      </c>
      <c r="O290" s="1085">
        <f t="shared" si="228"/>
        <v>29.126213592233011</v>
      </c>
      <c r="P290" s="171"/>
    </row>
    <row r="291" spans="1:16" x14ac:dyDescent="0.2">
      <c r="A291" s="1077" t="s">
        <v>2153</v>
      </c>
      <c r="B291" s="833">
        <f>VALUE(IF(AND(LEN(TRIM(C291))-LEN(SUBSTITUTE(TRIM(C291),".",""))=1,ISNUMBER(VALUE(SUBSTITUTE(TRIM(C291),".","")))),TRIM(C291),B289))</f>
        <v>1.5</v>
      </c>
      <c r="C291" s="774" t="s">
        <v>36</v>
      </c>
      <c r="D291" s="210"/>
      <c r="E291" s="211" t="str">
        <f>+_xlfn.XLOOKUP(C291,'BASE DATOS MANO DE OBRA'!A:A,'BASE DATOS MANO DE OBRA'!B:B)</f>
        <v xml:space="preserve">OPERARIO PLUS </v>
      </c>
      <c r="F291" s="212">
        <f>+ROUNDUP('1_OG y 2_ACA'!F1226,0)/2</f>
        <v>33</v>
      </c>
      <c r="G291" s="213" t="str">
        <f>+_xlfn.XLOOKUP(C291,'BASE DATOS MANO DE OBRA'!A:A,'BASE DATOS MANO DE OBRA'!C:C)</f>
        <v xml:space="preserve">hora </v>
      </c>
      <c r="H291" s="214">
        <v>0</v>
      </c>
      <c r="I291" s="214">
        <f>+_xlfn.XLOOKUP(C291,'BASE DATOS MANO DE OBRA'!A:A,'BASE DATOS MANO DE OBRA'!E:E)</f>
        <v>2850</v>
      </c>
      <c r="J291" s="214">
        <v>0</v>
      </c>
      <c r="K291" s="214">
        <f t="shared" si="224"/>
        <v>0</v>
      </c>
      <c r="L291" s="214">
        <f t="shared" si="225"/>
        <v>94050</v>
      </c>
      <c r="M291" s="214">
        <f t="shared" si="226"/>
        <v>0</v>
      </c>
      <c r="N291" s="214">
        <f t="shared" si="227"/>
        <v>94050</v>
      </c>
      <c r="O291" s="1086">
        <f t="shared" si="228"/>
        <v>182.62135922330097</v>
      </c>
      <c r="P291" s="171"/>
    </row>
    <row r="292" spans="1:16" x14ac:dyDescent="0.2">
      <c r="A292" s="1077" t="s">
        <v>2153</v>
      </c>
      <c r="B292" s="833">
        <f t="shared" si="218"/>
        <v>1.5</v>
      </c>
      <c r="C292" s="774" t="s">
        <v>37</v>
      </c>
      <c r="D292" s="210"/>
      <c r="E292" s="211" t="str">
        <f>+_xlfn.XLOOKUP(C292,'BASE DATOS MANO DE OBRA'!A:A,'BASE DATOS MANO DE OBRA'!B:B)</f>
        <v xml:space="preserve">AYUDANTE PLUS </v>
      </c>
      <c r="F292" s="212">
        <f>+F291</f>
        <v>33</v>
      </c>
      <c r="G292" s="213" t="str">
        <f>+_xlfn.XLOOKUP(C292,'BASE DATOS MANO DE OBRA'!A:A,'BASE DATOS MANO DE OBRA'!C:C)</f>
        <v xml:space="preserve">hora </v>
      </c>
      <c r="H292" s="214">
        <v>0</v>
      </c>
      <c r="I292" s="214">
        <f>+_xlfn.XLOOKUP(C292,'BASE DATOS MANO DE OBRA'!A:A,'BASE DATOS MANO DE OBRA'!E:E)</f>
        <v>2325</v>
      </c>
      <c r="J292" s="214">
        <v>0</v>
      </c>
      <c r="K292" s="214">
        <f t="shared" si="224"/>
        <v>0</v>
      </c>
      <c r="L292" s="214">
        <f t="shared" si="225"/>
        <v>76725</v>
      </c>
      <c r="M292" s="214">
        <f t="shared" si="226"/>
        <v>0</v>
      </c>
      <c r="N292" s="214">
        <f t="shared" si="227"/>
        <v>76725</v>
      </c>
      <c r="O292" s="1086">
        <f t="shared" si="228"/>
        <v>148.98058252427185</v>
      </c>
      <c r="P292" s="171"/>
    </row>
    <row r="293" spans="1:16" x14ac:dyDescent="0.2">
      <c r="A293" s="1077" t="s">
        <v>2153</v>
      </c>
      <c r="B293" s="833">
        <f t="shared" si="218"/>
        <v>1.5</v>
      </c>
      <c r="C293" s="774" t="s">
        <v>36</v>
      </c>
      <c r="D293" s="210"/>
      <c r="E293" s="211" t="str">
        <f>+_xlfn.XLOOKUP(C293,'BASE DATOS MANO DE OBRA'!A:A,'BASE DATOS MANO DE OBRA'!B:B)</f>
        <v xml:space="preserve">OPERARIO PLUS </v>
      </c>
      <c r="F293" s="212">
        <f>+ROUNDUP('1_OG y 2_ACA'!F1227,0)/2</f>
        <v>12</v>
      </c>
      <c r="G293" s="213" t="str">
        <f>+_xlfn.XLOOKUP(C293,'BASE DATOS MANO DE OBRA'!A:A,'BASE DATOS MANO DE OBRA'!C:C)</f>
        <v xml:space="preserve">hora </v>
      </c>
      <c r="H293" s="214">
        <v>0</v>
      </c>
      <c r="I293" s="214">
        <f>+_xlfn.XLOOKUP(C293,'BASE DATOS MANO DE OBRA'!A:A,'BASE DATOS MANO DE OBRA'!E:E)</f>
        <v>2850</v>
      </c>
      <c r="J293" s="214">
        <v>0</v>
      </c>
      <c r="K293" s="214">
        <f t="shared" si="224"/>
        <v>0</v>
      </c>
      <c r="L293" s="214">
        <f t="shared" si="225"/>
        <v>34200</v>
      </c>
      <c r="M293" s="214">
        <f t="shared" si="226"/>
        <v>0</v>
      </c>
      <c r="N293" s="214">
        <f t="shared" si="227"/>
        <v>34200</v>
      </c>
      <c r="O293" s="1086">
        <f t="shared" si="228"/>
        <v>66.407766990291265</v>
      </c>
      <c r="P293" s="171"/>
    </row>
    <row r="294" spans="1:16" x14ac:dyDescent="0.2">
      <c r="A294" s="1077" t="s">
        <v>2153</v>
      </c>
      <c r="B294" s="833">
        <f t="shared" si="218"/>
        <v>1.5</v>
      </c>
      <c r="C294" s="774" t="s">
        <v>37</v>
      </c>
      <c r="D294" s="210"/>
      <c r="E294" s="211" t="str">
        <f>+_xlfn.XLOOKUP(C294,'BASE DATOS MANO DE OBRA'!A:A,'BASE DATOS MANO DE OBRA'!B:B)</f>
        <v xml:space="preserve">AYUDANTE PLUS </v>
      </c>
      <c r="F294" s="212">
        <f>+F293</f>
        <v>12</v>
      </c>
      <c r="G294" s="213" t="str">
        <f>+_xlfn.XLOOKUP(C294,'BASE DATOS MANO DE OBRA'!A:A,'BASE DATOS MANO DE OBRA'!C:C)</f>
        <v xml:space="preserve">hora </v>
      </c>
      <c r="H294" s="214">
        <v>0</v>
      </c>
      <c r="I294" s="214">
        <f>+_xlfn.XLOOKUP(C294,'BASE DATOS MANO DE OBRA'!A:A,'BASE DATOS MANO DE OBRA'!E:E)</f>
        <v>2325</v>
      </c>
      <c r="J294" s="214">
        <v>0</v>
      </c>
      <c r="K294" s="214">
        <f t="shared" si="224"/>
        <v>0</v>
      </c>
      <c r="L294" s="214">
        <f t="shared" si="225"/>
        <v>27900</v>
      </c>
      <c r="M294" s="214">
        <f t="shared" si="226"/>
        <v>0</v>
      </c>
      <c r="N294" s="214">
        <f t="shared" si="227"/>
        <v>27900</v>
      </c>
      <c r="O294" s="1086">
        <f t="shared" si="228"/>
        <v>54.174757281553397</v>
      </c>
      <c r="P294" s="171"/>
    </row>
    <row r="295" spans="1:16" x14ac:dyDescent="0.2">
      <c r="A295" s="1077" t="s">
        <v>2153</v>
      </c>
      <c r="B295" s="833">
        <f t="shared" si="218"/>
        <v>1.5</v>
      </c>
      <c r="C295" s="774" t="s">
        <v>36</v>
      </c>
      <c r="D295" s="210"/>
      <c r="E295" s="211" t="str">
        <f>+_xlfn.XLOOKUP(C295,'BASE DATOS MANO DE OBRA'!A:A,'BASE DATOS MANO DE OBRA'!B:B)</f>
        <v xml:space="preserve">OPERARIO PLUS </v>
      </c>
      <c r="F295" s="212">
        <f>+ROUNDUP('1_OG y 2_ACA'!F1228,0)/2</f>
        <v>32.5</v>
      </c>
      <c r="G295" s="213" t="str">
        <f>+_xlfn.XLOOKUP(C295,'BASE DATOS MANO DE OBRA'!A:A,'BASE DATOS MANO DE OBRA'!C:C)</f>
        <v xml:space="preserve">hora </v>
      </c>
      <c r="H295" s="214">
        <v>0</v>
      </c>
      <c r="I295" s="214">
        <f>+_xlfn.XLOOKUP(C295,'BASE DATOS MANO DE OBRA'!A:A,'BASE DATOS MANO DE OBRA'!E:E)</f>
        <v>2850</v>
      </c>
      <c r="J295" s="214">
        <v>0</v>
      </c>
      <c r="K295" s="214">
        <f t="shared" si="224"/>
        <v>0</v>
      </c>
      <c r="L295" s="214">
        <f t="shared" si="225"/>
        <v>92625</v>
      </c>
      <c r="M295" s="214">
        <f t="shared" si="226"/>
        <v>0</v>
      </c>
      <c r="N295" s="214">
        <f t="shared" si="227"/>
        <v>92625</v>
      </c>
      <c r="O295" s="1086">
        <f t="shared" si="228"/>
        <v>179.85436893203882</v>
      </c>
      <c r="P295" s="171"/>
    </row>
    <row r="296" spans="1:16" x14ac:dyDescent="0.2">
      <c r="A296" s="1077" t="s">
        <v>2153</v>
      </c>
      <c r="B296" s="833">
        <f t="shared" si="218"/>
        <v>1.5</v>
      </c>
      <c r="C296" s="774" t="s">
        <v>37</v>
      </c>
      <c r="D296" s="210"/>
      <c r="E296" s="211" t="str">
        <f>+_xlfn.XLOOKUP(C296,'BASE DATOS MANO DE OBRA'!A:A,'BASE DATOS MANO DE OBRA'!B:B)</f>
        <v xml:space="preserve">AYUDANTE PLUS </v>
      </c>
      <c r="F296" s="212">
        <f>+F295</f>
        <v>32.5</v>
      </c>
      <c r="G296" s="213" t="str">
        <f>+_xlfn.XLOOKUP(C296,'BASE DATOS MANO DE OBRA'!A:A,'BASE DATOS MANO DE OBRA'!C:C)</f>
        <v xml:space="preserve">hora </v>
      </c>
      <c r="H296" s="214">
        <v>0</v>
      </c>
      <c r="I296" s="214">
        <f>+_xlfn.XLOOKUP(C296,'BASE DATOS MANO DE OBRA'!A:A,'BASE DATOS MANO DE OBRA'!E:E)</f>
        <v>2325</v>
      </c>
      <c r="J296" s="214">
        <v>0</v>
      </c>
      <c r="K296" s="214">
        <f t="shared" si="224"/>
        <v>0</v>
      </c>
      <c r="L296" s="214">
        <f t="shared" si="225"/>
        <v>75562.5</v>
      </c>
      <c r="M296" s="214">
        <f t="shared" si="226"/>
        <v>0</v>
      </c>
      <c r="N296" s="214">
        <f t="shared" si="227"/>
        <v>75562.5</v>
      </c>
      <c r="O296" s="1086">
        <f t="shared" si="228"/>
        <v>146.72330097087379</v>
      </c>
      <c r="P296" s="171"/>
    </row>
    <row r="297" spans="1:16" x14ac:dyDescent="0.2">
      <c r="A297" s="1077" t="s">
        <v>2153</v>
      </c>
      <c r="B297" s="833">
        <f t="shared" si="218"/>
        <v>1.5</v>
      </c>
      <c r="C297" s="774" t="s">
        <v>36</v>
      </c>
      <c r="D297" s="210"/>
      <c r="E297" s="211" t="str">
        <f>+_xlfn.XLOOKUP(C297,'BASE DATOS MANO DE OBRA'!A:A,'BASE DATOS MANO DE OBRA'!B:B)</f>
        <v xml:space="preserve">OPERARIO PLUS </v>
      </c>
      <c r="F297" s="212">
        <f>+ROUNDUP('1_OG y 2_ACA'!F1229,0)/2</f>
        <v>40</v>
      </c>
      <c r="G297" s="213" t="str">
        <f>+_xlfn.XLOOKUP(C297,'BASE DATOS MANO DE OBRA'!A:A,'BASE DATOS MANO DE OBRA'!C:C)</f>
        <v xml:space="preserve">hora </v>
      </c>
      <c r="H297" s="214">
        <v>0</v>
      </c>
      <c r="I297" s="214">
        <f>+_xlfn.XLOOKUP(C297,'BASE DATOS MANO DE OBRA'!A:A,'BASE DATOS MANO DE OBRA'!E:E)</f>
        <v>2850</v>
      </c>
      <c r="J297" s="214">
        <v>0</v>
      </c>
      <c r="K297" s="214">
        <f t="shared" si="224"/>
        <v>0</v>
      </c>
      <c r="L297" s="214">
        <f t="shared" si="225"/>
        <v>114000</v>
      </c>
      <c r="M297" s="214">
        <f t="shared" si="226"/>
        <v>0</v>
      </c>
      <c r="N297" s="214">
        <f t="shared" si="227"/>
        <v>114000</v>
      </c>
      <c r="O297" s="1086">
        <f t="shared" si="228"/>
        <v>221.35922330097088</v>
      </c>
      <c r="P297" s="171"/>
    </row>
    <row r="298" spans="1:16" x14ac:dyDescent="0.2">
      <c r="A298" s="1077" t="s">
        <v>2153</v>
      </c>
      <c r="B298" s="833">
        <f t="shared" si="218"/>
        <v>1.5</v>
      </c>
      <c r="C298" s="774" t="s">
        <v>37</v>
      </c>
      <c r="D298" s="210"/>
      <c r="E298" s="211" t="str">
        <f>+_xlfn.XLOOKUP(C298,'BASE DATOS MANO DE OBRA'!A:A,'BASE DATOS MANO DE OBRA'!B:B)</f>
        <v xml:space="preserve">AYUDANTE PLUS </v>
      </c>
      <c r="F298" s="212">
        <f>+F297</f>
        <v>40</v>
      </c>
      <c r="G298" s="213" t="str">
        <f>+_xlfn.XLOOKUP(C298,'BASE DATOS MANO DE OBRA'!A:A,'BASE DATOS MANO DE OBRA'!C:C)</f>
        <v xml:space="preserve">hora </v>
      </c>
      <c r="H298" s="214">
        <v>0</v>
      </c>
      <c r="I298" s="214">
        <f>+_xlfn.XLOOKUP(C298,'BASE DATOS MANO DE OBRA'!A:A,'BASE DATOS MANO DE OBRA'!E:E)</f>
        <v>2325</v>
      </c>
      <c r="J298" s="214">
        <v>0</v>
      </c>
      <c r="K298" s="214">
        <f t="shared" si="224"/>
        <v>0</v>
      </c>
      <c r="L298" s="214">
        <f t="shared" si="225"/>
        <v>93000</v>
      </c>
      <c r="M298" s="214">
        <f t="shared" si="226"/>
        <v>0</v>
      </c>
      <c r="N298" s="214">
        <f t="shared" si="227"/>
        <v>93000</v>
      </c>
      <c r="O298" s="1086">
        <f t="shared" si="228"/>
        <v>180.58252427184465</v>
      </c>
      <c r="P298" s="171"/>
    </row>
    <row r="299" spans="1:16" s="49" customFormat="1" ht="18.600000000000001" customHeight="1" x14ac:dyDescent="0.2">
      <c r="A299" s="303"/>
      <c r="B299" s="833">
        <f t="shared" si="218"/>
        <v>1.5</v>
      </c>
      <c r="C299" s="770" t="s">
        <v>2059</v>
      </c>
      <c r="D299" s="453"/>
      <c r="E299" s="454" t="s">
        <v>217</v>
      </c>
      <c r="F299" s="455">
        <f>+'1_OG y 2_ACA'!D1239</f>
        <v>8.5</v>
      </c>
      <c r="G299" s="453" t="s">
        <v>342</v>
      </c>
      <c r="H299" s="453"/>
      <c r="I299" s="453"/>
      <c r="J299" s="453"/>
      <c r="K299" s="456">
        <f>+SUBTOTAL(9,K300:K311)</f>
        <v>277853.73134442407</v>
      </c>
      <c r="L299" s="456">
        <f>+SUBTOTAL(9,L300:L311)</f>
        <v>144900</v>
      </c>
      <c r="M299" s="456">
        <f t="shared" ref="M299" si="230">+SUBTOTAL(9,M300:M311)</f>
        <v>0</v>
      </c>
      <c r="N299" s="456">
        <f>+SUBTOTAL(9,N300:N311)</f>
        <v>422753.73134442407</v>
      </c>
      <c r="O299" s="1090">
        <f>+SUBTOTAL(9,O300:O311)</f>
        <v>820.88103173674563</v>
      </c>
      <c r="P299" s="416"/>
    </row>
    <row r="300" spans="1:16" x14ac:dyDescent="0.2">
      <c r="A300" s="303"/>
      <c r="B300" s="833">
        <f t="shared" si="218"/>
        <v>1.5</v>
      </c>
      <c r="C300" s="303" t="s">
        <v>2451</v>
      </c>
      <c r="D300" s="822"/>
      <c r="E300" s="161" t="str">
        <f>+_xlfn.XLOOKUP(C300,'BASE DATOS PRECIOS '!B:B,'BASE DATOS PRECIOS '!E:E)</f>
        <v>BALDOSA LISA 2M LARGO (190x50x4)</v>
      </c>
      <c r="F300" s="174">
        <f>+'1_OG y 2_ACA'!D1245</f>
        <v>0</v>
      </c>
      <c r="G300" s="184" t="str">
        <f>+_xlfn.XLOOKUP(C300,'BASE DATOS PRECIOS '!B:B,'BASE DATOS PRECIOS '!F:F)</f>
        <v>UND</v>
      </c>
      <c r="H300" s="185">
        <f>+_xlfn.XLOOKUP(E300,'BASE DATOS PRECIOS '!E:E,'BASE DATOS PRECIOS '!H:H)</f>
        <v>8077.27</v>
      </c>
      <c r="I300" s="184"/>
      <c r="J300" s="184"/>
      <c r="K300" s="185">
        <f t="shared" ref="K300:K303" si="231">+F300*H300</f>
        <v>0</v>
      </c>
      <c r="L300" s="185">
        <f t="shared" ref="L300:L303" si="232">+F300*I300</f>
        <v>0</v>
      </c>
      <c r="M300" s="185">
        <f t="shared" ref="M300:M303" si="233">+F300*J300</f>
        <v>0</v>
      </c>
      <c r="N300" s="185">
        <f t="shared" ref="N300:N303" si="234">SUM(K300:M300)</f>
        <v>0</v>
      </c>
      <c r="O300" s="1088">
        <f t="shared" ref="O300:O303" si="235">SUM(K300:M300)/tc</f>
        <v>0</v>
      </c>
      <c r="P300" s="171"/>
    </row>
    <row r="301" spans="1:16" x14ac:dyDescent="0.2">
      <c r="A301" s="303"/>
      <c r="B301" s="833">
        <f t="shared" si="218"/>
        <v>1.5</v>
      </c>
      <c r="C301" s="781" t="s">
        <v>3199</v>
      </c>
      <c r="D301" s="821"/>
      <c r="E301" s="161" t="str">
        <f>+_xlfn.XLOOKUP(C301,'BASE DATOS PRECIOS '!B:B,'BASE DATOS PRECIOS '!E:E)</f>
        <v>BALDOSA LISA 1,5M LARGO (140x50x4)</v>
      </c>
      <c r="F301" s="174">
        <f>+'1_OG y 2_ACA'!D1246</f>
        <v>30</v>
      </c>
      <c r="G301" s="184" t="str">
        <f>+_xlfn.XLOOKUP(C301,'BASE DATOS PRECIOS '!B:B,'BASE DATOS PRECIOS '!F:F)</f>
        <v>UND</v>
      </c>
      <c r="H301" s="185">
        <f>+_xlfn.XLOOKUP(E301,'BASE DATOS PRECIOS '!E:E,'BASE DATOS PRECIOS '!H:H)</f>
        <v>6988.62</v>
      </c>
      <c r="I301" s="184"/>
      <c r="J301" s="184"/>
      <c r="K301" s="185">
        <f t="shared" si="231"/>
        <v>209658.6</v>
      </c>
      <c r="L301" s="185">
        <f t="shared" si="232"/>
        <v>0</v>
      </c>
      <c r="M301" s="185">
        <f t="shared" si="233"/>
        <v>0</v>
      </c>
      <c r="N301" s="185">
        <f t="shared" si="234"/>
        <v>209658.6</v>
      </c>
      <c r="O301" s="1088">
        <f t="shared" si="235"/>
        <v>407.10407766990295</v>
      </c>
      <c r="P301" s="171"/>
    </row>
    <row r="302" spans="1:16" x14ac:dyDescent="0.2">
      <c r="A302" s="303"/>
      <c r="B302" s="833">
        <f t="shared" si="218"/>
        <v>1.5</v>
      </c>
      <c r="C302" s="303" t="s">
        <v>3200</v>
      </c>
      <c r="D302" s="822"/>
      <c r="E302" s="161" t="str">
        <f>+_xlfn.XLOOKUP(C302,'BASE DATOS PRECIOS '!B:B,'BASE DATOS PRECIOS '!E:E)</f>
        <v>BALDOSA LISA 0,8M LARGO (80x50x4)</v>
      </c>
      <c r="F302" s="174">
        <f>+'1_OG y 2_ACA'!D1247</f>
        <v>0</v>
      </c>
      <c r="G302" s="184" t="str">
        <f>+_xlfn.XLOOKUP(C302,'BASE DATOS PRECIOS '!B:B,'BASE DATOS PRECIOS '!F:F)</f>
        <v>UND</v>
      </c>
      <c r="H302" s="185">
        <f>+_xlfn.XLOOKUP(E302,'BASE DATOS PRECIOS '!E:E,'BASE DATOS PRECIOS '!H:H)</f>
        <v>3810.52</v>
      </c>
      <c r="I302" s="184"/>
      <c r="J302" s="184"/>
      <c r="K302" s="185">
        <f t="shared" si="231"/>
        <v>0</v>
      </c>
      <c r="L302" s="185">
        <f t="shared" si="232"/>
        <v>0</v>
      </c>
      <c r="M302" s="185">
        <f t="shared" si="233"/>
        <v>0</v>
      </c>
      <c r="N302" s="185">
        <f t="shared" si="234"/>
        <v>0</v>
      </c>
      <c r="O302" s="1088">
        <f t="shared" si="235"/>
        <v>0</v>
      </c>
      <c r="P302" s="171"/>
    </row>
    <row r="303" spans="1:16" x14ac:dyDescent="0.2">
      <c r="A303" s="303"/>
      <c r="B303" s="833">
        <f t="shared" si="218"/>
        <v>1.5</v>
      </c>
      <c r="C303" s="781" t="s">
        <v>3201</v>
      </c>
      <c r="D303" s="821"/>
      <c r="E303" s="161" t="str">
        <f>+_xlfn.XLOOKUP(C303,'BASE DATOS PRECIOS '!B:B,'BASE DATOS PRECIOS '!E:E)</f>
        <v xml:space="preserve"> BALDOSA LISA 0,7M LARGO (70x50x4)</v>
      </c>
      <c r="F303" s="174">
        <f>+'1_OG y 2_ACA'!D1248</f>
        <v>0</v>
      </c>
      <c r="G303" s="184" t="str">
        <f>+_xlfn.XLOOKUP(C303,'BASE DATOS PRECIOS '!B:B,'BASE DATOS PRECIOS '!F:F)</f>
        <v>UND</v>
      </c>
      <c r="H303" s="185">
        <f>+_xlfn.XLOOKUP(E303,'BASE DATOS PRECIOS '!E:E,'BASE DATOS PRECIOS '!H:H)</f>
        <v>3667.75</v>
      </c>
      <c r="I303" s="184"/>
      <c r="J303" s="184"/>
      <c r="K303" s="185">
        <f t="shared" si="231"/>
        <v>0</v>
      </c>
      <c r="L303" s="185">
        <f t="shared" si="232"/>
        <v>0</v>
      </c>
      <c r="M303" s="185">
        <f t="shared" si="233"/>
        <v>0</v>
      </c>
      <c r="N303" s="185">
        <f t="shared" si="234"/>
        <v>0</v>
      </c>
      <c r="O303" s="1088">
        <f t="shared" si="235"/>
        <v>0</v>
      </c>
      <c r="P303" s="171"/>
    </row>
    <row r="304" spans="1:16" x14ac:dyDescent="0.2">
      <c r="A304" s="303"/>
      <c r="B304" s="833">
        <f t="shared" si="218"/>
        <v>1.5</v>
      </c>
      <c r="C304" s="303" t="s">
        <v>3202</v>
      </c>
      <c r="D304" s="822"/>
      <c r="E304" s="161" t="str">
        <f>+_xlfn.XLOOKUP(C304,'BASE DATOS PRECIOS '!B:B,'BASE DATOS PRECIOS '!E:E)</f>
        <v>COLUMNA EN T PREFA 3,30x12x12</v>
      </c>
      <c r="F304" s="174">
        <f>+'1_OG y 2_ACA'!D1249</f>
        <v>1</v>
      </c>
      <c r="G304" s="184" t="str">
        <f>+_xlfn.XLOOKUP(C304,'BASE DATOS PRECIOS '!B:B,'BASE DATOS PRECIOS '!F:F)</f>
        <v>UND</v>
      </c>
      <c r="H304" s="185">
        <f>+_xlfn.XLOOKUP(E304,'BASE DATOS PRECIOS '!E:E,'BASE DATOS PRECIOS '!H:H)</f>
        <v>6115.08</v>
      </c>
      <c r="I304" s="184"/>
      <c r="J304" s="184"/>
      <c r="K304" s="185">
        <f t="shared" ref="K304:K305" si="236">+F304*H304</f>
        <v>6115.08</v>
      </c>
      <c r="L304" s="185">
        <f t="shared" ref="L304:L305" si="237">+F304*I304</f>
        <v>0</v>
      </c>
      <c r="M304" s="185">
        <f t="shared" ref="M304:M305" si="238">+F304*J304</f>
        <v>0</v>
      </c>
      <c r="N304" s="185">
        <f t="shared" ref="N304:N305" si="239">SUM(K304:M304)</f>
        <v>6115.08</v>
      </c>
      <c r="O304" s="1088">
        <f t="shared" ref="O304:O305" si="240">SUM(K304:M304)/tc</f>
        <v>11.873941747572815</v>
      </c>
      <c r="P304" s="171"/>
    </row>
    <row r="305" spans="1:16" x14ac:dyDescent="0.2">
      <c r="A305" s="303"/>
      <c r="B305" s="833">
        <f t="shared" si="218"/>
        <v>1.5</v>
      </c>
      <c r="C305" s="781" t="s">
        <v>3203</v>
      </c>
      <c r="D305" s="821"/>
      <c r="E305" s="161" t="str">
        <f>+_xlfn.XLOOKUP(C305,'BASE DATOS PRECIOS '!B:B,'BASE DATOS PRECIOS '!E:E)</f>
        <v>COLUMNA PREFA 3,30x12x12</v>
      </c>
      <c r="F305" s="174">
        <f>+'1_OG y 2_ACA'!D1250</f>
        <v>7</v>
      </c>
      <c r="G305" s="184" t="str">
        <f>+_xlfn.XLOOKUP(C305,'BASE DATOS PRECIOS '!B:B,'BASE DATOS PRECIOS '!F:F)</f>
        <v>UND</v>
      </c>
      <c r="H305" s="185">
        <f>+_xlfn.XLOOKUP(E305,'BASE DATOS PRECIOS '!E:E,'BASE DATOS PRECIOS '!H:H)</f>
        <v>6877.8900000000012</v>
      </c>
      <c r="I305" s="184"/>
      <c r="J305" s="184"/>
      <c r="K305" s="185">
        <f t="shared" si="236"/>
        <v>48145.23000000001</v>
      </c>
      <c r="L305" s="185">
        <f t="shared" si="237"/>
        <v>0</v>
      </c>
      <c r="M305" s="185">
        <f t="shared" si="238"/>
        <v>0</v>
      </c>
      <c r="N305" s="185">
        <f t="shared" si="239"/>
        <v>48145.23000000001</v>
      </c>
      <c r="O305" s="1088">
        <f t="shared" si="240"/>
        <v>93.485883495145657</v>
      </c>
      <c r="P305" s="171"/>
    </row>
    <row r="306" spans="1:16" x14ac:dyDescent="0.2">
      <c r="A306" s="303"/>
      <c r="B306" s="833">
        <f t="shared" si="218"/>
        <v>1.5</v>
      </c>
      <c r="C306" s="303" t="s">
        <v>2212</v>
      </c>
      <c r="D306" s="822"/>
      <c r="E306" s="161" t="str">
        <f>+_xlfn.XLOOKUP(C306,'BASE DATOS PRECIOS '!B:B,'BASE DATOS PRECIOS '!E:E)</f>
        <v>PERLING 3X2X15MM EN 1.5MM H.G</v>
      </c>
      <c r="F306" s="174">
        <f>+'1_OG y 2_ACA'!D1251</f>
        <v>2</v>
      </c>
      <c r="G306" s="184" t="str">
        <f>+_xlfn.XLOOKUP(C306,'BASE DATOS PRECIOS '!B:B,'BASE DATOS PRECIOS '!F:F)</f>
        <v>UND</v>
      </c>
      <c r="H306" s="185">
        <f>+_xlfn.XLOOKUP(E306,'BASE DATOS PRECIOS '!E:E,'BASE DATOS PRECIOS '!H:H)</f>
        <v>6785.5369999999994</v>
      </c>
      <c r="I306" s="184"/>
      <c r="J306" s="184"/>
      <c r="K306" s="185">
        <f t="shared" ref="K306:K311" si="241">+F306*H306</f>
        <v>13571.073999999999</v>
      </c>
      <c r="L306" s="185">
        <f t="shared" ref="L306:L311" si="242">+F306*I306</f>
        <v>0</v>
      </c>
      <c r="M306" s="185">
        <f t="shared" ref="M306:M311" si="243">+F306*J306</f>
        <v>0</v>
      </c>
      <c r="N306" s="185">
        <f t="shared" ref="N306:N311" si="244">SUM(K306:M306)</f>
        <v>13571.073999999999</v>
      </c>
      <c r="O306" s="1088">
        <f t="shared" ref="O306:O311" si="245">SUM(K306:M306)/tc</f>
        <v>26.351599999999998</v>
      </c>
      <c r="P306" s="171"/>
    </row>
    <row r="307" spans="1:16" x14ac:dyDescent="0.2">
      <c r="A307" s="1074"/>
      <c r="B307" s="833">
        <f t="shared" si="218"/>
        <v>1.5</v>
      </c>
      <c r="C307" s="781" t="s">
        <v>2195</v>
      </c>
      <c r="D307" s="821"/>
      <c r="E307" s="161" t="str">
        <f>+_xlfn.XLOOKUP(C307,'BASE DATOS PRECIOS '!B:B,'BASE DATOS PRECIOS '!E:E)</f>
        <v>SOLDADURA 3/32 (6013)</v>
      </c>
      <c r="F307" s="174">
        <f>+'1_OG y 2_ACA'!D1252</f>
        <v>0.10104</v>
      </c>
      <c r="G307" s="184" t="str">
        <f>+_xlfn.XLOOKUP(C307,'BASE DATOS PRECIOS '!B:B,'BASE DATOS PRECIOS '!F:F)</f>
        <v>KG</v>
      </c>
      <c r="H307" s="185">
        <f>+_xlfn.XLOOKUP(E307,'BASE DATOS PRECIOS '!E:E,'BASE DATOS PRECIOS '!H:H)</f>
        <v>3600.0330999999996</v>
      </c>
      <c r="I307" s="184"/>
      <c r="J307" s="184"/>
      <c r="K307" s="185">
        <f t="shared" si="241"/>
        <v>363.747344424</v>
      </c>
      <c r="L307" s="185">
        <f t="shared" si="242"/>
        <v>0</v>
      </c>
      <c r="M307" s="185">
        <f t="shared" si="243"/>
        <v>0</v>
      </c>
      <c r="N307" s="185">
        <f t="shared" si="244"/>
        <v>363.747344424</v>
      </c>
      <c r="O307" s="1088">
        <f t="shared" si="245"/>
        <v>0.70630552315339812</v>
      </c>
      <c r="P307" s="171"/>
    </row>
    <row r="308" spans="1:16" x14ac:dyDescent="0.2">
      <c r="A308" s="1077" t="s">
        <v>2154</v>
      </c>
      <c r="B308" s="833">
        <f t="shared" si="218"/>
        <v>1.5</v>
      </c>
      <c r="C308" s="774" t="s">
        <v>36</v>
      </c>
      <c r="D308" s="210"/>
      <c r="E308" s="211" t="str">
        <f>+_xlfn.XLOOKUP(C308,'BASE DATOS MANO DE OBRA'!A:A,'BASE DATOS MANO DE OBRA'!B:B)</f>
        <v xml:space="preserve">OPERARIO PLUS </v>
      </c>
      <c r="F308" s="212">
        <f>+ROUNDUP('1_OG y 2_ACA'!F1255,0)/2</f>
        <v>21.5</v>
      </c>
      <c r="G308" s="213" t="str">
        <f>+_xlfn.XLOOKUP(C308,'BASE DATOS MANO DE OBRA'!A:A,'BASE DATOS MANO DE OBRA'!C:C)</f>
        <v xml:space="preserve">hora </v>
      </c>
      <c r="H308" s="214">
        <v>0</v>
      </c>
      <c r="I308" s="214">
        <f>+_xlfn.XLOOKUP(C308,'BASE DATOS MANO DE OBRA'!A:A,'BASE DATOS MANO DE OBRA'!E:E)</f>
        <v>2850</v>
      </c>
      <c r="J308" s="214">
        <v>0</v>
      </c>
      <c r="K308" s="214">
        <f t="shared" si="241"/>
        <v>0</v>
      </c>
      <c r="L308" s="214">
        <f t="shared" si="242"/>
        <v>61275</v>
      </c>
      <c r="M308" s="214">
        <f t="shared" si="243"/>
        <v>0</v>
      </c>
      <c r="N308" s="214">
        <f t="shared" si="244"/>
        <v>61275</v>
      </c>
      <c r="O308" s="1086">
        <f t="shared" si="245"/>
        <v>118.98058252427184</v>
      </c>
      <c r="P308" s="171"/>
    </row>
    <row r="309" spans="1:16" x14ac:dyDescent="0.2">
      <c r="A309" s="1077" t="s">
        <v>2154</v>
      </c>
      <c r="B309" s="833">
        <f t="shared" si="218"/>
        <v>1.5</v>
      </c>
      <c r="C309" s="774" t="s">
        <v>37</v>
      </c>
      <c r="D309" s="210"/>
      <c r="E309" s="211" t="str">
        <f>+_xlfn.XLOOKUP(C309,'BASE DATOS MANO DE OBRA'!A:A,'BASE DATOS MANO DE OBRA'!B:B)</f>
        <v xml:space="preserve">AYUDANTE PLUS </v>
      </c>
      <c r="F309" s="212">
        <f>+F308</f>
        <v>21.5</v>
      </c>
      <c r="G309" s="213" t="str">
        <f>+_xlfn.XLOOKUP(C309,'BASE DATOS MANO DE OBRA'!A:A,'BASE DATOS MANO DE OBRA'!C:C)</f>
        <v xml:space="preserve">hora </v>
      </c>
      <c r="H309" s="214">
        <v>0</v>
      </c>
      <c r="I309" s="214">
        <f>+_xlfn.XLOOKUP(C309,'BASE DATOS MANO DE OBRA'!A:A,'BASE DATOS MANO DE OBRA'!E:E)</f>
        <v>2325</v>
      </c>
      <c r="J309" s="214">
        <v>0</v>
      </c>
      <c r="K309" s="214">
        <f t="shared" si="241"/>
        <v>0</v>
      </c>
      <c r="L309" s="214">
        <f t="shared" si="242"/>
        <v>49987.5</v>
      </c>
      <c r="M309" s="214">
        <f t="shared" si="243"/>
        <v>0</v>
      </c>
      <c r="N309" s="214">
        <f t="shared" si="244"/>
        <v>49987.5</v>
      </c>
      <c r="O309" s="1086">
        <f t="shared" si="245"/>
        <v>97.0631067961165</v>
      </c>
      <c r="P309" s="171"/>
    </row>
    <row r="310" spans="1:16" x14ac:dyDescent="0.2">
      <c r="A310" s="1077" t="s">
        <v>2154</v>
      </c>
      <c r="B310" s="833">
        <f t="shared" si="218"/>
        <v>1.5</v>
      </c>
      <c r="C310" s="774" t="s">
        <v>36</v>
      </c>
      <c r="D310" s="210"/>
      <c r="E310" s="211" t="str">
        <f>+_xlfn.XLOOKUP(C310,'BASE DATOS MANO DE OBRA'!A:A,'BASE DATOS MANO DE OBRA'!B:B)</f>
        <v xml:space="preserve">OPERARIO PLUS </v>
      </c>
      <c r="F310" s="212">
        <f>+ROUNDUP('1_OG y 2_ACA'!F1256,0)/2</f>
        <v>6.5</v>
      </c>
      <c r="G310" s="213" t="str">
        <f>+_xlfn.XLOOKUP(C310,'BASE DATOS MANO DE OBRA'!A:A,'BASE DATOS MANO DE OBRA'!C:C)</f>
        <v xml:space="preserve">hora </v>
      </c>
      <c r="H310" s="214">
        <v>0</v>
      </c>
      <c r="I310" s="214">
        <f>+_xlfn.XLOOKUP(C310,'BASE DATOS MANO DE OBRA'!A:A,'BASE DATOS MANO DE OBRA'!E:E)</f>
        <v>2850</v>
      </c>
      <c r="J310" s="214">
        <v>0</v>
      </c>
      <c r="K310" s="214">
        <f t="shared" si="241"/>
        <v>0</v>
      </c>
      <c r="L310" s="214">
        <f t="shared" si="242"/>
        <v>18525</v>
      </c>
      <c r="M310" s="214">
        <f t="shared" si="243"/>
        <v>0</v>
      </c>
      <c r="N310" s="214">
        <f t="shared" si="244"/>
        <v>18525</v>
      </c>
      <c r="O310" s="1086">
        <f t="shared" si="245"/>
        <v>35.970873786407765</v>
      </c>
      <c r="P310" s="171"/>
    </row>
    <row r="311" spans="1:16" x14ac:dyDescent="0.2">
      <c r="A311" s="1077" t="s">
        <v>2154</v>
      </c>
      <c r="B311" s="833">
        <f t="shared" si="218"/>
        <v>1.5</v>
      </c>
      <c r="C311" s="774" t="s">
        <v>37</v>
      </c>
      <c r="D311" s="210"/>
      <c r="E311" s="211" t="str">
        <f>+_xlfn.XLOOKUP(C311,'BASE DATOS MANO DE OBRA'!A:A,'BASE DATOS MANO DE OBRA'!B:B)</f>
        <v xml:space="preserve">AYUDANTE PLUS </v>
      </c>
      <c r="F311" s="212">
        <f>+F310</f>
        <v>6.5</v>
      </c>
      <c r="G311" s="213" t="str">
        <f>+_xlfn.XLOOKUP(C311,'BASE DATOS MANO DE OBRA'!A:A,'BASE DATOS MANO DE OBRA'!C:C)</f>
        <v xml:space="preserve">hora </v>
      </c>
      <c r="H311" s="214">
        <v>0</v>
      </c>
      <c r="I311" s="214">
        <f>+_xlfn.XLOOKUP(C311,'BASE DATOS MANO DE OBRA'!A:A,'BASE DATOS MANO DE OBRA'!E:E)</f>
        <v>2325</v>
      </c>
      <c r="J311" s="214">
        <v>0</v>
      </c>
      <c r="K311" s="214">
        <f t="shared" si="241"/>
        <v>0</v>
      </c>
      <c r="L311" s="214">
        <f t="shared" si="242"/>
        <v>15112.5</v>
      </c>
      <c r="M311" s="214">
        <f t="shared" si="243"/>
        <v>0</v>
      </c>
      <c r="N311" s="214">
        <f t="shared" si="244"/>
        <v>15112.5</v>
      </c>
      <c r="O311" s="1086">
        <f t="shared" si="245"/>
        <v>29.344660194174757</v>
      </c>
      <c r="P311" s="171"/>
    </row>
    <row r="312" spans="1:16" s="49" customFormat="1" ht="18.600000000000001" customHeight="1" collapsed="1" x14ac:dyDescent="0.2">
      <c r="A312" s="303"/>
      <c r="B312" s="833">
        <f t="shared" si="218"/>
        <v>1.5</v>
      </c>
      <c r="C312" s="770" t="s">
        <v>2060</v>
      </c>
      <c r="D312" s="453"/>
      <c r="E312" s="454" t="s">
        <v>218</v>
      </c>
      <c r="F312" s="455">
        <f>+'1_OG y 2_ACA'!D1262</f>
        <v>12.24</v>
      </c>
      <c r="G312" s="453" t="s">
        <v>137</v>
      </c>
      <c r="H312" s="453"/>
      <c r="I312" s="453"/>
      <c r="J312" s="453"/>
      <c r="K312" s="456">
        <f>+SUBTOTAL(9,K313:K321)</f>
        <v>196993.69584802288</v>
      </c>
      <c r="L312" s="456">
        <f>+SUBTOTAL(9,L313:L321)</f>
        <v>160425</v>
      </c>
      <c r="M312" s="456">
        <f>+SUBTOTAL(9,M313:M321)</f>
        <v>0</v>
      </c>
      <c r="N312" s="456">
        <f>+SUBTOTAL(9,N313:N321)</f>
        <v>357418.69584802288</v>
      </c>
      <c r="O312" s="1082">
        <f>+SUBTOTAL(9,O313:O321)</f>
        <v>694.01688514179193</v>
      </c>
      <c r="P312" s="416"/>
    </row>
    <row r="313" spans="1:16" x14ac:dyDescent="0.2">
      <c r="A313" s="303"/>
      <c r="B313" s="833">
        <f t="shared" si="218"/>
        <v>1.5</v>
      </c>
      <c r="C313" s="303" t="s">
        <v>2187</v>
      </c>
      <c r="D313" s="822"/>
      <c r="E313" s="161" t="str">
        <f>+_xlfn.XLOOKUP(C313,'BASE DATOS PRECIOS '!B:B,'BASE DATOS PRECIOS '!E:E)</f>
        <v>MALLA ELECTROSOLDADA #2 (5.3 MM)</v>
      </c>
      <c r="F313" s="162">
        <f>+'1_OG y 2_ACA'!D1279</f>
        <v>1.5</v>
      </c>
      <c r="G313" s="175" t="str">
        <f>+_xlfn.XLOOKUP(C313,'BASE DATOS PRECIOS '!B:B,'BASE DATOS PRECIOS '!F:F)</f>
        <v>UND</v>
      </c>
      <c r="H313" s="176">
        <f>+_xlfn.XLOOKUP(E313,'BASE DATOS PRECIOS '!E:E,'BASE DATOS PRECIOS '!H:H)</f>
        <v>18762.497399999997</v>
      </c>
      <c r="I313" s="175"/>
      <c r="J313" s="175"/>
      <c r="K313" s="176">
        <f t="shared" ref="K313:K314" si="246">+F313*H313</f>
        <v>28143.746099999997</v>
      </c>
      <c r="L313" s="176">
        <f t="shared" ref="L313:L314" si="247">+F313*I313</f>
        <v>0</v>
      </c>
      <c r="M313" s="176">
        <f t="shared" ref="M313:M314" si="248">+F313*J313</f>
        <v>0</v>
      </c>
      <c r="N313" s="176">
        <f t="shared" ref="N313:N314" si="249">SUM(K313:M313)</f>
        <v>28143.746099999997</v>
      </c>
      <c r="O313" s="1083">
        <f t="shared" ref="O313:O314" si="250">SUM(K313:M313)/tc</f>
        <v>54.648050679611643</v>
      </c>
      <c r="P313" s="171"/>
    </row>
    <row r="314" spans="1:16" x14ac:dyDescent="0.2">
      <c r="A314" s="303"/>
      <c r="B314" s="833">
        <f t="shared" ref="B314:B376" si="251">VALUE(IF(AND(LEN(TRIM(C314))-LEN(SUBSTITUTE(TRIM(C314),".",""))=1,ISNUMBER(VALUE(SUBSTITUTE(TRIM(C314),".","")))),TRIM(C314),B313))</f>
        <v>1.5</v>
      </c>
      <c r="C314" s="303" t="s">
        <v>1920</v>
      </c>
      <c r="D314" s="822"/>
      <c r="E314" s="161" t="str">
        <f>+_xlfn.XLOOKUP(C314,'BASE DATOS PRECIOS '!B:B,'BASE DATOS PRECIOS '!E:E)</f>
        <v>ALAMBRE NEGRO #16 (1.68MM)</v>
      </c>
      <c r="F314" s="162">
        <f>+'1_OG y 2_ACA'!D1280</f>
        <v>2.1</v>
      </c>
      <c r="G314" s="175" t="str">
        <f>+_xlfn.XLOOKUP(C314,'BASE DATOS PRECIOS '!B:B,'BASE DATOS PRECIOS '!F:F)</f>
        <v>KG</v>
      </c>
      <c r="H314" s="176">
        <f>+_xlfn.XLOOKUP(E314,'BASE DATOS PRECIOS '!E:E,'BASE DATOS PRECIOS '!H:H)</f>
        <v>586.85419999999999</v>
      </c>
      <c r="I314" s="175"/>
      <c r="J314" s="175"/>
      <c r="K314" s="176">
        <f t="shared" si="246"/>
        <v>1232.39382</v>
      </c>
      <c r="L314" s="176">
        <f t="shared" si="247"/>
        <v>0</v>
      </c>
      <c r="M314" s="176">
        <f t="shared" si="248"/>
        <v>0</v>
      </c>
      <c r="N314" s="176">
        <f t="shared" si="249"/>
        <v>1232.39382</v>
      </c>
      <c r="O314" s="1083">
        <f t="shared" si="250"/>
        <v>2.3929977087378642</v>
      </c>
      <c r="P314" s="171"/>
    </row>
    <row r="315" spans="1:16" x14ac:dyDescent="0.2">
      <c r="A315" s="303"/>
      <c r="B315" s="833">
        <f t="shared" si="251"/>
        <v>1.5</v>
      </c>
      <c r="C315" s="303" t="s">
        <v>2213</v>
      </c>
      <c r="D315" s="822"/>
      <c r="E315" s="161" t="str">
        <f>+_xlfn.XLOOKUP(C315,'BASE DATOS PRECIOS '!B:B,'BASE DATOS PRECIOS '!E:E)</f>
        <v>GEOCELDAS P/ZACATE 56X56</v>
      </c>
      <c r="F315" s="162">
        <f>+'1_OG y 2_ACA'!D1281</f>
        <v>24.107142857142858</v>
      </c>
      <c r="G315" s="175" t="str">
        <f>+_xlfn.XLOOKUP(C315,'BASE DATOS PRECIOS '!B:B,'BASE DATOS PRECIOS '!F:F)</f>
        <v>UND</v>
      </c>
      <c r="H315" s="176">
        <f>+_xlfn.XLOOKUP(E315,'BASE DATOS PRECIOS '!E:E,'BASE DATOS PRECIOS '!H:H)</f>
        <v>2418.1999999999998</v>
      </c>
      <c r="I315" s="175"/>
      <c r="J315" s="175"/>
      <c r="K315" s="176">
        <f t="shared" ref="K315:K321" si="252">+F315*H315</f>
        <v>58295.892857142855</v>
      </c>
      <c r="L315" s="176">
        <f t="shared" ref="L315:L321" si="253">+F315*I315</f>
        <v>0</v>
      </c>
      <c r="M315" s="176">
        <f t="shared" ref="M315:M321" si="254">+F315*J315</f>
        <v>0</v>
      </c>
      <c r="N315" s="176">
        <f t="shared" ref="N315:N321" si="255">SUM(K315:M315)</f>
        <v>58295.892857142855</v>
      </c>
      <c r="O315" s="1083">
        <f t="shared" ref="O315:O321" si="256">SUM(K315:M315)/tc</f>
        <v>113.19590846047156</v>
      </c>
      <c r="P315" s="171"/>
    </row>
    <row r="316" spans="1:16" x14ac:dyDescent="0.2">
      <c r="A316" s="303"/>
      <c r="B316" s="833">
        <f t="shared" si="251"/>
        <v>1.5</v>
      </c>
      <c r="C316" s="303" t="s">
        <v>2190</v>
      </c>
      <c r="D316" s="822"/>
      <c r="E316" s="161" t="str">
        <f>+_xlfn.XLOOKUP(C316,'BASE DATOS PRECIOS '!B:B,'BASE DATOS PRECIOS '!E:E)</f>
        <v>PIEDRA QUINTILLA BLANCA</v>
      </c>
      <c r="F316" s="162">
        <f>+'1_OG y 2_ACA'!D1282</f>
        <v>0.46800000000000008</v>
      </c>
      <c r="G316" s="175" t="str">
        <f>+_xlfn.XLOOKUP(C316,'BASE DATOS PRECIOS '!B:B,'BASE DATOS PRECIOS '!F:F)</f>
        <v>M3</v>
      </c>
      <c r="H316" s="176">
        <f>+_xlfn.XLOOKUP(E316,'BASE DATOS PRECIOS '!E:E,'BASE DATOS PRECIOS '!H:H)</f>
        <v>17012.149999999998</v>
      </c>
      <c r="I316" s="175"/>
      <c r="J316" s="175"/>
      <c r="K316" s="176">
        <f t="shared" si="252"/>
        <v>7961.6862000000001</v>
      </c>
      <c r="L316" s="176">
        <f t="shared" si="253"/>
        <v>0</v>
      </c>
      <c r="M316" s="176">
        <f t="shared" si="254"/>
        <v>0</v>
      </c>
      <c r="N316" s="176">
        <f t="shared" si="255"/>
        <v>7961.6862000000001</v>
      </c>
      <c r="O316" s="1083">
        <f t="shared" si="256"/>
        <v>15.459584854368932</v>
      </c>
      <c r="P316" s="171"/>
    </row>
    <row r="317" spans="1:16" x14ac:dyDescent="0.2">
      <c r="A317" s="303"/>
      <c r="B317" s="833">
        <f t="shared" si="251"/>
        <v>1.5</v>
      </c>
      <c r="C317" s="775" t="s">
        <v>2438</v>
      </c>
      <c r="D317" s="823"/>
      <c r="E317" s="161" t="str">
        <f>+_xlfn.XLOOKUP(C317,'BASE DATOS PRECIOS '!B:B,'BASE DATOS PRECIOS '!E:E)</f>
        <v>CONCRETO FC 210 KG/CM2 NORMAL</v>
      </c>
      <c r="F317" s="162">
        <f>'1_OG y 2_ACA'!D1267</f>
        <v>1.2852000000000003</v>
      </c>
      <c r="G317" s="165" t="str">
        <f>+_xlfn.XLOOKUP(C317,'BASE DATOS PRECIOS '!B:B,'BASE DATOS PRECIOS '!F:F)</f>
        <v>M3</v>
      </c>
      <c r="H317" s="164">
        <f>+_xlfn.XLOOKUP(E317,'BASE DATOS PRECIOS '!E:E,'BASE DATOS PRECIOS '!H:H)</f>
        <v>78867.084399999992</v>
      </c>
      <c r="I317" s="165"/>
      <c r="J317" s="165"/>
      <c r="K317" s="164">
        <f t="shared" si="252"/>
        <v>101359.97687088001</v>
      </c>
      <c r="L317" s="164">
        <f t="shared" si="253"/>
        <v>0</v>
      </c>
      <c r="M317" s="164">
        <f t="shared" si="254"/>
        <v>0</v>
      </c>
      <c r="N317" s="164">
        <f t="shared" si="255"/>
        <v>101359.97687088001</v>
      </c>
      <c r="O317" s="1084">
        <f t="shared" si="256"/>
        <v>196.81548906966992</v>
      </c>
      <c r="P317" s="171"/>
    </row>
    <row r="318" spans="1:16" x14ac:dyDescent="0.2">
      <c r="A318" s="1077" t="s">
        <v>2155</v>
      </c>
      <c r="B318" s="833">
        <f t="shared" si="251"/>
        <v>1.5</v>
      </c>
      <c r="C318" s="774" t="s">
        <v>36</v>
      </c>
      <c r="D318" s="210"/>
      <c r="E318" s="211" t="str">
        <f>+_xlfn.XLOOKUP(C318,'BASE DATOS MANO DE OBRA'!A:A,'BASE DATOS MANO DE OBRA'!B:B)</f>
        <v xml:space="preserve">OPERARIO PLUS </v>
      </c>
      <c r="F318" s="212">
        <f>ROUND('1_OG y 2_ACA'!F1287,0)/2</f>
        <v>7.5</v>
      </c>
      <c r="G318" s="213" t="str">
        <f>+_xlfn.XLOOKUP(C318,'BASE DATOS MANO DE OBRA'!A:A,'BASE DATOS MANO DE OBRA'!C:C)</f>
        <v xml:space="preserve">hora </v>
      </c>
      <c r="H318" s="214">
        <v>0</v>
      </c>
      <c r="I318" s="214">
        <f>+_xlfn.XLOOKUP(C318,'BASE DATOS MANO DE OBRA'!A:A,'BASE DATOS MANO DE OBRA'!E:E)</f>
        <v>2850</v>
      </c>
      <c r="J318" s="214">
        <v>0</v>
      </c>
      <c r="K318" s="214">
        <f t="shared" si="252"/>
        <v>0</v>
      </c>
      <c r="L318" s="214">
        <f t="shared" si="253"/>
        <v>21375</v>
      </c>
      <c r="M318" s="214">
        <f t="shared" si="254"/>
        <v>0</v>
      </c>
      <c r="N318" s="214">
        <f t="shared" si="255"/>
        <v>21375</v>
      </c>
      <c r="O318" s="1086">
        <f t="shared" si="256"/>
        <v>41.504854368932037</v>
      </c>
      <c r="P318" s="171"/>
    </row>
    <row r="319" spans="1:16" x14ac:dyDescent="0.2">
      <c r="A319" s="1077" t="s">
        <v>2155</v>
      </c>
      <c r="B319" s="833">
        <f t="shared" si="251"/>
        <v>1.5</v>
      </c>
      <c r="C319" s="774" t="s">
        <v>37</v>
      </c>
      <c r="D319" s="210"/>
      <c r="E319" s="211" t="str">
        <f>+_xlfn.XLOOKUP(C319,'BASE DATOS MANO DE OBRA'!A:A,'BASE DATOS MANO DE OBRA'!B:B)</f>
        <v xml:space="preserve">AYUDANTE PLUS </v>
      </c>
      <c r="F319" s="212">
        <f>+F318</f>
        <v>7.5</v>
      </c>
      <c r="G319" s="213" t="str">
        <f>+_xlfn.XLOOKUP(C319,'BASE DATOS MANO DE OBRA'!A:A,'BASE DATOS MANO DE OBRA'!C:C)</f>
        <v xml:space="preserve">hora </v>
      </c>
      <c r="H319" s="214">
        <v>0</v>
      </c>
      <c r="I319" s="214">
        <f>+_xlfn.XLOOKUP(C319,'BASE DATOS MANO DE OBRA'!A:A,'BASE DATOS MANO DE OBRA'!E:E)</f>
        <v>2325</v>
      </c>
      <c r="J319" s="214">
        <v>0</v>
      </c>
      <c r="K319" s="214">
        <f t="shared" si="252"/>
        <v>0</v>
      </c>
      <c r="L319" s="214">
        <f t="shared" si="253"/>
        <v>17437.5</v>
      </c>
      <c r="M319" s="214">
        <f t="shared" si="254"/>
        <v>0</v>
      </c>
      <c r="N319" s="214">
        <f t="shared" si="255"/>
        <v>17437.5</v>
      </c>
      <c r="O319" s="1086">
        <f t="shared" si="256"/>
        <v>33.859223300970875</v>
      </c>
      <c r="P319" s="171"/>
    </row>
    <row r="320" spans="1:16" x14ac:dyDescent="0.2">
      <c r="A320" s="1077" t="s">
        <v>2156</v>
      </c>
      <c r="B320" s="833">
        <f t="shared" si="251"/>
        <v>1.5</v>
      </c>
      <c r="C320" s="774" t="s">
        <v>36</v>
      </c>
      <c r="D320" s="210"/>
      <c r="E320" s="211" t="str">
        <f>+_xlfn.XLOOKUP(C320,'BASE DATOS MANO DE OBRA'!A:A,'BASE DATOS MANO DE OBRA'!B:B)</f>
        <v xml:space="preserve">OPERARIO PLUS </v>
      </c>
      <c r="F320" s="212">
        <f>+ROUNDUP('1_OG y 2_ACA'!F1290,0)/2</f>
        <v>23.5</v>
      </c>
      <c r="G320" s="213" t="str">
        <f>+_xlfn.XLOOKUP(C320,'BASE DATOS MANO DE OBRA'!A:A,'BASE DATOS MANO DE OBRA'!C:C)</f>
        <v xml:space="preserve">hora </v>
      </c>
      <c r="H320" s="214">
        <v>0</v>
      </c>
      <c r="I320" s="214">
        <f>+_xlfn.XLOOKUP(C320,'BASE DATOS MANO DE OBRA'!A:A,'BASE DATOS MANO DE OBRA'!E:E)</f>
        <v>2850</v>
      </c>
      <c r="J320" s="214">
        <v>0</v>
      </c>
      <c r="K320" s="214">
        <f t="shared" si="252"/>
        <v>0</v>
      </c>
      <c r="L320" s="214">
        <f t="shared" si="253"/>
        <v>66975</v>
      </c>
      <c r="M320" s="214">
        <f t="shared" si="254"/>
        <v>0</v>
      </c>
      <c r="N320" s="214">
        <f t="shared" si="255"/>
        <v>66975</v>
      </c>
      <c r="O320" s="1086">
        <f t="shared" si="256"/>
        <v>130.04854368932038</v>
      </c>
      <c r="P320" s="171"/>
    </row>
    <row r="321" spans="1:16" x14ac:dyDescent="0.2">
      <c r="A321" s="1077" t="s">
        <v>2156</v>
      </c>
      <c r="B321" s="833">
        <f t="shared" si="251"/>
        <v>1.5</v>
      </c>
      <c r="C321" s="774" t="s">
        <v>37</v>
      </c>
      <c r="D321" s="210"/>
      <c r="E321" s="211" t="str">
        <f>+_xlfn.XLOOKUP(C321,'BASE DATOS MANO DE OBRA'!A:A,'BASE DATOS MANO DE OBRA'!B:B)</f>
        <v xml:space="preserve">AYUDANTE PLUS </v>
      </c>
      <c r="F321" s="212">
        <f>+F320</f>
        <v>23.5</v>
      </c>
      <c r="G321" s="213" t="str">
        <f>+_xlfn.XLOOKUP(C321,'BASE DATOS MANO DE OBRA'!A:A,'BASE DATOS MANO DE OBRA'!C:C)</f>
        <v xml:space="preserve">hora </v>
      </c>
      <c r="H321" s="214">
        <v>0</v>
      </c>
      <c r="I321" s="214">
        <f>+_xlfn.XLOOKUP(C321,'BASE DATOS MANO DE OBRA'!A:A,'BASE DATOS MANO DE OBRA'!E:E)</f>
        <v>2325</v>
      </c>
      <c r="J321" s="214">
        <v>0</v>
      </c>
      <c r="K321" s="214">
        <f t="shared" si="252"/>
        <v>0</v>
      </c>
      <c r="L321" s="214">
        <f t="shared" si="253"/>
        <v>54637.5</v>
      </c>
      <c r="M321" s="214">
        <f t="shared" si="254"/>
        <v>0</v>
      </c>
      <c r="N321" s="214">
        <f t="shared" si="255"/>
        <v>54637.5</v>
      </c>
      <c r="O321" s="1086">
        <f t="shared" si="256"/>
        <v>106.09223300970874</v>
      </c>
      <c r="P321" s="171"/>
    </row>
    <row r="322" spans="1:16" x14ac:dyDescent="0.2">
      <c r="A322" s="303"/>
      <c r="B322" s="833">
        <f t="shared" si="251"/>
        <v>1.6</v>
      </c>
      <c r="C322" s="779" t="s">
        <v>3485</v>
      </c>
      <c r="D322" s="440"/>
      <c r="E322" s="441" t="s">
        <v>187</v>
      </c>
      <c r="F322" s="446">
        <v>1</v>
      </c>
      <c r="G322" s="440" t="s">
        <v>271</v>
      </c>
      <c r="H322" s="440"/>
      <c r="I322" s="440"/>
      <c r="J322" s="440"/>
      <c r="K322" s="447">
        <f>+SUBTOTAL(9,K323:K392)</f>
        <v>1635299.3681519993</v>
      </c>
      <c r="L322" s="447">
        <f>+SUBTOTAL(9,L323:L392)</f>
        <v>540787.5</v>
      </c>
      <c r="M322" s="447">
        <f>+SUBTOTAL(9,M323:M392)</f>
        <v>0</v>
      </c>
      <c r="N322" s="447">
        <f>+SUBTOTAL(9,N323:N392)</f>
        <v>2176086.8681519991</v>
      </c>
      <c r="O322" s="1081">
        <f>+SUBTOTAL(9,O323:O392)</f>
        <v>4225.4113944699038</v>
      </c>
      <c r="P322" s="171"/>
    </row>
    <row r="323" spans="1:16" s="49" customFormat="1" ht="18.600000000000001" customHeight="1" x14ac:dyDescent="0.2">
      <c r="A323" s="303"/>
      <c r="B323" s="833">
        <f t="shared" si="251"/>
        <v>1.6</v>
      </c>
      <c r="C323" s="770" t="s">
        <v>2124</v>
      </c>
      <c r="D323" s="453"/>
      <c r="E323" s="454" t="s">
        <v>188</v>
      </c>
      <c r="F323" s="455">
        <v>1</v>
      </c>
      <c r="G323" s="453" t="s">
        <v>29</v>
      </c>
      <c r="H323" s="453"/>
      <c r="I323" s="453"/>
      <c r="J323" s="453"/>
      <c r="K323" s="456">
        <f>+SUBTOTAL(9,K324:K360)</f>
        <v>514909.39855199982</v>
      </c>
      <c r="L323" s="456">
        <f>+SUBTOTAL(9,L324:L360)</f>
        <v>243225</v>
      </c>
      <c r="M323" s="456">
        <f>+SUBTOTAL(9,M324:M360)</f>
        <v>0</v>
      </c>
      <c r="N323" s="456">
        <f>+SUBTOTAL(9,N324:N360)</f>
        <v>758134.39855199982</v>
      </c>
      <c r="O323" s="1082">
        <f>+SUBTOTAL(9,O324:O360)</f>
        <v>1472.1056282563109</v>
      </c>
      <c r="P323" s="416"/>
    </row>
    <row r="324" spans="1:16" x14ac:dyDescent="0.2">
      <c r="A324" s="303"/>
      <c r="B324" s="833">
        <f t="shared" si="251"/>
        <v>1.6</v>
      </c>
      <c r="C324" s="776"/>
      <c r="D324" s="166"/>
      <c r="E324" s="314" t="s">
        <v>1344</v>
      </c>
      <c r="F324" s="168">
        <f>+'1_OG y 2_ACA'!D1299</f>
        <v>38.299999999999997</v>
      </c>
      <c r="G324" s="169" t="s">
        <v>1400</v>
      </c>
      <c r="H324" s="169"/>
      <c r="I324" s="169"/>
      <c r="J324" s="169"/>
      <c r="K324" s="170"/>
      <c r="L324" s="170"/>
      <c r="M324" s="170"/>
      <c r="N324" s="170"/>
      <c r="O324" s="1087"/>
      <c r="P324" s="171"/>
    </row>
    <row r="325" spans="1:16" ht="15" customHeight="1" x14ac:dyDescent="0.2">
      <c r="A325" s="303"/>
      <c r="B325" s="833">
        <f t="shared" si="251"/>
        <v>1.6</v>
      </c>
      <c r="C325" s="782" t="s">
        <v>2214</v>
      </c>
      <c r="D325" s="837"/>
      <c r="E325" s="161" t="str">
        <f>+_xlfn.XLOOKUP(C325,'BASE DATOS PRECIOS '!B:B,'BASE DATOS PRECIOS '!E:E)</f>
        <v>GYPSUM DENSGLASS 12MM</v>
      </c>
      <c r="F325" s="174">
        <f>+'1_OG y 2_ACA'!D1302</f>
        <v>15</v>
      </c>
      <c r="G325" s="184" t="str">
        <f>+_xlfn.XLOOKUP(C325,'BASE DATOS PRECIOS '!B:B,'BASE DATOS PRECIOS '!F:F)</f>
        <v>UND</v>
      </c>
      <c r="H325" s="176">
        <f>+_xlfn.XLOOKUP(E325,'BASE DATOS PRECIOS '!E:E,'BASE DATOS PRECIOS '!H:H)</f>
        <v>17952.004899999996</v>
      </c>
      <c r="I325" s="184"/>
      <c r="J325" s="184"/>
      <c r="K325" s="185">
        <f t="shared" ref="K325:K333" si="257">+F325*H325</f>
        <v>269280.07349999994</v>
      </c>
      <c r="L325" s="185">
        <f t="shared" ref="L325:L333" si="258">+F325*I325</f>
        <v>0</v>
      </c>
      <c r="M325" s="185">
        <f t="shared" ref="M325:M333" si="259">+F325*J325</f>
        <v>0</v>
      </c>
      <c r="N325" s="185">
        <f t="shared" ref="N325:N333" si="260">SUM(K325:M325)</f>
        <v>269280.07349999994</v>
      </c>
      <c r="O325" s="1088">
        <f t="shared" ref="O325:O333" si="261">SUM(K325:M325)/tc</f>
        <v>522.87392912621351</v>
      </c>
    </row>
    <row r="326" spans="1:16" ht="15" customHeight="1" x14ac:dyDescent="0.2">
      <c r="A326" s="303"/>
      <c r="B326" s="833">
        <f t="shared" si="251"/>
        <v>1.6</v>
      </c>
      <c r="C326" s="782" t="s">
        <v>2091</v>
      </c>
      <c r="D326" s="837"/>
      <c r="E326" s="161" t="str">
        <f>+_xlfn.XLOOKUP(C326,'BASE DATOS PRECIOS '!B:B,'BASE DATOS PRECIOS '!E:E)</f>
        <v>STUD 3X10 CAL#25</v>
      </c>
      <c r="F326" s="174">
        <f>+'1_OG y 2_ACA'!D1303</f>
        <v>36</v>
      </c>
      <c r="G326" s="175" t="str">
        <f>+_xlfn.XLOOKUP(C326,'BASE DATOS PRECIOS '!B:B,'BASE DATOS PRECIOS '!F:F)</f>
        <v>UND</v>
      </c>
      <c r="H326" s="176">
        <f>+_xlfn.XLOOKUP(E326,'BASE DATOS PRECIOS '!E:E,'BASE DATOS PRECIOS '!H:H)</f>
        <v>853.46639999999991</v>
      </c>
      <c r="I326" s="175"/>
      <c r="J326" s="175"/>
      <c r="K326" s="176">
        <f t="shared" si="257"/>
        <v>30724.790399999998</v>
      </c>
      <c r="L326" s="176">
        <f t="shared" si="258"/>
        <v>0</v>
      </c>
      <c r="M326" s="176">
        <f t="shared" si="259"/>
        <v>0</v>
      </c>
      <c r="N326" s="176">
        <f t="shared" si="260"/>
        <v>30724.790399999998</v>
      </c>
      <c r="O326" s="1083">
        <f t="shared" si="261"/>
        <v>59.659787184466019</v>
      </c>
    </row>
    <row r="327" spans="1:16" ht="15" customHeight="1" x14ac:dyDescent="0.2">
      <c r="A327" s="303"/>
      <c r="B327" s="833">
        <f t="shared" si="251"/>
        <v>1.6</v>
      </c>
      <c r="C327" s="782" t="s">
        <v>2218</v>
      </c>
      <c r="D327" s="837"/>
      <c r="E327" s="161" t="str">
        <f>+_xlfn.XLOOKUP(C327,'BASE DATOS PRECIOS '!B:B,'BASE DATOS PRECIOS '!E:E)</f>
        <v>TRACK 3X10 CAL#25</v>
      </c>
      <c r="F327" s="174">
        <f>+'1_OG y 2_ACA'!D1304</f>
        <v>11</v>
      </c>
      <c r="G327" s="175" t="str">
        <f>+_xlfn.XLOOKUP(C327,'BASE DATOS PRECIOS '!B:B,'BASE DATOS PRECIOS '!F:F)</f>
        <v>UND</v>
      </c>
      <c r="H327" s="176">
        <f>+_xlfn.XLOOKUP(E327,'BASE DATOS PRECIOS '!E:E,'BASE DATOS PRECIOS '!H:H)</f>
        <v>711.53839999999991</v>
      </c>
      <c r="I327" s="175"/>
      <c r="J327" s="175"/>
      <c r="K327" s="176">
        <f t="shared" si="257"/>
        <v>7826.9223999999995</v>
      </c>
      <c r="L327" s="176">
        <f t="shared" si="258"/>
        <v>0</v>
      </c>
      <c r="M327" s="176">
        <f t="shared" si="259"/>
        <v>0</v>
      </c>
      <c r="N327" s="176">
        <f t="shared" si="260"/>
        <v>7826.9223999999995</v>
      </c>
      <c r="O327" s="1083">
        <f t="shared" si="261"/>
        <v>15.197907572815533</v>
      </c>
    </row>
    <row r="328" spans="1:16" ht="15" customHeight="1" x14ac:dyDescent="0.2">
      <c r="A328" s="303"/>
      <c r="B328" s="833">
        <f t="shared" si="251"/>
        <v>1.6</v>
      </c>
      <c r="C328" s="120" t="s">
        <v>2216</v>
      </c>
      <c r="D328" s="838"/>
      <c r="E328" s="161" t="str">
        <f>+_xlfn.XLOOKUP(C328,'BASE DATOS PRECIOS '!B:B,'BASE DATOS PRECIOS '!E:E)</f>
        <v>CINTA MALLA ADHESIVA P/GYP (45M)</v>
      </c>
      <c r="F328" s="174">
        <f>+'1_OG y 2_ACA'!D1305</f>
        <v>2</v>
      </c>
      <c r="G328" s="175" t="str">
        <f>+_xlfn.XLOOKUP(C328,'BASE DATOS PRECIOS '!B:B,'BASE DATOS PRECIOS '!F:F)</f>
        <v>ROLLO</v>
      </c>
      <c r="H328" s="176">
        <f>+_xlfn.XLOOKUP(E328,'BASE DATOS PRECIOS '!E:E,'BASE DATOS PRECIOS '!H:H)</f>
        <v>1477.7574999999999</v>
      </c>
      <c r="I328" s="175"/>
      <c r="J328" s="175"/>
      <c r="K328" s="176">
        <f t="shared" si="257"/>
        <v>2955.5149999999999</v>
      </c>
      <c r="L328" s="176">
        <f t="shared" si="258"/>
        <v>0</v>
      </c>
      <c r="M328" s="176">
        <f t="shared" si="259"/>
        <v>0</v>
      </c>
      <c r="N328" s="176">
        <f t="shared" si="260"/>
        <v>2955.5149999999999</v>
      </c>
      <c r="O328" s="1083">
        <f t="shared" si="261"/>
        <v>5.7388640776699029</v>
      </c>
    </row>
    <row r="329" spans="1:16" ht="15" customHeight="1" x14ac:dyDescent="0.2">
      <c r="A329" s="303"/>
      <c r="B329" s="833">
        <f t="shared" si="251"/>
        <v>1.6</v>
      </c>
      <c r="C329" s="782" t="s">
        <v>2003</v>
      </c>
      <c r="D329" s="837"/>
      <c r="E329" s="161" t="str">
        <f>+_xlfn.XLOOKUP(C329,'BASE DATOS PRECIOS '!B:B,'BASE DATOS PRECIOS '!E:E)</f>
        <v>MOLDURA J PLASTICA 1/2 X 10</v>
      </c>
      <c r="F329" s="174">
        <f>+'1_OG y 2_ACA'!D1306</f>
        <v>14</v>
      </c>
      <c r="G329" s="175" t="str">
        <f>+_xlfn.XLOOKUP(C329,'BASE DATOS PRECIOS '!B:B,'BASE DATOS PRECIOS '!F:F)</f>
        <v>UND</v>
      </c>
      <c r="H329" s="176">
        <f>+_xlfn.XLOOKUP(E329,'BASE DATOS PRECIOS '!E:E,'BASE DATOS PRECIOS '!H:H)</f>
        <v>974.06</v>
      </c>
      <c r="I329" s="175"/>
      <c r="J329" s="175"/>
      <c r="K329" s="176">
        <f t="shared" si="257"/>
        <v>13636.84</v>
      </c>
      <c r="L329" s="176">
        <f t="shared" si="258"/>
        <v>0</v>
      </c>
      <c r="M329" s="176">
        <f t="shared" si="259"/>
        <v>0</v>
      </c>
      <c r="N329" s="176">
        <f t="shared" si="260"/>
        <v>13636.84</v>
      </c>
      <c r="O329" s="1083">
        <f t="shared" si="261"/>
        <v>26.479300970873787</v>
      </c>
    </row>
    <row r="330" spans="1:16" ht="15" customHeight="1" x14ac:dyDescent="0.2">
      <c r="A330" s="303"/>
      <c r="B330" s="833">
        <f t="shared" si="251"/>
        <v>1.6</v>
      </c>
      <c r="C330" s="782" t="s">
        <v>2217</v>
      </c>
      <c r="D330" s="837"/>
      <c r="E330" s="161" t="str">
        <f>+_xlfn.XLOOKUP(C330,'BASE DATOS PRECIOS '!B:B,'BASE DATOS PRECIOS '!E:E)</f>
        <v>ESQUINERO PLASTICO 1 1/4X10</v>
      </c>
      <c r="F330" s="174">
        <f>+'1_OG y 2_ACA'!D1307</f>
        <v>14</v>
      </c>
      <c r="G330" s="175" t="str">
        <f>+_xlfn.XLOOKUP(C330,'BASE DATOS PRECIOS '!B:B,'BASE DATOS PRECIOS '!F:F)</f>
        <v>UND</v>
      </c>
      <c r="H330" s="176">
        <f>+_xlfn.XLOOKUP(E330,'BASE DATOS PRECIOS '!E:E,'BASE DATOS PRECIOS '!H:H)</f>
        <v>942.42</v>
      </c>
      <c r="I330" s="175"/>
      <c r="J330" s="175"/>
      <c r="K330" s="176">
        <f t="shared" si="257"/>
        <v>13193.88</v>
      </c>
      <c r="L330" s="176">
        <f t="shared" si="258"/>
        <v>0</v>
      </c>
      <c r="M330" s="176">
        <f t="shared" si="259"/>
        <v>0</v>
      </c>
      <c r="N330" s="176">
        <f t="shared" si="260"/>
        <v>13193.88</v>
      </c>
      <c r="O330" s="1083">
        <f t="shared" si="261"/>
        <v>25.619184466019416</v>
      </c>
    </row>
    <row r="331" spans="1:16" ht="15" customHeight="1" x14ac:dyDescent="0.2">
      <c r="A331" s="303"/>
      <c r="B331" s="833">
        <f t="shared" si="251"/>
        <v>1.6</v>
      </c>
      <c r="C331" s="782" t="s">
        <v>2203</v>
      </c>
      <c r="D331" s="837"/>
      <c r="E331" s="161" t="str">
        <f>+_xlfn.XLOOKUP(C331,'BASE DATOS PRECIOS '!B:B,'BASE DATOS PRECIOS '!E:E)</f>
        <v>TORNILLO GYPSUM 7/16 PUNTA FINA CON ARANDELA</v>
      </c>
      <c r="F331" s="174">
        <f>+'1_OG y 2_ACA'!D1308*100</f>
        <v>1000</v>
      </c>
      <c r="G331" s="175" t="str">
        <f>+_xlfn.XLOOKUP(C331,'BASE DATOS PRECIOS '!B:B,'BASE DATOS PRECIOS '!F:F)</f>
        <v>UND</v>
      </c>
      <c r="H331" s="176">
        <f>+_xlfn.XLOOKUP(E331,'BASE DATOS PRECIOS '!E:E,'BASE DATOS PRECIOS '!H:H)</f>
        <v>3.9211</v>
      </c>
      <c r="I331" s="175"/>
      <c r="J331" s="175"/>
      <c r="K331" s="176">
        <f t="shared" si="257"/>
        <v>3921.1</v>
      </c>
      <c r="L331" s="176">
        <f t="shared" si="258"/>
        <v>0</v>
      </c>
      <c r="M331" s="176">
        <f t="shared" si="259"/>
        <v>0</v>
      </c>
      <c r="N331" s="176">
        <f t="shared" si="260"/>
        <v>3921.1</v>
      </c>
      <c r="O331" s="1083">
        <f t="shared" si="261"/>
        <v>7.6137864077669901</v>
      </c>
    </row>
    <row r="332" spans="1:16" ht="15" customHeight="1" x14ac:dyDescent="0.2">
      <c r="A332" s="303"/>
      <c r="B332" s="833">
        <f t="shared" si="251"/>
        <v>1.6</v>
      </c>
      <c r="C332" s="786" t="s">
        <v>2884</v>
      </c>
      <c r="D332" s="826"/>
      <c r="E332" s="161" t="str">
        <f>+_xlfn.XLOOKUP(C332,'BASE DATOS PRECIOS '!B:B,'BASE DATOS PRECIOS '!E:E)</f>
        <v>TORNILLO GYPSUM  7/16 PUNTA BROCA CON ARANDELA</v>
      </c>
      <c r="F332" s="174">
        <f>+'1_OG y 2_ACA'!D1309*100</f>
        <v>1000</v>
      </c>
      <c r="G332" s="175" t="str">
        <f>+_xlfn.XLOOKUP(C332,'BASE DATOS PRECIOS '!B:B,'BASE DATOS PRECIOS '!F:F)</f>
        <v>UND</v>
      </c>
      <c r="H332" s="176">
        <f>+_xlfn.XLOOKUP(E332,'BASE DATOS PRECIOS '!E:E,'BASE DATOS PRECIOS '!H:H)</f>
        <v>4.3731</v>
      </c>
      <c r="I332" s="175"/>
      <c r="J332" s="175"/>
      <c r="K332" s="176">
        <f t="shared" si="257"/>
        <v>4373.1000000000004</v>
      </c>
      <c r="L332" s="176">
        <f t="shared" si="258"/>
        <v>0</v>
      </c>
      <c r="M332" s="176">
        <f t="shared" si="259"/>
        <v>0</v>
      </c>
      <c r="N332" s="176">
        <f t="shared" si="260"/>
        <v>4373.1000000000004</v>
      </c>
      <c r="O332" s="1083">
        <f t="shared" si="261"/>
        <v>8.491456310679613</v>
      </c>
    </row>
    <row r="333" spans="1:16" ht="15" customHeight="1" x14ac:dyDescent="0.2">
      <c r="A333" s="303"/>
      <c r="B333" s="833">
        <f t="shared" si="251"/>
        <v>1.6</v>
      </c>
      <c r="C333" s="782" t="s">
        <v>2215</v>
      </c>
      <c r="D333" s="837"/>
      <c r="E333" s="161" t="str">
        <f>+_xlfn.XLOOKUP(C333,'BASE DATOS PRECIOS '!B:B,'BASE DATOS PRECIOS '!E:E)</f>
        <v>TORNILLO P/GYP 1-1/4 P FINA</v>
      </c>
      <c r="F333" s="174">
        <f>+'1_OG y 2_ACA'!D1310</f>
        <v>920</v>
      </c>
      <c r="G333" s="175" t="str">
        <f>+_xlfn.XLOOKUP(C333,'BASE DATOS PRECIOS '!B:B,'BASE DATOS PRECIOS '!F:F)</f>
        <v>UND</v>
      </c>
      <c r="H333" s="176">
        <f>+_xlfn.XLOOKUP(E333,'BASE DATOS PRECIOS '!E:E,'BASE DATOS PRECIOS '!H:H)</f>
        <v>4.1696999999999997</v>
      </c>
      <c r="I333" s="175"/>
      <c r="J333" s="175"/>
      <c r="K333" s="176">
        <f t="shared" si="257"/>
        <v>3836.1239999999998</v>
      </c>
      <c r="L333" s="176">
        <f t="shared" si="258"/>
        <v>0</v>
      </c>
      <c r="M333" s="176">
        <f t="shared" si="259"/>
        <v>0</v>
      </c>
      <c r="N333" s="176">
        <f t="shared" si="260"/>
        <v>3836.1239999999998</v>
      </c>
      <c r="O333" s="1083">
        <f t="shared" si="261"/>
        <v>7.4487844660194167</v>
      </c>
    </row>
    <row r="334" spans="1:16" ht="15" customHeight="1" x14ac:dyDescent="0.2">
      <c r="A334" s="303"/>
      <c r="B334" s="833">
        <f t="shared" si="251"/>
        <v>1.6</v>
      </c>
      <c r="C334" s="776"/>
      <c r="D334" s="166"/>
      <c r="E334" s="314" t="s">
        <v>1345</v>
      </c>
      <c r="F334" s="168">
        <f>+'1_OG y 2_ACA'!D1318</f>
        <v>9.6999999999999993</v>
      </c>
      <c r="G334" s="169" t="s">
        <v>396</v>
      </c>
      <c r="H334" s="169"/>
      <c r="I334" s="169"/>
      <c r="J334" s="169"/>
      <c r="K334" s="170"/>
      <c r="L334" s="170"/>
      <c r="M334" s="170"/>
      <c r="N334" s="170"/>
      <c r="O334" s="1087"/>
    </row>
    <row r="335" spans="1:16" ht="15" customHeight="1" x14ac:dyDescent="0.2">
      <c r="A335" s="303"/>
      <c r="B335" s="833">
        <f t="shared" si="251"/>
        <v>1.6</v>
      </c>
      <c r="C335" s="120" t="s">
        <v>2004</v>
      </c>
      <c r="D335" s="838"/>
      <c r="E335" s="161" t="str">
        <f>+_xlfn.XLOOKUP(C335,'BASE DATOS PRECIOS '!B:B,'BASE DATOS PRECIOS '!E:E)</f>
        <v>TABLILLA PVC 0,20 X 5,95 M CAFE CLARO</v>
      </c>
      <c r="F335" s="174">
        <f>+'1_OG y 2_ACA'!D1322</f>
        <v>11</v>
      </c>
      <c r="G335" s="175" t="str">
        <f>+_xlfn.XLOOKUP(C335,'BASE DATOS PRECIOS '!B:B,'BASE DATOS PRECIOS '!F:F)</f>
        <v xml:space="preserve">M2 </v>
      </c>
      <c r="H335" s="176">
        <f>+_xlfn.XLOOKUP(E335,'BASE DATOS PRECIOS '!E:E,'BASE DATOS PRECIOS '!H:H)</f>
        <v>6930.2447999999995</v>
      </c>
      <c r="I335" s="175"/>
      <c r="J335" s="175"/>
      <c r="K335" s="176">
        <f t="shared" ref="K335:K344" si="262">+F335*H335</f>
        <v>76232.69279999999</v>
      </c>
      <c r="L335" s="176">
        <f t="shared" ref="L335:L360" si="263">+F335*I335</f>
        <v>0</v>
      </c>
      <c r="M335" s="176">
        <f t="shared" ref="M335:M360" si="264">+F335*J335</f>
        <v>0</v>
      </c>
      <c r="N335" s="176">
        <f t="shared" ref="N335:N344" si="265">SUM(K335:M335)</f>
        <v>76232.69279999999</v>
      </c>
      <c r="O335" s="1083">
        <f t="shared" ref="O335:O344" si="266">SUM(K335:M335)/tc</f>
        <v>148.02464621359221</v>
      </c>
    </row>
    <row r="336" spans="1:16" ht="15" customHeight="1" x14ac:dyDescent="0.2">
      <c r="A336" s="303"/>
      <c r="B336" s="833">
        <f t="shared" si="251"/>
        <v>1.6</v>
      </c>
      <c r="C336" s="782" t="s">
        <v>2219</v>
      </c>
      <c r="D336" s="837"/>
      <c r="E336" s="161" t="str">
        <f>+_xlfn.XLOOKUP(C336,'BASE DATOS PRECIOS '!B:B,'BASE DATOS PRECIOS '!E:E)</f>
        <v>CORNIZA PARA TABLILLA PVC BLANCA</v>
      </c>
      <c r="F336" s="174">
        <f>+'1_OG y 2_ACA'!D1323</f>
        <v>2</v>
      </c>
      <c r="G336" s="175" t="str">
        <f>+_xlfn.XLOOKUP(C336,'BASE DATOS PRECIOS '!B:B,'BASE DATOS PRECIOS '!F:F)</f>
        <v>UND</v>
      </c>
      <c r="H336" s="176">
        <f>+_xlfn.XLOOKUP(E336,'BASE DATOS PRECIOS '!E:E,'BASE DATOS PRECIOS '!H:H)</f>
        <v>2227.5463999999997</v>
      </c>
      <c r="I336" s="175"/>
      <c r="J336" s="175"/>
      <c r="K336" s="176">
        <f t="shared" si="262"/>
        <v>4455.0927999999994</v>
      </c>
      <c r="L336" s="176">
        <f t="shared" si="263"/>
        <v>0</v>
      </c>
      <c r="M336" s="176">
        <f t="shared" si="264"/>
        <v>0</v>
      </c>
      <c r="N336" s="176">
        <f t="shared" si="265"/>
        <v>4455.0927999999994</v>
      </c>
      <c r="O336" s="1083">
        <f t="shared" si="266"/>
        <v>8.6506656310679606</v>
      </c>
    </row>
    <row r="337" spans="1:16" ht="15" customHeight="1" x14ac:dyDescent="0.2">
      <c r="A337" s="303"/>
      <c r="B337" s="833">
        <f t="shared" si="251"/>
        <v>1.6</v>
      </c>
      <c r="C337" s="782" t="s">
        <v>2220</v>
      </c>
      <c r="D337" s="837"/>
      <c r="E337" s="161" t="str">
        <f>+_xlfn.XLOOKUP(C337,'BASE DATOS PRECIOS '!B:B,'BASE DATOS PRECIOS '!E:E)</f>
        <v>ANGULAR CHANNEL 1X3" 0.36MM 3.05M</v>
      </c>
      <c r="F337" s="174">
        <f>+'1_OG y 2_ACA'!D1324</f>
        <v>10</v>
      </c>
      <c r="G337" s="175" t="str">
        <f>+_xlfn.XLOOKUP(C337,'BASE DATOS PRECIOS '!B:B,'BASE DATOS PRECIOS '!F:F)</f>
        <v>UND</v>
      </c>
      <c r="H337" s="176">
        <f>+_xlfn.XLOOKUP(E337,'BASE DATOS PRECIOS '!E:E,'BASE DATOS PRECIOS '!H:H)</f>
        <v>531.09999999999991</v>
      </c>
      <c r="I337" s="175"/>
      <c r="J337" s="175"/>
      <c r="K337" s="176">
        <f t="shared" si="262"/>
        <v>5310.9999999999991</v>
      </c>
      <c r="L337" s="176">
        <f t="shared" si="263"/>
        <v>0</v>
      </c>
      <c r="M337" s="176">
        <f t="shared" si="264"/>
        <v>0</v>
      </c>
      <c r="N337" s="176">
        <f t="shared" si="265"/>
        <v>5310.9999999999991</v>
      </c>
      <c r="O337" s="1083">
        <f t="shared" si="266"/>
        <v>10.3126213592233</v>
      </c>
    </row>
    <row r="338" spans="1:16" ht="15" customHeight="1" x14ac:dyDescent="0.2">
      <c r="A338" s="303"/>
      <c r="B338" s="833">
        <f t="shared" si="251"/>
        <v>1.6</v>
      </c>
      <c r="C338" s="782" t="s">
        <v>1931</v>
      </c>
      <c r="D338" s="837"/>
      <c r="E338" s="161" t="str">
        <f>+_xlfn.XLOOKUP(C338,'BASE DATOS PRECIOS '!B:B,'BASE DATOS PRECIOS '!E:E)</f>
        <v>CANAL U 1 1/2X16X4.88 CAL #20</v>
      </c>
      <c r="F338" s="174">
        <f>+'1_OG y 2_ACA'!D1325</f>
        <v>2</v>
      </c>
      <c r="G338" s="175" t="str">
        <f>+_xlfn.XLOOKUP(C338,'BASE DATOS PRECIOS '!B:B,'BASE DATOS PRECIOS '!F:F)</f>
        <v>UND</v>
      </c>
      <c r="H338" s="176">
        <f>+_xlfn.XLOOKUP(E338,'BASE DATOS PRECIOS '!E:E,'BASE DATOS PRECIOS '!H:H)</f>
        <v>1966.1999999999998</v>
      </c>
      <c r="I338" s="175"/>
      <c r="J338" s="175"/>
      <c r="K338" s="176">
        <f t="shared" si="262"/>
        <v>3932.3999999999996</v>
      </c>
      <c r="L338" s="176">
        <f t="shared" si="263"/>
        <v>0</v>
      </c>
      <c r="M338" s="176">
        <f t="shared" si="264"/>
        <v>0</v>
      </c>
      <c r="N338" s="176">
        <f t="shared" si="265"/>
        <v>3932.3999999999996</v>
      </c>
      <c r="O338" s="1083">
        <f t="shared" si="266"/>
        <v>7.6357281553398053</v>
      </c>
    </row>
    <row r="339" spans="1:16" ht="15" customHeight="1" x14ac:dyDescent="0.2">
      <c r="A339" s="303"/>
      <c r="B339" s="833">
        <f t="shared" si="251"/>
        <v>1.6</v>
      </c>
      <c r="C339" s="782" t="s">
        <v>2221</v>
      </c>
      <c r="D339" s="837"/>
      <c r="E339" s="161" t="str">
        <f>+_xlfn.XLOOKUP(C339,'BASE DATOS PRECIOS '!B:B,'BASE DATOS PRECIOS '!E:E)</f>
        <v>FURRING CALIBRE 0.36X 3.66 CM</v>
      </c>
      <c r="F339" s="174">
        <f>+'1_OG y 2_ACA'!D1326</f>
        <v>8</v>
      </c>
      <c r="G339" s="175" t="str">
        <f>+_xlfn.XLOOKUP(C339,'BASE DATOS PRECIOS '!B:B,'BASE DATOS PRECIOS '!F:F)</f>
        <v>UND</v>
      </c>
      <c r="H339" s="176">
        <f>+_xlfn.XLOOKUP(E339,'BASE DATOS PRECIOS '!E:E,'BASE DATOS PRECIOS '!H:H)</f>
        <v>1231.6999999999998</v>
      </c>
      <c r="I339" s="175"/>
      <c r="J339" s="175"/>
      <c r="K339" s="176">
        <f t="shared" si="262"/>
        <v>9853.5999999999985</v>
      </c>
      <c r="L339" s="176">
        <f t="shared" si="263"/>
        <v>0</v>
      </c>
      <c r="M339" s="176">
        <f t="shared" si="264"/>
        <v>0</v>
      </c>
      <c r="N339" s="176">
        <f t="shared" si="265"/>
        <v>9853.5999999999985</v>
      </c>
      <c r="O339" s="1083">
        <f t="shared" si="266"/>
        <v>19.133203883495142</v>
      </c>
    </row>
    <row r="340" spans="1:16" ht="15" customHeight="1" x14ac:dyDescent="0.2">
      <c r="A340" s="303"/>
      <c r="B340" s="833">
        <f t="shared" si="251"/>
        <v>1.6</v>
      </c>
      <c r="C340" s="786" t="s">
        <v>2203</v>
      </c>
      <c r="D340" s="826"/>
      <c r="E340" s="161" t="str">
        <f>+_xlfn.XLOOKUP(C340,'BASE DATOS PRECIOS '!B:B,'BASE DATOS PRECIOS '!E:E)</f>
        <v>TORNILLO GYPSUM 7/16 PUNTA FINA CON ARANDELA</v>
      </c>
      <c r="F340" s="174">
        <f>+'1_OG y 2_ACA'!D1327</f>
        <v>243</v>
      </c>
      <c r="G340" s="175" t="str">
        <f>+_xlfn.XLOOKUP(C340,'BASE DATOS PRECIOS '!B:B,'BASE DATOS PRECIOS '!F:F)</f>
        <v>UND</v>
      </c>
      <c r="H340" s="176">
        <f>+_xlfn.XLOOKUP(E340,'BASE DATOS PRECIOS '!E:E,'BASE DATOS PRECIOS '!H:H)</f>
        <v>3.9211</v>
      </c>
      <c r="I340" s="175"/>
      <c r="J340" s="175"/>
      <c r="K340" s="176">
        <f t="shared" si="262"/>
        <v>952.82730000000004</v>
      </c>
      <c r="L340" s="176">
        <f t="shared" si="263"/>
        <v>0</v>
      </c>
      <c r="M340" s="176">
        <f t="shared" si="264"/>
        <v>0</v>
      </c>
      <c r="N340" s="176">
        <f t="shared" si="265"/>
        <v>952.82730000000004</v>
      </c>
      <c r="O340" s="1083">
        <f t="shared" si="266"/>
        <v>1.8501500970873788</v>
      </c>
    </row>
    <row r="341" spans="1:16" ht="15" customHeight="1" x14ac:dyDescent="0.2">
      <c r="A341" s="303"/>
      <c r="B341" s="833">
        <f t="shared" si="251"/>
        <v>1.6</v>
      </c>
      <c r="C341" s="782" t="s">
        <v>2222</v>
      </c>
      <c r="D341" s="837"/>
      <c r="E341" s="161" t="str">
        <f>+_xlfn.XLOOKUP(C341,'BASE DATOS PRECIOS '!B:B,'BASE DATOS PRECIOS '!E:E)</f>
        <v>CLAVO DE IMPACTO 1" (100)</v>
      </c>
      <c r="F341" s="174">
        <f>+'1_OG y 2_ACA'!D1328</f>
        <v>1</v>
      </c>
      <c r="G341" s="175" t="str">
        <f>+_xlfn.XLOOKUP(C341,'BASE DATOS PRECIOS '!B:B,'BASE DATOS PRECIOS '!F:F)</f>
        <v>CJ</v>
      </c>
      <c r="H341" s="176">
        <f>+_xlfn.XLOOKUP(E341,'BASE DATOS PRECIOS '!E:E,'BASE DATOS PRECIOS '!H:H)</f>
        <v>2118.75</v>
      </c>
      <c r="I341" s="175"/>
      <c r="J341" s="175"/>
      <c r="K341" s="176">
        <f t="shared" si="262"/>
        <v>2118.75</v>
      </c>
      <c r="L341" s="176">
        <f t="shared" si="263"/>
        <v>0</v>
      </c>
      <c r="M341" s="176">
        <f t="shared" si="264"/>
        <v>0</v>
      </c>
      <c r="N341" s="176">
        <f t="shared" si="265"/>
        <v>2118.75</v>
      </c>
      <c r="O341" s="1083">
        <f t="shared" si="266"/>
        <v>4.1140776699029127</v>
      </c>
    </row>
    <row r="342" spans="1:16" ht="15" customHeight="1" x14ac:dyDescent="0.2">
      <c r="A342" s="303"/>
      <c r="B342" s="833">
        <f t="shared" si="251"/>
        <v>1.6</v>
      </c>
      <c r="C342" s="786" t="s">
        <v>2203</v>
      </c>
      <c r="D342" s="826"/>
      <c r="E342" s="161" t="str">
        <f>+_xlfn.XLOOKUP(C342,'BASE DATOS PRECIOS '!B:B,'BASE DATOS PRECIOS '!E:E)</f>
        <v>TORNILLO GYPSUM 7/16 PUNTA FINA CON ARANDELA</v>
      </c>
      <c r="F342" s="174">
        <f>+'1_OG y 2_ACA'!D1329</f>
        <v>3</v>
      </c>
      <c r="G342" s="175" t="str">
        <f>+_xlfn.XLOOKUP(C342,'BASE DATOS PRECIOS '!B:B,'BASE DATOS PRECIOS '!F:F)</f>
        <v>UND</v>
      </c>
      <c r="H342" s="176">
        <f>+_xlfn.XLOOKUP(E342,'BASE DATOS PRECIOS '!E:E,'BASE DATOS PRECIOS '!H:H)</f>
        <v>3.9211</v>
      </c>
      <c r="I342" s="175"/>
      <c r="J342" s="175"/>
      <c r="K342" s="176">
        <f t="shared" si="262"/>
        <v>11.763300000000001</v>
      </c>
      <c r="L342" s="176">
        <f t="shared" si="263"/>
        <v>0</v>
      </c>
      <c r="M342" s="176">
        <f t="shared" si="264"/>
        <v>0</v>
      </c>
      <c r="N342" s="176">
        <f t="shared" si="265"/>
        <v>11.763300000000001</v>
      </c>
      <c r="O342" s="1083">
        <f t="shared" si="266"/>
        <v>2.2841359223300974E-2</v>
      </c>
    </row>
    <row r="343" spans="1:16" ht="15" customHeight="1" x14ac:dyDescent="0.2">
      <c r="A343" s="303"/>
      <c r="B343" s="833">
        <f t="shared" si="251"/>
        <v>1.6</v>
      </c>
      <c r="C343" s="782" t="s">
        <v>2006</v>
      </c>
      <c r="D343" s="837"/>
      <c r="E343" s="161" t="str">
        <f>+_xlfn.XLOOKUP(C343,'BASE DATOS PRECIOS '!B:B,'BASE DATOS PRECIOS '!E:E)</f>
        <v>TIRO FULMINANTE P/PISTOLA 25MM (100)</v>
      </c>
      <c r="F343" s="174">
        <f>+'1_OG y 2_ACA'!D1330</f>
        <v>0.01</v>
      </c>
      <c r="G343" s="175" t="str">
        <f>+_xlfn.XLOOKUP(C343,'BASE DATOS PRECIOS '!B:B,'BASE DATOS PRECIOS '!F:F)</f>
        <v>CAJA</v>
      </c>
      <c r="H343" s="176">
        <f>+_xlfn.XLOOKUP(E343,'BASE DATOS PRECIOS '!E:E,'BASE DATOS PRECIOS '!H:H)</f>
        <v>3282.9211999999993</v>
      </c>
      <c r="I343" s="175"/>
      <c r="J343" s="175"/>
      <c r="K343" s="176">
        <f t="shared" si="262"/>
        <v>32.829211999999991</v>
      </c>
      <c r="L343" s="176">
        <f t="shared" si="263"/>
        <v>0</v>
      </c>
      <c r="M343" s="176">
        <f t="shared" si="264"/>
        <v>0</v>
      </c>
      <c r="N343" s="176">
        <f t="shared" si="265"/>
        <v>32.829211999999991</v>
      </c>
      <c r="O343" s="1083">
        <f t="shared" si="266"/>
        <v>6.3746042718446583E-2</v>
      </c>
      <c r="P343" s="158"/>
    </row>
    <row r="344" spans="1:16" ht="15" customHeight="1" x14ac:dyDescent="0.2">
      <c r="A344" s="303"/>
      <c r="B344" s="833">
        <f t="shared" si="251"/>
        <v>1.6</v>
      </c>
      <c r="C344" s="782" t="s">
        <v>2215</v>
      </c>
      <c r="D344" s="837"/>
      <c r="E344" s="161" t="str">
        <f>+_xlfn.XLOOKUP(C344,'BASE DATOS PRECIOS '!B:B,'BASE DATOS PRECIOS '!E:E)</f>
        <v>TORNILLO P/GYP 1-1/4 P FINA</v>
      </c>
      <c r="F344" s="174">
        <f>+'1_OG y 2_ACA'!D1331</f>
        <v>117</v>
      </c>
      <c r="G344" s="175" t="str">
        <f>+_xlfn.XLOOKUP(C344,'BASE DATOS PRECIOS '!B:B,'BASE DATOS PRECIOS '!F:F)</f>
        <v>UND</v>
      </c>
      <c r="H344" s="176">
        <f>+_xlfn.XLOOKUP(E344,'BASE DATOS PRECIOS '!E:E,'BASE DATOS PRECIOS '!H:H)</f>
        <v>4.1696999999999997</v>
      </c>
      <c r="I344" s="175"/>
      <c r="J344" s="175"/>
      <c r="K344" s="176">
        <f t="shared" si="262"/>
        <v>487.85489999999999</v>
      </c>
      <c r="L344" s="176">
        <f t="shared" si="263"/>
        <v>0</v>
      </c>
      <c r="M344" s="176">
        <f t="shared" si="264"/>
        <v>0</v>
      </c>
      <c r="N344" s="176">
        <f t="shared" si="265"/>
        <v>487.85489999999999</v>
      </c>
      <c r="O344" s="1083">
        <f t="shared" si="266"/>
        <v>0.94729106796116502</v>
      </c>
    </row>
    <row r="345" spans="1:16" ht="15" customHeight="1" x14ac:dyDescent="0.2">
      <c r="A345" s="303"/>
      <c r="B345" s="833">
        <f t="shared" si="251"/>
        <v>1.6</v>
      </c>
      <c r="C345" s="776"/>
      <c r="D345" s="166"/>
      <c r="E345" s="314" t="s">
        <v>1346</v>
      </c>
      <c r="F345" s="168">
        <f>+'1_OG y 2_ACA'!D1341</f>
        <v>4.55</v>
      </c>
      <c r="G345" s="169" t="s">
        <v>396</v>
      </c>
      <c r="H345" s="169"/>
      <c r="I345" s="169"/>
      <c r="J345" s="169"/>
      <c r="K345" s="170"/>
      <c r="L345" s="170">
        <f t="shared" si="263"/>
        <v>0</v>
      </c>
      <c r="M345" s="170">
        <f t="shared" si="264"/>
        <v>0</v>
      </c>
      <c r="N345" s="170"/>
      <c r="O345" s="1087"/>
    </row>
    <row r="346" spans="1:16" ht="15" customHeight="1" x14ac:dyDescent="0.2">
      <c r="A346" s="303"/>
      <c r="B346" s="833">
        <f t="shared" si="251"/>
        <v>1.6</v>
      </c>
      <c r="C346" s="782" t="s">
        <v>2214</v>
      </c>
      <c r="D346" s="837"/>
      <c r="E346" s="161" t="str">
        <f>+_xlfn.XLOOKUP(C346,'BASE DATOS PRECIOS '!B:B,'BASE DATOS PRECIOS '!E:E)</f>
        <v>GYPSUM DENSGLASS 12MM</v>
      </c>
      <c r="F346" s="174">
        <f>+'1_OG y 2_ACA'!D1344</f>
        <v>2</v>
      </c>
      <c r="G346" s="175" t="str">
        <f>+_xlfn.XLOOKUP(C346,'BASE DATOS PRECIOS '!B:B,'BASE DATOS PRECIOS '!F:F)</f>
        <v>UND</v>
      </c>
      <c r="H346" s="176">
        <f>+_xlfn.XLOOKUP(E346,'BASE DATOS PRECIOS '!E:E,'BASE DATOS PRECIOS '!H:H)</f>
        <v>17952.004899999996</v>
      </c>
      <c r="I346" s="175"/>
      <c r="J346" s="175"/>
      <c r="K346" s="176">
        <f t="shared" ref="K346:K360" si="267">+F346*H346</f>
        <v>35904.009799999993</v>
      </c>
      <c r="L346" s="176">
        <f t="shared" si="263"/>
        <v>0</v>
      </c>
      <c r="M346" s="176">
        <f t="shared" si="264"/>
        <v>0</v>
      </c>
      <c r="N346" s="176">
        <f t="shared" ref="N346:N360" si="268">SUM(K346:M346)</f>
        <v>35904.009799999993</v>
      </c>
      <c r="O346" s="1083">
        <f t="shared" ref="O346:O360" si="269">SUM(K346:M346)/tc</f>
        <v>69.716523883495128</v>
      </c>
    </row>
    <row r="347" spans="1:16" ht="15" customHeight="1" x14ac:dyDescent="0.2">
      <c r="A347" s="303"/>
      <c r="B347" s="833">
        <f t="shared" si="251"/>
        <v>1.6</v>
      </c>
      <c r="C347" s="782" t="s">
        <v>2223</v>
      </c>
      <c r="D347" s="837"/>
      <c r="E347" s="161" t="str">
        <f>+_xlfn.XLOOKUP(C347,'BASE DATOS PRECIOS '!B:B,'BASE DATOS PRECIOS '!E:E)</f>
        <v>GYPSUM REGULAR 12MM</v>
      </c>
      <c r="F347" s="174">
        <f>+'1_OG y 2_ACA'!D1345</f>
        <v>2</v>
      </c>
      <c r="G347" s="175" t="str">
        <f>+_xlfn.XLOOKUP(C347,'BASE DATOS PRECIOS '!B:B,'BASE DATOS PRECIOS '!F:F)</f>
        <v>UND</v>
      </c>
      <c r="H347" s="176">
        <f>+_xlfn.XLOOKUP(E347,'BASE DATOS PRECIOS '!E:E,'BASE DATOS PRECIOS '!H:H)</f>
        <v>6384.0028000000002</v>
      </c>
      <c r="I347" s="175"/>
      <c r="J347" s="175"/>
      <c r="K347" s="176">
        <f t="shared" si="267"/>
        <v>12768.0056</v>
      </c>
      <c r="L347" s="176">
        <f t="shared" si="263"/>
        <v>0</v>
      </c>
      <c r="M347" s="176">
        <f t="shared" si="264"/>
        <v>0</v>
      </c>
      <c r="N347" s="176">
        <f t="shared" si="268"/>
        <v>12768.0056</v>
      </c>
      <c r="O347" s="1083">
        <f t="shared" si="269"/>
        <v>24.792243883495146</v>
      </c>
    </row>
    <row r="348" spans="1:16" ht="15" customHeight="1" x14ac:dyDescent="0.2">
      <c r="A348" s="303"/>
      <c r="B348" s="833">
        <f t="shared" si="251"/>
        <v>1.6</v>
      </c>
      <c r="C348" s="786" t="s">
        <v>2091</v>
      </c>
      <c r="D348" s="826"/>
      <c r="E348" s="161" t="str">
        <f>+_xlfn.XLOOKUP(C348,'BASE DATOS PRECIOS '!B:B,'BASE DATOS PRECIOS '!E:E)</f>
        <v>STUD 3X10 CAL#25</v>
      </c>
      <c r="F348" s="174">
        <f>+'1_OG y 2_ACA'!D1346</f>
        <v>5</v>
      </c>
      <c r="G348" s="175" t="str">
        <f>+_xlfn.XLOOKUP(C348,'BASE DATOS PRECIOS '!B:B,'BASE DATOS PRECIOS '!F:F)</f>
        <v>UND</v>
      </c>
      <c r="H348" s="176">
        <f>+_xlfn.XLOOKUP(E348,'BASE DATOS PRECIOS '!E:E,'BASE DATOS PRECIOS '!H:H)</f>
        <v>853.46639999999991</v>
      </c>
      <c r="I348" s="175"/>
      <c r="J348" s="175"/>
      <c r="K348" s="176">
        <f t="shared" si="267"/>
        <v>4267.3319999999994</v>
      </c>
      <c r="L348" s="176">
        <f t="shared" si="263"/>
        <v>0</v>
      </c>
      <c r="M348" s="176">
        <f t="shared" si="264"/>
        <v>0</v>
      </c>
      <c r="N348" s="176">
        <f t="shared" si="268"/>
        <v>4267.3319999999994</v>
      </c>
      <c r="O348" s="1083">
        <f t="shared" si="269"/>
        <v>8.2860815533980574</v>
      </c>
    </row>
    <row r="349" spans="1:16" ht="15" customHeight="1" x14ac:dyDescent="0.2">
      <c r="A349" s="303"/>
      <c r="B349" s="833">
        <f t="shared" si="251"/>
        <v>1.6</v>
      </c>
      <c r="C349" s="782" t="s">
        <v>2218</v>
      </c>
      <c r="D349" s="837"/>
      <c r="E349" s="161" t="str">
        <f>+_xlfn.XLOOKUP(C349,'BASE DATOS PRECIOS '!B:B,'BASE DATOS PRECIOS '!E:E)</f>
        <v>TRACK 3X10 CAL#25</v>
      </c>
      <c r="F349" s="174">
        <f>+'1_OG y 2_ACA'!D1347</f>
        <v>2</v>
      </c>
      <c r="G349" s="175" t="str">
        <f>+_xlfn.XLOOKUP(C349,'BASE DATOS PRECIOS '!B:B,'BASE DATOS PRECIOS '!F:F)</f>
        <v>UND</v>
      </c>
      <c r="H349" s="176">
        <f>+_xlfn.XLOOKUP(E349,'BASE DATOS PRECIOS '!E:E,'BASE DATOS PRECIOS '!H:H)</f>
        <v>711.53839999999991</v>
      </c>
      <c r="I349" s="175"/>
      <c r="J349" s="175"/>
      <c r="K349" s="176">
        <f t="shared" si="267"/>
        <v>1423.0767999999998</v>
      </c>
      <c r="L349" s="176">
        <f t="shared" si="263"/>
        <v>0</v>
      </c>
      <c r="M349" s="176">
        <f t="shared" si="264"/>
        <v>0</v>
      </c>
      <c r="N349" s="176">
        <f t="shared" si="268"/>
        <v>1423.0767999999998</v>
      </c>
      <c r="O349" s="1083">
        <f t="shared" si="269"/>
        <v>2.7632559223300968</v>
      </c>
    </row>
    <row r="350" spans="1:16" ht="15" customHeight="1" x14ac:dyDescent="0.2">
      <c r="A350" s="303"/>
      <c r="B350" s="833">
        <f t="shared" si="251"/>
        <v>1.6</v>
      </c>
      <c r="C350" s="782" t="s">
        <v>2222</v>
      </c>
      <c r="D350" s="837"/>
      <c r="E350" s="161" t="str">
        <f>+_xlfn.XLOOKUP(C350,'BASE DATOS PRECIOS '!B:B,'BASE DATOS PRECIOS '!E:E)</f>
        <v>CLAVO DE IMPACTO 1" (100)</v>
      </c>
      <c r="F350" s="174">
        <f>+'1_OG y 2_ACA'!D1348</f>
        <v>0.2</v>
      </c>
      <c r="G350" s="175" t="str">
        <f>+_xlfn.XLOOKUP(C350,'BASE DATOS PRECIOS '!B:B,'BASE DATOS PRECIOS '!F:F)</f>
        <v>CJ</v>
      </c>
      <c r="H350" s="176">
        <f>+_xlfn.XLOOKUP(E350,'BASE DATOS PRECIOS '!E:E,'BASE DATOS PRECIOS '!H:H)</f>
        <v>2118.75</v>
      </c>
      <c r="I350" s="175"/>
      <c r="J350" s="175"/>
      <c r="K350" s="176">
        <f t="shared" si="267"/>
        <v>423.75</v>
      </c>
      <c r="L350" s="176">
        <f t="shared" si="263"/>
        <v>0</v>
      </c>
      <c r="M350" s="176">
        <f t="shared" si="264"/>
        <v>0</v>
      </c>
      <c r="N350" s="176">
        <f t="shared" si="268"/>
        <v>423.75</v>
      </c>
      <c r="O350" s="1083">
        <f t="shared" si="269"/>
        <v>0.82281553398058249</v>
      </c>
    </row>
    <row r="351" spans="1:16" ht="15" customHeight="1" x14ac:dyDescent="0.2">
      <c r="A351" s="303"/>
      <c r="B351" s="833">
        <f t="shared" si="251"/>
        <v>1.6</v>
      </c>
      <c r="C351" s="782" t="s">
        <v>2006</v>
      </c>
      <c r="D351" s="837"/>
      <c r="E351" s="161" t="str">
        <f>+_xlfn.XLOOKUP(C351,'BASE DATOS PRECIOS '!B:B,'BASE DATOS PRECIOS '!E:E)</f>
        <v>TIRO FULMINANTE P/PISTOLA 25MM (100)</v>
      </c>
      <c r="F351" s="174">
        <f>+'1_OG y 2_ACA'!D1349</f>
        <v>0.2</v>
      </c>
      <c r="G351" s="175" t="str">
        <f>+_xlfn.XLOOKUP(C351,'BASE DATOS PRECIOS '!B:B,'BASE DATOS PRECIOS '!F:F)</f>
        <v>CAJA</v>
      </c>
      <c r="H351" s="176">
        <f>+_xlfn.XLOOKUP(E351,'BASE DATOS PRECIOS '!E:E,'BASE DATOS PRECIOS '!H:H)</f>
        <v>3282.9211999999993</v>
      </c>
      <c r="I351" s="175"/>
      <c r="J351" s="175"/>
      <c r="K351" s="176">
        <f t="shared" si="267"/>
        <v>656.58423999999991</v>
      </c>
      <c r="L351" s="176">
        <f t="shared" si="263"/>
        <v>0</v>
      </c>
      <c r="M351" s="176">
        <f t="shared" si="264"/>
        <v>0</v>
      </c>
      <c r="N351" s="176">
        <f t="shared" si="268"/>
        <v>656.58423999999991</v>
      </c>
      <c r="O351" s="1083">
        <f t="shared" si="269"/>
        <v>1.2749208543689319</v>
      </c>
    </row>
    <row r="352" spans="1:16" ht="15" customHeight="1" x14ac:dyDescent="0.2">
      <c r="A352" s="303"/>
      <c r="B352" s="833">
        <f t="shared" si="251"/>
        <v>1.6</v>
      </c>
      <c r="C352" s="782" t="s">
        <v>2216</v>
      </c>
      <c r="D352" s="837"/>
      <c r="E352" s="161" t="str">
        <f>+_xlfn.XLOOKUP(C352,'BASE DATOS PRECIOS '!B:B,'BASE DATOS PRECIOS '!E:E)</f>
        <v>CINTA MALLA ADHESIVA P/GYP (45M)</v>
      </c>
      <c r="F352" s="174">
        <f>+'1_OG y 2_ACA'!D1350</f>
        <v>1</v>
      </c>
      <c r="G352" s="175" t="str">
        <f>+_xlfn.XLOOKUP(C352,'BASE DATOS PRECIOS '!B:B,'BASE DATOS PRECIOS '!F:F)</f>
        <v>ROLLO</v>
      </c>
      <c r="H352" s="176">
        <f>+_xlfn.XLOOKUP(E352,'BASE DATOS PRECIOS '!E:E,'BASE DATOS PRECIOS '!H:H)</f>
        <v>1477.7574999999999</v>
      </c>
      <c r="I352" s="175"/>
      <c r="J352" s="175"/>
      <c r="K352" s="176">
        <f t="shared" si="267"/>
        <v>1477.7574999999999</v>
      </c>
      <c r="L352" s="176">
        <f t="shared" si="263"/>
        <v>0</v>
      </c>
      <c r="M352" s="176">
        <f t="shared" si="264"/>
        <v>0</v>
      </c>
      <c r="N352" s="176">
        <f t="shared" si="268"/>
        <v>1477.7574999999999</v>
      </c>
      <c r="O352" s="1083">
        <f t="shared" si="269"/>
        <v>2.8694320388349515</v>
      </c>
    </row>
    <row r="353" spans="1:16" ht="15" customHeight="1" x14ac:dyDescent="0.2">
      <c r="A353" s="303"/>
      <c r="B353" s="833">
        <f t="shared" si="251"/>
        <v>1.6</v>
      </c>
      <c r="C353" s="120" t="s">
        <v>2003</v>
      </c>
      <c r="D353" s="838"/>
      <c r="E353" s="161" t="str">
        <f>+_xlfn.XLOOKUP(C353,'BASE DATOS PRECIOS '!B:B,'BASE DATOS PRECIOS '!E:E)</f>
        <v>MOLDURA J PLASTICA 1/2 X 10</v>
      </c>
      <c r="F353" s="174">
        <f>+'1_OG y 2_ACA'!D1351</f>
        <v>2</v>
      </c>
      <c r="G353" s="175" t="str">
        <f>+_xlfn.XLOOKUP(C353,'BASE DATOS PRECIOS '!B:B,'BASE DATOS PRECIOS '!F:F)</f>
        <v>UND</v>
      </c>
      <c r="H353" s="176">
        <f>+_xlfn.XLOOKUP(E353,'BASE DATOS PRECIOS '!E:E,'BASE DATOS PRECIOS '!G:G)</f>
        <v>862</v>
      </c>
      <c r="I353" s="175"/>
      <c r="J353" s="175"/>
      <c r="K353" s="176">
        <f t="shared" si="267"/>
        <v>1724</v>
      </c>
      <c r="L353" s="176">
        <f t="shared" si="263"/>
        <v>0</v>
      </c>
      <c r="M353" s="176">
        <f t="shared" si="264"/>
        <v>0</v>
      </c>
      <c r="N353" s="176">
        <f t="shared" si="268"/>
        <v>1724</v>
      </c>
      <c r="O353" s="1083">
        <f t="shared" si="269"/>
        <v>3.3475728155339808</v>
      </c>
    </row>
    <row r="354" spans="1:16" ht="15" customHeight="1" x14ac:dyDescent="0.2">
      <c r="A354" s="303"/>
      <c r="B354" s="833">
        <f t="shared" si="251"/>
        <v>1.6</v>
      </c>
      <c r="C354" s="782" t="s">
        <v>2217</v>
      </c>
      <c r="D354" s="837"/>
      <c r="E354" s="161" t="str">
        <f>+_xlfn.XLOOKUP(C354,'BASE DATOS PRECIOS '!B:B,'BASE DATOS PRECIOS '!E:E)</f>
        <v>ESQUINERO PLASTICO 1 1/4X10</v>
      </c>
      <c r="F354" s="174">
        <f>+'1_OG y 2_ACA'!D1352</f>
        <v>2</v>
      </c>
      <c r="G354" s="175" t="str">
        <f>+_xlfn.XLOOKUP(C354,'BASE DATOS PRECIOS '!B:B,'BASE DATOS PRECIOS '!F:F)</f>
        <v>UND</v>
      </c>
      <c r="H354" s="176">
        <f>+_xlfn.XLOOKUP(E354,'BASE DATOS PRECIOS '!E:E,'BASE DATOS PRECIOS '!H:H)</f>
        <v>942.42</v>
      </c>
      <c r="I354" s="175"/>
      <c r="J354" s="175"/>
      <c r="K354" s="176">
        <f t="shared" si="267"/>
        <v>1884.84</v>
      </c>
      <c r="L354" s="176">
        <f t="shared" si="263"/>
        <v>0</v>
      </c>
      <c r="M354" s="176">
        <f t="shared" si="264"/>
        <v>0</v>
      </c>
      <c r="N354" s="176">
        <f t="shared" si="268"/>
        <v>1884.84</v>
      </c>
      <c r="O354" s="1083">
        <f t="shared" si="269"/>
        <v>3.6598834951456309</v>
      </c>
    </row>
    <row r="355" spans="1:16" ht="15" customHeight="1" x14ac:dyDescent="0.2">
      <c r="A355" s="1074"/>
      <c r="B355" s="833">
        <f t="shared" si="251"/>
        <v>1.6</v>
      </c>
      <c r="C355" s="782" t="s">
        <v>2203</v>
      </c>
      <c r="D355" s="837"/>
      <c r="E355" s="161" t="str">
        <f>+_xlfn.XLOOKUP(C355,'BASE DATOS PRECIOS '!B:B,'BASE DATOS PRECIOS '!E:E)</f>
        <v>TORNILLO GYPSUM 7/16 PUNTA FINA CON ARANDELA</v>
      </c>
      <c r="F355" s="174">
        <f>+'1_OG y 2_ACA'!D1353*100</f>
        <v>200</v>
      </c>
      <c r="G355" s="175" t="str">
        <f>+_xlfn.XLOOKUP(C355,'BASE DATOS PRECIOS '!B:B,'BASE DATOS PRECIOS '!F:F)</f>
        <v>UND</v>
      </c>
      <c r="H355" s="176">
        <f>+_xlfn.XLOOKUP(E355,'BASE DATOS PRECIOS '!E:E,'BASE DATOS PRECIOS '!H:H)</f>
        <v>3.9211</v>
      </c>
      <c r="I355" s="175"/>
      <c r="J355" s="175"/>
      <c r="K355" s="176">
        <f t="shared" si="267"/>
        <v>784.22</v>
      </c>
      <c r="L355" s="176">
        <f t="shared" si="263"/>
        <v>0</v>
      </c>
      <c r="M355" s="176">
        <f t="shared" si="264"/>
        <v>0</v>
      </c>
      <c r="N355" s="176">
        <f t="shared" si="268"/>
        <v>784.22</v>
      </c>
      <c r="O355" s="1083">
        <f t="shared" si="269"/>
        <v>1.5227572815533981</v>
      </c>
    </row>
    <row r="356" spans="1:16" ht="15" customHeight="1" x14ac:dyDescent="0.2">
      <c r="A356" s="303"/>
      <c r="B356" s="833">
        <f t="shared" si="251"/>
        <v>1.6</v>
      </c>
      <c r="C356" s="782" t="s">
        <v>2215</v>
      </c>
      <c r="D356" s="837"/>
      <c r="E356" s="161" t="str">
        <f>+_xlfn.XLOOKUP(C356,'BASE DATOS PRECIOS '!B:B,'BASE DATOS PRECIOS '!E:E)</f>
        <v>TORNILLO P/GYP 1-1/4 P FINA</v>
      </c>
      <c r="F356" s="174">
        <f>+'1_OG y 2_ACA'!D1354</f>
        <v>110</v>
      </c>
      <c r="G356" s="175" t="str">
        <f>+_xlfn.XLOOKUP(C356,'BASE DATOS PRECIOS '!B:B,'BASE DATOS PRECIOS '!F:F)</f>
        <v>UND</v>
      </c>
      <c r="H356" s="176">
        <f>+_xlfn.XLOOKUP(E356,'BASE DATOS PRECIOS '!E:E,'BASE DATOS PRECIOS '!H:H)</f>
        <v>4.1696999999999997</v>
      </c>
      <c r="I356" s="175"/>
      <c r="J356" s="175"/>
      <c r="K356" s="176">
        <f t="shared" si="267"/>
        <v>458.66699999999997</v>
      </c>
      <c r="L356" s="176">
        <f t="shared" si="263"/>
        <v>0</v>
      </c>
      <c r="M356" s="176">
        <f t="shared" si="264"/>
        <v>0</v>
      </c>
      <c r="N356" s="176">
        <f t="shared" si="268"/>
        <v>458.66699999999997</v>
      </c>
      <c r="O356" s="1083">
        <f t="shared" si="269"/>
        <v>0.89061553398058246</v>
      </c>
    </row>
    <row r="357" spans="1:16" ht="14.1" customHeight="1" x14ac:dyDescent="0.2">
      <c r="A357" s="1077" t="s">
        <v>3505</v>
      </c>
      <c r="B357" s="833">
        <f t="shared" si="251"/>
        <v>1.6</v>
      </c>
      <c r="C357" s="774" t="s">
        <v>36</v>
      </c>
      <c r="D357" s="210"/>
      <c r="E357" s="211" t="str">
        <f>+_xlfn.XLOOKUP(C357,'BASE DATOS MANO DE OBRA'!A:A,'BASE DATOS MANO DE OBRA'!B:B)</f>
        <v xml:space="preserve">OPERARIO PLUS </v>
      </c>
      <c r="F357" s="212">
        <f>+ROUNDUP(('1_OG y 2_ACA'!F1357+'1_OG y 2_ACA'!F1313),0)/2</f>
        <v>36.5</v>
      </c>
      <c r="G357" s="213" t="str">
        <f>+_xlfn.XLOOKUP(C357,'BASE DATOS MANO DE OBRA'!A:A,'BASE DATOS MANO DE OBRA'!C:C)</f>
        <v xml:space="preserve">hora </v>
      </c>
      <c r="H357" s="214">
        <v>0</v>
      </c>
      <c r="I357" s="214">
        <f>+_xlfn.XLOOKUP(C357,'BASE DATOS MANO DE OBRA'!A:A,'BASE DATOS MANO DE OBRA'!E:E)</f>
        <v>2850</v>
      </c>
      <c r="J357" s="214">
        <v>0</v>
      </c>
      <c r="K357" s="214">
        <f t="shared" si="267"/>
        <v>0</v>
      </c>
      <c r="L357" s="214">
        <f t="shared" si="263"/>
        <v>104025</v>
      </c>
      <c r="M357" s="214">
        <f t="shared" si="264"/>
        <v>0</v>
      </c>
      <c r="N357" s="214">
        <f t="shared" si="268"/>
        <v>104025</v>
      </c>
      <c r="O357" s="1086">
        <f t="shared" si="269"/>
        <v>201.99029126213591</v>
      </c>
    </row>
    <row r="358" spans="1:16" ht="14.1" customHeight="1" x14ac:dyDescent="0.2">
      <c r="A358" s="1077" t="s">
        <v>3505</v>
      </c>
      <c r="B358" s="833">
        <f t="shared" si="251"/>
        <v>1.6</v>
      </c>
      <c r="C358" s="774" t="s">
        <v>37</v>
      </c>
      <c r="D358" s="210"/>
      <c r="E358" s="211" t="str">
        <f>+_xlfn.XLOOKUP(C358,'BASE DATOS MANO DE OBRA'!A:A,'BASE DATOS MANO DE OBRA'!B:B)</f>
        <v xml:space="preserve">AYUDANTE PLUS </v>
      </c>
      <c r="F358" s="212">
        <f>+F357</f>
        <v>36.5</v>
      </c>
      <c r="G358" s="213" t="str">
        <f>+_xlfn.XLOOKUP(C358,'BASE DATOS MANO DE OBRA'!A:A,'BASE DATOS MANO DE OBRA'!C:C)</f>
        <v xml:space="preserve">hora </v>
      </c>
      <c r="H358" s="214">
        <v>0</v>
      </c>
      <c r="I358" s="214">
        <f>+_xlfn.XLOOKUP(C358,'BASE DATOS MANO DE OBRA'!A:A,'BASE DATOS MANO DE OBRA'!E:E)</f>
        <v>2325</v>
      </c>
      <c r="J358" s="214">
        <v>0</v>
      </c>
      <c r="K358" s="214">
        <f t="shared" si="267"/>
        <v>0</v>
      </c>
      <c r="L358" s="214">
        <f t="shared" si="263"/>
        <v>84862.5</v>
      </c>
      <c r="M358" s="214">
        <f t="shared" si="264"/>
        <v>0</v>
      </c>
      <c r="N358" s="214">
        <f t="shared" si="268"/>
        <v>84862.5</v>
      </c>
      <c r="O358" s="1086">
        <f t="shared" si="269"/>
        <v>164.78155339805826</v>
      </c>
    </row>
    <row r="359" spans="1:16" ht="14.1" customHeight="1" x14ac:dyDescent="0.2">
      <c r="A359" s="1077" t="s">
        <v>2989</v>
      </c>
      <c r="B359" s="833">
        <f t="shared" si="251"/>
        <v>1.6</v>
      </c>
      <c r="C359" s="774" t="s">
        <v>36</v>
      </c>
      <c r="D359" s="210"/>
      <c r="E359" s="211" t="str">
        <f>+_xlfn.XLOOKUP(C359,'BASE DATOS MANO DE OBRA'!A:A,'BASE DATOS MANO DE OBRA'!B:B)</f>
        <v xml:space="preserve">OPERARIO PLUS </v>
      </c>
      <c r="F359" s="212">
        <f>+ROUNDUP('1_OG y 2_ACA'!F1334,0)/2</f>
        <v>10.5</v>
      </c>
      <c r="G359" s="213" t="str">
        <f>+_xlfn.XLOOKUP(C359,'BASE DATOS MANO DE OBRA'!A:A,'BASE DATOS MANO DE OBRA'!C:C)</f>
        <v xml:space="preserve">hora </v>
      </c>
      <c r="H359" s="214">
        <v>0</v>
      </c>
      <c r="I359" s="214">
        <f>+_xlfn.XLOOKUP(C359,'BASE DATOS MANO DE OBRA'!A:A,'BASE DATOS MANO DE OBRA'!E:E)</f>
        <v>2850</v>
      </c>
      <c r="J359" s="214">
        <v>0</v>
      </c>
      <c r="K359" s="214">
        <f t="shared" si="267"/>
        <v>0</v>
      </c>
      <c r="L359" s="214">
        <f t="shared" si="263"/>
        <v>29925</v>
      </c>
      <c r="M359" s="214">
        <f t="shared" si="264"/>
        <v>0</v>
      </c>
      <c r="N359" s="214">
        <f t="shared" si="268"/>
        <v>29925</v>
      </c>
      <c r="O359" s="1086">
        <f t="shared" si="269"/>
        <v>58.106796116504853</v>
      </c>
    </row>
    <row r="360" spans="1:16" ht="14.1" customHeight="1" x14ac:dyDescent="0.2">
      <c r="A360" s="1077" t="s">
        <v>2989</v>
      </c>
      <c r="B360" s="833">
        <f t="shared" si="251"/>
        <v>1.6</v>
      </c>
      <c r="C360" s="774" t="s">
        <v>37</v>
      </c>
      <c r="D360" s="210"/>
      <c r="E360" s="211" t="str">
        <f>+_xlfn.XLOOKUP(C360,'BASE DATOS MANO DE OBRA'!A:A,'BASE DATOS MANO DE OBRA'!B:B)</f>
        <v xml:space="preserve">AYUDANTE PLUS </v>
      </c>
      <c r="F360" s="212">
        <f>+F359</f>
        <v>10.5</v>
      </c>
      <c r="G360" s="213" t="str">
        <f>+_xlfn.XLOOKUP(C360,'BASE DATOS MANO DE OBRA'!A:A,'BASE DATOS MANO DE OBRA'!C:C)</f>
        <v xml:space="preserve">hora </v>
      </c>
      <c r="H360" s="214">
        <v>0</v>
      </c>
      <c r="I360" s="214">
        <f>+_xlfn.XLOOKUP(C360,'BASE DATOS MANO DE OBRA'!A:A,'BASE DATOS MANO DE OBRA'!E:E)</f>
        <v>2325</v>
      </c>
      <c r="J360" s="214">
        <v>0</v>
      </c>
      <c r="K360" s="214">
        <f t="shared" si="267"/>
        <v>0</v>
      </c>
      <c r="L360" s="214">
        <f t="shared" si="263"/>
        <v>24412.5</v>
      </c>
      <c r="M360" s="214">
        <f t="shared" si="264"/>
        <v>0</v>
      </c>
      <c r="N360" s="214">
        <f t="shared" si="268"/>
        <v>24412.5</v>
      </c>
      <c r="O360" s="1086">
        <f t="shared" si="269"/>
        <v>47.402912621359221</v>
      </c>
    </row>
    <row r="361" spans="1:16" s="49" customFormat="1" ht="18.600000000000001" customHeight="1" collapsed="1" x14ac:dyDescent="0.2">
      <c r="A361" s="303"/>
      <c r="B361" s="833">
        <f t="shared" si="251"/>
        <v>1.6</v>
      </c>
      <c r="C361" s="770" t="s">
        <v>2125</v>
      </c>
      <c r="D361" s="453"/>
      <c r="E361" s="454" t="s">
        <v>189</v>
      </c>
      <c r="F361" s="455">
        <v>1</v>
      </c>
      <c r="G361" s="453" t="s">
        <v>29</v>
      </c>
      <c r="H361" s="453"/>
      <c r="I361" s="453"/>
      <c r="J361" s="453"/>
      <c r="K361" s="456">
        <f>+SUBTOTAL(9,K362:K392)</f>
        <v>1120389.9695999997</v>
      </c>
      <c r="L361" s="456">
        <f>+SUBTOTAL(9,L362:L392)</f>
        <v>297562.5</v>
      </c>
      <c r="M361" s="456">
        <f>+SUBTOTAL(9,M362:M392)</f>
        <v>0</v>
      </c>
      <c r="N361" s="456">
        <f>+SUBTOTAL(9,N362:N392)</f>
        <v>1417952.4695999997</v>
      </c>
      <c r="O361" s="1082">
        <f>+SUBTOTAL(9,O362:O392)</f>
        <v>2753.3057662135921</v>
      </c>
      <c r="P361" s="416"/>
    </row>
    <row r="362" spans="1:16" x14ac:dyDescent="0.2">
      <c r="A362" s="303"/>
      <c r="B362" s="833">
        <f t="shared" si="251"/>
        <v>1.6</v>
      </c>
      <c r="C362" s="776"/>
      <c r="D362" s="166"/>
      <c r="E362" s="319" t="s">
        <v>1464</v>
      </c>
      <c r="F362" s="168">
        <f>+'1_OG y 2_ACA'!D1366</f>
        <v>41.199999999999996</v>
      </c>
      <c r="G362" s="169" t="s">
        <v>396</v>
      </c>
      <c r="H362" s="169"/>
      <c r="I362" s="169"/>
      <c r="J362" s="169"/>
      <c r="K362" s="170"/>
      <c r="L362" s="170"/>
      <c r="M362" s="170"/>
      <c r="N362" s="170"/>
      <c r="O362" s="1087"/>
      <c r="P362" s="158"/>
    </row>
    <row r="363" spans="1:16" x14ac:dyDescent="0.2">
      <c r="A363" s="303"/>
      <c r="B363" s="833">
        <f t="shared" si="251"/>
        <v>1.6</v>
      </c>
      <c r="C363" s="787"/>
      <c r="D363" s="534"/>
      <c r="E363" s="535" t="s">
        <v>1471</v>
      </c>
      <c r="F363" s="536">
        <f>+'1_OG y 2_ACA'!D1365</f>
        <v>38.299999999999997</v>
      </c>
      <c r="G363" s="537" t="s">
        <v>396</v>
      </c>
      <c r="H363" s="537"/>
      <c r="I363" s="537"/>
      <c r="J363" s="537"/>
      <c r="K363" s="538"/>
      <c r="L363" s="538"/>
      <c r="M363" s="538"/>
      <c r="N363" s="538"/>
      <c r="O363" s="1091"/>
      <c r="P363" s="158"/>
    </row>
    <row r="364" spans="1:16" x14ac:dyDescent="0.2">
      <c r="A364" s="303"/>
      <c r="B364" s="833">
        <f t="shared" si="251"/>
        <v>1.6</v>
      </c>
      <c r="C364" s="787"/>
      <c r="D364" s="534"/>
      <c r="E364" s="535" t="s">
        <v>1472</v>
      </c>
      <c r="F364" s="536">
        <f>+'1_OG y 2_ACA'!D1364</f>
        <v>2.9</v>
      </c>
      <c r="G364" s="537" t="s">
        <v>396</v>
      </c>
      <c r="H364" s="537"/>
      <c r="I364" s="537"/>
      <c r="J364" s="537"/>
      <c r="K364" s="538"/>
      <c r="L364" s="538"/>
      <c r="M364" s="538"/>
      <c r="N364" s="538"/>
      <c r="O364" s="1091"/>
      <c r="P364" s="158"/>
    </row>
    <row r="365" spans="1:16" x14ac:dyDescent="0.2">
      <c r="A365" s="303"/>
      <c r="B365" s="833">
        <f t="shared" si="251"/>
        <v>1.6</v>
      </c>
      <c r="C365" s="786" t="s">
        <v>2223</v>
      </c>
      <c r="D365" s="826"/>
      <c r="E365" s="161" t="str">
        <f>+_xlfn.XLOOKUP(C365,'BASE DATOS PRECIOS '!B:B,'BASE DATOS PRECIOS '!E:E)</f>
        <v>GYPSUM REGULAR 12MM</v>
      </c>
      <c r="F365" s="174">
        <f>+'1_OG y 2_ACA'!D1369</f>
        <v>15</v>
      </c>
      <c r="G365" s="175" t="str">
        <f>+_xlfn.XLOOKUP(C365,'BASE DATOS PRECIOS '!B:B,'BASE DATOS PRECIOS '!F:F)</f>
        <v>UND</v>
      </c>
      <c r="H365" s="176">
        <f>+_xlfn.XLOOKUP(E365,'BASE DATOS PRECIOS '!E:E,'BASE DATOS PRECIOS '!H:H)</f>
        <v>6384.0028000000002</v>
      </c>
      <c r="I365" s="175"/>
      <c r="J365" s="175"/>
      <c r="K365" s="176">
        <f t="shared" ref="K365:K374" si="270">+F365*H365</f>
        <v>95760.042000000001</v>
      </c>
      <c r="L365" s="176">
        <f t="shared" ref="L365:L374" si="271">+F365*I365</f>
        <v>0</v>
      </c>
      <c r="M365" s="176">
        <f t="shared" ref="M365:M374" si="272">+F365*J365</f>
        <v>0</v>
      </c>
      <c r="N365" s="176">
        <f t="shared" ref="N365:N374" si="273">SUM(K365:M365)</f>
        <v>95760.042000000001</v>
      </c>
      <c r="O365" s="1083">
        <f t="shared" ref="O365:O374" si="274">SUM(K365:M365)/tc</f>
        <v>185.94182912621361</v>
      </c>
      <c r="P365" s="158"/>
    </row>
    <row r="366" spans="1:16" x14ac:dyDescent="0.2">
      <c r="A366" s="303"/>
      <c r="B366" s="833">
        <f t="shared" si="251"/>
        <v>1.6</v>
      </c>
      <c r="C366" s="786" t="s">
        <v>2224</v>
      </c>
      <c r="D366" s="826"/>
      <c r="E366" s="161" t="str">
        <f>+_xlfn.XLOOKUP(C366,'BASE DATOS PRECIOS '!B:B,'BASE DATOS PRECIOS '!E:E)</f>
        <v>GYPSUM MR VERDE 12MM</v>
      </c>
      <c r="F366" s="174">
        <f>+'1_OG y 2_ACA'!D1370</f>
        <v>2</v>
      </c>
      <c r="G366" s="175" t="str">
        <f>+_xlfn.XLOOKUP(C366,'BASE DATOS PRECIOS '!B:B,'BASE DATOS PRECIOS '!F:F)</f>
        <v>UND</v>
      </c>
      <c r="H366" s="176">
        <f>+_xlfn.XLOOKUP(E366,'BASE DATOS PRECIOS '!E:E,'BASE DATOS PRECIOS '!H:H)</f>
        <v>8383.684699999998</v>
      </c>
      <c r="I366" s="175"/>
      <c r="J366" s="175"/>
      <c r="K366" s="176">
        <f t="shared" si="270"/>
        <v>16767.369399999996</v>
      </c>
      <c r="L366" s="176">
        <f t="shared" si="271"/>
        <v>0</v>
      </c>
      <c r="M366" s="176">
        <f t="shared" si="272"/>
        <v>0</v>
      </c>
      <c r="N366" s="176">
        <f t="shared" si="273"/>
        <v>16767.369399999996</v>
      </c>
      <c r="O366" s="1083">
        <f t="shared" si="274"/>
        <v>32.557998834951448</v>
      </c>
      <c r="P366" s="158"/>
    </row>
    <row r="367" spans="1:16" x14ac:dyDescent="0.2">
      <c r="A367" s="303"/>
      <c r="B367" s="833">
        <f t="shared" si="251"/>
        <v>1.6</v>
      </c>
      <c r="C367" s="782" t="s">
        <v>2221</v>
      </c>
      <c r="D367" s="837"/>
      <c r="E367" s="161" t="str">
        <f>+_xlfn.XLOOKUP(C367,'BASE DATOS PRECIOS '!B:B,'BASE DATOS PRECIOS '!E:E)</f>
        <v>FURRING CALIBRE 0.36X 3.66 CM</v>
      </c>
      <c r="F367" s="174">
        <f>+'1_OG y 2_ACA'!D1371</f>
        <v>33</v>
      </c>
      <c r="G367" s="175" t="str">
        <f>+_xlfn.XLOOKUP(C367,'BASE DATOS PRECIOS '!B:B,'BASE DATOS PRECIOS '!F:F)</f>
        <v>UND</v>
      </c>
      <c r="H367" s="176">
        <f>+_xlfn.XLOOKUP(E367,'BASE DATOS PRECIOS '!E:E,'BASE DATOS PRECIOS '!H:H)</f>
        <v>1231.6999999999998</v>
      </c>
      <c r="I367" s="175"/>
      <c r="J367" s="175"/>
      <c r="K367" s="176">
        <f t="shared" si="270"/>
        <v>40646.099999999991</v>
      </c>
      <c r="L367" s="176">
        <f t="shared" si="271"/>
        <v>0</v>
      </c>
      <c r="M367" s="176">
        <f t="shared" si="272"/>
        <v>0</v>
      </c>
      <c r="N367" s="176">
        <f t="shared" si="273"/>
        <v>40646.099999999991</v>
      </c>
      <c r="O367" s="1083">
        <f t="shared" si="274"/>
        <v>78.924466019417466</v>
      </c>
      <c r="P367" s="158"/>
    </row>
    <row r="368" spans="1:16" x14ac:dyDescent="0.2">
      <c r="A368" s="303"/>
      <c r="B368" s="833">
        <f t="shared" si="251"/>
        <v>1.6</v>
      </c>
      <c r="C368" s="786" t="s">
        <v>1931</v>
      </c>
      <c r="D368" s="826"/>
      <c r="E368" s="161" t="str">
        <f>+_xlfn.XLOOKUP(C368,'BASE DATOS PRECIOS '!B:B,'BASE DATOS PRECIOS '!E:E)</f>
        <v>CANAL U 1 1/2X16X4.88 CAL #20</v>
      </c>
      <c r="F368" s="174">
        <f>+'1_OG y 2_ACA'!D1372</f>
        <v>9</v>
      </c>
      <c r="G368" s="175" t="str">
        <f>+_xlfn.XLOOKUP(C368,'BASE DATOS PRECIOS '!B:B,'BASE DATOS PRECIOS '!F:F)</f>
        <v>UND</v>
      </c>
      <c r="H368" s="176">
        <f>+_xlfn.XLOOKUP(E368,'BASE DATOS PRECIOS '!E:E,'BASE DATOS PRECIOS '!H:H)</f>
        <v>1966.1999999999998</v>
      </c>
      <c r="I368" s="175"/>
      <c r="J368" s="175"/>
      <c r="K368" s="176">
        <f t="shared" si="270"/>
        <v>17695.8</v>
      </c>
      <c r="L368" s="176">
        <f t="shared" si="271"/>
        <v>0</v>
      </c>
      <c r="M368" s="176">
        <f t="shared" si="272"/>
        <v>0</v>
      </c>
      <c r="N368" s="176">
        <f t="shared" si="273"/>
        <v>17695.8</v>
      </c>
      <c r="O368" s="1083">
        <f t="shared" si="274"/>
        <v>34.360776699029124</v>
      </c>
      <c r="P368" s="158"/>
    </row>
    <row r="369" spans="1:16" x14ac:dyDescent="0.2">
      <c r="A369" s="303"/>
      <c r="B369" s="833">
        <f t="shared" si="251"/>
        <v>1.6</v>
      </c>
      <c r="C369" s="782" t="s">
        <v>2220</v>
      </c>
      <c r="D369" s="837"/>
      <c r="E369" s="161" t="str">
        <f>+_xlfn.XLOOKUP(C369,'BASE DATOS PRECIOS '!B:B,'BASE DATOS PRECIOS '!E:E)</f>
        <v>ANGULAR CHANNEL 1X3" 0.36MM 3.05M</v>
      </c>
      <c r="F369" s="174">
        <f>+'1_OG y 2_ACA'!D1373</f>
        <v>11</v>
      </c>
      <c r="G369" s="175" t="str">
        <f>+_xlfn.XLOOKUP(C369,'BASE DATOS PRECIOS '!B:B,'BASE DATOS PRECIOS '!F:F)</f>
        <v>UND</v>
      </c>
      <c r="H369" s="176">
        <f>+_xlfn.XLOOKUP(E369,'BASE DATOS PRECIOS '!E:E,'BASE DATOS PRECIOS '!H:H)</f>
        <v>531.09999999999991</v>
      </c>
      <c r="I369" s="175"/>
      <c r="J369" s="175"/>
      <c r="K369" s="176">
        <f t="shared" si="270"/>
        <v>5842.0999999999985</v>
      </c>
      <c r="L369" s="176">
        <f t="shared" si="271"/>
        <v>0</v>
      </c>
      <c r="M369" s="176">
        <f t="shared" si="272"/>
        <v>0</v>
      </c>
      <c r="N369" s="176">
        <f t="shared" si="273"/>
        <v>5842.0999999999985</v>
      </c>
      <c r="O369" s="1083">
        <f t="shared" si="274"/>
        <v>11.343883495145628</v>
      </c>
      <c r="P369" s="158"/>
    </row>
    <row r="370" spans="1:16" x14ac:dyDescent="0.2">
      <c r="A370" s="303"/>
      <c r="B370" s="833">
        <f t="shared" si="251"/>
        <v>1.6</v>
      </c>
      <c r="C370" s="782" t="s">
        <v>2225</v>
      </c>
      <c r="D370" s="837"/>
      <c r="E370" s="161" t="str">
        <f>+_xlfn.XLOOKUP(C370,'BASE DATOS PRECIOS '!B:B,'BASE DATOS PRECIOS '!E:E)</f>
        <v>CINTA JUNTAS PAPEL 2 X 250</v>
      </c>
      <c r="F370" s="174">
        <f>+'1_OG y 2_ACA'!D1374</f>
        <v>1</v>
      </c>
      <c r="G370" s="175" t="str">
        <f>+_xlfn.XLOOKUP(C370,'BASE DATOS PRECIOS '!B:B,'BASE DATOS PRECIOS '!F:F)</f>
        <v>UND</v>
      </c>
      <c r="H370" s="176">
        <f>+_xlfn.XLOOKUP(E370,'BASE DATOS PRECIOS '!E:E,'BASE DATOS PRECIOS '!H:H)</f>
        <v>1182.0590999999997</v>
      </c>
      <c r="I370" s="175"/>
      <c r="J370" s="175"/>
      <c r="K370" s="176">
        <f t="shared" si="270"/>
        <v>1182.0590999999997</v>
      </c>
      <c r="L370" s="176">
        <f t="shared" si="271"/>
        <v>0</v>
      </c>
      <c r="M370" s="176">
        <f t="shared" si="272"/>
        <v>0</v>
      </c>
      <c r="N370" s="176">
        <f t="shared" si="273"/>
        <v>1182.0590999999997</v>
      </c>
      <c r="O370" s="1083">
        <f t="shared" si="274"/>
        <v>2.2952603883495142</v>
      </c>
      <c r="P370" s="158"/>
    </row>
    <row r="371" spans="1:16" x14ac:dyDescent="0.2">
      <c r="A371" s="303"/>
      <c r="B371" s="833">
        <f t="shared" si="251"/>
        <v>1.6</v>
      </c>
      <c r="C371" s="786" t="s">
        <v>2222</v>
      </c>
      <c r="D371" s="826"/>
      <c r="E371" s="161" t="str">
        <f>+_xlfn.XLOOKUP(C371,'BASE DATOS PRECIOS '!B:B,'BASE DATOS PRECIOS '!E:E)</f>
        <v>CLAVO DE IMPACTO 1" (100)</v>
      </c>
      <c r="F371" s="174">
        <f>+'1_OG y 2_ACA'!D1375</f>
        <v>2</v>
      </c>
      <c r="G371" s="175" t="str">
        <f>+_xlfn.XLOOKUP(C371,'BASE DATOS PRECIOS '!B:B,'BASE DATOS PRECIOS '!F:F)</f>
        <v>CJ</v>
      </c>
      <c r="H371" s="176">
        <f>+_xlfn.XLOOKUP(E371,'BASE DATOS PRECIOS '!E:E,'BASE DATOS PRECIOS '!H:H)</f>
        <v>2118.75</v>
      </c>
      <c r="I371" s="175"/>
      <c r="J371" s="175"/>
      <c r="K371" s="176">
        <f t="shared" si="270"/>
        <v>4237.5</v>
      </c>
      <c r="L371" s="176">
        <f t="shared" si="271"/>
        <v>0</v>
      </c>
      <c r="M371" s="176">
        <f t="shared" si="272"/>
        <v>0</v>
      </c>
      <c r="N371" s="176">
        <f t="shared" si="273"/>
        <v>4237.5</v>
      </c>
      <c r="O371" s="1083">
        <f t="shared" si="274"/>
        <v>8.2281553398058254</v>
      </c>
      <c r="P371" s="158"/>
    </row>
    <row r="372" spans="1:16" x14ac:dyDescent="0.2">
      <c r="A372" s="303"/>
      <c r="B372" s="833">
        <f t="shared" si="251"/>
        <v>1.6</v>
      </c>
      <c r="C372" s="786" t="s">
        <v>2006</v>
      </c>
      <c r="D372" s="826"/>
      <c r="E372" s="161" t="str">
        <f>+_xlfn.XLOOKUP(C372,'BASE DATOS PRECIOS '!B:B,'BASE DATOS PRECIOS '!E:E)</f>
        <v>TIRO FULMINANTE P/PISTOLA 25MM (100)</v>
      </c>
      <c r="F372" s="174">
        <f>+'1_OG y 2_ACA'!D1376</f>
        <v>2</v>
      </c>
      <c r="G372" s="175" t="str">
        <f>+_xlfn.XLOOKUP(C372,'BASE DATOS PRECIOS '!B:B,'BASE DATOS PRECIOS '!F:F)</f>
        <v>CAJA</v>
      </c>
      <c r="H372" s="176">
        <f>+_xlfn.XLOOKUP(E372,'BASE DATOS PRECIOS '!E:E,'BASE DATOS PRECIOS '!H:H)</f>
        <v>3282.9211999999993</v>
      </c>
      <c r="I372" s="175"/>
      <c r="J372" s="175"/>
      <c r="K372" s="176">
        <f t="shared" si="270"/>
        <v>6565.8423999999986</v>
      </c>
      <c r="L372" s="176">
        <f t="shared" si="271"/>
        <v>0</v>
      </c>
      <c r="M372" s="176">
        <f t="shared" si="272"/>
        <v>0</v>
      </c>
      <c r="N372" s="176">
        <f t="shared" si="273"/>
        <v>6565.8423999999986</v>
      </c>
      <c r="O372" s="1083">
        <f t="shared" si="274"/>
        <v>12.749208543689317</v>
      </c>
      <c r="P372" s="158"/>
    </row>
    <row r="373" spans="1:16" x14ac:dyDescent="0.2">
      <c r="A373" s="303"/>
      <c r="B373" s="833">
        <f t="shared" si="251"/>
        <v>1.6</v>
      </c>
      <c r="C373" s="786" t="s">
        <v>2208</v>
      </c>
      <c r="D373" s="826"/>
      <c r="E373" s="161" t="str">
        <f>+_xlfn.XLOOKUP(C373,'BASE DATOS PRECIOS '!B:B,'BASE DATOS PRECIOS '!E:E)</f>
        <v>TORNILLO TORLAK 1" PTA BROCA</v>
      </c>
      <c r="F373" s="174">
        <f>+'1_OG y 2_ACA'!D1377*100</f>
        <v>1100</v>
      </c>
      <c r="G373" s="175" t="str">
        <f>+_xlfn.XLOOKUP(C373,'BASE DATOS PRECIOS '!B:B,'BASE DATOS PRECIOS '!F:F)</f>
        <v>UND</v>
      </c>
      <c r="H373" s="176">
        <f>+_xlfn.XLOOKUP(E373,'BASE DATOS PRECIOS '!E:E,'BASE DATOS PRECIOS '!H:H)</f>
        <v>5.8759999999999994</v>
      </c>
      <c r="I373" s="175"/>
      <c r="J373" s="175"/>
      <c r="K373" s="176">
        <f t="shared" si="270"/>
        <v>6463.5999999999995</v>
      </c>
      <c r="L373" s="176">
        <f t="shared" si="271"/>
        <v>0</v>
      </c>
      <c r="M373" s="176">
        <f t="shared" si="272"/>
        <v>0</v>
      </c>
      <c r="N373" s="176">
        <f t="shared" si="273"/>
        <v>6463.5999999999995</v>
      </c>
      <c r="O373" s="1083">
        <f t="shared" si="274"/>
        <v>12.550679611650484</v>
      </c>
      <c r="P373" s="158"/>
    </row>
    <row r="374" spans="1:16" x14ac:dyDescent="0.2">
      <c r="A374" s="303"/>
      <c r="B374" s="833">
        <f t="shared" si="251"/>
        <v>1.6</v>
      </c>
      <c r="C374" s="786" t="s">
        <v>2215</v>
      </c>
      <c r="D374" s="826"/>
      <c r="E374" s="161" t="str">
        <f>+_xlfn.XLOOKUP(C374,'BASE DATOS PRECIOS '!B:B,'BASE DATOS PRECIOS '!E:E)</f>
        <v>TORNILLO P/GYP 1-1/4 P FINA</v>
      </c>
      <c r="F374" s="174">
        <f>+'1_OG y 2_ACA'!D1378</f>
        <v>495</v>
      </c>
      <c r="G374" s="175" t="str">
        <f>+_xlfn.XLOOKUP(C374,'BASE DATOS PRECIOS '!B:B,'BASE DATOS PRECIOS '!F:F)</f>
        <v>UND</v>
      </c>
      <c r="H374" s="176">
        <f>+_xlfn.XLOOKUP(E374,'BASE DATOS PRECIOS '!E:E,'BASE DATOS PRECIOS '!H:H)</f>
        <v>4.1696999999999997</v>
      </c>
      <c r="I374" s="175"/>
      <c r="J374" s="175"/>
      <c r="K374" s="176">
        <f t="shared" si="270"/>
        <v>2064.0014999999999</v>
      </c>
      <c r="L374" s="176">
        <f t="shared" si="271"/>
        <v>0</v>
      </c>
      <c r="M374" s="176">
        <f t="shared" si="272"/>
        <v>0</v>
      </c>
      <c r="N374" s="176">
        <f t="shared" si="273"/>
        <v>2064.0014999999999</v>
      </c>
      <c r="O374" s="1083">
        <f t="shared" si="274"/>
        <v>4.0077699029126208</v>
      </c>
      <c r="P374" s="158"/>
    </row>
    <row r="375" spans="1:16" ht="15" customHeight="1" x14ac:dyDescent="0.2">
      <c r="A375" s="303"/>
      <c r="B375" s="833">
        <f t="shared" si="251"/>
        <v>1.6</v>
      </c>
      <c r="C375" s="776"/>
      <c r="D375" s="166"/>
      <c r="E375" s="319" t="s">
        <v>1347</v>
      </c>
      <c r="F375" s="168">
        <f>+'1_OG y 2_ACA'!E1390</f>
        <v>11.700000000000001</v>
      </c>
      <c r="G375" s="169" t="s">
        <v>396</v>
      </c>
      <c r="H375" s="169"/>
      <c r="I375" s="169"/>
      <c r="J375" s="169"/>
      <c r="K375" s="170"/>
      <c r="L375" s="170"/>
      <c r="M375" s="170"/>
      <c r="N375" s="170"/>
      <c r="O375" s="1087"/>
    </row>
    <row r="376" spans="1:16" ht="15" customHeight="1" x14ac:dyDescent="0.2">
      <c r="A376" s="303"/>
      <c r="B376" s="833">
        <f t="shared" si="251"/>
        <v>1.6</v>
      </c>
      <c r="C376" s="782" t="s">
        <v>2214</v>
      </c>
      <c r="D376" s="837"/>
      <c r="E376" s="161" t="str">
        <f>+_xlfn.XLOOKUP(C376,'BASE DATOS PRECIOS '!B:B,'BASE DATOS PRECIOS '!E:E)</f>
        <v>GYPSUM DENSGLASS 12MM</v>
      </c>
      <c r="F376" s="174">
        <f>+'1_OG y 2_ACA'!D1399</f>
        <v>17</v>
      </c>
      <c r="G376" s="175" t="str">
        <f>+_xlfn.XLOOKUP(C376,'BASE DATOS PRECIOS '!B:B,'BASE DATOS PRECIOS '!F:F)</f>
        <v>UND</v>
      </c>
      <c r="H376" s="176">
        <f>+_xlfn.XLOOKUP(E376,'BASE DATOS PRECIOS '!E:E,'BASE DATOS PRECIOS '!H:H)</f>
        <v>17952.004899999996</v>
      </c>
      <c r="I376" s="175"/>
      <c r="J376" s="175"/>
      <c r="K376" s="176">
        <f t="shared" ref="K376:K392" si="275">+F376*H376</f>
        <v>305184.08329999994</v>
      </c>
      <c r="L376" s="176">
        <f t="shared" ref="L376:L392" si="276">+F376*I376</f>
        <v>0</v>
      </c>
      <c r="M376" s="176">
        <f t="shared" ref="M376:M392" si="277">+F376*J376</f>
        <v>0</v>
      </c>
      <c r="N376" s="176">
        <f t="shared" ref="N376:N392" si="278">SUM(K376:M376)</f>
        <v>305184.08329999994</v>
      </c>
      <c r="O376" s="1083">
        <f t="shared" ref="O376:O392" si="279">SUM(K376:M376)/tc</f>
        <v>592.59045300970865</v>
      </c>
    </row>
    <row r="377" spans="1:16" ht="15" customHeight="1" x14ac:dyDescent="0.2">
      <c r="A377" s="303"/>
      <c r="B377" s="833">
        <f t="shared" ref="B377:B445" si="280">VALUE(IF(AND(LEN(TRIM(C377))-LEN(SUBSTITUTE(TRIM(C377),".",""))=1,ISNUMBER(VALUE(SUBSTITUTE(TRIM(C377),".","")))),TRIM(C377),B376))</f>
        <v>1.6</v>
      </c>
      <c r="C377" s="782" t="s">
        <v>2223</v>
      </c>
      <c r="D377" s="837"/>
      <c r="E377" s="161" t="str">
        <f>+_xlfn.XLOOKUP(C377,'BASE DATOS PRECIOS '!B:B,'BASE DATOS PRECIOS '!E:E)</f>
        <v>GYPSUM REGULAR 12MM</v>
      </c>
      <c r="F377" s="174">
        <f>+'1_OG y 2_ACA'!D1400</f>
        <v>17</v>
      </c>
      <c r="G377" s="175" t="str">
        <f>+_xlfn.XLOOKUP(C377,'BASE DATOS PRECIOS '!B:B,'BASE DATOS PRECIOS '!F:F)</f>
        <v>UND</v>
      </c>
      <c r="H377" s="176">
        <f>+_xlfn.XLOOKUP(E377,'BASE DATOS PRECIOS '!E:E,'BASE DATOS PRECIOS '!H:H)</f>
        <v>6384.0028000000002</v>
      </c>
      <c r="I377" s="175"/>
      <c r="J377" s="175"/>
      <c r="K377" s="176">
        <f t="shared" si="275"/>
        <v>108528.04760000001</v>
      </c>
      <c r="L377" s="176">
        <f t="shared" si="276"/>
        <v>0</v>
      </c>
      <c r="M377" s="176">
        <f t="shared" si="277"/>
        <v>0</v>
      </c>
      <c r="N377" s="176">
        <f t="shared" si="278"/>
        <v>108528.04760000001</v>
      </c>
      <c r="O377" s="1083">
        <f t="shared" si="279"/>
        <v>210.73407300970874</v>
      </c>
    </row>
    <row r="378" spans="1:16" ht="15" customHeight="1" x14ac:dyDescent="0.2">
      <c r="A378" s="303"/>
      <c r="B378" s="833">
        <f t="shared" si="280"/>
        <v>1.6</v>
      </c>
      <c r="C378" s="786" t="s">
        <v>2091</v>
      </c>
      <c r="D378" s="826"/>
      <c r="E378" s="161" t="str">
        <f>+_xlfn.XLOOKUP(C378,'BASE DATOS PRECIOS '!B:B,'BASE DATOS PRECIOS '!E:E)</f>
        <v>STUD 3X10 CAL#25</v>
      </c>
      <c r="F378" s="174">
        <f>+'1_OG y 2_ACA'!D1401</f>
        <v>11</v>
      </c>
      <c r="G378" s="175" t="str">
        <f>+_xlfn.XLOOKUP(C378,'BASE DATOS PRECIOS '!B:B,'BASE DATOS PRECIOS '!F:F)</f>
        <v>UND</v>
      </c>
      <c r="H378" s="176">
        <f>+_xlfn.XLOOKUP(E378,'BASE DATOS PRECIOS '!E:E,'BASE DATOS PRECIOS '!H:H)</f>
        <v>853.46639999999991</v>
      </c>
      <c r="I378" s="175"/>
      <c r="J378" s="175"/>
      <c r="K378" s="176">
        <f t="shared" si="275"/>
        <v>9388.1303999999982</v>
      </c>
      <c r="L378" s="176">
        <f t="shared" si="276"/>
        <v>0</v>
      </c>
      <c r="M378" s="176">
        <f t="shared" si="277"/>
        <v>0</v>
      </c>
      <c r="N378" s="176">
        <f t="shared" si="278"/>
        <v>9388.1303999999982</v>
      </c>
      <c r="O378" s="1083">
        <f t="shared" si="279"/>
        <v>18.229379417475723</v>
      </c>
    </row>
    <row r="379" spans="1:16" ht="15" customHeight="1" x14ac:dyDescent="0.2">
      <c r="A379" s="303"/>
      <c r="B379" s="833">
        <f t="shared" si="280"/>
        <v>1.6</v>
      </c>
      <c r="C379" s="782" t="s">
        <v>2218</v>
      </c>
      <c r="D379" s="837"/>
      <c r="E379" s="161" t="str">
        <f>+_xlfn.XLOOKUP(C379,'BASE DATOS PRECIOS '!B:B,'BASE DATOS PRECIOS '!E:E)</f>
        <v>TRACK 3X10 CAL#25</v>
      </c>
      <c r="F379" s="174">
        <f>+'1_OG y 2_ACA'!D1402</f>
        <v>3</v>
      </c>
      <c r="G379" s="175" t="str">
        <f>+_xlfn.XLOOKUP(C379,'BASE DATOS PRECIOS '!B:B,'BASE DATOS PRECIOS '!F:F)</f>
        <v>UND</v>
      </c>
      <c r="H379" s="176">
        <f>+_xlfn.XLOOKUP(E379,'BASE DATOS PRECIOS '!E:E,'BASE DATOS PRECIOS '!H:H)</f>
        <v>711.53839999999991</v>
      </c>
      <c r="I379" s="310"/>
      <c r="J379" s="175"/>
      <c r="K379" s="176">
        <f t="shared" si="275"/>
        <v>2134.6151999999997</v>
      </c>
      <c r="L379" s="176">
        <f t="shared" si="276"/>
        <v>0</v>
      </c>
      <c r="M379" s="176">
        <f t="shared" si="277"/>
        <v>0</v>
      </c>
      <c r="N379" s="176">
        <f t="shared" si="278"/>
        <v>2134.6151999999997</v>
      </c>
      <c r="O379" s="1083">
        <f t="shared" si="279"/>
        <v>4.1448838834951447</v>
      </c>
    </row>
    <row r="380" spans="1:16" ht="15" customHeight="1" x14ac:dyDescent="0.2">
      <c r="A380" s="303"/>
      <c r="B380" s="833">
        <f t="shared" ref="B380:B381" si="281">VALUE(IF(AND(LEN(TRIM(C380))-LEN(SUBSTITUTE(TRIM(C380),".",""))=1,ISNUMBER(VALUE(SUBSTITUTE(TRIM(C380),".","")))),TRIM(C380),B379))</f>
        <v>1.6</v>
      </c>
      <c r="C380" s="786" t="s">
        <v>2533</v>
      </c>
      <c r="D380" s="826"/>
      <c r="E380" s="161" t="str">
        <f>+_xlfn.XLOOKUP(C380,'BASE DATOS PRECIOS '!B:B,'BASE DATOS PRECIOS '!E:E)</f>
        <v>STUD 4X10 CAL#25</v>
      </c>
      <c r="F380" s="174">
        <f>+'1_OG y 2_ACA'!D1403</f>
        <v>31</v>
      </c>
      <c r="G380" s="175" t="str">
        <f>+_xlfn.XLOOKUP(C380,'BASE DATOS PRECIOS '!B:B,'BASE DATOS PRECIOS '!F:F)</f>
        <v>UND</v>
      </c>
      <c r="H380" s="176">
        <f>+_xlfn.XLOOKUP(E380,'BASE DATOS PRECIOS '!E:E,'BASE DATOS PRECIOS '!H:H)</f>
        <v>1069.7031999999999</v>
      </c>
      <c r="I380" s="175"/>
      <c r="J380" s="175"/>
      <c r="K380" s="176">
        <f t="shared" ref="K380:K381" si="282">+F380*H380</f>
        <v>33160.799199999994</v>
      </c>
      <c r="L380" s="176">
        <f t="shared" ref="L380:L381" si="283">+F380*I380</f>
        <v>0</v>
      </c>
      <c r="M380" s="176">
        <f t="shared" ref="M380:M381" si="284">+F380*J380</f>
        <v>0</v>
      </c>
      <c r="N380" s="176">
        <f t="shared" ref="N380:N381" si="285">SUM(K380:M380)</f>
        <v>33160.799199999994</v>
      </c>
      <c r="O380" s="1083">
        <f t="shared" ref="O380:O381" si="286">SUM(K380:M380)/tc</f>
        <v>64.389901359223288</v>
      </c>
    </row>
    <row r="381" spans="1:16" ht="15" customHeight="1" x14ac:dyDescent="0.2">
      <c r="A381" s="303"/>
      <c r="B381" s="833">
        <f t="shared" si="281"/>
        <v>1.6</v>
      </c>
      <c r="C381" s="782" t="s">
        <v>2540</v>
      </c>
      <c r="D381" s="837"/>
      <c r="E381" s="161" t="str">
        <f>+_xlfn.XLOOKUP(C381,'BASE DATOS PRECIOS '!B:B,'BASE DATOS PRECIOS '!E:E)</f>
        <v>TRACK 4X10 CAL#25</v>
      </c>
      <c r="F381" s="174">
        <f>+'1_OG y 2_ACA'!D1404</f>
        <v>13</v>
      </c>
      <c r="G381" s="175" t="str">
        <f>+_xlfn.XLOOKUP(C381,'BASE DATOS PRECIOS '!B:B,'BASE DATOS PRECIOS '!F:F)</f>
        <v>UND</v>
      </c>
      <c r="H381" s="176">
        <f>+_xlfn.XLOOKUP(E381,'BASE DATOS PRECIOS '!E:E,'BASE DATOS PRECIOS '!H:H)</f>
        <v>940.18259999999987</v>
      </c>
      <c r="I381" s="310"/>
      <c r="J381" s="175"/>
      <c r="K381" s="176">
        <f t="shared" si="282"/>
        <v>12222.373799999998</v>
      </c>
      <c r="L381" s="176">
        <f t="shared" si="283"/>
        <v>0</v>
      </c>
      <c r="M381" s="176">
        <f t="shared" si="284"/>
        <v>0</v>
      </c>
      <c r="N381" s="176">
        <f t="shared" si="285"/>
        <v>12222.373799999998</v>
      </c>
      <c r="O381" s="1083">
        <f t="shared" si="286"/>
        <v>23.732764660194171</v>
      </c>
    </row>
    <row r="382" spans="1:16" ht="15" customHeight="1" x14ac:dyDescent="0.2">
      <c r="A382" s="303"/>
      <c r="B382" s="833">
        <f>VALUE(IF(AND(LEN(TRIM(C382))-LEN(SUBSTITUTE(TRIM(C382),".",""))=1,ISNUMBER(VALUE(SUBSTITUTE(TRIM(C382),".","")))),TRIM(C382),B379))</f>
        <v>1.6</v>
      </c>
      <c r="C382" s="782" t="s">
        <v>2222</v>
      </c>
      <c r="D382" s="837"/>
      <c r="E382" s="161" t="str">
        <f>+_xlfn.XLOOKUP(C382,'BASE DATOS PRECIOS '!B:B,'BASE DATOS PRECIOS '!E:E)</f>
        <v>CLAVO DE IMPACTO 1" (100)</v>
      </c>
      <c r="F382" s="174">
        <f>+'1_OG y 2_ACA'!D1405</f>
        <v>189</v>
      </c>
      <c r="G382" s="175" t="str">
        <f>+_xlfn.XLOOKUP(C382,'BASE DATOS PRECIOS '!B:B,'BASE DATOS PRECIOS '!F:F)</f>
        <v>CJ</v>
      </c>
      <c r="H382" s="176">
        <f>+_xlfn.XLOOKUP(E382,'BASE DATOS PRECIOS '!E:E,'BASE DATOS PRECIOS '!H:H)</f>
        <v>2118.75</v>
      </c>
      <c r="I382" s="175"/>
      <c r="J382" s="175"/>
      <c r="K382" s="176">
        <f t="shared" si="275"/>
        <v>400443.75</v>
      </c>
      <c r="L382" s="176">
        <f t="shared" si="276"/>
        <v>0</v>
      </c>
      <c r="M382" s="176">
        <f t="shared" si="277"/>
        <v>0</v>
      </c>
      <c r="N382" s="176">
        <f t="shared" si="278"/>
        <v>400443.75</v>
      </c>
      <c r="O382" s="1083">
        <f t="shared" si="279"/>
        <v>777.56067961165047</v>
      </c>
    </row>
    <row r="383" spans="1:16" ht="15" customHeight="1" x14ac:dyDescent="0.2">
      <c r="A383" s="303"/>
      <c r="B383" s="833">
        <f t="shared" si="280"/>
        <v>1.6</v>
      </c>
      <c r="C383" s="120" t="s">
        <v>2006</v>
      </c>
      <c r="D383" s="838"/>
      <c r="E383" s="161" t="str">
        <f>+_xlfn.XLOOKUP(C383,'BASE DATOS PRECIOS '!B:B,'BASE DATOS PRECIOS '!E:E)</f>
        <v>TIRO FULMINANTE P/PISTOLA 25MM (100)</v>
      </c>
      <c r="F383" s="174">
        <f>+'1_OG y 2_ACA'!D1406</f>
        <v>1.89</v>
      </c>
      <c r="G383" s="175" t="str">
        <f>+_xlfn.XLOOKUP(C383,'BASE DATOS PRECIOS '!B:B,'BASE DATOS PRECIOS '!F:F)</f>
        <v>CAJA</v>
      </c>
      <c r="H383" s="176">
        <f>+_xlfn.XLOOKUP(E383,'BASE DATOS PRECIOS '!E:E,'BASE DATOS PRECIOS '!G:G)</f>
        <v>2905.24</v>
      </c>
      <c r="I383" s="175"/>
      <c r="J383" s="175"/>
      <c r="K383" s="176">
        <f t="shared" si="275"/>
        <v>5490.9035999999996</v>
      </c>
      <c r="L383" s="176">
        <f t="shared" si="276"/>
        <v>0</v>
      </c>
      <c r="M383" s="176">
        <f t="shared" si="277"/>
        <v>0</v>
      </c>
      <c r="N383" s="176">
        <f t="shared" si="278"/>
        <v>5490.9035999999996</v>
      </c>
      <c r="O383" s="1083">
        <f t="shared" si="279"/>
        <v>10.661948737864076</v>
      </c>
    </row>
    <row r="384" spans="1:16" ht="15" customHeight="1" x14ac:dyDescent="0.2">
      <c r="A384" s="303"/>
      <c r="B384" s="833">
        <f t="shared" si="280"/>
        <v>1.6</v>
      </c>
      <c r="C384" s="782" t="s">
        <v>2216</v>
      </c>
      <c r="D384" s="837"/>
      <c r="E384" s="161" t="str">
        <f>+_xlfn.XLOOKUP(C384,'BASE DATOS PRECIOS '!B:B,'BASE DATOS PRECIOS '!E:E)</f>
        <v>CINTA MALLA ADHESIVA P/GYP (45M)</v>
      </c>
      <c r="F384" s="174">
        <f>+'1_OG y 2_ACA'!D1407</f>
        <v>3</v>
      </c>
      <c r="G384" s="175" t="str">
        <f>+_xlfn.XLOOKUP(C384,'BASE DATOS PRECIOS '!B:B,'BASE DATOS PRECIOS '!F:F)</f>
        <v>ROLLO</v>
      </c>
      <c r="H384" s="176">
        <f>+_xlfn.XLOOKUP(E384,'BASE DATOS PRECIOS '!E:E,'BASE DATOS PRECIOS '!H:H)</f>
        <v>1477.7574999999999</v>
      </c>
      <c r="I384" s="175"/>
      <c r="J384" s="175"/>
      <c r="K384" s="176">
        <f t="shared" si="275"/>
        <v>4433.2725</v>
      </c>
      <c r="L384" s="176">
        <f t="shared" si="276"/>
        <v>0</v>
      </c>
      <c r="M384" s="176">
        <f t="shared" si="277"/>
        <v>0</v>
      </c>
      <c r="N384" s="176">
        <f t="shared" si="278"/>
        <v>4433.2725</v>
      </c>
      <c r="O384" s="1083">
        <f t="shared" si="279"/>
        <v>8.6082961165048548</v>
      </c>
    </row>
    <row r="385" spans="1:16" ht="15" customHeight="1" x14ac:dyDescent="0.2">
      <c r="A385" s="303"/>
      <c r="B385" s="833">
        <f t="shared" si="280"/>
        <v>1.6</v>
      </c>
      <c r="C385" s="120" t="s">
        <v>2003</v>
      </c>
      <c r="D385" s="838"/>
      <c r="E385" s="161" t="str">
        <f>+_xlfn.XLOOKUP(C385,'BASE DATOS PRECIOS '!B:B,'BASE DATOS PRECIOS '!E:E)</f>
        <v>MOLDURA J PLASTICA 1/2 X 10</v>
      </c>
      <c r="F385" s="174">
        <f>+'1_OG y 2_ACA'!D1408</f>
        <v>17</v>
      </c>
      <c r="G385" s="175" t="str">
        <f>+_xlfn.XLOOKUP(C385,'BASE DATOS PRECIOS '!B:B,'BASE DATOS PRECIOS '!F:F)</f>
        <v>UND</v>
      </c>
      <c r="H385" s="176">
        <f>+_xlfn.XLOOKUP(E385,'BASE DATOS PRECIOS '!E:E,'BASE DATOS PRECIOS '!G:G)</f>
        <v>862</v>
      </c>
      <c r="I385" s="175"/>
      <c r="J385" s="175"/>
      <c r="K385" s="176">
        <f t="shared" si="275"/>
        <v>14654</v>
      </c>
      <c r="L385" s="176">
        <f t="shared" si="276"/>
        <v>0</v>
      </c>
      <c r="M385" s="176">
        <f t="shared" si="277"/>
        <v>0</v>
      </c>
      <c r="N385" s="176">
        <f t="shared" si="278"/>
        <v>14654</v>
      </c>
      <c r="O385" s="1083">
        <f t="shared" si="279"/>
        <v>28.454368932038836</v>
      </c>
    </row>
    <row r="386" spans="1:16" ht="15" customHeight="1" x14ac:dyDescent="0.2">
      <c r="A386" s="303"/>
      <c r="B386" s="833">
        <f t="shared" si="280"/>
        <v>1.6</v>
      </c>
      <c r="C386" s="782" t="s">
        <v>2217</v>
      </c>
      <c r="D386" s="837"/>
      <c r="E386" s="161" t="str">
        <f>+_xlfn.XLOOKUP(C386,'BASE DATOS PRECIOS '!B:B,'BASE DATOS PRECIOS '!E:E)</f>
        <v>ESQUINERO PLASTICO 1 1/4X10</v>
      </c>
      <c r="F386" s="174">
        <f>+'1_OG y 2_ACA'!D1409</f>
        <v>17</v>
      </c>
      <c r="G386" s="175" t="str">
        <f>+_xlfn.XLOOKUP(C386,'BASE DATOS PRECIOS '!B:B,'BASE DATOS PRECIOS '!F:F)</f>
        <v>UND</v>
      </c>
      <c r="H386" s="176">
        <f>+_xlfn.XLOOKUP(E386,'BASE DATOS PRECIOS '!E:E,'BASE DATOS PRECIOS '!H:H)</f>
        <v>942.42</v>
      </c>
      <c r="I386" s="175"/>
      <c r="J386" s="175"/>
      <c r="K386" s="176">
        <f t="shared" si="275"/>
        <v>16021.14</v>
      </c>
      <c r="L386" s="176">
        <f t="shared" si="276"/>
        <v>0</v>
      </c>
      <c r="M386" s="176">
        <f t="shared" si="277"/>
        <v>0</v>
      </c>
      <c r="N386" s="176">
        <f t="shared" si="278"/>
        <v>16021.14</v>
      </c>
      <c r="O386" s="1083">
        <f t="shared" si="279"/>
        <v>31.109009708737862</v>
      </c>
    </row>
    <row r="387" spans="1:16" ht="15" customHeight="1" x14ac:dyDescent="0.2">
      <c r="A387" s="303"/>
      <c r="B387" s="833">
        <f t="shared" si="280"/>
        <v>1.6</v>
      </c>
      <c r="C387" s="782" t="s">
        <v>2208</v>
      </c>
      <c r="D387" s="837"/>
      <c r="E387" s="161" t="str">
        <f>+_xlfn.XLOOKUP(C387,'BASE DATOS PRECIOS '!B:B,'BASE DATOS PRECIOS '!E:E)</f>
        <v>TORNILLO TORLAK 1" PTA BROCA</v>
      </c>
      <c r="F387" s="174">
        <f>+'1_OG y 2_ACA'!D1410*100</f>
        <v>1200</v>
      </c>
      <c r="G387" s="175" t="str">
        <f>+_xlfn.XLOOKUP(C387,'BASE DATOS PRECIOS '!B:B,'BASE DATOS PRECIOS '!F:F)</f>
        <v>UND</v>
      </c>
      <c r="H387" s="176">
        <f>+_xlfn.XLOOKUP(E387,'BASE DATOS PRECIOS '!E:E,'BASE DATOS PRECIOS '!H:H)</f>
        <v>5.8759999999999994</v>
      </c>
      <c r="I387" s="175"/>
      <c r="J387" s="175"/>
      <c r="K387" s="176">
        <f t="shared" si="275"/>
        <v>7051.1999999999989</v>
      </c>
      <c r="L387" s="176">
        <f t="shared" si="276"/>
        <v>0</v>
      </c>
      <c r="M387" s="176">
        <f t="shared" si="277"/>
        <v>0</v>
      </c>
      <c r="N387" s="176">
        <f t="shared" si="278"/>
        <v>7051.1999999999989</v>
      </c>
      <c r="O387" s="1083">
        <f t="shared" si="279"/>
        <v>13.691650485436892</v>
      </c>
    </row>
    <row r="388" spans="1:16" ht="15" customHeight="1" x14ac:dyDescent="0.2">
      <c r="A388" s="303"/>
      <c r="B388" s="833">
        <f t="shared" si="280"/>
        <v>1.6</v>
      </c>
      <c r="C388" s="782" t="s">
        <v>2215</v>
      </c>
      <c r="D388" s="837"/>
      <c r="E388" s="161" t="str">
        <f>+_xlfn.XLOOKUP(C388,'BASE DATOS PRECIOS '!B:B,'BASE DATOS PRECIOS '!E:E)</f>
        <v>TORNILLO P/GYP 1-1/4 P FINA</v>
      </c>
      <c r="F388" s="174">
        <f>+'1_OG y 2_ACA'!D1411</f>
        <v>1068</v>
      </c>
      <c r="G388" s="175" t="str">
        <f>+_xlfn.XLOOKUP(C388,'BASE DATOS PRECIOS '!B:B,'BASE DATOS PRECIOS '!F:F)</f>
        <v>UND</v>
      </c>
      <c r="H388" s="176">
        <f>+_xlfn.XLOOKUP(E388,'BASE DATOS PRECIOS '!E:E,'BASE DATOS PRECIOS '!H:H)</f>
        <v>4.1696999999999997</v>
      </c>
      <c r="I388" s="175"/>
      <c r="J388" s="175"/>
      <c r="K388" s="176">
        <f t="shared" si="275"/>
        <v>4453.2395999999999</v>
      </c>
      <c r="L388" s="176">
        <f t="shared" si="276"/>
        <v>0</v>
      </c>
      <c r="M388" s="176">
        <f t="shared" si="277"/>
        <v>0</v>
      </c>
      <c r="N388" s="176">
        <f t="shared" si="278"/>
        <v>4453.2395999999999</v>
      </c>
      <c r="O388" s="1083">
        <f t="shared" si="279"/>
        <v>8.6470671844660192</v>
      </c>
    </row>
    <row r="389" spans="1:16" ht="15" customHeight="1" x14ac:dyDescent="0.2">
      <c r="A389" s="1077" t="s">
        <v>2157</v>
      </c>
      <c r="B389" s="833">
        <f t="shared" si="280"/>
        <v>1.6</v>
      </c>
      <c r="C389" s="774" t="s">
        <v>36</v>
      </c>
      <c r="D389" s="210"/>
      <c r="E389" s="211" t="str">
        <f>+_xlfn.XLOOKUP(C389,'BASE DATOS MANO DE OBRA'!A:A,'BASE DATOS MANO DE OBRA'!B:B)</f>
        <v xml:space="preserve">OPERARIO PLUS </v>
      </c>
      <c r="F389" s="212">
        <f>+ROUNDUP('1_OG y 2_ACA'!F1381,0)/2</f>
        <v>44</v>
      </c>
      <c r="G389" s="213" t="str">
        <f>+_xlfn.XLOOKUP(C389,'BASE DATOS MANO DE OBRA'!A:A,'BASE DATOS MANO DE OBRA'!C:C)</f>
        <v xml:space="preserve">hora </v>
      </c>
      <c r="H389" s="214">
        <v>0</v>
      </c>
      <c r="I389" s="214">
        <f>+_xlfn.XLOOKUP(C389,'BASE DATOS MANO DE OBRA'!A:A,'BASE DATOS MANO DE OBRA'!E:E)</f>
        <v>2850</v>
      </c>
      <c r="J389" s="214">
        <v>0</v>
      </c>
      <c r="K389" s="214">
        <f t="shared" si="275"/>
        <v>0</v>
      </c>
      <c r="L389" s="214">
        <f t="shared" si="276"/>
        <v>125400</v>
      </c>
      <c r="M389" s="214">
        <f t="shared" si="277"/>
        <v>0</v>
      </c>
      <c r="N389" s="214">
        <f t="shared" si="278"/>
        <v>125400</v>
      </c>
      <c r="O389" s="1086">
        <f t="shared" si="279"/>
        <v>243.49514563106797</v>
      </c>
    </row>
    <row r="390" spans="1:16" ht="15" customHeight="1" x14ac:dyDescent="0.2">
      <c r="A390" s="1077" t="s">
        <v>2157</v>
      </c>
      <c r="B390" s="833">
        <f t="shared" si="280"/>
        <v>1.6</v>
      </c>
      <c r="C390" s="774" t="s">
        <v>37</v>
      </c>
      <c r="D390" s="210"/>
      <c r="E390" s="211" t="str">
        <f>+_xlfn.XLOOKUP(C390,'BASE DATOS MANO DE OBRA'!A:A,'BASE DATOS MANO DE OBRA'!B:B)</f>
        <v xml:space="preserve">AYUDANTE PLUS </v>
      </c>
      <c r="F390" s="212">
        <f>+F389</f>
        <v>44</v>
      </c>
      <c r="G390" s="213" t="str">
        <f>+_xlfn.XLOOKUP(C390,'BASE DATOS MANO DE OBRA'!A:A,'BASE DATOS MANO DE OBRA'!C:C)</f>
        <v xml:space="preserve">hora </v>
      </c>
      <c r="H390" s="214">
        <v>0</v>
      </c>
      <c r="I390" s="214">
        <f>+_xlfn.XLOOKUP(C390,'BASE DATOS MANO DE OBRA'!A:A,'BASE DATOS MANO DE OBRA'!E:E)</f>
        <v>2325</v>
      </c>
      <c r="J390" s="214">
        <v>0</v>
      </c>
      <c r="K390" s="214">
        <f t="shared" si="275"/>
        <v>0</v>
      </c>
      <c r="L390" s="214">
        <f t="shared" si="276"/>
        <v>102300</v>
      </c>
      <c r="M390" s="214">
        <f t="shared" si="277"/>
        <v>0</v>
      </c>
      <c r="N390" s="214">
        <f t="shared" si="278"/>
        <v>102300</v>
      </c>
      <c r="O390" s="1086">
        <f t="shared" si="279"/>
        <v>198.64077669902912</v>
      </c>
    </row>
    <row r="391" spans="1:16" ht="15" customHeight="1" x14ac:dyDescent="0.2">
      <c r="A391" s="1077" t="s">
        <v>2157</v>
      </c>
      <c r="B391" s="833">
        <f t="shared" si="280"/>
        <v>1.6</v>
      </c>
      <c r="C391" s="774" t="s">
        <v>36</v>
      </c>
      <c r="D391" s="210"/>
      <c r="E391" s="211" t="str">
        <f>+_xlfn.XLOOKUP(C391,'BASE DATOS MANO DE OBRA'!A:A,'BASE DATOS MANO DE OBRA'!B:B)</f>
        <v xml:space="preserve">OPERARIO PLUS </v>
      </c>
      <c r="F391" s="212">
        <f>+ROUNDUP('1_OG y 2_ACA'!F1414,0)/2</f>
        <v>13.5</v>
      </c>
      <c r="G391" s="213" t="str">
        <f>+_xlfn.XLOOKUP(C391,'BASE DATOS MANO DE OBRA'!A:A,'BASE DATOS MANO DE OBRA'!C:C)</f>
        <v xml:space="preserve">hora </v>
      </c>
      <c r="H391" s="214">
        <v>0</v>
      </c>
      <c r="I391" s="214">
        <f>+_xlfn.XLOOKUP(C391,'BASE DATOS MANO DE OBRA'!A:A,'BASE DATOS MANO DE OBRA'!E:E)</f>
        <v>2850</v>
      </c>
      <c r="J391" s="214">
        <v>0</v>
      </c>
      <c r="K391" s="214">
        <f t="shared" si="275"/>
        <v>0</v>
      </c>
      <c r="L391" s="214">
        <f t="shared" si="276"/>
        <v>38475</v>
      </c>
      <c r="M391" s="214">
        <f t="shared" si="277"/>
        <v>0</v>
      </c>
      <c r="N391" s="214">
        <f t="shared" si="278"/>
        <v>38475</v>
      </c>
      <c r="O391" s="1086">
        <f t="shared" si="279"/>
        <v>74.708737864077676</v>
      </c>
    </row>
    <row r="392" spans="1:16" ht="15" customHeight="1" x14ac:dyDescent="0.2">
      <c r="A392" s="1077" t="s">
        <v>2157</v>
      </c>
      <c r="B392" s="833">
        <f t="shared" si="280"/>
        <v>1.6</v>
      </c>
      <c r="C392" s="774" t="s">
        <v>37</v>
      </c>
      <c r="D392" s="210"/>
      <c r="E392" s="211" t="str">
        <f>+_xlfn.XLOOKUP(C392,'BASE DATOS MANO DE OBRA'!A:A,'BASE DATOS MANO DE OBRA'!B:B)</f>
        <v xml:space="preserve">AYUDANTE PLUS </v>
      </c>
      <c r="F392" s="212">
        <f>+F391</f>
        <v>13.5</v>
      </c>
      <c r="G392" s="213" t="str">
        <f>+_xlfn.XLOOKUP(C392,'BASE DATOS MANO DE OBRA'!A:A,'BASE DATOS MANO DE OBRA'!C:C)</f>
        <v xml:space="preserve">hora </v>
      </c>
      <c r="H392" s="214">
        <v>0</v>
      </c>
      <c r="I392" s="214">
        <f>+_xlfn.XLOOKUP(C392,'BASE DATOS MANO DE OBRA'!A:A,'BASE DATOS MANO DE OBRA'!E:E)</f>
        <v>2325</v>
      </c>
      <c r="J392" s="214">
        <v>0</v>
      </c>
      <c r="K392" s="214">
        <f t="shared" si="275"/>
        <v>0</v>
      </c>
      <c r="L392" s="214">
        <f t="shared" si="276"/>
        <v>31387.5</v>
      </c>
      <c r="M392" s="214">
        <f t="shared" si="277"/>
        <v>0</v>
      </c>
      <c r="N392" s="214">
        <f t="shared" si="278"/>
        <v>31387.5</v>
      </c>
      <c r="O392" s="1086">
        <f t="shared" si="279"/>
        <v>60.946601941747574</v>
      </c>
    </row>
    <row r="393" spans="1:16" ht="15" customHeight="1" x14ac:dyDescent="0.2">
      <c r="A393" s="1074"/>
      <c r="B393" s="833">
        <f t="shared" si="280"/>
        <v>1.6</v>
      </c>
      <c r="C393" s="788">
        <v>2</v>
      </c>
      <c r="D393" s="435"/>
      <c r="E393" s="436" t="s">
        <v>373</v>
      </c>
      <c r="F393" s="437"/>
      <c r="G393" s="438"/>
      <c r="H393" s="439"/>
      <c r="I393" s="439"/>
      <c r="J393" s="439"/>
      <c r="K393" s="439">
        <f>+SUBTOTAL(9,K394:K556)</f>
        <v>8316566.654532833</v>
      </c>
      <c r="L393" s="439">
        <f>+SUBTOTAL(9,L394:L556)</f>
        <v>3948375</v>
      </c>
      <c r="M393" s="439">
        <f>+SUBTOTAL(9,M394:M556)</f>
        <v>1419015.175</v>
      </c>
      <c r="N393" s="439">
        <f>+SUBTOTAL(9,N394:N556)</f>
        <v>13683956.829532834</v>
      </c>
      <c r="O393" s="1080">
        <f>+SUBTOTAL(9,O394:O556)</f>
        <v>26570.789960257935</v>
      </c>
    </row>
    <row r="394" spans="1:16" ht="15" customHeight="1" collapsed="1" x14ac:dyDescent="0.2">
      <c r="A394" s="303"/>
      <c r="B394" s="833">
        <f t="shared" si="280"/>
        <v>2.1</v>
      </c>
      <c r="C394" s="779" t="s">
        <v>3486</v>
      </c>
      <c r="D394" s="440"/>
      <c r="E394" s="441" t="s">
        <v>3139</v>
      </c>
      <c r="F394" s="446">
        <f>+'1_OG y 2_ACA'!D1453</f>
        <v>474.28249999999997</v>
      </c>
      <c r="G394" s="440" t="s">
        <v>396</v>
      </c>
      <c r="H394" s="440"/>
      <c r="I394" s="440"/>
      <c r="J394" s="440"/>
      <c r="K394" s="447">
        <f>+SUBTOTAL(9,K395:K405)</f>
        <v>1229814.5611</v>
      </c>
      <c r="L394" s="447">
        <f>+SUBTOTAL(9,L395:L405)</f>
        <v>1278225</v>
      </c>
      <c r="M394" s="447">
        <f>+SUBTOTAL(9,M395:M405)</f>
        <v>0</v>
      </c>
      <c r="N394" s="447">
        <f>+SUBTOTAL(9,N395:N405)</f>
        <v>2508039.5611</v>
      </c>
      <c r="O394" s="1081">
        <f>+SUBTOTAL(9,O395:O405)</f>
        <v>4869.979730291263</v>
      </c>
    </row>
    <row r="395" spans="1:16" s="49" customFormat="1" ht="18.600000000000001" customHeight="1" x14ac:dyDescent="0.2">
      <c r="A395" s="303"/>
      <c r="B395" s="833">
        <f t="shared" si="280"/>
        <v>2.1</v>
      </c>
      <c r="C395" s="770" t="s">
        <v>2061</v>
      </c>
      <c r="D395" s="453"/>
      <c r="E395" s="454" t="s">
        <v>193</v>
      </c>
      <c r="F395" s="455">
        <f>+F394</f>
        <v>474.28249999999997</v>
      </c>
      <c r="G395" s="453" t="s">
        <v>396</v>
      </c>
      <c r="H395" s="453"/>
      <c r="I395" s="453"/>
      <c r="J395" s="453"/>
      <c r="K395" s="456">
        <f>+SUBTOTAL(9,K396:K398)</f>
        <v>960861.6</v>
      </c>
      <c r="L395" s="456">
        <f>+SUBTOTAL(9,L396:L398)</f>
        <v>1014300</v>
      </c>
      <c r="M395" s="456">
        <f>+SUBTOTAL(9,M396:M398)</f>
        <v>0</v>
      </c>
      <c r="N395" s="456">
        <f>+SUBTOTAL(9,N396:N398)</f>
        <v>1975161.6</v>
      </c>
      <c r="O395" s="1082">
        <f>+SUBTOTAL(9,O396:O398)</f>
        <v>3835.2652427184466</v>
      </c>
      <c r="P395" s="416"/>
    </row>
    <row r="396" spans="1:16" ht="15" customHeight="1" x14ac:dyDescent="0.2">
      <c r="A396" s="303"/>
      <c r="B396" s="833">
        <f t="shared" si="280"/>
        <v>2.1</v>
      </c>
      <c r="C396" s="120" t="s">
        <v>2226</v>
      </c>
      <c r="D396" s="838"/>
      <c r="E396" s="161" t="str">
        <f>+_xlfn.XLOOKUP(C396,'BASE DATOS PRECIOS '!B:B,'BASE DATOS PRECIOS '!E:E)</f>
        <v>MORTERO REPEMAX MURO SECO BASE COAT 25KG</v>
      </c>
      <c r="F396" s="174">
        <f>+'1_OG y 2_ACA'!D1456</f>
        <v>144</v>
      </c>
      <c r="G396" s="175" t="str">
        <f>+_xlfn.XLOOKUP(C396,'BASE DATOS PRECIOS '!B:B,'BASE DATOS PRECIOS '!F:F)</f>
        <v>SACO</v>
      </c>
      <c r="H396" s="176">
        <f>+_xlfn.XLOOKUP(E396,'BASE DATOS PRECIOS '!E:E,'BASE DATOS PRECIOS '!H:H)</f>
        <v>6672.65</v>
      </c>
      <c r="I396" s="175"/>
      <c r="J396" s="175"/>
      <c r="K396" s="176">
        <f>+F396*H396</f>
        <v>960861.6</v>
      </c>
      <c r="L396" s="176">
        <f>+F396*I396</f>
        <v>0</v>
      </c>
      <c r="M396" s="176">
        <f>+F396*J396</f>
        <v>0</v>
      </c>
      <c r="N396" s="176">
        <f>SUM(K396:M396)</f>
        <v>960861.6</v>
      </c>
      <c r="O396" s="1083">
        <f>SUM(K396:M396)/tc</f>
        <v>1865.7506796116504</v>
      </c>
    </row>
    <row r="397" spans="1:16" ht="15" customHeight="1" x14ac:dyDescent="0.2">
      <c r="A397" s="1077" t="s">
        <v>2158</v>
      </c>
      <c r="B397" s="833">
        <f t="shared" si="280"/>
        <v>2.1</v>
      </c>
      <c r="C397" s="774" t="s">
        <v>36</v>
      </c>
      <c r="D397" s="210"/>
      <c r="E397" s="211" t="str">
        <f>+_xlfn.XLOOKUP(C397,'BASE DATOS MANO DE OBRA'!A:A,'BASE DATOS MANO DE OBRA'!B:B)</f>
        <v xml:space="preserve">OPERARIO PLUS </v>
      </c>
      <c r="F397" s="212">
        <f>+ROUNDUP('1_OG y 2_ACA'!F1459,0)/2</f>
        <v>196</v>
      </c>
      <c r="G397" s="213" t="str">
        <f>+_xlfn.XLOOKUP(C397,'BASE DATOS MANO DE OBRA'!A:A,'BASE DATOS MANO DE OBRA'!C:C)</f>
        <v xml:space="preserve">hora </v>
      </c>
      <c r="H397" s="214">
        <v>0</v>
      </c>
      <c r="I397" s="214">
        <f>+_xlfn.XLOOKUP(C397,'BASE DATOS MANO DE OBRA'!A:A,'BASE DATOS MANO DE OBRA'!E:E)</f>
        <v>2850</v>
      </c>
      <c r="J397" s="214">
        <v>0</v>
      </c>
      <c r="K397" s="214">
        <f>+F397*H397</f>
        <v>0</v>
      </c>
      <c r="L397" s="214">
        <f>+F397*I397</f>
        <v>558600</v>
      </c>
      <c r="M397" s="214">
        <f>+F397*J397</f>
        <v>0</v>
      </c>
      <c r="N397" s="214">
        <f>SUM(K397:M397)</f>
        <v>558600</v>
      </c>
      <c r="O397" s="1086">
        <f>SUM(K397:M397)/tc</f>
        <v>1084.6601941747572</v>
      </c>
    </row>
    <row r="398" spans="1:16" ht="15" customHeight="1" x14ac:dyDescent="0.2">
      <c r="A398" s="1077" t="s">
        <v>2158</v>
      </c>
      <c r="B398" s="833">
        <f t="shared" si="280"/>
        <v>2.1</v>
      </c>
      <c r="C398" s="774" t="s">
        <v>37</v>
      </c>
      <c r="D398" s="210"/>
      <c r="E398" s="211" t="str">
        <f>+_xlfn.XLOOKUP(C398,'BASE DATOS MANO DE OBRA'!A:A,'BASE DATOS MANO DE OBRA'!B:B)</f>
        <v xml:space="preserve">AYUDANTE PLUS </v>
      </c>
      <c r="F398" s="212">
        <f>+F397</f>
        <v>196</v>
      </c>
      <c r="G398" s="213" t="str">
        <f>+_xlfn.XLOOKUP(C398,'BASE DATOS MANO DE OBRA'!A:A,'BASE DATOS MANO DE OBRA'!C:C)</f>
        <v xml:space="preserve">hora </v>
      </c>
      <c r="H398" s="214">
        <v>0</v>
      </c>
      <c r="I398" s="214">
        <f>+_xlfn.XLOOKUP(C398,'BASE DATOS MANO DE OBRA'!A:A,'BASE DATOS MANO DE OBRA'!E:E)</f>
        <v>2325</v>
      </c>
      <c r="J398" s="214">
        <v>0</v>
      </c>
      <c r="K398" s="214">
        <f>+F398*H398</f>
        <v>0</v>
      </c>
      <c r="L398" s="214">
        <f>+F398*I398</f>
        <v>455700</v>
      </c>
      <c r="M398" s="214">
        <f>+F398*J398</f>
        <v>0</v>
      </c>
      <c r="N398" s="214">
        <f>SUM(K398:M398)</f>
        <v>455700</v>
      </c>
      <c r="O398" s="1086">
        <f>SUM(K398:M398)/tc</f>
        <v>884.85436893203882</v>
      </c>
    </row>
    <row r="399" spans="1:16" s="49" customFormat="1" ht="18.600000000000001" customHeight="1" collapsed="1" x14ac:dyDescent="0.2">
      <c r="A399" s="1078"/>
      <c r="B399" s="833">
        <f t="shared" si="280"/>
        <v>2.1</v>
      </c>
      <c r="C399" s="770" t="s">
        <v>2062</v>
      </c>
      <c r="D399" s="453"/>
      <c r="E399" s="454" t="s">
        <v>195</v>
      </c>
      <c r="F399" s="455">
        <f>+'1_OG y 2_ACA'!D1465</f>
        <v>225.01249999999999</v>
      </c>
      <c r="G399" s="453" t="s">
        <v>396</v>
      </c>
      <c r="H399" s="453"/>
      <c r="I399" s="453"/>
      <c r="J399" s="453"/>
      <c r="K399" s="456">
        <f>+SUBTOTAL(9,K400:K405)</f>
        <v>268952.96109999996</v>
      </c>
      <c r="L399" s="456">
        <f>+SUBTOTAL(9,L400:L405)</f>
        <v>263925</v>
      </c>
      <c r="M399" s="456">
        <f>+SUBTOTAL(9,M400:M405)</f>
        <v>0</v>
      </c>
      <c r="N399" s="456">
        <f>+SUBTOTAL(9,N400:N405)</f>
        <v>532877.96109999996</v>
      </c>
      <c r="O399" s="1082">
        <f>+SUBTOTAL(9,O400:O405)</f>
        <v>1034.7144875728156</v>
      </c>
      <c r="P399" s="416"/>
    </row>
    <row r="400" spans="1:16" ht="15" customHeight="1" x14ac:dyDescent="0.2">
      <c r="A400" s="303"/>
      <c r="B400" s="833">
        <f t="shared" si="280"/>
        <v>2.1</v>
      </c>
      <c r="C400" s="120" t="s">
        <v>1976</v>
      </c>
      <c r="D400" s="838"/>
      <c r="E400" s="161" t="str">
        <f>+_xlfn.XLOOKUP(C400,'BASE DATOS PRECIOS '!B:B,'BASE DATOS PRECIOS '!E:E)</f>
        <v>MAXIEMPASTE EXTRA LISO 20KG</v>
      </c>
      <c r="F400" s="174">
        <f>+'1_OG y 2_ACA'!D1468</f>
        <v>21</v>
      </c>
      <c r="G400" s="184" t="str">
        <f>+_xlfn.XLOOKUP(C400,'BASE DATOS PRECIOS '!B:B,'BASE DATOS PRECIOS '!F:F)</f>
        <v>SACO</v>
      </c>
      <c r="H400" s="185">
        <f>+_xlfn.XLOOKUP(E400,'BASE DATOS PRECIOS '!E:E,'BASE DATOS PRECIOS '!H:H)</f>
        <v>10615.005299999999</v>
      </c>
      <c r="I400" s="184"/>
      <c r="J400" s="184"/>
      <c r="K400" s="185">
        <f t="shared" ref="K400:K405" si="287">+F400*H400</f>
        <v>222915.11129999999</v>
      </c>
      <c r="L400" s="185">
        <f t="shared" ref="L400:L405" si="288">+F400*I400</f>
        <v>0</v>
      </c>
      <c r="M400" s="185">
        <f t="shared" ref="M400:M405" si="289">+F400*J400</f>
        <v>0</v>
      </c>
      <c r="N400" s="185">
        <f t="shared" ref="N400:N405" si="290">SUM(K400:M400)</f>
        <v>222915.11129999999</v>
      </c>
      <c r="O400" s="1088">
        <f t="shared" ref="O400:O405" si="291">SUM(K400:M400)/tc</f>
        <v>432.84487631067958</v>
      </c>
    </row>
    <row r="401" spans="1:16" ht="15" customHeight="1" x14ac:dyDescent="0.2">
      <c r="A401" s="1074"/>
      <c r="B401" s="833">
        <f t="shared" si="280"/>
        <v>2.1</v>
      </c>
      <c r="C401" s="786" t="s">
        <v>1978</v>
      </c>
      <c r="D401" s="826"/>
      <c r="E401" s="318" t="str">
        <f>+_xlfn.XLOOKUP(C401,'BASE DATOS PRECIOS '!B:B,'BASE DATOS PRECIOS '!E:E)</f>
        <v>LIJA DE AGUA #120</v>
      </c>
      <c r="F401" s="174">
        <f>+'1_OG y 2_ACA'!D1469</f>
        <v>42</v>
      </c>
      <c r="G401" s="184" t="str">
        <f>+_xlfn.XLOOKUP(C401,'BASE DATOS PRECIOS '!B:B,'BASE DATOS PRECIOS '!F:F)</f>
        <v>UND</v>
      </c>
      <c r="H401" s="176">
        <f>+_xlfn.XLOOKUP(E401,'BASE DATOS PRECIOS '!E:E,'BASE DATOS PRECIOS '!H:H)</f>
        <v>369.99589999999995</v>
      </c>
      <c r="I401" s="184"/>
      <c r="J401" s="184"/>
      <c r="K401" s="185">
        <f t="shared" si="287"/>
        <v>15539.827799999997</v>
      </c>
      <c r="L401" s="185">
        <f t="shared" si="288"/>
        <v>0</v>
      </c>
      <c r="M401" s="185">
        <f t="shared" si="289"/>
        <v>0</v>
      </c>
      <c r="N401" s="185">
        <f t="shared" si="290"/>
        <v>15539.827799999997</v>
      </c>
      <c r="O401" s="1088">
        <f t="shared" si="291"/>
        <v>30.174422912621353</v>
      </c>
    </row>
    <row r="402" spans="1:16" x14ac:dyDescent="0.2">
      <c r="A402" s="303"/>
      <c r="B402" s="833">
        <f t="shared" si="280"/>
        <v>2.1</v>
      </c>
      <c r="C402" s="786" t="s">
        <v>2227</v>
      </c>
      <c r="D402" s="826"/>
      <c r="E402" s="318" t="str">
        <f>+_xlfn.XLOOKUP(C402,'BASE DATOS PRECIOS '!B:B,'BASE DATOS PRECIOS '!E:E)</f>
        <v>MASKING AZUL 2"</v>
      </c>
      <c r="F402" s="174">
        <f>+'1_OG y 2_ACA'!D1470</f>
        <v>6</v>
      </c>
      <c r="G402" s="184" t="str">
        <f>+_xlfn.XLOOKUP(C402,'BASE DATOS PRECIOS '!B:B,'BASE DATOS PRECIOS '!F:F)</f>
        <v>UND</v>
      </c>
      <c r="H402" s="185">
        <f>+_xlfn.XLOOKUP(E402,'BASE DATOS PRECIOS '!E:E,'BASE DATOS PRECIOS '!H:H)</f>
        <v>4360.0032999999994</v>
      </c>
      <c r="I402" s="184"/>
      <c r="J402" s="184"/>
      <c r="K402" s="185">
        <f t="shared" si="287"/>
        <v>26160.019799999995</v>
      </c>
      <c r="L402" s="185">
        <f t="shared" si="288"/>
        <v>0</v>
      </c>
      <c r="M402" s="185">
        <f t="shared" si="289"/>
        <v>0</v>
      </c>
      <c r="N402" s="185">
        <f t="shared" si="290"/>
        <v>26160.019799999995</v>
      </c>
      <c r="O402" s="1088">
        <f t="shared" si="291"/>
        <v>50.796154951456302</v>
      </c>
      <c r="P402" s="158"/>
    </row>
    <row r="403" spans="1:16" ht="15" customHeight="1" x14ac:dyDescent="0.2">
      <c r="A403" s="303"/>
      <c r="B403" s="833">
        <f t="shared" si="280"/>
        <v>2.1</v>
      </c>
      <c r="C403" s="786" t="s">
        <v>2182</v>
      </c>
      <c r="D403" s="826"/>
      <c r="E403" s="318" t="str">
        <f>+_xlfn.XLOOKUP(C403,'BASE DATOS PRECIOS '!B:B,'BASE DATOS PRECIOS '!E:E)</f>
        <v>MECHA BLANCA</v>
      </c>
      <c r="F403" s="174">
        <f>+'1_OG y 2_ACA'!D1471</f>
        <v>1</v>
      </c>
      <c r="G403" s="184" t="str">
        <f>+_xlfn.XLOOKUP(C403,'BASE DATOS PRECIOS '!B:B,'BASE DATOS PRECIOS '!F:F)</f>
        <v>KG</v>
      </c>
      <c r="H403" s="185">
        <f>+_xlfn.XLOOKUP(E403,'BASE DATOS PRECIOS '!E:E,'BASE DATOS PRECIOS '!H:H)</f>
        <v>4338.0021999999999</v>
      </c>
      <c r="I403" s="184"/>
      <c r="J403" s="184"/>
      <c r="K403" s="185">
        <f t="shared" si="287"/>
        <v>4338.0021999999999</v>
      </c>
      <c r="L403" s="185">
        <f t="shared" si="288"/>
        <v>0</v>
      </c>
      <c r="M403" s="185">
        <f t="shared" si="289"/>
        <v>0</v>
      </c>
      <c r="N403" s="185">
        <f t="shared" si="290"/>
        <v>4338.0021999999999</v>
      </c>
      <c r="O403" s="1088">
        <f t="shared" si="291"/>
        <v>8.4233052427184472</v>
      </c>
    </row>
    <row r="404" spans="1:16" ht="15" customHeight="1" x14ac:dyDescent="0.2">
      <c r="A404" s="1077" t="s">
        <v>2159</v>
      </c>
      <c r="B404" s="833">
        <f t="shared" si="280"/>
        <v>2.1</v>
      </c>
      <c r="C404" s="774" t="s">
        <v>36</v>
      </c>
      <c r="D404" s="210"/>
      <c r="E404" s="211" t="str">
        <f>+_xlfn.XLOOKUP(C404,'BASE DATOS MANO DE OBRA'!A:A,'BASE DATOS MANO DE OBRA'!B:B)</f>
        <v xml:space="preserve">OPERARIO PLUS </v>
      </c>
      <c r="F404" s="212">
        <f>+ROUNDUP('1_OG y 2_ACA'!F1474,0)/2</f>
        <v>51</v>
      </c>
      <c r="G404" s="213" t="str">
        <f>+_xlfn.XLOOKUP(C404,'BASE DATOS MANO DE OBRA'!A:A,'BASE DATOS MANO DE OBRA'!C:C)</f>
        <v xml:space="preserve">hora </v>
      </c>
      <c r="H404" s="214">
        <v>0</v>
      </c>
      <c r="I404" s="214">
        <f>+_xlfn.XLOOKUP(C404,'BASE DATOS MANO DE OBRA'!A:A,'BASE DATOS MANO DE OBRA'!E:E)</f>
        <v>2850</v>
      </c>
      <c r="J404" s="214">
        <v>0</v>
      </c>
      <c r="K404" s="214">
        <f t="shared" si="287"/>
        <v>0</v>
      </c>
      <c r="L404" s="214">
        <f t="shared" si="288"/>
        <v>145350</v>
      </c>
      <c r="M404" s="214">
        <f t="shared" si="289"/>
        <v>0</v>
      </c>
      <c r="N404" s="214">
        <f t="shared" si="290"/>
        <v>145350</v>
      </c>
      <c r="O404" s="1086">
        <f t="shared" si="291"/>
        <v>282.23300970873788</v>
      </c>
    </row>
    <row r="405" spans="1:16" ht="15" customHeight="1" x14ac:dyDescent="0.2">
      <c r="A405" s="1077" t="s">
        <v>2159</v>
      </c>
      <c r="B405" s="833">
        <f t="shared" si="280"/>
        <v>2.1</v>
      </c>
      <c r="C405" s="774" t="s">
        <v>37</v>
      </c>
      <c r="D405" s="210"/>
      <c r="E405" s="211" t="str">
        <f>+_xlfn.XLOOKUP(C405,'BASE DATOS MANO DE OBRA'!A:A,'BASE DATOS MANO DE OBRA'!B:B)</f>
        <v xml:space="preserve">AYUDANTE PLUS </v>
      </c>
      <c r="F405" s="212">
        <f>+F404</f>
        <v>51</v>
      </c>
      <c r="G405" s="213" t="str">
        <f>+_xlfn.XLOOKUP(C405,'BASE DATOS MANO DE OBRA'!A:A,'BASE DATOS MANO DE OBRA'!C:C)</f>
        <v xml:space="preserve">hora </v>
      </c>
      <c r="H405" s="214">
        <v>0</v>
      </c>
      <c r="I405" s="214">
        <f>+_xlfn.XLOOKUP(C405,'BASE DATOS MANO DE OBRA'!A:A,'BASE DATOS MANO DE OBRA'!E:E)</f>
        <v>2325</v>
      </c>
      <c r="J405" s="214">
        <v>0</v>
      </c>
      <c r="K405" s="214">
        <f t="shared" si="287"/>
        <v>0</v>
      </c>
      <c r="L405" s="214">
        <f t="shared" si="288"/>
        <v>118575</v>
      </c>
      <c r="M405" s="214">
        <f t="shared" si="289"/>
        <v>0</v>
      </c>
      <c r="N405" s="214">
        <f t="shared" si="290"/>
        <v>118575</v>
      </c>
      <c r="O405" s="1086">
        <f t="shared" si="291"/>
        <v>230.24271844660194</v>
      </c>
    </row>
    <row r="406" spans="1:16" ht="15" customHeight="1" collapsed="1" x14ac:dyDescent="0.2">
      <c r="A406" s="303"/>
      <c r="B406" s="833">
        <f t="shared" si="280"/>
        <v>2.2000000000000002</v>
      </c>
      <c r="C406" s="779" t="s">
        <v>118</v>
      </c>
      <c r="D406" s="440"/>
      <c r="E406" s="441" t="s">
        <v>196</v>
      </c>
      <c r="F406" s="446">
        <v>1</v>
      </c>
      <c r="G406" s="440" t="s">
        <v>271</v>
      </c>
      <c r="H406" s="440"/>
      <c r="I406" s="440"/>
      <c r="J406" s="440"/>
      <c r="K406" s="447">
        <f>+SUBTOTAL(9,K407:K427)</f>
        <v>844081.2548</v>
      </c>
      <c r="L406" s="447">
        <f>+SUBTOTAL(9,L407:L427)</f>
        <v>626175</v>
      </c>
      <c r="M406" s="447">
        <f>+SUBTOTAL(9,M407:M427)</f>
        <v>0</v>
      </c>
      <c r="N406" s="447">
        <f>+SUBTOTAL(9,N407:N427)</f>
        <v>1470256.2548</v>
      </c>
      <c r="O406" s="1081">
        <f>+SUBTOTAL(9,O407:O427)</f>
        <v>2854.866514174757</v>
      </c>
    </row>
    <row r="407" spans="1:16" s="49" customFormat="1" ht="18.600000000000001" customHeight="1" x14ac:dyDescent="0.2">
      <c r="A407" s="303"/>
      <c r="B407" s="833">
        <f t="shared" si="280"/>
        <v>2.2000000000000002</v>
      </c>
      <c r="C407" s="770" t="s">
        <v>2063</v>
      </c>
      <c r="D407" s="453"/>
      <c r="E407" s="454" t="s">
        <v>198</v>
      </c>
      <c r="F407" s="455">
        <f>+F409+F410+F417</f>
        <v>121.6</v>
      </c>
      <c r="G407" s="453" t="s">
        <v>137</v>
      </c>
      <c r="H407" s="453"/>
      <c r="I407" s="453"/>
      <c r="J407" s="453"/>
      <c r="K407" s="456">
        <f>+SUBTOTAL(9,K408:K427)</f>
        <v>844081.2548</v>
      </c>
      <c r="L407" s="456">
        <f>+SUBTOTAL(9,L408:L427)</f>
        <v>626175</v>
      </c>
      <c r="M407" s="456">
        <f>+SUBTOTAL(9,M408:M427)</f>
        <v>0</v>
      </c>
      <c r="N407" s="456">
        <f>+SUBTOTAL(9,N408:N427)</f>
        <v>1470256.2548</v>
      </c>
      <c r="O407" s="1082">
        <f>+SUBTOTAL(9,O408:O427)</f>
        <v>2854.866514174757</v>
      </c>
      <c r="P407" s="416"/>
    </row>
    <row r="408" spans="1:16" ht="15" customHeight="1" x14ac:dyDescent="0.2">
      <c r="A408" s="303"/>
      <c r="B408" s="833">
        <f t="shared" si="280"/>
        <v>2.2000000000000002</v>
      </c>
      <c r="C408" s="776"/>
      <c r="D408" s="166"/>
      <c r="E408" s="319" t="s">
        <v>1465</v>
      </c>
      <c r="F408" s="168"/>
      <c r="G408" s="169"/>
      <c r="H408" s="169"/>
      <c r="I408" s="169"/>
      <c r="J408" s="169"/>
      <c r="K408" s="170"/>
      <c r="L408" s="170"/>
      <c r="M408" s="170"/>
      <c r="N408" s="170"/>
      <c r="O408" s="1087"/>
    </row>
    <row r="409" spans="1:16" ht="15" customHeight="1" x14ac:dyDescent="0.2">
      <c r="A409" s="303"/>
      <c r="B409" s="833">
        <f t="shared" si="280"/>
        <v>2.2000000000000002</v>
      </c>
      <c r="C409" s="782" t="s">
        <v>2228</v>
      </c>
      <c r="D409" s="837"/>
      <c r="E409" s="161" t="str">
        <f>+_xlfn.XLOOKUP(C409,'BASE DATOS PRECIOS '!B:B,'BASE DATOS PRECIOS '!E:E)</f>
        <v>CERAMICA 55X55 // PISO CERÁMICO HARÁ BEIGE  55X55</v>
      </c>
      <c r="F409" s="162">
        <f>+'1_OG y 2_ACA'!D1531</f>
        <v>94</v>
      </c>
      <c r="G409" s="175" t="str">
        <f>+_xlfn.XLOOKUP(C409,'BASE DATOS PRECIOS '!B:B,'BASE DATOS PRECIOS '!F:F)</f>
        <v>M2</v>
      </c>
      <c r="H409" s="176">
        <f>+_xlfn.XLOOKUP(E409,'BASE DATOS PRECIOS '!E:E,'BASE DATOS PRECIOS '!H:H)</f>
        <v>4303.04</v>
      </c>
      <c r="I409" s="175"/>
      <c r="J409" s="175"/>
      <c r="K409" s="176">
        <f t="shared" ref="K409:K416" si="292">+F409*H409</f>
        <v>404485.76</v>
      </c>
      <c r="L409" s="176">
        <f t="shared" ref="L409:L416" si="293">+F409*I409</f>
        <v>0</v>
      </c>
      <c r="M409" s="176">
        <f t="shared" ref="M409:M416" si="294">+F409*J409</f>
        <v>0</v>
      </c>
      <c r="N409" s="176">
        <f t="shared" ref="N409:N416" si="295">SUM(K409:M409)</f>
        <v>404485.76</v>
      </c>
      <c r="O409" s="1083">
        <f t="shared" ref="O409:O416" si="296">SUM(K409:M409)/tc</f>
        <v>785.40924271844665</v>
      </c>
    </row>
    <row r="410" spans="1:16" ht="15.6" customHeight="1" x14ac:dyDescent="0.2">
      <c r="A410" s="303"/>
      <c r="B410" s="833">
        <f t="shared" si="280"/>
        <v>2.2000000000000002</v>
      </c>
      <c r="C410" s="303" t="s">
        <v>2229</v>
      </c>
      <c r="D410" s="822"/>
      <c r="E410" s="161" t="str">
        <f>+_xlfn.XLOOKUP(C410,'BASE DATOS PRECIOS '!B:B,'BASE DATOS PRECIOS '!E:E)</f>
        <v>CERAMICA 20X60 // CERAMICA EMOTION T.MADERA HARDY HAYA 20X60</v>
      </c>
      <c r="F410" s="162">
        <f>+'1_OG y 2_ACA'!D1530</f>
        <v>25</v>
      </c>
      <c r="G410" s="175" t="str">
        <f>+_xlfn.XLOOKUP(C410,'BASE DATOS PRECIOS '!B:B,'BASE DATOS PRECIOS '!F:F)</f>
        <v>M2</v>
      </c>
      <c r="H410" s="176">
        <f>+_xlfn.XLOOKUP(E410,'BASE DATOS PRECIOS '!E:E,'BASE DATOS PRECIOS '!H:H)</f>
        <v>8450.4224999999988</v>
      </c>
      <c r="I410" s="175"/>
      <c r="J410" s="175"/>
      <c r="K410" s="176">
        <f t="shared" si="292"/>
        <v>211260.56249999997</v>
      </c>
      <c r="L410" s="176">
        <f t="shared" si="293"/>
        <v>0</v>
      </c>
      <c r="M410" s="176">
        <f t="shared" si="294"/>
        <v>0</v>
      </c>
      <c r="N410" s="176">
        <f t="shared" si="295"/>
        <v>211260.56249999997</v>
      </c>
      <c r="O410" s="1083">
        <f t="shared" si="296"/>
        <v>410.21468446601938</v>
      </c>
    </row>
    <row r="411" spans="1:16" ht="15" customHeight="1" x14ac:dyDescent="0.2">
      <c r="A411" s="303"/>
      <c r="B411" s="833">
        <f t="shared" si="280"/>
        <v>2.2000000000000002</v>
      </c>
      <c r="C411" s="303" t="s">
        <v>2549</v>
      </c>
      <c r="D411" s="822"/>
      <c r="E411" s="161" t="str">
        <f>+_xlfn.XLOOKUP(C411,'BASE DATOS PRECIOS '!B:B,'BASE DATOS PRECIOS '!E:E)</f>
        <v>BONDEX PLUS CERAMICA Y PORCELANATO  40KG INTACO</v>
      </c>
      <c r="F411" s="174">
        <f>+'1_OG y 2_ACA'!D1532</f>
        <v>19</v>
      </c>
      <c r="G411" s="175" t="str">
        <f>+_xlfn.XLOOKUP(C411,'BASE DATOS PRECIOS '!B:B,'BASE DATOS PRECIOS '!F:F)</f>
        <v>SACO</v>
      </c>
      <c r="H411" s="176">
        <f>+_xlfn.XLOOKUP(E411,'BASE DATOS PRECIOS '!E:E,'BASE DATOS PRECIOS '!H:H)</f>
        <v>7280.7368999999999</v>
      </c>
      <c r="I411" s="184"/>
      <c r="J411" s="184"/>
      <c r="K411" s="185">
        <f t="shared" si="292"/>
        <v>138334.00109999999</v>
      </c>
      <c r="L411" s="185">
        <f t="shared" si="293"/>
        <v>0</v>
      </c>
      <c r="M411" s="185">
        <f t="shared" si="294"/>
        <v>0</v>
      </c>
      <c r="N411" s="185">
        <f t="shared" si="295"/>
        <v>138334.00109999999</v>
      </c>
      <c r="O411" s="1088">
        <f t="shared" si="296"/>
        <v>268.60971087378641</v>
      </c>
    </row>
    <row r="412" spans="1:16" ht="15" customHeight="1" x14ac:dyDescent="0.2">
      <c r="A412" s="303"/>
      <c r="B412" s="833">
        <f t="shared" si="280"/>
        <v>2.2000000000000002</v>
      </c>
      <c r="C412" s="120" t="s">
        <v>2231</v>
      </c>
      <c r="D412" s="838"/>
      <c r="E412" s="161" t="str">
        <f>+_xlfn.XLOOKUP(C412,'BASE DATOS PRECIOS '!B:B,'BASE DATOS PRECIOS '!E:E)</f>
        <v>FRAGUA INTACO GRAFITO #12 CON ARENA</v>
      </c>
      <c r="F412" s="174">
        <f>+'1_OG y 2_ACA'!D1533</f>
        <v>18</v>
      </c>
      <c r="G412" s="175" t="str">
        <f>+_xlfn.XLOOKUP(C412,'BASE DATOS PRECIOS '!B:B,'BASE DATOS PRECIOS '!F:F)</f>
        <v>UND</v>
      </c>
      <c r="H412" s="176">
        <f>+_xlfn.XLOOKUP(E412,'BASE DATOS PRECIOS '!E:E,'BASE DATOS PRECIOS '!H:H)</f>
        <v>1720.877</v>
      </c>
      <c r="I412" s="184"/>
      <c r="J412" s="184"/>
      <c r="K412" s="185">
        <f t="shared" si="292"/>
        <v>30975.786</v>
      </c>
      <c r="L412" s="185">
        <f t="shared" si="293"/>
        <v>0</v>
      </c>
      <c r="M412" s="185">
        <f t="shared" si="294"/>
        <v>0</v>
      </c>
      <c r="N412" s="185">
        <f t="shared" si="295"/>
        <v>30975.786</v>
      </c>
      <c r="O412" s="1088">
        <f t="shared" si="296"/>
        <v>60.147157281553397</v>
      </c>
    </row>
    <row r="413" spans="1:16" ht="15" customHeight="1" x14ac:dyDescent="0.2">
      <c r="A413" s="303"/>
      <c r="B413" s="833">
        <f t="shared" si="280"/>
        <v>2.2000000000000002</v>
      </c>
      <c r="C413" s="303" t="s">
        <v>1979</v>
      </c>
      <c r="D413" s="822"/>
      <c r="E413" s="161" t="str">
        <f>+_xlfn.XLOOKUP(C413,'BASE DATOS PRECIOS '!B:B,'BASE DATOS PRECIOS '!E:E)</f>
        <v>BOLSA SEPARADOR P/CERAMICA 2MM</v>
      </c>
      <c r="F413" s="174">
        <f>+'1_OG y 2_ACA'!D1534</f>
        <v>7</v>
      </c>
      <c r="G413" s="175" t="str">
        <f>+_xlfn.XLOOKUP(C413,'BASE DATOS PRECIOS '!B:B,'BASE DATOS PRECIOS '!F:F)</f>
        <v>BOLSA</v>
      </c>
      <c r="H413" s="176">
        <f>+_xlfn.XLOOKUP(E413,'BASE DATOS PRECIOS '!E:E,'BASE DATOS PRECIOS '!H:H)</f>
        <v>502.35279999999995</v>
      </c>
      <c r="I413" s="184"/>
      <c r="J413" s="184"/>
      <c r="K413" s="185">
        <f t="shared" si="292"/>
        <v>3516.4695999999994</v>
      </c>
      <c r="L413" s="185">
        <f t="shared" si="293"/>
        <v>0</v>
      </c>
      <c r="M413" s="185">
        <f t="shared" si="294"/>
        <v>0</v>
      </c>
      <c r="N413" s="185">
        <f t="shared" si="295"/>
        <v>3516.4695999999994</v>
      </c>
      <c r="O413" s="1088">
        <f t="shared" si="296"/>
        <v>6.8280963106796104</v>
      </c>
    </row>
    <row r="414" spans="1:16" ht="15" customHeight="1" x14ac:dyDescent="0.2">
      <c r="A414" s="303"/>
      <c r="B414" s="833">
        <f t="shared" si="280"/>
        <v>2.2000000000000002</v>
      </c>
      <c r="C414" s="303" t="s">
        <v>2232</v>
      </c>
      <c r="D414" s="822"/>
      <c r="E414" s="161" t="str">
        <f>+_xlfn.XLOOKUP(C414,'BASE DATOS PRECIOS '!B:B,'BASE DATOS PRECIOS '!E:E)</f>
        <v>ESPUMA P/LIMPIAR</v>
      </c>
      <c r="F414" s="174">
        <f>+'1_OG y 2_ACA'!D1535</f>
        <v>2</v>
      </c>
      <c r="G414" s="175" t="str">
        <f>+_xlfn.XLOOKUP(C414,'BASE DATOS PRECIOS '!B:B,'BASE DATOS PRECIOS '!F:F)</f>
        <v>UND</v>
      </c>
      <c r="H414" s="176">
        <f>+_xlfn.XLOOKUP(E414,'BASE DATOS PRECIOS '!E:E,'BASE DATOS PRECIOS '!H:H)</f>
        <v>429.90849999999995</v>
      </c>
      <c r="I414" s="175"/>
      <c r="J414" s="175"/>
      <c r="K414" s="176">
        <f t="shared" si="292"/>
        <v>859.81699999999989</v>
      </c>
      <c r="L414" s="176">
        <f t="shared" si="293"/>
        <v>0</v>
      </c>
      <c r="M414" s="176">
        <f t="shared" si="294"/>
        <v>0</v>
      </c>
      <c r="N414" s="176">
        <f t="shared" si="295"/>
        <v>859.81699999999989</v>
      </c>
      <c r="O414" s="1083">
        <f t="shared" si="296"/>
        <v>1.6695475728155338</v>
      </c>
    </row>
    <row r="415" spans="1:16" ht="15" customHeight="1" x14ac:dyDescent="0.2">
      <c r="A415" s="303"/>
      <c r="B415" s="833">
        <f t="shared" si="280"/>
        <v>2.2000000000000002</v>
      </c>
      <c r="C415" s="303" t="s">
        <v>2233</v>
      </c>
      <c r="D415" s="822"/>
      <c r="E415" s="161" t="str">
        <f>+_xlfn.XLOOKUP(C415,'BASE DATOS PRECIOS '!B:B,'BASE DATOS PRECIOS '!E:E)</f>
        <v>CHISPA P/CORTAR CERAMICA</v>
      </c>
      <c r="F415" s="174">
        <f>+'1_OG y 2_ACA'!D1536</f>
        <v>1</v>
      </c>
      <c r="G415" s="175" t="str">
        <f>+_xlfn.XLOOKUP(C415,'BASE DATOS PRECIOS '!B:B,'BASE DATOS PRECIOS '!F:F)</f>
        <v>UND</v>
      </c>
      <c r="H415" s="176">
        <f>+_xlfn.XLOOKUP(E415,'BASE DATOS PRECIOS '!E:E,'BASE DATOS PRECIOS '!H:H)</f>
        <v>7137.2381999999998</v>
      </c>
      <c r="I415" s="175"/>
      <c r="J415" s="175"/>
      <c r="K415" s="176">
        <f t="shared" si="292"/>
        <v>7137.2381999999998</v>
      </c>
      <c r="L415" s="176">
        <f t="shared" si="293"/>
        <v>0</v>
      </c>
      <c r="M415" s="176">
        <f t="shared" si="294"/>
        <v>0</v>
      </c>
      <c r="N415" s="176">
        <f t="shared" si="295"/>
        <v>7137.2381999999998</v>
      </c>
      <c r="O415" s="1083">
        <f t="shared" si="296"/>
        <v>13.85871495145631</v>
      </c>
    </row>
    <row r="416" spans="1:16" ht="15" customHeight="1" x14ac:dyDescent="0.2">
      <c r="A416" s="303"/>
      <c r="B416" s="833">
        <f t="shared" si="280"/>
        <v>2.2000000000000002</v>
      </c>
      <c r="C416" s="303" t="s">
        <v>1981</v>
      </c>
      <c r="D416" s="822"/>
      <c r="E416" s="318" t="str">
        <f>+_xlfn.XLOOKUP(C416,'BASE DATOS PRECIOS '!B:B,'BASE DATOS PRECIOS '!E:E)</f>
        <v>DISCO DIAMANTADO 4-1/2"</v>
      </c>
      <c r="F416" s="174">
        <f>+'1_OG y 2_ACA'!D1537</f>
        <v>1</v>
      </c>
      <c r="G416" s="184" t="str">
        <f>+_xlfn.XLOOKUP(C416,'BASE DATOS PRECIOS '!B:B,'BASE DATOS PRECIOS '!F:F)</f>
        <v>UND</v>
      </c>
      <c r="H416" s="176">
        <f>+_xlfn.XLOOKUP(E416,'BASE DATOS PRECIOS '!E:E,'BASE DATOS PRECIOS '!H:H)</f>
        <v>4802.4434999999994</v>
      </c>
      <c r="I416" s="184"/>
      <c r="J416" s="184"/>
      <c r="K416" s="185">
        <f t="shared" si="292"/>
        <v>4802.4434999999994</v>
      </c>
      <c r="L416" s="185">
        <f t="shared" si="293"/>
        <v>0</v>
      </c>
      <c r="M416" s="185">
        <f t="shared" si="294"/>
        <v>0</v>
      </c>
      <c r="N416" s="185">
        <f t="shared" si="295"/>
        <v>4802.4434999999994</v>
      </c>
      <c r="O416" s="1088">
        <f t="shared" si="296"/>
        <v>9.3251330097087362</v>
      </c>
    </row>
    <row r="417" spans="1:16" ht="15" customHeight="1" x14ac:dyDescent="0.2">
      <c r="A417" s="303"/>
      <c r="B417" s="833">
        <f t="shared" si="280"/>
        <v>2.2000000000000002</v>
      </c>
      <c r="C417" s="776"/>
      <c r="D417" s="166"/>
      <c r="E417" s="319" t="s">
        <v>1982</v>
      </c>
      <c r="F417" s="168">
        <f>+'1_OG y 2_ACA'!D1550</f>
        <v>2.6</v>
      </c>
      <c r="G417" s="169" t="s">
        <v>396</v>
      </c>
      <c r="H417" s="169"/>
      <c r="I417" s="169"/>
      <c r="J417" s="169"/>
      <c r="K417" s="170"/>
      <c r="L417" s="170"/>
      <c r="M417" s="170"/>
      <c r="N417" s="170"/>
      <c r="O417" s="1087"/>
    </row>
    <row r="418" spans="1:16" ht="15" customHeight="1" x14ac:dyDescent="0.2">
      <c r="A418" s="303"/>
      <c r="B418" s="833">
        <f t="shared" si="280"/>
        <v>2.2000000000000002</v>
      </c>
      <c r="C418" s="303" t="s">
        <v>2234</v>
      </c>
      <c r="D418" s="822"/>
      <c r="E418" s="161" t="str">
        <f>+_xlfn.XLOOKUP(C418,'BASE DATOS PRECIOS '!B:B,'BASE DATOS PRECIOS '!E:E)</f>
        <v>TABLATEK TABLILLA JS 11MM 1229X2438MM A11 D76</v>
      </c>
      <c r="F418" s="322">
        <f>+'1_OG y 2_ACA'!D1553</f>
        <v>1</v>
      </c>
      <c r="G418" s="175" t="str">
        <f>+_xlfn.XLOOKUP(C418,'BASE DATOS PRECIOS '!B:B,'BASE DATOS PRECIOS '!F:F)</f>
        <v>UND</v>
      </c>
      <c r="H418" s="176">
        <f>+_xlfn.XLOOKUP(E418,'BASE DATOS PRECIOS '!E:E,'BASE DATOS PRECIOS '!H:H)</f>
        <v>25867.96</v>
      </c>
      <c r="I418" s="175"/>
      <c r="J418" s="175"/>
      <c r="K418" s="176">
        <f t="shared" ref="K418:K427" si="297">+F418*H418</f>
        <v>25867.96</v>
      </c>
      <c r="L418" s="176">
        <f t="shared" ref="L418:L427" si="298">+F418*I418</f>
        <v>0</v>
      </c>
      <c r="M418" s="176">
        <f t="shared" ref="M418:M427" si="299">+F418*J418</f>
        <v>0</v>
      </c>
      <c r="N418" s="176">
        <f t="shared" ref="N418:N427" si="300">SUM(K418:M418)</f>
        <v>25867.96</v>
      </c>
      <c r="O418" s="1083">
        <f t="shared" ref="O418:O427" si="301">SUM(K418:M418)/tc</f>
        <v>50.229048543689316</v>
      </c>
    </row>
    <row r="419" spans="1:16" ht="15" customHeight="1" x14ac:dyDescent="0.2">
      <c r="A419" s="303"/>
      <c r="B419" s="833">
        <f t="shared" si="280"/>
        <v>2.2000000000000002</v>
      </c>
      <c r="C419" s="303" t="s">
        <v>2549</v>
      </c>
      <c r="D419" s="822"/>
      <c r="E419" s="161" t="str">
        <f>+_xlfn.XLOOKUP(C419,'BASE DATOS PRECIOS '!B:B,'BASE DATOS PRECIOS '!E:E)</f>
        <v>BONDEX PLUS CERAMICA Y PORCELANATO  40KG INTACO</v>
      </c>
      <c r="F419" s="322">
        <f>+'1_OG y 2_ACA'!D1554</f>
        <v>1</v>
      </c>
      <c r="G419" s="175" t="str">
        <f>+_xlfn.XLOOKUP(C419,'BASE DATOS PRECIOS '!B:B,'BASE DATOS PRECIOS '!F:F)</f>
        <v>SACO</v>
      </c>
      <c r="H419" s="176">
        <f>+_xlfn.XLOOKUP(E419,'BASE DATOS PRECIOS '!E:E,'BASE DATOS PRECIOS '!H:H)</f>
        <v>7280.7368999999999</v>
      </c>
      <c r="I419" s="175"/>
      <c r="J419" s="175"/>
      <c r="K419" s="176">
        <f t="shared" si="297"/>
        <v>7280.7368999999999</v>
      </c>
      <c r="L419" s="176">
        <f t="shared" si="298"/>
        <v>0</v>
      </c>
      <c r="M419" s="176">
        <f t="shared" si="299"/>
        <v>0</v>
      </c>
      <c r="N419" s="176">
        <f t="shared" si="300"/>
        <v>7280.7368999999999</v>
      </c>
      <c r="O419" s="1083">
        <f t="shared" si="301"/>
        <v>14.137353203883494</v>
      </c>
    </row>
    <row r="420" spans="1:16" ht="15" customHeight="1" x14ac:dyDescent="0.2">
      <c r="A420" s="303"/>
      <c r="B420" s="833">
        <f t="shared" si="280"/>
        <v>2.2000000000000002</v>
      </c>
      <c r="C420" s="120" t="s">
        <v>2222</v>
      </c>
      <c r="D420" s="838"/>
      <c r="E420" s="161" t="str">
        <f>+_xlfn.XLOOKUP(C420,'BASE DATOS PRECIOS '!B:B,'BASE DATOS PRECIOS '!E:E)</f>
        <v>CLAVO DE IMPACTO 1" (100)</v>
      </c>
      <c r="F420" s="322">
        <f>+'1_OG y 2_ACA'!D1555</f>
        <v>2</v>
      </c>
      <c r="G420" s="184" t="str">
        <f>+_xlfn.XLOOKUP(C420,'BASE DATOS PRECIOS '!B:B,'BASE DATOS PRECIOS '!F:F)</f>
        <v>CJ</v>
      </c>
      <c r="H420" s="176">
        <f>+_xlfn.XLOOKUP(E420,'BASE DATOS PRECIOS '!E:E,'BASE DATOS PRECIOS '!G:G)</f>
        <v>1875</v>
      </c>
      <c r="I420" s="184"/>
      <c r="J420" s="184"/>
      <c r="K420" s="185">
        <f t="shared" si="297"/>
        <v>3750</v>
      </c>
      <c r="L420" s="185">
        <f t="shared" si="298"/>
        <v>0</v>
      </c>
      <c r="M420" s="185">
        <f t="shared" si="299"/>
        <v>0</v>
      </c>
      <c r="N420" s="185">
        <f t="shared" si="300"/>
        <v>3750</v>
      </c>
      <c r="O420" s="1088">
        <f t="shared" si="301"/>
        <v>7.2815533980582527</v>
      </c>
    </row>
    <row r="421" spans="1:16" ht="15" customHeight="1" x14ac:dyDescent="0.2">
      <c r="A421" s="303"/>
      <c r="B421" s="833">
        <f t="shared" si="280"/>
        <v>2.2000000000000002</v>
      </c>
      <c r="C421" s="786" t="s">
        <v>2006</v>
      </c>
      <c r="D421" s="826"/>
      <c r="E421" s="161" t="str">
        <f>+_xlfn.XLOOKUP(C421,'BASE DATOS PRECIOS '!B:B,'BASE DATOS PRECIOS '!E:E)</f>
        <v>TIRO FULMINANTE P/PISTOLA 25MM (100)</v>
      </c>
      <c r="F421" s="322">
        <f>+'1_OG y 2_ACA'!D1556</f>
        <v>2</v>
      </c>
      <c r="G421" s="184" t="str">
        <f>+_xlfn.XLOOKUP(C421,'BASE DATOS PRECIOS '!B:B,'BASE DATOS PRECIOS '!F:F)</f>
        <v>CAJA</v>
      </c>
      <c r="H421" s="176">
        <f>+_xlfn.XLOOKUP(E421,'BASE DATOS PRECIOS '!E:E,'BASE DATOS PRECIOS '!G:G)</f>
        <v>2905.24</v>
      </c>
      <c r="I421" s="184"/>
      <c r="J421" s="184"/>
      <c r="K421" s="185">
        <f t="shared" si="297"/>
        <v>5810.48</v>
      </c>
      <c r="L421" s="185">
        <f t="shared" si="298"/>
        <v>0</v>
      </c>
      <c r="M421" s="185">
        <f t="shared" si="299"/>
        <v>0</v>
      </c>
      <c r="N421" s="185">
        <f t="shared" si="300"/>
        <v>5810.48</v>
      </c>
      <c r="O421" s="1088">
        <f t="shared" si="301"/>
        <v>11.282485436893204</v>
      </c>
    </row>
    <row r="422" spans="1:16" ht="15" customHeight="1" x14ac:dyDescent="0.2">
      <c r="A422" s="1077" t="s">
        <v>2160</v>
      </c>
      <c r="B422" s="833">
        <f t="shared" si="280"/>
        <v>2.2000000000000002</v>
      </c>
      <c r="C422" s="774" t="s">
        <v>36</v>
      </c>
      <c r="D422" s="210"/>
      <c r="E422" s="211" t="str">
        <f>+_xlfn.XLOOKUP(C422,'BASE DATOS MANO DE OBRA'!A:A,'BASE DATOS MANO DE OBRA'!B:B)</f>
        <v xml:space="preserve">OPERARIO PLUS </v>
      </c>
      <c r="F422" s="212">
        <f>+ROUNDUP('1_OG y 2_ACA'!F1540,0)/2</f>
        <v>24</v>
      </c>
      <c r="G422" s="213" t="str">
        <f>+_xlfn.XLOOKUP(C422,'BASE DATOS MANO DE OBRA'!A:A,'BASE DATOS MANO DE OBRA'!C:C)</f>
        <v xml:space="preserve">hora </v>
      </c>
      <c r="H422" s="214">
        <v>0</v>
      </c>
      <c r="I422" s="214">
        <f>+_xlfn.XLOOKUP(C422,'BASE DATOS MANO DE OBRA'!A:A,'BASE DATOS MANO DE OBRA'!E:E)</f>
        <v>2850</v>
      </c>
      <c r="J422" s="214">
        <v>0</v>
      </c>
      <c r="K422" s="214">
        <f t="shared" si="297"/>
        <v>0</v>
      </c>
      <c r="L422" s="214">
        <f t="shared" si="298"/>
        <v>68400</v>
      </c>
      <c r="M422" s="214">
        <f t="shared" si="299"/>
        <v>0</v>
      </c>
      <c r="N422" s="214">
        <f t="shared" si="300"/>
        <v>68400</v>
      </c>
      <c r="O422" s="1086">
        <f t="shared" si="301"/>
        <v>132.81553398058253</v>
      </c>
    </row>
    <row r="423" spans="1:16" ht="15" customHeight="1" x14ac:dyDescent="0.2">
      <c r="A423" s="1077" t="s">
        <v>2160</v>
      </c>
      <c r="B423" s="833">
        <f t="shared" si="280"/>
        <v>2.2000000000000002</v>
      </c>
      <c r="C423" s="774" t="s">
        <v>37</v>
      </c>
      <c r="D423" s="210"/>
      <c r="E423" s="211" t="str">
        <f>+_xlfn.XLOOKUP(C423,'BASE DATOS MANO DE OBRA'!A:A,'BASE DATOS MANO DE OBRA'!B:B)</f>
        <v xml:space="preserve">AYUDANTE PLUS </v>
      </c>
      <c r="F423" s="212">
        <f>+F422</f>
        <v>24</v>
      </c>
      <c r="G423" s="213" t="str">
        <f>+_xlfn.XLOOKUP(C423,'BASE DATOS MANO DE OBRA'!A:A,'BASE DATOS MANO DE OBRA'!C:C)</f>
        <v xml:space="preserve">hora </v>
      </c>
      <c r="H423" s="214">
        <v>0</v>
      </c>
      <c r="I423" s="214">
        <f>+_xlfn.XLOOKUP(C423,'BASE DATOS MANO DE OBRA'!A:A,'BASE DATOS MANO DE OBRA'!E:E)</f>
        <v>2325</v>
      </c>
      <c r="J423" s="214">
        <v>0</v>
      </c>
      <c r="K423" s="214">
        <f t="shared" si="297"/>
        <v>0</v>
      </c>
      <c r="L423" s="214">
        <f t="shared" si="298"/>
        <v>55800</v>
      </c>
      <c r="M423" s="214">
        <f t="shared" si="299"/>
        <v>0</v>
      </c>
      <c r="N423" s="214">
        <f t="shared" si="300"/>
        <v>55800</v>
      </c>
      <c r="O423" s="1086">
        <f t="shared" si="301"/>
        <v>108.34951456310679</v>
      </c>
    </row>
    <row r="424" spans="1:16" ht="15" customHeight="1" x14ac:dyDescent="0.2">
      <c r="A424" s="1077" t="s">
        <v>2161</v>
      </c>
      <c r="B424" s="833">
        <f t="shared" si="280"/>
        <v>2.2000000000000002</v>
      </c>
      <c r="C424" s="774" t="s">
        <v>36</v>
      </c>
      <c r="D424" s="210"/>
      <c r="E424" s="211" t="str">
        <f>+_xlfn.XLOOKUP(C424,'BASE DATOS MANO DE OBRA'!A:A,'BASE DATOS MANO DE OBRA'!B:B)</f>
        <v xml:space="preserve">OPERARIO PLUS </v>
      </c>
      <c r="F424" s="212">
        <f>+ROUNDUP('1_OG y 2_ACA'!F1541,0)/2</f>
        <v>3</v>
      </c>
      <c r="G424" s="213" t="str">
        <f>+_xlfn.XLOOKUP(C424,'BASE DATOS MANO DE OBRA'!A:A,'BASE DATOS MANO DE OBRA'!C:C)</f>
        <v xml:space="preserve">hora </v>
      </c>
      <c r="H424" s="214">
        <v>0</v>
      </c>
      <c r="I424" s="214">
        <f>+_xlfn.XLOOKUP(C424,'BASE DATOS MANO DE OBRA'!A:A,'BASE DATOS MANO DE OBRA'!E:E)</f>
        <v>2850</v>
      </c>
      <c r="J424" s="214">
        <v>0</v>
      </c>
      <c r="K424" s="214">
        <f t="shared" si="297"/>
        <v>0</v>
      </c>
      <c r="L424" s="214">
        <f t="shared" si="298"/>
        <v>8550</v>
      </c>
      <c r="M424" s="214">
        <f t="shared" si="299"/>
        <v>0</v>
      </c>
      <c r="N424" s="214">
        <f t="shared" si="300"/>
        <v>8550</v>
      </c>
      <c r="O424" s="1086">
        <f t="shared" si="301"/>
        <v>16.601941747572816</v>
      </c>
    </row>
    <row r="425" spans="1:16" ht="15" customHeight="1" x14ac:dyDescent="0.2">
      <c r="A425" s="1077" t="s">
        <v>2161</v>
      </c>
      <c r="B425" s="833">
        <f t="shared" si="280"/>
        <v>2.2000000000000002</v>
      </c>
      <c r="C425" s="774" t="s">
        <v>37</v>
      </c>
      <c r="D425" s="210"/>
      <c r="E425" s="211" t="str">
        <f>+_xlfn.XLOOKUP(C425,'BASE DATOS MANO DE OBRA'!A:A,'BASE DATOS MANO DE OBRA'!B:B)</f>
        <v xml:space="preserve">AYUDANTE PLUS </v>
      </c>
      <c r="F425" s="212">
        <f>+F424</f>
        <v>3</v>
      </c>
      <c r="G425" s="213" t="str">
        <f>+_xlfn.XLOOKUP(C425,'BASE DATOS MANO DE OBRA'!A:A,'BASE DATOS MANO DE OBRA'!C:C)</f>
        <v xml:space="preserve">hora </v>
      </c>
      <c r="H425" s="214">
        <v>0</v>
      </c>
      <c r="I425" s="214">
        <f>+_xlfn.XLOOKUP(C425,'BASE DATOS MANO DE OBRA'!A:A,'BASE DATOS MANO DE OBRA'!E:E)</f>
        <v>2325</v>
      </c>
      <c r="J425" s="214">
        <v>0</v>
      </c>
      <c r="K425" s="214">
        <f t="shared" si="297"/>
        <v>0</v>
      </c>
      <c r="L425" s="214">
        <f t="shared" si="298"/>
        <v>6975</v>
      </c>
      <c r="M425" s="214">
        <f t="shared" si="299"/>
        <v>0</v>
      </c>
      <c r="N425" s="214">
        <f t="shared" si="300"/>
        <v>6975</v>
      </c>
      <c r="O425" s="1086">
        <f t="shared" si="301"/>
        <v>13.543689320388349</v>
      </c>
    </row>
    <row r="426" spans="1:16" ht="15" customHeight="1" x14ac:dyDescent="0.2">
      <c r="A426" s="1077" t="s">
        <v>2160</v>
      </c>
      <c r="B426" s="833">
        <f t="shared" si="280"/>
        <v>2.2000000000000002</v>
      </c>
      <c r="C426" s="774" t="s">
        <v>36</v>
      </c>
      <c r="D426" s="210"/>
      <c r="E426" s="211" t="str">
        <f>+_xlfn.XLOOKUP(C426,'BASE DATOS MANO DE OBRA'!A:A,'BASE DATOS MANO DE OBRA'!B:B)</f>
        <v xml:space="preserve">OPERARIO PLUS </v>
      </c>
      <c r="F426" s="212">
        <f>+ROUNDUP('1_OG y 2_ACA'!F1542,0)/2</f>
        <v>94</v>
      </c>
      <c r="G426" s="213" t="str">
        <f>+_xlfn.XLOOKUP(C426,'BASE DATOS MANO DE OBRA'!A:A,'BASE DATOS MANO DE OBRA'!C:C)</f>
        <v xml:space="preserve">hora </v>
      </c>
      <c r="H426" s="214">
        <v>0</v>
      </c>
      <c r="I426" s="214">
        <f>+_xlfn.XLOOKUP(C426,'BASE DATOS MANO DE OBRA'!A:A,'BASE DATOS MANO DE OBRA'!E:E)</f>
        <v>2850</v>
      </c>
      <c r="J426" s="214">
        <v>0</v>
      </c>
      <c r="K426" s="214">
        <f t="shared" si="297"/>
        <v>0</v>
      </c>
      <c r="L426" s="214">
        <f t="shared" si="298"/>
        <v>267900</v>
      </c>
      <c r="M426" s="214">
        <f t="shared" si="299"/>
        <v>0</v>
      </c>
      <c r="N426" s="214">
        <f t="shared" si="300"/>
        <v>267900</v>
      </c>
      <c r="O426" s="1086">
        <f t="shared" si="301"/>
        <v>520.19417475728153</v>
      </c>
    </row>
    <row r="427" spans="1:16" ht="15" customHeight="1" x14ac:dyDescent="0.2">
      <c r="A427" s="1077" t="s">
        <v>2160</v>
      </c>
      <c r="B427" s="833">
        <f t="shared" si="280"/>
        <v>2.2000000000000002</v>
      </c>
      <c r="C427" s="774" t="s">
        <v>37</v>
      </c>
      <c r="D427" s="210"/>
      <c r="E427" s="211" t="str">
        <f>+_xlfn.XLOOKUP(C427,'BASE DATOS MANO DE OBRA'!A:A,'BASE DATOS MANO DE OBRA'!B:B)</f>
        <v xml:space="preserve">AYUDANTE PLUS </v>
      </c>
      <c r="F427" s="212">
        <f>+F426</f>
        <v>94</v>
      </c>
      <c r="G427" s="213" t="str">
        <f>+_xlfn.XLOOKUP(C427,'BASE DATOS MANO DE OBRA'!A:A,'BASE DATOS MANO DE OBRA'!C:C)</f>
        <v xml:space="preserve">hora </v>
      </c>
      <c r="H427" s="214">
        <v>0</v>
      </c>
      <c r="I427" s="214">
        <f>+_xlfn.XLOOKUP(C427,'BASE DATOS MANO DE OBRA'!A:A,'BASE DATOS MANO DE OBRA'!E:E)</f>
        <v>2325</v>
      </c>
      <c r="J427" s="214">
        <v>0</v>
      </c>
      <c r="K427" s="214">
        <f t="shared" si="297"/>
        <v>0</v>
      </c>
      <c r="L427" s="214">
        <f t="shared" si="298"/>
        <v>218550</v>
      </c>
      <c r="M427" s="214">
        <f t="shared" si="299"/>
        <v>0</v>
      </c>
      <c r="N427" s="214">
        <f t="shared" si="300"/>
        <v>218550</v>
      </c>
      <c r="O427" s="1086">
        <f t="shared" si="301"/>
        <v>424.36893203883494</v>
      </c>
    </row>
    <row r="428" spans="1:16" ht="15" customHeight="1" x14ac:dyDescent="0.2">
      <c r="A428" s="303"/>
      <c r="B428" s="833">
        <f t="shared" si="280"/>
        <v>2.2999999999999998</v>
      </c>
      <c r="C428" s="779" t="s">
        <v>1359</v>
      </c>
      <c r="D428" s="440"/>
      <c r="E428" s="441" t="s">
        <v>1934</v>
      </c>
      <c r="F428" s="446">
        <v>1</v>
      </c>
      <c r="G428" s="440" t="s">
        <v>271</v>
      </c>
      <c r="H428" s="440"/>
      <c r="I428" s="440"/>
      <c r="J428" s="440"/>
      <c r="K428" s="447">
        <f>+SUBTOTAL(9,K429:K464)</f>
        <v>1712880.1179159994</v>
      </c>
      <c r="L428" s="447">
        <f>+SUBTOTAL(9,L429:L464)</f>
        <v>1198012.5</v>
      </c>
      <c r="M428" s="447">
        <f>+SUBTOTAL(9,M429:M464)</f>
        <v>0</v>
      </c>
      <c r="N428" s="447">
        <f>+SUBTOTAL(9,N429:N464)</f>
        <v>2910892.6179160001</v>
      </c>
      <c r="O428" s="1081">
        <f>+SUBTOTAL(9,O429:O464)</f>
        <v>5652.2186755650482</v>
      </c>
    </row>
    <row r="429" spans="1:16" s="49" customFormat="1" ht="18.600000000000001" customHeight="1" x14ac:dyDescent="0.2">
      <c r="A429" s="303"/>
      <c r="B429" s="833">
        <f t="shared" si="280"/>
        <v>2.2999999999999998</v>
      </c>
      <c r="C429" s="770" t="s">
        <v>2064</v>
      </c>
      <c r="D429" s="453"/>
      <c r="E429" s="454" t="s">
        <v>1904</v>
      </c>
      <c r="F429" s="455">
        <f>+'1_OG y 2_ACA'!D1572</f>
        <v>538.38249999999994</v>
      </c>
      <c r="G429" s="453" t="s">
        <v>137</v>
      </c>
      <c r="H429" s="453"/>
      <c r="I429" s="453"/>
      <c r="J429" s="453"/>
      <c r="K429" s="456">
        <f>+SUBTOTAL(9,K430:K451)</f>
        <v>747985.03941599978</v>
      </c>
      <c r="L429" s="456">
        <f>+SUBTOTAL(9,L430:L451)</f>
        <v>773662.5</v>
      </c>
      <c r="M429" s="456">
        <f>+SUBTOTAL(9,M430:M451)</f>
        <v>0</v>
      </c>
      <c r="N429" s="456">
        <f>+SUBTOTAL(9,N430:N451)</f>
        <v>1521647.5394159998</v>
      </c>
      <c r="O429" s="1082">
        <f>+SUBTOTAL(9,O430:O451)</f>
        <v>2954.6554163417472</v>
      </c>
      <c r="P429" s="416"/>
    </row>
    <row r="430" spans="1:16" ht="15" customHeight="1" x14ac:dyDescent="0.2">
      <c r="A430" s="303"/>
      <c r="B430" s="833">
        <f t="shared" si="280"/>
        <v>2.2999999999999998</v>
      </c>
      <c r="C430" s="303" t="s">
        <v>2235</v>
      </c>
      <c r="D430" s="822"/>
      <c r="E430" s="161" t="str">
        <f>+_xlfn.XLOOKUP(C430,'BASE DATOS PRECIOS '!B:B,'BASE DATOS PRECIOS '!E:E)</f>
        <v>PINTURA INTERIOR FIBROCENTRO</v>
      </c>
      <c r="F430" s="174">
        <f>+'1_OG y 2_ACA'!G1567</f>
        <v>5</v>
      </c>
      <c r="G430" s="175" t="str">
        <f>+_xlfn.XLOOKUP(C430,'BASE DATOS PRECIOS '!B:B,'BASE DATOS PRECIOS '!F:F)</f>
        <v>CUBETA</v>
      </c>
      <c r="H430" s="176">
        <f>+_xlfn.XLOOKUP(E430,'BASE DATOS PRECIOS '!E:E,'BASE DATOS PRECIOS '!H:H)</f>
        <v>44999.993728999994</v>
      </c>
      <c r="I430" s="175"/>
      <c r="J430" s="175"/>
      <c r="K430" s="176">
        <f t="shared" ref="K430:K451" si="302">+F430*H430</f>
        <v>224999.96864499996</v>
      </c>
      <c r="L430" s="176">
        <f t="shared" ref="L430:L451" si="303">+F430*I430</f>
        <v>0</v>
      </c>
      <c r="M430" s="176">
        <f t="shared" ref="M430:M451" si="304">+F430*J430</f>
        <v>0</v>
      </c>
      <c r="N430" s="176">
        <f t="shared" ref="N430:N451" si="305">SUM(K430:M430)</f>
        <v>224999.96864499996</v>
      </c>
      <c r="O430" s="1083">
        <f t="shared" ref="O430:O451" si="306">SUM(K430:M430)/tc</f>
        <v>436.8931429999999</v>
      </c>
    </row>
    <row r="431" spans="1:16" ht="15" customHeight="1" x14ac:dyDescent="0.2">
      <c r="A431" s="303"/>
      <c r="B431" s="833">
        <f t="shared" si="280"/>
        <v>2.2999999999999998</v>
      </c>
      <c r="C431" s="303" t="s">
        <v>2236</v>
      </c>
      <c r="D431" s="822" t="s">
        <v>140</v>
      </c>
      <c r="E431" s="161" t="str">
        <f>+_xlfn.XLOOKUP(C431,'BASE DATOS PRECIOS '!B:B,'BASE DATOS PRECIOS '!E:E)</f>
        <v>PINTURA SEAL COAT CUBETA</v>
      </c>
      <c r="F431" s="174">
        <f>'1_OG y 2_ACA'!G1568</f>
        <v>4</v>
      </c>
      <c r="G431" s="175" t="str">
        <f>+_xlfn.XLOOKUP(C431,'BASE DATOS PRECIOS '!B:B,'BASE DATOS PRECIOS '!F:F)</f>
        <v>CUBETA</v>
      </c>
      <c r="H431" s="176">
        <f>+_xlfn.XLOOKUP(E431,'BASE DATOS PRECIOS '!E:E,'BASE DATOS PRECIOS '!H:H)</f>
        <v>73043.199999999997</v>
      </c>
      <c r="I431" s="175"/>
      <c r="J431" s="175"/>
      <c r="K431" s="176">
        <f t="shared" si="302"/>
        <v>292172.79999999999</v>
      </c>
      <c r="L431" s="176">
        <f t="shared" si="303"/>
        <v>0</v>
      </c>
      <c r="M431" s="176">
        <f t="shared" si="304"/>
        <v>0</v>
      </c>
      <c r="N431" s="176">
        <f t="shared" si="305"/>
        <v>292172.79999999999</v>
      </c>
      <c r="O431" s="1083">
        <f t="shared" si="306"/>
        <v>567.32582524271845</v>
      </c>
    </row>
    <row r="432" spans="1:16" ht="15" customHeight="1" x14ac:dyDescent="0.2">
      <c r="A432" s="303"/>
      <c r="B432" s="833">
        <f t="shared" ref="B432" si="307">VALUE(IF(AND(LEN(TRIM(C432))-LEN(SUBSTITUTE(TRIM(C432),".",""))=1,ISNUMBER(VALUE(SUBSTITUTE(TRIM(C432),".","")))),TRIM(C432),B431))</f>
        <v>2.2999999999999998</v>
      </c>
      <c r="C432" s="303" t="s">
        <v>2236</v>
      </c>
      <c r="D432" s="822" t="s">
        <v>3547</v>
      </c>
      <c r="E432" s="161" t="str">
        <f>+_xlfn.XLOOKUP(C432,'BASE DATOS PRECIOS '!B:B,'BASE DATOS PRECIOS '!E:E)</f>
        <v>PINTURA SEAL COAT CUBETA</v>
      </c>
      <c r="F432" s="174">
        <f>'1_OG y 2_ACA'!G1569</f>
        <v>0</v>
      </c>
      <c r="G432" s="175" t="str">
        <f>+_xlfn.XLOOKUP(C432,'BASE DATOS PRECIOS '!B:B,'BASE DATOS PRECIOS '!F:F)</f>
        <v>CUBETA</v>
      </c>
      <c r="H432" s="176">
        <f>+_xlfn.XLOOKUP(E432,'BASE DATOS PRECIOS '!E:E,'BASE DATOS PRECIOS '!H:H)</f>
        <v>73043.199999999997</v>
      </c>
      <c r="I432" s="175"/>
      <c r="J432" s="175"/>
      <c r="K432" s="176">
        <f t="shared" ref="K432" si="308">+F432*H432</f>
        <v>0</v>
      </c>
      <c r="L432" s="176">
        <f t="shared" ref="L432" si="309">+F432*I432</f>
        <v>0</v>
      </c>
      <c r="M432" s="176">
        <f t="shared" ref="M432" si="310">+F432*J432</f>
        <v>0</v>
      </c>
      <c r="N432" s="176">
        <f t="shared" ref="N432" si="311">SUM(K432:M432)</f>
        <v>0</v>
      </c>
      <c r="O432" s="1083">
        <f t="shared" ref="O432" si="312">SUM(K432:M432)/tc</f>
        <v>0</v>
      </c>
    </row>
    <row r="433" spans="1:15" ht="15" customHeight="1" x14ac:dyDescent="0.2">
      <c r="A433" s="303"/>
      <c r="B433" s="833">
        <f t="shared" ref="B433" si="313">VALUE(IF(AND(LEN(TRIM(C433))-LEN(SUBSTITUTE(TRIM(C433),".",""))=1,ISNUMBER(VALUE(SUBSTITUTE(TRIM(C433),".","")))),TRIM(C433),B432))</f>
        <v>2.2999999999999998</v>
      </c>
      <c r="C433" s="303" t="s">
        <v>2236</v>
      </c>
      <c r="D433" s="822" t="s">
        <v>3548</v>
      </c>
      <c r="E433" s="161" t="str">
        <f>+_xlfn.XLOOKUP(C433,'BASE DATOS PRECIOS '!B:B,'BASE DATOS PRECIOS '!E:E)</f>
        <v>PINTURA SEAL COAT CUBETA</v>
      </c>
      <c r="F433" s="174">
        <f>'1_OG y 2_ACA'!G1570</f>
        <v>0</v>
      </c>
      <c r="G433" s="175" t="str">
        <f>+_xlfn.XLOOKUP(C433,'BASE DATOS PRECIOS '!B:B,'BASE DATOS PRECIOS '!F:F)</f>
        <v>CUBETA</v>
      </c>
      <c r="H433" s="176">
        <f>+_xlfn.XLOOKUP(E433,'BASE DATOS PRECIOS '!E:E,'BASE DATOS PRECIOS '!H:H)</f>
        <v>73043.199999999997</v>
      </c>
      <c r="I433" s="175"/>
      <c r="J433" s="175"/>
      <c r="K433" s="176">
        <f t="shared" ref="K433" si="314">+F433*H433</f>
        <v>0</v>
      </c>
      <c r="L433" s="176">
        <f t="shared" ref="L433" si="315">+F433*I433</f>
        <v>0</v>
      </c>
      <c r="M433" s="176">
        <f t="shared" ref="M433" si="316">+F433*J433</f>
        <v>0</v>
      </c>
      <c r="N433" s="176">
        <f t="shared" ref="N433" si="317">SUM(K433:M433)</f>
        <v>0</v>
      </c>
      <c r="O433" s="1083">
        <f t="shared" ref="O433" si="318">SUM(K433:M433)/tc</f>
        <v>0</v>
      </c>
    </row>
    <row r="434" spans="1:15" ht="15" customHeight="1" x14ac:dyDescent="0.2">
      <c r="A434" s="303"/>
      <c r="B434" s="833">
        <f t="shared" ref="B434" si="319">VALUE(IF(AND(LEN(TRIM(C434))-LEN(SUBSTITUTE(TRIM(C434),".",""))=1,ISNUMBER(VALUE(SUBSTITUTE(TRIM(C434),".","")))),TRIM(C434),B433))</f>
        <v>2.2999999999999998</v>
      </c>
      <c r="C434" s="303" t="s">
        <v>2237</v>
      </c>
      <c r="D434" s="822"/>
      <c r="E434" s="161" t="str">
        <f>+_xlfn.XLOOKUP(C434,'BASE DATOS PRECIOS '!B:B,'BASE DATOS PRECIOS '!E:E)</f>
        <v>PINTURA SUPER COAT CUBETA</v>
      </c>
      <c r="F434" s="174">
        <f>'1_OG y 2_ACA'!G1571</f>
        <v>1</v>
      </c>
      <c r="G434" s="175" t="str">
        <f>+_xlfn.XLOOKUP(C434,'BASE DATOS PRECIOS '!B:B,'BASE DATOS PRECIOS '!F:F)</f>
        <v>CUBETA</v>
      </c>
      <c r="H434" s="176">
        <f>+_xlfn.XLOOKUP(E434,'BASE DATOS PRECIOS '!E:E,'BASE DATOS PRECIOS '!H:H)</f>
        <v>79640.004399999991</v>
      </c>
      <c r="I434" s="175"/>
      <c r="J434" s="175"/>
      <c r="K434" s="176">
        <f t="shared" ref="K434" si="320">+F434*H434</f>
        <v>79640.004399999991</v>
      </c>
      <c r="L434" s="176">
        <f t="shared" ref="L434" si="321">+F434*I434</f>
        <v>0</v>
      </c>
      <c r="M434" s="176">
        <f t="shared" ref="M434" si="322">+F434*J434</f>
        <v>0</v>
      </c>
      <c r="N434" s="176">
        <f t="shared" ref="N434" si="323">SUM(K434:M434)</f>
        <v>79640.004399999991</v>
      </c>
      <c r="O434" s="1083">
        <f t="shared" ref="O434" si="324">SUM(K434:M434)/tc</f>
        <v>154.64078524271844</v>
      </c>
    </row>
    <row r="435" spans="1:15" ht="15" customHeight="1" x14ac:dyDescent="0.2">
      <c r="A435" s="303"/>
      <c r="B435" s="833">
        <f>VALUE(IF(AND(LEN(TRIM(C435))-LEN(SUBSTITUTE(TRIM(C435),".",""))=1,ISNUMBER(VALUE(SUBSTITUTE(TRIM(C435),".","")))),TRIM(C435),B431))</f>
        <v>2.2999999999999998</v>
      </c>
      <c r="C435" s="303" t="s">
        <v>1935</v>
      </c>
      <c r="D435" s="822"/>
      <c r="E435" s="161" t="str">
        <f>+_xlfn.XLOOKUP(C435,'BASE DATOS PRECIOS '!B:B,'BASE DATOS PRECIOS '!E:E)</f>
        <v>LIJA DE AGUA #180</v>
      </c>
      <c r="F435" s="174">
        <f>ROUND('1_OG y 2_ACA'!D1574,0)</f>
        <v>9</v>
      </c>
      <c r="G435" s="175" t="str">
        <f>+_xlfn.XLOOKUP(C435,'BASE DATOS PRECIOS '!B:B,'BASE DATOS PRECIOS '!F:F)</f>
        <v>UND</v>
      </c>
      <c r="H435" s="176">
        <f>+_xlfn.XLOOKUP(E435,'BASE DATOS PRECIOS '!E:E,'BASE DATOS PRECIOS '!H:H)</f>
        <v>324.99930000000001</v>
      </c>
      <c r="I435" s="175"/>
      <c r="J435" s="175"/>
      <c r="K435" s="176">
        <f t="shared" si="302"/>
        <v>2924.9937</v>
      </c>
      <c r="L435" s="176">
        <f t="shared" si="303"/>
        <v>0</v>
      </c>
      <c r="M435" s="176">
        <f t="shared" si="304"/>
        <v>0</v>
      </c>
      <c r="N435" s="176">
        <f t="shared" si="305"/>
        <v>2924.9937</v>
      </c>
      <c r="O435" s="1083">
        <f t="shared" si="306"/>
        <v>5.6795994174757283</v>
      </c>
    </row>
    <row r="436" spans="1:15" ht="15" customHeight="1" x14ac:dyDescent="0.2">
      <c r="A436" s="303"/>
      <c r="B436" s="833">
        <f t="shared" si="280"/>
        <v>2.2999999999999998</v>
      </c>
      <c r="C436" s="303" t="s">
        <v>1936</v>
      </c>
      <c r="D436" s="822"/>
      <c r="E436" s="161" t="str">
        <f>+_xlfn.XLOOKUP(C436,'BASE DATOS PRECIOS '!B:B,'BASE DATOS PRECIOS '!E:E)</f>
        <v>DURETAN BLANCO</v>
      </c>
      <c r="F436" s="174">
        <f>+'1_OG y 2_ACA'!D1575</f>
        <v>1</v>
      </c>
      <c r="G436" s="175" t="str">
        <f>+_xlfn.XLOOKUP(C436,'BASE DATOS PRECIOS '!B:B,'BASE DATOS PRECIOS '!F:F)</f>
        <v>CARTUCHO</v>
      </c>
      <c r="H436" s="176">
        <f>+_xlfn.XLOOKUP(E436,'BASE DATOS PRECIOS '!E:E,'BASE DATOS PRECIOS '!H:H)</f>
        <v>4746.8135999999995</v>
      </c>
      <c r="I436" s="175"/>
      <c r="J436" s="175"/>
      <c r="K436" s="176">
        <f t="shared" si="302"/>
        <v>4746.8135999999995</v>
      </c>
      <c r="L436" s="176">
        <f t="shared" si="303"/>
        <v>0</v>
      </c>
      <c r="M436" s="176">
        <f t="shared" si="304"/>
        <v>0</v>
      </c>
      <c r="N436" s="176">
        <f t="shared" si="305"/>
        <v>4746.8135999999995</v>
      </c>
      <c r="O436" s="1083">
        <f t="shared" si="306"/>
        <v>9.2171137864077668</v>
      </c>
    </row>
    <row r="437" spans="1:15" ht="15" customHeight="1" x14ac:dyDescent="0.2">
      <c r="A437" s="303"/>
      <c r="B437" s="833">
        <f t="shared" si="280"/>
        <v>2.2999999999999998</v>
      </c>
      <c r="C437" s="303" t="s">
        <v>2238</v>
      </c>
      <c r="D437" s="822"/>
      <c r="E437" s="161" t="str">
        <f>+_xlfn.XLOOKUP(C437,'BASE DATOS PRECIOS '!B:B,'BASE DATOS PRECIOS '!E:E)</f>
        <v>SILICON PINTABLE</v>
      </c>
      <c r="F437" s="174">
        <f>+'1_OG y 2_ACA'!D1576</f>
        <v>2</v>
      </c>
      <c r="G437" s="175" t="str">
        <f>+_xlfn.XLOOKUP(C437,'BASE DATOS PRECIOS '!B:B,'BASE DATOS PRECIOS '!F:F)</f>
        <v>UND</v>
      </c>
      <c r="H437" s="176">
        <f>+_xlfn.XLOOKUP(E437,'BASE DATOS PRECIOS '!E:E,'BASE DATOS PRECIOS '!H:H)</f>
        <v>2839.4978999999998</v>
      </c>
      <c r="I437" s="175"/>
      <c r="J437" s="175"/>
      <c r="K437" s="176">
        <f t="shared" si="302"/>
        <v>5678.9957999999997</v>
      </c>
      <c r="L437" s="176">
        <f t="shared" si="303"/>
        <v>0</v>
      </c>
      <c r="M437" s="176">
        <f t="shared" si="304"/>
        <v>0</v>
      </c>
      <c r="N437" s="176">
        <f t="shared" si="305"/>
        <v>5678.9957999999997</v>
      </c>
      <c r="O437" s="1083">
        <f t="shared" si="306"/>
        <v>11.027176310679611</v>
      </c>
    </row>
    <row r="438" spans="1:15" ht="15" customHeight="1" x14ac:dyDescent="0.2">
      <c r="A438" s="303"/>
      <c r="B438" s="833">
        <f t="shared" si="280"/>
        <v>2.2999999999999998</v>
      </c>
      <c r="C438" s="303" t="s">
        <v>2182</v>
      </c>
      <c r="D438" s="822"/>
      <c r="E438" s="161" t="str">
        <f>+_xlfn.XLOOKUP(C438,'BASE DATOS PRECIOS '!B:B,'BASE DATOS PRECIOS '!E:E)</f>
        <v>MECHA BLANCA</v>
      </c>
      <c r="F438" s="174">
        <f>+'1_OG y 2_ACA'!D1577</f>
        <v>2</v>
      </c>
      <c r="G438" s="175" t="str">
        <f>+_xlfn.XLOOKUP(C438,'BASE DATOS PRECIOS '!B:B,'BASE DATOS PRECIOS '!F:F)</f>
        <v>KG</v>
      </c>
      <c r="H438" s="176">
        <f>+_xlfn.XLOOKUP(E438,'BASE DATOS PRECIOS '!E:E,'BASE DATOS PRECIOS '!H:H)</f>
        <v>4338.0021999999999</v>
      </c>
      <c r="I438" s="175"/>
      <c r="J438" s="175"/>
      <c r="K438" s="176">
        <f t="shared" si="302"/>
        <v>8676.0043999999998</v>
      </c>
      <c r="L438" s="176">
        <f t="shared" si="303"/>
        <v>0</v>
      </c>
      <c r="M438" s="176">
        <f t="shared" si="304"/>
        <v>0</v>
      </c>
      <c r="N438" s="176">
        <f t="shared" si="305"/>
        <v>8676.0043999999998</v>
      </c>
      <c r="O438" s="1083">
        <f t="shared" si="306"/>
        <v>16.846610485436894</v>
      </c>
    </row>
    <row r="439" spans="1:15" ht="15" customHeight="1" x14ac:dyDescent="0.2">
      <c r="A439" s="303"/>
      <c r="B439" s="833">
        <f t="shared" si="280"/>
        <v>2.2999999999999998</v>
      </c>
      <c r="C439" s="303" t="s">
        <v>2201</v>
      </c>
      <c r="D439" s="822"/>
      <c r="E439" s="161" t="str">
        <f>+_xlfn.XLOOKUP(C439,'BASE DATOS PRECIOS '!B:B,'BASE DATOS PRECIOS '!E:E)</f>
        <v>THINNER INDUSTRIAL</v>
      </c>
      <c r="F439" s="174">
        <f>+'1_OG y 2_ACA'!D1578</f>
        <v>3</v>
      </c>
      <c r="G439" s="175" t="str">
        <f>+_xlfn.XLOOKUP(C439,'BASE DATOS PRECIOS '!B:B,'BASE DATOS PRECIOS '!F:F)</f>
        <v>GALON</v>
      </c>
      <c r="H439" s="176">
        <f>+_xlfn.XLOOKUP(E439,'BASE DATOS PRECIOS '!E:E,'BASE DATOS PRECIOS '!H:H)</f>
        <v>6464.999957</v>
      </c>
      <c r="I439" s="175"/>
      <c r="J439" s="175"/>
      <c r="K439" s="176">
        <f t="shared" si="302"/>
        <v>19394.999871</v>
      </c>
      <c r="L439" s="176">
        <f t="shared" si="303"/>
        <v>0</v>
      </c>
      <c r="M439" s="176">
        <f t="shared" si="304"/>
        <v>0</v>
      </c>
      <c r="N439" s="176">
        <f t="shared" si="305"/>
        <v>19394.999871</v>
      </c>
      <c r="O439" s="1083">
        <f t="shared" si="306"/>
        <v>37.660193924271844</v>
      </c>
    </row>
    <row r="440" spans="1:15" ht="15" customHeight="1" x14ac:dyDescent="0.2">
      <c r="A440" s="303"/>
      <c r="B440" s="833">
        <f t="shared" si="280"/>
        <v>2.2999999999999998</v>
      </c>
      <c r="C440" s="303" t="s">
        <v>1937</v>
      </c>
      <c r="D440" s="822"/>
      <c r="E440" s="161" t="str">
        <f>+_xlfn.XLOOKUP(C440,'BASE DATOS PRECIOS '!B:B,'BASE DATOS PRECIOS '!E:E)</f>
        <v>PINTURA SUPER DRY GALON</v>
      </c>
      <c r="F440" s="174">
        <f>+'1_OG y 2_ACA'!D1579</f>
        <v>1</v>
      </c>
      <c r="G440" s="175" t="str">
        <f>+_xlfn.XLOOKUP(C440,'BASE DATOS PRECIOS '!B:B,'BASE DATOS PRECIOS '!F:F)</f>
        <v>GALON</v>
      </c>
      <c r="H440" s="176">
        <f>+_xlfn.XLOOKUP(E440,'BASE DATOS PRECIOS '!E:E,'BASE DATOS PRECIOS '!H:H)</f>
        <v>24555.9961</v>
      </c>
      <c r="I440" s="175"/>
      <c r="J440" s="175"/>
      <c r="K440" s="176">
        <f t="shared" si="302"/>
        <v>24555.9961</v>
      </c>
      <c r="L440" s="176">
        <f t="shared" si="303"/>
        <v>0</v>
      </c>
      <c r="M440" s="176">
        <f t="shared" si="304"/>
        <v>0</v>
      </c>
      <c r="N440" s="176">
        <f t="shared" si="305"/>
        <v>24555.9961</v>
      </c>
      <c r="O440" s="1083">
        <f t="shared" si="306"/>
        <v>47.681545825242722</v>
      </c>
    </row>
    <row r="441" spans="1:15" ht="15" customHeight="1" x14ac:dyDescent="0.2">
      <c r="A441" s="303"/>
      <c r="B441" s="833">
        <f t="shared" si="280"/>
        <v>2.2999999999999998</v>
      </c>
      <c r="C441" s="303" t="s">
        <v>1938</v>
      </c>
      <c r="D441" s="822"/>
      <c r="E441" s="161" t="str">
        <f>+_xlfn.XLOOKUP(C441,'BASE DATOS PRECIOS '!B:B,'BASE DATOS PRECIOS '!E:E)</f>
        <v>BROCHA CORRIENTE 2"</v>
      </c>
      <c r="F441" s="174">
        <f>ROUND('1_OG y 2_ACA'!D1580,0)</f>
        <v>3</v>
      </c>
      <c r="G441" s="175" t="str">
        <f>+_xlfn.XLOOKUP(C441,'BASE DATOS PRECIOS '!B:B,'BASE DATOS PRECIOS '!F:F)</f>
        <v>UND</v>
      </c>
      <c r="H441" s="176">
        <f>+_xlfn.XLOOKUP(E441,'BASE DATOS PRECIOS '!E:E,'BASE DATOS PRECIOS '!H:H)</f>
        <v>1425.0090999999998</v>
      </c>
      <c r="I441" s="175"/>
      <c r="J441" s="175"/>
      <c r="K441" s="176">
        <f t="shared" si="302"/>
        <v>4275.0272999999997</v>
      </c>
      <c r="L441" s="176">
        <f t="shared" si="303"/>
        <v>0</v>
      </c>
      <c r="M441" s="176">
        <f t="shared" si="304"/>
        <v>0</v>
      </c>
      <c r="N441" s="176">
        <f t="shared" si="305"/>
        <v>4275.0272999999997</v>
      </c>
      <c r="O441" s="1083">
        <f t="shared" si="306"/>
        <v>8.3010238834951444</v>
      </c>
    </row>
    <row r="442" spans="1:15" ht="15" customHeight="1" x14ac:dyDescent="0.2">
      <c r="A442" s="303"/>
      <c r="B442" s="833">
        <f t="shared" si="280"/>
        <v>2.2999999999999998</v>
      </c>
      <c r="C442" s="303" t="s">
        <v>1939</v>
      </c>
      <c r="D442" s="822"/>
      <c r="E442" s="161" t="str">
        <f>+_xlfn.XLOOKUP(C442,'BASE DATOS PRECIOS '!B:B,'BASE DATOS PRECIOS '!E:E)</f>
        <v>BROCHA CORRIENTE 3"</v>
      </c>
      <c r="F442" s="174">
        <f>+F443</f>
        <v>5</v>
      </c>
      <c r="G442" s="175" t="str">
        <f>+_xlfn.XLOOKUP(C442,'BASE DATOS PRECIOS '!B:B,'BASE DATOS PRECIOS '!F:F)</f>
        <v>UND</v>
      </c>
      <c r="H442" s="176">
        <f>+_xlfn.XLOOKUP(E442,'BASE DATOS PRECIOS '!E:E,'BASE DATOS PRECIOS '!H:H)</f>
        <v>2060.0012999999999</v>
      </c>
      <c r="I442" s="175"/>
      <c r="J442" s="175"/>
      <c r="K442" s="176">
        <f t="shared" si="302"/>
        <v>10300.0065</v>
      </c>
      <c r="L442" s="176">
        <f t="shared" si="303"/>
        <v>0</v>
      </c>
      <c r="M442" s="176">
        <f t="shared" si="304"/>
        <v>0</v>
      </c>
      <c r="N442" s="176">
        <f t="shared" si="305"/>
        <v>10300.0065</v>
      </c>
      <c r="O442" s="1083">
        <f t="shared" si="306"/>
        <v>20.000012621359222</v>
      </c>
    </row>
    <row r="443" spans="1:15" ht="15" customHeight="1" x14ac:dyDescent="0.2">
      <c r="A443" s="303"/>
      <c r="B443" s="833">
        <f t="shared" si="280"/>
        <v>2.2999999999999998</v>
      </c>
      <c r="C443" s="303" t="s">
        <v>1940</v>
      </c>
      <c r="D443" s="822"/>
      <c r="E443" s="161" t="str">
        <f>+_xlfn.XLOOKUP(C443,'BASE DATOS PRECIOS '!B:B,'BASE DATOS PRECIOS '!E:E)</f>
        <v>FELPA 3/4</v>
      </c>
      <c r="F443" s="174">
        <f>+ROUNDUP('1_OG y 2_ACA'!D1582,0)</f>
        <v>5</v>
      </c>
      <c r="G443" s="175" t="str">
        <f>+_xlfn.XLOOKUP(C443,'BASE DATOS PRECIOS '!B:B,'BASE DATOS PRECIOS '!F:F)</f>
        <v>UND</v>
      </c>
      <c r="H443" s="176">
        <f>+_xlfn.XLOOKUP(E443,'BASE DATOS PRECIOS '!E:E,'BASE DATOS PRECIOS '!H:H)</f>
        <v>1739.9965999999997</v>
      </c>
      <c r="I443" s="175"/>
      <c r="J443" s="175"/>
      <c r="K443" s="176">
        <f t="shared" si="302"/>
        <v>8699.9829999999984</v>
      </c>
      <c r="L443" s="176">
        <f t="shared" si="303"/>
        <v>0</v>
      </c>
      <c r="M443" s="176">
        <f t="shared" si="304"/>
        <v>0</v>
      </c>
      <c r="N443" s="176">
        <f t="shared" si="305"/>
        <v>8699.9829999999984</v>
      </c>
      <c r="O443" s="1083">
        <f t="shared" si="306"/>
        <v>16.893170873786403</v>
      </c>
    </row>
    <row r="444" spans="1:15" ht="15" customHeight="1" x14ac:dyDescent="0.2">
      <c r="A444" s="303"/>
      <c r="B444" s="833">
        <f t="shared" si="280"/>
        <v>2.2999999999999998</v>
      </c>
      <c r="C444" s="303" t="s">
        <v>1941</v>
      </c>
      <c r="D444" s="822"/>
      <c r="E444" s="161" t="str">
        <f>+_xlfn.XLOOKUP(C444,'BASE DATOS PRECIOS '!B:B,'BASE DATOS PRECIOS '!E:E)</f>
        <v>RODILLO PARA FELPA</v>
      </c>
      <c r="F444" s="174">
        <f>+F443</f>
        <v>5</v>
      </c>
      <c r="G444" s="175" t="str">
        <f>+_xlfn.XLOOKUP(C444,'BASE DATOS PRECIOS '!B:B,'BASE DATOS PRECIOS '!F:F)</f>
        <v>UND</v>
      </c>
      <c r="H444" s="176">
        <f>+_xlfn.XLOOKUP(E444,'BASE DATOS PRECIOS '!E:E,'BASE DATOS PRECIOS '!H:H)</f>
        <v>2410.29</v>
      </c>
      <c r="I444" s="175"/>
      <c r="J444" s="175"/>
      <c r="K444" s="176">
        <f t="shared" si="302"/>
        <v>12051.45</v>
      </c>
      <c r="L444" s="176">
        <f t="shared" si="303"/>
        <v>0</v>
      </c>
      <c r="M444" s="176">
        <f t="shared" si="304"/>
        <v>0</v>
      </c>
      <c r="N444" s="176">
        <f t="shared" si="305"/>
        <v>12051.45</v>
      </c>
      <c r="O444" s="1083">
        <f t="shared" si="306"/>
        <v>23.400873786407768</v>
      </c>
    </row>
    <row r="445" spans="1:15" ht="15" customHeight="1" x14ac:dyDescent="0.2">
      <c r="A445" s="1074"/>
      <c r="B445" s="833">
        <f t="shared" si="280"/>
        <v>2.2999999999999998</v>
      </c>
      <c r="C445" s="303" t="s">
        <v>2239</v>
      </c>
      <c r="D445" s="822"/>
      <c r="E445" s="161" t="str">
        <f>+_xlfn.XLOOKUP(C445,'BASE DATOS PRECIOS '!B:B,'BASE DATOS PRECIOS '!E:E)</f>
        <v>MASKING BLANCO 2"</v>
      </c>
      <c r="F445" s="174">
        <f>ROUND('1_OG y 2_ACA'!D1584,0)</f>
        <v>3</v>
      </c>
      <c r="G445" s="175" t="str">
        <f>+_xlfn.XLOOKUP(C445,'BASE DATOS PRECIOS '!B:B,'BASE DATOS PRECIOS '!F:F)</f>
        <v>UND</v>
      </c>
      <c r="H445" s="176">
        <f>+_xlfn.XLOOKUP(E445,'BASE DATOS PRECIOS '!E:E,'BASE DATOS PRECIOS '!H:H)</f>
        <v>2885.0029999999997</v>
      </c>
      <c r="I445" s="175"/>
      <c r="J445" s="175"/>
      <c r="K445" s="176">
        <f t="shared" si="302"/>
        <v>8655.0089999999982</v>
      </c>
      <c r="L445" s="176">
        <f t="shared" si="303"/>
        <v>0</v>
      </c>
      <c r="M445" s="176">
        <f t="shared" si="304"/>
        <v>0</v>
      </c>
      <c r="N445" s="176">
        <f t="shared" si="305"/>
        <v>8655.0089999999982</v>
      </c>
      <c r="O445" s="1083">
        <f t="shared" si="306"/>
        <v>16.805842718446598</v>
      </c>
    </row>
    <row r="446" spans="1:15" ht="15" customHeight="1" x14ac:dyDescent="0.2">
      <c r="A446" s="303"/>
      <c r="B446" s="833">
        <f t="shared" ref="B446:B510" si="325">VALUE(IF(AND(LEN(TRIM(C446))-LEN(SUBSTITUTE(TRIM(C446),".",""))=1,ISNUMBER(VALUE(SUBSTITUTE(TRIM(C446),".","")))),TRIM(C446),B445))</f>
        <v>2.2999999999999998</v>
      </c>
      <c r="C446" s="303" t="s">
        <v>2227</v>
      </c>
      <c r="D446" s="822"/>
      <c r="E446" s="161" t="str">
        <f>+_xlfn.XLOOKUP(C446,'BASE DATOS PRECIOS '!B:B,'BASE DATOS PRECIOS '!E:E)</f>
        <v>MASKING AZUL 2"</v>
      </c>
      <c r="F446" s="174">
        <f>ROUND('1_OG y 2_ACA'!D1585,0)</f>
        <v>4</v>
      </c>
      <c r="G446" s="175" t="str">
        <f>+_xlfn.XLOOKUP(C446,'BASE DATOS PRECIOS '!B:B,'BASE DATOS PRECIOS '!F:F)</f>
        <v>UND</v>
      </c>
      <c r="H446" s="176">
        <f>+_xlfn.XLOOKUP(E446,'BASE DATOS PRECIOS '!E:E,'BASE DATOS PRECIOS '!H:H)</f>
        <v>4360.0032999999994</v>
      </c>
      <c r="I446" s="175"/>
      <c r="J446" s="175"/>
      <c r="K446" s="176">
        <f t="shared" si="302"/>
        <v>17440.013199999998</v>
      </c>
      <c r="L446" s="176">
        <f t="shared" si="303"/>
        <v>0</v>
      </c>
      <c r="M446" s="176">
        <f t="shared" si="304"/>
        <v>0</v>
      </c>
      <c r="N446" s="176">
        <f t="shared" si="305"/>
        <v>17440.013199999998</v>
      </c>
      <c r="O446" s="1083">
        <f t="shared" si="306"/>
        <v>33.864103300970868</v>
      </c>
    </row>
    <row r="447" spans="1:15" ht="15" customHeight="1" x14ac:dyDescent="0.2">
      <c r="A447" s="303"/>
      <c r="B447" s="833">
        <f t="shared" si="325"/>
        <v>2.2999999999999998</v>
      </c>
      <c r="C447" s="303" t="s">
        <v>2240</v>
      </c>
      <c r="D447" s="822"/>
      <c r="E447" s="161" t="str">
        <f>+_xlfn.XLOOKUP(C447,'BASE DATOS PRECIOS '!B:B,'BASE DATOS PRECIOS '!E:E)</f>
        <v>MASKING AZUL 3/4"</v>
      </c>
      <c r="F447" s="174">
        <f>+F445</f>
        <v>3</v>
      </c>
      <c r="G447" s="175" t="str">
        <f>+_xlfn.XLOOKUP(C447,'BASE DATOS PRECIOS '!B:B,'BASE DATOS PRECIOS '!F:F)</f>
        <v>UND</v>
      </c>
      <c r="H447" s="176">
        <f>+_xlfn.XLOOKUP(E447,'BASE DATOS PRECIOS '!E:E,'BASE DATOS PRECIOS '!H:H)</f>
        <v>1569.9993999999999</v>
      </c>
      <c r="I447" s="175"/>
      <c r="J447" s="175"/>
      <c r="K447" s="176">
        <f t="shared" si="302"/>
        <v>4709.9982</v>
      </c>
      <c r="L447" s="176">
        <f t="shared" si="303"/>
        <v>0</v>
      </c>
      <c r="M447" s="176">
        <f t="shared" si="304"/>
        <v>0</v>
      </c>
      <c r="N447" s="176">
        <f t="shared" si="305"/>
        <v>4709.9982</v>
      </c>
      <c r="O447" s="1083">
        <f t="shared" si="306"/>
        <v>9.1456275728155347</v>
      </c>
    </row>
    <row r="448" spans="1:15" ht="15" customHeight="1" x14ac:dyDescent="0.2">
      <c r="A448" s="303"/>
      <c r="B448" s="833">
        <f t="shared" si="325"/>
        <v>2.2999999999999998</v>
      </c>
      <c r="C448" s="303" t="s">
        <v>2131</v>
      </c>
      <c r="D448" s="822"/>
      <c r="E448" s="161" t="str">
        <f>+_xlfn.XLOOKUP(C448,'BASE DATOS PRECIOS '!B:B,'BASE DATOS PRECIOS '!E:E)</f>
        <v>ROLLO PLASTICO C/CINTA 80°C-120 CM. X 20 M</v>
      </c>
      <c r="F448" s="174">
        <f>+'1_OG y 2_ACA'!D1587</f>
        <v>1</v>
      </c>
      <c r="G448" s="175" t="str">
        <f>+_xlfn.XLOOKUP(C448,'BASE DATOS PRECIOS '!B:B,'BASE DATOS PRECIOS '!F:F)</f>
        <v>UND</v>
      </c>
      <c r="H448" s="176">
        <f>+_xlfn.XLOOKUP(E448,'BASE DATOS PRECIOS '!E:E,'BASE DATOS PRECIOS '!H:H)</f>
        <v>4032.97</v>
      </c>
      <c r="I448" s="175"/>
      <c r="J448" s="175"/>
      <c r="K448" s="176">
        <f t="shared" si="302"/>
        <v>4032.97</v>
      </c>
      <c r="L448" s="176">
        <f t="shared" si="303"/>
        <v>0</v>
      </c>
      <c r="M448" s="176">
        <f t="shared" si="304"/>
        <v>0</v>
      </c>
      <c r="N448" s="176">
        <f t="shared" si="305"/>
        <v>4032.97</v>
      </c>
      <c r="O448" s="1083">
        <f t="shared" si="306"/>
        <v>7.8310097087378638</v>
      </c>
    </row>
    <row r="449" spans="1:16" ht="15" customHeight="1" x14ac:dyDescent="0.2">
      <c r="A449" s="303"/>
      <c r="B449" s="833">
        <f t="shared" ref="B449" si="326">VALUE(IF(AND(LEN(TRIM(C449))-LEN(SUBSTITUTE(TRIM(C449),".",""))=1,ISNUMBER(VALUE(SUBSTITUTE(TRIM(C449),".","")))),TRIM(C449),B448))</f>
        <v>2.2999999999999998</v>
      </c>
      <c r="C449" s="303" t="s">
        <v>1977</v>
      </c>
      <c r="D449" s="822"/>
      <c r="E449" s="161" t="str">
        <f>+_xlfn.XLOOKUP(C449,'BASE DATOS PRECIOS '!B:B,'BASE DATOS PRECIOS '!E:E)</f>
        <v>MAXICRIL ADHESIVO</v>
      </c>
      <c r="F449" s="174">
        <f>+'1_OG y 2_ACA'!D1588</f>
        <v>1</v>
      </c>
      <c r="G449" s="175" t="str">
        <f>+_xlfn.XLOOKUP(C449,'BASE DATOS PRECIOS '!B:B,'BASE DATOS PRECIOS '!F:F)</f>
        <v>GALON</v>
      </c>
      <c r="H449" s="176">
        <f>+_xlfn.XLOOKUP(E449,'BASE DATOS PRECIOS '!E:E,'BASE DATOS PRECIOS '!H:H)</f>
        <v>15030.005699999998</v>
      </c>
      <c r="I449" s="175"/>
      <c r="J449" s="175"/>
      <c r="K449" s="176">
        <f t="shared" ref="K449" si="327">+F449*H449</f>
        <v>15030.005699999998</v>
      </c>
      <c r="L449" s="176">
        <f t="shared" ref="L449" si="328">+F449*I449</f>
        <v>0</v>
      </c>
      <c r="M449" s="176">
        <f t="shared" ref="M449" si="329">+F449*J449</f>
        <v>0</v>
      </c>
      <c r="N449" s="176">
        <f t="shared" ref="N449" si="330">SUM(K449:M449)</f>
        <v>15030.005699999998</v>
      </c>
      <c r="O449" s="1083">
        <f t="shared" ref="O449" si="331">SUM(K449:M449)/tc</f>
        <v>29.184477087378635</v>
      </c>
    </row>
    <row r="450" spans="1:16" ht="15" customHeight="1" x14ac:dyDescent="0.2">
      <c r="A450" s="1075" t="s">
        <v>3506</v>
      </c>
      <c r="B450" s="833">
        <f>VALUE(IF(AND(LEN(TRIM(C450))-LEN(SUBSTITUTE(TRIM(C450),".",""))=1,ISNUMBER(VALUE(SUBSTITUTE(TRIM(C450),".","")))),TRIM(C450),B448))</f>
        <v>2.2999999999999998</v>
      </c>
      <c r="C450" s="774" t="s">
        <v>36</v>
      </c>
      <c r="D450" s="210"/>
      <c r="E450" s="211" t="str">
        <f>+_xlfn.XLOOKUP(C450,'BASE DATOS MANO DE OBRA'!A:A,'BASE DATOS MANO DE OBRA'!B:B)</f>
        <v xml:space="preserve">OPERARIO PLUS </v>
      </c>
      <c r="F450" s="212">
        <f>+ROUNDUP(('1_OG y 2_ACA'!F1592+'1_OG y 2_ACA'!F1596+'1_OG y 2_ACA'!F1600+'1_OG y 2_ACA'!F1604),0)/2</f>
        <v>149.5</v>
      </c>
      <c r="G450" s="213" t="str">
        <f>+_xlfn.XLOOKUP(C450,'BASE DATOS MANO DE OBRA'!A:A,'BASE DATOS MANO DE OBRA'!C:C)</f>
        <v xml:space="preserve">hora </v>
      </c>
      <c r="H450" s="214">
        <v>0</v>
      </c>
      <c r="I450" s="214">
        <f>+_xlfn.XLOOKUP(C450,'BASE DATOS MANO DE OBRA'!A:A,'BASE DATOS MANO DE OBRA'!E:E)</f>
        <v>2850</v>
      </c>
      <c r="J450" s="214">
        <v>0</v>
      </c>
      <c r="K450" s="214">
        <f t="shared" si="302"/>
        <v>0</v>
      </c>
      <c r="L450" s="214">
        <f t="shared" si="303"/>
        <v>426075</v>
      </c>
      <c r="M450" s="214">
        <f t="shared" si="304"/>
        <v>0</v>
      </c>
      <c r="N450" s="214">
        <f t="shared" si="305"/>
        <v>426075</v>
      </c>
      <c r="O450" s="1086">
        <f t="shared" si="306"/>
        <v>827.33009708737859</v>
      </c>
    </row>
    <row r="451" spans="1:16" ht="15" customHeight="1" x14ac:dyDescent="0.2">
      <c r="A451" s="1075" t="s">
        <v>3506</v>
      </c>
      <c r="B451" s="833">
        <f t="shared" si="325"/>
        <v>2.2999999999999998</v>
      </c>
      <c r="C451" s="774" t="s">
        <v>37</v>
      </c>
      <c r="D451" s="210"/>
      <c r="E451" s="211" t="str">
        <f>+_xlfn.XLOOKUP(C451,'BASE DATOS MANO DE OBRA'!A:A,'BASE DATOS MANO DE OBRA'!B:B)</f>
        <v xml:space="preserve">AYUDANTE PLUS </v>
      </c>
      <c r="F451" s="212">
        <f>+F450</f>
        <v>149.5</v>
      </c>
      <c r="G451" s="213" t="str">
        <f>+_xlfn.XLOOKUP(C451,'BASE DATOS MANO DE OBRA'!A:A,'BASE DATOS MANO DE OBRA'!C:C)</f>
        <v xml:space="preserve">hora </v>
      </c>
      <c r="H451" s="214">
        <v>0</v>
      </c>
      <c r="I451" s="214">
        <f>+_xlfn.XLOOKUP(C451,'BASE DATOS MANO DE OBRA'!A:A,'BASE DATOS MANO DE OBRA'!E:E)</f>
        <v>2325</v>
      </c>
      <c r="J451" s="214">
        <v>0</v>
      </c>
      <c r="K451" s="214">
        <f t="shared" si="302"/>
        <v>0</v>
      </c>
      <c r="L451" s="214">
        <f t="shared" si="303"/>
        <v>347587.5</v>
      </c>
      <c r="M451" s="214">
        <f t="shared" si="304"/>
        <v>0</v>
      </c>
      <c r="N451" s="214">
        <f t="shared" si="305"/>
        <v>347587.5</v>
      </c>
      <c r="O451" s="1086">
        <f t="shared" si="306"/>
        <v>674.92718446601941</v>
      </c>
    </row>
    <row r="452" spans="1:16" s="49" customFormat="1" ht="18.600000000000001" customHeight="1" x14ac:dyDescent="0.2">
      <c r="A452" s="303"/>
      <c r="B452" s="833">
        <f t="shared" si="325"/>
        <v>2.2999999999999998</v>
      </c>
      <c r="C452" s="770" t="s">
        <v>2126</v>
      </c>
      <c r="D452" s="453"/>
      <c r="E452" s="454" t="s">
        <v>222</v>
      </c>
      <c r="F452" s="455">
        <f>+'1_OG y 2_ACA'!D1613</f>
        <v>55.7</v>
      </c>
      <c r="G452" s="453" t="s">
        <v>396</v>
      </c>
      <c r="H452" s="453"/>
      <c r="I452" s="453"/>
      <c r="J452" s="453"/>
      <c r="K452" s="456">
        <f>+SUBTOTAL(9,K453:K461)</f>
        <v>964895.07849999995</v>
      </c>
      <c r="L452" s="456">
        <f>+SUBTOTAL(9,L453:L461)</f>
        <v>113850</v>
      </c>
      <c r="M452" s="456">
        <f>+SUBTOTAL(9,M453:M461)</f>
        <v>0</v>
      </c>
      <c r="N452" s="456">
        <f>+SUBTOTAL(9,N453:N461)</f>
        <v>1078745.0784999998</v>
      </c>
      <c r="O452" s="1082">
        <f>+SUBTOTAL(9,O453:O461)</f>
        <v>2094.6506378640775</v>
      </c>
      <c r="P452" s="416"/>
    </row>
    <row r="453" spans="1:16" x14ac:dyDescent="0.2">
      <c r="A453" s="303"/>
      <c r="B453" s="833">
        <f t="shared" si="325"/>
        <v>2.2999999999999998</v>
      </c>
      <c r="C453" s="775" t="s">
        <v>1942</v>
      </c>
      <c r="D453" s="823"/>
      <c r="E453" s="161" t="str">
        <f>+_xlfn.XLOOKUP(C453,'BASE DATOS PRECIOS '!B:B,'BASE DATOS PRECIOS '!E:E)</f>
        <v>IMPERMEABILIZANTE BASE 201</v>
      </c>
      <c r="F453" s="174">
        <f>+'1_OG y 2_ACA'!D1617</f>
        <v>2</v>
      </c>
      <c r="G453" s="175" t="str">
        <f>+_xlfn.XLOOKUP(C453,'BASE DATOS PRECIOS '!B:B,'BASE DATOS PRECIOS '!F:F)</f>
        <v>CUBETA</v>
      </c>
      <c r="H453" s="176">
        <f>+_xlfn.XLOOKUP(E453,'BASE DATOS PRECIOS '!E:E,'BASE DATOS PRECIOS '!H:H)</f>
        <v>201684.65999999997</v>
      </c>
      <c r="I453" s="175"/>
      <c r="J453" s="175"/>
      <c r="K453" s="176">
        <f t="shared" ref="K453:K461" si="332">+F453*H453</f>
        <v>403369.31999999995</v>
      </c>
      <c r="L453" s="176">
        <f t="shared" ref="L453:L461" si="333">+F453*I453</f>
        <v>0</v>
      </c>
      <c r="M453" s="176">
        <f t="shared" ref="M453:M461" si="334">+F453*J453</f>
        <v>0</v>
      </c>
      <c r="N453" s="176">
        <f t="shared" ref="N453:N461" si="335">SUM(K453:M453)</f>
        <v>403369.31999999995</v>
      </c>
      <c r="O453" s="1083">
        <f t="shared" ref="O453:O461" si="336">SUM(K453:M453)/tc</f>
        <v>783.24139805825234</v>
      </c>
    </row>
    <row r="454" spans="1:16" x14ac:dyDescent="0.2">
      <c r="A454" s="303"/>
      <c r="B454" s="833">
        <f t="shared" si="325"/>
        <v>2.2999999999999998</v>
      </c>
      <c r="C454" s="775" t="s">
        <v>1943</v>
      </c>
      <c r="D454" s="823"/>
      <c r="E454" s="161" t="str">
        <f>+_xlfn.XLOOKUP(C454,'BASE DATOS PRECIOS '!B:B,'BASE DATOS PRECIOS '!E:E)</f>
        <v>IMPERMEABILIZANTE TOP 202</v>
      </c>
      <c r="F454" s="174">
        <f>+'1_OG y 2_ACA'!D1618</f>
        <v>2</v>
      </c>
      <c r="G454" s="175" t="str">
        <f>+_xlfn.XLOOKUP(C454,'BASE DATOS PRECIOS '!B:B,'BASE DATOS PRECIOS '!F:F)</f>
        <v>CUBETA</v>
      </c>
      <c r="H454" s="176">
        <f>+_xlfn.XLOOKUP(E454,'BASE DATOS PRECIOS '!E:E,'BASE DATOS PRECIOS '!H:H)</f>
        <v>268854.12</v>
      </c>
      <c r="I454" s="175"/>
      <c r="J454" s="175"/>
      <c r="K454" s="176">
        <f t="shared" si="332"/>
        <v>537708.24</v>
      </c>
      <c r="L454" s="176">
        <f t="shared" si="333"/>
        <v>0</v>
      </c>
      <c r="M454" s="176">
        <f t="shared" si="334"/>
        <v>0</v>
      </c>
      <c r="N454" s="176">
        <f t="shared" si="335"/>
        <v>537708.24</v>
      </c>
      <c r="O454" s="1083">
        <f t="shared" si="336"/>
        <v>1044.0936699029126</v>
      </c>
    </row>
    <row r="455" spans="1:16" x14ac:dyDescent="0.2">
      <c r="A455" s="303"/>
      <c r="B455" s="833">
        <f t="shared" si="325"/>
        <v>2.2999999999999998</v>
      </c>
      <c r="C455" s="303" t="s">
        <v>1944</v>
      </c>
      <c r="D455" s="822"/>
      <c r="E455" s="161" t="str">
        <f>+_xlfn.XLOOKUP(C455,'BASE DATOS PRECIOS '!B:B,'BASE DATOS PRECIOS '!E:E)</f>
        <v xml:space="preserve">SACO ARENA SILICA </v>
      </c>
      <c r="F455" s="174">
        <f>+'1_OG y 2_ACA'!D1619</f>
        <v>2</v>
      </c>
      <c r="G455" s="175" t="str">
        <f>+_xlfn.XLOOKUP(C455,'BASE DATOS PRECIOS '!B:B,'BASE DATOS PRECIOS '!F:F)</f>
        <v>SACO</v>
      </c>
      <c r="H455" s="176">
        <f>+_xlfn.XLOOKUP(E455,'BASE DATOS PRECIOS '!E:E,'BASE DATOS PRECIOS '!H:H)</f>
        <v>4443.6120000000001</v>
      </c>
      <c r="I455" s="175"/>
      <c r="J455" s="175"/>
      <c r="K455" s="176">
        <f t="shared" si="332"/>
        <v>8887.2240000000002</v>
      </c>
      <c r="L455" s="176">
        <f t="shared" si="333"/>
        <v>0</v>
      </c>
      <c r="M455" s="176">
        <f t="shared" si="334"/>
        <v>0</v>
      </c>
      <c r="N455" s="176">
        <f t="shared" si="335"/>
        <v>8887.2240000000002</v>
      </c>
      <c r="O455" s="1083">
        <f t="shared" si="336"/>
        <v>17.256745631067961</v>
      </c>
    </row>
    <row r="456" spans="1:16" x14ac:dyDescent="0.2">
      <c r="A456" s="303"/>
      <c r="B456" s="833">
        <f t="shared" si="325"/>
        <v>2.2999999999999998</v>
      </c>
      <c r="C456" s="786" t="s">
        <v>1941</v>
      </c>
      <c r="D456" s="826"/>
      <c r="E456" s="161" t="str">
        <f>+_xlfn.XLOOKUP(C456,'BASE DATOS PRECIOS '!B:B,'BASE DATOS PRECIOS '!E:E)</f>
        <v>RODILLO PARA FELPA</v>
      </c>
      <c r="F456" s="174">
        <f>+'1_OG y 2_ACA'!D1620</f>
        <v>1</v>
      </c>
      <c r="G456" s="175" t="s">
        <v>271</v>
      </c>
      <c r="H456" s="176">
        <f>+_xlfn.XLOOKUP(E456,'BASE DATOS PRECIOS '!E:E,'BASE DATOS PRECIOS '!H:H)</f>
        <v>2410.29</v>
      </c>
      <c r="I456" s="175"/>
      <c r="J456" s="175"/>
      <c r="K456" s="176">
        <f t="shared" si="332"/>
        <v>2410.29</v>
      </c>
      <c r="L456" s="176">
        <f t="shared" si="333"/>
        <v>0</v>
      </c>
      <c r="M456" s="176">
        <f t="shared" si="334"/>
        <v>0</v>
      </c>
      <c r="N456" s="176">
        <f t="shared" si="335"/>
        <v>2410.29</v>
      </c>
      <c r="O456" s="1083">
        <f t="shared" si="336"/>
        <v>4.6801747572815531</v>
      </c>
    </row>
    <row r="457" spans="1:16" x14ac:dyDescent="0.2">
      <c r="A457" s="303"/>
      <c r="B457" s="833">
        <f t="shared" si="325"/>
        <v>2.2999999999999998</v>
      </c>
      <c r="C457" s="786" t="s">
        <v>1940</v>
      </c>
      <c r="D457" s="826"/>
      <c r="E457" s="161" t="str">
        <f>+_xlfn.XLOOKUP(C457,'BASE DATOS PRECIOS '!B:B,'BASE DATOS PRECIOS '!E:E)</f>
        <v>FELPA 3/4</v>
      </c>
      <c r="F457" s="174">
        <f>+'1_OG y 2_ACA'!D1621</f>
        <v>1</v>
      </c>
      <c r="G457" s="175" t="s">
        <v>271</v>
      </c>
      <c r="H457" s="176">
        <f>+_xlfn.XLOOKUP(E457,'BASE DATOS PRECIOS '!E:E,'BASE DATOS PRECIOS '!H:H)</f>
        <v>1739.9965999999997</v>
      </c>
      <c r="I457" s="175"/>
      <c r="J457" s="175"/>
      <c r="K457" s="176">
        <f t="shared" si="332"/>
        <v>1739.9965999999997</v>
      </c>
      <c r="L457" s="176">
        <f t="shared" si="333"/>
        <v>0</v>
      </c>
      <c r="M457" s="176">
        <f t="shared" si="334"/>
        <v>0</v>
      </c>
      <c r="N457" s="176">
        <f t="shared" si="335"/>
        <v>1739.9965999999997</v>
      </c>
      <c r="O457" s="1083">
        <f t="shared" si="336"/>
        <v>3.378634174757281</v>
      </c>
    </row>
    <row r="458" spans="1:16" x14ac:dyDescent="0.2">
      <c r="A458" s="303"/>
      <c r="B458" s="833">
        <f t="shared" si="325"/>
        <v>2.2999999999999998</v>
      </c>
      <c r="C458" s="786" t="s">
        <v>1939</v>
      </c>
      <c r="D458" s="826"/>
      <c r="E458" s="161" t="str">
        <f>+_xlfn.XLOOKUP(C458,'BASE DATOS PRECIOS '!B:B,'BASE DATOS PRECIOS '!E:E)</f>
        <v>BROCHA CORRIENTE 3"</v>
      </c>
      <c r="F458" s="174">
        <f>+'1_OG y 2_ACA'!D1622</f>
        <v>1</v>
      </c>
      <c r="G458" s="175" t="s">
        <v>271</v>
      </c>
      <c r="H458" s="176">
        <f>+_xlfn.XLOOKUP(E458,'BASE DATOS PRECIOS '!E:E,'BASE DATOS PRECIOS '!H:H)</f>
        <v>2060.0012999999999</v>
      </c>
      <c r="I458" s="175"/>
      <c r="J458" s="175"/>
      <c r="K458" s="176">
        <f t="shared" si="332"/>
        <v>2060.0012999999999</v>
      </c>
      <c r="L458" s="176">
        <f t="shared" si="333"/>
        <v>0</v>
      </c>
      <c r="M458" s="176">
        <f t="shared" si="334"/>
        <v>0</v>
      </c>
      <c r="N458" s="176">
        <f t="shared" si="335"/>
        <v>2060.0012999999999</v>
      </c>
      <c r="O458" s="1083">
        <f t="shared" si="336"/>
        <v>4.0000025242718449</v>
      </c>
    </row>
    <row r="459" spans="1:16" x14ac:dyDescent="0.2">
      <c r="A459" s="303"/>
      <c r="B459" s="833">
        <f t="shared" si="325"/>
        <v>2.2999999999999998</v>
      </c>
      <c r="C459" s="786" t="s">
        <v>2227</v>
      </c>
      <c r="D459" s="826"/>
      <c r="E459" s="161" t="str">
        <f>+_xlfn.XLOOKUP(C459,'BASE DATOS PRECIOS '!B:B,'BASE DATOS PRECIOS '!E:E)</f>
        <v>MASKING AZUL 2"</v>
      </c>
      <c r="F459" s="174">
        <f>+'1_OG y 2_ACA'!D1623</f>
        <v>2</v>
      </c>
      <c r="G459" s="175" t="s">
        <v>271</v>
      </c>
      <c r="H459" s="176">
        <f>+_xlfn.XLOOKUP(E459,'BASE DATOS PRECIOS '!E:E,'BASE DATOS PRECIOS '!H:H)</f>
        <v>4360.0032999999994</v>
      </c>
      <c r="I459" s="175"/>
      <c r="J459" s="175"/>
      <c r="K459" s="176">
        <f t="shared" si="332"/>
        <v>8720.0065999999988</v>
      </c>
      <c r="L459" s="176">
        <f t="shared" si="333"/>
        <v>0</v>
      </c>
      <c r="M459" s="176">
        <f t="shared" si="334"/>
        <v>0</v>
      </c>
      <c r="N459" s="176">
        <f t="shared" si="335"/>
        <v>8720.0065999999988</v>
      </c>
      <c r="O459" s="1083">
        <f t="shared" si="336"/>
        <v>16.932051650485434</v>
      </c>
    </row>
    <row r="460" spans="1:16" x14ac:dyDescent="0.2">
      <c r="A460" s="1075" t="s">
        <v>3001</v>
      </c>
      <c r="B460" s="833">
        <f t="shared" si="325"/>
        <v>2.2999999999999998</v>
      </c>
      <c r="C460" s="774" t="s">
        <v>36</v>
      </c>
      <c r="D460" s="210"/>
      <c r="E460" s="211" t="str">
        <f>+_xlfn.XLOOKUP(C460,'BASE DATOS MANO DE OBRA'!A:A,'BASE DATOS MANO DE OBRA'!B:B)</f>
        <v xml:space="preserve">OPERARIO PLUS </v>
      </c>
      <c r="F460" s="212">
        <f>ROUND('1_OG y 2_ACA'!F1627,0)/2</f>
        <v>22</v>
      </c>
      <c r="G460" s="213" t="str">
        <f>+_xlfn.XLOOKUP(C460,'BASE DATOS MANO DE OBRA'!A:A,'BASE DATOS MANO DE OBRA'!C:C)</f>
        <v xml:space="preserve">hora </v>
      </c>
      <c r="H460" s="214">
        <v>0</v>
      </c>
      <c r="I460" s="214">
        <f>+_xlfn.XLOOKUP(C460,'BASE DATOS MANO DE OBRA'!A:A,'BASE DATOS MANO DE OBRA'!E:E)</f>
        <v>2850</v>
      </c>
      <c r="J460" s="214">
        <v>0</v>
      </c>
      <c r="K460" s="214">
        <f t="shared" si="332"/>
        <v>0</v>
      </c>
      <c r="L460" s="214">
        <f t="shared" si="333"/>
        <v>62700</v>
      </c>
      <c r="M460" s="214">
        <f t="shared" si="334"/>
        <v>0</v>
      </c>
      <c r="N460" s="214">
        <f t="shared" si="335"/>
        <v>62700</v>
      </c>
      <c r="O460" s="1086">
        <f t="shared" si="336"/>
        <v>121.74757281553399</v>
      </c>
    </row>
    <row r="461" spans="1:16" x14ac:dyDescent="0.2">
      <c r="A461" s="1075" t="s">
        <v>3001</v>
      </c>
      <c r="B461" s="833">
        <f t="shared" si="325"/>
        <v>2.2999999999999998</v>
      </c>
      <c r="C461" s="774" t="s">
        <v>37</v>
      </c>
      <c r="D461" s="210"/>
      <c r="E461" s="211" t="str">
        <f>+_xlfn.XLOOKUP(C461,'BASE DATOS MANO DE OBRA'!A:A,'BASE DATOS MANO DE OBRA'!B:B)</f>
        <v xml:space="preserve">AYUDANTE PLUS </v>
      </c>
      <c r="F461" s="212">
        <f>+F460</f>
        <v>22</v>
      </c>
      <c r="G461" s="213" t="str">
        <f>+_xlfn.XLOOKUP(C461,'BASE DATOS MANO DE OBRA'!A:A,'BASE DATOS MANO DE OBRA'!C:C)</f>
        <v xml:space="preserve">hora </v>
      </c>
      <c r="H461" s="214">
        <v>0</v>
      </c>
      <c r="I461" s="214">
        <f>+_xlfn.XLOOKUP(C461,'BASE DATOS MANO DE OBRA'!A:A,'BASE DATOS MANO DE OBRA'!E:E)</f>
        <v>2325</v>
      </c>
      <c r="J461" s="214">
        <v>0</v>
      </c>
      <c r="K461" s="214">
        <f t="shared" si="332"/>
        <v>0</v>
      </c>
      <c r="L461" s="214">
        <f t="shared" si="333"/>
        <v>51150</v>
      </c>
      <c r="M461" s="214">
        <f t="shared" si="334"/>
        <v>0</v>
      </c>
      <c r="N461" s="214">
        <f t="shared" si="335"/>
        <v>51150</v>
      </c>
      <c r="O461" s="1086">
        <f t="shared" si="336"/>
        <v>99.320388349514559</v>
      </c>
    </row>
    <row r="462" spans="1:16" s="49" customFormat="1" ht="18.600000000000001" customHeight="1" x14ac:dyDescent="0.2">
      <c r="A462" s="1074"/>
      <c r="B462" s="833">
        <f t="shared" si="325"/>
        <v>2.2999999999999998</v>
      </c>
      <c r="C462" s="770" t="s">
        <v>2127</v>
      </c>
      <c r="D462" s="453"/>
      <c r="E462" s="454" t="s">
        <v>224</v>
      </c>
      <c r="F462" s="455">
        <v>1</v>
      </c>
      <c r="G462" s="453" t="s">
        <v>29</v>
      </c>
      <c r="H462" s="453"/>
      <c r="I462" s="453"/>
      <c r="J462" s="453"/>
      <c r="K462" s="456">
        <f>+SUBTOTAL(9,K463:K464)</f>
        <v>0</v>
      </c>
      <c r="L462" s="456">
        <f>+SUBTOTAL(9,L463:L464)</f>
        <v>310500</v>
      </c>
      <c r="M462" s="456">
        <f>+SUBTOTAL(9,M463:M464)</f>
        <v>0</v>
      </c>
      <c r="N462" s="456">
        <f>+SUBTOTAL(9,N463:N464)</f>
        <v>310500</v>
      </c>
      <c r="O462" s="1082">
        <f>+SUBTOTAL(9,O463:O464)</f>
        <v>602.91262135922329</v>
      </c>
      <c r="P462" s="416"/>
    </row>
    <row r="463" spans="1:16" ht="15" customHeight="1" x14ac:dyDescent="0.2">
      <c r="A463" s="1075" t="s">
        <v>2170</v>
      </c>
      <c r="B463" s="833">
        <f t="shared" si="325"/>
        <v>2.2999999999999998</v>
      </c>
      <c r="C463" s="774" t="s">
        <v>36</v>
      </c>
      <c r="D463" s="210"/>
      <c r="E463" s="211" t="str">
        <f>+_xlfn.XLOOKUP(C463,'BASE DATOS MANO DE OBRA'!A:A,'BASE DATOS MANO DE OBRA'!B:B)</f>
        <v xml:space="preserve">OPERARIO PLUS </v>
      </c>
      <c r="F463" s="212">
        <f>ROUND('1_OG y 2_ACA'!F1636,0)/2</f>
        <v>60</v>
      </c>
      <c r="G463" s="213" t="str">
        <f>+_xlfn.XLOOKUP(C463,'BASE DATOS MANO DE OBRA'!A:A,'BASE DATOS MANO DE OBRA'!C:C)</f>
        <v xml:space="preserve">hora </v>
      </c>
      <c r="H463" s="214">
        <v>0</v>
      </c>
      <c r="I463" s="214">
        <f>+_xlfn.XLOOKUP(C463,'BASE DATOS MANO DE OBRA'!A:A,'BASE DATOS MANO DE OBRA'!E:E)</f>
        <v>2850</v>
      </c>
      <c r="J463" s="214">
        <v>0</v>
      </c>
      <c r="K463" s="214">
        <f>+F463*H463</f>
        <v>0</v>
      </c>
      <c r="L463" s="214">
        <f>+F463*I463</f>
        <v>171000</v>
      </c>
      <c r="M463" s="214">
        <f>+F463*J463</f>
        <v>0</v>
      </c>
      <c r="N463" s="214">
        <f>SUM(K463:M463)</f>
        <v>171000</v>
      </c>
      <c r="O463" s="1086">
        <f>SUM(K463:M463)/tc</f>
        <v>332.03883495145629</v>
      </c>
    </row>
    <row r="464" spans="1:16" ht="15" customHeight="1" x14ac:dyDescent="0.2">
      <c r="A464" s="1075" t="s">
        <v>2170</v>
      </c>
      <c r="B464" s="833">
        <f t="shared" si="325"/>
        <v>2.2999999999999998</v>
      </c>
      <c r="C464" s="774" t="s">
        <v>37</v>
      </c>
      <c r="D464" s="210"/>
      <c r="E464" s="211" t="str">
        <f>+_xlfn.XLOOKUP(C464,'BASE DATOS MANO DE OBRA'!A:A,'BASE DATOS MANO DE OBRA'!B:B)</f>
        <v xml:space="preserve">AYUDANTE PLUS </v>
      </c>
      <c r="F464" s="212">
        <f>+F463</f>
        <v>60</v>
      </c>
      <c r="G464" s="213" t="str">
        <f>+_xlfn.XLOOKUP(C464,'BASE DATOS MANO DE OBRA'!A:A,'BASE DATOS MANO DE OBRA'!C:C)</f>
        <v xml:space="preserve">hora </v>
      </c>
      <c r="H464" s="214">
        <v>0</v>
      </c>
      <c r="I464" s="214">
        <f>+_xlfn.XLOOKUP(C464,'BASE DATOS MANO DE OBRA'!A:A,'BASE DATOS MANO DE OBRA'!E:E)</f>
        <v>2325</v>
      </c>
      <c r="J464" s="214">
        <v>0</v>
      </c>
      <c r="K464" s="214">
        <f>+F464*H464</f>
        <v>0</v>
      </c>
      <c r="L464" s="214">
        <f>+F464*I464</f>
        <v>139500</v>
      </c>
      <c r="M464" s="214">
        <f>+F464*J464</f>
        <v>0</v>
      </c>
      <c r="N464" s="214">
        <f>SUM(K464:M464)</f>
        <v>139500</v>
      </c>
      <c r="O464" s="1086">
        <f>SUM(K464:M464)/tc</f>
        <v>270.873786407767</v>
      </c>
    </row>
    <row r="465" spans="1:16" ht="15" customHeight="1" x14ac:dyDescent="0.2">
      <c r="A465" s="303"/>
      <c r="B465" s="833">
        <f t="shared" si="325"/>
        <v>2.4</v>
      </c>
      <c r="C465" s="779" t="s">
        <v>3487</v>
      </c>
      <c r="D465" s="440"/>
      <c r="E465" s="441" t="s">
        <v>1905</v>
      </c>
      <c r="F465" s="446">
        <v>1</v>
      </c>
      <c r="G465" s="440" t="s">
        <v>271</v>
      </c>
      <c r="H465" s="440"/>
      <c r="I465" s="440"/>
      <c r="J465" s="440"/>
      <c r="K465" s="447">
        <f>+SUBTOTAL(9,K466:K470)</f>
        <v>0</v>
      </c>
      <c r="L465" s="447">
        <f>+SUBTOTAL(9,L466:L470)</f>
        <v>0</v>
      </c>
      <c r="M465" s="447">
        <f>+SUBTOTAL(9,M466:M470)</f>
        <v>0</v>
      </c>
      <c r="N465" s="447">
        <f>+SUBTOTAL(9,N466:N470)</f>
        <v>0</v>
      </c>
      <c r="O465" s="1081">
        <f>+SUBTOTAL(9,O466:O470)</f>
        <v>0</v>
      </c>
    </row>
    <row r="466" spans="1:16" s="49" customFormat="1" ht="18.600000000000001" customHeight="1" collapsed="1" x14ac:dyDescent="0.2">
      <c r="A466" s="1074"/>
      <c r="B466" s="833">
        <f t="shared" si="325"/>
        <v>2.4</v>
      </c>
      <c r="C466" s="770" t="s">
        <v>2065</v>
      </c>
      <c r="D466" s="453"/>
      <c r="E466" s="454" t="s">
        <v>208</v>
      </c>
      <c r="F466" s="455">
        <v>1</v>
      </c>
      <c r="G466" s="453" t="s">
        <v>29</v>
      </c>
      <c r="H466" s="453"/>
      <c r="I466" s="453"/>
      <c r="J466" s="453"/>
      <c r="K466" s="456">
        <f>+SUBTOTAL(9,K467:K470)</f>
        <v>0</v>
      </c>
      <c r="L466" s="456">
        <f>+SUBTOTAL(9,L467:L470)</f>
        <v>0</v>
      </c>
      <c r="M466" s="456">
        <f>+SUBTOTAL(9,M467:M470)</f>
        <v>0</v>
      </c>
      <c r="N466" s="456">
        <f>+SUBTOTAL(9,N467:N470)</f>
        <v>0</v>
      </c>
      <c r="O466" s="1082">
        <f>+SUBTOTAL(9,O467:O470)</f>
        <v>0</v>
      </c>
      <c r="P466" s="416"/>
    </row>
    <row r="467" spans="1:16" ht="15" customHeight="1" x14ac:dyDescent="0.2">
      <c r="A467" s="303"/>
      <c r="B467" s="833">
        <f t="shared" si="325"/>
        <v>2.4</v>
      </c>
      <c r="C467" s="776"/>
      <c r="D467" s="166"/>
      <c r="E467" s="319" t="s">
        <v>1955</v>
      </c>
      <c r="F467" s="168">
        <v>1</v>
      </c>
      <c r="G467" s="169" t="s">
        <v>271</v>
      </c>
      <c r="H467" s="169"/>
      <c r="I467" s="169"/>
      <c r="J467" s="169"/>
      <c r="K467" s="170"/>
      <c r="L467" s="170"/>
      <c r="M467" s="170"/>
      <c r="N467" s="170"/>
      <c r="O467" s="1087"/>
    </row>
    <row r="468" spans="1:16" ht="15" customHeight="1" x14ac:dyDescent="0.2">
      <c r="A468" s="303"/>
      <c r="B468" s="833">
        <f t="shared" si="325"/>
        <v>2.4</v>
      </c>
      <c r="C468" s="778"/>
      <c r="D468" s="179"/>
      <c r="E468" s="318"/>
      <c r="F468" s="180"/>
      <c r="G468" s="181"/>
      <c r="H468" s="182"/>
      <c r="I468" s="182"/>
      <c r="J468" s="182"/>
      <c r="K468" s="182"/>
      <c r="L468" s="182"/>
      <c r="M468" s="182"/>
      <c r="N468" s="182"/>
      <c r="O468" s="1089"/>
    </row>
    <row r="469" spans="1:16" ht="15" customHeight="1" x14ac:dyDescent="0.2">
      <c r="A469" s="303"/>
      <c r="B469" s="833">
        <f t="shared" si="325"/>
        <v>2.4</v>
      </c>
      <c r="C469" s="778"/>
      <c r="D469" s="179"/>
      <c r="E469" s="318"/>
      <c r="F469" s="180"/>
      <c r="G469" s="181"/>
      <c r="H469" s="182"/>
      <c r="I469" s="182"/>
      <c r="J469" s="182"/>
      <c r="K469" s="182"/>
      <c r="L469" s="182"/>
      <c r="M469" s="182"/>
      <c r="N469" s="182"/>
      <c r="O469" s="1089"/>
    </row>
    <row r="470" spans="1:16" ht="15" customHeight="1" x14ac:dyDescent="0.2">
      <c r="A470" s="303"/>
      <c r="B470" s="833">
        <f t="shared" si="325"/>
        <v>2.4</v>
      </c>
      <c r="C470" s="778"/>
      <c r="D470" s="179"/>
      <c r="E470" s="318"/>
      <c r="F470" s="180"/>
      <c r="G470" s="181"/>
      <c r="H470" s="182"/>
      <c r="I470" s="182"/>
      <c r="J470" s="182"/>
      <c r="K470" s="182"/>
      <c r="L470" s="182"/>
      <c r="M470" s="182"/>
      <c r="N470" s="182"/>
      <c r="O470" s="1089"/>
    </row>
    <row r="471" spans="1:16" ht="15" customHeight="1" x14ac:dyDescent="0.2">
      <c r="A471" s="1074"/>
      <c r="B471" s="833">
        <f t="shared" si="325"/>
        <v>2.5</v>
      </c>
      <c r="C471" s="779" t="s">
        <v>3488</v>
      </c>
      <c r="D471" s="440"/>
      <c r="E471" s="441" t="s">
        <v>225</v>
      </c>
      <c r="F471" s="446">
        <f>+'1_OG y 2_ACA'!G1666</f>
        <v>21.005000000000003</v>
      </c>
      <c r="G471" s="440" t="s">
        <v>137</v>
      </c>
      <c r="H471" s="440"/>
      <c r="I471" s="440"/>
      <c r="J471" s="440"/>
      <c r="K471" s="447">
        <f>+SUBTOTAL(9,K472:K475)</f>
        <v>0</v>
      </c>
      <c r="L471" s="447">
        <f>+SUBTOTAL(9,L472:L475)</f>
        <v>0</v>
      </c>
      <c r="M471" s="447">
        <f>+SUBTOTAL(9,M472:M475)</f>
        <v>1151015.175</v>
      </c>
      <c r="N471" s="447">
        <f>+SUBTOTAL(9,N472:N475)</f>
        <v>1151015.175</v>
      </c>
      <c r="O471" s="1081">
        <f>+SUBTOTAL(9,O472:O475)</f>
        <v>2234.9809223300972</v>
      </c>
    </row>
    <row r="472" spans="1:16" s="49" customFormat="1" ht="18.600000000000001" customHeight="1" x14ac:dyDescent="0.2">
      <c r="A472" s="303"/>
      <c r="B472" s="833">
        <f t="shared" si="325"/>
        <v>2.5</v>
      </c>
      <c r="C472" s="770" t="s">
        <v>2067</v>
      </c>
      <c r="D472" s="453"/>
      <c r="E472" s="454" t="s">
        <v>1399</v>
      </c>
      <c r="F472" s="455">
        <v>1</v>
      </c>
      <c r="G472" s="453" t="s">
        <v>29</v>
      </c>
      <c r="H472" s="453"/>
      <c r="I472" s="453"/>
      <c r="J472" s="453"/>
      <c r="K472" s="456">
        <f>+SUBTOTAL(9,K473:K475)</f>
        <v>0</v>
      </c>
      <c r="L472" s="456">
        <f>+SUBTOTAL(9,L473:L475)</f>
        <v>0</v>
      </c>
      <c r="M472" s="456">
        <f>+SUBTOTAL(9,M473:M475)</f>
        <v>1151015.175</v>
      </c>
      <c r="N472" s="456">
        <f>+SUBTOTAL(9,N473:N475)</f>
        <v>1151015.175</v>
      </c>
      <c r="O472" s="1082">
        <f>+SUBTOTAL(9,O473:O475)</f>
        <v>2234.9809223300972</v>
      </c>
    </row>
    <row r="473" spans="1:16" ht="15" customHeight="1" x14ac:dyDescent="0.2">
      <c r="A473" s="303"/>
      <c r="B473" s="833">
        <f t="shared" si="325"/>
        <v>2.5</v>
      </c>
      <c r="C473" s="789" t="s">
        <v>1473</v>
      </c>
      <c r="D473" s="205"/>
      <c r="E473" s="206" t="str">
        <f>+_xlfn.XLOOKUP(C473,'BASE DATOS EQUIPOS Y SUBCONTRAT'!A:A,'BASE DATOS EQUIPOS Y SUBCONTRAT'!B:B)</f>
        <v xml:space="preserve">SUBCONTRATO VENTANERIA (MATERIAL Y MANO DE OBRA) </v>
      </c>
      <c r="F473" s="207">
        <v>1</v>
      </c>
      <c r="G473" s="208" t="str">
        <f>+_xlfn.XLOOKUP(C473,'BASE DATOS EQUIPOS Y SUBCONTRAT'!A:A,'BASE DATOS EQUIPOS Y SUBCONTRAT'!C:C)</f>
        <v xml:space="preserve">GLOBAL </v>
      </c>
      <c r="H473" s="209">
        <v>0</v>
      </c>
      <c r="I473" s="208"/>
      <c r="J473" s="209">
        <f>+'1_OG y 2_ACA'!D1673</f>
        <v>1151015.175</v>
      </c>
      <c r="K473" s="209">
        <f>+F473*H473</f>
        <v>0</v>
      </c>
      <c r="L473" s="209">
        <f>+F473*I473</f>
        <v>0</v>
      </c>
      <c r="M473" s="209">
        <f>+F473*J473</f>
        <v>1151015.175</v>
      </c>
      <c r="N473" s="209">
        <f>SUM(K473:M473)</f>
        <v>1151015.175</v>
      </c>
      <c r="O473" s="1092">
        <f>SUM(K473:M473)/tc</f>
        <v>2234.9809223300972</v>
      </c>
    </row>
    <row r="474" spans="1:16" ht="15" customHeight="1" x14ac:dyDescent="0.2">
      <c r="A474" s="303"/>
      <c r="B474" s="833">
        <f t="shared" si="325"/>
        <v>2.5</v>
      </c>
      <c r="C474" s="774" t="s">
        <v>36</v>
      </c>
      <c r="D474" s="210"/>
      <c r="E474" s="211" t="str">
        <f>+_xlfn.XLOOKUP(C474,'BASE DATOS MANO DE OBRA'!A:A,'BASE DATOS MANO DE OBRA'!B:B)</f>
        <v xml:space="preserve">OPERARIO PLUS </v>
      </c>
      <c r="F474" s="212">
        <v>0</v>
      </c>
      <c r="G474" s="213" t="str">
        <f>+_xlfn.XLOOKUP(C474,'BASE DATOS MANO DE OBRA'!A:A,'BASE DATOS MANO DE OBRA'!C:C)</f>
        <v xml:space="preserve">hora </v>
      </c>
      <c r="H474" s="214">
        <v>0</v>
      </c>
      <c r="I474" s="214">
        <f>+_xlfn.XLOOKUP(C474,'BASE DATOS MANO DE OBRA'!A:A,'BASE DATOS MANO DE OBRA'!E:E)</f>
        <v>2850</v>
      </c>
      <c r="J474" s="214">
        <v>0</v>
      </c>
      <c r="K474" s="214">
        <f>+F474*H474</f>
        <v>0</v>
      </c>
      <c r="L474" s="214">
        <f>+F474*I474</f>
        <v>0</v>
      </c>
      <c r="M474" s="214">
        <f>+F474*J474</f>
        <v>0</v>
      </c>
      <c r="N474" s="214">
        <f>SUM(K474:M474)</f>
        <v>0</v>
      </c>
      <c r="O474" s="1086">
        <f>SUM(K474:M474)/tc</f>
        <v>0</v>
      </c>
    </row>
    <row r="475" spans="1:16" ht="15" customHeight="1" x14ac:dyDescent="0.2">
      <c r="A475" s="303"/>
      <c r="B475" s="833">
        <f t="shared" si="325"/>
        <v>2.5</v>
      </c>
      <c r="C475" s="774" t="s">
        <v>37</v>
      </c>
      <c r="D475" s="210"/>
      <c r="E475" s="211" t="str">
        <f>+_xlfn.XLOOKUP(C475,'BASE DATOS MANO DE OBRA'!A:A,'BASE DATOS MANO DE OBRA'!B:B)</f>
        <v xml:space="preserve">AYUDANTE PLUS </v>
      </c>
      <c r="F475" s="212">
        <v>0</v>
      </c>
      <c r="G475" s="213" t="str">
        <f>+_xlfn.XLOOKUP(C475,'BASE DATOS MANO DE OBRA'!A:A,'BASE DATOS MANO DE OBRA'!C:C)</f>
        <v xml:space="preserve">hora </v>
      </c>
      <c r="H475" s="214">
        <v>0</v>
      </c>
      <c r="I475" s="214">
        <f>+_xlfn.XLOOKUP(C475,'BASE DATOS MANO DE OBRA'!A:A,'BASE DATOS MANO DE OBRA'!E:E)</f>
        <v>2325</v>
      </c>
      <c r="J475" s="214">
        <v>0</v>
      </c>
      <c r="K475" s="214">
        <f>+F475*H475</f>
        <v>0</v>
      </c>
      <c r="L475" s="214">
        <f>+F475*I475</f>
        <v>0</v>
      </c>
      <c r="M475" s="214">
        <f>+F475*J475</f>
        <v>0</v>
      </c>
      <c r="N475" s="214">
        <f>SUM(K475:M475)</f>
        <v>0</v>
      </c>
      <c r="O475" s="1086">
        <f>SUM(K475:M475)/tc</f>
        <v>0</v>
      </c>
    </row>
    <row r="476" spans="1:16" ht="15" customHeight="1" x14ac:dyDescent="0.2">
      <c r="A476" s="303"/>
      <c r="B476" s="833">
        <f t="shared" si="325"/>
        <v>2.6</v>
      </c>
      <c r="C476" s="779" t="s">
        <v>3489</v>
      </c>
      <c r="D476" s="440"/>
      <c r="E476" s="441" t="s">
        <v>207</v>
      </c>
      <c r="F476" s="446">
        <v>1</v>
      </c>
      <c r="G476" s="440" t="s">
        <v>271</v>
      </c>
      <c r="H476" s="440"/>
      <c r="I476" s="440"/>
      <c r="J476" s="440"/>
      <c r="K476" s="447">
        <f>+SUBTOTAL(9,K477:K524)</f>
        <v>3664782.6771098333</v>
      </c>
      <c r="L476" s="447">
        <f>+SUBTOTAL(9,L477:L524)</f>
        <v>618262.5</v>
      </c>
      <c r="M476" s="447">
        <f>+SUBTOTAL(9,M477:M524)</f>
        <v>268000</v>
      </c>
      <c r="N476" s="447">
        <f>+SUBTOTAL(9,N477:N524)</f>
        <v>4551045.1771098338</v>
      </c>
      <c r="O476" s="1081">
        <f>+SUBTOTAL(9,O477:O524)</f>
        <v>8836.9809264268606</v>
      </c>
    </row>
    <row r="477" spans="1:16" s="49" customFormat="1" ht="18.600000000000001" customHeight="1" x14ac:dyDescent="0.2">
      <c r="A477" s="303"/>
      <c r="B477" s="833">
        <f t="shared" si="325"/>
        <v>2.6</v>
      </c>
      <c r="C477" s="770" t="s">
        <v>2068</v>
      </c>
      <c r="D477" s="453"/>
      <c r="E477" s="454" t="s">
        <v>208</v>
      </c>
      <c r="F477" s="455">
        <v>1</v>
      </c>
      <c r="G477" s="453" t="s">
        <v>29</v>
      </c>
      <c r="H477" s="453"/>
      <c r="I477" s="453"/>
      <c r="J477" s="453"/>
      <c r="K477" s="456">
        <f>+SUBTOTAL(9,K478:K512)</f>
        <v>1806677.8556098337</v>
      </c>
      <c r="L477" s="456">
        <f>+SUBTOTAL(9,L478:L512)</f>
        <v>300000</v>
      </c>
      <c r="M477" s="456">
        <f>+SUBTOTAL(9,M478:M512)</f>
        <v>268000</v>
      </c>
      <c r="N477" s="456">
        <f>+SUBTOTAL(9,N478:N512)</f>
        <v>2374677.8556098337</v>
      </c>
      <c r="O477" s="1082">
        <f>+SUBTOTAL(9,O478:O512)</f>
        <v>4611.0249623491927</v>
      </c>
    </row>
    <row r="478" spans="1:16" ht="15" customHeight="1" x14ac:dyDescent="0.2">
      <c r="A478" s="303"/>
      <c r="B478" s="833">
        <f t="shared" si="325"/>
        <v>2.6</v>
      </c>
      <c r="C478" s="776"/>
      <c r="D478" s="166"/>
      <c r="E478" s="319" t="s">
        <v>3009</v>
      </c>
      <c r="F478" s="168"/>
      <c r="G478" s="169" t="s">
        <v>1076</v>
      </c>
      <c r="H478" s="169"/>
      <c r="I478" s="169"/>
      <c r="J478" s="169"/>
      <c r="K478" s="170"/>
      <c r="L478" s="170"/>
      <c r="M478" s="170"/>
      <c r="N478" s="170"/>
      <c r="O478" s="1087"/>
    </row>
    <row r="479" spans="1:16" ht="15" customHeight="1" x14ac:dyDescent="0.2">
      <c r="A479" s="303"/>
      <c r="B479" s="833">
        <f t="shared" si="325"/>
        <v>2.6</v>
      </c>
      <c r="C479" s="303" t="s">
        <v>2245</v>
      </c>
      <c r="D479" s="822"/>
      <c r="E479" s="161" t="str">
        <f>+_xlfn.XLOOKUP(C479,'BASE DATOS PRECIOS '!B:B,'BASE DATOS PRECIOS '!E:E)</f>
        <v>BISAGRA RECTA SLOW MOTION CLIP ON</v>
      </c>
      <c r="F479" s="174">
        <f>+'1_OG y 2_ACA'!D1704</f>
        <v>44</v>
      </c>
      <c r="G479" s="175" t="str">
        <f>+_xlfn.XLOOKUP(C479,'BASE DATOS PRECIOS '!B:B,'BASE DATOS PRECIOS '!F:F)</f>
        <v>UND</v>
      </c>
      <c r="H479" s="176">
        <f>+_xlfn.XLOOKUP(E479,'BASE DATOS PRECIOS '!E:E,'BASE DATOS PRECIOS '!H:H)</f>
        <v>487.38029999999998</v>
      </c>
      <c r="I479" s="175"/>
      <c r="J479" s="175"/>
      <c r="K479" s="176">
        <f t="shared" ref="K479:K512" si="337">+F479*H479</f>
        <v>21444.733199999999</v>
      </c>
      <c r="L479" s="176">
        <f t="shared" ref="L479:L512" si="338">+F479*I479</f>
        <v>0</v>
      </c>
      <c r="M479" s="176">
        <f t="shared" ref="M479:M512" si="339">+F479*J479</f>
        <v>0</v>
      </c>
      <c r="N479" s="176">
        <f t="shared" ref="N479:N512" si="340">SUM(K479:M479)</f>
        <v>21444.733199999999</v>
      </c>
      <c r="O479" s="1093">
        <f t="shared" ref="O479:O512" si="341">SUM(K479:M479)/tc</f>
        <v>41.640258640776693</v>
      </c>
    </row>
    <row r="480" spans="1:16" ht="15" customHeight="1" x14ac:dyDescent="0.2">
      <c r="A480" s="303"/>
      <c r="B480" s="833">
        <f t="shared" si="325"/>
        <v>2.6</v>
      </c>
      <c r="C480" s="782" t="s">
        <v>2096</v>
      </c>
      <c r="D480" s="837"/>
      <c r="E480" s="161" t="str">
        <f>+_xlfn.XLOOKUP(C480,'BASE DATOS PRECIOS '!B:B,'BASE DATOS PRECIOS '!E:E)</f>
        <v>PATA NIVELADORA PLASTICA 12 CM</v>
      </c>
      <c r="F480" s="174">
        <f>+'1_OG y 2_ACA'!D1705</f>
        <v>94</v>
      </c>
      <c r="G480" s="175" t="str">
        <f>+_xlfn.XLOOKUP(C480,'BASE DATOS PRECIOS '!B:B,'BASE DATOS PRECIOS '!F:F)</f>
        <v>UND</v>
      </c>
      <c r="H480" s="176">
        <f>+_xlfn.XLOOKUP(E480,'BASE DATOS PRECIOS '!E:E,'BASE DATOS PRECIOS '!H:H)</f>
        <v>200.54109999999997</v>
      </c>
      <c r="I480" s="175"/>
      <c r="J480" s="175"/>
      <c r="K480" s="176">
        <f t="shared" si="337"/>
        <v>18850.863399999998</v>
      </c>
      <c r="L480" s="176">
        <f t="shared" si="338"/>
        <v>0</v>
      </c>
      <c r="M480" s="176">
        <f t="shared" si="339"/>
        <v>0</v>
      </c>
      <c r="N480" s="176">
        <f t="shared" si="340"/>
        <v>18850.863399999998</v>
      </c>
      <c r="O480" s="1093">
        <f t="shared" si="341"/>
        <v>36.603618252427182</v>
      </c>
    </row>
    <row r="481" spans="1:15" ht="15" customHeight="1" x14ac:dyDescent="0.2">
      <c r="A481" s="303"/>
      <c r="B481" s="833">
        <f t="shared" si="325"/>
        <v>2.6</v>
      </c>
      <c r="C481" s="782" t="s">
        <v>2243</v>
      </c>
      <c r="D481" s="837"/>
      <c r="E481" s="161" t="str">
        <f>+_xlfn.XLOOKUP(C481,'BASE DATOS PRECIOS '!B:B,'BASE DATOS PRECIOS '!E:E)</f>
        <v>TIRADERA CILINDRICA CC:12.8CM</v>
      </c>
      <c r="F481" s="174">
        <f>+'1_OG y 2_ACA'!D1706</f>
        <v>48</v>
      </c>
      <c r="G481" s="175" t="str">
        <f>+_xlfn.XLOOKUP(C481,'BASE DATOS PRECIOS '!B:B,'BASE DATOS PRECIOS '!F:F)</f>
        <v>UND</v>
      </c>
      <c r="H481" s="176">
        <f>+_xlfn.XLOOKUP(E481,'BASE DATOS PRECIOS '!E:E,'BASE DATOS PRECIOS '!H:H)</f>
        <v>862.76629999999989</v>
      </c>
      <c r="I481" s="175"/>
      <c r="J481" s="175"/>
      <c r="K481" s="176">
        <f t="shared" si="337"/>
        <v>41412.782399999996</v>
      </c>
      <c r="L481" s="176">
        <f t="shared" si="338"/>
        <v>0</v>
      </c>
      <c r="M481" s="176">
        <f t="shared" si="339"/>
        <v>0</v>
      </c>
      <c r="N481" s="176">
        <f t="shared" si="340"/>
        <v>41412.782399999996</v>
      </c>
      <c r="O481" s="1093">
        <f t="shared" si="341"/>
        <v>80.413169708737854</v>
      </c>
    </row>
    <row r="482" spans="1:15" ht="15" customHeight="1" x14ac:dyDescent="0.2">
      <c r="A482" s="303"/>
      <c r="B482" s="833">
        <f t="shared" si="325"/>
        <v>2.6</v>
      </c>
      <c r="C482" s="782" t="s">
        <v>1947</v>
      </c>
      <c r="D482" s="837"/>
      <c r="E482" s="161" t="str">
        <f>+_xlfn.XLOOKUP(C482,'BASE DATOS PRECIOS '!B:B,'BASE DATOS PRECIOS '!E:E)</f>
        <v>SOPORTE LATERAL NIQUEL 3H+3TR</v>
      </c>
      <c r="F482" s="174">
        <f>+'1_OG y 2_ACA'!D1707</f>
        <v>44</v>
      </c>
      <c r="G482" s="175" t="str">
        <f>+_xlfn.XLOOKUP(C482,'BASE DATOS PRECIOS '!B:B,'BASE DATOS PRECIOS '!F:F)</f>
        <v>UND</v>
      </c>
      <c r="H482" s="176">
        <f>+_xlfn.XLOOKUP(E482,'BASE DATOS PRECIOS '!E:E,'BASE DATOS PRECIOS '!H:H)</f>
        <v>228.89279999999999</v>
      </c>
      <c r="I482" s="175"/>
      <c r="J482" s="175"/>
      <c r="K482" s="176">
        <f t="shared" si="337"/>
        <v>10071.2832</v>
      </c>
      <c r="L482" s="176">
        <f t="shared" si="338"/>
        <v>0</v>
      </c>
      <c r="M482" s="176">
        <f t="shared" si="339"/>
        <v>0</v>
      </c>
      <c r="N482" s="176">
        <f t="shared" si="340"/>
        <v>10071.2832</v>
      </c>
      <c r="O482" s="1093">
        <f t="shared" si="341"/>
        <v>19.555889708737865</v>
      </c>
    </row>
    <row r="483" spans="1:15" ht="15" customHeight="1" x14ac:dyDescent="0.2">
      <c r="A483" s="303"/>
      <c r="B483" s="833">
        <f t="shared" si="325"/>
        <v>2.6</v>
      </c>
      <c r="C483" s="782" t="s">
        <v>2242</v>
      </c>
      <c r="D483" s="837"/>
      <c r="E483" s="161" t="str">
        <f>+_xlfn.XLOOKUP(C483,'BASE DATOS PRECIOS '!B:B,'BASE DATOS PRECIOS '!E:E)</f>
        <v>TUBO OVAL P/CLOSET 3 MT</v>
      </c>
      <c r="F483" s="174">
        <f>+'1_OG y 2_ACA'!D1708</f>
        <v>11</v>
      </c>
      <c r="G483" s="175" t="str">
        <f>+_xlfn.XLOOKUP(C483,'BASE DATOS PRECIOS '!B:B,'BASE DATOS PRECIOS '!F:F)</f>
        <v>UND</v>
      </c>
      <c r="H483" s="176">
        <f>+_xlfn.XLOOKUP(E483,'BASE DATOS PRECIOS '!E:E,'BASE DATOS PRECIOS '!H:H)</f>
        <v>3598.5189</v>
      </c>
      <c r="I483" s="175"/>
      <c r="J483" s="175"/>
      <c r="K483" s="176">
        <f t="shared" si="337"/>
        <v>39583.707900000001</v>
      </c>
      <c r="L483" s="176">
        <f t="shared" si="338"/>
        <v>0</v>
      </c>
      <c r="M483" s="176">
        <f t="shared" si="339"/>
        <v>0</v>
      </c>
      <c r="N483" s="176">
        <f t="shared" si="340"/>
        <v>39583.707900000001</v>
      </c>
      <c r="O483" s="1093">
        <f t="shared" si="341"/>
        <v>76.861568737864076</v>
      </c>
    </row>
    <row r="484" spans="1:15" ht="15" customHeight="1" x14ac:dyDescent="0.2">
      <c r="A484" s="303"/>
      <c r="B484" s="833">
        <f t="shared" si="325"/>
        <v>2.6</v>
      </c>
      <c r="C484" s="782" t="s">
        <v>2244</v>
      </c>
      <c r="D484" s="837"/>
      <c r="E484" s="161" t="str">
        <f>+_xlfn.XLOOKUP(C484,'BASE DATOS PRECIOS '!B:B,'BASE DATOS PRECIOS '!E:E)</f>
        <v>RIEL TELESC SLOW MOTION LA 350M RS-C45GA-350 (14")</v>
      </c>
      <c r="F484" s="174">
        <f>+'1_OG y 2_ACA'!D1709</f>
        <v>22</v>
      </c>
      <c r="G484" s="175" t="str">
        <f>+_xlfn.XLOOKUP(C484,'BASE DATOS PRECIOS '!B:B,'BASE DATOS PRECIOS '!F:F)</f>
        <v>UND</v>
      </c>
      <c r="H484" s="176">
        <f>+_xlfn.XLOOKUP(E484,'BASE DATOS PRECIOS '!E:E,'BASE DATOS PRECIOS '!H:H)</f>
        <v>2770.6695999999997</v>
      </c>
      <c r="I484" s="175"/>
      <c r="J484" s="175"/>
      <c r="K484" s="176">
        <f t="shared" si="337"/>
        <v>60954.731199999995</v>
      </c>
      <c r="L484" s="176">
        <f t="shared" si="338"/>
        <v>0</v>
      </c>
      <c r="M484" s="176">
        <f t="shared" si="339"/>
        <v>0</v>
      </c>
      <c r="N484" s="176">
        <f t="shared" si="340"/>
        <v>60954.731199999995</v>
      </c>
      <c r="O484" s="1093">
        <f t="shared" si="341"/>
        <v>118.35870135922329</v>
      </c>
    </row>
    <row r="485" spans="1:15" ht="15" customHeight="1" x14ac:dyDescent="0.2">
      <c r="A485" s="303"/>
      <c r="B485" s="833">
        <f t="shared" si="325"/>
        <v>2.6</v>
      </c>
      <c r="C485" s="782" t="s">
        <v>2246</v>
      </c>
      <c r="D485" s="837"/>
      <c r="E485" s="161" t="str">
        <f>+_xlfn.XLOOKUP(C485,'BASE DATOS PRECIOS '!B:B,'BASE DATOS PRECIOS '!E:E)</f>
        <v>RIEL TELESCOPICO SLOW MOTION LA 450M RS-A45DT (18")</v>
      </c>
      <c r="F485" s="174">
        <f>+'1_OG y 2_ACA'!D1710</f>
        <v>6</v>
      </c>
      <c r="G485" s="175" t="str">
        <f>+_xlfn.XLOOKUP(C485,'BASE DATOS PRECIOS '!B:B,'BASE DATOS PRECIOS '!F:F)</f>
        <v>UND</v>
      </c>
      <c r="H485" s="176">
        <f>+_xlfn.XLOOKUP(E485,'BASE DATOS PRECIOS '!E:E,'BASE DATOS PRECIOS '!H:H)</f>
        <v>3311.2728999999995</v>
      </c>
      <c r="I485" s="175"/>
      <c r="J485" s="175"/>
      <c r="K485" s="176">
        <f t="shared" si="337"/>
        <v>19867.637399999996</v>
      </c>
      <c r="L485" s="176">
        <f t="shared" si="338"/>
        <v>0</v>
      </c>
      <c r="M485" s="176">
        <f t="shared" si="339"/>
        <v>0</v>
      </c>
      <c r="N485" s="176">
        <f t="shared" si="340"/>
        <v>19867.637399999996</v>
      </c>
      <c r="O485" s="1093">
        <f t="shared" si="341"/>
        <v>38.577936699029117</v>
      </c>
    </row>
    <row r="486" spans="1:15" x14ac:dyDescent="0.2">
      <c r="A486" s="303"/>
      <c r="B486" s="833">
        <f t="shared" si="325"/>
        <v>2.6</v>
      </c>
      <c r="C486" s="782" t="s">
        <v>1949</v>
      </c>
      <c r="D486" s="837"/>
      <c r="E486" s="161" t="str">
        <f>+_xlfn.XLOOKUP(C486,'BASE DATOS PRECIOS '!B:B,'BASE DATOS PRECIOS '!E:E)</f>
        <v>RODAPIE ALUMI INOX 150-300-ROD2 AL</v>
      </c>
      <c r="F486" s="174">
        <f>+'1_OG y 2_ACA'!D1711</f>
        <v>13.65</v>
      </c>
      <c r="G486" s="175" t="str">
        <f>+_xlfn.XLOOKUP(C486,'BASE DATOS PRECIOS '!B:B,'BASE DATOS PRECIOS '!F:F)</f>
        <v>M</v>
      </c>
      <c r="H486" s="176">
        <f>+_xlfn.XLOOKUP(E486,'BASE DATOS PRECIOS '!E:E,'BASE DATOS PRECIOS '!H:H)</f>
        <v>2353.5671388888886</v>
      </c>
      <c r="I486" s="175"/>
      <c r="J486" s="175"/>
      <c r="K486" s="176">
        <f t="shared" si="337"/>
        <v>32126.19144583333</v>
      </c>
      <c r="L486" s="176">
        <f t="shared" si="338"/>
        <v>0</v>
      </c>
      <c r="M486" s="176">
        <f t="shared" si="339"/>
        <v>0</v>
      </c>
      <c r="N486" s="176">
        <f t="shared" si="340"/>
        <v>32126.19144583333</v>
      </c>
      <c r="O486" s="1093">
        <f t="shared" si="341"/>
        <v>62.380954263754042</v>
      </c>
    </row>
    <row r="487" spans="1:15" ht="15" customHeight="1" x14ac:dyDescent="0.2">
      <c r="A487" s="303"/>
      <c r="B487" s="833">
        <f t="shared" si="325"/>
        <v>2.6</v>
      </c>
      <c r="C487" s="782" t="s">
        <v>1946</v>
      </c>
      <c r="D487" s="837"/>
      <c r="E487" s="161" t="str">
        <f>+_xlfn.XLOOKUP(C487,'BASE DATOS PRECIOS '!B:B,'BASE DATOS PRECIOS '!E:E)</f>
        <v>SET CORREDIZO DOBLE DUCASSE P/CLOSET</v>
      </c>
      <c r="F487" s="174">
        <f>+'1_OG y 2_ACA'!D1712</f>
        <v>18</v>
      </c>
      <c r="G487" s="175" t="str">
        <f>+_xlfn.XLOOKUP(C487,'BASE DATOS PRECIOS '!B:B,'BASE DATOS PRECIOS '!F:F)</f>
        <v>UND</v>
      </c>
      <c r="H487" s="176">
        <f>+_xlfn.XLOOKUP(E487,'BASE DATOS PRECIOS '!E:E,'BASE DATOS PRECIOS '!H:H)</f>
        <v>4320.0012999999999</v>
      </c>
      <c r="I487" s="175"/>
      <c r="J487" s="175"/>
      <c r="K487" s="176">
        <f t="shared" si="337"/>
        <v>77760.023400000005</v>
      </c>
      <c r="L487" s="176">
        <f t="shared" si="338"/>
        <v>0</v>
      </c>
      <c r="M487" s="176">
        <f t="shared" si="339"/>
        <v>0</v>
      </c>
      <c r="N487" s="176">
        <f t="shared" si="340"/>
        <v>77760.023400000005</v>
      </c>
      <c r="O487" s="1093">
        <f t="shared" si="341"/>
        <v>150.99033669902914</v>
      </c>
    </row>
    <row r="488" spans="1:15" ht="15" customHeight="1" x14ac:dyDescent="0.2">
      <c r="A488" s="303"/>
      <c r="B488" s="833">
        <f t="shared" si="325"/>
        <v>2.6</v>
      </c>
      <c r="C488" s="782" t="s">
        <v>1945</v>
      </c>
      <c r="D488" s="837"/>
      <c r="E488" s="161" t="str">
        <f>+_xlfn.XLOOKUP(C488,'BASE DATOS PRECIOS '!B:B,'BASE DATOS PRECIOS '!E:E)</f>
        <v>DEDALES PARA PUERTA CORREDIZA</v>
      </c>
      <c r="F488" s="174">
        <f>+'1_OG y 2_ACA'!D1713</f>
        <v>18</v>
      </c>
      <c r="G488" s="175" t="str">
        <f>+_xlfn.XLOOKUP(C488,'BASE DATOS PRECIOS '!B:B,'BASE DATOS PRECIOS '!F:F)</f>
        <v>UND</v>
      </c>
      <c r="H488" s="176">
        <f>+_xlfn.XLOOKUP(E488,'BASE DATOS PRECIOS '!E:E,'BASE DATOS PRECIOS '!H:H)</f>
        <v>940.27299999999991</v>
      </c>
      <c r="I488" s="175"/>
      <c r="J488" s="175"/>
      <c r="K488" s="176">
        <f t="shared" si="337"/>
        <v>16924.913999999997</v>
      </c>
      <c r="L488" s="176">
        <f t="shared" si="338"/>
        <v>0</v>
      </c>
      <c r="M488" s="176">
        <f t="shared" si="339"/>
        <v>0</v>
      </c>
      <c r="N488" s="176">
        <f t="shared" si="340"/>
        <v>16924.913999999997</v>
      </c>
      <c r="O488" s="1093">
        <f t="shared" si="341"/>
        <v>32.863910679611642</v>
      </c>
    </row>
    <row r="489" spans="1:15" ht="15" customHeight="1" x14ac:dyDescent="0.2">
      <c r="A489" s="303"/>
      <c r="B489" s="833">
        <f t="shared" si="325"/>
        <v>2.6</v>
      </c>
      <c r="C489" s="120" t="s">
        <v>2685</v>
      </c>
      <c r="D489" s="838"/>
      <c r="E489" s="161" t="str">
        <f>+_xlfn.XLOOKUP(C489,'BASE DATOS PRECIOS '!B:B,'BASE DATOS PRECIOS '!E:E)</f>
        <v>MELAMINA 18X1830X2500</v>
      </c>
      <c r="F489" s="174">
        <f>'1_OG y 2_ACA'!F1714</f>
        <v>29</v>
      </c>
      <c r="G489" s="175" t="str">
        <f>+_xlfn.XLOOKUP(C489,'BASE DATOS PRECIOS '!B:B,'BASE DATOS PRECIOS '!F:F)</f>
        <v>UND</v>
      </c>
      <c r="H489" s="176">
        <f>+_xlfn.XLOOKUP(E489,'BASE DATOS PRECIOS '!E:E,'BASE DATOS PRECIOS '!H:H)*1.1</f>
        <v>42038.26</v>
      </c>
      <c r="I489" s="175"/>
      <c r="J489" s="175"/>
      <c r="K489" s="176">
        <f t="shared" si="337"/>
        <v>1219109.54</v>
      </c>
      <c r="L489" s="176">
        <f t="shared" si="338"/>
        <v>0</v>
      </c>
      <c r="M489" s="176">
        <f t="shared" si="339"/>
        <v>0</v>
      </c>
      <c r="N489" s="176">
        <f t="shared" si="340"/>
        <v>1219109.54</v>
      </c>
      <c r="O489" s="1093">
        <f t="shared" si="341"/>
        <v>2367.2029902912623</v>
      </c>
    </row>
    <row r="490" spans="1:15" ht="15" customHeight="1" x14ac:dyDescent="0.2">
      <c r="A490" s="303"/>
      <c r="B490" s="833">
        <f t="shared" si="325"/>
        <v>2.6</v>
      </c>
      <c r="C490" s="782" t="s">
        <v>2247</v>
      </c>
      <c r="D490" s="837"/>
      <c r="E490" s="161" t="str">
        <f>+_xlfn.XLOOKUP(C490,'BASE DATOS PRECIOS '!B:B,'BASE DATOS PRECIOS '!E:E)</f>
        <v>TAPETA 22X0.45MM</v>
      </c>
      <c r="F490" s="174">
        <f>+ROUNDUP('1_OG y 2_ACA'!D1715,0)</f>
        <v>94</v>
      </c>
      <c r="G490" s="175" t="str">
        <f>+_xlfn.XLOOKUP(C490,'BASE DATOS PRECIOS '!B:B,'BASE DATOS PRECIOS '!F:F)</f>
        <v>M</v>
      </c>
      <c r="H490" s="176">
        <f>+_xlfn.XLOOKUP(E490,'BASE DATOS PRECIOS '!E:E,'BASE DATOS PRECIOS '!H:H)</f>
        <v>91.04816799999999</v>
      </c>
      <c r="I490" s="175"/>
      <c r="J490" s="175"/>
      <c r="K490" s="176">
        <f t="shared" si="337"/>
        <v>8558.527791999999</v>
      </c>
      <c r="L490" s="176">
        <f t="shared" si="338"/>
        <v>0</v>
      </c>
      <c r="M490" s="176">
        <f t="shared" si="339"/>
        <v>0</v>
      </c>
      <c r="N490" s="176">
        <f t="shared" si="340"/>
        <v>8558.527791999999</v>
      </c>
      <c r="O490" s="1093">
        <f t="shared" si="341"/>
        <v>16.618500566990289</v>
      </c>
    </row>
    <row r="491" spans="1:15" ht="15" customHeight="1" x14ac:dyDescent="0.2">
      <c r="A491" s="303"/>
      <c r="B491" s="833">
        <f t="shared" si="325"/>
        <v>2.6</v>
      </c>
      <c r="C491" s="120" t="s">
        <v>2241</v>
      </c>
      <c r="D491" s="838"/>
      <c r="E491" s="161" t="str">
        <f>+_xlfn.XLOOKUP(C491,'BASE DATOS PRECIOS '!B:B,'BASE DATOS PRECIOS '!E:E)</f>
        <v>RIEL SUPERI ACL-RSU09 3MTRS</v>
      </c>
      <c r="F491" s="174">
        <f>+'1_OG y 2_ACA'!D1716</f>
        <v>9</v>
      </c>
      <c r="G491" s="175" t="str">
        <f>+_xlfn.XLOOKUP(C491,'BASE DATOS PRECIOS '!B:B,'BASE DATOS PRECIOS '!F:F)</f>
        <v>UND</v>
      </c>
      <c r="H491" s="176">
        <f>+_xlfn.XLOOKUP(E491,'BASE DATOS PRECIOS '!E:E,'BASE DATOS PRECIOS '!H:H)</f>
        <v>10776.617899999999</v>
      </c>
      <c r="I491" s="175"/>
      <c r="J491" s="175"/>
      <c r="K491" s="176">
        <f t="shared" si="337"/>
        <v>96989.561099999992</v>
      </c>
      <c r="L491" s="176">
        <f t="shared" si="338"/>
        <v>0</v>
      </c>
      <c r="M491" s="176">
        <f t="shared" si="339"/>
        <v>0</v>
      </c>
      <c r="N491" s="176">
        <f t="shared" si="340"/>
        <v>96989.561099999992</v>
      </c>
      <c r="O491" s="1093">
        <f t="shared" si="341"/>
        <v>188.32924485436891</v>
      </c>
    </row>
    <row r="492" spans="1:15" ht="15" customHeight="1" x14ac:dyDescent="0.2">
      <c r="A492" s="303"/>
      <c r="B492" s="833">
        <f t="shared" si="325"/>
        <v>2.6</v>
      </c>
      <c r="C492" s="789" t="s">
        <v>1349</v>
      </c>
      <c r="D492" s="205"/>
      <c r="E492" s="206" t="str">
        <f>+_xlfn.XLOOKUP(C492,'BASE DATOS EQUIPOS Y SUBCONTRAT'!A:A,'BASE DATOS EQUIPOS Y SUBCONTRAT'!B:B)</f>
        <v xml:space="preserve">GRANITO CON INSTALACION </v>
      </c>
      <c r="F492" s="207">
        <f>ROUNDUP('1_OG y 2_ACA'!D1701,0)</f>
        <v>4</v>
      </c>
      <c r="G492" s="208" t="str">
        <f>+_xlfn.XLOOKUP(C492,'BASE DATOS EQUIPOS Y SUBCONTRAT'!A:A,'BASE DATOS EQUIPOS Y SUBCONTRAT'!C:C)</f>
        <v xml:space="preserve">M </v>
      </c>
      <c r="H492" s="209">
        <v>0</v>
      </c>
      <c r="I492" s="208"/>
      <c r="J492" s="209">
        <v>67000</v>
      </c>
      <c r="K492" s="209">
        <f t="shared" si="337"/>
        <v>0</v>
      </c>
      <c r="L492" s="209">
        <f t="shared" si="338"/>
        <v>0</v>
      </c>
      <c r="M492" s="209">
        <f t="shared" si="339"/>
        <v>268000</v>
      </c>
      <c r="N492" s="209">
        <f t="shared" si="340"/>
        <v>268000</v>
      </c>
      <c r="O492" s="1092">
        <f t="shared" si="341"/>
        <v>520.38834951456306</v>
      </c>
    </row>
    <row r="493" spans="1:15" ht="15" customHeight="1" x14ac:dyDescent="0.2">
      <c r="A493" s="303"/>
      <c r="B493" s="833">
        <f t="shared" si="325"/>
        <v>2.6</v>
      </c>
      <c r="C493" s="782" t="s">
        <v>2100</v>
      </c>
      <c r="D493" s="837"/>
      <c r="E493" s="161" t="str">
        <f>+_xlfn.XLOOKUP(C493,'BASE DATOS PRECIOS '!B:B,'BASE DATOS PRECIOS '!E:E)</f>
        <v>TAPA TORNILLO (100)</v>
      </c>
      <c r="F493" s="174">
        <f>+'1_OG y 2_ACA'!D1718</f>
        <v>12</v>
      </c>
      <c r="G493" s="175" t="str">
        <f>+_xlfn.XLOOKUP(C493,'BASE DATOS PRECIOS '!B:B,'BASE DATOS PRECIOS '!F:F)</f>
        <v>UND</v>
      </c>
      <c r="H493" s="176">
        <f>+_xlfn.XLOOKUP(E493,'BASE DATOS PRECIOS '!E:E,'BASE DATOS PRECIOS '!H:H)</f>
        <v>3502.9999999999995</v>
      </c>
      <c r="I493" s="175"/>
      <c r="J493" s="175"/>
      <c r="K493" s="176">
        <f t="shared" si="337"/>
        <v>42035.999999999993</v>
      </c>
      <c r="L493" s="176">
        <f t="shared" si="338"/>
        <v>0</v>
      </c>
      <c r="M493" s="176">
        <f t="shared" si="339"/>
        <v>0</v>
      </c>
      <c r="N493" s="176">
        <f t="shared" si="340"/>
        <v>42035.999999999993</v>
      </c>
      <c r="O493" s="1093">
        <f t="shared" si="341"/>
        <v>81.623300970873771</v>
      </c>
    </row>
    <row r="494" spans="1:15" ht="15" customHeight="1" x14ac:dyDescent="0.2">
      <c r="A494" s="303"/>
      <c r="B494" s="833">
        <f t="shared" si="325"/>
        <v>2.6</v>
      </c>
      <c r="C494" s="120" t="s">
        <v>2656</v>
      </c>
      <c r="D494" s="838"/>
      <c r="E494" s="161" t="str">
        <f>+_xlfn.XLOOKUP(C494,'BASE DATOS PRECIOS '!B:B,'BASE DATOS PRECIOS '!E:E)</f>
        <v>TORNILLO P/MADERA 2X0.6MM NEGRO ROSCA ORDINARIA</v>
      </c>
      <c r="F494" s="174">
        <f>+'1_OG y 2_ACA'!D1719</f>
        <v>1500</v>
      </c>
      <c r="G494" s="175" t="str">
        <f>+_xlfn.XLOOKUP(C494,'BASE DATOS PRECIOS '!B:B,'BASE DATOS PRECIOS '!F:F)</f>
        <v>UND</v>
      </c>
      <c r="H494" s="176">
        <f>+_xlfn.XLOOKUP(E494,'BASE DATOS PRECIOS '!E:E,'BASE DATOS PRECIOS '!H:H)</f>
        <v>10.904499999999999</v>
      </c>
      <c r="I494" s="175"/>
      <c r="J494" s="175"/>
      <c r="K494" s="176">
        <f t="shared" si="337"/>
        <v>16356.749999999998</v>
      </c>
      <c r="L494" s="176">
        <f t="shared" si="338"/>
        <v>0</v>
      </c>
      <c r="M494" s="176">
        <f t="shared" si="339"/>
        <v>0</v>
      </c>
      <c r="N494" s="176">
        <f t="shared" si="340"/>
        <v>16356.749999999998</v>
      </c>
      <c r="O494" s="1093">
        <f t="shared" si="341"/>
        <v>31.760679611650481</v>
      </c>
    </row>
    <row r="495" spans="1:15" ht="15" customHeight="1" x14ac:dyDescent="0.2">
      <c r="A495" s="303"/>
      <c r="B495" s="833">
        <f t="shared" si="325"/>
        <v>2.6</v>
      </c>
      <c r="C495" s="782" t="s">
        <v>2668</v>
      </c>
      <c r="D495" s="837"/>
      <c r="E495" s="161" t="str">
        <f>+_xlfn.XLOOKUP(C495,'BASE DATOS PRECIOS '!B:B,'BASE DATOS PRECIOS '!E:E)</f>
        <v>TORNILLO P/MADERA 3/4X0.6MM NEGRO ROSCA ORDINARIA</v>
      </c>
      <c r="F495" s="174">
        <f>+'1_OG y 2_ACA'!D1720</f>
        <v>300</v>
      </c>
      <c r="G495" s="175" t="str">
        <f>+_xlfn.XLOOKUP(C495,'BASE DATOS PRECIOS '!B:B,'BASE DATOS PRECIOS '!F:F)</f>
        <v>UND</v>
      </c>
      <c r="H495" s="176">
        <f>+_xlfn.XLOOKUP(E495,'BASE DATOS PRECIOS '!E:E,'BASE DATOS PRECIOS '!H:H)</f>
        <v>5.4466000000000001</v>
      </c>
      <c r="I495" s="175"/>
      <c r="J495" s="175"/>
      <c r="K495" s="176">
        <f t="shared" si="337"/>
        <v>1633.98</v>
      </c>
      <c r="L495" s="176">
        <f t="shared" si="338"/>
        <v>0</v>
      </c>
      <c r="M495" s="176">
        <f t="shared" si="339"/>
        <v>0</v>
      </c>
      <c r="N495" s="176">
        <f t="shared" si="340"/>
        <v>1633.98</v>
      </c>
      <c r="O495" s="1093">
        <f t="shared" si="341"/>
        <v>3.1727766990291264</v>
      </c>
    </row>
    <row r="496" spans="1:15" ht="15" customHeight="1" x14ac:dyDescent="0.2">
      <c r="A496" s="303"/>
      <c r="B496" s="833">
        <f t="shared" si="325"/>
        <v>2.6</v>
      </c>
      <c r="C496" s="782" t="s">
        <v>2667</v>
      </c>
      <c r="D496" s="837"/>
      <c r="E496" s="161" t="str">
        <f>+_xlfn.XLOOKUP(C496,'BASE DATOS PRECIOS '!B:B,'BASE DATOS PRECIOS '!E:E)</f>
        <v>TORNILLO P/MADERA 2 1/2X0.8MM AMARILLO ROSCA ORDINARIA</v>
      </c>
      <c r="F496" s="174">
        <f>+'1_OG y 2_ACA'!D1721</f>
        <v>300</v>
      </c>
      <c r="G496" s="175" t="str">
        <f>+_xlfn.XLOOKUP(C496,'BASE DATOS PRECIOS '!B:B,'BASE DATOS PRECIOS '!F:F)</f>
        <v>UND</v>
      </c>
      <c r="H496" s="176">
        <f>+_xlfn.XLOOKUP(E496,'BASE DATOS PRECIOS '!E:E,'BASE DATOS PRECIOS '!H:H)</f>
        <v>26.724499999999995</v>
      </c>
      <c r="I496" s="175"/>
      <c r="J496" s="175"/>
      <c r="K496" s="176">
        <f t="shared" si="337"/>
        <v>8017.3499999999985</v>
      </c>
      <c r="L496" s="176">
        <f t="shared" si="338"/>
        <v>0</v>
      </c>
      <c r="M496" s="176">
        <f t="shared" si="339"/>
        <v>0</v>
      </c>
      <c r="N496" s="176">
        <f t="shared" si="340"/>
        <v>8017.3499999999985</v>
      </c>
      <c r="O496" s="1093">
        <f t="shared" si="341"/>
        <v>15.567669902912618</v>
      </c>
    </row>
    <row r="497" spans="1:15" ht="15" customHeight="1" x14ac:dyDescent="0.2">
      <c r="A497" s="303"/>
      <c r="B497" s="833">
        <f t="shared" si="325"/>
        <v>2.6</v>
      </c>
      <c r="C497" s="782" t="s">
        <v>2657</v>
      </c>
      <c r="D497" s="837"/>
      <c r="E497" s="161" t="str">
        <f>+_xlfn.XLOOKUP(C497,'BASE DATOS PRECIOS '!B:B,'BASE DATOS PRECIOS '!E:E)</f>
        <v>TORNILLO P/MADERA 1 1/4X0.6MM NEGRO ROSCA ORDINARIA</v>
      </c>
      <c r="F497" s="174">
        <f>+'1_OG y 2_ACA'!D1722</f>
        <v>100</v>
      </c>
      <c r="G497" s="175" t="str">
        <f>+_xlfn.XLOOKUP(C497,'BASE DATOS PRECIOS '!B:B,'BASE DATOS PRECIOS '!F:F)</f>
        <v>UND</v>
      </c>
      <c r="H497" s="176">
        <f>+_xlfn.XLOOKUP(E497,'BASE DATOS PRECIOS '!E:E,'BASE DATOS PRECIOS '!H:H)</f>
        <v>7.0850999999999988</v>
      </c>
      <c r="I497" s="175"/>
      <c r="J497" s="175"/>
      <c r="K497" s="176">
        <f t="shared" si="337"/>
        <v>708.50999999999988</v>
      </c>
      <c r="L497" s="176">
        <f t="shared" si="338"/>
        <v>0</v>
      </c>
      <c r="M497" s="176">
        <f t="shared" si="339"/>
        <v>0</v>
      </c>
      <c r="N497" s="176">
        <f t="shared" si="340"/>
        <v>708.50999999999988</v>
      </c>
      <c r="O497" s="1093">
        <f t="shared" si="341"/>
        <v>1.3757475728155337</v>
      </c>
    </row>
    <row r="498" spans="1:15" ht="15" customHeight="1" x14ac:dyDescent="0.2">
      <c r="A498" s="303"/>
      <c r="B498" s="833">
        <f t="shared" si="325"/>
        <v>2.6</v>
      </c>
      <c r="C498" s="782" t="s">
        <v>2568</v>
      </c>
      <c r="D498" s="837"/>
      <c r="E498" s="161" t="str">
        <f>+_xlfn.XLOOKUP(C498,'BASE DATOS PRECIOS '!B:B,'BASE DATOS PRECIOS '!E:E)</f>
        <v>ESPANDER PLASTICO #8</v>
      </c>
      <c r="F498" s="174">
        <f>+'1_OG y 2_ACA'!D1723</f>
        <v>50</v>
      </c>
      <c r="G498" s="175" t="str">
        <f>+_xlfn.XLOOKUP(C498,'BASE DATOS PRECIOS '!B:B,'BASE DATOS PRECIOS '!F:F)</f>
        <v>UND</v>
      </c>
      <c r="H498" s="176">
        <f>+_xlfn.XLOOKUP(E498,'BASE DATOS PRECIOS '!E:E,'BASE DATOS PRECIOS '!H:H)</f>
        <v>5.5482999999999993</v>
      </c>
      <c r="I498" s="175"/>
      <c r="J498" s="175"/>
      <c r="K498" s="176">
        <f t="shared" si="337"/>
        <v>277.41499999999996</v>
      </c>
      <c r="L498" s="176">
        <f t="shared" si="338"/>
        <v>0</v>
      </c>
      <c r="M498" s="176">
        <f t="shared" si="339"/>
        <v>0</v>
      </c>
      <c r="N498" s="176">
        <f t="shared" si="340"/>
        <v>277.41499999999996</v>
      </c>
      <c r="O498" s="1093">
        <f t="shared" si="341"/>
        <v>0.53866990291262129</v>
      </c>
    </row>
    <row r="499" spans="1:15" ht="15" customHeight="1" x14ac:dyDescent="0.2">
      <c r="A499" s="303"/>
      <c r="B499" s="833">
        <f t="shared" si="325"/>
        <v>2.6</v>
      </c>
      <c r="C499" s="120" t="s">
        <v>2656</v>
      </c>
      <c r="D499" s="838"/>
      <c r="E499" s="161" t="str">
        <f>+_xlfn.XLOOKUP(C499,'BASE DATOS PRECIOS '!B:B,'BASE DATOS PRECIOS '!E:E)</f>
        <v>TORNILLO P/MADERA 2X0.6MM NEGRO ROSCA ORDINARIA</v>
      </c>
      <c r="F499" s="174">
        <f>+'1_OG y 2_ACA'!D1724</f>
        <v>75</v>
      </c>
      <c r="G499" s="175" t="str">
        <f>+_xlfn.XLOOKUP(C499,'BASE DATOS PRECIOS '!B:B,'BASE DATOS PRECIOS '!F:F)</f>
        <v>UND</v>
      </c>
      <c r="H499" s="176">
        <f>+_xlfn.XLOOKUP(E499,'BASE DATOS PRECIOS '!E:E,'BASE DATOS PRECIOS '!H:H)</f>
        <v>10.904499999999999</v>
      </c>
      <c r="I499" s="175"/>
      <c r="J499" s="175"/>
      <c r="K499" s="176">
        <f t="shared" si="337"/>
        <v>817.83749999999986</v>
      </c>
      <c r="L499" s="176">
        <f t="shared" si="338"/>
        <v>0</v>
      </c>
      <c r="M499" s="176">
        <f t="shared" si="339"/>
        <v>0</v>
      </c>
      <c r="N499" s="176">
        <f t="shared" si="340"/>
        <v>817.83749999999986</v>
      </c>
      <c r="O499" s="1093">
        <f t="shared" si="341"/>
        <v>1.5880339805825241</v>
      </c>
    </row>
    <row r="500" spans="1:15" ht="15" customHeight="1" x14ac:dyDescent="0.2">
      <c r="A500" s="303"/>
      <c r="B500" s="833">
        <f t="shared" si="325"/>
        <v>2.6</v>
      </c>
      <c r="C500" s="782" t="s">
        <v>2253</v>
      </c>
      <c r="D500" s="837"/>
      <c r="E500" s="161" t="str">
        <f>+_xlfn.XLOOKUP(C500,'BASE DATOS PRECIOS '!B:B,'BASE DATOS PRECIOS '!E:E)</f>
        <v>CLAVO NEGRO 1" (100)</v>
      </c>
      <c r="F500" s="174">
        <f>+'1_OG y 2_ACA'!D1725</f>
        <v>1</v>
      </c>
      <c r="G500" s="175" t="str">
        <f>+_xlfn.XLOOKUP(C500,'BASE DATOS PRECIOS '!B:B,'BASE DATOS PRECIOS '!F:F)</f>
        <v>CAJA</v>
      </c>
      <c r="H500" s="176">
        <f>+_xlfn.XLOOKUP(E500,'BASE DATOS PRECIOS '!E:E,'BASE DATOS PRECIOS '!H:H)</f>
        <v>475.6961</v>
      </c>
      <c r="I500" s="175"/>
      <c r="J500" s="175"/>
      <c r="K500" s="176">
        <f t="shared" si="337"/>
        <v>475.6961</v>
      </c>
      <c r="L500" s="176">
        <f t="shared" si="338"/>
        <v>0</v>
      </c>
      <c r="M500" s="176">
        <f t="shared" si="339"/>
        <v>0</v>
      </c>
      <c r="N500" s="176">
        <f t="shared" si="340"/>
        <v>475.6961</v>
      </c>
      <c r="O500" s="1093">
        <f t="shared" si="341"/>
        <v>0.92368174757281551</v>
      </c>
    </row>
    <row r="501" spans="1:15" ht="15" customHeight="1" x14ac:dyDescent="0.2">
      <c r="A501" s="303"/>
      <c r="B501" s="833">
        <f t="shared" si="325"/>
        <v>2.6</v>
      </c>
      <c r="C501" s="782" t="s">
        <v>2191</v>
      </c>
      <c r="D501" s="837"/>
      <c r="E501" s="161" t="str">
        <f>+_xlfn.XLOOKUP(C501,'BASE DATOS PRECIOS '!B:B,'BASE DATOS PRECIOS '!E:E)</f>
        <v>ESPUMA EXPANSIVA 750ML</v>
      </c>
      <c r="F501" s="174">
        <f>+'1_OG y 2_ACA'!D1726</f>
        <v>4</v>
      </c>
      <c r="G501" s="175" t="str">
        <f>+_xlfn.XLOOKUP(C501,'BASE DATOS PRECIOS '!B:B,'BASE DATOS PRECIOS '!F:F)</f>
        <v>UND</v>
      </c>
      <c r="H501" s="176">
        <f>+_xlfn.XLOOKUP(E501,'BASE DATOS PRECIOS '!E:E,'BASE DATOS PRECIOS '!H:H)</f>
        <v>6420.0045999999993</v>
      </c>
      <c r="I501" s="175"/>
      <c r="J501" s="175"/>
      <c r="K501" s="176">
        <f t="shared" si="337"/>
        <v>25680.018399999997</v>
      </c>
      <c r="L501" s="176">
        <f t="shared" si="338"/>
        <v>0</v>
      </c>
      <c r="M501" s="176">
        <f t="shared" si="339"/>
        <v>0</v>
      </c>
      <c r="N501" s="176">
        <f t="shared" si="340"/>
        <v>25680.018399999997</v>
      </c>
      <c r="O501" s="1093">
        <f t="shared" si="341"/>
        <v>49.864113398058244</v>
      </c>
    </row>
    <row r="502" spans="1:15" ht="15" customHeight="1" x14ac:dyDescent="0.2">
      <c r="A502" s="303"/>
      <c r="B502" s="833">
        <f t="shared" si="325"/>
        <v>2.6</v>
      </c>
      <c r="C502" s="784" t="s">
        <v>2217</v>
      </c>
      <c r="D502" s="795"/>
      <c r="E502" s="161" t="str">
        <f>+_xlfn.XLOOKUP(C502,'BASE DATOS PRECIOS '!B:B,'BASE DATOS PRECIOS '!E:E)</f>
        <v>ESQUINERO PLASTICO 1 1/4X10</v>
      </c>
      <c r="F502" s="174">
        <f>+'1_OG y 2_ACA'!D1727</f>
        <v>15</v>
      </c>
      <c r="G502" s="175" t="str">
        <f>+_xlfn.XLOOKUP(C502,'BASE DATOS PRECIOS '!B:B,'BASE DATOS PRECIOS '!F:F)</f>
        <v>UND</v>
      </c>
      <c r="H502" s="176">
        <f>+_xlfn.XLOOKUP(E502,'BASE DATOS PRECIOS '!E:E,'BASE DATOS PRECIOS '!H:H)</f>
        <v>942.42</v>
      </c>
      <c r="I502" s="175"/>
      <c r="J502" s="175"/>
      <c r="K502" s="176">
        <f t="shared" si="337"/>
        <v>14136.3</v>
      </c>
      <c r="L502" s="176">
        <f t="shared" si="338"/>
        <v>0</v>
      </c>
      <c r="M502" s="176">
        <f t="shared" si="339"/>
        <v>0</v>
      </c>
      <c r="N502" s="176">
        <f t="shared" si="340"/>
        <v>14136.3</v>
      </c>
      <c r="O502" s="1093">
        <f t="shared" si="341"/>
        <v>27.449126213592233</v>
      </c>
    </row>
    <row r="503" spans="1:15" ht="15" customHeight="1" x14ac:dyDescent="0.2">
      <c r="A503" s="303"/>
      <c r="B503" s="833">
        <f t="shared" si="325"/>
        <v>2.6</v>
      </c>
      <c r="C503" s="784" t="s">
        <v>1948</v>
      </c>
      <c r="D503" s="795"/>
      <c r="E503" s="161" t="str">
        <f>+_xlfn.XLOOKUP(C503,'BASE DATOS PRECIOS '!B:B,'BASE DATOS PRECIOS '!E:E)</f>
        <v>SOPORTE P/ESTANTE TRANS 5MM SP-1-PL-HU</v>
      </c>
      <c r="F503" s="174">
        <f>+'1_OG y 2_ACA'!D1728</f>
        <v>16</v>
      </c>
      <c r="G503" s="175" t="str">
        <f>+_xlfn.XLOOKUP(C503,'BASE DATOS PRECIOS '!B:B,'BASE DATOS PRECIOS '!F:F)</f>
        <v>UND</v>
      </c>
      <c r="H503" s="176">
        <f>+_xlfn.XLOOKUP(E503,'BASE DATOS PRECIOS '!E:E,'BASE DATOS PRECIOS '!H:H)</f>
        <v>21.345699999999997</v>
      </c>
      <c r="I503" s="175"/>
      <c r="J503" s="175"/>
      <c r="K503" s="176">
        <f t="shared" si="337"/>
        <v>341.53119999999996</v>
      </c>
      <c r="L503" s="176">
        <f t="shared" si="338"/>
        <v>0</v>
      </c>
      <c r="M503" s="176">
        <f t="shared" si="339"/>
        <v>0</v>
      </c>
      <c r="N503" s="176">
        <f t="shared" si="340"/>
        <v>341.53119999999996</v>
      </c>
      <c r="O503" s="1093">
        <f t="shared" si="341"/>
        <v>0.66316737864077657</v>
      </c>
    </row>
    <row r="504" spans="1:15" ht="15" customHeight="1" x14ac:dyDescent="0.2">
      <c r="A504" s="303"/>
      <c r="B504" s="833">
        <f t="shared" si="325"/>
        <v>2.6</v>
      </c>
      <c r="C504" s="784" t="s">
        <v>2239</v>
      </c>
      <c r="D504" s="795"/>
      <c r="E504" s="161" t="str">
        <f>+_xlfn.XLOOKUP(C504,'BASE DATOS PRECIOS '!B:B,'BASE DATOS PRECIOS '!E:E)</f>
        <v>MASKING BLANCO 2"</v>
      </c>
      <c r="F504" s="174">
        <f>+'1_OG y 2_ACA'!D1729</f>
        <v>1</v>
      </c>
      <c r="G504" s="175" t="str">
        <f>+_xlfn.XLOOKUP(C504,'BASE DATOS PRECIOS '!B:B,'BASE DATOS PRECIOS '!F:F)</f>
        <v>UND</v>
      </c>
      <c r="H504" s="176">
        <f>+_xlfn.XLOOKUP(E504,'BASE DATOS PRECIOS '!E:E,'BASE DATOS PRECIOS '!H:H)</f>
        <v>2885.0029999999997</v>
      </c>
      <c r="I504" s="175"/>
      <c r="J504" s="175"/>
      <c r="K504" s="176">
        <f t="shared" si="337"/>
        <v>2885.0029999999997</v>
      </c>
      <c r="L504" s="176">
        <f t="shared" si="338"/>
        <v>0</v>
      </c>
      <c r="M504" s="176">
        <f t="shared" si="339"/>
        <v>0</v>
      </c>
      <c r="N504" s="176">
        <f t="shared" si="340"/>
        <v>2885.0029999999997</v>
      </c>
      <c r="O504" s="1093">
        <f t="shared" si="341"/>
        <v>5.6019475728155337</v>
      </c>
    </row>
    <row r="505" spans="1:15" ht="15" customHeight="1" x14ac:dyDescent="0.2">
      <c r="A505" s="303"/>
      <c r="B505" s="833">
        <f t="shared" si="325"/>
        <v>2.6</v>
      </c>
      <c r="C505" s="782" t="s">
        <v>2182</v>
      </c>
      <c r="D505" s="837"/>
      <c r="E505" s="161" t="str">
        <f>+_xlfn.XLOOKUP(C505,'BASE DATOS PRECIOS '!B:B,'BASE DATOS PRECIOS '!E:E)</f>
        <v>MECHA BLANCA</v>
      </c>
      <c r="F505" s="174">
        <f>+'1_OG y 2_ACA'!D1730</f>
        <v>1</v>
      </c>
      <c r="G505" s="175" t="str">
        <f>+_xlfn.XLOOKUP(C505,'BASE DATOS PRECIOS '!B:B,'BASE DATOS PRECIOS '!F:F)</f>
        <v>KG</v>
      </c>
      <c r="H505" s="176">
        <f>+_xlfn.XLOOKUP(E505,'BASE DATOS PRECIOS '!E:E,'BASE DATOS PRECIOS '!H:H)</f>
        <v>4338.0021999999999</v>
      </c>
      <c r="I505" s="175"/>
      <c r="J505" s="175"/>
      <c r="K505" s="176">
        <f t="shared" si="337"/>
        <v>4338.0021999999999</v>
      </c>
      <c r="L505" s="176">
        <f t="shared" si="338"/>
        <v>0</v>
      </c>
      <c r="M505" s="176">
        <f t="shared" si="339"/>
        <v>0</v>
      </c>
      <c r="N505" s="176">
        <f t="shared" si="340"/>
        <v>4338.0021999999999</v>
      </c>
      <c r="O505" s="1093">
        <f t="shared" si="341"/>
        <v>8.4233052427184472</v>
      </c>
    </row>
    <row r="506" spans="1:15" ht="15" customHeight="1" x14ac:dyDescent="0.2">
      <c r="A506" s="303"/>
      <c r="B506" s="833">
        <f t="shared" si="325"/>
        <v>2.6</v>
      </c>
      <c r="C506" s="120" t="s">
        <v>3007</v>
      </c>
      <c r="D506" s="838"/>
      <c r="E506" s="161" t="str">
        <f>+_xlfn.XLOOKUP(C506,'BASE DATOS PRECIOS '!B:B,'BASE DATOS PRECIOS '!E:E)</f>
        <v>PEGAMENTO P/MUEBLES 20KG</v>
      </c>
      <c r="F506" s="174">
        <f>+'1_OG y 2_ACA'!D1731</f>
        <v>1</v>
      </c>
      <c r="G506" s="175" t="str">
        <f>+_xlfn.XLOOKUP(C506,'BASE DATOS PRECIOS '!B:B,'BASE DATOS PRECIOS '!F:F)</f>
        <v>kg</v>
      </c>
      <c r="H506" s="176">
        <f>+_xlfn.XLOOKUP(E506,'BASE DATOS PRECIOS '!E:E,'BASE DATOS PRECIOS '!H:H)</f>
        <v>7368.1724579999991</v>
      </c>
      <c r="I506" s="175"/>
      <c r="J506" s="175"/>
      <c r="K506" s="176">
        <f t="shared" si="337"/>
        <v>7368.1724579999991</v>
      </c>
      <c r="L506" s="176">
        <f t="shared" si="338"/>
        <v>0</v>
      </c>
      <c r="M506" s="176">
        <f t="shared" si="339"/>
        <v>0</v>
      </c>
      <c r="N506" s="176">
        <f t="shared" si="340"/>
        <v>7368.1724579999991</v>
      </c>
      <c r="O506" s="1093">
        <f t="shared" si="341"/>
        <v>14.307130986407765</v>
      </c>
    </row>
    <row r="507" spans="1:15" ht="15" customHeight="1" x14ac:dyDescent="0.2">
      <c r="A507" s="1074"/>
      <c r="B507" s="833">
        <f t="shared" si="325"/>
        <v>2.6</v>
      </c>
      <c r="C507" s="786" t="s">
        <v>2251</v>
      </c>
      <c r="D507" s="826"/>
      <c r="E507" s="161" t="str">
        <f>+_xlfn.XLOOKUP(C507,'BASE DATOS PRECIOS '!B:B,'BASE DATOS PRECIOS '!E:E)</f>
        <v>PLASTICO PARA PALETIZAR 80-120 CM</v>
      </c>
      <c r="F507" s="174">
        <f>+'1_OG y 2_ACA'!D1732</f>
        <v>2</v>
      </c>
      <c r="G507" s="175" t="str">
        <f>+_xlfn.XLOOKUP(C507,'BASE DATOS PRECIOS '!B:B,'BASE DATOS PRECIOS '!F:F)</f>
        <v>UND</v>
      </c>
      <c r="H507" s="176">
        <f>+_xlfn.XLOOKUP(E507,'BASE DATOS PRECIOS '!E:E,'BASE DATOS PRECIOS '!H:H)</f>
        <v>2510.3966999999998</v>
      </c>
      <c r="I507" s="175"/>
      <c r="J507" s="175"/>
      <c r="K507" s="176">
        <f t="shared" si="337"/>
        <v>5020.7933999999996</v>
      </c>
      <c r="L507" s="176">
        <f t="shared" si="338"/>
        <v>0</v>
      </c>
      <c r="M507" s="176">
        <f t="shared" si="339"/>
        <v>0</v>
      </c>
      <c r="N507" s="176">
        <f t="shared" si="340"/>
        <v>5020.7933999999996</v>
      </c>
      <c r="O507" s="1093">
        <f t="shared" si="341"/>
        <v>9.7491133980582507</v>
      </c>
    </row>
    <row r="508" spans="1:15" ht="15" customHeight="1" x14ac:dyDescent="0.2">
      <c r="A508" s="303"/>
      <c r="B508" s="833">
        <f t="shared" si="325"/>
        <v>2.6</v>
      </c>
      <c r="C508" s="303" t="s">
        <v>2201</v>
      </c>
      <c r="D508" s="822"/>
      <c r="E508" s="161" t="str">
        <f>+_xlfn.XLOOKUP(C508,'BASE DATOS PRECIOS '!B:B,'BASE DATOS PRECIOS '!E:E)</f>
        <v>THINNER INDUSTRIAL</v>
      </c>
      <c r="F508" s="174">
        <f>+'1_OG y 2_ACA'!D1733</f>
        <v>2</v>
      </c>
      <c r="G508" s="175" t="str">
        <f>+_xlfn.XLOOKUP(C508,'BASE DATOS PRECIOS '!B:B,'BASE DATOS PRECIOS '!F:F)</f>
        <v>GALON</v>
      </c>
      <c r="H508" s="176">
        <f>+_xlfn.XLOOKUP(E508,'BASE DATOS PRECIOS '!E:E,'BASE DATOS PRECIOS '!H:H)</f>
        <v>6464.999957</v>
      </c>
      <c r="I508" s="175"/>
      <c r="J508" s="175"/>
      <c r="K508" s="176">
        <f t="shared" si="337"/>
        <v>12929.999914</v>
      </c>
      <c r="L508" s="176">
        <f t="shared" si="338"/>
        <v>0</v>
      </c>
      <c r="M508" s="176">
        <f t="shared" si="339"/>
        <v>0</v>
      </c>
      <c r="N508" s="176">
        <f t="shared" si="340"/>
        <v>12929.999914</v>
      </c>
      <c r="O508" s="1093">
        <f t="shared" si="341"/>
        <v>25.106795949514563</v>
      </c>
    </row>
    <row r="509" spans="1:15" ht="15" customHeight="1" x14ac:dyDescent="0.2">
      <c r="A509" s="1077" t="s">
        <v>2171</v>
      </c>
      <c r="B509" s="833">
        <f t="shared" si="325"/>
        <v>2.6</v>
      </c>
      <c r="C509" s="774" t="s">
        <v>1404</v>
      </c>
      <c r="D509" s="210"/>
      <c r="E509" s="211" t="str">
        <f>+_xlfn.XLOOKUP(C509,'BASE DATOS MANO DE OBRA'!A:A,'BASE DATOS MANO DE OBRA'!B:B)</f>
        <v xml:space="preserve">OPERARIO CALIFICADO PLUS </v>
      </c>
      <c r="F509" s="212">
        <f>+ROUNDUP('1_OG y 2_ACA'!F1736,0)/2</f>
        <v>50</v>
      </c>
      <c r="G509" s="213" t="str">
        <f>+_xlfn.XLOOKUP(C509,'BASE DATOS MANO DE OBRA'!A:A,'BASE DATOS MANO DE OBRA'!C:C)</f>
        <v xml:space="preserve">hora </v>
      </c>
      <c r="H509" s="214">
        <v>0</v>
      </c>
      <c r="I509" s="214">
        <f>+_xlfn.XLOOKUP(C509,'BASE DATOS MANO DE OBRA'!A:A,'BASE DATOS MANO DE OBRA'!E:E)</f>
        <v>3000</v>
      </c>
      <c r="J509" s="214">
        <v>0</v>
      </c>
      <c r="K509" s="214">
        <f t="shared" si="337"/>
        <v>0</v>
      </c>
      <c r="L509" s="214">
        <f t="shared" si="338"/>
        <v>150000</v>
      </c>
      <c r="M509" s="214">
        <f t="shared" si="339"/>
        <v>0</v>
      </c>
      <c r="N509" s="214">
        <f t="shared" si="340"/>
        <v>150000</v>
      </c>
      <c r="O509" s="1086">
        <f t="shared" si="341"/>
        <v>291.26213592233012</v>
      </c>
    </row>
    <row r="510" spans="1:15" ht="15" customHeight="1" x14ac:dyDescent="0.2">
      <c r="A510" s="1077" t="s">
        <v>2171</v>
      </c>
      <c r="B510" s="833">
        <f t="shared" si="325"/>
        <v>2.6</v>
      </c>
      <c r="C510" s="774" t="s">
        <v>1404</v>
      </c>
      <c r="D510" s="210"/>
      <c r="E510" s="211" t="str">
        <f>+_xlfn.XLOOKUP(C510,'BASE DATOS MANO DE OBRA'!A:A,'BASE DATOS MANO DE OBRA'!B:B)</f>
        <v xml:space="preserve">OPERARIO CALIFICADO PLUS </v>
      </c>
      <c r="F510" s="212">
        <f>+F509</f>
        <v>50</v>
      </c>
      <c r="G510" s="213" t="str">
        <f>+_xlfn.XLOOKUP(C510,'BASE DATOS MANO DE OBRA'!A:A,'BASE DATOS MANO DE OBRA'!C:C)</f>
        <v xml:space="preserve">hora </v>
      </c>
      <c r="H510" s="214">
        <v>0</v>
      </c>
      <c r="I510" s="214">
        <f>+_xlfn.XLOOKUP(C510,'BASE DATOS MANO DE OBRA'!A:A,'BASE DATOS MANO DE OBRA'!E:E)</f>
        <v>3000</v>
      </c>
      <c r="J510" s="214">
        <v>0</v>
      </c>
      <c r="K510" s="214">
        <f t="shared" si="337"/>
        <v>0</v>
      </c>
      <c r="L510" s="214">
        <f t="shared" si="338"/>
        <v>150000</v>
      </c>
      <c r="M510" s="214">
        <f t="shared" si="339"/>
        <v>0</v>
      </c>
      <c r="N510" s="214">
        <f t="shared" si="340"/>
        <v>150000</v>
      </c>
      <c r="O510" s="1086">
        <f t="shared" si="341"/>
        <v>291.26213592233012</v>
      </c>
    </row>
    <row r="511" spans="1:15" ht="15" customHeight="1" x14ac:dyDescent="0.2">
      <c r="A511" s="303"/>
      <c r="B511" s="833">
        <f t="shared" ref="B511:B574" si="342">VALUE(IF(AND(LEN(TRIM(C511))-LEN(SUBSTITUTE(TRIM(C511),".",""))=1,ISNUMBER(VALUE(SUBSTITUTE(TRIM(C511),".","")))),TRIM(C511),B510))</f>
        <v>2.6</v>
      </c>
      <c r="C511" s="774" t="s">
        <v>1404</v>
      </c>
      <c r="D511" s="210"/>
      <c r="E511" s="211" t="str">
        <f>+_xlfn.XLOOKUP(C511,'BASE DATOS MANO DE OBRA'!A:A,'BASE DATOS MANO DE OBRA'!B:B)</f>
        <v xml:space="preserve">OPERARIO CALIFICADO PLUS </v>
      </c>
      <c r="F511" s="212">
        <v>0</v>
      </c>
      <c r="G511" s="213" t="str">
        <f>+_xlfn.XLOOKUP(C511,'BASE DATOS MANO DE OBRA'!A:A,'BASE DATOS MANO DE OBRA'!C:C)</f>
        <v xml:space="preserve">hora </v>
      </c>
      <c r="H511" s="214">
        <v>0</v>
      </c>
      <c r="I511" s="214">
        <f>+_xlfn.XLOOKUP(C511,'BASE DATOS MANO DE OBRA'!A:A,'BASE DATOS MANO DE OBRA'!E:E)</f>
        <v>3000</v>
      </c>
      <c r="J511" s="214">
        <v>0</v>
      </c>
      <c r="K511" s="214">
        <f t="shared" si="337"/>
        <v>0</v>
      </c>
      <c r="L511" s="214">
        <f t="shared" si="338"/>
        <v>0</v>
      </c>
      <c r="M511" s="214">
        <f t="shared" si="339"/>
        <v>0</v>
      </c>
      <c r="N511" s="214">
        <f t="shared" si="340"/>
        <v>0</v>
      </c>
      <c r="O511" s="1086">
        <f t="shared" si="341"/>
        <v>0</v>
      </c>
    </row>
    <row r="512" spans="1:15" ht="15" customHeight="1" x14ac:dyDescent="0.2">
      <c r="A512" s="303"/>
      <c r="B512" s="833">
        <f t="shared" si="342"/>
        <v>2.6</v>
      </c>
      <c r="C512" s="774" t="s">
        <v>1404</v>
      </c>
      <c r="D512" s="210"/>
      <c r="E512" s="211" t="str">
        <f>+_xlfn.XLOOKUP(C512,'BASE DATOS MANO DE OBRA'!A:A,'BASE DATOS MANO DE OBRA'!B:B)</f>
        <v xml:space="preserve">OPERARIO CALIFICADO PLUS </v>
      </c>
      <c r="F512" s="212">
        <v>0</v>
      </c>
      <c r="G512" s="213" t="str">
        <f>+_xlfn.XLOOKUP(C512,'BASE DATOS MANO DE OBRA'!A:A,'BASE DATOS MANO DE OBRA'!C:C)</f>
        <v xml:space="preserve">hora </v>
      </c>
      <c r="H512" s="214">
        <v>0</v>
      </c>
      <c r="I512" s="214">
        <f>+_xlfn.XLOOKUP(C512,'BASE DATOS MANO DE OBRA'!A:A,'BASE DATOS MANO DE OBRA'!E:E)</f>
        <v>3000</v>
      </c>
      <c r="J512" s="214">
        <v>0</v>
      </c>
      <c r="K512" s="214">
        <f t="shared" si="337"/>
        <v>0</v>
      </c>
      <c r="L512" s="214">
        <f t="shared" si="338"/>
        <v>0</v>
      </c>
      <c r="M512" s="214">
        <f t="shared" si="339"/>
        <v>0</v>
      </c>
      <c r="N512" s="214">
        <f t="shared" si="340"/>
        <v>0</v>
      </c>
      <c r="O512" s="1086">
        <f t="shared" si="341"/>
        <v>0</v>
      </c>
    </row>
    <row r="513" spans="1:15" s="49" customFormat="1" ht="18.600000000000001" customHeight="1" x14ac:dyDescent="0.2">
      <c r="A513" s="303"/>
      <c r="B513" s="833">
        <f t="shared" si="342"/>
        <v>2.6</v>
      </c>
      <c r="C513" s="770" t="s">
        <v>2128</v>
      </c>
      <c r="D513" s="453"/>
      <c r="E513" s="454" t="s">
        <v>209</v>
      </c>
      <c r="F513" s="455">
        <v>1</v>
      </c>
      <c r="G513" s="453" t="s">
        <v>29</v>
      </c>
      <c r="H513" s="453"/>
      <c r="I513" s="453"/>
      <c r="J513" s="453"/>
      <c r="K513" s="456">
        <f>+SUBTOTAL(9,K514:K524)</f>
        <v>1858104.8214999996</v>
      </c>
      <c r="L513" s="456">
        <f>+SUBTOTAL(9,L514:L524)</f>
        <v>318262.5</v>
      </c>
      <c r="M513" s="456">
        <f>+SUBTOTAL(9,M514:M524)</f>
        <v>0</v>
      </c>
      <c r="N513" s="456">
        <f>+SUBTOTAL(9,N514:N524)</f>
        <v>2176367.3214999996</v>
      </c>
      <c r="O513" s="1082">
        <f>+SUBTOTAL(9,O514:O524)</f>
        <v>4225.9559640776697</v>
      </c>
    </row>
    <row r="514" spans="1:15" ht="15" customHeight="1" x14ac:dyDescent="0.2">
      <c r="A514" s="303"/>
      <c r="B514" s="833">
        <f t="shared" si="342"/>
        <v>2.6</v>
      </c>
      <c r="C514" s="784" t="s">
        <v>2102</v>
      </c>
      <c r="D514" s="795"/>
      <c r="E514" s="161" t="str">
        <f>+_xlfn.XLOOKUP(C514,'BASE DATOS PRECIOS '!B:B,'BASE DATOS PRECIOS '!E:E)</f>
        <v xml:space="preserve">CERRADURA INTERNA MANIJA YALE </v>
      </c>
      <c r="F514" s="174">
        <f>+'1_OG y 2_ACA'!D1761</f>
        <v>10</v>
      </c>
      <c r="G514" s="175" t="str">
        <f>+_xlfn.XLOOKUP(C514,'BASE DATOS PRECIOS '!B:B,'BASE DATOS PRECIOS '!F:F)</f>
        <v>UND</v>
      </c>
      <c r="H514" s="176">
        <f>+_xlfn.XLOOKUP(E514,'BASE DATOS PRECIOS '!E:E,'BASE DATOS PRECIOS '!H:H)</f>
        <v>6821.8099999999995</v>
      </c>
      <c r="I514" s="175"/>
      <c r="J514" s="175"/>
      <c r="K514" s="176">
        <f t="shared" ref="K514:K524" si="343">+F514*H514</f>
        <v>68218.099999999991</v>
      </c>
      <c r="L514" s="176">
        <f t="shared" ref="L514:L524" si="344">+F514*I514</f>
        <v>0</v>
      </c>
      <c r="M514" s="176">
        <f t="shared" ref="M514:M524" si="345">+F514*J514</f>
        <v>0</v>
      </c>
      <c r="N514" s="176">
        <f t="shared" ref="N514:N524" si="346">SUM(K514:M514)</f>
        <v>68218.099999999991</v>
      </c>
      <c r="O514" s="1083">
        <f t="shared" ref="O514:O524" si="347">SUM(K514:M514)/tc</f>
        <v>132.46233009708737</v>
      </c>
    </row>
    <row r="515" spans="1:15" ht="15" customHeight="1" x14ac:dyDescent="0.2">
      <c r="A515" s="303"/>
      <c r="B515" s="833">
        <f t="shared" si="342"/>
        <v>2.6</v>
      </c>
      <c r="C515" s="790" t="s">
        <v>2103</v>
      </c>
      <c r="D515" s="840"/>
      <c r="E515" s="161" t="str">
        <f>+_xlfn.XLOOKUP(C515,'BASE DATOS PRECIOS '!B:B,'BASE DATOS PRECIOS '!E:E)</f>
        <v>CERRADURA PRINCIPAL YALE</v>
      </c>
      <c r="F515" s="174">
        <f>+'1_OG y 2_ACA'!D1762</f>
        <v>0</v>
      </c>
      <c r="G515" s="175" t="str">
        <f>+_xlfn.XLOOKUP(C515,'BASE DATOS PRECIOS '!B:B,'BASE DATOS PRECIOS '!F:F)</f>
        <v>UND</v>
      </c>
      <c r="H515" s="176">
        <f>+_xlfn.XLOOKUP(E515,'BASE DATOS PRECIOS '!E:E,'BASE DATOS PRECIOS '!H:H)</f>
        <v>18310.892899999999</v>
      </c>
      <c r="I515" s="175"/>
      <c r="J515" s="175"/>
      <c r="K515" s="176">
        <f t="shared" si="343"/>
        <v>0</v>
      </c>
      <c r="L515" s="176">
        <f t="shared" si="344"/>
        <v>0</v>
      </c>
      <c r="M515" s="176">
        <f t="shared" si="345"/>
        <v>0</v>
      </c>
      <c r="N515" s="176">
        <f t="shared" si="346"/>
        <v>0</v>
      </c>
      <c r="O515" s="1083">
        <f t="shared" si="347"/>
        <v>0</v>
      </c>
    </row>
    <row r="516" spans="1:15" ht="15" customHeight="1" x14ac:dyDescent="0.2">
      <c r="A516" s="303"/>
      <c r="B516" s="833">
        <f t="shared" si="342"/>
        <v>2.6</v>
      </c>
      <c r="C516" s="782" t="s">
        <v>2191</v>
      </c>
      <c r="D516" s="837"/>
      <c r="E516" s="318" t="str">
        <f>+_xlfn.XLOOKUP(C516,'BASE DATOS PRECIOS '!B:B,'BASE DATOS PRECIOS '!E:E)</f>
        <v>ESPUMA EXPANSIVA 750ML</v>
      </c>
      <c r="F516" s="174">
        <f>+'1_OG y 2_ACA'!D1763</f>
        <v>1</v>
      </c>
      <c r="G516" s="184" t="str">
        <f>+_xlfn.XLOOKUP(C516,'BASE DATOS PRECIOS '!B:B,'BASE DATOS PRECIOS '!F:F)</f>
        <v>UND</v>
      </c>
      <c r="H516" s="176">
        <f>+_xlfn.XLOOKUP(E516,'BASE DATOS PRECIOS '!E:E,'BASE DATOS PRECIOS '!H:H)</f>
        <v>6420.0045999999993</v>
      </c>
      <c r="I516" s="184"/>
      <c r="J516" s="184"/>
      <c r="K516" s="185">
        <f t="shared" si="343"/>
        <v>6420.0045999999993</v>
      </c>
      <c r="L516" s="185">
        <f t="shared" si="344"/>
        <v>0</v>
      </c>
      <c r="M516" s="185">
        <f t="shared" si="345"/>
        <v>0</v>
      </c>
      <c r="N516" s="185">
        <f t="shared" si="346"/>
        <v>6420.0045999999993</v>
      </c>
      <c r="O516" s="1088">
        <f t="shared" si="347"/>
        <v>12.466028349514561</v>
      </c>
    </row>
    <row r="517" spans="1:15" ht="15" customHeight="1" x14ac:dyDescent="0.2">
      <c r="A517" s="303"/>
      <c r="B517" s="833">
        <f t="shared" si="342"/>
        <v>2.6</v>
      </c>
      <c r="C517" s="784" t="s">
        <v>2667</v>
      </c>
      <c r="D517" s="795"/>
      <c r="E517" s="161" t="str">
        <f>+_xlfn.XLOOKUP(C517,'BASE DATOS PRECIOS '!B:B,'BASE DATOS PRECIOS '!E:E)</f>
        <v>TORNILLO P/MADERA 2 1/2X0.8MM AMARILLO ROSCA ORDINARIA</v>
      </c>
      <c r="F517" s="174">
        <f>+'1_OG y 2_ACA'!D1764</f>
        <v>125</v>
      </c>
      <c r="G517" s="175" t="str">
        <f>+_xlfn.XLOOKUP(C517,'BASE DATOS PRECIOS '!B:B,'BASE DATOS PRECIOS '!F:F)</f>
        <v>UND</v>
      </c>
      <c r="H517" s="176">
        <f>+_xlfn.XLOOKUP(E517,'BASE DATOS PRECIOS '!E:E,'BASE DATOS PRECIOS '!H:H)</f>
        <v>26.724499999999995</v>
      </c>
      <c r="I517" s="175"/>
      <c r="J517" s="175"/>
      <c r="K517" s="176">
        <f t="shared" si="343"/>
        <v>3340.5624999999995</v>
      </c>
      <c r="L517" s="176">
        <f t="shared" si="344"/>
        <v>0</v>
      </c>
      <c r="M517" s="176">
        <f t="shared" si="345"/>
        <v>0</v>
      </c>
      <c r="N517" s="176">
        <f t="shared" si="346"/>
        <v>3340.5624999999995</v>
      </c>
      <c r="O517" s="1083">
        <f t="shared" si="347"/>
        <v>6.4865291262135916</v>
      </c>
    </row>
    <row r="518" spans="1:15" ht="15" customHeight="1" x14ac:dyDescent="0.2">
      <c r="A518" s="303"/>
      <c r="B518" s="833">
        <f t="shared" si="342"/>
        <v>2.6</v>
      </c>
      <c r="C518" s="120" t="s">
        <v>2252</v>
      </c>
      <c r="D518" s="838"/>
      <c r="E518" s="161" t="str">
        <f>+_xlfn.XLOOKUP(C518,'BASE DATOS PRECIOS '!B:B,'BASE DATOS PRECIOS '!E:E)</f>
        <v>RODAPIE (GENERICO)</v>
      </c>
      <c r="F518" s="174">
        <f>+'1_OG y 2_ACA'!D1765</f>
        <v>76</v>
      </c>
      <c r="G518" s="175" t="str">
        <f>+_xlfn.XLOOKUP(C518,'BASE DATOS PRECIOS '!B:B,'BASE DATOS PRECIOS '!F:F)</f>
        <v>UND</v>
      </c>
      <c r="H518" s="176">
        <f>+_xlfn.XLOOKUP(E518,'BASE DATOS PRECIOS '!E:E,'BASE DATOS PRECIOS '!H:H)</f>
        <v>4055.5699999999997</v>
      </c>
      <c r="I518" s="175"/>
      <c r="J518" s="175"/>
      <c r="K518" s="176">
        <f t="shared" si="343"/>
        <v>308223.31999999995</v>
      </c>
      <c r="L518" s="176">
        <f t="shared" si="344"/>
        <v>0</v>
      </c>
      <c r="M518" s="176">
        <f t="shared" si="345"/>
        <v>0</v>
      </c>
      <c r="N518" s="176">
        <f t="shared" si="346"/>
        <v>308223.31999999995</v>
      </c>
      <c r="O518" s="1083">
        <f t="shared" si="347"/>
        <v>598.49188349514554</v>
      </c>
    </row>
    <row r="519" spans="1:15" ht="15" customHeight="1" x14ac:dyDescent="0.2">
      <c r="A519" s="303"/>
      <c r="B519" s="833">
        <f t="shared" si="342"/>
        <v>2.6</v>
      </c>
      <c r="C519" s="781" t="s">
        <v>2253</v>
      </c>
      <c r="D519" s="821"/>
      <c r="E519" s="161" t="str">
        <f>+_xlfn.XLOOKUP(C519,'BASE DATOS PRECIOS '!B:B,'BASE DATOS PRECIOS '!E:E)</f>
        <v>CLAVO NEGRO 1" (100)</v>
      </c>
      <c r="F519" s="174">
        <f>+ROUNDUP('1_OG y 2_ACA'!D1766,0)</f>
        <v>4</v>
      </c>
      <c r="G519" s="184" t="str">
        <f>+_xlfn.XLOOKUP(C519,'BASE DATOS PRECIOS '!B:B,'BASE DATOS PRECIOS '!F:F)</f>
        <v>CAJA</v>
      </c>
      <c r="H519" s="176">
        <f>+_xlfn.XLOOKUP(E519,'BASE DATOS PRECIOS '!E:E,'BASE DATOS PRECIOS '!H:H)</f>
        <v>475.6961</v>
      </c>
      <c r="I519" s="184"/>
      <c r="J519" s="184"/>
      <c r="K519" s="185">
        <f t="shared" si="343"/>
        <v>1902.7844</v>
      </c>
      <c r="L519" s="185">
        <f t="shared" si="344"/>
        <v>0</v>
      </c>
      <c r="M519" s="185">
        <f t="shared" si="345"/>
        <v>0</v>
      </c>
      <c r="N519" s="185">
        <f t="shared" si="346"/>
        <v>1902.7844</v>
      </c>
      <c r="O519" s="1088">
        <f t="shared" si="347"/>
        <v>3.6947269902912621</v>
      </c>
    </row>
    <row r="520" spans="1:15" ht="15" customHeight="1" x14ac:dyDescent="0.2">
      <c r="A520" s="1074"/>
      <c r="B520" s="833">
        <f t="shared" si="342"/>
        <v>2.6</v>
      </c>
      <c r="C520" s="303" t="s">
        <v>1951</v>
      </c>
      <c r="D520" s="822"/>
      <c r="E520" s="161" t="str">
        <f>+_xlfn.XLOOKUP(C520,'BASE DATOS PRECIOS '!B:B,'BASE DATOS PRECIOS '!E:E)</f>
        <v>PUERTA + MARCO + MOLDURA BUQUE 100CM (AD)</v>
      </c>
      <c r="F520" s="174">
        <f>+'1_OG y 2_ACA'!D1767</f>
        <v>1</v>
      </c>
      <c r="G520" s="175" t="str">
        <f>+_xlfn.XLOOKUP(C520,'BASE DATOS PRECIOS '!B:B,'BASE DATOS PRECIOS '!F:F)</f>
        <v>UND</v>
      </c>
      <c r="H520" s="176">
        <f>+_xlfn.XLOOKUP(E520,'BASE DATOS PRECIOS '!E:E,'BASE DATOS PRECIOS '!H:H)</f>
        <v>147000.00499999998</v>
      </c>
      <c r="I520" s="175"/>
      <c r="J520" s="175"/>
      <c r="K520" s="176">
        <f t="shared" si="343"/>
        <v>147000.00499999998</v>
      </c>
      <c r="L520" s="176">
        <f t="shared" si="344"/>
        <v>0</v>
      </c>
      <c r="M520" s="176">
        <f t="shared" si="345"/>
        <v>0</v>
      </c>
      <c r="N520" s="176">
        <f t="shared" si="346"/>
        <v>147000.00499999998</v>
      </c>
      <c r="O520" s="1083">
        <f t="shared" si="347"/>
        <v>285.43690291262129</v>
      </c>
    </row>
    <row r="521" spans="1:15" ht="15" customHeight="1" x14ac:dyDescent="0.2">
      <c r="A521" s="303"/>
      <c r="B521" s="833">
        <f t="shared" si="342"/>
        <v>2.6</v>
      </c>
      <c r="C521" s="303" t="s">
        <v>1953</v>
      </c>
      <c r="D521" s="822"/>
      <c r="E521" s="161" t="str">
        <f>+_xlfn.XLOOKUP(C521,'BASE DATOS PRECIOS '!B:B,'BASE DATOS PRECIOS '!E:E)</f>
        <v>PUERTA + MARCO + MOLDURA BUQUE 80CM (AD)</v>
      </c>
      <c r="F521" s="174">
        <f>+'1_OG y 2_ACA'!D1768</f>
        <v>4</v>
      </c>
      <c r="G521" s="175" t="str">
        <f>+_xlfn.XLOOKUP(C521,'BASE DATOS PRECIOS '!B:B,'BASE DATOS PRECIOS '!F:F)</f>
        <v>UND</v>
      </c>
      <c r="H521" s="176">
        <f>+_xlfn.XLOOKUP(E521,'BASE DATOS PRECIOS '!E:E,'BASE DATOS PRECIOS '!H:H)</f>
        <v>147000.00499999998</v>
      </c>
      <c r="I521" s="175"/>
      <c r="J521" s="175"/>
      <c r="K521" s="176">
        <f t="shared" si="343"/>
        <v>588000.0199999999</v>
      </c>
      <c r="L521" s="176">
        <f t="shared" si="344"/>
        <v>0</v>
      </c>
      <c r="M521" s="176">
        <f t="shared" si="345"/>
        <v>0</v>
      </c>
      <c r="N521" s="176">
        <f t="shared" si="346"/>
        <v>588000.0199999999</v>
      </c>
      <c r="O521" s="1083">
        <f t="shared" si="347"/>
        <v>1141.7476116504852</v>
      </c>
    </row>
    <row r="522" spans="1:15" ht="15" customHeight="1" x14ac:dyDescent="0.2">
      <c r="A522" s="303"/>
      <c r="B522" s="833">
        <f t="shared" si="342"/>
        <v>2.6</v>
      </c>
      <c r="C522" s="303" t="s">
        <v>1952</v>
      </c>
      <c r="D522" s="822"/>
      <c r="E522" s="161" t="str">
        <f>+_xlfn.XLOOKUP(C522,'BASE DATOS PRECIOS '!B:B,'BASE DATOS PRECIOS '!E:E)</f>
        <v>PUERTA + MARCO + MOLDURA BUQUE 90CM (AD)</v>
      </c>
      <c r="F522" s="174">
        <f>+'1_OG y 2_ACA'!D1769</f>
        <v>5</v>
      </c>
      <c r="G522" s="175" t="str">
        <f>+_xlfn.XLOOKUP(C522,'BASE DATOS PRECIOS '!B:B,'BASE DATOS PRECIOS '!F:F)</f>
        <v>UND</v>
      </c>
      <c r="H522" s="176">
        <f>+_xlfn.XLOOKUP(E522,'BASE DATOS PRECIOS '!E:E,'BASE DATOS PRECIOS '!H:H)</f>
        <v>147000.00499999998</v>
      </c>
      <c r="I522" s="175"/>
      <c r="J522" s="175"/>
      <c r="K522" s="176">
        <f t="shared" si="343"/>
        <v>735000.02499999991</v>
      </c>
      <c r="L522" s="176">
        <f t="shared" si="344"/>
        <v>0</v>
      </c>
      <c r="M522" s="176">
        <f t="shared" si="345"/>
        <v>0</v>
      </c>
      <c r="N522" s="176">
        <f t="shared" si="346"/>
        <v>735000.02499999991</v>
      </c>
      <c r="O522" s="1083">
        <f t="shared" si="347"/>
        <v>1427.1845145631066</v>
      </c>
    </row>
    <row r="523" spans="1:15" ht="15" customHeight="1" x14ac:dyDescent="0.2">
      <c r="A523" s="1077" t="s">
        <v>2172</v>
      </c>
      <c r="B523" s="833">
        <f t="shared" si="342"/>
        <v>2.6</v>
      </c>
      <c r="C523" s="774" t="s">
        <v>36</v>
      </c>
      <c r="D523" s="210"/>
      <c r="E523" s="211" t="str">
        <f>+_xlfn.XLOOKUP(C523,'BASE DATOS MANO DE OBRA'!A:A,'BASE DATOS MANO DE OBRA'!B:B)</f>
        <v xml:space="preserve">OPERARIO PLUS </v>
      </c>
      <c r="F523" s="212">
        <f>+ROUNDUP(('1_OG y 2_ACA'!F1772+'1_OG y 2_ACA'!F1773),0)/2</f>
        <v>61.5</v>
      </c>
      <c r="G523" s="213" t="str">
        <f>+_xlfn.XLOOKUP(C523,'BASE DATOS MANO DE OBRA'!A:A,'BASE DATOS MANO DE OBRA'!C:C)</f>
        <v xml:space="preserve">hora </v>
      </c>
      <c r="H523" s="214">
        <v>0</v>
      </c>
      <c r="I523" s="214">
        <f>+_xlfn.XLOOKUP(C523,'BASE DATOS MANO DE OBRA'!A:A,'BASE DATOS MANO DE OBRA'!E:E)</f>
        <v>2850</v>
      </c>
      <c r="J523" s="214">
        <v>0</v>
      </c>
      <c r="K523" s="214">
        <f t="shared" si="343"/>
        <v>0</v>
      </c>
      <c r="L523" s="214">
        <f t="shared" si="344"/>
        <v>175275</v>
      </c>
      <c r="M523" s="214">
        <f t="shared" si="345"/>
        <v>0</v>
      </c>
      <c r="N523" s="214">
        <f t="shared" si="346"/>
        <v>175275</v>
      </c>
      <c r="O523" s="1086">
        <f t="shared" si="347"/>
        <v>340.33980582524271</v>
      </c>
    </row>
    <row r="524" spans="1:15" ht="15" customHeight="1" x14ac:dyDescent="0.2">
      <c r="A524" s="1077" t="s">
        <v>2172</v>
      </c>
      <c r="B524" s="833">
        <f t="shared" si="342"/>
        <v>2.6</v>
      </c>
      <c r="C524" s="774" t="s">
        <v>37</v>
      </c>
      <c r="D524" s="210"/>
      <c r="E524" s="211" t="str">
        <f>+_xlfn.XLOOKUP(C524,'BASE DATOS MANO DE OBRA'!A:A,'BASE DATOS MANO DE OBRA'!B:B)</f>
        <v xml:space="preserve">AYUDANTE PLUS </v>
      </c>
      <c r="F524" s="212">
        <f>+F523</f>
        <v>61.5</v>
      </c>
      <c r="G524" s="213" t="str">
        <f>+_xlfn.XLOOKUP(C524,'BASE DATOS MANO DE OBRA'!A:A,'BASE DATOS MANO DE OBRA'!C:C)</f>
        <v xml:space="preserve">hora </v>
      </c>
      <c r="H524" s="214">
        <v>0</v>
      </c>
      <c r="I524" s="214">
        <f>+_xlfn.XLOOKUP(C524,'BASE DATOS MANO DE OBRA'!A:A,'BASE DATOS MANO DE OBRA'!E:E)</f>
        <v>2325</v>
      </c>
      <c r="J524" s="214">
        <v>0</v>
      </c>
      <c r="K524" s="214">
        <f t="shared" si="343"/>
        <v>0</v>
      </c>
      <c r="L524" s="214">
        <f t="shared" si="344"/>
        <v>142987.5</v>
      </c>
      <c r="M524" s="214">
        <f t="shared" si="345"/>
        <v>0</v>
      </c>
      <c r="N524" s="214">
        <f t="shared" si="346"/>
        <v>142987.5</v>
      </c>
      <c r="O524" s="1086">
        <f t="shared" si="347"/>
        <v>277.64563106796118</v>
      </c>
    </row>
    <row r="525" spans="1:15" ht="15" customHeight="1" x14ac:dyDescent="0.2">
      <c r="A525" s="303"/>
      <c r="B525" s="833">
        <f t="shared" si="342"/>
        <v>2.7</v>
      </c>
      <c r="C525" s="779" t="s">
        <v>3490</v>
      </c>
      <c r="D525" s="440"/>
      <c r="E525" s="441" t="s">
        <v>221</v>
      </c>
      <c r="F525" s="446">
        <v>1</v>
      </c>
      <c r="G525" s="440" t="s">
        <v>271</v>
      </c>
      <c r="H525" s="440"/>
      <c r="I525" s="440"/>
      <c r="J525" s="440"/>
      <c r="K525" s="447">
        <f>+SUBTOTAL(9,K526:K547)</f>
        <v>669316.46177699999</v>
      </c>
      <c r="L525" s="447">
        <f>+SUBTOTAL(9,L526:L547)</f>
        <v>77625</v>
      </c>
      <c r="M525" s="447">
        <f>+SUBTOTAL(9,M526:M547)</f>
        <v>0</v>
      </c>
      <c r="N525" s="447">
        <f>+SUBTOTAL(9,N526:N547)</f>
        <v>746941.46177699999</v>
      </c>
      <c r="O525" s="1081">
        <f>+SUBTOTAL(9,O526:O547)</f>
        <v>1450.3717704407763</v>
      </c>
    </row>
    <row r="526" spans="1:15" s="49" customFormat="1" ht="18.600000000000001" customHeight="1" x14ac:dyDescent="0.2">
      <c r="A526" s="303"/>
      <c r="B526" s="833">
        <f t="shared" si="342"/>
        <v>2.7</v>
      </c>
      <c r="C526" s="770" t="s">
        <v>2069</v>
      </c>
      <c r="D526" s="453"/>
      <c r="E526" s="454" t="s">
        <v>221</v>
      </c>
      <c r="F526" s="455">
        <v>1</v>
      </c>
      <c r="G526" s="453" t="s">
        <v>29</v>
      </c>
      <c r="H526" s="453"/>
      <c r="I526" s="453"/>
      <c r="J526" s="453"/>
      <c r="K526" s="456">
        <f>+SUBTOTAL(9,K527:K547)</f>
        <v>669316.46177699999</v>
      </c>
      <c r="L526" s="456">
        <f>+SUBTOTAL(9,L527:L547)</f>
        <v>77625</v>
      </c>
      <c r="M526" s="456">
        <f>+SUBTOTAL(9,M527:M547)</f>
        <v>0</v>
      </c>
      <c r="N526" s="456">
        <f>+SUBTOTAL(9,N527:N547)</f>
        <v>746941.46177699999</v>
      </c>
      <c r="O526" s="1082">
        <f>+SUBTOTAL(9,O527:O547)</f>
        <v>1450.3717704407763</v>
      </c>
    </row>
    <row r="527" spans="1:15" ht="15" customHeight="1" x14ac:dyDescent="0.2">
      <c r="A527" s="303"/>
      <c r="B527" s="833">
        <f t="shared" si="342"/>
        <v>2.7</v>
      </c>
      <c r="C527" s="303" t="s">
        <v>2254</v>
      </c>
      <c r="D527" s="822"/>
      <c r="E527" s="161" t="str">
        <f>+_xlfn.XLOOKUP(C527,'BASE DATOS PRECIOS '!B:B,'BASE DATOS PRECIOS '!E:E)</f>
        <v>INODORO ONE PIECE SMART ALONGADO (AMERICAN STANDARD)</v>
      </c>
      <c r="F527" s="174">
        <f>+'1_OG y 2_ACA'!D1787</f>
        <v>3</v>
      </c>
      <c r="G527" s="175" t="str">
        <f>+_xlfn.XLOOKUP(C527,'BASE DATOS PRECIOS '!B:B,'BASE DATOS PRECIOS '!F:F)</f>
        <v>UND</v>
      </c>
      <c r="H527" s="176">
        <f>+_xlfn.XLOOKUP(E527,'BASE DATOS PRECIOS '!E:E,'BASE DATOS PRECIOS '!H:H)</f>
        <v>53006.910099999994</v>
      </c>
      <c r="I527" s="175"/>
      <c r="J527" s="175"/>
      <c r="K527" s="176">
        <f t="shared" ref="K527:K547" si="348">+F527*H527</f>
        <v>159020.7303</v>
      </c>
      <c r="L527" s="176">
        <f t="shared" ref="L527:L547" si="349">+F527*I527</f>
        <v>0</v>
      </c>
      <c r="M527" s="176">
        <f t="shared" ref="M527:M547" si="350">+F527*J527</f>
        <v>0</v>
      </c>
      <c r="N527" s="176">
        <f t="shared" ref="N527:N547" si="351">SUM(K527:M527)</f>
        <v>159020.7303</v>
      </c>
      <c r="O527" s="1083">
        <f t="shared" ref="O527:O547" si="352">SUM(K527:M527)/tc</f>
        <v>308.77811708737863</v>
      </c>
    </row>
    <row r="528" spans="1:15" ht="15" customHeight="1" x14ac:dyDescent="0.2">
      <c r="A528" s="303"/>
      <c r="B528" s="833">
        <f t="shared" si="342"/>
        <v>2.7</v>
      </c>
      <c r="C528" s="303" t="s">
        <v>2255</v>
      </c>
      <c r="D528" s="822"/>
      <c r="E528" s="161" t="str">
        <f>+_xlfn.XLOOKUP(C528,'BASE DATOS PRECIOS '!B:B,'BASE DATOS PRECIOS '!E:E)</f>
        <v>BRIDA FLEXIBLE 3"  PVC</v>
      </c>
      <c r="F528" s="174">
        <f>+'1_OG y 2_ACA'!D1788</f>
        <v>3</v>
      </c>
      <c r="G528" s="175" t="str">
        <f>+_xlfn.XLOOKUP(C528,'BASE DATOS PRECIOS '!B:B,'BASE DATOS PRECIOS '!F:F)</f>
        <v>UND</v>
      </c>
      <c r="H528" s="176">
        <f>+_xlfn.XLOOKUP(E528,'BASE DATOS PRECIOS '!E:E,'BASE DATOS PRECIOS '!H:H)</f>
        <v>4121.1099999999997</v>
      </c>
      <c r="I528" s="175"/>
      <c r="J528" s="175"/>
      <c r="K528" s="176">
        <f t="shared" si="348"/>
        <v>12363.329999999998</v>
      </c>
      <c r="L528" s="176">
        <f t="shared" si="349"/>
        <v>0</v>
      </c>
      <c r="M528" s="176">
        <f t="shared" si="350"/>
        <v>0</v>
      </c>
      <c r="N528" s="176">
        <f t="shared" si="351"/>
        <v>12363.329999999998</v>
      </c>
      <c r="O528" s="1083">
        <f t="shared" si="352"/>
        <v>24.006466019417473</v>
      </c>
    </row>
    <row r="529" spans="1:15" ht="15" customHeight="1" x14ac:dyDescent="0.2">
      <c r="A529" s="303"/>
      <c r="B529" s="833">
        <f t="shared" si="342"/>
        <v>2.7</v>
      </c>
      <c r="C529" s="303" t="s">
        <v>2256</v>
      </c>
      <c r="D529" s="822"/>
      <c r="E529" s="161" t="str">
        <f>+_xlfn.XLOOKUP(C529,'BASE DATOS PRECIOS '!B:B,'BASE DATOS PRECIOS '!E:E)</f>
        <v>MANGUERA ABASTO P/INODORO (7/8 A 1/2)</v>
      </c>
      <c r="F529" s="174">
        <f>+'1_OG y 2_ACA'!D1789</f>
        <v>3</v>
      </c>
      <c r="G529" s="175" t="str">
        <f>+_xlfn.XLOOKUP(C529,'BASE DATOS PRECIOS '!B:B,'BASE DATOS PRECIOS '!F:F)</f>
        <v>UND</v>
      </c>
      <c r="H529" s="176">
        <f>+_xlfn.XLOOKUP(E529,'BASE DATOS PRECIOS '!E:E,'BASE DATOS PRECIOS '!H:H)</f>
        <v>1541.6363999999999</v>
      </c>
      <c r="I529" s="175"/>
      <c r="J529" s="175"/>
      <c r="K529" s="176">
        <f t="shared" si="348"/>
        <v>4624.9092000000001</v>
      </c>
      <c r="L529" s="176">
        <f t="shared" si="349"/>
        <v>0</v>
      </c>
      <c r="M529" s="176">
        <f t="shared" si="350"/>
        <v>0</v>
      </c>
      <c r="N529" s="176">
        <f t="shared" si="351"/>
        <v>4624.9092000000001</v>
      </c>
      <c r="O529" s="1083">
        <f t="shared" si="352"/>
        <v>8.9804062135922322</v>
      </c>
    </row>
    <row r="530" spans="1:15" ht="15" customHeight="1" x14ac:dyDescent="0.2">
      <c r="A530" s="303"/>
      <c r="B530" s="833">
        <f t="shared" si="342"/>
        <v>2.7</v>
      </c>
      <c r="C530" s="784" t="s">
        <v>2257</v>
      </c>
      <c r="D530" s="795"/>
      <c r="E530" s="161" t="str">
        <f>+_xlfn.XLOOKUP(C530,'BASE DATOS PRECIOS '!B:B,'BASE DATOS PRECIOS '!E:E)</f>
        <v>LAVAMANOS SOBREPONER SPAZIO (AMERICAN STANDARD)</v>
      </c>
      <c r="F530" s="174">
        <f>+'1_OG y 2_ACA'!D1790</f>
        <v>3</v>
      </c>
      <c r="G530" s="175" t="str">
        <f>+_xlfn.XLOOKUP(C530,'BASE DATOS PRECIOS '!B:B,'BASE DATOS PRECIOS '!F:F)</f>
        <v>UND</v>
      </c>
      <c r="H530" s="176">
        <f>+_xlfn.XLOOKUP(E530,'BASE DATOS PRECIOS '!E:E,'BASE DATOS PRECIOS '!H:H)</f>
        <v>24808.065199999997</v>
      </c>
      <c r="I530" s="175"/>
      <c r="J530" s="175"/>
      <c r="K530" s="176">
        <f t="shared" si="348"/>
        <v>74424.195599999992</v>
      </c>
      <c r="L530" s="176">
        <f t="shared" si="349"/>
        <v>0</v>
      </c>
      <c r="M530" s="176">
        <f t="shared" si="350"/>
        <v>0</v>
      </c>
      <c r="N530" s="176">
        <f t="shared" si="351"/>
        <v>74424.195599999992</v>
      </c>
      <c r="O530" s="1083">
        <f t="shared" si="352"/>
        <v>144.51300116504854</v>
      </c>
    </row>
    <row r="531" spans="1:15" ht="15" customHeight="1" x14ac:dyDescent="0.2">
      <c r="A531" s="303"/>
      <c r="B531" s="833">
        <f t="shared" si="342"/>
        <v>2.7</v>
      </c>
      <c r="C531" s="784" t="s">
        <v>2258</v>
      </c>
      <c r="D531" s="795"/>
      <c r="E531" s="161" t="str">
        <f>+_xlfn.XLOOKUP(C531,'BASE DATOS PRECIOS '!B:B,'BASE DATOS PRECIOS '!E:E)</f>
        <v>LAVAMANOS PEDESTAL OLYMPUS (AMERICAN STANDARD)</v>
      </c>
      <c r="F531" s="174">
        <f>+'1_OG y 2_ACA'!D1791</f>
        <v>0</v>
      </c>
      <c r="G531" s="175" t="str">
        <f>+_xlfn.XLOOKUP(C531,'BASE DATOS PRECIOS '!B:B,'BASE DATOS PRECIOS '!F:F)</f>
        <v>UND</v>
      </c>
      <c r="H531" s="176">
        <f>+_xlfn.XLOOKUP(E531,'BASE DATOS PRECIOS '!E:E,'BASE DATOS PRECIOS '!H:H)</f>
        <v>34786.326799999995</v>
      </c>
      <c r="I531" s="175"/>
      <c r="J531" s="175"/>
      <c r="K531" s="176">
        <f t="shared" si="348"/>
        <v>0</v>
      </c>
      <c r="L531" s="176">
        <f t="shared" si="349"/>
        <v>0</v>
      </c>
      <c r="M531" s="176">
        <f t="shared" si="350"/>
        <v>0</v>
      </c>
      <c r="N531" s="176">
        <f t="shared" si="351"/>
        <v>0</v>
      </c>
      <c r="O531" s="1083">
        <f t="shared" si="352"/>
        <v>0</v>
      </c>
    </row>
    <row r="532" spans="1:15" ht="15" customHeight="1" x14ac:dyDescent="0.2">
      <c r="A532" s="303"/>
      <c r="B532" s="833">
        <f t="shared" si="342"/>
        <v>2.7</v>
      </c>
      <c r="C532" s="784" t="s">
        <v>2259</v>
      </c>
      <c r="D532" s="795"/>
      <c r="E532" s="161" t="str">
        <f>+_xlfn.XLOOKUP(C532,'BASE DATOS PRECIOS '!B:B,'BASE DATOS PRECIOS '!E:E)</f>
        <v>GRIFERIA ALTA NOVO CROMADA P/VESSEL</v>
      </c>
      <c r="F532" s="174">
        <f>+'1_OG y 2_ACA'!D1792</f>
        <v>3</v>
      </c>
      <c r="G532" s="175" t="str">
        <f>+_xlfn.XLOOKUP(C532,'BASE DATOS PRECIOS '!B:B,'BASE DATOS PRECIOS '!F:F)</f>
        <v>UND</v>
      </c>
      <c r="H532" s="176">
        <f>+_xlfn.XLOOKUP(E532,'BASE DATOS PRECIOS '!E:E,'BASE DATOS PRECIOS '!H:H)</f>
        <v>34939.599999999999</v>
      </c>
      <c r="I532" s="175"/>
      <c r="J532" s="175"/>
      <c r="K532" s="176">
        <f t="shared" si="348"/>
        <v>104818.79999999999</v>
      </c>
      <c r="L532" s="176">
        <f t="shared" si="349"/>
        <v>0</v>
      </c>
      <c r="M532" s="176">
        <f t="shared" si="350"/>
        <v>0</v>
      </c>
      <c r="N532" s="176">
        <f t="shared" si="351"/>
        <v>104818.79999999999</v>
      </c>
      <c r="O532" s="1083">
        <f t="shared" si="352"/>
        <v>203.53165048543687</v>
      </c>
    </row>
    <row r="533" spans="1:15" ht="15" customHeight="1" x14ac:dyDescent="0.2">
      <c r="A533" s="303"/>
      <c r="B533" s="833">
        <f t="shared" si="342"/>
        <v>2.7</v>
      </c>
      <c r="C533" s="781" t="s">
        <v>2260</v>
      </c>
      <c r="D533" s="821"/>
      <c r="E533" s="161" t="str">
        <f>+_xlfn.XLOOKUP(C533,'BASE DATOS PRECIOS '!B:B,'BASE DATOS PRECIOS '!E:E)</f>
        <v>GRIFERIA FREGADERO SIERPE (AMERICAN STANDARD)</v>
      </c>
      <c r="F533" s="174">
        <f>+'1_OG y 2_ACA'!D1793</f>
        <v>1</v>
      </c>
      <c r="G533" s="175" t="str">
        <f>+_xlfn.XLOOKUP(C533,'BASE DATOS PRECIOS '!B:B,'BASE DATOS PRECIOS '!F:F)</f>
        <v>UND</v>
      </c>
      <c r="H533" s="176">
        <f>+_xlfn.XLOOKUP(E533,'BASE DATOS PRECIOS '!E:E,'BASE DATOS PRECIOS '!H:H)</f>
        <v>30830.750499999995</v>
      </c>
      <c r="I533" s="175"/>
      <c r="J533" s="175"/>
      <c r="K533" s="176">
        <f t="shared" si="348"/>
        <v>30830.750499999995</v>
      </c>
      <c r="L533" s="176">
        <f t="shared" si="349"/>
        <v>0</v>
      </c>
      <c r="M533" s="176">
        <f t="shared" si="350"/>
        <v>0</v>
      </c>
      <c r="N533" s="176">
        <f t="shared" si="351"/>
        <v>30830.750499999995</v>
      </c>
      <c r="O533" s="1083">
        <f t="shared" si="352"/>
        <v>59.865534951456297</v>
      </c>
    </row>
    <row r="534" spans="1:15" ht="15" customHeight="1" x14ac:dyDescent="0.2">
      <c r="A534" s="303"/>
      <c r="B534" s="833">
        <f t="shared" si="342"/>
        <v>2.7</v>
      </c>
      <c r="C534" s="303" t="s">
        <v>2261</v>
      </c>
      <c r="D534" s="822"/>
      <c r="E534" s="161" t="str">
        <f>+_xlfn.XLOOKUP(C534,'BASE DATOS PRECIOS '!B:B,'BASE DATOS PRECIOS '!E:E)</f>
        <v>GRIFERIA MONOCONTROL PALMA MEDIA (AMERICAN STANDARD)</v>
      </c>
      <c r="F534" s="174">
        <f>+'1_OG y 2_ACA'!D1794</f>
        <v>0</v>
      </c>
      <c r="G534" s="175" t="str">
        <f>+_xlfn.XLOOKUP(C534,'BASE DATOS PRECIOS '!B:B,'BASE DATOS PRECIOS '!F:F)</f>
        <v>UND</v>
      </c>
      <c r="H534" s="176">
        <f>+_xlfn.XLOOKUP(E534,'BASE DATOS PRECIOS '!E:E,'BASE DATOS PRECIOS '!H:H)</f>
        <v>40926.147899999996</v>
      </c>
      <c r="I534" s="175"/>
      <c r="J534" s="175"/>
      <c r="K534" s="176">
        <f t="shared" si="348"/>
        <v>0</v>
      </c>
      <c r="L534" s="176">
        <f t="shared" si="349"/>
        <v>0</v>
      </c>
      <c r="M534" s="176">
        <f t="shared" si="350"/>
        <v>0</v>
      </c>
      <c r="N534" s="176">
        <f t="shared" si="351"/>
        <v>0</v>
      </c>
      <c r="O534" s="1083">
        <f t="shared" si="352"/>
        <v>0</v>
      </c>
    </row>
    <row r="535" spans="1:15" ht="15" customHeight="1" x14ac:dyDescent="0.2">
      <c r="A535" s="303"/>
      <c r="B535" s="833">
        <f t="shared" si="342"/>
        <v>2.7</v>
      </c>
      <c r="C535" s="303" t="s">
        <v>2262</v>
      </c>
      <c r="D535" s="822"/>
      <c r="E535" s="161" t="str">
        <f>+_xlfn.XLOOKUP(C535,'BASE DATOS PRECIOS '!B:B,'BASE DATOS PRECIOS '!E:E)</f>
        <v>SILICON TRANSPARENTE</v>
      </c>
      <c r="F535" s="174">
        <f>+'1_OG y 2_ACA'!D1795</f>
        <v>3</v>
      </c>
      <c r="G535" s="175" t="str">
        <f>+_xlfn.XLOOKUP(C535,'BASE DATOS PRECIOS '!B:B,'BASE DATOS PRECIOS '!F:F)</f>
        <v>UND</v>
      </c>
      <c r="H535" s="176">
        <f>+_xlfn.XLOOKUP(E535,'BASE DATOS PRECIOS '!E:E,'BASE DATOS PRECIOS '!H:H)</f>
        <v>4534.9999589999998</v>
      </c>
      <c r="I535" s="175"/>
      <c r="J535" s="175"/>
      <c r="K535" s="176">
        <f t="shared" si="348"/>
        <v>13604.999876999998</v>
      </c>
      <c r="L535" s="176">
        <f t="shared" si="349"/>
        <v>0</v>
      </c>
      <c r="M535" s="176">
        <f t="shared" si="350"/>
        <v>0</v>
      </c>
      <c r="N535" s="176">
        <f t="shared" si="351"/>
        <v>13604.999876999998</v>
      </c>
      <c r="O535" s="1083">
        <f t="shared" si="352"/>
        <v>26.417475489320385</v>
      </c>
    </row>
    <row r="536" spans="1:15" ht="15" customHeight="1" x14ac:dyDescent="0.2">
      <c r="A536" s="303"/>
      <c r="B536" s="833">
        <f t="shared" si="342"/>
        <v>2.7</v>
      </c>
      <c r="C536" s="120" t="s">
        <v>2263</v>
      </c>
      <c r="D536" s="838"/>
      <c r="E536" s="161" t="str">
        <f>+_xlfn.XLOOKUP(C536,'BASE DATOS PRECIOS '!B:B,'BASE DATOS PRECIOS '!E:E)</f>
        <v>SIFON PARED 1-1/4" METALICO COFLEX</v>
      </c>
      <c r="F536" s="174">
        <f>+'1_OG y 2_ACA'!D1796</f>
        <v>3</v>
      </c>
      <c r="G536" s="175" t="str">
        <f>+_xlfn.XLOOKUP(C536,'BASE DATOS PRECIOS '!B:B,'BASE DATOS PRECIOS '!F:F)</f>
        <v>UND</v>
      </c>
      <c r="H536" s="176">
        <f>+_xlfn.XLOOKUP(E536,'BASE DATOS PRECIOS '!E:E,'BASE DATOS PRECIOS '!H:H)</f>
        <v>5141.4999999999991</v>
      </c>
      <c r="I536" s="175"/>
      <c r="J536" s="175"/>
      <c r="K536" s="176">
        <f t="shared" si="348"/>
        <v>15424.499999999996</v>
      </c>
      <c r="L536" s="176">
        <f t="shared" si="349"/>
        <v>0</v>
      </c>
      <c r="M536" s="176">
        <f t="shared" si="350"/>
        <v>0</v>
      </c>
      <c r="N536" s="176">
        <f t="shared" si="351"/>
        <v>15424.499999999996</v>
      </c>
      <c r="O536" s="1083">
        <f t="shared" si="352"/>
        <v>29.950485436893196</v>
      </c>
    </row>
    <row r="537" spans="1:15" ht="15" customHeight="1" x14ac:dyDescent="0.2">
      <c r="A537" s="303"/>
      <c r="B537" s="833">
        <f t="shared" si="342"/>
        <v>2.7</v>
      </c>
      <c r="C537" s="303" t="s">
        <v>2264</v>
      </c>
      <c r="D537" s="822"/>
      <c r="E537" s="161" t="str">
        <f>+_xlfn.XLOOKUP(C537,'BASE DATOS PRECIOS '!B:B,'BASE DATOS PRECIOS '!E:E)</f>
        <v>EXTENSION METALICA PARA SIFON 1 -1/4X8</v>
      </c>
      <c r="F537" s="174">
        <f>+'1_OG y 2_ACA'!D1797</f>
        <v>3</v>
      </c>
      <c r="G537" s="175" t="str">
        <f>+_xlfn.XLOOKUP(C537,'BASE DATOS PRECIOS '!B:B,'BASE DATOS PRECIOS '!F:F)</f>
        <v>UND</v>
      </c>
      <c r="H537" s="176">
        <f>+_xlfn.XLOOKUP(E537,'BASE DATOS PRECIOS '!E:E,'BASE DATOS PRECIOS '!H:H)</f>
        <v>1095.1620999999998</v>
      </c>
      <c r="I537" s="175"/>
      <c r="J537" s="175"/>
      <c r="K537" s="176">
        <f t="shared" si="348"/>
        <v>3285.4862999999996</v>
      </c>
      <c r="L537" s="176">
        <f t="shared" si="349"/>
        <v>0</v>
      </c>
      <c r="M537" s="176">
        <f t="shared" si="350"/>
        <v>0</v>
      </c>
      <c r="N537" s="176">
        <f t="shared" si="351"/>
        <v>3285.4862999999996</v>
      </c>
      <c r="O537" s="1083">
        <f t="shared" si="352"/>
        <v>6.3795850485436887</v>
      </c>
    </row>
    <row r="538" spans="1:15" ht="15" customHeight="1" x14ac:dyDescent="0.2">
      <c r="A538" s="303"/>
      <c r="B538" s="833">
        <f t="shared" si="342"/>
        <v>2.7</v>
      </c>
      <c r="C538" s="120" t="s">
        <v>2265</v>
      </c>
      <c r="D538" s="838"/>
      <c r="E538" s="161" t="str">
        <f>+_xlfn.XLOOKUP(C538,'BASE DATOS PRECIOS '!B:B,'BASE DATOS PRECIOS '!E:E)</f>
        <v>PILA Y MUEBLE FIBRA DE VIDRIO TANQUE DERECHO/50X70CM</v>
      </c>
      <c r="F538" s="174">
        <f>+'1_OG y 2_ACA'!D1798</f>
        <v>1</v>
      </c>
      <c r="G538" s="175" t="str">
        <f>+_xlfn.XLOOKUP(C538,'BASE DATOS PRECIOS '!B:B,'BASE DATOS PRECIOS '!F:F)</f>
        <v>UND</v>
      </c>
      <c r="H538" s="176">
        <f>+_xlfn.XLOOKUP(E538,'BASE DATOS PRECIOS '!E:E,'BASE DATOS PRECIOS '!H:H)</f>
        <v>89999.99129999998</v>
      </c>
      <c r="I538" s="175"/>
      <c r="J538" s="175"/>
      <c r="K538" s="176">
        <f t="shared" si="348"/>
        <v>89999.99129999998</v>
      </c>
      <c r="L538" s="176">
        <f t="shared" si="349"/>
        <v>0</v>
      </c>
      <c r="M538" s="176">
        <f t="shared" si="350"/>
        <v>0</v>
      </c>
      <c r="N538" s="176">
        <f t="shared" si="351"/>
        <v>89999.99129999998</v>
      </c>
      <c r="O538" s="1083">
        <f t="shared" si="352"/>
        <v>174.75726466019412</v>
      </c>
    </row>
    <row r="539" spans="1:15" ht="15" customHeight="1" x14ac:dyDescent="0.2">
      <c r="A539" s="303"/>
      <c r="B539" s="833">
        <f t="shared" si="342"/>
        <v>2.7</v>
      </c>
      <c r="C539" s="303" t="s">
        <v>2266</v>
      </c>
      <c r="D539" s="822"/>
      <c r="E539" s="161" t="str">
        <f>+_xlfn.XLOOKUP(C539,'BASE DATOS PRECIOS '!B:B,'BASE DATOS PRECIOS '!E:E)</f>
        <v>LLAVE DE CHORRO PREMIUM 1/2</v>
      </c>
      <c r="F539" s="174">
        <f>+'1_OG y 2_ACA'!D1799</f>
        <v>1</v>
      </c>
      <c r="G539" s="175" t="str">
        <f>+_xlfn.XLOOKUP(C539,'BASE DATOS PRECIOS '!B:B,'BASE DATOS PRECIOS '!F:F)</f>
        <v>UND</v>
      </c>
      <c r="H539" s="176">
        <f>+_xlfn.XLOOKUP(E539,'BASE DATOS PRECIOS '!E:E,'BASE DATOS PRECIOS '!H:H)</f>
        <v>2821.384</v>
      </c>
      <c r="I539" s="175"/>
      <c r="J539" s="175"/>
      <c r="K539" s="176">
        <f t="shared" si="348"/>
        <v>2821.384</v>
      </c>
      <c r="L539" s="176">
        <f t="shared" si="349"/>
        <v>0</v>
      </c>
      <c r="M539" s="176">
        <f t="shared" si="350"/>
        <v>0</v>
      </c>
      <c r="N539" s="176">
        <f t="shared" si="351"/>
        <v>2821.384</v>
      </c>
      <c r="O539" s="1083">
        <f t="shared" si="352"/>
        <v>5.4784155339805825</v>
      </c>
    </row>
    <row r="540" spans="1:15" ht="15" customHeight="1" x14ac:dyDescent="0.2">
      <c r="A540" s="303"/>
      <c r="B540" s="833">
        <f t="shared" si="342"/>
        <v>2.7</v>
      </c>
      <c r="C540" s="120" t="s">
        <v>2267</v>
      </c>
      <c r="D540" s="838"/>
      <c r="E540" s="161" t="str">
        <f>+_xlfn.XLOOKUP(C540,'BASE DATOS PRECIOS '!B:B,'BASE DATOS PRECIOS '!E:E)</f>
        <v>GRIFERIA DUCHA BREZZA  MONO S/LAVAPIES EZ4015551  SSB</v>
      </c>
      <c r="F540" s="174">
        <f>+'1_OG y 2_ACA'!D1800</f>
        <v>2</v>
      </c>
      <c r="G540" s="175" t="str">
        <f>+_xlfn.XLOOKUP(C540,'BASE DATOS PRECIOS '!B:B,'BASE DATOS PRECIOS '!F:F)</f>
        <v>UND</v>
      </c>
      <c r="H540" s="176">
        <f>+_xlfn.XLOOKUP(E540,'BASE DATOS PRECIOS '!E:E,'BASE DATOS PRECIOS '!H:H)</f>
        <v>33055.89</v>
      </c>
      <c r="I540" s="175"/>
      <c r="J540" s="175"/>
      <c r="K540" s="176">
        <f t="shared" si="348"/>
        <v>66111.78</v>
      </c>
      <c r="L540" s="176">
        <f t="shared" si="349"/>
        <v>0</v>
      </c>
      <c r="M540" s="176">
        <f t="shared" si="350"/>
        <v>0</v>
      </c>
      <c r="N540" s="176">
        <f t="shared" si="351"/>
        <v>66111.78</v>
      </c>
      <c r="O540" s="1083">
        <f t="shared" si="352"/>
        <v>128.37238834951455</v>
      </c>
    </row>
    <row r="541" spans="1:15" ht="15" customHeight="1" x14ac:dyDescent="0.2">
      <c r="A541" s="303"/>
      <c r="B541" s="833">
        <f t="shared" si="342"/>
        <v>2.7</v>
      </c>
      <c r="C541" s="781" t="s">
        <v>2268</v>
      </c>
      <c r="D541" s="821"/>
      <c r="E541" s="161" t="str">
        <f>+_xlfn.XLOOKUP(C541,'BASE DATOS PRECIOS '!B:B,'BASE DATOS PRECIOS '!E:E)</f>
        <v>FREGADERO 1 TANQUE 58X45X20</v>
      </c>
      <c r="F541" s="174">
        <f>+'1_OG y 2_ACA'!D1801</f>
        <v>1</v>
      </c>
      <c r="G541" s="175" t="str">
        <f>+_xlfn.XLOOKUP(C541,'BASE DATOS PRECIOS '!B:B,'BASE DATOS PRECIOS '!F:F)</f>
        <v>UND</v>
      </c>
      <c r="H541" s="176">
        <f>+_xlfn.XLOOKUP(E541,'BASE DATOS PRECIOS '!E:E,'BASE DATOS PRECIOS '!H:H)</f>
        <v>40092.614699999998</v>
      </c>
      <c r="I541" s="175"/>
      <c r="J541" s="175"/>
      <c r="K541" s="176">
        <f t="shared" si="348"/>
        <v>40092.614699999998</v>
      </c>
      <c r="L541" s="176">
        <f t="shared" si="349"/>
        <v>0</v>
      </c>
      <c r="M541" s="176">
        <f t="shared" si="350"/>
        <v>0</v>
      </c>
      <c r="N541" s="176">
        <f t="shared" si="351"/>
        <v>40092.614699999998</v>
      </c>
      <c r="O541" s="1083">
        <f t="shared" si="352"/>
        <v>77.849737281553388</v>
      </c>
    </row>
    <row r="542" spans="1:15" ht="15" customHeight="1" x14ac:dyDescent="0.2">
      <c r="A542" s="303"/>
      <c r="B542" s="833">
        <f t="shared" si="342"/>
        <v>2.7</v>
      </c>
      <c r="C542" s="120" t="s">
        <v>2269</v>
      </c>
      <c r="D542" s="838"/>
      <c r="E542" s="161" t="str">
        <f>+_xlfn.XLOOKUP(C542,'BASE DATOS PRECIOS '!B:B,'BASE DATOS PRECIOS '!E:E)</f>
        <v>GRIFERIA LAV.CROMA METAL 4" PALANCA CROMO P/LAV MILANO</v>
      </c>
      <c r="F542" s="174">
        <f>+'1_OG y 2_ACA'!D1802</f>
        <v>1</v>
      </c>
      <c r="G542" s="175" t="str">
        <f>+_xlfn.XLOOKUP(C542,'BASE DATOS PRECIOS '!B:B,'BASE DATOS PRECIOS '!F:F)</f>
        <v>UND</v>
      </c>
      <c r="H542" s="176">
        <f>+_xlfn.XLOOKUP(E542,'BASE DATOS PRECIOS '!E:E,'BASE DATOS PRECIOS '!H:H)</f>
        <v>24546.989999999998</v>
      </c>
      <c r="I542" s="175"/>
      <c r="J542" s="175"/>
      <c r="K542" s="176">
        <f t="shared" si="348"/>
        <v>24546.989999999998</v>
      </c>
      <c r="L542" s="176">
        <f t="shared" si="349"/>
        <v>0</v>
      </c>
      <c r="M542" s="176">
        <f t="shared" si="350"/>
        <v>0</v>
      </c>
      <c r="N542" s="176">
        <f t="shared" si="351"/>
        <v>24546.989999999998</v>
      </c>
      <c r="O542" s="1083">
        <f t="shared" si="352"/>
        <v>47.664058252427182</v>
      </c>
    </row>
    <row r="543" spans="1:15" ht="15" customHeight="1" x14ac:dyDescent="0.2">
      <c r="A543" s="303"/>
      <c r="B543" s="833">
        <f t="shared" si="342"/>
        <v>2.7</v>
      </c>
      <c r="C543" s="784" t="s">
        <v>2270</v>
      </c>
      <c r="D543" s="795"/>
      <c r="E543" s="161" t="str">
        <f>+_xlfn.XLOOKUP(C543,'BASE DATOS PRECIOS '!B:B,'BASE DATOS PRECIOS '!E:E)</f>
        <v>LAVAMANOS PEDESTAL MILANO (AMERICAN STANDARD)</v>
      </c>
      <c r="F543" s="174">
        <f>+'1_OG y 2_ACA'!D1803</f>
        <v>1</v>
      </c>
      <c r="G543" s="175" t="str">
        <f>+_xlfn.XLOOKUP(C543,'BASE DATOS PRECIOS '!B:B,'BASE DATOS PRECIOS '!F:F)</f>
        <v>UND</v>
      </c>
      <c r="H543" s="176">
        <f>+_xlfn.XLOOKUP(E543,'BASE DATOS PRECIOS '!E:E,'BASE DATOS PRECIOS '!H:H)</f>
        <v>27345.999999999996</v>
      </c>
      <c r="I543" s="175"/>
      <c r="J543" s="175"/>
      <c r="K543" s="176">
        <f t="shared" si="348"/>
        <v>27345.999999999996</v>
      </c>
      <c r="L543" s="176">
        <f t="shared" si="349"/>
        <v>0</v>
      </c>
      <c r="M543" s="176">
        <f t="shared" si="350"/>
        <v>0</v>
      </c>
      <c r="N543" s="176">
        <f t="shared" si="351"/>
        <v>27345.999999999996</v>
      </c>
      <c r="O543" s="1083">
        <f t="shared" si="352"/>
        <v>53.099029126213587</v>
      </c>
    </row>
    <row r="544" spans="1:15" ht="15" customHeight="1" x14ac:dyDescent="0.2">
      <c r="A544" s="1075" t="s">
        <v>2173</v>
      </c>
      <c r="B544" s="833">
        <f t="shared" si="342"/>
        <v>2.7</v>
      </c>
      <c r="C544" s="774" t="s">
        <v>36</v>
      </c>
      <c r="D544" s="210"/>
      <c r="E544" s="211" t="str">
        <f>+_xlfn.XLOOKUP(C544,'BASE DATOS MANO DE OBRA'!A:A,'BASE DATOS MANO DE OBRA'!B:B)</f>
        <v xml:space="preserve">OPERARIO PLUS </v>
      </c>
      <c r="F544" s="212">
        <f>ROUNDUP('1_OG y 2_ACA'!F1811,0)/2</f>
        <v>9.5</v>
      </c>
      <c r="G544" s="213" t="str">
        <f>+_xlfn.XLOOKUP(C544,'BASE DATOS MANO DE OBRA'!A:A,'BASE DATOS MANO DE OBRA'!C:C)</f>
        <v xml:space="preserve">hora </v>
      </c>
      <c r="H544" s="214">
        <v>0</v>
      </c>
      <c r="I544" s="214">
        <f>+_xlfn.XLOOKUP(C544,'BASE DATOS MANO DE OBRA'!A:A,'BASE DATOS MANO DE OBRA'!E:E)</f>
        <v>2850</v>
      </c>
      <c r="J544" s="214">
        <v>0</v>
      </c>
      <c r="K544" s="214">
        <f t="shared" si="348"/>
        <v>0</v>
      </c>
      <c r="L544" s="214">
        <f t="shared" si="349"/>
        <v>27075</v>
      </c>
      <c r="M544" s="214">
        <f t="shared" si="350"/>
        <v>0</v>
      </c>
      <c r="N544" s="214">
        <f t="shared" si="351"/>
        <v>27075</v>
      </c>
      <c r="O544" s="1086">
        <f t="shared" si="352"/>
        <v>52.572815533980581</v>
      </c>
    </row>
    <row r="545" spans="1:15" ht="15" customHeight="1" x14ac:dyDescent="0.2">
      <c r="A545" s="1075" t="s">
        <v>2173</v>
      </c>
      <c r="B545" s="833">
        <f t="shared" si="342"/>
        <v>2.7</v>
      </c>
      <c r="C545" s="774" t="s">
        <v>37</v>
      </c>
      <c r="D545" s="210"/>
      <c r="E545" s="211" t="str">
        <f>+_xlfn.XLOOKUP(C545,'BASE DATOS MANO DE OBRA'!A:A,'BASE DATOS MANO DE OBRA'!B:B)</f>
        <v xml:space="preserve">AYUDANTE PLUS </v>
      </c>
      <c r="F545" s="212">
        <f>+F544</f>
        <v>9.5</v>
      </c>
      <c r="G545" s="213" t="str">
        <f>+_xlfn.XLOOKUP(C545,'BASE DATOS MANO DE OBRA'!A:A,'BASE DATOS MANO DE OBRA'!C:C)</f>
        <v xml:space="preserve">hora </v>
      </c>
      <c r="H545" s="214">
        <v>0</v>
      </c>
      <c r="I545" s="214">
        <f>+_xlfn.XLOOKUP(C545,'BASE DATOS MANO DE OBRA'!A:A,'BASE DATOS MANO DE OBRA'!E:E)</f>
        <v>2325</v>
      </c>
      <c r="J545" s="214">
        <v>0</v>
      </c>
      <c r="K545" s="214">
        <f t="shared" si="348"/>
        <v>0</v>
      </c>
      <c r="L545" s="214">
        <f t="shared" si="349"/>
        <v>22087.5</v>
      </c>
      <c r="M545" s="214">
        <f t="shared" si="350"/>
        <v>0</v>
      </c>
      <c r="N545" s="214">
        <f t="shared" si="351"/>
        <v>22087.5</v>
      </c>
      <c r="O545" s="1086">
        <f t="shared" si="352"/>
        <v>42.88834951456311</v>
      </c>
    </row>
    <row r="546" spans="1:15" ht="15" customHeight="1" x14ac:dyDescent="0.2">
      <c r="A546" s="1075" t="s">
        <v>3507</v>
      </c>
      <c r="B546" s="833">
        <f t="shared" si="342"/>
        <v>2.7</v>
      </c>
      <c r="C546" s="774" t="s">
        <v>36</v>
      </c>
      <c r="D546" s="210"/>
      <c r="E546" s="211" t="str">
        <f>+_xlfn.XLOOKUP(C546,'BASE DATOS MANO DE OBRA'!A:A,'BASE DATOS MANO DE OBRA'!B:B)</f>
        <v xml:space="preserve">OPERARIO PLUS </v>
      </c>
      <c r="F546" s="212">
        <f>ROUND('1_OG y 2_ACA'!F1815,0)/2</f>
        <v>5.5</v>
      </c>
      <c r="G546" s="213" t="str">
        <f>+_xlfn.XLOOKUP(C546,'BASE DATOS MANO DE OBRA'!A:A,'BASE DATOS MANO DE OBRA'!C:C)</f>
        <v xml:space="preserve">hora </v>
      </c>
      <c r="H546" s="214">
        <v>0</v>
      </c>
      <c r="I546" s="214">
        <f>+_xlfn.XLOOKUP(C546,'BASE DATOS MANO DE OBRA'!A:A,'BASE DATOS MANO DE OBRA'!E:E)</f>
        <v>2850</v>
      </c>
      <c r="J546" s="214">
        <v>0</v>
      </c>
      <c r="K546" s="214">
        <f t="shared" si="348"/>
        <v>0</v>
      </c>
      <c r="L546" s="214">
        <f t="shared" si="349"/>
        <v>15675</v>
      </c>
      <c r="M546" s="214">
        <f t="shared" si="350"/>
        <v>0</v>
      </c>
      <c r="N546" s="214">
        <f t="shared" si="351"/>
        <v>15675</v>
      </c>
      <c r="O546" s="1086">
        <f t="shared" si="352"/>
        <v>30.436893203883496</v>
      </c>
    </row>
    <row r="547" spans="1:15" ht="15" customHeight="1" x14ac:dyDescent="0.2">
      <c r="A547" s="1075" t="s">
        <v>3507</v>
      </c>
      <c r="B547" s="833">
        <f t="shared" si="342"/>
        <v>2.7</v>
      </c>
      <c r="C547" s="774" t="s">
        <v>37</v>
      </c>
      <c r="D547" s="210"/>
      <c r="E547" s="211" t="str">
        <f>+_xlfn.XLOOKUP(C547,'BASE DATOS MANO DE OBRA'!A:A,'BASE DATOS MANO DE OBRA'!B:B)</f>
        <v xml:space="preserve">AYUDANTE PLUS </v>
      </c>
      <c r="F547" s="212">
        <f>+F546</f>
        <v>5.5</v>
      </c>
      <c r="G547" s="213" t="str">
        <f>+_xlfn.XLOOKUP(C547,'BASE DATOS MANO DE OBRA'!A:A,'BASE DATOS MANO DE OBRA'!C:C)</f>
        <v xml:space="preserve">hora </v>
      </c>
      <c r="H547" s="214">
        <v>0</v>
      </c>
      <c r="I547" s="214">
        <f>+_xlfn.XLOOKUP(C547,'BASE DATOS MANO DE OBRA'!A:A,'BASE DATOS MANO DE OBRA'!E:E)</f>
        <v>2325</v>
      </c>
      <c r="J547" s="214">
        <v>0</v>
      </c>
      <c r="K547" s="214">
        <f t="shared" si="348"/>
        <v>0</v>
      </c>
      <c r="L547" s="214">
        <f t="shared" si="349"/>
        <v>12787.5</v>
      </c>
      <c r="M547" s="214">
        <f t="shared" si="350"/>
        <v>0</v>
      </c>
      <c r="N547" s="214">
        <f t="shared" si="351"/>
        <v>12787.5</v>
      </c>
      <c r="O547" s="1086">
        <f t="shared" si="352"/>
        <v>24.83009708737864</v>
      </c>
    </row>
    <row r="548" spans="1:15" ht="15" customHeight="1" collapsed="1" x14ac:dyDescent="0.2">
      <c r="A548" s="303"/>
      <c r="B548" s="833">
        <f t="shared" si="342"/>
        <v>2.8</v>
      </c>
      <c r="C548" s="779" t="s">
        <v>3491</v>
      </c>
      <c r="D548" s="440"/>
      <c r="E548" s="441" t="s">
        <v>1438</v>
      </c>
      <c r="F548" s="446">
        <v>1</v>
      </c>
      <c r="G548" s="440" t="s">
        <v>271</v>
      </c>
      <c r="H548" s="440"/>
      <c r="I548" s="440"/>
      <c r="J548" s="440"/>
      <c r="K548" s="447">
        <f>+SUBTOTAL(9,K549:K556)</f>
        <v>195691.58182999995</v>
      </c>
      <c r="L548" s="447">
        <f>+SUBTOTAL(9,L549:L556)</f>
        <v>150075</v>
      </c>
      <c r="M548" s="447">
        <f>+SUBTOTAL(9,M549:M556)</f>
        <v>0</v>
      </c>
      <c r="N548" s="447">
        <f>+SUBTOTAL(9,N549:N556)</f>
        <v>345766.58182999992</v>
      </c>
      <c r="O548" s="1081">
        <f>+SUBTOTAL(9,O549:O556)</f>
        <v>671.39142102912626</v>
      </c>
    </row>
    <row r="549" spans="1:15" s="49" customFormat="1" ht="18.600000000000001" customHeight="1" x14ac:dyDescent="0.2">
      <c r="A549" s="1078"/>
      <c r="B549" s="833">
        <f t="shared" si="342"/>
        <v>2.8</v>
      </c>
      <c r="C549" s="770" t="s">
        <v>2070</v>
      </c>
      <c r="D549" s="453"/>
      <c r="E549" s="454" t="s">
        <v>215</v>
      </c>
      <c r="F549" s="455">
        <f>+'1_OG y 2_ACA'!D1821</f>
        <v>36.339999999999989</v>
      </c>
      <c r="G549" s="453" t="s">
        <v>137</v>
      </c>
      <c r="H549" s="453"/>
      <c r="I549" s="453"/>
      <c r="J549" s="453"/>
      <c r="K549" s="456">
        <f>+SUBTOTAL(9,K550:K556)</f>
        <v>195691.58182999995</v>
      </c>
      <c r="L549" s="456">
        <f>+SUBTOTAL(9,L550:L556)</f>
        <v>150075</v>
      </c>
      <c r="M549" s="456">
        <f>+SUBTOTAL(9,M550:M556)</f>
        <v>0</v>
      </c>
      <c r="N549" s="456">
        <f>+SUBTOTAL(9,N550:N556)</f>
        <v>345766.58182999992</v>
      </c>
      <c r="O549" s="1082">
        <f>+SUBTOTAL(9,O550:O556)</f>
        <v>671.39142102912626</v>
      </c>
    </row>
    <row r="550" spans="1:15" ht="15" customHeight="1" x14ac:dyDescent="0.2">
      <c r="A550" s="303"/>
      <c r="B550" s="833">
        <f t="shared" si="342"/>
        <v>2.8</v>
      </c>
      <c r="C550" s="782" t="s">
        <v>1983</v>
      </c>
      <c r="D550" s="837"/>
      <c r="E550" s="161" t="str">
        <f>+_xlfn.XLOOKUP(C550,'BASE DATOS PRECIOS '!B:B,'BASE DATOS PRECIOS '!E:E)</f>
        <v>ZACATE SAN AGUSTIN</v>
      </c>
      <c r="F550" s="174">
        <f>ROUNDUP('1_OG y 2_ACA'!D1831,0)</f>
        <v>39</v>
      </c>
      <c r="G550" s="175" t="str">
        <f>+_xlfn.XLOOKUP(C550,'BASE DATOS PRECIOS '!B:B,'BASE DATOS PRECIOS '!F:F)</f>
        <v>M2</v>
      </c>
      <c r="H550" s="176">
        <f>+_xlfn.XLOOKUP(E550,'BASE DATOS PRECIOS '!E:E,'BASE DATOS PRECIOS '!H:H)</f>
        <v>1327.7499999999998</v>
      </c>
      <c r="I550" s="175"/>
      <c r="J550" s="175"/>
      <c r="K550" s="176">
        <f t="shared" ref="K550:K556" si="353">+F550*H550</f>
        <v>51782.249999999993</v>
      </c>
      <c r="L550" s="176">
        <f t="shared" ref="L550:L556" si="354">+F550*I550</f>
        <v>0</v>
      </c>
      <c r="M550" s="176">
        <f t="shared" ref="M550:M556" si="355">+F550*J550</f>
        <v>0</v>
      </c>
      <c r="N550" s="176">
        <f t="shared" ref="N550:N556" si="356">SUM(K550:M550)</f>
        <v>51782.249999999993</v>
      </c>
      <c r="O550" s="1083">
        <f t="shared" ref="O550:O556" si="357">SUM(K550:M550)/tc</f>
        <v>100.54805825242717</v>
      </c>
    </row>
    <row r="551" spans="1:15" x14ac:dyDescent="0.2">
      <c r="A551" s="303"/>
      <c r="B551" s="833">
        <f t="shared" si="342"/>
        <v>2.8</v>
      </c>
      <c r="C551" s="782" t="s">
        <v>2134</v>
      </c>
      <c r="D551" s="837"/>
      <c r="E551" s="161" t="str">
        <f>+_xlfn.XLOOKUP(C551,'BASE DATOS PRECIOS '!B:B,'BASE DATOS PRECIOS '!E:E)</f>
        <v>ROLLO SARAN VERDE 80% 2M DE ALTO</v>
      </c>
      <c r="F551" s="174">
        <f>ROUNDUP('1_OG y 2_ACA'!D1832,0)</f>
        <v>7</v>
      </c>
      <c r="G551" s="175" t="str">
        <f>+_xlfn.XLOOKUP(C551,'BASE DATOS PRECIOS '!B:B,'BASE DATOS PRECIOS '!F:F)</f>
        <v>METRO</v>
      </c>
      <c r="H551" s="176">
        <f>+_xlfn.XLOOKUP(E551,'BASE DATOS PRECIOS '!E:E,'BASE DATOS PRECIOS '!H:H)</f>
        <v>1735.93199</v>
      </c>
      <c r="I551" s="175"/>
      <c r="J551" s="175"/>
      <c r="K551" s="176">
        <f t="shared" si="353"/>
        <v>12151.523929999999</v>
      </c>
      <c r="L551" s="176">
        <f t="shared" si="354"/>
        <v>0</v>
      </c>
      <c r="M551" s="176">
        <f t="shared" si="355"/>
        <v>0</v>
      </c>
      <c r="N551" s="176">
        <f t="shared" si="356"/>
        <v>12151.523929999999</v>
      </c>
      <c r="O551" s="1083">
        <f t="shared" si="357"/>
        <v>23.595192097087377</v>
      </c>
    </row>
    <row r="552" spans="1:15" x14ac:dyDescent="0.2">
      <c r="A552" s="303"/>
      <c r="B552" s="833">
        <f t="shared" si="342"/>
        <v>2.8</v>
      </c>
      <c r="C552" s="786" t="s">
        <v>1917</v>
      </c>
      <c r="D552" s="826"/>
      <c r="E552" s="161" t="str">
        <f>+_xlfn.XLOOKUP(C552,'BASE DATOS PRECIOS '!B:B,'BASE DATOS PRECIOS '!E:E)</f>
        <v>PIEDRA CUARTILLA</v>
      </c>
      <c r="F552" s="174">
        <f>ROUNDUP('1_OG y 2_ACA'!D1833,0)</f>
        <v>1</v>
      </c>
      <c r="G552" s="175" t="str">
        <f>+_xlfn.XLOOKUP(C552,'BASE DATOS PRECIOS '!B:B,'BASE DATOS PRECIOS '!F:F)</f>
        <v>M3</v>
      </c>
      <c r="H552" s="176">
        <f>+_xlfn.XLOOKUP(E552,'BASE DATOS PRECIOS '!E:E,'BASE DATOS PRECIOS '!H:H)</f>
        <v>17012.149999999998</v>
      </c>
      <c r="I552" s="175"/>
      <c r="J552" s="175"/>
      <c r="K552" s="176">
        <f t="shared" si="353"/>
        <v>17012.149999999998</v>
      </c>
      <c r="L552" s="176">
        <f t="shared" si="354"/>
        <v>0</v>
      </c>
      <c r="M552" s="176">
        <f t="shared" si="355"/>
        <v>0</v>
      </c>
      <c r="N552" s="176">
        <f t="shared" si="356"/>
        <v>17012.149999999998</v>
      </c>
      <c r="O552" s="1083">
        <f t="shared" si="357"/>
        <v>33.033300970873782</v>
      </c>
    </row>
    <row r="553" spans="1:15" x14ac:dyDescent="0.2">
      <c r="A553" s="1074"/>
      <c r="B553" s="833">
        <f t="shared" si="342"/>
        <v>2.8</v>
      </c>
      <c r="C553" s="786" t="s">
        <v>2271</v>
      </c>
      <c r="D553" s="826"/>
      <c r="E553" s="161" t="str">
        <f>+_xlfn.XLOOKUP(C553,'BASE DATOS PRECIOS '!B:B,'BASE DATOS PRECIOS '!E:E)</f>
        <v>TUBO SDR41 JC PVC 3"</v>
      </c>
      <c r="F553" s="174">
        <f>ROUNDUP('1_OG y 2_ACA'!D1834,0)</f>
        <v>2</v>
      </c>
      <c r="G553" s="175" t="str">
        <f>+_xlfn.XLOOKUP(C553,'BASE DATOS PRECIOS '!B:B,'BASE DATOS PRECIOS '!F:F)</f>
        <v>UND</v>
      </c>
      <c r="H553" s="176">
        <f>+_xlfn.XLOOKUP(E553,'BASE DATOS PRECIOS '!E:E,'BASE DATOS PRECIOS '!H:H)</f>
        <v>55020.829999999994</v>
      </c>
      <c r="I553" s="175"/>
      <c r="J553" s="175"/>
      <c r="K553" s="176">
        <f t="shared" ref="K553" si="358">+F553*H553</f>
        <v>110041.65999999999</v>
      </c>
      <c r="L553" s="176">
        <f t="shared" ref="L553" si="359">+F553*I553</f>
        <v>0</v>
      </c>
      <c r="M553" s="176">
        <f t="shared" ref="M553" si="360">+F553*J553</f>
        <v>0</v>
      </c>
      <c r="N553" s="176">
        <f t="shared" ref="N553" si="361">SUM(K553:M553)</f>
        <v>110041.65999999999</v>
      </c>
      <c r="O553" s="1083">
        <f t="shared" ref="O553" si="362">SUM(K553:M553)/tc</f>
        <v>213.67312621359221</v>
      </c>
    </row>
    <row r="554" spans="1:15" x14ac:dyDescent="0.2">
      <c r="A554" s="303"/>
      <c r="B554" s="833">
        <f t="shared" si="342"/>
        <v>2.8</v>
      </c>
      <c r="C554" s="786" t="s">
        <v>2638</v>
      </c>
      <c r="D554" s="826"/>
      <c r="E554" s="161" t="str">
        <f>+_xlfn.XLOOKUP(C554,'BASE DATOS PRECIOS '!B:B,'BASE DATOS PRECIOS '!E:E)</f>
        <v>DISCO SIERRA CIRCULAR 7-1/4</v>
      </c>
      <c r="F554" s="174">
        <f>ROUNDUP('1_OG y 2_ACA'!D1835,0)</f>
        <v>1</v>
      </c>
      <c r="G554" s="175" t="str">
        <f>+_xlfn.XLOOKUP(C554,'BASE DATOS PRECIOS '!B:B,'BASE DATOS PRECIOS '!F:F)</f>
        <v>UND</v>
      </c>
      <c r="H554" s="176">
        <f>+_xlfn.XLOOKUP(E554,'BASE DATOS PRECIOS '!E:E,'BASE DATOS PRECIOS '!H:H)</f>
        <v>4703.9978999999994</v>
      </c>
      <c r="I554" s="175"/>
      <c r="J554" s="175"/>
      <c r="K554" s="176">
        <f t="shared" si="353"/>
        <v>4703.9978999999994</v>
      </c>
      <c r="L554" s="176">
        <f t="shared" si="354"/>
        <v>0</v>
      </c>
      <c r="M554" s="176">
        <f t="shared" si="355"/>
        <v>0</v>
      </c>
      <c r="N554" s="176">
        <f t="shared" si="356"/>
        <v>4703.9978999999994</v>
      </c>
      <c r="O554" s="1083">
        <f t="shared" si="357"/>
        <v>9.1339765048543686</v>
      </c>
    </row>
    <row r="555" spans="1:15" x14ac:dyDescent="0.2">
      <c r="A555" s="1075" t="s">
        <v>3005</v>
      </c>
      <c r="B555" s="833">
        <f t="shared" si="342"/>
        <v>2.8</v>
      </c>
      <c r="C555" s="774" t="s">
        <v>36</v>
      </c>
      <c r="D555" s="210"/>
      <c r="E555" s="211" t="str">
        <f>+_xlfn.XLOOKUP(C555,'BASE DATOS MANO DE OBRA'!A:A,'BASE DATOS MANO DE OBRA'!B:B)</f>
        <v xml:space="preserve">OPERARIO PLUS </v>
      </c>
      <c r="F555" s="212">
        <f>+ROUNDUP('1_OG y 2_ACA'!F1838,0)/2</f>
        <v>29</v>
      </c>
      <c r="G555" s="213" t="str">
        <f>+_xlfn.XLOOKUP(C555,'BASE DATOS MANO DE OBRA'!A:A,'BASE DATOS MANO DE OBRA'!C:C)</f>
        <v xml:space="preserve">hora </v>
      </c>
      <c r="H555" s="214">
        <v>0</v>
      </c>
      <c r="I555" s="214">
        <f>+_xlfn.XLOOKUP(C555,'BASE DATOS MANO DE OBRA'!A:A,'BASE DATOS MANO DE OBRA'!E:E)</f>
        <v>2850</v>
      </c>
      <c r="J555" s="214">
        <v>0</v>
      </c>
      <c r="K555" s="214">
        <f t="shared" si="353"/>
        <v>0</v>
      </c>
      <c r="L555" s="214">
        <f t="shared" si="354"/>
        <v>82650</v>
      </c>
      <c r="M555" s="214">
        <f t="shared" si="355"/>
        <v>0</v>
      </c>
      <c r="N555" s="214">
        <f t="shared" si="356"/>
        <v>82650</v>
      </c>
      <c r="O555" s="1086">
        <f t="shared" si="357"/>
        <v>160.48543689320388</v>
      </c>
    </row>
    <row r="556" spans="1:15" x14ac:dyDescent="0.2">
      <c r="A556" s="1075" t="s">
        <v>3005</v>
      </c>
      <c r="B556" s="833">
        <f t="shared" si="342"/>
        <v>2.8</v>
      </c>
      <c r="C556" s="774" t="s">
        <v>37</v>
      </c>
      <c r="D556" s="210"/>
      <c r="E556" s="211" t="str">
        <f>+_xlfn.XLOOKUP(C556,'BASE DATOS MANO DE OBRA'!A:A,'BASE DATOS MANO DE OBRA'!B:B)</f>
        <v xml:space="preserve">AYUDANTE PLUS </v>
      </c>
      <c r="F556" s="212">
        <f>+F555</f>
        <v>29</v>
      </c>
      <c r="G556" s="213" t="str">
        <f>+_xlfn.XLOOKUP(C556,'BASE DATOS MANO DE OBRA'!A:A,'BASE DATOS MANO DE OBRA'!C:C)</f>
        <v xml:space="preserve">hora </v>
      </c>
      <c r="H556" s="214">
        <v>0</v>
      </c>
      <c r="I556" s="214">
        <f>+_xlfn.XLOOKUP(C556,'BASE DATOS MANO DE OBRA'!A:A,'BASE DATOS MANO DE OBRA'!E:E)</f>
        <v>2325</v>
      </c>
      <c r="J556" s="214">
        <v>0</v>
      </c>
      <c r="K556" s="214">
        <f t="shared" si="353"/>
        <v>0</v>
      </c>
      <c r="L556" s="214">
        <f t="shared" si="354"/>
        <v>67425</v>
      </c>
      <c r="M556" s="214">
        <f t="shared" si="355"/>
        <v>0</v>
      </c>
      <c r="N556" s="214">
        <f t="shared" si="356"/>
        <v>67425</v>
      </c>
      <c r="O556" s="1086">
        <f t="shared" si="357"/>
        <v>130.92233009708738</v>
      </c>
    </row>
    <row r="557" spans="1:15" x14ac:dyDescent="0.2">
      <c r="A557" s="303"/>
      <c r="B557" s="833">
        <f t="shared" si="342"/>
        <v>2.8</v>
      </c>
      <c r="C557" s="788">
        <v>3</v>
      </c>
      <c r="D557" s="435"/>
      <c r="E557" s="436" t="s">
        <v>2071</v>
      </c>
      <c r="F557" s="437"/>
      <c r="G557" s="438"/>
      <c r="H557" s="439"/>
      <c r="I557" s="439"/>
      <c r="J557" s="439"/>
      <c r="K557" s="439">
        <f>+SUBTOTAL(9,K558:K950)</f>
        <v>4046966.6580729992</v>
      </c>
      <c r="L557" s="439">
        <f>+SUBTOTAL(9,L558:L950)</f>
        <v>504562.5</v>
      </c>
      <c r="M557" s="439">
        <f>+SUBTOTAL(9,M558:M950)</f>
        <v>1157468</v>
      </c>
      <c r="N557" s="439">
        <f>+SUBTOTAL(9,N558:N950)</f>
        <v>5708997.1580729987</v>
      </c>
      <c r="O557" s="1080">
        <f>+SUBTOTAL(9,O558:O950)</f>
        <v>11085.431374899019</v>
      </c>
    </row>
    <row r="558" spans="1:15" ht="15" customHeight="1" collapsed="1" x14ac:dyDescent="0.2">
      <c r="A558" s="303"/>
      <c r="B558" s="833">
        <f t="shared" si="342"/>
        <v>3.1</v>
      </c>
      <c r="C558" s="779" t="s">
        <v>3492</v>
      </c>
      <c r="D558" s="440"/>
      <c r="E558" s="441" t="s">
        <v>227</v>
      </c>
      <c r="F558" s="446">
        <v>1</v>
      </c>
      <c r="G558" s="440" t="s">
        <v>271</v>
      </c>
      <c r="H558" s="440"/>
      <c r="I558" s="440"/>
      <c r="J558" s="440"/>
      <c r="K558" s="447">
        <f>+SUBTOTAL(9,K559:K820)</f>
        <v>3321294.3361579995</v>
      </c>
      <c r="L558" s="447">
        <f>+SUBTOTAL(9,L559:L820)</f>
        <v>0</v>
      </c>
      <c r="M558" s="447">
        <f>+SUBTOTAL(9,M559:M820)</f>
        <v>1157468</v>
      </c>
      <c r="N558" s="447">
        <f>+SUBTOTAL(9,N559:N820)</f>
        <v>4478762.3361579971</v>
      </c>
      <c r="O558" s="1081">
        <f>+SUBTOTAL(9,O559:O820)</f>
        <v>8696.6258954524255</v>
      </c>
    </row>
    <row r="559" spans="1:15" s="49" customFormat="1" ht="18.600000000000001" customHeight="1" x14ac:dyDescent="0.2">
      <c r="A559" s="303"/>
      <c r="B559" s="833">
        <f t="shared" si="342"/>
        <v>3.1</v>
      </c>
      <c r="C559" s="770" t="s">
        <v>2072</v>
      </c>
      <c r="D559" s="453"/>
      <c r="E559" s="454" t="s">
        <v>3274</v>
      </c>
      <c r="F559" s="455">
        <v>1</v>
      </c>
      <c r="G559" s="453" t="s">
        <v>29</v>
      </c>
      <c r="H559" s="453"/>
      <c r="I559" s="453"/>
      <c r="J559" s="453"/>
      <c r="K559" s="456">
        <f>+SUBTOTAL(9,K560:K582)</f>
        <v>141132.47220300001</v>
      </c>
      <c r="L559" s="456">
        <f>+SUBTOTAL(9,L560:L582)</f>
        <v>0</v>
      </c>
      <c r="M559" s="456">
        <f>+SUBTOTAL(9,M560:M582)</f>
        <v>211250</v>
      </c>
      <c r="N559" s="456">
        <f>+SUBTOTAL(9,N560:N582)</f>
        <v>352382.47220299998</v>
      </c>
      <c r="O559" s="1082">
        <f>+SUBTOTAL(9,O560:O582)</f>
        <v>684.23781010291259</v>
      </c>
    </row>
    <row r="560" spans="1:15" x14ac:dyDescent="0.2">
      <c r="A560" s="303"/>
      <c r="B560" s="833">
        <f t="shared" si="342"/>
        <v>3.1</v>
      </c>
      <c r="C560" s="303" t="s">
        <v>1993</v>
      </c>
      <c r="D560" s="822"/>
      <c r="E560" s="161" t="str">
        <f>+_xlfn.XLOOKUP(C560,'BASE DATOS PRECIOS '!B:B,'BASE DATOS PRECIOS '!E:E)</f>
        <v>CURVA CONDUIT 1-1/2 UL</v>
      </c>
      <c r="F560" s="174">
        <f>'3.1_ELEC'!E14</f>
        <v>1</v>
      </c>
      <c r="G560" s="175" t="str">
        <f>+_xlfn.XLOOKUP(C560,'BASE DATOS PRECIOS '!B:B,'BASE DATOS PRECIOS '!F:F)</f>
        <v>UND</v>
      </c>
      <c r="H560" s="176">
        <f>+_xlfn.XLOOKUP(E560,'BASE DATOS PRECIOS '!E:E,'BASE DATOS PRECIOS '!H:H)</f>
        <v>1415.0424999999998</v>
      </c>
      <c r="I560" s="175"/>
      <c r="J560" s="175"/>
      <c r="K560" s="176">
        <f t="shared" ref="K560:K582" si="363">+F560*H560</f>
        <v>1415.0424999999998</v>
      </c>
      <c r="L560" s="176">
        <f t="shared" ref="L560:L582" si="364">+F560*I560</f>
        <v>0</v>
      </c>
      <c r="M560" s="176">
        <f t="shared" ref="M560:M582" si="365">+F560*J560</f>
        <v>0</v>
      </c>
      <c r="N560" s="176">
        <f t="shared" ref="N560:N582" si="366">SUM(K560:M560)</f>
        <v>1415.0424999999998</v>
      </c>
      <c r="O560" s="1083">
        <f t="shared" ref="O560:O582" si="367">SUM(K560:M560)/tc</f>
        <v>2.7476553398058248</v>
      </c>
    </row>
    <row r="561" spans="1:15" x14ac:dyDescent="0.2">
      <c r="A561" s="303"/>
      <c r="B561" s="833">
        <f t="shared" si="342"/>
        <v>3.1</v>
      </c>
      <c r="C561" s="303" t="s">
        <v>1994</v>
      </c>
      <c r="D561" s="822"/>
      <c r="E561" s="161" t="str">
        <f>+_xlfn.XLOOKUP(C561,'BASE DATOS PRECIOS '!B:B,'BASE DATOS PRECIOS '!E:E)</f>
        <v>CURVA CONDUIT 1 UL</v>
      </c>
      <c r="F561" s="174">
        <f>'3.1_ELEC'!E15</f>
        <v>3</v>
      </c>
      <c r="G561" s="175" t="str">
        <f>+_xlfn.XLOOKUP(C561,'BASE DATOS PRECIOS '!B:B,'BASE DATOS PRECIOS '!F:F)</f>
        <v>UND</v>
      </c>
      <c r="H561" s="176">
        <f>+_xlfn.XLOOKUP(E561,'BASE DATOS PRECIOS '!E:E,'BASE DATOS PRECIOS '!H:H)</f>
        <v>487.31249999999994</v>
      </c>
      <c r="I561" s="175"/>
      <c r="J561" s="175"/>
      <c r="K561" s="176">
        <f t="shared" si="363"/>
        <v>1461.9374999999998</v>
      </c>
      <c r="L561" s="176">
        <f t="shared" si="364"/>
        <v>0</v>
      </c>
      <c r="M561" s="176">
        <f t="shared" si="365"/>
        <v>0</v>
      </c>
      <c r="N561" s="176">
        <f t="shared" si="366"/>
        <v>1461.9374999999998</v>
      </c>
      <c r="O561" s="1083">
        <f t="shared" si="367"/>
        <v>2.8387135922330091</v>
      </c>
    </row>
    <row r="562" spans="1:15" x14ac:dyDescent="0.2">
      <c r="A562" s="303"/>
      <c r="B562" s="833">
        <f t="shared" si="342"/>
        <v>3.1</v>
      </c>
      <c r="C562" s="303" t="s">
        <v>1992</v>
      </c>
      <c r="D562" s="822"/>
      <c r="E562" s="161" t="str">
        <f>+_xlfn.XLOOKUP(C562,'BASE DATOS PRECIOS '!B:B,'BASE DATOS PRECIOS '!E:E)</f>
        <v>CURVA CONDUIT 1/2 UL</v>
      </c>
      <c r="F562" s="174">
        <f>'3.1_ELEC'!E16</f>
        <v>45</v>
      </c>
      <c r="G562" s="175" t="str">
        <f>+_xlfn.XLOOKUP(C562,'BASE DATOS PRECIOS '!B:B,'BASE DATOS PRECIOS '!F:F)</f>
        <v>UND</v>
      </c>
      <c r="H562" s="176">
        <f>+_xlfn.XLOOKUP(E562,'BASE DATOS PRECIOS '!E:E,'BASE DATOS PRECIOS '!H:H)</f>
        <v>327.13499999999999</v>
      </c>
      <c r="I562" s="175"/>
      <c r="J562" s="175"/>
      <c r="K562" s="176">
        <f t="shared" si="363"/>
        <v>14721.074999999999</v>
      </c>
      <c r="L562" s="176">
        <f t="shared" si="364"/>
        <v>0</v>
      </c>
      <c r="M562" s="176">
        <f t="shared" si="365"/>
        <v>0</v>
      </c>
      <c r="N562" s="176">
        <f t="shared" si="366"/>
        <v>14721.074999999999</v>
      </c>
      <c r="O562" s="1083">
        <f t="shared" si="367"/>
        <v>28.584611650485435</v>
      </c>
    </row>
    <row r="563" spans="1:15" x14ac:dyDescent="0.2">
      <c r="A563" s="303"/>
      <c r="B563" s="833">
        <f t="shared" si="342"/>
        <v>3.1</v>
      </c>
      <c r="C563" s="303" t="s">
        <v>1998</v>
      </c>
      <c r="D563" s="822"/>
      <c r="E563" s="161" t="str">
        <f>+_xlfn.XLOOKUP(C563,'BASE DATOS PRECIOS '!B:B,'BASE DATOS PRECIOS '!E:E)</f>
        <v>CURVA CONDUIT 3/4 UL</v>
      </c>
      <c r="F563" s="174">
        <f>'3.1_ELEC'!E17</f>
        <v>15</v>
      </c>
      <c r="G563" s="175" t="str">
        <f>+_xlfn.XLOOKUP(C563,'BASE DATOS PRECIOS '!B:B,'BASE DATOS PRECIOS '!F:F)</f>
        <v>UND</v>
      </c>
      <c r="H563" s="176">
        <f>+_xlfn.XLOOKUP(E563,'BASE DATOS PRECIOS '!E:E,'BASE DATOS PRECIOS '!H:H)</f>
        <v>401.15</v>
      </c>
      <c r="I563" s="175"/>
      <c r="J563" s="175"/>
      <c r="K563" s="176">
        <f t="shared" si="363"/>
        <v>6017.25</v>
      </c>
      <c r="L563" s="176">
        <f t="shared" si="364"/>
        <v>0</v>
      </c>
      <c r="M563" s="176">
        <f t="shared" si="365"/>
        <v>0</v>
      </c>
      <c r="N563" s="176">
        <f t="shared" si="366"/>
        <v>6017.25</v>
      </c>
      <c r="O563" s="1083">
        <f t="shared" si="367"/>
        <v>11.683980582524272</v>
      </c>
    </row>
    <row r="564" spans="1:15" x14ac:dyDescent="0.2">
      <c r="A564" s="303"/>
      <c r="B564" s="833">
        <f t="shared" si="342"/>
        <v>3.1</v>
      </c>
      <c r="C564" s="303" t="s">
        <v>1997</v>
      </c>
      <c r="D564" s="822"/>
      <c r="E564" s="161" t="str">
        <f>+_xlfn.XLOOKUP(C564,'BASE DATOS PRECIOS '!B:B,'BASE DATOS PRECIOS '!E:E)</f>
        <v>TUBO CONDUIT 1-1/2 UL</v>
      </c>
      <c r="F564" s="174">
        <f>'3.1_ELEC'!E18</f>
        <v>4</v>
      </c>
      <c r="G564" s="175" t="str">
        <f>+_xlfn.XLOOKUP(C564,'BASE DATOS PRECIOS '!B:B,'BASE DATOS PRECIOS '!F:F)</f>
        <v>UND</v>
      </c>
      <c r="H564" s="176">
        <f>+_xlfn.XLOOKUP(E564,'BASE DATOS PRECIOS '!E:E,'BASE DATOS PRECIOS '!H:H)</f>
        <v>3515.9949999999999</v>
      </c>
      <c r="I564" s="175"/>
      <c r="J564" s="175"/>
      <c r="K564" s="176">
        <f t="shared" si="363"/>
        <v>14063.98</v>
      </c>
      <c r="L564" s="176">
        <f t="shared" si="364"/>
        <v>0</v>
      </c>
      <c r="M564" s="176">
        <f t="shared" si="365"/>
        <v>0</v>
      </c>
      <c r="N564" s="176">
        <f t="shared" si="366"/>
        <v>14063.98</v>
      </c>
      <c r="O564" s="1083">
        <f t="shared" si="367"/>
        <v>27.308699029126213</v>
      </c>
    </row>
    <row r="565" spans="1:15" x14ac:dyDescent="0.2">
      <c r="A565" s="303"/>
      <c r="B565" s="833">
        <f t="shared" si="342"/>
        <v>3.1</v>
      </c>
      <c r="C565" s="303" t="s">
        <v>2282</v>
      </c>
      <c r="D565" s="822"/>
      <c r="E565" s="161" t="str">
        <f>+_xlfn.XLOOKUP(C565,'BASE DATOS PRECIOS '!B:B,'BASE DATOS PRECIOS '!E:E)</f>
        <v>TUBO CONDUIT 1 UL</v>
      </c>
      <c r="F565" s="174">
        <f>'3.1_ELEC'!E19</f>
        <v>7</v>
      </c>
      <c r="G565" s="175" t="str">
        <f>+_xlfn.XLOOKUP(C565,'BASE DATOS PRECIOS '!B:B,'BASE DATOS PRECIOS '!F:F)</f>
        <v>UND</v>
      </c>
      <c r="H565" s="176">
        <f>+_xlfn.XLOOKUP(E565,'BASE DATOS PRECIOS '!E:E,'BASE DATOS PRECIOS '!H:H)</f>
        <v>2365.9375</v>
      </c>
      <c r="I565" s="175"/>
      <c r="J565" s="175"/>
      <c r="K565" s="176">
        <f t="shared" ref="K565:K573" si="368">+F565*H565</f>
        <v>16561.5625</v>
      </c>
      <c r="L565" s="176">
        <f t="shared" ref="L565:L573" si="369">+F565*I565</f>
        <v>0</v>
      </c>
      <c r="M565" s="176">
        <f t="shared" ref="M565:M573" si="370">+F565*J565</f>
        <v>0</v>
      </c>
      <c r="N565" s="176">
        <f t="shared" ref="N565:N573" si="371">SUM(K565:M565)</f>
        <v>16561.5625</v>
      </c>
      <c r="O565" s="1083">
        <f t="shared" ref="O565:O573" si="372">SUM(K565:M565)/tc</f>
        <v>32.158373786407765</v>
      </c>
    </row>
    <row r="566" spans="1:15" x14ac:dyDescent="0.2">
      <c r="A566" s="303"/>
      <c r="B566" s="833">
        <f t="shared" si="342"/>
        <v>3.1</v>
      </c>
      <c r="C566" s="303" t="s">
        <v>2288</v>
      </c>
      <c r="D566" s="822"/>
      <c r="E566" s="161" t="str">
        <f>+_xlfn.XLOOKUP(C566,'BASE DATOS PRECIOS '!B:B,'BASE DATOS PRECIOS '!E:E)</f>
        <v>TUBO CONDUIT 1/2 UL</v>
      </c>
      <c r="F566" s="174">
        <f>'3.1_ELEC'!E20</f>
        <v>45</v>
      </c>
      <c r="G566" s="175" t="str">
        <f>+_xlfn.XLOOKUP(C566,'BASE DATOS PRECIOS '!B:B,'BASE DATOS PRECIOS '!F:F)</f>
        <v>UND</v>
      </c>
      <c r="H566" s="176">
        <f>+_xlfn.XLOOKUP(E566,'BASE DATOS PRECIOS '!E:E,'BASE DATOS PRECIOS '!H:H)</f>
        <v>736.47749999999996</v>
      </c>
      <c r="I566" s="175"/>
      <c r="J566" s="175"/>
      <c r="K566" s="176">
        <f t="shared" si="368"/>
        <v>33141.487499999996</v>
      </c>
      <c r="L566" s="176">
        <f t="shared" si="369"/>
        <v>0</v>
      </c>
      <c r="M566" s="176">
        <f t="shared" si="370"/>
        <v>0</v>
      </c>
      <c r="N566" s="176">
        <f t="shared" si="371"/>
        <v>33141.487499999996</v>
      </c>
      <c r="O566" s="1083">
        <f t="shared" si="372"/>
        <v>64.352402912621358</v>
      </c>
    </row>
    <row r="567" spans="1:15" x14ac:dyDescent="0.2">
      <c r="A567" s="303"/>
      <c r="B567" s="833">
        <f t="shared" si="342"/>
        <v>3.1</v>
      </c>
      <c r="C567" s="775" t="s">
        <v>2289</v>
      </c>
      <c r="D567" s="823"/>
      <c r="E567" s="161" t="str">
        <f>+_xlfn.XLOOKUP(C567,'BASE DATOS PRECIOS '!B:B,'BASE DATOS PRECIOS '!E:E)</f>
        <v>TUBO CONDUIT 3/4 UL</v>
      </c>
      <c r="F567" s="174">
        <f>'3.1_ELEC'!E21</f>
        <v>25</v>
      </c>
      <c r="G567" s="175" t="str">
        <f>+_xlfn.XLOOKUP(C567,'BASE DATOS PRECIOS '!B:B,'BASE DATOS PRECIOS '!F:F)</f>
        <v>UND</v>
      </c>
      <c r="H567" s="176">
        <f>+_xlfn.XLOOKUP(E567,'BASE DATOS PRECIOS '!E:E,'BASE DATOS PRECIOS '!H:H)</f>
        <v>1096.3824999999999</v>
      </c>
      <c r="I567" s="175"/>
      <c r="J567" s="175"/>
      <c r="K567" s="176">
        <f t="shared" si="368"/>
        <v>27409.5625</v>
      </c>
      <c r="L567" s="176">
        <f t="shared" si="369"/>
        <v>0</v>
      </c>
      <c r="M567" s="176">
        <f t="shared" si="370"/>
        <v>0</v>
      </c>
      <c r="N567" s="176">
        <f t="shared" si="371"/>
        <v>27409.5625</v>
      </c>
      <c r="O567" s="1083">
        <f t="shared" si="372"/>
        <v>53.222451456310679</v>
      </c>
    </row>
    <row r="568" spans="1:15" x14ac:dyDescent="0.2">
      <c r="A568" s="303"/>
      <c r="B568" s="833">
        <f t="shared" si="342"/>
        <v>3.1</v>
      </c>
      <c r="C568" s="775" t="s">
        <v>2283</v>
      </c>
      <c r="D568" s="823"/>
      <c r="E568" s="161" t="str">
        <f>+_xlfn.XLOOKUP(C568,'BASE DATOS PRECIOS '!B:B,'BASE DATOS PRECIOS '!E:E)</f>
        <v>UNION CONDUIT 1-1/2 UL</v>
      </c>
      <c r="F568" s="174">
        <f>'3.1_ELEC'!E22</f>
        <v>3</v>
      </c>
      <c r="G568" s="175" t="str">
        <f>+_xlfn.XLOOKUP(C568,'BASE DATOS PRECIOS '!B:B,'BASE DATOS PRECIOS '!F:F)</f>
        <v>UND</v>
      </c>
      <c r="H568" s="176">
        <f>+_xlfn.XLOOKUP(E568,'BASE DATOS PRECIOS '!E:E,'BASE DATOS PRECIOS '!H:H)</f>
        <v>311.315</v>
      </c>
      <c r="I568" s="175"/>
      <c r="J568" s="175"/>
      <c r="K568" s="176">
        <f t="shared" si="368"/>
        <v>933.94499999999994</v>
      </c>
      <c r="L568" s="176">
        <f t="shared" si="369"/>
        <v>0</v>
      </c>
      <c r="M568" s="176">
        <f t="shared" si="370"/>
        <v>0</v>
      </c>
      <c r="N568" s="176">
        <f t="shared" si="371"/>
        <v>933.94499999999994</v>
      </c>
      <c r="O568" s="1083">
        <f t="shared" si="372"/>
        <v>1.8134854368932039</v>
      </c>
    </row>
    <row r="569" spans="1:15" x14ac:dyDescent="0.2">
      <c r="A569" s="303"/>
      <c r="B569" s="833">
        <f t="shared" si="342"/>
        <v>3.1</v>
      </c>
      <c r="C569" s="120" t="s">
        <v>2284</v>
      </c>
      <c r="D569" s="838"/>
      <c r="E569" s="161" t="str">
        <f>+_xlfn.XLOOKUP(C569,'BASE DATOS PRECIOS '!B:B,'BASE DATOS PRECIOS '!E:E)</f>
        <v>UNION CONDUIT 1 UL</v>
      </c>
      <c r="F569" s="174">
        <f>'3.1_ELEC'!E23</f>
        <v>3</v>
      </c>
      <c r="G569" s="175" t="str">
        <f>+_xlfn.XLOOKUP(C569,'BASE DATOS PRECIOS '!B:B,'BASE DATOS PRECIOS '!F:F)</f>
        <v>UND</v>
      </c>
      <c r="H569" s="176">
        <f>+_xlfn.XLOOKUP(E569,'BASE DATOS PRECIOS '!E:E,'BASE DATOS PRECIOS '!H:H)</f>
        <v>170.065</v>
      </c>
      <c r="I569" s="175"/>
      <c r="J569" s="175"/>
      <c r="K569" s="176">
        <f t="shared" ref="K569:K572" si="373">+F569*H569</f>
        <v>510.19499999999999</v>
      </c>
      <c r="L569" s="176">
        <f t="shared" ref="L569:L572" si="374">+F569*I569</f>
        <v>0</v>
      </c>
      <c r="M569" s="176">
        <f t="shared" ref="M569:M572" si="375">+F569*J569</f>
        <v>0</v>
      </c>
      <c r="N569" s="176">
        <f t="shared" ref="N569:N572" si="376">SUM(K569:M569)</f>
        <v>510.19499999999999</v>
      </c>
      <c r="O569" s="1083">
        <f t="shared" ref="O569:O572" si="377">SUM(K569:M569)/tc</f>
        <v>0.99066990291262136</v>
      </c>
    </row>
    <row r="570" spans="1:15" x14ac:dyDescent="0.2">
      <c r="A570" s="303"/>
      <c r="B570" s="833">
        <f t="shared" si="342"/>
        <v>3.1</v>
      </c>
      <c r="C570" s="303" t="s">
        <v>2292</v>
      </c>
      <c r="D570" s="822"/>
      <c r="E570" s="161" t="str">
        <f>+_xlfn.XLOOKUP(C570,'BASE DATOS PRECIOS '!B:B,'BASE DATOS PRECIOS '!E:E)</f>
        <v>UNION CONDUIT 1/2 UL</v>
      </c>
      <c r="F570" s="174">
        <f>'3.1_ELEC'!E24</f>
        <v>18</v>
      </c>
      <c r="G570" s="175" t="str">
        <f>+_xlfn.XLOOKUP(C570,'BASE DATOS PRECIOS '!B:B,'BASE DATOS PRECIOS '!F:F)</f>
        <v>UND</v>
      </c>
      <c r="H570" s="176">
        <f>+_xlfn.XLOOKUP(E570,'BASE DATOS PRECIOS '!E:E,'BASE DATOS PRECIOS '!H:H)</f>
        <v>75.144999999999996</v>
      </c>
      <c r="I570" s="175"/>
      <c r="J570" s="175"/>
      <c r="K570" s="176">
        <f t="shared" si="373"/>
        <v>1352.61</v>
      </c>
      <c r="L570" s="176">
        <f t="shared" si="374"/>
        <v>0</v>
      </c>
      <c r="M570" s="176">
        <f t="shared" si="375"/>
        <v>0</v>
      </c>
      <c r="N570" s="176">
        <f t="shared" si="376"/>
        <v>1352.61</v>
      </c>
      <c r="O570" s="1083">
        <f t="shared" si="377"/>
        <v>2.6264271844660194</v>
      </c>
    </row>
    <row r="571" spans="1:15" x14ac:dyDescent="0.2">
      <c r="A571" s="303"/>
      <c r="B571" s="833">
        <f t="shared" si="342"/>
        <v>3.1</v>
      </c>
      <c r="C571" s="303" t="s">
        <v>2290</v>
      </c>
      <c r="D571" s="822"/>
      <c r="E571" s="161" t="str">
        <f>+_xlfn.XLOOKUP(C571,'BASE DATOS PRECIOS '!B:B,'BASE DATOS PRECIOS '!E:E)</f>
        <v>UNION CONDUIT 3/4 UL</v>
      </c>
      <c r="F571" s="174">
        <f>'3.1_ELEC'!E25</f>
        <v>15</v>
      </c>
      <c r="G571" s="175" t="str">
        <f>+_xlfn.XLOOKUP(C571,'BASE DATOS PRECIOS '!B:B,'BASE DATOS PRECIOS '!F:F)</f>
        <v>UND</v>
      </c>
      <c r="H571" s="176">
        <f>+_xlfn.XLOOKUP(E571,'BASE DATOS PRECIOS '!E:E,'BASE DATOS PRECIOS '!H:H)</f>
        <v>106.785</v>
      </c>
      <c r="I571" s="175"/>
      <c r="J571" s="175"/>
      <c r="K571" s="176">
        <f t="shared" si="373"/>
        <v>1601.7749999999999</v>
      </c>
      <c r="L571" s="176">
        <f t="shared" si="374"/>
        <v>0</v>
      </c>
      <c r="M571" s="176">
        <f t="shared" si="375"/>
        <v>0</v>
      </c>
      <c r="N571" s="176">
        <f t="shared" si="376"/>
        <v>1601.7749999999999</v>
      </c>
      <c r="O571" s="1083">
        <f t="shared" si="377"/>
        <v>3.1102427184466017</v>
      </c>
    </row>
    <row r="572" spans="1:15" x14ac:dyDescent="0.2">
      <c r="A572" s="303"/>
      <c r="B572" s="833">
        <f t="shared" si="342"/>
        <v>3.1</v>
      </c>
      <c r="C572" s="775" t="s">
        <v>2295</v>
      </c>
      <c r="D572" s="823"/>
      <c r="E572" s="161" t="str">
        <f>+_xlfn.XLOOKUP(C572,'BASE DATOS PRECIOS '!B:B,'BASE DATOS PRECIOS '!E:E)</f>
        <v>CONECTOR CONDUIT 1/2 UL</v>
      </c>
      <c r="F572" s="174">
        <f>'3.1_ELEC'!E26</f>
        <v>0</v>
      </c>
      <c r="G572" s="175" t="str">
        <f>+_xlfn.XLOOKUP(C572,'BASE DATOS PRECIOS '!B:B,'BASE DATOS PRECIOS '!F:F)</f>
        <v>UND</v>
      </c>
      <c r="H572" s="176">
        <f>+_xlfn.XLOOKUP(E572,'BASE DATOS PRECIOS '!E:E,'BASE DATOS PRECIOS '!H:H)</f>
        <v>94.072499999999991</v>
      </c>
      <c r="I572" s="175"/>
      <c r="J572" s="175"/>
      <c r="K572" s="176">
        <f t="shared" si="373"/>
        <v>0</v>
      </c>
      <c r="L572" s="176">
        <f t="shared" si="374"/>
        <v>0</v>
      </c>
      <c r="M572" s="176">
        <f t="shared" si="375"/>
        <v>0</v>
      </c>
      <c r="N572" s="176">
        <f t="shared" si="376"/>
        <v>0</v>
      </c>
      <c r="O572" s="1083">
        <f t="shared" si="377"/>
        <v>0</v>
      </c>
    </row>
    <row r="573" spans="1:15" x14ac:dyDescent="0.2">
      <c r="A573" s="303"/>
      <c r="B573" s="833">
        <f t="shared" si="342"/>
        <v>3.1</v>
      </c>
      <c r="C573" s="120" t="s">
        <v>1999</v>
      </c>
      <c r="D573" s="838"/>
      <c r="E573" s="161" t="str">
        <f>+_xlfn.XLOOKUP(C573,'BASE DATOS PRECIOS '!B:B,'BASE DATOS PRECIOS '!E:E)</f>
        <v>PINTURA EN SPRAY ANARANJADO FLURECENTE</v>
      </c>
      <c r="F573" s="174">
        <f>'3.1_ELEC'!E27</f>
        <v>1</v>
      </c>
      <c r="G573" s="175" t="str">
        <f>+_xlfn.XLOOKUP(C573,'BASE DATOS PRECIOS '!B:B,'BASE DATOS PRECIOS '!F:F)</f>
        <v>UND</v>
      </c>
      <c r="H573" s="176">
        <f>+_xlfn.XLOOKUP(E573,'BASE DATOS PRECIOS '!E:E,'BASE DATOS PRECIOS '!H:H)</f>
        <v>5495.0000469999995</v>
      </c>
      <c r="I573" s="175"/>
      <c r="J573" s="175"/>
      <c r="K573" s="176">
        <f t="shared" si="368"/>
        <v>5495.0000469999995</v>
      </c>
      <c r="L573" s="176">
        <f t="shared" si="369"/>
        <v>0</v>
      </c>
      <c r="M573" s="176">
        <f t="shared" si="370"/>
        <v>0</v>
      </c>
      <c r="N573" s="176">
        <f t="shared" si="371"/>
        <v>5495.0000469999995</v>
      </c>
      <c r="O573" s="1083">
        <f t="shared" si="372"/>
        <v>10.669903003883494</v>
      </c>
    </row>
    <row r="574" spans="1:15" x14ac:dyDescent="0.2">
      <c r="A574" s="303"/>
      <c r="B574" s="833">
        <f t="shared" si="342"/>
        <v>3.1</v>
      </c>
      <c r="C574" s="303" t="s">
        <v>2287</v>
      </c>
      <c r="D574" s="822"/>
      <c r="E574" s="161" t="str">
        <f>+_xlfn.XLOOKUP(C574,'BASE DATOS PRECIOS '!B:B,'BASE DATOS PRECIOS '!E:E)</f>
        <v>CINTA EMPAQUE 2</v>
      </c>
      <c r="F574" s="174">
        <f>'3.1_ELEC'!E28</f>
        <v>1</v>
      </c>
      <c r="G574" s="175" t="str">
        <f>+_xlfn.XLOOKUP(C574,'BASE DATOS PRECIOS '!B:B,'BASE DATOS PRECIOS '!F:F)</f>
        <v>UND</v>
      </c>
      <c r="H574" s="176">
        <f>+_xlfn.XLOOKUP(E574,'BASE DATOS PRECIOS '!E:E,'BASE DATOS PRECIOS '!H:H)</f>
        <v>2909.9999559999997</v>
      </c>
      <c r="I574" s="175"/>
      <c r="J574" s="175"/>
      <c r="K574" s="176">
        <f t="shared" si="363"/>
        <v>2909.9999559999997</v>
      </c>
      <c r="L574" s="176">
        <f t="shared" si="364"/>
        <v>0</v>
      </c>
      <c r="M574" s="176">
        <f t="shared" si="365"/>
        <v>0</v>
      </c>
      <c r="N574" s="176">
        <f t="shared" si="366"/>
        <v>2909.9999559999997</v>
      </c>
      <c r="O574" s="1083">
        <f t="shared" si="367"/>
        <v>5.65048535145631</v>
      </c>
    </row>
    <row r="575" spans="1:15" x14ac:dyDescent="0.2">
      <c r="A575" s="303"/>
      <c r="B575" s="833">
        <f t="shared" ref="B575:B638" si="378">VALUE(IF(AND(LEN(TRIM(C575))-LEN(SUBSTITUTE(TRIM(C575),".",""))=1,ISNUMBER(VALUE(SUBSTITUTE(TRIM(C575),".","")))),TRIM(C575),B574))</f>
        <v>3.1</v>
      </c>
      <c r="C575" s="303" t="s">
        <v>2286</v>
      </c>
      <c r="D575" s="822"/>
      <c r="E575" s="161" t="str">
        <f>+_xlfn.XLOOKUP(C575,'BASE DATOS PRECIOS '!B:B,'BASE DATOS PRECIOS '!E:E)</f>
        <v>PEGAMENTO  PVC AZUL WETBONDING</v>
      </c>
      <c r="F575" s="174">
        <f>'3.1_ELEC'!E29</f>
        <v>1</v>
      </c>
      <c r="G575" s="175" t="str">
        <f>+_xlfn.XLOOKUP(C575,'BASE DATOS PRECIOS '!B:B,'BASE DATOS PRECIOS '!F:F)</f>
        <v>1/8 DE GALON</v>
      </c>
      <c r="H575" s="176">
        <f>+_xlfn.XLOOKUP(E575,'BASE DATOS PRECIOS '!E:E,'BASE DATOS PRECIOS '!H:H)</f>
        <v>5835.0036</v>
      </c>
      <c r="I575" s="175"/>
      <c r="J575" s="175"/>
      <c r="K575" s="176">
        <f t="shared" si="363"/>
        <v>5835.0036</v>
      </c>
      <c r="L575" s="176">
        <f t="shared" si="364"/>
        <v>0</v>
      </c>
      <c r="M575" s="176">
        <f t="shared" si="365"/>
        <v>0</v>
      </c>
      <c r="N575" s="176">
        <f t="shared" si="366"/>
        <v>5835.0036</v>
      </c>
      <c r="O575" s="1083">
        <f t="shared" si="367"/>
        <v>11.330104077669903</v>
      </c>
    </row>
    <row r="576" spans="1:15" x14ac:dyDescent="0.2">
      <c r="A576" s="303"/>
      <c r="B576" s="833">
        <f t="shared" si="378"/>
        <v>3.1</v>
      </c>
      <c r="C576" s="775" t="s">
        <v>2285</v>
      </c>
      <c r="D576" s="823"/>
      <c r="E576" s="161" t="str">
        <f>+_xlfn.XLOOKUP(C576,'BASE DATOS PRECIOS '!B:B,'BASE DATOS PRECIOS '!E:E)</f>
        <v>HOJA DE SEGUETA</v>
      </c>
      <c r="F576" s="174">
        <f>'3.1_ELEC'!E30</f>
        <v>1</v>
      </c>
      <c r="G576" s="175" t="str">
        <f>+_xlfn.XLOOKUP(C576,'BASE DATOS PRECIOS '!B:B,'BASE DATOS PRECIOS '!F:F)</f>
        <v>UND</v>
      </c>
      <c r="H576" s="176">
        <f>+_xlfn.XLOOKUP(E576,'BASE DATOS PRECIOS '!E:E,'BASE DATOS PRECIOS '!H:H)</f>
        <v>585.65639999999996</v>
      </c>
      <c r="I576" s="175"/>
      <c r="J576" s="175"/>
      <c r="K576" s="176">
        <f t="shared" si="363"/>
        <v>585.65639999999996</v>
      </c>
      <c r="L576" s="176">
        <f t="shared" si="364"/>
        <v>0</v>
      </c>
      <c r="M576" s="176">
        <f t="shared" si="365"/>
        <v>0</v>
      </c>
      <c r="N576" s="176">
        <f t="shared" si="366"/>
        <v>585.65639999999996</v>
      </c>
      <c r="O576" s="1083">
        <f t="shared" si="367"/>
        <v>1.1371968932038834</v>
      </c>
    </row>
    <row r="577" spans="1:15" x14ac:dyDescent="0.2">
      <c r="A577" s="1074"/>
      <c r="B577" s="833">
        <f t="shared" si="378"/>
        <v>3.1</v>
      </c>
      <c r="C577" s="775" t="s">
        <v>1930</v>
      </c>
      <c r="D577" s="823"/>
      <c r="E577" s="161" t="str">
        <f>+_xlfn.XLOOKUP(C577,'BASE DATOS PRECIOS '!B:B,'BASE DATOS PRECIOS '!E:E)</f>
        <v>LAMINA ESTEREOFON 2" 1.22X2.44</v>
      </c>
      <c r="F577" s="174">
        <f>'3.1_ELEC'!E31</f>
        <v>1</v>
      </c>
      <c r="G577" s="175" t="str">
        <f>+_xlfn.XLOOKUP(C577,'BASE DATOS PRECIOS '!B:B,'BASE DATOS PRECIOS '!F:F)</f>
        <v>UND</v>
      </c>
      <c r="H577" s="176">
        <f>+_xlfn.XLOOKUP(E577,'BASE DATOS PRECIOS '!E:E,'BASE DATOS PRECIOS '!H:H)</f>
        <v>5509.7217999999993</v>
      </c>
      <c r="I577" s="175"/>
      <c r="J577" s="175"/>
      <c r="K577" s="176">
        <f t="shared" si="363"/>
        <v>5509.7217999999993</v>
      </c>
      <c r="L577" s="176">
        <f t="shared" si="364"/>
        <v>0</v>
      </c>
      <c r="M577" s="176">
        <f t="shared" si="365"/>
        <v>0</v>
      </c>
      <c r="N577" s="176">
        <f t="shared" si="366"/>
        <v>5509.7217999999993</v>
      </c>
      <c r="O577" s="1083">
        <f t="shared" si="367"/>
        <v>10.698488932038833</v>
      </c>
    </row>
    <row r="578" spans="1:15" x14ac:dyDescent="0.2">
      <c r="A578" s="303"/>
      <c r="B578" s="833">
        <f t="shared" si="378"/>
        <v>3.1</v>
      </c>
      <c r="C578" s="120" t="s">
        <v>2297</v>
      </c>
      <c r="D578" s="838"/>
      <c r="E578" s="161" t="str">
        <f>+_xlfn.XLOOKUP(C578,'BASE DATOS PRECIOS '!B:B,'BASE DATOS PRECIOS '!E:E)</f>
        <v>CAJA OCTAGONAL 1/2-3/4 EMT PESADA (8 SALIDAS )</v>
      </c>
      <c r="F578" s="174">
        <f>'3.1_ELEC'!E32</f>
        <v>0</v>
      </c>
      <c r="G578" s="175" t="str">
        <f>+_xlfn.XLOOKUP(C578,'BASE DATOS PRECIOS '!B:B,'BASE DATOS PRECIOS '!F:F)</f>
        <v>UND</v>
      </c>
      <c r="H578" s="176">
        <f>+_xlfn.XLOOKUP(E578,'BASE DATOS PRECIOS '!E:E,'BASE DATOS PRECIOS '!H:H)</f>
        <v>389.00249999999994</v>
      </c>
      <c r="I578" s="175"/>
      <c r="J578" s="175"/>
      <c r="K578" s="176">
        <f t="shared" si="363"/>
        <v>0</v>
      </c>
      <c r="L578" s="176">
        <f t="shared" si="364"/>
        <v>0</v>
      </c>
      <c r="M578" s="176">
        <f t="shared" si="365"/>
        <v>0</v>
      </c>
      <c r="N578" s="176">
        <f t="shared" si="366"/>
        <v>0</v>
      </c>
      <c r="O578" s="1083">
        <f t="shared" si="367"/>
        <v>0</v>
      </c>
    </row>
    <row r="579" spans="1:15" x14ac:dyDescent="0.2">
      <c r="A579" s="303"/>
      <c r="B579" s="833">
        <f t="shared" si="378"/>
        <v>3.1</v>
      </c>
      <c r="C579" s="775" t="s">
        <v>2293</v>
      </c>
      <c r="D579" s="823"/>
      <c r="E579" s="161" t="str">
        <f>+_xlfn.XLOOKUP(C579,'BASE DATOS PRECIOS '!B:B,'BASE DATOS PRECIOS '!E:E)</f>
        <v>GAS  BUTANO PARA SOPLETE </v>
      </c>
      <c r="F579" s="174">
        <f>'3.1_ELEC'!E33</f>
        <v>1</v>
      </c>
      <c r="G579" s="175" t="str">
        <f>+_xlfn.XLOOKUP(C579,'BASE DATOS PRECIOS '!B:B,'BASE DATOS PRECIOS '!F:F)</f>
        <v>UND</v>
      </c>
      <c r="H579" s="176">
        <f>+_xlfn.XLOOKUP(E579,'BASE DATOS PRECIOS '!E:E,'BASE DATOS PRECIOS '!H:H)</f>
        <v>1606.6678999999997</v>
      </c>
      <c r="I579" s="175"/>
      <c r="J579" s="175"/>
      <c r="K579" s="176">
        <f t="shared" si="363"/>
        <v>1606.6678999999997</v>
      </c>
      <c r="L579" s="176">
        <f t="shared" si="364"/>
        <v>0</v>
      </c>
      <c r="M579" s="176">
        <f t="shared" si="365"/>
        <v>0</v>
      </c>
      <c r="N579" s="176">
        <f t="shared" si="366"/>
        <v>1606.6678999999997</v>
      </c>
      <c r="O579" s="1083">
        <f t="shared" si="367"/>
        <v>3.1197434951456304</v>
      </c>
    </row>
    <row r="580" spans="1:15" ht="15" customHeight="1" x14ac:dyDescent="0.2">
      <c r="A580" s="303"/>
      <c r="B580" s="833">
        <f t="shared" si="378"/>
        <v>3.1</v>
      </c>
      <c r="C580" s="774" t="s">
        <v>1423</v>
      </c>
      <c r="D580" s="210"/>
      <c r="E580" s="211" t="str">
        <f>+_xlfn.XLOOKUP(C580,'BASE DATOS EQUIPOS Y SUBCONTRAT'!A:A,'BASE DATOS EQUIPOS Y SUBCONTRAT'!B:B)</f>
        <v xml:space="preserve">M.O. ACOMETIDA ELÉCTRICA </v>
      </c>
      <c r="F580" s="263">
        <v>1</v>
      </c>
      <c r="G580" s="264" t="str">
        <f>+_xlfn.XLOOKUP(C580,'BASE DATOS EQUIPOS Y SUBCONTRAT'!A:A,'BASE DATOS EQUIPOS Y SUBCONTRAT'!C:C)</f>
        <v xml:space="preserve">GLOBAL </v>
      </c>
      <c r="H580" s="265">
        <v>0</v>
      </c>
      <c r="I580" s="264"/>
      <c r="J580" s="265">
        <f>+'3.1_ELEC'!D35</f>
        <v>211250</v>
      </c>
      <c r="K580" s="265">
        <f t="shared" si="363"/>
        <v>0</v>
      </c>
      <c r="L580" s="265">
        <f t="shared" si="364"/>
        <v>0</v>
      </c>
      <c r="M580" s="265">
        <f t="shared" si="365"/>
        <v>211250</v>
      </c>
      <c r="N580" s="265">
        <f t="shared" si="366"/>
        <v>211250</v>
      </c>
      <c r="O580" s="1094">
        <f t="shared" si="367"/>
        <v>410.19417475728153</v>
      </c>
    </row>
    <row r="581" spans="1:15" ht="15" customHeight="1" x14ac:dyDescent="0.2">
      <c r="A581" s="303"/>
      <c r="B581" s="833">
        <f t="shared" si="378"/>
        <v>3.1</v>
      </c>
      <c r="C581" s="774" t="s">
        <v>36</v>
      </c>
      <c r="D581" s="210"/>
      <c r="E581" s="211" t="str">
        <f>+_xlfn.XLOOKUP(C581,'BASE DATOS MANO DE OBRA'!A:A,'BASE DATOS MANO DE OBRA'!B:B)</f>
        <v xml:space="preserve">OPERARIO PLUS </v>
      </c>
      <c r="F581" s="212">
        <v>0</v>
      </c>
      <c r="G581" s="213" t="str">
        <f>+_xlfn.XLOOKUP(C581,'BASE DATOS MANO DE OBRA'!A:A,'BASE DATOS MANO DE OBRA'!C:C)</f>
        <v xml:space="preserve">hora </v>
      </c>
      <c r="H581" s="214">
        <v>0</v>
      </c>
      <c r="I581" s="214">
        <f>+_xlfn.XLOOKUP(C581,'BASE DATOS MANO DE OBRA'!A:A,'BASE DATOS MANO DE OBRA'!E:E)</f>
        <v>2850</v>
      </c>
      <c r="J581" s="214">
        <v>0</v>
      </c>
      <c r="K581" s="214">
        <f t="shared" si="363"/>
        <v>0</v>
      </c>
      <c r="L581" s="214">
        <f t="shared" si="364"/>
        <v>0</v>
      </c>
      <c r="M581" s="214">
        <f t="shared" si="365"/>
        <v>0</v>
      </c>
      <c r="N581" s="214">
        <f t="shared" si="366"/>
        <v>0</v>
      </c>
      <c r="O581" s="1086">
        <f t="shared" si="367"/>
        <v>0</v>
      </c>
    </row>
    <row r="582" spans="1:15" ht="15" customHeight="1" x14ac:dyDescent="0.2">
      <c r="A582" s="303"/>
      <c r="B582" s="833">
        <f t="shared" si="378"/>
        <v>3.1</v>
      </c>
      <c r="C582" s="774" t="s">
        <v>37</v>
      </c>
      <c r="D582" s="210"/>
      <c r="E582" s="211" t="str">
        <f>+_xlfn.XLOOKUP(C582,'BASE DATOS MANO DE OBRA'!A:A,'BASE DATOS MANO DE OBRA'!B:B)</f>
        <v xml:space="preserve">AYUDANTE PLUS </v>
      </c>
      <c r="F582" s="212">
        <v>0</v>
      </c>
      <c r="G582" s="213" t="str">
        <f>+_xlfn.XLOOKUP(C582,'BASE DATOS MANO DE OBRA'!A:A,'BASE DATOS MANO DE OBRA'!C:C)</f>
        <v xml:space="preserve">hora </v>
      </c>
      <c r="H582" s="214">
        <v>0</v>
      </c>
      <c r="I582" s="214">
        <f>+_xlfn.XLOOKUP(C582,'BASE DATOS MANO DE OBRA'!A:A,'BASE DATOS MANO DE OBRA'!E:E)</f>
        <v>2325</v>
      </c>
      <c r="J582" s="214">
        <v>0</v>
      </c>
      <c r="K582" s="214">
        <f t="shared" si="363"/>
        <v>0</v>
      </c>
      <c r="L582" s="214">
        <f t="shared" si="364"/>
        <v>0</v>
      </c>
      <c r="M582" s="214">
        <f t="shared" si="365"/>
        <v>0</v>
      </c>
      <c r="N582" s="214">
        <f t="shared" si="366"/>
        <v>0</v>
      </c>
      <c r="O582" s="1086">
        <f t="shared" si="367"/>
        <v>0</v>
      </c>
    </row>
    <row r="583" spans="1:15" s="49" customFormat="1" ht="18.600000000000001" customHeight="1" collapsed="1" x14ac:dyDescent="0.2">
      <c r="A583" s="303"/>
      <c r="B583" s="833">
        <f t="shared" si="378"/>
        <v>3.1</v>
      </c>
      <c r="C583" s="770" t="s">
        <v>2073</v>
      </c>
      <c r="D583" s="453"/>
      <c r="E583" s="454" t="s">
        <v>230</v>
      </c>
      <c r="F583" s="455">
        <v>1</v>
      </c>
      <c r="G583" s="453" t="s">
        <v>29</v>
      </c>
      <c r="H583" s="453"/>
      <c r="I583" s="453"/>
      <c r="J583" s="453"/>
      <c r="K583" s="456">
        <f>+SUBTOTAL(9,K584:K608)</f>
        <v>133305.702918</v>
      </c>
      <c r="L583" s="456">
        <f>+SUBTOTAL(9,L584:L608)</f>
        <v>0</v>
      </c>
      <c r="M583" s="456">
        <f>+SUBTOTAL(9,M584:M608)</f>
        <v>71250</v>
      </c>
      <c r="N583" s="456">
        <f>+SUBTOTAL(9,N584:N608)</f>
        <v>204555.702918</v>
      </c>
      <c r="O583" s="1082">
        <f>+SUBTOTAL(9,O584:O608)</f>
        <v>397.1955396466019</v>
      </c>
    </row>
    <row r="584" spans="1:15" ht="15" customHeight="1" x14ac:dyDescent="0.2">
      <c r="A584" s="303"/>
      <c r="B584" s="833">
        <f t="shared" si="378"/>
        <v>3.1</v>
      </c>
      <c r="C584" s="775" t="s">
        <v>2283</v>
      </c>
      <c r="D584" s="823"/>
      <c r="E584" s="161" t="str">
        <f>+_xlfn.XLOOKUP(C584,'BASE DATOS PRECIOS '!B:B,'BASE DATOS PRECIOS '!E:E)</f>
        <v>UNION CONDUIT 1-1/2 UL</v>
      </c>
      <c r="F584" s="180">
        <f>'3.1_ELEC'!E42</f>
        <v>0</v>
      </c>
      <c r="G584" s="181" t="str">
        <f>+_xlfn.XLOOKUP(C584,'BASE DATOS PRECIOS '!B:B,'BASE DATOS PRECIOS '!F:F)</f>
        <v>UND</v>
      </c>
      <c r="H584" s="182">
        <f>+_xlfn.XLOOKUP(E584,'BASE DATOS PRECIOS '!E:E,'BASE DATOS PRECIOS '!H:H)</f>
        <v>311.315</v>
      </c>
      <c r="I584" s="181"/>
      <c r="J584" s="181"/>
      <c r="K584" s="182">
        <f t="shared" ref="K584:K608" si="379">+F584*H584</f>
        <v>0</v>
      </c>
      <c r="L584" s="182">
        <f t="shared" ref="L584:L608" si="380">+F584*I584</f>
        <v>0</v>
      </c>
      <c r="M584" s="182">
        <f t="shared" ref="M584:M608" si="381">+F584*J584</f>
        <v>0</v>
      </c>
      <c r="N584" s="182">
        <f t="shared" ref="N584:N608" si="382">SUM(K584:M584)</f>
        <v>0</v>
      </c>
      <c r="O584" s="1089">
        <f t="shared" ref="O584:O608" si="383">SUM(K584:M584)/tc</f>
        <v>0</v>
      </c>
    </row>
    <row r="585" spans="1:15" ht="15" customHeight="1" x14ac:dyDescent="0.2">
      <c r="A585" s="303"/>
      <c r="B585" s="833">
        <f t="shared" si="378"/>
        <v>3.1</v>
      </c>
      <c r="C585" s="778" t="s">
        <v>2284</v>
      </c>
      <c r="D585" s="827"/>
      <c r="E585" s="161" t="str">
        <f>+_xlfn.XLOOKUP(C585,'BASE DATOS PRECIOS '!B:B,'BASE DATOS PRECIOS '!E:E)</f>
        <v>UNION CONDUIT 1 UL</v>
      </c>
      <c r="F585" s="180">
        <f>'3.1_ELEC'!E43</f>
        <v>0</v>
      </c>
      <c r="G585" s="181" t="str">
        <f>+_xlfn.XLOOKUP(C585,'BASE DATOS PRECIOS '!B:B,'BASE DATOS PRECIOS '!F:F)</f>
        <v>UND</v>
      </c>
      <c r="H585" s="182">
        <f>+_xlfn.XLOOKUP(E585,'BASE DATOS PRECIOS '!E:E,'BASE DATOS PRECIOS '!H:H)</f>
        <v>170.065</v>
      </c>
      <c r="I585" s="181"/>
      <c r="J585" s="181"/>
      <c r="K585" s="182">
        <f t="shared" si="379"/>
        <v>0</v>
      </c>
      <c r="L585" s="182">
        <f t="shared" si="380"/>
        <v>0</v>
      </c>
      <c r="M585" s="182">
        <f t="shared" si="381"/>
        <v>0</v>
      </c>
      <c r="N585" s="182">
        <f t="shared" si="382"/>
        <v>0</v>
      </c>
      <c r="O585" s="1089">
        <f t="shared" si="383"/>
        <v>0</v>
      </c>
    </row>
    <row r="586" spans="1:15" ht="15" customHeight="1" x14ac:dyDescent="0.2">
      <c r="A586" s="303"/>
      <c r="B586" s="833">
        <f t="shared" si="378"/>
        <v>3.1</v>
      </c>
      <c r="C586" s="775" t="s">
        <v>2292</v>
      </c>
      <c r="D586" s="823"/>
      <c r="E586" s="161" t="str">
        <f>+_xlfn.XLOOKUP(C586,'BASE DATOS PRECIOS '!B:B,'BASE DATOS PRECIOS '!E:E)</f>
        <v>UNION CONDUIT 1/2 UL</v>
      </c>
      <c r="F586" s="180">
        <f>'3.1_ELEC'!E44</f>
        <v>20</v>
      </c>
      <c r="G586" s="181" t="str">
        <f>+_xlfn.XLOOKUP(C586,'BASE DATOS PRECIOS '!B:B,'BASE DATOS PRECIOS '!F:F)</f>
        <v>UND</v>
      </c>
      <c r="H586" s="182">
        <f>+_xlfn.XLOOKUP(E586,'BASE DATOS PRECIOS '!E:E,'BASE DATOS PRECIOS '!H:H)</f>
        <v>75.144999999999996</v>
      </c>
      <c r="I586" s="181"/>
      <c r="J586" s="181"/>
      <c r="K586" s="182">
        <f t="shared" si="379"/>
        <v>1502.8999999999999</v>
      </c>
      <c r="L586" s="182">
        <f t="shared" si="380"/>
        <v>0</v>
      </c>
      <c r="M586" s="182">
        <f t="shared" si="381"/>
        <v>0</v>
      </c>
      <c r="N586" s="182">
        <f t="shared" si="382"/>
        <v>1502.8999999999999</v>
      </c>
      <c r="O586" s="1089">
        <f t="shared" si="383"/>
        <v>2.9182524271844659</v>
      </c>
    </row>
    <row r="587" spans="1:15" ht="15" customHeight="1" x14ac:dyDescent="0.2">
      <c r="A587" s="303"/>
      <c r="B587" s="833">
        <f t="shared" si="378"/>
        <v>3.1</v>
      </c>
      <c r="C587" s="775" t="s">
        <v>2290</v>
      </c>
      <c r="D587" s="823"/>
      <c r="E587" s="161" t="str">
        <f>+_xlfn.XLOOKUP(C587,'BASE DATOS PRECIOS '!B:B,'BASE DATOS PRECIOS '!E:E)</f>
        <v>UNION CONDUIT 3/4 UL</v>
      </c>
      <c r="F587" s="180">
        <f>'3.1_ELEC'!E45</f>
        <v>12</v>
      </c>
      <c r="G587" s="181" t="str">
        <f>+_xlfn.XLOOKUP(C587,'BASE DATOS PRECIOS '!B:B,'BASE DATOS PRECIOS '!F:F)</f>
        <v>UND</v>
      </c>
      <c r="H587" s="182">
        <f>+_xlfn.XLOOKUP(E587,'BASE DATOS PRECIOS '!E:E,'BASE DATOS PRECIOS '!H:H)</f>
        <v>106.785</v>
      </c>
      <c r="I587" s="181"/>
      <c r="J587" s="181"/>
      <c r="K587" s="182">
        <f t="shared" si="379"/>
        <v>1281.42</v>
      </c>
      <c r="L587" s="182">
        <f t="shared" si="380"/>
        <v>0</v>
      </c>
      <c r="M587" s="182">
        <f t="shared" si="381"/>
        <v>0</v>
      </c>
      <c r="N587" s="182">
        <f t="shared" si="382"/>
        <v>1281.42</v>
      </c>
      <c r="O587" s="1089">
        <f t="shared" si="383"/>
        <v>2.4881941747572816</v>
      </c>
    </row>
    <row r="588" spans="1:15" ht="15" customHeight="1" x14ac:dyDescent="0.2">
      <c r="A588" s="303"/>
      <c r="B588" s="833">
        <f t="shared" si="378"/>
        <v>3.1</v>
      </c>
      <c r="C588" s="775" t="s">
        <v>1999</v>
      </c>
      <c r="D588" s="823"/>
      <c r="E588" s="161" t="str">
        <f>+_xlfn.XLOOKUP(C588,'BASE DATOS PRECIOS '!B:B,'BASE DATOS PRECIOS '!E:E)</f>
        <v>PINTURA EN SPRAY ANARANJADO FLURECENTE</v>
      </c>
      <c r="F588" s="180">
        <f>'3.1_ELEC'!E46</f>
        <v>2</v>
      </c>
      <c r="G588" s="181" t="str">
        <f>+_xlfn.XLOOKUP(C588,'BASE DATOS PRECIOS '!B:B,'BASE DATOS PRECIOS '!F:F)</f>
        <v>UND</v>
      </c>
      <c r="H588" s="182">
        <f>+_xlfn.XLOOKUP(E588,'BASE DATOS PRECIOS '!E:E,'BASE DATOS PRECIOS '!H:H)</f>
        <v>5495.0000469999995</v>
      </c>
      <c r="I588" s="181"/>
      <c r="J588" s="181"/>
      <c r="K588" s="182">
        <f t="shared" si="379"/>
        <v>10990.000093999999</v>
      </c>
      <c r="L588" s="182">
        <f t="shared" si="380"/>
        <v>0</v>
      </c>
      <c r="M588" s="182">
        <f t="shared" si="381"/>
        <v>0</v>
      </c>
      <c r="N588" s="182">
        <f t="shared" si="382"/>
        <v>10990.000093999999</v>
      </c>
      <c r="O588" s="1089">
        <f t="shared" si="383"/>
        <v>21.339806007766988</v>
      </c>
    </row>
    <row r="589" spans="1:15" ht="15" customHeight="1" x14ac:dyDescent="0.2">
      <c r="A589" s="303"/>
      <c r="B589" s="833">
        <f t="shared" si="378"/>
        <v>3.1</v>
      </c>
      <c r="C589" s="778" t="s">
        <v>2287</v>
      </c>
      <c r="D589" s="827"/>
      <c r="E589" s="161" t="str">
        <f>+_xlfn.XLOOKUP(C589,'BASE DATOS PRECIOS '!B:B,'BASE DATOS PRECIOS '!E:E)</f>
        <v>CINTA EMPAQUE 2</v>
      </c>
      <c r="F589" s="180">
        <f>'3.1_ELEC'!E47</f>
        <v>4</v>
      </c>
      <c r="G589" s="181" t="str">
        <f>+_xlfn.XLOOKUP(C589,'BASE DATOS PRECIOS '!B:B,'BASE DATOS PRECIOS '!F:F)</f>
        <v>UND</v>
      </c>
      <c r="H589" s="182">
        <f>+_xlfn.XLOOKUP(E589,'BASE DATOS PRECIOS '!E:E,'BASE DATOS PRECIOS '!H:H)</f>
        <v>2909.9999559999997</v>
      </c>
      <c r="I589" s="181"/>
      <c r="J589" s="181"/>
      <c r="K589" s="182">
        <f t="shared" si="379"/>
        <v>11639.999823999999</v>
      </c>
      <c r="L589" s="182">
        <f t="shared" si="380"/>
        <v>0</v>
      </c>
      <c r="M589" s="182">
        <f t="shared" si="381"/>
        <v>0</v>
      </c>
      <c r="N589" s="182">
        <f t="shared" si="382"/>
        <v>11639.999823999999</v>
      </c>
      <c r="O589" s="1089">
        <f t="shared" si="383"/>
        <v>22.60194140582524</v>
      </c>
    </row>
    <row r="590" spans="1:15" ht="15" customHeight="1" x14ac:dyDescent="0.2">
      <c r="A590" s="303"/>
      <c r="B590" s="833">
        <f t="shared" si="378"/>
        <v>3.1</v>
      </c>
      <c r="C590" s="778" t="s">
        <v>2286</v>
      </c>
      <c r="D590" s="827"/>
      <c r="E590" s="161" t="str">
        <f>+_xlfn.XLOOKUP(C590,'BASE DATOS PRECIOS '!B:B,'BASE DATOS PRECIOS '!E:E)</f>
        <v>PEGAMENTO  PVC AZUL WETBONDING</v>
      </c>
      <c r="F590" s="180">
        <f>'3.1_ELEC'!E48</f>
        <v>3</v>
      </c>
      <c r="G590" s="181" t="str">
        <f>+_xlfn.XLOOKUP(C590,'BASE DATOS PRECIOS '!B:B,'BASE DATOS PRECIOS '!F:F)</f>
        <v>1/8 DE GALON</v>
      </c>
      <c r="H590" s="182">
        <f>+_xlfn.XLOOKUP(E590,'BASE DATOS PRECIOS '!E:E,'BASE DATOS PRECIOS '!H:H)</f>
        <v>5835.0036</v>
      </c>
      <c r="I590" s="181"/>
      <c r="J590" s="181"/>
      <c r="K590" s="182">
        <f t="shared" si="379"/>
        <v>17505.0108</v>
      </c>
      <c r="L590" s="182">
        <f t="shared" si="380"/>
        <v>0</v>
      </c>
      <c r="M590" s="182">
        <f t="shared" si="381"/>
        <v>0</v>
      </c>
      <c r="N590" s="182">
        <f t="shared" si="382"/>
        <v>17505.0108</v>
      </c>
      <c r="O590" s="1089">
        <f t="shared" si="383"/>
        <v>33.99031223300971</v>
      </c>
    </row>
    <row r="591" spans="1:15" ht="15" customHeight="1" x14ac:dyDescent="0.2">
      <c r="A591" s="303"/>
      <c r="B591" s="833">
        <f t="shared" si="378"/>
        <v>3.1</v>
      </c>
      <c r="C591" s="775" t="s">
        <v>2285</v>
      </c>
      <c r="D591" s="823"/>
      <c r="E591" s="161" t="str">
        <f>+_xlfn.XLOOKUP(C591,'BASE DATOS PRECIOS '!B:B,'BASE DATOS PRECIOS '!E:E)</f>
        <v>HOJA DE SEGUETA</v>
      </c>
      <c r="F591" s="180">
        <f>'3.1_ELEC'!E49</f>
        <v>2</v>
      </c>
      <c r="G591" s="181" t="str">
        <f>+_xlfn.XLOOKUP(C591,'BASE DATOS PRECIOS '!B:B,'BASE DATOS PRECIOS '!F:F)</f>
        <v>UND</v>
      </c>
      <c r="H591" s="182">
        <f>+_xlfn.XLOOKUP(E591,'BASE DATOS PRECIOS '!E:E,'BASE DATOS PRECIOS '!H:H)</f>
        <v>585.65639999999996</v>
      </c>
      <c r="I591" s="181"/>
      <c r="J591" s="181"/>
      <c r="K591" s="182">
        <f t="shared" si="379"/>
        <v>1171.3127999999999</v>
      </c>
      <c r="L591" s="182">
        <f t="shared" si="380"/>
        <v>0</v>
      </c>
      <c r="M591" s="182">
        <f t="shared" si="381"/>
        <v>0</v>
      </c>
      <c r="N591" s="182">
        <f t="shared" si="382"/>
        <v>1171.3127999999999</v>
      </c>
      <c r="O591" s="1089">
        <f t="shared" si="383"/>
        <v>2.2743937864077668</v>
      </c>
    </row>
    <row r="592" spans="1:15" ht="15" customHeight="1" x14ac:dyDescent="0.2">
      <c r="A592" s="303"/>
      <c r="B592" s="833">
        <f t="shared" si="378"/>
        <v>3.1</v>
      </c>
      <c r="C592" s="786" t="s">
        <v>1930</v>
      </c>
      <c r="D592" s="826"/>
      <c r="E592" s="161" t="str">
        <f>+_xlfn.XLOOKUP(C592,'BASE DATOS PRECIOS '!B:B,'BASE DATOS PRECIOS '!E:E)</f>
        <v>LAMINA ESTEREOFON 2" 1.22X2.44</v>
      </c>
      <c r="F592" s="180">
        <f>'3.1_ELEC'!E50</f>
        <v>1</v>
      </c>
      <c r="G592" s="181" t="str">
        <f>+_xlfn.XLOOKUP(C592,'BASE DATOS PRECIOS '!B:B,'BASE DATOS PRECIOS '!F:F)</f>
        <v>UND</v>
      </c>
      <c r="H592" s="182">
        <f>+_xlfn.XLOOKUP(E592,'BASE DATOS PRECIOS '!E:E,'BASE DATOS PRECIOS '!H:H)</f>
        <v>5509.7217999999993</v>
      </c>
      <c r="I592" s="181"/>
      <c r="J592" s="181"/>
      <c r="K592" s="182">
        <f t="shared" si="379"/>
        <v>5509.7217999999993</v>
      </c>
      <c r="L592" s="182">
        <f t="shared" si="380"/>
        <v>0</v>
      </c>
      <c r="M592" s="182">
        <f t="shared" si="381"/>
        <v>0</v>
      </c>
      <c r="N592" s="182">
        <f t="shared" si="382"/>
        <v>5509.7217999999993</v>
      </c>
      <c r="O592" s="1089">
        <f t="shared" si="383"/>
        <v>10.698488932038833</v>
      </c>
    </row>
    <row r="593" spans="1:15" ht="15" customHeight="1" x14ac:dyDescent="0.2">
      <c r="A593" s="303"/>
      <c r="B593" s="833">
        <f t="shared" si="378"/>
        <v>3.1</v>
      </c>
      <c r="C593" s="775" t="s">
        <v>2293</v>
      </c>
      <c r="D593" s="823"/>
      <c r="E593" s="161" t="str">
        <f>+_xlfn.XLOOKUP(C593,'BASE DATOS PRECIOS '!B:B,'BASE DATOS PRECIOS '!E:E)</f>
        <v>GAS  BUTANO PARA SOPLETE </v>
      </c>
      <c r="F593" s="180">
        <f>'3.1_ELEC'!E51</f>
        <v>3</v>
      </c>
      <c r="G593" s="181" t="str">
        <f>+_xlfn.XLOOKUP(C593,'BASE DATOS PRECIOS '!B:B,'BASE DATOS PRECIOS '!F:F)</f>
        <v>UND</v>
      </c>
      <c r="H593" s="182">
        <f>+_xlfn.XLOOKUP(E593,'BASE DATOS PRECIOS '!E:E,'BASE DATOS PRECIOS '!H:H)</f>
        <v>1606.6678999999997</v>
      </c>
      <c r="I593" s="181"/>
      <c r="J593" s="181"/>
      <c r="K593" s="182">
        <f t="shared" si="379"/>
        <v>4820.0036999999993</v>
      </c>
      <c r="L593" s="182">
        <f t="shared" si="380"/>
        <v>0</v>
      </c>
      <c r="M593" s="182">
        <f t="shared" si="381"/>
        <v>0</v>
      </c>
      <c r="N593" s="182">
        <f t="shared" si="382"/>
        <v>4820.0036999999993</v>
      </c>
      <c r="O593" s="1089">
        <f t="shared" si="383"/>
        <v>9.3592304854368926</v>
      </c>
    </row>
    <row r="594" spans="1:15" ht="15" customHeight="1" x14ac:dyDescent="0.2">
      <c r="A594" s="303"/>
      <c r="B594" s="833">
        <f t="shared" si="378"/>
        <v>3.1</v>
      </c>
      <c r="C594" s="775" t="s">
        <v>2296</v>
      </c>
      <c r="D594" s="823"/>
      <c r="E594" s="161" t="str">
        <f>+_xlfn.XLOOKUP(C594,'BASE DATOS PRECIOS '!B:B,'BASE DATOS PRECIOS '!E:E)</f>
        <v>CAJA CUADRADA EMT 4X4 DOBLE FONDO CON HUECO DE 1</v>
      </c>
      <c r="F594" s="180">
        <f>'3.1_ELEC'!E52</f>
        <v>1</v>
      </c>
      <c r="G594" s="181" t="str">
        <f>+_xlfn.XLOOKUP(C594,'BASE DATOS PRECIOS '!B:B,'BASE DATOS PRECIOS '!F:F)</f>
        <v>UND</v>
      </c>
      <c r="H594" s="182">
        <f>+_xlfn.XLOOKUP(E594,'BASE DATOS PRECIOS '!E:E,'BASE DATOS PRECIOS '!H:H)</f>
        <v>1265.5999999999999</v>
      </c>
      <c r="I594" s="181"/>
      <c r="J594" s="181"/>
      <c r="K594" s="182">
        <f t="shared" si="379"/>
        <v>1265.5999999999999</v>
      </c>
      <c r="L594" s="182">
        <f t="shared" si="380"/>
        <v>0</v>
      </c>
      <c r="M594" s="182">
        <f t="shared" si="381"/>
        <v>0</v>
      </c>
      <c r="N594" s="182">
        <f t="shared" si="382"/>
        <v>1265.5999999999999</v>
      </c>
      <c r="O594" s="1089">
        <f t="shared" si="383"/>
        <v>2.4574757281553397</v>
      </c>
    </row>
    <row r="595" spans="1:15" ht="15" customHeight="1" x14ac:dyDescent="0.2">
      <c r="A595" s="303"/>
      <c r="B595" s="833">
        <f t="shared" si="378"/>
        <v>3.1</v>
      </c>
      <c r="C595" s="303" t="s">
        <v>2484</v>
      </c>
      <c r="D595" s="822"/>
      <c r="E595" s="161" t="str">
        <f>+_xlfn.XLOOKUP(C595,'BASE DATOS PRECIOS '!B:B,'BASE DATOS PRECIOS '!E:E)</f>
        <v>CAJA CUADRADA EMT 4X4 DOBLE FONDO CON HUECO DE 3/4-1/2</v>
      </c>
      <c r="F595" s="180">
        <f>'3.1_ELEC'!E53</f>
        <v>5</v>
      </c>
      <c r="G595" s="181" t="str">
        <f>+_xlfn.XLOOKUP(C595,'BASE DATOS PRECIOS '!B:B,'BASE DATOS PRECIOS '!F:F)</f>
        <v>UND</v>
      </c>
      <c r="H595" s="182">
        <f>+_xlfn.XLOOKUP(E595,'BASE DATOS PRECIOS '!E:E,'BASE DATOS PRECIOS '!H:H)</f>
        <v>355.95</v>
      </c>
      <c r="I595" s="181"/>
      <c r="J595" s="181"/>
      <c r="K595" s="182">
        <f t="shared" si="379"/>
        <v>1779.75</v>
      </c>
      <c r="L595" s="182">
        <f t="shared" si="380"/>
        <v>0</v>
      </c>
      <c r="M595" s="182">
        <f t="shared" si="381"/>
        <v>0</v>
      </c>
      <c r="N595" s="182">
        <f t="shared" si="382"/>
        <v>1779.75</v>
      </c>
      <c r="O595" s="1089">
        <f t="shared" si="383"/>
        <v>3.4558252427184466</v>
      </c>
    </row>
    <row r="596" spans="1:15" ht="15" customHeight="1" x14ac:dyDescent="0.2">
      <c r="A596" s="303"/>
      <c r="B596" s="833">
        <f t="shared" si="378"/>
        <v>3.1</v>
      </c>
      <c r="C596" s="303" t="s">
        <v>1987</v>
      </c>
      <c r="D596" s="822"/>
      <c r="E596" s="161" t="str">
        <f>+_xlfn.XLOOKUP(C596,'BASE DATOS PRECIOS '!B:B,'BASE DATOS PRECIOS '!E:E)</f>
        <v>CAJA RECTANGULAR EMT CON HUECO DE 1/2 Y 3/4 UL</v>
      </c>
      <c r="F596" s="180">
        <f>'3.1_ELEC'!E54</f>
        <v>44</v>
      </c>
      <c r="G596" s="181" t="str">
        <f>+_xlfn.XLOOKUP(C596,'BASE DATOS PRECIOS '!B:B,'BASE DATOS PRECIOS '!F:F)</f>
        <v>UND</v>
      </c>
      <c r="H596" s="182">
        <f>+_xlfn.XLOOKUP(E596,'BASE DATOS PRECIOS '!E:E,'BASE DATOS PRECIOS '!H:H)</f>
        <v>764.99869999999999</v>
      </c>
      <c r="I596" s="181"/>
      <c r="J596" s="181"/>
      <c r="K596" s="182">
        <f t="shared" si="379"/>
        <v>33659.942799999997</v>
      </c>
      <c r="L596" s="182">
        <f t="shared" si="380"/>
        <v>0</v>
      </c>
      <c r="M596" s="182">
        <f t="shared" si="381"/>
        <v>0</v>
      </c>
      <c r="N596" s="182">
        <f t="shared" si="382"/>
        <v>33659.942799999997</v>
      </c>
      <c r="O596" s="1089">
        <f t="shared" si="383"/>
        <v>65.359112233009697</v>
      </c>
    </row>
    <row r="597" spans="1:15" ht="15" customHeight="1" x14ac:dyDescent="0.2">
      <c r="A597" s="303"/>
      <c r="B597" s="833">
        <f t="shared" si="378"/>
        <v>3.1</v>
      </c>
      <c r="C597" s="775" t="s">
        <v>2294</v>
      </c>
      <c r="D597" s="823"/>
      <c r="E597" s="161" t="str">
        <f>+_xlfn.XLOOKUP(C597,'BASE DATOS PRECIOS '!B:B,'BASE DATOS PRECIOS '!E:E)</f>
        <v>CAJA SENCILLA  EMT CUADRADA 1/2 Y 3/4</v>
      </c>
      <c r="F597" s="180">
        <f>'3.1_ELEC'!E55</f>
        <v>0</v>
      </c>
      <c r="G597" s="181" t="str">
        <f>+_xlfn.XLOOKUP(C597,'BASE DATOS PRECIOS '!B:B,'BASE DATOS PRECIOS '!F:F)</f>
        <v>UND</v>
      </c>
      <c r="H597" s="182">
        <f>+_xlfn.XLOOKUP(E597,'BASE DATOS PRECIOS '!E:E,'BASE DATOS PRECIOS '!H:H)</f>
        <v>453.07349999999997</v>
      </c>
      <c r="I597" s="181"/>
      <c r="J597" s="181"/>
      <c r="K597" s="182">
        <f t="shared" si="379"/>
        <v>0</v>
      </c>
      <c r="L597" s="182">
        <f t="shared" si="380"/>
        <v>0</v>
      </c>
      <c r="M597" s="182">
        <f t="shared" si="381"/>
        <v>0</v>
      </c>
      <c r="N597" s="182">
        <f t="shared" si="382"/>
        <v>0</v>
      </c>
      <c r="O597" s="1089">
        <f t="shared" si="383"/>
        <v>0</v>
      </c>
    </row>
    <row r="598" spans="1:15" ht="15" customHeight="1" x14ac:dyDescent="0.2">
      <c r="A598" s="303"/>
      <c r="B598" s="833">
        <f t="shared" si="378"/>
        <v>3.1</v>
      </c>
      <c r="C598" s="781" t="s">
        <v>1995</v>
      </c>
      <c r="D598" s="821"/>
      <c r="E598" s="161" t="str">
        <f>+_xlfn.XLOOKUP(C598,'BASE DATOS PRECIOS '!B:B,'BASE DATOS PRECIOS '!E:E)</f>
        <v>CONECTOR CONDUIT 1 1/2 UL</v>
      </c>
      <c r="F598" s="180">
        <f>'3.1_ELEC'!E56</f>
        <v>0</v>
      </c>
      <c r="G598" s="181" t="str">
        <f>+_xlfn.XLOOKUP(C598,'BASE DATOS PRECIOS '!B:B,'BASE DATOS PRECIOS '!F:F)</f>
        <v>UND</v>
      </c>
      <c r="H598" s="182">
        <f>+_xlfn.XLOOKUP(E598,'BASE DATOS PRECIOS '!E:E,'BASE DATOS PRECIOS '!H:H)</f>
        <v>367.81499999999994</v>
      </c>
      <c r="I598" s="181"/>
      <c r="J598" s="181"/>
      <c r="K598" s="182">
        <f t="shared" si="379"/>
        <v>0</v>
      </c>
      <c r="L598" s="182">
        <f t="shared" si="380"/>
        <v>0</v>
      </c>
      <c r="M598" s="182">
        <f t="shared" si="381"/>
        <v>0</v>
      </c>
      <c r="N598" s="182">
        <f t="shared" si="382"/>
        <v>0</v>
      </c>
      <c r="O598" s="1089">
        <f t="shared" si="383"/>
        <v>0</v>
      </c>
    </row>
    <row r="599" spans="1:15" ht="15" customHeight="1" x14ac:dyDescent="0.2">
      <c r="A599" s="303"/>
      <c r="B599" s="833">
        <f t="shared" si="378"/>
        <v>3.1</v>
      </c>
      <c r="C599" s="775" t="s">
        <v>1996</v>
      </c>
      <c r="D599" s="823"/>
      <c r="E599" s="161" t="str">
        <f>+_xlfn.XLOOKUP(C599,'BASE DATOS PRECIOS '!B:B,'BASE DATOS PRECIOS '!E:E)</f>
        <v>CONECTOR CONDUIT 1" UL</v>
      </c>
      <c r="F599" s="180">
        <f>'3.1_ELEC'!E57</f>
        <v>1</v>
      </c>
      <c r="G599" s="181" t="str">
        <f>+_xlfn.XLOOKUP(C599,'BASE DATOS PRECIOS '!B:B,'BASE DATOS PRECIOS '!F:F)</f>
        <v>UND</v>
      </c>
      <c r="H599" s="182">
        <f>+_xlfn.XLOOKUP(E599,'BASE DATOS PRECIOS '!E:E,'BASE DATOS PRECIOS '!H:H)</f>
        <v>331.09</v>
      </c>
      <c r="I599" s="181"/>
      <c r="J599" s="181"/>
      <c r="K599" s="182">
        <f t="shared" si="379"/>
        <v>331.09</v>
      </c>
      <c r="L599" s="182">
        <f t="shared" si="380"/>
        <v>0</v>
      </c>
      <c r="M599" s="182">
        <f t="shared" si="381"/>
        <v>0</v>
      </c>
      <c r="N599" s="182">
        <f t="shared" si="382"/>
        <v>331.09</v>
      </c>
      <c r="O599" s="1089">
        <f t="shared" si="383"/>
        <v>0.64289320388349513</v>
      </c>
    </row>
    <row r="600" spans="1:15" ht="15" customHeight="1" x14ac:dyDescent="0.2">
      <c r="A600" s="303"/>
      <c r="B600" s="833">
        <f t="shared" si="378"/>
        <v>3.1</v>
      </c>
      <c r="C600" s="303" t="s">
        <v>2295</v>
      </c>
      <c r="D600" s="822"/>
      <c r="E600" s="161" t="str">
        <f>+_xlfn.XLOOKUP(C600,'BASE DATOS PRECIOS '!B:B,'BASE DATOS PRECIOS '!E:E)</f>
        <v>CONECTOR CONDUIT 1/2 UL</v>
      </c>
      <c r="F600" s="180">
        <f>'3.1_ELEC'!E58</f>
        <v>57</v>
      </c>
      <c r="G600" s="181" t="str">
        <f>+_xlfn.XLOOKUP(C600,'BASE DATOS PRECIOS '!B:B,'BASE DATOS PRECIOS '!F:F)</f>
        <v>UND</v>
      </c>
      <c r="H600" s="182">
        <f>+_xlfn.XLOOKUP(E600,'BASE DATOS PRECIOS '!E:E,'BASE DATOS PRECIOS '!H:H)</f>
        <v>94.072499999999991</v>
      </c>
      <c r="I600" s="181"/>
      <c r="J600" s="181"/>
      <c r="K600" s="182">
        <f t="shared" si="379"/>
        <v>5362.1324999999997</v>
      </c>
      <c r="L600" s="182">
        <f t="shared" si="380"/>
        <v>0</v>
      </c>
      <c r="M600" s="182">
        <f t="shared" si="381"/>
        <v>0</v>
      </c>
      <c r="N600" s="182">
        <f t="shared" si="382"/>
        <v>5362.1324999999997</v>
      </c>
      <c r="O600" s="1089">
        <f t="shared" si="383"/>
        <v>10.411907766990291</v>
      </c>
    </row>
    <row r="601" spans="1:15" ht="15" customHeight="1" x14ac:dyDescent="0.2">
      <c r="A601" s="303"/>
      <c r="B601" s="833">
        <f t="shared" si="378"/>
        <v>3.1</v>
      </c>
      <c r="C601" s="303" t="s">
        <v>2291</v>
      </c>
      <c r="D601" s="822"/>
      <c r="E601" s="161" t="str">
        <f>+_xlfn.XLOOKUP(C601,'BASE DATOS PRECIOS '!B:B,'BASE DATOS PRECIOS '!E:E)</f>
        <v>CONECTOR CONDUIT 3/4 UL</v>
      </c>
      <c r="F601" s="180">
        <f>'3.1_ELEC'!E59</f>
        <v>14</v>
      </c>
      <c r="G601" s="181" t="str">
        <f>+_xlfn.XLOOKUP(C601,'BASE DATOS PRECIOS '!B:B,'BASE DATOS PRECIOS '!F:F)</f>
        <v>UND</v>
      </c>
      <c r="H601" s="182">
        <f>+_xlfn.XLOOKUP(E601,'BASE DATOS PRECIOS '!E:E,'BASE DATOS PRECIOS '!H:H)</f>
        <v>119.49749999999999</v>
      </c>
      <c r="I601" s="181"/>
      <c r="J601" s="181"/>
      <c r="K601" s="182">
        <f t="shared" si="379"/>
        <v>1672.9649999999999</v>
      </c>
      <c r="L601" s="182">
        <f t="shared" si="380"/>
        <v>0</v>
      </c>
      <c r="M601" s="182">
        <f t="shared" si="381"/>
        <v>0</v>
      </c>
      <c r="N601" s="182">
        <f t="shared" si="382"/>
        <v>1672.9649999999999</v>
      </c>
      <c r="O601" s="1089">
        <f t="shared" si="383"/>
        <v>3.2484757281553396</v>
      </c>
    </row>
    <row r="602" spans="1:15" ht="15" customHeight="1" x14ac:dyDescent="0.2">
      <c r="A602" s="1074"/>
      <c r="B602" s="833">
        <f t="shared" si="378"/>
        <v>3.1</v>
      </c>
      <c r="C602" s="303" t="s">
        <v>1988</v>
      </c>
      <c r="D602" s="822"/>
      <c r="E602" s="161" t="str">
        <f>+_xlfn.XLOOKUP(C602,'BASE DATOS PRECIOS '!B:B,'BASE DATOS PRECIOS '!E:E)</f>
        <v>TUBO EMT DE ½</v>
      </c>
      <c r="F602" s="180">
        <f>'3.1_ELEC'!E60</f>
        <v>10</v>
      </c>
      <c r="G602" s="181" t="str">
        <f>+_xlfn.XLOOKUP(C602,'BASE DATOS PRECIOS '!B:B,'BASE DATOS PRECIOS '!F:F)</f>
        <v>UND</v>
      </c>
      <c r="H602" s="182">
        <f>+_xlfn.XLOOKUP(E602,'BASE DATOS PRECIOS '!E:E,'BASE DATOS PRECIOS '!H:H)</f>
        <v>2172.3797999999997</v>
      </c>
      <c r="I602" s="181"/>
      <c r="J602" s="181"/>
      <c r="K602" s="182">
        <f t="shared" si="379"/>
        <v>21723.797999999995</v>
      </c>
      <c r="L602" s="182">
        <f t="shared" si="380"/>
        <v>0</v>
      </c>
      <c r="M602" s="182">
        <f t="shared" si="381"/>
        <v>0</v>
      </c>
      <c r="N602" s="182">
        <f t="shared" si="382"/>
        <v>21723.797999999995</v>
      </c>
      <c r="O602" s="1089">
        <f t="shared" si="383"/>
        <v>42.182132038834943</v>
      </c>
    </row>
    <row r="603" spans="1:15" ht="15" customHeight="1" x14ac:dyDescent="0.2">
      <c r="A603" s="303"/>
      <c r="B603" s="833">
        <f t="shared" si="378"/>
        <v>3.1</v>
      </c>
      <c r="C603" s="303" t="s">
        <v>1985</v>
      </c>
      <c r="D603" s="822"/>
      <c r="E603" s="161" t="str">
        <f>+_xlfn.XLOOKUP(C603,'BASE DATOS PRECIOS '!B:B,'BASE DATOS PRECIOS '!E:E)</f>
        <v>ARO REPELLO EMT 4X4 1GANG</v>
      </c>
      <c r="F603" s="180">
        <f>'3.1_ELEC'!E61</f>
        <v>4</v>
      </c>
      <c r="G603" s="181" t="str">
        <f>+_xlfn.XLOOKUP(C603,'BASE DATOS PRECIOS '!B:B,'BASE DATOS PRECIOS '!F:F)</f>
        <v>UND</v>
      </c>
      <c r="H603" s="182">
        <f>+_xlfn.XLOOKUP(E603,'BASE DATOS PRECIOS '!E:E,'BASE DATOS PRECIOS '!H:H)</f>
        <v>159.08139999999997</v>
      </c>
      <c r="I603" s="181"/>
      <c r="J603" s="181"/>
      <c r="K603" s="182">
        <f t="shared" si="379"/>
        <v>636.32559999999989</v>
      </c>
      <c r="L603" s="182">
        <f t="shared" si="380"/>
        <v>0</v>
      </c>
      <c r="M603" s="182">
        <f t="shared" si="381"/>
        <v>0</v>
      </c>
      <c r="N603" s="182">
        <f t="shared" si="382"/>
        <v>636.32559999999989</v>
      </c>
      <c r="O603" s="1089">
        <f t="shared" si="383"/>
        <v>1.2355836893203882</v>
      </c>
    </row>
    <row r="604" spans="1:15" ht="15" customHeight="1" x14ac:dyDescent="0.2">
      <c r="A604" s="303"/>
      <c r="B604" s="833">
        <f t="shared" si="378"/>
        <v>3.1</v>
      </c>
      <c r="C604" s="303" t="s">
        <v>1918</v>
      </c>
      <c r="D604" s="834" t="s">
        <v>24</v>
      </c>
      <c r="E604" s="161" t="s">
        <v>3502</v>
      </c>
      <c r="F604" s="180">
        <f>'3.1_ELEC'!E62</f>
        <v>6</v>
      </c>
      <c r="G604" s="181" t="str">
        <f>+_xlfn.XLOOKUP(C604,'BASE DATOS PRECIOS '!B:B,'BASE DATOS PRECIOS '!F:F)</f>
        <v>UND</v>
      </c>
      <c r="H604" s="182">
        <f>+_xlfn.XLOOKUP(E604,'BASE DATOS PRECIOS '!E:E,'BASE DATOS PRECIOS '!H:H)</f>
        <v>1344.6999999999998</v>
      </c>
      <c r="I604" s="181"/>
      <c r="J604" s="181"/>
      <c r="K604" s="182">
        <f t="shared" si="379"/>
        <v>8068.1999999999989</v>
      </c>
      <c r="L604" s="182">
        <f t="shared" si="380"/>
        <v>0</v>
      </c>
      <c r="M604" s="182">
        <f t="shared" si="381"/>
        <v>0</v>
      </c>
      <c r="N604" s="182">
        <f t="shared" si="382"/>
        <v>8068.1999999999989</v>
      </c>
      <c r="O604" s="1089">
        <f t="shared" si="383"/>
        <v>15.666407766990289</v>
      </c>
    </row>
    <row r="605" spans="1:15" ht="15" customHeight="1" x14ac:dyDescent="0.2">
      <c r="A605" s="303"/>
      <c r="B605" s="833">
        <f t="shared" si="378"/>
        <v>3.1</v>
      </c>
      <c r="C605" s="303" t="s">
        <v>2289</v>
      </c>
      <c r="D605" s="834"/>
      <c r="E605" s="161" t="str">
        <f>+_xlfn.XLOOKUP(C605,'BASE DATOS PRECIOS '!B:B,'BASE DATOS PRECIOS '!E:E)</f>
        <v>TUBO CONDUIT 3/4 UL</v>
      </c>
      <c r="F605" s="180">
        <f>'3.1_ELEC'!E63</f>
        <v>4</v>
      </c>
      <c r="G605" s="181" t="str">
        <f>+_xlfn.XLOOKUP(C605,'BASE DATOS PRECIOS '!B:B,'BASE DATOS PRECIOS '!F:F)</f>
        <v>UND</v>
      </c>
      <c r="H605" s="182">
        <f>+_xlfn.XLOOKUP(E605,'BASE DATOS PRECIOS '!E:E,'BASE DATOS PRECIOS '!H:H)</f>
        <v>1096.3824999999999</v>
      </c>
      <c r="I605" s="181"/>
      <c r="J605" s="181"/>
      <c r="K605" s="182">
        <f t="shared" ref="K605" si="384">+F605*H605</f>
        <v>4385.53</v>
      </c>
      <c r="L605" s="182">
        <f t="shared" ref="L605" si="385">+F605*I605</f>
        <v>0</v>
      </c>
      <c r="M605" s="182">
        <f t="shared" ref="M605" si="386">+F605*J605</f>
        <v>0</v>
      </c>
      <c r="N605" s="182">
        <f t="shared" ref="N605" si="387">SUM(K605:M605)</f>
        <v>4385.53</v>
      </c>
      <c r="O605" s="1089">
        <f t="shared" ref="O605" si="388">SUM(K605:M605)/tc</f>
        <v>8.5155922330097074</v>
      </c>
    </row>
    <row r="606" spans="1:15" ht="15" customHeight="1" x14ac:dyDescent="0.2">
      <c r="A606" s="303"/>
      <c r="B606" s="833">
        <f t="shared" si="378"/>
        <v>3.1</v>
      </c>
      <c r="C606" s="774" t="s">
        <v>231</v>
      </c>
      <c r="D606" s="210"/>
      <c r="E606" s="211" t="str">
        <f>+_xlfn.XLOOKUP(C606,'BASE DATOS EQUIPOS Y SUBCONTRAT'!A:A,'BASE DATOS EQUIPOS Y SUBCONTRAT'!B:B)</f>
        <v>M.O. TUBERIA ELECTRICA MUROS</v>
      </c>
      <c r="F606" s="263">
        <v>1</v>
      </c>
      <c r="G606" s="264" t="str">
        <f>+_xlfn.XLOOKUP(C606,'BASE DATOS EQUIPOS Y SUBCONTRAT'!A:A,'BASE DATOS EQUIPOS Y SUBCONTRAT'!C:C)</f>
        <v xml:space="preserve">GLOBAL </v>
      </c>
      <c r="H606" s="265">
        <v>0</v>
      </c>
      <c r="I606" s="264"/>
      <c r="J606" s="265">
        <f>+'3.1_ELEC'!D65</f>
        <v>71250</v>
      </c>
      <c r="K606" s="265">
        <f t="shared" si="379"/>
        <v>0</v>
      </c>
      <c r="L606" s="265">
        <f t="shared" si="380"/>
        <v>0</v>
      </c>
      <c r="M606" s="265">
        <f t="shared" si="381"/>
        <v>71250</v>
      </c>
      <c r="N606" s="265">
        <f t="shared" si="382"/>
        <v>71250</v>
      </c>
      <c r="O606" s="1094">
        <f t="shared" si="383"/>
        <v>138.34951456310679</v>
      </c>
    </row>
    <row r="607" spans="1:15" ht="15" customHeight="1" x14ac:dyDescent="0.2">
      <c r="A607" s="303"/>
      <c r="B607" s="833">
        <f t="shared" si="378"/>
        <v>3.1</v>
      </c>
      <c r="C607" s="774" t="s">
        <v>36</v>
      </c>
      <c r="D607" s="210"/>
      <c r="E607" s="211" t="str">
        <f>+_xlfn.XLOOKUP(C607,'BASE DATOS MANO DE OBRA'!A:A,'BASE DATOS MANO DE OBRA'!B:B)</f>
        <v xml:space="preserve">OPERARIO PLUS </v>
      </c>
      <c r="F607" s="212">
        <v>0</v>
      </c>
      <c r="G607" s="213" t="str">
        <f>+_xlfn.XLOOKUP(C607,'BASE DATOS MANO DE OBRA'!A:A,'BASE DATOS MANO DE OBRA'!C:C)</f>
        <v xml:space="preserve">hora </v>
      </c>
      <c r="H607" s="214">
        <v>0</v>
      </c>
      <c r="I607" s="214">
        <f>+_xlfn.XLOOKUP(C607,'BASE DATOS MANO DE OBRA'!A:A,'BASE DATOS MANO DE OBRA'!E:E)</f>
        <v>2850</v>
      </c>
      <c r="J607" s="214">
        <v>0</v>
      </c>
      <c r="K607" s="214">
        <f t="shared" si="379"/>
        <v>0</v>
      </c>
      <c r="L607" s="214">
        <f t="shared" si="380"/>
        <v>0</v>
      </c>
      <c r="M607" s="214">
        <f t="shared" si="381"/>
        <v>0</v>
      </c>
      <c r="N607" s="214">
        <f t="shared" si="382"/>
        <v>0</v>
      </c>
      <c r="O607" s="1086">
        <f t="shared" si="383"/>
        <v>0</v>
      </c>
    </row>
    <row r="608" spans="1:15" ht="15" customHeight="1" x14ac:dyDescent="0.2">
      <c r="A608" s="303"/>
      <c r="B608" s="833">
        <f t="shared" si="378"/>
        <v>3.1</v>
      </c>
      <c r="C608" s="774" t="s">
        <v>37</v>
      </c>
      <c r="D608" s="210"/>
      <c r="E608" s="211" t="str">
        <f>+_xlfn.XLOOKUP(C608,'BASE DATOS MANO DE OBRA'!A:A,'BASE DATOS MANO DE OBRA'!B:B)</f>
        <v xml:space="preserve">AYUDANTE PLUS </v>
      </c>
      <c r="F608" s="212">
        <v>0</v>
      </c>
      <c r="G608" s="213" t="str">
        <f>+_xlfn.XLOOKUP(C608,'BASE DATOS MANO DE OBRA'!A:A,'BASE DATOS MANO DE OBRA'!C:C)</f>
        <v xml:space="preserve">hora </v>
      </c>
      <c r="H608" s="214">
        <v>0</v>
      </c>
      <c r="I608" s="214">
        <f>+_xlfn.XLOOKUP(C608,'BASE DATOS MANO DE OBRA'!A:A,'BASE DATOS MANO DE OBRA'!E:E)</f>
        <v>2325</v>
      </c>
      <c r="J608" s="214">
        <v>0</v>
      </c>
      <c r="K608" s="214">
        <f t="shared" si="379"/>
        <v>0</v>
      </c>
      <c r="L608" s="214">
        <f t="shared" si="380"/>
        <v>0</v>
      </c>
      <c r="M608" s="214">
        <f t="shared" si="381"/>
        <v>0</v>
      </c>
      <c r="N608" s="214">
        <f t="shared" si="382"/>
        <v>0</v>
      </c>
      <c r="O608" s="1086">
        <f t="shared" si="383"/>
        <v>0</v>
      </c>
    </row>
    <row r="609" spans="1:15" s="49" customFormat="1" ht="18.600000000000001" customHeight="1" x14ac:dyDescent="0.2">
      <c r="A609" s="303"/>
      <c r="B609" s="833">
        <f t="shared" si="378"/>
        <v>3.1</v>
      </c>
      <c r="C609" s="770" t="s">
        <v>2074</v>
      </c>
      <c r="D609" s="453"/>
      <c r="E609" s="454" t="s">
        <v>3275</v>
      </c>
      <c r="F609" s="455">
        <v>1</v>
      </c>
      <c r="G609" s="453" t="s">
        <v>29</v>
      </c>
      <c r="H609" s="453"/>
      <c r="I609" s="453"/>
      <c r="J609" s="453"/>
      <c r="K609" s="456">
        <f>+SUBTOTAL(9,K610:K634)</f>
        <v>105474.430859</v>
      </c>
      <c r="L609" s="456">
        <f>+SUBTOTAL(9,L610:L634)</f>
        <v>0</v>
      </c>
      <c r="M609" s="456">
        <f>+SUBTOTAL(9,M610:M634)</f>
        <v>0</v>
      </c>
      <c r="N609" s="456">
        <f>+SUBTOTAL(9,N610:N634)</f>
        <v>105474.430859</v>
      </c>
      <c r="O609" s="1082">
        <f>+SUBTOTAL(9,O610:O634)</f>
        <v>204.80472011456308</v>
      </c>
    </row>
    <row r="610" spans="1:15" ht="15" customHeight="1" x14ac:dyDescent="0.2">
      <c r="A610" s="303"/>
      <c r="B610" s="833">
        <f t="shared" si="378"/>
        <v>3.1</v>
      </c>
      <c r="C610" s="775" t="s">
        <v>1993</v>
      </c>
      <c r="D610" s="823"/>
      <c r="E610" s="161" t="str">
        <f>+_xlfn.XLOOKUP(C610,'BASE DATOS PRECIOS '!B:B,'BASE DATOS PRECIOS '!E:E)</f>
        <v>CURVA CONDUIT 1-1/2 UL</v>
      </c>
      <c r="F610" s="180">
        <f>'3.1_ELEC'!E72</f>
        <v>0</v>
      </c>
      <c r="G610" s="181" t="str">
        <f>+_xlfn.XLOOKUP(C610,'BASE DATOS PRECIOS '!B:B,'BASE DATOS PRECIOS '!F:F)</f>
        <v>UND</v>
      </c>
      <c r="H610" s="182">
        <f>+_xlfn.XLOOKUP(E610,'BASE DATOS PRECIOS '!E:E,'BASE DATOS PRECIOS '!H:H)</f>
        <v>1415.0424999999998</v>
      </c>
      <c r="I610" s="181"/>
      <c r="J610" s="181"/>
      <c r="K610" s="182">
        <f t="shared" ref="K610:K634" si="389">+F610*H610</f>
        <v>0</v>
      </c>
      <c r="L610" s="182">
        <f t="shared" ref="L610:L634" si="390">+F610*I610</f>
        <v>0</v>
      </c>
      <c r="M610" s="182">
        <f t="shared" ref="M610:M634" si="391">+F610*J610</f>
        <v>0</v>
      </c>
      <c r="N610" s="182">
        <f t="shared" ref="N610:N634" si="392">SUM(K610:M610)</f>
        <v>0</v>
      </c>
      <c r="O610" s="1089">
        <f t="shared" ref="O610:O634" si="393">SUM(K610:M610)/tc</f>
        <v>0</v>
      </c>
    </row>
    <row r="611" spans="1:15" ht="15" customHeight="1" x14ac:dyDescent="0.2">
      <c r="A611" s="303"/>
      <c r="B611" s="833">
        <f t="shared" si="378"/>
        <v>3.1</v>
      </c>
      <c r="C611" s="778" t="s">
        <v>1994</v>
      </c>
      <c r="D611" s="827"/>
      <c r="E611" s="161" t="str">
        <f>+_xlfn.XLOOKUP(C611,'BASE DATOS PRECIOS '!B:B,'BASE DATOS PRECIOS '!E:E)</f>
        <v>CURVA CONDUIT 1 UL</v>
      </c>
      <c r="F611" s="180">
        <f>'3.1_ELEC'!E73</f>
        <v>0</v>
      </c>
      <c r="G611" s="181" t="str">
        <f>+_xlfn.XLOOKUP(C611,'BASE DATOS PRECIOS '!B:B,'BASE DATOS PRECIOS '!F:F)</f>
        <v>UND</v>
      </c>
      <c r="H611" s="182">
        <f>+_xlfn.XLOOKUP(E611,'BASE DATOS PRECIOS '!E:E,'BASE DATOS PRECIOS '!H:H)</f>
        <v>487.31249999999994</v>
      </c>
      <c r="I611" s="181"/>
      <c r="J611" s="181"/>
      <c r="K611" s="182">
        <f t="shared" ref="K611:K612" si="394">+F611*H611</f>
        <v>0</v>
      </c>
      <c r="L611" s="182">
        <f t="shared" ref="L611:L612" si="395">+F611*I611</f>
        <v>0</v>
      </c>
      <c r="M611" s="182">
        <f t="shared" ref="M611:M612" si="396">+F611*J611</f>
        <v>0</v>
      </c>
      <c r="N611" s="182">
        <f t="shared" ref="N611:N612" si="397">SUM(K611:M611)</f>
        <v>0</v>
      </c>
      <c r="O611" s="1089">
        <f t="shared" ref="O611:O612" si="398">SUM(K611:M611)/tc</f>
        <v>0</v>
      </c>
    </row>
    <row r="612" spans="1:15" ht="15" customHeight="1" x14ac:dyDescent="0.2">
      <c r="A612" s="303"/>
      <c r="B612" s="833">
        <f t="shared" si="378"/>
        <v>3.1</v>
      </c>
      <c r="C612" s="775" t="s">
        <v>1992</v>
      </c>
      <c r="D612" s="823"/>
      <c r="E612" s="161" t="str">
        <f>+_xlfn.XLOOKUP(C612,'BASE DATOS PRECIOS '!B:B,'BASE DATOS PRECIOS '!E:E)</f>
        <v>CURVA CONDUIT 1/2 UL</v>
      </c>
      <c r="F612" s="180">
        <f>'3.1_ELEC'!E74</f>
        <v>45</v>
      </c>
      <c r="G612" s="181" t="str">
        <f>+_xlfn.XLOOKUP(C612,'BASE DATOS PRECIOS '!B:B,'BASE DATOS PRECIOS '!F:F)</f>
        <v>UND</v>
      </c>
      <c r="H612" s="182">
        <f>+_xlfn.XLOOKUP(E612,'BASE DATOS PRECIOS '!E:E,'BASE DATOS PRECIOS '!H:H)</f>
        <v>327.13499999999999</v>
      </c>
      <c r="I612" s="181"/>
      <c r="J612" s="181"/>
      <c r="K612" s="182">
        <f t="shared" si="394"/>
        <v>14721.074999999999</v>
      </c>
      <c r="L612" s="182">
        <f t="shared" si="395"/>
        <v>0</v>
      </c>
      <c r="M612" s="182">
        <f t="shared" si="396"/>
        <v>0</v>
      </c>
      <c r="N612" s="182">
        <f t="shared" si="397"/>
        <v>14721.074999999999</v>
      </c>
      <c r="O612" s="1089">
        <f t="shared" si="398"/>
        <v>28.584611650485435</v>
      </c>
    </row>
    <row r="613" spans="1:15" ht="15" customHeight="1" x14ac:dyDescent="0.2">
      <c r="A613" s="303"/>
      <c r="B613" s="833">
        <f t="shared" si="378"/>
        <v>3.1</v>
      </c>
      <c r="C613" s="775" t="s">
        <v>1998</v>
      </c>
      <c r="D613" s="823"/>
      <c r="E613" s="161" t="str">
        <f>+_xlfn.XLOOKUP(C613,'BASE DATOS PRECIOS '!B:B,'BASE DATOS PRECIOS '!E:E)</f>
        <v>CURVA CONDUIT 3/4 UL</v>
      </c>
      <c r="F613" s="180">
        <f>'3.1_ELEC'!E75</f>
        <v>15</v>
      </c>
      <c r="G613" s="181" t="str">
        <f>+_xlfn.XLOOKUP(C613,'BASE DATOS PRECIOS '!B:B,'BASE DATOS PRECIOS '!F:F)</f>
        <v>UND</v>
      </c>
      <c r="H613" s="182">
        <f>+_xlfn.XLOOKUP(E613,'BASE DATOS PRECIOS '!E:E,'BASE DATOS PRECIOS '!H:H)</f>
        <v>401.15</v>
      </c>
      <c r="I613" s="181"/>
      <c r="J613" s="181"/>
      <c r="K613" s="182">
        <f t="shared" si="389"/>
        <v>6017.25</v>
      </c>
      <c r="L613" s="182">
        <f t="shared" si="390"/>
        <v>0</v>
      </c>
      <c r="M613" s="182">
        <f t="shared" si="391"/>
        <v>0</v>
      </c>
      <c r="N613" s="182">
        <f t="shared" si="392"/>
        <v>6017.25</v>
      </c>
      <c r="O613" s="1089">
        <f t="shared" si="393"/>
        <v>11.683980582524272</v>
      </c>
    </row>
    <row r="614" spans="1:15" ht="15" customHeight="1" x14ac:dyDescent="0.2">
      <c r="A614" s="303"/>
      <c r="B614" s="833">
        <f t="shared" si="378"/>
        <v>3.1</v>
      </c>
      <c r="C614" s="775" t="s">
        <v>1997</v>
      </c>
      <c r="D614" s="823"/>
      <c r="E614" s="161" t="str">
        <f>+_xlfn.XLOOKUP(C614,'BASE DATOS PRECIOS '!B:B,'BASE DATOS PRECIOS '!E:E)</f>
        <v>TUBO CONDUIT 1-1/2 UL</v>
      </c>
      <c r="F614" s="180">
        <f>'3.1_ELEC'!E76</f>
        <v>0</v>
      </c>
      <c r="G614" s="181" t="str">
        <f>+_xlfn.XLOOKUP(C614,'BASE DATOS PRECIOS '!B:B,'BASE DATOS PRECIOS '!F:F)</f>
        <v>UND</v>
      </c>
      <c r="H614" s="182">
        <f>+_xlfn.XLOOKUP(E614,'BASE DATOS PRECIOS '!E:E,'BASE DATOS PRECIOS '!H:H)</f>
        <v>3515.9949999999999</v>
      </c>
      <c r="I614" s="181"/>
      <c r="J614" s="181"/>
      <c r="K614" s="182">
        <f t="shared" si="389"/>
        <v>0</v>
      </c>
      <c r="L614" s="182">
        <f t="shared" si="390"/>
        <v>0</v>
      </c>
      <c r="M614" s="182">
        <f t="shared" si="391"/>
        <v>0</v>
      </c>
      <c r="N614" s="182">
        <f t="shared" si="392"/>
        <v>0</v>
      </c>
      <c r="O614" s="1089">
        <f t="shared" si="393"/>
        <v>0</v>
      </c>
    </row>
    <row r="615" spans="1:15" ht="15" customHeight="1" x14ac:dyDescent="0.2">
      <c r="A615" s="303"/>
      <c r="B615" s="833">
        <f t="shared" si="378"/>
        <v>3.1</v>
      </c>
      <c r="C615" s="778" t="s">
        <v>2282</v>
      </c>
      <c r="D615" s="827"/>
      <c r="E615" s="161" t="str">
        <f>+_xlfn.XLOOKUP(C615,'BASE DATOS PRECIOS '!B:B,'BASE DATOS PRECIOS '!E:E)</f>
        <v>TUBO CONDUIT 1 UL</v>
      </c>
      <c r="F615" s="180">
        <f>'3.1_ELEC'!E77</f>
        <v>0</v>
      </c>
      <c r="G615" s="181" t="str">
        <f>+_xlfn.XLOOKUP(C615,'BASE DATOS PRECIOS '!B:B,'BASE DATOS PRECIOS '!F:F)</f>
        <v>UND</v>
      </c>
      <c r="H615" s="182">
        <f>+_xlfn.XLOOKUP(E615,'BASE DATOS PRECIOS '!E:E,'BASE DATOS PRECIOS '!H:H)</f>
        <v>2365.9375</v>
      </c>
      <c r="I615" s="181"/>
      <c r="J615" s="181"/>
      <c r="K615" s="182">
        <f t="shared" si="389"/>
        <v>0</v>
      </c>
      <c r="L615" s="182">
        <f t="shared" si="390"/>
        <v>0</v>
      </c>
      <c r="M615" s="182">
        <f t="shared" si="391"/>
        <v>0</v>
      </c>
      <c r="N615" s="182">
        <f t="shared" si="392"/>
        <v>0</v>
      </c>
      <c r="O615" s="1089">
        <f t="shared" si="393"/>
        <v>0</v>
      </c>
    </row>
    <row r="616" spans="1:15" ht="15" customHeight="1" x14ac:dyDescent="0.2">
      <c r="A616" s="303"/>
      <c r="B616" s="833">
        <f t="shared" si="378"/>
        <v>3.1</v>
      </c>
      <c r="C616" s="778" t="s">
        <v>2288</v>
      </c>
      <c r="D616" s="827"/>
      <c r="E616" s="161" t="str">
        <f>+_xlfn.XLOOKUP(C616,'BASE DATOS PRECIOS '!B:B,'BASE DATOS PRECIOS '!E:E)</f>
        <v>TUBO CONDUIT 1/2 UL</v>
      </c>
      <c r="F616" s="180">
        <f>'3.1_ELEC'!E78</f>
        <v>45</v>
      </c>
      <c r="G616" s="181" t="str">
        <f>+_xlfn.XLOOKUP(C616,'BASE DATOS PRECIOS '!B:B,'BASE DATOS PRECIOS '!F:F)</f>
        <v>UND</v>
      </c>
      <c r="H616" s="182">
        <f>+_xlfn.XLOOKUP(E616,'BASE DATOS PRECIOS '!E:E,'BASE DATOS PRECIOS '!H:H)</f>
        <v>736.47749999999996</v>
      </c>
      <c r="I616" s="181"/>
      <c r="J616" s="181"/>
      <c r="K616" s="182">
        <f t="shared" si="389"/>
        <v>33141.487499999996</v>
      </c>
      <c r="L616" s="182">
        <f t="shared" si="390"/>
        <v>0</v>
      </c>
      <c r="M616" s="182">
        <f t="shared" si="391"/>
        <v>0</v>
      </c>
      <c r="N616" s="182">
        <f t="shared" si="392"/>
        <v>33141.487499999996</v>
      </c>
      <c r="O616" s="1089">
        <f t="shared" si="393"/>
        <v>64.352402912621358</v>
      </c>
    </row>
    <row r="617" spans="1:15" ht="15" customHeight="1" x14ac:dyDescent="0.2">
      <c r="A617" s="303"/>
      <c r="B617" s="833">
        <f t="shared" si="378"/>
        <v>3.1</v>
      </c>
      <c r="C617" s="775" t="s">
        <v>2289</v>
      </c>
      <c r="D617" s="823"/>
      <c r="E617" s="161" t="str">
        <f>+_xlfn.XLOOKUP(C617,'BASE DATOS PRECIOS '!B:B,'BASE DATOS PRECIOS '!E:E)</f>
        <v>TUBO CONDUIT 3/4 UL</v>
      </c>
      <c r="F617" s="180">
        <f>'3.1_ELEC'!E79</f>
        <v>12</v>
      </c>
      <c r="G617" s="181" t="str">
        <f>+_xlfn.XLOOKUP(C617,'BASE DATOS PRECIOS '!B:B,'BASE DATOS PRECIOS '!F:F)</f>
        <v>UND</v>
      </c>
      <c r="H617" s="182">
        <f>+_xlfn.XLOOKUP(E617,'BASE DATOS PRECIOS '!E:E,'BASE DATOS PRECIOS '!H:H)</f>
        <v>1096.3824999999999</v>
      </c>
      <c r="I617" s="181"/>
      <c r="J617" s="181"/>
      <c r="K617" s="182">
        <f t="shared" si="389"/>
        <v>13156.59</v>
      </c>
      <c r="L617" s="182">
        <f t="shared" si="390"/>
        <v>0</v>
      </c>
      <c r="M617" s="182">
        <f t="shared" si="391"/>
        <v>0</v>
      </c>
      <c r="N617" s="182">
        <f t="shared" si="392"/>
        <v>13156.59</v>
      </c>
      <c r="O617" s="1089">
        <f t="shared" si="393"/>
        <v>25.546776699029127</v>
      </c>
    </row>
    <row r="618" spans="1:15" ht="15" customHeight="1" x14ac:dyDescent="0.2">
      <c r="A618" s="303"/>
      <c r="B618" s="833">
        <f t="shared" si="378"/>
        <v>3.1</v>
      </c>
      <c r="C618" s="786" t="s">
        <v>2283</v>
      </c>
      <c r="D618" s="826"/>
      <c r="E618" s="161" t="str">
        <f>+_xlfn.XLOOKUP(C618,'BASE DATOS PRECIOS '!B:B,'BASE DATOS PRECIOS '!E:E)</f>
        <v>UNION CONDUIT 1-1/2 UL</v>
      </c>
      <c r="F618" s="180">
        <f>'3.1_ELEC'!E80</f>
        <v>0</v>
      </c>
      <c r="G618" s="181" t="str">
        <f>+_xlfn.XLOOKUP(C618,'BASE DATOS PRECIOS '!B:B,'BASE DATOS PRECIOS '!F:F)</f>
        <v>UND</v>
      </c>
      <c r="H618" s="182">
        <f>+_xlfn.XLOOKUP(E618,'BASE DATOS PRECIOS '!E:E,'BASE DATOS PRECIOS '!H:H)</f>
        <v>311.315</v>
      </c>
      <c r="I618" s="181"/>
      <c r="J618" s="181"/>
      <c r="K618" s="182">
        <f t="shared" si="389"/>
        <v>0</v>
      </c>
      <c r="L618" s="182">
        <f t="shared" si="390"/>
        <v>0</v>
      </c>
      <c r="M618" s="182">
        <f t="shared" si="391"/>
        <v>0</v>
      </c>
      <c r="N618" s="182">
        <f t="shared" si="392"/>
        <v>0</v>
      </c>
      <c r="O618" s="1089">
        <f t="shared" si="393"/>
        <v>0</v>
      </c>
    </row>
    <row r="619" spans="1:15" ht="15" customHeight="1" x14ac:dyDescent="0.2">
      <c r="A619" s="303"/>
      <c r="B619" s="833">
        <f t="shared" si="378"/>
        <v>3.1</v>
      </c>
      <c r="C619" s="775" t="s">
        <v>2284</v>
      </c>
      <c r="D619" s="823"/>
      <c r="E619" s="161" t="str">
        <f>+_xlfn.XLOOKUP(C619,'BASE DATOS PRECIOS '!B:B,'BASE DATOS PRECIOS '!E:E)</f>
        <v>UNION CONDUIT 1 UL</v>
      </c>
      <c r="F619" s="180">
        <f>'3.1_ELEC'!E81</f>
        <v>0</v>
      </c>
      <c r="G619" s="181" t="str">
        <f>+_xlfn.XLOOKUP(C619,'BASE DATOS PRECIOS '!B:B,'BASE DATOS PRECIOS '!F:F)</f>
        <v>UND</v>
      </c>
      <c r="H619" s="182">
        <f>+_xlfn.XLOOKUP(E619,'BASE DATOS PRECIOS '!E:E,'BASE DATOS PRECIOS '!H:H)</f>
        <v>170.065</v>
      </c>
      <c r="I619" s="181"/>
      <c r="J619" s="181"/>
      <c r="K619" s="182">
        <f t="shared" si="389"/>
        <v>0</v>
      </c>
      <c r="L619" s="182">
        <f t="shared" si="390"/>
        <v>0</v>
      </c>
      <c r="M619" s="182">
        <f t="shared" si="391"/>
        <v>0</v>
      </c>
      <c r="N619" s="182">
        <f t="shared" si="392"/>
        <v>0</v>
      </c>
      <c r="O619" s="1089">
        <f t="shared" si="393"/>
        <v>0</v>
      </c>
    </row>
    <row r="620" spans="1:15" ht="15" customHeight="1" x14ac:dyDescent="0.2">
      <c r="A620" s="303"/>
      <c r="B620" s="833">
        <f t="shared" si="378"/>
        <v>3.1</v>
      </c>
      <c r="C620" s="775" t="s">
        <v>2292</v>
      </c>
      <c r="D620" s="823"/>
      <c r="E620" s="161" t="str">
        <f>+_xlfn.XLOOKUP(C620,'BASE DATOS PRECIOS '!B:B,'BASE DATOS PRECIOS '!E:E)</f>
        <v>UNION CONDUIT 1/2 UL</v>
      </c>
      <c r="F620" s="180">
        <f>'3.1_ELEC'!E82</f>
        <v>15</v>
      </c>
      <c r="G620" s="181" t="str">
        <f>+_xlfn.XLOOKUP(C620,'BASE DATOS PRECIOS '!B:B,'BASE DATOS PRECIOS '!F:F)</f>
        <v>UND</v>
      </c>
      <c r="H620" s="182">
        <f>+_xlfn.XLOOKUP(E620,'BASE DATOS PRECIOS '!E:E,'BASE DATOS PRECIOS '!H:H)</f>
        <v>75.144999999999996</v>
      </c>
      <c r="I620" s="181"/>
      <c r="J620" s="181"/>
      <c r="K620" s="182">
        <f t="shared" si="389"/>
        <v>1127.175</v>
      </c>
      <c r="L620" s="182">
        <f t="shared" si="390"/>
        <v>0</v>
      </c>
      <c r="M620" s="182">
        <f t="shared" si="391"/>
        <v>0</v>
      </c>
      <c r="N620" s="182">
        <f t="shared" si="392"/>
        <v>1127.175</v>
      </c>
      <c r="O620" s="1089">
        <f t="shared" si="393"/>
        <v>2.1886893203883493</v>
      </c>
    </row>
    <row r="621" spans="1:15" ht="15" customHeight="1" x14ac:dyDescent="0.2">
      <c r="A621" s="303"/>
      <c r="B621" s="833">
        <f t="shared" si="378"/>
        <v>3.1</v>
      </c>
      <c r="C621" s="303" t="s">
        <v>2290</v>
      </c>
      <c r="D621" s="822"/>
      <c r="E621" s="161" t="str">
        <f>+_xlfn.XLOOKUP(C621,'BASE DATOS PRECIOS '!B:B,'BASE DATOS PRECIOS '!E:E)</f>
        <v>UNION CONDUIT 3/4 UL</v>
      </c>
      <c r="F621" s="180">
        <f>'3.1_ELEC'!E83</f>
        <v>10</v>
      </c>
      <c r="G621" s="181" t="str">
        <f>+_xlfn.XLOOKUP(C621,'BASE DATOS PRECIOS '!B:B,'BASE DATOS PRECIOS '!F:F)</f>
        <v>UND</v>
      </c>
      <c r="H621" s="182">
        <f>+_xlfn.XLOOKUP(E621,'BASE DATOS PRECIOS '!E:E,'BASE DATOS PRECIOS '!H:H)</f>
        <v>106.785</v>
      </c>
      <c r="I621" s="181"/>
      <c r="J621" s="181"/>
      <c r="K621" s="182">
        <f t="shared" si="389"/>
        <v>1067.8499999999999</v>
      </c>
      <c r="L621" s="182">
        <f t="shared" si="390"/>
        <v>0</v>
      </c>
      <c r="M621" s="182">
        <f t="shared" si="391"/>
        <v>0</v>
      </c>
      <c r="N621" s="182">
        <f t="shared" si="392"/>
        <v>1067.8499999999999</v>
      </c>
      <c r="O621" s="1089">
        <f t="shared" si="393"/>
        <v>2.073495145631068</v>
      </c>
    </row>
    <row r="622" spans="1:15" ht="15" customHeight="1" x14ac:dyDescent="0.2">
      <c r="A622" s="303"/>
      <c r="B622" s="833">
        <f t="shared" si="378"/>
        <v>3.1</v>
      </c>
      <c r="C622" s="303" t="s">
        <v>2295</v>
      </c>
      <c r="D622" s="822"/>
      <c r="E622" s="161" t="str">
        <f>+_xlfn.XLOOKUP(C622,'BASE DATOS PRECIOS '!B:B,'BASE DATOS PRECIOS '!E:E)</f>
        <v>CONECTOR CONDUIT 1/2 UL</v>
      </c>
      <c r="F622" s="180">
        <f>'3.1_ELEC'!E84</f>
        <v>20</v>
      </c>
      <c r="G622" s="181" t="str">
        <f>+_xlfn.XLOOKUP(C622,'BASE DATOS PRECIOS '!B:B,'BASE DATOS PRECIOS '!F:F)</f>
        <v>UND</v>
      </c>
      <c r="H622" s="182">
        <f>+_xlfn.XLOOKUP(E622,'BASE DATOS PRECIOS '!E:E,'BASE DATOS PRECIOS '!H:H)</f>
        <v>94.072499999999991</v>
      </c>
      <c r="I622" s="181"/>
      <c r="J622" s="181"/>
      <c r="K622" s="182">
        <f t="shared" si="389"/>
        <v>1881.4499999999998</v>
      </c>
      <c r="L622" s="182">
        <f t="shared" si="390"/>
        <v>0</v>
      </c>
      <c r="M622" s="182">
        <f t="shared" si="391"/>
        <v>0</v>
      </c>
      <c r="N622" s="182">
        <f t="shared" si="392"/>
        <v>1881.4499999999998</v>
      </c>
      <c r="O622" s="1089">
        <f t="shared" si="393"/>
        <v>3.653300970873786</v>
      </c>
    </row>
    <row r="623" spans="1:15" ht="15" customHeight="1" x14ac:dyDescent="0.2">
      <c r="A623" s="303"/>
      <c r="B623" s="833">
        <f t="shared" si="378"/>
        <v>3.1</v>
      </c>
      <c r="C623" s="775" t="s">
        <v>1999</v>
      </c>
      <c r="D623" s="823"/>
      <c r="E623" s="161" t="str">
        <f>+_xlfn.XLOOKUP(C623,'BASE DATOS PRECIOS '!B:B,'BASE DATOS PRECIOS '!E:E)</f>
        <v>PINTURA EN SPRAY ANARANJADO FLURECENTE</v>
      </c>
      <c r="F623" s="180">
        <f>'3.1_ELEC'!E85</f>
        <v>1</v>
      </c>
      <c r="G623" s="181" t="str">
        <f>+_xlfn.XLOOKUP(C623,'BASE DATOS PRECIOS '!B:B,'BASE DATOS PRECIOS '!F:F)</f>
        <v>UND</v>
      </c>
      <c r="H623" s="182">
        <f>+_xlfn.XLOOKUP(E623,'BASE DATOS PRECIOS '!E:E,'BASE DATOS PRECIOS '!H:H)</f>
        <v>5495.0000469999995</v>
      </c>
      <c r="I623" s="181"/>
      <c r="J623" s="181"/>
      <c r="K623" s="182">
        <f t="shared" si="389"/>
        <v>5495.0000469999995</v>
      </c>
      <c r="L623" s="182">
        <f t="shared" si="390"/>
        <v>0</v>
      </c>
      <c r="M623" s="182">
        <f t="shared" si="391"/>
        <v>0</v>
      </c>
      <c r="N623" s="182">
        <f t="shared" si="392"/>
        <v>5495.0000469999995</v>
      </c>
      <c r="O623" s="1089">
        <f t="shared" si="393"/>
        <v>10.669903003883494</v>
      </c>
    </row>
    <row r="624" spans="1:15" ht="15" customHeight="1" x14ac:dyDescent="0.2">
      <c r="A624" s="303"/>
      <c r="B624" s="833">
        <f t="shared" si="378"/>
        <v>3.1</v>
      </c>
      <c r="C624" s="781" t="s">
        <v>2287</v>
      </c>
      <c r="D624" s="821"/>
      <c r="E624" s="161" t="str">
        <f>+_xlfn.XLOOKUP(C624,'BASE DATOS PRECIOS '!B:B,'BASE DATOS PRECIOS '!E:E)</f>
        <v>CINTA EMPAQUE 2</v>
      </c>
      <c r="F624" s="180">
        <f>'3.1_ELEC'!E86</f>
        <v>2</v>
      </c>
      <c r="G624" s="181" t="str">
        <f>+_xlfn.XLOOKUP(C624,'BASE DATOS PRECIOS '!B:B,'BASE DATOS PRECIOS '!F:F)</f>
        <v>UND</v>
      </c>
      <c r="H624" s="182">
        <f>+_xlfn.XLOOKUP(E624,'BASE DATOS PRECIOS '!E:E,'BASE DATOS PRECIOS '!H:H)</f>
        <v>2909.9999559999997</v>
      </c>
      <c r="I624" s="181"/>
      <c r="J624" s="181"/>
      <c r="K624" s="182">
        <f t="shared" ref="K624" si="399">+F624*H624</f>
        <v>5819.9999119999993</v>
      </c>
      <c r="L624" s="182">
        <f t="shared" ref="L624" si="400">+F624*I624</f>
        <v>0</v>
      </c>
      <c r="M624" s="182">
        <f t="shared" ref="M624" si="401">+F624*J624</f>
        <v>0</v>
      </c>
      <c r="N624" s="182">
        <f t="shared" ref="N624" si="402">SUM(K624:M624)</f>
        <v>5819.9999119999993</v>
      </c>
      <c r="O624" s="1089">
        <f t="shared" ref="O624" si="403">SUM(K624:M624)/tc</f>
        <v>11.30097070291262</v>
      </c>
    </row>
    <row r="625" spans="1:15" ht="15" customHeight="1" x14ac:dyDescent="0.2">
      <c r="A625" s="303"/>
      <c r="B625" s="833">
        <f t="shared" si="378"/>
        <v>3.1</v>
      </c>
      <c r="C625" s="781" t="s">
        <v>2286</v>
      </c>
      <c r="D625" s="821"/>
      <c r="E625" s="161" t="str">
        <f>+_xlfn.XLOOKUP(C625,'BASE DATOS PRECIOS '!B:B,'BASE DATOS PRECIOS '!E:E)</f>
        <v>PEGAMENTO  PVC AZUL WETBONDING</v>
      </c>
      <c r="F625" s="180">
        <f>'3.1_ELEC'!E87</f>
        <v>1</v>
      </c>
      <c r="G625" s="181" t="str">
        <f>+_xlfn.XLOOKUP(C625,'BASE DATOS PRECIOS '!B:B,'BASE DATOS PRECIOS '!F:F)</f>
        <v>1/8 DE GALON</v>
      </c>
      <c r="H625" s="182">
        <f>+_xlfn.XLOOKUP(E625,'BASE DATOS PRECIOS '!E:E,'BASE DATOS PRECIOS '!H:H)</f>
        <v>5835.0036</v>
      </c>
      <c r="I625" s="181"/>
      <c r="J625" s="181"/>
      <c r="K625" s="182">
        <f t="shared" si="389"/>
        <v>5835.0036</v>
      </c>
      <c r="L625" s="182">
        <f t="shared" si="390"/>
        <v>0</v>
      </c>
      <c r="M625" s="182">
        <f t="shared" si="391"/>
        <v>0</v>
      </c>
      <c r="N625" s="182">
        <f t="shared" si="392"/>
        <v>5835.0036</v>
      </c>
      <c r="O625" s="1089">
        <f t="shared" si="393"/>
        <v>11.330104077669903</v>
      </c>
    </row>
    <row r="626" spans="1:15" ht="15" customHeight="1" x14ac:dyDescent="0.2">
      <c r="A626" s="303"/>
      <c r="B626" s="833">
        <f t="shared" si="378"/>
        <v>3.1</v>
      </c>
      <c r="C626" s="775" t="s">
        <v>2285</v>
      </c>
      <c r="D626" s="823"/>
      <c r="E626" s="161" t="str">
        <f>+_xlfn.XLOOKUP(C626,'BASE DATOS PRECIOS '!B:B,'BASE DATOS PRECIOS '!E:E)</f>
        <v>HOJA DE SEGUETA</v>
      </c>
      <c r="F626" s="180">
        <f>'3.1_ELEC'!E88</f>
        <v>1</v>
      </c>
      <c r="G626" s="181" t="str">
        <f>+_xlfn.XLOOKUP(C626,'BASE DATOS PRECIOS '!B:B,'BASE DATOS PRECIOS '!F:F)</f>
        <v>UND</v>
      </c>
      <c r="H626" s="182">
        <f>+_xlfn.XLOOKUP(E626,'BASE DATOS PRECIOS '!E:E,'BASE DATOS PRECIOS '!H:H)</f>
        <v>585.65639999999996</v>
      </c>
      <c r="I626" s="181"/>
      <c r="J626" s="181"/>
      <c r="K626" s="182">
        <f t="shared" si="389"/>
        <v>585.65639999999996</v>
      </c>
      <c r="L626" s="182">
        <f t="shared" si="390"/>
        <v>0</v>
      </c>
      <c r="M626" s="182">
        <f t="shared" si="391"/>
        <v>0</v>
      </c>
      <c r="N626" s="182">
        <f t="shared" si="392"/>
        <v>585.65639999999996</v>
      </c>
      <c r="O626" s="1089">
        <f t="shared" si="393"/>
        <v>1.1371968932038834</v>
      </c>
    </row>
    <row r="627" spans="1:15" ht="15" customHeight="1" x14ac:dyDescent="0.2">
      <c r="A627" s="303"/>
      <c r="B627" s="833">
        <f t="shared" si="378"/>
        <v>3.1</v>
      </c>
      <c r="C627" s="303" t="s">
        <v>1930</v>
      </c>
      <c r="D627" s="822"/>
      <c r="E627" s="161" t="str">
        <f>+_xlfn.XLOOKUP(C627,'BASE DATOS PRECIOS '!B:B,'BASE DATOS PRECIOS '!E:E)</f>
        <v>LAMINA ESTEREOFON 2" 1.22X2.44</v>
      </c>
      <c r="F627" s="180">
        <f>'3.1_ELEC'!E89</f>
        <v>1</v>
      </c>
      <c r="G627" s="181" t="str">
        <f>+_xlfn.XLOOKUP(C627,'BASE DATOS PRECIOS '!B:B,'BASE DATOS PRECIOS '!F:F)</f>
        <v>UND</v>
      </c>
      <c r="H627" s="182">
        <f>+_xlfn.XLOOKUP(E627,'BASE DATOS PRECIOS '!E:E,'BASE DATOS PRECIOS '!H:H)</f>
        <v>5509.7217999999993</v>
      </c>
      <c r="I627" s="181"/>
      <c r="J627" s="181"/>
      <c r="K627" s="182">
        <f t="shared" si="389"/>
        <v>5509.7217999999993</v>
      </c>
      <c r="L627" s="182">
        <f t="shared" si="390"/>
        <v>0</v>
      </c>
      <c r="M627" s="182">
        <f t="shared" si="391"/>
        <v>0</v>
      </c>
      <c r="N627" s="182">
        <f t="shared" si="392"/>
        <v>5509.7217999999993</v>
      </c>
      <c r="O627" s="1089">
        <f t="shared" si="393"/>
        <v>10.698488932038833</v>
      </c>
    </row>
    <row r="628" spans="1:15" ht="15" customHeight="1" x14ac:dyDescent="0.2">
      <c r="A628" s="1074"/>
      <c r="B628" s="833">
        <f t="shared" si="378"/>
        <v>3.1</v>
      </c>
      <c r="C628" s="303" t="s">
        <v>2297</v>
      </c>
      <c r="D628" s="822"/>
      <c r="E628" s="161" t="str">
        <f>+_xlfn.XLOOKUP(C628,'BASE DATOS PRECIOS '!B:B,'BASE DATOS PRECIOS '!E:E)</f>
        <v>CAJA OCTAGONAL 1/2-3/4 EMT PESADA (8 SALIDAS )</v>
      </c>
      <c r="F628" s="180">
        <f>'3.1_ELEC'!E90</f>
        <v>10</v>
      </c>
      <c r="G628" s="181" t="str">
        <f>+_xlfn.XLOOKUP(C628,'BASE DATOS PRECIOS '!B:B,'BASE DATOS PRECIOS '!F:F)</f>
        <v>UND</v>
      </c>
      <c r="H628" s="182">
        <f>+_xlfn.XLOOKUP(E628,'BASE DATOS PRECIOS '!E:E,'BASE DATOS PRECIOS '!H:H)</f>
        <v>389.00249999999994</v>
      </c>
      <c r="I628" s="181"/>
      <c r="J628" s="181"/>
      <c r="K628" s="182">
        <f t="shared" si="389"/>
        <v>3890.0249999999996</v>
      </c>
      <c r="L628" s="182">
        <f t="shared" si="390"/>
        <v>0</v>
      </c>
      <c r="M628" s="182">
        <f t="shared" si="391"/>
        <v>0</v>
      </c>
      <c r="N628" s="182">
        <f t="shared" si="392"/>
        <v>3890.0249999999996</v>
      </c>
      <c r="O628" s="1089">
        <f t="shared" si="393"/>
        <v>7.5534466019417472</v>
      </c>
    </row>
    <row r="629" spans="1:15" ht="15" customHeight="1" x14ac:dyDescent="0.2">
      <c r="A629" s="303"/>
      <c r="B629" s="833">
        <f t="shared" si="378"/>
        <v>3.1</v>
      </c>
      <c r="C629" s="303" t="s">
        <v>2293</v>
      </c>
      <c r="D629" s="822"/>
      <c r="E629" s="161" t="str">
        <f>+_xlfn.XLOOKUP(C629,'BASE DATOS PRECIOS '!B:B,'BASE DATOS PRECIOS '!E:E)</f>
        <v>GAS  BUTANO PARA SOPLETE </v>
      </c>
      <c r="F629" s="180">
        <f>'3.1_ELEC'!E91</f>
        <v>2</v>
      </c>
      <c r="G629" s="181" t="str">
        <f>+_xlfn.XLOOKUP(C629,'BASE DATOS PRECIOS '!B:B,'BASE DATOS PRECIOS '!F:F)</f>
        <v>UND</v>
      </c>
      <c r="H629" s="182">
        <f>+_xlfn.XLOOKUP(E629,'BASE DATOS PRECIOS '!E:E,'BASE DATOS PRECIOS '!H:H)</f>
        <v>1606.6678999999997</v>
      </c>
      <c r="I629" s="181"/>
      <c r="J629" s="181"/>
      <c r="K629" s="182">
        <f t="shared" si="389"/>
        <v>3213.3357999999994</v>
      </c>
      <c r="L629" s="182">
        <f t="shared" si="390"/>
        <v>0</v>
      </c>
      <c r="M629" s="182">
        <f t="shared" si="391"/>
        <v>0</v>
      </c>
      <c r="N629" s="182">
        <f t="shared" si="392"/>
        <v>3213.3357999999994</v>
      </c>
      <c r="O629" s="1089">
        <f t="shared" si="393"/>
        <v>6.2394869902912609</v>
      </c>
    </row>
    <row r="630" spans="1:15" ht="15" customHeight="1" x14ac:dyDescent="0.2">
      <c r="A630" s="303"/>
      <c r="B630" s="833">
        <f t="shared" si="378"/>
        <v>3.1</v>
      </c>
      <c r="C630" s="303" t="s">
        <v>3276</v>
      </c>
      <c r="D630" s="822"/>
      <c r="E630" s="161" t="str">
        <f>+_xlfn.XLOOKUP(C630,'BASE DATOS PRECIOS '!B:B,'BASE DATOS PRECIOS '!E:E)</f>
        <v>CAJA RECTANGULAR INTEMPERIE B5V 3HUECOS 1/2" (UL)</v>
      </c>
      <c r="F630" s="180">
        <f>'3.1_ELEC'!E92</f>
        <v>2</v>
      </c>
      <c r="G630" s="181" t="str">
        <f>+_xlfn.XLOOKUP(C630,'BASE DATOS PRECIOS '!B:B,'BASE DATOS PRECIOS '!F:F)</f>
        <v>UND</v>
      </c>
      <c r="H630" s="182">
        <f>+_xlfn.XLOOKUP(E630,'BASE DATOS PRECIOS '!E:E,'BASE DATOS PRECIOS '!H:H)</f>
        <v>1408.9178999999997</v>
      </c>
      <c r="I630" s="181"/>
      <c r="J630" s="181"/>
      <c r="K630" s="182">
        <f t="shared" si="389"/>
        <v>2817.8357999999994</v>
      </c>
      <c r="L630" s="182">
        <f t="shared" si="390"/>
        <v>0</v>
      </c>
      <c r="M630" s="182">
        <f t="shared" si="391"/>
        <v>0</v>
      </c>
      <c r="N630" s="182">
        <f t="shared" si="392"/>
        <v>2817.8357999999994</v>
      </c>
      <c r="O630" s="1089">
        <f t="shared" si="393"/>
        <v>5.4715258252427175</v>
      </c>
    </row>
    <row r="631" spans="1:15" ht="15" customHeight="1" x14ac:dyDescent="0.2">
      <c r="A631" s="303"/>
      <c r="B631" s="833">
        <f t="shared" si="378"/>
        <v>3.1</v>
      </c>
      <c r="C631" s="303" t="s">
        <v>2291</v>
      </c>
      <c r="D631" s="822"/>
      <c r="E631" s="161" t="str">
        <f>+_xlfn.XLOOKUP(C631,'BASE DATOS PRECIOS '!B:B,'BASE DATOS PRECIOS '!E:E)</f>
        <v>CONECTOR CONDUIT 3/4 UL</v>
      </c>
      <c r="F631" s="180">
        <f>'3.1_ELEC'!E93</f>
        <v>10</v>
      </c>
      <c r="G631" s="181" t="str">
        <f>+_xlfn.XLOOKUP(C631,'BASE DATOS PRECIOS '!B:B,'BASE DATOS PRECIOS '!F:F)</f>
        <v>UND</v>
      </c>
      <c r="H631" s="182">
        <f>+_xlfn.XLOOKUP(E631,'BASE DATOS PRECIOS '!E:E,'BASE DATOS PRECIOS '!H:H)</f>
        <v>119.49749999999999</v>
      </c>
      <c r="I631" s="181"/>
      <c r="J631" s="181"/>
      <c r="K631" s="182">
        <f t="shared" si="389"/>
        <v>1194.9749999999999</v>
      </c>
      <c r="L631" s="182">
        <f t="shared" si="390"/>
        <v>0</v>
      </c>
      <c r="M631" s="182">
        <f t="shared" si="391"/>
        <v>0</v>
      </c>
      <c r="N631" s="182">
        <f t="shared" si="392"/>
        <v>1194.9749999999999</v>
      </c>
      <c r="O631" s="1089">
        <f t="shared" si="393"/>
        <v>2.3203398058252427</v>
      </c>
    </row>
    <row r="632" spans="1:15" ht="15" customHeight="1" x14ac:dyDescent="0.2">
      <c r="A632" s="303"/>
      <c r="B632" s="833">
        <f t="shared" si="378"/>
        <v>3.1</v>
      </c>
      <c r="C632" s="774" t="s">
        <v>231</v>
      </c>
      <c r="D632" s="210"/>
      <c r="E632" s="211" t="str">
        <f>+_xlfn.XLOOKUP(C632,'BASE DATOS EQUIPOS Y SUBCONTRAT'!A:A,'BASE DATOS EQUIPOS Y SUBCONTRAT'!B:B)</f>
        <v>M.O. TUBERIA ELECTRICA MUROS</v>
      </c>
      <c r="F632" s="263">
        <v>1</v>
      </c>
      <c r="G632" s="264" t="str">
        <f>+_xlfn.XLOOKUP(C632,'BASE DATOS EQUIPOS Y SUBCONTRAT'!A:A,'BASE DATOS EQUIPOS Y SUBCONTRAT'!C:C)</f>
        <v xml:space="preserve">GLOBAL </v>
      </c>
      <c r="H632" s="265">
        <v>0</v>
      </c>
      <c r="I632" s="264"/>
      <c r="J632" s="265">
        <v>0</v>
      </c>
      <c r="K632" s="265">
        <f t="shared" si="389"/>
        <v>0</v>
      </c>
      <c r="L632" s="265">
        <f t="shared" si="390"/>
        <v>0</v>
      </c>
      <c r="M632" s="265">
        <f t="shared" si="391"/>
        <v>0</v>
      </c>
      <c r="N632" s="265">
        <f t="shared" si="392"/>
        <v>0</v>
      </c>
      <c r="O632" s="1094">
        <f t="shared" si="393"/>
        <v>0</v>
      </c>
    </row>
    <row r="633" spans="1:15" ht="15" customHeight="1" x14ac:dyDescent="0.2">
      <c r="A633" s="303"/>
      <c r="B633" s="833">
        <f t="shared" si="378"/>
        <v>3.1</v>
      </c>
      <c r="C633" s="774" t="s">
        <v>36</v>
      </c>
      <c r="D633" s="210"/>
      <c r="E633" s="211" t="str">
        <f>+_xlfn.XLOOKUP(C633,'BASE DATOS MANO DE OBRA'!A:A,'BASE DATOS MANO DE OBRA'!B:B)</f>
        <v xml:space="preserve">OPERARIO PLUS </v>
      </c>
      <c r="F633" s="212">
        <v>0</v>
      </c>
      <c r="G633" s="213" t="str">
        <f>+_xlfn.XLOOKUP(C633,'BASE DATOS MANO DE OBRA'!A:A,'BASE DATOS MANO DE OBRA'!C:C)</f>
        <v xml:space="preserve">hora </v>
      </c>
      <c r="H633" s="214">
        <v>0</v>
      </c>
      <c r="I633" s="214">
        <f>+_xlfn.XLOOKUP(C633,'BASE DATOS MANO DE OBRA'!A:A,'BASE DATOS MANO DE OBRA'!E:E)</f>
        <v>2850</v>
      </c>
      <c r="J633" s="214">
        <v>0</v>
      </c>
      <c r="K633" s="214">
        <f t="shared" si="389"/>
        <v>0</v>
      </c>
      <c r="L633" s="214">
        <f t="shared" si="390"/>
        <v>0</v>
      </c>
      <c r="M633" s="214">
        <f t="shared" si="391"/>
        <v>0</v>
      </c>
      <c r="N633" s="214">
        <f t="shared" si="392"/>
        <v>0</v>
      </c>
      <c r="O633" s="1086">
        <f t="shared" si="393"/>
        <v>0</v>
      </c>
    </row>
    <row r="634" spans="1:15" ht="15" customHeight="1" x14ac:dyDescent="0.2">
      <c r="A634" s="303"/>
      <c r="B634" s="833">
        <f t="shared" si="378"/>
        <v>3.1</v>
      </c>
      <c r="C634" s="774" t="s">
        <v>37</v>
      </c>
      <c r="D634" s="210"/>
      <c r="E634" s="211" t="str">
        <f>+_xlfn.XLOOKUP(C634,'BASE DATOS MANO DE OBRA'!A:A,'BASE DATOS MANO DE OBRA'!B:B)</f>
        <v xml:space="preserve">AYUDANTE PLUS </v>
      </c>
      <c r="F634" s="212">
        <v>0</v>
      </c>
      <c r="G634" s="213" t="str">
        <f>+_xlfn.XLOOKUP(C634,'BASE DATOS MANO DE OBRA'!A:A,'BASE DATOS MANO DE OBRA'!C:C)</f>
        <v xml:space="preserve">hora </v>
      </c>
      <c r="H634" s="214">
        <v>0</v>
      </c>
      <c r="I634" s="214">
        <f>+_xlfn.XLOOKUP(C634,'BASE DATOS MANO DE OBRA'!A:A,'BASE DATOS MANO DE OBRA'!E:E)</f>
        <v>2325</v>
      </c>
      <c r="J634" s="214">
        <v>0</v>
      </c>
      <c r="K634" s="214">
        <f t="shared" si="389"/>
        <v>0</v>
      </c>
      <c r="L634" s="214">
        <f t="shared" si="390"/>
        <v>0</v>
      </c>
      <c r="M634" s="214">
        <f t="shared" si="391"/>
        <v>0</v>
      </c>
      <c r="N634" s="214">
        <f t="shared" si="392"/>
        <v>0</v>
      </c>
      <c r="O634" s="1086">
        <f t="shared" si="393"/>
        <v>0</v>
      </c>
    </row>
    <row r="635" spans="1:15" s="49" customFormat="1" ht="18.600000000000001" customHeight="1" x14ac:dyDescent="0.2">
      <c r="A635" s="303"/>
      <c r="B635" s="833">
        <f t="shared" si="378"/>
        <v>3.1</v>
      </c>
      <c r="C635" s="770" t="s">
        <v>2075</v>
      </c>
      <c r="D635" s="453"/>
      <c r="E635" s="454" t="s">
        <v>3278</v>
      </c>
      <c r="F635" s="455">
        <v>1</v>
      </c>
      <c r="G635" s="453" t="s">
        <v>29</v>
      </c>
      <c r="H635" s="453"/>
      <c r="I635" s="453"/>
      <c r="J635" s="453"/>
      <c r="K635" s="456">
        <f>+SUBTOTAL(9,K636:K661)</f>
        <v>64967.907102999998</v>
      </c>
      <c r="L635" s="456">
        <f>+SUBTOTAL(9,L636:L661)</f>
        <v>0</v>
      </c>
      <c r="M635" s="456">
        <f>+SUBTOTAL(9,M636:M661)</f>
        <v>0</v>
      </c>
      <c r="N635" s="456">
        <f>+SUBTOTAL(9,N636:N661)</f>
        <v>64967.907102999998</v>
      </c>
      <c r="O635" s="1082">
        <f>+SUBTOTAL(9,O636:O661)</f>
        <v>126.15127592815531</v>
      </c>
    </row>
    <row r="636" spans="1:15" ht="15" customHeight="1" x14ac:dyDescent="0.2">
      <c r="A636" s="303"/>
      <c r="B636" s="833">
        <f t="shared" si="378"/>
        <v>3.1</v>
      </c>
      <c r="C636" s="775" t="s">
        <v>1993</v>
      </c>
      <c r="D636" s="823"/>
      <c r="E636" s="161" t="str">
        <f>+_xlfn.XLOOKUP(C636,'BASE DATOS PRECIOS '!B:B,'BASE DATOS PRECIOS '!E:E)</f>
        <v>CURVA CONDUIT 1-1/2 UL</v>
      </c>
      <c r="F636" s="180">
        <f>'3.1_ELEC'!E101</f>
        <v>0</v>
      </c>
      <c r="G636" s="181" t="str">
        <f>+_xlfn.XLOOKUP(C636,'BASE DATOS PRECIOS '!B:B,'BASE DATOS PRECIOS '!F:F)</f>
        <v>UND</v>
      </c>
      <c r="H636" s="182">
        <f>+_xlfn.XLOOKUP(E636,'BASE DATOS PRECIOS '!E:E,'BASE DATOS PRECIOS '!H:H)</f>
        <v>1415.0424999999998</v>
      </c>
      <c r="I636" s="181"/>
      <c r="J636" s="181"/>
      <c r="K636" s="182">
        <f t="shared" ref="K636:K661" si="404">+F636*H636</f>
        <v>0</v>
      </c>
      <c r="L636" s="182">
        <f t="shared" ref="L636:L661" si="405">+F636*I636</f>
        <v>0</v>
      </c>
      <c r="M636" s="182">
        <f t="shared" ref="M636:M661" si="406">+F636*J636</f>
        <v>0</v>
      </c>
      <c r="N636" s="182">
        <f t="shared" ref="N636:N661" si="407">SUM(K636:M636)</f>
        <v>0</v>
      </c>
      <c r="O636" s="1089">
        <f t="shared" ref="O636:O661" si="408">SUM(K636:M636)/tc</f>
        <v>0</v>
      </c>
    </row>
    <row r="637" spans="1:15" ht="15" customHeight="1" x14ac:dyDescent="0.2">
      <c r="A637" s="303"/>
      <c r="B637" s="833">
        <f t="shared" si="378"/>
        <v>3.1</v>
      </c>
      <c r="C637" s="778" t="s">
        <v>1994</v>
      </c>
      <c r="D637" s="827"/>
      <c r="E637" s="161" t="str">
        <f>+_xlfn.XLOOKUP(C637,'BASE DATOS PRECIOS '!B:B,'BASE DATOS PRECIOS '!E:E)</f>
        <v>CURVA CONDUIT 1 UL</v>
      </c>
      <c r="F637" s="180">
        <f>'3.1_ELEC'!E102</f>
        <v>0</v>
      </c>
      <c r="G637" s="181" t="str">
        <f>+_xlfn.XLOOKUP(C637,'BASE DATOS PRECIOS '!B:B,'BASE DATOS PRECIOS '!F:F)</f>
        <v>UND</v>
      </c>
      <c r="H637" s="182">
        <f>+_xlfn.XLOOKUP(E637,'BASE DATOS PRECIOS '!E:E,'BASE DATOS PRECIOS '!H:H)</f>
        <v>487.31249999999994</v>
      </c>
      <c r="I637" s="181"/>
      <c r="J637" s="181"/>
      <c r="K637" s="182">
        <f t="shared" si="404"/>
        <v>0</v>
      </c>
      <c r="L637" s="182">
        <f t="shared" si="405"/>
        <v>0</v>
      </c>
      <c r="M637" s="182">
        <f t="shared" si="406"/>
        <v>0</v>
      </c>
      <c r="N637" s="182">
        <f t="shared" si="407"/>
        <v>0</v>
      </c>
      <c r="O637" s="1089">
        <f t="shared" si="408"/>
        <v>0</v>
      </c>
    </row>
    <row r="638" spans="1:15" ht="15" customHeight="1" x14ac:dyDescent="0.2">
      <c r="A638" s="303"/>
      <c r="B638" s="833">
        <f t="shared" si="378"/>
        <v>3.1</v>
      </c>
      <c r="C638" s="775" t="s">
        <v>1992</v>
      </c>
      <c r="D638" s="823"/>
      <c r="E638" s="161" t="str">
        <f>+_xlfn.XLOOKUP(C638,'BASE DATOS PRECIOS '!B:B,'BASE DATOS PRECIOS '!E:E)</f>
        <v>CURVA CONDUIT 1/2 UL</v>
      </c>
      <c r="F638" s="180">
        <f>'3.1_ELEC'!E103</f>
        <v>25</v>
      </c>
      <c r="G638" s="181" t="str">
        <f>+_xlfn.XLOOKUP(C638,'BASE DATOS PRECIOS '!B:B,'BASE DATOS PRECIOS '!F:F)</f>
        <v>UND</v>
      </c>
      <c r="H638" s="182">
        <f>+_xlfn.XLOOKUP(E638,'BASE DATOS PRECIOS '!E:E,'BASE DATOS PRECIOS '!H:H)</f>
        <v>327.13499999999999</v>
      </c>
      <c r="I638" s="181"/>
      <c r="J638" s="181"/>
      <c r="K638" s="182">
        <f t="shared" si="404"/>
        <v>8178.375</v>
      </c>
      <c r="L638" s="182">
        <f t="shared" si="405"/>
        <v>0</v>
      </c>
      <c r="M638" s="182">
        <f t="shared" si="406"/>
        <v>0</v>
      </c>
      <c r="N638" s="182">
        <f t="shared" si="407"/>
        <v>8178.375</v>
      </c>
      <c r="O638" s="1089">
        <f t="shared" si="408"/>
        <v>15.880339805825242</v>
      </c>
    </row>
    <row r="639" spans="1:15" ht="15" customHeight="1" x14ac:dyDescent="0.2">
      <c r="A639" s="303"/>
      <c r="B639" s="833">
        <f t="shared" ref="B639:B705" si="409">VALUE(IF(AND(LEN(TRIM(C639))-LEN(SUBSTITUTE(TRIM(C639),".",""))=1,ISNUMBER(VALUE(SUBSTITUTE(TRIM(C639),".","")))),TRIM(C639),B638))</f>
        <v>3.1</v>
      </c>
      <c r="C639" s="775" t="s">
        <v>1998</v>
      </c>
      <c r="D639" s="823"/>
      <c r="E639" s="161" t="str">
        <f>+_xlfn.XLOOKUP(C639,'BASE DATOS PRECIOS '!B:B,'BASE DATOS PRECIOS '!E:E)</f>
        <v>CURVA CONDUIT 3/4 UL</v>
      </c>
      <c r="F639" s="180">
        <f>'3.1_ELEC'!E104</f>
        <v>7</v>
      </c>
      <c r="G639" s="181" t="str">
        <f>+_xlfn.XLOOKUP(C639,'BASE DATOS PRECIOS '!B:B,'BASE DATOS PRECIOS '!F:F)</f>
        <v>UND</v>
      </c>
      <c r="H639" s="182">
        <f>+_xlfn.XLOOKUP(E639,'BASE DATOS PRECIOS '!E:E,'BASE DATOS PRECIOS '!H:H)</f>
        <v>401.15</v>
      </c>
      <c r="I639" s="181"/>
      <c r="J639" s="181"/>
      <c r="K639" s="182">
        <f t="shared" si="404"/>
        <v>2808.0499999999997</v>
      </c>
      <c r="L639" s="182">
        <f t="shared" si="405"/>
        <v>0</v>
      </c>
      <c r="M639" s="182">
        <f t="shared" si="406"/>
        <v>0</v>
      </c>
      <c r="N639" s="182">
        <f t="shared" si="407"/>
        <v>2808.0499999999997</v>
      </c>
      <c r="O639" s="1089">
        <f t="shared" si="408"/>
        <v>5.45252427184466</v>
      </c>
    </row>
    <row r="640" spans="1:15" ht="15" customHeight="1" x14ac:dyDescent="0.2">
      <c r="A640" s="303"/>
      <c r="B640" s="833">
        <f t="shared" si="409"/>
        <v>3.1</v>
      </c>
      <c r="C640" s="775" t="s">
        <v>1997</v>
      </c>
      <c r="D640" s="823"/>
      <c r="E640" s="161" t="str">
        <f>+_xlfn.XLOOKUP(C640,'BASE DATOS PRECIOS '!B:B,'BASE DATOS PRECIOS '!E:E)</f>
        <v>TUBO CONDUIT 1-1/2 UL</v>
      </c>
      <c r="F640" s="180">
        <f>'3.1_ELEC'!E105</f>
        <v>0</v>
      </c>
      <c r="G640" s="181" t="str">
        <f>+_xlfn.XLOOKUP(C640,'BASE DATOS PRECIOS '!B:B,'BASE DATOS PRECIOS '!F:F)</f>
        <v>UND</v>
      </c>
      <c r="H640" s="182">
        <f>+_xlfn.XLOOKUP(E640,'BASE DATOS PRECIOS '!E:E,'BASE DATOS PRECIOS '!H:H)</f>
        <v>3515.9949999999999</v>
      </c>
      <c r="I640" s="181"/>
      <c r="J640" s="181"/>
      <c r="K640" s="182">
        <f t="shared" si="404"/>
        <v>0</v>
      </c>
      <c r="L640" s="182">
        <f t="shared" si="405"/>
        <v>0</v>
      </c>
      <c r="M640" s="182">
        <f t="shared" si="406"/>
        <v>0</v>
      </c>
      <c r="N640" s="182">
        <f t="shared" si="407"/>
        <v>0</v>
      </c>
      <c r="O640" s="1089">
        <f t="shared" si="408"/>
        <v>0</v>
      </c>
    </row>
    <row r="641" spans="1:15" ht="15" customHeight="1" x14ac:dyDescent="0.2">
      <c r="A641" s="303"/>
      <c r="B641" s="833">
        <f t="shared" si="409"/>
        <v>3.1</v>
      </c>
      <c r="C641" s="778" t="s">
        <v>2282</v>
      </c>
      <c r="D641" s="827"/>
      <c r="E641" s="161" t="str">
        <f>+_xlfn.XLOOKUP(C641,'BASE DATOS PRECIOS '!B:B,'BASE DATOS PRECIOS '!E:E)</f>
        <v>TUBO CONDUIT 1 UL</v>
      </c>
      <c r="F641" s="180">
        <f>'3.1_ELEC'!E106</f>
        <v>0</v>
      </c>
      <c r="G641" s="181" t="str">
        <f>+_xlfn.XLOOKUP(C641,'BASE DATOS PRECIOS '!B:B,'BASE DATOS PRECIOS '!F:F)</f>
        <v>UND</v>
      </c>
      <c r="H641" s="182">
        <f>+_xlfn.XLOOKUP(E641,'BASE DATOS PRECIOS '!E:E,'BASE DATOS PRECIOS '!H:H)</f>
        <v>2365.9375</v>
      </c>
      <c r="I641" s="181"/>
      <c r="J641" s="181"/>
      <c r="K641" s="182">
        <f t="shared" si="404"/>
        <v>0</v>
      </c>
      <c r="L641" s="182">
        <f t="shared" si="405"/>
        <v>0</v>
      </c>
      <c r="M641" s="182">
        <f t="shared" si="406"/>
        <v>0</v>
      </c>
      <c r="N641" s="182">
        <f t="shared" si="407"/>
        <v>0</v>
      </c>
      <c r="O641" s="1089">
        <f t="shared" si="408"/>
        <v>0</v>
      </c>
    </row>
    <row r="642" spans="1:15" ht="15" customHeight="1" x14ac:dyDescent="0.2">
      <c r="A642" s="303"/>
      <c r="B642" s="833">
        <f t="shared" si="409"/>
        <v>3.1</v>
      </c>
      <c r="C642" s="778" t="s">
        <v>2288</v>
      </c>
      <c r="D642" s="827"/>
      <c r="E642" s="161" t="str">
        <f>+_xlfn.XLOOKUP(C642,'BASE DATOS PRECIOS '!B:B,'BASE DATOS PRECIOS '!E:E)</f>
        <v>TUBO CONDUIT 1/2 UL</v>
      </c>
      <c r="F642" s="180">
        <f>'3.1_ELEC'!E107</f>
        <v>25</v>
      </c>
      <c r="G642" s="181" t="str">
        <f>+_xlfn.XLOOKUP(C642,'BASE DATOS PRECIOS '!B:B,'BASE DATOS PRECIOS '!F:F)</f>
        <v>UND</v>
      </c>
      <c r="H642" s="182">
        <f>+_xlfn.XLOOKUP(E642,'BASE DATOS PRECIOS '!E:E,'BASE DATOS PRECIOS '!H:H)</f>
        <v>736.47749999999996</v>
      </c>
      <c r="I642" s="181"/>
      <c r="J642" s="181"/>
      <c r="K642" s="182">
        <f t="shared" si="404"/>
        <v>18411.9375</v>
      </c>
      <c r="L642" s="182">
        <f t="shared" si="405"/>
        <v>0</v>
      </c>
      <c r="M642" s="182">
        <f t="shared" si="406"/>
        <v>0</v>
      </c>
      <c r="N642" s="182">
        <f t="shared" si="407"/>
        <v>18411.9375</v>
      </c>
      <c r="O642" s="1089">
        <f t="shared" si="408"/>
        <v>35.751334951456307</v>
      </c>
    </row>
    <row r="643" spans="1:15" ht="15" customHeight="1" x14ac:dyDescent="0.2">
      <c r="A643" s="303"/>
      <c r="B643" s="833">
        <f t="shared" si="409"/>
        <v>3.1</v>
      </c>
      <c r="C643" s="775" t="s">
        <v>2289</v>
      </c>
      <c r="D643" s="823"/>
      <c r="E643" s="161" t="str">
        <f>+_xlfn.XLOOKUP(C643,'BASE DATOS PRECIOS '!B:B,'BASE DATOS PRECIOS '!E:E)</f>
        <v>TUBO CONDUIT 3/4 UL</v>
      </c>
      <c r="F643" s="180">
        <f>'3.1_ELEC'!E108</f>
        <v>10</v>
      </c>
      <c r="G643" s="181" t="str">
        <f>+_xlfn.XLOOKUP(C643,'BASE DATOS PRECIOS '!B:B,'BASE DATOS PRECIOS '!F:F)</f>
        <v>UND</v>
      </c>
      <c r="H643" s="182">
        <f>+_xlfn.XLOOKUP(E643,'BASE DATOS PRECIOS '!E:E,'BASE DATOS PRECIOS '!H:H)</f>
        <v>1096.3824999999999</v>
      </c>
      <c r="I643" s="181"/>
      <c r="J643" s="181"/>
      <c r="K643" s="182">
        <f t="shared" si="404"/>
        <v>10963.824999999999</v>
      </c>
      <c r="L643" s="182">
        <f t="shared" si="405"/>
        <v>0</v>
      </c>
      <c r="M643" s="182">
        <f t="shared" si="406"/>
        <v>0</v>
      </c>
      <c r="N643" s="182">
        <f t="shared" si="407"/>
        <v>10963.824999999999</v>
      </c>
      <c r="O643" s="1089">
        <f t="shared" si="408"/>
        <v>21.288980582524271</v>
      </c>
    </row>
    <row r="644" spans="1:15" ht="15" customHeight="1" x14ac:dyDescent="0.2">
      <c r="A644" s="303"/>
      <c r="B644" s="833">
        <f t="shared" si="409"/>
        <v>3.1</v>
      </c>
      <c r="C644" s="786" t="s">
        <v>2283</v>
      </c>
      <c r="D644" s="826"/>
      <c r="E644" s="161" t="str">
        <f>+_xlfn.XLOOKUP(C644,'BASE DATOS PRECIOS '!B:B,'BASE DATOS PRECIOS '!E:E)</f>
        <v>UNION CONDUIT 1-1/2 UL</v>
      </c>
      <c r="F644" s="180">
        <f>'3.1_ELEC'!E109</f>
        <v>0</v>
      </c>
      <c r="G644" s="181" t="str">
        <f>+_xlfn.XLOOKUP(C644,'BASE DATOS PRECIOS '!B:B,'BASE DATOS PRECIOS '!F:F)</f>
        <v>UND</v>
      </c>
      <c r="H644" s="182">
        <f>+_xlfn.XLOOKUP(E644,'BASE DATOS PRECIOS '!E:E,'BASE DATOS PRECIOS '!H:H)</f>
        <v>311.315</v>
      </c>
      <c r="I644" s="181"/>
      <c r="J644" s="181"/>
      <c r="K644" s="182">
        <f t="shared" si="404"/>
        <v>0</v>
      </c>
      <c r="L644" s="182">
        <f t="shared" si="405"/>
        <v>0</v>
      </c>
      <c r="M644" s="182">
        <f t="shared" si="406"/>
        <v>0</v>
      </c>
      <c r="N644" s="182">
        <f t="shared" si="407"/>
        <v>0</v>
      </c>
      <c r="O644" s="1089">
        <f t="shared" si="408"/>
        <v>0</v>
      </c>
    </row>
    <row r="645" spans="1:15" ht="15" customHeight="1" x14ac:dyDescent="0.2">
      <c r="A645" s="303"/>
      <c r="B645" s="833">
        <f t="shared" si="409"/>
        <v>3.1</v>
      </c>
      <c r="C645" s="775" t="s">
        <v>2284</v>
      </c>
      <c r="D645" s="823"/>
      <c r="E645" s="161" t="str">
        <f>+_xlfn.XLOOKUP(C645,'BASE DATOS PRECIOS '!B:B,'BASE DATOS PRECIOS '!E:E)</f>
        <v>UNION CONDUIT 1 UL</v>
      </c>
      <c r="F645" s="180">
        <f>'3.1_ELEC'!E110</f>
        <v>0</v>
      </c>
      <c r="G645" s="181" t="str">
        <f>+_xlfn.XLOOKUP(C645,'BASE DATOS PRECIOS '!B:B,'BASE DATOS PRECIOS '!F:F)</f>
        <v>UND</v>
      </c>
      <c r="H645" s="182">
        <f>+_xlfn.XLOOKUP(E645,'BASE DATOS PRECIOS '!E:E,'BASE DATOS PRECIOS '!H:H)</f>
        <v>170.065</v>
      </c>
      <c r="I645" s="181"/>
      <c r="J645" s="181"/>
      <c r="K645" s="182">
        <f t="shared" si="404"/>
        <v>0</v>
      </c>
      <c r="L645" s="182">
        <f t="shared" si="405"/>
        <v>0</v>
      </c>
      <c r="M645" s="182">
        <f t="shared" si="406"/>
        <v>0</v>
      </c>
      <c r="N645" s="182">
        <f t="shared" si="407"/>
        <v>0</v>
      </c>
      <c r="O645" s="1089">
        <f t="shared" si="408"/>
        <v>0</v>
      </c>
    </row>
    <row r="646" spans="1:15" ht="15" customHeight="1" x14ac:dyDescent="0.2">
      <c r="A646" s="303"/>
      <c r="B646" s="833">
        <f t="shared" si="409"/>
        <v>3.1</v>
      </c>
      <c r="C646" s="775" t="s">
        <v>2292</v>
      </c>
      <c r="D646" s="823"/>
      <c r="E646" s="161" t="str">
        <f>+_xlfn.XLOOKUP(C646,'BASE DATOS PRECIOS '!B:B,'BASE DATOS PRECIOS '!E:E)</f>
        <v>UNION CONDUIT 1/2 UL</v>
      </c>
      <c r="F646" s="180">
        <f>'3.1_ELEC'!E111</f>
        <v>10</v>
      </c>
      <c r="G646" s="181" t="str">
        <f>+_xlfn.XLOOKUP(C646,'BASE DATOS PRECIOS '!B:B,'BASE DATOS PRECIOS '!F:F)</f>
        <v>UND</v>
      </c>
      <c r="H646" s="182">
        <f>+_xlfn.XLOOKUP(E646,'BASE DATOS PRECIOS '!E:E,'BASE DATOS PRECIOS '!H:H)</f>
        <v>75.144999999999996</v>
      </c>
      <c r="I646" s="181"/>
      <c r="J646" s="181"/>
      <c r="K646" s="182">
        <f t="shared" si="404"/>
        <v>751.44999999999993</v>
      </c>
      <c r="L646" s="182">
        <f t="shared" si="405"/>
        <v>0</v>
      </c>
      <c r="M646" s="182">
        <f t="shared" si="406"/>
        <v>0</v>
      </c>
      <c r="N646" s="182">
        <f t="shared" si="407"/>
        <v>751.44999999999993</v>
      </c>
      <c r="O646" s="1089">
        <f t="shared" si="408"/>
        <v>1.4591262135922329</v>
      </c>
    </row>
    <row r="647" spans="1:15" ht="15" customHeight="1" x14ac:dyDescent="0.2">
      <c r="A647" s="303"/>
      <c r="B647" s="833">
        <f t="shared" si="409"/>
        <v>3.1</v>
      </c>
      <c r="C647" s="303" t="s">
        <v>2290</v>
      </c>
      <c r="D647" s="822"/>
      <c r="E647" s="161" t="str">
        <f>+_xlfn.XLOOKUP(C647,'BASE DATOS PRECIOS '!B:B,'BASE DATOS PRECIOS '!E:E)</f>
        <v>UNION CONDUIT 3/4 UL</v>
      </c>
      <c r="F647" s="180">
        <f>'3.1_ELEC'!E112</f>
        <v>4</v>
      </c>
      <c r="G647" s="181" t="str">
        <f>+_xlfn.XLOOKUP(C647,'BASE DATOS PRECIOS '!B:B,'BASE DATOS PRECIOS '!F:F)</f>
        <v>UND</v>
      </c>
      <c r="H647" s="182">
        <f>+_xlfn.XLOOKUP(E647,'BASE DATOS PRECIOS '!E:E,'BASE DATOS PRECIOS '!H:H)</f>
        <v>106.785</v>
      </c>
      <c r="I647" s="181"/>
      <c r="J647" s="181"/>
      <c r="K647" s="182">
        <f t="shared" si="404"/>
        <v>427.14</v>
      </c>
      <c r="L647" s="182">
        <f t="shared" si="405"/>
        <v>0</v>
      </c>
      <c r="M647" s="182">
        <f t="shared" si="406"/>
        <v>0</v>
      </c>
      <c r="N647" s="182">
        <f t="shared" si="407"/>
        <v>427.14</v>
      </c>
      <c r="O647" s="1089">
        <f t="shared" si="408"/>
        <v>0.82939805825242718</v>
      </c>
    </row>
    <row r="648" spans="1:15" ht="15" customHeight="1" x14ac:dyDescent="0.2">
      <c r="A648" s="303"/>
      <c r="B648" s="833">
        <f t="shared" si="409"/>
        <v>3.1</v>
      </c>
      <c r="C648" s="303" t="s">
        <v>2295</v>
      </c>
      <c r="D648" s="822"/>
      <c r="E648" s="161" t="str">
        <f>+_xlfn.XLOOKUP(C648,'BASE DATOS PRECIOS '!B:B,'BASE DATOS PRECIOS '!E:E)</f>
        <v>CONECTOR CONDUIT 1/2 UL</v>
      </c>
      <c r="F648" s="180">
        <f>'3.1_ELEC'!E113</f>
        <v>30</v>
      </c>
      <c r="G648" s="181" t="str">
        <f>+_xlfn.XLOOKUP(C648,'BASE DATOS PRECIOS '!B:B,'BASE DATOS PRECIOS '!F:F)</f>
        <v>UND</v>
      </c>
      <c r="H648" s="182">
        <f>+_xlfn.XLOOKUP(E648,'BASE DATOS PRECIOS '!E:E,'BASE DATOS PRECIOS '!H:H)</f>
        <v>94.072499999999991</v>
      </c>
      <c r="I648" s="181"/>
      <c r="J648" s="181"/>
      <c r="K648" s="182">
        <f t="shared" si="404"/>
        <v>2822.1749999999997</v>
      </c>
      <c r="L648" s="182">
        <f t="shared" si="405"/>
        <v>0</v>
      </c>
      <c r="M648" s="182">
        <f t="shared" si="406"/>
        <v>0</v>
      </c>
      <c r="N648" s="182">
        <f t="shared" si="407"/>
        <v>2822.1749999999997</v>
      </c>
      <c r="O648" s="1089">
        <f t="shared" si="408"/>
        <v>5.4799514563106788</v>
      </c>
    </row>
    <row r="649" spans="1:15" ht="15" customHeight="1" x14ac:dyDescent="0.2">
      <c r="A649" s="303"/>
      <c r="B649" s="833">
        <f t="shared" si="409"/>
        <v>3.1</v>
      </c>
      <c r="C649" s="775" t="s">
        <v>1999</v>
      </c>
      <c r="D649" s="823"/>
      <c r="E649" s="161" t="str">
        <f>+_xlfn.XLOOKUP(C649,'BASE DATOS PRECIOS '!B:B,'BASE DATOS PRECIOS '!E:E)</f>
        <v>PINTURA EN SPRAY ANARANJADO FLURECENTE</v>
      </c>
      <c r="F649" s="180">
        <f>'3.1_ELEC'!E114</f>
        <v>1</v>
      </c>
      <c r="G649" s="181" t="str">
        <f>+_xlfn.XLOOKUP(C649,'BASE DATOS PRECIOS '!B:B,'BASE DATOS PRECIOS '!F:F)</f>
        <v>UND</v>
      </c>
      <c r="H649" s="182">
        <f>+_xlfn.XLOOKUP(E649,'BASE DATOS PRECIOS '!E:E,'BASE DATOS PRECIOS '!H:H)</f>
        <v>5495.0000469999995</v>
      </c>
      <c r="I649" s="181"/>
      <c r="J649" s="181"/>
      <c r="K649" s="182">
        <f t="shared" si="404"/>
        <v>5495.0000469999995</v>
      </c>
      <c r="L649" s="182">
        <f t="shared" si="405"/>
        <v>0</v>
      </c>
      <c r="M649" s="182">
        <f t="shared" si="406"/>
        <v>0</v>
      </c>
      <c r="N649" s="182">
        <f t="shared" si="407"/>
        <v>5495.0000469999995</v>
      </c>
      <c r="O649" s="1089">
        <f t="shared" si="408"/>
        <v>10.669903003883494</v>
      </c>
    </row>
    <row r="650" spans="1:15" ht="15" customHeight="1" x14ac:dyDescent="0.2">
      <c r="A650" s="303"/>
      <c r="B650" s="833">
        <f t="shared" si="409"/>
        <v>3.1</v>
      </c>
      <c r="C650" s="781" t="s">
        <v>2287</v>
      </c>
      <c r="D650" s="821"/>
      <c r="E650" s="161" t="str">
        <f>+_xlfn.XLOOKUP(C650,'BASE DATOS PRECIOS '!B:B,'BASE DATOS PRECIOS '!E:E)</f>
        <v>CINTA EMPAQUE 2</v>
      </c>
      <c r="F650" s="180">
        <f>'3.1_ELEC'!E115</f>
        <v>1</v>
      </c>
      <c r="G650" s="181" t="str">
        <f>+_xlfn.XLOOKUP(C650,'BASE DATOS PRECIOS '!B:B,'BASE DATOS PRECIOS '!F:F)</f>
        <v>UND</v>
      </c>
      <c r="H650" s="182">
        <f>+_xlfn.XLOOKUP(E650,'BASE DATOS PRECIOS '!E:E,'BASE DATOS PRECIOS '!H:H)</f>
        <v>2909.9999559999997</v>
      </c>
      <c r="I650" s="181"/>
      <c r="J650" s="181"/>
      <c r="K650" s="182">
        <f t="shared" si="404"/>
        <v>2909.9999559999997</v>
      </c>
      <c r="L650" s="182">
        <f t="shared" si="405"/>
        <v>0</v>
      </c>
      <c r="M650" s="182">
        <f t="shared" si="406"/>
        <v>0</v>
      </c>
      <c r="N650" s="182">
        <f t="shared" si="407"/>
        <v>2909.9999559999997</v>
      </c>
      <c r="O650" s="1089">
        <f t="shared" si="408"/>
        <v>5.65048535145631</v>
      </c>
    </row>
    <row r="651" spans="1:15" ht="15" customHeight="1" x14ac:dyDescent="0.2">
      <c r="A651" s="303"/>
      <c r="B651" s="833">
        <f t="shared" si="409"/>
        <v>3.1</v>
      </c>
      <c r="C651" s="781" t="s">
        <v>2286</v>
      </c>
      <c r="D651" s="821"/>
      <c r="E651" s="161" t="str">
        <f>+_xlfn.XLOOKUP(C651,'BASE DATOS PRECIOS '!B:B,'BASE DATOS PRECIOS '!E:E)</f>
        <v>PEGAMENTO  PVC AZUL WETBONDING</v>
      </c>
      <c r="F651" s="180">
        <f>'3.1_ELEC'!E116</f>
        <v>1</v>
      </c>
      <c r="G651" s="181" t="str">
        <f>+_xlfn.XLOOKUP(C651,'BASE DATOS PRECIOS '!B:B,'BASE DATOS PRECIOS '!F:F)</f>
        <v>1/8 DE GALON</v>
      </c>
      <c r="H651" s="182">
        <f>+_xlfn.XLOOKUP(E651,'BASE DATOS PRECIOS '!E:E,'BASE DATOS PRECIOS '!H:H)</f>
        <v>5835.0036</v>
      </c>
      <c r="I651" s="181"/>
      <c r="J651" s="181"/>
      <c r="K651" s="182">
        <f t="shared" si="404"/>
        <v>5835.0036</v>
      </c>
      <c r="L651" s="182">
        <f t="shared" si="405"/>
        <v>0</v>
      </c>
      <c r="M651" s="182">
        <f t="shared" si="406"/>
        <v>0</v>
      </c>
      <c r="N651" s="182">
        <f t="shared" si="407"/>
        <v>5835.0036</v>
      </c>
      <c r="O651" s="1089">
        <f t="shared" si="408"/>
        <v>11.330104077669903</v>
      </c>
    </row>
    <row r="652" spans="1:15" ht="15" customHeight="1" x14ac:dyDescent="0.2">
      <c r="A652" s="1074"/>
      <c r="B652" s="833">
        <f t="shared" si="409"/>
        <v>3.1</v>
      </c>
      <c r="C652" s="775" t="s">
        <v>2285</v>
      </c>
      <c r="D652" s="823"/>
      <c r="E652" s="161" t="str">
        <f>+_xlfn.XLOOKUP(C652,'BASE DATOS PRECIOS '!B:B,'BASE DATOS PRECIOS '!E:E)</f>
        <v>HOJA DE SEGUETA</v>
      </c>
      <c r="F652" s="180">
        <f>'3.1_ELEC'!E117</f>
        <v>0</v>
      </c>
      <c r="G652" s="181" t="str">
        <f>+_xlfn.XLOOKUP(C652,'BASE DATOS PRECIOS '!B:B,'BASE DATOS PRECIOS '!F:F)</f>
        <v>UND</v>
      </c>
      <c r="H652" s="182">
        <f>+_xlfn.XLOOKUP(E652,'BASE DATOS PRECIOS '!E:E,'BASE DATOS PRECIOS '!H:H)</f>
        <v>585.65639999999996</v>
      </c>
      <c r="I652" s="181"/>
      <c r="J652" s="181"/>
      <c r="K652" s="182">
        <f t="shared" si="404"/>
        <v>0</v>
      </c>
      <c r="L652" s="182">
        <f t="shared" si="405"/>
        <v>0</v>
      </c>
      <c r="M652" s="182">
        <f t="shared" si="406"/>
        <v>0</v>
      </c>
      <c r="N652" s="182">
        <f t="shared" si="407"/>
        <v>0</v>
      </c>
      <c r="O652" s="1089">
        <f t="shared" si="408"/>
        <v>0</v>
      </c>
    </row>
    <row r="653" spans="1:15" ht="15" customHeight="1" x14ac:dyDescent="0.2">
      <c r="A653" s="303"/>
      <c r="B653" s="833">
        <f t="shared" si="409"/>
        <v>3.1</v>
      </c>
      <c r="C653" s="303" t="s">
        <v>1930</v>
      </c>
      <c r="D653" s="822"/>
      <c r="E653" s="161" t="str">
        <f>+_xlfn.XLOOKUP(C653,'BASE DATOS PRECIOS '!B:B,'BASE DATOS PRECIOS '!E:E)</f>
        <v>LAMINA ESTEREOFON 2" 1.22X2.44</v>
      </c>
      <c r="F653" s="180">
        <f>'3.1_ELEC'!E118</f>
        <v>0</v>
      </c>
      <c r="G653" s="181" t="str">
        <f>+_xlfn.XLOOKUP(C653,'BASE DATOS PRECIOS '!B:B,'BASE DATOS PRECIOS '!F:F)</f>
        <v>UND</v>
      </c>
      <c r="H653" s="182">
        <f>+_xlfn.XLOOKUP(E653,'BASE DATOS PRECIOS '!E:E,'BASE DATOS PRECIOS '!H:H)</f>
        <v>5509.7217999999993</v>
      </c>
      <c r="I653" s="181"/>
      <c r="J653" s="181"/>
      <c r="K653" s="182">
        <f t="shared" si="404"/>
        <v>0</v>
      </c>
      <c r="L653" s="182">
        <f t="shared" si="405"/>
        <v>0</v>
      </c>
      <c r="M653" s="182">
        <f t="shared" si="406"/>
        <v>0</v>
      </c>
      <c r="N653" s="182">
        <f t="shared" si="407"/>
        <v>0</v>
      </c>
      <c r="O653" s="1089">
        <f t="shared" si="408"/>
        <v>0</v>
      </c>
    </row>
    <row r="654" spans="1:15" ht="15" customHeight="1" x14ac:dyDescent="0.2">
      <c r="A654" s="303"/>
      <c r="B654" s="833">
        <f t="shared" si="409"/>
        <v>3.1</v>
      </c>
      <c r="C654" s="303" t="s">
        <v>2297</v>
      </c>
      <c r="D654" s="822"/>
      <c r="E654" s="161" t="str">
        <f>+_xlfn.XLOOKUP(C654,'BASE DATOS PRECIOS '!B:B,'BASE DATOS PRECIOS '!E:E)</f>
        <v>CAJA OCTAGONAL 1/2-3/4 EMT PESADA (8 SALIDAS )</v>
      </c>
      <c r="F654" s="180">
        <f>'3.1_ELEC'!E119</f>
        <v>5</v>
      </c>
      <c r="G654" s="181" t="str">
        <f>+_xlfn.XLOOKUP(C654,'BASE DATOS PRECIOS '!B:B,'BASE DATOS PRECIOS '!F:F)</f>
        <v>UND</v>
      </c>
      <c r="H654" s="182">
        <f>+_xlfn.XLOOKUP(E654,'BASE DATOS PRECIOS '!E:E,'BASE DATOS PRECIOS '!H:H)</f>
        <v>389.00249999999994</v>
      </c>
      <c r="I654" s="181"/>
      <c r="J654" s="181"/>
      <c r="K654" s="182">
        <f t="shared" si="404"/>
        <v>1945.0124999999998</v>
      </c>
      <c r="L654" s="182">
        <f t="shared" si="405"/>
        <v>0</v>
      </c>
      <c r="M654" s="182">
        <f t="shared" si="406"/>
        <v>0</v>
      </c>
      <c r="N654" s="182">
        <f t="shared" si="407"/>
        <v>1945.0124999999998</v>
      </c>
      <c r="O654" s="1089">
        <f t="shared" si="408"/>
        <v>3.7767233009708736</v>
      </c>
    </row>
    <row r="655" spans="1:15" ht="15" customHeight="1" x14ac:dyDescent="0.2">
      <c r="A655" s="303"/>
      <c r="B655" s="833">
        <f t="shared" si="409"/>
        <v>3.1</v>
      </c>
      <c r="C655" s="303" t="s">
        <v>2293</v>
      </c>
      <c r="D655" s="822"/>
      <c r="E655" s="161" t="str">
        <f>+_xlfn.XLOOKUP(C655,'BASE DATOS PRECIOS '!B:B,'BASE DATOS PRECIOS '!E:E)</f>
        <v>GAS  BUTANO PARA SOPLETE </v>
      </c>
      <c r="F655" s="180">
        <f>'3.1_ELEC'!E120</f>
        <v>0</v>
      </c>
      <c r="G655" s="181" t="str">
        <f>+_xlfn.XLOOKUP(C655,'BASE DATOS PRECIOS '!B:B,'BASE DATOS PRECIOS '!F:F)</f>
        <v>UND</v>
      </c>
      <c r="H655" s="182">
        <f>+_xlfn.XLOOKUP(E655,'BASE DATOS PRECIOS '!E:E,'BASE DATOS PRECIOS '!H:H)</f>
        <v>1606.6678999999997</v>
      </c>
      <c r="I655" s="181"/>
      <c r="J655" s="181"/>
      <c r="K655" s="182">
        <f t="shared" si="404"/>
        <v>0</v>
      </c>
      <c r="L655" s="182">
        <f t="shared" si="405"/>
        <v>0</v>
      </c>
      <c r="M655" s="182">
        <f t="shared" si="406"/>
        <v>0</v>
      </c>
      <c r="N655" s="182">
        <f t="shared" si="407"/>
        <v>0</v>
      </c>
      <c r="O655" s="1089">
        <f t="shared" si="408"/>
        <v>0</v>
      </c>
    </row>
    <row r="656" spans="1:15" ht="15" customHeight="1" x14ac:dyDescent="0.2">
      <c r="A656" s="303"/>
      <c r="B656" s="833">
        <f t="shared" ref="B656:B658" si="410">VALUE(IF(AND(LEN(TRIM(C656))-LEN(SUBSTITUTE(TRIM(C656),".",""))=1,ISNUMBER(VALUE(SUBSTITUTE(TRIM(C656),".","")))),TRIM(C656),B655))</f>
        <v>3.1</v>
      </c>
      <c r="C656" s="303" t="s">
        <v>1987</v>
      </c>
      <c r="D656" s="822"/>
      <c r="E656" s="161" t="str">
        <f>+_xlfn.XLOOKUP(C656,'BASE DATOS PRECIOS '!B:B,'BASE DATOS PRECIOS '!E:E)</f>
        <v>CAJA RECTANGULAR EMT CON HUECO DE 1/2 Y 3/4 UL</v>
      </c>
      <c r="F656" s="180">
        <f>'3.1_ELEC'!E121</f>
        <v>5</v>
      </c>
      <c r="G656" s="181" t="str">
        <f>+_xlfn.XLOOKUP(C656,'BASE DATOS PRECIOS '!B:B,'BASE DATOS PRECIOS '!F:F)</f>
        <v>UND</v>
      </c>
      <c r="H656" s="182">
        <f>+_xlfn.XLOOKUP(E656,'BASE DATOS PRECIOS '!E:E,'BASE DATOS PRECIOS '!H:H)</f>
        <v>764.99869999999999</v>
      </c>
      <c r="I656" s="181"/>
      <c r="J656" s="181"/>
      <c r="K656" s="182">
        <f t="shared" ref="K656:K658" si="411">+F656*H656</f>
        <v>3824.9935</v>
      </c>
      <c r="L656" s="182">
        <f t="shared" ref="L656:L658" si="412">+F656*I656</f>
        <v>0</v>
      </c>
      <c r="M656" s="182">
        <f t="shared" ref="M656:M658" si="413">+F656*J656</f>
        <v>0</v>
      </c>
      <c r="N656" s="182">
        <f t="shared" ref="N656:N658" si="414">SUM(K656:M656)</f>
        <v>3824.9935</v>
      </c>
      <c r="O656" s="1089">
        <f t="shared" ref="O656:O658" si="415">SUM(K656:M656)/tc</f>
        <v>7.4271718446601946</v>
      </c>
    </row>
    <row r="657" spans="1:15" ht="15" customHeight="1" x14ac:dyDescent="0.2">
      <c r="A657" s="303"/>
      <c r="B657" s="833">
        <f t="shared" si="410"/>
        <v>3.1</v>
      </c>
      <c r="C657" s="303" t="s">
        <v>2484</v>
      </c>
      <c r="D657" s="822"/>
      <c r="E657" s="161" t="str">
        <f>+_xlfn.XLOOKUP(C657,'BASE DATOS PRECIOS '!B:B,'BASE DATOS PRECIOS '!E:E)</f>
        <v>CAJA CUADRADA EMT 4X4 DOBLE FONDO CON HUECO DE 3/4-1/2</v>
      </c>
      <c r="F657" s="180">
        <f>'3.1_ELEC'!E122</f>
        <v>1</v>
      </c>
      <c r="G657" s="181" t="str">
        <f>+_xlfn.XLOOKUP(C657,'BASE DATOS PRECIOS '!B:B,'BASE DATOS PRECIOS '!F:F)</f>
        <v>UND</v>
      </c>
      <c r="H657" s="182">
        <f>+_xlfn.XLOOKUP(E657,'BASE DATOS PRECIOS '!E:E,'BASE DATOS PRECIOS '!H:H)</f>
        <v>355.95</v>
      </c>
      <c r="I657" s="181"/>
      <c r="J657" s="181"/>
      <c r="K657" s="182">
        <f t="shared" si="411"/>
        <v>355.95</v>
      </c>
      <c r="L657" s="182">
        <f t="shared" si="412"/>
        <v>0</v>
      </c>
      <c r="M657" s="182">
        <f t="shared" si="413"/>
        <v>0</v>
      </c>
      <c r="N657" s="182">
        <f t="shared" si="414"/>
        <v>355.95</v>
      </c>
      <c r="O657" s="1089">
        <f t="shared" si="415"/>
        <v>0.69116504854368932</v>
      </c>
    </row>
    <row r="658" spans="1:15" ht="15" customHeight="1" x14ac:dyDescent="0.2">
      <c r="A658" s="303"/>
      <c r="B658" s="833">
        <f t="shared" si="410"/>
        <v>3.1</v>
      </c>
      <c r="C658" s="303" t="s">
        <v>2291</v>
      </c>
      <c r="D658" s="822"/>
      <c r="E658" s="161" t="str">
        <f>+_xlfn.XLOOKUP(C658,'BASE DATOS PRECIOS '!B:B,'BASE DATOS PRECIOS '!E:E)</f>
        <v>CONECTOR CONDUIT 3/4 UL</v>
      </c>
      <c r="F658" s="180">
        <f>'3.1_ELEC'!E123</f>
        <v>2</v>
      </c>
      <c r="G658" s="181" t="str">
        <f>+_xlfn.XLOOKUP(C658,'BASE DATOS PRECIOS '!B:B,'BASE DATOS PRECIOS '!F:F)</f>
        <v>UND</v>
      </c>
      <c r="H658" s="182">
        <f>+_xlfn.XLOOKUP(E658,'BASE DATOS PRECIOS '!E:E,'BASE DATOS PRECIOS '!H:H)</f>
        <v>119.49749999999999</v>
      </c>
      <c r="I658" s="181"/>
      <c r="J658" s="181"/>
      <c r="K658" s="182">
        <f t="shared" si="411"/>
        <v>238.99499999999998</v>
      </c>
      <c r="L658" s="182">
        <f t="shared" si="412"/>
        <v>0</v>
      </c>
      <c r="M658" s="182">
        <f t="shared" si="413"/>
        <v>0</v>
      </c>
      <c r="N658" s="182">
        <f t="shared" si="414"/>
        <v>238.99499999999998</v>
      </c>
      <c r="O658" s="1089">
        <f t="shared" si="415"/>
        <v>0.4640679611650485</v>
      </c>
    </row>
    <row r="659" spans="1:15" ht="15" customHeight="1" x14ac:dyDescent="0.2">
      <c r="A659" s="303"/>
      <c r="B659" s="833">
        <f>VALUE(IF(AND(LEN(TRIM(C659))-LEN(SUBSTITUTE(TRIM(C659),".",""))=1,ISNUMBER(VALUE(SUBSTITUTE(TRIM(C659),".","")))),TRIM(C659),B655))</f>
        <v>3.1</v>
      </c>
      <c r="C659" s="774" t="s">
        <v>231</v>
      </c>
      <c r="D659" s="210"/>
      <c r="E659" s="211" t="str">
        <f>+_xlfn.XLOOKUP(C659,'BASE DATOS EQUIPOS Y SUBCONTRAT'!A:A,'BASE DATOS EQUIPOS Y SUBCONTRAT'!B:B)</f>
        <v>M.O. TUBERIA ELECTRICA MUROS</v>
      </c>
      <c r="F659" s="263">
        <v>1</v>
      </c>
      <c r="G659" s="264" t="str">
        <f>+_xlfn.XLOOKUP(C659,'BASE DATOS EQUIPOS Y SUBCONTRAT'!A:A,'BASE DATOS EQUIPOS Y SUBCONTRAT'!C:C)</f>
        <v xml:space="preserve">GLOBAL </v>
      </c>
      <c r="H659" s="265">
        <v>0</v>
      </c>
      <c r="I659" s="264"/>
      <c r="J659" s="265">
        <v>0</v>
      </c>
      <c r="K659" s="265">
        <f t="shared" si="404"/>
        <v>0</v>
      </c>
      <c r="L659" s="265">
        <f t="shared" si="405"/>
        <v>0</v>
      </c>
      <c r="M659" s="265">
        <f t="shared" si="406"/>
        <v>0</v>
      </c>
      <c r="N659" s="265">
        <f t="shared" si="407"/>
        <v>0</v>
      </c>
      <c r="O659" s="1094">
        <f t="shared" si="408"/>
        <v>0</v>
      </c>
    </row>
    <row r="660" spans="1:15" ht="15" customHeight="1" x14ac:dyDescent="0.2">
      <c r="A660" s="303"/>
      <c r="B660" s="833">
        <f t="shared" si="409"/>
        <v>3.1</v>
      </c>
      <c r="C660" s="774" t="s">
        <v>36</v>
      </c>
      <c r="D660" s="210"/>
      <c r="E660" s="211" t="str">
        <f>+_xlfn.XLOOKUP(C660,'BASE DATOS MANO DE OBRA'!A:A,'BASE DATOS MANO DE OBRA'!B:B)</f>
        <v xml:space="preserve">OPERARIO PLUS </v>
      </c>
      <c r="F660" s="212">
        <v>0</v>
      </c>
      <c r="G660" s="213" t="str">
        <f>+_xlfn.XLOOKUP(C660,'BASE DATOS MANO DE OBRA'!A:A,'BASE DATOS MANO DE OBRA'!C:C)</f>
        <v xml:space="preserve">hora </v>
      </c>
      <c r="H660" s="214">
        <v>0</v>
      </c>
      <c r="I660" s="214">
        <f>+_xlfn.XLOOKUP(C660,'BASE DATOS MANO DE OBRA'!A:A,'BASE DATOS MANO DE OBRA'!E:E)</f>
        <v>2850</v>
      </c>
      <c r="J660" s="214">
        <v>0</v>
      </c>
      <c r="K660" s="214">
        <f t="shared" si="404"/>
        <v>0</v>
      </c>
      <c r="L660" s="214">
        <f t="shared" si="405"/>
        <v>0</v>
      </c>
      <c r="M660" s="214">
        <f t="shared" si="406"/>
        <v>0</v>
      </c>
      <c r="N660" s="214">
        <f t="shared" si="407"/>
        <v>0</v>
      </c>
      <c r="O660" s="1086">
        <f t="shared" si="408"/>
        <v>0</v>
      </c>
    </row>
    <row r="661" spans="1:15" ht="15" customHeight="1" x14ac:dyDescent="0.2">
      <c r="A661" s="303"/>
      <c r="B661" s="833">
        <f t="shared" si="409"/>
        <v>3.1</v>
      </c>
      <c r="C661" s="774" t="s">
        <v>37</v>
      </c>
      <c r="D661" s="210"/>
      <c r="E661" s="211" t="str">
        <f>+_xlfn.XLOOKUP(C661,'BASE DATOS MANO DE OBRA'!A:A,'BASE DATOS MANO DE OBRA'!B:B)</f>
        <v xml:space="preserve">AYUDANTE PLUS </v>
      </c>
      <c r="F661" s="212">
        <v>0</v>
      </c>
      <c r="G661" s="213" t="str">
        <f>+_xlfn.XLOOKUP(C661,'BASE DATOS MANO DE OBRA'!A:A,'BASE DATOS MANO DE OBRA'!C:C)</f>
        <v xml:space="preserve">hora </v>
      </c>
      <c r="H661" s="214">
        <v>0</v>
      </c>
      <c r="I661" s="214">
        <f>+_xlfn.XLOOKUP(C661,'BASE DATOS MANO DE OBRA'!A:A,'BASE DATOS MANO DE OBRA'!E:E)</f>
        <v>2325</v>
      </c>
      <c r="J661" s="214">
        <v>0</v>
      </c>
      <c r="K661" s="214">
        <f t="shared" si="404"/>
        <v>0</v>
      </c>
      <c r="L661" s="214">
        <f t="shared" si="405"/>
        <v>0</v>
      </c>
      <c r="M661" s="214">
        <f t="shared" si="406"/>
        <v>0</v>
      </c>
      <c r="N661" s="214">
        <f t="shared" si="407"/>
        <v>0</v>
      </c>
      <c r="O661" s="1086">
        <f t="shared" si="408"/>
        <v>0</v>
      </c>
    </row>
    <row r="662" spans="1:15" s="49" customFormat="1" ht="18.600000000000001" customHeight="1" x14ac:dyDescent="0.2">
      <c r="A662" s="303"/>
      <c r="B662" s="833">
        <f t="shared" si="409"/>
        <v>3.1</v>
      </c>
      <c r="C662" s="770" t="s">
        <v>2076</v>
      </c>
      <c r="D662" s="453"/>
      <c r="E662" s="454" t="s">
        <v>235</v>
      </c>
      <c r="F662" s="455">
        <v>1</v>
      </c>
      <c r="G662" s="453" t="s">
        <v>29</v>
      </c>
      <c r="H662" s="453"/>
      <c r="I662" s="453"/>
      <c r="J662" s="453"/>
      <c r="K662" s="456">
        <f>+SUBTOTAL(9,K663:K695)</f>
        <v>313311.24839999987</v>
      </c>
      <c r="L662" s="456">
        <f>+SUBTOTAL(9,L663:L695)</f>
        <v>0</v>
      </c>
      <c r="M662" s="456">
        <f>+SUBTOTAL(9,M663:M695)</f>
        <v>95000</v>
      </c>
      <c r="N662" s="456">
        <f>+SUBTOTAL(9,N663:N695)</f>
        <v>408311.24839999987</v>
      </c>
      <c r="O662" s="1082">
        <f>+SUBTOTAL(9,O663:O695)</f>
        <v>792.83737553398055</v>
      </c>
    </row>
    <row r="663" spans="1:15" x14ac:dyDescent="0.2">
      <c r="A663" s="303"/>
      <c r="B663" s="833">
        <f t="shared" si="409"/>
        <v>3.1</v>
      </c>
      <c r="C663" s="303" t="s">
        <v>1992</v>
      </c>
      <c r="D663" s="822"/>
      <c r="E663" s="161" t="str">
        <f>+_xlfn.XLOOKUP(C663,'BASE DATOS PRECIOS '!B:B,'BASE DATOS PRECIOS '!E:E)</f>
        <v>CURVA CONDUIT 1/2 UL</v>
      </c>
      <c r="F663" s="174">
        <f>'3.1_ELEC'!E130</f>
        <v>20</v>
      </c>
      <c r="G663" s="175" t="str">
        <f>+_xlfn.XLOOKUP(C663,'BASE DATOS PRECIOS '!B:B,'BASE DATOS PRECIOS '!F:F)</f>
        <v>UND</v>
      </c>
      <c r="H663" s="176">
        <f>+_xlfn.XLOOKUP(E663,'BASE DATOS PRECIOS '!E:E,'BASE DATOS PRECIOS '!H:H)</f>
        <v>327.13499999999999</v>
      </c>
      <c r="I663" s="175"/>
      <c r="J663" s="175"/>
      <c r="K663" s="176">
        <f t="shared" ref="K663:K677" si="416">+F663*H663</f>
        <v>6542.7</v>
      </c>
      <c r="L663" s="176">
        <f t="shared" ref="L663:L677" si="417">+F663*I663</f>
        <v>0</v>
      </c>
      <c r="M663" s="176">
        <f t="shared" ref="M663:M677" si="418">+F663*J663</f>
        <v>0</v>
      </c>
      <c r="N663" s="176">
        <f t="shared" ref="N663:N677" si="419">SUM(K663:M663)</f>
        <v>6542.7</v>
      </c>
      <c r="O663" s="1095">
        <f t="shared" ref="O663:O677" si="420">SUM(K663:M663)/tc</f>
        <v>12.704271844660195</v>
      </c>
    </row>
    <row r="664" spans="1:15" x14ac:dyDescent="0.2">
      <c r="A664" s="303"/>
      <c r="B664" s="833">
        <f t="shared" si="409"/>
        <v>3.1</v>
      </c>
      <c r="C664" s="303" t="s">
        <v>2288</v>
      </c>
      <c r="D664" s="822"/>
      <c r="E664" s="161" t="str">
        <f>+_xlfn.XLOOKUP(C664,'BASE DATOS PRECIOS '!B:B,'BASE DATOS PRECIOS '!E:E)</f>
        <v>TUBO CONDUIT 1/2 UL</v>
      </c>
      <c r="F664" s="174">
        <f>'3.1_ELEC'!E131</f>
        <v>9</v>
      </c>
      <c r="G664" s="175" t="str">
        <f>+_xlfn.XLOOKUP(C664,'BASE DATOS PRECIOS '!B:B,'BASE DATOS PRECIOS '!F:F)</f>
        <v>UND</v>
      </c>
      <c r="H664" s="176">
        <f>+_xlfn.XLOOKUP(E664,'BASE DATOS PRECIOS '!E:E,'BASE DATOS PRECIOS '!H:H)</f>
        <v>736.47749999999996</v>
      </c>
      <c r="I664" s="175"/>
      <c r="J664" s="175"/>
      <c r="K664" s="176">
        <f t="shared" si="416"/>
        <v>6628.2974999999997</v>
      </c>
      <c r="L664" s="176">
        <f t="shared" si="417"/>
        <v>0</v>
      </c>
      <c r="M664" s="176">
        <f t="shared" si="418"/>
        <v>0</v>
      </c>
      <c r="N664" s="176">
        <f t="shared" si="419"/>
        <v>6628.2974999999997</v>
      </c>
      <c r="O664" s="1095">
        <f t="shared" si="420"/>
        <v>12.870480582524271</v>
      </c>
    </row>
    <row r="665" spans="1:15" x14ac:dyDescent="0.2">
      <c r="A665" s="303"/>
      <c r="B665" s="833">
        <f t="shared" si="409"/>
        <v>3.1</v>
      </c>
      <c r="C665" s="303" t="s">
        <v>2292</v>
      </c>
      <c r="D665" s="822"/>
      <c r="E665" s="161" t="str">
        <f>+_xlfn.XLOOKUP(C665,'BASE DATOS PRECIOS '!B:B,'BASE DATOS PRECIOS '!E:E)</f>
        <v>UNION CONDUIT 1/2 UL</v>
      </c>
      <c r="F665" s="174">
        <f>'3.1_ELEC'!E132</f>
        <v>8</v>
      </c>
      <c r="G665" s="175" t="str">
        <f>+_xlfn.XLOOKUP(C665,'BASE DATOS PRECIOS '!B:B,'BASE DATOS PRECIOS '!F:F)</f>
        <v>UND</v>
      </c>
      <c r="H665" s="176">
        <f>+_xlfn.XLOOKUP(E665,'BASE DATOS PRECIOS '!E:E,'BASE DATOS PRECIOS '!H:H)</f>
        <v>75.144999999999996</v>
      </c>
      <c r="I665" s="175"/>
      <c r="J665" s="175"/>
      <c r="K665" s="176">
        <f t="shared" si="416"/>
        <v>601.16</v>
      </c>
      <c r="L665" s="176">
        <f t="shared" si="417"/>
        <v>0</v>
      </c>
      <c r="M665" s="176">
        <f t="shared" si="418"/>
        <v>0</v>
      </c>
      <c r="N665" s="176">
        <f t="shared" si="419"/>
        <v>601.16</v>
      </c>
      <c r="O665" s="1095">
        <f t="shared" si="420"/>
        <v>1.1673009708737863</v>
      </c>
    </row>
    <row r="666" spans="1:15" x14ac:dyDescent="0.2">
      <c r="A666" s="303"/>
      <c r="B666" s="833">
        <f t="shared" si="409"/>
        <v>3.1</v>
      </c>
      <c r="C666" s="303" t="s">
        <v>2295</v>
      </c>
      <c r="D666" s="822"/>
      <c r="E666" s="161" t="str">
        <f>+_xlfn.XLOOKUP(C666,'BASE DATOS PRECIOS '!B:B,'BASE DATOS PRECIOS '!E:E)</f>
        <v>CONECTOR CONDUIT 1/2 UL</v>
      </c>
      <c r="F666" s="174">
        <f>'3.1_ELEC'!E133</f>
        <v>30</v>
      </c>
      <c r="G666" s="175" t="str">
        <f>+_xlfn.XLOOKUP(C666,'BASE DATOS PRECIOS '!B:B,'BASE DATOS PRECIOS '!F:F)</f>
        <v>UND</v>
      </c>
      <c r="H666" s="176">
        <f>+_xlfn.XLOOKUP(E666,'BASE DATOS PRECIOS '!E:E,'BASE DATOS PRECIOS '!H:H)</f>
        <v>94.072499999999991</v>
      </c>
      <c r="I666" s="175"/>
      <c r="J666" s="175"/>
      <c r="K666" s="176">
        <f t="shared" si="416"/>
        <v>2822.1749999999997</v>
      </c>
      <c r="L666" s="176">
        <f t="shared" si="417"/>
        <v>0</v>
      </c>
      <c r="M666" s="176">
        <f t="shared" si="418"/>
        <v>0</v>
      </c>
      <c r="N666" s="176">
        <f t="shared" si="419"/>
        <v>2822.1749999999997</v>
      </c>
      <c r="O666" s="1095">
        <f t="shared" si="420"/>
        <v>5.4799514563106788</v>
      </c>
    </row>
    <row r="667" spans="1:15" x14ac:dyDescent="0.2">
      <c r="A667" s="303"/>
      <c r="B667" s="833">
        <f t="shared" si="409"/>
        <v>3.1</v>
      </c>
      <c r="C667" s="781" t="s">
        <v>2314</v>
      </c>
      <c r="D667" s="821"/>
      <c r="E667" s="161" t="str">
        <f>+_xlfn.XLOOKUP(C667,'BASE DATOS PRECIOS '!B:B,'BASE DATOS PRECIOS '!E:E)</f>
        <v>CABLE TGP 3X12</v>
      </c>
      <c r="F667" s="174">
        <f>'3.1_ELEC'!E134</f>
        <v>25</v>
      </c>
      <c r="G667" s="175" t="str">
        <f>+_xlfn.XLOOKUP(C667,'BASE DATOS PRECIOS '!B:B,'BASE DATOS PRECIOS '!F:F)</f>
        <v>M</v>
      </c>
      <c r="H667" s="176">
        <f>+_xlfn.XLOOKUP(E667,'BASE DATOS PRECIOS '!E:E,'BASE DATOS PRECIOS '!H:H)</f>
        <v>1344.1914999999999</v>
      </c>
      <c r="I667" s="175"/>
      <c r="J667" s="175"/>
      <c r="K667" s="176">
        <f t="shared" si="416"/>
        <v>33604.787499999999</v>
      </c>
      <c r="L667" s="176">
        <f t="shared" si="417"/>
        <v>0</v>
      </c>
      <c r="M667" s="176">
        <f t="shared" si="418"/>
        <v>0</v>
      </c>
      <c r="N667" s="176">
        <f t="shared" si="419"/>
        <v>33604.787499999999</v>
      </c>
      <c r="O667" s="1095">
        <f t="shared" si="420"/>
        <v>65.252014563106798</v>
      </c>
    </row>
    <row r="668" spans="1:15" x14ac:dyDescent="0.2">
      <c r="A668" s="303"/>
      <c r="B668" s="833">
        <f t="shared" si="409"/>
        <v>3.1</v>
      </c>
      <c r="C668" s="303" t="s">
        <v>2297</v>
      </c>
      <c r="D668" s="822"/>
      <c r="E668" s="161" t="str">
        <f>+_xlfn.XLOOKUP(C668,'BASE DATOS PRECIOS '!B:B,'BASE DATOS PRECIOS '!E:E)</f>
        <v>CAJA OCTAGONAL 1/2-3/4 EMT PESADA (8 SALIDAS )</v>
      </c>
      <c r="F668" s="174">
        <f>'3.1_ELEC'!E135</f>
        <v>4</v>
      </c>
      <c r="G668" s="175" t="str">
        <f>+_xlfn.XLOOKUP(C668,'BASE DATOS PRECIOS '!B:B,'BASE DATOS PRECIOS '!F:F)</f>
        <v>UND</v>
      </c>
      <c r="H668" s="176">
        <f>+_xlfn.XLOOKUP(E668,'BASE DATOS PRECIOS '!E:E,'BASE DATOS PRECIOS '!H:H)</f>
        <v>389.00249999999994</v>
      </c>
      <c r="I668" s="175"/>
      <c r="J668" s="175"/>
      <c r="K668" s="176">
        <f t="shared" si="416"/>
        <v>1556.0099999999998</v>
      </c>
      <c r="L668" s="176">
        <f t="shared" si="417"/>
        <v>0</v>
      </c>
      <c r="M668" s="176">
        <f t="shared" si="418"/>
        <v>0</v>
      </c>
      <c r="N668" s="176">
        <f t="shared" si="419"/>
        <v>1556.0099999999998</v>
      </c>
      <c r="O668" s="1095">
        <f t="shared" si="420"/>
        <v>3.0213786407766987</v>
      </c>
    </row>
    <row r="669" spans="1:15" x14ac:dyDescent="0.2">
      <c r="A669" s="303"/>
      <c r="B669" s="833">
        <f t="shared" si="409"/>
        <v>3.1</v>
      </c>
      <c r="C669" s="303" t="s">
        <v>2323</v>
      </c>
      <c r="D669" s="822"/>
      <c r="E669" s="161" t="str">
        <f>+_xlfn.XLOOKUP(C669,'BASE DATOS PRECIOS '!B:B,'BASE DATOS PRECIOS '!E:E)</f>
        <v>GAZA EMT 1 OREJAS 3/4"</v>
      </c>
      <c r="F669" s="174">
        <f>'3.1_ELEC'!E136</f>
        <v>25</v>
      </c>
      <c r="G669" s="175" t="str">
        <f>+_xlfn.XLOOKUP(C669,'BASE DATOS PRECIOS '!B:B,'BASE DATOS PRECIOS '!F:F)</f>
        <v>UND</v>
      </c>
      <c r="H669" s="176">
        <f>+_xlfn.XLOOKUP(E669,'BASE DATOS PRECIOS '!E:E,'BASE DATOS PRECIOS '!H:H)</f>
        <v>18.305999999999997</v>
      </c>
      <c r="I669" s="175"/>
      <c r="J669" s="175"/>
      <c r="K669" s="176">
        <f t="shared" si="416"/>
        <v>457.64999999999992</v>
      </c>
      <c r="L669" s="176">
        <f t="shared" si="417"/>
        <v>0</v>
      </c>
      <c r="M669" s="176">
        <f t="shared" si="418"/>
        <v>0</v>
      </c>
      <c r="N669" s="176">
        <f t="shared" si="419"/>
        <v>457.64999999999992</v>
      </c>
      <c r="O669" s="1095">
        <f t="shared" si="420"/>
        <v>0.88864077669902897</v>
      </c>
    </row>
    <row r="670" spans="1:15" x14ac:dyDescent="0.2">
      <c r="A670" s="303"/>
      <c r="B670" s="833">
        <f t="shared" si="409"/>
        <v>3.1</v>
      </c>
      <c r="C670" s="303" t="s">
        <v>2294</v>
      </c>
      <c r="D670" s="822"/>
      <c r="E670" s="161" t="str">
        <f>+_xlfn.XLOOKUP(C670,'BASE DATOS PRECIOS '!B:B,'BASE DATOS PRECIOS '!E:E)</f>
        <v>CAJA SENCILLA  EMT CUADRADA 1/2 Y 3/4</v>
      </c>
      <c r="F670" s="174">
        <f>'3.1_ELEC'!E137</f>
        <v>0</v>
      </c>
      <c r="G670" s="175" t="str">
        <f>+_xlfn.XLOOKUP(C670,'BASE DATOS PRECIOS '!B:B,'BASE DATOS PRECIOS '!F:F)</f>
        <v>UND</v>
      </c>
      <c r="H670" s="176">
        <f>+_xlfn.XLOOKUP(E670,'BASE DATOS PRECIOS '!E:E,'BASE DATOS PRECIOS '!H:H)</f>
        <v>453.07349999999997</v>
      </c>
      <c r="I670" s="175"/>
      <c r="J670" s="175"/>
      <c r="K670" s="176">
        <f t="shared" si="416"/>
        <v>0</v>
      </c>
      <c r="L670" s="176">
        <f t="shared" si="417"/>
        <v>0</v>
      </c>
      <c r="M670" s="176">
        <f t="shared" si="418"/>
        <v>0</v>
      </c>
      <c r="N670" s="176">
        <f t="shared" si="419"/>
        <v>0</v>
      </c>
      <c r="O670" s="1095">
        <f t="shared" si="420"/>
        <v>0</v>
      </c>
    </row>
    <row r="671" spans="1:15" x14ac:dyDescent="0.2">
      <c r="A671" s="303"/>
      <c r="B671" s="833">
        <f t="shared" si="409"/>
        <v>3.1</v>
      </c>
      <c r="C671" s="303" t="s">
        <v>2317</v>
      </c>
      <c r="D671" s="822"/>
      <c r="E671" s="161" t="str">
        <f>+_xlfn.XLOOKUP(C671,'BASE DATOS PRECIOS '!B:B,'BASE DATOS PRECIOS '!E:E)</f>
        <v>TAPA CIEGA PARA CAJA OCTAGONAL</v>
      </c>
      <c r="F671" s="174">
        <f>'3.1_ELEC'!E138</f>
        <v>9</v>
      </c>
      <c r="G671" s="175" t="str">
        <f>+_xlfn.XLOOKUP(C671,'BASE DATOS PRECIOS '!B:B,'BASE DATOS PRECIOS '!F:F)</f>
        <v>UND</v>
      </c>
      <c r="H671" s="176">
        <f>+_xlfn.XLOOKUP(E671,'BASE DATOS PRECIOS '!E:E,'BASE DATOS PRECIOS '!H:H)</f>
        <v>156.01909999999998</v>
      </c>
      <c r="I671" s="175"/>
      <c r="J671" s="175"/>
      <c r="K671" s="176">
        <f t="shared" si="416"/>
        <v>1404.1718999999998</v>
      </c>
      <c r="L671" s="176">
        <f t="shared" si="417"/>
        <v>0</v>
      </c>
      <c r="M671" s="176">
        <f t="shared" si="418"/>
        <v>0</v>
      </c>
      <c r="N671" s="176">
        <f t="shared" si="419"/>
        <v>1404.1718999999998</v>
      </c>
      <c r="O671" s="1095">
        <f t="shared" si="420"/>
        <v>2.7265473786407766</v>
      </c>
    </row>
    <row r="672" spans="1:15" x14ac:dyDescent="0.2">
      <c r="A672" s="303"/>
      <c r="B672" s="833">
        <f t="shared" si="409"/>
        <v>3.1</v>
      </c>
      <c r="C672" s="781" t="s">
        <v>2322</v>
      </c>
      <c r="D672" s="821"/>
      <c r="E672" s="161" t="str">
        <f>+_xlfn.XLOOKUP(C672,'BASE DATOS PRECIOS '!B:B,'BASE DATOS PRECIOS '!E:E)</f>
        <v>TAPA CIEGA CUADRADA 4X4 EMT</v>
      </c>
      <c r="F672" s="174">
        <f>'3.1_ELEC'!E139</f>
        <v>3</v>
      </c>
      <c r="G672" s="175" t="str">
        <f>+_xlfn.XLOOKUP(C672,'BASE DATOS PRECIOS '!B:B,'BASE DATOS PRECIOS '!F:F)</f>
        <v>UND</v>
      </c>
      <c r="H672" s="176">
        <f>+_xlfn.XLOOKUP(E672,'BASE DATOS PRECIOS '!E:E,'BASE DATOS PRECIOS '!H:H)</f>
        <v>154.48229999999998</v>
      </c>
      <c r="I672" s="175"/>
      <c r="J672" s="175"/>
      <c r="K672" s="176">
        <f t="shared" si="416"/>
        <v>463.44689999999991</v>
      </c>
      <c r="L672" s="176">
        <f t="shared" si="417"/>
        <v>0</v>
      </c>
      <c r="M672" s="176">
        <f t="shared" si="418"/>
        <v>0</v>
      </c>
      <c r="N672" s="176">
        <f t="shared" si="419"/>
        <v>463.44689999999991</v>
      </c>
      <c r="O672" s="1095">
        <f t="shared" si="420"/>
        <v>0.89989689320388333</v>
      </c>
    </row>
    <row r="673" spans="1:15" x14ac:dyDescent="0.2">
      <c r="A673" s="303"/>
      <c r="B673" s="833">
        <f t="shared" si="409"/>
        <v>3.1</v>
      </c>
      <c r="C673" s="303" t="s">
        <v>2005</v>
      </c>
      <c r="D673" s="822"/>
      <c r="E673" s="161" t="str">
        <f>+_xlfn.XLOOKUP(C673,'BASE DATOS PRECIOS '!B:B,'BASE DATOS PRECIOS '!E:E)</f>
        <v>CONECTOR DERIVADOR 12-10 AWG IDC 562 562 AMARILLO</v>
      </c>
      <c r="F673" s="174">
        <f>'3.1_ELEC'!E140</f>
        <v>50</v>
      </c>
      <c r="G673" s="175" t="str">
        <f>+_xlfn.XLOOKUP(C673,'BASE DATOS PRECIOS '!B:B,'BASE DATOS PRECIOS '!F:F)</f>
        <v>CAJA</v>
      </c>
      <c r="H673" s="176">
        <f>+_xlfn.XLOOKUP(E673,'BASE DATOS PRECIOS '!E:E,'BASE DATOS PRECIOS '!H:H)</f>
        <v>116.69509999999998</v>
      </c>
      <c r="I673" s="175"/>
      <c r="J673" s="175"/>
      <c r="K673" s="176">
        <f t="shared" si="416"/>
        <v>5834.7549999999992</v>
      </c>
      <c r="L673" s="176">
        <f t="shared" si="417"/>
        <v>0</v>
      </c>
      <c r="M673" s="176">
        <f t="shared" si="418"/>
        <v>0</v>
      </c>
      <c r="N673" s="176">
        <f t="shared" si="419"/>
        <v>5834.7549999999992</v>
      </c>
      <c r="O673" s="1095">
        <f t="shared" si="420"/>
        <v>11.329621359223299</v>
      </c>
    </row>
    <row r="674" spans="1:15" x14ac:dyDescent="0.2">
      <c r="A674" s="303"/>
      <c r="B674" s="833">
        <f t="shared" si="409"/>
        <v>3.1</v>
      </c>
      <c r="C674" s="303" t="s">
        <v>2318</v>
      </c>
      <c r="D674" s="822"/>
      <c r="E674" s="161" t="str">
        <f>+_xlfn.XLOOKUP(C674,'BASE DATOS PRECIOS '!B:B,'BASE DATOS PRECIOS '!E:E)</f>
        <v>CONECTOR RESORTE ROJO</v>
      </c>
      <c r="F674" s="174">
        <f>'3.1_ELEC'!E141</f>
        <v>25</v>
      </c>
      <c r="G674" s="175" t="str">
        <f>+_xlfn.XLOOKUP(C674,'BASE DATOS PRECIOS '!B:B,'BASE DATOS PRECIOS '!F:F)</f>
        <v>UND</v>
      </c>
      <c r="H674" s="176">
        <f>+_xlfn.XLOOKUP(E674,'BASE DATOS PRECIOS '!E:E,'BASE DATOS PRECIOS '!H:H)</f>
        <v>108.00539999999999</v>
      </c>
      <c r="I674" s="175"/>
      <c r="J674" s="175"/>
      <c r="K674" s="176">
        <f t="shared" si="416"/>
        <v>2700.1349999999998</v>
      </c>
      <c r="L674" s="176">
        <f t="shared" si="417"/>
        <v>0</v>
      </c>
      <c r="M674" s="176">
        <f t="shared" si="418"/>
        <v>0</v>
      </c>
      <c r="N674" s="176">
        <f t="shared" si="419"/>
        <v>2700.1349999999998</v>
      </c>
      <c r="O674" s="1095">
        <f t="shared" si="420"/>
        <v>5.2429805825242717</v>
      </c>
    </row>
    <row r="675" spans="1:15" x14ac:dyDescent="0.2">
      <c r="A675" s="303"/>
      <c r="B675" s="833">
        <f t="shared" si="409"/>
        <v>3.1</v>
      </c>
      <c r="C675" s="303" t="s">
        <v>2320</v>
      </c>
      <c r="D675" s="822"/>
      <c r="E675" s="161" t="str">
        <f>+_xlfn.XLOOKUP(C675,'BASE DATOS PRECIOS '!B:B,'BASE DATOS PRECIOS '!E:E)</f>
        <v>TAPE NEGRO SUPER 33+3M 19MM</v>
      </c>
      <c r="F675" s="174">
        <f>'3.1_ELEC'!E142</f>
        <v>1</v>
      </c>
      <c r="G675" s="175" t="str">
        <f>+_xlfn.XLOOKUP(C675,'BASE DATOS PRECIOS '!B:B,'BASE DATOS PRECIOS '!F:F)</f>
        <v>UND</v>
      </c>
      <c r="H675" s="176">
        <f>+_xlfn.XLOOKUP(E675,'BASE DATOS PRECIOS '!E:E,'BASE DATOS PRECIOS '!H:H)</f>
        <v>2530.8044999999997</v>
      </c>
      <c r="I675" s="175"/>
      <c r="J675" s="175"/>
      <c r="K675" s="176">
        <f t="shared" si="416"/>
        <v>2530.8044999999997</v>
      </c>
      <c r="L675" s="176">
        <f t="shared" si="417"/>
        <v>0</v>
      </c>
      <c r="M675" s="176">
        <f t="shared" si="418"/>
        <v>0</v>
      </c>
      <c r="N675" s="176">
        <f t="shared" si="419"/>
        <v>2530.8044999999997</v>
      </c>
      <c r="O675" s="1095">
        <f t="shared" si="420"/>
        <v>4.9141834951456307</v>
      </c>
    </row>
    <row r="676" spans="1:15" x14ac:dyDescent="0.2">
      <c r="A676" s="303"/>
      <c r="B676" s="833">
        <f t="shared" si="409"/>
        <v>3.1</v>
      </c>
      <c r="C676" s="303" t="s">
        <v>2312</v>
      </c>
      <c r="D676" s="822" t="s">
        <v>24</v>
      </c>
      <c r="E676" s="161" t="str">
        <f>+_xlfn.XLOOKUP(C676,'BASE DATOS PRECIOS '!B:B,'BASE DATOS PRECIOS '!E:E)</f>
        <v>CABLE #12</v>
      </c>
      <c r="F676" s="174">
        <f>'3.1_ELEC'!E143</f>
        <v>200</v>
      </c>
      <c r="G676" s="175" t="str">
        <f>+_xlfn.XLOOKUP(C676,'BASE DATOS PRECIOS '!B:B,'BASE DATOS PRECIOS '!F:F)</f>
        <v>M</v>
      </c>
      <c r="H676" s="176">
        <f>+_xlfn.XLOOKUP(E676,'BASE DATOS PRECIOS '!E:E,'BASE DATOS PRECIOS '!H:H)</f>
        <v>265.54999999999995</v>
      </c>
      <c r="I676" s="175"/>
      <c r="J676" s="175"/>
      <c r="K676" s="176">
        <f t="shared" si="416"/>
        <v>53109.999999999993</v>
      </c>
      <c r="L676" s="176">
        <f t="shared" si="417"/>
        <v>0</v>
      </c>
      <c r="M676" s="176">
        <f t="shared" si="418"/>
        <v>0</v>
      </c>
      <c r="N676" s="176">
        <f t="shared" si="419"/>
        <v>53109.999999999993</v>
      </c>
      <c r="O676" s="1095">
        <f t="shared" si="420"/>
        <v>103.126213592233</v>
      </c>
    </row>
    <row r="677" spans="1:15" x14ac:dyDescent="0.2">
      <c r="A677" s="303"/>
      <c r="B677" s="833">
        <f t="shared" si="409"/>
        <v>3.1</v>
      </c>
      <c r="C677" s="781" t="s">
        <v>2312</v>
      </c>
      <c r="D677" s="821" t="s">
        <v>109</v>
      </c>
      <c r="E677" s="161" t="str">
        <f>+_xlfn.XLOOKUP(C677,'BASE DATOS PRECIOS '!B:B,'BASE DATOS PRECIOS '!E:E)</f>
        <v>CABLE #12</v>
      </c>
      <c r="F677" s="174">
        <f>'3.1_ELEC'!E144</f>
        <v>200</v>
      </c>
      <c r="G677" s="175" t="str">
        <f>+_xlfn.XLOOKUP(C677,'BASE DATOS PRECIOS '!B:B,'BASE DATOS PRECIOS '!F:F)</f>
        <v>M</v>
      </c>
      <c r="H677" s="176">
        <f>+_xlfn.XLOOKUP(E677,'BASE DATOS PRECIOS '!E:E,'BASE DATOS PRECIOS '!H:H)</f>
        <v>265.54999999999995</v>
      </c>
      <c r="I677" s="175"/>
      <c r="J677" s="175"/>
      <c r="K677" s="176">
        <f t="shared" si="416"/>
        <v>53109.999999999993</v>
      </c>
      <c r="L677" s="176">
        <f t="shared" si="417"/>
        <v>0</v>
      </c>
      <c r="M677" s="176">
        <f t="shared" si="418"/>
        <v>0</v>
      </c>
      <c r="N677" s="176">
        <f t="shared" si="419"/>
        <v>53109.999999999993</v>
      </c>
      <c r="O677" s="1095">
        <f t="shared" si="420"/>
        <v>103.126213592233</v>
      </c>
    </row>
    <row r="678" spans="1:15" x14ac:dyDescent="0.2">
      <c r="A678" s="303"/>
      <c r="B678" s="833">
        <f t="shared" si="409"/>
        <v>3.1</v>
      </c>
      <c r="C678" s="303" t="s">
        <v>2312</v>
      </c>
      <c r="D678" s="822" t="s">
        <v>126</v>
      </c>
      <c r="E678" s="161" t="str">
        <f>+_xlfn.XLOOKUP(C678,'BASE DATOS PRECIOS '!B:B,'BASE DATOS PRECIOS '!E:E)</f>
        <v>CABLE #12</v>
      </c>
      <c r="F678" s="174">
        <f>'3.1_ELEC'!E145</f>
        <v>200</v>
      </c>
      <c r="G678" s="175" t="str">
        <f>+_xlfn.XLOOKUP(C678,'BASE DATOS PRECIOS '!B:B,'BASE DATOS PRECIOS '!F:F)</f>
        <v>M</v>
      </c>
      <c r="H678" s="176">
        <f>+_xlfn.XLOOKUP(E678,'BASE DATOS PRECIOS '!E:E,'BASE DATOS PRECIOS '!H:H)</f>
        <v>265.54999999999995</v>
      </c>
      <c r="I678" s="175"/>
      <c r="J678" s="175"/>
      <c r="K678" s="176">
        <f t="shared" ref="K678:K687" si="421">+F678*H678</f>
        <v>53109.999999999993</v>
      </c>
      <c r="L678" s="176">
        <f t="shared" ref="L678:L687" si="422">+F678*I678</f>
        <v>0</v>
      </c>
      <c r="M678" s="176">
        <f t="shared" ref="M678:M687" si="423">+F678*J678</f>
        <v>0</v>
      </c>
      <c r="N678" s="176">
        <f t="shared" ref="N678:N687" si="424">SUM(K678:M678)</f>
        <v>53109.999999999993</v>
      </c>
      <c r="O678" s="1095">
        <f t="shared" ref="O678:O687" si="425">SUM(K678:M678)/tc</f>
        <v>103.126213592233</v>
      </c>
    </row>
    <row r="679" spans="1:15" x14ac:dyDescent="0.2">
      <c r="A679" s="303"/>
      <c r="B679" s="833">
        <f t="shared" si="409"/>
        <v>3.1</v>
      </c>
      <c r="C679" s="303" t="s">
        <v>2312</v>
      </c>
      <c r="D679" s="822" t="s">
        <v>140</v>
      </c>
      <c r="E679" s="161" t="str">
        <f>+_xlfn.XLOOKUP(C679,'BASE DATOS PRECIOS '!B:B,'BASE DATOS PRECIOS '!E:E)</f>
        <v>CABLE #12</v>
      </c>
      <c r="F679" s="174">
        <f>'3.1_ELEC'!E146</f>
        <v>200</v>
      </c>
      <c r="G679" s="175" t="str">
        <f>+_xlfn.XLOOKUP(C679,'BASE DATOS PRECIOS '!B:B,'BASE DATOS PRECIOS '!F:F)</f>
        <v>M</v>
      </c>
      <c r="H679" s="176">
        <f>+_xlfn.XLOOKUP(E679,'BASE DATOS PRECIOS '!E:E,'BASE DATOS PRECIOS '!H:H)</f>
        <v>265.54999999999995</v>
      </c>
      <c r="I679" s="175"/>
      <c r="J679" s="175"/>
      <c r="K679" s="176">
        <f t="shared" si="421"/>
        <v>53109.999999999993</v>
      </c>
      <c r="L679" s="176">
        <f t="shared" si="422"/>
        <v>0</v>
      </c>
      <c r="M679" s="176">
        <f t="shared" si="423"/>
        <v>0</v>
      </c>
      <c r="N679" s="176">
        <f t="shared" si="424"/>
        <v>53109.999999999993</v>
      </c>
      <c r="O679" s="1095">
        <f t="shared" si="425"/>
        <v>103.126213592233</v>
      </c>
    </row>
    <row r="680" spans="1:15" x14ac:dyDescent="0.2">
      <c r="A680" s="303"/>
      <c r="B680" s="833">
        <f t="shared" si="409"/>
        <v>3.1</v>
      </c>
      <c r="C680" s="303" t="s">
        <v>2324</v>
      </c>
      <c r="D680" s="822"/>
      <c r="E680" s="161" t="str">
        <f>+_xlfn.XLOOKUP(C680,'BASE DATOS PRECIOS '!B:B,'BASE DATOS PRECIOS '!E:E)</f>
        <v>CONECTOR TSJ 1/2-3/8 EMT</v>
      </c>
      <c r="F680" s="174">
        <f>'3.1_ELEC'!E147</f>
        <v>10</v>
      </c>
      <c r="G680" s="175" t="str">
        <f>+_xlfn.XLOOKUP(C680,'BASE DATOS PRECIOS '!B:B,'BASE DATOS PRECIOS '!F:F)</f>
        <v>UND</v>
      </c>
      <c r="H680" s="176">
        <f>+_xlfn.XLOOKUP(E680,'BASE DATOS PRECIOS '!E:E,'BASE DATOS PRECIOS '!H:H)</f>
        <v>91.529999999999987</v>
      </c>
      <c r="I680" s="175"/>
      <c r="J680" s="175"/>
      <c r="K680" s="176">
        <f t="shared" si="421"/>
        <v>915.29999999999984</v>
      </c>
      <c r="L680" s="176">
        <f t="shared" si="422"/>
        <v>0</v>
      </c>
      <c r="M680" s="176">
        <f t="shared" si="423"/>
        <v>0</v>
      </c>
      <c r="N680" s="176">
        <f t="shared" si="424"/>
        <v>915.29999999999984</v>
      </c>
      <c r="O680" s="1095">
        <f t="shared" si="425"/>
        <v>1.7772815533980579</v>
      </c>
    </row>
    <row r="681" spans="1:15" x14ac:dyDescent="0.2">
      <c r="A681" s="303"/>
      <c r="B681" s="833">
        <f t="shared" si="409"/>
        <v>3.1</v>
      </c>
      <c r="C681" s="303" t="s">
        <v>2319</v>
      </c>
      <c r="D681" s="822"/>
      <c r="E681" s="161" t="str">
        <f>+_xlfn.XLOOKUP(C681,'BASE DATOS PRECIOS '!B:B,'BASE DATOS PRECIOS '!E:E)</f>
        <v>CONECTOR RESORTE AMARILLO</v>
      </c>
      <c r="F681" s="174">
        <f>'3.1_ELEC'!E148</f>
        <v>50</v>
      </c>
      <c r="G681" s="175" t="str">
        <f>+_xlfn.XLOOKUP(C681,'BASE DATOS PRECIOS '!B:B,'BASE DATOS PRECIOS '!F:F)</f>
        <v>CAJA</v>
      </c>
      <c r="H681" s="176">
        <f>+_xlfn.XLOOKUP(E681,'BASE DATOS PRECIOS '!E:E,'BASE DATOS PRECIOS '!H:H)</f>
        <v>89.699399999999983</v>
      </c>
      <c r="I681" s="175"/>
      <c r="J681" s="175"/>
      <c r="K681" s="176">
        <f t="shared" si="421"/>
        <v>4484.9699999999993</v>
      </c>
      <c r="L681" s="176">
        <f t="shared" si="422"/>
        <v>0</v>
      </c>
      <c r="M681" s="176">
        <f t="shared" si="423"/>
        <v>0</v>
      </c>
      <c r="N681" s="176">
        <f t="shared" si="424"/>
        <v>4484.9699999999993</v>
      </c>
      <c r="O681" s="1095">
        <f t="shared" si="425"/>
        <v>8.708679611650485</v>
      </c>
    </row>
    <row r="682" spans="1:15" x14ac:dyDescent="0.2">
      <c r="A682" s="303"/>
      <c r="B682" s="833">
        <f t="shared" si="409"/>
        <v>3.1</v>
      </c>
      <c r="C682" s="781" t="s">
        <v>2293</v>
      </c>
      <c r="D682" s="821"/>
      <c r="E682" s="161" t="str">
        <f>+_xlfn.XLOOKUP(C682,'BASE DATOS PRECIOS '!B:B,'BASE DATOS PRECIOS '!E:E)</f>
        <v>GAS  BUTANO PARA SOPLETE </v>
      </c>
      <c r="F682" s="174">
        <f>'3.1_ELEC'!E149</f>
        <v>1</v>
      </c>
      <c r="G682" s="175" t="str">
        <f>+_xlfn.XLOOKUP(C682,'BASE DATOS PRECIOS '!B:B,'BASE DATOS PRECIOS '!F:F)</f>
        <v>UND</v>
      </c>
      <c r="H682" s="176">
        <f>+_xlfn.XLOOKUP(E682,'BASE DATOS PRECIOS '!E:E,'BASE DATOS PRECIOS '!H:H)</f>
        <v>1606.6678999999997</v>
      </c>
      <c r="I682" s="175"/>
      <c r="J682" s="175"/>
      <c r="K682" s="176">
        <f t="shared" si="421"/>
        <v>1606.6678999999997</v>
      </c>
      <c r="L682" s="176">
        <f t="shared" si="422"/>
        <v>0</v>
      </c>
      <c r="M682" s="176">
        <f t="shared" si="423"/>
        <v>0</v>
      </c>
      <c r="N682" s="176">
        <f t="shared" si="424"/>
        <v>1606.6678999999997</v>
      </c>
      <c r="O682" s="1095">
        <f t="shared" si="425"/>
        <v>3.1197434951456304</v>
      </c>
    </row>
    <row r="683" spans="1:15" x14ac:dyDescent="0.2">
      <c r="A683" s="303"/>
      <c r="B683" s="833">
        <f t="shared" si="409"/>
        <v>3.1</v>
      </c>
      <c r="C683" s="303" t="s">
        <v>2186</v>
      </c>
      <c r="D683" s="822"/>
      <c r="E683" s="161" t="str">
        <f>+_xlfn.XLOOKUP(C683,'BASE DATOS PRECIOS '!B:B,'BASE DATOS PRECIOS '!E:E)</f>
        <v>REGLA SEMIDURO 1X3X4 SIN CEPILLAR</v>
      </c>
      <c r="F683" s="174">
        <f>'3.1_ELEC'!E150</f>
        <v>0</v>
      </c>
      <c r="G683" s="175" t="str">
        <f>+_xlfn.XLOOKUP(C683,'BASE DATOS PRECIOS '!B:B,'BASE DATOS PRECIOS '!F:F)</f>
        <v>UND</v>
      </c>
      <c r="H683" s="176">
        <f>+_xlfn.XLOOKUP(E683,'BASE DATOS PRECIOS '!E:E,'BASE DATOS PRECIOS '!H:H)</f>
        <v>1524.9914999999999</v>
      </c>
      <c r="I683" s="175"/>
      <c r="J683" s="175"/>
      <c r="K683" s="176">
        <f t="shared" si="421"/>
        <v>0</v>
      </c>
      <c r="L683" s="176">
        <f t="shared" si="422"/>
        <v>0</v>
      </c>
      <c r="M683" s="176">
        <f t="shared" si="423"/>
        <v>0</v>
      </c>
      <c r="N683" s="176">
        <f t="shared" si="424"/>
        <v>0</v>
      </c>
      <c r="O683" s="1095">
        <f t="shared" si="425"/>
        <v>0</v>
      </c>
    </row>
    <row r="684" spans="1:15" x14ac:dyDescent="0.2">
      <c r="A684" s="303"/>
      <c r="B684" s="833">
        <f t="shared" si="409"/>
        <v>3.1</v>
      </c>
      <c r="C684" s="303" t="s">
        <v>3280</v>
      </c>
      <c r="D684" s="822"/>
      <c r="E684" s="161" t="str">
        <f>+_xlfn.XLOOKUP(C684,'BASE DATOS PRECIOS '!B:B,'BASE DATOS PRECIOS '!E:E)</f>
        <v>TORNILLO 8X1 1/4 P/BROCA</v>
      </c>
      <c r="F684" s="174">
        <f>'3.1_ELEC'!E151</f>
        <v>100</v>
      </c>
      <c r="G684" s="175" t="str">
        <f>+_xlfn.XLOOKUP(C684,'BASE DATOS PRECIOS '!B:B,'BASE DATOS PRECIOS '!F:F)</f>
        <v>UND</v>
      </c>
      <c r="H684" s="176">
        <f>+_xlfn.XLOOKUP(E684,'BASE DATOS PRECIOS '!E:E,'BASE DATOS PRECIOS '!H:H)</f>
        <v>14.5</v>
      </c>
      <c r="I684" s="175"/>
      <c r="J684" s="175"/>
      <c r="K684" s="176">
        <f t="shared" si="421"/>
        <v>1450</v>
      </c>
      <c r="L684" s="176">
        <f t="shared" si="422"/>
        <v>0</v>
      </c>
      <c r="M684" s="176">
        <f t="shared" si="423"/>
        <v>0</v>
      </c>
      <c r="N684" s="176">
        <f t="shared" si="424"/>
        <v>1450</v>
      </c>
      <c r="O684" s="1095">
        <f t="shared" si="425"/>
        <v>2.8155339805825244</v>
      </c>
    </row>
    <row r="685" spans="1:15" x14ac:dyDescent="0.2">
      <c r="A685" s="303"/>
      <c r="B685" s="833">
        <f t="shared" si="409"/>
        <v>3.1</v>
      </c>
      <c r="C685" s="303" t="s">
        <v>2289</v>
      </c>
      <c r="D685" s="822"/>
      <c r="E685" s="161" t="str">
        <f>+_xlfn.XLOOKUP(C685,'BASE DATOS PRECIOS '!B:B,'BASE DATOS PRECIOS '!E:E)</f>
        <v>TUBO CONDUIT 3/4 UL</v>
      </c>
      <c r="F685" s="174">
        <f>'3.1_ELEC'!E152</f>
        <v>2</v>
      </c>
      <c r="G685" s="175" t="str">
        <f>+_xlfn.XLOOKUP(C685,'BASE DATOS PRECIOS '!B:B,'BASE DATOS PRECIOS '!F:F)</f>
        <v>UND</v>
      </c>
      <c r="H685" s="176">
        <f>+_xlfn.XLOOKUP(E685,'BASE DATOS PRECIOS '!E:E,'BASE DATOS PRECIOS '!H:H)</f>
        <v>1096.3824999999999</v>
      </c>
      <c r="I685" s="175"/>
      <c r="J685" s="175"/>
      <c r="K685" s="176">
        <f t="shared" si="421"/>
        <v>2192.7649999999999</v>
      </c>
      <c r="L685" s="176">
        <f t="shared" si="422"/>
        <v>0</v>
      </c>
      <c r="M685" s="176">
        <f t="shared" si="423"/>
        <v>0</v>
      </c>
      <c r="N685" s="176">
        <f t="shared" si="424"/>
        <v>2192.7649999999999</v>
      </c>
      <c r="O685" s="1095">
        <f t="shared" si="425"/>
        <v>4.2577961165048537</v>
      </c>
    </row>
    <row r="686" spans="1:15" x14ac:dyDescent="0.2">
      <c r="A686" s="303"/>
      <c r="B686" s="833">
        <f t="shared" si="409"/>
        <v>3.1</v>
      </c>
      <c r="C686" s="303" t="s">
        <v>2291</v>
      </c>
      <c r="D686" s="822"/>
      <c r="E686" s="161" t="str">
        <f>+_xlfn.XLOOKUP(C686,'BASE DATOS PRECIOS '!B:B,'BASE DATOS PRECIOS '!E:E)</f>
        <v>CONECTOR CONDUIT 3/4 UL</v>
      </c>
      <c r="F686" s="174">
        <f>'3.1_ELEC'!E153</f>
        <v>4</v>
      </c>
      <c r="G686" s="175" t="str">
        <f>+_xlfn.XLOOKUP(C686,'BASE DATOS PRECIOS '!B:B,'BASE DATOS PRECIOS '!F:F)</f>
        <v>UND</v>
      </c>
      <c r="H686" s="176">
        <f>+_xlfn.XLOOKUP(E686,'BASE DATOS PRECIOS '!E:E,'BASE DATOS PRECIOS '!H:H)</f>
        <v>119.49749999999999</v>
      </c>
      <c r="I686" s="175"/>
      <c r="J686" s="175"/>
      <c r="K686" s="176">
        <f t="shared" si="421"/>
        <v>477.98999999999995</v>
      </c>
      <c r="L686" s="176">
        <f t="shared" si="422"/>
        <v>0</v>
      </c>
      <c r="M686" s="176">
        <f t="shared" si="423"/>
        <v>0</v>
      </c>
      <c r="N686" s="176">
        <f t="shared" si="424"/>
        <v>477.98999999999995</v>
      </c>
      <c r="O686" s="1095">
        <f t="shared" si="425"/>
        <v>0.92813592233009701</v>
      </c>
    </row>
    <row r="687" spans="1:15" x14ac:dyDescent="0.2">
      <c r="A687" s="1074"/>
      <c r="B687" s="833">
        <f t="shared" si="409"/>
        <v>3.1</v>
      </c>
      <c r="C687" s="781" t="s">
        <v>2290</v>
      </c>
      <c r="D687" s="821"/>
      <c r="E687" s="161" t="str">
        <f>+_xlfn.XLOOKUP(C687,'BASE DATOS PRECIOS '!B:B,'BASE DATOS PRECIOS '!E:E)</f>
        <v>UNION CONDUIT 3/4 UL</v>
      </c>
      <c r="F687" s="174">
        <f>'3.1_ELEC'!E154</f>
        <v>2</v>
      </c>
      <c r="G687" s="175" t="str">
        <f>+_xlfn.XLOOKUP(C687,'BASE DATOS PRECIOS '!B:B,'BASE DATOS PRECIOS '!F:F)</f>
        <v>UND</v>
      </c>
      <c r="H687" s="176">
        <f>+_xlfn.XLOOKUP(E687,'BASE DATOS PRECIOS '!E:E,'BASE DATOS PRECIOS '!H:H)</f>
        <v>106.785</v>
      </c>
      <c r="I687" s="175"/>
      <c r="J687" s="175"/>
      <c r="K687" s="176">
        <f t="shared" si="421"/>
        <v>213.57</v>
      </c>
      <c r="L687" s="176">
        <f t="shared" si="422"/>
        <v>0</v>
      </c>
      <c r="M687" s="176">
        <f t="shared" si="423"/>
        <v>0</v>
      </c>
      <c r="N687" s="176">
        <f t="shared" si="424"/>
        <v>213.57</v>
      </c>
      <c r="O687" s="1095">
        <f t="shared" si="425"/>
        <v>0.41469902912621359</v>
      </c>
    </row>
    <row r="688" spans="1:15" x14ac:dyDescent="0.2">
      <c r="A688" s="303"/>
      <c r="B688" s="833">
        <f t="shared" si="409"/>
        <v>3.1</v>
      </c>
      <c r="C688" s="303" t="s">
        <v>1998</v>
      </c>
      <c r="D688" s="822"/>
      <c r="E688" s="161" t="str">
        <f>+_xlfn.XLOOKUP(C688,'BASE DATOS PRECIOS '!B:B,'BASE DATOS PRECIOS '!E:E)</f>
        <v>CURVA CONDUIT 3/4 UL</v>
      </c>
      <c r="F688" s="174">
        <f>'3.1_ELEC'!E155</f>
        <v>4</v>
      </c>
      <c r="G688" s="175" t="str">
        <f>+_xlfn.XLOOKUP(C688,'BASE DATOS PRECIOS '!B:B,'BASE DATOS PRECIOS '!F:F)</f>
        <v>UND</v>
      </c>
      <c r="H688" s="176">
        <f>+_xlfn.XLOOKUP(E688,'BASE DATOS PRECIOS '!E:E,'BASE DATOS PRECIOS '!H:H)</f>
        <v>401.15</v>
      </c>
      <c r="I688" s="175"/>
      <c r="J688" s="175"/>
      <c r="K688" s="176">
        <f t="shared" ref="K688:K690" si="426">+F688*H688</f>
        <v>1604.6</v>
      </c>
      <c r="L688" s="176">
        <f t="shared" ref="L688:L690" si="427">+F688*I688</f>
        <v>0</v>
      </c>
      <c r="M688" s="176">
        <f t="shared" ref="M688:M690" si="428">+F688*J688</f>
        <v>0</v>
      </c>
      <c r="N688" s="176">
        <f t="shared" ref="N688:N690" si="429">SUM(K688:M688)</f>
        <v>1604.6</v>
      </c>
      <c r="O688" s="1095">
        <f t="shared" ref="O688:O690" si="430">SUM(K688:M688)/tc</f>
        <v>3.1157281553398057</v>
      </c>
    </row>
    <row r="689" spans="1:15" x14ac:dyDescent="0.2">
      <c r="A689" s="303"/>
      <c r="B689" s="833">
        <f t="shared" si="409"/>
        <v>3.1</v>
      </c>
      <c r="C689" s="303" t="s">
        <v>2484</v>
      </c>
      <c r="D689" s="822"/>
      <c r="E689" s="161" t="str">
        <f>+_xlfn.XLOOKUP(C689,'BASE DATOS PRECIOS '!B:B,'BASE DATOS PRECIOS '!E:E)</f>
        <v>CAJA CUADRADA EMT 4X4 DOBLE FONDO CON HUECO DE 3/4-1/2</v>
      </c>
      <c r="F689" s="174">
        <f>'3.1_ELEC'!E156</f>
        <v>4</v>
      </c>
      <c r="G689" s="175" t="str">
        <f>+_xlfn.XLOOKUP(C689,'BASE DATOS PRECIOS '!B:B,'BASE DATOS PRECIOS '!F:F)</f>
        <v>UND</v>
      </c>
      <c r="H689" s="176">
        <f>+_xlfn.XLOOKUP(E689,'BASE DATOS PRECIOS '!E:E,'BASE DATOS PRECIOS '!H:H)</f>
        <v>355.95</v>
      </c>
      <c r="I689" s="175"/>
      <c r="J689" s="175"/>
      <c r="K689" s="176">
        <f t="shared" si="426"/>
        <v>1423.8</v>
      </c>
      <c r="L689" s="176">
        <f t="shared" si="427"/>
        <v>0</v>
      </c>
      <c r="M689" s="176">
        <f t="shared" si="428"/>
        <v>0</v>
      </c>
      <c r="N689" s="176">
        <f t="shared" si="429"/>
        <v>1423.8</v>
      </c>
      <c r="O689" s="1095">
        <f t="shared" si="430"/>
        <v>2.7646601941747573</v>
      </c>
    </row>
    <row r="690" spans="1:15" x14ac:dyDescent="0.2">
      <c r="A690" s="303"/>
      <c r="B690" s="833">
        <f t="shared" si="409"/>
        <v>3.1</v>
      </c>
      <c r="C690" s="303" t="s">
        <v>3281</v>
      </c>
      <c r="D690" s="822"/>
      <c r="E690" s="161" t="str">
        <f>+_xlfn.XLOOKUP(C690,'BASE DATOS PRECIOS '!B:B,'BASE DATOS PRECIOS '!E:E)</f>
        <v>TORNILLO GYPSUM 1 1/4"</v>
      </c>
      <c r="F690" s="174">
        <f>'3.1_ELEC'!E157</f>
        <v>100</v>
      </c>
      <c r="G690" s="175" t="str">
        <f>+_xlfn.XLOOKUP(C690,'BASE DATOS PRECIOS '!B:B,'BASE DATOS PRECIOS '!F:F)</f>
        <v>UND</v>
      </c>
      <c r="H690" s="176">
        <f>+_xlfn.XLOOKUP(E690,'BASE DATOS PRECIOS '!E:E,'BASE DATOS PRECIOS '!H:H)</f>
        <v>5.4999999999999991</v>
      </c>
      <c r="I690" s="175"/>
      <c r="J690" s="175"/>
      <c r="K690" s="176">
        <f t="shared" si="426"/>
        <v>549.99999999999989</v>
      </c>
      <c r="L690" s="176">
        <f t="shared" si="427"/>
        <v>0</v>
      </c>
      <c r="M690" s="176">
        <f t="shared" si="428"/>
        <v>0</v>
      </c>
      <c r="N690" s="176">
        <f t="shared" si="429"/>
        <v>549.99999999999989</v>
      </c>
      <c r="O690" s="1095">
        <f t="shared" si="430"/>
        <v>1.0679611650485434</v>
      </c>
    </row>
    <row r="691" spans="1:15" x14ac:dyDescent="0.2">
      <c r="A691" s="303"/>
      <c r="B691" s="833">
        <f t="shared" si="409"/>
        <v>3.1</v>
      </c>
      <c r="C691" s="303" t="s">
        <v>1987</v>
      </c>
      <c r="D691" s="822"/>
      <c r="E691" s="161" t="str">
        <f>+_xlfn.XLOOKUP(C691,'BASE DATOS PRECIOS '!B:B,'BASE DATOS PRECIOS '!E:E)</f>
        <v>CAJA RECTANGULAR EMT CON HUECO DE 1/2 Y 3/4 UL</v>
      </c>
      <c r="F691" s="174">
        <f>'3.1_ELEC'!E158</f>
        <v>6</v>
      </c>
      <c r="G691" s="175" t="str">
        <f>+_xlfn.XLOOKUP(C691,'BASE DATOS PRECIOS '!B:B,'BASE DATOS PRECIOS '!F:F)</f>
        <v>UND</v>
      </c>
      <c r="H691" s="176">
        <f>+_xlfn.XLOOKUP(E691,'BASE DATOS PRECIOS '!E:E,'BASE DATOS PRECIOS '!H:H)</f>
        <v>764.99869999999999</v>
      </c>
      <c r="I691" s="175"/>
      <c r="J691" s="175"/>
      <c r="K691" s="176">
        <f t="shared" ref="K691" si="431">+F691*H691</f>
        <v>4589.9921999999997</v>
      </c>
      <c r="L691" s="176">
        <f t="shared" ref="L691:L692" si="432">+F691*I691</f>
        <v>0</v>
      </c>
      <c r="M691" s="176">
        <f t="shared" ref="M691:M692" si="433">+F691*J691</f>
        <v>0</v>
      </c>
      <c r="N691" s="176">
        <f t="shared" ref="N691:N692" si="434">SUM(K691:M691)</f>
        <v>4589.9921999999997</v>
      </c>
      <c r="O691" s="1095">
        <f t="shared" ref="O691:O692" si="435">SUM(K691:M691)/tc</f>
        <v>8.9126062135922322</v>
      </c>
    </row>
    <row r="692" spans="1:15" x14ac:dyDescent="0.2">
      <c r="A692" s="303"/>
      <c r="B692" s="833">
        <f t="shared" si="409"/>
        <v>3.1</v>
      </c>
      <c r="C692" s="303" t="s">
        <v>2313</v>
      </c>
      <c r="D692" s="822" t="s">
        <v>3514</v>
      </c>
      <c r="E692" s="161" t="str">
        <f>+_xlfn.XLOOKUP(C692,'BASE DATOS PRECIOS '!B:B,'BASE DATOS PRECIOS '!E:E)</f>
        <v>CABLE #10</v>
      </c>
      <c r="F692" s="174">
        <f>'3.1_ELEC'!E159</f>
        <v>35</v>
      </c>
      <c r="G692" s="175" t="str">
        <f>+_xlfn.XLOOKUP(C692,'BASE DATOS PRECIOS '!B:B,'BASE DATOS PRECIOS '!F:F)</f>
        <v>M</v>
      </c>
      <c r="H692" s="176">
        <f>+_xlfn.XLOOKUP(E692,'BASE DATOS PRECIOS '!E:E,'BASE DATOS PRECIOS '!H:H)</f>
        <v>463.29999999999995</v>
      </c>
      <c r="I692" s="175"/>
      <c r="J692" s="175"/>
      <c r="K692" s="176">
        <f>+F692*H692</f>
        <v>16215.499999999998</v>
      </c>
      <c r="L692" s="176">
        <f t="shared" si="432"/>
        <v>0</v>
      </c>
      <c r="M692" s="176">
        <f t="shared" si="433"/>
        <v>0</v>
      </c>
      <c r="N692" s="176">
        <f t="shared" si="434"/>
        <v>16215.499999999998</v>
      </c>
      <c r="O692" s="1095">
        <f t="shared" si="435"/>
        <v>31.486407766990286</v>
      </c>
    </row>
    <row r="693" spans="1:15" x14ac:dyDescent="0.2">
      <c r="A693" s="303"/>
      <c r="B693" s="833">
        <f t="shared" si="409"/>
        <v>3.1</v>
      </c>
      <c r="C693" s="774" t="s">
        <v>232</v>
      </c>
      <c r="D693" s="210"/>
      <c r="E693" s="211" t="str">
        <f>+_xlfn.XLOOKUP(C693,'BASE DATOS EQUIPOS Y SUBCONTRAT'!A:A,'BASE DATOS EQUIPOS Y SUBCONTRAT'!B:B)</f>
        <v>M.O. SALIDAS DE ILUMINACION</v>
      </c>
      <c r="F693" s="212">
        <v>1</v>
      </c>
      <c r="G693" s="213" t="str">
        <f>+_xlfn.XLOOKUP(C693,'BASE DATOS EQUIPOS Y SUBCONTRAT'!A:A,'BASE DATOS EQUIPOS Y SUBCONTRAT'!C:C)</f>
        <v xml:space="preserve">GLOBAL </v>
      </c>
      <c r="H693" s="214">
        <v>0</v>
      </c>
      <c r="I693" s="214"/>
      <c r="J693" s="214">
        <f>+'3.1_ELEC'!D161</f>
        <v>95000</v>
      </c>
      <c r="K693" s="214">
        <f t="shared" ref="K693:K695" si="436">+F693*H693</f>
        <v>0</v>
      </c>
      <c r="L693" s="214">
        <f t="shared" ref="L693:L695" si="437">+F693*I693</f>
        <v>0</v>
      </c>
      <c r="M693" s="214">
        <f t="shared" ref="M693:M695" si="438">+F693*J693</f>
        <v>95000</v>
      </c>
      <c r="N693" s="214">
        <f t="shared" ref="N693:N695" si="439">SUM(K693:M693)</f>
        <v>95000</v>
      </c>
      <c r="O693" s="1094">
        <f t="shared" ref="O693:O695" si="440">SUM(K693:M693)/tc</f>
        <v>184.46601941747574</v>
      </c>
    </row>
    <row r="694" spans="1:15" x14ac:dyDescent="0.2">
      <c r="A694" s="303"/>
      <c r="B694" s="833">
        <f t="shared" si="409"/>
        <v>3.1</v>
      </c>
      <c r="C694" s="774" t="s">
        <v>36</v>
      </c>
      <c r="D694" s="210"/>
      <c r="E694" s="211" t="str">
        <f>+_xlfn.XLOOKUP(C694,'BASE DATOS MANO DE OBRA'!A:A,'BASE DATOS MANO DE OBRA'!B:B)</f>
        <v xml:space="preserve">OPERARIO PLUS </v>
      </c>
      <c r="F694" s="212">
        <v>0</v>
      </c>
      <c r="G694" s="213" t="str">
        <f>+_xlfn.XLOOKUP(C694,'BASE DATOS MANO DE OBRA'!A:A,'BASE DATOS MANO DE OBRA'!C:C)</f>
        <v xml:space="preserve">hora </v>
      </c>
      <c r="H694" s="214">
        <v>0</v>
      </c>
      <c r="I694" s="214">
        <f>+_xlfn.XLOOKUP(C694,'BASE DATOS MANO DE OBRA'!A:A,'BASE DATOS MANO DE OBRA'!E:E)</f>
        <v>2850</v>
      </c>
      <c r="J694" s="214">
        <v>0</v>
      </c>
      <c r="K694" s="214">
        <f t="shared" si="436"/>
        <v>0</v>
      </c>
      <c r="L694" s="214">
        <f t="shared" si="437"/>
        <v>0</v>
      </c>
      <c r="M694" s="214">
        <f t="shared" si="438"/>
        <v>0</v>
      </c>
      <c r="N694" s="214">
        <f t="shared" si="439"/>
        <v>0</v>
      </c>
      <c r="O694" s="1086">
        <f t="shared" si="440"/>
        <v>0</v>
      </c>
    </row>
    <row r="695" spans="1:15" x14ac:dyDescent="0.2">
      <c r="A695" s="303"/>
      <c r="B695" s="833">
        <f t="shared" si="409"/>
        <v>3.1</v>
      </c>
      <c r="C695" s="774" t="s">
        <v>37</v>
      </c>
      <c r="D695" s="210"/>
      <c r="E695" s="211" t="str">
        <f>+_xlfn.XLOOKUP(C695,'BASE DATOS MANO DE OBRA'!A:A,'BASE DATOS MANO DE OBRA'!B:B)</f>
        <v xml:space="preserve">AYUDANTE PLUS </v>
      </c>
      <c r="F695" s="212">
        <v>0</v>
      </c>
      <c r="G695" s="213" t="str">
        <f>+_xlfn.XLOOKUP(C695,'BASE DATOS MANO DE OBRA'!A:A,'BASE DATOS MANO DE OBRA'!C:C)</f>
        <v xml:space="preserve">hora </v>
      </c>
      <c r="H695" s="214">
        <v>0</v>
      </c>
      <c r="I695" s="214">
        <f>+_xlfn.XLOOKUP(C695,'BASE DATOS MANO DE OBRA'!A:A,'BASE DATOS MANO DE OBRA'!E:E)</f>
        <v>2325</v>
      </c>
      <c r="J695" s="214">
        <v>0</v>
      </c>
      <c r="K695" s="214">
        <f t="shared" si="436"/>
        <v>0</v>
      </c>
      <c r="L695" s="214">
        <f t="shared" si="437"/>
        <v>0</v>
      </c>
      <c r="M695" s="214">
        <f t="shared" si="438"/>
        <v>0</v>
      </c>
      <c r="N695" s="214">
        <f t="shared" si="439"/>
        <v>0</v>
      </c>
      <c r="O695" s="1086">
        <f t="shared" si="440"/>
        <v>0</v>
      </c>
    </row>
    <row r="696" spans="1:15" s="49" customFormat="1" ht="18.600000000000001" customHeight="1" x14ac:dyDescent="0.2">
      <c r="A696" s="303"/>
      <c r="B696" s="833">
        <f t="shared" si="409"/>
        <v>3.1</v>
      </c>
      <c r="C696" s="770" t="s">
        <v>2077</v>
      </c>
      <c r="D696" s="453"/>
      <c r="E696" s="454" t="s">
        <v>233</v>
      </c>
      <c r="F696" s="455">
        <v>1</v>
      </c>
      <c r="G696" s="453" t="s">
        <v>29</v>
      </c>
      <c r="H696" s="453"/>
      <c r="I696" s="453"/>
      <c r="J696" s="453"/>
      <c r="K696" s="456">
        <f>+SUBTOTAL(9,K697:K728)</f>
        <v>115787.23539999998</v>
      </c>
      <c r="L696" s="456">
        <f>+SUBTOTAL(9,L697:L728)</f>
        <v>0</v>
      </c>
      <c r="M696" s="456">
        <f>+SUBTOTAL(9,M697:M728)</f>
        <v>25000</v>
      </c>
      <c r="N696" s="456">
        <f>+SUBTOTAL(9,N697:N728)</f>
        <v>140787.23539999998</v>
      </c>
      <c r="O696" s="1082">
        <f>+SUBTOTAL(9,O697:O728)</f>
        <v>273.37327262135921</v>
      </c>
    </row>
    <row r="697" spans="1:15" ht="15" customHeight="1" x14ac:dyDescent="0.2">
      <c r="A697" s="303"/>
      <c r="B697" s="833">
        <f t="shared" si="409"/>
        <v>3.1</v>
      </c>
      <c r="C697" s="776"/>
      <c r="D697" s="166"/>
      <c r="E697" s="314" t="s">
        <v>1348</v>
      </c>
      <c r="F697" s="168"/>
      <c r="G697" s="169"/>
      <c r="H697" s="169"/>
      <c r="I697" s="169"/>
      <c r="J697" s="169"/>
      <c r="K697" s="170"/>
      <c r="L697" s="170"/>
      <c r="M697" s="170"/>
      <c r="N697" s="170"/>
      <c r="O697" s="1087"/>
    </row>
    <row r="698" spans="1:15" ht="15" customHeight="1" x14ac:dyDescent="0.2">
      <c r="A698" s="303"/>
      <c r="B698" s="833">
        <f t="shared" si="409"/>
        <v>3.1</v>
      </c>
      <c r="C698" s="303" t="s">
        <v>1993</v>
      </c>
      <c r="D698" s="822"/>
      <c r="E698" s="161" t="str">
        <f>+_xlfn.XLOOKUP(C698,'BASE DATOS PRECIOS '!B:B,'BASE DATOS PRECIOS '!E:E)</f>
        <v>CURVA CONDUIT 1-1/2 UL</v>
      </c>
      <c r="F698" s="162">
        <f>'3.1_ELEC'!E168</f>
        <v>1</v>
      </c>
      <c r="G698" s="165" t="str">
        <f>+_xlfn.XLOOKUP(C698,'BASE DATOS PRECIOS '!B:B,'BASE DATOS PRECIOS '!F:F)</f>
        <v>UND</v>
      </c>
      <c r="H698" s="164">
        <f>+_xlfn.XLOOKUP(E698,'BASE DATOS PRECIOS '!E:E,'BASE DATOS PRECIOS '!H:H)</f>
        <v>1415.0424999999998</v>
      </c>
      <c r="I698" s="165"/>
      <c r="J698" s="165"/>
      <c r="K698" s="164">
        <f t="shared" ref="K698:K728" si="441">+F698*H698</f>
        <v>1415.0424999999998</v>
      </c>
      <c r="L698" s="164">
        <f t="shared" ref="L698:L728" si="442">+F698*I698</f>
        <v>0</v>
      </c>
      <c r="M698" s="164">
        <f t="shared" ref="M698:M728" si="443">+F698*J698</f>
        <v>0</v>
      </c>
      <c r="N698" s="164">
        <f t="shared" ref="N698:N728" si="444">SUM(K698:M698)</f>
        <v>1415.0424999999998</v>
      </c>
      <c r="O698" s="1084">
        <f t="shared" ref="O698:O728" si="445">SUM(K698:M698)/tc</f>
        <v>2.7476553398058248</v>
      </c>
    </row>
    <row r="699" spans="1:15" ht="15" customHeight="1" x14ac:dyDescent="0.2">
      <c r="A699" s="303"/>
      <c r="B699" s="833">
        <f t="shared" si="409"/>
        <v>3.1</v>
      </c>
      <c r="C699" s="303" t="s">
        <v>1994</v>
      </c>
      <c r="D699" s="822"/>
      <c r="E699" s="161" t="str">
        <f>+_xlfn.XLOOKUP(C699,'BASE DATOS PRECIOS '!B:B,'BASE DATOS PRECIOS '!E:E)</f>
        <v>CURVA CONDUIT 1 UL</v>
      </c>
      <c r="F699" s="162">
        <f>'3.1_ELEC'!E169</f>
        <v>1</v>
      </c>
      <c r="G699" s="165" t="str">
        <f>+_xlfn.XLOOKUP(C699,'BASE DATOS PRECIOS '!B:B,'BASE DATOS PRECIOS '!F:F)</f>
        <v>UND</v>
      </c>
      <c r="H699" s="164">
        <f>+_xlfn.XLOOKUP(E699,'BASE DATOS PRECIOS '!E:E,'BASE DATOS PRECIOS '!H:H)</f>
        <v>487.31249999999994</v>
      </c>
      <c r="I699" s="165"/>
      <c r="J699" s="165"/>
      <c r="K699" s="164">
        <f t="shared" si="441"/>
        <v>487.31249999999994</v>
      </c>
      <c r="L699" s="164">
        <f t="shared" si="442"/>
        <v>0</v>
      </c>
      <c r="M699" s="164">
        <f t="shared" si="443"/>
        <v>0</v>
      </c>
      <c r="N699" s="164">
        <f t="shared" si="444"/>
        <v>487.31249999999994</v>
      </c>
      <c r="O699" s="1084">
        <f t="shared" si="445"/>
        <v>0.94623786407766974</v>
      </c>
    </row>
    <row r="700" spans="1:15" ht="15" customHeight="1" x14ac:dyDescent="0.2">
      <c r="A700" s="303"/>
      <c r="B700" s="833">
        <f t="shared" si="409"/>
        <v>3.1</v>
      </c>
      <c r="C700" s="303" t="s">
        <v>1992</v>
      </c>
      <c r="D700" s="822"/>
      <c r="E700" s="161" t="str">
        <f>+_xlfn.XLOOKUP(C700,'BASE DATOS PRECIOS '!B:B,'BASE DATOS PRECIOS '!E:E)</f>
        <v>CURVA CONDUIT 1/2 UL</v>
      </c>
      <c r="F700" s="162">
        <f>'3.1_ELEC'!E170</f>
        <v>2</v>
      </c>
      <c r="G700" s="165" t="str">
        <f>+_xlfn.XLOOKUP(C700,'BASE DATOS PRECIOS '!B:B,'BASE DATOS PRECIOS '!F:F)</f>
        <v>UND</v>
      </c>
      <c r="H700" s="164">
        <f>+_xlfn.XLOOKUP(E700,'BASE DATOS PRECIOS '!E:E,'BASE DATOS PRECIOS '!H:H)</f>
        <v>327.13499999999999</v>
      </c>
      <c r="I700" s="165"/>
      <c r="J700" s="165"/>
      <c r="K700" s="164">
        <f t="shared" si="441"/>
        <v>654.27</v>
      </c>
      <c r="L700" s="164">
        <f t="shared" si="442"/>
        <v>0</v>
      </c>
      <c r="M700" s="164">
        <f t="shared" si="443"/>
        <v>0</v>
      </c>
      <c r="N700" s="164">
        <f t="shared" si="444"/>
        <v>654.27</v>
      </c>
      <c r="O700" s="1084">
        <f t="shared" si="445"/>
        <v>1.2704271844660193</v>
      </c>
    </row>
    <row r="701" spans="1:15" ht="15" customHeight="1" x14ac:dyDescent="0.2">
      <c r="A701" s="303"/>
      <c r="B701" s="833">
        <f t="shared" si="409"/>
        <v>3.1</v>
      </c>
      <c r="C701" s="120" t="s">
        <v>1998</v>
      </c>
      <c r="D701" s="838"/>
      <c r="E701" s="161" t="str">
        <f>+_xlfn.XLOOKUP(C701,'BASE DATOS PRECIOS '!B:B,'BASE DATOS PRECIOS '!E:E)</f>
        <v>CURVA CONDUIT 3/4 UL</v>
      </c>
      <c r="F701" s="162">
        <f>'3.1_ELEC'!E171</f>
        <v>0</v>
      </c>
      <c r="G701" s="165" t="str">
        <f>+_xlfn.XLOOKUP(C701,'BASE DATOS PRECIOS '!B:B,'BASE DATOS PRECIOS '!F:F)</f>
        <v>UND</v>
      </c>
      <c r="H701" s="164">
        <f>+_xlfn.XLOOKUP(E701,'BASE DATOS PRECIOS '!E:E,'BASE DATOS PRECIOS '!H:H)</f>
        <v>401.15</v>
      </c>
      <c r="I701" s="165"/>
      <c r="J701" s="165"/>
      <c r="K701" s="164">
        <f t="shared" si="441"/>
        <v>0</v>
      </c>
      <c r="L701" s="164">
        <f t="shared" si="442"/>
        <v>0</v>
      </c>
      <c r="M701" s="164">
        <f t="shared" si="443"/>
        <v>0</v>
      </c>
      <c r="N701" s="164">
        <f t="shared" si="444"/>
        <v>0</v>
      </c>
      <c r="O701" s="1084">
        <f t="shared" si="445"/>
        <v>0</v>
      </c>
    </row>
    <row r="702" spans="1:15" ht="15" customHeight="1" x14ac:dyDescent="0.2">
      <c r="A702" s="303"/>
      <c r="B702" s="833">
        <f t="shared" si="409"/>
        <v>3.1</v>
      </c>
      <c r="C702" s="303" t="s">
        <v>1997</v>
      </c>
      <c r="D702" s="822"/>
      <c r="E702" s="161" t="str">
        <f>+_xlfn.XLOOKUP(C702,'BASE DATOS PRECIOS '!B:B,'BASE DATOS PRECIOS '!E:E)</f>
        <v>TUBO CONDUIT 1-1/2 UL</v>
      </c>
      <c r="F702" s="162">
        <f>'3.1_ELEC'!E172</f>
        <v>2</v>
      </c>
      <c r="G702" s="165" t="str">
        <f>+_xlfn.XLOOKUP(C702,'BASE DATOS PRECIOS '!B:B,'BASE DATOS PRECIOS '!F:F)</f>
        <v>UND</v>
      </c>
      <c r="H702" s="164">
        <f>+_xlfn.XLOOKUP(E702,'BASE DATOS PRECIOS '!E:E,'BASE DATOS PRECIOS '!H:H)</f>
        <v>3515.9949999999999</v>
      </c>
      <c r="I702" s="165"/>
      <c r="J702" s="165"/>
      <c r="K702" s="164">
        <f t="shared" si="441"/>
        <v>7031.99</v>
      </c>
      <c r="L702" s="164">
        <f t="shared" si="442"/>
        <v>0</v>
      </c>
      <c r="M702" s="164">
        <f t="shared" si="443"/>
        <v>0</v>
      </c>
      <c r="N702" s="164">
        <f t="shared" si="444"/>
        <v>7031.99</v>
      </c>
      <c r="O702" s="1084">
        <f t="shared" si="445"/>
        <v>13.654349514563107</v>
      </c>
    </row>
    <row r="703" spans="1:15" ht="15" customHeight="1" x14ac:dyDescent="0.2">
      <c r="A703" s="303"/>
      <c r="B703" s="833">
        <f t="shared" si="409"/>
        <v>3.1</v>
      </c>
      <c r="C703" s="303" t="s">
        <v>2282</v>
      </c>
      <c r="D703" s="822"/>
      <c r="E703" s="161" t="str">
        <f>+_xlfn.XLOOKUP(C703,'BASE DATOS PRECIOS '!B:B,'BASE DATOS PRECIOS '!E:E)</f>
        <v>TUBO CONDUIT 1 UL</v>
      </c>
      <c r="F703" s="162">
        <f>'3.1_ELEC'!E173</f>
        <v>2</v>
      </c>
      <c r="G703" s="165" t="str">
        <f>+_xlfn.XLOOKUP(C703,'BASE DATOS PRECIOS '!B:B,'BASE DATOS PRECIOS '!F:F)</f>
        <v>UND</v>
      </c>
      <c r="H703" s="164">
        <f>+_xlfn.XLOOKUP(E703,'BASE DATOS PRECIOS '!E:E,'BASE DATOS PRECIOS '!H:H)</f>
        <v>2365.9375</v>
      </c>
      <c r="I703" s="165"/>
      <c r="J703" s="165"/>
      <c r="K703" s="164">
        <f t="shared" si="441"/>
        <v>4731.875</v>
      </c>
      <c r="L703" s="164">
        <f t="shared" si="442"/>
        <v>0</v>
      </c>
      <c r="M703" s="164">
        <f t="shared" si="443"/>
        <v>0</v>
      </c>
      <c r="N703" s="164">
        <f t="shared" si="444"/>
        <v>4731.875</v>
      </c>
      <c r="O703" s="1084">
        <f t="shared" si="445"/>
        <v>9.1881067961165055</v>
      </c>
    </row>
    <row r="704" spans="1:15" ht="15" customHeight="1" x14ac:dyDescent="0.2">
      <c r="A704" s="303"/>
      <c r="B704" s="833">
        <f t="shared" si="409"/>
        <v>3.1</v>
      </c>
      <c r="C704" s="778" t="s">
        <v>2288</v>
      </c>
      <c r="D704" s="827"/>
      <c r="E704" s="161" t="str">
        <f>+_xlfn.XLOOKUP(C704,'BASE DATOS PRECIOS '!B:B,'BASE DATOS PRECIOS '!E:E)</f>
        <v>TUBO CONDUIT 1/2 UL</v>
      </c>
      <c r="F704" s="162">
        <f>'3.1_ELEC'!E174</f>
        <v>1</v>
      </c>
      <c r="G704" s="165" t="str">
        <f>+_xlfn.XLOOKUP(C704,'BASE DATOS PRECIOS '!B:B,'BASE DATOS PRECIOS '!F:F)</f>
        <v>UND</v>
      </c>
      <c r="H704" s="164">
        <f>+_xlfn.XLOOKUP(E704,'BASE DATOS PRECIOS '!E:E,'BASE DATOS PRECIOS '!H:H)</f>
        <v>736.47749999999996</v>
      </c>
      <c r="I704" s="165"/>
      <c r="J704" s="165"/>
      <c r="K704" s="164">
        <f t="shared" si="441"/>
        <v>736.47749999999996</v>
      </c>
      <c r="L704" s="164">
        <f t="shared" si="442"/>
        <v>0</v>
      </c>
      <c r="M704" s="164">
        <f t="shared" si="443"/>
        <v>0</v>
      </c>
      <c r="N704" s="164">
        <f t="shared" si="444"/>
        <v>736.47749999999996</v>
      </c>
      <c r="O704" s="1084">
        <f t="shared" si="445"/>
        <v>1.4300533980582524</v>
      </c>
    </row>
    <row r="705" spans="1:15" ht="15" customHeight="1" x14ac:dyDescent="0.2">
      <c r="A705" s="303"/>
      <c r="B705" s="833">
        <f t="shared" si="409"/>
        <v>3.1</v>
      </c>
      <c r="C705" s="778" t="s">
        <v>2283</v>
      </c>
      <c r="D705" s="827"/>
      <c r="E705" s="161" t="str">
        <f>+_xlfn.XLOOKUP(C705,'BASE DATOS PRECIOS '!B:B,'BASE DATOS PRECIOS '!E:E)</f>
        <v>UNION CONDUIT 1-1/2 UL</v>
      </c>
      <c r="F705" s="162">
        <f>'3.1_ELEC'!E175</f>
        <v>1</v>
      </c>
      <c r="G705" s="165" t="str">
        <f>+_xlfn.XLOOKUP(C705,'BASE DATOS PRECIOS '!B:B,'BASE DATOS PRECIOS '!F:F)</f>
        <v>UND</v>
      </c>
      <c r="H705" s="164">
        <f>+_xlfn.XLOOKUP(E705,'BASE DATOS PRECIOS '!E:E,'BASE DATOS PRECIOS '!H:H)</f>
        <v>311.315</v>
      </c>
      <c r="I705" s="165"/>
      <c r="J705" s="165"/>
      <c r="K705" s="164">
        <f t="shared" si="441"/>
        <v>311.315</v>
      </c>
      <c r="L705" s="164">
        <f t="shared" si="442"/>
        <v>0</v>
      </c>
      <c r="M705" s="164">
        <f t="shared" si="443"/>
        <v>0</v>
      </c>
      <c r="N705" s="164">
        <f t="shared" si="444"/>
        <v>311.315</v>
      </c>
      <c r="O705" s="1084">
        <f t="shared" si="445"/>
        <v>0.60449514563106799</v>
      </c>
    </row>
    <row r="706" spans="1:15" ht="15" customHeight="1" x14ac:dyDescent="0.2">
      <c r="A706" s="303"/>
      <c r="B706" s="833">
        <f t="shared" ref="B706:B769" si="446">VALUE(IF(AND(LEN(TRIM(C706))-LEN(SUBSTITUTE(TRIM(C706),".",""))=1,ISNUMBER(VALUE(SUBSTITUTE(TRIM(C706),".","")))),TRIM(C706),B705))</f>
        <v>3.1</v>
      </c>
      <c r="C706" s="775" t="s">
        <v>2284</v>
      </c>
      <c r="D706" s="823"/>
      <c r="E706" s="161" t="str">
        <f>+_xlfn.XLOOKUP(C706,'BASE DATOS PRECIOS '!B:B,'BASE DATOS PRECIOS '!E:E)</f>
        <v>UNION CONDUIT 1 UL</v>
      </c>
      <c r="F706" s="162">
        <f>'3.1_ELEC'!E176</f>
        <v>1</v>
      </c>
      <c r="G706" s="165" t="str">
        <f>+_xlfn.XLOOKUP(C706,'BASE DATOS PRECIOS '!B:B,'BASE DATOS PRECIOS '!F:F)</f>
        <v>UND</v>
      </c>
      <c r="H706" s="164">
        <f>+_xlfn.XLOOKUP(E706,'BASE DATOS PRECIOS '!E:E,'BASE DATOS PRECIOS '!H:H)</f>
        <v>170.065</v>
      </c>
      <c r="I706" s="165"/>
      <c r="J706" s="165"/>
      <c r="K706" s="164">
        <f t="shared" si="441"/>
        <v>170.065</v>
      </c>
      <c r="L706" s="164">
        <f t="shared" si="442"/>
        <v>0</v>
      </c>
      <c r="M706" s="164">
        <f t="shared" si="443"/>
        <v>0</v>
      </c>
      <c r="N706" s="164">
        <f t="shared" si="444"/>
        <v>170.065</v>
      </c>
      <c r="O706" s="1084">
        <f t="shared" si="445"/>
        <v>0.33022330097087377</v>
      </c>
    </row>
    <row r="707" spans="1:15" ht="15" customHeight="1" x14ac:dyDescent="0.2">
      <c r="A707" s="303"/>
      <c r="B707" s="833">
        <f t="shared" si="446"/>
        <v>3.1</v>
      </c>
      <c r="C707" s="775" t="s">
        <v>2292</v>
      </c>
      <c r="D707" s="823"/>
      <c r="E707" s="161" t="str">
        <f>+_xlfn.XLOOKUP(C707,'BASE DATOS PRECIOS '!B:B,'BASE DATOS PRECIOS '!E:E)</f>
        <v>UNION CONDUIT 1/2 UL</v>
      </c>
      <c r="F707" s="162">
        <f>'3.1_ELEC'!E177</f>
        <v>0</v>
      </c>
      <c r="G707" s="165" t="str">
        <f>+_xlfn.XLOOKUP(C707,'BASE DATOS PRECIOS '!B:B,'BASE DATOS PRECIOS '!F:F)</f>
        <v>UND</v>
      </c>
      <c r="H707" s="164">
        <f>+_xlfn.XLOOKUP(E707,'BASE DATOS PRECIOS '!E:E,'BASE DATOS PRECIOS '!H:H)</f>
        <v>75.144999999999996</v>
      </c>
      <c r="I707" s="165"/>
      <c r="J707" s="165"/>
      <c r="K707" s="164">
        <f t="shared" si="441"/>
        <v>0</v>
      </c>
      <c r="L707" s="164">
        <f t="shared" si="442"/>
        <v>0</v>
      </c>
      <c r="M707" s="164">
        <f t="shared" si="443"/>
        <v>0</v>
      </c>
      <c r="N707" s="164">
        <f t="shared" si="444"/>
        <v>0</v>
      </c>
      <c r="O707" s="1084">
        <f t="shared" si="445"/>
        <v>0</v>
      </c>
    </row>
    <row r="708" spans="1:15" ht="15" customHeight="1" x14ac:dyDescent="0.2">
      <c r="A708" s="303"/>
      <c r="B708" s="833">
        <f t="shared" si="446"/>
        <v>3.1</v>
      </c>
      <c r="C708" s="775" t="s">
        <v>1995</v>
      </c>
      <c r="D708" s="823"/>
      <c r="E708" s="161" t="str">
        <f>+_xlfn.XLOOKUP(C708,'BASE DATOS PRECIOS '!B:B,'BASE DATOS PRECIOS '!E:E)</f>
        <v>CONECTOR CONDUIT 1 1/2 UL</v>
      </c>
      <c r="F708" s="162">
        <f>'3.1_ELEC'!E178</f>
        <v>1</v>
      </c>
      <c r="G708" s="165" t="str">
        <f>+_xlfn.XLOOKUP(C708,'BASE DATOS PRECIOS '!B:B,'BASE DATOS PRECIOS '!F:F)</f>
        <v>UND</v>
      </c>
      <c r="H708" s="164">
        <f>+_xlfn.XLOOKUP(E708,'BASE DATOS PRECIOS '!E:E,'BASE DATOS PRECIOS '!H:H)</f>
        <v>367.81499999999994</v>
      </c>
      <c r="I708" s="165"/>
      <c r="J708" s="165"/>
      <c r="K708" s="164">
        <f t="shared" si="441"/>
        <v>367.81499999999994</v>
      </c>
      <c r="L708" s="164">
        <f t="shared" si="442"/>
        <v>0</v>
      </c>
      <c r="M708" s="164">
        <f t="shared" si="443"/>
        <v>0</v>
      </c>
      <c r="N708" s="164">
        <f t="shared" si="444"/>
        <v>367.81499999999994</v>
      </c>
      <c r="O708" s="1084">
        <f t="shared" si="445"/>
        <v>0.71420388349514552</v>
      </c>
    </row>
    <row r="709" spans="1:15" ht="15" customHeight="1" x14ac:dyDescent="0.2">
      <c r="A709" s="303"/>
      <c r="B709" s="833">
        <f t="shared" si="446"/>
        <v>3.1</v>
      </c>
      <c r="C709" s="303" t="s">
        <v>1996</v>
      </c>
      <c r="D709" s="822"/>
      <c r="E709" s="161" t="str">
        <f>+_xlfn.XLOOKUP(C709,'BASE DATOS PRECIOS '!B:B,'BASE DATOS PRECIOS '!E:E)</f>
        <v>CONECTOR CONDUIT 1" UL</v>
      </c>
      <c r="F709" s="162">
        <f>'3.1_ELEC'!E179</f>
        <v>0</v>
      </c>
      <c r="G709" s="165" t="str">
        <f>+_xlfn.XLOOKUP(C709,'BASE DATOS PRECIOS '!B:B,'BASE DATOS PRECIOS '!F:F)</f>
        <v>UND</v>
      </c>
      <c r="H709" s="164">
        <f>+_xlfn.XLOOKUP(E709,'BASE DATOS PRECIOS '!E:E,'BASE DATOS PRECIOS '!H:H)</f>
        <v>331.09</v>
      </c>
      <c r="I709" s="165"/>
      <c r="J709" s="165"/>
      <c r="K709" s="164">
        <f t="shared" si="441"/>
        <v>0</v>
      </c>
      <c r="L709" s="164">
        <f t="shared" si="442"/>
        <v>0</v>
      </c>
      <c r="M709" s="164">
        <f t="shared" si="443"/>
        <v>0</v>
      </c>
      <c r="N709" s="164">
        <f t="shared" si="444"/>
        <v>0</v>
      </c>
      <c r="O709" s="1084">
        <f t="shared" si="445"/>
        <v>0</v>
      </c>
    </row>
    <row r="710" spans="1:15" ht="15" customHeight="1" x14ac:dyDescent="0.2">
      <c r="A710" s="303"/>
      <c r="B710" s="833">
        <f t="shared" si="446"/>
        <v>3.1</v>
      </c>
      <c r="C710" s="775" t="s">
        <v>2295</v>
      </c>
      <c r="D710" s="823"/>
      <c r="E710" s="161" t="str">
        <f>+_xlfn.XLOOKUP(C710,'BASE DATOS PRECIOS '!B:B,'BASE DATOS PRECIOS '!E:E)</f>
        <v>CONECTOR CONDUIT 1/2 UL</v>
      </c>
      <c r="F710" s="162">
        <f>'3.1_ELEC'!E180</f>
        <v>1</v>
      </c>
      <c r="G710" s="165" t="str">
        <f>+_xlfn.XLOOKUP(C710,'BASE DATOS PRECIOS '!B:B,'BASE DATOS PRECIOS '!F:F)</f>
        <v>UND</v>
      </c>
      <c r="H710" s="164">
        <f>+_xlfn.XLOOKUP(E710,'BASE DATOS PRECIOS '!E:E,'BASE DATOS PRECIOS '!H:H)</f>
        <v>94.072499999999991</v>
      </c>
      <c r="I710" s="165"/>
      <c r="J710" s="165"/>
      <c r="K710" s="164">
        <f t="shared" si="441"/>
        <v>94.072499999999991</v>
      </c>
      <c r="L710" s="164">
        <f t="shared" si="442"/>
        <v>0</v>
      </c>
      <c r="M710" s="164">
        <f t="shared" si="443"/>
        <v>0</v>
      </c>
      <c r="N710" s="164">
        <f t="shared" si="444"/>
        <v>94.072499999999991</v>
      </c>
      <c r="O710" s="1084">
        <f t="shared" si="445"/>
        <v>0.18266504854368931</v>
      </c>
    </row>
    <row r="711" spans="1:15" ht="15" customHeight="1" x14ac:dyDescent="0.2">
      <c r="A711" s="303"/>
      <c r="B711" s="833">
        <f t="shared" si="446"/>
        <v>3.1</v>
      </c>
      <c r="C711" s="775" t="s">
        <v>2274</v>
      </c>
      <c r="D711" s="823"/>
      <c r="E711" s="161" t="str">
        <f>+_xlfn.XLOOKUP(C711,'BASE DATOS PRECIOS '!B:B,'BASE DATOS PRECIOS '!E:E)</f>
        <v>CONDULETA BOTAGUA 1-1/4</v>
      </c>
      <c r="F711" s="162">
        <f>'3.1_ELEC'!E181</f>
        <v>1</v>
      </c>
      <c r="G711" s="165" t="str">
        <f>+_xlfn.XLOOKUP(C711,'BASE DATOS PRECIOS '!B:B,'BASE DATOS PRECIOS '!F:F)</f>
        <v>UND</v>
      </c>
      <c r="H711" s="164">
        <f>+_xlfn.XLOOKUP(E711,'BASE DATOS PRECIOS '!E:E,'BASE DATOS PRECIOS '!H:H)</f>
        <v>1006.8299999999999</v>
      </c>
      <c r="I711" s="165"/>
      <c r="J711" s="165"/>
      <c r="K711" s="164">
        <f t="shared" si="441"/>
        <v>1006.8299999999999</v>
      </c>
      <c r="L711" s="164">
        <f t="shared" si="442"/>
        <v>0</v>
      </c>
      <c r="M711" s="164">
        <f t="shared" si="443"/>
        <v>0</v>
      </c>
      <c r="N711" s="164">
        <f t="shared" si="444"/>
        <v>1006.8299999999999</v>
      </c>
      <c r="O711" s="1084">
        <f t="shared" si="445"/>
        <v>1.9550097087378639</v>
      </c>
    </row>
    <row r="712" spans="1:15" ht="15" customHeight="1" x14ac:dyDescent="0.2">
      <c r="A712" s="303"/>
      <c r="B712" s="833">
        <f t="shared" si="446"/>
        <v>3.1</v>
      </c>
      <c r="C712" s="303" t="s">
        <v>2009</v>
      </c>
      <c r="D712" s="822"/>
      <c r="E712" s="161" t="str">
        <f>+_xlfn.XLOOKUP(C712,'BASE DATOS PRECIOS '!B:B,'BASE DATOS PRECIOS '!E:E)</f>
        <v>CONDULETA BOTAGUA 1</v>
      </c>
      <c r="F712" s="162">
        <f>'3.1_ELEC'!E182</f>
        <v>1</v>
      </c>
      <c r="G712" s="165" t="str">
        <f>+_xlfn.XLOOKUP(C712,'BASE DATOS PRECIOS '!B:B,'BASE DATOS PRECIOS '!F:F)</f>
        <v>UND</v>
      </c>
      <c r="H712" s="164">
        <f>+_xlfn.XLOOKUP(E712,'BASE DATOS PRECIOS '!E:E,'BASE DATOS PRECIOS '!H:H)</f>
        <v>824.9</v>
      </c>
      <c r="I712" s="165"/>
      <c r="J712" s="165"/>
      <c r="K712" s="164">
        <f t="shared" si="441"/>
        <v>824.9</v>
      </c>
      <c r="L712" s="164">
        <f t="shared" si="442"/>
        <v>0</v>
      </c>
      <c r="M712" s="164">
        <f t="shared" si="443"/>
        <v>0</v>
      </c>
      <c r="N712" s="164">
        <f t="shared" si="444"/>
        <v>824.9</v>
      </c>
      <c r="O712" s="1084">
        <f t="shared" si="445"/>
        <v>1.6017475728155339</v>
      </c>
    </row>
    <row r="713" spans="1:15" ht="15" customHeight="1" x14ac:dyDescent="0.2">
      <c r="A713" s="303"/>
      <c r="B713" s="833">
        <f t="shared" si="446"/>
        <v>3.1</v>
      </c>
      <c r="C713" s="303" t="s">
        <v>1990</v>
      </c>
      <c r="D713" s="822"/>
      <c r="E713" s="161" t="str">
        <f>+_xlfn.XLOOKUP(C713,'BASE DATOS PRECIOS '!B:B,'BASE DATOS PRECIOS '!E:E)</f>
        <v>CONECTOR DE BARRIL PARA 1/0 CU-AL</v>
      </c>
      <c r="F713" s="162">
        <f>'3.1_ELEC'!E183</f>
        <v>0</v>
      </c>
      <c r="G713" s="165" t="str">
        <f>+_xlfn.XLOOKUP(C713,'BASE DATOS PRECIOS '!B:B,'BASE DATOS PRECIOS '!F:F)</f>
        <v>UND</v>
      </c>
      <c r="H713" s="164">
        <f>+_xlfn.XLOOKUP(E713,'BASE DATOS PRECIOS '!E:E,'BASE DATOS PRECIOS '!H:H)</f>
        <v>2448.2240999999999</v>
      </c>
      <c r="I713" s="165"/>
      <c r="J713" s="165"/>
      <c r="K713" s="164">
        <f t="shared" si="441"/>
        <v>0</v>
      </c>
      <c r="L713" s="164">
        <f t="shared" si="442"/>
        <v>0</v>
      </c>
      <c r="M713" s="164">
        <f t="shared" si="443"/>
        <v>0</v>
      </c>
      <c r="N713" s="164">
        <f t="shared" si="444"/>
        <v>0</v>
      </c>
      <c r="O713" s="1084">
        <f t="shared" si="445"/>
        <v>0</v>
      </c>
    </row>
    <row r="714" spans="1:15" ht="15" customHeight="1" x14ac:dyDescent="0.2">
      <c r="A714" s="303"/>
      <c r="B714" s="833">
        <f t="shared" si="446"/>
        <v>3.1</v>
      </c>
      <c r="C714" s="303" t="s">
        <v>2118</v>
      </c>
      <c r="D714" s="822"/>
      <c r="E714" s="161" t="str">
        <f>+_xlfn.XLOOKUP(C714,'BASE DATOS PRECIOS '!B:B,'BASE DATOS PRECIOS '!E:E)</f>
        <v>CONECTOR TORNILLO EMT 1</v>
      </c>
      <c r="F714" s="162">
        <f>'3.1_ELEC'!E184</f>
        <v>1</v>
      </c>
      <c r="G714" s="165" t="str">
        <f>+_xlfn.XLOOKUP(C714,'BASE DATOS PRECIOS '!B:B,'BASE DATOS PRECIOS '!F:F)</f>
        <v>UND</v>
      </c>
      <c r="H714" s="164">
        <f>+_xlfn.XLOOKUP(E714,'BASE DATOS PRECIOS '!E:E,'BASE DATOS PRECIOS '!H:H)</f>
        <v>172.4606</v>
      </c>
      <c r="I714" s="165"/>
      <c r="J714" s="165"/>
      <c r="K714" s="164">
        <f t="shared" si="441"/>
        <v>172.4606</v>
      </c>
      <c r="L714" s="164">
        <f t="shared" si="442"/>
        <v>0</v>
      </c>
      <c r="M714" s="164">
        <f t="shared" si="443"/>
        <v>0</v>
      </c>
      <c r="N714" s="164">
        <f t="shared" si="444"/>
        <v>172.4606</v>
      </c>
      <c r="O714" s="1084">
        <f t="shared" si="445"/>
        <v>0.33487495145631069</v>
      </c>
    </row>
    <row r="715" spans="1:15" ht="15" customHeight="1" x14ac:dyDescent="0.2">
      <c r="A715" s="303"/>
      <c r="B715" s="833">
        <f t="shared" si="446"/>
        <v>3.1</v>
      </c>
      <c r="C715" s="303" t="s">
        <v>2273</v>
      </c>
      <c r="D715" s="822"/>
      <c r="E715" s="161" t="str">
        <f>+_xlfn.XLOOKUP(C715,'BASE DATOS PRECIOS '!B:B,'BASE DATOS PRECIOS '!E:E)</f>
        <v>GAZA P/VARILLA COPPERWELD USA UL</v>
      </c>
      <c r="F715" s="162">
        <f>'3.1_ELEC'!E185</f>
        <v>1</v>
      </c>
      <c r="G715" s="165" t="str">
        <f>+_xlfn.XLOOKUP(C715,'BASE DATOS PRECIOS '!B:B,'BASE DATOS PRECIOS '!F:F)</f>
        <v>UND</v>
      </c>
      <c r="H715" s="164">
        <f>+_xlfn.XLOOKUP(E715,'BASE DATOS PRECIOS '!E:E,'BASE DATOS PRECIOS '!H:H)</f>
        <v>933.17660000000001</v>
      </c>
      <c r="I715" s="165"/>
      <c r="J715" s="165"/>
      <c r="K715" s="164">
        <f t="shared" si="441"/>
        <v>933.17660000000001</v>
      </c>
      <c r="L715" s="164">
        <f t="shared" si="442"/>
        <v>0</v>
      </c>
      <c r="M715" s="164">
        <f t="shared" si="443"/>
        <v>0</v>
      </c>
      <c r="N715" s="164">
        <f t="shared" si="444"/>
        <v>933.17660000000001</v>
      </c>
      <c r="O715" s="1084">
        <f t="shared" si="445"/>
        <v>1.8119933980582525</v>
      </c>
    </row>
    <row r="716" spans="1:15" ht="15" customHeight="1" x14ac:dyDescent="0.2">
      <c r="A716" s="303"/>
      <c r="B716" s="833">
        <f t="shared" si="446"/>
        <v>3.1</v>
      </c>
      <c r="C716" s="775" t="s">
        <v>2276</v>
      </c>
      <c r="D716" s="823"/>
      <c r="E716" s="161" t="str">
        <f>+_xlfn.XLOOKUP(C716,'BASE DATOS PRECIOS '!B:B,'BASE DATOS PRECIOS '!E:E)</f>
        <v>TUBO EMT 1 (3M)</v>
      </c>
      <c r="F716" s="162">
        <f>'3.1_ELEC'!E186</f>
        <v>1</v>
      </c>
      <c r="G716" s="165" t="str">
        <f>+_xlfn.XLOOKUP(C716,'BASE DATOS PRECIOS '!B:B,'BASE DATOS PRECIOS '!F:F)</f>
        <v>UND</v>
      </c>
      <c r="H716" s="164">
        <f>+_xlfn.XLOOKUP(E716,'BASE DATOS PRECIOS '!E:E,'BASE DATOS PRECIOS '!H:H)</f>
        <v>5878.2260999999999</v>
      </c>
      <c r="I716" s="165"/>
      <c r="J716" s="165"/>
      <c r="K716" s="164">
        <f t="shared" si="441"/>
        <v>5878.2260999999999</v>
      </c>
      <c r="L716" s="164">
        <f t="shared" si="442"/>
        <v>0</v>
      </c>
      <c r="M716" s="164">
        <f t="shared" si="443"/>
        <v>0</v>
      </c>
      <c r="N716" s="164">
        <f t="shared" si="444"/>
        <v>5878.2260999999999</v>
      </c>
      <c r="O716" s="1084">
        <f t="shared" si="445"/>
        <v>11.414031262135921</v>
      </c>
    </row>
    <row r="717" spans="1:15" ht="15" customHeight="1" x14ac:dyDescent="0.2">
      <c r="A717" s="303"/>
      <c r="B717" s="833">
        <f t="shared" si="446"/>
        <v>3.1</v>
      </c>
      <c r="C717" s="775" t="s">
        <v>2280</v>
      </c>
      <c r="D717" s="823"/>
      <c r="E717" s="161" t="str">
        <f>+_xlfn.XLOOKUP(C717,'BASE DATOS PRECIOS '!B:B,'BASE DATOS PRECIOS '!E:E)</f>
        <v>VARILLA COOPERWELL 5/8 3M</v>
      </c>
      <c r="F717" s="162">
        <f>'3.1_ELEC'!E187</f>
        <v>1</v>
      </c>
      <c r="G717" s="165" t="str">
        <f>+_xlfn.XLOOKUP(C717,'BASE DATOS PRECIOS '!B:B,'BASE DATOS PRECIOS '!F:F)</f>
        <v>UND</v>
      </c>
      <c r="H717" s="164">
        <f>+_xlfn.XLOOKUP(E717,'BASE DATOS PRECIOS '!E:E,'BASE DATOS PRECIOS '!H:H)</f>
        <v>10590.359999999999</v>
      </c>
      <c r="I717" s="165"/>
      <c r="J717" s="165"/>
      <c r="K717" s="164">
        <f t="shared" ref="K717:K720" si="447">+F717*H717</f>
        <v>10590.359999999999</v>
      </c>
      <c r="L717" s="164">
        <f t="shared" ref="L717:L720" si="448">+F717*I717</f>
        <v>0</v>
      </c>
      <c r="M717" s="164">
        <f t="shared" ref="M717:M720" si="449">+F717*J717</f>
        <v>0</v>
      </c>
      <c r="N717" s="164">
        <f t="shared" ref="N717:N720" si="450">SUM(K717:M717)</f>
        <v>10590.359999999999</v>
      </c>
      <c r="O717" s="1084">
        <f t="shared" ref="O717:O720" si="451">SUM(K717:M717)/tc</f>
        <v>20.563805825242717</v>
      </c>
    </row>
    <row r="718" spans="1:15" ht="15" customHeight="1" x14ac:dyDescent="0.2">
      <c r="A718" s="303"/>
      <c r="B718" s="833">
        <f t="shared" si="446"/>
        <v>3.1</v>
      </c>
      <c r="C718" s="775" t="s">
        <v>2275</v>
      </c>
      <c r="D718" s="823"/>
      <c r="E718" s="161" t="str">
        <f>+_xlfn.XLOOKUP(C718,'BASE DATOS PRECIOS '!B:B,'BASE DATOS PRECIOS '!E:E)</f>
        <v>CONECTOR TORNILLO EMT 11/4</v>
      </c>
      <c r="F718" s="162">
        <f>'3.1_ELEC'!E188</f>
        <v>2</v>
      </c>
      <c r="G718" s="165" t="str">
        <f>+_xlfn.XLOOKUP(C718,'BASE DATOS PRECIOS '!B:B,'BASE DATOS PRECIOS '!F:F)</f>
        <v>UND</v>
      </c>
      <c r="H718" s="164">
        <f>+_xlfn.XLOOKUP(E718,'BASE DATOS PRECIOS '!E:E,'BASE DATOS PRECIOS '!H:H)</f>
        <v>560.77379999999994</v>
      </c>
      <c r="I718" s="165"/>
      <c r="J718" s="165"/>
      <c r="K718" s="164">
        <f t="shared" si="447"/>
        <v>1121.5475999999999</v>
      </c>
      <c r="L718" s="164">
        <f t="shared" si="448"/>
        <v>0</v>
      </c>
      <c r="M718" s="164">
        <f t="shared" si="449"/>
        <v>0</v>
      </c>
      <c r="N718" s="164">
        <f t="shared" si="450"/>
        <v>1121.5475999999999</v>
      </c>
      <c r="O718" s="1084">
        <f t="shared" si="451"/>
        <v>2.177762330097087</v>
      </c>
    </row>
    <row r="719" spans="1:15" ht="15" customHeight="1" x14ac:dyDescent="0.2">
      <c r="A719" s="303"/>
      <c r="B719" s="833">
        <f t="shared" si="446"/>
        <v>3.1</v>
      </c>
      <c r="C719" s="775" t="s">
        <v>2277</v>
      </c>
      <c r="D719" s="823"/>
      <c r="E719" s="161" t="str">
        <f>+_xlfn.XLOOKUP(C719,'BASE DATOS PRECIOS '!B:B,'BASE DATOS PRECIOS '!E:E)</f>
        <v>TUBO EMT 1-1/4</v>
      </c>
      <c r="F719" s="162">
        <f>'3.1_ELEC'!E189</f>
        <v>1</v>
      </c>
      <c r="G719" s="165" t="str">
        <f>+_xlfn.XLOOKUP(C719,'BASE DATOS PRECIOS '!B:B,'BASE DATOS PRECIOS '!F:F)</f>
        <v>UND</v>
      </c>
      <c r="H719" s="164">
        <f>+_xlfn.XLOOKUP(E719,'BASE DATOS PRECIOS '!E:E,'BASE DATOS PRECIOS '!H:H)</f>
        <v>8271.0914999999986</v>
      </c>
      <c r="I719" s="165"/>
      <c r="J719" s="165"/>
      <c r="K719" s="164">
        <f t="shared" si="447"/>
        <v>8271.0914999999986</v>
      </c>
      <c r="L719" s="164">
        <f t="shared" si="448"/>
        <v>0</v>
      </c>
      <c r="M719" s="164">
        <f t="shared" si="449"/>
        <v>0</v>
      </c>
      <c r="N719" s="164">
        <f t="shared" si="450"/>
        <v>8271.0914999999986</v>
      </c>
      <c r="O719" s="1084">
        <f t="shared" si="451"/>
        <v>16.060371844660192</v>
      </c>
    </row>
    <row r="720" spans="1:15" ht="15" customHeight="1" x14ac:dyDescent="0.2">
      <c r="A720" s="1074"/>
      <c r="B720" s="833">
        <f t="shared" si="446"/>
        <v>3.1</v>
      </c>
      <c r="C720" s="303" t="s">
        <v>2298</v>
      </c>
      <c r="D720" s="822"/>
      <c r="E720" s="161" t="str">
        <f>+_xlfn.XLOOKUP(C720,'BASE DATOS PRECIOS '!B:B,'BASE DATOS PRECIOS '!E:E)</f>
        <v>BASE MEDIDOR MS1254JCBM+A125+QO2100</v>
      </c>
      <c r="F720" s="162">
        <f>'3.1_ELEC'!E190</f>
        <v>1</v>
      </c>
      <c r="G720" s="165" t="str">
        <f>+_xlfn.XLOOKUP(C720,'BASE DATOS PRECIOS '!B:B,'BASE DATOS PRECIOS '!F:F)</f>
        <v>UND</v>
      </c>
      <c r="H720" s="164">
        <f>+_xlfn.XLOOKUP(E720,'BASE DATOS PRECIOS '!E:E,'BASE DATOS PRECIOS '!H:H)</f>
        <v>64014.499999999993</v>
      </c>
      <c r="I720" s="165"/>
      <c r="J720" s="165"/>
      <c r="K720" s="164">
        <f t="shared" si="447"/>
        <v>64014.499999999993</v>
      </c>
      <c r="L720" s="164">
        <f t="shared" si="448"/>
        <v>0</v>
      </c>
      <c r="M720" s="164">
        <f t="shared" si="449"/>
        <v>0</v>
      </c>
      <c r="N720" s="164">
        <f t="shared" si="450"/>
        <v>64014.499999999993</v>
      </c>
      <c r="O720" s="1084">
        <f t="shared" si="451"/>
        <v>124.29999999999998</v>
      </c>
    </row>
    <row r="721" spans="1:15" ht="15" customHeight="1" x14ac:dyDescent="0.2">
      <c r="A721" s="303"/>
      <c r="B721" s="833">
        <f t="shared" si="446"/>
        <v>3.1</v>
      </c>
      <c r="C721" s="775" t="s">
        <v>2300</v>
      </c>
      <c r="D721" s="823" t="s">
        <v>24</v>
      </c>
      <c r="E721" s="161" t="str">
        <f>+_xlfn.XLOOKUP(C721,'BASE DATOS PRECIOS '!B:B,'BASE DATOS PRECIOS '!E:E)</f>
        <v>CABLE #8</v>
      </c>
      <c r="F721" s="162">
        <f>'3.1_ELEC'!E191</f>
        <v>4</v>
      </c>
      <c r="G721" s="165" t="str">
        <f>+_xlfn.XLOOKUP(C721,'BASE DATOS PRECIOS '!B:B,'BASE DATOS PRECIOS '!F:F)</f>
        <v>M</v>
      </c>
      <c r="H721" s="164">
        <f>+_xlfn.XLOOKUP(E721,'BASE DATOS PRECIOS '!E:E,'BASE DATOS PRECIOS '!H:H)</f>
        <v>751.44999999999993</v>
      </c>
      <c r="I721" s="165"/>
      <c r="J721" s="165"/>
      <c r="K721" s="164">
        <f t="shared" si="441"/>
        <v>3005.7999999999997</v>
      </c>
      <c r="L721" s="164">
        <f t="shared" si="442"/>
        <v>0</v>
      </c>
      <c r="M721" s="164">
        <f t="shared" si="443"/>
        <v>0</v>
      </c>
      <c r="N721" s="164">
        <f t="shared" si="444"/>
        <v>3005.7999999999997</v>
      </c>
      <c r="O721" s="1084">
        <f t="shared" si="445"/>
        <v>5.8365048543689317</v>
      </c>
    </row>
    <row r="722" spans="1:15" ht="15" customHeight="1" x14ac:dyDescent="0.2">
      <c r="A722" s="303"/>
      <c r="B722" s="833">
        <f t="shared" si="446"/>
        <v>3.1</v>
      </c>
      <c r="C722" s="775" t="s">
        <v>2299</v>
      </c>
      <c r="D722" s="823"/>
      <c r="E722" s="161" t="str">
        <f>+_xlfn.XLOOKUP(C722,'BASE DATOS PRECIOS '!B:B,'BASE DATOS PRECIOS '!E:E)</f>
        <v>CABLE ALUMINIO 1/0 SERIE 8000</v>
      </c>
      <c r="F722" s="162">
        <f>'3.1_ELEC'!E192</f>
        <v>0</v>
      </c>
      <c r="G722" s="165" t="str">
        <f>+_xlfn.XLOOKUP(C722,'BASE DATOS PRECIOS '!B:B,'BASE DATOS PRECIOS '!F:F)</f>
        <v>M</v>
      </c>
      <c r="H722" s="164">
        <f>+_xlfn.XLOOKUP(E722,'BASE DATOS PRECIOS '!E:E,'BASE DATOS PRECIOS '!H:H)</f>
        <v>827.63459999999986</v>
      </c>
      <c r="I722" s="165"/>
      <c r="J722" s="165"/>
      <c r="K722" s="164">
        <f t="shared" si="441"/>
        <v>0</v>
      </c>
      <c r="L722" s="164">
        <f t="shared" si="442"/>
        <v>0</v>
      </c>
      <c r="M722" s="164">
        <f t="shared" si="443"/>
        <v>0</v>
      </c>
      <c r="N722" s="164">
        <f t="shared" si="444"/>
        <v>0</v>
      </c>
      <c r="O722" s="1084">
        <f t="shared" si="445"/>
        <v>0</v>
      </c>
    </row>
    <row r="723" spans="1:15" ht="15" customHeight="1" x14ac:dyDescent="0.2">
      <c r="A723" s="303"/>
      <c r="B723" s="833">
        <f t="shared" si="446"/>
        <v>3.1</v>
      </c>
      <c r="C723" s="775" t="s">
        <v>3328</v>
      </c>
      <c r="D723" s="823"/>
      <c r="E723" s="161" t="str">
        <f>+_xlfn.XLOOKUP(C723,'BASE DATOS PRECIOS '!B:B,'BASE DATOS PRECIOS '!E:E)</f>
        <v>CAJA REGISTRO 30X30 PARA VARILLA COOPERWELL</v>
      </c>
      <c r="F723" s="162">
        <f>'3.1_ELEC'!E193</f>
        <v>1</v>
      </c>
      <c r="G723" s="165" t="str">
        <f>+_xlfn.XLOOKUP(C723,'BASE DATOS PRECIOS '!B:B,'BASE DATOS PRECIOS '!F:F)</f>
        <v>UND</v>
      </c>
      <c r="H723" s="164">
        <f>+_xlfn.XLOOKUP(E723,'BASE DATOS PRECIOS '!E:E,'BASE DATOS PRECIOS '!H:H)</f>
        <v>3968.1079999999997</v>
      </c>
      <c r="I723" s="165"/>
      <c r="J723" s="165"/>
      <c r="K723" s="164">
        <f t="shared" si="441"/>
        <v>3968.1079999999997</v>
      </c>
      <c r="L723" s="164">
        <f t="shared" si="442"/>
        <v>0</v>
      </c>
      <c r="M723" s="164">
        <f t="shared" si="443"/>
        <v>0</v>
      </c>
      <c r="N723" s="164">
        <f t="shared" si="444"/>
        <v>3968.1079999999997</v>
      </c>
      <c r="O723" s="1084">
        <f t="shared" si="445"/>
        <v>7.7050640776699026</v>
      </c>
    </row>
    <row r="724" spans="1:15" ht="15" customHeight="1" x14ac:dyDescent="0.2">
      <c r="A724" s="303"/>
      <c r="B724" s="833">
        <f t="shared" si="446"/>
        <v>3.1</v>
      </c>
      <c r="C724" s="774" t="s">
        <v>234</v>
      </c>
      <c r="D724" s="210"/>
      <c r="E724" s="211" t="str">
        <f>+_xlfn.XLOOKUP(C724,'BASE DATOS EQUIPOS Y SUBCONTRAT'!A:A,'BASE DATOS EQUIPOS Y SUBCONTRAT'!B:B)</f>
        <v xml:space="preserve">M.O. INSTALACIÓN BASE MEDIDOR </v>
      </c>
      <c r="F724" s="263">
        <v>1</v>
      </c>
      <c r="G724" s="264" t="str">
        <f>+_xlfn.XLOOKUP(C724,'BASE DATOS EQUIPOS Y SUBCONTRAT'!A:A,'BASE DATOS EQUIPOS Y SUBCONTRAT'!C:C)</f>
        <v xml:space="preserve">GLOBAL </v>
      </c>
      <c r="H724" s="265">
        <v>0</v>
      </c>
      <c r="I724" s="264"/>
      <c r="J724" s="265">
        <f>+'3.1_ELEC'!D195</f>
        <v>25000</v>
      </c>
      <c r="K724" s="265">
        <f t="shared" si="441"/>
        <v>0</v>
      </c>
      <c r="L724" s="265">
        <f t="shared" si="442"/>
        <v>0</v>
      </c>
      <c r="M724" s="265">
        <f t="shared" si="443"/>
        <v>25000</v>
      </c>
      <c r="N724" s="265">
        <f t="shared" si="444"/>
        <v>25000</v>
      </c>
      <c r="O724" s="1094">
        <f t="shared" si="445"/>
        <v>48.543689320388353</v>
      </c>
    </row>
    <row r="725" spans="1:15" ht="15" customHeight="1" x14ac:dyDescent="0.2">
      <c r="A725" s="303"/>
      <c r="B725" s="833">
        <f t="shared" si="446"/>
        <v>3.1</v>
      </c>
      <c r="C725" s="774" t="s">
        <v>36</v>
      </c>
      <c r="D725" s="210"/>
      <c r="E725" s="211" t="str">
        <f>+_xlfn.XLOOKUP(C725,'BASE DATOS MANO DE OBRA'!A:A,'BASE DATOS MANO DE OBRA'!B:B)</f>
        <v xml:space="preserve">OPERARIO PLUS </v>
      </c>
      <c r="F725" s="212">
        <v>0</v>
      </c>
      <c r="G725" s="213" t="str">
        <f>+_xlfn.XLOOKUP(C725,'BASE DATOS MANO DE OBRA'!A:A,'BASE DATOS MANO DE OBRA'!C:C)</f>
        <v xml:space="preserve">hora </v>
      </c>
      <c r="H725" s="214">
        <v>0</v>
      </c>
      <c r="I725" s="214">
        <f>+_xlfn.XLOOKUP(C725,'BASE DATOS MANO DE OBRA'!A:A,'BASE DATOS MANO DE OBRA'!E:E)</f>
        <v>2850</v>
      </c>
      <c r="J725" s="214">
        <v>0</v>
      </c>
      <c r="K725" s="214">
        <f t="shared" si="441"/>
        <v>0</v>
      </c>
      <c r="L725" s="214">
        <f t="shared" si="442"/>
        <v>0</v>
      </c>
      <c r="M725" s="214">
        <f t="shared" si="443"/>
        <v>0</v>
      </c>
      <c r="N725" s="214">
        <f t="shared" si="444"/>
        <v>0</v>
      </c>
      <c r="O725" s="1086">
        <f t="shared" si="445"/>
        <v>0</v>
      </c>
    </row>
    <row r="726" spans="1:15" ht="15" customHeight="1" x14ac:dyDescent="0.2">
      <c r="A726" s="303"/>
      <c r="B726" s="833">
        <f t="shared" si="446"/>
        <v>3.1</v>
      </c>
      <c r="C726" s="774" t="s">
        <v>37</v>
      </c>
      <c r="D726" s="210"/>
      <c r="E726" s="211" t="str">
        <f>+_xlfn.XLOOKUP(C726,'BASE DATOS MANO DE OBRA'!A:A,'BASE DATOS MANO DE OBRA'!B:B)</f>
        <v xml:space="preserve">AYUDANTE PLUS </v>
      </c>
      <c r="F726" s="212">
        <v>0</v>
      </c>
      <c r="G726" s="213" t="str">
        <f>+_xlfn.XLOOKUP(C726,'BASE DATOS MANO DE OBRA'!A:A,'BASE DATOS MANO DE OBRA'!C:C)</f>
        <v xml:space="preserve">hora </v>
      </c>
      <c r="H726" s="214">
        <v>0</v>
      </c>
      <c r="I726" s="214">
        <f>+_xlfn.XLOOKUP(C726,'BASE DATOS MANO DE OBRA'!A:A,'BASE DATOS MANO DE OBRA'!E:E)</f>
        <v>2325</v>
      </c>
      <c r="J726" s="214">
        <v>0</v>
      </c>
      <c r="K726" s="214">
        <f t="shared" si="441"/>
        <v>0</v>
      </c>
      <c r="L726" s="214">
        <f t="shared" si="442"/>
        <v>0</v>
      </c>
      <c r="M726" s="214">
        <f t="shared" si="443"/>
        <v>0</v>
      </c>
      <c r="N726" s="214">
        <f t="shared" si="444"/>
        <v>0</v>
      </c>
      <c r="O726" s="1086">
        <f t="shared" si="445"/>
        <v>0</v>
      </c>
    </row>
    <row r="727" spans="1:15" ht="15" customHeight="1" x14ac:dyDescent="0.2">
      <c r="A727" s="303"/>
      <c r="B727" s="833">
        <f t="shared" si="446"/>
        <v>3.1</v>
      </c>
      <c r="C727" s="774" t="s">
        <v>36</v>
      </c>
      <c r="D727" s="210"/>
      <c r="E727" s="211" t="str">
        <f>+_xlfn.XLOOKUP(C727,'BASE DATOS MANO DE OBRA'!A:A,'BASE DATOS MANO DE OBRA'!B:B)</f>
        <v xml:space="preserve">OPERARIO PLUS </v>
      </c>
      <c r="F727" s="212">
        <v>0</v>
      </c>
      <c r="G727" s="213" t="str">
        <f>+_xlfn.XLOOKUP(C727,'BASE DATOS MANO DE OBRA'!A:A,'BASE DATOS MANO DE OBRA'!C:C)</f>
        <v xml:space="preserve">hora </v>
      </c>
      <c r="H727" s="214">
        <v>0</v>
      </c>
      <c r="I727" s="214">
        <f>+_xlfn.XLOOKUP(C727,'BASE DATOS MANO DE OBRA'!A:A,'BASE DATOS MANO DE OBRA'!E:E)</f>
        <v>2850</v>
      </c>
      <c r="J727" s="214">
        <v>0</v>
      </c>
      <c r="K727" s="214">
        <f t="shared" si="441"/>
        <v>0</v>
      </c>
      <c r="L727" s="214">
        <f t="shared" si="442"/>
        <v>0</v>
      </c>
      <c r="M727" s="214">
        <f t="shared" si="443"/>
        <v>0</v>
      </c>
      <c r="N727" s="214">
        <f t="shared" si="444"/>
        <v>0</v>
      </c>
      <c r="O727" s="1086">
        <f t="shared" si="445"/>
        <v>0</v>
      </c>
    </row>
    <row r="728" spans="1:15" ht="15" customHeight="1" x14ac:dyDescent="0.2">
      <c r="A728" s="303"/>
      <c r="B728" s="833">
        <f t="shared" si="446"/>
        <v>3.1</v>
      </c>
      <c r="C728" s="774" t="s">
        <v>37</v>
      </c>
      <c r="D728" s="210"/>
      <c r="E728" s="211" t="str">
        <f>+_xlfn.XLOOKUP(C728,'BASE DATOS MANO DE OBRA'!A:A,'BASE DATOS MANO DE OBRA'!B:B)</f>
        <v xml:space="preserve">AYUDANTE PLUS </v>
      </c>
      <c r="F728" s="212">
        <v>0</v>
      </c>
      <c r="G728" s="213" t="str">
        <f>+_xlfn.XLOOKUP(C728,'BASE DATOS MANO DE OBRA'!A:A,'BASE DATOS MANO DE OBRA'!C:C)</f>
        <v xml:space="preserve">hora </v>
      </c>
      <c r="H728" s="214">
        <v>0</v>
      </c>
      <c r="I728" s="214">
        <f>+_xlfn.XLOOKUP(C728,'BASE DATOS MANO DE OBRA'!A:A,'BASE DATOS MANO DE OBRA'!E:E)</f>
        <v>2325</v>
      </c>
      <c r="J728" s="214">
        <v>0</v>
      </c>
      <c r="K728" s="214">
        <f t="shared" si="441"/>
        <v>0</v>
      </c>
      <c r="L728" s="214">
        <f t="shared" si="442"/>
        <v>0</v>
      </c>
      <c r="M728" s="214">
        <f t="shared" si="443"/>
        <v>0</v>
      </c>
      <c r="N728" s="214">
        <f t="shared" si="444"/>
        <v>0</v>
      </c>
      <c r="O728" s="1086">
        <f t="shared" si="445"/>
        <v>0</v>
      </c>
    </row>
    <row r="729" spans="1:15" s="49" customFormat="1" ht="18.600000000000001" customHeight="1" x14ac:dyDescent="0.2">
      <c r="A729" s="303"/>
      <c r="B729" s="833">
        <f t="shared" si="446"/>
        <v>3.1</v>
      </c>
      <c r="C729" s="770" t="s">
        <v>2078</v>
      </c>
      <c r="D729" s="453"/>
      <c r="E729" s="454" t="s">
        <v>236</v>
      </c>
      <c r="F729" s="455">
        <v>1</v>
      </c>
      <c r="G729" s="453" t="s">
        <v>29</v>
      </c>
      <c r="H729" s="453"/>
      <c r="I729" s="453"/>
      <c r="J729" s="453"/>
      <c r="K729" s="456">
        <f>+SUBTOTAL(9,K730:K746)</f>
        <v>140431.51557499997</v>
      </c>
      <c r="L729" s="456">
        <f>+SUBTOTAL(9,L730:L746)</f>
        <v>0</v>
      </c>
      <c r="M729" s="456">
        <f>+SUBTOTAL(9,M730:M746)</f>
        <v>32500</v>
      </c>
      <c r="N729" s="456">
        <f>+SUBTOTAL(9,N730:N746)</f>
        <v>172931.51557499997</v>
      </c>
      <c r="O729" s="1082">
        <f>+SUBTOTAL(9,O730:O746)</f>
        <v>335.78935063106792</v>
      </c>
    </row>
    <row r="730" spans="1:15" x14ac:dyDescent="0.2">
      <c r="A730" s="303"/>
      <c r="B730" s="833">
        <f t="shared" si="446"/>
        <v>3.1</v>
      </c>
      <c r="C730" s="303" t="s">
        <v>1995</v>
      </c>
      <c r="D730" s="822"/>
      <c r="E730" s="161" t="str">
        <f>+_xlfn.XLOOKUP(C730,'BASE DATOS PRECIOS '!B:B,'BASE DATOS PRECIOS '!E:E)</f>
        <v>CONECTOR CONDUIT 1 1/2 UL</v>
      </c>
      <c r="F730" s="174">
        <f>'3.1_ELEC'!E202</f>
        <v>1</v>
      </c>
      <c r="G730" s="175" t="str">
        <f>+_xlfn.XLOOKUP(C730,'BASE DATOS PRECIOS '!B:B,'BASE DATOS PRECIOS '!F:F)</f>
        <v>UND</v>
      </c>
      <c r="H730" s="176">
        <f>+_xlfn.XLOOKUP(E730,'BASE DATOS PRECIOS '!E:E,'BASE DATOS PRECIOS '!H:H)</f>
        <v>367.81499999999994</v>
      </c>
      <c r="I730" s="175"/>
      <c r="J730" s="176"/>
      <c r="K730" s="176">
        <f t="shared" ref="K730:K746" si="452">+F730*H730</f>
        <v>367.81499999999994</v>
      </c>
      <c r="L730" s="176">
        <f t="shared" ref="L730:L746" si="453">+F730*I730</f>
        <v>0</v>
      </c>
      <c r="M730" s="176">
        <f t="shared" ref="M730:M746" si="454">+F730*J730</f>
        <v>0</v>
      </c>
      <c r="N730" s="176">
        <f t="shared" ref="N730:N746" si="455">SUM(K730:M730)</f>
        <v>367.81499999999994</v>
      </c>
      <c r="O730" s="1083">
        <f t="shared" ref="O730:O746" si="456">SUM(K730:M730)/tc</f>
        <v>0.71420388349514552</v>
      </c>
    </row>
    <row r="731" spans="1:15" x14ac:dyDescent="0.2">
      <c r="A731" s="303"/>
      <c r="B731" s="833">
        <f t="shared" si="446"/>
        <v>3.1</v>
      </c>
      <c r="C731" s="303" t="s">
        <v>1996</v>
      </c>
      <c r="D731" s="822"/>
      <c r="E731" s="161" t="str">
        <f>+_xlfn.XLOOKUP(C731,'BASE DATOS PRECIOS '!B:B,'BASE DATOS PRECIOS '!E:E)</f>
        <v>CONECTOR CONDUIT 1" UL</v>
      </c>
      <c r="F731" s="174">
        <f>'3.1_ELEC'!E203</f>
        <v>2</v>
      </c>
      <c r="G731" s="175" t="str">
        <f>+_xlfn.XLOOKUP(C731,'BASE DATOS PRECIOS '!B:B,'BASE DATOS PRECIOS '!F:F)</f>
        <v>UND</v>
      </c>
      <c r="H731" s="176">
        <f>+_xlfn.XLOOKUP(E731,'BASE DATOS PRECIOS '!E:E,'BASE DATOS PRECIOS '!H:H)</f>
        <v>331.09</v>
      </c>
      <c r="I731" s="175"/>
      <c r="J731" s="176"/>
      <c r="K731" s="176">
        <f t="shared" si="452"/>
        <v>662.18</v>
      </c>
      <c r="L731" s="176">
        <f t="shared" si="453"/>
        <v>0</v>
      </c>
      <c r="M731" s="176">
        <f t="shared" si="454"/>
        <v>0</v>
      </c>
      <c r="N731" s="176">
        <f t="shared" si="455"/>
        <v>662.18</v>
      </c>
      <c r="O731" s="1083">
        <f t="shared" si="456"/>
        <v>1.2857864077669903</v>
      </c>
    </row>
    <row r="732" spans="1:15" x14ac:dyDescent="0.2">
      <c r="A732" s="303"/>
      <c r="B732" s="833">
        <f t="shared" si="446"/>
        <v>3.1</v>
      </c>
      <c r="C732" s="303" t="s">
        <v>2295</v>
      </c>
      <c r="D732" s="822"/>
      <c r="E732" s="161" t="str">
        <f>+_xlfn.XLOOKUP(C732,'BASE DATOS PRECIOS '!B:B,'BASE DATOS PRECIOS '!E:E)</f>
        <v>CONECTOR CONDUIT 1/2 UL</v>
      </c>
      <c r="F732" s="174">
        <f>'3.1_ELEC'!E204</f>
        <v>20</v>
      </c>
      <c r="G732" s="175" t="str">
        <f>+_xlfn.XLOOKUP(C732,'BASE DATOS PRECIOS '!B:B,'BASE DATOS PRECIOS '!F:F)</f>
        <v>UND</v>
      </c>
      <c r="H732" s="176">
        <f>+_xlfn.XLOOKUP(E732,'BASE DATOS PRECIOS '!E:E,'BASE DATOS PRECIOS '!H:H)</f>
        <v>94.072499999999991</v>
      </c>
      <c r="I732" s="175"/>
      <c r="J732" s="176"/>
      <c r="K732" s="176">
        <f t="shared" si="452"/>
        <v>1881.4499999999998</v>
      </c>
      <c r="L732" s="176">
        <f t="shared" si="453"/>
        <v>0</v>
      </c>
      <c r="M732" s="176">
        <f t="shared" si="454"/>
        <v>0</v>
      </c>
      <c r="N732" s="176">
        <f t="shared" si="455"/>
        <v>1881.4499999999998</v>
      </c>
      <c r="O732" s="1083">
        <f t="shared" si="456"/>
        <v>3.653300970873786</v>
      </c>
    </row>
    <row r="733" spans="1:15" x14ac:dyDescent="0.2">
      <c r="A733" s="303"/>
      <c r="B733" s="833">
        <f t="shared" si="446"/>
        <v>3.1</v>
      </c>
      <c r="C733" s="303" t="s">
        <v>2291</v>
      </c>
      <c r="D733" s="822"/>
      <c r="E733" s="161" t="str">
        <f>+_xlfn.XLOOKUP(C733,'BASE DATOS PRECIOS '!B:B,'BASE DATOS PRECIOS '!E:E)</f>
        <v>CONECTOR CONDUIT 3/4 UL</v>
      </c>
      <c r="F733" s="174">
        <f>'3.1_ELEC'!E205</f>
        <v>10</v>
      </c>
      <c r="G733" s="175" t="str">
        <f>+_xlfn.XLOOKUP(C733,'BASE DATOS PRECIOS '!B:B,'BASE DATOS PRECIOS '!F:F)</f>
        <v>UND</v>
      </c>
      <c r="H733" s="176">
        <f>+_xlfn.XLOOKUP(E733,'BASE DATOS PRECIOS '!E:E,'BASE DATOS PRECIOS '!H:H)</f>
        <v>119.49749999999999</v>
      </c>
      <c r="I733" s="175"/>
      <c r="J733" s="176"/>
      <c r="K733" s="176">
        <f t="shared" si="452"/>
        <v>1194.9749999999999</v>
      </c>
      <c r="L733" s="176">
        <f t="shared" si="453"/>
        <v>0</v>
      </c>
      <c r="M733" s="176">
        <f t="shared" si="454"/>
        <v>0</v>
      </c>
      <c r="N733" s="176">
        <f t="shared" si="455"/>
        <v>1194.9749999999999</v>
      </c>
      <c r="O733" s="1083">
        <f t="shared" si="456"/>
        <v>2.3203398058252427</v>
      </c>
    </row>
    <row r="734" spans="1:15" x14ac:dyDescent="0.2">
      <c r="A734" s="303"/>
      <c r="B734" s="833">
        <f t="shared" si="446"/>
        <v>3.1</v>
      </c>
      <c r="C734" s="303" t="s">
        <v>2283</v>
      </c>
      <c r="D734" s="822"/>
      <c r="E734" s="161" t="str">
        <f>+_xlfn.XLOOKUP(C734,'BASE DATOS PRECIOS '!B:B,'BASE DATOS PRECIOS '!E:E)</f>
        <v>UNION CONDUIT 1-1/2 UL</v>
      </c>
      <c r="F734" s="174">
        <f>'3.1_ELEC'!E206</f>
        <v>1</v>
      </c>
      <c r="G734" s="175" t="str">
        <f>+_xlfn.XLOOKUP(C734,'BASE DATOS PRECIOS '!B:B,'BASE DATOS PRECIOS '!F:F)</f>
        <v>UND</v>
      </c>
      <c r="H734" s="176">
        <f>+_xlfn.XLOOKUP(E734,'BASE DATOS PRECIOS '!E:E,'BASE DATOS PRECIOS '!H:H)</f>
        <v>311.315</v>
      </c>
      <c r="I734" s="175"/>
      <c r="J734" s="176"/>
      <c r="K734" s="176">
        <f t="shared" si="452"/>
        <v>311.315</v>
      </c>
      <c r="L734" s="176">
        <f t="shared" si="453"/>
        <v>0</v>
      </c>
      <c r="M734" s="176">
        <f t="shared" si="454"/>
        <v>0</v>
      </c>
      <c r="N734" s="176">
        <f t="shared" si="455"/>
        <v>311.315</v>
      </c>
      <c r="O734" s="1083">
        <f t="shared" si="456"/>
        <v>0.60449514563106799</v>
      </c>
    </row>
    <row r="735" spans="1:15" x14ac:dyDescent="0.2">
      <c r="A735" s="303"/>
      <c r="B735" s="833">
        <f t="shared" si="446"/>
        <v>3.1</v>
      </c>
      <c r="C735" s="303" t="s">
        <v>2284</v>
      </c>
      <c r="D735" s="822"/>
      <c r="E735" s="161" t="str">
        <f>+_xlfn.XLOOKUP(C735,'BASE DATOS PRECIOS '!B:B,'BASE DATOS PRECIOS '!E:E)</f>
        <v>UNION CONDUIT 1 UL</v>
      </c>
      <c r="F735" s="174">
        <f>'3.1_ELEC'!E207</f>
        <v>2</v>
      </c>
      <c r="G735" s="175" t="str">
        <f>+_xlfn.XLOOKUP(C735,'BASE DATOS PRECIOS '!B:B,'BASE DATOS PRECIOS '!F:F)</f>
        <v>UND</v>
      </c>
      <c r="H735" s="176">
        <f>+_xlfn.XLOOKUP(E735,'BASE DATOS PRECIOS '!E:E,'BASE DATOS PRECIOS '!H:H)</f>
        <v>170.065</v>
      </c>
      <c r="I735" s="175"/>
      <c r="J735" s="176"/>
      <c r="K735" s="176">
        <f t="shared" si="452"/>
        <v>340.13</v>
      </c>
      <c r="L735" s="176">
        <f t="shared" si="453"/>
        <v>0</v>
      </c>
      <c r="M735" s="176">
        <f t="shared" si="454"/>
        <v>0</v>
      </c>
      <c r="N735" s="176">
        <f t="shared" si="455"/>
        <v>340.13</v>
      </c>
      <c r="O735" s="1083">
        <f t="shared" si="456"/>
        <v>0.66044660194174754</v>
      </c>
    </row>
    <row r="736" spans="1:15" x14ac:dyDescent="0.2">
      <c r="A736" s="303"/>
      <c r="B736" s="833">
        <f t="shared" si="446"/>
        <v>3.1</v>
      </c>
      <c r="C736" s="303" t="s">
        <v>2292</v>
      </c>
      <c r="D736" s="822"/>
      <c r="E736" s="161" t="str">
        <f>+_xlfn.XLOOKUP(C736,'BASE DATOS PRECIOS '!B:B,'BASE DATOS PRECIOS '!E:E)</f>
        <v>UNION CONDUIT 1/2 UL</v>
      </c>
      <c r="F736" s="174">
        <f>'3.1_ELEC'!E208</f>
        <v>13</v>
      </c>
      <c r="G736" s="175" t="str">
        <f>+_xlfn.XLOOKUP(C736,'BASE DATOS PRECIOS '!B:B,'BASE DATOS PRECIOS '!F:F)</f>
        <v>UND</v>
      </c>
      <c r="H736" s="176">
        <f>+_xlfn.XLOOKUP(E736,'BASE DATOS PRECIOS '!E:E,'BASE DATOS PRECIOS '!H:H)</f>
        <v>75.144999999999996</v>
      </c>
      <c r="I736" s="175"/>
      <c r="J736" s="176"/>
      <c r="K736" s="176">
        <f t="shared" si="452"/>
        <v>976.88499999999999</v>
      </c>
      <c r="L736" s="176">
        <f t="shared" si="453"/>
        <v>0</v>
      </c>
      <c r="M736" s="176">
        <f t="shared" si="454"/>
        <v>0</v>
      </c>
      <c r="N736" s="176">
        <f t="shared" si="455"/>
        <v>976.88499999999999</v>
      </c>
      <c r="O736" s="1083">
        <f t="shared" si="456"/>
        <v>1.8968640776699028</v>
      </c>
    </row>
    <row r="737" spans="1:15" x14ac:dyDescent="0.2">
      <c r="A737" s="303"/>
      <c r="B737" s="833">
        <f t="shared" si="446"/>
        <v>3.1</v>
      </c>
      <c r="C737" s="303" t="s">
        <v>2290</v>
      </c>
      <c r="D737" s="822"/>
      <c r="E737" s="161" t="str">
        <f>+_xlfn.XLOOKUP(C737,'BASE DATOS PRECIOS '!B:B,'BASE DATOS PRECIOS '!E:E)</f>
        <v>UNION CONDUIT 3/4 UL</v>
      </c>
      <c r="F737" s="174">
        <f>'3.1_ELEC'!E209</f>
        <v>10</v>
      </c>
      <c r="G737" s="175" t="str">
        <f>+_xlfn.XLOOKUP(C737,'BASE DATOS PRECIOS '!B:B,'BASE DATOS PRECIOS '!F:F)</f>
        <v>UND</v>
      </c>
      <c r="H737" s="176">
        <f>+_xlfn.XLOOKUP(E737,'BASE DATOS PRECIOS '!E:E,'BASE DATOS PRECIOS '!H:H)</f>
        <v>106.785</v>
      </c>
      <c r="I737" s="175"/>
      <c r="J737" s="176"/>
      <c r="K737" s="176">
        <f t="shared" si="452"/>
        <v>1067.8499999999999</v>
      </c>
      <c r="L737" s="176">
        <f t="shared" si="453"/>
        <v>0</v>
      </c>
      <c r="M737" s="176">
        <f t="shared" si="454"/>
        <v>0</v>
      </c>
      <c r="N737" s="176">
        <f t="shared" si="455"/>
        <v>1067.8499999999999</v>
      </c>
      <c r="O737" s="1083">
        <f t="shared" si="456"/>
        <v>2.073495145631068</v>
      </c>
    </row>
    <row r="738" spans="1:15" x14ac:dyDescent="0.2">
      <c r="A738" s="1074"/>
      <c r="B738" s="833">
        <f t="shared" si="446"/>
        <v>3.1</v>
      </c>
      <c r="C738" s="303" t="s">
        <v>2186</v>
      </c>
      <c r="D738" s="822"/>
      <c r="E738" s="161" t="str">
        <f>+_xlfn.XLOOKUP(C738,'BASE DATOS PRECIOS '!B:B,'BASE DATOS PRECIOS '!E:E)</f>
        <v>REGLA SEMIDURO 1X3X4 SIN CEPILLAR</v>
      </c>
      <c r="F738" s="174">
        <f>'3.1_ELEC'!E210</f>
        <v>1</v>
      </c>
      <c r="G738" s="175" t="str">
        <f>+_xlfn.XLOOKUP(C738,'BASE DATOS PRECIOS '!B:B,'BASE DATOS PRECIOS '!F:F)</f>
        <v>UND</v>
      </c>
      <c r="H738" s="176">
        <f>+_xlfn.XLOOKUP(E738,'BASE DATOS PRECIOS '!E:E,'BASE DATOS PRECIOS '!H:H)</f>
        <v>1524.9914999999999</v>
      </c>
      <c r="I738" s="175"/>
      <c r="J738" s="176"/>
      <c r="K738" s="176">
        <f t="shared" si="452"/>
        <v>1524.9914999999999</v>
      </c>
      <c r="L738" s="176">
        <f t="shared" si="453"/>
        <v>0</v>
      </c>
      <c r="M738" s="176">
        <f t="shared" si="454"/>
        <v>0</v>
      </c>
      <c r="N738" s="176">
        <f t="shared" si="455"/>
        <v>1524.9914999999999</v>
      </c>
      <c r="O738" s="1083">
        <f t="shared" si="456"/>
        <v>2.9611485436893199</v>
      </c>
    </row>
    <row r="739" spans="1:15" x14ac:dyDescent="0.2">
      <c r="A739" s="1074"/>
      <c r="B739" s="833">
        <f t="shared" si="446"/>
        <v>3.1</v>
      </c>
      <c r="C739" s="303" t="s">
        <v>1987</v>
      </c>
      <c r="D739" s="822"/>
      <c r="E739" s="161" t="str">
        <f>+_xlfn.XLOOKUP(C739,'BASE DATOS PRECIOS '!B:B,'BASE DATOS PRECIOS '!E:E)</f>
        <v>CAJA RECTANGULAR EMT CON HUECO DE 1/2 Y 3/4 UL</v>
      </c>
      <c r="F739" s="174">
        <f>'3.1_ELEC'!E211</f>
        <v>1</v>
      </c>
      <c r="G739" s="175" t="str">
        <f>+_xlfn.XLOOKUP(C739,'BASE DATOS PRECIOS '!B:B,'BASE DATOS PRECIOS '!F:F)</f>
        <v>UND</v>
      </c>
      <c r="H739" s="176">
        <f>+_xlfn.XLOOKUP(E739,'BASE DATOS PRECIOS '!E:E,'BASE DATOS PRECIOS '!H:H)</f>
        <v>764.99869999999999</v>
      </c>
      <c r="I739" s="175"/>
      <c r="J739" s="176"/>
      <c r="K739" s="176">
        <f t="shared" si="452"/>
        <v>764.99869999999999</v>
      </c>
      <c r="L739" s="176">
        <f t="shared" si="453"/>
        <v>0</v>
      </c>
      <c r="M739" s="176">
        <f t="shared" si="454"/>
        <v>0</v>
      </c>
      <c r="N739" s="176">
        <f t="shared" si="455"/>
        <v>764.99869999999999</v>
      </c>
      <c r="O739" s="1083">
        <f t="shared" si="456"/>
        <v>1.4854343689320388</v>
      </c>
    </row>
    <row r="740" spans="1:15" x14ac:dyDescent="0.2">
      <c r="A740" s="303"/>
      <c r="B740" s="833">
        <f t="shared" si="446"/>
        <v>3.1</v>
      </c>
      <c r="C740" s="303" t="s">
        <v>2308</v>
      </c>
      <c r="D740" s="822"/>
      <c r="E740" s="161" t="str">
        <f>+_xlfn.XLOOKUP(C740,'BASE DATOS PRECIOS '!B:B,'BASE DATOS PRECIOS '!E:E)</f>
        <v>CENTRO DE CARGA QO124L125PG</v>
      </c>
      <c r="F740" s="174">
        <f>'3.1_ELEC'!E212</f>
        <v>0</v>
      </c>
      <c r="G740" s="175" t="str">
        <f>+_xlfn.XLOOKUP(C740,'BASE DATOS PRECIOS '!B:B,'BASE DATOS PRECIOS '!F:F)</f>
        <v>UND</v>
      </c>
      <c r="H740" s="176">
        <f>+_xlfn.XLOOKUP(E740,'BASE DATOS PRECIOS '!E:E,'BASE DATOS PRECIOS '!H:H)</f>
        <v>81719.904999999999</v>
      </c>
      <c r="I740" s="175"/>
      <c r="J740" s="176"/>
      <c r="K740" s="176">
        <f t="shared" si="452"/>
        <v>0</v>
      </c>
      <c r="L740" s="176">
        <f t="shared" si="453"/>
        <v>0</v>
      </c>
      <c r="M740" s="176">
        <f t="shared" si="454"/>
        <v>0</v>
      </c>
      <c r="N740" s="176">
        <f t="shared" si="455"/>
        <v>0</v>
      </c>
      <c r="O740" s="1083">
        <f t="shared" si="456"/>
        <v>0</v>
      </c>
    </row>
    <row r="741" spans="1:15" x14ac:dyDescent="0.2">
      <c r="A741" s="303"/>
      <c r="B741" s="833">
        <f t="shared" si="446"/>
        <v>3.1</v>
      </c>
      <c r="C741" s="303" t="s">
        <v>2309</v>
      </c>
      <c r="D741" s="822"/>
      <c r="E741" s="161" t="str">
        <f>+_xlfn.XLOOKUP(C741,'BASE DATOS PRECIOS '!B:B,'BASE DATOS PRECIOS '!E:E)</f>
        <v>GABINETE 15" PLASTICO UL</v>
      </c>
      <c r="F741" s="174">
        <f>'3.1_ELEC'!E213</f>
        <v>1</v>
      </c>
      <c r="G741" s="175" t="str">
        <f>+_xlfn.XLOOKUP(C741,'BASE DATOS PRECIOS '!B:B,'BASE DATOS PRECIOS '!F:F)</f>
        <v>UND</v>
      </c>
      <c r="H741" s="176">
        <f>+_xlfn.XLOOKUP(E741,'BASE DATOS PRECIOS '!E:E,'BASE DATOS PRECIOS '!H:H)</f>
        <v>48510.899999999994</v>
      </c>
      <c r="I741" s="175"/>
      <c r="J741" s="176"/>
      <c r="K741" s="176">
        <f t="shared" si="452"/>
        <v>48510.899999999994</v>
      </c>
      <c r="L741" s="176">
        <f t="shared" si="453"/>
        <v>0</v>
      </c>
      <c r="M741" s="176">
        <f t="shared" si="454"/>
        <v>0</v>
      </c>
      <c r="N741" s="176">
        <f t="shared" si="455"/>
        <v>48510.899999999994</v>
      </c>
      <c r="O741" s="1083">
        <f t="shared" si="456"/>
        <v>94.195922330097076</v>
      </c>
    </row>
    <row r="742" spans="1:15" x14ac:dyDescent="0.2">
      <c r="A742" s="303"/>
      <c r="B742" s="833">
        <f t="shared" si="446"/>
        <v>3.1</v>
      </c>
      <c r="C742" s="303" t="s">
        <v>1992</v>
      </c>
      <c r="D742" s="822"/>
      <c r="E742" s="161" t="str">
        <f>+_xlfn.XLOOKUP(C742,'BASE DATOS PRECIOS '!B:B,'BASE DATOS PRECIOS '!E:E)</f>
        <v>CURVA CONDUIT 1/2 UL</v>
      </c>
      <c r="F742" s="174">
        <f>'3.1_ELEC'!E214</f>
        <v>1</v>
      </c>
      <c r="G742" s="175" t="str">
        <f>+_xlfn.XLOOKUP(C742,'BASE DATOS PRECIOS '!B:B,'BASE DATOS PRECIOS '!F:F)</f>
        <v>UND</v>
      </c>
      <c r="H742" s="176">
        <f>+_xlfn.XLOOKUP(E742,'BASE DATOS PRECIOS '!E:E,'BASE DATOS PRECIOS '!H:H)</f>
        <v>327.13499999999999</v>
      </c>
      <c r="I742" s="175"/>
      <c r="J742" s="176"/>
      <c r="K742" s="176">
        <f t="shared" si="452"/>
        <v>327.13499999999999</v>
      </c>
      <c r="L742" s="176">
        <f t="shared" si="453"/>
        <v>0</v>
      </c>
      <c r="M742" s="176">
        <f t="shared" si="454"/>
        <v>0</v>
      </c>
      <c r="N742" s="176">
        <f t="shared" si="455"/>
        <v>327.13499999999999</v>
      </c>
      <c r="O742" s="1083">
        <f t="shared" si="456"/>
        <v>0.63521359223300966</v>
      </c>
    </row>
    <row r="743" spans="1:15" x14ac:dyDescent="0.2">
      <c r="A743" s="303"/>
      <c r="B743" s="833">
        <f t="shared" si="446"/>
        <v>3.1</v>
      </c>
      <c r="C743" s="303" t="s">
        <v>3317</v>
      </c>
      <c r="D743" s="822"/>
      <c r="E743" s="161" t="str">
        <f>+_xlfn.XLOOKUP(C743,'BASE DATOS PRECIOS '!B:B,'BASE DATOS PRECIOS '!E:E)</f>
        <v>CENTRO CARGA 32 ESPACIOS SQUARE D QO DE EMPOTRAR</v>
      </c>
      <c r="F743" s="174">
        <f>'3.1_ELEC'!E215</f>
        <v>1</v>
      </c>
      <c r="G743" s="175" t="str">
        <f>+_xlfn.XLOOKUP(C743,'BASE DATOS PRECIOS '!B:B,'BASE DATOS PRECIOS '!F:F)</f>
        <v>UND</v>
      </c>
      <c r="H743" s="176">
        <f>+_xlfn.XLOOKUP(E743,'BASE DATOS PRECIOS '!E:E,'BASE DATOS PRECIOS '!H:H)</f>
        <v>82500.890374999974</v>
      </c>
      <c r="I743" s="175"/>
      <c r="J743" s="176"/>
      <c r="K743" s="176">
        <f t="shared" si="452"/>
        <v>82500.890374999974</v>
      </c>
      <c r="L743" s="176">
        <f t="shared" si="453"/>
        <v>0</v>
      </c>
      <c r="M743" s="176">
        <f t="shared" si="454"/>
        <v>0</v>
      </c>
      <c r="N743" s="176">
        <f t="shared" si="455"/>
        <v>82500.890374999974</v>
      </c>
      <c r="O743" s="1083">
        <f t="shared" si="456"/>
        <v>160.19590364077663</v>
      </c>
    </row>
    <row r="744" spans="1:15" x14ac:dyDescent="0.2">
      <c r="A744" s="303"/>
      <c r="B744" s="833">
        <f t="shared" si="446"/>
        <v>3.1</v>
      </c>
      <c r="C744" s="791" t="s">
        <v>1424</v>
      </c>
      <c r="D744" s="266"/>
      <c r="E744" s="211" t="str">
        <f>+_xlfn.XLOOKUP(C744,'BASE DATOS EQUIPOS Y SUBCONTRAT'!A:A,'BASE DATOS EQUIPOS Y SUBCONTRAT'!B:B)</f>
        <v xml:space="preserve">M.O. ARMADO TABLEROS </v>
      </c>
      <c r="F744" s="263">
        <v>1</v>
      </c>
      <c r="G744" s="264" t="str">
        <f>+_xlfn.XLOOKUP(C744,'BASE DATOS EQUIPOS Y SUBCONTRAT'!A:A,'BASE DATOS EQUIPOS Y SUBCONTRAT'!C:C)</f>
        <v xml:space="preserve">GLOBAL </v>
      </c>
      <c r="H744" s="265">
        <v>0</v>
      </c>
      <c r="I744" s="264"/>
      <c r="J744" s="265">
        <f>+'3.1_ELEC'!D218</f>
        <v>32500</v>
      </c>
      <c r="K744" s="265">
        <f t="shared" si="452"/>
        <v>0</v>
      </c>
      <c r="L744" s="265">
        <f t="shared" si="453"/>
        <v>0</v>
      </c>
      <c r="M744" s="265">
        <f t="shared" si="454"/>
        <v>32500</v>
      </c>
      <c r="N744" s="265">
        <f t="shared" si="455"/>
        <v>32500</v>
      </c>
      <c r="O744" s="1094">
        <f t="shared" si="456"/>
        <v>63.106796116504853</v>
      </c>
    </row>
    <row r="745" spans="1:15" x14ac:dyDescent="0.2">
      <c r="A745" s="303"/>
      <c r="B745" s="833">
        <f t="shared" si="446"/>
        <v>3.1</v>
      </c>
      <c r="C745" s="774" t="s">
        <v>36</v>
      </c>
      <c r="D745" s="210"/>
      <c r="E745" s="211" t="str">
        <f>+_xlfn.XLOOKUP(C745,'BASE DATOS MANO DE OBRA'!A:A,'BASE DATOS MANO DE OBRA'!B:B)</f>
        <v xml:space="preserve">OPERARIO PLUS </v>
      </c>
      <c r="F745" s="212">
        <v>0</v>
      </c>
      <c r="G745" s="213" t="str">
        <f>+_xlfn.XLOOKUP(C745,'BASE DATOS MANO DE OBRA'!A:A,'BASE DATOS MANO DE OBRA'!C:C)</f>
        <v xml:space="preserve">hora </v>
      </c>
      <c r="H745" s="214">
        <v>0</v>
      </c>
      <c r="I745" s="214">
        <f>+_xlfn.XLOOKUP(C745,'BASE DATOS MANO DE OBRA'!A:A,'BASE DATOS MANO DE OBRA'!E:E)</f>
        <v>2850</v>
      </c>
      <c r="J745" s="214">
        <v>0</v>
      </c>
      <c r="K745" s="214">
        <f t="shared" si="452"/>
        <v>0</v>
      </c>
      <c r="L745" s="214">
        <f t="shared" si="453"/>
        <v>0</v>
      </c>
      <c r="M745" s="214">
        <f t="shared" si="454"/>
        <v>0</v>
      </c>
      <c r="N745" s="214">
        <f t="shared" si="455"/>
        <v>0</v>
      </c>
      <c r="O745" s="1086">
        <f t="shared" si="456"/>
        <v>0</v>
      </c>
    </row>
    <row r="746" spans="1:15" x14ac:dyDescent="0.2">
      <c r="A746" s="303"/>
      <c r="B746" s="833">
        <f t="shared" si="446"/>
        <v>3.1</v>
      </c>
      <c r="C746" s="774" t="s">
        <v>37</v>
      </c>
      <c r="D746" s="210"/>
      <c r="E746" s="211" t="str">
        <f>+_xlfn.XLOOKUP(C746,'BASE DATOS MANO DE OBRA'!A:A,'BASE DATOS MANO DE OBRA'!B:B)</f>
        <v xml:space="preserve">AYUDANTE PLUS </v>
      </c>
      <c r="F746" s="212">
        <v>0</v>
      </c>
      <c r="G746" s="213" t="str">
        <f>+_xlfn.XLOOKUP(C746,'BASE DATOS MANO DE OBRA'!A:A,'BASE DATOS MANO DE OBRA'!C:C)</f>
        <v xml:space="preserve">hora </v>
      </c>
      <c r="H746" s="214">
        <v>0</v>
      </c>
      <c r="I746" s="214">
        <f>+_xlfn.XLOOKUP(C746,'BASE DATOS MANO DE OBRA'!A:A,'BASE DATOS MANO DE OBRA'!E:E)</f>
        <v>2325</v>
      </c>
      <c r="J746" s="214">
        <v>0</v>
      </c>
      <c r="K746" s="214">
        <f t="shared" si="452"/>
        <v>0</v>
      </c>
      <c r="L746" s="214">
        <f t="shared" si="453"/>
        <v>0</v>
      </c>
      <c r="M746" s="214">
        <f t="shared" si="454"/>
        <v>0</v>
      </c>
      <c r="N746" s="214">
        <f t="shared" si="455"/>
        <v>0</v>
      </c>
      <c r="O746" s="1086">
        <f t="shared" si="456"/>
        <v>0</v>
      </c>
    </row>
    <row r="747" spans="1:15" s="49" customFormat="1" ht="18.600000000000001" customHeight="1" x14ac:dyDescent="0.2">
      <c r="A747" s="303"/>
      <c r="B747" s="833">
        <f t="shared" si="446"/>
        <v>3.1</v>
      </c>
      <c r="C747" s="770" t="s">
        <v>2079</v>
      </c>
      <c r="D747" s="824"/>
      <c r="E747" s="454" t="s">
        <v>237</v>
      </c>
      <c r="F747" s="455">
        <v>1</v>
      </c>
      <c r="G747" s="453" t="s">
        <v>29</v>
      </c>
      <c r="H747" s="453"/>
      <c r="I747" s="453"/>
      <c r="J747" s="453"/>
      <c r="K747" s="456">
        <f>+SUBTOTAL(9,K748:K768)</f>
        <v>399790.97160000005</v>
      </c>
      <c r="L747" s="456">
        <f t="shared" ref="L747:M747" si="457">+SUBTOTAL(9,L748:L768)</f>
        <v>0</v>
      </c>
      <c r="M747" s="456">
        <f t="shared" si="457"/>
        <v>442468</v>
      </c>
      <c r="N747" s="456">
        <f>+SUBTOTAL(9,N748:N768)</f>
        <v>842258.97160000005</v>
      </c>
      <c r="O747" s="1082">
        <f>+SUBTOTAL(9,O748:O768)</f>
        <v>1635.4543137864075</v>
      </c>
    </row>
    <row r="748" spans="1:15" s="49" customFormat="1" ht="18.600000000000001" customHeight="1" x14ac:dyDescent="0.2">
      <c r="A748" s="303"/>
      <c r="B748" s="833">
        <f t="shared" si="446"/>
        <v>3.1</v>
      </c>
      <c r="C748" s="792"/>
      <c r="D748" s="825"/>
      <c r="E748" s="565" t="s">
        <v>3319</v>
      </c>
      <c r="F748" s="566"/>
      <c r="G748" s="564"/>
      <c r="H748" s="564"/>
      <c r="I748" s="564"/>
      <c r="J748" s="564"/>
      <c r="K748" s="567"/>
      <c r="L748" s="567"/>
      <c r="M748" s="567"/>
      <c r="N748" s="567"/>
      <c r="O748" s="1096"/>
    </row>
    <row r="749" spans="1:15" x14ac:dyDescent="0.2">
      <c r="A749" s="1074"/>
      <c r="B749" s="833">
        <f t="shared" si="446"/>
        <v>3.1</v>
      </c>
      <c r="C749" s="775" t="s">
        <v>2312</v>
      </c>
      <c r="D749" s="826" t="s">
        <v>3514</v>
      </c>
      <c r="E749" s="161" t="str">
        <f>+_xlfn.XLOOKUP(C749,'BASE DATOS PRECIOS '!B:B,'BASE DATOS PRECIOS '!E:E)</f>
        <v>CABLE #12</v>
      </c>
      <c r="F749" s="174">
        <f>'3.1_ELEC'!D225</f>
        <v>230</v>
      </c>
      <c r="G749" s="175" t="str">
        <f>+_xlfn.XLOOKUP(C749,'BASE DATOS PRECIOS '!B:B,'BASE DATOS PRECIOS '!F:F)</f>
        <v>M</v>
      </c>
      <c r="H749" s="176">
        <f>+_xlfn.XLOOKUP(E749,'BASE DATOS PRECIOS '!E:E,'BASE DATOS PRECIOS '!H:H)</f>
        <v>265.54999999999995</v>
      </c>
      <c r="I749" s="175"/>
      <c r="J749" s="175"/>
      <c r="K749" s="176">
        <f t="shared" ref="K749:K764" si="458">+F749*H749</f>
        <v>61076.499999999993</v>
      </c>
      <c r="L749" s="176">
        <f t="shared" ref="L749:L764" si="459">+F749*I749</f>
        <v>0</v>
      </c>
      <c r="M749" s="176">
        <f t="shared" ref="M749:M764" si="460">+F749*J749</f>
        <v>0</v>
      </c>
      <c r="N749" s="176">
        <f t="shared" ref="N749:N764" si="461">SUM(K749:M749)</f>
        <v>61076.499999999993</v>
      </c>
      <c r="O749" s="1083">
        <f t="shared" ref="O749:O764" si="462">SUM(K749:M749)/tc</f>
        <v>118.59514563106795</v>
      </c>
    </row>
    <row r="750" spans="1:15" x14ac:dyDescent="0.2">
      <c r="A750" s="303"/>
      <c r="B750" s="833">
        <f t="shared" si="446"/>
        <v>3.1</v>
      </c>
      <c r="C750" s="775" t="s">
        <v>2312</v>
      </c>
      <c r="D750" s="826" t="s">
        <v>109</v>
      </c>
      <c r="E750" s="161" t="str">
        <f>+_xlfn.XLOOKUP(C750,'BASE DATOS PRECIOS '!B:B,'BASE DATOS PRECIOS '!E:E)</f>
        <v>CABLE #12</v>
      </c>
      <c r="F750" s="174">
        <f>'3.1_ELEC'!D226</f>
        <v>230</v>
      </c>
      <c r="G750" s="175" t="str">
        <f>+_xlfn.XLOOKUP(C750,'BASE DATOS PRECIOS '!B:B,'BASE DATOS PRECIOS '!F:F)</f>
        <v>M</v>
      </c>
      <c r="H750" s="176">
        <f>+_xlfn.XLOOKUP(E750,'BASE DATOS PRECIOS '!E:E,'BASE DATOS PRECIOS '!H:H)</f>
        <v>265.54999999999995</v>
      </c>
      <c r="I750" s="175"/>
      <c r="J750" s="175"/>
      <c r="K750" s="176">
        <f t="shared" si="458"/>
        <v>61076.499999999993</v>
      </c>
      <c r="L750" s="176">
        <f t="shared" si="459"/>
        <v>0</v>
      </c>
      <c r="M750" s="176">
        <f t="shared" si="460"/>
        <v>0</v>
      </c>
      <c r="N750" s="176">
        <f t="shared" si="461"/>
        <v>61076.499999999993</v>
      </c>
      <c r="O750" s="1083">
        <f t="shared" si="462"/>
        <v>118.59514563106795</v>
      </c>
    </row>
    <row r="751" spans="1:15" x14ac:dyDescent="0.2">
      <c r="A751" s="303"/>
      <c r="B751" s="833">
        <f t="shared" si="446"/>
        <v>3.1</v>
      </c>
      <c r="C751" s="786" t="s">
        <v>2312</v>
      </c>
      <c r="D751" s="826" t="s">
        <v>140</v>
      </c>
      <c r="E751" s="161" t="str">
        <f>+_xlfn.XLOOKUP(C751,'BASE DATOS PRECIOS '!B:B,'BASE DATOS PRECIOS '!E:E)</f>
        <v>CABLE #12</v>
      </c>
      <c r="F751" s="174">
        <f>'3.1_ELEC'!D227</f>
        <v>230</v>
      </c>
      <c r="G751" s="175" t="str">
        <f>+_xlfn.XLOOKUP(C751,'BASE DATOS PRECIOS '!B:B,'BASE DATOS PRECIOS '!F:F)</f>
        <v>M</v>
      </c>
      <c r="H751" s="176">
        <f>+_xlfn.XLOOKUP(E751,'BASE DATOS PRECIOS '!E:E,'BASE DATOS PRECIOS '!H:H)</f>
        <v>265.54999999999995</v>
      </c>
      <c r="I751" s="175"/>
      <c r="J751" s="175"/>
      <c r="K751" s="176">
        <f t="shared" si="458"/>
        <v>61076.499999999993</v>
      </c>
      <c r="L751" s="176">
        <f t="shared" si="459"/>
        <v>0</v>
      </c>
      <c r="M751" s="176">
        <f t="shared" si="460"/>
        <v>0</v>
      </c>
      <c r="N751" s="176">
        <f t="shared" si="461"/>
        <v>61076.499999999993</v>
      </c>
      <c r="O751" s="1083">
        <f t="shared" si="462"/>
        <v>118.59514563106795</v>
      </c>
    </row>
    <row r="752" spans="1:15" x14ac:dyDescent="0.2">
      <c r="A752" s="303"/>
      <c r="B752" s="833">
        <f t="shared" si="446"/>
        <v>3.1</v>
      </c>
      <c r="C752" s="786" t="s">
        <v>2299</v>
      </c>
      <c r="D752" s="826"/>
      <c r="E752" s="161" t="str">
        <f>+_xlfn.XLOOKUP(C752,'BASE DATOS PRECIOS '!B:B,'BASE DATOS PRECIOS '!E:E)</f>
        <v>CABLE ALUMINIO 1/0 SERIE 8000</v>
      </c>
      <c r="F752" s="174">
        <f>+'3.1_ELEC'!E235</f>
        <v>60</v>
      </c>
      <c r="G752" s="175" t="str">
        <f>+_xlfn.XLOOKUP(C752,'BASE DATOS PRECIOS '!B:B,'BASE DATOS PRECIOS '!F:F)</f>
        <v>M</v>
      </c>
      <c r="H752" s="176">
        <f>+_xlfn.XLOOKUP(E752,'BASE DATOS PRECIOS '!E:E,'BASE DATOS PRECIOS '!H:H)</f>
        <v>827.63459999999986</v>
      </c>
      <c r="I752" s="175"/>
      <c r="J752" s="175"/>
      <c r="K752" s="176">
        <f t="shared" si="458"/>
        <v>49658.075999999994</v>
      </c>
      <c r="L752" s="176">
        <f t="shared" si="459"/>
        <v>0</v>
      </c>
      <c r="M752" s="176">
        <f t="shared" si="460"/>
        <v>0</v>
      </c>
      <c r="N752" s="176">
        <f t="shared" si="461"/>
        <v>49658.075999999994</v>
      </c>
      <c r="O752" s="1083">
        <f t="shared" si="462"/>
        <v>96.423448543689304</v>
      </c>
    </row>
    <row r="753" spans="1:15" x14ac:dyDescent="0.2">
      <c r="A753" s="303"/>
      <c r="B753" s="833">
        <f t="shared" si="446"/>
        <v>3.1</v>
      </c>
      <c r="C753" s="786" t="s">
        <v>2316</v>
      </c>
      <c r="D753" s="826"/>
      <c r="E753" s="161" t="str">
        <f>+_xlfn.XLOOKUP(C753,'BASE DATOS PRECIOS '!B:B,'BASE DATOS PRECIOS '!E:E)</f>
        <v>CABLE DE ALUMINIO #6 SERIE 8000</v>
      </c>
      <c r="F753" s="174">
        <f>+'3.1_ELEC'!E236</f>
        <v>20</v>
      </c>
      <c r="G753" s="175" t="str">
        <f>+_xlfn.XLOOKUP(C753,'BASE DATOS PRECIOS '!B:B,'BASE DATOS PRECIOS '!F:F)</f>
        <v>M</v>
      </c>
      <c r="H753" s="176">
        <f>+_xlfn.XLOOKUP(E753,'BASE DATOS PRECIOS '!E:E,'BASE DATOS PRECIOS '!H:H)</f>
        <v>282.43219999999997</v>
      </c>
      <c r="I753" s="175"/>
      <c r="J753" s="175"/>
      <c r="K753" s="176">
        <f t="shared" si="458"/>
        <v>5648.6439999999993</v>
      </c>
      <c r="L753" s="176">
        <f t="shared" si="459"/>
        <v>0</v>
      </c>
      <c r="M753" s="176">
        <f t="shared" si="460"/>
        <v>0</v>
      </c>
      <c r="N753" s="176">
        <f t="shared" si="461"/>
        <v>5648.6439999999993</v>
      </c>
      <c r="O753" s="1083">
        <f t="shared" si="462"/>
        <v>10.968240776699028</v>
      </c>
    </row>
    <row r="754" spans="1:15" x14ac:dyDescent="0.2">
      <c r="A754" s="303"/>
      <c r="B754" s="833">
        <f t="shared" si="446"/>
        <v>3.1</v>
      </c>
      <c r="C754" s="786" t="s">
        <v>2315</v>
      </c>
      <c r="D754" s="826"/>
      <c r="E754" s="161" t="str">
        <f>+_xlfn.XLOOKUP(C754,'BASE DATOS PRECIOS '!B:B,'BASE DATOS PRECIOS '!E:E)</f>
        <v>CABLE UTP CAT 6 AZUL</v>
      </c>
      <c r="F754" s="174">
        <f>+'3.1_ELEC'!E237</f>
        <v>70</v>
      </c>
      <c r="G754" s="175" t="str">
        <f>+_xlfn.XLOOKUP(C754,'BASE DATOS PRECIOS '!B:B,'BASE DATOS PRECIOS '!F:F)</f>
        <v>M</v>
      </c>
      <c r="H754" s="176">
        <f>+_xlfn.XLOOKUP(E754,'BASE DATOS PRECIOS '!E:E,'BASE DATOS PRECIOS '!H:H)</f>
        <v>349.46379999999994</v>
      </c>
      <c r="I754" s="175"/>
      <c r="J754" s="175"/>
      <c r="K754" s="176">
        <f t="shared" si="458"/>
        <v>24462.465999999997</v>
      </c>
      <c r="L754" s="176">
        <f t="shared" si="459"/>
        <v>0</v>
      </c>
      <c r="M754" s="176">
        <f t="shared" si="460"/>
        <v>0</v>
      </c>
      <c r="N754" s="176">
        <f t="shared" si="461"/>
        <v>24462.465999999997</v>
      </c>
      <c r="O754" s="1083">
        <f t="shared" si="462"/>
        <v>47.499933980582519</v>
      </c>
    </row>
    <row r="755" spans="1:15" x14ac:dyDescent="0.2">
      <c r="A755" s="303"/>
      <c r="B755" s="833">
        <f t="shared" si="446"/>
        <v>3.1</v>
      </c>
      <c r="C755" s="786" t="s">
        <v>2278</v>
      </c>
      <c r="D755" s="826"/>
      <c r="E755" s="161" t="str">
        <f>+_xlfn.XLOOKUP(C755,'BASE DATOS PRECIOS '!B:B,'BASE DATOS PRECIOS '!E:E)</f>
        <v>TAPE ELECTRICO BLANCO EATON</v>
      </c>
      <c r="F755" s="174">
        <f>+'3.1_ELEC'!E238</f>
        <v>1</v>
      </c>
      <c r="G755" s="175" t="str">
        <f>+_xlfn.XLOOKUP(C755,'BASE DATOS PRECIOS '!B:B,'BASE DATOS PRECIOS '!F:F)</f>
        <v>UND</v>
      </c>
      <c r="H755" s="176">
        <f>+_xlfn.XLOOKUP(E755,'BASE DATOS PRECIOS '!E:E,'BASE DATOS PRECIOS '!H:H)</f>
        <v>807.47539999999992</v>
      </c>
      <c r="I755" s="175"/>
      <c r="J755" s="175"/>
      <c r="K755" s="176">
        <f t="shared" si="458"/>
        <v>807.47539999999992</v>
      </c>
      <c r="L755" s="176">
        <f t="shared" si="459"/>
        <v>0</v>
      </c>
      <c r="M755" s="176">
        <f t="shared" si="460"/>
        <v>0</v>
      </c>
      <c r="N755" s="176">
        <f t="shared" si="461"/>
        <v>807.47539999999992</v>
      </c>
      <c r="O755" s="1083">
        <f t="shared" si="462"/>
        <v>1.5679133980582523</v>
      </c>
    </row>
    <row r="756" spans="1:15" x14ac:dyDescent="0.2">
      <c r="A756" s="303"/>
      <c r="B756" s="833">
        <f t="shared" si="446"/>
        <v>3.1</v>
      </c>
      <c r="C756" s="778" t="s">
        <v>2279</v>
      </c>
      <c r="D756" s="827"/>
      <c r="E756" s="161" t="str">
        <f>+_xlfn.XLOOKUP(C756,'BASE DATOS PRECIOS '!B:B,'BASE DATOS PRECIOS '!E:E)</f>
        <v>TAPE ELECTRICO VERDE EATON</v>
      </c>
      <c r="F756" s="174">
        <f>+'3.1_ELEC'!D240</f>
        <v>1</v>
      </c>
      <c r="G756" s="175" t="str">
        <f>+_xlfn.XLOOKUP(C756,'BASE DATOS PRECIOS '!B:B,'BASE DATOS PRECIOS '!F:F)</f>
        <v>UND</v>
      </c>
      <c r="H756" s="176">
        <f>+_xlfn.XLOOKUP(E756,'BASE DATOS PRECIOS '!E:E,'BASE DATOS PRECIOS '!H:H)</f>
        <v>797.26019999999983</v>
      </c>
      <c r="I756" s="175"/>
      <c r="J756" s="175"/>
      <c r="K756" s="176">
        <f t="shared" si="458"/>
        <v>797.26019999999983</v>
      </c>
      <c r="L756" s="176">
        <f t="shared" si="459"/>
        <v>0</v>
      </c>
      <c r="M756" s="176">
        <f t="shared" si="460"/>
        <v>0</v>
      </c>
      <c r="N756" s="176">
        <f t="shared" si="461"/>
        <v>797.26019999999983</v>
      </c>
      <c r="O756" s="1083">
        <f t="shared" si="462"/>
        <v>1.5480780582524269</v>
      </c>
    </row>
    <row r="757" spans="1:15" x14ac:dyDescent="0.2">
      <c r="A757" s="303"/>
      <c r="B757" s="833">
        <f t="shared" si="446"/>
        <v>3.1</v>
      </c>
      <c r="C757" s="775" t="s">
        <v>2320</v>
      </c>
      <c r="D757" s="823"/>
      <c r="E757" s="161" t="str">
        <f>+_xlfn.XLOOKUP(C757,'BASE DATOS PRECIOS '!B:B,'BASE DATOS PRECIOS '!E:E)</f>
        <v>TAPE NEGRO SUPER 33+3M 19MM</v>
      </c>
      <c r="F757" s="174">
        <f>+'3.1_ELEC'!E241</f>
        <v>0</v>
      </c>
      <c r="G757" s="175" t="str">
        <f>+_xlfn.XLOOKUP(C757,'BASE DATOS PRECIOS '!B:B,'BASE DATOS PRECIOS '!F:F)</f>
        <v>UND</v>
      </c>
      <c r="H757" s="176">
        <f>+_xlfn.XLOOKUP(E757,'BASE DATOS PRECIOS '!E:E,'BASE DATOS PRECIOS '!H:H)</f>
        <v>2530.8044999999997</v>
      </c>
      <c r="I757" s="175"/>
      <c r="J757" s="175"/>
      <c r="K757" s="176">
        <f t="shared" si="458"/>
        <v>0</v>
      </c>
      <c r="L757" s="176">
        <f t="shared" si="459"/>
        <v>0</v>
      </c>
      <c r="M757" s="176">
        <f t="shared" si="460"/>
        <v>0</v>
      </c>
      <c r="N757" s="176">
        <f t="shared" si="461"/>
        <v>0</v>
      </c>
      <c r="O757" s="1083">
        <f t="shared" si="462"/>
        <v>0</v>
      </c>
    </row>
    <row r="758" spans="1:15" s="49" customFormat="1" ht="18.600000000000001" customHeight="1" x14ac:dyDescent="0.2">
      <c r="A758" s="303"/>
      <c r="B758" s="833">
        <f t="shared" si="446"/>
        <v>3.1</v>
      </c>
      <c r="C758" s="792"/>
      <c r="D758" s="825"/>
      <c r="E758" s="565" t="s">
        <v>3321</v>
      </c>
      <c r="F758" s="566"/>
      <c r="G758" s="564"/>
      <c r="H758" s="564"/>
      <c r="I758" s="564"/>
      <c r="J758" s="564"/>
      <c r="K758" s="567"/>
      <c r="L758" s="567"/>
      <c r="M758" s="567"/>
      <c r="N758" s="567"/>
      <c r="O758" s="1096"/>
    </row>
    <row r="759" spans="1:15" x14ac:dyDescent="0.2">
      <c r="A759" s="303"/>
      <c r="B759" s="833">
        <f t="shared" si="446"/>
        <v>3.1</v>
      </c>
      <c r="C759" s="775" t="s">
        <v>2313</v>
      </c>
      <c r="D759" s="823" t="s">
        <v>109</v>
      </c>
      <c r="E759" s="161" t="str">
        <f>+_xlfn.XLOOKUP(C759,'BASE DATOS PRECIOS '!B:B,'BASE DATOS PRECIOS '!E:E)</f>
        <v>CABLE #10</v>
      </c>
      <c r="F759" s="174">
        <f>+'3.1_ELEC'!E248</f>
        <v>50</v>
      </c>
      <c r="G759" s="175" t="str">
        <f>+_xlfn.XLOOKUP(C759,'BASE DATOS PRECIOS '!B:B,'BASE DATOS PRECIOS '!F:F)</f>
        <v>M</v>
      </c>
      <c r="H759" s="176">
        <f>+_xlfn.XLOOKUP(E759,'BASE DATOS PRECIOS '!E:E,'BASE DATOS PRECIOS '!H:H)</f>
        <v>463.29999999999995</v>
      </c>
      <c r="I759" s="175"/>
      <c r="J759" s="175"/>
      <c r="K759" s="176">
        <f t="shared" si="458"/>
        <v>23164.999999999996</v>
      </c>
      <c r="L759" s="176">
        <f t="shared" si="459"/>
        <v>0</v>
      </c>
      <c r="M759" s="176">
        <f t="shared" si="460"/>
        <v>0</v>
      </c>
      <c r="N759" s="176">
        <f t="shared" si="461"/>
        <v>23164.999999999996</v>
      </c>
      <c r="O759" s="1083">
        <f t="shared" si="462"/>
        <v>44.980582524271838</v>
      </c>
    </row>
    <row r="760" spans="1:15" x14ac:dyDescent="0.2">
      <c r="A760" s="1074"/>
      <c r="B760" s="833">
        <f t="shared" si="446"/>
        <v>3.1</v>
      </c>
      <c r="C760" s="775" t="s">
        <v>2313</v>
      </c>
      <c r="D760" s="823" t="s">
        <v>24</v>
      </c>
      <c r="E760" s="161" t="str">
        <f>+_xlfn.XLOOKUP(C760,'BASE DATOS PRECIOS '!B:B,'BASE DATOS PRECIOS '!E:E)</f>
        <v>CABLE #10</v>
      </c>
      <c r="F760" s="174">
        <f>+'3.1_ELEC'!E249</f>
        <v>25</v>
      </c>
      <c r="G760" s="175" t="str">
        <f>+_xlfn.XLOOKUP(C760,'BASE DATOS PRECIOS '!B:B,'BASE DATOS PRECIOS '!F:F)</f>
        <v>M</v>
      </c>
      <c r="H760" s="176">
        <f>+_xlfn.XLOOKUP(E760,'BASE DATOS PRECIOS '!E:E,'BASE DATOS PRECIOS '!H:H)</f>
        <v>463.29999999999995</v>
      </c>
      <c r="I760" s="175"/>
      <c r="J760" s="175"/>
      <c r="K760" s="176">
        <f t="shared" si="458"/>
        <v>11582.499999999998</v>
      </c>
      <c r="L760" s="176">
        <f t="shared" si="459"/>
        <v>0</v>
      </c>
      <c r="M760" s="176">
        <f t="shared" si="460"/>
        <v>0</v>
      </c>
      <c r="N760" s="176">
        <f t="shared" si="461"/>
        <v>11582.499999999998</v>
      </c>
      <c r="O760" s="1083">
        <f t="shared" si="462"/>
        <v>22.490291262135919</v>
      </c>
    </row>
    <row r="761" spans="1:15" x14ac:dyDescent="0.2">
      <c r="A761" s="303"/>
      <c r="B761" s="833">
        <f t="shared" si="446"/>
        <v>3.1</v>
      </c>
      <c r="C761" s="775" t="s">
        <v>2313</v>
      </c>
      <c r="D761" s="823" t="s">
        <v>126</v>
      </c>
      <c r="E761" s="161" t="str">
        <f>+_xlfn.XLOOKUP(C761,'BASE DATOS PRECIOS '!B:B,'BASE DATOS PRECIOS '!E:E)</f>
        <v>CABLE #10</v>
      </c>
      <c r="F761" s="174">
        <f>+'3.1_ELEC'!E250</f>
        <v>40</v>
      </c>
      <c r="G761" s="175" t="str">
        <f>+_xlfn.XLOOKUP(C761,'BASE DATOS PRECIOS '!B:B,'BASE DATOS PRECIOS '!F:F)</f>
        <v>M</v>
      </c>
      <c r="H761" s="176">
        <f>+_xlfn.XLOOKUP(E761,'BASE DATOS PRECIOS '!E:E,'BASE DATOS PRECIOS '!H:H)</f>
        <v>463.29999999999995</v>
      </c>
      <c r="I761" s="175"/>
      <c r="J761" s="175"/>
      <c r="K761" s="176">
        <f t="shared" si="458"/>
        <v>18532</v>
      </c>
      <c r="L761" s="176">
        <f t="shared" si="459"/>
        <v>0</v>
      </c>
      <c r="M761" s="176">
        <f t="shared" si="460"/>
        <v>0</v>
      </c>
      <c r="N761" s="176">
        <f t="shared" si="461"/>
        <v>18532</v>
      </c>
      <c r="O761" s="1083">
        <f t="shared" si="462"/>
        <v>35.984466019417475</v>
      </c>
    </row>
    <row r="762" spans="1:15" x14ac:dyDescent="0.2">
      <c r="A762" s="303"/>
      <c r="B762" s="833">
        <f t="shared" si="446"/>
        <v>3.1</v>
      </c>
      <c r="C762" s="775" t="s">
        <v>2300</v>
      </c>
      <c r="D762" s="823" t="s">
        <v>24</v>
      </c>
      <c r="E762" s="161" t="str">
        <f>+_xlfn.XLOOKUP(C762,'BASE DATOS PRECIOS '!B:B,'BASE DATOS PRECIOS '!E:E)</f>
        <v>CABLE #8</v>
      </c>
      <c r="F762" s="174">
        <f>+'3.1_ELEC'!E251</f>
        <v>27</v>
      </c>
      <c r="G762" s="175" t="str">
        <f>+_xlfn.XLOOKUP(C762,'BASE DATOS PRECIOS '!B:B,'BASE DATOS PRECIOS '!F:F)</f>
        <v>M</v>
      </c>
      <c r="H762" s="176">
        <f>+_xlfn.XLOOKUP(E762,'BASE DATOS PRECIOS '!E:E,'BASE DATOS PRECIOS '!H:H)</f>
        <v>751.44999999999993</v>
      </c>
      <c r="I762" s="175"/>
      <c r="J762" s="175"/>
      <c r="K762" s="176">
        <f t="shared" si="458"/>
        <v>20289.149999999998</v>
      </c>
      <c r="L762" s="176">
        <f t="shared" si="459"/>
        <v>0</v>
      </c>
      <c r="M762" s="176">
        <f t="shared" si="460"/>
        <v>0</v>
      </c>
      <c r="N762" s="176">
        <f t="shared" si="461"/>
        <v>20289.149999999998</v>
      </c>
      <c r="O762" s="1083">
        <f t="shared" si="462"/>
        <v>39.396407766990286</v>
      </c>
    </row>
    <row r="763" spans="1:15" x14ac:dyDescent="0.2">
      <c r="A763" s="303"/>
      <c r="B763" s="833">
        <f t="shared" si="446"/>
        <v>3.1</v>
      </c>
      <c r="C763" s="775" t="s">
        <v>2300</v>
      </c>
      <c r="D763" s="823" t="s">
        <v>109</v>
      </c>
      <c r="E763" s="161" t="str">
        <f>+_xlfn.XLOOKUP(C763,'BASE DATOS PRECIOS '!B:B,'BASE DATOS PRECIOS '!E:E)</f>
        <v>CABLE #8</v>
      </c>
      <c r="F763" s="174">
        <f>+'3.1_ELEC'!E252</f>
        <v>60</v>
      </c>
      <c r="G763" s="175" t="str">
        <f>+_xlfn.XLOOKUP(C763,'BASE DATOS PRECIOS '!B:B,'BASE DATOS PRECIOS '!F:F)</f>
        <v>M</v>
      </c>
      <c r="H763" s="176">
        <f>+_xlfn.XLOOKUP(E763,'BASE DATOS PRECIOS '!E:E,'BASE DATOS PRECIOS '!H:H)</f>
        <v>751.44999999999993</v>
      </c>
      <c r="I763" s="175"/>
      <c r="J763" s="175"/>
      <c r="K763" s="176">
        <f t="shared" si="458"/>
        <v>45086.999999999993</v>
      </c>
      <c r="L763" s="176">
        <f t="shared" si="459"/>
        <v>0</v>
      </c>
      <c r="M763" s="176">
        <f t="shared" si="460"/>
        <v>0</v>
      </c>
      <c r="N763" s="176">
        <f t="shared" si="461"/>
        <v>45086.999999999993</v>
      </c>
      <c r="O763" s="1083">
        <f t="shared" si="462"/>
        <v>87.547572815533968</v>
      </c>
    </row>
    <row r="764" spans="1:15" x14ac:dyDescent="0.2">
      <c r="A764" s="303"/>
      <c r="B764" s="833">
        <f t="shared" si="446"/>
        <v>3.1</v>
      </c>
      <c r="C764" s="778" t="s">
        <v>2300</v>
      </c>
      <c r="D764" s="827" t="s">
        <v>126</v>
      </c>
      <c r="E764" s="161" t="str">
        <f>+_xlfn.XLOOKUP(C764,'BASE DATOS PRECIOS '!B:B,'BASE DATOS PRECIOS '!E:E)</f>
        <v>CABLE #8</v>
      </c>
      <c r="F764" s="174">
        <f>+'3.1_ELEC'!E253</f>
        <v>22</v>
      </c>
      <c r="G764" s="175" t="str">
        <f>+_xlfn.XLOOKUP(C764,'BASE DATOS PRECIOS '!B:B,'BASE DATOS PRECIOS '!F:F)</f>
        <v>M</v>
      </c>
      <c r="H764" s="176">
        <f>+_xlfn.XLOOKUP(E764,'BASE DATOS PRECIOS '!E:E,'BASE DATOS PRECIOS '!H:H)</f>
        <v>751.44999999999993</v>
      </c>
      <c r="I764" s="175"/>
      <c r="J764" s="175"/>
      <c r="K764" s="176">
        <f t="shared" si="458"/>
        <v>16531.899999999998</v>
      </c>
      <c r="L764" s="176">
        <f t="shared" si="459"/>
        <v>0</v>
      </c>
      <c r="M764" s="176">
        <f t="shared" si="460"/>
        <v>0</v>
      </c>
      <c r="N764" s="176">
        <f t="shared" si="461"/>
        <v>16531.899999999998</v>
      </c>
      <c r="O764" s="1083">
        <f t="shared" si="462"/>
        <v>32.100776699029119</v>
      </c>
    </row>
    <row r="765" spans="1:15" x14ac:dyDescent="0.2">
      <c r="A765" s="303"/>
      <c r="B765" s="833">
        <f t="shared" si="446"/>
        <v>3.1</v>
      </c>
      <c r="C765" s="774" t="s">
        <v>2135</v>
      </c>
      <c r="D765" s="210"/>
      <c r="E765" s="211" t="s">
        <v>2136</v>
      </c>
      <c r="F765" s="263">
        <v>1</v>
      </c>
      <c r="G765" s="213" t="e">
        <f>+_xlfn.XLOOKUP(C765,'BASE DATOS MANO DE OBRA'!A:A,'BASE DATOS MANO DE OBRA'!C:C)</f>
        <v>#N/A</v>
      </c>
      <c r="H765" s="265">
        <v>0</v>
      </c>
      <c r="I765" s="264"/>
      <c r="J765" s="265">
        <f>+'3.1_ELEC'!D336</f>
        <v>207468</v>
      </c>
      <c r="K765" s="265">
        <f>+F765*H765</f>
        <v>0</v>
      </c>
      <c r="L765" s="265">
        <f>+F765*I765</f>
        <v>0</v>
      </c>
      <c r="M765" s="265">
        <f>+F765*J765</f>
        <v>207468</v>
      </c>
      <c r="N765" s="265">
        <f>SUM(K765:M765)</f>
        <v>207468</v>
      </c>
      <c r="O765" s="1094">
        <f>SUM(K765:M765)/tc</f>
        <v>402.85048543689322</v>
      </c>
    </row>
    <row r="766" spans="1:15" x14ac:dyDescent="0.2">
      <c r="A766" s="303"/>
      <c r="B766" s="833">
        <f t="shared" si="446"/>
        <v>3.1</v>
      </c>
      <c r="C766" s="774" t="s">
        <v>1425</v>
      </c>
      <c r="D766" s="828"/>
      <c r="E766" s="211" t="str">
        <f>+_xlfn.XLOOKUP(C766,'BASE DATOS EQUIPOS Y SUBCONTRAT'!A:A,'BASE DATOS EQUIPOS Y SUBCONTRAT'!B:B)</f>
        <v xml:space="preserve">M.O. CABLEADO ELÉCTRICO </v>
      </c>
      <c r="F766" s="263">
        <v>1</v>
      </c>
      <c r="G766" s="264" t="str">
        <f>+_xlfn.XLOOKUP(C766,'BASE DATOS EQUIPOS Y SUBCONTRAT'!A:A,'BASE DATOS EQUIPOS Y SUBCONTRAT'!C:C)</f>
        <v xml:space="preserve">GLOBAL </v>
      </c>
      <c r="H766" s="265">
        <v>0</v>
      </c>
      <c r="I766" s="264"/>
      <c r="J766" s="265">
        <f>+'3.1_ELEC'!D262</f>
        <v>235000</v>
      </c>
      <c r="K766" s="265">
        <f>+F766*H766</f>
        <v>0</v>
      </c>
      <c r="L766" s="265">
        <f>+F766*I766</f>
        <v>0</v>
      </c>
      <c r="M766" s="265">
        <f>+F766*J766</f>
        <v>235000</v>
      </c>
      <c r="N766" s="265">
        <f>SUM(K766:M766)</f>
        <v>235000</v>
      </c>
      <c r="O766" s="1094">
        <f>SUM(K766:M766)/tc</f>
        <v>456.31067961165047</v>
      </c>
    </row>
    <row r="767" spans="1:15" x14ac:dyDescent="0.2">
      <c r="A767" s="303"/>
      <c r="B767" s="833">
        <f t="shared" si="446"/>
        <v>3.1</v>
      </c>
      <c r="C767" s="774" t="s">
        <v>36</v>
      </c>
      <c r="D767" s="210"/>
      <c r="E767" s="211" t="str">
        <f>+_xlfn.XLOOKUP(C767,'BASE DATOS MANO DE OBRA'!A:A,'BASE DATOS MANO DE OBRA'!B:B)</f>
        <v xml:space="preserve">OPERARIO PLUS </v>
      </c>
      <c r="F767" s="212">
        <v>0</v>
      </c>
      <c r="G767" s="213" t="str">
        <f>+_xlfn.XLOOKUP(C767,'BASE DATOS MANO DE OBRA'!A:A,'BASE DATOS MANO DE OBRA'!C:C)</f>
        <v xml:space="preserve">hora </v>
      </c>
      <c r="H767" s="214">
        <v>0</v>
      </c>
      <c r="I767" s="214">
        <f>+_xlfn.XLOOKUP(C767,'BASE DATOS MANO DE OBRA'!A:A,'BASE DATOS MANO DE OBRA'!E:E)</f>
        <v>2850</v>
      </c>
      <c r="J767" s="214">
        <v>0</v>
      </c>
      <c r="K767" s="214">
        <f>+F767*H767</f>
        <v>0</v>
      </c>
      <c r="L767" s="214">
        <f>+F767*I767</f>
        <v>0</v>
      </c>
      <c r="M767" s="214">
        <f>+F767*J767</f>
        <v>0</v>
      </c>
      <c r="N767" s="214">
        <f>SUM(K767:M767)</f>
        <v>0</v>
      </c>
      <c r="O767" s="1086">
        <f>SUM(K767:M767)/tc</f>
        <v>0</v>
      </c>
    </row>
    <row r="768" spans="1:15" x14ac:dyDescent="0.2">
      <c r="A768" s="303"/>
      <c r="B768" s="833">
        <f t="shared" si="446"/>
        <v>3.1</v>
      </c>
      <c r="C768" s="774" t="s">
        <v>37</v>
      </c>
      <c r="D768" s="210"/>
      <c r="E768" s="211" t="str">
        <f>+_xlfn.XLOOKUP(C768,'BASE DATOS MANO DE OBRA'!A:A,'BASE DATOS MANO DE OBRA'!B:B)</f>
        <v xml:space="preserve">AYUDANTE PLUS </v>
      </c>
      <c r="F768" s="212">
        <v>0</v>
      </c>
      <c r="G768" s="213" t="str">
        <f>+_xlfn.XLOOKUP(C768,'BASE DATOS MANO DE OBRA'!A:A,'BASE DATOS MANO DE OBRA'!C:C)</f>
        <v xml:space="preserve">hora </v>
      </c>
      <c r="H768" s="214">
        <v>0</v>
      </c>
      <c r="I768" s="214">
        <f>+_xlfn.XLOOKUP(C768,'BASE DATOS MANO DE OBRA'!A:A,'BASE DATOS MANO DE OBRA'!E:E)</f>
        <v>2325</v>
      </c>
      <c r="J768" s="214">
        <v>0</v>
      </c>
      <c r="K768" s="214">
        <f>+F768*H768</f>
        <v>0</v>
      </c>
      <c r="L768" s="214">
        <f>+F768*I768</f>
        <v>0</v>
      </c>
      <c r="M768" s="214">
        <f>+F768*J768</f>
        <v>0</v>
      </c>
      <c r="N768" s="214">
        <f>SUM(K768:M768)</f>
        <v>0</v>
      </c>
      <c r="O768" s="1086">
        <f>SUM(K768:M768)/tc</f>
        <v>0</v>
      </c>
    </row>
    <row r="769" spans="1:15" s="49" customFormat="1" ht="18.600000000000001" customHeight="1" collapsed="1" x14ac:dyDescent="0.2">
      <c r="A769" s="303"/>
      <c r="B769" s="833">
        <f t="shared" si="446"/>
        <v>3.1</v>
      </c>
      <c r="C769" s="770" t="s">
        <v>2080</v>
      </c>
      <c r="D769" s="453"/>
      <c r="E769" s="454" t="s">
        <v>238</v>
      </c>
      <c r="F769" s="455">
        <v>1</v>
      </c>
      <c r="G769" s="453" t="s">
        <v>29</v>
      </c>
      <c r="H769" s="453"/>
      <c r="I769" s="453"/>
      <c r="J769" s="453"/>
      <c r="K769" s="456">
        <f>+SUBTOTAL(9,K770:K799)</f>
        <v>556820.39269999985</v>
      </c>
      <c r="L769" s="456">
        <f>+SUBTOTAL(9,L770:L799)</f>
        <v>0</v>
      </c>
      <c r="M769" s="456">
        <f>+SUBTOTAL(9,M770:M799)</f>
        <v>123750</v>
      </c>
      <c r="N769" s="456">
        <f>+SUBTOTAL(9,N770:N799)</f>
        <v>680570.39269999985</v>
      </c>
      <c r="O769" s="1082">
        <f>+SUBTOTAL(9,O770:O799)</f>
        <v>1321.4959081553397</v>
      </c>
    </row>
    <row r="770" spans="1:15" ht="15" customHeight="1" x14ac:dyDescent="0.2">
      <c r="A770" s="303"/>
      <c r="B770" s="833">
        <f t="shared" ref="B770:B833" si="463">VALUE(IF(AND(LEN(TRIM(C770))-LEN(SUBSTITUTE(TRIM(C770),".",""))=1,ISNUMBER(VALUE(SUBSTITUTE(TRIM(C770),".","")))),TRIM(C770),B769))</f>
        <v>3.1</v>
      </c>
      <c r="C770" s="778" t="s">
        <v>2011</v>
      </c>
      <c r="D770" s="827"/>
      <c r="E770" s="161" t="str">
        <f>+_xlfn.XLOOKUP(C770,'BASE DATOS PRECIOS '!B:B,'BASE DATOS PRECIOS '!E:E)</f>
        <v>ADAPT SECILLO 1 MODULO 5521-5EW  DECORADOR BLANCO</v>
      </c>
      <c r="F770" s="174">
        <f>'3.1_ELEC'!E269</f>
        <v>3</v>
      </c>
      <c r="G770" s="175" t="str">
        <f>+_xlfn.XLOOKUP(C770,'BASE DATOS PRECIOS '!B:B,'BASE DATOS PRECIOS '!F:F)</f>
        <v>UND</v>
      </c>
      <c r="H770" s="176">
        <f>+_xlfn.XLOOKUP(E770,'BASE DATOS PRECIOS '!E:E,'BASE DATOS PRECIOS '!H:H)</f>
        <v>964.50019999999984</v>
      </c>
      <c r="I770" s="175"/>
      <c r="J770" s="175"/>
      <c r="K770" s="176">
        <f t="shared" ref="K770:K799" si="464">+F770*H770</f>
        <v>2893.5005999999994</v>
      </c>
      <c r="L770" s="176">
        <f t="shared" ref="L770:L799" si="465">+F770*I770</f>
        <v>0</v>
      </c>
      <c r="M770" s="176">
        <f t="shared" ref="M770:M799" si="466">+F770*J770</f>
        <v>0</v>
      </c>
      <c r="N770" s="176">
        <f t="shared" ref="N770:N799" si="467">SUM(K770:M770)</f>
        <v>2893.5005999999994</v>
      </c>
      <c r="O770" s="1083">
        <f t="shared" ref="O770:O799" si="468">SUM(K770:M770)/tc</f>
        <v>5.6184477669902897</v>
      </c>
    </row>
    <row r="771" spans="1:15" ht="15" customHeight="1" x14ac:dyDescent="0.2">
      <c r="A771" s="303"/>
      <c r="B771" s="833">
        <f t="shared" si="463"/>
        <v>3.1</v>
      </c>
      <c r="C771" s="775" t="s">
        <v>2321</v>
      </c>
      <c r="D771" s="823"/>
      <c r="E771" s="161" t="str">
        <f>+_xlfn.XLOOKUP(C771,'BASE DATOS PRECIOS '!B:B,'BASE DATOS PRECIOS '!E:E)</f>
        <v>ADAPTA DOBLE 2 MODULOS 5522-5EW DECORADOR BLANCO</v>
      </c>
      <c r="F771" s="174">
        <f>'3.1_ELEC'!E270</f>
        <v>5</v>
      </c>
      <c r="G771" s="175" t="str">
        <f>+_xlfn.XLOOKUP(C771,'BASE DATOS PRECIOS '!B:B,'BASE DATOS PRECIOS '!F:F)</f>
        <v>UND</v>
      </c>
      <c r="H771" s="176">
        <f>+_xlfn.XLOOKUP(E771,'BASE DATOS PRECIOS '!E:E,'BASE DATOS PRECIOS '!H:H)</f>
        <v>2395.6</v>
      </c>
      <c r="I771" s="175"/>
      <c r="J771" s="175"/>
      <c r="K771" s="176">
        <f t="shared" si="464"/>
        <v>11978</v>
      </c>
      <c r="L771" s="176">
        <f t="shared" si="465"/>
        <v>0</v>
      </c>
      <c r="M771" s="176">
        <f t="shared" si="466"/>
        <v>0</v>
      </c>
      <c r="N771" s="176">
        <f t="shared" si="467"/>
        <v>11978</v>
      </c>
      <c r="O771" s="1083">
        <f t="shared" si="468"/>
        <v>23.258252427184466</v>
      </c>
    </row>
    <row r="772" spans="1:15" ht="15" customHeight="1" x14ac:dyDescent="0.2">
      <c r="A772" s="303"/>
      <c r="B772" s="833">
        <f t="shared" si="463"/>
        <v>3.1</v>
      </c>
      <c r="C772" s="775" t="s">
        <v>2010</v>
      </c>
      <c r="D772" s="823"/>
      <c r="E772" s="161" t="str">
        <f>+_xlfn.XLOOKUP(C772,'BASE DATOS PRECIOS '!B:B,'BASE DATOS PRECIOS '!E:E)</f>
        <v>APAGADOR DOBLE 15A 120 DECO</v>
      </c>
      <c r="F772" s="174">
        <f>'3.1_ELEC'!E271</f>
        <v>2</v>
      </c>
      <c r="G772" s="175" t="str">
        <f>+_xlfn.XLOOKUP(C772,'BASE DATOS PRECIOS '!B:B,'BASE DATOS PRECIOS '!F:F)</f>
        <v>UND</v>
      </c>
      <c r="H772" s="176">
        <f>+_xlfn.XLOOKUP(E772,'BASE DATOS PRECIOS '!E:E,'BASE DATOS PRECIOS '!H:H)</f>
        <v>2707.4799999999996</v>
      </c>
      <c r="I772" s="175"/>
      <c r="J772" s="175"/>
      <c r="K772" s="176">
        <f t="shared" si="464"/>
        <v>5414.9599999999991</v>
      </c>
      <c r="L772" s="176">
        <f t="shared" si="465"/>
        <v>0</v>
      </c>
      <c r="M772" s="176">
        <f t="shared" si="466"/>
        <v>0</v>
      </c>
      <c r="N772" s="176">
        <f t="shared" si="467"/>
        <v>5414.9599999999991</v>
      </c>
      <c r="O772" s="1083">
        <f t="shared" si="468"/>
        <v>10.514485436893203</v>
      </c>
    </row>
    <row r="773" spans="1:15" ht="15" customHeight="1" x14ac:dyDescent="0.2">
      <c r="A773" s="303"/>
      <c r="B773" s="833">
        <f t="shared" si="463"/>
        <v>3.1</v>
      </c>
      <c r="C773" s="775" t="s">
        <v>2479</v>
      </c>
      <c r="D773" s="823"/>
      <c r="E773" s="161" t="str">
        <f>+_xlfn.XLOOKUP(C773,'BASE DATOS PRECIOS '!B:B,'BASE DATOS PRECIOS '!E:E)</f>
        <v>APAGADOR DOBLE TRIWAY </v>
      </c>
      <c r="F773" s="174">
        <f>'3.1_ELEC'!E272</f>
        <v>2</v>
      </c>
      <c r="G773" s="175" t="str">
        <f>+_xlfn.XLOOKUP(C773,'BASE DATOS PRECIOS '!B:B,'BASE DATOS PRECIOS '!F:F)</f>
        <v>UND</v>
      </c>
      <c r="H773" s="176">
        <f>+_xlfn.XLOOKUP(E773,'BASE DATOS PRECIOS '!E:E,'BASE DATOS PRECIOS '!H:H)</f>
        <v>6409.6198999999988</v>
      </c>
      <c r="I773" s="175"/>
      <c r="J773" s="175"/>
      <c r="K773" s="176">
        <f t="shared" si="464"/>
        <v>12819.239799999998</v>
      </c>
      <c r="L773" s="176">
        <f t="shared" si="465"/>
        <v>0</v>
      </c>
      <c r="M773" s="176">
        <f t="shared" si="466"/>
        <v>0</v>
      </c>
      <c r="N773" s="176">
        <f t="shared" si="467"/>
        <v>12819.239799999998</v>
      </c>
      <c r="O773" s="1083">
        <f t="shared" si="468"/>
        <v>24.891727766990286</v>
      </c>
    </row>
    <row r="774" spans="1:15" ht="15" customHeight="1" x14ac:dyDescent="0.2">
      <c r="A774" s="303"/>
      <c r="B774" s="833">
        <f t="shared" si="463"/>
        <v>3.1</v>
      </c>
      <c r="C774" s="778" t="s">
        <v>2301</v>
      </c>
      <c r="D774" s="827"/>
      <c r="E774" s="161" t="str">
        <f>+_xlfn.XLOOKUP(C774,'BASE DATOS PRECIOS '!B:B,'BASE DATOS PRECIOS '!E:E)</f>
        <v>APAGADOR SENCILLO 15A 120 DECO</v>
      </c>
      <c r="F774" s="174">
        <f>'3.1_ELEC'!E273</f>
        <v>10</v>
      </c>
      <c r="G774" s="175" t="str">
        <f>+_xlfn.XLOOKUP(C774,'BASE DATOS PRECIOS '!B:B,'BASE DATOS PRECIOS '!F:F)</f>
        <v>UND</v>
      </c>
      <c r="H774" s="176">
        <f>+_xlfn.XLOOKUP(E774,'BASE DATOS PRECIOS '!E:E,'BASE DATOS PRECIOS '!H:H)</f>
        <v>997.67699999999991</v>
      </c>
      <c r="I774" s="175"/>
      <c r="J774" s="175"/>
      <c r="K774" s="176">
        <f t="shared" si="464"/>
        <v>9976.7699999999986</v>
      </c>
      <c r="L774" s="176">
        <f t="shared" si="465"/>
        <v>0</v>
      </c>
      <c r="M774" s="176">
        <f t="shared" si="466"/>
        <v>0</v>
      </c>
      <c r="N774" s="176">
        <f t="shared" si="467"/>
        <v>9976.7699999999986</v>
      </c>
      <c r="O774" s="1083">
        <f t="shared" si="468"/>
        <v>19.372368932038832</v>
      </c>
    </row>
    <row r="775" spans="1:15" ht="15" customHeight="1" x14ac:dyDescent="0.2">
      <c r="A775" s="303"/>
      <c r="B775" s="833">
        <f t="shared" si="463"/>
        <v>3.1</v>
      </c>
      <c r="C775" s="775" t="s">
        <v>2481</v>
      </c>
      <c r="D775" s="823"/>
      <c r="E775" s="161" t="str">
        <f>+_xlfn.XLOOKUP(C775,'BASE DATOS PRECIOS '!B:B,'BASE DATOS PRECIOS '!E:E)</f>
        <v>APAGADOR SENCILLO TRIWAY</v>
      </c>
      <c r="F775" s="174">
        <f>'3.1_ELEC'!E274</f>
        <v>2</v>
      </c>
      <c r="G775" s="175" t="str">
        <f>+_xlfn.XLOOKUP(C775,'BASE DATOS PRECIOS '!B:B,'BASE DATOS PRECIOS '!F:F)</f>
        <v>UND</v>
      </c>
      <c r="H775" s="176">
        <f>+_xlfn.XLOOKUP(E775,'BASE DATOS PRECIOS '!E:E,'BASE DATOS PRECIOS '!H:H)</f>
        <v>1509.6799999999998</v>
      </c>
      <c r="I775" s="175"/>
      <c r="J775" s="175"/>
      <c r="K775" s="176">
        <f t="shared" si="464"/>
        <v>3019.3599999999997</v>
      </c>
      <c r="L775" s="176">
        <f t="shared" si="465"/>
        <v>0</v>
      </c>
      <c r="M775" s="176">
        <f t="shared" si="466"/>
        <v>0</v>
      </c>
      <c r="N775" s="176">
        <f t="shared" si="467"/>
        <v>3019.3599999999997</v>
      </c>
      <c r="O775" s="1083">
        <f t="shared" si="468"/>
        <v>5.8628349514563096</v>
      </c>
    </row>
    <row r="776" spans="1:15" ht="15" customHeight="1" x14ac:dyDescent="0.2">
      <c r="A776" s="303"/>
      <c r="B776" s="833">
        <f t="shared" si="463"/>
        <v>3.1</v>
      </c>
      <c r="C776" s="775" t="s">
        <v>2302</v>
      </c>
      <c r="D776" s="823"/>
      <c r="E776" s="161" t="str">
        <f>+_xlfn.XLOOKUP(C776,'BASE DATOS PRECIOS '!B:B,'BASE DATOS PRECIOS '!E:E)</f>
        <v>APAGADOR TRIPLE 15A 120 DECO</v>
      </c>
      <c r="F776" s="174">
        <f>'3.1_ELEC'!E275</f>
        <v>1</v>
      </c>
      <c r="G776" s="175" t="str">
        <f>+_xlfn.XLOOKUP(C776,'BASE DATOS PRECIOS '!B:B,'BASE DATOS PRECIOS '!F:F)</f>
        <v>UND</v>
      </c>
      <c r="H776" s="176">
        <f>+_xlfn.XLOOKUP(E776,'BASE DATOS PRECIOS '!E:E,'BASE DATOS PRECIOS '!H:H)</f>
        <v>2933.4799999999996</v>
      </c>
      <c r="I776" s="175"/>
      <c r="J776" s="175"/>
      <c r="K776" s="176">
        <f t="shared" si="464"/>
        <v>2933.4799999999996</v>
      </c>
      <c r="L776" s="176">
        <f t="shared" si="465"/>
        <v>0</v>
      </c>
      <c r="M776" s="176">
        <f t="shared" si="466"/>
        <v>0</v>
      </c>
      <c r="N776" s="176">
        <f t="shared" si="467"/>
        <v>2933.4799999999996</v>
      </c>
      <c r="O776" s="1083">
        <f t="shared" si="468"/>
        <v>5.6960776699029116</v>
      </c>
    </row>
    <row r="777" spans="1:15" ht="15" customHeight="1" x14ac:dyDescent="0.2">
      <c r="A777" s="303"/>
      <c r="B777" s="833">
        <f t="shared" si="463"/>
        <v>3.1</v>
      </c>
      <c r="C777" s="775" t="s">
        <v>1986</v>
      </c>
      <c r="D777" s="823"/>
      <c r="E777" s="161" t="str">
        <f>+_xlfn.XLOOKUP(C777,'BASE DATOS PRECIOS '!B:B,'BASE DATOS PRECIOS '!E:E)</f>
        <v>ARO REPELLO EMT 4X4 2GANG</v>
      </c>
      <c r="F777" s="174">
        <f>'3.1_ELEC'!E276</f>
        <v>4</v>
      </c>
      <c r="G777" s="175" t="str">
        <f>+_xlfn.XLOOKUP(C777,'BASE DATOS PRECIOS '!B:B,'BASE DATOS PRECIOS '!F:F)</f>
        <v>UND</v>
      </c>
      <c r="H777" s="176">
        <f>+_xlfn.XLOOKUP(E777,'BASE DATOS PRECIOS '!E:E,'BASE DATOS PRECIOS '!H:H)</f>
        <v>165.17209999999997</v>
      </c>
      <c r="I777" s="175"/>
      <c r="J777" s="175"/>
      <c r="K777" s="176">
        <f t="shared" si="464"/>
        <v>660.68839999999989</v>
      </c>
      <c r="L777" s="176">
        <f t="shared" si="465"/>
        <v>0</v>
      </c>
      <c r="M777" s="176">
        <f t="shared" si="466"/>
        <v>0</v>
      </c>
      <c r="N777" s="176">
        <f t="shared" si="467"/>
        <v>660.68839999999989</v>
      </c>
      <c r="O777" s="1083">
        <f t="shared" si="468"/>
        <v>1.2828900970873784</v>
      </c>
    </row>
    <row r="778" spans="1:15" ht="15" customHeight="1" x14ac:dyDescent="0.2">
      <c r="A778" s="303"/>
      <c r="B778" s="833">
        <f t="shared" si="463"/>
        <v>3.1</v>
      </c>
      <c r="C778" s="775" t="s">
        <v>2303</v>
      </c>
      <c r="D778" s="823"/>
      <c r="E778" s="161" t="str">
        <f>+_xlfn.XLOOKUP(C778,'BASE DATOS PRECIOS '!B:B,'BASE DATOS PRECIOS '!E:E)</f>
        <v>LAMPARA TORTUGA 50013AEPI-BK</v>
      </c>
      <c r="F778" s="174">
        <f>'3.1_ELEC'!E277</f>
        <v>5</v>
      </c>
      <c r="G778" s="175" t="str">
        <f>+_xlfn.XLOOKUP(C778,'BASE DATOS PRECIOS '!B:B,'BASE DATOS PRECIOS '!F:F)</f>
        <v>UND</v>
      </c>
      <c r="H778" s="176">
        <f>+_xlfn.XLOOKUP(E778,'BASE DATOS PRECIOS '!E:E,'BASE DATOS PRECIOS '!H:H)</f>
        <v>3223.6866</v>
      </c>
      <c r="I778" s="175"/>
      <c r="J778" s="175"/>
      <c r="K778" s="176">
        <f t="shared" si="464"/>
        <v>16118.433000000001</v>
      </c>
      <c r="L778" s="176">
        <f t="shared" si="465"/>
        <v>0</v>
      </c>
      <c r="M778" s="176">
        <f t="shared" si="466"/>
        <v>0</v>
      </c>
      <c r="N778" s="176">
        <f t="shared" si="467"/>
        <v>16118.433000000001</v>
      </c>
      <c r="O778" s="1083">
        <f t="shared" si="468"/>
        <v>31.297928155339807</v>
      </c>
    </row>
    <row r="779" spans="1:15" ht="15" customHeight="1" x14ac:dyDescent="0.2">
      <c r="A779" s="303"/>
      <c r="B779" s="833">
        <f t="shared" si="463"/>
        <v>3.1</v>
      </c>
      <c r="C779" s="775" t="s">
        <v>2330</v>
      </c>
      <c r="D779" s="823"/>
      <c r="E779" s="161" t="str">
        <f>+_xlfn.XLOOKUP(C779,'BASE DATOS PRECIOS '!B:B,'BASE DATOS PRECIOS '!E:E)</f>
        <v>PLACA INTEMP. P/TOMA 3726-SC SIERRA</v>
      </c>
      <c r="F779" s="174">
        <f>'3.1_ELEC'!E278</f>
        <v>6</v>
      </c>
      <c r="G779" s="175" t="str">
        <f>+_xlfn.XLOOKUP(C779,'BASE DATOS PRECIOS '!B:B,'BASE DATOS PRECIOS '!F:F)</f>
        <v>UND</v>
      </c>
      <c r="H779" s="176">
        <f>+_xlfn.XLOOKUP(E779,'BASE DATOS PRECIOS '!E:E,'BASE DATOS PRECIOS '!H:H)</f>
        <v>3053.9944999999998</v>
      </c>
      <c r="I779" s="175"/>
      <c r="J779" s="175"/>
      <c r="K779" s="176">
        <f t="shared" si="464"/>
        <v>18323.966999999997</v>
      </c>
      <c r="L779" s="176">
        <f t="shared" si="465"/>
        <v>0</v>
      </c>
      <c r="M779" s="176">
        <f t="shared" si="466"/>
        <v>0</v>
      </c>
      <c r="N779" s="176">
        <f t="shared" si="467"/>
        <v>18323.966999999997</v>
      </c>
      <c r="O779" s="1083">
        <f t="shared" si="468"/>
        <v>35.580518446601936</v>
      </c>
    </row>
    <row r="780" spans="1:15" ht="15" customHeight="1" x14ac:dyDescent="0.2">
      <c r="A780" s="303"/>
      <c r="B780" s="833">
        <f t="shared" si="463"/>
        <v>3.1</v>
      </c>
      <c r="C780" s="778" t="s">
        <v>2327</v>
      </c>
      <c r="D780" s="827"/>
      <c r="E780" s="161" t="str">
        <f>+_xlfn.XLOOKUP(C780,'BASE DATOS PRECIOS '!B:B,'BASE DATOS PRECIOS '!E:E)</f>
        <v>PLACA ACERO INOXIDABLE P/TOMA 50A 2 GANG CUADRADA</v>
      </c>
      <c r="F780" s="174">
        <f>'3.1_ELEC'!E279</f>
        <v>3</v>
      </c>
      <c r="G780" s="175" t="str">
        <f>+_xlfn.XLOOKUP(C780,'BASE DATOS PRECIOS '!B:B,'BASE DATOS PRECIOS '!F:F)</f>
        <v>UND</v>
      </c>
      <c r="H780" s="176">
        <f>+_xlfn.XLOOKUP(E780,'BASE DATOS PRECIOS '!E:E,'BASE DATOS PRECIOS '!H:H)</f>
        <v>890.23659999999995</v>
      </c>
      <c r="I780" s="175"/>
      <c r="J780" s="175"/>
      <c r="K780" s="176">
        <f t="shared" si="464"/>
        <v>2670.7097999999996</v>
      </c>
      <c r="L780" s="176">
        <f t="shared" si="465"/>
        <v>0</v>
      </c>
      <c r="M780" s="176">
        <f t="shared" si="466"/>
        <v>0</v>
      </c>
      <c r="N780" s="176">
        <f t="shared" si="467"/>
        <v>2670.7097999999996</v>
      </c>
      <c r="O780" s="1083">
        <f t="shared" si="468"/>
        <v>5.1858442718446591</v>
      </c>
    </row>
    <row r="781" spans="1:15" ht="15" customHeight="1" x14ac:dyDescent="0.2">
      <c r="A781" s="303"/>
      <c r="B781" s="833">
        <f t="shared" si="463"/>
        <v>3.1</v>
      </c>
      <c r="C781" s="775" t="s">
        <v>2331</v>
      </c>
      <c r="D781" s="823"/>
      <c r="E781" s="161" t="str">
        <f>+_xlfn.XLOOKUP(C781,'BASE DATOS PRECIOS '!B:B,'BASE DATOS PRECIOS '!E:E)</f>
        <v>PLACA DECORATOR BLANCA 1 GANG ROYER</v>
      </c>
      <c r="F781" s="174">
        <f>'3.1_ELEC'!E280</f>
        <v>53</v>
      </c>
      <c r="G781" s="175" t="str">
        <f>+_xlfn.XLOOKUP(C781,'BASE DATOS PRECIOS '!B:B,'BASE DATOS PRECIOS '!F:F)</f>
        <v>UND</v>
      </c>
      <c r="H781" s="176">
        <f>+_xlfn.XLOOKUP(E781,'BASE DATOS PRECIOS '!E:E,'BASE DATOS PRECIOS '!H:H)</f>
        <v>524.8963</v>
      </c>
      <c r="I781" s="175"/>
      <c r="J781" s="175"/>
      <c r="K781" s="176">
        <f t="shared" si="464"/>
        <v>27819.5039</v>
      </c>
      <c r="L781" s="176">
        <f t="shared" si="465"/>
        <v>0</v>
      </c>
      <c r="M781" s="176">
        <f t="shared" si="466"/>
        <v>0</v>
      </c>
      <c r="N781" s="176">
        <f t="shared" si="467"/>
        <v>27819.5039</v>
      </c>
      <c r="O781" s="1083">
        <f t="shared" si="468"/>
        <v>54.018454174757281</v>
      </c>
    </row>
    <row r="782" spans="1:15" ht="15" customHeight="1" x14ac:dyDescent="0.2">
      <c r="A782" s="303"/>
      <c r="B782" s="833">
        <f t="shared" si="463"/>
        <v>3.1</v>
      </c>
      <c r="C782" s="775" t="s">
        <v>2490</v>
      </c>
      <c r="D782" s="823"/>
      <c r="E782" s="161" t="str">
        <f>+_xlfn.XLOOKUP(C782,'BASE DATOS PRECIOS '!B:B,'BASE DATOS PRECIOS '!E:E)</f>
        <v>PLAFON BLANCO</v>
      </c>
      <c r="F782" s="174">
        <f>'3.1_ELEC'!E281</f>
        <v>0</v>
      </c>
      <c r="G782" s="175" t="str">
        <f>+_xlfn.XLOOKUP(C782,'BASE DATOS PRECIOS '!B:B,'BASE DATOS PRECIOS '!F:F)</f>
        <v>UND</v>
      </c>
      <c r="H782" s="176">
        <f>+_xlfn.XLOOKUP(E782,'BASE DATOS PRECIOS '!E:E,'BASE DATOS PRECIOS '!H:H)</f>
        <v>670.08999999999992</v>
      </c>
      <c r="I782" s="175"/>
      <c r="J782" s="175"/>
      <c r="K782" s="176">
        <f t="shared" si="464"/>
        <v>0</v>
      </c>
      <c r="L782" s="176">
        <f t="shared" si="465"/>
        <v>0</v>
      </c>
      <c r="M782" s="176">
        <f t="shared" si="466"/>
        <v>0</v>
      </c>
      <c r="N782" s="176">
        <f t="shared" si="467"/>
        <v>0</v>
      </c>
      <c r="O782" s="1083">
        <f t="shared" si="468"/>
        <v>0</v>
      </c>
    </row>
    <row r="783" spans="1:15" ht="15" customHeight="1" x14ac:dyDescent="0.2">
      <c r="A783" s="303"/>
      <c r="B783" s="833">
        <f t="shared" si="463"/>
        <v>3.1</v>
      </c>
      <c r="C783" s="775" t="s">
        <v>2938</v>
      </c>
      <c r="D783" s="823"/>
      <c r="E783" s="161" t="str">
        <f>+_xlfn.XLOOKUP(C783,'BASE DATOS PRECIOS '!B:B,'BASE DATOS PRECIOS '!E:E)</f>
        <v>PLACA INTEMPERIE P/TOMA 30-50A GRIS WP2 VERTICAL 1GANG EATON</v>
      </c>
      <c r="F783" s="174">
        <f>'3.1_ELEC'!E282</f>
        <v>35</v>
      </c>
      <c r="G783" s="175" t="str">
        <f>+_xlfn.XLOOKUP(C783,'BASE DATOS PRECIOS '!B:B,'BASE DATOS PRECIOS '!F:F)</f>
        <v>UND</v>
      </c>
      <c r="H783" s="176">
        <f>+_xlfn.XLOOKUP(E783,'BASE DATOS PRECIOS '!E:E,'BASE DATOS PRECIOS '!H:H)</f>
        <v>9930.8580999999995</v>
      </c>
      <c r="I783" s="175"/>
      <c r="J783" s="175"/>
      <c r="K783" s="176">
        <f t="shared" si="464"/>
        <v>347580.03349999996</v>
      </c>
      <c r="L783" s="176">
        <f t="shared" si="465"/>
        <v>0</v>
      </c>
      <c r="M783" s="176">
        <f t="shared" si="466"/>
        <v>0</v>
      </c>
      <c r="N783" s="176">
        <f t="shared" si="467"/>
        <v>347580.03349999996</v>
      </c>
      <c r="O783" s="1083">
        <f t="shared" si="468"/>
        <v>674.91268640776696</v>
      </c>
    </row>
    <row r="784" spans="1:15" ht="15" customHeight="1" x14ac:dyDescent="0.2">
      <c r="A784" s="303"/>
      <c r="B784" s="833">
        <f t="shared" si="463"/>
        <v>3.1</v>
      </c>
      <c r="C784" s="778" t="s">
        <v>2328</v>
      </c>
      <c r="D784" s="827"/>
      <c r="E784" s="161" t="str">
        <f>+_xlfn.XLOOKUP(C784,'BASE DATOS PRECIOS '!B:B,'BASE DATOS PRECIOS '!E:E)</f>
        <v>TOMA EMPOTRAR 50A 250V NEMA 10-50 COOPER</v>
      </c>
      <c r="F784" s="174">
        <f>'3.1_ELEC'!E283</f>
        <v>4</v>
      </c>
      <c r="G784" s="175" t="str">
        <f>+_xlfn.XLOOKUP(C784,'BASE DATOS PRECIOS '!B:B,'BASE DATOS PRECIOS '!F:F)</f>
        <v>UND</v>
      </c>
      <c r="H784" s="176">
        <f>+_xlfn.XLOOKUP(E784,'BASE DATOS PRECIOS '!E:E,'BASE DATOS PRECIOS '!H:H)</f>
        <v>1944.2440999999997</v>
      </c>
      <c r="I784" s="175"/>
      <c r="J784" s="175"/>
      <c r="K784" s="176">
        <f t="shared" si="464"/>
        <v>7776.9763999999986</v>
      </c>
      <c r="L784" s="176">
        <f t="shared" si="465"/>
        <v>0</v>
      </c>
      <c r="M784" s="176">
        <f t="shared" si="466"/>
        <v>0</v>
      </c>
      <c r="N784" s="176">
        <f t="shared" si="467"/>
        <v>7776.9763999999986</v>
      </c>
      <c r="O784" s="1083">
        <f t="shared" si="468"/>
        <v>15.100925048543687</v>
      </c>
    </row>
    <row r="785" spans="1:15" ht="15" customHeight="1" x14ac:dyDescent="0.2">
      <c r="A785" s="303"/>
      <c r="B785" s="833">
        <f t="shared" si="463"/>
        <v>3.1</v>
      </c>
      <c r="C785" s="775" t="s">
        <v>3322</v>
      </c>
      <c r="D785" s="823"/>
      <c r="E785" s="161" t="str">
        <f>+_xlfn.XLOOKUP(C785,'BASE DATOS PRECIOS '!B:B,'BASE DATOS PRECIOS '!E:E)</f>
        <v>LÁMPARA LED REDONDA DE 12W DE PARCHE LUZ BLANCA</v>
      </c>
      <c r="F785" s="174">
        <f>'3.1_ELEC'!E284</f>
        <v>18</v>
      </c>
      <c r="G785" s="175" t="str">
        <f>+_xlfn.XLOOKUP(C785,'BASE DATOS PRECIOS '!B:B,'BASE DATOS PRECIOS '!F:F)</f>
        <v>UND</v>
      </c>
      <c r="H785" s="176">
        <f>+_xlfn.XLOOKUP(E785,'BASE DATOS PRECIOS '!E:E,'BASE DATOS PRECIOS '!H:H)</f>
        <v>2262.29</v>
      </c>
      <c r="I785" s="175"/>
      <c r="J785" s="175"/>
      <c r="K785" s="176">
        <f t="shared" si="464"/>
        <v>40721.22</v>
      </c>
      <c r="L785" s="176">
        <f t="shared" si="465"/>
        <v>0</v>
      </c>
      <c r="M785" s="176">
        <f t="shared" si="466"/>
        <v>0</v>
      </c>
      <c r="N785" s="176">
        <f t="shared" si="467"/>
        <v>40721.22</v>
      </c>
      <c r="O785" s="1083">
        <f t="shared" si="468"/>
        <v>79.070330097087378</v>
      </c>
    </row>
    <row r="786" spans="1:15" ht="15" customHeight="1" x14ac:dyDescent="0.2">
      <c r="A786" s="303"/>
      <c r="B786" s="833">
        <f t="shared" si="463"/>
        <v>3.1</v>
      </c>
      <c r="C786" s="775" t="s">
        <v>1989</v>
      </c>
      <c r="D786" s="823"/>
      <c r="E786" s="161" t="str">
        <f>+_xlfn.XLOOKUP(C786,'BASE DATOS PRECIOS '!B:B,'BASE DATOS PRECIOS '!E:E)</f>
        <v>CONECTOR COAXIAL TIPO F BLANCO COOPER</v>
      </c>
      <c r="F786" s="174">
        <f>'3.1_ELEC'!E285</f>
        <v>6</v>
      </c>
      <c r="G786" s="175" t="str">
        <f>+_xlfn.XLOOKUP(C786,'BASE DATOS PRECIOS '!B:B,'BASE DATOS PRECIOS '!F:F)</f>
        <v>UND</v>
      </c>
      <c r="H786" s="176">
        <f>+_xlfn.XLOOKUP(E786,'BASE DATOS PRECIOS '!E:E,'BASE DATOS PRECIOS '!H:H)</f>
        <v>954.36410000000001</v>
      </c>
      <c r="I786" s="175"/>
      <c r="J786" s="175"/>
      <c r="K786" s="176">
        <f t="shared" si="464"/>
        <v>5726.1846000000005</v>
      </c>
      <c r="L786" s="176">
        <f t="shared" si="465"/>
        <v>0</v>
      </c>
      <c r="M786" s="176">
        <f t="shared" si="466"/>
        <v>0</v>
      </c>
      <c r="N786" s="176">
        <f t="shared" si="467"/>
        <v>5726.1846000000005</v>
      </c>
      <c r="O786" s="1083">
        <f t="shared" si="468"/>
        <v>11.11880504854369</v>
      </c>
    </row>
    <row r="787" spans="1:15" ht="15" customHeight="1" x14ac:dyDescent="0.2">
      <c r="A787" s="303"/>
      <c r="B787" s="833">
        <f t="shared" si="463"/>
        <v>3.1</v>
      </c>
      <c r="C787" s="775" t="s">
        <v>2001</v>
      </c>
      <c r="D787" s="823"/>
      <c r="E787" s="161" t="str">
        <f>+_xlfn.XLOOKUP(C787,'BASE DATOS PRECIOS '!B:B,'BASE DATOS PRECIOS '!E:E)</f>
        <v>CONECTOR HEMBRA RJ45 CAT5 BLANCO</v>
      </c>
      <c r="F787" s="174">
        <f>'3.1_ELEC'!E286</f>
        <v>8</v>
      </c>
      <c r="G787" s="175" t="str">
        <f>+_xlfn.XLOOKUP(C787,'BASE DATOS PRECIOS '!B:B,'BASE DATOS PRECIOS '!F:F)</f>
        <v>UND</v>
      </c>
      <c r="H787" s="176">
        <f>+_xlfn.XLOOKUP(E787,'BASE DATOS PRECIOS '!E:E,'BASE DATOS PRECIOS '!H:H)</f>
        <v>966.6697999999999</v>
      </c>
      <c r="I787" s="175"/>
      <c r="J787" s="175"/>
      <c r="K787" s="176">
        <f t="shared" si="464"/>
        <v>7733.3583999999992</v>
      </c>
      <c r="L787" s="176">
        <f t="shared" si="465"/>
        <v>0</v>
      </c>
      <c r="M787" s="176">
        <f t="shared" si="466"/>
        <v>0</v>
      </c>
      <c r="N787" s="176">
        <f t="shared" si="467"/>
        <v>7733.3583999999992</v>
      </c>
      <c r="O787" s="1083">
        <f t="shared" si="468"/>
        <v>15.01622990291262</v>
      </c>
    </row>
    <row r="788" spans="1:15" ht="15" customHeight="1" x14ac:dyDescent="0.2">
      <c r="A788" s="303"/>
      <c r="B788" s="833">
        <f t="shared" si="463"/>
        <v>3.1</v>
      </c>
      <c r="C788" s="775" t="s">
        <v>2320</v>
      </c>
      <c r="D788" s="823"/>
      <c r="E788" s="161" t="str">
        <f>+_xlfn.XLOOKUP(C788,'BASE DATOS PRECIOS '!B:B,'BASE DATOS PRECIOS '!E:E)</f>
        <v>TAPE NEGRO SUPER 33+3M 19MM</v>
      </c>
      <c r="F788" s="174">
        <f>'3.1_ELEC'!E287</f>
        <v>2</v>
      </c>
      <c r="G788" s="175" t="str">
        <f>+_xlfn.XLOOKUP(C788,'BASE DATOS PRECIOS '!B:B,'BASE DATOS PRECIOS '!F:F)</f>
        <v>UND</v>
      </c>
      <c r="H788" s="176">
        <f>+_xlfn.XLOOKUP(E788,'BASE DATOS PRECIOS '!E:E,'BASE DATOS PRECIOS '!H:H)</f>
        <v>2530.8044999999997</v>
      </c>
      <c r="I788" s="175"/>
      <c r="J788" s="175"/>
      <c r="K788" s="176">
        <f t="shared" si="464"/>
        <v>5061.6089999999995</v>
      </c>
      <c r="L788" s="176">
        <f t="shared" si="465"/>
        <v>0</v>
      </c>
      <c r="M788" s="176">
        <f t="shared" si="466"/>
        <v>0</v>
      </c>
      <c r="N788" s="176">
        <f t="shared" si="467"/>
        <v>5061.6089999999995</v>
      </c>
      <c r="O788" s="1083">
        <f t="shared" si="468"/>
        <v>9.8283669902912614</v>
      </c>
    </row>
    <row r="789" spans="1:15" ht="15" customHeight="1" x14ac:dyDescent="0.2">
      <c r="A789" s="303"/>
      <c r="B789" s="833">
        <f t="shared" si="463"/>
        <v>3.1</v>
      </c>
      <c r="C789" s="775" t="s">
        <v>3281</v>
      </c>
      <c r="D789" s="823"/>
      <c r="E789" s="161" t="str">
        <f>+_xlfn.XLOOKUP(C789,'BASE DATOS PRECIOS '!B:B,'BASE DATOS PRECIOS '!E:E)</f>
        <v>TORNILLO GYPSUM 1 1/4"</v>
      </c>
      <c r="F789" s="174">
        <f>'3.1_ELEC'!E288</f>
        <v>100</v>
      </c>
      <c r="G789" s="175" t="str">
        <f>+_xlfn.XLOOKUP(C789,'BASE DATOS PRECIOS '!B:B,'BASE DATOS PRECIOS '!F:F)</f>
        <v>UND</v>
      </c>
      <c r="H789" s="176">
        <f>+_xlfn.XLOOKUP(E789,'BASE DATOS PRECIOS '!E:E,'BASE DATOS PRECIOS '!H:H)</f>
        <v>5.4999999999999991</v>
      </c>
      <c r="I789" s="175"/>
      <c r="J789" s="175"/>
      <c r="K789" s="176">
        <f t="shared" si="464"/>
        <v>549.99999999999989</v>
      </c>
      <c r="L789" s="176">
        <f t="shared" si="465"/>
        <v>0</v>
      </c>
      <c r="M789" s="176">
        <f t="shared" si="466"/>
        <v>0</v>
      </c>
      <c r="N789" s="176">
        <f t="shared" si="467"/>
        <v>549.99999999999989</v>
      </c>
      <c r="O789" s="1083">
        <f t="shared" si="468"/>
        <v>1.0679611650485434</v>
      </c>
    </row>
    <row r="790" spans="1:15" ht="15" customHeight="1" x14ac:dyDescent="0.2">
      <c r="A790" s="303"/>
      <c r="B790" s="833">
        <f t="shared" si="463"/>
        <v>3.1</v>
      </c>
      <c r="C790" s="778" t="s">
        <v>2005</v>
      </c>
      <c r="D790" s="827"/>
      <c r="E790" s="161" t="str">
        <f>+_xlfn.XLOOKUP(C790,'BASE DATOS PRECIOS '!B:B,'BASE DATOS PRECIOS '!E:E)</f>
        <v>CONECTOR DERIVADOR 12-10 AWG IDC 562 562 AMARILLO</v>
      </c>
      <c r="F790" s="174">
        <f>'3.1_ELEC'!E289</f>
        <v>50</v>
      </c>
      <c r="G790" s="175" t="str">
        <f>+_xlfn.XLOOKUP(C790,'BASE DATOS PRECIOS '!B:B,'BASE DATOS PRECIOS '!F:F)</f>
        <v>CAJA</v>
      </c>
      <c r="H790" s="176">
        <f>+_xlfn.XLOOKUP(E790,'BASE DATOS PRECIOS '!E:E,'BASE DATOS PRECIOS '!H:H)</f>
        <v>116.69509999999998</v>
      </c>
      <c r="I790" s="175"/>
      <c r="J790" s="175"/>
      <c r="K790" s="176">
        <f t="shared" si="464"/>
        <v>5834.7549999999992</v>
      </c>
      <c r="L790" s="176">
        <f t="shared" si="465"/>
        <v>0</v>
      </c>
      <c r="M790" s="176">
        <f t="shared" si="466"/>
        <v>0</v>
      </c>
      <c r="N790" s="176">
        <f t="shared" si="467"/>
        <v>5834.7549999999992</v>
      </c>
      <c r="O790" s="1083">
        <f t="shared" si="468"/>
        <v>11.329621359223299</v>
      </c>
    </row>
    <row r="791" spans="1:15" ht="15" customHeight="1" x14ac:dyDescent="0.2">
      <c r="A791" s="1074"/>
      <c r="B791" s="833">
        <f t="shared" si="463"/>
        <v>3.1</v>
      </c>
      <c r="C791" s="775" t="s">
        <v>2332</v>
      </c>
      <c r="D791" s="823"/>
      <c r="E791" s="161" t="str">
        <f>+_xlfn.XLOOKUP(C791,'BASE DATOS PRECIOS '!B:B,'BASE DATOS PRECIOS '!E:E)</f>
        <v>TAPA CIEGA BLANCA 2X4</v>
      </c>
      <c r="F791" s="174">
        <f>'3.1_ELEC'!E290</f>
        <v>2</v>
      </c>
      <c r="G791" s="175" t="str">
        <f>+_xlfn.XLOOKUP(C791,'BASE DATOS PRECIOS '!B:B,'BASE DATOS PRECIOS '!F:F)</f>
        <v>UND</v>
      </c>
      <c r="H791" s="176">
        <f>+_xlfn.XLOOKUP(E791,'BASE DATOS PRECIOS '!E:E,'BASE DATOS PRECIOS '!H:H)</f>
        <v>456.99459999999999</v>
      </c>
      <c r="I791" s="175"/>
      <c r="J791" s="175"/>
      <c r="K791" s="176">
        <f t="shared" si="464"/>
        <v>913.98919999999998</v>
      </c>
      <c r="L791" s="176">
        <f t="shared" si="465"/>
        <v>0</v>
      </c>
      <c r="M791" s="176">
        <f t="shared" si="466"/>
        <v>0</v>
      </c>
      <c r="N791" s="176">
        <f t="shared" si="467"/>
        <v>913.98919999999998</v>
      </c>
      <c r="O791" s="1083">
        <f t="shared" si="468"/>
        <v>1.7747363106796117</v>
      </c>
    </row>
    <row r="792" spans="1:15" ht="15" customHeight="1" x14ac:dyDescent="0.2">
      <c r="A792" s="303"/>
      <c r="B792" s="833">
        <f t="shared" si="463"/>
        <v>3.1</v>
      </c>
      <c r="C792" s="775" t="s">
        <v>2938</v>
      </c>
      <c r="D792" s="823"/>
      <c r="E792" s="161" t="str">
        <f>+_xlfn.XLOOKUP(C792,'BASE DATOS PRECIOS '!B:B,'BASE DATOS PRECIOS '!E:E)</f>
        <v>PLACA INTEMPERIE P/TOMA 30-50A GRIS WP2 VERTICAL 1GANG EATON</v>
      </c>
      <c r="F792" s="174">
        <f>'3.1_ELEC'!E291</f>
        <v>1</v>
      </c>
      <c r="G792" s="175" t="str">
        <f>+_xlfn.XLOOKUP(C792,'BASE DATOS PRECIOS '!B:B,'BASE DATOS PRECIOS '!F:F)</f>
        <v>UND</v>
      </c>
      <c r="H792" s="176">
        <f>+_xlfn.XLOOKUP(E792,'BASE DATOS PRECIOS '!E:E,'BASE DATOS PRECIOS '!H:H)</f>
        <v>9930.8580999999995</v>
      </c>
      <c r="I792" s="175"/>
      <c r="J792" s="175"/>
      <c r="K792" s="176">
        <f t="shared" si="464"/>
        <v>9930.8580999999995</v>
      </c>
      <c r="L792" s="176">
        <f t="shared" si="465"/>
        <v>0</v>
      </c>
      <c r="M792" s="176">
        <f t="shared" si="466"/>
        <v>0</v>
      </c>
      <c r="N792" s="176">
        <f t="shared" si="467"/>
        <v>9930.8580999999995</v>
      </c>
      <c r="O792" s="1083">
        <f t="shared" si="468"/>
        <v>19.283219611650484</v>
      </c>
    </row>
    <row r="793" spans="1:15" ht="15" customHeight="1" x14ac:dyDescent="0.2">
      <c r="A793" s="303"/>
      <c r="B793" s="833">
        <f t="shared" si="463"/>
        <v>3.1</v>
      </c>
      <c r="C793" s="775" t="s">
        <v>2319</v>
      </c>
      <c r="D793" s="823"/>
      <c r="E793" s="161" t="str">
        <f>+_xlfn.XLOOKUP(C793,'BASE DATOS PRECIOS '!B:B,'BASE DATOS PRECIOS '!E:E)</f>
        <v>CONECTOR RESORTE AMARILLO</v>
      </c>
      <c r="F793" s="174">
        <f>'3.1_ELEC'!E292</f>
        <v>50</v>
      </c>
      <c r="G793" s="175" t="str">
        <f>+_xlfn.XLOOKUP(C793,'BASE DATOS PRECIOS '!B:B,'BASE DATOS PRECIOS '!F:F)</f>
        <v>CAJA</v>
      </c>
      <c r="H793" s="176">
        <f>+_xlfn.XLOOKUP(E793,'BASE DATOS PRECIOS '!E:E,'BASE DATOS PRECIOS '!H:H)</f>
        <v>89.699399999999983</v>
      </c>
      <c r="I793" s="175"/>
      <c r="J793" s="175"/>
      <c r="K793" s="176">
        <f t="shared" si="464"/>
        <v>4484.9699999999993</v>
      </c>
      <c r="L793" s="176">
        <f t="shared" si="465"/>
        <v>0</v>
      </c>
      <c r="M793" s="176">
        <f t="shared" si="466"/>
        <v>0</v>
      </c>
      <c r="N793" s="176">
        <f t="shared" si="467"/>
        <v>4484.9699999999993</v>
      </c>
      <c r="O793" s="1083">
        <f t="shared" si="468"/>
        <v>8.708679611650485</v>
      </c>
    </row>
    <row r="794" spans="1:15" ht="15" customHeight="1" x14ac:dyDescent="0.2">
      <c r="A794" s="303"/>
      <c r="B794" s="833">
        <f t="shared" si="463"/>
        <v>3.1</v>
      </c>
      <c r="C794" s="775" t="s">
        <v>2310</v>
      </c>
      <c r="D794" s="823"/>
      <c r="E794" s="161" t="str">
        <f>+_xlfn.XLOOKUP(C794,'BASE DATOS PRECIOS '!B:B,'BASE DATOS PRECIOS '!E:E)</f>
        <v>CONECTOR MACHO RJ45</v>
      </c>
      <c r="F794" s="174">
        <f>'3.1_ELEC'!E293</f>
        <v>10</v>
      </c>
      <c r="G794" s="175" t="str">
        <f>+_xlfn.XLOOKUP(C794,'BASE DATOS PRECIOS '!B:B,'BASE DATOS PRECIOS '!F:F)</f>
        <v>UND</v>
      </c>
      <c r="H794" s="176">
        <f>+_xlfn.XLOOKUP(E794,'BASE DATOS PRECIOS '!E:E,'BASE DATOS PRECIOS '!H:H)</f>
        <v>228.2826</v>
      </c>
      <c r="I794" s="175"/>
      <c r="J794" s="175"/>
      <c r="K794" s="176">
        <f t="shared" ref="K794" si="469">+F794*H794</f>
        <v>2282.826</v>
      </c>
      <c r="L794" s="176">
        <f t="shared" ref="L794" si="470">+F794*I794</f>
        <v>0</v>
      </c>
      <c r="M794" s="176">
        <f t="shared" ref="M794" si="471">+F794*J794</f>
        <v>0</v>
      </c>
      <c r="N794" s="176">
        <f t="shared" ref="N794" si="472">SUM(K794:M794)</f>
        <v>2282.826</v>
      </c>
      <c r="O794" s="1083">
        <f t="shared" ref="O794" si="473">SUM(K794:M794)/tc</f>
        <v>4.4326718446601943</v>
      </c>
    </row>
    <row r="795" spans="1:15" ht="15" customHeight="1" x14ac:dyDescent="0.2">
      <c r="A795" s="303"/>
      <c r="B795" s="833">
        <f t="shared" si="463"/>
        <v>3.1</v>
      </c>
      <c r="C795" s="775" t="s">
        <v>3323</v>
      </c>
      <c r="D795" s="823"/>
      <c r="E795" s="161" t="str">
        <f>+_xlfn.XLOOKUP(C795,'BASE DATOS PRECIOS '!B:B,'BASE DATOS PRECIOS '!E:E)</f>
        <v>TORNILLO MADERA 2"</v>
      </c>
      <c r="F795" s="174">
        <f>'3.1_ELEC'!E294</f>
        <v>30</v>
      </c>
      <c r="G795" s="175" t="str">
        <f>+_xlfn.XLOOKUP(C795,'BASE DATOS PRECIOS '!B:B,'BASE DATOS PRECIOS '!F:F)</f>
        <v>UND</v>
      </c>
      <c r="H795" s="176">
        <f>+_xlfn.XLOOKUP(E795,'BASE DATOS PRECIOS '!E:E,'BASE DATOS PRECIOS '!H:H)</f>
        <v>36.5</v>
      </c>
      <c r="I795" s="175"/>
      <c r="J795" s="175"/>
      <c r="K795" s="176">
        <f t="shared" si="464"/>
        <v>1095</v>
      </c>
      <c r="L795" s="176">
        <f t="shared" si="465"/>
        <v>0</v>
      </c>
      <c r="M795" s="176">
        <f t="shared" si="466"/>
        <v>0</v>
      </c>
      <c r="N795" s="176">
        <f t="shared" si="467"/>
        <v>1095</v>
      </c>
      <c r="O795" s="1083">
        <f t="shared" si="468"/>
        <v>2.1262135922330097</v>
      </c>
    </row>
    <row r="796" spans="1:15" ht="15" customHeight="1" x14ac:dyDescent="0.2">
      <c r="A796" s="303"/>
      <c r="B796" s="833">
        <f t="shared" si="463"/>
        <v>3.1</v>
      </c>
      <c r="C796" s="775" t="s">
        <v>3324</v>
      </c>
      <c r="D796" s="823"/>
      <c r="E796" s="161" t="str">
        <f>+_xlfn.XLOOKUP(C796,'BASE DATOS PRECIOS '!B:B,'BASE DATOS PRECIOS '!E:E)</f>
        <v>TORNILLO MADERA 10X2 1/2</v>
      </c>
      <c r="F796" s="174">
        <f>'3.1_ELEC'!E295</f>
        <v>30</v>
      </c>
      <c r="G796" s="175" t="str">
        <f>+_xlfn.XLOOKUP(C796,'BASE DATOS PRECIOS '!B:B,'BASE DATOS PRECIOS '!F:F)</f>
        <v>UND</v>
      </c>
      <c r="H796" s="176">
        <f>+_xlfn.XLOOKUP(E796,'BASE DATOS PRECIOS '!E:E,'BASE DATOS PRECIOS '!H:H)</f>
        <v>83.3333333333333</v>
      </c>
      <c r="I796" s="175"/>
      <c r="J796" s="175"/>
      <c r="K796" s="176">
        <f t="shared" si="464"/>
        <v>2499.9999999999991</v>
      </c>
      <c r="L796" s="176">
        <f t="shared" si="465"/>
        <v>0</v>
      </c>
      <c r="M796" s="176">
        <f t="shared" si="466"/>
        <v>0</v>
      </c>
      <c r="N796" s="176">
        <f t="shared" si="467"/>
        <v>2499.9999999999991</v>
      </c>
      <c r="O796" s="1083">
        <f t="shared" si="468"/>
        <v>4.8543689320388328</v>
      </c>
    </row>
    <row r="797" spans="1:15" ht="15" customHeight="1" x14ac:dyDescent="0.2">
      <c r="A797" s="303"/>
      <c r="B797" s="833">
        <f t="shared" si="463"/>
        <v>3.1</v>
      </c>
      <c r="C797" s="774" t="s">
        <v>1426</v>
      </c>
      <c r="D797" s="210"/>
      <c r="E797" s="211" t="str">
        <f>+_xlfn.XLOOKUP(C797,'BASE DATOS EQUIPOS Y SUBCONTRAT'!A:A,'BASE DATOS EQUIPOS Y SUBCONTRAT'!B:B)</f>
        <v xml:space="preserve">M.O. COLOCACIÓN DE PLAQUERÍA </v>
      </c>
      <c r="F797" s="263">
        <v>1</v>
      </c>
      <c r="G797" s="264" t="str">
        <f>+_xlfn.XLOOKUP(C797,'BASE DATOS EQUIPOS Y SUBCONTRAT'!A:A,'BASE DATOS EQUIPOS Y SUBCONTRAT'!C:C)</f>
        <v xml:space="preserve">GLOBAL </v>
      </c>
      <c r="H797" s="265">
        <v>0</v>
      </c>
      <c r="I797" s="264"/>
      <c r="J797" s="265">
        <f>+'3.1_ELEC'!D297</f>
        <v>123750</v>
      </c>
      <c r="K797" s="265">
        <f t="shared" si="464"/>
        <v>0</v>
      </c>
      <c r="L797" s="265">
        <f t="shared" si="465"/>
        <v>0</v>
      </c>
      <c r="M797" s="265">
        <f t="shared" si="466"/>
        <v>123750</v>
      </c>
      <c r="N797" s="265">
        <f t="shared" si="467"/>
        <v>123750</v>
      </c>
      <c r="O797" s="1094">
        <f t="shared" si="468"/>
        <v>240.29126213592232</v>
      </c>
    </row>
    <row r="798" spans="1:15" ht="15" customHeight="1" x14ac:dyDescent="0.2">
      <c r="A798" s="303"/>
      <c r="B798" s="833">
        <f t="shared" si="463"/>
        <v>3.1</v>
      </c>
      <c r="C798" s="774" t="s">
        <v>36</v>
      </c>
      <c r="D798" s="210"/>
      <c r="E798" s="211" t="str">
        <f>+_xlfn.XLOOKUP(C798,'BASE DATOS MANO DE OBRA'!A:A,'BASE DATOS MANO DE OBRA'!B:B)</f>
        <v xml:space="preserve">OPERARIO PLUS </v>
      </c>
      <c r="F798" s="212">
        <v>0</v>
      </c>
      <c r="G798" s="213" t="str">
        <f>+_xlfn.XLOOKUP(C798,'BASE DATOS MANO DE OBRA'!A:A,'BASE DATOS MANO DE OBRA'!C:C)</f>
        <v xml:space="preserve">hora </v>
      </c>
      <c r="H798" s="214">
        <v>0</v>
      </c>
      <c r="I798" s="214">
        <f>+_xlfn.XLOOKUP(C798,'BASE DATOS MANO DE OBRA'!A:A,'BASE DATOS MANO DE OBRA'!E:E)</f>
        <v>2850</v>
      </c>
      <c r="J798" s="214">
        <v>0</v>
      </c>
      <c r="K798" s="214">
        <f t="shared" si="464"/>
        <v>0</v>
      </c>
      <c r="L798" s="214">
        <f t="shared" si="465"/>
        <v>0</v>
      </c>
      <c r="M798" s="214">
        <f t="shared" si="466"/>
        <v>0</v>
      </c>
      <c r="N798" s="214">
        <f t="shared" si="467"/>
        <v>0</v>
      </c>
      <c r="O798" s="1086">
        <f t="shared" si="468"/>
        <v>0</v>
      </c>
    </row>
    <row r="799" spans="1:15" ht="15" customHeight="1" x14ac:dyDescent="0.2">
      <c r="A799" s="303"/>
      <c r="B799" s="833">
        <f t="shared" si="463"/>
        <v>3.1</v>
      </c>
      <c r="C799" s="774" t="s">
        <v>37</v>
      </c>
      <c r="D799" s="210"/>
      <c r="E799" s="211" t="str">
        <f>+_xlfn.XLOOKUP(C799,'BASE DATOS MANO DE OBRA'!A:A,'BASE DATOS MANO DE OBRA'!B:B)</f>
        <v xml:space="preserve">AYUDANTE PLUS </v>
      </c>
      <c r="F799" s="212">
        <v>0</v>
      </c>
      <c r="G799" s="213" t="str">
        <f>+_xlfn.XLOOKUP(C799,'BASE DATOS MANO DE OBRA'!A:A,'BASE DATOS MANO DE OBRA'!C:C)</f>
        <v xml:space="preserve">hora </v>
      </c>
      <c r="H799" s="214">
        <v>0</v>
      </c>
      <c r="I799" s="214">
        <f>+_xlfn.XLOOKUP(C799,'BASE DATOS MANO DE OBRA'!A:A,'BASE DATOS MANO DE OBRA'!E:E)</f>
        <v>2325</v>
      </c>
      <c r="J799" s="214">
        <v>0</v>
      </c>
      <c r="K799" s="214">
        <f t="shared" si="464"/>
        <v>0</v>
      </c>
      <c r="L799" s="214">
        <f t="shared" si="465"/>
        <v>0</v>
      </c>
      <c r="M799" s="214">
        <f t="shared" si="466"/>
        <v>0</v>
      </c>
      <c r="N799" s="214">
        <f t="shared" si="467"/>
        <v>0</v>
      </c>
      <c r="O799" s="1086">
        <f t="shared" si="468"/>
        <v>0</v>
      </c>
    </row>
    <row r="800" spans="1:15" s="49" customFormat="1" ht="18.600000000000001" customHeight="1" x14ac:dyDescent="0.2">
      <c r="A800" s="303"/>
      <c r="B800" s="833">
        <f t="shared" si="463"/>
        <v>3.1</v>
      </c>
      <c r="C800" s="770" t="s">
        <v>3338</v>
      </c>
      <c r="D800" s="453"/>
      <c r="E800" s="454" t="s">
        <v>239</v>
      </c>
      <c r="F800" s="455">
        <v>1</v>
      </c>
      <c r="G800" s="453" t="s">
        <v>29</v>
      </c>
      <c r="H800" s="453"/>
      <c r="I800" s="453"/>
      <c r="J800" s="453"/>
      <c r="K800" s="456">
        <f>+SUBTOTAL(9,K801:K820)</f>
        <v>1350272.4593999998</v>
      </c>
      <c r="L800" s="456">
        <f>+SUBTOTAL(9,L801:L820)</f>
        <v>0</v>
      </c>
      <c r="M800" s="456">
        <f>+SUBTOTAL(9,M801:M820)</f>
        <v>156250</v>
      </c>
      <c r="N800" s="456">
        <f>+SUBTOTAL(9,N801:N820)</f>
        <v>1506522.4593999998</v>
      </c>
      <c r="O800" s="1082">
        <f>+SUBTOTAL(9,O801:O820)</f>
        <v>2925.2863289320389</v>
      </c>
    </row>
    <row r="801" spans="1:15" ht="15" customHeight="1" x14ac:dyDescent="0.2">
      <c r="A801" s="303"/>
      <c r="B801" s="833">
        <f t="shared" si="463"/>
        <v>3.1</v>
      </c>
      <c r="C801" s="775" t="s">
        <v>2000</v>
      </c>
      <c r="D801" s="823"/>
      <c r="E801" s="161" t="str">
        <f>+_xlfn.XLOOKUP(C801,'BASE DATOS PRECIOS '!B:B,'BASE DATOS PRECIOS '!E:E)</f>
        <v>BREAKER  2/100AMP QOM100VH CENTRO CARGA</v>
      </c>
      <c r="F801" s="174">
        <f>'3.1_ELEC'!D303</f>
        <v>0</v>
      </c>
      <c r="G801" s="175" t="str">
        <f>+_xlfn.XLOOKUP(C801,'BASE DATOS PRECIOS '!B:B,'BASE DATOS PRECIOS '!F:F)</f>
        <v>UND</v>
      </c>
      <c r="H801" s="176">
        <f>+_xlfn.XLOOKUP(E801,'BASE DATOS PRECIOS '!E:E,'BASE DATOS PRECIOS '!H:H)</f>
        <v>28216.1</v>
      </c>
      <c r="I801" s="175"/>
      <c r="J801" s="175"/>
      <c r="K801" s="176">
        <f t="shared" ref="K801:K820" si="474">+F801*H801</f>
        <v>0</v>
      </c>
      <c r="L801" s="176">
        <f t="shared" ref="L801:L820" si="475">+F801*I801</f>
        <v>0</v>
      </c>
      <c r="M801" s="176">
        <f t="shared" ref="M801:M820" si="476">+F801*J801</f>
        <v>0</v>
      </c>
      <c r="N801" s="176">
        <f t="shared" ref="N801:N820" si="477">SUM(K801:M801)</f>
        <v>0</v>
      </c>
      <c r="O801" s="1083">
        <f t="shared" ref="O801:O820" si="478">SUM(K801:M801)/tc</f>
        <v>0</v>
      </c>
    </row>
    <row r="802" spans="1:15" ht="15" customHeight="1" x14ac:dyDescent="0.2">
      <c r="A802" s="303"/>
      <c r="B802" s="833">
        <f t="shared" si="463"/>
        <v>3.1</v>
      </c>
      <c r="C802" s="303" t="s">
        <v>2954</v>
      </c>
      <c r="D802" s="822"/>
      <c r="E802" s="161" t="str">
        <f>+_xlfn.XLOOKUP(C802,'BASE DATOS PRECIOS '!B:B,'BASE DATOS PRECIOS '!E:E)</f>
        <v>BREAKER PRINCIPAL QOM2150VH 2P 150A 240V</v>
      </c>
      <c r="F802" s="174">
        <f>'3.1_ELEC'!D304</f>
        <v>1</v>
      </c>
      <c r="G802" s="175" t="str">
        <f>+_xlfn.XLOOKUP(C802,'BASE DATOS PRECIOS '!B:B,'BASE DATOS PRECIOS '!F:F)</f>
        <v>UND</v>
      </c>
      <c r="H802" s="176">
        <f>+_xlfn.XLOOKUP(E802,'BASE DATOS PRECIOS '!E:E,'BASE DATOS PRECIOS '!H:H)</f>
        <v>56645.77</v>
      </c>
      <c r="I802" s="175"/>
      <c r="J802" s="175"/>
      <c r="K802" s="176">
        <f t="shared" si="474"/>
        <v>56645.77</v>
      </c>
      <c r="L802" s="176">
        <f t="shared" si="475"/>
        <v>0</v>
      </c>
      <c r="M802" s="176">
        <f t="shared" si="476"/>
        <v>0</v>
      </c>
      <c r="N802" s="176">
        <f t="shared" si="477"/>
        <v>56645.77</v>
      </c>
      <c r="O802" s="1083">
        <f t="shared" si="478"/>
        <v>109.99178640776698</v>
      </c>
    </row>
    <row r="803" spans="1:15" ht="15" customHeight="1" x14ac:dyDescent="0.2">
      <c r="A803" s="303"/>
      <c r="B803" s="833">
        <f t="shared" si="463"/>
        <v>3.1</v>
      </c>
      <c r="C803" s="775" t="s">
        <v>2955</v>
      </c>
      <c r="D803" s="823"/>
      <c r="E803" s="161" t="str">
        <f>+_xlfn.XLOOKUP(C803,'BASE DATOS PRECIOS '!B:B,'BASE DATOS PRECIOS '!E:E)</f>
        <v>BREAKER SD QO 2X30AMP GFCI</v>
      </c>
      <c r="F803" s="174">
        <f>'3.1_ELEC'!D305</f>
        <v>13</v>
      </c>
      <c r="G803" s="175" t="str">
        <f>+_xlfn.XLOOKUP(C803,'BASE DATOS PRECIOS '!B:B,'BASE DATOS PRECIOS '!F:F)</f>
        <v>UND</v>
      </c>
      <c r="H803" s="176">
        <f>+_xlfn.XLOOKUP(E803,'BASE DATOS PRECIOS '!E:E,'BASE DATOS PRECIOS '!H:H)</f>
        <v>67051.939999999988</v>
      </c>
      <c r="I803" s="175"/>
      <c r="J803" s="175"/>
      <c r="K803" s="176">
        <f t="shared" si="474"/>
        <v>871675.21999999986</v>
      </c>
      <c r="L803" s="176">
        <f t="shared" si="475"/>
        <v>0</v>
      </c>
      <c r="M803" s="176">
        <f t="shared" si="476"/>
        <v>0</v>
      </c>
      <c r="N803" s="176">
        <f t="shared" si="477"/>
        <v>871675.21999999986</v>
      </c>
      <c r="O803" s="1083">
        <f t="shared" si="478"/>
        <v>1692.5732427184464</v>
      </c>
    </row>
    <row r="804" spans="1:15" ht="15" customHeight="1" x14ac:dyDescent="0.2">
      <c r="A804" s="303"/>
      <c r="B804" s="833">
        <f t="shared" si="463"/>
        <v>3.1</v>
      </c>
      <c r="C804" s="303" t="s">
        <v>2482</v>
      </c>
      <c r="D804" s="822"/>
      <c r="E804" s="161" t="str">
        <f>+_xlfn.XLOOKUP(C804,'BASE DATOS PRECIOS '!B:B,'BASE DATOS PRECIOS '!E:E)</f>
        <v>BREAKER 2P/100AMP QO2100 BASE MEDIDOR</v>
      </c>
      <c r="F804" s="174">
        <f>'3.1_ELEC'!D306</f>
        <v>1</v>
      </c>
      <c r="G804" s="175" t="str">
        <f>+_xlfn.XLOOKUP(C804,'BASE DATOS PRECIOS '!B:B,'BASE DATOS PRECIOS '!F:F)</f>
        <v>UND</v>
      </c>
      <c r="H804" s="176">
        <f>+_xlfn.XLOOKUP(E804,'BASE DATOS PRECIOS '!E:E,'BASE DATOS PRECIOS '!H:H)</f>
        <v>57695.539999999994</v>
      </c>
      <c r="I804" s="175"/>
      <c r="J804" s="175"/>
      <c r="K804" s="176">
        <f t="shared" si="474"/>
        <v>57695.539999999994</v>
      </c>
      <c r="L804" s="176">
        <f t="shared" si="475"/>
        <v>0</v>
      </c>
      <c r="M804" s="176">
        <f t="shared" si="476"/>
        <v>0</v>
      </c>
      <c r="N804" s="176">
        <f t="shared" si="477"/>
        <v>57695.539999999994</v>
      </c>
      <c r="O804" s="1083">
        <f t="shared" si="478"/>
        <v>112.03017475728154</v>
      </c>
    </row>
    <row r="805" spans="1:15" ht="15" customHeight="1" x14ac:dyDescent="0.2">
      <c r="A805" s="303"/>
      <c r="B805" s="833">
        <f t="shared" si="463"/>
        <v>3.1</v>
      </c>
      <c r="C805" s="775" t="s">
        <v>2955</v>
      </c>
      <c r="D805" s="823"/>
      <c r="E805" s="161" t="str">
        <f>+_xlfn.XLOOKUP(C805,'BASE DATOS PRECIOS '!B:B,'BASE DATOS PRECIOS '!E:E)</f>
        <v>BREAKER SD QO 2X30AMP GFCI</v>
      </c>
      <c r="F805" s="174">
        <f>'3.1_ELEC'!D307</f>
        <v>1</v>
      </c>
      <c r="G805" s="175" t="str">
        <f>+_xlfn.XLOOKUP(C805,'BASE DATOS PRECIOS '!B:B,'BASE DATOS PRECIOS '!F:F)</f>
        <v>UND</v>
      </c>
      <c r="H805" s="176">
        <f>+_xlfn.XLOOKUP(E805,'BASE DATOS PRECIOS '!E:E,'BASE DATOS PRECIOS '!H:H)</f>
        <v>67051.939999999988</v>
      </c>
      <c r="I805" s="175"/>
      <c r="J805" s="175"/>
      <c r="K805" s="176">
        <f t="shared" si="474"/>
        <v>67051.939999999988</v>
      </c>
      <c r="L805" s="176">
        <f t="shared" si="475"/>
        <v>0</v>
      </c>
      <c r="M805" s="176">
        <f t="shared" si="476"/>
        <v>0</v>
      </c>
      <c r="N805" s="176">
        <f t="shared" si="477"/>
        <v>67051.939999999988</v>
      </c>
      <c r="O805" s="1083">
        <f t="shared" si="478"/>
        <v>130.1979417475728</v>
      </c>
    </row>
    <row r="806" spans="1:15" ht="15" customHeight="1" x14ac:dyDescent="0.2">
      <c r="A806" s="303"/>
      <c r="B806" s="833">
        <f t="shared" si="463"/>
        <v>3.1</v>
      </c>
      <c r="C806" s="303" t="s">
        <v>2956</v>
      </c>
      <c r="D806" s="822"/>
      <c r="E806" s="161" t="str">
        <f>+_xlfn.XLOOKUP(C806,'BASE DATOS PRECIOS '!B:B,'BASE DATOS PRECIOS '!E:E)</f>
        <v>BREAKER SD QO 2X40AMP GFCI</v>
      </c>
      <c r="F806" s="174">
        <f>'3.1_ELEC'!D308</f>
        <v>3</v>
      </c>
      <c r="G806" s="175" t="str">
        <f>+_xlfn.XLOOKUP(C806,'BASE DATOS PRECIOS '!B:B,'BASE DATOS PRECIOS '!F:F)</f>
        <v>UND</v>
      </c>
      <c r="H806" s="176">
        <f>+_xlfn.XLOOKUP(E806,'BASE DATOS PRECIOS '!E:E,'BASE DATOS PRECIOS '!H:H)</f>
        <v>63529.368399999992</v>
      </c>
      <c r="I806" s="175"/>
      <c r="J806" s="175"/>
      <c r="K806" s="176">
        <f t="shared" si="474"/>
        <v>190588.10519999999</v>
      </c>
      <c r="L806" s="176">
        <f t="shared" si="475"/>
        <v>0</v>
      </c>
      <c r="M806" s="176">
        <f t="shared" si="476"/>
        <v>0</v>
      </c>
      <c r="N806" s="176">
        <f t="shared" si="477"/>
        <v>190588.10519999999</v>
      </c>
      <c r="O806" s="1083">
        <f t="shared" si="478"/>
        <v>370.07399067961165</v>
      </c>
    </row>
    <row r="807" spans="1:15" ht="15" customHeight="1" x14ac:dyDescent="0.2">
      <c r="A807" s="303"/>
      <c r="B807" s="833">
        <f t="shared" si="463"/>
        <v>3.1</v>
      </c>
      <c r="C807" s="775" t="s">
        <v>2957</v>
      </c>
      <c r="D807" s="823"/>
      <c r="E807" s="161" t="str">
        <f>+_xlfn.XLOOKUP(C807,'BASE DATOS PRECIOS '!B:B,'BASE DATOS PRECIOS '!E:E)</f>
        <v>SUPRESOR DE PICOS</v>
      </c>
      <c r="F807" s="174">
        <f>'3.1_ELEC'!D309</f>
        <v>1</v>
      </c>
      <c r="G807" s="175" t="str">
        <f>+_xlfn.XLOOKUP(C807,'BASE DATOS PRECIOS '!B:B,'BASE DATOS PRECIOS '!F:F)</f>
        <v>UND</v>
      </c>
      <c r="H807" s="176">
        <f>+_xlfn.XLOOKUP(E807,'BASE DATOS PRECIOS '!E:E,'BASE DATOS PRECIOS '!H:H)</f>
        <v>60643.958599999998</v>
      </c>
      <c r="I807" s="175"/>
      <c r="J807" s="175"/>
      <c r="K807" s="176">
        <f t="shared" si="474"/>
        <v>60643.958599999998</v>
      </c>
      <c r="L807" s="176">
        <f t="shared" si="475"/>
        <v>0</v>
      </c>
      <c r="M807" s="176">
        <f t="shared" si="476"/>
        <v>0</v>
      </c>
      <c r="N807" s="176">
        <f t="shared" si="477"/>
        <v>60643.958599999998</v>
      </c>
      <c r="O807" s="1083">
        <f t="shared" si="478"/>
        <v>117.75525941747573</v>
      </c>
    </row>
    <row r="808" spans="1:15" ht="15" customHeight="1" x14ac:dyDescent="0.2">
      <c r="A808" s="303"/>
      <c r="B808" s="833">
        <f t="shared" si="463"/>
        <v>3.1</v>
      </c>
      <c r="C808" s="303" t="s">
        <v>2496</v>
      </c>
      <c r="D808" s="822"/>
      <c r="E808" s="161" t="str">
        <f>+_xlfn.XLOOKUP(C808,'BASE DATOS PRECIOS '!B:B,'BASE DATOS PRECIOS '!E:E)</f>
        <v>CUBIERTA PARA CENTRO DE CARGA TIPO QOC24UF, MONTAJE DE EMPOTRAR</v>
      </c>
      <c r="F808" s="174">
        <f>'3.1_ELEC'!D310</f>
        <v>0</v>
      </c>
      <c r="G808" s="175" t="str">
        <f>+_xlfn.XLOOKUP(C808,'BASE DATOS PRECIOS '!B:B,'BASE DATOS PRECIOS '!F:F)</f>
        <v>UND</v>
      </c>
      <c r="H808" s="176">
        <f>+_xlfn.XLOOKUP(E808,'BASE DATOS PRECIOS '!E:E,'BASE DATOS PRECIOS '!H:H)</f>
        <v>24330.482</v>
      </c>
      <c r="I808" s="175"/>
      <c r="J808" s="175"/>
      <c r="K808" s="176">
        <f t="shared" si="474"/>
        <v>0</v>
      </c>
      <c r="L808" s="176">
        <f t="shared" si="475"/>
        <v>0</v>
      </c>
      <c r="M808" s="176">
        <f t="shared" si="476"/>
        <v>0</v>
      </c>
      <c r="N808" s="176">
        <f t="shared" si="477"/>
        <v>0</v>
      </c>
      <c r="O808" s="1083">
        <f t="shared" si="478"/>
        <v>0</v>
      </c>
    </row>
    <row r="809" spans="1:15" ht="15" customHeight="1" x14ac:dyDescent="0.2">
      <c r="A809" s="303"/>
      <c r="B809" s="833">
        <f t="shared" si="463"/>
        <v>3.1</v>
      </c>
      <c r="C809" s="775" t="s">
        <v>2964</v>
      </c>
      <c r="D809" s="823"/>
      <c r="E809" s="161" t="str">
        <f>+_xlfn.XLOOKUP(C809,'BASE DATOS PRECIOS '!B:B,'BASE DATOS PRECIOS '!E:E)</f>
        <v>CUBIERTA PARA CENTRO DE CARGA QO MONTAJE PARA EMPOTRAR 30 CIRCUITOS</v>
      </c>
      <c r="F809" s="174">
        <f>'3.1_ELEC'!D311</f>
        <v>1</v>
      </c>
      <c r="G809" s="175" t="str">
        <f>+_xlfn.XLOOKUP(C809,'BASE DATOS PRECIOS '!B:B,'BASE DATOS PRECIOS '!F:F)</f>
        <v>UND</v>
      </c>
      <c r="H809" s="176">
        <f>+_xlfn.XLOOKUP(E809,'BASE DATOS PRECIOS '!E:E,'BASE DATOS PRECIOS '!H:H)</f>
        <v>33379.397700000001</v>
      </c>
      <c r="I809" s="175"/>
      <c r="J809" s="175"/>
      <c r="K809" s="176">
        <f t="shared" si="474"/>
        <v>33379.397700000001</v>
      </c>
      <c r="L809" s="176">
        <f t="shared" si="475"/>
        <v>0</v>
      </c>
      <c r="M809" s="176">
        <f t="shared" si="476"/>
        <v>0</v>
      </c>
      <c r="N809" s="176">
        <f t="shared" si="477"/>
        <v>33379.397700000001</v>
      </c>
      <c r="O809" s="1083">
        <f t="shared" si="478"/>
        <v>64.814364466019427</v>
      </c>
    </row>
    <row r="810" spans="1:15" ht="15" customHeight="1" x14ac:dyDescent="0.2">
      <c r="A810" s="303"/>
      <c r="B810" s="833">
        <f t="shared" si="463"/>
        <v>3.1</v>
      </c>
      <c r="C810" s="303" t="s">
        <v>2962</v>
      </c>
      <c r="D810" s="822"/>
      <c r="E810" s="161" t="str">
        <f>+_xlfn.XLOOKUP(C810,'BASE DATOS PRECIOS '!B:B,'BASE DATOS PRECIOS '!E:E)</f>
        <v xml:space="preserve"> BARRA A TIERRA PK27GTA 27 TERMINALES</v>
      </c>
      <c r="F810" s="174">
        <f>'3.1_ELEC'!D312</f>
        <v>1</v>
      </c>
      <c r="G810" s="175" t="str">
        <f>+_xlfn.XLOOKUP(C810,'BASE DATOS PRECIOS '!B:B,'BASE DATOS PRECIOS '!F:F)</f>
        <v>UND</v>
      </c>
      <c r="H810" s="176">
        <f>+_xlfn.XLOOKUP(E810,'BASE DATOS PRECIOS '!E:E,'BASE DATOS PRECIOS '!H:H)</f>
        <v>5568.6399999999994</v>
      </c>
      <c r="I810" s="175"/>
      <c r="J810" s="175"/>
      <c r="K810" s="176">
        <f t="shared" si="474"/>
        <v>5568.6399999999994</v>
      </c>
      <c r="L810" s="176">
        <f t="shared" si="475"/>
        <v>0</v>
      </c>
      <c r="M810" s="176">
        <f t="shared" si="476"/>
        <v>0</v>
      </c>
      <c r="N810" s="176">
        <f t="shared" si="477"/>
        <v>5568.6399999999994</v>
      </c>
      <c r="O810" s="1083">
        <f t="shared" si="478"/>
        <v>10.812893203883494</v>
      </c>
    </row>
    <row r="811" spans="1:15" ht="15" customHeight="1" x14ac:dyDescent="0.2">
      <c r="A811" s="303"/>
      <c r="B811" s="833">
        <f t="shared" si="463"/>
        <v>3.1</v>
      </c>
      <c r="C811" s="775" t="s">
        <v>2310</v>
      </c>
      <c r="D811" s="823"/>
      <c r="E811" s="161" t="str">
        <f>+_xlfn.XLOOKUP(C811,'BASE DATOS PRECIOS '!B:B,'BASE DATOS PRECIOS '!E:E)</f>
        <v>CONECTOR MACHO RJ45</v>
      </c>
      <c r="F811" s="174">
        <f>'3.1_ELEC'!D313</f>
        <v>0</v>
      </c>
      <c r="G811" s="175" t="str">
        <f>+_xlfn.XLOOKUP(C811,'BASE DATOS PRECIOS '!B:B,'BASE DATOS PRECIOS '!F:F)</f>
        <v>UND</v>
      </c>
      <c r="H811" s="176">
        <f>+_xlfn.XLOOKUP(E811,'BASE DATOS PRECIOS '!E:E,'BASE DATOS PRECIOS '!H:H)</f>
        <v>228.2826</v>
      </c>
      <c r="I811" s="175"/>
      <c r="J811" s="175"/>
      <c r="K811" s="176">
        <f t="shared" si="474"/>
        <v>0</v>
      </c>
      <c r="L811" s="176">
        <f t="shared" si="475"/>
        <v>0</v>
      </c>
      <c r="M811" s="176">
        <f t="shared" si="476"/>
        <v>0</v>
      </c>
      <c r="N811" s="176">
        <f t="shared" si="477"/>
        <v>0</v>
      </c>
      <c r="O811" s="1083">
        <f t="shared" si="478"/>
        <v>0</v>
      </c>
    </row>
    <row r="812" spans="1:15" ht="15" customHeight="1" x14ac:dyDescent="0.2">
      <c r="A812" s="303"/>
      <c r="B812" s="833">
        <f t="shared" si="463"/>
        <v>3.1</v>
      </c>
      <c r="C812" s="303" t="s">
        <v>2958</v>
      </c>
      <c r="D812" s="822"/>
      <c r="E812" s="161" t="str">
        <f>+_xlfn.XLOOKUP(C812,'BASE DATOS PRECIOS '!B:B,'BASE DATOS PRECIOS '!E:E)</f>
        <v>CONECTOR DE BARRIL BIMETAL (NO COBRE) PARA 1/0 CU-AL</v>
      </c>
      <c r="F812" s="174">
        <f>'3.1_ELEC'!D314</f>
        <v>1</v>
      </c>
      <c r="G812" s="175" t="str">
        <f>+_xlfn.XLOOKUP(C812,'BASE DATOS PRECIOS '!B:B,'BASE DATOS PRECIOS '!F:F)</f>
        <v>UND</v>
      </c>
      <c r="H812" s="176">
        <f>+_xlfn.XLOOKUP(E812,'BASE DATOS PRECIOS '!E:E,'BASE DATOS PRECIOS '!H:H)</f>
        <v>2726.0006999999996</v>
      </c>
      <c r="I812" s="175"/>
      <c r="J812" s="175"/>
      <c r="K812" s="176">
        <f t="shared" si="474"/>
        <v>2726.0006999999996</v>
      </c>
      <c r="L812" s="176">
        <f t="shared" si="475"/>
        <v>0</v>
      </c>
      <c r="M812" s="176">
        <f t="shared" si="476"/>
        <v>0</v>
      </c>
      <c r="N812" s="176">
        <f t="shared" si="477"/>
        <v>2726.0006999999996</v>
      </c>
      <c r="O812" s="1083">
        <f t="shared" si="478"/>
        <v>5.2932052427184457</v>
      </c>
    </row>
    <row r="813" spans="1:15" ht="15" customHeight="1" x14ac:dyDescent="0.2">
      <c r="A813" s="1074"/>
      <c r="B813" s="833">
        <f t="shared" si="463"/>
        <v>3.1</v>
      </c>
      <c r="C813" s="782" t="s">
        <v>1921</v>
      </c>
      <c r="D813" s="837"/>
      <c r="E813" s="161" t="str">
        <f>+_xlfn.XLOOKUP(C813,'BASE DATOS PRECIOS '!B:B,'BASE DATOS PRECIOS '!E:E)</f>
        <v>TAPE SCOTCH 35 ROJO</v>
      </c>
      <c r="F813" s="174">
        <f>'3.1_ELEC'!D315</f>
        <v>1</v>
      </c>
      <c r="G813" s="175" t="str">
        <f>+_xlfn.XLOOKUP(C813,'BASE DATOS PRECIOS '!B:B,'BASE DATOS PRECIOS '!F:F)</f>
        <v>UND</v>
      </c>
      <c r="H813" s="176">
        <f>+_xlfn.XLOOKUP(E813,'BASE DATOS PRECIOS '!E:E,'BASE DATOS PRECIOS '!H:H)</f>
        <v>3490.4117999999999</v>
      </c>
      <c r="I813" s="175"/>
      <c r="J813" s="175"/>
      <c r="K813" s="176">
        <f t="shared" si="474"/>
        <v>3490.4117999999999</v>
      </c>
      <c r="L813" s="176">
        <f t="shared" si="475"/>
        <v>0</v>
      </c>
      <c r="M813" s="176">
        <f t="shared" si="476"/>
        <v>0</v>
      </c>
      <c r="N813" s="176">
        <f t="shared" si="477"/>
        <v>3490.4117999999999</v>
      </c>
      <c r="O813" s="1083">
        <f t="shared" si="478"/>
        <v>6.7774986407766988</v>
      </c>
    </row>
    <row r="814" spans="1:15" ht="15" customHeight="1" x14ac:dyDescent="0.2">
      <c r="A814" s="303"/>
      <c r="B814" s="833">
        <f t="shared" si="463"/>
        <v>3.1</v>
      </c>
      <c r="C814" s="775" t="s">
        <v>2278</v>
      </c>
      <c r="D814" s="823"/>
      <c r="E814" s="161" t="str">
        <f>+_xlfn.XLOOKUP(C814,'BASE DATOS PRECIOS '!B:B,'BASE DATOS PRECIOS '!E:E)</f>
        <v>TAPE ELECTRICO BLANCO EATON</v>
      </c>
      <c r="F814" s="174">
        <f>'3.1_ELEC'!D316</f>
        <v>1</v>
      </c>
      <c r="G814" s="175" t="str">
        <f>+_xlfn.XLOOKUP(C814,'BASE DATOS PRECIOS '!B:B,'BASE DATOS PRECIOS '!F:F)</f>
        <v>UND</v>
      </c>
      <c r="H814" s="176">
        <f>+_xlfn.XLOOKUP(E814,'BASE DATOS PRECIOS '!E:E,'BASE DATOS PRECIOS '!H:H)</f>
        <v>807.47539999999992</v>
      </c>
      <c r="I814" s="175"/>
      <c r="J814" s="175"/>
      <c r="K814" s="176">
        <f t="shared" si="474"/>
        <v>807.47539999999992</v>
      </c>
      <c r="L814" s="176">
        <f t="shared" si="475"/>
        <v>0</v>
      </c>
      <c r="M814" s="176">
        <f t="shared" si="476"/>
        <v>0</v>
      </c>
      <c r="N814" s="176">
        <f t="shared" si="477"/>
        <v>807.47539999999992</v>
      </c>
      <c r="O814" s="1083">
        <f t="shared" si="478"/>
        <v>1.5679133980582523</v>
      </c>
    </row>
    <row r="815" spans="1:15" ht="15" customHeight="1" x14ac:dyDescent="0.2">
      <c r="A815" s="303"/>
      <c r="B815" s="833">
        <f t="shared" si="463"/>
        <v>3.1</v>
      </c>
      <c r="C815" s="303" t="s">
        <v>2279</v>
      </c>
      <c r="D815" s="822"/>
      <c r="E815" s="161" t="str">
        <f>+_xlfn.XLOOKUP(C815,'BASE DATOS PRECIOS '!B:B,'BASE DATOS PRECIOS '!E:E)</f>
        <v>TAPE ELECTRICO VERDE EATON</v>
      </c>
      <c r="F815" s="174">
        <f>'3.1_ELEC'!D317</f>
        <v>0</v>
      </c>
      <c r="G815" s="175" t="str">
        <f>+_xlfn.XLOOKUP(C815,'BASE DATOS PRECIOS '!B:B,'BASE DATOS PRECIOS '!F:F)</f>
        <v>UND</v>
      </c>
      <c r="H815" s="176">
        <f>+_xlfn.XLOOKUP(E815,'BASE DATOS PRECIOS '!E:E,'BASE DATOS PRECIOS '!H:H)</f>
        <v>797.26019999999983</v>
      </c>
      <c r="I815" s="175"/>
      <c r="J815" s="175"/>
      <c r="K815" s="176">
        <f t="shared" si="474"/>
        <v>0</v>
      </c>
      <c r="L815" s="176">
        <f t="shared" si="475"/>
        <v>0</v>
      </c>
      <c r="M815" s="176">
        <f t="shared" si="476"/>
        <v>0</v>
      </c>
      <c r="N815" s="176">
        <f t="shared" si="477"/>
        <v>0</v>
      </c>
      <c r="O815" s="1083">
        <f t="shared" si="478"/>
        <v>0</v>
      </c>
    </row>
    <row r="816" spans="1:15" ht="15" customHeight="1" x14ac:dyDescent="0.2">
      <c r="A816" s="303"/>
      <c r="B816" s="833">
        <f t="shared" si="463"/>
        <v>3.1</v>
      </c>
      <c r="C816" s="774" t="s">
        <v>1427</v>
      </c>
      <c r="D816" s="210"/>
      <c r="E816" s="211" t="str">
        <f>+_xlfn.XLOOKUP(C816,'BASE DATOS EQUIPOS Y SUBCONTRAT'!A:A,'BASE DATOS EQUIPOS Y SUBCONTRAT'!B:B)</f>
        <v xml:space="preserve">M.O. TRABAJOS ELÉCTRICOS PARA ENTREGA FINAL </v>
      </c>
      <c r="F816" s="263">
        <v>1</v>
      </c>
      <c r="G816" s="264" t="str">
        <f>+_xlfn.XLOOKUP(C816,'BASE DATOS EQUIPOS Y SUBCONTRAT'!A:A,'BASE DATOS EQUIPOS Y SUBCONTRAT'!C:C)</f>
        <v xml:space="preserve">GLOBAL </v>
      </c>
      <c r="H816" s="265">
        <v>0</v>
      </c>
      <c r="I816" s="264"/>
      <c r="J816" s="265">
        <f>+'3.1_ELEC'!D319</f>
        <v>156250</v>
      </c>
      <c r="K816" s="265">
        <f t="shared" si="474"/>
        <v>0</v>
      </c>
      <c r="L816" s="265">
        <f t="shared" si="475"/>
        <v>0</v>
      </c>
      <c r="M816" s="265">
        <f t="shared" si="476"/>
        <v>156250</v>
      </c>
      <c r="N816" s="265">
        <f t="shared" si="477"/>
        <v>156250</v>
      </c>
      <c r="O816" s="1094">
        <f t="shared" si="478"/>
        <v>303.39805825242718</v>
      </c>
    </row>
    <row r="817" spans="1:15" ht="15" customHeight="1" x14ac:dyDescent="0.2">
      <c r="A817" s="303"/>
      <c r="B817" s="833">
        <f t="shared" si="463"/>
        <v>3.1</v>
      </c>
      <c r="C817" s="774" t="s">
        <v>36</v>
      </c>
      <c r="D817" s="210"/>
      <c r="E817" s="211" t="str">
        <f>+_xlfn.XLOOKUP(C817,'BASE DATOS MANO DE OBRA'!A:A,'BASE DATOS MANO DE OBRA'!B:B)</f>
        <v xml:space="preserve">OPERARIO PLUS </v>
      </c>
      <c r="F817" s="212">
        <v>0</v>
      </c>
      <c r="G817" s="213" t="str">
        <f>+_xlfn.XLOOKUP(C817,'BASE DATOS MANO DE OBRA'!A:A,'BASE DATOS MANO DE OBRA'!C:C)</f>
        <v xml:space="preserve">hora </v>
      </c>
      <c r="H817" s="214">
        <v>0</v>
      </c>
      <c r="I817" s="214">
        <f>+_xlfn.XLOOKUP(C817,'BASE DATOS MANO DE OBRA'!A:A,'BASE DATOS MANO DE OBRA'!E:E)</f>
        <v>2850</v>
      </c>
      <c r="J817" s="214">
        <v>0</v>
      </c>
      <c r="K817" s="214">
        <f t="shared" si="474"/>
        <v>0</v>
      </c>
      <c r="L817" s="214">
        <f t="shared" si="475"/>
        <v>0</v>
      </c>
      <c r="M817" s="214">
        <f t="shared" si="476"/>
        <v>0</v>
      </c>
      <c r="N817" s="214">
        <f t="shared" si="477"/>
        <v>0</v>
      </c>
      <c r="O817" s="1086">
        <f t="shared" si="478"/>
        <v>0</v>
      </c>
    </row>
    <row r="818" spans="1:15" ht="15" customHeight="1" x14ac:dyDescent="0.2">
      <c r="A818" s="303"/>
      <c r="B818" s="833">
        <f t="shared" si="463"/>
        <v>3.1</v>
      </c>
      <c r="C818" s="774" t="s">
        <v>37</v>
      </c>
      <c r="D818" s="210"/>
      <c r="E818" s="211" t="str">
        <f>+_xlfn.XLOOKUP(C818,'BASE DATOS MANO DE OBRA'!A:A,'BASE DATOS MANO DE OBRA'!B:B)</f>
        <v xml:space="preserve">AYUDANTE PLUS </v>
      </c>
      <c r="F818" s="212">
        <v>0</v>
      </c>
      <c r="G818" s="213" t="str">
        <f>+_xlfn.XLOOKUP(C818,'BASE DATOS MANO DE OBRA'!A:A,'BASE DATOS MANO DE OBRA'!C:C)</f>
        <v xml:space="preserve">hora </v>
      </c>
      <c r="H818" s="214">
        <v>0</v>
      </c>
      <c r="I818" s="214">
        <f>+_xlfn.XLOOKUP(C818,'BASE DATOS MANO DE OBRA'!A:A,'BASE DATOS MANO DE OBRA'!E:E)</f>
        <v>2325</v>
      </c>
      <c r="J818" s="214">
        <v>0</v>
      </c>
      <c r="K818" s="214">
        <f t="shared" si="474"/>
        <v>0</v>
      </c>
      <c r="L818" s="214">
        <f t="shared" si="475"/>
        <v>0</v>
      </c>
      <c r="M818" s="214">
        <f t="shared" si="476"/>
        <v>0</v>
      </c>
      <c r="N818" s="214">
        <f t="shared" si="477"/>
        <v>0</v>
      </c>
      <c r="O818" s="1086">
        <f t="shared" si="478"/>
        <v>0</v>
      </c>
    </row>
    <row r="819" spans="1:15" ht="15" customHeight="1" x14ac:dyDescent="0.2">
      <c r="A819" s="303"/>
      <c r="B819" s="833">
        <f t="shared" si="463"/>
        <v>3.1</v>
      </c>
      <c r="C819" s="774" t="s">
        <v>36</v>
      </c>
      <c r="D819" s="210"/>
      <c r="E819" s="211" t="str">
        <f>+_xlfn.XLOOKUP(C819,'BASE DATOS MANO DE OBRA'!A:A,'BASE DATOS MANO DE OBRA'!B:B)</f>
        <v xml:space="preserve">OPERARIO PLUS </v>
      </c>
      <c r="F819" s="212">
        <v>0</v>
      </c>
      <c r="G819" s="213" t="str">
        <f>+_xlfn.XLOOKUP(C819,'BASE DATOS MANO DE OBRA'!A:A,'BASE DATOS MANO DE OBRA'!C:C)</f>
        <v xml:space="preserve">hora </v>
      </c>
      <c r="H819" s="214">
        <v>0</v>
      </c>
      <c r="I819" s="214">
        <f>+_xlfn.XLOOKUP(C819,'BASE DATOS MANO DE OBRA'!A:A,'BASE DATOS MANO DE OBRA'!E:E)</f>
        <v>2850</v>
      </c>
      <c r="J819" s="214">
        <v>0</v>
      </c>
      <c r="K819" s="214">
        <f t="shared" si="474"/>
        <v>0</v>
      </c>
      <c r="L819" s="214">
        <f t="shared" si="475"/>
        <v>0</v>
      </c>
      <c r="M819" s="214">
        <f t="shared" si="476"/>
        <v>0</v>
      </c>
      <c r="N819" s="214">
        <f t="shared" si="477"/>
        <v>0</v>
      </c>
      <c r="O819" s="1086">
        <f t="shared" si="478"/>
        <v>0</v>
      </c>
    </row>
    <row r="820" spans="1:15" ht="15" customHeight="1" x14ac:dyDescent="0.2">
      <c r="A820" s="303"/>
      <c r="B820" s="833">
        <f t="shared" si="463"/>
        <v>3.1</v>
      </c>
      <c r="C820" s="774" t="s">
        <v>37</v>
      </c>
      <c r="D820" s="210"/>
      <c r="E820" s="211" t="str">
        <f>+_xlfn.XLOOKUP(C820,'BASE DATOS MANO DE OBRA'!A:A,'BASE DATOS MANO DE OBRA'!B:B)</f>
        <v xml:space="preserve">AYUDANTE PLUS </v>
      </c>
      <c r="F820" s="212">
        <v>0</v>
      </c>
      <c r="G820" s="213" t="str">
        <f>+_xlfn.XLOOKUP(C820,'BASE DATOS MANO DE OBRA'!A:A,'BASE DATOS MANO DE OBRA'!C:C)</f>
        <v xml:space="preserve">hora </v>
      </c>
      <c r="H820" s="214">
        <v>0</v>
      </c>
      <c r="I820" s="214">
        <f>+_xlfn.XLOOKUP(C820,'BASE DATOS MANO DE OBRA'!A:A,'BASE DATOS MANO DE OBRA'!E:E)</f>
        <v>2325</v>
      </c>
      <c r="J820" s="214">
        <v>0</v>
      </c>
      <c r="K820" s="214">
        <f t="shared" si="474"/>
        <v>0</v>
      </c>
      <c r="L820" s="214">
        <f t="shared" si="475"/>
        <v>0</v>
      </c>
      <c r="M820" s="214">
        <f t="shared" si="476"/>
        <v>0</v>
      </c>
      <c r="N820" s="214">
        <f t="shared" si="477"/>
        <v>0</v>
      </c>
      <c r="O820" s="1086">
        <f t="shared" si="478"/>
        <v>0</v>
      </c>
    </row>
    <row r="821" spans="1:15" x14ac:dyDescent="0.2">
      <c r="A821" s="303"/>
      <c r="B821" s="833">
        <f t="shared" si="463"/>
        <v>3.2</v>
      </c>
      <c r="C821" s="779" t="s">
        <v>3493</v>
      </c>
      <c r="D821" s="440"/>
      <c r="E821" s="441" t="s">
        <v>240</v>
      </c>
      <c r="F821" s="446">
        <v>1</v>
      </c>
      <c r="G821" s="440" t="s">
        <v>271</v>
      </c>
      <c r="H821" s="440"/>
      <c r="I821" s="440"/>
      <c r="J821" s="440"/>
      <c r="K821" s="447">
        <f>+SUBTOTAL(9,K822:K950)</f>
        <v>725672.32191499986</v>
      </c>
      <c r="L821" s="447">
        <f t="shared" ref="L821:M821" si="479">+SUBTOTAL(9,L822:L950)</f>
        <v>504562.5</v>
      </c>
      <c r="M821" s="447">
        <f t="shared" si="479"/>
        <v>0</v>
      </c>
      <c r="N821" s="447">
        <f>+SUBTOTAL(9,N822:N950)</f>
        <v>1230234.821915</v>
      </c>
      <c r="O821" s="1081">
        <f>+SUBTOTAL(9,O822:O950)</f>
        <v>2388.805479446602</v>
      </c>
    </row>
    <row r="822" spans="1:15" s="49" customFormat="1" ht="18.600000000000001" customHeight="1" x14ac:dyDescent="0.2">
      <c r="A822" s="303"/>
      <c r="B822" s="833">
        <f t="shared" si="463"/>
        <v>3.2</v>
      </c>
      <c r="C822" s="770" t="s">
        <v>2081</v>
      </c>
      <c r="D822" s="453"/>
      <c r="E822" s="454" t="s">
        <v>3359</v>
      </c>
      <c r="F822" s="455">
        <v>1</v>
      </c>
      <c r="G822" s="453" t="s">
        <v>29</v>
      </c>
      <c r="H822" s="453"/>
      <c r="I822" s="453"/>
      <c r="J822" s="453"/>
      <c r="K822" s="456">
        <f>+SUBTOTAL(9,K823:K842)</f>
        <v>258621.40499999994</v>
      </c>
      <c r="L822" s="456">
        <f>+SUBTOTAL(9,L823:L842)</f>
        <v>80212.5</v>
      </c>
      <c r="M822" s="456">
        <f>+SUBTOTAL(9,M823:M842)</f>
        <v>0</v>
      </c>
      <c r="N822" s="456">
        <f>+SUBTOTAL(9,N823:N842)</f>
        <v>338833.90499999991</v>
      </c>
      <c r="O822" s="1082">
        <f>+SUBTOTAL(9,O823:O842)</f>
        <v>657.92991262135922</v>
      </c>
    </row>
    <row r="823" spans="1:15" ht="15" customHeight="1" x14ac:dyDescent="0.2">
      <c r="A823" s="303"/>
      <c r="B823" s="833">
        <f t="shared" si="463"/>
        <v>3.2</v>
      </c>
      <c r="C823" s="793"/>
      <c r="D823" s="337"/>
      <c r="E823" s="338" t="s">
        <v>3391</v>
      </c>
      <c r="F823" s="634"/>
      <c r="G823" s="340"/>
      <c r="H823" s="341"/>
      <c r="I823" s="340"/>
      <c r="J823" s="340"/>
      <c r="K823" s="341"/>
      <c r="L823" s="341"/>
      <c r="M823" s="341"/>
      <c r="N823" s="341"/>
      <c r="O823" s="1097"/>
    </row>
    <row r="824" spans="1:15" ht="15" customHeight="1" x14ac:dyDescent="0.2">
      <c r="A824" s="303"/>
      <c r="B824" s="833">
        <f t="shared" si="463"/>
        <v>3.2</v>
      </c>
      <c r="C824" s="775" t="s">
        <v>2032</v>
      </c>
      <c r="D824" s="823"/>
      <c r="E824" s="161" t="str">
        <f>+_xlfn.XLOOKUP(C824,'BASE DATOS PRECIOS '!B:B,'BASE DATOS PRECIOS '!E:E)</f>
        <v>TUBO SDR41 JC PVC 4"</v>
      </c>
      <c r="F824" s="162">
        <f>+'3.2_MEC'!E19</f>
        <v>7</v>
      </c>
      <c r="G824" s="175" t="str">
        <f>+_xlfn.XLOOKUP(C824,'BASE DATOS PRECIOS '!B:B,'BASE DATOS PRECIOS '!F:F)</f>
        <v>UND</v>
      </c>
      <c r="H824" s="176">
        <f>+_xlfn.XLOOKUP(E824,'BASE DATOS PRECIOS '!E:E,'BASE DATOS PRECIOS '!H:H)</f>
        <v>20993.422499999997</v>
      </c>
      <c r="I824" s="175"/>
      <c r="J824" s="175"/>
      <c r="K824" s="176">
        <f t="shared" ref="K824:K842" si="480">+F824*H824</f>
        <v>146953.95749999999</v>
      </c>
      <c r="L824" s="176">
        <f t="shared" ref="L824:L842" si="481">+F824*I824</f>
        <v>0</v>
      </c>
      <c r="M824" s="176">
        <f t="shared" ref="M824:M842" si="482">+F824*J824</f>
        <v>0</v>
      </c>
      <c r="N824" s="176">
        <f t="shared" ref="N824:N842" si="483">SUM(K824:M824)</f>
        <v>146953.95749999999</v>
      </c>
      <c r="O824" s="1083">
        <f t="shared" ref="O824:O842" si="484">SUM(K824:M824)/tc</f>
        <v>285.34749029126209</v>
      </c>
    </row>
    <row r="825" spans="1:15" ht="15" customHeight="1" x14ac:dyDescent="0.2">
      <c r="A825" s="303"/>
      <c r="B825" s="833">
        <f t="shared" si="463"/>
        <v>3.2</v>
      </c>
      <c r="C825" s="775" t="s">
        <v>2116</v>
      </c>
      <c r="D825" s="823"/>
      <c r="E825" s="161" t="str">
        <f>+_xlfn.XLOOKUP(C825,'BASE DATOS PRECIOS '!B:B,'BASE DATOS PRECIOS '!E:E)</f>
        <v>TUBO 3" PVC</v>
      </c>
      <c r="F825" s="162">
        <f>+'3.2_MEC'!E20</f>
        <v>0</v>
      </c>
      <c r="G825" s="175">
        <f>+_xlfn.XLOOKUP(C825,'BASE DATOS PRECIOS '!B:B,'BASE DATOS PRECIOS '!F:F)</f>
        <v>0</v>
      </c>
      <c r="H825" s="176">
        <f>+_xlfn.XLOOKUP(E825,'BASE DATOS PRECIOS '!E:E,'BASE DATOS PRECIOS '!H:H)</f>
        <v>0</v>
      </c>
      <c r="I825" s="175"/>
      <c r="J825" s="175"/>
      <c r="K825" s="176">
        <f t="shared" ref="K825:K831" si="485">+F825*H825</f>
        <v>0</v>
      </c>
      <c r="L825" s="176">
        <f t="shared" ref="L825:L831" si="486">+F825*I825</f>
        <v>0</v>
      </c>
      <c r="M825" s="176">
        <f t="shared" ref="M825:M831" si="487">+F825*J825</f>
        <v>0</v>
      </c>
      <c r="N825" s="176">
        <f t="shared" ref="N825:N831" si="488">SUM(K825:M825)</f>
        <v>0</v>
      </c>
      <c r="O825" s="1083">
        <f t="shared" ref="O825:O831" si="489">SUM(K825:M825)/tc</f>
        <v>0</v>
      </c>
    </row>
    <row r="826" spans="1:15" ht="15" customHeight="1" x14ac:dyDescent="0.2">
      <c r="A826" s="303"/>
      <c r="B826" s="833">
        <f t="shared" si="463"/>
        <v>3.2</v>
      </c>
      <c r="C826" s="775" t="s">
        <v>2016</v>
      </c>
      <c r="D826" s="823"/>
      <c r="E826" s="161" t="str">
        <f>+_xlfn.XLOOKUP(C826,'BASE DATOS PRECIOS '!B:B,'BASE DATOS PRECIOS '!E:E)</f>
        <v>TUBO SDR41 JC PVC 2"</v>
      </c>
      <c r="F826" s="162">
        <f>+'3.2_MEC'!E21</f>
        <v>4</v>
      </c>
      <c r="G826" s="175" t="str">
        <f>+_xlfn.XLOOKUP(C826,'BASE DATOS PRECIOS '!B:B,'BASE DATOS PRECIOS '!F:F)</f>
        <v>UND</v>
      </c>
      <c r="H826" s="176">
        <f>+_xlfn.XLOOKUP(E826,'BASE DATOS PRECIOS '!E:E,'BASE DATOS PRECIOS '!H:H)</f>
        <v>6461.6224999999995</v>
      </c>
      <c r="I826" s="175"/>
      <c r="J826" s="175"/>
      <c r="K826" s="176">
        <f t="shared" si="485"/>
        <v>25846.489999999998</v>
      </c>
      <c r="L826" s="176">
        <f t="shared" si="486"/>
        <v>0</v>
      </c>
      <c r="M826" s="176">
        <f t="shared" si="487"/>
        <v>0</v>
      </c>
      <c r="N826" s="176">
        <f t="shared" si="488"/>
        <v>25846.489999999998</v>
      </c>
      <c r="O826" s="1083">
        <f t="shared" si="489"/>
        <v>50.187359223300966</v>
      </c>
    </row>
    <row r="827" spans="1:15" ht="15" customHeight="1" x14ac:dyDescent="0.2">
      <c r="A827" s="303"/>
      <c r="B827" s="833">
        <f t="shared" si="463"/>
        <v>3.2</v>
      </c>
      <c r="C827" s="793"/>
      <c r="D827" s="337"/>
      <c r="E827" s="338" t="s">
        <v>3392</v>
      </c>
      <c r="F827" s="634"/>
      <c r="G827" s="340"/>
      <c r="H827" s="341"/>
      <c r="I827" s="340"/>
      <c r="J827" s="340"/>
      <c r="K827" s="341"/>
      <c r="L827" s="341"/>
      <c r="M827" s="341"/>
      <c r="N827" s="341"/>
      <c r="O827" s="1097"/>
    </row>
    <row r="828" spans="1:15" ht="15" customHeight="1" x14ac:dyDescent="0.2">
      <c r="A828" s="303"/>
      <c r="B828" s="833">
        <f t="shared" si="463"/>
        <v>3.2</v>
      </c>
      <c r="C828" s="775" t="s">
        <v>2783</v>
      </c>
      <c r="D828" s="823"/>
      <c r="E828" s="161" t="str">
        <f>+_xlfn.XLOOKUP(C828,'BASE DATOS PRECIOS '!B:B,'BASE DATOS PRECIOS '!E:E)</f>
        <v>CODO 90 PVC PARED DELGADA 4"</v>
      </c>
      <c r="F828" s="162">
        <f>+'3.2_MEC'!E23</f>
        <v>6</v>
      </c>
      <c r="G828" s="175" t="str">
        <f>+_xlfn.XLOOKUP(C828,'BASE DATOS PRECIOS '!B:B,'BASE DATOS PRECIOS '!F:F)</f>
        <v>UND</v>
      </c>
      <c r="H828" s="176">
        <f>+_xlfn.XLOOKUP(E828,'BASE DATOS PRECIOS '!E:E,'BASE DATOS PRECIOS '!H:H)</f>
        <v>2529.5049999999997</v>
      </c>
      <c r="I828" s="175"/>
      <c r="J828" s="175"/>
      <c r="K828" s="176">
        <f t="shared" si="485"/>
        <v>15177.029999999999</v>
      </c>
      <c r="L828" s="176">
        <f t="shared" si="486"/>
        <v>0</v>
      </c>
      <c r="M828" s="176">
        <f t="shared" si="487"/>
        <v>0</v>
      </c>
      <c r="N828" s="176">
        <f t="shared" si="488"/>
        <v>15177.029999999999</v>
      </c>
      <c r="O828" s="1083">
        <f t="shared" si="489"/>
        <v>29.469961165048542</v>
      </c>
    </row>
    <row r="829" spans="1:15" ht="15" customHeight="1" x14ac:dyDescent="0.2">
      <c r="A829" s="303"/>
      <c r="B829" s="833">
        <f t="shared" si="463"/>
        <v>3.2</v>
      </c>
      <c r="C829" s="775" t="s">
        <v>2209</v>
      </c>
      <c r="D829" s="823"/>
      <c r="E829" s="161" t="str">
        <f>+_xlfn.XLOOKUP(C829,'BASE DATOS PRECIOS '!B:B,'BASE DATOS PRECIOS '!E:E)</f>
        <v>CODO 45 PVC PARED DELGADA 4" (SANITARIO)</v>
      </c>
      <c r="F829" s="162">
        <f>+'3.2_MEC'!E24</f>
        <v>0</v>
      </c>
      <c r="G829" s="175" t="str">
        <f>+_xlfn.XLOOKUP(C829,'BASE DATOS PRECIOS '!B:B,'BASE DATOS PRECIOS '!F:F)</f>
        <v>UND</v>
      </c>
      <c r="H829" s="176">
        <f>+_xlfn.XLOOKUP(E829,'BASE DATOS PRECIOS '!E:E,'BASE DATOS PRECIOS '!H:H)</f>
        <v>2123.5524999999998</v>
      </c>
      <c r="I829" s="175"/>
      <c r="J829" s="175"/>
      <c r="K829" s="176">
        <f t="shared" si="485"/>
        <v>0</v>
      </c>
      <c r="L829" s="176">
        <f t="shared" si="486"/>
        <v>0</v>
      </c>
      <c r="M829" s="176">
        <f t="shared" si="487"/>
        <v>0</v>
      </c>
      <c r="N829" s="176">
        <f t="shared" si="488"/>
        <v>0</v>
      </c>
      <c r="O829" s="1083">
        <f t="shared" si="489"/>
        <v>0</v>
      </c>
    </row>
    <row r="830" spans="1:15" ht="15" customHeight="1" x14ac:dyDescent="0.2">
      <c r="A830" s="303"/>
      <c r="B830" s="833">
        <f t="shared" si="463"/>
        <v>3.2</v>
      </c>
      <c r="C830" s="782" t="s">
        <v>2781</v>
      </c>
      <c r="D830" s="837"/>
      <c r="E830" s="161" t="str">
        <f>+_xlfn.XLOOKUP(C830,'BASE DATOS PRECIOS '!B:B,'BASE DATOS PRECIOS '!E:E)</f>
        <v>CODO 90 PVC PARED DELGADA 3" (SANITARIO)</v>
      </c>
      <c r="F830" s="162">
        <f>+'3.2_MEC'!E25</f>
        <v>0</v>
      </c>
      <c r="G830" s="175" t="str">
        <f>+_xlfn.XLOOKUP(C830,'BASE DATOS PRECIOS '!B:B,'BASE DATOS PRECIOS '!F:F)</f>
        <v>UND</v>
      </c>
      <c r="H830" s="176">
        <f>+_xlfn.XLOOKUP(E830,'BASE DATOS PRECIOS '!E:E,'BASE DATOS PRECIOS '!H:H)</f>
        <v>1358.2599999999998</v>
      </c>
      <c r="I830" s="175"/>
      <c r="J830" s="175"/>
      <c r="K830" s="176">
        <f t="shared" si="485"/>
        <v>0</v>
      </c>
      <c r="L830" s="176">
        <f t="shared" si="486"/>
        <v>0</v>
      </c>
      <c r="M830" s="176">
        <f t="shared" si="487"/>
        <v>0</v>
      </c>
      <c r="N830" s="176">
        <f t="shared" si="488"/>
        <v>0</v>
      </c>
      <c r="O830" s="1083">
        <f t="shared" si="489"/>
        <v>0</v>
      </c>
    </row>
    <row r="831" spans="1:15" ht="15" customHeight="1" x14ac:dyDescent="0.2">
      <c r="A831" s="303"/>
      <c r="B831" s="833">
        <f t="shared" si="463"/>
        <v>3.2</v>
      </c>
      <c r="C831" s="782" t="s">
        <v>2351</v>
      </c>
      <c r="D831" s="837"/>
      <c r="E831" s="161" t="str">
        <f>+_xlfn.XLOOKUP(C831,'BASE DATOS PRECIOS '!B:B,'BASE DATOS PRECIOS '!E:E)</f>
        <v>CODO 45 PVC PARED DELGADA 3" (SANITARIO)</v>
      </c>
      <c r="F831" s="162">
        <f>+'3.2_MEC'!E26</f>
        <v>0</v>
      </c>
      <c r="G831" s="175" t="str">
        <f>+_xlfn.XLOOKUP(C831,'BASE DATOS PRECIOS '!B:B,'BASE DATOS PRECIOS '!F:F)</f>
        <v>UND</v>
      </c>
      <c r="H831" s="176">
        <f>+_xlfn.XLOOKUP(E831,'BASE DATOS PRECIOS '!E:E,'BASE DATOS PRECIOS '!H:H)</f>
        <v>1206.8399999999999</v>
      </c>
      <c r="I831" s="175"/>
      <c r="J831" s="175"/>
      <c r="K831" s="176">
        <f t="shared" si="485"/>
        <v>0</v>
      </c>
      <c r="L831" s="176">
        <f t="shared" si="486"/>
        <v>0</v>
      </c>
      <c r="M831" s="176">
        <f t="shared" si="487"/>
        <v>0</v>
      </c>
      <c r="N831" s="176">
        <f t="shared" si="488"/>
        <v>0</v>
      </c>
      <c r="O831" s="1083">
        <f t="shared" si="489"/>
        <v>0</v>
      </c>
    </row>
    <row r="832" spans="1:15" ht="15" customHeight="1" x14ac:dyDescent="0.2">
      <c r="A832" s="303"/>
      <c r="B832" s="833">
        <f t="shared" si="463"/>
        <v>3.2</v>
      </c>
      <c r="C832" s="775" t="s">
        <v>2847</v>
      </c>
      <c r="D832" s="823"/>
      <c r="E832" s="161" t="str">
        <f>+_xlfn.XLOOKUP(C832,'BASE DATOS PRECIOS '!B:B,'BASE DATOS PRECIOS '!E:E)</f>
        <v>CODO 90 PVC POTABLE CEDULA DE PRESIÓN DE 2"</v>
      </c>
      <c r="F832" s="162">
        <f>+'3.2_MEC'!E27</f>
        <v>9</v>
      </c>
      <c r="G832" s="175" t="str">
        <f>+_xlfn.XLOOKUP(C832,'BASE DATOS PRECIOS '!B:B,'BASE DATOS PRECIOS '!F:F)</f>
        <v>UND</v>
      </c>
      <c r="H832" s="176">
        <f>+_xlfn.XLOOKUP(E832,'BASE DATOS PRECIOS '!E:E,'BASE DATOS PRECIOS '!H:H)</f>
        <v>5353.94</v>
      </c>
      <c r="I832" s="175"/>
      <c r="J832" s="175"/>
      <c r="K832" s="176">
        <f t="shared" si="480"/>
        <v>48185.46</v>
      </c>
      <c r="L832" s="176">
        <f t="shared" si="481"/>
        <v>0</v>
      </c>
      <c r="M832" s="176">
        <f t="shared" si="482"/>
        <v>0</v>
      </c>
      <c r="N832" s="176">
        <f t="shared" si="483"/>
        <v>48185.46</v>
      </c>
      <c r="O832" s="1083">
        <f t="shared" si="484"/>
        <v>93.563999999999993</v>
      </c>
    </row>
    <row r="833" spans="1:15" ht="15" customHeight="1" x14ac:dyDescent="0.2">
      <c r="A833" s="303"/>
      <c r="B833" s="833">
        <f t="shared" si="463"/>
        <v>3.2</v>
      </c>
      <c r="C833" s="775" t="s">
        <v>2033</v>
      </c>
      <c r="D833" s="823"/>
      <c r="E833" s="161" t="str">
        <f>+_xlfn.XLOOKUP(C833,'BASE DATOS PRECIOS '!B:B,'BASE DATOS PRECIOS '!E:E)</f>
        <v>CODO 45 PVC PARED DELGADA  2" (SANITARIO)</v>
      </c>
      <c r="F833" s="162">
        <f>+'3.2_MEC'!E28</f>
        <v>2</v>
      </c>
      <c r="G833" s="175" t="str">
        <f>+_xlfn.XLOOKUP(C833,'BASE DATOS PRECIOS '!B:B,'BASE DATOS PRECIOS '!F:F)</f>
        <v>UND</v>
      </c>
      <c r="H833" s="176">
        <f>+_xlfn.XLOOKUP(E833,'BASE DATOS PRECIOS '!E:E,'BASE DATOS PRECIOS '!H:H)</f>
        <v>472.34</v>
      </c>
      <c r="I833" s="175"/>
      <c r="J833" s="175"/>
      <c r="K833" s="176">
        <f t="shared" si="480"/>
        <v>944.68</v>
      </c>
      <c r="L833" s="176">
        <f t="shared" si="481"/>
        <v>0</v>
      </c>
      <c r="M833" s="176">
        <f t="shared" si="482"/>
        <v>0</v>
      </c>
      <c r="N833" s="176">
        <f t="shared" si="483"/>
        <v>944.68</v>
      </c>
      <c r="O833" s="1083">
        <f t="shared" si="484"/>
        <v>1.8343300970873786</v>
      </c>
    </row>
    <row r="834" spans="1:15" ht="15" customHeight="1" x14ac:dyDescent="0.2">
      <c r="A834" s="1074"/>
      <c r="B834" s="833">
        <f t="shared" ref="B834:B897" si="490">VALUE(IF(AND(LEN(TRIM(C834))-LEN(SUBSTITUTE(TRIM(C834),".",""))=1,ISNUMBER(VALUE(SUBSTITUTE(TRIM(C834),".","")))),TRIM(C834),B833))</f>
        <v>3.2</v>
      </c>
      <c r="C834" s="775" t="s">
        <v>2345</v>
      </c>
      <c r="D834" s="823"/>
      <c r="E834" s="161" t="str">
        <f>+_xlfn.XLOOKUP(C834,'BASE DATOS PRECIOS '!B:B,'BASE DATOS PRECIOS '!E:E)</f>
        <v>YEE PARED DELGADA 4" (SANITARIO)</v>
      </c>
      <c r="F834" s="162">
        <f>+'3.2_MEC'!E29</f>
        <v>3</v>
      </c>
      <c r="G834" s="175" t="str">
        <f>+_xlfn.XLOOKUP(C834,'BASE DATOS PRECIOS '!B:B,'BASE DATOS PRECIOS '!F:F)</f>
        <v>UND</v>
      </c>
      <c r="H834" s="176">
        <f>+_xlfn.XLOOKUP(E834,'BASE DATOS PRECIOS '!E:E,'BASE DATOS PRECIOS '!H:H)</f>
        <v>4249.6475</v>
      </c>
      <c r="I834" s="175"/>
      <c r="J834" s="175"/>
      <c r="K834" s="176">
        <f t="shared" si="480"/>
        <v>12748.942500000001</v>
      </c>
      <c r="L834" s="176">
        <f t="shared" si="481"/>
        <v>0</v>
      </c>
      <c r="M834" s="176">
        <f t="shared" si="482"/>
        <v>0</v>
      </c>
      <c r="N834" s="176">
        <f t="shared" si="483"/>
        <v>12748.942500000001</v>
      </c>
      <c r="O834" s="1083">
        <f t="shared" si="484"/>
        <v>24.755228155339807</v>
      </c>
    </row>
    <row r="835" spans="1:15" ht="15" customHeight="1" x14ac:dyDescent="0.2">
      <c r="A835" s="303"/>
      <c r="B835" s="833">
        <f t="shared" si="490"/>
        <v>3.2</v>
      </c>
      <c r="C835" s="775" t="s">
        <v>2018</v>
      </c>
      <c r="D835" s="823"/>
      <c r="E835" s="161" t="str">
        <f>+_xlfn.XLOOKUP(C835,'BASE DATOS PRECIOS '!B:B,'BASE DATOS PRECIOS '!E:E)</f>
        <v>YEE PARED DELGADA 3" (SANITARIO)</v>
      </c>
      <c r="F835" s="162">
        <f>+'3.2_MEC'!E30</f>
        <v>0</v>
      </c>
      <c r="G835" s="175" t="str">
        <f>+_xlfn.XLOOKUP(C835,'BASE DATOS PRECIOS '!B:B,'BASE DATOS PRECIOS '!F:F)</f>
        <v>UND</v>
      </c>
      <c r="H835" s="176">
        <f>+_xlfn.XLOOKUP(E835,'BASE DATOS PRECIOS '!E:E,'BASE DATOS PRECIOS '!H:H)</f>
        <v>2768.7824999999998</v>
      </c>
      <c r="I835" s="175"/>
      <c r="J835" s="175"/>
      <c r="K835" s="176">
        <f t="shared" si="480"/>
        <v>0</v>
      </c>
      <c r="L835" s="176">
        <f t="shared" si="481"/>
        <v>0</v>
      </c>
      <c r="M835" s="176">
        <f t="shared" si="482"/>
        <v>0</v>
      </c>
      <c r="N835" s="176">
        <f t="shared" si="483"/>
        <v>0</v>
      </c>
      <c r="O835" s="1083">
        <f t="shared" si="484"/>
        <v>0</v>
      </c>
    </row>
    <row r="836" spans="1:15" ht="15" customHeight="1" x14ac:dyDescent="0.2">
      <c r="A836" s="303"/>
      <c r="B836" s="833">
        <f t="shared" si="490"/>
        <v>3.2</v>
      </c>
      <c r="C836" s="775" t="s">
        <v>2347</v>
      </c>
      <c r="D836" s="823"/>
      <c r="E836" s="161" t="str">
        <f>+_xlfn.XLOOKUP(C836,'BASE DATOS PRECIOS '!B:B,'BASE DATOS PRECIOS '!E:E)</f>
        <v>YEE PARED DELGADA 2" (SANITARIO)</v>
      </c>
      <c r="F836" s="162">
        <f>+'3.2_MEC'!E31</f>
        <v>3</v>
      </c>
      <c r="G836" s="175" t="str">
        <f>+_xlfn.XLOOKUP(C836,'BASE DATOS PRECIOS '!B:B,'BASE DATOS PRECIOS '!F:F)</f>
        <v>UND</v>
      </c>
      <c r="H836" s="176">
        <f>+_xlfn.XLOOKUP(E836,'BASE DATOS PRECIOS '!E:E,'BASE DATOS PRECIOS '!H:H)</f>
        <v>1707.9949999999999</v>
      </c>
      <c r="I836" s="175"/>
      <c r="J836" s="175"/>
      <c r="K836" s="176">
        <f t="shared" si="480"/>
        <v>5123.9849999999997</v>
      </c>
      <c r="L836" s="176">
        <f t="shared" si="481"/>
        <v>0</v>
      </c>
      <c r="M836" s="176">
        <f t="shared" si="482"/>
        <v>0</v>
      </c>
      <c r="N836" s="176">
        <f t="shared" si="483"/>
        <v>5123.9849999999997</v>
      </c>
      <c r="O836" s="1083">
        <f t="shared" si="484"/>
        <v>9.9494854368932035</v>
      </c>
    </row>
    <row r="837" spans="1:15" ht="15" customHeight="1" x14ac:dyDescent="0.2">
      <c r="A837" s="303"/>
      <c r="B837" s="833">
        <f t="shared" si="490"/>
        <v>3.2</v>
      </c>
      <c r="C837" s="782" t="s">
        <v>2350</v>
      </c>
      <c r="D837" s="837"/>
      <c r="E837" s="161" t="str">
        <f>+_xlfn.XLOOKUP(C837,'BASE DATOS PRECIOS '!B:B,'BASE DATOS PRECIOS '!E:E)</f>
        <v>REDUCCION LISA P.D.  3" A 4" (SANITARIO)</v>
      </c>
      <c r="F837" s="162">
        <f>+'3.2_MEC'!E32</f>
        <v>2</v>
      </c>
      <c r="G837" s="175" t="str">
        <f>+_xlfn.XLOOKUP(C837,'BASE DATOS PRECIOS '!B:B,'BASE DATOS PRECIOS '!F:F)</f>
        <v>UND</v>
      </c>
      <c r="H837" s="176">
        <f>+_xlfn.XLOOKUP(E837,'BASE DATOS PRECIOS '!E:E,'BASE DATOS PRECIOS '!H:H)</f>
        <v>1820.4299999999998</v>
      </c>
      <c r="I837" s="175"/>
      <c r="J837" s="175"/>
      <c r="K837" s="176">
        <f t="shared" si="480"/>
        <v>3640.8599999999997</v>
      </c>
      <c r="L837" s="176">
        <f t="shared" si="481"/>
        <v>0</v>
      </c>
      <c r="M837" s="176">
        <f t="shared" si="482"/>
        <v>0</v>
      </c>
      <c r="N837" s="176">
        <f t="shared" si="483"/>
        <v>3640.8599999999997</v>
      </c>
      <c r="O837" s="1083">
        <f t="shared" si="484"/>
        <v>7.069631067961164</v>
      </c>
    </row>
    <row r="838" spans="1:15" ht="15" customHeight="1" x14ac:dyDescent="0.2">
      <c r="A838" s="303"/>
      <c r="B838" s="833">
        <f t="shared" si="490"/>
        <v>3.2</v>
      </c>
      <c r="C838" s="782" t="s">
        <v>2022</v>
      </c>
      <c r="D838" s="837"/>
      <c r="E838" s="161" t="str">
        <f>+_xlfn.XLOOKUP(C838,'BASE DATOS PRECIOS '!B:B,'BASE DATOS PRECIOS '!E:E)</f>
        <v>REDUCCION LISA P.D. 2" A 3" (SANITARIO)</v>
      </c>
      <c r="F838" s="162">
        <f>+'3.2_MEC'!E33</f>
        <v>0</v>
      </c>
      <c r="G838" s="175" t="str">
        <f>+_xlfn.XLOOKUP(C838,'BASE DATOS PRECIOS '!B:B,'BASE DATOS PRECIOS '!F:F)</f>
        <v>UND</v>
      </c>
      <c r="H838" s="176">
        <f>+_xlfn.XLOOKUP(E838,'BASE DATOS PRECIOS '!E:E,'BASE DATOS PRECIOS '!H:H)</f>
        <v>936.76999999999987</v>
      </c>
      <c r="I838" s="175"/>
      <c r="J838" s="175"/>
      <c r="K838" s="176">
        <f t="shared" si="480"/>
        <v>0</v>
      </c>
      <c r="L838" s="176">
        <f t="shared" si="481"/>
        <v>0</v>
      </c>
      <c r="M838" s="176">
        <f t="shared" si="482"/>
        <v>0</v>
      </c>
      <c r="N838" s="176">
        <f t="shared" si="483"/>
        <v>0</v>
      </c>
      <c r="O838" s="1083">
        <f t="shared" si="484"/>
        <v>0</v>
      </c>
    </row>
    <row r="839" spans="1:15" ht="15" customHeight="1" x14ac:dyDescent="0.2">
      <c r="A839" s="1075" t="s">
        <v>2175</v>
      </c>
      <c r="B839" s="833">
        <f t="shared" si="490"/>
        <v>3.2</v>
      </c>
      <c r="C839" s="774" t="s">
        <v>36</v>
      </c>
      <c r="D839" s="210"/>
      <c r="E839" s="211" t="str">
        <f>+_xlfn.XLOOKUP(C839,'BASE DATOS MANO DE OBRA'!A:A,'BASE DATOS MANO DE OBRA'!B:B)</f>
        <v xml:space="preserve">OPERARIO PLUS </v>
      </c>
      <c r="F839" s="212">
        <f>+ROUND('3.2_MEC'!F36,0)/2</f>
        <v>13</v>
      </c>
      <c r="G839" s="213" t="str">
        <f>+_xlfn.XLOOKUP(C839,'BASE DATOS MANO DE OBRA'!A:A,'BASE DATOS MANO DE OBRA'!C:C)</f>
        <v xml:space="preserve">hora </v>
      </c>
      <c r="H839" s="214">
        <v>0</v>
      </c>
      <c r="I839" s="214">
        <f>+_xlfn.XLOOKUP(C839,'BASE DATOS MANO DE OBRA'!A:A,'BASE DATOS MANO DE OBRA'!E:E)</f>
        <v>2850</v>
      </c>
      <c r="J839" s="214">
        <v>0</v>
      </c>
      <c r="K839" s="214">
        <f t="shared" si="480"/>
        <v>0</v>
      </c>
      <c r="L839" s="214">
        <f t="shared" si="481"/>
        <v>37050</v>
      </c>
      <c r="M839" s="214">
        <f t="shared" si="482"/>
        <v>0</v>
      </c>
      <c r="N839" s="214">
        <f t="shared" si="483"/>
        <v>37050</v>
      </c>
      <c r="O839" s="1086">
        <f t="shared" si="484"/>
        <v>71.94174757281553</v>
      </c>
    </row>
    <row r="840" spans="1:15" ht="15" customHeight="1" x14ac:dyDescent="0.2">
      <c r="A840" s="1075" t="s">
        <v>2175</v>
      </c>
      <c r="B840" s="833">
        <f t="shared" si="490"/>
        <v>3.2</v>
      </c>
      <c r="C840" s="774" t="s">
        <v>37</v>
      </c>
      <c r="D840" s="210"/>
      <c r="E840" s="211" t="str">
        <f>+_xlfn.XLOOKUP(C840,'BASE DATOS MANO DE OBRA'!A:A,'BASE DATOS MANO DE OBRA'!B:B)</f>
        <v xml:space="preserve">AYUDANTE PLUS </v>
      </c>
      <c r="F840" s="212">
        <f>+F839</f>
        <v>13</v>
      </c>
      <c r="G840" s="213" t="str">
        <f>+_xlfn.XLOOKUP(C840,'BASE DATOS MANO DE OBRA'!A:A,'BASE DATOS MANO DE OBRA'!C:C)</f>
        <v xml:space="preserve">hora </v>
      </c>
      <c r="H840" s="214">
        <v>0</v>
      </c>
      <c r="I840" s="214">
        <f>+_xlfn.XLOOKUP(C840,'BASE DATOS MANO DE OBRA'!A:A,'BASE DATOS MANO DE OBRA'!E:E)</f>
        <v>2325</v>
      </c>
      <c r="J840" s="214">
        <v>0</v>
      </c>
      <c r="K840" s="214">
        <f t="shared" si="480"/>
        <v>0</v>
      </c>
      <c r="L840" s="214">
        <f t="shared" si="481"/>
        <v>30225</v>
      </c>
      <c r="M840" s="214">
        <f t="shared" si="482"/>
        <v>0</v>
      </c>
      <c r="N840" s="214">
        <f t="shared" si="483"/>
        <v>30225</v>
      </c>
      <c r="O840" s="1086">
        <f t="shared" si="484"/>
        <v>58.689320388349515</v>
      </c>
    </row>
    <row r="841" spans="1:15" ht="15" customHeight="1" x14ac:dyDescent="0.2">
      <c r="A841" s="1075" t="s">
        <v>2175</v>
      </c>
      <c r="B841" s="833">
        <f t="shared" si="490"/>
        <v>3.2</v>
      </c>
      <c r="C841" s="774" t="s">
        <v>36</v>
      </c>
      <c r="D841" s="210"/>
      <c r="E841" s="211" t="str">
        <f>+_xlfn.XLOOKUP(C841,'BASE DATOS MANO DE OBRA'!A:A,'BASE DATOS MANO DE OBRA'!B:B)</f>
        <v xml:space="preserve">OPERARIO PLUS </v>
      </c>
      <c r="F841" s="212">
        <f>+ROUNDUP('3.2_MEC'!F37,0)/2</f>
        <v>2.5</v>
      </c>
      <c r="G841" s="213" t="str">
        <f>+_xlfn.XLOOKUP(C841,'BASE DATOS MANO DE OBRA'!A:A,'BASE DATOS MANO DE OBRA'!C:C)</f>
        <v xml:space="preserve">hora </v>
      </c>
      <c r="H841" s="214">
        <v>0</v>
      </c>
      <c r="I841" s="214">
        <f>+_xlfn.XLOOKUP(C841,'BASE DATOS MANO DE OBRA'!A:A,'BASE DATOS MANO DE OBRA'!E:E)</f>
        <v>2850</v>
      </c>
      <c r="J841" s="214">
        <v>0</v>
      </c>
      <c r="K841" s="214">
        <f t="shared" si="480"/>
        <v>0</v>
      </c>
      <c r="L841" s="214">
        <f t="shared" si="481"/>
        <v>7125</v>
      </c>
      <c r="M841" s="214">
        <f t="shared" si="482"/>
        <v>0</v>
      </c>
      <c r="N841" s="214">
        <f t="shared" si="483"/>
        <v>7125</v>
      </c>
      <c r="O841" s="1086">
        <f t="shared" si="484"/>
        <v>13.83495145631068</v>
      </c>
    </row>
    <row r="842" spans="1:15" ht="15" customHeight="1" x14ac:dyDescent="0.2">
      <c r="A842" s="1075" t="s">
        <v>2175</v>
      </c>
      <c r="B842" s="833">
        <f t="shared" si="490"/>
        <v>3.2</v>
      </c>
      <c r="C842" s="774" t="s">
        <v>37</v>
      </c>
      <c r="D842" s="210"/>
      <c r="E842" s="211" t="str">
        <f>+_xlfn.XLOOKUP(C842,'BASE DATOS MANO DE OBRA'!A:A,'BASE DATOS MANO DE OBRA'!B:B)</f>
        <v xml:space="preserve">AYUDANTE PLUS </v>
      </c>
      <c r="F842" s="212">
        <f>+F841</f>
        <v>2.5</v>
      </c>
      <c r="G842" s="213" t="str">
        <f>+_xlfn.XLOOKUP(C842,'BASE DATOS MANO DE OBRA'!A:A,'BASE DATOS MANO DE OBRA'!C:C)</f>
        <v xml:space="preserve">hora </v>
      </c>
      <c r="H842" s="214">
        <v>0</v>
      </c>
      <c r="I842" s="214">
        <f>+_xlfn.XLOOKUP(C842,'BASE DATOS MANO DE OBRA'!A:A,'BASE DATOS MANO DE OBRA'!E:E)</f>
        <v>2325</v>
      </c>
      <c r="J842" s="214">
        <v>0</v>
      </c>
      <c r="K842" s="214">
        <f t="shared" si="480"/>
        <v>0</v>
      </c>
      <c r="L842" s="214">
        <f t="shared" si="481"/>
        <v>5812.5</v>
      </c>
      <c r="M842" s="214">
        <f t="shared" si="482"/>
        <v>0</v>
      </c>
      <c r="N842" s="214">
        <f t="shared" si="483"/>
        <v>5812.5</v>
      </c>
      <c r="O842" s="1086">
        <f t="shared" si="484"/>
        <v>11.28640776699029</v>
      </c>
    </row>
    <row r="843" spans="1:15" s="49" customFormat="1" ht="18.600000000000001" customHeight="1" x14ac:dyDescent="0.2">
      <c r="A843" s="303"/>
      <c r="B843" s="833">
        <f t="shared" si="490"/>
        <v>3.2</v>
      </c>
      <c r="C843" s="770" t="s">
        <v>2082</v>
      </c>
      <c r="D843" s="453"/>
      <c r="E843" s="454" t="s">
        <v>3370</v>
      </c>
      <c r="F843" s="455">
        <v>1</v>
      </c>
      <c r="G843" s="453" t="s">
        <v>29</v>
      </c>
      <c r="H843" s="453"/>
      <c r="I843" s="453"/>
      <c r="J843" s="453"/>
      <c r="K843" s="456">
        <f>+SUBTOTAL(9,K844:K859)</f>
        <v>75767.008499999996</v>
      </c>
      <c r="L843" s="456">
        <f t="shared" ref="L843:M843" si="491">+SUBTOTAL(9,L844:L859)</f>
        <v>75037.5</v>
      </c>
      <c r="M843" s="456">
        <f t="shared" si="491"/>
        <v>0</v>
      </c>
      <c r="N843" s="456">
        <f>+SUBTOTAL(9,N844:N859)</f>
        <v>150804.5085</v>
      </c>
      <c r="O843" s="1082">
        <f>+SUBTOTAL(9,O844:O859)</f>
        <v>292.82428834951452</v>
      </c>
    </row>
    <row r="844" spans="1:15" ht="15" customHeight="1" x14ac:dyDescent="0.2">
      <c r="A844" s="303"/>
      <c r="B844" s="833">
        <f t="shared" si="490"/>
        <v>3.2</v>
      </c>
      <c r="C844" s="776"/>
      <c r="D844" s="166"/>
      <c r="E844" s="314" t="s">
        <v>3393</v>
      </c>
      <c r="F844" s="168"/>
      <c r="G844" s="169"/>
      <c r="H844" s="169"/>
      <c r="I844" s="169"/>
      <c r="J844" s="169"/>
      <c r="K844" s="170"/>
      <c r="L844" s="170"/>
      <c r="M844" s="170"/>
      <c r="N844" s="170"/>
      <c r="O844" s="1087"/>
    </row>
    <row r="845" spans="1:15" ht="15" customHeight="1" x14ac:dyDescent="0.2">
      <c r="A845" s="303"/>
      <c r="B845" s="833">
        <f t="shared" si="490"/>
        <v>3.2</v>
      </c>
      <c r="C845" s="303" t="s">
        <v>2031</v>
      </c>
      <c r="D845" s="822"/>
      <c r="E845" s="161" t="str">
        <f>+_xlfn.XLOOKUP(C845,'BASE DATOS PRECIOS '!B:B,'BASE DATOS PRECIOS '!E:E)</f>
        <v>TUBO PVC 1/2 P/GRUESA</v>
      </c>
      <c r="F845" s="183">
        <f>+'3.2_MEC'!E45</f>
        <v>9</v>
      </c>
      <c r="G845" s="175" t="str">
        <f>+_xlfn.XLOOKUP(C845,'BASE DATOS PRECIOS '!B:B,'BASE DATOS PRECIOS '!F:F)</f>
        <v>UND</v>
      </c>
      <c r="H845" s="176">
        <f>+_xlfn.XLOOKUP(E845,'BASE DATOS PRECIOS '!E:E,'BASE DATOS PRECIOS '!H:H)</f>
        <v>2711.4349999999999</v>
      </c>
      <c r="I845" s="175"/>
      <c r="J845" s="175"/>
      <c r="K845" s="176">
        <f t="shared" ref="K845:K846" si="492">+F845*H845</f>
        <v>24402.915000000001</v>
      </c>
      <c r="L845" s="176">
        <f t="shared" ref="L845:L846" si="493">+F845*I845</f>
        <v>0</v>
      </c>
      <c r="M845" s="176">
        <f t="shared" ref="M845:M846" si="494">+F845*J845</f>
        <v>0</v>
      </c>
      <c r="N845" s="176">
        <f t="shared" ref="N845:N846" si="495">SUM(K845:M845)</f>
        <v>24402.915000000001</v>
      </c>
      <c r="O845" s="1083">
        <f t="shared" ref="O845:O846" si="496">SUM(K845:M845)/tc</f>
        <v>47.384300970873788</v>
      </c>
    </row>
    <row r="846" spans="1:15" ht="15" customHeight="1" x14ac:dyDescent="0.2">
      <c r="A846" s="303"/>
      <c r="B846" s="833">
        <f t="shared" si="490"/>
        <v>3.2</v>
      </c>
      <c r="C846" s="303" t="s">
        <v>2358</v>
      </c>
      <c r="D846" s="822"/>
      <c r="E846" s="161" t="str">
        <f>+_xlfn.XLOOKUP(C846,'BASE DATOS PRECIOS '!B:B,'BASE DATOS PRECIOS '!E:E)</f>
        <v>TUBO CPVC 1/2</v>
      </c>
      <c r="F846" s="183">
        <f>+'3.2_MEC'!E46</f>
        <v>7</v>
      </c>
      <c r="G846" s="175" t="str">
        <f>+_xlfn.XLOOKUP(C846,'BASE DATOS PRECIOS '!B:B,'BASE DATOS PRECIOS '!F:F)</f>
        <v>UND</v>
      </c>
      <c r="H846" s="176">
        <f>+_xlfn.XLOOKUP(E846,'BASE DATOS PRECIOS '!E:E,'BASE DATOS PRECIOS '!H:H)</f>
        <v>5565.2499999999991</v>
      </c>
      <c r="I846" s="175"/>
      <c r="J846" s="175"/>
      <c r="K846" s="176">
        <f t="shared" si="492"/>
        <v>38956.749999999993</v>
      </c>
      <c r="L846" s="176">
        <f t="shared" si="493"/>
        <v>0</v>
      </c>
      <c r="M846" s="176">
        <f t="shared" si="494"/>
        <v>0</v>
      </c>
      <c r="N846" s="176">
        <f t="shared" si="495"/>
        <v>38956.749999999993</v>
      </c>
      <c r="O846" s="1083">
        <f t="shared" si="496"/>
        <v>75.644174757281533</v>
      </c>
    </row>
    <row r="847" spans="1:15" ht="15" customHeight="1" x14ac:dyDescent="0.2">
      <c r="A847" s="303"/>
      <c r="B847" s="833">
        <f t="shared" si="490"/>
        <v>3.2</v>
      </c>
      <c r="C847" s="776"/>
      <c r="D847" s="166"/>
      <c r="E847" s="314" t="s">
        <v>3392</v>
      </c>
      <c r="F847" s="168"/>
      <c r="G847" s="169"/>
      <c r="H847" s="169"/>
      <c r="I847" s="169"/>
      <c r="J847" s="169"/>
      <c r="K847" s="170"/>
      <c r="L847" s="170"/>
      <c r="M847" s="170"/>
      <c r="N847" s="170"/>
      <c r="O847" s="1087"/>
    </row>
    <row r="848" spans="1:15" ht="15" customHeight="1" x14ac:dyDescent="0.2">
      <c r="A848" s="303"/>
      <c r="B848" s="833">
        <f t="shared" si="490"/>
        <v>3.2</v>
      </c>
      <c r="C848" s="303" t="s">
        <v>2353</v>
      </c>
      <c r="D848" s="822"/>
      <c r="E848" s="161" t="str">
        <f>+_xlfn.XLOOKUP(C848,'BASE DATOS PRECIOS '!B:B,'BASE DATOS PRECIOS '!E:E)</f>
        <v>CODO 90 PVC LISO 1/2"</v>
      </c>
      <c r="F848" s="183">
        <f>+'3.2_MEC'!E48</f>
        <v>18</v>
      </c>
      <c r="G848" s="175" t="str">
        <f>+_xlfn.XLOOKUP(C848,'BASE DATOS PRECIOS '!B:B,'BASE DATOS PRECIOS '!F:F)</f>
        <v>UND</v>
      </c>
      <c r="H848" s="176">
        <f>+_xlfn.XLOOKUP(E848,'BASE DATOS PRECIOS '!E:E,'BASE DATOS PRECIOS '!H:H)</f>
        <v>84.749999999999986</v>
      </c>
      <c r="I848" s="175"/>
      <c r="J848" s="175"/>
      <c r="K848" s="176">
        <f t="shared" ref="K848:K855" si="497">+F848*H848</f>
        <v>1525.4999999999998</v>
      </c>
      <c r="L848" s="176">
        <f t="shared" ref="L848:L855" si="498">+F848*I848</f>
        <v>0</v>
      </c>
      <c r="M848" s="176">
        <f t="shared" ref="M848:M855" si="499">+F848*J848</f>
        <v>0</v>
      </c>
      <c r="N848" s="176">
        <f t="shared" ref="N848:N855" si="500">SUM(K848:M848)</f>
        <v>1525.4999999999998</v>
      </c>
      <c r="O848" s="1083">
        <f t="shared" ref="O848:O855" si="501">SUM(K848:M848)/tc</f>
        <v>2.9621359223300967</v>
      </c>
    </row>
    <row r="849" spans="1:15" ht="15" customHeight="1" x14ac:dyDescent="0.2">
      <c r="A849" s="303"/>
      <c r="B849" s="833">
        <f t="shared" si="490"/>
        <v>3.2</v>
      </c>
      <c r="C849" s="303" t="s">
        <v>2357</v>
      </c>
      <c r="D849" s="822"/>
      <c r="E849" s="161" t="str">
        <f>+_xlfn.XLOOKUP(C849,'BASE DATOS PRECIOS '!B:B,'BASE DATOS PRECIOS '!E:E)</f>
        <v>CODO 90 CPVC 1/2"</v>
      </c>
      <c r="F849" s="183">
        <f>+'3.2_MEC'!E49</f>
        <v>15</v>
      </c>
      <c r="G849" s="175" t="str">
        <f>+_xlfn.XLOOKUP(C849,'BASE DATOS PRECIOS '!B:B,'BASE DATOS PRECIOS '!F:F)</f>
        <v>UND</v>
      </c>
      <c r="H849" s="176">
        <f>+_xlfn.XLOOKUP(E849,'BASE DATOS PRECIOS '!E:E,'BASE DATOS PRECIOS '!H:H)</f>
        <v>228.54249999999999</v>
      </c>
      <c r="I849" s="175"/>
      <c r="J849" s="175"/>
      <c r="K849" s="176">
        <f t="shared" si="497"/>
        <v>3428.1374999999998</v>
      </c>
      <c r="L849" s="176">
        <f t="shared" si="498"/>
        <v>0</v>
      </c>
      <c r="M849" s="176">
        <f t="shared" si="499"/>
        <v>0</v>
      </c>
      <c r="N849" s="176">
        <f t="shared" si="500"/>
        <v>3428.1374999999998</v>
      </c>
      <c r="O849" s="1083">
        <f t="shared" si="501"/>
        <v>6.6565776699029122</v>
      </c>
    </row>
    <row r="850" spans="1:15" ht="15" customHeight="1" x14ac:dyDescent="0.2">
      <c r="A850" s="303"/>
      <c r="B850" s="833">
        <f t="shared" si="490"/>
        <v>3.2</v>
      </c>
      <c r="C850" s="303" t="s">
        <v>2354</v>
      </c>
      <c r="D850" s="822"/>
      <c r="E850" s="161" t="str">
        <f>+_xlfn.XLOOKUP(C850,'BASE DATOS PRECIOS '!B:B,'BASE DATOS PRECIOS '!E:E)</f>
        <v>TEE PVC LISA 1/2"</v>
      </c>
      <c r="F850" s="183">
        <f>+'3.2_MEC'!E50</f>
        <v>12</v>
      </c>
      <c r="G850" s="175" t="str">
        <f>+_xlfn.XLOOKUP(C850,'BASE DATOS PRECIOS '!B:B,'BASE DATOS PRECIOS '!F:F)</f>
        <v>UND</v>
      </c>
      <c r="H850" s="176">
        <f>+_xlfn.XLOOKUP(E850,'BASE DATOS PRECIOS '!E:E,'BASE DATOS PRECIOS '!H:H)</f>
        <v>86.162499999999994</v>
      </c>
      <c r="I850" s="175"/>
      <c r="J850" s="175"/>
      <c r="K850" s="176">
        <f t="shared" si="497"/>
        <v>1033.9499999999998</v>
      </c>
      <c r="L850" s="176">
        <f t="shared" si="498"/>
        <v>0</v>
      </c>
      <c r="M850" s="176">
        <f t="shared" si="499"/>
        <v>0</v>
      </c>
      <c r="N850" s="176">
        <f t="shared" si="500"/>
        <v>1033.9499999999998</v>
      </c>
      <c r="O850" s="1083">
        <f t="shared" si="501"/>
        <v>2.007669902912621</v>
      </c>
    </row>
    <row r="851" spans="1:15" ht="15" customHeight="1" x14ac:dyDescent="0.2">
      <c r="A851" s="1074"/>
      <c r="B851" s="833">
        <f t="shared" si="490"/>
        <v>3.2</v>
      </c>
      <c r="C851" s="303" t="s">
        <v>2356</v>
      </c>
      <c r="D851" s="822"/>
      <c r="E851" s="161" t="str">
        <f>+_xlfn.XLOOKUP(C851,'BASE DATOS PRECIOS '!B:B,'BASE DATOS PRECIOS '!E:E)</f>
        <v>TEE CPVC 1/2"</v>
      </c>
      <c r="F851" s="183">
        <f>+'3.2_MEC'!E51</f>
        <v>5</v>
      </c>
      <c r="G851" s="175" t="str">
        <f>+_xlfn.XLOOKUP(C851,'BASE DATOS PRECIOS '!B:B,'BASE DATOS PRECIOS '!F:F)</f>
        <v>UND</v>
      </c>
      <c r="H851" s="176">
        <f>+_xlfn.XLOOKUP(E851,'BASE DATOS PRECIOS '!E:E,'BASE DATOS PRECIOS '!H:H)</f>
        <v>302.55749999999995</v>
      </c>
      <c r="I851" s="175"/>
      <c r="J851" s="175"/>
      <c r="K851" s="176">
        <f t="shared" si="497"/>
        <v>1512.7874999999997</v>
      </c>
      <c r="L851" s="176">
        <f t="shared" si="498"/>
        <v>0</v>
      </c>
      <c r="M851" s="176">
        <f t="shared" si="499"/>
        <v>0</v>
      </c>
      <c r="N851" s="176">
        <f t="shared" si="500"/>
        <v>1512.7874999999997</v>
      </c>
      <c r="O851" s="1083">
        <f t="shared" si="501"/>
        <v>2.9374514563106788</v>
      </c>
    </row>
    <row r="852" spans="1:15" ht="15" customHeight="1" x14ac:dyDescent="0.2">
      <c r="A852" s="303"/>
      <c r="B852" s="833">
        <f t="shared" si="490"/>
        <v>3.2</v>
      </c>
      <c r="C852" s="303" t="s">
        <v>2352</v>
      </c>
      <c r="D852" s="822"/>
      <c r="E852" s="161" t="str">
        <f>+_xlfn.XLOOKUP(C852,'BASE DATOS PRECIOS '!B:B,'BASE DATOS PRECIOS '!E:E)</f>
        <v>ADAPTADOR MACHO PVC 1/2"</v>
      </c>
      <c r="F852" s="183">
        <f>+'3.2_MEC'!E52</f>
        <v>1</v>
      </c>
      <c r="G852" s="175" t="str">
        <f>+_xlfn.XLOOKUP(C852,'BASE DATOS PRECIOS '!B:B,'BASE DATOS PRECIOS '!F:F)</f>
        <v>UND</v>
      </c>
      <c r="H852" s="176">
        <f>+_xlfn.XLOOKUP(E852,'BASE DATOS PRECIOS '!E:E,'BASE DATOS PRECIOS '!H:H)</f>
        <v>70.625</v>
      </c>
      <c r="I852" s="175"/>
      <c r="J852" s="175"/>
      <c r="K852" s="176">
        <f t="shared" si="497"/>
        <v>70.625</v>
      </c>
      <c r="L852" s="176">
        <f t="shared" si="498"/>
        <v>0</v>
      </c>
      <c r="M852" s="176">
        <f t="shared" si="499"/>
        <v>0</v>
      </c>
      <c r="N852" s="176">
        <f t="shared" si="500"/>
        <v>70.625</v>
      </c>
      <c r="O852" s="1083">
        <f t="shared" si="501"/>
        <v>0.13713592233009708</v>
      </c>
    </row>
    <row r="853" spans="1:15" ht="15" customHeight="1" x14ac:dyDescent="0.2">
      <c r="A853" s="303"/>
      <c r="B853" s="833">
        <f t="shared" si="490"/>
        <v>3.2</v>
      </c>
      <c r="C853" s="303" t="s">
        <v>2359</v>
      </c>
      <c r="D853" s="822"/>
      <c r="E853" s="161" t="str">
        <f>+_xlfn.XLOOKUP(C853,'BASE DATOS PRECIOS '!B:B,'BASE DATOS PRECIOS '!E:E)</f>
        <v>ADAPTADOR MACHO CPVC 1/2"</v>
      </c>
      <c r="F853" s="183">
        <f>+'3.2_MEC'!E53</f>
        <v>1</v>
      </c>
      <c r="G853" s="175" t="str">
        <f>+_xlfn.XLOOKUP(C853,'BASE DATOS PRECIOS '!B:B,'BASE DATOS PRECIOS '!F:F)</f>
        <v>UND</v>
      </c>
      <c r="H853" s="176">
        <f>+_xlfn.XLOOKUP(E853,'BASE DATOS PRECIOS '!E:E,'BASE DATOS PRECIOS '!H:H)</f>
        <v>243.79749999999999</v>
      </c>
      <c r="I853" s="175"/>
      <c r="J853" s="175"/>
      <c r="K853" s="176">
        <f t="shared" si="497"/>
        <v>243.79749999999999</v>
      </c>
      <c r="L853" s="176">
        <f t="shared" si="498"/>
        <v>0</v>
      </c>
      <c r="M853" s="176">
        <f t="shared" si="499"/>
        <v>0</v>
      </c>
      <c r="N853" s="176">
        <f t="shared" si="500"/>
        <v>243.79749999999999</v>
      </c>
      <c r="O853" s="1083">
        <f t="shared" si="501"/>
        <v>0.4733932038834951</v>
      </c>
    </row>
    <row r="854" spans="1:15" ht="15" customHeight="1" x14ac:dyDescent="0.2">
      <c r="A854" s="303"/>
      <c r="B854" s="833">
        <f t="shared" si="490"/>
        <v>3.2</v>
      </c>
      <c r="C854" s="303" t="s">
        <v>2341</v>
      </c>
      <c r="D854" s="822"/>
      <c r="E854" s="161" t="str">
        <f>+_xlfn.XLOOKUP(C854,'BASE DATOS PRECIOS '!B:B,'BASE DATOS PRECIOS '!E:E)</f>
        <v>LLAVE  DE PASO PVC 1/2</v>
      </c>
      <c r="F854" s="183">
        <f>+'3.2_MEC'!E54</f>
        <v>1</v>
      </c>
      <c r="G854" s="175" t="str">
        <f>+_xlfn.XLOOKUP(C854,'BASE DATOS PRECIOS '!B:B,'BASE DATOS PRECIOS '!F:F)</f>
        <v>UND</v>
      </c>
      <c r="H854" s="176">
        <f>+_xlfn.XLOOKUP(E854,'BASE DATOS PRECIOS '!E:E,'BASE DATOS PRECIOS '!H:H)</f>
        <v>1771.162</v>
      </c>
      <c r="I854" s="175"/>
      <c r="J854" s="175"/>
      <c r="K854" s="176">
        <f t="shared" si="497"/>
        <v>1771.162</v>
      </c>
      <c r="L854" s="176">
        <f t="shared" si="498"/>
        <v>0</v>
      </c>
      <c r="M854" s="176">
        <f t="shared" si="499"/>
        <v>0</v>
      </c>
      <c r="N854" s="176">
        <f t="shared" si="500"/>
        <v>1771.162</v>
      </c>
      <c r="O854" s="1083">
        <f t="shared" si="501"/>
        <v>3.4391495145631068</v>
      </c>
    </row>
    <row r="855" spans="1:15" ht="15" customHeight="1" x14ac:dyDescent="0.2">
      <c r="A855" s="303"/>
      <c r="B855" s="833">
        <f t="shared" si="490"/>
        <v>3.2</v>
      </c>
      <c r="C855" s="303" t="s">
        <v>2266</v>
      </c>
      <c r="D855" s="822"/>
      <c r="E855" s="161" t="str">
        <f>+_xlfn.XLOOKUP(C855,'BASE DATOS PRECIOS '!B:B,'BASE DATOS PRECIOS '!E:E)</f>
        <v>LLAVE DE CHORRO PREMIUM 1/2</v>
      </c>
      <c r="F855" s="183">
        <f>+'3.2_MEC'!E55</f>
        <v>1</v>
      </c>
      <c r="G855" s="175" t="str">
        <f>+_xlfn.XLOOKUP(C855,'BASE DATOS PRECIOS '!B:B,'BASE DATOS PRECIOS '!F:F)</f>
        <v>UND</v>
      </c>
      <c r="H855" s="176">
        <f>+_xlfn.XLOOKUP(E855,'BASE DATOS PRECIOS '!E:E,'BASE DATOS PRECIOS '!H:H)</f>
        <v>2821.384</v>
      </c>
      <c r="I855" s="175"/>
      <c r="J855" s="175"/>
      <c r="K855" s="176">
        <f t="shared" si="497"/>
        <v>2821.384</v>
      </c>
      <c r="L855" s="176">
        <f t="shared" si="498"/>
        <v>0</v>
      </c>
      <c r="M855" s="176">
        <f t="shared" si="499"/>
        <v>0</v>
      </c>
      <c r="N855" s="176">
        <f t="shared" si="500"/>
        <v>2821.384</v>
      </c>
      <c r="O855" s="1083">
        <f t="shared" si="501"/>
        <v>5.4784155339805825</v>
      </c>
    </row>
    <row r="856" spans="1:15" ht="15" customHeight="1" x14ac:dyDescent="0.2">
      <c r="A856" s="1075" t="s">
        <v>2175</v>
      </c>
      <c r="B856" s="833">
        <f t="shared" si="490"/>
        <v>3.2</v>
      </c>
      <c r="C856" s="774" t="s">
        <v>36</v>
      </c>
      <c r="D856" s="210"/>
      <c r="E856" s="211" t="str">
        <f>+_xlfn.XLOOKUP(C856,'BASE DATOS MANO DE OBRA'!A:A,'BASE DATOS MANO DE OBRA'!B:B)</f>
        <v xml:space="preserve">OPERARIO PLUS </v>
      </c>
      <c r="F856" s="212">
        <f>+ROUNDUP('3.2_MEC'!F58,0)/2</f>
        <v>9.5</v>
      </c>
      <c r="G856" s="213" t="str">
        <f>+_xlfn.XLOOKUP(C856,'BASE DATOS MANO DE OBRA'!A:A,'BASE DATOS MANO DE OBRA'!C:C)</f>
        <v xml:space="preserve">hora </v>
      </c>
      <c r="H856" s="214">
        <v>0</v>
      </c>
      <c r="I856" s="214">
        <f>+_xlfn.XLOOKUP(C856,'BASE DATOS MANO DE OBRA'!A:A,'BASE DATOS MANO DE OBRA'!E:E)</f>
        <v>2850</v>
      </c>
      <c r="J856" s="214">
        <v>0</v>
      </c>
      <c r="K856" s="214">
        <f t="shared" ref="K856:K859" si="502">+F856*H856</f>
        <v>0</v>
      </c>
      <c r="L856" s="214">
        <f t="shared" ref="L856:L859" si="503">+F856*I856</f>
        <v>27075</v>
      </c>
      <c r="M856" s="214">
        <f t="shared" ref="M856:M859" si="504">+F856*J856</f>
        <v>0</v>
      </c>
      <c r="N856" s="214">
        <f t="shared" ref="N856:N859" si="505">SUM(K856:M856)</f>
        <v>27075</v>
      </c>
      <c r="O856" s="1086">
        <f t="shared" ref="O856:O859" si="506">SUM(K856:M856)/tc</f>
        <v>52.572815533980581</v>
      </c>
    </row>
    <row r="857" spans="1:15" ht="15" customHeight="1" x14ac:dyDescent="0.2">
      <c r="A857" s="1075" t="s">
        <v>2175</v>
      </c>
      <c r="B857" s="833">
        <f t="shared" si="490"/>
        <v>3.2</v>
      </c>
      <c r="C857" s="774" t="s">
        <v>37</v>
      </c>
      <c r="D857" s="210"/>
      <c r="E857" s="211" t="str">
        <f>+_xlfn.XLOOKUP(C857,'BASE DATOS MANO DE OBRA'!A:A,'BASE DATOS MANO DE OBRA'!B:B)</f>
        <v xml:space="preserve">AYUDANTE PLUS </v>
      </c>
      <c r="F857" s="212">
        <f>+F856</f>
        <v>9.5</v>
      </c>
      <c r="G857" s="213" t="str">
        <f>+_xlfn.XLOOKUP(C857,'BASE DATOS MANO DE OBRA'!A:A,'BASE DATOS MANO DE OBRA'!C:C)</f>
        <v xml:space="preserve">hora </v>
      </c>
      <c r="H857" s="214">
        <v>0</v>
      </c>
      <c r="I857" s="214">
        <f>+_xlfn.XLOOKUP(C857,'BASE DATOS MANO DE OBRA'!A:A,'BASE DATOS MANO DE OBRA'!E:E)</f>
        <v>2325</v>
      </c>
      <c r="J857" s="214">
        <v>0</v>
      </c>
      <c r="K857" s="214">
        <f t="shared" si="502"/>
        <v>0</v>
      </c>
      <c r="L857" s="214">
        <f t="shared" si="503"/>
        <v>22087.5</v>
      </c>
      <c r="M857" s="214">
        <f t="shared" si="504"/>
        <v>0</v>
      </c>
      <c r="N857" s="214">
        <f t="shared" si="505"/>
        <v>22087.5</v>
      </c>
      <c r="O857" s="1086">
        <f t="shared" si="506"/>
        <v>42.88834951456311</v>
      </c>
    </row>
    <row r="858" spans="1:15" ht="15" customHeight="1" x14ac:dyDescent="0.2">
      <c r="A858" s="1075" t="s">
        <v>2175</v>
      </c>
      <c r="B858" s="833">
        <f t="shared" si="490"/>
        <v>3.2</v>
      </c>
      <c r="C858" s="774" t="s">
        <v>36</v>
      </c>
      <c r="D858" s="210"/>
      <c r="E858" s="211" t="str">
        <f>+_xlfn.XLOOKUP(C858,'BASE DATOS MANO DE OBRA'!A:A,'BASE DATOS MANO DE OBRA'!B:B)</f>
        <v xml:space="preserve">OPERARIO PLUS </v>
      </c>
      <c r="F858" s="212">
        <f>+ROUNDUP('3.2_MEC'!F59,0)/2</f>
        <v>5</v>
      </c>
      <c r="G858" s="213" t="str">
        <f>+_xlfn.XLOOKUP(C858,'BASE DATOS MANO DE OBRA'!A:A,'BASE DATOS MANO DE OBRA'!C:C)</f>
        <v xml:space="preserve">hora </v>
      </c>
      <c r="H858" s="214">
        <v>0</v>
      </c>
      <c r="I858" s="214">
        <f>+_xlfn.XLOOKUP(C858,'BASE DATOS MANO DE OBRA'!A:A,'BASE DATOS MANO DE OBRA'!E:E)</f>
        <v>2850</v>
      </c>
      <c r="J858" s="214">
        <v>0</v>
      </c>
      <c r="K858" s="214">
        <f t="shared" si="502"/>
        <v>0</v>
      </c>
      <c r="L858" s="214">
        <f t="shared" si="503"/>
        <v>14250</v>
      </c>
      <c r="M858" s="214">
        <f t="shared" si="504"/>
        <v>0</v>
      </c>
      <c r="N858" s="214">
        <f t="shared" si="505"/>
        <v>14250</v>
      </c>
      <c r="O858" s="1086">
        <f t="shared" si="506"/>
        <v>27.66990291262136</v>
      </c>
    </row>
    <row r="859" spans="1:15" ht="15" customHeight="1" x14ac:dyDescent="0.2">
      <c r="A859" s="1075" t="s">
        <v>2175</v>
      </c>
      <c r="B859" s="833">
        <f t="shared" si="490"/>
        <v>3.2</v>
      </c>
      <c r="C859" s="774" t="s">
        <v>37</v>
      </c>
      <c r="D859" s="210"/>
      <c r="E859" s="211" t="str">
        <f>+_xlfn.XLOOKUP(C859,'BASE DATOS MANO DE OBRA'!A:A,'BASE DATOS MANO DE OBRA'!B:B)</f>
        <v xml:space="preserve">AYUDANTE PLUS </v>
      </c>
      <c r="F859" s="212">
        <f>+F858</f>
        <v>5</v>
      </c>
      <c r="G859" s="213" t="str">
        <f>+_xlfn.XLOOKUP(C859,'BASE DATOS MANO DE OBRA'!A:A,'BASE DATOS MANO DE OBRA'!C:C)</f>
        <v xml:space="preserve">hora </v>
      </c>
      <c r="H859" s="214">
        <v>0</v>
      </c>
      <c r="I859" s="214">
        <f>+_xlfn.XLOOKUP(C859,'BASE DATOS MANO DE OBRA'!A:A,'BASE DATOS MANO DE OBRA'!E:E)</f>
        <v>2325</v>
      </c>
      <c r="J859" s="214">
        <v>0</v>
      </c>
      <c r="K859" s="214">
        <f t="shared" si="502"/>
        <v>0</v>
      </c>
      <c r="L859" s="214">
        <f t="shared" si="503"/>
        <v>11625</v>
      </c>
      <c r="M859" s="214">
        <f t="shared" si="504"/>
        <v>0</v>
      </c>
      <c r="N859" s="214">
        <f t="shared" si="505"/>
        <v>11625</v>
      </c>
      <c r="O859" s="1086">
        <f t="shared" si="506"/>
        <v>22.572815533980581</v>
      </c>
    </row>
    <row r="860" spans="1:15" s="49" customFormat="1" ht="18.600000000000001" customHeight="1" x14ac:dyDescent="0.2">
      <c r="A860" s="303"/>
      <c r="B860" s="833">
        <f t="shared" si="490"/>
        <v>3.2</v>
      </c>
      <c r="C860" s="770" t="s">
        <v>3371</v>
      </c>
      <c r="D860" s="453"/>
      <c r="E860" s="454" t="s">
        <v>3372</v>
      </c>
      <c r="F860" s="455">
        <v>1</v>
      </c>
      <c r="G860" s="453" t="s">
        <v>29</v>
      </c>
      <c r="H860" s="453"/>
      <c r="I860" s="453"/>
      <c r="J860" s="453"/>
      <c r="K860" s="456">
        <f>+SUBTOTAL(9,K861:K874)</f>
        <v>0</v>
      </c>
      <c r="L860" s="456">
        <f>+SUBTOTAL(9,L861:L874)</f>
        <v>0</v>
      </c>
      <c r="M860" s="456">
        <f>+SUBTOTAL(9,M861:M874)</f>
        <v>0</v>
      </c>
      <c r="N860" s="456">
        <f>+SUBTOTAL(9,N861:N874)</f>
        <v>0</v>
      </c>
      <c r="O860" s="1082">
        <f>+SUBTOTAL(9,O861:O874)</f>
        <v>0</v>
      </c>
    </row>
    <row r="861" spans="1:15" ht="15" customHeight="1" x14ac:dyDescent="0.2">
      <c r="A861" s="303"/>
      <c r="B861" s="833">
        <f t="shared" si="490"/>
        <v>3.2</v>
      </c>
      <c r="C861" s="776"/>
      <c r="D861" s="166"/>
      <c r="E861" s="314" t="s">
        <v>3393</v>
      </c>
      <c r="F861" s="168"/>
      <c r="G861" s="169"/>
      <c r="H861" s="169"/>
      <c r="I861" s="169"/>
      <c r="J861" s="169"/>
      <c r="K861" s="170"/>
      <c r="L861" s="170"/>
      <c r="M861" s="170"/>
      <c r="N861" s="170"/>
      <c r="O861" s="1087"/>
    </row>
    <row r="862" spans="1:15" ht="15" customHeight="1" x14ac:dyDescent="0.2">
      <c r="A862" s="303"/>
      <c r="B862" s="833">
        <f t="shared" si="490"/>
        <v>3.2</v>
      </c>
      <c r="C862" s="303" t="s">
        <v>2031</v>
      </c>
      <c r="D862" s="822"/>
      <c r="E862" s="161" t="str">
        <f>+_xlfn.XLOOKUP(C862,'BASE DATOS PRECIOS '!B:B,'BASE DATOS PRECIOS '!E:E)</f>
        <v>TUBO PVC 1/2 P/GRUESA</v>
      </c>
      <c r="F862" s="183">
        <f>+'3.2_MEC'!E67</f>
        <v>0</v>
      </c>
      <c r="G862" s="175" t="str">
        <f>+_xlfn.XLOOKUP(C862,'BASE DATOS PRECIOS '!B:B,'BASE DATOS PRECIOS '!F:F)</f>
        <v>UND</v>
      </c>
      <c r="H862" s="176">
        <f>+_xlfn.XLOOKUP(E862,'BASE DATOS PRECIOS '!E:E,'BASE DATOS PRECIOS '!H:H)</f>
        <v>2711.4349999999999</v>
      </c>
      <c r="I862" s="175"/>
      <c r="J862" s="175"/>
      <c r="K862" s="176">
        <f t="shared" ref="K862:K863" si="507">+F862*H862</f>
        <v>0</v>
      </c>
      <c r="L862" s="176">
        <f t="shared" ref="L862:L863" si="508">+F862*I862</f>
        <v>0</v>
      </c>
      <c r="M862" s="176">
        <f t="shared" ref="M862:M863" si="509">+F862*J862</f>
        <v>0</v>
      </c>
      <c r="N862" s="176">
        <f t="shared" ref="N862:N863" si="510">SUM(K862:M862)</f>
        <v>0</v>
      </c>
      <c r="O862" s="1083">
        <f t="shared" ref="O862:O863" si="511">SUM(K862:M862)/tc</f>
        <v>0</v>
      </c>
    </row>
    <row r="863" spans="1:15" ht="15" customHeight="1" x14ac:dyDescent="0.2">
      <c r="A863" s="303"/>
      <c r="B863" s="833">
        <f t="shared" si="490"/>
        <v>3.2</v>
      </c>
      <c r="C863" s="303" t="s">
        <v>2358</v>
      </c>
      <c r="D863" s="822"/>
      <c r="E863" s="161" t="str">
        <f>+_xlfn.XLOOKUP(C863,'BASE DATOS PRECIOS '!B:B,'BASE DATOS PRECIOS '!E:E)</f>
        <v>TUBO CPVC 1/2</v>
      </c>
      <c r="F863" s="183">
        <f>+'3.2_MEC'!E68</f>
        <v>0</v>
      </c>
      <c r="G863" s="175" t="str">
        <f>+_xlfn.XLOOKUP(C863,'BASE DATOS PRECIOS '!B:B,'BASE DATOS PRECIOS '!F:F)</f>
        <v>UND</v>
      </c>
      <c r="H863" s="176">
        <f>+_xlfn.XLOOKUP(E863,'BASE DATOS PRECIOS '!E:E,'BASE DATOS PRECIOS '!H:H)</f>
        <v>5565.2499999999991</v>
      </c>
      <c r="I863" s="175"/>
      <c r="J863" s="175"/>
      <c r="K863" s="176">
        <f t="shared" si="507"/>
        <v>0</v>
      </c>
      <c r="L863" s="176">
        <f t="shared" si="508"/>
        <v>0</v>
      </c>
      <c r="M863" s="176">
        <f t="shared" si="509"/>
        <v>0</v>
      </c>
      <c r="N863" s="176">
        <f t="shared" si="510"/>
        <v>0</v>
      </c>
      <c r="O863" s="1083">
        <f t="shared" si="511"/>
        <v>0</v>
      </c>
    </row>
    <row r="864" spans="1:15" ht="15" customHeight="1" x14ac:dyDescent="0.2">
      <c r="A864" s="303"/>
      <c r="B864" s="833">
        <f t="shared" si="490"/>
        <v>3.2</v>
      </c>
      <c r="C864" s="776"/>
      <c r="D864" s="166"/>
      <c r="E864" s="314" t="s">
        <v>3392</v>
      </c>
      <c r="F864" s="168"/>
      <c r="G864" s="169"/>
      <c r="H864" s="169"/>
      <c r="I864" s="169"/>
      <c r="J864" s="169"/>
      <c r="K864" s="170"/>
      <c r="L864" s="170"/>
      <c r="M864" s="170"/>
      <c r="N864" s="170"/>
      <c r="O864" s="1087"/>
    </row>
    <row r="865" spans="1:15" ht="15" customHeight="1" x14ac:dyDescent="0.2">
      <c r="A865" s="303"/>
      <c r="B865" s="833">
        <f t="shared" si="490"/>
        <v>3.2</v>
      </c>
      <c r="C865" s="303" t="s">
        <v>2353</v>
      </c>
      <c r="D865" s="822"/>
      <c r="E865" s="161" t="str">
        <f>+_xlfn.XLOOKUP(C865,'BASE DATOS PRECIOS '!B:B,'BASE DATOS PRECIOS '!E:E)</f>
        <v>CODO 90 PVC LISO 1/2"</v>
      </c>
      <c r="F865" s="183">
        <f>+'3.2_MEC'!E70</f>
        <v>0</v>
      </c>
      <c r="G865" s="175" t="str">
        <f>+_xlfn.XLOOKUP(C865,'BASE DATOS PRECIOS '!B:B,'BASE DATOS PRECIOS '!F:F)</f>
        <v>UND</v>
      </c>
      <c r="H865" s="176">
        <f>+_xlfn.XLOOKUP(E865,'BASE DATOS PRECIOS '!E:E,'BASE DATOS PRECIOS '!H:H)</f>
        <v>84.749999999999986</v>
      </c>
      <c r="I865" s="175"/>
      <c r="J865" s="175"/>
      <c r="K865" s="176">
        <f t="shared" ref="K865:K870" si="512">+F865*H865</f>
        <v>0</v>
      </c>
      <c r="L865" s="176">
        <f t="shared" ref="L865:L870" si="513">+F865*I865</f>
        <v>0</v>
      </c>
      <c r="M865" s="176">
        <f t="shared" ref="M865:M870" si="514">+F865*J865</f>
        <v>0</v>
      </c>
      <c r="N865" s="176">
        <f t="shared" ref="N865:N870" si="515">SUM(K865:M865)</f>
        <v>0</v>
      </c>
      <c r="O865" s="1083">
        <f t="shared" ref="O865:O870" si="516">SUM(K865:M865)/tc</f>
        <v>0</v>
      </c>
    </row>
    <row r="866" spans="1:15" ht="15" customHeight="1" x14ac:dyDescent="0.2">
      <c r="A866" s="1074"/>
      <c r="B866" s="833">
        <f t="shared" si="490"/>
        <v>3.2</v>
      </c>
      <c r="C866" s="303" t="s">
        <v>2357</v>
      </c>
      <c r="D866" s="822"/>
      <c r="E866" s="161" t="str">
        <f>+_xlfn.XLOOKUP(C866,'BASE DATOS PRECIOS '!B:B,'BASE DATOS PRECIOS '!E:E)</f>
        <v>CODO 90 CPVC 1/2"</v>
      </c>
      <c r="F866" s="183">
        <f>+'3.2_MEC'!E71</f>
        <v>0</v>
      </c>
      <c r="G866" s="175" t="str">
        <f>+_xlfn.XLOOKUP(C866,'BASE DATOS PRECIOS '!B:B,'BASE DATOS PRECIOS '!F:F)</f>
        <v>UND</v>
      </c>
      <c r="H866" s="176">
        <f>+_xlfn.XLOOKUP(E866,'BASE DATOS PRECIOS '!E:E,'BASE DATOS PRECIOS '!H:H)</f>
        <v>228.54249999999999</v>
      </c>
      <c r="I866" s="175"/>
      <c r="J866" s="175"/>
      <c r="K866" s="176">
        <f t="shared" si="512"/>
        <v>0</v>
      </c>
      <c r="L866" s="176">
        <f t="shared" si="513"/>
        <v>0</v>
      </c>
      <c r="M866" s="176">
        <f t="shared" si="514"/>
        <v>0</v>
      </c>
      <c r="N866" s="176">
        <f t="shared" si="515"/>
        <v>0</v>
      </c>
      <c r="O866" s="1083">
        <f t="shared" si="516"/>
        <v>0</v>
      </c>
    </row>
    <row r="867" spans="1:15" ht="15" customHeight="1" x14ac:dyDescent="0.2">
      <c r="A867" s="303"/>
      <c r="B867" s="833">
        <f t="shared" si="490"/>
        <v>3.2</v>
      </c>
      <c r="C867" s="303" t="s">
        <v>2354</v>
      </c>
      <c r="D867" s="822"/>
      <c r="E867" s="161" t="str">
        <f>+_xlfn.XLOOKUP(C867,'BASE DATOS PRECIOS '!B:B,'BASE DATOS PRECIOS '!E:E)</f>
        <v>TEE PVC LISA 1/2"</v>
      </c>
      <c r="F867" s="183">
        <f>+'3.2_MEC'!E72</f>
        <v>0</v>
      </c>
      <c r="G867" s="175" t="str">
        <f>+_xlfn.XLOOKUP(C867,'BASE DATOS PRECIOS '!B:B,'BASE DATOS PRECIOS '!F:F)</f>
        <v>UND</v>
      </c>
      <c r="H867" s="176">
        <f>+_xlfn.XLOOKUP(E867,'BASE DATOS PRECIOS '!E:E,'BASE DATOS PRECIOS '!H:H)</f>
        <v>86.162499999999994</v>
      </c>
      <c r="I867" s="175"/>
      <c r="J867" s="175"/>
      <c r="K867" s="176">
        <f t="shared" si="512"/>
        <v>0</v>
      </c>
      <c r="L867" s="176">
        <f t="shared" si="513"/>
        <v>0</v>
      </c>
      <c r="M867" s="176">
        <f t="shared" si="514"/>
        <v>0</v>
      </c>
      <c r="N867" s="176">
        <f t="shared" si="515"/>
        <v>0</v>
      </c>
      <c r="O867" s="1083">
        <f t="shared" si="516"/>
        <v>0</v>
      </c>
    </row>
    <row r="868" spans="1:15" ht="15" customHeight="1" x14ac:dyDescent="0.2">
      <c r="A868" s="303"/>
      <c r="B868" s="833">
        <f t="shared" si="490"/>
        <v>3.2</v>
      </c>
      <c r="C868" s="303" t="s">
        <v>2356</v>
      </c>
      <c r="D868" s="822"/>
      <c r="E868" s="161" t="str">
        <f>+_xlfn.XLOOKUP(C868,'BASE DATOS PRECIOS '!B:B,'BASE DATOS PRECIOS '!E:E)</f>
        <v>TEE CPVC 1/2"</v>
      </c>
      <c r="F868" s="183">
        <f>+'3.2_MEC'!E73</f>
        <v>0</v>
      </c>
      <c r="G868" s="175" t="str">
        <f>+_xlfn.XLOOKUP(C868,'BASE DATOS PRECIOS '!B:B,'BASE DATOS PRECIOS '!F:F)</f>
        <v>UND</v>
      </c>
      <c r="H868" s="176">
        <f>+_xlfn.XLOOKUP(E868,'BASE DATOS PRECIOS '!E:E,'BASE DATOS PRECIOS '!H:H)</f>
        <v>302.55749999999995</v>
      </c>
      <c r="I868" s="175"/>
      <c r="J868" s="175"/>
      <c r="K868" s="176">
        <f t="shared" si="512"/>
        <v>0</v>
      </c>
      <c r="L868" s="176">
        <f t="shared" si="513"/>
        <v>0</v>
      </c>
      <c r="M868" s="176">
        <f t="shared" si="514"/>
        <v>0</v>
      </c>
      <c r="N868" s="176">
        <f t="shared" si="515"/>
        <v>0</v>
      </c>
      <c r="O868" s="1083">
        <f t="shared" si="516"/>
        <v>0</v>
      </c>
    </row>
    <row r="869" spans="1:15" ht="15" customHeight="1" x14ac:dyDescent="0.2">
      <c r="A869" s="303"/>
      <c r="B869" s="833">
        <f t="shared" si="490"/>
        <v>3.2</v>
      </c>
      <c r="C869" s="303" t="s">
        <v>2352</v>
      </c>
      <c r="D869" s="822"/>
      <c r="E869" s="161" t="str">
        <f>+_xlfn.XLOOKUP(C869,'BASE DATOS PRECIOS '!B:B,'BASE DATOS PRECIOS '!E:E)</f>
        <v>ADAPTADOR MACHO PVC 1/2"</v>
      </c>
      <c r="F869" s="183">
        <f>+'3.2_MEC'!E74</f>
        <v>0</v>
      </c>
      <c r="G869" s="175" t="str">
        <f>+_xlfn.XLOOKUP(C869,'BASE DATOS PRECIOS '!B:B,'BASE DATOS PRECIOS '!F:F)</f>
        <v>UND</v>
      </c>
      <c r="H869" s="176">
        <f>+_xlfn.XLOOKUP(E869,'BASE DATOS PRECIOS '!E:E,'BASE DATOS PRECIOS '!H:H)</f>
        <v>70.625</v>
      </c>
      <c r="I869" s="175"/>
      <c r="J869" s="175"/>
      <c r="K869" s="176">
        <f t="shared" si="512"/>
        <v>0</v>
      </c>
      <c r="L869" s="176">
        <f t="shared" si="513"/>
        <v>0</v>
      </c>
      <c r="M869" s="176">
        <f t="shared" si="514"/>
        <v>0</v>
      </c>
      <c r="N869" s="176">
        <f t="shared" si="515"/>
        <v>0</v>
      </c>
      <c r="O869" s="1083">
        <f t="shared" si="516"/>
        <v>0</v>
      </c>
    </row>
    <row r="870" spans="1:15" ht="15" customHeight="1" x14ac:dyDescent="0.2">
      <c r="A870" s="303"/>
      <c r="B870" s="833">
        <f t="shared" si="490"/>
        <v>3.2</v>
      </c>
      <c r="C870" s="303" t="s">
        <v>2359</v>
      </c>
      <c r="D870" s="822"/>
      <c r="E870" s="161" t="str">
        <f>+_xlfn.XLOOKUP(C870,'BASE DATOS PRECIOS '!B:B,'BASE DATOS PRECIOS '!E:E)</f>
        <v>ADAPTADOR MACHO CPVC 1/2"</v>
      </c>
      <c r="F870" s="183">
        <f>+'3.2_MEC'!E75</f>
        <v>0</v>
      </c>
      <c r="G870" s="175" t="str">
        <f>+_xlfn.XLOOKUP(C870,'BASE DATOS PRECIOS '!B:B,'BASE DATOS PRECIOS '!F:F)</f>
        <v>UND</v>
      </c>
      <c r="H870" s="176">
        <f>+_xlfn.XLOOKUP(E870,'BASE DATOS PRECIOS '!E:E,'BASE DATOS PRECIOS '!H:H)</f>
        <v>243.79749999999999</v>
      </c>
      <c r="I870" s="175"/>
      <c r="J870" s="175"/>
      <c r="K870" s="176">
        <f t="shared" si="512"/>
        <v>0</v>
      </c>
      <c r="L870" s="176">
        <f t="shared" si="513"/>
        <v>0</v>
      </c>
      <c r="M870" s="176">
        <f t="shared" si="514"/>
        <v>0</v>
      </c>
      <c r="N870" s="176">
        <f t="shared" si="515"/>
        <v>0</v>
      </c>
      <c r="O870" s="1083">
        <f t="shared" si="516"/>
        <v>0</v>
      </c>
    </row>
    <row r="871" spans="1:15" ht="15" customHeight="1" x14ac:dyDescent="0.2">
      <c r="A871" s="1075" t="s">
        <v>2176</v>
      </c>
      <c r="B871" s="833">
        <f t="shared" si="490"/>
        <v>3.2</v>
      </c>
      <c r="C871" s="774" t="s">
        <v>36</v>
      </c>
      <c r="D871" s="210"/>
      <c r="E871" s="211" t="str">
        <f>+_xlfn.XLOOKUP(C871,'BASE DATOS MANO DE OBRA'!A:A,'BASE DATOS MANO DE OBRA'!B:B)</f>
        <v xml:space="preserve">OPERARIO PLUS </v>
      </c>
      <c r="F871" s="212">
        <f>+ROUND('3.2_MEC'!F78,0)/2</f>
        <v>0</v>
      </c>
      <c r="G871" s="213" t="str">
        <f>+_xlfn.XLOOKUP(C871,'BASE DATOS MANO DE OBRA'!A:A,'BASE DATOS MANO DE OBRA'!C:C)</f>
        <v xml:space="preserve">hora </v>
      </c>
      <c r="H871" s="214">
        <v>0</v>
      </c>
      <c r="I871" s="214">
        <f>+_xlfn.XLOOKUP(C871,'BASE DATOS MANO DE OBRA'!A:A,'BASE DATOS MANO DE OBRA'!E:E)</f>
        <v>2850</v>
      </c>
      <c r="J871" s="214">
        <v>0</v>
      </c>
      <c r="K871" s="214">
        <f t="shared" ref="K871:K874" si="517">+F871*H871</f>
        <v>0</v>
      </c>
      <c r="L871" s="214">
        <f t="shared" ref="L871:L874" si="518">+F871*I871</f>
        <v>0</v>
      </c>
      <c r="M871" s="214">
        <f t="shared" ref="M871:M874" si="519">+F871*J871</f>
        <v>0</v>
      </c>
      <c r="N871" s="214">
        <f t="shared" ref="N871:N874" si="520">SUM(K871:M871)</f>
        <v>0</v>
      </c>
      <c r="O871" s="1086">
        <f t="shared" ref="O871:O874" si="521">SUM(K871:M871)/tc</f>
        <v>0</v>
      </c>
    </row>
    <row r="872" spans="1:15" ht="15" customHeight="1" x14ac:dyDescent="0.2">
      <c r="A872" s="1075" t="s">
        <v>2176</v>
      </c>
      <c r="B872" s="833">
        <f t="shared" si="490"/>
        <v>3.2</v>
      </c>
      <c r="C872" s="774" t="s">
        <v>37</v>
      </c>
      <c r="D872" s="210"/>
      <c r="E872" s="211" t="str">
        <f>+_xlfn.XLOOKUP(C872,'BASE DATOS MANO DE OBRA'!A:A,'BASE DATOS MANO DE OBRA'!B:B)</f>
        <v xml:space="preserve">AYUDANTE PLUS </v>
      </c>
      <c r="F872" s="212">
        <f>+F871</f>
        <v>0</v>
      </c>
      <c r="G872" s="213" t="str">
        <f>+_xlfn.XLOOKUP(C872,'BASE DATOS MANO DE OBRA'!A:A,'BASE DATOS MANO DE OBRA'!C:C)</f>
        <v xml:space="preserve">hora </v>
      </c>
      <c r="H872" s="214">
        <v>0</v>
      </c>
      <c r="I872" s="214">
        <f>+_xlfn.XLOOKUP(C872,'BASE DATOS MANO DE OBRA'!A:A,'BASE DATOS MANO DE OBRA'!E:E)</f>
        <v>2325</v>
      </c>
      <c r="J872" s="214">
        <v>0</v>
      </c>
      <c r="K872" s="214">
        <f t="shared" si="517"/>
        <v>0</v>
      </c>
      <c r="L872" s="214">
        <f t="shared" si="518"/>
        <v>0</v>
      </c>
      <c r="M872" s="214">
        <f t="shared" si="519"/>
        <v>0</v>
      </c>
      <c r="N872" s="214">
        <f t="shared" si="520"/>
        <v>0</v>
      </c>
      <c r="O872" s="1086">
        <f t="shared" si="521"/>
        <v>0</v>
      </c>
    </row>
    <row r="873" spans="1:15" ht="15" customHeight="1" x14ac:dyDescent="0.2">
      <c r="A873" s="1075" t="s">
        <v>2176</v>
      </c>
      <c r="B873" s="833">
        <f t="shared" si="490"/>
        <v>3.2</v>
      </c>
      <c r="C873" s="774" t="s">
        <v>36</v>
      </c>
      <c r="D873" s="210"/>
      <c r="E873" s="211" t="str">
        <f>+_xlfn.XLOOKUP(C873,'BASE DATOS MANO DE OBRA'!A:A,'BASE DATOS MANO DE OBRA'!B:B)</f>
        <v xml:space="preserve">OPERARIO PLUS </v>
      </c>
      <c r="F873" s="212">
        <f>+ROUNDUP('3.2_MEC'!F79,0)/2</f>
        <v>0</v>
      </c>
      <c r="G873" s="213" t="str">
        <f>+_xlfn.XLOOKUP(C873,'BASE DATOS MANO DE OBRA'!A:A,'BASE DATOS MANO DE OBRA'!C:C)</f>
        <v xml:space="preserve">hora </v>
      </c>
      <c r="H873" s="214">
        <v>0</v>
      </c>
      <c r="I873" s="214">
        <f>+_xlfn.XLOOKUP(C873,'BASE DATOS MANO DE OBRA'!A:A,'BASE DATOS MANO DE OBRA'!E:E)</f>
        <v>2850</v>
      </c>
      <c r="J873" s="214">
        <v>0</v>
      </c>
      <c r="K873" s="214">
        <f t="shared" si="517"/>
        <v>0</v>
      </c>
      <c r="L873" s="214">
        <f t="shared" si="518"/>
        <v>0</v>
      </c>
      <c r="M873" s="214">
        <f t="shared" si="519"/>
        <v>0</v>
      </c>
      <c r="N873" s="214">
        <f t="shared" si="520"/>
        <v>0</v>
      </c>
      <c r="O873" s="1086">
        <f t="shared" si="521"/>
        <v>0</v>
      </c>
    </row>
    <row r="874" spans="1:15" ht="15" customHeight="1" x14ac:dyDescent="0.2">
      <c r="A874" s="1075" t="s">
        <v>2176</v>
      </c>
      <c r="B874" s="833">
        <f t="shared" si="490"/>
        <v>3.2</v>
      </c>
      <c r="C874" s="774" t="s">
        <v>37</v>
      </c>
      <c r="D874" s="210"/>
      <c r="E874" s="211" t="str">
        <f>+_xlfn.XLOOKUP(C874,'BASE DATOS MANO DE OBRA'!A:A,'BASE DATOS MANO DE OBRA'!B:B)</f>
        <v xml:space="preserve">AYUDANTE PLUS </v>
      </c>
      <c r="F874" s="212">
        <f>+F873</f>
        <v>0</v>
      </c>
      <c r="G874" s="213" t="str">
        <f>+_xlfn.XLOOKUP(C874,'BASE DATOS MANO DE OBRA'!A:A,'BASE DATOS MANO DE OBRA'!C:C)</f>
        <v xml:space="preserve">hora </v>
      </c>
      <c r="H874" s="214">
        <v>0</v>
      </c>
      <c r="I874" s="214">
        <f>+_xlfn.XLOOKUP(C874,'BASE DATOS MANO DE OBRA'!A:A,'BASE DATOS MANO DE OBRA'!E:E)</f>
        <v>2325</v>
      </c>
      <c r="J874" s="214">
        <v>0</v>
      </c>
      <c r="K874" s="214">
        <f t="shared" si="517"/>
        <v>0</v>
      </c>
      <c r="L874" s="214">
        <f t="shared" si="518"/>
        <v>0</v>
      </c>
      <c r="M874" s="214">
        <f t="shared" si="519"/>
        <v>0</v>
      </c>
      <c r="N874" s="214">
        <f t="shared" si="520"/>
        <v>0</v>
      </c>
      <c r="O874" s="1086">
        <f t="shared" si="521"/>
        <v>0</v>
      </c>
    </row>
    <row r="875" spans="1:15" s="49" customFormat="1" ht="18.600000000000001" customHeight="1" x14ac:dyDescent="0.2">
      <c r="A875" s="303"/>
      <c r="B875" s="833">
        <f t="shared" si="490"/>
        <v>3.2</v>
      </c>
      <c r="C875" s="770" t="s">
        <v>3373</v>
      </c>
      <c r="D875" s="453"/>
      <c r="E875" s="454" t="s">
        <v>3374</v>
      </c>
      <c r="F875" s="455">
        <v>1</v>
      </c>
      <c r="G875" s="453" t="s">
        <v>29</v>
      </c>
      <c r="H875" s="453"/>
      <c r="I875" s="453"/>
      <c r="J875" s="453"/>
      <c r="K875" s="456">
        <f>+SUBTOTAL(9,K876:K890)</f>
        <v>0</v>
      </c>
      <c r="L875" s="456">
        <f>+SUBTOTAL(9,L876:L890)</f>
        <v>0</v>
      </c>
      <c r="M875" s="456">
        <f>+SUBTOTAL(9,M876:M890)</f>
        <v>0</v>
      </c>
      <c r="N875" s="456">
        <f>+SUBTOTAL(9,N876:N890)</f>
        <v>0</v>
      </c>
      <c r="O875" s="1082">
        <f>+SUBTOTAL(9,O876:O890)</f>
        <v>0</v>
      </c>
    </row>
    <row r="876" spans="1:15" ht="15" customHeight="1" x14ac:dyDescent="0.2">
      <c r="A876" s="303"/>
      <c r="B876" s="833">
        <f t="shared" si="490"/>
        <v>3.2</v>
      </c>
      <c r="C876" s="776"/>
      <c r="D876" s="166"/>
      <c r="E876" s="314" t="s">
        <v>3393</v>
      </c>
      <c r="F876" s="168"/>
      <c r="G876" s="169"/>
      <c r="H876" s="169"/>
      <c r="I876" s="169"/>
      <c r="J876" s="169"/>
      <c r="K876" s="170"/>
      <c r="L876" s="170"/>
      <c r="M876" s="170"/>
      <c r="N876" s="170"/>
      <c r="O876" s="1087"/>
    </row>
    <row r="877" spans="1:15" ht="15" customHeight="1" x14ac:dyDescent="0.2">
      <c r="A877" s="303"/>
      <c r="B877" s="833">
        <f t="shared" si="490"/>
        <v>3.2</v>
      </c>
      <c r="C877" s="303" t="s">
        <v>2116</v>
      </c>
      <c r="D877" s="822"/>
      <c r="E877" s="161" t="str">
        <f>+_xlfn.XLOOKUP(C877,'BASE DATOS PRECIOS '!B:B,'BASE DATOS PRECIOS '!E:E)</f>
        <v>TUBO 3" PVC</v>
      </c>
      <c r="F877" s="183">
        <f>+'3.2_MEC'!E87</f>
        <v>0</v>
      </c>
      <c r="G877" s="175">
        <f>+_xlfn.XLOOKUP(C877,'BASE DATOS PRECIOS '!B:B,'BASE DATOS PRECIOS '!F:F)</f>
        <v>0</v>
      </c>
      <c r="H877" s="176">
        <f>+_xlfn.XLOOKUP(E877,'BASE DATOS PRECIOS '!E:E,'BASE DATOS PRECIOS '!H:H)</f>
        <v>0</v>
      </c>
      <c r="I877" s="175"/>
      <c r="J877" s="175"/>
      <c r="K877" s="176">
        <f t="shared" ref="K877" si="522">+F877*H877</f>
        <v>0</v>
      </c>
      <c r="L877" s="176">
        <f t="shared" ref="L877" si="523">+F877*I877</f>
        <v>0</v>
      </c>
      <c r="M877" s="176">
        <f t="shared" ref="M877" si="524">+F877*J877</f>
        <v>0</v>
      </c>
      <c r="N877" s="176">
        <f t="shared" ref="N877" si="525">SUM(K877:M877)</f>
        <v>0</v>
      </c>
      <c r="O877" s="1083">
        <f t="shared" ref="O877" si="526">SUM(K877:M877)/tc</f>
        <v>0</v>
      </c>
    </row>
    <row r="878" spans="1:15" ht="15" customHeight="1" x14ac:dyDescent="0.2">
      <c r="A878" s="303"/>
      <c r="B878" s="833">
        <f t="shared" si="490"/>
        <v>3.2</v>
      </c>
      <c r="C878" s="303" t="s">
        <v>2016</v>
      </c>
      <c r="D878" s="822"/>
      <c r="E878" s="161" t="str">
        <f>+_xlfn.XLOOKUP(C878,'BASE DATOS PRECIOS '!B:B,'BASE DATOS PRECIOS '!E:E)</f>
        <v>TUBO SDR41 JC PVC 2"</v>
      </c>
      <c r="F878" s="183">
        <f>+'3.2_MEC'!E88</f>
        <v>0</v>
      </c>
      <c r="G878" s="175" t="str">
        <f>+_xlfn.XLOOKUP(C878,'BASE DATOS PRECIOS '!B:B,'BASE DATOS PRECIOS '!F:F)</f>
        <v>UND</v>
      </c>
      <c r="H878" s="176">
        <f>+_xlfn.XLOOKUP(E878,'BASE DATOS PRECIOS '!E:E,'BASE DATOS PRECIOS '!H:H)</f>
        <v>6461.6224999999995</v>
      </c>
      <c r="I878" s="175"/>
      <c r="J878" s="175"/>
      <c r="K878" s="176">
        <f t="shared" ref="K878" si="527">+F878*H878</f>
        <v>0</v>
      </c>
      <c r="L878" s="176">
        <f t="shared" ref="L878" si="528">+F878*I878</f>
        <v>0</v>
      </c>
      <c r="M878" s="176">
        <f t="shared" ref="M878" si="529">+F878*J878</f>
        <v>0</v>
      </c>
      <c r="N878" s="176">
        <f t="shared" ref="N878" si="530">SUM(K878:M878)</f>
        <v>0</v>
      </c>
      <c r="O878" s="1083">
        <f t="shared" ref="O878" si="531">SUM(K878:M878)/tc</f>
        <v>0</v>
      </c>
    </row>
    <row r="879" spans="1:15" ht="15" customHeight="1" x14ac:dyDescent="0.2">
      <c r="A879" s="303"/>
      <c r="B879" s="833">
        <f t="shared" si="490"/>
        <v>3.2</v>
      </c>
      <c r="C879" s="776"/>
      <c r="D879" s="166"/>
      <c r="E879" s="314" t="s">
        <v>3392</v>
      </c>
      <c r="F879" s="168"/>
      <c r="G879" s="169"/>
      <c r="H879" s="169"/>
      <c r="I879" s="169"/>
      <c r="J879" s="169"/>
      <c r="K879" s="170"/>
      <c r="L879" s="170"/>
      <c r="M879" s="170"/>
      <c r="N879" s="170"/>
      <c r="O879" s="1087"/>
    </row>
    <row r="880" spans="1:15" ht="15" customHeight="1" x14ac:dyDescent="0.2">
      <c r="A880" s="303"/>
      <c r="B880" s="833">
        <f t="shared" si="490"/>
        <v>3.2</v>
      </c>
      <c r="C880" s="303" t="s">
        <v>2781</v>
      </c>
      <c r="D880" s="822"/>
      <c r="E880" s="161" t="str">
        <f>+_xlfn.XLOOKUP(C880,'BASE DATOS PRECIOS '!B:B,'BASE DATOS PRECIOS '!E:E)</f>
        <v>CODO 90 PVC PARED DELGADA 3" (SANITARIO)</v>
      </c>
      <c r="F880" s="183">
        <f>+'3.2_MEC'!E90</f>
        <v>0</v>
      </c>
      <c r="G880" s="175" t="str">
        <f>+_xlfn.XLOOKUP(C880,'BASE DATOS PRECIOS '!B:B,'BASE DATOS PRECIOS '!F:F)</f>
        <v>UND</v>
      </c>
      <c r="H880" s="176">
        <f>+_xlfn.XLOOKUP(E880,'BASE DATOS PRECIOS '!E:E,'BASE DATOS PRECIOS '!H:H)</f>
        <v>1358.2599999999998</v>
      </c>
      <c r="I880" s="175"/>
      <c r="J880" s="175"/>
      <c r="K880" s="176">
        <f t="shared" ref="K880:K886" si="532">+F880*H880</f>
        <v>0</v>
      </c>
      <c r="L880" s="176">
        <f t="shared" ref="L880:L886" si="533">+F880*I880</f>
        <v>0</v>
      </c>
      <c r="M880" s="176">
        <f t="shared" ref="M880:M886" si="534">+F880*J880</f>
        <v>0</v>
      </c>
      <c r="N880" s="176">
        <f t="shared" ref="N880:N886" si="535">SUM(K880:M880)</f>
        <v>0</v>
      </c>
      <c r="O880" s="1083">
        <f t="shared" ref="O880:O886" si="536">SUM(K880:M880)/tc</f>
        <v>0</v>
      </c>
    </row>
    <row r="881" spans="1:15" ht="15" customHeight="1" x14ac:dyDescent="0.2">
      <c r="A881" s="303"/>
      <c r="B881" s="833">
        <f t="shared" si="490"/>
        <v>3.2</v>
      </c>
      <c r="C881" s="303" t="s">
        <v>2351</v>
      </c>
      <c r="D881" s="822"/>
      <c r="E881" s="161" t="str">
        <f>+_xlfn.XLOOKUP(C881,'BASE DATOS PRECIOS '!B:B,'BASE DATOS PRECIOS '!E:E)</f>
        <v>CODO 45 PVC PARED DELGADA 3" (SANITARIO)</v>
      </c>
      <c r="F881" s="183">
        <f>+'3.2_MEC'!E91</f>
        <v>0</v>
      </c>
      <c r="G881" s="175" t="str">
        <f>+_xlfn.XLOOKUP(C881,'BASE DATOS PRECIOS '!B:B,'BASE DATOS PRECIOS '!F:F)</f>
        <v>UND</v>
      </c>
      <c r="H881" s="176">
        <f>+_xlfn.XLOOKUP(E881,'BASE DATOS PRECIOS '!E:E,'BASE DATOS PRECIOS '!H:H)</f>
        <v>1206.8399999999999</v>
      </c>
      <c r="I881" s="175"/>
      <c r="J881" s="175"/>
      <c r="K881" s="176">
        <f t="shared" si="532"/>
        <v>0</v>
      </c>
      <c r="L881" s="176">
        <f t="shared" si="533"/>
        <v>0</v>
      </c>
      <c r="M881" s="176">
        <f t="shared" si="534"/>
        <v>0</v>
      </c>
      <c r="N881" s="176">
        <f t="shared" si="535"/>
        <v>0</v>
      </c>
      <c r="O881" s="1083">
        <f t="shared" si="536"/>
        <v>0</v>
      </c>
    </row>
    <row r="882" spans="1:15" ht="15" customHeight="1" x14ac:dyDescent="0.2">
      <c r="A882" s="1074"/>
      <c r="B882" s="833">
        <f t="shared" si="490"/>
        <v>3.2</v>
      </c>
      <c r="C882" s="303" t="s">
        <v>2847</v>
      </c>
      <c r="D882" s="822"/>
      <c r="E882" s="161" t="str">
        <f>+_xlfn.XLOOKUP(C882,'BASE DATOS PRECIOS '!B:B,'BASE DATOS PRECIOS '!E:E)</f>
        <v>CODO 90 PVC POTABLE CEDULA DE PRESIÓN DE 2"</v>
      </c>
      <c r="F882" s="183">
        <f>+'3.2_MEC'!E92</f>
        <v>0</v>
      </c>
      <c r="G882" s="175" t="str">
        <f>+_xlfn.XLOOKUP(C882,'BASE DATOS PRECIOS '!B:B,'BASE DATOS PRECIOS '!F:F)</f>
        <v>UND</v>
      </c>
      <c r="H882" s="176">
        <f>+_xlfn.XLOOKUP(E882,'BASE DATOS PRECIOS '!E:E,'BASE DATOS PRECIOS '!H:H)</f>
        <v>5353.94</v>
      </c>
      <c r="I882" s="175"/>
      <c r="J882" s="175"/>
      <c r="K882" s="176">
        <f t="shared" si="532"/>
        <v>0</v>
      </c>
      <c r="L882" s="176">
        <f t="shared" si="533"/>
        <v>0</v>
      </c>
      <c r="M882" s="176">
        <f t="shared" si="534"/>
        <v>0</v>
      </c>
      <c r="N882" s="176">
        <f t="shared" si="535"/>
        <v>0</v>
      </c>
      <c r="O882" s="1083">
        <f t="shared" si="536"/>
        <v>0</v>
      </c>
    </row>
    <row r="883" spans="1:15" ht="15" customHeight="1" x14ac:dyDescent="0.2">
      <c r="A883" s="303"/>
      <c r="B883" s="833">
        <f t="shared" si="490"/>
        <v>3.2</v>
      </c>
      <c r="C883" s="303" t="s">
        <v>2033</v>
      </c>
      <c r="D883" s="822"/>
      <c r="E883" s="161" t="str">
        <f>+_xlfn.XLOOKUP(C883,'BASE DATOS PRECIOS '!B:B,'BASE DATOS PRECIOS '!E:E)</f>
        <v>CODO 45 PVC PARED DELGADA  2" (SANITARIO)</v>
      </c>
      <c r="F883" s="183">
        <f>+'3.2_MEC'!E93</f>
        <v>0</v>
      </c>
      <c r="G883" s="175" t="str">
        <f>+_xlfn.XLOOKUP(C883,'BASE DATOS PRECIOS '!B:B,'BASE DATOS PRECIOS '!F:F)</f>
        <v>UND</v>
      </c>
      <c r="H883" s="176">
        <f>+_xlfn.XLOOKUP(E883,'BASE DATOS PRECIOS '!E:E,'BASE DATOS PRECIOS '!H:H)</f>
        <v>472.34</v>
      </c>
      <c r="I883" s="175"/>
      <c r="J883" s="175"/>
      <c r="K883" s="176">
        <f t="shared" si="532"/>
        <v>0</v>
      </c>
      <c r="L883" s="176">
        <f t="shared" si="533"/>
        <v>0</v>
      </c>
      <c r="M883" s="176">
        <f t="shared" si="534"/>
        <v>0</v>
      </c>
      <c r="N883" s="176">
        <f t="shared" si="535"/>
        <v>0</v>
      </c>
      <c r="O883" s="1083">
        <f t="shared" si="536"/>
        <v>0</v>
      </c>
    </row>
    <row r="884" spans="1:15" ht="15" customHeight="1" x14ac:dyDescent="0.2">
      <c r="A884" s="303"/>
      <c r="B884" s="833">
        <f t="shared" si="490"/>
        <v>3.2</v>
      </c>
      <c r="C884" s="303" t="s">
        <v>2018</v>
      </c>
      <c r="D884" s="822"/>
      <c r="E884" s="161" t="str">
        <f>+_xlfn.XLOOKUP(C884,'BASE DATOS PRECIOS '!B:B,'BASE DATOS PRECIOS '!E:E)</f>
        <v>YEE PARED DELGADA 3" (SANITARIO)</v>
      </c>
      <c r="F884" s="183">
        <f>+'3.2_MEC'!E94</f>
        <v>0</v>
      </c>
      <c r="G884" s="175" t="str">
        <f>+_xlfn.XLOOKUP(C884,'BASE DATOS PRECIOS '!B:B,'BASE DATOS PRECIOS '!F:F)</f>
        <v>UND</v>
      </c>
      <c r="H884" s="176">
        <f>+_xlfn.XLOOKUP(E884,'BASE DATOS PRECIOS '!E:E,'BASE DATOS PRECIOS '!H:H)</f>
        <v>2768.7824999999998</v>
      </c>
      <c r="I884" s="175"/>
      <c r="J884" s="175"/>
      <c r="K884" s="176">
        <f t="shared" si="532"/>
        <v>0</v>
      </c>
      <c r="L884" s="176">
        <f t="shared" si="533"/>
        <v>0</v>
      </c>
      <c r="M884" s="176">
        <f t="shared" si="534"/>
        <v>0</v>
      </c>
      <c r="N884" s="176">
        <f t="shared" si="535"/>
        <v>0</v>
      </c>
      <c r="O884" s="1083">
        <f t="shared" si="536"/>
        <v>0</v>
      </c>
    </row>
    <row r="885" spans="1:15" ht="15" customHeight="1" x14ac:dyDescent="0.2">
      <c r="A885" s="303"/>
      <c r="B885" s="833">
        <f t="shared" si="490"/>
        <v>3.2</v>
      </c>
      <c r="C885" s="303" t="s">
        <v>2347</v>
      </c>
      <c r="D885" s="822"/>
      <c r="E885" s="161" t="str">
        <f>+_xlfn.XLOOKUP(C885,'BASE DATOS PRECIOS '!B:B,'BASE DATOS PRECIOS '!E:E)</f>
        <v>YEE PARED DELGADA 2" (SANITARIO)</v>
      </c>
      <c r="F885" s="183">
        <f>+'3.2_MEC'!E95</f>
        <v>0</v>
      </c>
      <c r="G885" s="175" t="str">
        <f>+_xlfn.XLOOKUP(C885,'BASE DATOS PRECIOS '!B:B,'BASE DATOS PRECIOS '!F:F)</f>
        <v>UND</v>
      </c>
      <c r="H885" s="176">
        <f>+_xlfn.XLOOKUP(E885,'BASE DATOS PRECIOS '!E:E,'BASE DATOS PRECIOS '!H:H)</f>
        <v>1707.9949999999999</v>
      </c>
      <c r="I885" s="175"/>
      <c r="J885" s="175"/>
      <c r="K885" s="176">
        <f t="shared" si="532"/>
        <v>0</v>
      </c>
      <c r="L885" s="176">
        <f t="shared" si="533"/>
        <v>0</v>
      </c>
      <c r="M885" s="176">
        <f t="shared" si="534"/>
        <v>0</v>
      </c>
      <c r="N885" s="176">
        <f t="shared" si="535"/>
        <v>0</v>
      </c>
      <c r="O885" s="1083">
        <f t="shared" si="536"/>
        <v>0</v>
      </c>
    </row>
    <row r="886" spans="1:15" ht="15" customHeight="1" x14ac:dyDescent="0.2">
      <c r="A886" s="303"/>
      <c r="B886" s="833">
        <f t="shared" si="490"/>
        <v>3.2</v>
      </c>
      <c r="C886" s="303" t="s">
        <v>2022</v>
      </c>
      <c r="D886" s="822"/>
      <c r="E886" s="161" t="str">
        <f>+_xlfn.XLOOKUP(C886,'BASE DATOS PRECIOS '!B:B,'BASE DATOS PRECIOS '!E:E)</f>
        <v>REDUCCION LISA P.D. 2" A 3" (SANITARIO)</v>
      </c>
      <c r="F886" s="183">
        <f>+'3.2_MEC'!E96</f>
        <v>0</v>
      </c>
      <c r="G886" s="175" t="str">
        <f>+_xlfn.XLOOKUP(C886,'BASE DATOS PRECIOS '!B:B,'BASE DATOS PRECIOS '!F:F)</f>
        <v>UND</v>
      </c>
      <c r="H886" s="176">
        <f>+_xlfn.XLOOKUP(E886,'BASE DATOS PRECIOS '!E:E,'BASE DATOS PRECIOS '!H:H)</f>
        <v>936.76999999999987</v>
      </c>
      <c r="I886" s="175"/>
      <c r="J886" s="175"/>
      <c r="K886" s="176">
        <f t="shared" si="532"/>
        <v>0</v>
      </c>
      <c r="L886" s="176">
        <f t="shared" si="533"/>
        <v>0</v>
      </c>
      <c r="M886" s="176">
        <f t="shared" si="534"/>
        <v>0</v>
      </c>
      <c r="N886" s="176">
        <f t="shared" si="535"/>
        <v>0</v>
      </c>
      <c r="O886" s="1083">
        <f t="shared" si="536"/>
        <v>0</v>
      </c>
    </row>
    <row r="887" spans="1:15" ht="15" customHeight="1" x14ac:dyDescent="0.2">
      <c r="A887" s="1075" t="s">
        <v>2176</v>
      </c>
      <c r="B887" s="833">
        <f t="shared" si="490"/>
        <v>3.2</v>
      </c>
      <c r="C887" s="774" t="s">
        <v>36</v>
      </c>
      <c r="D887" s="210"/>
      <c r="E887" s="211" t="str">
        <f>+_xlfn.XLOOKUP(C887,'BASE DATOS MANO DE OBRA'!A:A,'BASE DATOS MANO DE OBRA'!B:B)</f>
        <v xml:space="preserve">OPERARIO PLUS </v>
      </c>
      <c r="F887" s="212">
        <f>+ROUNDUP('3.2_MEC'!F99,0)/2</f>
        <v>0</v>
      </c>
      <c r="G887" s="213" t="str">
        <f>+_xlfn.XLOOKUP(C887,'BASE DATOS MANO DE OBRA'!A:A,'BASE DATOS MANO DE OBRA'!C:C)</f>
        <v xml:space="preserve">hora </v>
      </c>
      <c r="H887" s="214">
        <v>0</v>
      </c>
      <c r="I887" s="214">
        <f>+_xlfn.XLOOKUP(C887,'BASE DATOS MANO DE OBRA'!A:A,'BASE DATOS MANO DE OBRA'!E:E)</f>
        <v>2850</v>
      </c>
      <c r="J887" s="214">
        <v>0</v>
      </c>
      <c r="K887" s="214">
        <f t="shared" ref="K887:K890" si="537">+F887*H887</f>
        <v>0</v>
      </c>
      <c r="L887" s="214">
        <f t="shared" ref="L887:L890" si="538">+F887*I887</f>
        <v>0</v>
      </c>
      <c r="M887" s="214">
        <f t="shared" ref="M887:M890" si="539">+F887*J887</f>
        <v>0</v>
      </c>
      <c r="N887" s="214">
        <f t="shared" ref="N887:N890" si="540">SUM(K887:M887)</f>
        <v>0</v>
      </c>
      <c r="O887" s="1086">
        <f t="shared" ref="O887:O890" si="541">SUM(K887:M887)/tc</f>
        <v>0</v>
      </c>
    </row>
    <row r="888" spans="1:15" ht="15" customHeight="1" x14ac:dyDescent="0.2">
      <c r="A888" s="1075" t="s">
        <v>2176</v>
      </c>
      <c r="B888" s="833">
        <f t="shared" si="490"/>
        <v>3.2</v>
      </c>
      <c r="C888" s="774" t="s">
        <v>37</v>
      </c>
      <c r="D888" s="210"/>
      <c r="E888" s="211" t="str">
        <f>+_xlfn.XLOOKUP(C888,'BASE DATOS MANO DE OBRA'!A:A,'BASE DATOS MANO DE OBRA'!B:B)</f>
        <v xml:space="preserve">AYUDANTE PLUS </v>
      </c>
      <c r="F888" s="212">
        <f>+F887</f>
        <v>0</v>
      </c>
      <c r="G888" s="213" t="str">
        <f>+_xlfn.XLOOKUP(C888,'BASE DATOS MANO DE OBRA'!A:A,'BASE DATOS MANO DE OBRA'!C:C)</f>
        <v xml:space="preserve">hora </v>
      </c>
      <c r="H888" s="214">
        <v>0</v>
      </c>
      <c r="I888" s="214">
        <f>+_xlfn.XLOOKUP(C888,'BASE DATOS MANO DE OBRA'!A:A,'BASE DATOS MANO DE OBRA'!E:E)</f>
        <v>2325</v>
      </c>
      <c r="J888" s="214">
        <v>0</v>
      </c>
      <c r="K888" s="214">
        <f t="shared" si="537"/>
        <v>0</v>
      </c>
      <c r="L888" s="214">
        <f t="shared" si="538"/>
        <v>0</v>
      </c>
      <c r="M888" s="214">
        <f t="shared" si="539"/>
        <v>0</v>
      </c>
      <c r="N888" s="214">
        <f t="shared" si="540"/>
        <v>0</v>
      </c>
      <c r="O888" s="1086">
        <f t="shared" si="541"/>
        <v>0</v>
      </c>
    </row>
    <row r="889" spans="1:15" ht="15" customHeight="1" x14ac:dyDescent="0.2">
      <c r="A889" s="1075" t="s">
        <v>2176</v>
      </c>
      <c r="B889" s="833">
        <f t="shared" si="490"/>
        <v>3.2</v>
      </c>
      <c r="C889" s="774" t="s">
        <v>36</v>
      </c>
      <c r="D889" s="210"/>
      <c r="E889" s="211" t="str">
        <f>+_xlfn.XLOOKUP(C889,'BASE DATOS MANO DE OBRA'!A:A,'BASE DATOS MANO DE OBRA'!B:B)</f>
        <v xml:space="preserve">OPERARIO PLUS </v>
      </c>
      <c r="F889" s="212">
        <f>+ROUNDUP('3.2_MEC'!F100,0)/2</f>
        <v>0</v>
      </c>
      <c r="G889" s="213" t="str">
        <f>+_xlfn.XLOOKUP(C889,'BASE DATOS MANO DE OBRA'!A:A,'BASE DATOS MANO DE OBRA'!C:C)</f>
        <v xml:space="preserve">hora </v>
      </c>
      <c r="H889" s="214">
        <v>0</v>
      </c>
      <c r="I889" s="214">
        <f>+_xlfn.XLOOKUP(C889,'BASE DATOS MANO DE OBRA'!A:A,'BASE DATOS MANO DE OBRA'!E:E)</f>
        <v>2850</v>
      </c>
      <c r="J889" s="214">
        <v>0</v>
      </c>
      <c r="K889" s="214">
        <f t="shared" si="537"/>
        <v>0</v>
      </c>
      <c r="L889" s="214">
        <f t="shared" si="538"/>
        <v>0</v>
      </c>
      <c r="M889" s="214">
        <f t="shared" si="539"/>
        <v>0</v>
      </c>
      <c r="N889" s="214">
        <f t="shared" si="540"/>
        <v>0</v>
      </c>
      <c r="O889" s="1086">
        <f t="shared" si="541"/>
        <v>0</v>
      </c>
    </row>
    <row r="890" spans="1:15" ht="15" customHeight="1" x14ac:dyDescent="0.2">
      <c r="A890" s="1075" t="s">
        <v>2176</v>
      </c>
      <c r="B890" s="833">
        <f t="shared" si="490"/>
        <v>3.2</v>
      </c>
      <c r="C890" s="774" t="s">
        <v>37</v>
      </c>
      <c r="D890" s="210"/>
      <c r="E890" s="211" t="str">
        <f>+_xlfn.XLOOKUP(C890,'BASE DATOS MANO DE OBRA'!A:A,'BASE DATOS MANO DE OBRA'!B:B)</f>
        <v xml:space="preserve">AYUDANTE PLUS </v>
      </c>
      <c r="F890" s="212">
        <f>+F889</f>
        <v>0</v>
      </c>
      <c r="G890" s="213" t="str">
        <f>+_xlfn.XLOOKUP(C890,'BASE DATOS MANO DE OBRA'!A:A,'BASE DATOS MANO DE OBRA'!C:C)</f>
        <v xml:space="preserve">hora </v>
      </c>
      <c r="H890" s="214">
        <v>0</v>
      </c>
      <c r="I890" s="214">
        <f>+_xlfn.XLOOKUP(C890,'BASE DATOS MANO DE OBRA'!A:A,'BASE DATOS MANO DE OBRA'!E:E)</f>
        <v>2325</v>
      </c>
      <c r="J890" s="214">
        <v>0</v>
      </c>
      <c r="K890" s="214">
        <f t="shared" si="537"/>
        <v>0</v>
      </c>
      <c r="L890" s="214">
        <f t="shared" si="538"/>
        <v>0</v>
      </c>
      <c r="M890" s="214">
        <f t="shared" si="539"/>
        <v>0</v>
      </c>
      <c r="N890" s="214">
        <f t="shared" si="540"/>
        <v>0</v>
      </c>
      <c r="O890" s="1086">
        <f t="shared" si="541"/>
        <v>0</v>
      </c>
    </row>
    <row r="891" spans="1:15" s="49" customFormat="1" ht="18.600000000000001" customHeight="1" x14ac:dyDescent="0.2">
      <c r="A891" s="303"/>
      <c r="B891" s="833">
        <f t="shared" si="490"/>
        <v>3.2</v>
      </c>
      <c r="C891" s="770" t="s">
        <v>2083</v>
      </c>
      <c r="D891" s="453"/>
      <c r="E891" s="454" t="s">
        <v>1915</v>
      </c>
      <c r="F891" s="455">
        <v>1</v>
      </c>
      <c r="G891" s="453" t="s">
        <v>29</v>
      </c>
      <c r="H891" s="453"/>
      <c r="I891" s="453"/>
      <c r="J891" s="453"/>
      <c r="K891" s="456">
        <f>+SUBTOTAL(9,K892:K910)</f>
        <v>41226.479299999999</v>
      </c>
      <c r="L891" s="456">
        <f t="shared" ref="L891:M891" si="542">+SUBTOTAL(9,L892:L910)</f>
        <v>0</v>
      </c>
      <c r="M891" s="456">
        <f t="shared" si="542"/>
        <v>0</v>
      </c>
      <c r="N891" s="456">
        <f>+SUBTOTAL(9,N892:N910)</f>
        <v>41226.479299999999</v>
      </c>
      <c r="O891" s="1082">
        <f>+SUBTOTAL(9,O892:O910)</f>
        <v>80.051416116504853</v>
      </c>
    </row>
    <row r="892" spans="1:15" ht="15" customHeight="1" x14ac:dyDescent="0.2">
      <c r="A892" s="303"/>
      <c r="B892" s="833">
        <f t="shared" si="490"/>
        <v>3.2</v>
      </c>
      <c r="C892" s="793"/>
      <c r="D892" s="337"/>
      <c r="E892" s="338" t="s">
        <v>3145</v>
      </c>
      <c r="F892" s="339"/>
      <c r="G892" s="340"/>
      <c r="H892" s="341"/>
      <c r="I892" s="340"/>
      <c r="J892" s="341"/>
      <c r="K892" s="341"/>
      <c r="L892" s="341"/>
      <c r="M892" s="341"/>
      <c r="N892" s="341"/>
      <c r="O892" s="1097"/>
    </row>
    <row r="893" spans="1:15" ht="15" customHeight="1" x14ac:dyDescent="0.2">
      <c r="A893" s="303"/>
      <c r="B893" s="833">
        <f t="shared" si="490"/>
        <v>3.2</v>
      </c>
      <c r="C893" s="775" t="s">
        <v>2029</v>
      </c>
      <c r="D893" s="823"/>
      <c r="E893" s="161" t="str">
        <f>+_xlfn.XLOOKUP(C893,'BASE DATOS PRECIOS '!B:B,'BASE DATOS PRECIOS '!E:E)</f>
        <v>TUBO SDR41 JC PVC 1-1/4"</v>
      </c>
      <c r="F893" s="162">
        <f>+'3.2_MEC'!D135</f>
        <v>0</v>
      </c>
      <c r="G893" s="165" t="str">
        <f>+_xlfn.XLOOKUP(C893,'BASE DATOS PRECIOS '!B:B,'BASE DATOS PRECIOS '!F:F)</f>
        <v>UND</v>
      </c>
      <c r="H893" s="164">
        <f>+_xlfn.XLOOKUP(E893,'BASE DATOS PRECIOS '!E:E,'BASE DATOS PRECIOS '!H:H)</f>
        <v>4060.0899999999997</v>
      </c>
      <c r="I893" s="165"/>
      <c r="J893" s="165"/>
      <c r="K893" s="164">
        <f t="shared" ref="K893:K910" si="543">+F893*H893</f>
        <v>0</v>
      </c>
      <c r="L893" s="164">
        <f t="shared" ref="L893:L910" si="544">+F893*I893</f>
        <v>0</v>
      </c>
      <c r="M893" s="164">
        <f t="shared" ref="M893:M910" si="545">+F893*J893</f>
        <v>0</v>
      </c>
      <c r="N893" s="164">
        <f t="shared" ref="N893:N910" si="546">SUM(K893:M893)</f>
        <v>0</v>
      </c>
      <c r="O893" s="1084">
        <f t="shared" ref="O893:O910" si="547">SUM(K893:M893)/tc</f>
        <v>0</v>
      </c>
    </row>
    <row r="894" spans="1:15" ht="15" customHeight="1" x14ac:dyDescent="0.2">
      <c r="A894" s="303"/>
      <c r="B894" s="833">
        <f t="shared" si="490"/>
        <v>3.2</v>
      </c>
      <c r="C894" s="775" t="s">
        <v>2031</v>
      </c>
      <c r="D894" s="823"/>
      <c r="E894" s="161" t="str">
        <f>+_xlfn.XLOOKUP(C894,'BASE DATOS PRECIOS '!B:B,'BASE DATOS PRECIOS '!E:E)</f>
        <v>TUBO PVC 1/2 P/GRUESA</v>
      </c>
      <c r="F894" s="162">
        <f>+'3.2_MEC'!D136</f>
        <v>0</v>
      </c>
      <c r="G894" s="165" t="str">
        <f>+_xlfn.XLOOKUP(C894,'BASE DATOS PRECIOS '!B:B,'BASE DATOS PRECIOS '!F:F)</f>
        <v>UND</v>
      </c>
      <c r="H894" s="164">
        <f>+_xlfn.XLOOKUP(E894,'BASE DATOS PRECIOS '!E:E,'BASE DATOS PRECIOS '!H:H)</f>
        <v>2711.4349999999999</v>
      </c>
      <c r="I894" s="165"/>
      <c r="J894" s="165"/>
      <c r="K894" s="164">
        <f t="shared" si="543"/>
        <v>0</v>
      </c>
      <c r="L894" s="164">
        <f t="shared" si="544"/>
        <v>0</v>
      </c>
      <c r="M894" s="164">
        <f t="shared" si="545"/>
        <v>0</v>
      </c>
      <c r="N894" s="164">
        <f t="shared" si="546"/>
        <v>0</v>
      </c>
      <c r="O894" s="1084">
        <f t="shared" si="547"/>
        <v>0</v>
      </c>
    </row>
    <row r="895" spans="1:15" ht="15" customHeight="1" x14ac:dyDescent="0.2">
      <c r="A895" s="303"/>
      <c r="B895" s="833">
        <f t="shared" si="490"/>
        <v>3.2</v>
      </c>
      <c r="C895" s="775" t="s">
        <v>2358</v>
      </c>
      <c r="D895" s="823"/>
      <c r="E895" s="161" t="str">
        <f>+_xlfn.XLOOKUP(C895,'BASE DATOS PRECIOS '!B:B,'BASE DATOS PRECIOS '!E:E)</f>
        <v>TUBO CPVC 1/2</v>
      </c>
      <c r="F895" s="162">
        <f>+'3.2_MEC'!D137</f>
        <v>0</v>
      </c>
      <c r="G895" s="165" t="str">
        <f>+_xlfn.XLOOKUP(C895,'BASE DATOS PRECIOS '!B:B,'BASE DATOS PRECIOS '!F:F)</f>
        <v>UND</v>
      </c>
      <c r="H895" s="164">
        <f>+_xlfn.XLOOKUP(E895,'BASE DATOS PRECIOS '!E:E,'BASE DATOS PRECIOS '!H:H)</f>
        <v>5565.2499999999991</v>
      </c>
      <c r="I895" s="165"/>
      <c r="J895" s="165"/>
      <c r="K895" s="164">
        <f t="shared" si="543"/>
        <v>0</v>
      </c>
      <c r="L895" s="164">
        <f t="shared" si="544"/>
        <v>0</v>
      </c>
      <c r="M895" s="164">
        <f t="shared" si="545"/>
        <v>0</v>
      </c>
      <c r="N895" s="164">
        <f t="shared" si="546"/>
        <v>0</v>
      </c>
      <c r="O895" s="1084">
        <f t="shared" si="547"/>
        <v>0</v>
      </c>
    </row>
    <row r="896" spans="1:15" ht="15" customHeight="1" x14ac:dyDescent="0.2">
      <c r="A896" s="1074"/>
      <c r="B896" s="833">
        <f t="shared" si="490"/>
        <v>3.2</v>
      </c>
      <c r="C896" s="775" t="s">
        <v>2353</v>
      </c>
      <c r="D896" s="823"/>
      <c r="E896" s="161" t="str">
        <f>+_xlfn.XLOOKUP(C896,'BASE DATOS PRECIOS '!B:B,'BASE DATOS PRECIOS '!E:E)</f>
        <v>CODO 90 PVC LISO 1/2"</v>
      </c>
      <c r="F896" s="162">
        <f>+'3.2_MEC'!D138</f>
        <v>0</v>
      </c>
      <c r="G896" s="165" t="str">
        <f>+_xlfn.XLOOKUP(C896,'BASE DATOS PRECIOS '!B:B,'BASE DATOS PRECIOS '!F:F)</f>
        <v>UND</v>
      </c>
      <c r="H896" s="164">
        <f>+_xlfn.XLOOKUP(E896,'BASE DATOS PRECIOS '!E:E,'BASE DATOS PRECIOS '!H:H)</f>
        <v>84.749999999999986</v>
      </c>
      <c r="I896" s="165"/>
      <c r="J896" s="165"/>
      <c r="K896" s="164">
        <f t="shared" si="543"/>
        <v>0</v>
      </c>
      <c r="L896" s="164">
        <f t="shared" si="544"/>
        <v>0</v>
      </c>
      <c r="M896" s="164">
        <f t="shared" si="545"/>
        <v>0</v>
      </c>
      <c r="N896" s="164">
        <f t="shared" si="546"/>
        <v>0</v>
      </c>
      <c r="O896" s="1084">
        <f t="shared" si="547"/>
        <v>0</v>
      </c>
    </row>
    <row r="897" spans="1:20" ht="15" customHeight="1" x14ac:dyDescent="0.2">
      <c r="A897" s="303"/>
      <c r="B897" s="833">
        <f t="shared" si="490"/>
        <v>3.2</v>
      </c>
      <c r="C897" s="775" t="s">
        <v>2357</v>
      </c>
      <c r="D897" s="823"/>
      <c r="E897" s="161" t="str">
        <f>+_xlfn.XLOOKUP(C897,'BASE DATOS PRECIOS '!B:B,'BASE DATOS PRECIOS '!E:E)</f>
        <v>CODO 90 CPVC 1/2"</v>
      </c>
      <c r="F897" s="162">
        <f>+'3.2_MEC'!D139</f>
        <v>0</v>
      </c>
      <c r="G897" s="165" t="str">
        <f>+_xlfn.XLOOKUP(C897,'BASE DATOS PRECIOS '!B:B,'BASE DATOS PRECIOS '!F:F)</f>
        <v>UND</v>
      </c>
      <c r="H897" s="164">
        <f>+_xlfn.XLOOKUP(E897,'BASE DATOS PRECIOS '!E:E,'BASE DATOS PRECIOS '!H:H)</f>
        <v>228.54249999999999</v>
      </c>
      <c r="I897" s="165"/>
      <c r="J897" s="165"/>
      <c r="K897" s="164">
        <f t="shared" si="543"/>
        <v>0</v>
      </c>
      <c r="L897" s="164">
        <f t="shared" si="544"/>
        <v>0</v>
      </c>
      <c r="M897" s="164">
        <f t="shared" si="545"/>
        <v>0</v>
      </c>
      <c r="N897" s="164">
        <f t="shared" si="546"/>
        <v>0</v>
      </c>
      <c r="O897" s="1084">
        <f t="shared" si="547"/>
        <v>0</v>
      </c>
    </row>
    <row r="898" spans="1:20" ht="15" customHeight="1" x14ac:dyDescent="0.2">
      <c r="A898" s="303"/>
      <c r="B898" s="833">
        <f t="shared" ref="B898:B949" si="548">VALUE(IF(AND(LEN(TRIM(C898))-LEN(SUBSTITUTE(TRIM(C898),".",""))=1,ISNUMBER(VALUE(SUBSTITUTE(TRIM(C898),".","")))),TRIM(C898),B897))</f>
        <v>3.2</v>
      </c>
      <c r="C898" s="775" t="s">
        <v>2352</v>
      </c>
      <c r="D898" s="823"/>
      <c r="E898" s="161" t="str">
        <f>+_xlfn.XLOOKUP(C898,'BASE DATOS PRECIOS '!B:B,'BASE DATOS PRECIOS '!E:E)</f>
        <v>ADAPTADOR MACHO PVC 1/2"</v>
      </c>
      <c r="F898" s="162">
        <f>+'3.2_MEC'!D140</f>
        <v>0</v>
      </c>
      <c r="G898" s="165" t="str">
        <f>+_xlfn.XLOOKUP(C898,'BASE DATOS PRECIOS '!B:B,'BASE DATOS PRECIOS '!F:F)</f>
        <v>UND</v>
      </c>
      <c r="H898" s="164">
        <f>+_xlfn.XLOOKUP(E898,'BASE DATOS PRECIOS '!E:E,'BASE DATOS PRECIOS '!H:H)</f>
        <v>70.625</v>
      </c>
      <c r="I898" s="165"/>
      <c r="J898" s="165"/>
      <c r="K898" s="164">
        <f t="shared" si="543"/>
        <v>0</v>
      </c>
      <c r="L898" s="164">
        <f t="shared" si="544"/>
        <v>0</v>
      </c>
      <c r="M898" s="164">
        <f t="shared" si="545"/>
        <v>0</v>
      </c>
      <c r="N898" s="164">
        <f t="shared" si="546"/>
        <v>0</v>
      </c>
      <c r="O898" s="1084">
        <f t="shared" si="547"/>
        <v>0</v>
      </c>
    </row>
    <row r="899" spans="1:20" ht="15" customHeight="1" x14ac:dyDescent="0.2">
      <c r="A899" s="303"/>
      <c r="B899" s="833">
        <f t="shared" si="548"/>
        <v>3.2</v>
      </c>
      <c r="C899" s="775" t="s">
        <v>2359</v>
      </c>
      <c r="D899" s="823"/>
      <c r="E899" s="161" t="str">
        <f>+_xlfn.XLOOKUP(C899,'BASE DATOS PRECIOS '!B:B,'BASE DATOS PRECIOS '!E:E)</f>
        <v>ADAPTADOR MACHO CPVC 1/2"</v>
      </c>
      <c r="F899" s="162">
        <f>+'3.2_MEC'!D141</f>
        <v>0</v>
      </c>
      <c r="G899" s="165" t="str">
        <f>+_xlfn.XLOOKUP(C899,'BASE DATOS PRECIOS '!B:B,'BASE DATOS PRECIOS '!F:F)</f>
        <v>UND</v>
      </c>
      <c r="H899" s="164">
        <f>+_xlfn.XLOOKUP(E899,'BASE DATOS PRECIOS '!E:E,'BASE DATOS PRECIOS '!H:H)</f>
        <v>243.79749999999999</v>
      </c>
      <c r="I899" s="165"/>
      <c r="J899" s="165"/>
      <c r="K899" s="164">
        <f t="shared" si="543"/>
        <v>0</v>
      </c>
      <c r="L899" s="164">
        <f t="shared" si="544"/>
        <v>0</v>
      </c>
      <c r="M899" s="164">
        <f t="shared" si="545"/>
        <v>0</v>
      </c>
      <c r="N899" s="164">
        <f t="shared" si="546"/>
        <v>0</v>
      </c>
      <c r="O899" s="1084">
        <f t="shared" si="547"/>
        <v>0</v>
      </c>
    </row>
    <row r="900" spans="1:20" ht="15" customHeight="1" x14ac:dyDescent="0.2">
      <c r="A900" s="303"/>
      <c r="B900" s="833">
        <f t="shared" si="548"/>
        <v>3.2</v>
      </c>
      <c r="C900" s="775" t="s">
        <v>2355</v>
      </c>
      <c r="D900" s="823"/>
      <c r="E900" s="161" t="str">
        <f>+_xlfn.XLOOKUP(C900,'BASE DATOS PRECIOS '!B:B,'BASE DATOS PRECIOS '!E:E)</f>
        <v>TAPON HEMBRA LISO PVC 1/2"</v>
      </c>
      <c r="F900" s="162">
        <f>+'3.2_MEC'!D142</f>
        <v>0</v>
      </c>
      <c r="G900" s="165" t="str">
        <f>+_xlfn.XLOOKUP(C900,'BASE DATOS PRECIOS '!B:B,'BASE DATOS PRECIOS '!F:F)</f>
        <v>UND</v>
      </c>
      <c r="H900" s="164">
        <f>+_xlfn.XLOOKUP(E900,'BASE DATOS PRECIOS '!E:E,'BASE DATOS PRECIOS '!H:H)</f>
        <v>62.149999999999991</v>
      </c>
      <c r="I900" s="165"/>
      <c r="J900" s="165"/>
      <c r="K900" s="164">
        <f t="shared" si="543"/>
        <v>0</v>
      </c>
      <c r="L900" s="164">
        <f t="shared" si="544"/>
        <v>0</v>
      </c>
      <c r="M900" s="164">
        <f t="shared" si="545"/>
        <v>0</v>
      </c>
      <c r="N900" s="164">
        <f t="shared" si="546"/>
        <v>0</v>
      </c>
      <c r="O900" s="1084">
        <f t="shared" si="547"/>
        <v>0</v>
      </c>
    </row>
    <row r="901" spans="1:20" ht="15" customHeight="1" x14ac:dyDescent="0.2">
      <c r="A901" s="303"/>
      <c r="B901" s="833">
        <f t="shared" si="548"/>
        <v>3.2</v>
      </c>
      <c r="C901" s="778" t="s">
        <v>2361</v>
      </c>
      <c r="D901" s="827"/>
      <c r="E901" s="318" t="str">
        <f>+_xlfn.XLOOKUP(C901,'BASE DATOS PRECIOS '!B:B,'BASE DATOS PRECIOS '!E:E)</f>
        <v>TAPON LISO CPVC 1/2"</v>
      </c>
      <c r="F901" s="162">
        <f>+'3.2_MEC'!D143</f>
        <v>0</v>
      </c>
      <c r="G901" s="181">
        <f>+_xlfn.XLOOKUP(C901,'BASE DATOS PRECIOS '!B:B,'BASE DATOS PRECIOS '!F:F)</f>
        <v>0</v>
      </c>
      <c r="H901" s="182">
        <f>+_xlfn.XLOOKUP(E901,'BASE DATOS PRECIOS '!E:E,'BASE DATOS PRECIOS '!H:H)</f>
        <v>0</v>
      </c>
      <c r="I901" s="181"/>
      <c r="J901" s="181"/>
      <c r="K901" s="182">
        <f t="shared" si="543"/>
        <v>0</v>
      </c>
      <c r="L901" s="182">
        <f t="shared" si="544"/>
        <v>0</v>
      </c>
      <c r="M901" s="182">
        <f t="shared" si="545"/>
        <v>0</v>
      </c>
      <c r="N901" s="182">
        <f t="shared" si="546"/>
        <v>0</v>
      </c>
      <c r="O901" s="1089">
        <f t="shared" si="547"/>
        <v>0</v>
      </c>
    </row>
    <row r="902" spans="1:20" ht="15" customHeight="1" x14ac:dyDescent="0.2">
      <c r="A902" s="303"/>
      <c r="B902" s="833">
        <f t="shared" si="548"/>
        <v>3.2</v>
      </c>
      <c r="C902" s="778" t="s">
        <v>2349</v>
      </c>
      <c r="D902" s="827"/>
      <c r="E902" s="318" t="str">
        <f>+_xlfn.XLOOKUP(C902,'BASE DATOS PRECIOS '!B:B,'BASE DATOS PRECIOS '!E:E)</f>
        <v>TAPON LISO PVC 1-1/4" (SANITARIO)</v>
      </c>
      <c r="F902" s="162">
        <f>+'3.2_MEC'!D144</f>
        <v>0</v>
      </c>
      <c r="G902" s="181" t="str">
        <f>+_xlfn.XLOOKUP(C902,'BASE DATOS PRECIOS '!B:B,'BASE DATOS PRECIOS '!F:F)</f>
        <v>UND</v>
      </c>
      <c r="H902" s="182">
        <f>+_xlfn.XLOOKUP(E902,'BASE DATOS PRECIOS '!E:E,'BASE DATOS PRECIOS '!H:H)</f>
        <v>353.12499999999994</v>
      </c>
      <c r="I902" s="181"/>
      <c r="J902" s="181"/>
      <c r="K902" s="182">
        <f t="shared" si="543"/>
        <v>0</v>
      </c>
      <c r="L902" s="182">
        <f t="shared" si="544"/>
        <v>0</v>
      </c>
      <c r="M902" s="182">
        <f t="shared" si="545"/>
        <v>0</v>
      </c>
      <c r="N902" s="182">
        <f t="shared" si="546"/>
        <v>0</v>
      </c>
      <c r="O902" s="1089">
        <f t="shared" si="547"/>
        <v>0</v>
      </c>
    </row>
    <row r="903" spans="1:20" ht="15" customHeight="1" x14ac:dyDescent="0.2">
      <c r="A903" s="303"/>
      <c r="B903" s="833">
        <f t="shared" ref="B903" si="549">VALUE(IF(AND(LEN(TRIM(C903))-LEN(SUBSTITUTE(TRIM(C903),".",""))=1,ISNUMBER(VALUE(SUBSTITUTE(TRIM(C903),".","")))),TRIM(C903),B902))</f>
        <v>3.2</v>
      </c>
      <c r="C903" s="778" t="s">
        <v>2286</v>
      </c>
      <c r="D903" s="827"/>
      <c r="E903" s="318" t="str">
        <f>+_xlfn.XLOOKUP(C903,'BASE DATOS PRECIOS '!B:B,'BASE DATOS PRECIOS '!E:E)</f>
        <v>PEGAMENTO  PVC AZUL WETBONDING</v>
      </c>
      <c r="F903" s="162">
        <f>+'3.2_MEC'!D145</f>
        <v>2</v>
      </c>
      <c r="G903" s="181" t="str">
        <f>+_xlfn.XLOOKUP(C903,'BASE DATOS PRECIOS '!B:B,'BASE DATOS PRECIOS '!F:F)</f>
        <v>1/8 DE GALON</v>
      </c>
      <c r="H903" s="182">
        <f>+_xlfn.XLOOKUP(E903,'BASE DATOS PRECIOS '!E:E,'BASE DATOS PRECIOS '!H:H)</f>
        <v>5835.0036</v>
      </c>
      <c r="I903" s="181"/>
      <c r="J903" s="181"/>
      <c r="K903" s="182">
        <f t="shared" ref="K903" si="550">+F903*H903</f>
        <v>11670.0072</v>
      </c>
      <c r="L903" s="182">
        <f t="shared" ref="L903" si="551">+F903*I903</f>
        <v>0</v>
      </c>
      <c r="M903" s="182">
        <f t="shared" ref="M903" si="552">+F903*J903</f>
        <v>0</v>
      </c>
      <c r="N903" s="182">
        <f t="shared" ref="N903" si="553">SUM(K903:M903)</f>
        <v>11670.0072</v>
      </c>
      <c r="O903" s="1089">
        <f t="shared" ref="O903" si="554">SUM(K903:M903)/tc</f>
        <v>22.660208155339806</v>
      </c>
    </row>
    <row r="904" spans="1:20" ht="15" customHeight="1" x14ac:dyDescent="0.2">
      <c r="A904" s="303"/>
      <c r="B904" s="833">
        <f t="shared" ref="B904" si="555">VALUE(IF(AND(LEN(TRIM(C904))-LEN(SUBSTITUTE(TRIM(C904),".",""))=1,ISNUMBER(VALUE(SUBSTITUTE(TRIM(C904),".","")))),TRIM(C904),B903))</f>
        <v>3.2</v>
      </c>
      <c r="C904" s="778" t="s">
        <v>1930</v>
      </c>
      <c r="D904" s="827"/>
      <c r="E904" s="318" t="str">
        <f>+_xlfn.XLOOKUP(C904,'BASE DATOS PRECIOS '!B:B,'BASE DATOS PRECIOS '!E:E)</f>
        <v>LAMINA ESTEREOFON 2" 1.22X2.44</v>
      </c>
      <c r="F904" s="162">
        <f>+'3.2_MEC'!D146</f>
        <v>3</v>
      </c>
      <c r="G904" s="181" t="str">
        <f>+_xlfn.XLOOKUP(C904,'BASE DATOS PRECIOS '!B:B,'BASE DATOS PRECIOS '!F:F)</f>
        <v>UND</v>
      </c>
      <c r="H904" s="182">
        <f>+_xlfn.XLOOKUP(E904,'BASE DATOS PRECIOS '!E:E,'BASE DATOS PRECIOS '!H:H)</f>
        <v>5509.7217999999993</v>
      </c>
      <c r="I904" s="181"/>
      <c r="J904" s="181"/>
      <c r="K904" s="182">
        <f t="shared" ref="K904" si="556">+F904*H904</f>
        <v>16529.165399999998</v>
      </c>
      <c r="L904" s="182">
        <f t="shared" ref="L904" si="557">+F904*I904</f>
        <v>0</v>
      </c>
      <c r="M904" s="182">
        <f t="shared" ref="M904" si="558">+F904*J904</f>
        <v>0</v>
      </c>
      <c r="N904" s="182">
        <f t="shared" ref="N904" si="559">SUM(K904:M904)</f>
        <v>16529.165399999998</v>
      </c>
      <c r="O904" s="1089">
        <f t="shared" ref="O904" si="560">SUM(K904:M904)/tc</f>
        <v>32.095466796116504</v>
      </c>
    </row>
    <row r="905" spans="1:20" ht="15" customHeight="1" x14ac:dyDescent="0.2">
      <c r="A905" s="303"/>
      <c r="B905" s="833">
        <f t="shared" ref="B905" si="561">VALUE(IF(AND(LEN(TRIM(C905))-LEN(SUBSTITUTE(TRIM(C905),".",""))=1,ISNUMBER(VALUE(SUBSTITUTE(TRIM(C905),".","")))),TRIM(C905),B904))</f>
        <v>3.2</v>
      </c>
      <c r="C905" s="778" t="s">
        <v>3537</v>
      </c>
      <c r="D905" s="827"/>
      <c r="E905" s="318" t="str">
        <f>+_xlfn.XLOOKUP(C905,'BASE DATOS PRECIOS '!B:B,'BASE DATOS PRECIOS '!E:E)</f>
        <v>PINTURA EN SPRAY VERDE FLUORESCENTE</v>
      </c>
      <c r="F905" s="162">
        <f>+'3.2_MEC'!D147</f>
        <v>2</v>
      </c>
      <c r="G905" s="181" t="str">
        <f>+_xlfn.XLOOKUP(C905,'BASE DATOS PRECIOS '!B:B,'BASE DATOS PRECIOS '!F:F)</f>
        <v>UND</v>
      </c>
      <c r="H905" s="182">
        <f>+_xlfn.XLOOKUP(E905,'BASE DATOS PRECIOS '!E:E,'BASE DATOS PRECIOS '!H:H)</f>
        <v>4945.558</v>
      </c>
      <c r="I905" s="181"/>
      <c r="J905" s="181"/>
      <c r="K905" s="182">
        <f t="shared" ref="K905" si="562">+F905*H905</f>
        <v>9891.116</v>
      </c>
      <c r="L905" s="182">
        <f t="shared" ref="L905" si="563">+F905*I905</f>
        <v>0</v>
      </c>
      <c r="M905" s="182">
        <f t="shared" ref="M905" si="564">+F905*J905</f>
        <v>0</v>
      </c>
      <c r="N905" s="182">
        <f t="shared" ref="N905" si="565">SUM(K905:M905)</f>
        <v>9891.116</v>
      </c>
      <c r="O905" s="1089">
        <f t="shared" ref="O905" si="566">SUM(K905:M905)/tc</f>
        <v>19.206050485436894</v>
      </c>
    </row>
    <row r="906" spans="1:20" ht="15" customHeight="1" x14ac:dyDescent="0.2">
      <c r="A906" s="303"/>
      <c r="B906" s="833">
        <f t="shared" ref="B906" si="567">VALUE(IF(AND(LEN(TRIM(C906))-LEN(SUBSTITUTE(TRIM(C906),".",""))=1,ISNUMBER(VALUE(SUBSTITUTE(TRIM(C906),".","")))),TRIM(C906),B905))</f>
        <v>3.2</v>
      </c>
      <c r="C906" s="778" t="s">
        <v>2501</v>
      </c>
      <c r="D906" s="827"/>
      <c r="E906" s="318" t="str">
        <f>+_xlfn.XLOOKUP(C906,'BASE DATOS PRECIOS '!B:B,'BASE DATOS PRECIOS '!E:E)</f>
        <v>ENCHUFE PARA EXTENSION HEMBRA</v>
      </c>
      <c r="F906" s="162">
        <f>+'3.2_MEC'!D148</f>
        <v>1</v>
      </c>
      <c r="G906" s="181" t="str">
        <f>+_xlfn.XLOOKUP(C906,'BASE DATOS PRECIOS '!B:B,'BASE DATOS PRECIOS '!F:F)</f>
        <v>UND</v>
      </c>
      <c r="H906" s="182">
        <f>+_xlfn.XLOOKUP(E906,'BASE DATOS PRECIOS '!E:E,'BASE DATOS PRECIOS '!H:H)</f>
        <v>1000.2420999999998</v>
      </c>
      <c r="I906" s="181"/>
      <c r="J906" s="181"/>
      <c r="K906" s="182">
        <f t="shared" ref="K906" si="568">+F906*H906</f>
        <v>1000.2420999999998</v>
      </c>
      <c r="L906" s="182">
        <f t="shared" ref="L906" si="569">+F906*I906</f>
        <v>0</v>
      </c>
      <c r="M906" s="182">
        <f t="shared" ref="M906" si="570">+F906*J906</f>
        <v>0</v>
      </c>
      <c r="N906" s="182">
        <f t="shared" ref="N906" si="571">SUM(K906:M906)</f>
        <v>1000.2420999999998</v>
      </c>
      <c r="O906" s="1089">
        <f t="shared" ref="O906" si="572">SUM(K906:M906)/tc</f>
        <v>1.9422176699029123</v>
      </c>
    </row>
    <row r="907" spans="1:20" ht="15" customHeight="1" x14ac:dyDescent="0.2">
      <c r="A907" s="303"/>
      <c r="B907" s="833">
        <f t="shared" ref="B907" si="573">VALUE(IF(AND(LEN(TRIM(C907))-LEN(SUBSTITUTE(TRIM(C907),".",""))=1,ISNUMBER(VALUE(SUBSTITUTE(TRIM(C907),".","")))),TRIM(C907),B906))</f>
        <v>3.2</v>
      </c>
      <c r="C907" s="778" t="s">
        <v>3539</v>
      </c>
      <c r="D907" s="827"/>
      <c r="E907" s="318" t="str">
        <f>+_xlfn.XLOOKUP(C907,'BASE DATOS PRECIOS '!B:B,'BASE DATOS PRECIOS '!E:E)</f>
        <v>TEFLON CINTA 3/4 (10M)</v>
      </c>
      <c r="F907" s="162">
        <f>+'3.2_MEC'!D149</f>
        <v>4</v>
      </c>
      <c r="G907" s="181" t="str">
        <f>+_xlfn.XLOOKUP(C907,'BASE DATOS PRECIOS '!B:B,'BASE DATOS PRECIOS '!F:F)</f>
        <v>UND</v>
      </c>
      <c r="H907" s="182">
        <f>+_xlfn.XLOOKUP(E907,'BASE DATOS PRECIOS '!E:E,'BASE DATOS PRECIOS '!H:H)</f>
        <v>333.93759999999997</v>
      </c>
      <c r="I907" s="181"/>
      <c r="J907" s="181"/>
      <c r="K907" s="182">
        <f t="shared" ref="K907" si="574">+F907*H907</f>
        <v>1335.7503999999999</v>
      </c>
      <c r="L907" s="182">
        <f t="shared" ref="L907" si="575">+F907*I907</f>
        <v>0</v>
      </c>
      <c r="M907" s="182">
        <f t="shared" ref="M907" si="576">+F907*J907</f>
        <v>0</v>
      </c>
      <c r="N907" s="182">
        <f t="shared" ref="N907" si="577">SUM(K907:M907)</f>
        <v>1335.7503999999999</v>
      </c>
      <c r="O907" s="1089">
        <f t="shared" ref="O907" si="578">SUM(K907:M907)/tc</f>
        <v>2.5936900970873786</v>
      </c>
    </row>
    <row r="908" spans="1:20" ht="15" customHeight="1" x14ac:dyDescent="0.2">
      <c r="A908" s="303"/>
      <c r="B908" s="833">
        <f t="shared" ref="B908" si="579">VALUE(IF(AND(LEN(TRIM(C908))-LEN(SUBSTITUTE(TRIM(C908),".",""))=1,ISNUMBER(VALUE(SUBSTITUTE(TRIM(C908),".","")))),TRIM(C908),B907))</f>
        <v>3.2</v>
      </c>
      <c r="C908" s="778" t="s">
        <v>2500</v>
      </c>
      <c r="D908" s="827"/>
      <c r="E908" s="318" t="str">
        <f>+_xlfn.XLOOKUP(C908,'BASE DATOS PRECIOS '!B:B,'BASE DATOS PRECIOS '!E:E)</f>
        <v>ENCHUFE PARA EXTENSION MACHO</v>
      </c>
      <c r="F908" s="162">
        <f>+'3.2_MEC'!D150</f>
        <v>1</v>
      </c>
      <c r="G908" s="181" t="str">
        <f>+_xlfn.XLOOKUP(C908,'BASE DATOS PRECIOS '!B:B,'BASE DATOS PRECIOS '!F:F)</f>
        <v>UND</v>
      </c>
      <c r="H908" s="182">
        <f>+_xlfn.XLOOKUP(E908,'BASE DATOS PRECIOS '!E:E,'BASE DATOS PRECIOS '!H:H)</f>
        <v>800.19819999999993</v>
      </c>
      <c r="I908" s="181"/>
      <c r="J908" s="181"/>
      <c r="K908" s="182">
        <f t="shared" ref="K908" si="580">+F908*H908</f>
        <v>800.19819999999993</v>
      </c>
      <c r="L908" s="182">
        <f t="shared" ref="L908" si="581">+F908*I908</f>
        <v>0</v>
      </c>
      <c r="M908" s="182">
        <f t="shared" ref="M908" si="582">+F908*J908</f>
        <v>0</v>
      </c>
      <c r="N908" s="182">
        <f t="shared" ref="N908" si="583">SUM(K908:M908)</f>
        <v>800.19819999999993</v>
      </c>
      <c r="O908" s="1089">
        <f t="shared" ref="O908" si="584">SUM(K908:M908)/tc</f>
        <v>1.5537829126213591</v>
      </c>
    </row>
    <row r="909" spans="1:20" ht="15" customHeight="1" x14ac:dyDescent="0.2">
      <c r="A909" s="1075" t="s">
        <v>2176</v>
      </c>
      <c r="B909" s="833">
        <f>VALUE(IF(AND(LEN(TRIM(C909))-LEN(SUBSTITUTE(TRIM(C909),".",""))=1,ISNUMBER(VALUE(SUBSTITUTE(TRIM(C909),".","")))),TRIM(C909),B902))</f>
        <v>3.2</v>
      </c>
      <c r="C909" s="774" t="s">
        <v>36</v>
      </c>
      <c r="D909" s="210"/>
      <c r="E909" s="211" t="str">
        <f>+_xlfn.XLOOKUP(C909,'BASE DATOS MANO DE OBRA'!A:A,'BASE DATOS MANO DE OBRA'!B:B)</f>
        <v xml:space="preserve">OPERARIO PLUS </v>
      </c>
      <c r="F909" s="212">
        <f>+ROUNDUP(('3.2_MEC'!F154+'3.2_MEC'!F155),0)/2</f>
        <v>0</v>
      </c>
      <c r="G909" s="213" t="str">
        <f>+_xlfn.XLOOKUP(C909,'BASE DATOS MANO DE OBRA'!A:A,'BASE DATOS MANO DE OBRA'!C:C)</f>
        <v xml:space="preserve">hora </v>
      </c>
      <c r="H909" s="214">
        <v>0</v>
      </c>
      <c r="I909" s="214">
        <f>+_xlfn.XLOOKUP(C909,'BASE DATOS MANO DE OBRA'!A:A,'BASE DATOS MANO DE OBRA'!E:E)</f>
        <v>2850</v>
      </c>
      <c r="J909" s="214">
        <v>0</v>
      </c>
      <c r="K909" s="214">
        <f t="shared" si="543"/>
        <v>0</v>
      </c>
      <c r="L909" s="214">
        <f t="shared" si="544"/>
        <v>0</v>
      </c>
      <c r="M909" s="214">
        <f t="shared" si="545"/>
        <v>0</v>
      </c>
      <c r="N909" s="214">
        <f t="shared" si="546"/>
        <v>0</v>
      </c>
      <c r="O909" s="1086">
        <f t="shared" si="547"/>
        <v>0</v>
      </c>
    </row>
    <row r="910" spans="1:20" ht="15" customHeight="1" x14ac:dyDescent="0.2">
      <c r="A910" s="1075" t="s">
        <v>2176</v>
      </c>
      <c r="B910" s="833">
        <f t="shared" si="548"/>
        <v>3.2</v>
      </c>
      <c r="C910" s="774" t="s">
        <v>37</v>
      </c>
      <c r="D910" s="210"/>
      <c r="E910" s="211" t="str">
        <f>+_xlfn.XLOOKUP(C910,'BASE DATOS MANO DE OBRA'!A:A,'BASE DATOS MANO DE OBRA'!B:B)</f>
        <v xml:space="preserve">AYUDANTE PLUS </v>
      </c>
      <c r="F910" s="212">
        <f>+F909</f>
        <v>0</v>
      </c>
      <c r="G910" s="213" t="str">
        <f>+_xlfn.XLOOKUP(C910,'BASE DATOS MANO DE OBRA'!A:A,'BASE DATOS MANO DE OBRA'!C:C)</f>
        <v xml:space="preserve">hora </v>
      </c>
      <c r="H910" s="214">
        <v>0</v>
      </c>
      <c r="I910" s="214">
        <f>+_xlfn.XLOOKUP(C910,'BASE DATOS MANO DE OBRA'!A:A,'BASE DATOS MANO DE OBRA'!E:E)</f>
        <v>2325</v>
      </c>
      <c r="J910" s="214">
        <v>0</v>
      </c>
      <c r="K910" s="214">
        <f t="shared" si="543"/>
        <v>0</v>
      </c>
      <c r="L910" s="214">
        <f t="shared" si="544"/>
        <v>0</v>
      </c>
      <c r="M910" s="214">
        <f t="shared" si="545"/>
        <v>0</v>
      </c>
      <c r="N910" s="214">
        <f t="shared" si="546"/>
        <v>0</v>
      </c>
      <c r="O910" s="1086">
        <f t="shared" si="547"/>
        <v>0</v>
      </c>
    </row>
    <row r="911" spans="1:20" s="49" customFormat="1" ht="18.600000000000001" customHeight="1" x14ac:dyDescent="0.2">
      <c r="A911" s="303"/>
      <c r="B911" s="833">
        <f t="shared" si="548"/>
        <v>3.2</v>
      </c>
      <c r="C911" s="770" t="s">
        <v>2084</v>
      </c>
      <c r="D911" s="453"/>
      <c r="E911" s="454" t="s">
        <v>242</v>
      </c>
      <c r="F911" s="455">
        <v>1</v>
      </c>
      <c r="G911" s="453" t="s">
        <v>29</v>
      </c>
      <c r="H911" s="453"/>
      <c r="I911" s="453"/>
      <c r="J911" s="453"/>
      <c r="K911" s="456">
        <f>+SUBTOTAL(9,K912:K929)</f>
        <v>192838.28041499996</v>
      </c>
      <c r="L911" s="456">
        <f>+SUBTOTAL(9,L912:L929)</f>
        <v>181125</v>
      </c>
      <c r="M911" s="456">
        <f>+SUBTOTAL(9,M912:M929)</f>
        <v>0</v>
      </c>
      <c r="N911" s="456">
        <f>+SUBTOTAL(9,N912:N929)</f>
        <v>373963.28041499993</v>
      </c>
      <c r="O911" s="1082">
        <f>+SUBTOTAL(9,O912:O929)</f>
        <v>726.14229206796108</v>
      </c>
      <c r="T911" s="49">
        <f>2850*25/68</f>
        <v>1047.7941176470588</v>
      </c>
    </row>
    <row r="912" spans="1:20" x14ac:dyDescent="0.2">
      <c r="A912" s="303"/>
      <c r="B912" s="833">
        <f t="shared" si="548"/>
        <v>3.2</v>
      </c>
      <c r="C912" s="303" t="s">
        <v>2334</v>
      </c>
      <c r="D912" s="822"/>
      <c r="E912" s="161" t="str">
        <f>+_xlfn.XLOOKUP(C912,'BASE DATOS PRECIOS '!B:B,'BASE DATOS PRECIOS '!E:E)</f>
        <v>TRAMPA PARA GRASA 4"</v>
      </c>
      <c r="F912" s="174">
        <f>+'3.2_MEC'!D167</f>
        <v>1</v>
      </c>
      <c r="G912" s="175" t="str">
        <f>+_xlfn.XLOOKUP(C912,'BASE DATOS PRECIOS '!B:B,'BASE DATOS PRECIOS '!F:F)</f>
        <v>UND</v>
      </c>
      <c r="H912" s="176">
        <f>+_xlfn.XLOOKUP(E912,'BASE DATOS PRECIOS '!E:E,'BASE DATOS PRECIOS '!H:H)</f>
        <v>7085.0999999999995</v>
      </c>
      <c r="I912" s="175"/>
      <c r="J912" s="175"/>
      <c r="K912" s="176">
        <f t="shared" ref="K912:K929" si="585">+F912*H912</f>
        <v>7085.0999999999995</v>
      </c>
      <c r="L912" s="176">
        <f t="shared" ref="L912:L929" si="586">+F912*I912</f>
        <v>0</v>
      </c>
      <c r="M912" s="176">
        <f t="shared" ref="M912:M929" si="587">+F912*J912</f>
        <v>0</v>
      </c>
      <c r="N912" s="176">
        <f t="shared" ref="N912:N929" si="588">SUM(K912:M912)</f>
        <v>7085.0999999999995</v>
      </c>
      <c r="O912" s="1083">
        <f t="shared" ref="O912:O929" si="589">SUM(K912:M912)/tc</f>
        <v>13.757475728155338</v>
      </c>
    </row>
    <row r="913" spans="1:15" x14ac:dyDescent="0.2">
      <c r="A913" s="303"/>
      <c r="B913" s="833">
        <f t="shared" si="548"/>
        <v>3.2</v>
      </c>
      <c r="C913" s="303" t="s">
        <v>1984</v>
      </c>
      <c r="D913" s="822"/>
      <c r="E913" s="161" t="str">
        <f>+_xlfn.XLOOKUP(C913,'BASE DATOS PRECIOS '!B:B,'BASE DATOS PRECIOS '!E:E)</f>
        <v>SIFON P/CONCRETO 4"</v>
      </c>
      <c r="F913" s="174">
        <f>+'3.2_MEC'!D168</f>
        <v>3</v>
      </c>
      <c r="G913" s="175" t="str">
        <f>+_xlfn.XLOOKUP(C913,'BASE DATOS PRECIOS '!B:B,'BASE DATOS PRECIOS '!F:F)</f>
        <v>UND</v>
      </c>
      <c r="H913" s="176">
        <f>+_xlfn.XLOOKUP(E913,'BASE DATOS PRECIOS '!E:E,'BASE DATOS PRECIOS '!H:H)</f>
        <v>4011.4999999999995</v>
      </c>
      <c r="I913" s="175"/>
      <c r="J913" s="175"/>
      <c r="K913" s="176">
        <f t="shared" si="585"/>
        <v>12034.499999999998</v>
      </c>
      <c r="L913" s="176">
        <f t="shared" si="586"/>
        <v>0</v>
      </c>
      <c r="M913" s="176">
        <f t="shared" si="587"/>
        <v>0</v>
      </c>
      <c r="N913" s="176">
        <f t="shared" si="588"/>
        <v>12034.499999999998</v>
      </c>
      <c r="O913" s="1083">
        <f t="shared" si="589"/>
        <v>23.367961165048541</v>
      </c>
    </row>
    <row r="914" spans="1:15" x14ac:dyDescent="0.2">
      <c r="A914" s="303"/>
      <c r="B914" s="833">
        <f t="shared" si="548"/>
        <v>3.2</v>
      </c>
      <c r="C914" s="303" t="s">
        <v>2184</v>
      </c>
      <c r="D914" s="822"/>
      <c r="E914" s="161" t="str">
        <f>+_xlfn.XLOOKUP(C914,'BASE DATOS PRECIOS '!B:B,'BASE DATOS PRECIOS '!E:E)</f>
        <v>CEMENTO INDUSTRIAL</v>
      </c>
      <c r="F914" s="174">
        <f>+'3.2_MEC'!D169</f>
        <v>127</v>
      </c>
      <c r="G914" s="175" t="str">
        <f>+_xlfn.XLOOKUP(C914,'BASE DATOS PRECIOS '!B:B,'BASE DATOS PRECIOS '!F:F)</f>
        <v>KG</v>
      </c>
      <c r="H914" s="176">
        <f>+_xlfn.XLOOKUP(E914,'BASE DATOS PRECIOS '!E:E,'BASE DATOS PRECIOS '!H:H)</f>
        <v>121.3959</v>
      </c>
      <c r="I914" s="175"/>
      <c r="J914" s="175"/>
      <c r="K914" s="176">
        <f t="shared" si="585"/>
        <v>15417.2793</v>
      </c>
      <c r="L914" s="176">
        <f t="shared" si="586"/>
        <v>0</v>
      </c>
      <c r="M914" s="176">
        <f t="shared" si="587"/>
        <v>0</v>
      </c>
      <c r="N914" s="176">
        <f t="shared" si="588"/>
        <v>15417.2793</v>
      </c>
      <c r="O914" s="1083">
        <f t="shared" si="589"/>
        <v>29.936464660194176</v>
      </c>
    </row>
    <row r="915" spans="1:15" x14ac:dyDescent="0.2">
      <c r="A915" s="303"/>
      <c r="B915" s="833">
        <f t="shared" si="548"/>
        <v>3.2</v>
      </c>
      <c r="C915" s="303" t="s">
        <v>1917</v>
      </c>
      <c r="D915" s="822"/>
      <c r="E915" s="161" t="str">
        <f>+_xlfn.XLOOKUP(C915,'BASE DATOS PRECIOS '!B:B,'BASE DATOS PRECIOS '!E:E)</f>
        <v>PIEDRA CUARTILLA</v>
      </c>
      <c r="F915" s="174">
        <f>+'3.2_MEC'!D170</f>
        <v>0.24000000000000002</v>
      </c>
      <c r="G915" s="175" t="str">
        <f>+_xlfn.XLOOKUP(C915,'BASE DATOS PRECIOS '!B:B,'BASE DATOS PRECIOS '!F:F)</f>
        <v>M3</v>
      </c>
      <c r="H915" s="176">
        <f>+_xlfn.XLOOKUP(E915,'BASE DATOS PRECIOS '!E:E,'BASE DATOS PRECIOS '!H:H)</f>
        <v>17012.149999999998</v>
      </c>
      <c r="I915" s="175"/>
      <c r="J915" s="175"/>
      <c r="K915" s="176">
        <f t="shared" ref="K915:K925" si="590">+F915*H915</f>
        <v>4082.9159999999997</v>
      </c>
      <c r="L915" s="176">
        <f t="shared" ref="L915:L925" si="591">+F915*I915</f>
        <v>0</v>
      </c>
      <c r="M915" s="176">
        <f t="shared" ref="M915:M925" si="592">+F915*J915</f>
        <v>0</v>
      </c>
      <c r="N915" s="176">
        <f t="shared" ref="N915:N925" si="593">SUM(K915:M915)</f>
        <v>4082.9159999999997</v>
      </c>
      <c r="O915" s="1083">
        <f t="shared" ref="O915:O925" si="594">SUM(K915:M915)/tc</f>
        <v>7.9279922330097081</v>
      </c>
    </row>
    <row r="916" spans="1:15" x14ac:dyDescent="0.2">
      <c r="A916" s="303"/>
      <c r="B916" s="833">
        <f t="shared" si="548"/>
        <v>3.2</v>
      </c>
      <c r="C916" s="303" t="s">
        <v>1914</v>
      </c>
      <c r="D916" s="822"/>
      <c r="E916" s="161" t="str">
        <f>+_xlfn.XLOOKUP(C916,'BASE DATOS PRECIOS '!B:B,'BASE DATOS PRECIOS '!E:E)</f>
        <v>ARENA LAVADA</v>
      </c>
      <c r="F916" s="174">
        <f>+'3.2_MEC'!D171</f>
        <v>0.23</v>
      </c>
      <c r="G916" s="175" t="str">
        <f>+_xlfn.XLOOKUP(C916,'BASE DATOS PRECIOS '!B:B,'BASE DATOS PRECIOS '!F:F)</f>
        <v>M3</v>
      </c>
      <c r="H916" s="176">
        <f>+_xlfn.XLOOKUP(E916,'BASE DATOS PRECIOS '!E:E,'BASE DATOS PRECIOS '!H:H)</f>
        <v>12044.5005</v>
      </c>
      <c r="I916" s="175"/>
      <c r="J916" s="175"/>
      <c r="K916" s="176">
        <f t="shared" si="590"/>
        <v>2770.235115</v>
      </c>
      <c r="L916" s="176">
        <f t="shared" si="591"/>
        <v>0</v>
      </c>
      <c r="M916" s="176">
        <f t="shared" si="592"/>
        <v>0</v>
      </c>
      <c r="N916" s="176">
        <f t="shared" si="593"/>
        <v>2770.235115</v>
      </c>
      <c r="O916" s="1083">
        <f t="shared" si="594"/>
        <v>5.3790973106796116</v>
      </c>
    </row>
    <row r="917" spans="1:15" ht="15" customHeight="1" x14ac:dyDescent="0.2">
      <c r="A917" s="303"/>
      <c r="B917" s="833">
        <f t="shared" si="548"/>
        <v>3.2</v>
      </c>
      <c r="C917" s="776"/>
      <c r="D917" s="166"/>
      <c r="E917" s="314" t="s">
        <v>3391</v>
      </c>
      <c r="F917" s="168"/>
      <c r="G917" s="169"/>
      <c r="H917" s="169"/>
      <c r="I917" s="169"/>
      <c r="J917" s="169"/>
      <c r="K917" s="170"/>
      <c r="L917" s="170"/>
      <c r="M917" s="170"/>
      <c r="N917" s="170"/>
      <c r="O917" s="1087"/>
    </row>
    <row r="918" spans="1:15" x14ac:dyDescent="0.2">
      <c r="A918" s="303"/>
      <c r="B918" s="833">
        <f t="shared" si="548"/>
        <v>3.2</v>
      </c>
      <c r="C918" s="303" t="s">
        <v>2032</v>
      </c>
      <c r="D918" s="822"/>
      <c r="E918" s="161" t="str">
        <f>+_xlfn.XLOOKUP(C918,'BASE DATOS PRECIOS '!B:B,'BASE DATOS PRECIOS '!E:E)</f>
        <v>TUBO SDR41 JC PVC 4"</v>
      </c>
      <c r="F918" s="174">
        <f>+'3.2_MEC'!E176</f>
        <v>6</v>
      </c>
      <c r="G918" s="175" t="str">
        <f>+_xlfn.XLOOKUP(C918,'BASE DATOS PRECIOS '!B:B,'BASE DATOS PRECIOS '!F:F)</f>
        <v>UND</v>
      </c>
      <c r="H918" s="176">
        <f>+_xlfn.XLOOKUP(E918,'BASE DATOS PRECIOS '!E:E,'BASE DATOS PRECIOS '!H:H)</f>
        <v>20993.422499999997</v>
      </c>
      <c r="I918" s="175"/>
      <c r="J918" s="175"/>
      <c r="K918" s="176">
        <f t="shared" si="590"/>
        <v>125960.53499999997</v>
      </c>
      <c r="L918" s="176">
        <f t="shared" si="591"/>
        <v>0</v>
      </c>
      <c r="M918" s="176">
        <f t="shared" si="592"/>
        <v>0</v>
      </c>
      <c r="N918" s="176">
        <f t="shared" si="593"/>
        <v>125960.53499999997</v>
      </c>
      <c r="O918" s="1083">
        <f t="shared" si="594"/>
        <v>244.58356310679608</v>
      </c>
    </row>
    <row r="919" spans="1:15" x14ac:dyDescent="0.2">
      <c r="A919" s="303"/>
      <c r="B919" s="833">
        <f t="shared" si="548"/>
        <v>3.2</v>
      </c>
      <c r="C919" s="303" t="s">
        <v>2116</v>
      </c>
      <c r="D919" s="822"/>
      <c r="E919" s="161" t="str">
        <f>+_xlfn.XLOOKUP(C919,'BASE DATOS PRECIOS '!B:B,'BASE DATOS PRECIOS '!E:E)</f>
        <v>TUBO 3" PVC</v>
      </c>
      <c r="F919" s="174">
        <f>+'3.2_MEC'!E177</f>
        <v>0</v>
      </c>
      <c r="G919" s="175">
        <f>+_xlfn.XLOOKUP(C919,'BASE DATOS PRECIOS '!B:B,'BASE DATOS PRECIOS '!F:F)</f>
        <v>0</v>
      </c>
      <c r="H919" s="176">
        <f>+_xlfn.XLOOKUP(E919,'BASE DATOS PRECIOS '!E:E,'BASE DATOS PRECIOS '!H:H)</f>
        <v>0</v>
      </c>
      <c r="I919" s="175"/>
      <c r="J919" s="175"/>
      <c r="K919" s="176">
        <f t="shared" si="590"/>
        <v>0</v>
      </c>
      <c r="L919" s="176">
        <f t="shared" si="591"/>
        <v>0</v>
      </c>
      <c r="M919" s="176">
        <f t="shared" si="592"/>
        <v>0</v>
      </c>
      <c r="N919" s="176">
        <f t="shared" si="593"/>
        <v>0</v>
      </c>
      <c r="O919" s="1083">
        <f t="shared" si="594"/>
        <v>0</v>
      </c>
    </row>
    <row r="920" spans="1:15" ht="15" customHeight="1" x14ac:dyDescent="0.2">
      <c r="A920" s="303"/>
      <c r="B920" s="833">
        <f t="shared" si="548"/>
        <v>3.2</v>
      </c>
      <c r="C920" s="776"/>
      <c r="D920" s="166"/>
      <c r="E920" s="314" t="s">
        <v>3392</v>
      </c>
      <c r="F920" s="168"/>
      <c r="G920" s="169"/>
      <c r="H920" s="169"/>
      <c r="I920" s="169"/>
      <c r="J920" s="169"/>
      <c r="K920" s="170"/>
      <c r="L920" s="170"/>
      <c r="M920" s="170"/>
      <c r="N920" s="170"/>
      <c r="O920" s="1087"/>
    </row>
    <row r="921" spans="1:15" x14ac:dyDescent="0.2">
      <c r="A921" s="1074"/>
      <c r="B921" s="833">
        <f t="shared" si="548"/>
        <v>3.2</v>
      </c>
      <c r="C921" s="303" t="s">
        <v>2783</v>
      </c>
      <c r="D921" s="822"/>
      <c r="E921" s="161" t="str">
        <f>+_xlfn.XLOOKUP(C921,'BASE DATOS PRECIOS '!B:B,'BASE DATOS PRECIOS '!E:E)</f>
        <v>CODO 90 PVC PARED DELGADA 4"</v>
      </c>
      <c r="F921" s="174">
        <f>+'3.2_MEC'!E179</f>
        <v>0</v>
      </c>
      <c r="G921" s="175" t="str">
        <f>+_xlfn.XLOOKUP(C921,'BASE DATOS PRECIOS '!B:B,'BASE DATOS PRECIOS '!F:F)</f>
        <v>UND</v>
      </c>
      <c r="H921" s="176">
        <f>+_xlfn.XLOOKUP(E921,'BASE DATOS PRECIOS '!E:E,'BASE DATOS PRECIOS '!H:H)</f>
        <v>2529.5049999999997</v>
      </c>
      <c r="I921" s="175"/>
      <c r="J921" s="175"/>
      <c r="K921" s="176">
        <f t="shared" ref="K921:K923" si="595">+F921*H921</f>
        <v>0</v>
      </c>
      <c r="L921" s="176">
        <f t="shared" ref="L921:L923" si="596">+F921*I921</f>
        <v>0</v>
      </c>
      <c r="M921" s="176">
        <f t="shared" ref="M921:M923" si="597">+F921*J921</f>
        <v>0</v>
      </c>
      <c r="N921" s="176">
        <f t="shared" ref="N921:N923" si="598">SUM(K921:M921)</f>
        <v>0</v>
      </c>
      <c r="O921" s="1083">
        <f t="shared" ref="O921:O923" si="599">SUM(K921:M921)/tc</f>
        <v>0</v>
      </c>
    </row>
    <row r="922" spans="1:15" x14ac:dyDescent="0.2">
      <c r="A922" s="303"/>
      <c r="B922" s="833">
        <f t="shared" si="548"/>
        <v>3.2</v>
      </c>
      <c r="C922" s="303" t="s">
        <v>2209</v>
      </c>
      <c r="D922" s="822"/>
      <c r="E922" s="161" t="str">
        <f>+_xlfn.XLOOKUP(C922,'BASE DATOS PRECIOS '!B:B,'BASE DATOS PRECIOS '!E:E)</f>
        <v>CODO 45 PVC PARED DELGADA 4" (SANITARIO)</v>
      </c>
      <c r="F922" s="174">
        <f>+'3.2_MEC'!E180</f>
        <v>8</v>
      </c>
      <c r="G922" s="175" t="str">
        <f>+_xlfn.XLOOKUP(C922,'BASE DATOS PRECIOS '!B:B,'BASE DATOS PRECIOS '!F:F)</f>
        <v>UND</v>
      </c>
      <c r="H922" s="176">
        <f>+_xlfn.XLOOKUP(E922,'BASE DATOS PRECIOS '!E:E,'BASE DATOS PRECIOS '!H:H)</f>
        <v>2123.5524999999998</v>
      </c>
      <c r="I922" s="175"/>
      <c r="J922" s="175"/>
      <c r="K922" s="176">
        <f t="shared" si="595"/>
        <v>16988.419999999998</v>
      </c>
      <c r="L922" s="176">
        <f t="shared" si="596"/>
        <v>0</v>
      </c>
      <c r="M922" s="176">
        <f t="shared" si="597"/>
        <v>0</v>
      </c>
      <c r="N922" s="176">
        <f t="shared" si="598"/>
        <v>16988.419999999998</v>
      </c>
      <c r="O922" s="1083">
        <f t="shared" si="599"/>
        <v>32.987223300970868</v>
      </c>
    </row>
    <row r="923" spans="1:15" x14ac:dyDescent="0.2">
      <c r="A923" s="303"/>
      <c r="B923" s="833">
        <f t="shared" si="548"/>
        <v>3.2</v>
      </c>
      <c r="C923" s="303" t="s">
        <v>2781</v>
      </c>
      <c r="D923" s="822"/>
      <c r="E923" s="161" t="str">
        <f>+_xlfn.XLOOKUP(C923,'BASE DATOS PRECIOS '!B:B,'BASE DATOS PRECIOS '!E:E)</f>
        <v>CODO 90 PVC PARED DELGADA 3" (SANITARIO)</v>
      </c>
      <c r="F923" s="174">
        <f>+'3.2_MEC'!E181</f>
        <v>0</v>
      </c>
      <c r="G923" s="175" t="str">
        <f>+_xlfn.XLOOKUP(C923,'BASE DATOS PRECIOS '!B:B,'BASE DATOS PRECIOS '!F:F)</f>
        <v>UND</v>
      </c>
      <c r="H923" s="176">
        <f>+_xlfn.XLOOKUP(E923,'BASE DATOS PRECIOS '!E:E,'BASE DATOS PRECIOS '!H:H)</f>
        <v>1358.2599999999998</v>
      </c>
      <c r="I923" s="175"/>
      <c r="J923" s="175"/>
      <c r="K923" s="176">
        <f t="shared" si="595"/>
        <v>0</v>
      </c>
      <c r="L923" s="176">
        <f t="shared" si="596"/>
        <v>0</v>
      </c>
      <c r="M923" s="176">
        <f t="shared" si="597"/>
        <v>0</v>
      </c>
      <c r="N923" s="176">
        <f t="shared" si="598"/>
        <v>0</v>
      </c>
      <c r="O923" s="1083">
        <f t="shared" si="599"/>
        <v>0</v>
      </c>
    </row>
    <row r="924" spans="1:15" x14ac:dyDescent="0.2">
      <c r="A924" s="303"/>
      <c r="B924" s="833">
        <f t="shared" si="548"/>
        <v>3.2</v>
      </c>
      <c r="C924" s="303" t="s">
        <v>2351</v>
      </c>
      <c r="D924" s="822"/>
      <c r="E924" s="161" t="str">
        <f>+_xlfn.XLOOKUP(C924,'BASE DATOS PRECIOS '!B:B,'BASE DATOS PRECIOS '!E:E)</f>
        <v>CODO 45 PVC PARED DELGADA 3" (SANITARIO)</v>
      </c>
      <c r="F924" s="174">
        <f>+'3.2_MEC'!E182</f>
        <v>0</v>
      </c>
      <c r="G924" s="175" t="str">
        <f>+_xlfn.XLOOKUP(C924,'BASE DATOS PRECIOS '!B:B,'BASE DATOS PRECIOS '!F:F)</f>
        <v>UND</v>
      </c>
      <c r="H924" s="176">
        <f>+_xlfn.XLOOKUP(E924,'BASE DATOS PRECIOS '!E:E,'BASE DATOS PRECIOS '!H:H)</f>
        <v>1206.8399999999999</v>
      </c>
      <c r="I924" s="175"/>
      <c r="J924" s="175"/>
      <c r="K924" s="176">
        <f t="shared" si="590"/>
        <v>0</v>
      </c>
      <c r="L924" s="176">
        <f t="shared" si="591"/>
        <v>0</v>
      </c>
      <c r="M924" s="176">
        <f t="shared" si="592"/>
        <v>0</v>
      </c>
      <c r="N924" s="176">
        <f t="shared" si="593"/>
        <v>0</v>
      </c>
      <c r="O924" s="1083">
        <f t="shared" si="594"/>
        <v>0</v>
      </c>
    </row>
    <row r="925" spans="1:15" x14ac:dyDescent="0.2">
      <c r="A925" s="303"/>
      <c r="B925" s="833">
        <f t="shared" si="548"/>
        <v>3.2</v>
      </c>
      <c r="C925" s="303" t="s">
        <v>2345</v>
      </c>
      <c r="D925" s="822"/>
      <c r="E925" s="161" t="str">
        <f>+_xlfn.XLOOKUP(C925,'BASE DATOS PRECIOS '!B:B,'BASE DATOS PRECIOS '!E:E)</f>
        <v>YEE PARED DELGADA 4" (SANITARIO)</v>
      </c>
      <c r="F925" s="174">
        <f>+'3.2_MEC'!E183</f>
        <v>2</v>
      </c>
      <c r="G925" s="175" t="str">
        <f>+_xlfn.XLOOKUP(C925,'BASE DATOS PRECIOS '!B:B,'BASE DATOS PRECIOS '!F:F)</f>
        <v>UND</v>
      </c>
      <c r="H925" s="176">
        <f>+_xlfn.XLOOKUP(E925,'BASE DATOS PRECIOS '!E:E,'BASE DATOS PRECIOS '!H:H)</f>
        <v>4249.6475</v>
      </c>
      <c r="I925" s="175"/>
      <c r="J925" s="175"/>
      <c r="K925" s="176">
        <f t="shared" si="590"/>
        <v>8499.2950000000001</v>
      </c>
      <c r="L925" s="176">
        <f t="shared" si="591"/>
        <v>0</v>
      </c>
      <c r="M925" s="176">
        <f t="shared" si="592"/>
        <v>0</v>
      </c>
      <c r="N925" s="176">
        <f t="shared" si="593"/>
        <v>8499.2950000000001</v>
      </c>
      <c r="O925" s="1083">
        <f t="shared" si="594"/>
        <v>16.503485436893204</v>
      </c>
    </row>
    <row r="926" spans="1:15" x14ac:dyDescent="0.2">
      <c r="A926" s="303"/>
      <c r="B926" s="833">
        <f t="shared" si="548"/>
        <v>3.2</v>
      </c>
      <c r="C926" s="303" t="s">
        <v>2018</v>
      </c>
      <c r="D926" s="822"/>
      <c r="E926" s="161" t="str">
        <f>+_xlfn.XLOOKUP(C926,'BASE DATOS PRECIOS '!B:B,'BASE DATOS PRECIOS '!E:E)</f>
        <v>YEE PARED DELGADA 3" (SANITARIO)</v>
      </c>
      <c r="F926" s="174">
        <f>+'3.2_MEC'!E184</f>
        <v>0</v>
      </c>
      <c r="G926" s="175" t="str">
        <f>+_xlfn.XLOOKUP(C926,'BASE DATOS PRECIOS '!B:B,'BASE DATOS PRECIOS '!F:F)</f>
        <v>UND</v>
      </c>
      <c r="H926" s="176">
        <f>+_xlfn.XLOOKUP(E926,'BASE DATOS PRECIOS '!E:E,'BASE DATOS PRECIOS '!H:H)</f>
        <v>2768.7824999999998</v>
      </c>
      <c r="I926" s="175"/>
      <c r="J926" s="175"/>
      <c r="K926" s="176">
        <f t="shared" si="585"/>
        <v>0</v>
      </c>
      <c r="L926" s="176">
        <f t="shared" si="586"/>
        <v>0</v>
      </c>
      <c r="M926" s="176">
        <f t="shared" si="587"/>
        <v>0</v>
      </c>
      <c r="N926" s="176">
        <f t="shared" si="588"/>
        <v>0</v>
      </c>
      <c r="O926" s="1083">
        <f t="shared" si="589"/>
        <v>0</v>
      </c>
    </row>
    <row r="927" spans="1:15" x14ac:dyDescent="0.2">
      <c r="A927" s="303"/>
      <c r="B927" s="833">
        <f t="shared" si="548"/>
        <v>3.2</v>
      </c>
      <c r="C927" s="303" t="s">
        <v>2350</v>
      </c>
      <c r="D927" s="822"/>
      <c r="E927" s="161" t="str">
        <f>+_xlfn.XLOOKUP(C927,'BASE DATOS PRECIOS '!B:B,'BASE DATOS PRECIOS '!E:E)</f>
        <v>REDUCCION LISA P.D.  3" A 4" (SANITARIO)</v>
      </c>
      <c r="F927" s="174">
        <f>+'3.2_MEC'!E185</f>
        <v>0</v>
      </c>
      <c r="G927" s="175" t="str">
        <f>+_xlfn.XLOOKUP(C927,'BASE DATOS PRECIOS '!B:B,'BASE DATOS PRECIOS '!F:F)</f>
        <v>UND</v>
      </c>
      <c r="H927" s="176">
        <f>+_xlfn.XLOOKUP(E927,'BASE DATOS PRECIOS '!E:E,'BASE DATOS PRECIOS '!H:H)</f>
        <v>1820.4299999999998</v>
      </c>
      <c r="I927" s="175"/>
      <c r="J927" s="175"/>
      <c r="K927" s="176">
        <f t="shared" si="585"/>
        <v>0</v>
      </c>
      <c r="L927" s="176">
        <f t="shared" si="586"/>
        <v>0</v>
      </c>
      <c r="M927" s="176">
        <f t="shared" si="587"/>
        <v>0</v>
      </c>
      <c r="N927" s="176">
        <f t="shared" si="588"/>
        <v>0</v>
      </c>
      <c r="O927" s="1083">
        <f t="shared" si="589"/>
        <v>0</v>
      </c>
    </row>
    <row r="928" spans="1:15" x14ac:dyDescent="0.2">
      <c r="A928" s="1075" t="s">
        <v>2174</v>
      </c>
      <c r="B928" s="833">
        <f t="shared" si="548"/>
        <v>3.2</v>
      </c>
      <c r="C928" s="774" t="s">
        <v>36</v>
      </c>
      <c r="D928" s="210"/>
      <c r="E928" s="211" t="str">
        <f>+_xlfn.XLOOKUP(C928,'BASE DATOS MANO DE OBRA'!A:A,'BASE DATOS MANO DE OBRA'!B:B)</f>
        <v xml:space="preserve">OPERARIO PLUS </v>
      </c>
      <c r="F928" s="212">
        <f>+ROUNDUP(('3.2_MEC'!F188+'3.2_MEC'!F189+'3.2_MEC'!F190),0)/2</f>
        <v>35</v>
      </c>
      <c r="G928" s="213" t="str">
        <f>+_xlfn.XLOOKUP(C928,'BASE DATOS MANO DE OBRA'!A:A,'BASE DATOS MANO DE OBRA'!C:C)</f>
        <v xml:space="preserve">hora </v>
      </c>
      <c r="H928" s="214">
        <v>0</v>
      </c>
      <c r="I928" s="214">
        <f>+_xlfn.XLOOKUP(C928,'BASE DATOS MANO DE OBRA'!A:A,'BASE DATOS MANO DE OBRA'!E:E)</f>
        <v>2850</v>
      </c>
      <c r="J928" s="214">
        <v>0</v>
      </c>
      <c r="K928" s="214">
        <f t="shared" si="585"/>
        <v>0</v>
      </c>
      <c r="L928" s="214">
        <f t="shared" si="586"/>
        <v>99750</v>
      </c>
      <c r="M928" s="214">
        <f t="shared" si="587"/>
        <v>0</v>
      </c>
      <c r="N928" s="214">
        <f t="shared" si="588"/>
        <v>99750</v>
      </c>
      <c r="O928" s="1086">
        <f t="shared" si="589"/>
        <v>193.6893203883495</v>
      </c>
    </row>
    <row r="929" spans="1:15" x14ac:dyDescent="0.2">
      <c r="A929" s="1075" t="s">
        <v>2174</v>
      </c>
      <c r="B929" s="833">
        <f t="shared" si="548"/>
        <v>3.2</v>
      </c>
      <c r="C929" s="774" t="s">
        <v>37</v>
      </c>
      <c r="D929" s="210"/>
      <c r="E929" s="211" t="str">
        <f>+_xlfn.XLOOKUP(C929,'BASE DATOS MANO DE OBRA'!A:A,'BASE DATOS MANO DE OBRA'!B:B)</f>
        <v xml:space="preserve">AYUDANTE PLUS </v>
      </c>
      <c r="F929" s="212">
        <f>+F928</f>
        <v>35</v>
      </c>
      <c r="G929" s="213" t="str">
        <f>+_xlfn.XLOOKUP(C929,'BASE DATOS MANO DE OBRA'!A:A,'BASE DATOS MANO DE OBRA'!C:C)</f>
        <v xml:space="preserve">hora </v>
      </c>
      <c r="H929" s="214">
        <v>0</v>
      </c>
      <c r="I929" s="214">
        <f>+_xlfn.XLOOKUP(C929,'BASE DATOS MANO DE OBRA'!A:A,'BASE DATOS MANO DE OBRA'!E:E)</f>
        <v>2325</v>
      </c>
      <c r="J929" s="214">
        <v>0</v>
      </c>
      <c r="K929" s="214">
        <f t="shared" si="585"/>
        <v>0</v>
      </c>
      <c r="L929" s="214">
        <f t="shared" si="586"/>
        <v>81375</v>
      </c>
      <c r="M929" s="214">
        <f t="shared" si="587"/>
        <v>0</v>
      </c>
      <c r="N929" s="214">
        <f t="shared" si="588"/>
        <v>81375</v>
      </c>
      <c r="O929" s="1086">
        <f t="shared" si="589"/>
        <v>158.00970873786409</v>
      </c>
    </row>
    <row r="930" spans="1:15" s="49" customFormat="1" ht="18.600000000000001" customHeight="1" x14ac:dyDescent="0.2">
      <c r="A930" s="303"/>
      <c r="B930" s="833">
        <f t="shared" si="548"/>
        <v>3.2</v>
      </c>
      <c r="C930" s="770" t="s">
        <v>3389</v>
      </c>
      <c r="D930" s="453"/>
      <c r="E930" s="454" t="s">
        <v>246</v>
      </c>
      <c r="F930" s="455">
        <v>1</v>
      </c>
      <c r="G930" s="453" t="s">
        <v>29</v>
      </c>
      <c r="H930" s="453"/>
      <c r="I930" s="453"/>
      <c r="J930" s="453"/>
      <c r="K930" s="456">
        <f>+SUBTOTAL(9,K931:K942)</f>
        <v>104498.6145</v>
      </c>
      <c r="L930" s="456">
        <f>+SUBTOTAL(9,L931:L942)</f>
        <v>69862.5</v>
      </c>
      <c r="M930" s="456">
        <f>+SUBTOTAL(9,M931:M942)</f>
        <v>0</v>
      </c>
      <c r="N930" s="456">
        <f>+SUBTOTAL(9,N931:N942)</f>
        <v>174361.1145</v>
      </c>
      <c r="O930" s="1082">
        <f>+SUBTOTAL(9,O931:O942)</f>
        <v>338.56527087378646</v>
      </c>
    </row>
    <row r="931" spans="1:15" x14ac:dyDescent="0.2">
      <c r="A931" s="303"/>
      <c r="B931" s="833">
        <f t="shared" si="548"/>
        <v>3.2</v>
      </c>
      <c r="C931" s="303" t="s">
        <v>2336</v>
      </c>
      <c r="D931" s="822"/>
      <c r="E931" s="161" t="str">
        <f>+_xlfn.XLOOKUP(C931,'BASE DATOS PRECIOS '!B:B,'BASE DATOS PRECIOS '!E:E)</f>
        <v>MANGUERA ABASTO  (1/2 A 1/2)</v>
      </c>
      <c r="F931" s="174">
        <f>+'3.2_MEC'!D197</f>
        <v>6</v>
      </c>
      <c r="G931" s="175" t="str">
        <f>+_xlfn.XLOOKUP(C931,'BASE DATOS PRECIOS '!B:B,'BASE DATOS PRECIOS '!F:F)</f>
        <v>UND</v>
      </c>
      <c r="H931" s="176">
        <f>+_xlfn.XLOOKUP(E931,'BASE DATOS PRECIOS '!E:E,'BASE DATOS PRECIOS '!H:H)</f>
        <v>2366.9092999999998</v>
      </c>
      <c r="I931" s="175"/>
      <c r="J931" s="175"/>
      <c r="K931" s="176">
        <f t="shared" ref="K931:K942" si="600">+F931*H931</f>
        <v>14201.4558</v>
      </c>
      <c r="L931" s="176">
        <f t="shared" ref="L931:L942" si="601">+F931*I931</f>
        <v>0</v>
      </c>
      <c r="M931" s="176">
        <f t="shared" ref="M931:M942" si="602">+F931*J931</f>
        <v>0</v>
      </c>
      <c r="N931" s="176">
        <f t="shared" ref="N931:N942" si="603">SUM(K931:M931)</f>
        <v>14201.4558</v>
      </c>
      <c r="O931" s="1083">
        <f t="shared" ref="O931:O942" si="604">SUM(K931:M931)/tc</f>
        <v>27.575642330097086</v>
      </c>
    </row>
    <row r="932" spans="1:15" ht="15" customHeight="1" x14ac:dyDescent="0.2">
      <c r="A932" s="303"/>
      <c r="B932" s="833">
        <f t="shared" si="548"/>
        <v>3.2</v>
      </c>
      <c r="C932" s="303" t="s">
        <v>2337</v>
      </c>
      <c r="D932" s="822"/>
      <c r="E932" s="161" t="str">
        <f>+_xlfn.XLOOKUP(C932,'BASE DATOS PRECIOS '!B:B,'BASE DATOS PRECIOS '!E:E)</f>
        <v>LLAVE DE CONTROL ESCUADRA 1/2 A 1/2</v>
      </c>
      <c r="F932" s="174">
        <f>+'3.2_MEC'!D198</f>
        <v>6</v>
      </c>
      <c r="G932" s="175" t="str">
        <f>+_xlfn.XLOOKUP(C932,'BASE DATOS PRECIOS '!B:B,'BASE DATOS PRECIOS '!F:F)</f>
        <v>UND</v>
      </c>
      <c r="H932" s="176">
        <f>+_xlfn.XLOOKUP(E932,'BASE DATOS PRECIOS '!E:E,'BASE DATOS PRECIOS '!H:H)</f>
        <v>3839.9998999999998</v>
      </c>
      <c r="I932" s="175"/>
      <c r="J932" s="175"/>
      <c r="K932" s="176">
        <f t="shared" si="600"/>
        <v>23039.999400000001</v>
      </c>
      <c r="L932" s="176">
        <f t="shared" si="601"/>
        <v>0</v>
      </c>
      <c r="M932" s="176">
        <f t="shared" si="602"/>
        <v>0</v>
      </c>
      <c r="N932" s="176">
        <f t="shared" si="603"/>
        <v>23039.999400000001</v>
      </c>
      <c r="O932" s="1083">
        <f t="shared" si="604"/>
        <v>44.73786291262136</v>
      </c>
    </row>
    <row r="933" spans="1:15" ht="15" customHeight="1" x14ac:dyDescent="0.2">
      <c r="A933" s="303"/>
      <c r="B933" s="833">
        <f t="shared" si="548"/>
        <v>3.2</v>
      </c>
      <c r="C933" s="303" t="s">
        <v>2338</v>
      </c>
      <c r="D933" s="822"/>
      <c r="E933" s="161" t="str">
        <f>+_xlfn.XLOOKUP(C933,'BASE DATOS PRECIOS '!B:B,'BASE DATOS PRECIOS '!E:E)</f>
        <v>TAPON LISO PVC 1/2"</v>
      </c>
      <c r="F933" s="174">
        <f>+'3.2_MEC'!D199</f>
        <v>13</v>
      </c>
      <c r="G933" s="175" t="str">
        <f>+_xlfn.XLOOKUP(C933,'BASE DATOS PRECIOS '!B:B,'BASE DATOS PRECIOS '!F:F)</f>
        <v>UND</v>
      </c>
      <c r="H933" s="176">
        <f>+_xlfn.XLOOKUP(E933,'BASE DATOS PRECIOS '!E:E,'BASE DATOS PRECIOS '!H:H)</f>
        <v>265.54999999999995</v>
      </c>
      <c r="I933" s="175"/>
      <c r="J933" s="175"/>
      <c r="K933" s="176">
        <f t="shared" si="600"/>
        <v>3452.1499999999996</v>
      </c>
      <c r="L933" s="176">
        <f t="shared" si="601"/>
        <v>0</v>
      </c>
      <c r="M933" s="176">
        <f t="shared" si="602"/>
        <v>0</v>
      </c>
      <c r="N933" s="176">
        <f t="shared" si="603"/>
        <v>3452.1499999999996</v>
      </c>
      <c r="O933" s="1083">
        <f t="shared" si="604"/>
        <v>6.7032038834951448</v>
      </c>
    </row>
    <row r="934" spans="1:15" ht="15" customHeight="1" x14ac:dyDescent="0.2">
      <c r="A934" s="303"/>
      <c r="B934" s="833">
        <f t="shared" si="548"/>
        <v>3.2</v>
      </c>
      <c r="C934" s="303" t="s">
        <v>2339</v>
      </c>
      <c r="D934" s="822"/>
      <c r="E934" s="161" t="str">
        <f>+_xlfn.XLOOKUP(C934,'BASE DATOS PRECIOS '!B:B,'BASE DATOS PRECIOS '!E:E)</f>
        <v>REDUCCION 1-1/2" A 1-1/4" (SANITARIO)</v>
      </c>
      <c r="F934" s="174">
        <f>+'3.2_MEC'!D200</f>
        <v>3</v>
      </c>
      <c r="G934" s="175" t="str">
        <f>+_xlfn.XLOOKUP(C934,'BASE DATOS PRECIOS '!B:B,'BASE DATOS PRECIOS '!F:F)</f>
        <v>UND</v>
      </c>
      <c r="H934" s="176">
        <f>+_xlfn.XLOOKUP(E934,'BASE DATOS PRECIOS '!E:E,'BASE DATOS PRECIOS '!H:H)</f>
        <v>476.57749999999993</v>
      </c>
      <c r="I934" s="175"/>
      <c r="J934" s="175"/>
      <c r="K934" s="176">
        <f t="shared" si="600"/>
        <v>1429.7324999999998</v>
      </c>
      <c r="L934" s="176">
        <f t="shared" si="601"/>
        <v>0</v>
      </c>
      <c r="M934" s="176">
        <f t="shared" si="602"/>
        <v>0</v>
      </c>
      <c r="N934" s="176">
        <f t="shared" si="603"/>
        <v>1429.7324999999998</v>
      </c>
      <c r="O934" s="1083">
        <f t="shared" si="604"/>
        <v>2.7761796116504853</v>
      </c>
    </row>
    <row r="935" spans="1:15" ht="15" customHeight="1" x14ac:dyDescent="0.2">
      <c r="A935" s="303"/>
      <c r="B935" s="833">
        <f t="shared" si="548"/>
        <v>3.2</v>
      </c>
      <c r="C935" s="303" t="s">
        <v>2025</v>
      </c>
      <c r="D935" s="822"/>
      <c r="E935" s="161" t="str">
        <f>+_xlfn.XLOOKUP(C935,'BASE DATOS PRECIOS '!B:B,'BASE DATOS PRECIOS '!E:E)</f>
        <v>TEE PVC PARED DELGADA 1 1/2" (SANITARIO)</v>
      </c>
      <c r="F935" s="174">
        <f>+'3.2_MEC'!D201</f>
        <v>3</v>
      </c>
      <c r="G935" s="175" t="str">
        <f>+_xlfn.XLOOKUP(C935,'BASE DATOS PRECIOS '!B:B,'BASE DATOS PRECIOS '!F:F)</f>
        <v>UND</v>
      </c>
      <c r="H935" s="176">
        <f>+_xlfn.XLOOKUP(E935,'BASE DATOS PRECIOS '!E:E,'BASE DATOS PRECIOS '!H:H)</f>
        <v>1457.4174999999998</v>
      </c>
      <c r="I935" s="175"/>
      <c r="J935" s="175"/>
      <c r="K935" s="176">
        <f t="shared" si="600"/>
        <v>4372.2524999999996</v>
      </c>
      <c r="L935" s="176">
        <f t="shared" si="601"/>
        <v>0</v>
      </c>
      <c r="M935" s="176">
        <f t="shared" si="602"/>
        <v>0</v>
      </c>
      <c r="N935" s="176">
        <f t="shared" si="603"/>
        <v>4372.2524999999996</v>
      </c>
      <c r="O935" s="1083">
        <f t="shared" si="604"/>
        <v>8.489810679611649</v>
      </c>
    </row>
    <row r="936" spans="1:15" ht="15" customHeight="1" x14ac:dyDescent="0.2">
      <c r="A936" s="303"/>
      <c r="B936" s="833">
        <f t="shared" si="548"/>
        <v>3.2</v>
      </c>
      <c r="C936" s="303" t="s">
        <v>2340</v>
      </c>
      <c r="D936" s="822"/>
      <c r="E936" s="161" t="str">
        <f>+_xlfn.XLOOKUP(C936,'BASE DATOS PRECIOS '!B:B,'BASE DATOS PRECIOS '!E:E)</f>
        <v>TEFLON CINTA 1/2  (10M)</v>
      </c>
      <c r="F936" s="174">
        <f>+'3.2_MEC'!D202</f>
        <v>3</v>
      </c>
      <c r="G936" s="175" t="str">
        <f>+_xlfn.XLOOKUP(C936,'BASE DATOS PRECIOS '!B:B,'BASE DATOS PRECIOS '!F:F)</f>
        <v>UND</v>
      </c>
      <c r="H936" s="176">
        <f>+_xlfn.XLOOKUP(E936,'BASE DATOS PRECIOS '!E:E,'BASE DATOS PRECIOS '!H:H)</f>
        <v>191.99829999999997</v>
      </c>
      <c r="I936" s="175"/>
      <c r="J936" s="175"/>
      <c r="K936" s="176">
        <f t="shared" si="600"/>
        <v>575.99489999999992</v>
      </c>
      <c r="L936" s="176">
        <f t="shared" si="601"/>
        <v>0</v>
      </c>
      <c r="M936" s="176">
        <f t="shared" si="602"/>
        <v>0</v>
      </c>
      <c r="N936" s="176">
        <f t="shared" si="603"/>
        <v>575.99489999999992</v>
      </c>
      <c r="O936" s="1083">
        <f t="shared" si="604"/>
        <v>1.1184366990291261</v>
      </c>
    </row>
    <row r="937" spans="1:15" ht="15" customHeight="1" x14ac:dyDescent="0.2">
      <c r="A937" s="303"/>
      <c r="B937" s="833">
        <f t="shared" si="548"/>
        <v>3.2</v>
      </c>
      <c r="C937" s="303" t="s">
        <v>2341</v>
      </c>
      <c r="D937" s="822"/>
      <c r="E937" s="161" t="str">
        <f>+_xlfn.XLOOKUP(C937,'BASE DATOS PRECIOS '!B:B,'BASE DATOS PRECIOS '!E:E)</f>
        <v>LLAVE  DE PASO PVC 1/2</v>
      </c>
      <c r="F937" s="174">
        <f>+'3.2_MEC'!D203</f>
        <v>6</v>
      </c>
      <c r="G937" s="175" t="str">
        <f>+_xlfn.XLOOKUP(C937,'BASE DATOS PRECIOS '!B:B,'BASE DATOS PRECIOS '!F:F)</f>
        <v>UND</v>
      </c>
      <c r="H937" s="176">
        <f>+_xlfn.XLOOKUP(E937,'BASE DATOS PRECIOS '!E:E,'BASE DATOS PRECIOS '!H:H)</f>
        <v>1771.162</v>
      </c>
      <c r="I937" s="175"/>
      <c r="J937" s="175"/>
      <c r="K937" s="176">
        <f t="shared" si="600"/>
        <v>10626.972</v>
      </c>
      <c r="L937" s="176">
        <f t="shared" si="601"/>
        <v>0</v>
      </c>
      <c r="M937" s="176">
        <f t="shared" si="602"/>
        <v>0</v>
      </c>
      <c r="N937" s="176">
        <f t="shared" si="603"/>
        <v>10626.972</v>
      </c>
      <c r="O937" s="1083">
        <f t="shared" si="604"/>
        <v>20.63489708737864</v>
      </c>
    </row>
    <row r="938" spans="1:15" ht="15" customHeight="1" x14ac:dyDescent="0.2">
      <c r="A938" s="303"/>
      <c r="B938" s="833">
        <f t="shared" si="548"/>
        <v>3.2</v>
      </c>
      <c r="C938" s="303" t="s">
        <v>2113</v>
      </c>
      <c r="D938" s="822"/>
      <c r="E938" s="161" t="str">
        <f>+_xlfn.XLOOKUP(C938,'BASE DATOS PRECIOS '!B:B,'BASE DATOS PRECIOS '!E:E)</f>
        <v>CAJA PARA LAVADORA</v>
      </c>
      <c r="F938" s="174">
        <f>+'3.2_MEC'!D204</f>
        <v>1</v>
      </c>
      <c r="G938" s="175" t="str">
        <f>+_xlfn.XLOOKUP(C938,'BASE DATOS PRECIOS '!B:B,'BASE DATOS PRECIOS '!F:F)</f>
        <v>UND</v>
      </c>
      <c r="H938" s="176">
        <f>+_xlfn.XLOOKUP(E938,'BASE DATOS PRECIOS '!E:E,'BASE DATOS PRECIOS '!H:H)</f>
        <v>21500.487399999998</v>
      </c>
      <c r="I938" s="175"/>
      <c r="J938" s="175"/>
      <c r="K938" s="176">
        <f t="shared" si="600"/>
        <v>21500.487399999998</v>
      </c>
      <c r="L938" s="176">
        <f t="shared" si="601"/>
        <v>0</v>
      </c>
      <c r="M938" s="176">
        <f t="shared" si="602"/>
        <v>0</v>
      </c>
      <c r="N938" s="176">
        <f t="shared" si="603"/>
        <v>21500.487399999998</v>
      </c>
      <c r="O938" s="1083">
        <f t="shared" si="604"/>
        <v>41.748519223300967</v>
      </c>
    </row>
    <row r="939" spans="1:15" ht="15" customHeight="1" x14ac:dyDescent="0.2">
      <c r="A939" s="303"/>
      <c r="B939" s="833">
        <f t="shared" si="548"/>
        <v>3.2</v>
      </c>
      <c r="C939" s="781" t="s">
        <v>2342</v>
      </c>
      <c r="D939" s="821"/>
      <c r="E939" s="161" t="str">
        <f>+_xlfn.XLOOKUP(C939,'BASE DATOS PRECIOS '!B:B,'BASE DATOS PRECIOS '!E:E)</f>
        <v>FLANGER DE 2 PULGADAS A 1 1/2 PULGADAS PARA SALIDA DEL TANQUE</v>
      </c>
      <c r="F939" s="174">
        <f>+'3.2_MEC'!D205</f>
        <v>3</v>
      </c>
      <c r="G939" s="175" t="str">
        <f>+_xlfn.XLOOKUP(C939,'BASE DATOS PRECIOS '!B:B,'BASE DATOS PRECIOS '!F:F)</f>
        <v>UND</v>
      </c>
      <c r="H939" s="176">
        <f>+_xlfn.XLOOKUP(E939,'BASE DATOS PRECIOS '!E:E,'BASE DATOS PRECIOS '!H:H)</f>
        <v>5099.6899999999996</v>
      </c>
      <c r="I939" s="175"/>
      <c r="J939" s="175"/>
      <c r="K939" s="176">
        <f t="shared" si="600"/>
        <v>15299.07</v>
      </c>
      <c r="L939" s="176">
        <f t="shared" si="601"/>
        <v>0</v>
      </c>
      <c r="M939" s="176">
        <f t="shared" si="602"/>
        <v>0</v>
      </c>
      <c r="N939" s="176">
        <f t="shared" si="603"/>
        <v>15299.07</v>
      </c>
      <c r="O939" s="1083">
        <f t="shared" si="604"/>
        <v>29.70693203883495</v>
      </c>
    </row>
    <row r="940" spans="1:15" ht="15" customHeight="1" x14ac:dyDescent="0.2">
      <c r="A940" s="303"/>
      <c r="B940" s="833">
        <f t="shared" si="548"/>
        <v>3.2</v>
      </c>
      <c r="C940" s="303" t="s">
        <v>2343</v>
      </c>
      <c r="D940" s="822"/>
      <c r="E940" s="161" t="str">
        <f>+_xlfn.XLOOKUP(C940,'BASE DATOS PRECIOS '!B:B,'BASE DATOS PRECIOS '!E:E)</f>
        <v>LLAVE CONTROL ESCUADRA 1/2 X 3/8</v>
      </c>
      <c r="F940" s="174">
        <f>+'3.2_MEC'!D206</f>
        <v>3</v>
      </c>
      <c r="G940" s="175" t="str">
        <f>+_xlfn.XLOOKUP(C940,'BASE DATOS PRECIOS '!B:B,'BASE DATOS PRECIOS '!F:F)</f>
        <v>UND</v>
      </c>
      <c r="H940" s="176">
        <f>+_xlfn.XLOOKUP(E940,'BASE DATOS PRECIOS '!E:E,'BASE DATOS PRECIOS '!H:H)</f>
        <v>3333.4999999999995</v>
      </c>
      <c r="I940" s="175"/>
      <c r="J940" s="175"/>
      <c r="K940" s="176">
        <f t="shared" si="600"/>
        <v>10000.499999999998</v>
      </c>
      <c r="L940" s="176">
        <f t="shared" si="601"/>
        <v>0</v>
      </c>
      <c r="M940" s="176">
        <f t="shared" si="602"/>
        <v>0</v>
      </c>
      <c r="N940" s="176">
        <f t="shared" si="603"/>
        <v>10000.499999999998</v>
      </c>
      <c r="O940" s="1083">
        <f t="shared" si="604"/>
        <v>19.418446601941746</v>
      </c>
    </row>
    <row r="941" spans="1:15" ht="15" customHeight="1" x14ac:dyDescent="0.2">
      <c r="A941" s="1075" t="s">
        <v>2176</v>
      </c>
      <c r="B941" s="833">
        <f t="shared" si="548"/>
        <v>3.2</v>
      </c>
      <c r="C941" s="774" t="s">
        <v>36</v>
      </c>
      <c r="D941" s="210"/>
      <c r="E941" s="211" t="str">
        <f>+_xlfn.XLOOKUP(C941,'BASE DATOS MANO DE OBRA'!A:A,'BASE DATOS MANO DE OBRA'!B:B)</f>
        <v xml:space="preserve">OPERARIO PLUS </v>
      </c>
      <c r="F941" s="212">
        <f>ROUND('3.2_MEC'!F209,0)/2</f>
        <v>13.5</v>
      </c>
      <c r="G941" s="213" t="str">
        <f>+_xlfn.XLOOKUP(C941,'BASE DATOS MANO DE OBRA'!A:A,'BASE DATOS MANO DE OBRA'!C:C)</f>
        <v xml:space="preserve">hora </v>
      </c>
      <c r="H941" s="214">
        <v>0</v>
      </c>
      <c r="I941" s="214">
        <f>+_xlfn.XLOOKUP(C941,'BASE DATOS MANO DE OBRA'!A:A,'BASE DATOS MANO DE OBRA'!E:E)</f>
        <v>2850</v>
      </c>
      <c r="J941" s="214">
        <v>0</v>
      </c>
      <c r="K941" s="214">
        <f t="shared" si="600"/>
        <v>0</v>
      </c>
      <c r="L941" s="214">
        <f t="shared" si="601"/>
        <v>38475</v>
      </c>
      <c r="M941" s="214">
        <f t="shared" si="602"/>
        <v>0</v>
      </c>
      <c r="N941" s="214">
        <f t="shared" si="603"/>
        <v>38475</v>
      </c>
      <c r="O941" s="1086">
        <f t="shared" si="604"/>
        <v>74.708737864077676</v>
      </c>
    </row>
    <row r="942" spans="1:15" ht="15" customHeight="1" x14ac:dyDescent="0.2">
      <c r="A942" s="1075" t="s">
        <v>2176</v>
      </c>
      <c r="B942" s="833">
        <f t="shared" si="548"/>
        <v>3.2</v>
      </c>
      <c r="C942" s="774" t="s">
        <v>37</v>
      </c>
      <c r="D942" s="210"/>
      <c r="E942" s="211" t="str">
        <f>+_xlfn.XLOOKUP(C942,'BASE DATOS MANO DE OBRA'!A:A,'BASE DATOS MANO DE OBRA'!B:B)</f>
        <v xml:space="preserve">AYUDANTE PLUS </v>
      </c>
      <c r="F942" s="212">
        <f>+F941</f>
        <v>13.5</v>
      </c>
      <c r="G942" s="213" t="str">
        <f>+_xlfn.XLOOKUP(C942,'BASE DATOS MANO DE OBRA'!A:A,'BASE DATOS MANO DE OBRA'!C:C)</f>
        <v xml:space="preserve">hora </v>
      </c>
      <c r="H942" s="214">
        <v>0</v>
      </c>
      <c r="I942" s="214">
        <f>+_xlfn.XLOOKUP(C942,'BASE DATOS MANO DE OBRA'!A:A,'BASE DATOS MANO DE OBRA'!E:E)</f>
        <v>2325</v>
      </c>
      <c r="J942" s="214">
        <v>0</v>
      </c>
      <c r="K942" s="214">
        <f t="shared" si="600"/>
        <v>0</v>
      </c>
      <c r="L942" s="214">
        <f t="shared" si="601"/>
        <v>31387.5</v>
      </c>
      <c r="M942" s="214">
        <f t="shared" si="602"/>
        <v>0</v>
      </c>
      <c r="N942" s="214">
        <f t="shared" si="603"/>
        <v>31387.5</v>
      </c>
      <c r="O942" s="1086">
        <f t="shared" si="604"/>
        <v>60.946601941747574</v>
      </c>
    </row>
    <row r="943" spans="1:15" s="49" customFormat="1" ht="18.600000000000001" customHeight="1" x14ac:dyDescent="0.2">
      <c r="A943" s="1074"/>
      <c r="B943" s="833">
        <f t="shared" si="548"/>
        <v>3.2</v>
      </c>
      <c r="C943" s="770" t="s">
        <v>3390</v>
      </c>
      <c r="D943" s="453"/>
      <c r="E943" s="454" t="s">
        <v>3386</v>
      </c>
      <c r="F943" s="455">
        <v>1</v>
      </c>
      <c r="G943" s="453" t="s">
        <v>29</v>
      </c>
      <c r="H943" s="453"/>
      <c r="I943" s="453"/>
      <c r="J943" s="453"/>
      <c r="K943" s="456">
        <f>+SUBTOTAL(9,K944:K949)</f>
        <v>52720.534199999995</v>
      </c>
      <c r="L943" s="456">
        <f>+SUBTOTAL(9,L944:L949)</f>
        <v>98325</v>
      </c>
      <c r="M943" s="456">
        <f>+SUBTOTAL(9,M944:M949)</f>
        <v>0</v>
      </c>
      <c r="N943" s="456">
        <f>+SUBTOTAL(9,N944:N949)</f>
        <v>151045.53419999999</v>
      </c>
      <c r="O943" s="1082">
        <f>+SUBTOTAL(9,O944:O949)</f>
        <v>293.29229941747576</v>
      </c>
    </row>
    <row r="944" spans="1:15" x14ac:dyDescent="0.2">
      <c r="A944" s="303"/>
      <c r="B944" s="833">
        <f t="shared" si="548"/>
        <v>3.2</v>
      </c>
      <c r="C944" s="303" t="s">
        <v>2013</v>
      </c>
      <c r="D944" s="822"/>
      <c r="E944" s="161" t="str">
        <f>+_xlfn.XLOOKUP(C944,'BASE DATOS PRECIOS '!B:B,'BASE DATOS PRECIOS '!E:E)</f>
        <v>HIDROMETRO DE 1/2Q (12MM) ENCAPSULADO ROSCADO ARAD</v>
      </c>
      <c r="F944" s="174">
        <f>+'3.2_MEC'!D216</f>
        <v>1</v>
      </c>
      <c r="G944" s="175" t="str">
        <f>+_xlfn.XLOOKUP(C944,'BASE DATOS PRECIOS '!B:B,'BASE DATOS PRECIOS '!F:F)</f>
        <v>UND</v>
      </c>
      <c r="H944" s="176">
        <f>+_xlfn.XLOOKUP(E944,'BASE DATOS PRECIOS '!E:E,'BASE DATOS PRECIOS '!H:H)</f>
        <v>17515</v>
      </c>
      <c r="I944" s="175"/>
      <c r="J944" s="175"/>
      <c r="K944" s="176">
        <f>+F944*H944</f>
        <v>17515</v>
      </c>
      <c r="L944" s="176">
        <f>+F944*I944</f>
        <v>0</v>
      </c>
      <c r="M944" s="176">
        <f>+F944*J944</f>
        <v>0</v>
      </c>
      <c r="N944" s="176">
        <f>SUM(K944:M944)</f>
        <v>17515</v>
      </c>
      <c r="O944" s="1083">
        <f>SUM(K944:M944)/tc</f>
        <v>34.009708737864081</v>
      </c>
    </row>
    <row r="945" spans="1:19" x14ac:dyDescent="0.2">
      <c r="A945" s="303"/>
      <c r="B945" s="833">
        <f t="shared" si="548"/>
        <v>3.2</v>
      </c>
      <c r="C945" s="303" t="s">
        <v>2335</v>
      </c>
      <c r="D945" s="822"/>
      <c r="E945" s="161" t="str">
        <f>+_xlfn.XLOOKUP(C945,'BASE DATOS PRECIOS '!B:B,'BASE DATOS PRECIOS '!E:E)</f>
        <v>JUEGO DE ACCESORIOS 1/2 BRONCE BTP</v>
      </c>
      <c r="F945" s="174">
        <f>+'3.2_MEC'!D217</f>
        <v>1</v>
      </c>
      <c r="G945" s="175" t="str">
        <f>+_xlfn.XLOOKUP(C945,'BASE DATOS PRECIOS '!B:B,'BASE DATOS PRECIOS '!F:F)</f>
        <v>UND</v>
      </c>
      <c r="H945" s="176">
        <f>+_xlfn.XLOOKUP(E945,'BASE DATOS PRECIOS '!E:E,'BASE DATOS PRECIOS '!H:H)</f>
        <v>12268.568199999998</v>
      </c>
      <c r="I945" s="175"/>
      <c r="J945" s="175"/>
      <c r="K945" s="176">
        <f>+F945*H945</f>
        <v>12268.568199999998</v>
      </c>
      <c r="L945" s="176">
        <f>+F945*I945</f>
        <v>0</v>
      </c>
      <c r="M945" s="176">
        <f>+F945*J945</f>
        <v>0</v>
      </c>
      <c r="N945" s="176">
        <f>SUM(K945:M945)</f>
        <v>12268.568199999998</v>
      </c>
      <c r="O945" s="1083">
        <f>SUM(K945:M945)/tc</f>
        <v>23.822462524271842</v>
      </c>
    </row>
    <row r="946" spans="1:19" x14ac:dyDescent="0.2">
      <c r="A946" s="303"/>
      <c r="B946" s="833">
        <f t="shared" si="548"/>
        <v>3.2</v>
      </c>
      <c r="C946" s="303" t="s">
        <v>2014</v>
      </c>
      <c r="D946" s="822"/>
      <c r="E946" s="161" t="str">
        <f>+_xlfn.XLOOKUP(C946,'BASE DATOS PRECIOS '!B:B,'BASE DATOS PRECIOS '!E:E)</f>
        <v>CAJA DE 1/2" DE PROTECCION AGUA HF FUNIDADELIMA</v>
      </c>
      <c r="F946" s="174">
        <f>+'3.2_MEC'!D218</f>
        <v>1</v>
      </c>
      <c r="G946" s="175" t="str">
        <f>+_xlfn.XLOOKUP(C946,'BASE DATOS PRECIOS '!B:B,'BASE DATOS PRECIOS '!F:F)</f>
        <v>UND</v>
      </c>
      <c r="H946" s="176">
        <f>+_xlfn.XLOOKUP(E946,'BASE DATOS PRECIOS '!E:E,'BASE DATOS PRECIOS '!H:H)</f>
        <v>16837</v>
      </c>
      <c r="I946" s="175"/>
      <c r="J946" s="175"/>
      <c r="K946" s="176">
        <f>+F946*H946</f>
        <v>16837</v>
      </c>
      <c r="L946" s="176">
        <f>+F946*I946</f>
        <v>0</v>
      </c>
      <c r="M946" s="176">
        <f>+F946*J946</f>
        <v>0</v>
      </c>
      <c r="N946" s="176">
        <f>SUM(K946:M946)</f>
        <v>16837</v>
      </c>
      <c r="O946" s="1083">
        <f>SUM(K946:M946)/tc</f>
        <v>32.693203883495144</v>
      </c>
    </row>
    <row r="947" spans="1:19" x14ac:dyDescent="0.2">
      <c r="A947" s="303"/>
      <c r="B947" s="833">
        <f t="shared" si="548"/>
        <v>3.2</v>
      </c>
      <c r="C947" s="303" t="s">
        <v>2186</v>
      </c>
      <c r="D947" s="822"/>
      <c r="E947" s="161" t="str">
        <f>+_xlfn.XLOOKUP(C947,'BASE DATOS PRECIOS '!B:B,'BASE DATOS PRECIOS '!E:E)</f>
        <v>REGLA SEMIDURO 1X3X4 SIN CEPILLAR</v>
      </c>
      <c r="F947" s="174">
        <f>+'3.2_MEC'!D219</f>
        <v>4</v>
      </c>
      <c r="G947" s="175" t="str">
        <f>+_xlfn.XLOOKUP(C947,'BASE DATOS PRECIOS '!B:B,'BASE DATOS PRECIOS '!F:F)</f>
        <v>UND</v>
      </c>
      <c r="H947" s="176">
        <f>+_xlfn.XLOOKUP(E947,'BASE DATOS PRECIOS '!E:E,'BASE DATOS PRECIOS '!H:H)</f>
        <v>1524.9914999999999</v>
      </c>
      <c r="I947" s="175"/>
      <c r="J947" s="175"/>
      <c r="K947" s="176">
        <f>+F947*H947</f>
        <v>6099.9659999999994</v>
      </c>
      <c r="L947" s="176">
        <f>+F947*I947</f>
        <v>0</v>
      </c>
      <c r="M947" s="176">
        <f>+F947*J947</f>
        <v>0</v>
      </c>
      <c r="N947" s="176">
        <f>SUM(K947:M947)</f>
        <v>6099.9659999999994</v>
      </c>
      <c r="O947" s="1083">
        <f>SUM(K947:M947)/tc</f>
        <v>11.84459417475728</v>
      </c>
      <c r="S947" s="877">
        <f>L8/17</f>
        <v>820733.82352941181</v>
      </c>
    </row>
    <row r="948" spans="1:19" ht="15" customHeight="1" x14ac:dyDescent="0.2">
      <c r="A948" s="1075" t="s">
        <v>2176</v>
      </c>
      <c r="B948" s="833">
        <f t="shared" si="548"/>
        <v>3.2</v>
      </c>
      <c r="C948" s="774" t="s">
        <v>36</v>
      </c>
      <c r="D948" s="210"/>
      <c r="E948" s="211" t="str">
        <f>+_xlfn.XLOOKUP(C948,'BASE DATOS MANO DE OBRA'!A:A,'BASE DATOS MANO DE OBRA'!B:B)</f>
        <v xml:space="preserve">OPERARIO PLUS </v>
      </c>
      <c r="F948" s="212">
        <f>+ROUNDUP('3.2_MEC'!F222,0)/2</f>
        <v>19</v>
      </c>
      <c r="G948" s="213" t="str">
        <f>+_xlfn.XLOOKUP(C948,'BASE DATOS MANO DE OBRA'!A:A,'BASE DATOS MANO DE OBRA'!C:C)</f>
        <v xml:space="preserve">hora </v>
      </c>
      <c r="H948" s="214">
        <v>0</v>
      </c>
      <c r="I948" s="214">
        <f>+_xlfn.XLOOKUP(C948,'BASE DATOS MANO DE OBRA'!A:A,'BASE DATOS MANO DE OBRA'!E:E)</f>
        <v>2850</v>
      </c>
      <c r="J948" s="214">
        <v>0</v>
      </c>
      <c r="K948" s="214">
        <f t="shared" ref="K948:K949" si="605">+F948*H948</f>
        <v>0</v>
      </c>
      <c r="L948" s="214">
        <f t="shared" ref="L948:L949" si="606">+F948*I948</f>
        <v>54150</v>
      </c>
      <c r="M948" s="214">
        <f t="shared" ref="M948:M949" si="607">+F948*J948</f>
        <v>0</v>
      </c>
      <c r="N948" s="214">
        <f t="shared" ref="N948:N949" si="608">SUM(K948:M948)</f>
        <v>54150</v>
      </c>
      <c r="O948" s="1086">
        <f t="shared" ref="O948:O949" si="609">SUM(K948:M948)/tc</f>
        <v>105.14563106796116</v>
      </c>
    </row>
    <row r="949" spans="1:19" ht="15" customHeight="1" x14ac:dyDescent="0.2">
      <c r="A949" s="1104" t="s">
        <v>2176</v>
      </c>
      <c r="B949" s="1105">
        <f t="shared" si="548"/>
        <v>3.2</v>
      </c>
      <c r="C949" s="1106" t="s">
        <v>37</v>
      </c>
      <c r="D949" s="1107"/>
      <c r="E949" s="1108" t="str">
        <f>+_xlfn.XLOOKUP(C949,'BASE DATOS MANO DE OBRA'!A:A,'BASE DATOS MANO DE OBRA'!B:B)</f>
        <v xml:space="preserve">AYUDANTE PLUS </v>
      </c>
      <c r="F949" s="1109">
        <f>+F948</f>
        <v>19</v>
      </c>
      <c r="G949" s="1110" t="str">
        <f>+_xlfn.XLOOKUP(C949,'BASE DATOS MANO DE OBRA'!A:A,'BASE DATOS MANO DE OBRA'!C:C)</f>
        <v xml:space="preserve">hora </v>
      </c>
      <c r="H949" s="1111">
        <v>0</v>
      </c>
      <c r="I949" s="1111">
        <f>+_xlfn.XLOOKUP(C949,'BASE DATOS MANO DE OBRA'!A:A,'BASE DATOS MANO DE OBRA'!E:E)</f>
        <v>2325</v>
      </c>
      <c r="J949" s="1111">
        <v>0</v>
      </c>
      <c r="K949" s="1111">
        <f t="shared" si="605"/>
        <v>0</v>
      </c>
      <c r="L949" s="1111">
        <f t="shared" si="606"/>
        <v>44175</v>
      </c>
      <c r="M949" s="1111">
        <f t="shared" si="607"/>
        <v>0</v>
      </c>
      <c r="N949" s="1111">
        <f t="shared" si="608"/>
        <v>44175</v>
      </c>
      <c r="O949" s="1112">
        <f t="shared" si="609"/>
        <v>85.77669902912622</v>
      </c>
    </row>
    <row r="950" spans="1:19" x14ac:dyDescent="0.2">
      <c r="A950" s="177"/>
      <c r="B950" s="174"/>
      <c r="C950" s="794"/>
      <c r="D950" s="186"/>
      <c r="E950" s="173"/>
      <c r="F950" s="174"/>
      <c r="G950" s="175"/>
      <c r="H950" s="175"/>
      <c r="I950" s="175"/>
      <c r="J950" s="175"/>
      <c r="K950" s="176"/>
      <c r="L950" s="176"/>
      <c r="M950" s="176"/>
      <c r="N950" s="176"/>
      <c r="O950" s="218"/>
    </row>
    <row r="951" spans="1:19" x14ac:dyDescent="0.2">
      <c r="D951" s="98"/>
      <c r="K951" s="187">
        <f>+SUBTOTAL(9,K8:K950)</f>
        <v>23471757.565369409</v>
      </c>
      <c r="L951" s="187">
        <f>+SUBTOTAL(9,L8:L950)</f>
        <v>13952475</v>
      </c>
      <c r="M951" s="187">
        <f>+SUBTOTAL(9,M8:M950)</f>
        <v>3317703.5249999999</v>
      </c>
      <c r="N951" s="187">
        <f>+SUBTOTAL(9,N8:N950)</f>
        <v>40741936.090369403</v>
      </c>
      <c r="O951" s="188">
        <f>+SUBTOTAL(9,O8:O950)</f>
        <v>79110.555515280517</v>
      </c>
    </row>
    <row r="952" spans="1:19" ht="25.35" customHeight="1" x14ac:dyDescent="0.2">
      <c r="D952" s="98"/>
      <c r="K952" s="187">
        <f>+K951/F964</f>
        <v>201353.32903293648</v>
      </c>
      <c r="L952" s="187">
        <f>+L951/F964</f>
        <v>119691.81607617739</v>
      </c>
      <c r="M952" s="187">
        <f>+M951/F964</f>
        <v>28461.040790941064</v>
      </c>
      <c r="N952" s="188"/>
      <c r="O952" s="188"/>
    </row>
    <row r="953" spans="1:19" ht="25.35" customHeight="1" x14ac:dyDescent="0.2">
      <c r="D953" s="98"/>
      <c r="K953" s="189">
        <f>+K951/N951</f>
        <v>0.57610805518193509</v>
      </c>
      <c r="L953" s="189">
        <f>+L951/N951</f>
        <v>0.34245979300178847</v>
      </c>
      <c r="M953" s="189">
        <f>+M951/N951</f>
        <v>8.1432151816276596E-2</v>
      </c>
      <c r="N953" s="190">
        <f>SUM(K953:M953)</f>
        <v>1.0000000000000002</v>
      </c>
    </row>
    <row r="954" spans="1:19" ht="25.35" customHeight="1" x14ac:dyDescent="0.2">
      <c r="D954" s="98"/>
      <c r="E954" s="98" t="str">
        <f>+E2</f>
        <v>Modelo Casa</v>
      </c>
      <c r="L954" s="187"/>
    </row>
    <row r="955" spans="1:19" ht="25.35" customHeight="1" x14ac:dyDescent="0.2">
      <c r="D955" s="98"/>
      <c r="E955" s="98" t="s">
        <v>249</v>
      </c>
      <c r="K955" s="187">
        <f>K951-K8</f>
        <v>0</v>
      </c>
      <c r="L955" s="187">
        <f>L951-L8</f>
        <v>0</v>
      </c>
      <c r="M955" s="187">
        <f>M951-M8</f>
        <v>0</v>
      </c>
      <c r="N955" s="187">
        <f>N951-N8</f>
        <v>0</v>
      </c>
      <c r="O955" s="187">
        <f>O951-O8</f>
        <v>0</v>
      </c>
    </row>
    <row r="956" spans="1:19" ht="25.35" customHeight="1" x14ac:dyDescent="0.2">
      <c r="D956" s="98"/>
      <c r="E956" s="468" t="s">
        <v>250</v>
      </c>
      <c r="F956" s="468" t="s">
        <v>251</v>
      </c>
      <c r="G956" s="468" t="s">
        <v>252</v>
      </c>
      <c r="J956" s="187"/>
    </row>
    <row r="957" spans="1:19" ht="25.35" customHeight="1" x14ac:dyDescent="0.2">
      <c r="D957" s="98"/>
      <c r="E957" s="623" t="s">
        <v>253</v>
      </c>
      <c r="F957" s="204">
        <f>+K951</f>
        <v>23471757.565369409</v>
      </c>
      <c r="G957" s="622">
        <f>+F957/F964</f>
        <v>201353.32903293648</v>
      </c>
    </row>
    <row r="958" spans="1:19" x14ac:dyDescent="0.2">
      <c r="D958" s="98"/>
      <c r="E958" s="623" t="s">
        <v>254</v>
      </c>
      <c r="F958" s="204">
        <f>+L951</f>
        <v>13952475</v>
      </c>
      <c r="G958" s="622">
        <f>+F958/F964</f>
        <v>119691.81607617739</v>
      </c>
    </row>
    <row r="959" spans="1:19" x14ac:dyDescent="0.2">
      <c r="D959" s="98"/>
      <c r="E959" s="623" t="s">
        <v>255</v>
      </c>
      <c r="F959" s="204">
        <f>+M951</f>
        <v>3317703.5249999999</v>
      </c>
      <c r="G959" s="622">
        <f>+F959/F964</f>
        <v>28461.040790941064</v>
      </c>
    </row>
    <row r="960" spans="1:19" x14ac:dyDescent="0.2">
      <c r="D960" s="98"/>
      <c r="E960" s="191" t="s">
        <v>256</v>
      </c>
      <c r="F960" s="192">
        <f>SUM(F957:F959)</f>
        <v>40741936.090369411</v>
      </c>
      <c r="G960" s="193">
        <f>SUM(G957:G959)</f>
        <v>349506.18590005493</v>
      </c>
      <c r="H960" s="422">
        <f>+F960-'Resumen Presupuesto'!F131</f>
        <v>0</v>
      </c>
    </row>
    <row r="962" spans="5:13" x14ac:dyDescent="0.2">
      <c r="E962" s="191" t="s">
        <v>257</v>
      </c>
      <c r="F962" s="192">
        <f>SUM(F960:F960)</f>
        <v>40741936.090369411</v>
      </c>
    </row>
    <row r="963" spans="5:13" ht="21" x14ac:dyDescent="0.3">
      <c r="E963" s="351" t="s">
        <v>2177</v>
      </c>
      <c r="F963" s="352">
        <f>+F19+F20+F26+F27+F35+F36+F48+F49+F50+F51+F52+F53+F64+F65+F66+F67+F78+F79+F80+F81+F82+F83+F97+F98+F99+F100+F109+F110+F111+F112+F113+F114+F140+F141+F164+F165+F173+F174+F185+F186+F227+F228+F242+F243+F244+F245+F251+F252+F261+F262+F263+F264+F265+F266+F267+F268+F274+F275+F276+F277+F278+F279+F280+F281+F291+F292+F293+F294+F295+F296+F297+F298+F308+F309+F310+F311+F318+F319+F320+F321+F357+F358+F359+F360+F389+F390+F391+F392+F397+F398+F404+F405+F422+F423+F424+F425+F426+F427+F450+F451+F460+F461+F463+F464+F509+F510+F523+F524+F544+F545+F546+F547+F555+F556+F839+F840+F841+F842+F856+F857+F858+F859+F871+F872+F873+F874+F887+F888+F889+F890+F909+F910+F928+F929+F941+F942+F948+F949+F209+F210+F211+F212</f>
        <v>5299</v>
      </c>
    </row>
    <row r="964" spans="5:13" x14ac:dyDescent="0.2">
      <c r="E964" s="166" t="str">
        <f>+'1_OG y 2_ACA'!C11</f>
        <v>Área prorrateada</v>
      </c>
      <c r="F964" s="166">
        <f>+'1_OG y 2_ACA'!D11</f>
        <v>116.57000000000001</v>
      </c>
    </row>
    <row r="965" spans="5:13" x14ac:dyDescent="0.2">
      <c r="E965" s="177" t="s">
        <v>258</v>
      </c>
      <c r="F965" s="219">
        <f>+F962/F964</f>
        <v>349506.18590005499</v>
      </c>
    </row>
    <row r="970" spans="5:13" x14ac:dyDescent="0.2">
      <c r="J970" s="97">
        <v>3372</v>
      </c>
      <c r="L970" s="876">
        <v>8955225</v>
      </c>
      <c r="M970" s="190">
        <f>L970/L976</f>
        <v>0.60908273594451068</v>
      </c>
    </row>
    <row r="971" spans="5:13" x14ac:dyDescent="0.2">
      <c r="J971" s="97">
        <v>1575</v>
      </c>
      <c r="L971" s="876">
        <v>4590112.5</v>
      </c>
      <c r="M971" s="190">
        <f>L971/L976</f>
        <v>0.31219296888610815</v>
      </c>
    </row>
    <row r="972" spans="5:13" x14ac:dyDescent="0.2">
      <c r="J972" s="97">
        <v>187</v>
      </c>
      <c r="L972" s="876">
        <v>1157468</v>
      </c>
      <c r="M972" s="190">
        <f>L972/L976</f>
        <v>7.8724295169381106E-2</v>
      </c>
    </row>
    <row r="976" spans="5:13" x14ac:dyDescent="0.2">
      <c r="L976" s="876">
        <f>SUM(L970:L972)</f>
        <v>14702805.5</v>
      </c>
    </row>
    <row r="978" spans="10:10" x14ac:dyDescent="0.2">
      <c r="J978" s="97">
        <f>J970+J971+J972</f>
        <v>5134</v>
      </c>
    </row>
    <row r="983" spans="10:10" x14ac:dyDescent="0.2">
      <c r="J983" s="97">
        <f>J971/J978</f>
        <v>0.30677834047526298</v>
      </c>
    </row>
  </sheetData>
  <mergeCells count="1">
    <mergeCell ref="C1:O1"/>
  </mergeCells>
  <phoneticPr fontId="20" type="noConversion"/>
  <conditionalFormatting sqref="C188:D188">
    <cfRule type="duplicateValues" dxfId="84" priority="64"/>
  </conditionalFormatting>
  <conditionalFormatting sqref="C189:D189">
    <cfRule type="duplicateValues" dxfId="83" priority="65"/>
  </conditionalFormatting>
  <conditionalFormatting sqref="C190:D190">
    <cfRule type="duplicateValues" dxfId="82" priority="63"/>
  </conditionalFormatting>
  <conditionalFormatting sqref="C191:D191">
    <cfRule type="duplicateValues" dxfId="81" priority="62"/>
  </conditionalFormatting>
  <conditionalFormatting sqref="C193:D193">
    <cfRule type="duplicateValues" dxfId="80" priority="61"/>
  </conditionalFormatting>
  <conditionalFormatting sqref="C194:D194">
    <cfRule type="duplicateValues" dxfId="79" priority="60"/>
  </conditionalFormatting>
  <conditionalFormatting sqref="C214:D214">
    <cfRule type="duplicateValues" dxfId="78" priority="58"/>
  </conditionalFormatting>
  <conditionalFormatting sqref="C215:D215">
    <cfRule type="duplicateValues" dxfId="77" priority="59"/>
  </conditionalFormatting>
  <conditionalFormatting sqref="C238:D238">
    <cfRule type="duplicateValues" dxfId="76" priority="90"/>
  </conditionalFormatting>
  <conditionalFormatting sqref="C240:D240">
    <cfRule type="duplicateValues" dxfId="75" priority="51"/>
  </conditionalFormatting>
  <conditionalFormatting sqref="C328:D328">
    <cfRule type="duplicateValues" dxfId="74" priority="49"/>
  </conditionalFormatting>
  <conditionalFormatting sqref="C335:D335">
    <cfRule type="duplicateValues" dxfId="73" priority="48"/>
  </conditionalFormatting>
  <conditionalFormatting sqref="C353:D353">
    <cfRule type="duplicateValues" dxfId="72" priority="47"/>
  </conditionalFormatting>
  <conditionalFormatting sqref="C383:D383">
    <cfRule type="duplicateValues" dxfId="71" priority="7"/>
  </conditionalFormatting>
  <conditionalFormatting sqref="C385:D385">
    <cfRule type="duplicateValues" dxfId="70" priority="45"/>
  </conditionalFormatting>
  <conditionalFormatting sqref="C396:D396">
    <cfRule type="duplicateValues" dxfId="69" priority="46"/>
  </conditionalFormatting>
  <conditionalFormatting sqref="C400:D400">
    <cfRule type="duplicateValues" dxfId="68" priority="44"/>
  </conditionalFormatting>
  <conditionalFormatting sqref="C412:D412">
    <cfRule type="duplicateValues" dxfId="67" priority="43"/>
  </conditionalFormatting>
  <conditionalFormatting sqref="C420:D420">
    <cfRule type="duplicateValues" dxfId="66" priority="42"/>
  </conditionalFormatting>
  <conditionalFormatting sqref="C421:D421">
    <cfRule type="duplicateValues" dxfId="65" priority="41"/>
  </conditionalFormatting>
  <conditionalFormatting sqref="C456:D456">
    <cfRule type="duplicateValues" dxfId="64" priority="40"/>
  </conditionalFormatting>
  <conditionalFormatting sqref="C457:D457">
    <cfRule type="duplicateValues" dxfId="63" priority="39"/>
  </conditionalFormatting>
  <conditionalFormatting sqref="C458:D458">
    <cfRule type="duplicateValues" dxfId="62" priority="38"/>
  </conditionalFormatting>
  <conditionalFormatting sqref="C489:D489">
    <cfRule type="duplicateValues" dxfId="61" priority="37"/>
  </conditionalFormatting>
  <conditionalFormatting sqref="C491:D491">
    <cfRule type="duplicateValues" dxfId="60" priority="36"/>
  </conditionalFormatting>
  <conditionalFormatting sqref="C494:D494">
    <cfRule type="duplicateValues" dxfId="59" priority="33"/>
  </conditionalFormatting>
  <conditionalFormatting sqref="C499:D499">
    <cfRule type="duplicateValues" dxfId="58" priority="32"/>
  </conditionalFormatting>
  <conditionalFormatting sqref="C502:D502">
    <cfRule type="duplicateValues" dxfId="57" priority="31"/>
  </conditionalFormatting>
  <conditionalFormatting sqref="C503:D503">
    <cfRule type="duplicateValues" dxfId="56" priority="30"/>
  </conditionalFormatting>
  <conditionalFormatting sqref="C504:D504">
    <cfRule type="duplicateValues" dxfId="55" priority="29"/>
  </conditionalFormatting>
  <conditionalFormatting sqref="C506:D506">
    <cfRule type="duplicateValues" dxfId="54" priority="28"/>
  </conditionalFormatting>
  <conditionalFormatting sqref="C514:D514">
    <cfRule type="duplicateValues" dxfId="53" priority="27"/>
  </conditionalFormatting>
  <conditionalFormatting sqref="C515:D515">
    <cfRule type="duplicateValues" dxfId="52" priority="26"/>
  </conditionalFormatting>
  <conditionalFormatting sqref="C517:D517">
    <cfRule type="duplicateValues" dxfId="51" priority="25"/>
  </conditionalFormatting>
  <conditionalFormatting sqref="C518:D518">
    <cfRule type="duplicateValues" dxfId="50" priority="24"/>
  </conditionalFormatting>
  <conditionalFormatting sqref="C530:D530">
    <cfRule type="duplicateValues" dxfId="49" priority="23"/>
  </conditionalFormatting>
  <conditionalFormatting sqref="C531:D531">
    <cfRule type="duplicateValues" dxfId="48" priority="22"/>
  </conditionalFormatting>
  <conditionalFormatting sqref="C532:D532">
    <cfRule type="duplicateValues" dxfId="47" priority="21"/>
  </conditionalFormatting>
  <conditionalFormatting sqref="C536:D536">
    <cfRule type="duplicateValues" dxfId="46" priority="20"/>
  </conditionalFormatting>
  <conditionalFormatting sqref="C538:D538">
    <cfRule type="duplicateValues" dxfId="45" priority="19"/>
  </conditionalFormatting>
  <conditionalFormatting sqref="C540:D540">
    <cfRule type="duplicateValues" dxfId="44" priority="18"/>
  </conditionalFormatting>
  <conditionalFormatting sqref="C542:D542">
    <cfRule type="duplicateValues" dxfId="43" priority="17"/>
  </conditionalFormatting>
  <conditionalFormatting sqref="C543:D543">
    <cfRule type="duplicateValues" dxfId="42" priority="16"/>
  </conditionalFormatting>
  <conditionalFormatting sqref="C569:D569">
    <cfRule type="duplicateValues" dxfId="41" priority="5"/>
  </conditionalFormatting>
  <conditionalFormatting sqref="C573:D573">
    <cfRule type="duplicateValues" dxfId="40" priority="6"/>
  </conditionalFormatting>
  <conditionalFormatting sqref="C578:D578">
    <cfRule type="duplicateValues" dxfId="39" priority="15"/>
  </conditionalFormatting>
  <conditionalFormatting sqref="C592:D592">
    <cfRule type="duplicateValues" dxfId="38" priority="14"/>
  </conditionalFormatting>
  <conditionalFormatting sqref="C618:D618">
    <cfRule type="duplicateValues" dxfId="37" priority="4"/>
  </conditionalFormatting>
  <conditionalFormatting sqref="C644:D644">
    <cfRule type="duplicateValues" dxfId="36" priority="3"/>
  </conditionalFormatting>
  <conditionalFormatting sqref="C701:D701">
    <cfRule type="duplicateValues" dxfId="35" priority="13"/>
  </conditionalFormatting>
  <conditionalFormatting sqref="C751:D753 D749:D750">
    <cfRule type="duplicateValues" dxfId="34" priority="11"/>
  </conditionalFormatting>
  <conditionalFormatting sqref="C754:D755">
    <cfRule type="duplicateValues" dxfId="33" priority="10"/>
  </conditionalFormatting>
  <conditionalFormatting sqref="C813:D813">
    <cfRule type="duplicateValues" dxfId="32" priority="2"/>
  </conditionalFormatting>
  <conditionalFormatting sqref="C830:D831">
    <cfRule type="duplicateValues" dxfId="31" priority="1"/>
  </conditionalFormatting>
  <conditionalFormatting sqref="C837:D838">
    <cfRule type="duplicateValues" dxfId="30" priority="91"/>
  </conditionalFormatting>
  <pageMargins left="0.7" right="0.7" top="0.75" bottom="0.75" header="0.3" footer="0.3"/>
  <pageSetup scale="45" orientation="portrait" r:id="rId1"/>
  <legacy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578E4-0DD0-4F0F-B89C-8F66ED2254E5}">
  <dimension ref="A3:Q1844"/>
  <sheetViews>
    <sheetView showGridLines="0" topLeftCell="A139" zoomScale="70" zoomScaleNormal="70" workbookViewId="0">
      <selection activeCell="F168" sqref="F168"/>
    </sheetView>
  </sheetViews>
  <sheetFormatPr defaultColWidth="11.43359375" defaultRowHeight="15" x14ac:dyDescent="0.2"/>
  <cols>
    <col min="1" max="1" width="20.4453125" bestFit="1" customWidth="1"/>
    <col min="2" max="2" width="11.703125" style="420" customWidth="1"/>
    <col min="3" max="3" width="46.9453125" customWidth="1"/>
    <col min="4" max="4" width="53" customWidth="1"/>
    <col min="5" max="5" width="17.484375" style="63" bestFit="1" customWidth="1"/>
    <col min="6" max="6" width="34.4375" customWidth="1"/>
    <col min="7" max="7" width="36.453125" customWidth="1"/>
    <col min="8" max="8" width="59.86328125" bestFit="1" customWidth="1"/>
    <col min="9" max="9" width="20.71484375" customWidth="1"/>
    <col min="10" max="10" width="16.94921875" style="63" customWidth="1"/>
    <col min="11" max="11" width="18.5625" customWidth="1"/>
    <col min="12" max="12" width="15.6015625" customWidth="1"/>
    <col min="13" max="13" width="13.44921875" customWidth="1"/>
    <col min="14" max="14" width="14.52734375" customWidth="1"/>
    <col min="15" max="16" width="11.43359375" bestFit="1" customWidth="1"/>
    <col min="17" max="17" width="18.0234375" customWidth="1"/>
    <col min="18" max="18" width="14.52734375" bestFit="1" customWidth="1"/>
    <col min="19" max="19" width="11.43359375" bestFit="1" customWidth="1"/>
  </cols>
  <sheetData>
    <row r="3" spans="3:7" ht="33" x14ac:dyDescent="0.2">
      <c r="C3" s="890" t="s">
        <v>2137</v>
      </c>
      <c r="D3" s="890" t="s">
        <v>3713</v>
      </c>
      <c r="E3" s="890" t="s">
        <v>3796</v>
      </c>
    </row>
    <row r="6" spans="3:7" ht="21" x14ac:dyDescent="0.3">
      <c r="C6" s="554" t="s">
        <v>3133</v>
      </c>
      <c r="D6" s="553" t="s">
        <v>1552</v>
      </c>
    </row>
    <row r="8" spans="3:7" s="479" customFormat="1" x14ac:dyDescent="0.2">
      <c r="C8" s="1160" t="s">
        <v>1553</v>
      </c>
      <c r="D8" s="1160"/>
      <c r="E8" s="1160"/>
    </row>
    <row r="9" spans="3:7" s="479" customFormat="1" ht="16.5" x14ac:dyDescent="0.25">
      <c r="C9" s="481" t="s">
        <v>3394</v>
      </c>
      <c r="D9" s="878">
        <f>87.57+39.22</f>
        <v>126.78999999999999</v>
      </c>
      <c r="E9" s="485" t="s">
        <v>137</v>
      </c>
      <c r="F9" s="882" t="s">
        <v>3573</v>
      </c>
    </row>
    <row r="10" spans="3:7" s="479" customFormat="1" ht="16.5" x14ac:dyDescent="0.25">
      <c r="C10" s="481" t="s">
        <v>3395</v>
      </c>
      <c r="D10" s="878">
        <f>48.12+39.22+(3.5+2.15)</f>
        <v>92.990000000000009</v>
      </c>
      <c r="E10" s="485" t="s">
        <v>137</v>
      </c>
      <c r="F10" s="882" t="s">
        <v>3572</v>
      </c>
    </row>
    <row r="11" spans="3:7" s="479" customFormat="1" ht="16.5" x14ac:dyDescent="0.25">
      <c r="C11" s="481" t="s">
        <v>3396</v>
      </c>
      <c r="D11" s="879">
        <f>+D10+0.6*(D13+D14)</f>
        <v>116.57000000000001</v>
      </c>
      <c r="E11" s="485" t="s">
        <v>137</v>
      </c>
      <c r="F11" s="882" t="s">
        <v>3571</v>
      </c>
      <c r="G11" s="413"/>
    </row>
    <row r="12" spans="3:7" s="479" customFormat="1" ht="16.5" x14ac:dyDescent="0.25">
      <c r="C12" s="481" t="s">
        <v>1867</v>
      </c>
      <c r="D12" s="878">
        <v>48.12</v>
      </c>
      <c r="E12" s="485" t="s">
        <v>137</v>
      </c>
      <c r="F12" s="483" t="s">
        <v>1554</v>
      </c>
      <c r="G12" s="413"/>
    </row>
    <row r="13" spans="3:7" s="479" customFormat="1" ht="16.5" x14ac:dyDescent="0.25">
      <c r="C13" s="481" t="s">
        <v>3499</v>
      </c>
      <c r="D13" s="880">
        <f>4.13+5.37</f>
        <v>9.5</v>
      </c>
      <c r="E13" s="485" t="s">
        <v>137</v>
      </c>
      <c r="F13" s="479" t="s">
        <v>1554</v>
      </c>
      <c r="G13" s="413"/>
    </row>
    <row r="14" spans="3:7" s="479" customFormat="1" ht="16.5" x14ac:dyDescent="0.25">
      <c r="C14" s="481" t="s">
        <v>1555</v>
      </c>
      <c r="D14" s="880">
        <v>29.8</v>
      </c>
      <c r="E14" s="485" t="s">
        <v>137</v>
      </c>
      <c r="F14" s="479" t="s">
        <v>1554</v>
      </c>
      <c r="G14" s="413"/>
    </row>
    <row r="15" spans="3:7" s="479" customFormat="1" ht="16.5" x14ac:dyDescent="0.25">
      <c r="C15" s="481" t="s">
        <v>1556</v>
      </c>
      <c r="D15" s="880">
        <v>34.36</v>
      </c>
      <c r="E15" s="485" t="s">
        <v>1076</v>
      </c>
      <c r="F15" s="413"/>
    </row>
    <row r="16" spans="3:7" s="479" customFormat="1" ht="16.5" x14ac:dyDescent="0.25">
      <c r="C16" s="481" t="s">
        <v>1868</v>
      </c>
      <c r="D16" s="881">
        <f>+D13+D12</f>
        <v>57.62</v>
      </c>
      <c r="E16" s="485" t="s">
        <v>137</v>
      </c>
      <c r="F16" s="413"/>
    </row>
    <row r="17" spans="3:6" s="479" customFormat="1" ht="16.5" x14ac:dyDescent="0.25">
      <c r="C17" s="481" t="s">
        <v>1557</v>
      </c>
      <c r="D17" s="881">
        <f>+D16+D14</f>
        <v>87.42</v>
      </c>
      <c r="E17" s="485" t="s">
        <v>137</v>
      </c>
      <c r="F17" s="413"/>
    </row>
    <row r="18" spans="3:6" s="479" customFormat="1" ht="16.5" x14ac:dyDescent="0.25">
      <c r="C18" s="481" t="s">
        <v>1558</v>
      </c>
      <c r="D18" s="878">
        <v>31.5</v>
      </c>
      <c r="E18" s="485" t="s">
        <v>137</v>
      </c>
      <c r="F18" s="413"/>
    </row>
    <row r="19" spans="3:6" s="479" customFormat="1" ht="16.5" x14ac:dyDescent="0.25">
      <c r="C19" s="481" t="s">
        <v>3102</v>
      </c>
      <c r="D19" s="878">
        <v>39.22</v>
      </c>
      <c r="E19" s="485" t="s">
        <v>137</v>
      </c>
      <c r="F19" s="413"/>
    </row>
    <row r="20" spans="3:6" s="479" customFormat="1" ht="16.5" x14ac:dyDescent="0.25">
      <c r="C20" s="481" t="s">
        <v>1559</v>
      </c>
      <c r="D20" s="881">
        <f>+D19+D18+D17</f>
        <v>158.13999999999999</v>
      </c>
      <c r="E20" s="485" t="s">
        <v>137</v>
      </c>
      <c r="F20" s="413"/>
    </row>
    <row r="21" spans="3:6" s="479" customFormat="1" ht="16.5" x14ac:dyDescent="0.25">
      <c r="C21" s="481" t="s">
        <v>1560</v>
      </c>
      <c r="D21" s="878">
        <v>44.8</v>
      </c>
      <c r="E21" s="485" t="s">
        <v>137</v>
      </c>
      <c r="F21" s="413"/>
    </row>
    <row r="22" spans="3:6" s="479" customFormat="1" ht="16.5" x14ac:dyDescent="0.25">
      <c r="C22" s="481" t="s">
        <v>1561</v>
      </c>
      <c r="D22" s="878">
        <v>16</v>
      </c>
      <c r="E22" s="485" t="s">
        <v>137</v>
      </c>
      <c r="F22" s="413"/>
    </row>
    <row r="23" spans="3:6" s="479" customFormat="1" ht="16.5" x14ac:dyDescent="0.25">
      <c r="C23" s="481" t="s">
        <v>1562</v>
      </c>
      <c r="D23" s="878">
        <f>6.8*18.2</f>
        <v>123.75999999999999</v>
      </c>
      <c r="E23" s="485" t="s">
        <v>137</v>
      </c>
      <c r="F23" s="413"/>
    </row>
    <row r="24" spans="3:6" s="479" customFormat="1" x14ac:dyDescent="0.2">
      <c r="C24" s="481" t="s">
        <v>1563</v>
      </c>
      <c r="D24" s="878">
        <v>2</v>
      </c>
      <c r="E24" s="485"/>
    </row>
    <row r="25" spans="3:6" s="479" customFormat="1" x14ac:dyDescent="0.2">
      <c r="C25" s="481" t="s">
        <v>1564</v>
      </c>
      <c r="D25" s="878" t="s">
        <v>3791</v>
      </c>
      <c r="E25" s="485"/>
    </row>
    <row r="26" spans="3:6" s="479" customFormat="1" ht="16.5" x14ac:dyDescent="0.25">
      <c r="C26" s="481" t="s">
        <v>3103</v>
      </c>
      <c r="D26" s="878">
        <v>49.8</v>
      </c>
      <c r="E26" s="485" t="s">
        <v>1076</v>
      </c>
      <c r="F26" s="423"/>
    </row>
    <row r="27" spans="3:6" s="479" customFormat="1" ht="16.5" x14ac:dyDescent="0.25">
      <c r="C27" s="481" t="s">
        <v>3104</v>
      </c>
      <c r="D27" s="905">
        <v>2.6</v>
      </c>
      <c r="E27" s="485" t="s">
        <v>1076</v>
      </c>
      <c r="F27" s="423"/>
    </row>
    <row r="28" spans="3:6" s="479" customFormat="1" ht="16.5" x14ac:dyDescent="0.25">
      <c r="C28" s="481" t="s">
        <v>3105</v>
      </c>
      <c r="D28" s="880">
        <v>41.8</v>
      </c>
      <c r="E28" s="485" t="s">
        <v>1076</v>
      </c>
      <c r="F28" s="423"/>
    </row>
    <row r="29" spans="3:6" s="479" customFormat="1" ht="16.5" x14ac:dyDescent="0.25">
      <c r="C29" s="481" t="s">
        <v>3106</v>
      </c>
      <c r="D29" s="905">
        <v>2.6</v>
      </c>
      <c r="E29" s="485" t="s">
        <v>1076</v>
      </c>
      <c r="F29" s="423"/>
    </row>
    <row r="30" spans="3:6" s="479" customFormat="1" ht="16.5" x14ac:dyDescent="0.25">
      <c r="C30" s="481" t="s">
        <v>3084</v>
      </c>
      <c r="D30" s="880">
        <v>24.2</v>
      </c>
      <c r="E30" s="485" t="s">
        <v>1076</v>
      </c>
      <c r="F30" s="423"/>
    </row>
    <row r="31" spans="3:6" s="479" customFormat="1" ht="16.5" x14ac:dyDescent="0.25">
      <c r="C31" s="481" t="s">
        <v>3085</v>
      </c>
      <c r="D31" s="1117">
        <v>1</v>
      </c>
      <c r="E31" s="485" t="s">
        <v>1076</v>
      </c>
      <c r="F31" s="423"/>
    </row>
    <row r="32" spans="3:6" s="479" customFormat="1" x14ac:dyDescent="0.2">
      <c r="C32" s="481" t="s">
        <v>1873</v>
      </c>
      <c r="D32" s="879">
        <f>+D343+D547</f>
        <v>153.67999999999998</v>
      </c>
      <c r="E32" s="485" t="s">
        <v>137</v>
      </c>
    </row>
    <row r="33" spans="3:7" s="479" customFormat="1" ht="16.5" x14ac:dyDescent="0.25">
      <c r="C33" s="486" t="s">
        <v>1874</v>
      </c>
      <c r="D33" s="878">
        <v>35</v>
      </c>
      <c r="E33" s="705" t="s">
        <v>1167</v>
      </c>
      <c r="F33" s="423"/>
    </row>
    <row r="34" spans="3:7" s="479" customFormat="1" ht="16.5" x14ac:dyDescent="0.25">
      <c r="C34" s="486" t="s">
        <v>3583</v>
      </c>
      <c r="D34" s="878">
        <v>0</v>
      </c>
      <c r="E34" s="705" t="s">
        <v>137</v>
      </c>
      <c r="F34" s="423"/>
    </row>
    <row r="36" spans="3:7" s="479" customFormat="1" x14ac:dyDescent="0.2">
      <c r="C36" s="1161" t="s">
        <v>3525</v>
      </c>
      <c r="D36" s="1162"/>
      <c r="E36" s="1162"/>
      <c r="F36" s="1163"/>
      <c r="G36"/>
    </row>
    <row r="37" spans="3:7" s="479" customFormat="1" ht="15.75" thickBot="1" x14ac:dyDescent="0.25">
      <c r="C37" s="873" t="s">
        <v>3013</v>
      </c>
      <c r="D37" s="873" t="s">
        <v>3578</v>
      </c>
      <c r="E37" s="873" t="s">
        <v>1461</v>
      </c>
      <c r="F37" s="873" t="s">
        <v>13</v>
      </c>
      <c r="G37" s="494"/>
    </row>
    <row r="38" spans="3:7" s="479" customFormat="1" ht="15.75" thickBot="1" x14ac:dyDescent="0.25">
      <c r="C38" s="1047" t="s">
        <v>3579</v>
      </c>
      <c r="D38" s="1048"/>
      <c r="E38" s="1048"/>
      <c r="F38" s="1049"/>
      <c r="G38" s="494"/>
    </row>
    <row r="39" spans="3:7" s="479" customFormat="1" x14ac:dyDescent="0.2">
      <c r="C39" s="1044" t="s">
        <v>2967</v>
      </c>
      <c r="D39" s="1045">
        <v>2.15</v>
      </c>
      <c r="E39" s="1045">
        <v>1</v>
      </c>
      <c r="F39" s="1046">
        <v>1</v>
      </c>
    </row>
    <row r="40" spans="3:7" s="479" customFormat="1" x14ac:dyDescent="0.2">
      <c r="C40" s="911" t="s">
        <v>2968</v>
      </c>
      <c r="D40" s="912">
        <v>2.15</v>
      </c>
      <c r="E40" s="912">
        <v>0.8</v>
      </c>
      <c r="F40" s="913">
        <v>1</v>
      </c>
    </row>
    <row r="41" spans="3:7" s="479" customFormat="1" x14ac:dyDescent="0.2">
      <c r="C41" s="911" t="s">
        <v>2969</v>
      </c>
      <c r="D41" s="912">
        <v>1.1499999999999999</v>
      </c>
      <c r="E41" s="912">
        <v>0.8</v>
      </c>
      <c r="F41" s="913">
        <v>1</v>
      </c>
    </row>
    <row r="42" spans="3:7" s="479" customFormat="1" x14ac:dyDescent="0.2">
      <c r="C42" s="911" t="s">
        <v>1309</v>
      </c>
      <c r="D42" s="912">
        <v>2.15</v>
      </c>
      <c r="E42" s="912">
        <v>1.8</v>
      </c>
      <c r="F42" s="913">
        <v>1</v>
      </c>
    </row>
    <row r="43" spans="3:7" s="479" customFormat="1" x14ac:dyDescent="0.2">
      <c r="C43" s="911" t="s">
        <v>3792</v>
      </c>
      <c r="D43" s="912">
        <v>2.15</v>
      </c>
      <c r="E43" s="912">
        <v>0.9</v>
      </c>
      <c r="F43" s="913">
        <v>1</v>
      </c>
    </row>
    <row r="44" spans="3:7" s="479" customFormat="1" x14ac:dyDescent="0.2">
      <c r="C44" s="911" t="s">
        <v>3793</v>
      </c>
      <c r="D44" s="912">
        <v>2.15</v>
      </c>
      <c r="E44" s="912">
        <v>1.5</v>
      </c>
      <c r="F44" s="913">
        <v>1</v>
      </c>
    </row>
    <row r="45" spans="3:7" s="479" customFormat="1" x14ac:dyDescent="0.2">
      <c r="C45" s="911" t="s">
        <v>1310</v>
      </c>
      <c r="D45" s="912">
        <v>2.15</v>
      </c>
      <c r="E45" s="912">
        <v>0.7</v>
      </c>
      <c r="F45" s="913">
        <v>1</v>
      </c>
    </row>
    <row r="46" spans="3:7" s="479" customFormat="1" x14ac:dyDescent="0.2">
      <c r="C46" s="911" t="s">
        <v>1310</v>
      </c>
      <c r="D46" s="912">
        <v>2.15</v>
      </c>
      <c r="E46" s="912">
        <v>0.8</v>
      </c>
      <c r="F46" s="913">
        <v>1</v>
      </c>
    </row>
    <row r="47" spans="3:7" s="479" customFormat="1" x14ac:dyDescent="0.2">
      <c r="C47" s="911" t="s">
        <v>1310</v>
      </c>
      <c r="D47" s="912">
        <v>2.15</v>
      </c>
      <c r="E47" s="912">
        <v>0.7</v>
      </c>
      <c r="F47" s="913">
        <v>1</v>
      </c>
    </row>
    <row r="48" spans="3:7" s="479" customFormat="1" x14ac:dyDescent="0.2">
      <c r="C48" s="911"/>
      <c r="D48" s="912"/>
      <c r="E48" s="912"/>
      <c r="F48" s="913"/>
    </row>
    <row r="49" spans="3:7" s="479" customFormat="1" x14ac:dyDescent="0.2">
      <c r="C49" s="911"/>
      <c r="D49" s="912"/>
      <c r="E49" s="912"/>
      <c r="F49" s="913"/>
    </row>
    <row r="50" spans="3:7" s="479" customFormat="1" x14ac:dyDescent="0.2">
      <c r="C50" s="911"/>
      <c r="D50" s="912"/>
      <c r="E50" s="912"/>
      <c r="F50" s="913"/>
    </row>
    <row r="51" spans="3:7" s="479" customFormat="1" x14ac:dyDescent="0.2">
      <c r="C51" s="911"/>
      <c r="D51" s="912"/>
      <c r="E51" s="912"/>
      <c r="F51" s="913"/>
    </row>
    <row r="52" spans="3:7" s="479" customFormat="1" x14ac:dyDescent="0.2">
      <c r="C52" s="911"/>
      <c r="D52" s="912"/>
      <c r="E52" s="912"/>
      <c r="F52" s="913"/>
    </row>
    <row r="53" spans="3:7" s="479" customFormat="1" ht="15.75" thickBot="1" x14ac:dyDescent="0.25">
      <c r="C53" s="911"/>
      <c r="D53" s="912"/>
      <c r="E53" s="912"/>
      <c r="F53" s="913"/>
    </row>
    <row r="54" spans="3:7" s="479" customFormat="1" ht="15.75" thickBot="1" x14ac:dyDescent="0.25">
      <c r="C54" s="1047" t="s">
        <v>3580</v>
      </c>
      <c r="D54" s="1048"/>
      <c r="E54" s="1048"/>
      <c r="F54" s="1049"/>
      <c r="G54" s="494"/>
    </row>
    <row r="55" spans="3:7" s="479" customFormat="1" x14ac:dyDescent="0.2">
      <c r="C55" s="1044" t="s">
        <v>3794</v>
      </c>
      <c r="D55" s="1045">
        <v>2.15</v>
      </c>
      <c r="E55" s="1045">
        <v>0.9</v>
      </c>
      <c r="F55" s="1046">
        <v>1</v>
      </c>
    </row>
    <row r="56" spans="3:7" s="479" customFormat="1" x14ac:dyDescent="0.2">
      <c r="C56" s="911" t="s">
        <v>3552</v>
      </c>
      <c r="D56" s="912">
        <v>2.15</v>
      </c>
      <c r="E56" s="912">
        <v>0.8</v>
      </c>
      <c r="F56" s="913">
        <v>1</v>
      </c>
    </row>
    <row r="57" spans="3:7" s="479" customFormat="1" x14ac:dyDescent="0.2">
      <c r="C57" s="911" t="s">
        <v>3527</v>
      </c>
      <c r="D57" s="912">
        <v>2.15</v>
      </c>
      <c r="E57" s="912">
        <v>0.9</v>
      </c>
      <c r="F57" s="913">
        <v>1</v>
      </c>
    </row>
    <row r="58" spans="3:7" s="479" customFormat="1" x14ac:dyDescent="0.2">
      <c r="C58" s="911" t="s">
        <v>3563</v>
      </c>
      <c r="D58" s="912">
        <v>2.15</v>
      </c>
      <c r="E58" s="912">
        <v>0.9</v>
      </c>
      <c r="F58" s="913">
        <v>1</v>
      </c>
    </row>
    <row r="59" spans="3:7" s="479" customFormat="1" x14ac:dyDescent="0.2">
      <c r="C59" s="911" t="s">
        <v>3562</v>
      </c>
      <c r="D59" s="912">
        <v>2.15</v>
      </c>
      <c r="E59" s="912">
        <v>0.9</v>
      </c>
      <c r="F59" s="913">
        <v>1</v>
      </c>
    </row>
    <row r="60" spans="3:7" s="479" customFormat="1" x14ac:dyDescent="0.2">
      <c r="C60" s="911"/>
      <c r="D60" s="912"/>
      <c r="E60" s="912"/>
      <c r="F60" s="913"/>
    </row>
    <row r="61" spans="3:7" s="479" customFormat="1" x14ac:dyDescent="0.2">
      <c r="C61" s="911"/>
      <c r="D61" s="912"/>
      <c r="E61" s="912"/>
      <c r="F61" s="913"/>
    </row>
    <row r="62" spans="3:7" s="479" customFormat="1" x14ac:dyDescent="0.2">
      <c r="C62" s="911"/>
      <c r="D62" s="912"/>
      <c r="E62" s="912"/>
      <c r="F62" s="913"/>
    </row>
    <row r="63" spans="3:7" s="479" customFormat="1" x14ac:dyDescent="0.2">
      <c r="C63" s="914"/>
      <c r="D63" s="915"/>
      <c r="E63" s="915"/>
      <c r="F63" s="916"/>
    </row>
    <row r="64" spans="3:7" s="479" customFormat="1" x14ac:dyDescent="0.2">
      <c r="C64" s="914"/>
      <c r="D64" s="915"/>
      <c r="E64" s="915"/>
      <c r="F64" s="916"/>
    </row>
    <row r="65" spans="3:6" s="479" customFormat="1" x14ac:dyDescent="0.2">
      <c r="C65" s="914"/>
      <c r="D65" s="915"/>
      <c r="E65" s="915"/>
      <c r="F65" s="916"/>
    </row>
    <row r="66" spans="3:6" s="479" customFormat="1" x14ac:dyDescent="0.2">
      <c r="C66" s="914"/>
      <c r="D66" s="915"/>
      <c r="E66" s="915"/>
      <c r="F66" s="916"/>
    </row>
    <row r="67" spans="3:6" s="479" customFormat="1" x14ac:dyDescent="0.2">
      <c r="C67" s="914"/>
      <c r="D67" s="915"/>
      <c r="E67" s="915"/>
      <c r="F67" s="916"/>
    </row>
    <row r="68" spans="3:6" s="479" customFormat="1" x14ac:dyDescent="0.2">
      <c r="C68" s="914"/>
      <c r="D68" s="915"/>
      <c r="E68" s="915"/>
      <c r="F68" s="916"/>
    </row>
    <row r="69" spans="3:6" s="479" customFormat="1" ht="15.75" thickBot="1" x14ac:dyDescent="0.25">
      <c r="C69" s="1041"/>
      <c r="D69" s="1042"/>
      <c r="E69" s="1042"/>
      <c r="F69" s="1043"/>
    </row>
    <row r="70" spans="3:6" s="479" customFormat="1" ht="15.75" thickBot="1" x14ac:dyDescent="0.25">
      <c r="C70" s="1047" t="s">
        <v>3581</v>
      </c>
      <c r="D70" s="1050"/>
      <c r="E70" s="1050"/>
      <c r="F70" s="1051"/>
    </row>
    <row r="71" spans="3:6" s="479" customFormat="1" x14ac:dyDescent="0.2">
      <c r="C71" s="1044"/>
      <c r="D71" s="1045">
        <v>2.15</v>
      </c>
      <c r="E71" s="1045">
        <v>0.6</v>
      </c>
      <c r="F71" s="1046">
        <v>1</v>
      </c>
    </row>
    <row r="72" spans="3:6" s="479" customFormat="1" x14ac:dyDescent="0.2">
      <c r="C72" s="911"/>
      <c r="D72" s="912">
        <v>0.55000000000000004</v>
      </c>
      <c r="E72" s="912">
        <v>0.55000000000000004</v>
      </c>
      <c r="F72" s="913">
        <v>1</v>
      </c>
    </row>
    <row r="73" spans="3:6" s="479" customFormat="1" x14ac:dyDescent="0.2">
      <c r="C73" s="911"/>
      <c r="D73" s="912">
        <v>0.55000000000000004</v>
      </c>
      <c r="E73" s="912">
        <v>0.55000000000000004</v>
      </c>
      <c r="F73" s="913">
        <v>1</v>
      </c>
    </row>
    <row r="74" spans="3:6" s="479" customFormat="1" x14ac:dyDescent="0.2">
      <c r="C74" s="911"/>
      <c r="D74" s="912"/>
      <c r="E74" s="912"/>
      <c r="F74" s="913"/>
    </row>
    <row r="75" spans="3:6" s="479" customFormat="1" x14ac:dyDescent="0.2">
      <c r="C75" s="911"/>
      <c r="D75" s="912"/>
      <c r="E75" s="912"/>
      <c r="F75" s="913"/>
    </row>
    <row r="76" spans="3:6" s="479" customFormat="1" x14ac:dyDescent="0.2">
      <c r="C76" s="911"/>
      <c r="D76" s="912"/>
      <c r="E76" s="912"/>
      <c r="F76" s="913"/>
    </row>
    <row r="77" spans="3:6" s="479" customFormat="1" x14ac:dyDescent="0.2">
      <c r="C77" s="911"/>
      <c r="D77" s="912"/>
      <c r="E77" s="912"/>
      <c r="F77" s="913"/>
    </row>
    <row r="78" spans="3:6" s="479" customFormat="1" x14ac:dyDescent="0.2">
      <c r="C78" s="911"/>
      <c r="D78" s="912"/>
      <c r="E78" s="912"/>
      <c r="F78" s="913"/>
    </row>
    <row r="79" spans="3:6" s="479" customFormat="1" x14ac:dyDescent="0.2">
      <c r="C79" s="911"/>
      <c r="D79" s="912"/>
      <c r="E79" s="912"/>
      <c r="F79" s="913"/>
    </row>
    <row r="80" spans="3:6" s="479" customFormat="1" x14ac:dyDescent="0.2">
      <c r="C80" s="911"/>
      <c r="D80" s="912"/>
      <c r="E80" s="912"/>
      <c r="F80" s="913"/>
    </row>
    <row r="81" spans="3:6" s="479" customFormat="1" ht="15.75" thickBot="1" x14ac:dyDescent="0.25">
      <c r="C81" s="1118"/>
      <c r="D81" s="951"/>
      <c r="E81" s="951"/>
      <c r="F81" s="1119"/>
    </row>
    <row r="82" spans="3:6" s="479" customFormat="1" ht="15.75" thickBot="1" x14ac:dyDescent="0.25">
      <c r="C82" s="1047" t="s">
        <v>3582</v>
      </c>
      <c r="D82" s="1050"/>
      <c r="E82" s="1050"/>
      <c r="F82" s="1051"/>
    </row>
    <row r="83" spans="3:6" s="479" customFormat="1" x14ac:dyDescent="0.2">
      <c r="C83" s="1040"/>
      <c r="D83" s="912">
        <v>1.95</v>
      </c>
      <c r="E83" s="912">
        <v>1.35</v>
      </c>
      <c r="F83" s="913">
        <v>1</v>
      </c>
    </row>
    <row r="84" spans="3:6" s="479" customFormat="1" x14ac:dyDescent="0.2">
      <c r="C84" s="914"/>
      <c r="D84" s="912">
        <v>1.95</v>
      </c>
      <c r="E84" s="912">
        <v>1.2</v>
      </c>
      <c r="F84" s="913">
        <v>1</v>
      </c>
    </row>
    <row r="85" spans="3:6" s="479" customFormat="1" x14ac:dyDescent="0.2">
      <c r="C85" s="911"/>
      <c r="D85" s="912">
        <v>1.5</v>
      </c>
      <c r="E85" s="912">
        <v>1.5</v>
      </c>
      <c r="F85" s="913">
        <v>1</v>
      </c>
    </row>
    <row r="86" spans="3:6" s="479" customFormat="1" x14ac:dyDescent="0.2">
      <c r="C86" s="911"/>
      <c r="D86" s="912">
        <v>1.5</v>
      </c>
      <c r="E86" s="912">
        <v>1.5</v>
      </c>
      <c r="F86" s="913">
        <v>1</v>
      </c>
    </row>
    <row r="87" spans="3:6" s="479" customFormat="1" x14ac:dyDescent="0.2">
      <c r="C87" s="911"/>
      <c r="D87" s="912">
        <v>2.1</v>
      </c>
      <c r="E87" s="912">
        <v>1.2</v>
      </c>
      <c r="F87" s="913">
        <v>1</v>
      </c>
    </row>
    <row r="88" spans="3:6" s="479" customFormat="1" x14ac:dyDescent="0.2">
      <c r="C88" s="911"/>
      <c r="D88" s="912"/>
      <c r="E88" s="912"/>
      <c r="F88" s="913"/>
    </row>
    <row r="89" spans="3:6" s="479" customFormat="1" x14ac:dyDescent="0.2">
      <c r="C89" s="911"/>
      <c r="D89" s="912"/>
      <c r="E89" s="912"/>
      <c r="F89" s="913"/>
    </row>
    <row r="90" spans="3:6" s="479" customFormat="1" x14ac:dyDescent="0.2">
      <c r="C90" s="911"/>
      <c r="D90" s="912"/>
      <c r="E90" s="912"/>
      <c r="F90" s="913"/>
    </row>
    <row r="91" spans="3:6" s="479" customFormat="1" x14ac:dyDescent="0.2">
      <c r="C91" s="914"/>
      <c r="D91" s="915"/>
      <c r="E91" s="915"/>
      <c r="F91" s="916"/>
    </row>
    <row r="92" spans="3:6" s="479" customFormat="1" x14ac:dyDescent="0.2">
      <c r="C92" s="917"/>
      <c r="D92" s="918"/>
      <c r="E92" s="918"/>
      <c r="F92" s="919"/>
    </row>
    <row r="94" spans="3:6" s="479" customFormat="1" x14ac:dyDescent="0.2">
      <c r="C94" s="1160" t="s">
        <v>1565</v>
      </c>
      <c r="D94" s="1160"/>
      <c r="E94" s="1160"/>
    </row>
    <row r="95" spans="3:6" s="479" customFormat="1" x14ac:dyDescent="0.2">
      <c r="C95" s="481" t="s">
        <v>1566</v>
      </c>
      <c r="D95" s="883">
        <v>0.3</v>
      </c>
      <c r="E95" s="485"/>
    </row>
    <row r="96" spans="3:6" s="479" customFormat="1" x14ac:dyDescent="0.2">
      <c r="C96" s="481" t="s">
        <v>1567</v>
      </c>
      <c r="D96" s="487">
        <v>0.05</v>
      </c>
      <c r="E96" s="485"/>
    </row>
    <row r="97" spans="3:5" s="479" customFormat="1" x14ac:dyDescent="0.2">
      <c r="C97" s="481" t="s">
        <v>1875</v>
      </c>
      <c r="D97" s="487">
        <f>IF(D33/D32&gt;0.2,1.1,1)</f>
        <v>1.1000000000000001</v>
      </c>
      <c r="E97" s="705"/>
    </row>
    <row r="98" spans="3:5" s="479" customFormat="1" x14ac:dyDescent="0.2">
      <c r="C98" s="1160" t="s">
        <v>1568</v>
      </c>
      <c r="D98" s="1160"/>
      <c r="E98" s="1160"/>
    </row>
    <row r="99" spans="3:5" s="479" customFormat="1" x14ac:dyDescent="0.2">
      <c r="C99" s="481" t="s">
        <v>1569</v>
      </c>
      <c r="D99" s="485">
        <f>ROUNDUP(1083*(1+FDG)/1600,2)</f>
        <v>0.72</v>
      </c>
      <c r="E99" s="485" t="s">
        <v>1010</v>
      </c>
    </row>
    <row r="100" spans="3:5" s="479" customFormat="1" x14ac:dyDescent="0.2">
      <c r="C100" s="481" t="s">
        <v>1570</v>
      </c>
      <c r="D100" s="485">
        <f>ROUNDUP(852*(1+FDG)/1600,2)</f>
        <v>0.56000000000000005</v>
      </c>
      <c r="E100" s="485" t="s">
        <v>1010</v>
      </c>
    </row>
    <row r="101" spans="3:5" s="479" customFormat="1" x14ac:dyDescent="0.2">
      <c r="C101" s="481" t="s">
        <v>1571</v>
      </c>
      <c r="D101" s="485">
        <v>180</v>
      </c>
      <c r="E101" s="485" t="s">
        <v>1411</v>
      </c>
    </row>
    <row r="102" spans="3:5" s="479" customFormat="1" x14ac:dyDescent="0.2">
      <c r="C102" s="481" t="s">
        <v>1572</v>
      </c>
      <c r="D102" s="485">
        <f>ROUNDUP(872*(1+FDG)/1600,2)</f>
        <v>0.57999999999999996</v>
      </c>
      <c r="E102" s="485" t="s">
        <v>1010</v>
      </c>
    </row>
    <row r="103" spans="3:5" s="479" customFormat="1" x14ac:dyDescent="0.2">
      <c r="C103" s="481" t="s">
        <v>1573</v>
      </c>
      <c r="D103" s="485">
        <f>ROUNDUP(952*(1+FDG)/1600,2)</f>
        <v>0.63</v>
      </c>
      <c r="E103" s="485" t="s">
        <v>1010</v>
      </c>
    </row>
    <row r="104" spans="3:5" s="479" customFormat="1" x14ac:dyDescent="0.2">
      <c r="C104" s="481" t="s">
        <v>1574</v>
      </c>
      <c r="D104" s="485">
        <v>333</v>
      </c>
      <c r="E104" s="485" t="s">
        <v>1411</v>
      </c>
    </row>
    <row r="105" spans="3:5" s="479" customFormat="1" x14ac:dyDescent="0.2">
      <c r="C105" s="481" t="s">
        <v>1575</v>
      </c>
      <c r="D105" s="485">
        <v>0.8</v>
      </c>
      <c r="E105" s="485" t="s">
        <v>1576</v>
      </c>
    </row>
    <row r="106" spans="3:5" s="479" customFormat="1" x14ac:dyDescent="0.2">
      <c r="C106" s="481" t="s">
        <v>1577</v>
      </c>
      <c r="D106" s="485">
        <f>ROUNDUP(1050*(1+FDG)/1600,2)</f>
        <v>0.69000000000000006</v>
      </c>
      <c r="E106" s="485" t="s">
        <v>1010</v>
      </c>
    </row>
    <row r="107" spans="3:5" s="479" customFormat="1" x14ac:dyDescent="0.2">
      <c r="C107" s="481" t="s">
        <v>1578</v>
      </c>
      <c r="D107" s="485">
        <f>ROUNDUP(810*(1+FDG)/1600,2)</f>
        <v>0.54</v>
      </c>
      <c r="E107" s="485" t="s">
        <v>1010</v>
      </c>
    </row>
    <row r="108" spans="3:5" s="479" customFormat="1" x14ac:dyDescent="0.2">
      <c r="C108" s="481" t="s">
        <v>1579</v>
      </c>
      <c r="D108" s="485">
        <v>340</v>
      </c>
      <c r="E108" s="485" t="s">
        <v>1411</v>
      </c>
    </row>
    <row r="109" spans="3:5" s="479" customFormat="1" x14ac:dyDescent="0.2">
      <c r="C109" s="481" t="s">
        <v>1580</v>
      </c>
      <c r="D109" s="485">
        <v>2.4</v>
      </c>
      <c r="E109" s="485" t="s">
        <v>1576</v>
      </c>
    </row>
    <row r="110" spans="3:5" s="479" customFormat="1" x14ac:dyDescent="0.2">
      <c r="C110" s="486" t="s">
        <v>1581</v>
      </c>
      <c r="D110" s="884">
        <v>1</v>
      </c>
      <c r="E110" s="705" t="s">
        <v>1411</v>
      </c>
    </row>
    <row r="111" spans="3:5" s="479" customFormat="1" x14ac:dyDescent="0.2">
      <c r="C111" s="1160" t="s">
        <v>1582</v>
      </c>
      <c r="D111" s="1160"/>
      <c r="E111" s="1160"/>
    </row>
    <row r="112" spans="3:5" s="479" customFormat="1" x14ac:dyDescent="0.2">
      <c r="C112" s="481" t="s">
        <v>1583</v>
      </c>
      <c r="D112" s="885">
        <v>4.4999999999999998E-2</v>
      </c>
      <c r="E112" s="485"/>
    </row>
    <row r="113" spans="3:5" s="479" customFormat="1" x14ac:dyDescent="0.2">
      <c r="C113" s="481" t="s">
        <v>1511</v>
      </c>
      <c r="D113" s="886">
        <f>2.2/550</f>
        <v>4.0000000000000001E-3</v>
      </c>
      <c r="E113" s="485"/>
    </row>
    <row r="114" spans="3:5" s="479" customFormat="1" x14ac:dyDescent="0.2">
      <c r="C114" s="481" t="s">
        <v>1512</v>
      </c>
      <c r="D114" s="885">
        <f>+D113</f>
        <v>4.0000000000000001E-3</v>
      </c>
      <c r="E114" s="485"/>
    </row>
    <row r="115" spans="3:5" s="479" customFormat="1" x14ac:dyDescent="0.2">
      <c r="C115" s="481" t="s">
        <v>1584</v>
      </c>
      <c r="D115" s="885">
        <f>+D114</f>
        <v>4.0000000000000001E-3</v>
      </c>
      <c r="E115" s="485"/>
    </row>
    <row r="116" spans="3:5" s="479" customFormat="1" x14ac:dyDescent="0.2">
      <c r="C116" s="481" t="s">
        <v>1513</v>
      </c>
      <c r="D116" s="885">
        <f>+D115</f>
        <v>4.0000000000000001E-3</v>
      </c>
      <c r="E116" s="485"/>
    </row>
    <row r="117" spans="3:5" s="479" customFormat="1" x14ac:dyDescent="0.2">
      <c r="C117" s="1160" t="s">
        <v>1585</v>
      </c>
      <c r="D117" s="1160"/>
      <c r="E117" s="1160"/>
    </row>
    <row r="118" spans="3:5" s="479" customFormat="1" x14ac:dyDescent="0.2">
      <c r="C118" s="481" t="s">
        <v>1586</v>
      </c>
      <c r="D118" s="498">
        <f>1.1/1.22/2.44</f>
        <v>0.36952432141897346</v>
      </c>
      <c r="E118" s="485" t="s">
        <v>1587</v>
      </c>
    </row>
    <row r="119" spans="3:5" s="479" customFormat="1" x14ac:dyDescent="0.2">
      <c r="C119" s="481" t="s">
        <v>1588</v>
      </c>
      <c r="D119" s="498">
        <f>1.1/0.4/3.5</f>
        <v>0.7857142857142857</v>
      </c>
      <c r="E119" s="485" t="s">
        <v>1587</v>
      </c>
    </row>
    <row r="120" spans="3:5" s="479" customFormat="1" x14ac:dyDescent="0.2">
      <c r="C120" s="481" t="s">
        <v>1589</v>
      </c>
      <c r="D120" s="498">
        <f>1.1/1.2/4.5</f>
        <v>0.20370370370370372</v>
      </c>
      <c r="E120" s="485" t="s">
        <v>1587</v>
      </c>
    </row>
    <row r="121" spans="3:5" s="479" customFormat="1" x14ac:dyDescent="0.2">
      <c r="C121" s="481" t="s">
        <v>1590</v>
      </c>
      <c r="D121" s="498">
        <v>0.25</v>
      </c>
      <c r="E121" s="485" t="s">
        <v>1587</v>
      </c>
    </row>
    <row r="122" spans="3:5" s="479" customFormat="1" x14ac:dyDescent="0.2">
      <c r="C122" s="481" t="s">
        <v>1591</v>
      </c>
      <c r="D122" s="498">
        <f>+D118*3.66/76*1.1</f>
        <v>1.9575064710957726E-2</v>
      </c>
      <c r="E122" s="485" t="s">
        <v>1587</v>
      </c>
    </row>
    <row r="123" spans="3:5" s="479" customFormat="1" x14ac:dyDescent="0.2">
      <c r="C123" s="481" t="s">
        <v>1592</v>
      </c>
      <c r="D123" s="498">
        <v>6.6666666666666666E-2</v>
      </c>
      <c r="E123" s="485" t="s">
        <v>1587</v>
      </c>
    </row>
    <row r="124" spans="3:5" s="479" customFormat="1" x14ac:dyDescent="0.2">
      <c r="C124" s="481" t="s">
        <v>1593</v>
      </c>
      <c r="D124" s="498">
        <v>25</v>
      </c>
      <c r="E124" s="485" t="s">
        <v>1587</v>
      </c>
    </row>
    <row r="125" spans="3:5" s="479" customFormat="1" x14ac:dyDescent="0.2">
      <c r="C125" s="481" t="s">
        <v>1594</v>
      </c>
      <c r="D125" s="498">
        <v>12</v>
      </c>
      <c r="E125" s="485" t="s">
        <v>1587</v>
      </c>
    </row>
    <row r="126" spans="3:5" s="479" customFormat="1" x14ac:dyDescent="0.2">
      <c r="C126" s="1160" t="s">
        <v>1595</v>
      </c>
      <c r="D126" s="1160"/>
      <c r="E126" s="1160"/>
    </row>
    <row r="127" spans="3:5" s="479" customFormat="1" x14ac:dyDescent="0.2">
      <c r="C127" s="481" t="s">
        <v>1596</v>
      </c>
      <c r="D127" s="498">
        <f>2*1.1/1.22/2.44</f>
        <v>0.73904864283794691</v>
      </c>
      <c r="E127" s="485" t="s">
        <v>1587</v>
      </c>
    </row>
    <row r="128" spans="3:5" s="479" customFormat="1" x14ac:dyDescent="0.2">
      <c r="C128" s="481" t="s">
        <v>1597</v>
      </c>
      <c r="D128" s="498">
        <f>1.1/0.4/3</f>
        <v>0.91666666666666663</v>
      </c>
      <c r="E128" s="485" t="s">
        <v>1587</v>
      </c>
    </row>
    <row r="129" spans="3:5" s="479" customFormat="1" x14ac:dyDescent="0.2">
      <c r="C129" s="481" t="s">
        <v>1598</v>
      </c>
      <c r="D129" s="498">
        <f>1.1*2/D27/3</f>
        <v>0.28205128205128205</v>
      </c>
      <c r="E129" s="485" t="s">
        <v>1587</v>
      </c>
    </row>
    <row r="130" spans="3:5" s="479" customFormat="1" x14ac:dyDescent="0.2">
      <c r="C130" s="481" t="s">
        <v>1599</v>
      </c>
      <c r="D130" s="498">
        <f>+D129*3/0.2</f>
        <v>4.2307692307692308</v>
      </c>
      <c r="E130" s="485" t="s">
        <v>1587</v>
      </c>
    </row>
    <row r="131" spans="3:5" s="479" customFormat="1" x14ac:dyDescent="0.2">
      <c r="C131" s="481" t="s">
        <v>1600</v>
      </c>
      <c r="D131" s="498">
        <f>+D130</f>
        <v>4.2307692307692308</v>
      </c>
      <c r="E131" s="485" t="s">
        <v>1587</v>
      </c>
    </row>
    <row r="132" spans="3:5" s="479" customFormat="1" x14ac:dyDescent="0.2">
      <c r="C132" s="481" t="s">
        <v>1601</v>
      </c>
      <c r="D132" s="498">
        <f>+D118*2*3.66/45*1.1</f>
        <v>6.6120218579234988E-2</v>
      </c>
      <c r="E132" s="485" t="s">
        <v>1587</v>
      </c>
    </row>
    <row r="133" spans="3:5" s="479" customFormat="1" x14ac:dyDescent="0.2">
      <c r="C133" s="481" t="s">
        <v>1602</v>
      </c>
      <c r="D133" s="498">
        <f>1.1/3.05</f>
        <v>0.3606557377049181</v>
      </c>
      <c r="E133" s="485" t="s">
        <v>1587</v>
      </c>
    </row>
    <row r="134" spans="3:5" s="479" customFormat="1" x14ac:dyDescent="0.2">
      <c r="C134" s="481" t="s">
        <v>1603</v>
      </c>
      <c r="D134" s="498">
        <f>1.1/3.05</f>
        <v>0.3606557377049181</v>
      </c>
      <c r="E134" s="485" t="s">
        <v>1587</v>
      </c>
    </row>
    <row r="135" spans="3:5" s="479" customFormat="1" x14ac:dyDescent="0.2">
      <c r="C135" s="481" t="s">
        <v>1593</v>
      </c>
      <c r="D135" s="498">
        <v>25</v>
      </c>
      <c r="E135" s="485" t="s">
        <v>1587</v>
      </c>
    </row>
    <row r="136" spans="3:5" s="479" customFormat="1" x14ac:dyDescent="0.2">
      <c r="C136" s="481" t="s">
        <v>1594</v>
      </c>
      <c r="D136" s="498">
        <v>24</v>
      </c>
      <c r="E136" s="485" t="s">
        <v>1587</v>
      </c>
    </row>
    <row r="137" spans="3:5" s="479" customFormat="1" x14ac:dyDescent="0.2">
      <c r="C137" s="481" t="s">
        <v>1604</v>
      </c>
      <c r="D137" s="498">
        <f>1/3.3</f>
        <v>0.30303030303030304</v>
      </c>
      <c r="E137" s="485" t="s">
        <v>1587</v>
      </c>
    </row>
    <row r="138" spans="3:5" s="479" customFormat="1" x14ac:dyDescent="0.2">
      <c r="C138" s="481" t="s">
        <v>1605</v>
      </c>
      <c r="D138" s="498">
        <f>1.1/12</f>
        <v>9.1666666666666674E-2</v>
      </c>
      <c r="E138" s="485" t="s">
        <v>1587</v>
      </c>
    </row>
    <row r="139" spans="3:5" s="479" customFormat="1" x14ac:dyDescent="0.2">
      <c r="C139" s="1160" t="s">
        <v>1437</v>
      </c>
      <c r="D139" s="1160"/>
      <c r="E139" s="1160"/>
    </row>
    <row r="140" spans="3:5" s="479" customFormat="1" x14ac:dyDescent="0.2">
      <c r="C140" s="481" t="s">
        <v>3543</v>
      </c>
      <c r="D140" s="498">
        <f>1/6.45*1.1</f>
        <v>0.17054263565891473</v>
      </c>
      <c r="E140" s="485" t="s">
        <v>1587</v>
      </c>
    </row>
    <row r="141" spans="3:5" s="479" customFormat="1" x14ac:dyDescent="0.2">
      <c r="C141" s="481" t="s">
        <v>1607</v>
      </c>
      <c r="D141" s="498">
        <v>0.15</v>
      </c>
      <c r="E141" s="485" t="s">
        <v>1587</v>
      </c>
    </row>
    <row r="142" spans="3:5" s="479" customFormat="1" x14ac:dyDescent="0.2">
      <c r="C142" s="481" t="s">
        <v>1608</v>
      </c>
      <c r="D142" s="498">
        <f>1/15</f>
        <v>6.6666666666666666E-2</v>
      </c>
      <c r="E142" s="485" t="s">
        <v>1587</v>
      </c>
    </row>
    <row r="143" spans="3:5" s="479" customFormat="1" x14ac:dyDescent="0.2">
      <c r="C143" s="481" t="s">
        <v>1609</v>
      </c>
      <c r="D143" s="498">
        <f>1/60</f>
        <v>1.6666666666666666E-2</v>
      </c>
      <c r="E143" s="485" t="s">
        <v>1587</v>
      </c>
    </row>
    <row r="144" spans="3:5" s="479" customFormat="1" x14ac:dyDescent="0.2">
      <c r="C144" s="481" t="s">
        <v>1610</v>
      </c>
      <c r="D144" s="498">
        <f>1/75</f>
        <v>1.3333333333333334E-2</v>
      </c>
      <c r="E144" s="485" t="s">
        <v>1587</v>
      </c>
    </row>
    <row r="145" spans="1:6" s="479" customFormat="1" x14ac:dyDescent="0.2">
      <c r="A145" s="738">
        <f>+Detallado!Y7</f>
        <v>107706.7427296903</v>
      </c>
      <c r="C145" s="481" t="s">
        <v>1611</v>
      </c>
      <c r="D145" s="498">
        <f>1/120</f>
        <v>8.3333333333333332E-3</v>
      </c>
      <c r="E145" s="485" t="s">
        <v>1587</v>
      </c>
    </row>
    <row r="146" spans="1:6" s="479" customFormat="1" x14ac:dyDescent="0.2">
      <c r="A146" s="479" t="s">
        <v>3448</v>
      </c>
      <c r="C146" s="1160" t="s">
        <v>1612</v>
      </c>
      <c r="D146" s="1160"/>
      <c r="E146" s="1160"/>
      <c r="F146" s="637"/>
    </row>
    <row r="147" spans="1:6" s="479" customFormat="1" x14ac:dyDescent="0.2">
      <c r="A147" s="889">
        <v>600</v>
      </c>
      <c r="C147" s="481" t="s">
        <v>1613</v>
      </c>
      <c r="D147" s="887">
        <v>600</v>
      </c>
      <c r="E147" s="485" t="s">
        <v>1587</v>
      </c>
    </row>
    <row r="148" spans="1:6" s="479" customFormat="1" x14ac:dyDescent="0.2">
      <c r="A148" s="889">
        <v>2250</v>
      </c>
      <c r="C148" s="481" t="s">
        <v>1614</v>
      </c>
      <c r="D148" s="887">
        <v>2500</v>
      </c>
      <c r="E148" s="485" t="s">
        <v>1587</v>
      </c>
    </row>
    <row r="149" spans="1:6" s="479" customFormat="1" x14ac:dyDescent="0.2">
      <c r="A149" s="889">
        <v>7850</v>
      </c>
      <c r="C149" s="481" t="s">
        <v>1615</v>
      </c>
      <c r="D149" s="887">
        <v>8000</v>
      </c>
      <c r="E149" s="485" t="s">
        <v>1616</v>
      </c>
    </row>
    <row r="150" spans="1:6" s="479" customFormat="1" x14ac:dyDescent="0.2">
      <c r="A150" s="889">
        <v>10000</v>
      </c>
      <c r="C150" s="481" t="s">
        <v>1617</v>
      </c>
      <c r="D150" s="887">
        <v>11000</v>
      </c>
      <c r="E150" s="485" t="s">
        <v>1616</v>
      </c>
    </row>
    <row r="151" spans="1:6" s="479" customFormat="1" x14ac:dyDescent="0.2">
      <c r="A151" s="889">
        <v>10000</v>
      </c>
      <c r="C151" s="481" t="s">
        <v>1618</v>
      </c>
      <c r="D151" s="887">
        <v>11000</v>
      </c>
      <c r="E151" s="485" t="s">
        <v>1616</v>
      </c>
    </row>
    <row r="152" spans="1:6" s="479" customFormat="1" x14ac:dyDescent="0.2">
      <c r="A152" s="889">
        <v>450</v>
      </c>
      <c r="C152" s="481" t="s">
        <v>1619</v>
      </c>
      <c r="D152" s="887">
        <v>600</v>
      </c>
      <c r="E152" s="485" t="s">
        <v>1620</v>
      </c>
    </row>
    <row r="153" spans="1:6" s="479" customFormat="1" x14ac:dyDescent="0.2">
      <c r="A153" s="889">
        <v>4000</v>
      </c>
      <c r="C153" s="481" t="s">
        <v>1621</v>
      </c>
      <c r="D153" s="887">
        <v>6000</v>
      </c>
      <c r="E153" s="485" t="s">
        <v>1587</v>
      </c>
    </row>
    <row r="154" spans="1:6" s="479" customFormat="1" x14ac:dyDescent="0.2">
      <c r="A154" s="889">
        <v>1000</v>
      </c>
      <c r="C154" s="481" t="s">
        <v>3441</v>
      </c>
      <c r="D154" s="887">
        <v>1200</v>
      </c>
      <c r="E154" s="485" t="s">
        <v>3399</v>
      </c>
    </row>
    <row r="155" spans="1:6" s="479" customFormat="1" x14ac:dyDescent="0.2">
      <c r="A155" s="889">
        <v>375</v>
      </c>
      <c r="C155" s="481" t="s">
        <v>3440</v>
      </c>
      <c r="D155" s="887">
        <v>500</v>
      </c>
      <c r="E155" s="485" t="s">
        <v>3400</v>
      </c>
    </row>
    <row r="156" spans="1:6" s="479" customFormat="1" x14ac:dyDescent="0.2">
      <c r="A156" s="889">
        <v>1000</v>
      </c>
      <c r="C156" s="481" t="s">
        <v>3442</v>
      </c>
      <c r="D156" s="887">
        <v>1200</v>
      </c>
      <c r="E156" s="485" t="s">
        <v>3399</v>
      </c>
    </row>
    <row r="157" spans="1:6" s="479" customFormat="1" x14ac:dyDescent="0.2">
      <c r="A157" s="889">
        <v>385</v>
      </c>
      <c r="C157" s="481" t="s">
        <v>3439</v>
      </c>
      <c r="D157" s="887">
        <v>400</v>
      </c>
      <c r="E157" s="485" t="s">
        <v>3400</v>
      </c>
    </row>
    <row r="158" spans="1:6" s="479" customFormat="1" x14ac:dyDescent="0.2">
      <c r="A158" s="889">
        <v>500</v>
      </c>
      <c r="C158" s="481" t="s">
        <v>3443</v>
      </c>
      <c r="D158" s="887">
        <v>600</v>
      </c>
      <c r="E158" s="485" t="s">
        <v>3399</v>
      </c>
    </row>
    <row r="159" spans="1:6" s="479" customFormat="1" x14ac:dyDescent="0.2">
      <c r="A159" s="889">
        <v>200</v>
      </c>
      <c r="C159" s="481" t="s">
        <v>3397</v>
      </c>
      <c r="D159" s="887">
        <v>485</v>
      </c>
      <c r="E159" s="485" t="s">
        <v>3400</v>
      </c>
    </row>
    <row r="160" spans="1:6" s="479" customFormat="1" x14ac:dyDescent="0.2">
      <c r="A160" s="889">
        <v>1000</v>
      </c>
      <c r="C160" s="481" t="s">
        <v>3444</v>
      </c>
      <c r="D160" s="887">
        <v>1200</v>
      </c>
      <c r="E160" s="485" t="s">
        <v>3399</v>
      </c>
    </row>
    <row r="161" spans="1:5" s="479" customFormat="1" x14ac:dyDescent="0.2">
      <c r="A161" s="889">
        <v>375</v>
      </c>
      <c r="C161" s="481" t="s">
        <v>3398</v>
      </c>
      <c r="D161" s="887">
        <v>485</v>
      </c>
      <c r="E161" s="485" t="s">
        <v>3400</v>
      </c>
    </row>
    <row r="162" spans="1:5" s="479" customFormat="1" x14ac:dyDescent="0.2">
      <c r="A162" s="889">
        <v>300</v>
      </c>
      <c r="C162" s="481" t="s">
        <v>1622</v>
      </c>
      <c r="D162" s="887">
        <v>400</v>
      </c>
      <c r="E162" s="485" t="s">
        <v>1587</v>
      </c>
    </row>
    <row r="163" spans="1:5" s="479" customFormat="1" x14ac:dyDescent="0.2">
      <c r="A163" s="889">
        <v>450</v>
      </c>
      <c r="C163" s="481" t="s">
        <v>1623</v>
      </c>
      <c r="D163" s="887">
        <v>550</v>
      </c>
      <c r="E163" s="485" t="s">
        <v>1620</v>
      </c>
    </row>
    <row r="164" spans="1:5" s="479" customFormat="1" x14ac:dyDescent="0.2">
      <c r="A164" s="889">
        <v>1320</v>
      </c>
      <c r="C164" s="481" t="s">
        <v>1624</v>
      </c>
      <c r="D164" s="887">
        <v>1320</v>
      </c>
      <c r="E164" s="485" t="s">
        <v>1587</v>
      </c>
    </row>
    <row r="165" spans="1:5" s="479" customFormat="1" x14ac:dyDescent="0.2">
      <c r="A165" s="889">
        <v>10000</v>
      </c>
      <c r="C165" s="481" t="s">
        <v>1625</v>
      </c>
      <c r="D165" s="887">
        <v>11000</v>
      </c>
      <c r="E165" s="485" t="s">
        <v>1616</v>
      </c>
    </row>
    <row r="166" spans="1:5" s="479" customFormat="1" x14ac:dyDescent="0.2">
      <c r="A166" s="889">
        <v>330</v>
      </c>
      <c r="C166" s="481" t="s">
        <v>1626</v>
      </c>
      <c r="D166" s="887">
        <v>330</v>
      </c>
      <c r="E166" s="485" t="s">
        <v>1587</v>
      </c>
    </row>
    <row r="167" spans="1:5" s="479" customFormat="1" x14ac:dyDescent="0.2">
      <c r="A167" s="889">
        <v>550</v>
      </c>
      <c r="C167" s="481" t="s">
        <v>1627</v>
      </c>
      <c r="D167" s="887">
        <v>550</v>
      </c>
      <c r="E167" s="485" t="s">
        <v>1587</v>
      </c>
    </row>
    <row r="168" spans="1:5" s="479" customFormat="1" x14ac:dyDescent="0.2">
      <c r="A168" s="889">
        <v>583.13144402501541</v>
      </c>
      <c r="C168" s="533" t="s">
        <v>2145</v>
      </c>
      <c r="D168" s="887">
        <v>650</v>
      </c>
      <c r="E168" s="485" t="s">
        <v>1616</v>
      </c>
    </row>
    <row r="169" spans="1:5" s="479" customFormat="1" x14ac:dyDescent="0.2">
      <c r="A169" s="889">
        <v>10000</v>
      </c>
      <c r="C169" s="481" t="s">
        <v>1628</v>
      </c>
      <c r="D169" s="887">
        <v>15000</v>
      </c>
      <c r="E169" s="485" t="s">
        <v>1616</v>
      </c>
    </row>
    <row r="170" spans="1:5" s="479" customFormat="1" x14ac:dyDescent="0.2">
      <c r="A170" s="889">
        <v>12000</v>
      </c>
      <c r="C170" s="481" t="s">
        <v>1629</v>
      </c>
      <c r="D170" s="887">
        <v>16000</v>
      </c>
      <c r="E170" s="485" t="s">
        <v>1587</v>
      </c>
    </row>
    <row r="171" spans="1:5" s="479" customFormat="1" x14ac:dyDescent="0.2">
      <c r="A171" s="889">
        <v>3000</v>
      </c>
      <c r="C171" s="481" t="s">
        <v>1630</v>
      </c>
      <c r="D171" s="887">
        <v>3200</v>
      </c>
      <c r="E171" s="485" t="s">
        <v>1587</v>
      </c>
    </row>
    <row r="172" spans="1:5" s="479" customFormat="1" x14ac:dyDescent="0.2">
      <c r="A172" s="889">
        <v>6000</v>
      </c>
      <c r="C172" s="481" t="s">
        <v>1631</v>
      </c>
      <c r="D172" s="887">
        <v>6500</v>
      </c>
      <c r="E172" s="485" t="s">
        <v>1587</v>
      </c>
    </row>
    <row r="173" spans="1:5" s="479" customFormat="1" x14ac:dyDescent="0.2">
      <c r="A173" s="889">
        <v>2500</v>
      </c>
      <c r="C173" s="481" t="s">
        <v>1632</v>
      </c>
      <c r="D173" s="887">
        <v>3100</v>
      </c>
      <c r="E173" s="485" t="s">
        <v>1587</v>
      </c>
    </row>
    <row r="174" spans="1:5" s="479" customFormat="1" x14ac:dyDescent="0.2">
      <c r="A174" s="889">
        <v>750</v>
      </c>
      <c r="C174" s="481" t="s">
        <v>1511</v>
      </c>
      <c r="D174" s="887">
        <v>1500</v>
      </c>
      <c r="E174" s="485" t="s">
        <v>1620</v>
      </c>
    </row>
    <row r="175" spans="1:5" s="479" customFormat="1" x14ac:dyDescent="0.2">
      <c r="A175" s="889">
        <v>2200</v>
      </c>
      <c r="C175" s="481" t="s">
        <v>1633</v>
      </c>
      <c r="D175" s="887">
        <v>12500</v>
      </c>
      <c r="E175" s="485" t="s">
        <v>1587</v>
      </c>
    </row>
    <row r="176" spans="1:5" s="479" customFormat="1" x14ac:dyDescent="0.2">
      <c r="A176" s="889">
        <v>1400</v>
      </c>
      <c r="C176" s="481" t="s">
        <v>1634</v>
      </c>
      <c r="D176" s="887">
        <v>5000</v>
      </c>
      <c r="E176" s="485" t="s">
        <v>1635</v>
      </c>
    </row>
    <row r="177" spans="1:6" s="479" customFormat="1" x14ac:dyDescent="0.2">
      <c r="A177" s="889">
        <v>2500</v>
      </c>
      <c r="C177" s="481" t="s">
        <v>1636</v>
      </c>
      <c r="D177" s="887">
        <v>4500</v>
      </c>
      <c r="E177" s="485" t="s">
        <v>1587</v>
      </c>
    </row>
    <row r="178" spans="1:6" s="479" customFormat="1" x14ac:dyDescent="0.2">
      <c r="A178" s="889">
        <v>2500</v>
      </c>
      <c r="C178" s="481" t="s">
        <v>1637</v>
      </c>
      <c r="D178" s="887">
        <v>6000</v>
      </c>
      <c r="E178" s="485" t="s">
        <v>1587</v>
      </c>
    </row>
    <row r="179" spans="1:6" s="479" customFormat="1" x14ac:dyDescent="0.2">
      <c r="A179" s="889">
        <v>5000</v>
      </c>
      <c r="C179" s="481" t="s">
        <v>1638</v>
      </c>
      <c r="D179" s="887">
        <v>6500</v>
      </c>
      <c r="E179" s="485" t="s">
        <v>1587</v>
      </c>
    </row>
    <row r="180" spans="1:6" s="479" customFormat="1" x14ac:dyDescent="0.2">
      <c r="A180" s="889">
        <v>3500</v>
      </c>
      <c r="C180" s="481" t="s">
        <v>1639</v>
      </c>
      <c r="D180" s="887">
        <v>6500</v>
      </c>
      <c r="E180" s="485" t="s">
        <v>1587</v>
      </c>
    </row>
    <row r="181" spans="1:6" s="479" customFormat="1" x14ac:dyDescent="0.2">
      <c r="A181" s="889">
        <v>3500</v>
      </c>
      <c r="C181" s="481" t="s">
        <v>1640</v>
      </c>
      <c r="D181" s="887">
        <v>6500</v>
      </c>
      <c r="E181" s="485" t="s">
        <v>1587</v>
      </c>
    </row>
    <row r="182" spans="1:6" s="479" customFormat="1" x14ac:dyDescent="0.2">
      <c r="A182" s="889">
        <v>5000</v>
      </c>
      <c r="C182" s="481" t="s">
        <v>1641</v>
      </c>
      <c r="D182" s="887">
        <v>6500</v>
      </c>
      <c r="E182" s="485" t="s">
        <v>1587</v>
      </c>
    </row>
    <row r="183" spans="1:6" s="479" customFormat="1" x14ac:dyDescent="0.2">
      <c r="A183" s="889">
        <v>4500</v>
      </c>
      <c r="C183" s="481" t="s">
        <v>1642</v>
      </c>
      <c r="D183" s="887">
        <v>6500</v>
      </c>
      <c r="E183" s="485" t="s">
        <v>1616</v>
      </c>
    </row>
    <row r="184" spans="1:6" s="479" customFormat="1" x14ac:dyDescent="0.2">
      <c r="A184" s="889">
        <v>2300</v>
      </c>
      <c r="C184" s="481" t="s">
        <v>1643</v>
      </c>
      <c r="D184" s="887">
        <v>2500</v>
      </c>
      <c r="E184" s="485" t="s">
        <v>1587</v>
      </c>
    </row>
    <row r="185" spans="1:6" s="479" customFormat="1" x14ac:dyDescent="0.2">
      <c r="A185" s="889">
        <v>1200</v>
      </c>
      <c r="C185" s="481" t="s">
        <v>1644</v>
      </c>
      <c r="D185" s="887">
        <v>1500</v>
      </c>
      <c r="E185" s="485" t="s">
        <v>1587</v>
      </c>
    </row>
    <row r="186" spans="1:6" s="479" customFormat="1" x14ac:dyDescent="0.2">
      <c r="A186" s="889">
        <v>2200</v>
      </c>
      <c r="C186" s="481" t="s">
        <v>1645</v>
      </c>
      <c r="D186" s="887">
        <v>4000</v>
      </c>
      <c r="E186" s="485" t="s">
        <v>1587</v>
      </c>
      <c r="F186" s="506"/>
    </row>
    <row r="187" spans="1:6" s="479" customFormat="1" x14ac:dyDescent="0.2">
      <c r="A187" s="889">
        <v>600</v>
      </c>
      <c r="C187" s="533" t="s">
        <v>2166</v>
      </c>
      <c r="D187" s="887">
        <v>800</v>
      </c>
      <c r="E187" s="485" t="s">
        <v>1587</v>
      </c>
    </row>
    <row r="188" spans="1:6" s="479" customFormat="1" x14ac:dyDescent="0.2">
      <c r="A188" s="889">
        <v>1200</v>
      </c>
      <c r="C188" s="533" t="s">
        <v>2167</v>
      </c>
      <c r="D188" s="887">
        <v>1200</v>
      </c>
      <c r="E188" s="485" t="s">
        <v>1587</v>
      </c>
    </row>
    <row r="189" spans="1:6" s="479" customFormat="1" x14ac:dyDescent="0.2">
      <c r="A189" s="889">
        <v>1200</v>
      </c>
      <c r="C189" s="533" t="s">
        <v>2168</v>
      </c>
      <c r="D189" s="887">
        <v>1200</v>
      </c>
      <c r="E189" s="485" t="s">
        <v>1587</v>
      </c>
    </row>
    <row r="190" spans="1:6" s="479" customFormat="1" x14ac:dyDescent="0.2">
      <c r="A190" s="889">
        <v>1000</v>
      </c>
      <c r="C190" s="533" t="s">
        <v>2169</v>
      </c>
      <c r="D190" s="887">
        <v>1000</v>
      </c>
      <c r="E190" s="485" t="s">
        <v>1587</v>
      </c>
    </row>
    <row r="191" spans="1:6" s="479" customFormat="1" x14ac:dyDescent="0.2">
      <c r="A191" s="889">
        <v>10350</v>
      </c>
      <c r="C191" s="481" t="s">
        <v>1647</v>
      </c>
      <c r="D191" s="887">
        <v>13500</v>
      </c>
      <c r="E191" s="485" t="s">
        <v>1648</v>
      </c>
    </row>
    <row r="192" spans="1:6" s="479" customFormat="1" x14ac:dyDescent="0.2">
      <c r="A192" s="889">
        <v>1300</v>
      </c>
      <c r="C192" s="481" t="s">
        <v>1649</v>
      </c>
      <c r="D192" s="887">
        <v>3500</v>
      </c>
      <c r="E192" s="485" t="s">
        <v>1635</v>
      </c>
    </row>
    <row r="193" spans="1:5" s="479" customFormat="1" x14ac:dyDescent="0.2">
      <c r="A193" s="889">
        <v>7800</v>
      </c>
      <c r="C193" s="481" t="s">
        <v>1650</v>
      </c>
      <c r="D193" s="887">
        <v>7800</v>
      </c>
      <c r="E193" s="485" t="s">
        <v>1648</v>
      </c>
    </row>
    <row r="194" spans="1:5" s="479" customFormat="1" x14ac:dyDescent="0.2">
      <c r="A194" s="889">
        <v>5175</v>
      </c>
      <c r="C194" s="481" t="s">
        <v>1651</v>
      </c>
      <c r="D194" s="887">
        <v>5500</v>
      </c>
      <c r="E194" s="485" t="s">
        <v>1648</v>
      </c>
    </row>
    <row r="195" spans="1:5" s="479" customFormat="1" x14ac:dyDescent="0.2">
      <c r="A195" s="889">
        <v>5175</v>
      </c>
      <c r="C195" s="481" t="s">
        <v>1652</v>
      </c>
      <c r="D195" s="887">
        <v>5500</v>
      </c>
      <c r="E195" s="485" t="s">
        <v>1648</v>
      </c>
    </row>
    <row r="196" spans="1:5" s="479" customFormat="1" x14ac:dyDescent="0.2">
      <c r="A196" s="889">
        <v>5175</v>
      </c>
      <c r="C196" s="481" t="s">
        <v>1653</v>
      </c>
      <c r="D196" s="887">
        <v>5500</v>
      </c>
      <c r="E196" s="485" t="s">
        <v>1648</v>
      </c>
    </row>
    <row r="197" spans="1:5" s="479" customFormat="1" x14ac:dyDescent="0.2">
      <c r="A197" s="889">
        <v>2570</v>
      </c>
      <c r="C197" s="481" t="s">
        <v>1654</v>
      </c>
      <c r="D197" s="887">
        <v>2570</v>
      </c>
      <c r="E197" s="485" t="s">
        <v>1648</v>
      </c>
    </row>
    <row r="198" spans="1:5" s="479" customFormat="1" x14ac:dyDescent="0.2">
      <c r="A198" s="889">
        <v>5175</v>
      </c>
      <c r="C198" s="481" t="s">
        <v>1838</v>
      </c>
      <c r="D198" s="887">
        <v>5175</v>
      </c>
      <c r="E198" s="485" t="s">
        <v>1648</v>
      </c>
    </row>
    <row r="199" spans="1:5" s="479" customFormat="1" x14ac:dyDescent="0.2">
      <c r="A199" s="889">
        <v>1800</v>
      </c>
      <c r="C199" s="481" t="s">
        <v>1655</v>
      </c>
      <c r="D199" s="887">
        <v>2500</v>
      </c>
      <c r="E199" s="485" t="s">
        <v>1587</v>
      </c>
    </row>
    <row r="200" spans="1:5" s="479" customFormat="1" x14ac:dyDescent="0.2">
      <c r="A200" s="889">
        <v>850</v>
      </c>
      <c r="C200" s="481" t="s">
        <v>1656</v>
      </c>
      <c r="D200" s="887">
        <v>2000</v>
      </c>
      <c r="E200" s="485" t="s">
        <v>1587</v>
      </c>
    </row>
    <row r="201" spans="1:5" s="479" customFormat="1" x14ac:dyDescent="0.2">
      <c r="A201" s="889">
        <v>11600</v>
      </c>
      <c r="C201" s="488" t="s">
        <v>1836</v>
      </c>
      <c r="D201" s="888">
        <v>14500</v>
      </c>
      <c r="E201" s="706" t="s">
        <v>1635</v>
      </c>
    </row>
    <row r="202" spans="1:5" s="479" customFormat="1" x14ac:dyDescent="0.2">
      <c r="A202" s="889">
        <v>4500</v>
      </c>
      <c r="C202" s="488" t="s">
        <v>1840</v>
      </c>
      <c r="D202" s="888">
        <v>12000</v>
      </c>
      <c r="E202" s="485" t="s">
        <v>1648</v>
      </c>
    </row>
    <row r="203" spans="1:5" s="479" customFormat="1" x14ac:dyDescent="0.2">
      <c r="A203" s="889">
        <v>1000</v>
      </c>
      <c r="C203" s="481" t="s">
        <v>3441</v>
      </c>
      <c r="D203" s="887">
        <v>2000</v>
      </c>
      <c r="E203" s="485" t="s">
        <v>3399</v>
      </c>
    </row>
    <row r="204" spans="1:5" s="479" customFormat="1" x14ac:dyDescent="0.2">
      <c r="A204" s="889">
        <v>400</v>
      </c>
      <c r="C204" s="481" t="s">
        <v>3440</v>
      </c>
      <c r="D204" s="887">
        <v>2000</v>
      </c>
      <c r="E204" s="485" t="s">
        <v>3400</v>
      </c>
    </row>
    <row r="205" spans="1:5" s="479" customFormat="1" x14ac:dyDescent="0.2">
      <c r="A205" s="889">
        <v>5000</v>
      </c>
      <c r="C205" s="488" t="s">
        <v>1841</v>
      </c>
      <c r="D205" s="888">
        <v>15000</v>
      </c>
      <c r="E205" s="485" t="s">
        <v>1853</v>
      </c>
    </row>
    <row r="206" spans="1:5" s="479" customFormat="1" x14ac:dyDescent="0.2">
      <c r="A206" s="889">
        <v>15600</v>
      </c>
      <c r="C206" s="488" t="s">
        <v>1852</v>
      </c>
      <c r="D206" s="888">
        <v>25000</v>
      </c>
      <c r="E206" s="485" t="s">
        <v>1648</v>
      </c>
    </row>
    <row r="207" spans="1:5" s="479" customFormat="1" x14ac:dyDescent="0.2">
      <c r="A207" s="889">
        <v>4000</v>
      </c>
      <c r="C207" s="488" t="s">
        <v>3446</v>
      </c>
      <c r="D207" s="888">
        <v>15000</v>
      </c>
      <c r="E207" s="485" t="s">
        <v>1648</v>
      </c>
    </row>
    <row r="208" spans="1:5" s="479" customFormat="1" x14ac:dyDescent="0.2">
      <c r="A208" s="889">
        <v>1338.8</v>
      </c>
      <c r="C208" s="488" t="s">
        <v>1870</v>
      </c>
      <c r="D208" s="888">
        <v>6000</v>
      </c>
      <c r="E208" s="706" t="s">
        <v>1635</v>
      </c>
    </row>
    <row r="209" spans="1:6" s="479" customFormat="1" x14ac:dyDescent="0.2">
      <c r="A209" s="889">
        <v>3327.9742765273299</v>
      </c>
      <c r="C209" s="481" t="s">
        <v>2156</v>
      </c>
      <c r="D209" s="887">
        <v>18000</v>
      </c>
      <c r="E209" s="485" t="s">
        <v>1635</v>
      </c>
    </row>
    <row r="212" spans="1:6" ht="21" x14ac:dyDescent="0.2">
      <c r="C212" s="474">
        <v>1</v>
      </c>
      <c r="D212" s="474" t="s">
        <v>2037</v>
      </c>
    </row>
    <row r="214" spans="1:6" ht="21" x14ac:dyDescent="0.2">
      <c r="C214" s="470">
        <v>1.1000000000000001</v>
      </c>
      <c r="D214" s="470" t="s">
        <v>3137</v>
      </c>
    </row>
    <row r="215" spans="1:6" ht="21" x14ac:dyDescent="0.3">
      <c r="C215" s="476"/>
      <c r="D215" s="476"/>
    </row>
    <row r="216" spans="1:6" ht="21" x14ac:dyDescent="0.2">
      <c r="C216" s="471" t="s">
        <v>2038</v>
      </c>
      <c r="D216" s="471" t="s">
        <v>1885</v>
      </c>
    </row>
    <row r="218" spans="1:6" s="479" customFormat="1" ht="16.5" x14ac:dyDescent="0.25">
      <c r="B218" s="524"/>
      <c r="C218" s="491" t="s">
        <v>3575</v>
      </c>
      <c r="D218" s="491">
        <v>0.25</v>
      </c>
      <c r="E218" s="491" t="s">
        <v>1008</v>
      </c>
      <c r="F218" s="423"/>
    </row>
    <row r="219" spans="1:6" s="479" customFormat="1" ht="15.75" x14ac:dyDescent="0.2">
      <c r="B219" s="524"/>
      <c r="C219" s="519" t="s">
        <v>1009</v>
      </c>
      <c r="D219" s="490">
        <f>+D16</f>
        <v>57.62</v>
      </c>
      <c r="E219" s="491" t="s">
        <v>78</v>
      </c>
    </row>
    <row r="220" spans="1:6" s="479" customFormat="1" x14ac:dyDescent="0.2">
      <c r="B220" s="524"/>
      <c r="C220" s="492"/>
      <c r="D220" s="493"/>
      <c r="E220" s="494"/>
    </row>
    <row r="221" spans="1:6" s="479" customFormat="1" x14ac:dyDescent="0.2">
      <c r="B221" s="524"/>
      <c r="C221" s="896" t="s">
        <v>1546</v>
      </c>
      <c r="D221" s="896" t="s">
        <v>13</v>
      </c>
      <c r="E221" s="896" t="s">
        <v>3148</v>
      </c>
    </row>
    <row r="222" spans="1:6" s="479" customFormat="1" x14ac:dyDescent="0.2">
      <c r="B222" s="891" t="s">
        <v>1910</v>
      </c>
      <c r="C222" s="896" t="s">
        <v>3149</v>
      </c>
      <c r="D222" s="897">
        <f>D218*D219*(1+FCL)</f>
        <v>18.726500000000001</v>
      </c>
      <c r="E222" s="896" t="s">
        <v>1010</v>
      </c>
    </row>
    <row r="223" spans="1:6" s="479" customFormat="1" x14ac:dyDescent="0.2">
      <c r="B223" s="891" t="s">
        <v>2179</v>
      </c>
      <c r="C223" s="896" t="s">
        <v>3150</v>
      </c>
      <c r="D223" s="896">
        <v>2</v>
      </c>
      <c r="E223" s="896" t="s">
        <v>3153</v>
      </c>
    </row>
    <row r="224" spans="1:6" s="479" customFormat="1" x14ac:dyDescent="0.2">
      <c r="B224" s="891" t="s">
        <v>2180</v>
      </c>
      <c r="C224" s="896" t="s">
        <v>3151</v>
      </c>
      <c r="D224" s="896">
        <v>6</v>
      </c>
      <c r="E224" s="896" t="s">
        <v>1826</v>
      </c>
    </row>
    <row r="225" spans="2:8" s="479" customFormat="1" x14ac:dyDescent="0.2">
      <c r="B225" s="891" t="s">
        <v>2181</v>
      </c>
      <c r="C225" s="896" t="s">
        <v>3152</v>
      </c>
      <c r="D225" s="896">
        <v>3</v>
      </c>
      <c r="E225" s="896" t="s">
        <v>1826</v>
      </c>
    </row>
    <row r="226" spans="2:8" x14ac:dyDescent="0.2">
      <c r="B226" s="892"/>
    </row>
    <row r="227" spans="2:8" s="479" customFormat="1" x14ac:dyDescent="0.2">
      <c r="B227" s="524"/>
      <c r="C227" s="896"/>
      <c r="D227" s="896" t="s">
        <v>1012</v>
      </c>
      <c r="E227" s="896" t="s">
        <v>1013</v>
      </c>
      <c r="F227" s="896" t="s">
        <v>1657</v>
      </c>
    </row>
    <row r="228" spans="2:8" s="479" customFormat="1" x14ac:dyDescent="0.2">
      <c r="B228" s="524"/>
      <c r="C228" s="896" t="s">
        <v>1014</v>
      </c>
      <c r="D228" s="900">
        <f>+D147</f>
        <v>600</v>
      </c>
      <c r="E228" s="900">
        <f>D228*D219</f>
        <v>34572</v>
      </c>
      <c r="F228" s="901">
        <f>+E228/'COSTOS MO CUADRILLA'!K5</f>
        <v>12.130526315789474</v>
      </c>
    </row>
    <row r="229" spans="2:8" s="479" customFormat="1" x14ac:dyDescent="0.2">
      <c r="B229" s="524"/>
      <c r="C229" s="896" t="s">
        <v>1015</v>
      </c>
      <c r="D229" s="900">
        <f>+D149</f>
        <v>8000</v>
      </c>
      <c r="E229" s="900">
        <f>D229*D222</f>
        <v>149812</v>
      </c>
      <c r="F229" s="901">
        <f>+E229/'COSTOS MO CUADRILLA'!K5</f>
        <v>52.565614035087719</v>
      </c>
    </row>
    <row r="230" spans="2:8" s="479" customFormat="1" x14ac:dyDescent="0.2">
      <c r="B230" s="524"/>
      <c r="C230" s="896"/>
      <c r="D230" s="896" t="s">
        <v>1016</v>
      </c>
      <c r="E230" s="900">
        <f>SUM(E228:E229)</f>
        <v>184384</v>
      </c>
      <c r="F230" s="901">
        <f>+E230/'COSTOS MO CUADRILLA'!K5</f>
        <v>64.696140350877187</v>
      </c>
    </row>
    <row r="231" spans="2:8" s="479" customFormat="1" x14ac:dyDescent="0.2">
      <c r="B231" s="524"/>
      <c r="E231" s="480"/>
    </row>
    <row r="232" spans="2:8" s="479" customFormat="1" x14ac:dyDescent="0.2">
      <c r="B232" s="524"/>
      <c r="C232" s="896"/>
      <c r="D232" s="896" t="s">
        <v>1012</v>
      </c>
      <c r="E232" s="896" t="s">
        <v>1013</v>
      </c>
      <c r="F232" s="896" t="s">
        <v>1657</v>
      </c>
      <c r="G232" s="902" t="s">
        <v>3574</v>
      </c>
      <c r="H232" s="902"/>
    </row>
    <row r="233" spans="2:8" s="479" customFormat="1" x14ac:dyDescent="0.2">
      <c r="B233" s="524"/>
      <c r="C233" s="896" t="s">
        <v>3154</v>
      </c>
      <c r="D233" s="896"/>
      <c r="E233" s="896"/>
      <c r="F233" s="897">
        <v>6</v>
      </c>
      <c r="G233" s="902" t="s">
        <v>3355</v>
      </c>
      <c r="H233" s="902" t="s">
        <v>3353</v>
      </c>
    </row>
    <row r="234" spans="2:8" s="479" customFormat="1" x14ac:dyDescent="0.2">
      <c r="B234" s="524"/>
      <c r="C234" s="896" t="s">
        <v>3155</v>
      </c>
      <c r="D234" s="896"/>
      <c r="E234" s="896"/>
      <c r="F234" s="897">
        <v>1</v>
      </c>
      <c r="G234" s="902" t="s">
        <v>3354</v>
      </c>
      <c r="H234" s="902" t="s">
        <v>3356</v>
      </c>
    </row>
    <row r="235" spans="2:8" s="479" customFormat="1" x14ac:dyDescent="0.2">
      <c r="B235" s="524"/>
      <c r="C235" s="896" t="s">
        <v>3357</v>
      </c>
      <c r="D235" s="896"/>
      <c r="E235" s="896"/>
      <c r="F235" s="897">
        <v>2</v>
      </c>
      <c r="G235" s="902" t="s">
        <v>3358</v>
      </c>
      <c r="H235" s="902" t="s">
        <v>3357</v>
      </c>
    </row>
    <row r="236" spans="2:8" s="479" customFormat="1" x14ac:dyDescent="0.2">
      <c r="B236" s="524"/>
      <c r="C236" s="896"/>
      <c r="D236" s="896" t="s">
        <v>257</v>
      </c>
      <c r="E236" s="900">
        <f>SUM(E233:E234)</f>
        <v>0</v>
      </c>
      <c r="F236" s="897">
        <f>SUM(F233:F234)</f>
        <v>7</v>
      </c>
    </row>
    <row r="237" spans="2:8" s="479" customFormat="1" x14ac:dyDescent="0.2">
      <c r="B237" s="524"/>
      <c r="E237" s="480"/>
    </row>
    <row r="238" spans="2:8" ht="21" x14ac:dyDescent="0.2">
      <c r="C238" s="471" t="s">
        <v>2039</v>
      </c>
      <c r="D238" s="472" t="s">
        <v>1912</v>
      </c>
    </row>
    <row r="239" spans="2:8" x14ac:dyDescent="0.2">
      <c r="C239" s="100"/>
      <c r="D239" s="100"/>
    </row>
    <row r="240" spans="2:8" s="479" customFormat="1" x14ac:dyDescent="0.2">
      <c r="B240" s="524"/>
      <c r="C240" s="896" t="s">
        <v>1546</v>
      </c>
      <c r="D240" s="896" t="s">
        <v>13</v>
      </c>
      <c r="E240" s="896" t="s">
        <v>3148</v>
      </c>
    </row>
    <row r="241" spans="2:6" s="479" customFormat="1" x14ac:dyDescent="0.2">
      <c r="B241" s="891" t="s">
        <v>1914</v>
      </c>
      <c r="C241" s="896" t="s">
        <v>3156</v>
      </c>
      <c r="D241" s="897">
        <v>0.5</v>
      </c>
      <c r="E241" s="896" t="s">
        <v>1010</v>
      </c>
    </row>
    <row r="242" spans="2:6" s="479" customFormat="1" x14ac:dyDescent="0.2">
      <c r="B242" s="891" t="s">
        <v>2182</v>
      </c>
      <c r="C242" s="896" t="s">
        <v>3157</v>
      </c>
      <c r="D242" s="896">
        <v>1</v>
      </c>
      <c r="E242" s="896" t="s">
        <v>1411</v>
      </c>
    </row>
    <row r="243" spans="2:6" s="479" customFormat="1" x14ac:dyDescent="0.2">
      <c r="B243" s="891" t="s">
        <v>2181</v>
      </c>
      <c r="C243" s="896" t="s">
        <v>3152</v>
      </c>
      <c r="D243" s="896">
        <v>1</v>
      </c>
      <c r="E243" s="896" t="s">
        <v>1142</v>
      </c>
    </row>
    <row r="244" spans="2:6" s="479" customFormat="1" x14ac:dyDescent="0.2">
      <c r="B244" s="891" t="s">
        <v>2183</v>
      </c>
      <c r="C244" s="896" t="s">
        <v>3158</v>
      </c>
      <c r="D244" s="896">
        <v>1</v>
      </c>
      <c r="E244" s="896" t="s">
        <v>1022</v>
      </c>
    </row>
    <row r="245" spans="2:6" s="479" customFormat="1" x14ac:dyDescent="0.2">
      <c r="B245" s="524"/>
      <c r="C245" s="478"/>
      <c r="D245" s="478"/>
      <c r="E245" s="480"/>
    </row>
    <row r="246" spans="2:6" s="479" customFormat="1" x14ac:dyDescent="0.2">
      <c r="B246" s="524"/>
      <c r="C246" s="896"/>
      <c r="D246" s="896" t="s">
        <v>1012</v>
      </c>
      <c r="E246" s="896" t="s">
        <v>1013</v>
      </c>
      <c r="F246" s="896" t="s">
        <v>1657</v>
      </c>
    </row>
    <row r="247" spans="2:6" s="479" customFormat="1" x14ac:dyDescent="0.2">
      <c r="B247" s="524"/>
      <c r="C247" s="896" t="s">
        <v>1659</v>
      </c>
      <c r="D247" s="900">
        <f>+D148</f>
        <v>2500</v>
      </c>
      <c r="E247" s="900">
        <f>D247*D219</f>
        <v>144050</v>
      </c>
      <c r="F247" s="901">
        <f>+E247/'COSTOS MO CUADRILLA'!K6</f>
        <v>50.543859649122808</v>
      </c>
    </row>
    <row r="248" spans="2:6" s="479" customFormat="1" x14ac:dyDescent="0.2">
      <c r="B248" s="524"/>
      <c r="C248" s="896"/>
      <c r="D248" s="896" t="s">
        <v>1016</v>
      </c>
      <c r="E248" s="900">
        <f>SUM(E247)</f>
        <v>144050</v>
      </c>
      <c r="F248" s="901">
        <f>+E248/'COSTOS MO CUADRILLA'!K6</f>
        <v>50.543859649122808</v>
      </c>
    </row>
    <row r="249" spans="2:6" s="479" customFormat="1" x14ac:dyDescent="0.2">
      <c r="B249" s="524"/>
      <c r="E249" s="480"/>
    </row>
    <row r="250" spans="2:6" ht="21" x14ac:dyDescent="0.2">
      <c r="C250" s="471" t="s">
        <v>2040</v>
      </c>
      <c r="D250" s="472" t="s">
        <v>69</v>
      </c>
    </row>
    <row r="252" spans="2:6" s="479" customFormat="1" ht="16.5" x14ac:dyDescent="0.25">
      <c r="B252" s="524"/>
      <c r="C252" s="481" t="s">
        <v>1007</v>
      </c>
      <c r="D252" s="485">
        <v>0.05</v>
      </c>
      <c r="E252" s="485" t="s">
        <v>1008</v>
      </c>
      <c r="F252" s="423"/>
    </row>
    <row r="253" spans="2:6" s="479" customFormat="1" ht="15.75" x14ac:dyDescent="0.2">
      <c r="B253" s="524"/>
      <c r="C253" s="489" t="s">
        <v>1403</v>
      </c>
      <c r="D253" s="491">
        <f>+D12</f>
        <v>48.12</v>
      </c>
      <c r="E253" s="491" t="s">
        <v>78</v>
      </c>
    </row>
    <row r="254" spans="2:6" s="479" customFormat="1" x14ac:dyDescent="0.2">
      <c r="B254" s="524"/>
      <c r="E254" s="480"/>
    </row>
    <row r="255" spans="2:6" s="479" customFormat="1" x14ac:dyDescent="0.2">
      <c r="B255" s="524"/>
      <c r="C255" s="893" t="s">
        <v>1727</v>
      </c>
      <c r="D255" s="895">
        <f>D252*D253</f>
        <v>2.4060000000000001</v>
      </c>
      <c r="E255" s="894" t="s">
        <v>1010</v>
      </c>
    </row>
    <row r="256" spans="2:6" s="479" customFormat="1" x14ac:dyDescent="0.2">
      <c r="B256" s="524"/>
      <c r="E256" s="480"/>
    </row>
    <row r="257" spans="2:6" s="479" customFormat="1" x14ac:dyDescent="0.2">
      <c r="B257" s="524"/>
      <c r="C257" s="894" t="s">
        <v>1546</v>
      </c>
      <c r="D257" s="894" t="s">
        <v>13</v>
      </c>
      <c r="E257" s="894" t="s">
        <v>3148</v>
      </c>
    </row>
    <row r="258" spans="2:6" s="479" customFormat="1" x14ac:dyDescent="0.2">
      <c r="B258" s="891" t="s">
        <v>2184</v>
      </c>
      <c r="C258" s="893" t="s">
        <v>1017</v>
      </c>
      <c r="D258" s="894">
        <f>ROUND(D255*selloc,0)</f>
        <v>433</v>
      </c>
      <c r="E258" s="894" t="s">
        <v>1020</v>
      </c>
    </row>
    <row r="259" spans="2:6" s="479" customFormat="1" x14ac:dyDescent="0.2">
      <c r="B259" s="891" t="s">
        <v>1917</v>
      </c>
      <c r="C259" s="893" t="s">
        <v>1018</v>
      </c>
      <c r="D259" s="895">
        <f>ROUND(D255*selloa,1)</f>
        <v>1.7</v>
      </c>
      <c r="E259" s="894" t="s">
        <v>1010</v>
      </c>
    </row>
    <row r="260" spans="2:6" s="479" customFormat="1" x14ac:dyDescent="0.2">
      <c r="B260" s="891" t="s">
        <v>1914</v>
      </c>
      <c r="C260" s="893" t="s">
        <v>1019</v>
      </c>
      <c r="D260" s="894">
        <f>ROUND(D255*sellop,1)</f>
        <v>1.3</v>
      </c>
      <c r="E260" s="894" t="s">
        <v>1010</v>
      </c>
    </row>
    <row r="261" spans="2:6" s="479" customFormat="1" x14ac:dyDescent="0.2">
      <c r="B261" s="891" t="s">
        <v>2185</v>
      </c>
      <c r="C261" s="893" t="s">
        <v>3159</v>
      </c>
      <c r="D261" s="894">
        <v>1</v>
      </c>
      <c r="E261" s="894" t="s">
        <v>1826</v>
      </c>
    </row>
    <row r="262" spans="2:6" s="479" customFormat="1" x14ac:dyDescent="0.2">
      <c r="B262" s="891" t="s">
        <v>1919</v>
      </c>
      <c r="C262" s="893" t="s">
        <v>3160</v>
      </c>
      <c r="D262" s="894">
        <v>1</v>
      </c>
      <c r="E262" s="894" t="s">
        <v>1826</v>
      </c>
    </row>
    <row r="263" spans="2:6" s="479" customFormat="1" x14ac:dyDescent="0.2">
      <c r="B263" s="891" t="s">
        <v>2181</v>
      </c>
      <c r="C263" s="893" t="s">
        <v>3161</v>
      </c>
      <c r="D263" s="894">
        <v>3</v>
      </c>
      <c r="E263" s="894" t="s">
        <v>1826</v>
      </c>
    </row>
    <row r="264" spans="2:6" s="479" customFormat="1" x14ac:dyDescent="0.2">
      <c r="B264" s="891" t="s">
        <v>2186</v>
      </c>
      <c r="C264" s="893" t="s">
        <v>3162</v>
      </c>
      <c r="D264" s="894">
        <v>5</v>
      </c>
      <c r="E264" s="894" t="s">
        <v>1826</v>
      </c>
    </row>
    <row r="265" spans="2:6" s="479" customFormat="1" x14ac:dyDescent="0.2">
      <c r="B265" s="524"/>
      <c r="E265" s="480"/>
    </row>
    <row r="266" spans="2:6" s="479" customFormat="1" x14ac:dyDescent="0.2">
      <c r="B266" s="524"/>
      <c r="C266" s="893"/>
      <c r="D266" s="894" t="s">
        <v>1012</v>
      </c>
      <c r="E266" s="894" t="s">
        <v>1013</v>
      </c>
      <c r="F266" s="894" t="s">
        <v>1657</v>
      </c>
    </row>
    <row r="267" spans="2:6" s="479" customFormat="1" x14ac:dyDescent="0.2">
      <c r="B267" s="524"/>
      <c r="C267" s="893" t="s">
        <v>1021</v>
      </c>
      <c r="D267" s="898">
        <f>+D150</f>
        <v>11000</v>
      </c>
      <c r="E267" s="898">
        <f>D267*D255</f>
        <v>26466</v>
      </c>
      <c r="F267" s="899">
        <f>+E267/'COSTOS MO CUADRILLA'!K7</f>
        <v>9.4521428571428565</v>
      </c>
    </row>
    <row r="268" spans="2:6" s="479" customFormat="1" x14ac:dyDescent="0.2">
      <c r="B268" s="524"/>
      <c r="C268" s="893"/>
      <c r="D268" s="898" t="s">
        <v>257</v>
      </c>
      <c r="E268" s="898">
        <f>+SUM(E267)</f>
        <v>26466</v>
      </c>
      <c r="F268" s="899">
        <f>+E268/'COSTOS MO CUADRILLA'!K7</f>
        <v>9.4521428571428565</v>
      </c>
    </row>
    <row r="269" spans="2:6" s="479" customFormat="1" x14ac:dyDescent="0.2">
      <c r="B269" s="524"/>
      <c r="E269" s="480"/>
    </row>
    <row r="270" spans="2:6" ht="21" x14ac:dyDescent="0.2">
      <c r="C270" s="471" t="s">
        <v>2041</v>
      </c>
      <c r="D270" s="472" t="s">
        <v>1913</v>
      </c>
    </row>
    <row r="272" spans="2:6" ht="18.75" x14ac:dyDescent="0.25">
      <c r="C272" s="1052" t="s">
        <v>70</v>
      </c>
    </row>
    <row r="274" spans="2:6" s="479" customFormat="1" ht="16.5" x14ac:dyDescent="0.25">
      <c r="B274" s="524"/>
      <c r="C274" s="481" t="s">
        <v>1007</v>
      </c>
      <c r="D274" s="485">
        <v>0.2</v>
      </c>
      <c r="E274" s="485" t="s">
        <v>1008</v>
      </c>
      <c r="F274" s="423"/>
    </row>
    <row r="275" spans="2:6" s="479" customFormat="1" ht="15.75" x14ac:dyDescent="0.2">
      <c r="B275" s="524"/>
      <c r="C275" s="489" t="s">
        <v>1403</v>
      </c>
      <c r="D275" s="491">
        <f>+D253</f>
        <v>48.12</v>
      </c>
      <c r="E275" s="491" t="s">
        <v>78</v>
      </c>
    </row>
    <row r="276" spans="2:6" s="479" customFormat="1" x14ac:dyDescent="0.2">
      <c r="B276" s="524"/>
      <c r="E276" s="480"/>
    </row>
    <row r="277" spans="2:6" s="479" customFormat="1" x14ac:dyDescent="0.2">
      <c r="B277" s="524"/>
      <c r="C277" s="896" t="s">
        <v>1727</v>
      </c>
      <c r="D277" s="897">
        <f>D274*D275*(1+FDG)</f>
        <v>10.105200000000002</v>
      </c>
      <c r="E277" s="896" t="s">
        <v>1010</v>
      </c>
    </row>
    <row r="278" spans="2:6" s="479" customFormat="1" x14ac:dyDescent="0.2">
      <c r="B278" s="524"/>
      <c r="E278" s="480"/>
    </row>
    <row r="279" spans="2:6" s="479" customFormat="1" x14ac:dyDescent="0.2">
      <c r="B279" s="524"/>
      <c r="C279" s="896" t="s">
        <v>1546</v>
      </c>
      <c r="D279" s="896" t="s">
        <v>13</v>
      </c>
      <c r="E279" s="896" t="s">
        <v>3148</v>
      </c>
    </row>
    <row r="280" spans="2:6" s="479" customFormat="1" x14ac:dyDescent="0.2">
      <c r="B280" s="891" t="s">
        <v>2184</v>
      </c>
      <c r="C280" s="896" t="s">
        <v>1017</v>
      </c>
      <c r="D280" s="897">
        <f>ROUND(D277*losac,0)</f>
        <v>3365</v>
      </c>
      <c r="E280" s="896" t="s">
        <v>1020</v>
      </c>
    </row>
    <row r="281" spans="2:6" s="479" customFormat="1" x14ac:dyDescent="0.2">
      <c r="B281" s="891" t="s">
        <v>1917</v>
      </c>
      <c r="C281" s="896" t="s">
        <v>1018</v>
      </c>
      <c r="D281" s="897">
        <f>ROUND(D277*losaa,1)</f>
        <v>5.9</v>
      </c>
      <c r="E281" s="896" t="s">
        <v>1010</v>
      </c>
    </row>
    <row r="282" spans="2:6" s="479" customFormat="1" x14ac:dyDescent="0.2">
      <c r="B282" s="891" t="s">
        <v>1914</v>
      </c>
      <c r="C282" s="896" t="s">
        <v>1019</v>
      </c>
      <c r="D282" s="897">
        <f>ROUND(D277*losap,1)</f>
        <v>6.4</v>
      </c>
      <c r="E282" s="896" t="s">
        <v>1010</v>
      </c>
    </row>
    <row r="283" spans="2:6" s="479" customFormat="1" x14ac:dyDescent="0.2">
      <c r="B283" s="891" t="s">
        <v>2086</v>
      </c>
      <c r="C283" s="896" t="s">
        <v>1660</v>
      </c>
      <c r="D283" s="897">
        <f>ROUND(D277*losaad,0)</f>
        <v>8</v>
      </c>
      <c r="E283" s="896" t="s">
        <v>1022</v>
      </c>
    </row>
    <row r="284" spans="2:6" x14ac:dyDescent="0.2">
      <c r="B284" s="892"/>
    </row>
    <row r="285" spans="2:6" ht="18.75" x14ac:dyDescent="0.25">
      <c r="C285" s="1052" t="s">
        <v>3163</v>
      </c>
    </row>
    <row r="287" spans="2:6" s="479" customFormat="1" ht="16.5" x14ac:dyDescent="0.25">
      <c r="B287" s="524"/>
      <c r="C287" s="481" t="s">
        <v>1026</v>
      </c>
      <c r="D287" s="880">
        <v>51.6</v>
      </c>
      <c r="E287" s="498" t="s">
        <v>1008</v>
      </c>
      <c r="F287" s="904" t="s">
        <v>3576</v>
      </c>
    </row>
    <row r="288" spans="2:6" s="479" customFormat="1" x14ac:dyDescent="0.2">
      <c r="B288" s="524"/>
      <c r="C288" s="481" t="s">
        <v>1027</v>
      </c>
      <c r="D288" s="905">
        <v>0.2</v>
      </c>
      <c r="E288" s="485" t="s">
        <v>1008</v>
      </c>
      <c r="F288" s="500"/>
    </row>
    <row r="289" spans="2:7" s="479" customFormat="1" x14ac:dyDescent="0.2">
      <c r="B289" s="524"/>
      <c r="C289" s="489" t="s">
        <v>1028</v>
      </c>
      <c r="D289" s="906">
        <v>0.2</v>
      </c>
      <c r="E289" s="491" t="s">
        <v>1008</v>
      </c>
      <c r="F289" s="500"/>
    </row>
    <row r="291" spans="2:7" s="479" customFormat="1" ht="16.5" x14ac:dyDescent="0.25">
      <c r="C291" s="481" t="s">
        <v>1026</v>
      </c>
      <c r="D291" s="880">
        <v>12.8</v>
      </c>
      <c r="E291" s="498" t="s">
        <v>1008</v>
      </c>
      <c r="F291" s="904" t="s">
        <v>3577</v>
      </c>
    </row>
    <row r="292" spans="2:7" s="479" customFormat="1" x14ac:dyDescent="0.2">
      <c r="C292" s="481" t="s">
        <v>1027</v>
      </c>
      <c r="D292" s="905">
        <v>0.2</v>
      </c>
      <c r="E292" s="485" t="s">
        <v>1008</v>
      </c>
    </row>
    <row r="293" spans="2:7" s="479" customFormat="1" x14ac:dyDescent="0.2">
      <c r="C293" s="489" t="s">
        <v>1028</v>
      </c>
      <c r="D293" s="906">
        <v>0.53</v>
      </c>
      <c r="E293" s="491" t="s">
        <v>1008</v>
      </c>
    </row>
    <row r="295" spans="2:7" ht="18.75" x14ac:dyDescent="0.25">
      <c r="C295" s="1052" t="s">
        <v>1086</v>
      </c>
    </row>
    <row r="297" spans="2:7" s="479" customFormat="1" x14ac:dyDescent="0.2">
      <c r="C297" s="481" t="s">
        <v>1026</v>
      </c>
      <c r="D297" s="485">
        <f>+D26</f>
        <v>49.8</v>
      </c>
      <c r="E297" s="498" t="s">
        <v>1008</v>
      </c>
    </row>
    <row r="299" spans="2:7" ht="18.75" x14ac:dyDescent="0.25">
      <c r="C299" s="1052" t="s">
        <v>1661</v>
      </c>
    </row>
    <row r="301" spans="2:7" s="479" customFormat="1" x14ac:dyDescent="0.2">
      <c r="C301" s="491" t="s">
        <v>1546</v>
      </c>
      <c r="D301" s="491" t="s">
        <v>1662</v>
      </c>
      <c r="E301" s="491" t="s">
        <v>1663</v>
      </c>
      <c r="F301" s="491" t="s">
        <v>257</v>
      </c>
      <c r="G301" s="491" t="s">
        <v>1459</v>
      </c>
    </row>
    <row r="302" spans="2:7" s="479" customFormat="1" x14ac:dyDescent="0.2">
      <c r="C302" s="491" t="s">
        <v>3110</v>
      </c>
      <c r="D302" s="490">
        <v>4</v>
      </c>
      <c r="E302" s="491" t="s">
        <v>1484</v>
      </c>
      <c r="F302" s="490">
        <f>+D302*D287/5.7</f>
        <v>36.210526315789473</v>
      </c>
      <c r="G302" s="490">
        <f>IF(E302="#2",1.494,IF(E302="#3",3.36,IF(E302="#4",5.964,IF(E302="#5",9.312,IF(E302="#2 de 4.11",18.56,IF(E302="#2 de 4.88",26.17,IF(E302="#2 de 5.3",30.87,IF(E302="#2 DE 6.35",50.28,0))))))))*F302</f>
        <v>121.66736842105263</v>
      </c>
    </row>
    <row r="303" spans="2:7" s="479" customFormat="1" x14ac:dyDescent="0.2">
      <c r="C303" s="491" t="s">
        <v>3111</v>
      </c>
      <c r="D303" s="490">
        <v>0.2</v>
      </c>
      <c r="E303" s="491" t="s">
        <v>1664</v>
      </c>
      <c r="F303" s="490">
        <f>+D287/D303*(D288+D289)*2*(1+FDG)/6</f>
        <v>36.120000000000005</v>
      </c>
      <c r="G303" s="490">
        <f>IF(E303="#2",1.494,IF(E303="#3",3.36,IF(E303="#4",5.964,IF(E303="#5",9.312,IF(E303="#2 de 4.11",18.56,IF(E303="#2 de 4.88",26.17,IF(E303="#2 de 5.3",30.87,IF(E303="#2 DE 6.35",50.28,0))))))))*F303</f>
        <v>53.963280000000005</v>
      </c>
    </row>
    <row r="304" spans="2:7" s="479" customFormat="1" x14ac:dyDescent="0.2">
      <c r="C304" s="491" t="s">
        <v>3112</v>
      </c>
      <c r="D304" s="490">
        <v>6</v>
      </c>
      <c r="E304" s="491" t="s">
        <v>1484</v>
      </c>
      <c r="F304" s="490">
        <f>+D304*D291/5.7</f>
        <v>13.473684210526317</v>
      </c>
      <c r="G304" s="490">
        <f t="shared" ref="G304:G310" si="0">IF(E304="#2",1.494,IF(E304="#3",3.36,IF(E304="#4",5.964,IF(E304="#5",9.312,IF(E304="#2 de 4.11",18.56,IF(E304="#2 de 4.88",26.17,IF(E304="#2 de 5.3",30.87,IF(E304="#2 DE 6.35",50.28,0))))))))*F304</f>
        <v>45.271578947368425</v>
      </c>
    </row>
    <row r="305" spans="2:7" s="479" customFormat="1" x14ac:dyDescent="0.2">
      <c r="C305" s="491" t="s">
        <v>3113</v>
      </c>
      <c r="D305" s="490">
        <v>0.2</v>
      </c>
      <c r="E305" s="491" t="s">
        <v>1664</v>
      </c>
      <c r="F305" s="490">
        <f>D291/D305*(D292+D293)*2*(1+FDG)/6</f>
        <v>16.352</v>
      </c>
      <c r="G305" s="490">
        <f t="shared" si="0"/>
        <v>24.429888000000002</v>
      </c>
    </row>
    <row r="306" spans="2:7" s="479" customFormat="1" x14ac:dyDescent="0.2">
      <c r="C306" s="491" t="s">
        <v>3114</v>
      </c>
      <c r="D306" s="490">
        <v>0.2</v>
      </c>
      <c r="E306" s="491" t="s">
        <v>1484</v>
      </c>
      <c r="F306" s="490">
        <f>D275/0.2*4/5.5</f>
        <v>174.98181818181817</v>
      </c>
      <c r="G306" s="490">
        <f>IF(E306="#2",1.494,IF(E306="#3",3.36,IF(E306="#4",5.964,IF(E306="#5",9.312,IF(E306="#2 de 4.11",18.56,IF(E306="#2 de 4.88",26.17,IF(E306="#2 de 5.3",30.87,IF(E306="#2 DE 6.35",50.28,0))))))))*F306</f>
        <v>587.93890909090908</v>
      </c>
    </row>
    <row r="307" spans="2:7" s="479" customFormat="1" x14ac:dyDescent="0.2">
      <c r="C307" s="491" t="s">
        <v>1665</v>
      </c>
      <c r="D307" s="490">
        <v>0</v>
      </c>
      <c r="E307" s="491" t="s">
        <v>1666</v>
      </c>
      <c r="F307" s="491">
        <f>ROUNDUP(D307/0.5,0)*2</f>
        <v>0</v>
      </c>
      <c r="G307" s="490">
        <f t="shared" si="0"/>
        <v>0</v>
      </c>
    </row>
    <row r="308" spans="2:7" s="479" customFormat="1" x14ac:dyDescent="0.2">
      <c r="C308" s="491" t="s">
        <v>1667</v>
      </c>
      <c r="D308" s="490">
        <v>0.3</v>
      </c>
      <c r="E308" s="491" t="s">
        <v>1484</v>
      </c>
      <c r="F308" s="490">
        <f>ROUNDUP(D297/D308,0)*(D27+0.9)/6</f>
        <v>96.833333333333329</v>
      </c>
      <c r="G308" s="490">
        <f t="shared" si="0"/>
        <v>325.35999999999996</v>
      </c>
    </row>
    <row r="309" spans="2:7" s="479" customFormat="1" x14ac:dyDescent="0.2">
      <c r="C309" s="491" t="s">
        <v>3115</v>
      </c>
      <c r="D309" s="908">
        <f>+ROUNDUP(((34.43)/0.2),0)</f>
        <v>173</v>
      </c>
      <c r="E309" s="491" t="s">
        <v>1484</v>
      </c>
      <c r="F309" s="490">
        <f>D309*1/6</f>
        <v>28.833333333333332</v>
      </c>
      <c r="G309" s="490">
        <f t="shared" ref="G309" si="1">IF(E309="#2",1.494,IF(E309="#3",3.36,IF(E309="#4",5.964,IF(E309="#5",9.312,IF(E309="#2 de 4.11",18.56,IF(E309="#2 de 4.88",26.17,IF(E309="#2 de 5.3",30.87,0)))))))*F309</f>
        <v>96.88</v>
      </c>
    </row>
    <row r="310" spans="2:7" s="479" customFormat="1" x14ac:dyDescent="0.2">
      <c r="C310" s="491" t="s">
        <v>1668</v>
      </c>
      <c r="D310" s="908">
        <f>+ROUNDUP(((2.67+5.31)/0.2),0)</f>
        <v>40</v>
      </c>
      <c r="E310" s="491" t="s">
        <v>1484</v>
      </c>
      <c r="F310" s="491">
        <f>D310*1.5/6</f>
        <v>10</v>
      </c>
      <c r="G310" s="490">
        <f t="shared" si="0"/>
        <v>33.6</v>
      </c>
    </row>
    <row r="311" spans="2:7" s="479" customFormat="1" x14ac:dyDescent="0.2">
      <c r="E311" s="480"/>
      <c r="G311" s="402">
        <f>SUM(G302:G310)</f>
        <v>1289.1110244593301</v>
      </c>
    </row>
    <row r="312" spans="2:7" s="479" customFormat="1" x14ac:dyDescent="0.2">
      <c r="B312" s="524"/>
      <c r="C312" s="894" t="s">
        <v>1546</v>
      </c>
      <c r="D312" s="894" t="s">
        <v>13</v>
      </c>
      <c r="E312" s="894" t="s">
        <v>3148</v>
      </c>
    </row>
    <row r="313" spans="2:7" s="479" customFormat="1" ht="16.5" x14ac:dyDescent="0.25">
      <c r="B313" s="891" t="s">
        <v>2188</v>
      </c>
      <c r="C313" s="907" t="s">
        <v>1669</v>
      </c>
      <c r="D313" s="895">
        <f>+ROUNDUP(F303+F305,0)</f>
        <v>53</v>
      </c>
      <c r="E313" s="894" t="s">
        <v>1826</v>
      </c>
      <c r="F313" s="413"/>
    </row>
    <row r="314" spans="2:7" s="479" customFormat="1" ht="16.5" x14ac:dyDescent="0.25">
      <c r="B314" s="891" t="s">
        <v>1918</v>
      </c>
      <c r="C314" s="907" t="s">
        <v>1525</v>
      </c>
      <c r="D314" s="895">
        <f>ROUNDUP(F302+F304+F306+F308+F309+F310,0)</f>
        <v>361</v>
      </c>
      <c r="E314" s="894" t="s">
        <v>1826</v>
      </c>
      <c r="F314" s="413"/>
    </row>
    <row r="315" spans="2:7" s="479" customFormat="1" ht="16.5" x14ac:dyDescent="0.25">
      <c r="B315" s="891" t="s">
        <v>2187</v>
      </c>
      <c r="C315" s="907" t="s">
        <v>1670</v>
      </c>
      <c r="D315" s="895">
        <f>+F307</f>
        <v>0</v>
      </c>
      <c r="E315" s="894" t="s">
        <v>1826</v>
      </c>
      <c r="F315" s="413"/>
    </row>
    <row r="316" spans="2:7" s="479" customFormat="1" ht="16.5" x14ac:dyDescent="0.25">
      <c r="B316" s="891" t="s">
        <v>1920</v>
      </c>
      <c r="C316" s="907" t="s">
        <v>1583</v>
      </c>
      <c r="D316" s="895">
        <f>ROUND(SUM(G302:G310)*FAN,0)</f>
        <v>58</v>
      </c>
      <c r="E316" s="894" t="s">
        <v>1411</v>
      </c>
      <c r="F316" s="413"/>
    </row>
    <row r="317" spans="2:7" s="479" customFormat="1" ht="16.5" x14ac:dyDescent="0.25">
      <c r="B317" s="891" t="s">
        <v>2189</v>
      </c>
      <c r="C317" s="907" t="s">
        <v>3164</v>
      </c>
      <c r="D317" s="895">
        <f>+D275</f>
        <v>48.12</v>
      </c>
      <c r="E317" s="894" t="s">
        <v>1826</v>
      </c>
      <c r="F317" s="413"/>
    </row>
    <row r="318" spans="2:7" s="479" customFormat="1" ht="16.5" x14ac:dyDescent="0.25">
      <c r="B318" s="891" t="s">
        <v>1991</v>
      </c>
      <c r="C318" s="907" t="s">
        <v>3165</v>
      </c>
      <c r="D318" s="895">
        <f>+D317</f>
        <v>48.12</v>
      </c>
      <c r="E318" s="894" t="s">
        <v>1826</v>
      </c>
      <c r="F318" s="413"/>
    </row>
    <row r="319" spans="2:7" s="479" customFormat="1" ht="16.5" x14ac:dyDescent="0.25">
      <c r="B319" s="891" t="s">
        <v>1922</v>
      </c>
      <c r="C319" s="907" t="s">
        <v>3166</v>
      </c>
      <c r="D319" s="895">
        <f>+ROUND(SUM(D313:D315)/60,0)</f>
        <v>7</v>
      </c>
      <c r="E319" s="894" t="s">
        <v>1826</v>
      </c>
      <c r="F319" s="413"/>
    </row>
    <row r="321" spans="3:10" ht="18.75" x14ac:dyDescent="0.25">
      <c r="C321" s="1052" t="s">
        <v>996</v>
      </c>
    </row>
    <row r="323" spans="3:10" s="479" customFormat="1" x14ac:dyDescent="0.2">
      <c r="C323" s="489" t="s">
        <v>1032</v>
      </c>
      <c r="D323" s="490">
        <f>+D15</f>
        <v>34.36</v>
      </c>
      <c r="E323" s="491" t="s">
        <v>1008</v>
      </c>
    </row>
    <row r="324" spans="3:10" s="479" customFormat="1" x14ac:dyDescent="0.2">
      <c r="C324" s="489" t="s">
        <v>1033</v>
      </c>
      <c r="D324" s="491">
        <v>0.2</v>
      </c>
      <c r="E324" s="491" t="s">
        <v>1008</v>
      </c>
    </row>
    <row r="325" spans="3:10" s="479" customFormat="1" x14ac:dyDescent="0.2">
      <c r="E325" s="480"/>
    </row>
    <row r="326" spans="3:10" s="479" customFormat="1" ht="16.5" x14ac:dyDescent="0.25">
      <c r="C326" s="894" t="s">
        <v>1034</v>
      </c>
      <c r="D326" s="895">
        <f>(D323*D324)</f>
        <v>6.8719999999999999</v>
      </c>
      <c r="E326" s="894" t="s">
        <v>137</v>
      </c>
      <c r="F326" s="413"/>
    </row>
    <row r="328" spans="3:10" s="479" customFormat="1" x14ac:dyDescent="0.2">
      <c r="C328" s="893"/>
      <c r="D328" s="894" t="s">
        <v>1012</v>
      </c>
      <c r="E328" s="894" t="s">
        <v>1013</v>
      </c>
      <c r="F328" s="894" t="s">
        <v>1657</v>
      </c>
      <c r="H328" s="1158"/>
      <c r="I328" s="1158"/>
      <c r="J328" s="1158"/>
    </row>
    <row r="329" spans="3:10" s="479" customFormat="1" x14ac:dyDescent="0.2">
      <c r="C329" s="893" t="s">
        <v>1021</v>
      </c>
      <c r="D329" s="898">
        <f>+D151</f>
        <v>11000</v>
      </c>
      <c r="E329" s="898">
        <f>D329*D277</f>
        <v>111157.20000000003</v>
      </c>
      <c r="F329" s="899">
        <f>+E329/'COSTOS MO CUADRILLA'!K8</f>
        <v>39.699000000000012</v>
      </c>
      <c r="H329" s="480"/>
      <c r="J329" s="480"/>
    </row>
    <row r="330" spans="3:10" s="479" customFormat="1" x14ac:dyDescent="0.2">
      <c r="C330" s="893" t="s">
        <v>1035</v>
      </c>
      <c r="D330" s="898">
        <f>+D152</f>
        <v>600</v>
      </c>
      <c r="E330" s="898">
        <f>SUM(G311)*D330</f>
        <v>773466.6146755981</v>
      </c>
      <c r="F330" s="899">
        <f>+E330/'COSTOS MO CUADRILLA'!K8</f>
        <v>276.23807666985647</v>
      </c>
      <c r="G330" s="480"/>
      <c r="H330" s="480"/>
      <c r="I330" s="495"/>
      <c r="J330" s="496"/>
    </row>
    <row r="331" spans="3:10" s="479" customFormat="1" x14ac:dyDescent="0.2">
      <c r="C331" s="893" t="s">
        <v>1036</v>
      </c>
      <c r="D331" s="898">
        <f>+D153</f>
        <v>6000</v>
      </c>
      <c r="E331" s="898">
        <f>D331*D326</f>
        <v>41232</v>
      </c>
      <c r="F331" s="899">
        <f>+E331/'COSTOS MO CUADRILLA'!K8</f>
        <v>14.725714285714286</v>
      </c>
      <c r="G331" s="480"/>
      <c r="H331" s="480"/>
      <c r="I331" s="495"/>
      <c r="J331" s="496"/>
    </row>
    <row r="332" spans="3:10" s="479" customFormat="1" x14ac:dyDescent="0.2">
      <c r="C332" s="893"/>
      <c r="D332" s="894" t="s">
        <v>1016</v>
      </c>
      <c r="E332" s="898">
        <f>SUM(E329:E331)</f>
        <v>925855.81467559817</v>
      </c>
      <c r="F332" s="899">
        <f>+E332/'COSTOS MO CUADRILLA'!K8</f>
        <v>330.66279095557076</v>
      </c>
      <c r="G332" s="480"/>
      <c r="H332" s="480"/>
      <c r="I332" s="495"/>
      <c r="J332" s="496"/>
    </row>
    <row r="335" spans="3:10" ht="21" x14ac:dyDescent="0.2">
      <c r="C335" s="470">
        <v>1.2</v>
      </c>
      <c r="D335" s="470" t="s">
        <v>3138</v>
      </c>
      <c r="E335" s="707"/>
    </row>
    <row r="336" spans="3:10" x14ac:dyDescent="0.2">
      <c r="C336" s="120"/>
      <c r="D336" s="120"/>
    </row>
    <row r="337" spans="1:9" ht="21" x14ac:dyDescent="0.2">
      <c r="C337" s="471" t="s">
        <v>2085</v>
      </c>
      <c r="D337" s="471" t="s">
        <v>1889</v>
      </c>
    </row>
    <row r="339" spans="1:9" ht="18.75" x14ac:dyDescent="0.2">
      <c r="C339" s="1053" t="s">
        <v>1671</v>
      </c>
      <c r="D339" s="1053" t="s">
        <v>1038</v>
      </c>
    </row>
    <row r="341" spans="1:9" s="479" customFormat="1" ht="16.5" x14ac:dyDescent="0.25">
      <c r="B341" s="524"/>
      <c r="C341" s="481" t="s">
        <v>1460</v>
      </c>
      <c r="D341" s="485">
        <f>+D26</f>
        <v>49.8</v>
      </c>
      <c r="E341" s="498" t="s">
        <v>1008</v>
      </c>
      <c r="F341" s="413"/>
    </row>
    <row r="342" spans="1:9" s="479" customFormat="1" ht="16.5" x14ac:dyDescent="0.25">
      <c r="B342" s="524"/>
      <c r="C342" s="481" t="s">
        <v>1146</v>
      </c>
      <c r="D342" s="498">
        <f>+D27</f>
        <v>2.6</v>
      </c>
      <c r="E342" s="498" t="s">
        <v>1008</v>
      </c>
      <c r="F342" s="413"/>
    </row>
    <row r="343" spans="1:9" s="479" customFormat="1" ht="16.5" x14ac:dyDescent="0.25">
      <c r="B343" s="524"/>
      <c r="C343" s="481" t="s">
        <v>1139</v>
      </c>
      <c r="D343" s="485">
        <f>+D342*D341</f>
        <v>129.47999999999999</v>
      </c>
      <c r="E343" s="498" t="s">
        <v>137</v>
      </c>
      <c r="F343" s="413"/>
    </row>
    <row r="344" spans="1:9" s="479" customFormat="1" ht="16.5" x14ac:dyDescent="0.25">
      <c r="B344" s="524"/>
      <c r="C344" s="489" t="s">
        <v>1039</v>
      </c>
      <c r="D344" s="502">
        <f>ROUND(D342/0.3,0)</f>
        <v>9</v>
      </c>
      <c r="E344" s="491" t="s">
        <v>1024</v>
      </c>
      <c r="F344" s="413"/>
    </row>
    <row r="345" spans="1:9" s="479" customFormat="1" ht="16.5" x14ac:dyDescent="0.25">
      <c r="B345" s="524"/>
      <c r="C345" s="489" t="s">
        <v>3116</v>
      </c>
      <c r="D345" s="502">
        <f>ROUND(D341/0.3,0)</f>
        <v>166</v>
      </c>
      <c r="E345" s="491" t="s">
        <v>1024</v>
      </c>
      <c r="F345" s="423"/>
    </row>
    <row r="346" spans="1:9" x14ac:dyDescent="0.2">
      <c r="C346" s="316"/>
      <c r="D346" s="317"/>
      <c r="E346" s="120"/>
    </row>
    <row r="347" spans="1:9" ht="18.75" x14ac:dyDescent="0.25">
      <c r="C347" s="1052" t="s">
        <v>1485</v>
      </c>
      <c r="D347" s="419"/>
      <c r="E347" s="120"/>
    </row>
    <row r="348" spans="1:9" x14ac:dyDescent="0.2">
      <c r="C348" s="316"/>
      <c r="D348" s="317"/>
      <c r="E348" s="120"/>
    </row>
    <row r="349" spans="1:9" x14ac:dyDescent="0.2">
      <c r="C349" s="915" t="s">
        <v>3795</v>
      </c>
      <c r="D349" s="1120"/>
      <c r="E349" s="120"/>
    </row>
    <row r="350" spans="1:9" s="479" customFormat="1" x14ac:dyDescent="0.2">
      <c r="B350" s="524"/>
      <c r="C350" s="491" t="s">
        <v>1146</v>
      </c>
      <c r="D350" s="491" t="s">
        <v>1461</v>
      </c>
      <c r="E350" s="491" t="s">
        <v>13</v>
      </c>
      <c r="F350" s="491" t="s">
        <v>1486</v>
      </c>
      <c r="G350" s="491" t="s">
        <v>1487</v>
      </c>
      <c r="H350" s="491" t="s">
        <v>257</v>
      </c>
    </row>
    <row r="351" spans="1:9" s="479" customFormat="1" ht="15.75" customHeight="1" x14ac:dyDescent="0.25">
      <c r="A351" s="1165" t="s">
        <v>1099</v>
      </c>
      <c r="B351" s="479" t="str">
        <f>C39</f>
        <v>P01</v>
      </c>
      <c r="C351" s="920">
        <f>D39</f>
        <v>2.15</v>
      </c>
      <c r="D351" s="920">
        <f t="shared" ref="D351:E351" si="2">E39</f>
        <v>1</v>
      </c>
      <c r="E351" s="920">
        <f t="shared" si="2"/>
        <v>1</v>
      </c>
      <c r="F351" s="490">
        <f>(SUM(C351:D351)*2+1.6)*E351</f>
        <v>7.9</v>
      </c>
      <c r="G351" s="490">
        <f>0.8*4*E351</f>
        <v>3.2</v>
      </c>
      <c r="H351" s="490">
        <f>+G351+F351</f>
        <v>11.100000000000001</v>
      </c>
      <c r="I351" s="413"/>
    </row>
    <row r="352" spans="1:9" s="479" customFormat="1" ht="16.5" x14ac:dyDescent="0.25">
      <c r="A352" s="1166"/>
      <c r="C352" s="920"/>
      <c r="D352" s="920"/>
      <c r="E352" s="920"/>
      <c r="F352" s="490">
        <f t="shared" ref="F352:F356" si="3">(SUM(C352:D352)*2+1.6)*E352</f>
        <v>0</v>
      </c>
      <c r="G352" s="490">
        <f>0.8*4*E352</f>
        <v>0</v>
      </c>
      <c r="H352" s="490">
        <f t="shared" ref="H352:H356" si="4">+G352+F352</f>
        <v>0</v>
      </c>
      <c r="I352" s="413"/>
    </row>
    <row r="353" spans="1:9" s="479" customFormat="1" ht="16.5" x14ac:dyDescent="0.25">
      <c r="A353" s="1166"/>
      <c r="B353" s="479" t="str">
        <f t="shared" ref="B353:B365" si="5">C41</f>
        <v>P03</v>
      </c>
      <c r="C353" s="920">
        <f t="shared" ref="C353:E353" si="6">D41</f>
        <v>1.1499999999999999</v>
      </c>
      <c r="D353" s="920">
        <f t="shared" si="6"/>
        <v>0.8</v>
      </c>
      <c r="E353" s="920">
        <f t="shared" si="6"/>
        <v>1</v>
      </c>
      <c r="F353" s="490">
        <f t="shared" si="3"/>
        <v>5.5</v>
      </c>
      <c r="G353" s="490">
        <f>0.8*4*E353</f>
        <v>3.2</v>
      </c>
      <c r="H353" s="490">
        <f t="shared" si="4"/>
        <v>8.6999999999999993</v>
      </c>
      <c r="I353" s="413"/>
    </row>
    <row r="354" spans="1:9" s="479" customFormat="1" ht="16.5" x14ac:dyDescent="0.25">
      <c r="A354" s="1166"/>
      <c r="B354" s="479" t="str">
        <f t="shared" si="5"/>
        <v>P05</v>
      </c>
      <c r="C354" s="920">
        <f t="shared" ref="C354:E354" si="7">D42</f>
        <v>2.15</v>
      </c>
      <c r="D354" s="920">
        <f t="shared" si="7"/>
        <v>1.8</v>
      </c>
      <c r="E354" s="920">
        <f t="shared" si="7"/>
        <v>1</v>
      </c>
      <c r="F354" s="490">
        <f t="shared" ref="F354" si="8">(SUM(C354:D354)*2+1.6)*E354</f>
        <v>9.5</v>
      </c>
      <c r="G354" s="490">
        <f>0.8*4*E354</f>
        <v>3.2</v>
      </c>
      <c r="H354" s="490">
        <f t="shared" ref="H354" si="9">+G354+F354</f>
        <v>12.7</v>
      </c>
      <c r="I354" s="413"/>
    </row>
    <row r="355" spans="1:9" s="479" customFormat="1" ht="16.5" x14ac:dyDescent="0.25">
      <c r="A355" s="1166"/>
      <c r="B355" s="479" t="str">
        <f t="shared" si="5"/>
        <v>P06</v>
      </c>
      <c r="C355" s="920">
        <f t="shared" ref="C355:E355" si="10">D43</f>
        <v>2.15</v>
      </c>
      <c r="D355" s="920">
        <f t="shared" si="10"/>
        <v>0.9</v>
      </c>
      <c r="E355" s="920">
        <f t="shared" si="10"/>
        <v>1</v>
      </c>
      <c r="F355" s="490">
        <f t="shared" si="3"/>
        <v>7.6999999999999993</v>
      </c>
      <c r="G355" s="490">
        <f t="shared" ref="G355:G356" si="11">0.8*4*E355</f>
        <v>3.2</v>
      </c>
      <c r="H355" s="490">
        <f t="shared" si="4"/>
        <v>10.899999999999999</v>
      </c>
      <c r="I355" s="413"/>
    </row>
    <row r="356" spans="1:9" s="479" customFormat="1" ht="16.5" x14ac:dyDescent="0.25">
      <c r="A356" s="1166"/>
      <c r="B356" s="479" t="str">
        <f t="shared" si="5"/>
        <v>P07</v>
      </c>
      <c r="C356" s="920">
        <f t="shared" ref="C356:E356" si="12">D44</f>
        <v>2.15</v>
      </c>
      <c r="D356" s="920">
        <f t="shared" si="12"/>
        <v>1.5</v>
      </c>
      <c r="E356" s="920">
        <f t="shared" si="12"/>
        <v>1</v>
      </c>
      <c r="F356" s="490">
        <f t="shared" si="3"/>
        <v>8.9</v>
      </c>
      <c r="G356" s="490">
        <f t="shared" si="11"/>
        <v>3.2</v>
      </c>
      <c r="H356" s="490">
        <f t="shared" si="4"/>
        <v>12.100000000000001</v>
      </c>
      <c r="I356" s="413"/>
    </row>
    <row r="357" spans="1:9" s="479" customFormat="1" ht="16.5" x14ac:dyDescent="0.25">
      <c r="A357" s="1166"/>
      <c r="B357" s="479" t="str">
        <f t="shared" si="5"/>
        <v>P08</v>
      </c>
      <c r="C357" s="920">
        <f t="shared" ref="C357:E357" si="13">D45</f>
        <v>2.15</v>
      </c>
      <c r="D357" s="920">
        <f t="shared" si="13"/>
        <v>0.7</v>
      </c>
      <c r="E357" s="920">
        <f t="shared" si="13"/>
        <v>1</v>
      </c>
      <c r="F357" s="490">
        <f t="shared" ref="F357:F364" si="14">(SUM(C357:D357)*2+1.6)*E357</f>
        <v>7.2999999999999989</v>
      </c>
      <c r="G357" s="490">
        <f t="shared" ref="G357:G364" si="15">0.8*4*E357</f>
        <v>3.2</v>
      </c>
      <c r="H357" s="490">
        <f t="shared" ref="H357:H375" si="16">+G357+F357</f>
        <v>10.5</v>
      </c>
      <c r="I357" s="413"/>
    </row>
    <row r="358" spans="1:9" s="479" customFormat="1" ht="16.5" x14ac:dyDescent="0.25">
      <c r="A358" s="1166"/>
      <c r="B358" s="479" t="str">
        <f t="shared" si="5"/>
        <v>P08</v>
      </c>
      <c r="C358" s="920">
        <f t="shared" ref="C358:E358" si="17">D46</f>
        <v>2.15</v>
      </c>
      <c r="D358" s="920">
        <f t="shared" si="17"/>
        <v>0.8</v>
      </c>
      <c r="E358" s="920">
        <f t="shared" si="17"/>
        <v>1</v>
      </c>
      <c r="F358" s="490">
        <f t="shared" si="14"/>
        <v>7.5</v>
      </c>
      <c r="G358" s="490">
        <f t="shared" si="15"/>
        <v>3.2</v>
      </c>
      <c r="H358" s="490">
        <f t="shared" si="16"/>
        <v>10.7</v>
      </c>
      <c r="I358" s="413"/>
    </row>
    <row r="359" spans="1:9" s="479" customFormat="1" ht="16.5" x14ac:dyDescent="0.25">
      <c r="A359" s="1166"/>
      <c r="B359" s="479" t="str">
        <f t="shared" si="5"/>
        <v>P08</v>
      </c>
      <c r="C359" s="920">
        <f t="shared" ref="C359:E359" si="18">D47</f>
        <v>2.15</v>
      </c>
      <c r="D359" s="920">
        <f t="shared" si="18"/>
        <v>0.7</v>
      </c>
      <c r="E359" s="920">
        <f t="shared" si="18"/>
        <v>1</v>
      </c>
      <c r="F359" s="490">
        <f t="shared" si="14"/>
        <v>7.2999999999999989</v>
      </c>
      <c r="G359" s="490">
        <f t="shared" si="15"/>
        <v>3.2</v>
      </c>
      <c r="H359" s="490">
        <f t="shared" si="16"/>
        <v>10.5</v>
      </c>
      <c r="I359" s="413"/>
    </row>
    <row r="360" spans="1:9" s="479" customFormat="1" ht="16.5" x14ac:dyDescent="0.25">
      <c r="A360" s="1166"/>
      <c r="B360" s="479">
        <f t="shared" si="5"/>
        <v>0</v>
      </c>
      <c r="C360" s="920">
        <f t="shared" ref="C360:E360" si="19">D48</f>
        <v>0</v>
      </c>
      <c r="D360" s="920">
        <f t="shared" si="19"/>
        <v>0</v>
      </c>
      <c r="E360" s="920">
        <f t="shared" si="19"/>
        <v>0</v>
      </c>
      <c r="F360" s="490">
        <f t="shared" si="14"/>
        <v>0</v>
      </c>
      <c r="G360" s="490">
        <f t="shared" si="15"/>
        <v>0</v>
      </c>
      <c r="H360" s="490">
        <f t="shared" si="16"/>
        <v>0</v>
      </c>
      <c r="I360" s="413"/>
    </row>
    <row r="361" spans="1:9" s="479" customFormat="1" ht="15.75" customHeight="1" x14ac:dyDescent="0.25">
      <c r="A361" s="1166"/>
      <c r="B361" s="479">
        <f t="shared" si="5"/>
        <v>0</v>
      </c>
      <c r="C361" s="920">
        <f t="shared" ref="C361:E361" si="20">D49</f>
        <v>0</v>
      </c>
      <c r="D361" s="920">
        <f t="shared" si="20"/>
        <v>0</v>
      </c>
      <c r="E361" s="920">
        <f t="shared" si="20"/>
        <v>0</v>
      </c>
      <c r="F361" s="490">
        <f t="shared" si="14"/>
        <v>0</v>
      </c>
      <c r="G361" s="490">
        <f t="shared" si="15"/>
        <v>0</v>
      </c>
      <c r="H361" s="490">
        <f t="shared" si="16"/>
        <v>0</v>
      </c>
      <c r="I361" s="413"/>
    </row>
    <row r="362" spans="1:9" s="479" customFormat="1" ht="16.5" x14ac:dyDescent="0.25">
      <c r="A362" s="1166"/>
      <c r="B362" s="479">
        <f t="shared" si="5"/>
        <v>0</v>
      </c>
      <c r="C362" s="920">
        <f t="shared" ref="C362:E362" si="21">D50</f>
        <v>0</v>
      </c>
      <c r="D362" s="920">
        <f t="shared" si="21"/>
        <v>0</v>
      </c>
      <c r="E362" s="920">
        <f t="shared" si="21"/>
        <v>0</v>
      </c>
      <c r="F362" s="490">
        <f t="shared" si="14"/>
        <v>0</v>
      </c>
      <c r="G362" s="490">
        <f t="shared" si="15"/>
        <v>0</v>
      </c>
      <c r="H362" s="490">
        <f t="shared" si="16"/>
        <v>0</v>
      </c>
      <c r="I362" s="413"/>
    </row>
    <row r="363" spans="1:9" s="479" customFormat="1" ht="16.5" x14ac:dyDescent="0.25">
      <c r="A363" s="1166"/>
      <c r="B363" s="479">
        <f t="shared" si="5"/>
        <v>0</v>
      </c>
      <c r="C363" s="920">
        <f t="shared" ref="C363:E363" si="22">D51</f>
        <v>0</v>
      </c>
      <c r="D363" s="920">
        <f t="shared" si="22"/>
        <v>0</v>
      </c>
      <c r="E363" s="920">
        <f t="shared" si="22"/>
        <v>0</v>
      </c>
      <c r="F363" s="490">
        <f t="shared" si="14"/>
        <v>0</v>
      </c>
      <c r="G363" s="490">
        <f t="shared" si="15"/>
        <v>0</v>
      </c>
      <c r="H363" s="490">
        <f t="shared" si="16"/>
        <v>0</v>
      </c>
      <c r="I363" s="413"/>
    </row>
    <row r="364" spans="1:9" s="479" customFormat="1" ht="16.5" x14ac:dyDescent="0.25">
      <c r="A364" s="1166"/>
      <c r="B364" s="479">
        <f t="shared" si="5"/>
        <v>0</v>
      </c>
      <c r="C364" s="920">
        <f t="shared" ref="C364:E365" si="23">D52</f>
        <v>0</v>
      </c>
      <c r="D364" s="920">
        <f t="shared" si="23"/>
        <v>0</v>
      </c>
      <c r="E364" s="920">
        <f t="shared" si="23"/>
        <v>0</v>
      </c>
      <c r="F364" s="490">
        <f t="shared" si="14"/>
        <v>0</v>
      </c>
      <c r="G364" s="490">
        <f t="shared" si="15"/>
        <v>0</v>
      </c>
      <c r="H364" s="490">
        <f t="shared" si="16"/>
        <v>0</v>
      </c>
      <c r="I364" s="413"/>
    </row>
    <row r="365" spans="1:9" s="479" customFormat="1" ht="16.5" x14ac:dyDescent="0.25">
      <c r="A365" s="1167"/>
      <c r="B365" s="479">
        <f t="shared" si="5"/>
        <v>0</v>
      </c>
      <c r="C365" s="920">
        <f t="shared" si="23"/>
        <v>0</v>
      </c>
      <c r="D365" s="920">
        <f t="shared" si="23"/>
        <v>0</v>
      </c>
      <c r="E365" s="920">
        <f t="shared" si="23"/>
        <v>0</v>
      </c>
      <c r="F365" s="490">
        <f>(SUM(C365:D365)*2+1.6)*E365</f>
        <v>0</v>
      </c>
      <c r="G365" s="490">
        <f>0.8*4*E365</f>
        <v>0</v>
      </c>
      <c r="H365" s="490">
        <f t="shared" ref="H365:H374" si="24">+G365+F365</f>
        <v>0</v>
      </c>
      <c r="I365" s="413"/>
    </row>
    <row r="366" spans="1:9" s="479" customFormat="1" ht="16.5" x14ac:dyDescent="0.25">
      <c r="A366" s="1165" t="s">
        <v>3584</v>
      </c>
      <c r="B366" s="479">
        <f>C71</f>
        <v>0</v>
      </c>
      <c r="C366" s="920">
        <f>D71</f>
        <v>2.15</v>
      </c>
      <c r="D366" s="920">
        <f t="shared" ref="D366:E366" si="25">E71</f>
        <v>0.6</v>
      </c>
      <c r="E366" s="920">
        <f t="shared" si="25"/>
        <v>1</v>
      </c>
      <c r="F366" s="490">
        <f t="shared" ref="F366:F374" si="26">(SUM(C366:D366)*2+1.6)*E366</f>
        <v>7.1</v>
      </c>
      <c r="G366" s="490">
        <f t="shared" ref="G366:G374" si="27">0.8*4*E366</f>
        <v>3.2</v>
      </c>
      <c r="H366" s="490">
        <f t="shared" si="24"/>
        <v>10.3</v>
      </c>
      <c r="I366" s="413"/>
    </row>
    <row r="367" spans="1:9" s="479" customFormat="1" ht="16.5" x14ac:dyDescent="0.25">
      <c r="A367" s="1166"/>
      <c r="B367" s="479">
        <f t="shared" ref="B367:B375" si="28">C72</f>
        <v>0</v>
      </c>
      <c r="C367" s="920">
        <f t="shared" ref="C367:E367" si="29">D72</f>
        <v>0.55000000000000004</v>
      </c>
      <c r="D367" s="920">
        <f t="shared" si="29"/>
        <v>0.55000000000000004</v>
      </c>
      <c r="E367" s="920">
        <f t="shared" si="29"/>
        <v>1</v>
      </c>
      <c r="F367" s="490">
        <f t="shared" si="26"/>
        <v>3.8000000000000003</v>
      </c>
      <c r="G367" s="490">
        <f t="shared" si="27"/>
        <v>3.2</v>
      </c>
      <c r="H367" s="490">
        <f t="shared" si="24"/>
        <v>7</v>
      </c>
      <c r="I367" s="413"/>
    </row>
    <row r="368" spans="1:9" s="479" customFormat="1" ht="16.5" x14ac:dyDescent="0.25">
      <c r="A368" s="1166"/>
      <c r="B368" s="479">
        <f t="shared" si="28"/>
        <v>0</v>
      </c>
      <c r="C368" s="920">
        <f t="shared" ref="C368:E368" si="30">D73</f>
        <v>0.55000000000000004</v>
      </c>
      <c r="D368" s="920">
        <f t="shared" si="30"/>
        <v>0.55000000000000004</v>
      </c>
      <c r="E368" s="920">
        <f t="shared" si="30"/>
        <v>1</v>
      </c>
      <c r="F368" s="490">
        <f t="shared" si="26"/>
        <v>3.8000000000000003</v>
      </c>
      <c r="G368" s="490">
        <f t="shared" si="27"/>
        <v>3.2</v>
      </c>
      <c r="H368" s="490">
        <f t="shared" si="24"/>
        <v>7</v>
      </c>
      <c r="I368" s="413"/>
    </row>
    <row r="369" spans="1:13" s="479" customFormat="1" ht="16.5" x14ac:dyDescent="0.25">
      <c r="A369" s="1166"/>
      <c r="B369" s="479">
        <f t="shared" si="28"/>
        <v>0</v>
      </c>
      <c r="C369" s="920">
        <f t="shared" ref="C369:E369" si="31">D74</f>
        <v>0</v>
      </c>
      <c r="D369" s="920">
        <f t="shared" si="31"/>
        <v>0</v>
      </c>
      <c r="E369" s="920">
        <f t="shared" si="31"/>
        <v>0</v>
      </c>
      <c r="F369" s="490">
        <f t="shared" si="26"/>
        <v>0</v>
      </c>
      <c r="G369" s="490">
        <f t="shared" si="27"/>
        <v>0</v>
      </c>
      <c r="H369" s="490">
        <f t="shared" si="24"/>
        <v>0</v>
      </c>
      <c r="I369" s="413"/>
    </row>
    <row r="370" spans="1:13" s="479" customFormat="1" ht="16.5" x14ac:dyDescent="0.25">
      <c r="A370" s="1166"/>
      <c r="B370" s="479">
        <f t="shared" si="28"/>
        <v>0</v>
      </c>
      <c r="C370" s="920">
        <f t="shared" ref="C370:E370" si="32">D75</f>
        <v>0</v>
      </c>
      <c r="D370" s="920">
        <f t="shared" si="32"/>
        <v>0</v>
      </c>
      <c r="E370" s="920">
        <f t="shared" si="32"/>
        <v>0</v>
      </c>
      <c r="F370" s="490">
        <f t="shared" si="26"/>
        <v>0</v>
      </c>
      <c r="G370" s="490">
        <f t="shared" si="27"/>
        <v>0</v>
      </c>
      <c r="H370" s="490">
        <f t="shared" si="24"/>
        <v>0</v>
      </c>
      <c r="I370" s="413"/>
    </row>
    <row r="371" spans="1:13" s="479" customFormat="1" ht="16.5" x14ac:dyDescent="0.25">
      <c r="A371" s="1166"/>
      <c r="B371" s="479">
        <f t="shared" si="28"/>
        <v>0</v>
      </c>
      <c r="C371" s="920">
        <f t="shared" ref="C371:E371" si="33">D76</f>
        <v>0</v>
      </c>
      <c r="D371" s="920">
        <f t="shared" si="33"/>
        <v>0</v>
      </c>
      <c r="E371" s="920">
        <f t="shared" si="33"/>
        <v>0</v>
      </c>
      <c r="F371" s="490">
        <f t="shared" si="26"/>
        <v>0</v>
      </c>
      <c r="G371" s="490">
        <f t="shared" si="27"/>
        <v>0</v>
      </c>
      <c r="H371" s="490">
        <f t="shared" si="24"/>
        <v>0</v>
      </c>
      <c r="I371" s="413"/>
    </row>
    <row r="372" spans="1:13" s="479" customFormat="1" ht="16.5" x14ac:dyDescent="0.25">
      <c r="A372" s="1166"/>
      <c r="B372" s="479">
        <f t="shared" si="28"/>
        <v>0</v>
      </c>
      <c r="C372" s="920">
        <f t="shared" ref="C372:E372" si="34">D77</f>
        <v>0</v>
      </c>
      <c r="D372" s="920">
        <f t="shared" si="34"/>
        <v>0</v>
      </c>
      <c r="E372" s="920">
        <f t="shared" si="34"/>
        <v>0</v>
      </c>
      <c r="F372" s="490">
        <f t="shared" si="26"/>
        <v>0</v>
      </c>
      <c r="G372" s="490">
        <f t="shared" si="27"/>
        <v>0</v>
      </c>
      <c r="H372" s="490">
        <f t="shared" si="24"/>
        <v>0</v>
      </c>
      <c r="I372" s="413"/>
    </row>
    <row r="373" spans="1:13" s="479" customFormat="1" ht="16.5" x14ac:dyDescent="0.25">
      <c r="A373" s="1166"/>
      <c r="B373" s="479">
        <f t="shared" si="28"/>
        <v>0</v>
      </c>
      <c r="C373" s="920">
        <f t="shared" ref="C373:E373" si="35">D78</f>
        <v>0</v>
      </c>
      <c r="D373" s="920">
        <f t="shared" si="35"/>
        <v>0</v>
      </c>
      <c r="E373" s="920">
        <f t="shared" si="35"/>
        <v>0</v>
      </c>
      <c r="F373" s="490">
        <f t="shared" si="26"/>
        <v>0</v>
      </c>
      <c r="G373" s="490">
        <f t="shared" si="27"/>
        <v>0</v>
      </c>
      <c r="H373" s="490">
        <f t="shared" si="24"/>
        <v>0</v>
      </c>
      <c r="I373" s="413"/>
    </row>
    <row r="374" spans="1:13" s="479" customFormat="1" ht="16.5" x14ac:dyDescent="0.25">
      <c r="A374" s="1166"/>
      <c r="B374" s="479">
        <f t="shared" si="28"/>
        <v>0</v>
      </c>
      <c r="C374" s="920">
        <f t="shared" ref="C374:E374" si="36">D79</f>
        <v>0</v>
      </c>
      <c r="D374" s="920">
        <f t="shared" si="36"/>
        <v>0</v>
      </c>
      <c r="E374" s="920">
        <f t="shared" si="36"/>
        <v>0</v>
      </c>
      <c r="F374" s="490">
        <f t="shared" si="26"/>
        <v>0</v>
      </c>
      <c r="G374" s="490">
        <f t="shared" si="27"/>
        <v>0</v>
      </c>
      <c r="H374" s="490">
        <f t="shared" si="24"/>
        <v>0</v>
      </c>
      <c r="I374" s="413"/>
    </row>
    <row r="375" spans="1:13" s="479" customFormat="1" ht="16.5" x14ac:dyDescent="0.25">
      <c r="A375" s="1167"/>
      <c r="B375" s="479">
        <f t="shared" si="28"/>
        <v>0</v>
      </c>
      <c r="C375" s="920">
        <f t="shared" ref="C375:E375" si="37">D80</f>
        <v>0</v>
      </c>
      <c r="D375" s="920">
        <f t="shared" si="37"/>
        <v>0</v>
      </c>
      <c r="E375" s="920">
        <f t="shared" si="37"/>
        <v>0</v>
      </c>
      <c r="F375" s="490">
        <f>(SUM(C375:D375)*2+1.6)*E375</f>
        <v>0</v>
      </c>
      <c r="G375" s="490">
        <f>0.8*4*E375</f>
        <v>0</v>
      </c>
      <c r="H375" s="490">
        <f t="shared" si="16"/>
        <v>0</v>
      </c>
      <c r="I375" s="413"/>
    </row>
    <row r="376" spans="1:13" x14ac:dyDescent="0.2">
      <c r="C376" s="316"/>
      <c r="D376" s="317"/>
      <c r="E376" s="120"/>
      <c r="H376" s="921">
        <f>SUM(H351:H375)</f>
        <v>111.5</v>
      </c>
    </row>
    <row r="378" spans="1:13" ht="18.75" x14ac:dyDescent="0.25">
      <c r="C378" s="1052" t="s">
        <v>1854</v>
      </c>
      <c r="D378" s="426"/>
      <c r="E378" s="120"/>
    </row>
    <row r="379" spans="1:13" x14ac:dyDescent="0.2">
      <c r="C379" s="316"/>
      <c r="D379" s="317"/>
      <c r="E379" s="120"/>
    </row>
    <row r="380" spans="1:13" s="479" customFormat="1" x14ac:dyDescent="0.2">
      <c r="C380" s="491" t="s">
        <v>1855</v>
      </c>
      <c r="D380" s="491" t="s">
        <v>1025</v>
      </c>
      <c r="E380" s="910" t="s">
        <v>1856</v>
      </c>
      <c r="F380" s="706" t="s">
        <v>1663</v>
      </c>
      <c r="G380" s="924" t="s">
        <v>257</v>
      </c>
      <c r="H380" s="706" t="s">
        <v>1459</v>
      </c>
      <c r="I380" s="1156" t="s">
        <v>1857</v>
      </c>
      <c r="J380" s="1156"/>
      <c r="K380" s="1156"/>
      <c r="L380" s="1156"/>
    </row>
    <row r="381" spans="1:13" s="479" customFormat="1" ht="16.5" x14ac:dyDescent="0.25">
      <c r="C381" s="1155" t="s">
        <v>1858</v>
      </c>
      <c r="D381" s="1146">
        <v>13</v>
      </c>
      <c r="E381" s="910" t="s">
        <v>1859</v>
      </c>
      <c r="F381" s="706" t="s">
        <v>1484</v>
      </c>
      <c r="G381" s="923">
        <f>+D381*($D$27+0.9)*J381/5.7</f>
        <v>0</v>
      </c>
      <c r="H381" s="929">
        <f>IF(F381="#2",1.494,IF(F381="#3",3.36,IF(F381="#4",5.964,IF(F381="#5",9.312,IF(F381="#2 de 4.11",18.56,IF(F381="#2 de 4.88",26.17,IF(F381="#2 de 5.3",30.87,0)))))))*G381</f>
        <v>0</v>
      </c>
      <c r="I381" s="910" t="s">
        <v>1860</v>
      </c>
      <c r="J381" s="932">
        <v>0</v>
      </c>
      <c r="K381" s="935"/>
      <c r="L381" s="932"/>
      <c r="M381" s="413"/>
    </row>
    <row r="382" spans="1:13" s="479" customFormat="1" ht="16.5" x14ac:dyDescent="0.25">
      <c r="C382" s="1145"/>
      <c r="D382" s="1146"/>
      <c r="E382" s="925" t="s">
        <v>1861</v>
      </c>
      <c r="F382" s="927" t="s">
        <v>1484</v>
      </c>
      <c r="G382" s="926">
        <f>ROUNDUP($D$27/J382+1,0)*L382*D381/5.7</f>
        <v>16.421052631578945</v>
      </c>
      <c r="H382" s="930">
        <f t="shared" ref="H382:H415" si="38">IF(F382="#2",1.494,IF(F382="#3",3.36,IF(F382="#4",5.964,IF(F382="#5",9.312,IF(F382="#2 de 4.11",18.56,IF(F382="#2 de 4.88",26.17,IF(F382="#2 de 5.3",30.87,0)))))))*G382</f>
        <v>55.174736842105254</v>
      </c>
      <c r="I382" s="925" t="s">
        <v>1862</v>
      </c>
      <c r="J382" s="933">
        <v>0.25</v>
      </c>
      <c r="K382" s="936" t="s">
        <v>1863</v>
      </c>
      <c r="L382" s="933">
        <v>0.6</v>
      </c>
      <c r="M382" s="413"/>
    </row>
    <row r="383" spans="1:13" s="479" customFormat="1" ht="16.5" x14ac:dyDescent="0.25">
      <c r="C383" s="1155" t="s">
        <v>1864</v>
      </c>
      <c r="D383" s="1146">
        <v>9</v>
      </c>
      <c r="E383" s="910" t="s">
        <v>1859</v>
      </c>
      <c r="F383" s="706" t="s">
        <v>1484</v>
      </c>
      <c r="G383" s="923">
        <f>+D383*($D$27+0.9)*J383/5.7</f>
        <v>0</v>
      </c>
      <c r="H383" s="929">
        <f t="shared" si="38"/>
        <v>0</v>
      </c>
      <c r="I383" s="910" t="s">
        <v>1860</v>
      </c>
      <c r="J383" s="932">
        <v>0</v>
      </c>
      <c r="K383" s="935"/>
      <c r="L383" s="932"/>
      <c r="M383" s="413"/>
    </row>
    <row r="384" spans="1:13" s="479" customFormat="1" ht="16.5" x14ac:dyDescent="0.25">
      <c r="C384" s="1145"/>
      <c r="D384" s="1146"/>
      <c r="E384" s="925" t="s">
        <v>1861</v>
      </c>
      <c r="F384" s="927" t="s">
        <v>1484</v>
      </c>
      <c r="G384" s="926">
        <f>ROUNDUP($D$27/J384+1,0)*L384*D383/5.7</f>
        <v>20.842105263157897</v>
      </c>
      <c r="H384" s="930">
        <f t="shared" si="38"/>
        <v>70.029473684210529</v>
      </c>
      <c r="I384" s="925" t="s">
        <v>1862</v>
      </c>
      <c r="J384" s="933">
        <v>0.25</v>
      </c>
      <c r="K384" s="936" t="s">
        <v>1863</v>
      </c>
      <c r="L384" s="933">
        <v>1.1000000000000001</v>
      </c>
      <c r="M384" s="413"/>
    </row>
    <row r="385" spans="3:13" s="479" customFormat="1" ht="16.5" x14ac:dyDescent="0.25">
      <c r="C385" s="1155" t="s">
        <v>1865</v>
      </c>
      <c r="D385" s="1146">
        <v>5</v>
      </c>
      <c r="E385" s="910" t="s">
        <v>1859</v>
      </c>
      <c r="F385" s="706" t="s">
        <v>1484</v>
      </c>
      <c r="G385" s="923">
        <f>+D385*($D$27+0.9)*J385/5.7</f>
        <v>0</v>
      </c>
      <c r="H385" s="929">
        <f t="shared" si="38"/>
        <v>0</v>
      </c>
      <c r="I385" s="910" t="s">
        <v>1860</v>
      </c>
      <c r="J385" s="932">
        <v>0</v>
      </c>
      <c r="K385" s="935"/>
      <c r="L385" s="932"/>
      <c r="M385" s="413"/>
    </row>
    <row r="386" spans="3:13" s="479" customFormat="1" ht="16.5" x14ac:dyDescent="0.25">
      <c r="C386" s="1145"/>
      <c r="D386" s="1146"/>
      <c r="E386" s="925" t="s">
        <v>1861</v>
      </c>
      <c r="F386" s="927" t="s">
        <v>1484</v>
      </c>
      <c r="G386" s="926">
        <f>ROUNDUP($D$27/J386+1,0)*L386*D385/5.7</f>
        <v>12.631578947368421</v>
      </c>
      <c r="H386" s="930">
        <f t="shared" si="38"/>
        <v>42.442105263157892</v>
      </c>
      <c r="I386" s="925" t="s">
        <v>1862</v>
      </c>
      <c r="J386" s="933">
        <v>0.25</v>
      </c>
      <c r="K386" s="936" t="s">
        <v>1863</v>
      </c>
      <c r="L386" s="933">
        <v>1.2</v>
      </c>
      <c r="M386" s="413"/>
    </row>
    <row r="387" spans="3:13" s="479" customFormat="1" ht="16.5" x14ac:dyDescent="0.25">
      <c r="C387" s="1155" t="s">
        <v>3553</v>
      </c>
      <c r="D387" s="1146"/>
      <c r="E387" s="910" t="s">
        <v>1859</v>
      </c>
      <c r="F387" s="706" t="s">
        <v>1484</v>
      </c>
      <c r="G387" s="923">
        <f>+D387*($D$27+0.9)*J387/5.7</f>
        <v>0</v>
      </c>
      <c r="H387" s="929">
        <f t="shared" ref="H387:H388" si="39">IF(F387="#2",1.494,IF(F387="#3",3.36,IF(F387="#4",5.964,IF(F387="#5",9.312,IF(F387="#2 de 4.11",18.56,IF(F387="#2 de 4.88",26.17,IF(F387="#2 de 5.3",30.87,0)))))))*G387</f>
        <v>0</v>
      </c>
      <c r="I387" s="910" t="s">
        <v>1860</v>
      </c>
      <c r="J387" s="932">
        <v>0</v>
      </c>
      <c r="K387" s="935"/>
      <c r="L387" s="932"/>
      <c r="M387" s="413"/>
    </row>
    <row r="388" spans="3:13" s="479" customFormat="1" ht="16.5" x14ac:dyDescent="0.25">
      <c r="C388" s="1145"/>
      <c r="D388" s="1146"/>
      <c r="E388" s="925" t="s">
        <v>1861</v>
      </c>
      <c r="F388" s="927" t="s">
        <v>1484</v>
      </c>
      <c r="G388" s="926">
        <f>ROUNDUP($D$27/J388+1,0)*L388*D387/5.7</f>
        <v>0</v>
      </c>
      <c r="H388" s="930">
        <f t="shared" si="39"/>
        <v>0</v>
      </c>
      <c r="I388" s="925" t="s">
        <v>1862</v>
      </c>
      <c r="J388" s="933">
        <v>0.2</v>
      </c>
      <c r="K388" s="936" t="s">
        <v>1863</v>
      </c>
      <c r="L388" s="933">
        <v>2.1</v>
      </c>
      <c r="M388" s="413"/>
    </row>
    <row r="389" spans="3:13" s="479" customFormat="1" ht="16.5" x14ac:dyDescent="0.25">
      <c r="C389" s="1155" t="s">
        <v>3554</v>
      </c>
      <c r="D389" s="1146"/>
      <c r="E389" s="910" t="s">
        <v>1859</v>
      </c>
      <c r="F389" s="706" t="s">
        <v>1484</v>
      </c>
      <c r="G389" s="923">
        <f>+D389*($D$27+0.9)*J389/5.7</f>
        <v>0</v>
      </c>
      <c r="H389" s="929">
        <f t="shared" ref="H389:H390" si="40">IF(F389="#2",1.494,IF(F389="#3",3.36,IF(F389="#4",5.964,IF(F389="#5",9.312,IF(F389="#2 de 4.11",18.56,IF(F389="#2 de 4.88",26.17,IF(F389="#2 de 5.3",30.87,0)))))))*G389</f>
        <v>0</v>
      </c>
      <c r="I389" s="910" t="s">
        <v>1860</v>
      </c>
      <c r="J389" s="932">
        <v>0</v>
      </c>
      <c r="K389" s="935"/>
      <c r="L389" s="932"/>
      <c r="M389" s="413"/>
    </row>
    <row r="390" spans="3:13" s="479" customFormat="1" ht="16.5" x14ac:dyDescent="0.25">
      <c r="C390" s="1145"/>
      <c r="D390" s="1146"/>
      <c r="E390" s="925" t="s">
        <v>1861</v>
      </c>
      <c r="F390" s="927" t="s">
        <v>1484</v>
      </c>
      <c r="G390" s="926">
        <f>ROUNDUP($D$27/J390+1,0)*L390*D389/5.7</f>
        <v>0</v>
      </c>
      <c r="H390" s="930">
        <f t="shared" si="40"/>
        <v>0</v>
      </c>
      <c r="I390" s="925" t="s">
        <v>1862</v>
      </c>
      <c r="J390" s="933">
        <v>0.2</v>
      </c>
      <c r="K390" s="936" t="s">
        <v>1863</v>
      </c>
      <c r="L390" s="933">
        <v>1</v>
      </c>
      <c r="M390" s="413"/>
    </row>
    <row r="391" spans="3:13" s="479" customFormat="1" ht="16.5" x14ac:dyDescent="0.25">
      <c r="C391" s="1155" t="s">
        <v>3555</v>
      </c>
      <c r="D391" s="1146"/>
      <c r="E391" s="910" t="s">
        <v>1859</v>
      </c>
      <c r="F391" s="706" t="s">
        <v>1484</v>
      </c>
      <c r="G391" s="923">
        <f>+D391*($D$27+0.9)*J391/5.7</f>
        <v>0</v>
      </c>
      <c r="H391" s="929">
        <f t="shared" ref="H391:H392" si="41">IF(F391="#2",1.494,IF(F391="#3",3.36,IF(F391="#4",5.964,IF(F391="#5",9.312,IF(F391="#2 de 4.11",18.56,IF(F391="#2 de 4.88",26.17,IF(F391="#2 de 5.3",30.87,0)))))))*G391</f>
        <v>0</v>
      </c>
      <c r="I391" s="910" t="s">
        <v>1860</v>
      </c>
      <c r="J391" s="932">
        <v>0</v>
      </c>
      <c r="K391" s="935"/>
      <c r="L391" s="932"/>
      <c r="M391" s="413"/>
    </row>
    <row r="392" spans="3:13" s="479" customFormat="1" ht="16.5" x14ac:dyDescent="0.25">
      <c r="C392" s="1145"/>
      <c r="D392" s="1146"/>
      <c r="E392" s="925" t="s">
        <v>1861</v>
      </c>
      <c r="F392" s="927" t="s">
        <v>1484</v>
      </c>
      <c r="G392" s="926">
        <f>ROUNDUP($D$27/J392+1,0)*L392*D391/5.7</f>
        <v>0</v>
      </c>
      <c r="H392" s="930">
        <f t="shared" si="41"/>
        <v>0</v>
      </c>
      <c r="I392" s="925" t="s">
        <v>1862</v>
      </c>
      <c r="J392" s="933">
        <v>0.5</v>
      </c>
      <c r="K392" s="936" t="s">
        <v>1863</v>
      </c>
      <c r="L392" s="933">
        <v>1.2</v>
      </c>
      <c r="M392" s="413"/>
    </row>
    <row r="393" spans="3:13" s="479" customFormat="1" ht="16.5" x14ac:dyDescent="0.25">
      <c r="C393" s="1155" t="s">
        <v>3500</v>
      </c>
      <c r="D393" s="1146">
        <v>1</v>
      </c>
      <c r="E393" s="910" t="s">
        <v>1859</v>
      </c>
      <c r="F393" s="706" t="s">
        <v>1484</v>
      </c>
      <c r="G393" s="923">
        <f>+D393*($D$27+0.9)*J393/5.7</f>
        <v>6.140350877192982</v>
      </c>
      <c r="H393" s="929">
        <f t="shared" si="38"/>
        <v>20.631578947368418</v>
      </c>
      <c r="I393" s="910" t="s">
        <v>1860</v>
      </c>
      <c r="J393" s="932">
        <v>10</v>
      </c>
      <c r="K393" s="935"/>
      <c r="L393" s="932"/>
      <c r="M393" s="413"/>
    </row>
    <row r="394" spans="3:13" s="479" customFormat="1" ht="16.5" x14ac:dyDescent="0.25">
      <c r="C394" s="1145"/>
      <c r="D394" s="1146"/>
      <c r="E394" s="925" t="s">
        <v>1861</v>
      </c>
      <c r="F394" s="927" t="s">
        <v>1664</v>
      </c>
      <c r="G394" s="926">
        <f>ROUNDUP($D$27/J394+1,0)*L394*D393/5.7</f>
        <v>5.7719298245614032</v>
      </c>
      <c r="H394" s="930">
        <f t="shared" si="38"/>
        <v>8.623263157894737</v>
      </c>
      <c r="I394" s="925" t="s">
        <v>1862</v>
      </c>
      <c r="J394" s="933">
        <v>0.2</v>
      </c>
      <c r="K394" s="936" t="s">
        <v>1863</v>
      </c>
      <c r="L394" s="933">
        <v>2.35</v>
      </c>
      <c r="M394" s="413"/>
    </row>
    <row r="395" spans="3:13" s="479" customFormat="1" ht="16.5" x14ac:dyDescent="0.25">
      <c r="C395" s="1155" t="s">
        <v>3501</v>
      </c>
      <c r="D395" s="1146">
        <v>2</v>
      </c>
      <c r="E395" s="910" t="s">
        <v>1859</v>
      </c>
      <c r="F395" s="706" t="s">
        <v>1681</v>
      </c>
      <c r="G395" s="923">
        <f>+D395*($D$27+0.9)*J395/5.7</f>
        <v>9.8245614035087723</v>
      </c>
      <c r="H395" s="929">
        <f t="shared" ref="H395:H396" si="42">IF(F395="#2",1.494,IF(F395="#3",3.36,IF(F395="#4",5.964,IF(F395="#5",9.312,IF(F395="#2 de 4.11",18.56,IF(F395="#2 de 4.88",26.17,IF(F395="#2 de 5.3",30.87,0)))))))*G395</f>
        <v>58.59368421052632</v>
      </c>
      <c r="I395" s="910" t="s">
        <v>1860</v>
      </c>
      <c r="J395" s="932">
        <v>8</v>
      </c>
      <c r="K395" s="935"/>
      <c r="L395" s="932"/>
      <c r="M395" s="413"/>
    </row>
    <row r="396" spans="3:13" s="479" customFormat="1" ht="16.5" x14ac:dyDescent="0.25">
      <c r="C396" s="1145"/>
      <c r="D396" s="1146"/>
      <c r="E396" s="925" t="s">
        <v>1861</v>
      </c>
      <c r="F396" s="927" t="s">
        <v>1484</v>
      </c>
      <c r="G396" s="926">
        <f>ROUNDUP($D$27/J396+1,0)*L396*D395/5.7</f>
        <v>11.543859649122806</v>
      </c>
      <c r="H396" s="930">
        <f t="shared" si="42"/>
        <v>38.787368421052626</v>
      </c>
      <c r="I396" s="925" t="s">
        <v>1862</v>
      </c>
      <c r="J396" s="933">
        <v>0.2</v>
      </c>
      <c r="K396" s="936" t="s">
        <v>1863</v>
      </c>
      <c r="L396" s="933">
        <v>2.35</v>
      </c>
      <c r="M396" s="413"/>
    </row>
    <row r="397" spans="3:13" s="479" customFormat="1" ht="16.5" x14ac:dyDescent="0.25">
      <c r="C397" s="1144" t="s">
        <v>3086</v>
      </c>
      <c r="D397" s="1146">
        <v>8.4</v>
      </c>
      <c r="E397" s="910" t="s">
        <v>1859</v>
      </c>
      <c r="F397" s="706" t="s">
        <v>1484</v>
      </c>
      <c r="G397" s="923">
        <f>+D397*J397*1.1/5.7</f>
        <v>0</v>
      </c>
      <c r="H397" s="929">
        <f t="shared" si="38"/>
        <v>0</v>
      </c>
      <c r="I397" s="910" t="s">
        <v>1860</v>
      </c>
      <c r="J397" s="932">
        <v>0</v>
      </c>
      <c r="K397" s="935"/>
      <c r="L397" s="932"/>
      <c r="M397" s="413"/>
    </row>
    <row r="398" spans="3:13" s="479" customFormat="1" ht="16.5" x14ac:dyDescent="0.25">
      <c r="C398" s="1147"/>
      <c r="D398" s="1146"/>
      <c r="E398" s="909" t="s">
        <v>1859</v>
      </c>
      <c r="F398" s="928" t="s">
        <v>1681</v>
      </c>
      <c r="G398" s="523">
        <f>+D397*J398*1.1/5.7</f>
        <v>3.2421052631578955</v>
      </c>
      <c r="H398" s="931">
        <f>IF(F398="#2",1.494,IF(F398="#3",3.36,IF(F398="#4",5.964,IF(F398="#5",9.312,IF(F398="#2 de 4.11",18.56,IF(F398="#2 de 4.88",26.17,IF(F398="#2 de 5.3",30.87,0)))))))*G398</f>
        <v>19.335915789473692</v>
      </c>
      <c r="I398" s="909" t="s">
        <v>1860</v>
      </c>
      <c r="J398" s="934">
        <v>2</v>
      </c>
      <c r="K398" s="494"/>
      <c r="L398" s="934"/>
      <c r="M398" s="423"/>
    </row>
    <row r="399" spans="3:13" s="479" customFormat="1" ht="16.5" x14ac:dyDescent="0.25">
      <c r="C399" s="1145"/>
      <c r="D399" s="1146"/>
      <c r="E399" s="925" t="s">
        <v>1861</v>
      </c>
      <c r="F399" s="927" t="s">
        <v>1484</v>
      </c>
      <c r="G399" s="926">
        <f>ROUNDUP(0.9/J399+1,0)*L399*D397/5.7</f>
        <v>10.315789473684211</v>
      </c>
      <c r="H399" s="930">
        <f t="shared" si="38"/>
        <v>34.661052631578947</v>
      </c>
      <c r="I399" s="925" t="s">
        <v>1862</v>
      </c>
      <c r="J399" s="933">
        <v>0.1</v>
      </c>
      <c r="K399" s="936" t="s">
        <v>1863</v>
      </c>
      <c r="L399" s="933">
        <v>0.7</v>
      </c>
      <c r="M399" s="423"/>
    </row>
    <row r="400" spans="3:13" s="479" customFormat="1" ht="16.5" x14ac:dyDescent="0.25">
      <c r="C400" s="1144" t="s">
        <v>3087</v>
      </c>
      <c r="D400" s="1149"/>
      <c r="E400" s="910" t="s">
        <v>1859</v>
      </c>
      <c r="F400" s="706" t="s">
        <v>1681</v>
      </c>
      <c r="G400" s="923">
        <f>+D400*J400*1.1/5.7</f>
        <v>0</v>
      </c>
      <c r="H400" s="929">
        <f t="shared" si="38"/>
        <v>0</v>
      </c>
      <c r="I400" s="910" t="s">
        <v>1860</v>
      </c>
      <c r="J400" s="932">
        <v>2</v>
      </c>
      <c r="K400" s="935"/>
      <c r="L400" s="932"/>
      <c r="M400" s="423"/>
    </row>
    <row r="401" spans="3:13" s="479" customFormat="1" ht="16.5" x14ac:dyDescent="0.25">
      <c r="C401" s="1147"/>
      <c r="D401" s="1149"/>
      <c r="E401" s="909" t="s">
        <v>1859</v>
      </c>
      <c r="F401" s="928" t="s">
        <v>1484</v>
      </c>
      <c r="G401" s="523">
        <f>+D400*J401*1.1/5.7</f>
        <v>0</v>
      </c>
      <c r="H401" s="931">
        <f t="shared" si="38"/>
        <v>0</v>
      </c>
      <c r="I401" s="909" t="s">
        <v>1860</v>
      </c>
      <c r="J401" s="934">
        <v>0</v>
      </c>
      <c r="K401" s="494"/>
      <c r="L401" s="934"/>
      <c r="M401" s="423"/>
    </row>
    <row r="402" spans="3:13" s="479" customFormat="1" ht="16.5" x14ac:dyDescent="0.25">
      <c r="C402" s="1145"/>
      <c r="D402" s="1149"/>
      <c r="E402" s="925" t="s">
        <v>1861</v>
      </c>
      <c r="F402" s="927" t="s">
        <v>1484</v>
      </c>
      <c r="G402" s="926">
        <f>ROUNDUP(D400/J402+1,0)*L402/5.7</f>
        <v>0</v>
      </c>
      <c r="H402" s="930">
        <f t="shared" si="38"/>
        <v>0</v>
      </c>
      <c r="I402" s="925" t="s">
        <v>1862</v>
      </c>
      <c r="J402" s="933">
        <v>0.1</v>
      </c>
      <c r="K402" s="936" t="s">
        <v>1863</v>
      </c>
      <c r="L402" s="933"/>
      <c r="M402" s="423"/>
    </row>
    <row r="403" spans="3:13" s="479" customFormat="1" ht="16.5" x14ac:dyDescent="0.25">
      <c r="C403" s="1144" t="s">
        <v>3088</v>
      </c>
      <c r="D403" s="1146"/>
      <c r="E403" s="910" t="s">
        <v>1859</v>
      </c>
      <c r="F403" s="706" t="s">
        <v>1681</v>
      </c>
      <c r="G403" s="923">
        <f>+D403*J403*1.1/5.7</f>
        <v>0</v>
      </c>
      <c r="H403" s="929">
        <f t="shared" si="38"/>
        <v>0</v>
      </c>
      <c r="I403" s="910" t="s">
        <v>1860</v>
      </c>
      <c r="J403" s="932">
        <v>4</v>
      </c>
      <c r="K403" s="935"/>
      <c r="L403" s="932"/>
      <c r="M403" s="423"/>
    </row>
    <row r="404" spans="3:13" s="479" customFormat="1" ht="16.5" x14ac:dyDescent="0.25">
      <c r="C404" s="1147"/>
      <c r="D404" s="1146"/>
      <c r="E404" s="909" t="s">
        <v>1859</v>
      </c>
      <c r="F404" s="928" t="s">
        <v>1484</v>
      </c>
      <c r="G404" s="523">
        <f>+D403*J404*1.1/5.7</f>
        <v>0</v>
      </c>
      <c r="H404" s="931">
        <f t="shared" si="38"/>
        <v>0</v>
      </c>
      <c r="I404" s="909" t="s">
        <v>1860</v>
      </c>
      <c r="J404" s="934">
        <v>0</v>
      </c>
      <c r="K404" s="494"/>
      <c r="L404" s="934"/>
      <c r="M404" s="423"/>
    </row>
    <row r="405" spans="3:13" s="479" customFormat="1" ht="16.5" x14ac:dyDescent="0.25">
      <c r="C405" s="1145"/>
      <c r="D405" s="1146"/>
      <c r="E405" s="925" t="s">
        <v>1861</v>
      </c>
      <c r="F405" s="927" t="s">
        <v>1484</v>
      </c>
      <c r="G405" s="926">
        <f>ROUNDUP(D403/J405+1,0)*L405/5.7</f>
        <v>0</v>
      </c>
      <c r="H405" s="930">
        <f>IF(F405="#2",1.494,IF(F405="#3",3.36,IF(F405="#4",5.964,IF(F405="#5",9.312,IF(F405="#2 de 4.11",18.56,IF(F405="#2 de 4.88",26.17,IF(F405="#2 de 5.3",30.87,0)))))))*G405</f>
        <v>0</v>
      </c>
      <c r="I405" s="925" t="s">
        <v>1862</v>
      </c>
      <c r="J405" s="933">
        <v>0.15</v>
      </c>
      <c r="K405" s="936" t="s">
        <v>1863</v>
      </c>
      <c r="L405" s="933"/>
      <c r="M405" s="423"/>
    </row>
    <row r="406" spans="3:13" s="479" customFormat="1" ht="16.5" x14ac:dyDescent="0.25">
      <c r="C406" s="1144" t="s">
        <v>3089</v>
      </c>
      <c r="D406" s="1146">
        <v>3.9</v>
      </c>
      <c r="E406" s="910" t="s">
        <v>1859</v>
      </c>
      <c r="F406" s="706" t="s">
        <v>1681</v>
      </c>
      <c r="G406" s="923">
        <f>+D406*J406*1.1/5.7</f>
        <v>3.0105263157894737</v>
      </c>
      <c r="H406" s="929">
        <f t="shared" ref="H406:H407" si="43">IF(F406="#2",1.494,IF(F406="#3",3.36,IF(F406="#4",5.964,IF(F406="#5",9.312,IF(F406="#2 de 4.11",18.56,IF(F406="#2 de 4.88",26.17,IF(F406="#2 de 5.3",30.87,0)))))))*G406</f>
        <v>17.954778947368421</v>
      </c>
      <c r="I406" s="910" t="s">
        <v>1860</v>
      </c>
      <c r="J406" s="932">
        <v>4</v>
      </c>
      <c r="K406" s="935"/>
      <c r="L406" s="932"/>
      <c r="M406" s="423"/>
    </row>
    <row r="407" spans="3:13" s="479" customFormat="1" ht="16.5" x14ac:dyDescent="0.25">
      <c r="C407" s="1145"/>
      <c r="D407" s="1146"/>
      <c r="E407" s="925" t="s">
        <v>1861</v>
      </c>
      <c r="F407" s="927" t="s">
        <v>1484</v>
      </c>
      <c r="G407" s="926">
        <f>ROUNDUP(D406/J407+1,0)*L407/5.7</f>
        <v>3.3157894736842102</v>
      </c>
      <c r="H407" s="930">
        <f t="shared" si="43"/>
        <v>11.141052631578946</v>
      </c>
      <c r="I407" s="925" t="s">
        <v>1862</v>
      </c>
      <c r="J407" s="933">
        <v>0.15</v>
      </c>
      <c r="K407" s="936" t="s">
        <v>1863</v>
      </c>
      <c r="L407" s="933">
        <v>0.7</v>
      </c>
      <c r="M407" s="423"/>
    </row>
    <row r="408" spans="3:13" s="479" customFormat="1" ht="16.5" x14ac:dyDescent="0.25">
      <c r="C408" s="1144" t="s">
        <v>3450</v>
      </c>
      <c r="D408" s="1146">
        <v>9.9</v>
      </c>
      <c r="E408" s="910" t="s">
        <v>1859</v>
      </c>
      <c r="F408" s="706" t="s">
        <v>1681</v>
      </c>
      <c r="G408" s="923">
        <f>+D408*J408*1.1/5.7</f>
        <v>15.284210526315789</v>
      </c>
      <c r="H408" s="929">
        <f t="shared" ref="H408:H411" si="44">IF(F408="#2",1.494,IF(F408="#3",3.36,IF(F408="#4",5.964,IF(F408="#5",9.312,IF(F408="#2 de 4.11",18.56,IF(F408="#2 de 4.88",26.17,IF(F408="#2 de 5.3",30.87,0)))))))*G408</f>
        <v>91.155031578947373</v>
      </c>
      <c r="I408" s="910" t="s">
        <v>1860</v>
      </c>
      <c r="J408" s="932">
        <v>8</v>
      </c>
      <c r="K408" s="935"/>
      <c r="L408" s="932"/>
      <c r="M408" s="423"/>
    </row>
    <row r="409" spans="3:13" s="479" customFormat="1" ht="16.5" x14ac:dyDescent="0.25">
      <c r="C409" s="1145"/>
      <c r="D409" s="1146"/>
      <c r="E409" s="925" t="s">
        <v>1861</v>
      </c>
      <c r="F409" s="927" t="s">
        <v>1484</v>
      </c>
      <c r="G409" s="926">
        <f>ROUNDUP(D408/J409+1,0)*L409/5.7</f>
        <v>13.421052631578947</v>
      </c>
      <c r="H409" s="930">
        <f t="shared" si="44"/>
        <v>45.094736842105263</v>
      </c>
      <c r="I409" s="925" t="s">
        <v>1862</v>
      </c>
      <c r="J409" s="933">
        <v>0.2</v>
      </c>
      <c r="K409" s="936" t="s">
        <v>1863</v>
      </c>
      <c r="L409" s="933">
        <v>1.5</v>
      </c>
      <c r="M409" s="423"/>
    </row>
    <row r="410" spans="3:13" s="479" customFormat="1" ht="16.5" x14ac:dyDescent="0.25">
      <c r="C410" s="1144" t="s">
        <v>3451</v>
      </c>
      <c r="D410" s="1146"/>
      <c r="E410" s="910" t="s">
        <v>1859</v>
      </c>
      <c r="F410" s="706" t="s">
        <v>1681</v>
      </c>
      <c r="G410" s="923">
        <f>+D410*J410*1.1/5.7</f>
        <v>0</v>
      </c>
      <c r="H410" s="929">
        <f t="shared" si="44"/>
        <v>0</v>
      </c>
      <c r="I410" s="910" t="s">
        <v>1860</v>
      </c>
      <c r="J410" s="932">
        <v>4</v>
      </c>
      <c r="K410" s="935"/>
      <c r="L410" s="932"/>
      <c r="M410" s="423"/>
    </row>
    <row r="411" spans="3:13" s="479" customFormat="1" ht="16.5" x14ac:dyDescent="0.25">
      <c r="C411" s="1145"/>
      <c r="D411" s="1146"/>
      <c r="E411" s="925" t="s">
        <v>1861</v>
      </c>
      <c r="F411" s="927" t="s">
        <v>1484</v>
      </c>
      <c r="G411" s="926">
        <f>ROUNDUP(D410/J411+1,0)*L411/5.7</f>
        <v>0.21052631578947367</v>
      </c>
      <c r="H411" s="930">
        <f t="shared" si="44"/>
        <v>0.70736842105263154</v>
      </c>
      <c r="I411" s="925" t="s">
        <v>1862</v>
      </c>
      <c r="J411" s="933">
        <v>0.2</v>
      </c>
      <c r="K411" s="936" t="s">
        <v>1863</v>
      </c>
      <c r="L411" s="933">
        <v>1.2</v>
      </c>
      <c r="M411" s="423"/>
    </row>
    <row r="412" spans="3:13" s="479" customFormat="1" ht="16.5" x14ac:dyDescent="0.25">
      <c r="C412" s="1144" t="s">
        <v>3558</v>
      </c>
      <c r="D412" s="1146">
        <v>2.4</v>
      </c>
      <c r="E412" s="910" t="s">
        <v>1859</v>
      </c>
      <c r="F412" s="706" t="s">
        <v>1681</v>
      </c>
      <c r="G412" s="923">
        <f>+D412*J412*1.1/5.7</f>
        <v>0.9263157894736842</v>
      </c>
      <c r="H412" s="929">
        <f t="shared" si="38"/>
        <v>5.5245473684210529</v>
      </c>
      <c r="I412" s="910" t="s">
        <v>1860</v>
      </c>
      <c r="J412" s="932">
        <v>2</v>
      </c>
      <c r="K412" s="935"/>
      <c r="L412" s="932"/>
      <c r="M412" s="423"/>
    </row>
    <row r="413" spans="3:13" s="479" customFormat="1" ht="16.5" x14ac:dyDescent="0.25">
      <c r="C413" s="1145"/>
      <c r="D413" s="1146"/>
      <c r="E413" s="925" t="s">
        <v>1861</v>
      </c>
      <c r="F413" s="927" t="s">
        <v>1484</v>
      </c>
      <c r="G413" s="926">
        <f>ROUNDUP(D412/J413+1,0)*L413/5.7</f>
        <v>2.6842105263157894</v>
      </c>
      <c r="H413" s="930">
        <f t="shared" si="38"/>
        <v>9.0189473684210526</v>
      </c>
      <c r="I413" s="925" t="s">
        <v>1862</v>
      </c>
      <c r="J413" s="933">
        <v>0.15</v>
      </c>
      <c r="K413" s="936" t="s">
        <v>1863</v>
      </c>
      <c r="L413" s="933">
        <v>0.9</v>
      </c>
      <c r="M413" s="423"/>
    </row>
    <row r="414" spans="3:13" s="479" customFormat="1" ht="16.5" x14ac:dyDescent="0.25">
      <c r="C414" s="1144" t="s">
        <v>3090</v>
      </c>
      <c r="D414" s="1146">
        <v>10.199999999999999</v>
      </c>
      <c r="E414" s="910" t="s">
        <v>1859</v>
      </c>
      <c r="F414" s="706" t="s">
        <v>1681</v>
      </c>
      <c r="G414" s="923">
        <f>+D414*J414*1.1/5.7</f>
        <v>3.9368421052631581</v>
      </c>
      <c r="H414" s="929">
        <f t="shared" si="38"/>
        <v>23.479326315789478</v>
      </c>
      <c r="I414" s="910" t="s">
        <v>1860</v>
      </c>
      <c r="J414" s="932">
        <v>2</v>
      </c>
      <c r="K414" s="935"/>
      <c r="L414" s="932"/>
      <c r="M414" s="423"/>
    </row>
    <row r="415" spans="3:13" s="479" customFormat="1" ht="16.5" x14ac:dyDescent="0.25">
      <c r="C415" s="1147"/>
      <c r="D415" s="1146"/>
      <c r="E415" s="909" t="s">
        <v>1859</v>
      </c>
      <c r="F415" s="928" t="s">
        <v>1484</v>
      </c>
      <c r="G415" s="523">
        <f>+D414*J415*1.1/5.7</f>
        <v>0</v>
      </c>
      <c r="H415" s="931">
        <f t="shared" si="38"/>
        <v>0</v>
      </c>
      <c r="I415" s="909" t="s">
        <v>1860</v>
      </c>
      <c r="J415" s="934">
        <v>0</v>
      </c>
      <c r="K415" s="494"/>
      <c r="L415" s="934"/>
      <c r="M415" s="423"/>
    </row>
    <row r="416" spans="3:13" s="479" customFormat="1" ht="16.5" x14ac:dyDescent="0.25">
      <c r="C416" s="1145"/>
      <c r="D416" s="1146"/>
      <c r="E416" s="925" t="s">
        <v>1861</v>
      </c>
      <c r="F416" s="927" t="s">
        <v>1484</v>
      </c>
      <c r="G416" s="926">
        <f>ROUNDUP(D414/J416+1,0)*L416/5.7</f>
        <v>14.456140350877194</v>
      </c>
      <c r="H416" s="930">
        <f>IF(F416="#2",1.494,IF(F416="#3",3.36,IF(F416="#4",5.964,IF(F416="#5",9.312,IF(F416="#2 de 4.11",18.56,IF(F416="#2 de 4.88",26.17,IF(F416="#2 de 5.3",30.87,0)))))))*G416</f>
        <v>48.572631578947366</v>
      </c>
      <c r="I416" s="925" t="s">
        <v>1862</v>
      </c>
      <c r="J416" s="933">
        <v>0.1</v>
      </c>
      <c r="K416" s="936" t="s">
        <v>1863</v>
      </c>
      <c r="L416" s="933">
        <v>0.8</v>
      </c>
      <c r="M416" s="423"/>
    </row>
    <row r="417" spans="3:13" s="479" customFormat="1" ht="16.5" x14ac:dyDescent="0.25">
      <c r="C417" s="1144" t="s">
        <v>3091</v>
      </c>
      <c r="D417" s="1146"/>
      <c r="E417" s="910" t="s">
        <v>1859</v>
      </c>
      <c r="F417" s="706" t="s">
        <v>1681</v>
      </c>
      <c r="G417" s="923">
        <f>+D417*J417*1.1/5.7</f>
        <v>0</v>
      </c>
      <c r="H417" s="929">
        <f t="shared" ref="H417:H418" si="45">IF(F417="#2",1.494,IF(F417="#3",3.36,IF(F417="#4",5.964,IF(F417="#5",9.312,IF(F417="#2 de 4.11",18.56,IF(F417="#2 de 4.88",26.17,IF(F417="#2 de 5.3",30.87,0)))))))*G417</f>
        <v>0</v>
      </c>
      <c r="I417" s="910" t="s">
        <v>1860</v>
      </c>
      <c r="J417" s="932">
        <v>2</v>
      </c>
      <c r="K417" s="935"/>
      <c r="L417" s="932"/>
      <c r="M417" s="423"/>
    </row>
    <row r="418" spans="3:13" s="479" customFormat="1" ht="16.5" x14ac:dyDescent="0.25">
      <c r="C418" s="1147"/>
      <c r="D418" s="1146"/>
      <c r="E418" s="909" t="s">
        <v>1859</v>
      </c>
      <c r="F418" s="928" t="s">
        <v>1484</v>
      </c>
      <c r="G418" s="523">
        <f>+D417*J418*1.1/5.7</f>
        <v>0</v>
      </c>
      <c r="H418" s="931">
        <f t="shared" si="45"/>
        <v>0</v>
      </c>
      <c r="I418" s="909" t="s">
        <v>1860</v>
      </c>
      <c r="J418" s="934">
        <v>0</v>
      </c>
      <c r="K418" s="494"/>
      <c r="L418" s="934"/>
      <c r="M418" s="423"/>
    </row>
    <row r="419" spans="3:13" s="479" customFormat="1" ht="16.5" x14ac:dyDescent="0.25">
      <c r="C419" s="1145"/>
      <c r="D419" s="1146"/>
      <c r="E419" s="925" t="s">
        <v>1861</v>
      </c>
      <c r="F419" s="927" t="s">
        <v>1484</v>
      </c>
      <c r="G419" s="926">
        <f>ROUNDUP(D417/J419+1,0)*L419/5.7</f>
        <v>0.14912280701754385</v>
      </c>
      <c r="H419" s="930">
        <f>IF(F419="#2",1.494,IF(F419="#3",3.36,IF(F419="#4",5.964,IF(F419="#5",9.312,IF(F419="#2 de 4.11",18.56,IF(F419="#2 de 4.88",26.17,IF(F419="#2 de 5.3",30.87,0)))))))*G419</f>
        <v>0.50105263157894731</v>
      </c>
      <c r="I419" s="925" t="s">
        <v>1862</v>
      </c>
      <c r="J419" s="933">
        <v>0.1</v>
      </c>
      <c r="K419" s="936" t="s">
        <v>1863</v>
      </c>
      <c r="L419" s="933">
        <v>0.85</v>
      </c>
      <c r="M419" s="423"/>
    </row>
    <row r="420" spans="3:13" x14ac:dyDescent="0.2">
      <c r="C420" s="316"/>
      <c r="D420" s="317"/>
      <c r="E420" s="120"/>
      <c r="H420" s="922">
        <f>SUM(H381:H419)</f>
        <v>601.4286526315791</v>
      </c>
    </row>
    <row r="421" spans="3:13" x14ac:dyDescent="0.2">
      <c r="C421" s="316"/>
      <c r="D421" s="317"/>
      <c r="E421" s="120"/>
      <c r="H421" s="120"/>
    </row>
    <row r="422" spans="3:13" ht="18.75" x14ac:dyDescent="0.25">
      <c r="C422" s="1052" t="s">
        <v>1672</v>
      </c>
      <c r="D422" s="317"/>
      <c r="E422" s="120"/>
      <c r="H422" s="120"/>
    </row>
    <row r="424" spans="3:13" s="479" customFormat="1" ht="16.5" x14ac:dyDescent="0.25">
      <c r="C424" s="481" t="s">
        <v>1673</v>
      </c>
      <c r="D424" s="878">
        <v>0</v>
      </c>
      <c r="E424" s="498" t="s">
        <v>1008</v>
      </c>
      <c r="F424" s="423"/>
      <c r="H424" s="494"/>
    </row>
    <row r="425" spans="3:13" s="479" customFormat="1" ht="16.5" x14ac:dyDescent="0.25">
      <c r="C425" s="503" t="s">
        <v>1674</v>
      </c>
      <c r="D425" s="504">
        <v>0.35</v>
      </c>
      <c r="E425" s="504" t="s">
        <v>1008</v>
      </c>
      <c r="F425" s="423"/>
      <c r="H425" s="494"/>
    </row>
    <row r="426" spans="3:13" x14ac:dyDescent="0.2">
      <c r="C426" s="316"/>
      <c r="D426" s="317"/>
      <c r="E426" s="120"/>
      <c r="H426" s="120"/>
    </row>
    <row r="427" spans="3:13" ht="18.75" x14ac:dyDescent="0.25">
      <c r="C427" s="1052" t="s">
        <v>3477</v>
      </c>
      <c r="D427" s="317"/>
      <c r="E427" s="120"/>
      <c r="H427" s="120"/>
    </row>
    <row r="428" spans="3:13" x14ac:dyDescent="0.2">
      <c r="C428" s="316"/>
      <c r="D428" s="317"/>
      <c r="E428" s="120"/>
      <c r="H428" s="120"/>
    </row>
    <row r="429" spans="3:13" s="479" customFormat="1" ht="16.5" x14ac:dyDescent="0.25">
      <c r="C429" s="481" t="s">
        <v>1676</v>
      </c>
      <c r="D429" s="485">
        <f>D34</f>
        <v>0</v>
      </c>
      <c r="E429" s="498" t="s">
        <v>137</v>
      </c>
      <c r="F429" s="423"/>
      <c r="H429" s="494"/>
    </row>
    <row r="431" spans="3:13" ht="18.75" x14ac:dyDescent="0.25">
      <c r="C431" s="1052" t="s">
        <v>1677</v>
      </c>
      <c r="D431" s="317"/>
      <c r="E431" s="120"/>
      <c r="F431" s="137"/>
      <c r="H431" s="120"/>
    </row>
    <row r="432" spans="3:13" x14ac:dyDescent="0.2">
      <c r="C432" s="316"/>
      <c r="D432" s="317"/>
      <c r="E432" s="120"/>
      <c r="F432" s="137"/>
      <c r="H432" s="120"/>
    </row>
    <row r="433" spans="2:8" s="479" customFormat="1" ht="16.5" x14ac:dyDescent="0.25">
      <c r="B433" s="524"/>
      <c r="C433" s="481" t="s">
        <v>1676</v>
      </c>
      <c r="D433" s="485">
        <f>+D19</f>
        <v>39.22</v>
      </c>
      <c r="E433" s="498" t="s">
        <v>137</v>
      </c>
      <c r="F433" s="423"/>
      <c r="H433" s="494"/>
    </row>
    <row r="434" spans="2:8" x14ac:dyDescent="0.2">
      <c r="C434" s="316"/>
      <c r="D434" s="317"/>
      <c r="E434" s="120"/>
      <c r="F434" s="137"/>
      <c r="H434" s="120"/>
    </row>
    <row r="435" spans="2:8" x14ac:dyDescent="0.2">
      <c r="F435" s="63"/>
      <c r="G435" s="63"/>
    </row>
    <row r="436" spans="2:8" s="479" customFormat="1" x14ac:dyDescent="0.2">
      <c r="B436" s="524"/>
      <c r="C436" s="894" t="s">
        <v>1546</v>
      </c>
      <c r="D436" s="894" t="s">
        <v>1662</v>
      </c>
      <c r="E436" s="894" t="s">
        <v>1663</v>
      </c>
      <c r="F436" s="894" t="s">
        <v>257</v>
      </c>
      <c r="G436" s="894" t="s">
        <v>1459</v>
      </c>
    </row>
    <row r="437" spans="2:8" s="479" customFormat="1" ht="16.5" x14ac:dyDescent="0.25">
      <c r="B437" s="524"/>
      <c r="C437" s="893" t="s">
        <v>1678</v>
      </c>
      <c r="D437" s="895">
        <f>+D344</f>
        <v>9</v>
      </c>
      <c r="E437" s="894" t="s">
        <v>1484</v>
      </c>
      <c r="F437" s="895">
        <f>+D437*D341/5.7</f>
        <v>78.631578947368411</v>
      </c>
      <c r="G437" s="895">
        <f>IF(E437="#2",1.494,IF(E437="#3",3.36,IF(E437="#4",5.964,IF(E437="#5",9.312,IF(E437="#2 de 4.11",18.56,IF(E437="#2 de 4.88",26.17,IF(E437="#2 de 5.3",30.87,0)))))))*F437</f>
        <v>264.20210526315788</v>
      </c>
      <c r="H437" s="423"/>
    </row>
    <row r="438" spans="2:8" s="479" customFormat="1" ht="16.5" x14ac:dyDescent="0.25">
      <c r="B438" s="524"/>
      <c r="C438" s="893" t="s">
        <v>3117</v>
      </c>
      <c r="D438" s="895">
        <f>D345</f>
        <v>166</v>
      </c>
      <c r="E438" s="894" t="s">
        <v>1484</v>
      </c>
      <c r="F438" s="895">
        <f>+D438*D342/5.7</f>
        <v>75.719298245614041</v>
      </c>
      <c r="G438" s="895">
        <f>IF(E438="#2",1.494,IF(E438="#3",3.36,IF(E438="#4",5.964,IF(E438="#5",9.312,IF(E438="#2 de 4.11",18.56,IF(E438="#2 de 4.88",26.17,IF(E438="#2 de 5.3",30.87,0)))))))*F438</f>
        <v>254.41684210526316</v>
      </c>
      <c r="H438" s="423"/>
    </row>
    <row r="439" spans="2:8" s="479" customFormat="1" ht="16.5" x14ac:dyDescent="0.25">
      <c r="B439" s="524"/>
      <c r="C439" s="893" t="s">
        <v>1679</v>
      </c>
      <c r="D439" s="895">
        <v>0.125</v>
      </c>
      <c r="E439" s="894" t="s">
        <v>1484</v>
      </c>
      <c r="F439" s="895">
        <f>D424/D439*D425*(1+FDG)/6</f>
        <v>0</v>
      </c>
      <c r="G439" s="895">
        <f t="shared" ref="G439:G442" si="46">IF(E439="#2",1.494,IF(E439="#3",3.36,IF(E439="#4",5.964,IF(E439="#5",9.312,IF(E439="#2 de 4.11",18.56,IF(E439="#2 de 4.88",26.17,IF(E439="#2 de 5.3",30.87,0)))))))*F439</f>
        <v>0</v>
      </c>
      <c r="H439" s="423"/>
    </row>
    <row r="440" spans="2:8" s="479" customFormat="1" ht="16.5" x14ac:dyDescent="0.25">
      <c r="B440" s="524"/>
      <c r="C440" s="893" t="s">
        <v>1680</v>
      </c>
      <c r="D440" s="895">
        <f>+H376*(1+FDG)/6</f>
        <v>19.512499999999999</v>
      </c>
      <c r="E440" s="894" t="s">
        <v>1681</v>
      </c>
      <c r="F440" s="894">
        <f>ROUNDUP(D440/0.5,0)*0.5</f>
        <v>20</v>
      </c>
      <c r="G440" s="895">
        <f t="shared" si="46"/>
        <v>119.28</v>
      </c>
      <c r="H440" s="423"/>
    </row>
    <row r="441" spans="2:8" s="479" customFormat="1" ht="16.5" x14ac:dyDescent="0.25">
      <c r="B441" s="524"/>
      <c r="C441" s="893" t="s">
        <v>1682</v>
      </c>
      <c r="D441" s="895">
        <f>D429/(1.9*5.7)*2</f>
        <v>0</v>
      </c>
      <c r="E441" s="894" t="s">
        <v>1684</v>
      </c>
      <c r="F441" s="894">
        <f>ROUNDUP(D441/0.5,0)*0.5</f>
        <v>0</v>
      </c>
      <c r="G441" s="895">
        <f t="shared" si="46"/>
        <v>0</v>
      </c>
      <c r="H441" s="423"/>
    </row>
    <row r="442" spans="2:8" s="479" customFormat="1" ht="16.5" x14ac:dyDescent="0.25">
      <c r="B442" s="524"/>
      <c r="C442" s="893" t="s">
        <v>1683</v>
      </c>
      <c r="D442" s="895">
        <f>D433/(1.9*5.7)*2</f>
        <v>7.2428439519852263</v>
      </c>
      <c r="E442" s="894" t="s">
        <v>1684</v>
      </c>
      <c r="F442" s="894">
        <f>ROUNDUP(D442/0.5,0)*0.5</f>
        <v>7.5</v>
      </c>
      <c r="G442" s="895">
        <f t="shared" si="46"/>
        <v>196.27500000000001</v>
      </c>
      <c r="H442" s="423"/>
    </row>
    <row r="443" spans="2:8" s="479" customFormat="1" x14ac:dyDescent="0.2">
      <c r="B443" s="524"/>
      <c r="E443" s="480"/>
      <c r="F443" s="480"/>
      <c r="G443" s="402">
        <f>SUM(G437:G442)</f>
        <v>834.17394736842095</v>
      </c>
    </row>
    <row r="444" spans="2:8" s="479" customFormat="1" x14ac:dyDescent="0.2">
      <c r="B444" s="524"/>
      <c r="C444" s="894" t="s">
        <v>1546</v>
      </c>
      <c r="D444" s="894" t="s">
        <v>13</v>
      </c>
      <c r="E444" s="894" t="s">
        <v>3148</v>
      </c>
    </row>
    <row r="445" spans="2:8" s="479" customFormat="1" ht="16.5" x14ac:dyDescent="0.25">
      <c r="B445" s="891" t="s">
        <v>2188</v>
      </c>
      <c r="C445" s="907" t="s">
        <v>1669</v>
      </c>
      <c r="D445" s="895">
        <f>ROUNDUP(SUMIF(F381:F420,"#2",G381:G420),0)</f>
        <v>6</v>
      </c>
      <c r="E445" s="894" t="s">
        <v>3148</v>
      </c>
      <c r="F445" s="423"/>
    </row>
    <row r="446" spans="2:8" s="479" customFormat="1" ht="16.5" x14ac:dyDescent="0.25">
      <c r="B446" s="891" t="s">
        <v>1918</v>
      </c>
      <c r="C446" s="907" t="s">
        <v>3053</v>
      </c>
      <c r="D446" s="895">
        <f>ROUNDUP(SUMIFS(G381:G419,F381:F419,"#3",E381:E419,"Aros")+F439,0)</f>
        <v>106</v>
      </c>
      <c r="E446" s="894" t="s">
        <v>3148</v>
      </c>
      <c r="F446" s="423"/>
    </row>
    <row r="447" spans="2:8" s="479" customFormat="1" ht="16.5" x14ac:dyDescent="0.25">
      <c r="B447" s="891" t="s">
        <v>1918</v>
      </c>
      <c r="C447" s="907" t="s">
        <v>3497</v>
      </c>
      <c r="D447" s="895">
        <f>ROUNDUP(SUMIFS(G381:G419,F381:F419,"#3",E381:E419,"Longitudinal")+F437+F438,0)</f>
        <v>161</v>
      </c>
      <c r="E447" s="894" t="s">
        <v>3148</v>
      </c>
      <c r="F447" s="423"/>
    </row>
    <row r="448" spans="2:8" s="479" customFormat="1" ht="16.5" x14ac:dyDescent="0.25">
      <c r="B448" s="891" t="s">
        <v>1919</v>
      </c>
      <c r="C448" s="907" t="s">
        <v>1526</v>
      </c>
      <c r="D448" s="895">
        <f>ROUNDUP(SUMIF(F381:F420,"#4",G381:G420),0)+F440</f>
        <v>57</v>
      </c>
      <c r="E448" s="894" t="s">
        <v>3148</v>
      </c>
      <c r="F448" s="423"/>
    </row>
    <row r="449" spans="2:6" s="479" customFormat="1" ht="16.5" x14ac:dyDescent="0.25">
      <c r="B449" s="891" t="s">
        <v>2187</v>
      </c>
      <c r="C449" s="907" t="s">
        <v>1670</v>
      </c>
      <c r="D449" s="895">
        <f>+F442+F441</f>
        <v>7.5</v>
      </c>
      <c r="E449" s="894" t="s">
        <v>3148</v>
      </c>
      <c r="F449" s="423"/>
    </row>
    <row r="450" spans="2:6" s="479" customFormat="1" ht="16.5" x14ac:dyDescent="0.25">
      <c r="B450" s="891" t="s">
        <v>1920</v>
      </c>
      <c r="C450" s="907" t="s">
        <v>1583</v>
      </c>
      <c r="D450" s="895">
        <f>ROUND((SUM(G437:G442)+H420)*FAN,0)</f>
        <v>65</v>
      </c>
      <c r="E450" s="894" t="s">
        <v>1411</v>
      </c>
      <c r="F450" s="423"/>
    </row>
    <row r="451" spans="2:6" s="479" customFormat="1" ht="16.5" x14ac:dyDescent="0.25">
      <c r="B451" s="891" t="s">
        <v>1923</v>
      </c>
      <c r="C451" s="907" t="s">
        <v>3167</v>
      </c>
      <c r="D451" s="895">
        <f>ROUNDUP((D445*1.494+D447*3.36+D448*5.964)*0.004,0)</f>
        <v>4</v>
      </c>
      <c r="E451" s="894" t="s">
        <v>3148</v>
      </c>
      <c r="F451" s="423"/>
    </row>
    <row r="452" spans="2:6" s="479" customFormat="1" ht="16.5" x14ac:dyDescent="0.25">
      <c r="B452" s="891" t="s">
        <v>1922</v>
      </c>
      <c r="C452" s="907" t="s">
        <v>3166</v>
      </c>
      <c r="D452" s="895">
        <f>+D451</f>
        <v>4</v>
      </c>
      <c r="E452" s="894" t="s">
        <v>3148</v>
      </c>
      <c r="F452" s="423"/>
    </row>
    <row r="454" spans="2:6" s="479" customFormat="1" x14ac:dyDescent="0.2">
      <c r="B454" s="524"/>
      <c r="C454" s="894"/>
      <c r="D454" s="894" t="s">
        <v>1012</v>
      </c>
      <c r="E454" s="894" t="s">
        <v>257</v>
      </c>
      <c r="F454" s="894" t="s">
        <v>1657</v>
      </c>
    </row>
    <row r="455" spans="2:6" s="479" customFormat="1" x14ac:dyDescent="0.2">
      <c r="C455" s="894" t="s">
        <v>1685</v>
      </c>
      <c r="D455" s="898">
        <f>+D163</f>
        <v>550</v>
      </c>
      <c r="E455" s="898">
        <f>+D455*(SUM(G437:G442)+H420)</f>
        <v>789581.43</v>
      </c>
      <c r="F455" s="894">
        <f>ROUND(E455/'COSTOS MO CUADRILLA'!K10,0)</f>
        <v>290</v>
      </c>
    </row>
    <row r="456" spans="2:6" s="479" customFormat="1" x14ac:dyDescent="0.2">
      <c r="C456" s="893"/>
      <c r="D456" s="894" t="s">
        <v>1016</v>
      </c>
      <c r="E456" s="898">
        <f>SUM(E455:E455)</f>
        <v>789581.43</v>
      </c>
      <c r="F456" s="899">
        <f>+E456/'COSTOS MO CUADRILLA'!K10</f>
        <v>289.75465321100921</v>
      </c>
    </row>
    <row r="458" spans="2:6" ht="21" x14ac:dyDescent="0.2">
      <c r="C458" s="471" t="s">
        <v>2043</v>
      </c>
      <c r="D458" s="1148" t="s">
        <v>1925</v>
      </c>
      <c r="E458" s="1148"/>
      <c r="F458" s="1148"/>
    </row>
    <row r="460" spans="2:6" ht="18.75" x14ac:dyDescent="0.25">
      <c r="C460" s="1052" t="s">
        <v>1040</v>
      </c>
    </row>
    <row r="461" spans="2:6" x14ac:dyDescent="0.2">
      <c r="C461" s="420"/>
      <c r="D461" s="420"/>
      <c r="E461" s="708"/>
      <c r="F461" s="420"/>
    </row>
    <row r="462" spans="2:6" x14ac:dyDescent="0.2">
      <c r="C462" s="489" t="s">
        <v>3351</v>
      </c>
      <c r="D462" s="491">
        <f>+D463*D464</f>
        <v>129.47999999999999</v>
      </c>
      <c r="E462" s="491" t="s">
        <v>137</v>
      </c>
    </row>
    <row r="463" spans="2:6" s="479" customFormat="1" x14ac:dyDescent="0.2">
      <c r="C463" s="489" t="s">
        <v>1026</v>
      </c>
      <c r="D463" s="491">
        <f>+D26</f>
        <v>49.8</v>
      </c>
      <c r="E463" s="491" t="s">
        <v>1008</v>
      </c>
      <c r="F463" s="499"/>
    </row>
    <row r="464" spans="2:6" s="479" customFormat="1" x14ac:dyDescent="0.2">
      <c r="C464" s="481" t="s">
        <v>1041</v>
      </c>
      <c r="D464" s="498">
        <f>+D27</f>
        <v>2.6</v>
      </c>
      <c r="E464" s="485" t="s">
        <v>1008</v>
      </c>
    </row>
    <row r="465" spans="3:6" s="479" customFormat="1" x14ac:dyDescent="0.2">
      <c r="C465" s="489" t="s">
        <v>1028</v>
      </c>
      <c r="D465" s="491">
        <v>0.1</v>
      </c>
      <c r="E465" s="491" t="s">
        <v>1008</v>
      </c>
    </row>
    <row r="466" spans="3:6" s="479" customFormat="1" x14ac:dyDescent="0.2">
      <c r="E466" s="480"/>
    </row>
    <row r="467" spans="3:6" s="479" customFormat="1" ht="16.5" x14ac:dyDescent="0.25">
      <c r="C467" s="893" t="s">
        <v>1040</v>
      </c>
      <c r="D467" s="895">
        <f>D463*D464*D465*1.05</f>
        <v>13.595400000000001</v>
      </c>
      <c r="E467" s="894" t="s">
        <v>1029</v>
      </c>
      <c r="F467" s="413"/>
    </row>
    <row r="469" spans="3:6" ht="18.75" x14ac:dyDescent="0.25">
      <c r="C469" s="1052" t="s">
        <v>3452</v>
      </c>
    </row>
    <row r="471" spans="3:6" s="479" customFormat="1" x14ac:dyDescent="0.2">
      <c r="C471" s="481" t="s">
        <v>1686</v>
      </c>
      <c r="D471" s="498">
        <f>D429</f>
        <v>0</v>
      </c>
      <c r="E471" s="485" t="s">
        <v>78</v>
      </c>
    </row>
    <row r="472" spans="3:6" s="479" customFormat="1" x14ac:dyDescent="0.2">
      <c r="C472" s="489" t="s">
        <v>1028</v>
      </c>
      <c r="D472" s="491">
        <v>0.15</v>
      </c>
      <c r="E472" s="491" t="s">
        <v>1008</v>
      </c>
    </row>
    <row r="473" spans="3:6" x14ac:dyDescent="0.2">
      <c r="F473" s="414"/>
    </row>
    <row r="474" spans="3:6" s="479" customFormat="1" ht="16.5" x14ac:dyDescent="0.25">
      <c r="C474" s="893" t="s">
        <v>3452</v>
      </c>
      <c r="D474" s="895">
        <f>D472*D471*1.05</f>
        <v>0</v>
      </c>
      <c r="E474" s="894" t="s">
        <v>1029</v>
      </c>
      <c r="F474" s="413"/>
    </row>
    <row r="475" spans="3:6" x14ac:dyDescent="0.2">
      <c r="F475" s="414"/>
    </row>
    <row r="476" spans="3:6" ht="18.75" x14ac:dyDescent="0.25">
      <c r="C476" s="1052" t="s">
        <v>1550</v>
      </c>
      <c r="F476" s="414"/>
    </row>
    <row r="478" spans="3:6" s="479" customFormat="1" x14ac:dyDescent="0.2">
      <c r="C478" s="481" t="s">
        <v>1551</v>
      </c>
      <c r="D478" s="498">
        <f>+D433</f>
        <v>39.22</v>
      </c>
      <c r="E478" s="485" t="s">
        <v>78</v>
      </c>
      <c r="F478" s="505"/>
    </row>
    <row r="479" spans="3:6" s="479" customFormat="1" x14ac:dyDescent="0.2">
      <c r="C479" s="489" t="s">
        <v>1028</v>
      </c>
      <c r="D479" s="491">
        <v>0.15</v>
      </c>
      <c r="E479" s="491" t="s">
        <v>1008</v>
      </c>
      <c r="F479" s="505"/>
    </row>
    <row r="480" spans="3:6" x14ac:dyDescent="0.2">
      <c r="F480" s="414"/>
    </row>
    <row r="481" spans="2:6" s="479" customFormat="1" ht="16.5" x14ac:dyDescent="0.25">
      <c r="C481" s="893" t="s">
        <v>2971</v>
      </c>
      <c r="D481" s="895">
        <f>D479*D478*1.05</f>
        <v>6.1771500000000001</v>
      </c>
      <c r="E481" s="894" t="s">
        <v>1029</v>
      </c>
      <c r="F481" s="413"/>
    </row>
    <row r="483" spans="2:6" ht="18.75" x14ac:dyDescent="0.25">
      <c r="C483" s="1052" t="s">
        <v>1687</v>
      </c>
    </row>
    <row r="485" spans="2:6" s="479" customFormat="1" x14ac:dyDescent="0.2">
      <c r="C485" s="489" t="s">
        <v>1026</v>
      </c>
      <c r="D485" s="485">
        <f>+D424</f>
        <v>0</v>
      </c>
      <c r="E485" s="491" t="s">
        <v>1008</v>
      </c>
    </row>
    <row r="486" spans="2:6" s="479" customFormat="1" x14ac:dyDescent="0.2">
      <c r="B486" s="524"/>
      <c r="C486" s="481" t="s">
        <v>1041</v>
      </c>
      <c r="D486" s="485">
        <v>0.15</v>
      </c>
      <c r="E486" s="485" t="s">
        <v>1008</v>
      </c>
    </row>
    <row r="487" spans="2:6" s="479" customFormat="1" x14ac:dyDescent="0.2">
      <c r="B487" s="524"/>
      <c r="C487" s="489" t="s">
        <v>1028</v>
      </c>
      <c r="D487" s="491">
        <v>0.1</v>
      </c>
      <c r="E487" s="491" t="s">
        <v>1008</v>
      </c>
    </row>
    <row r="488" spans="2:6" s="479" customFormat="1" x14ac:dyDescent="0.2">
      <c r="B488" s="524"/>
      <c r="E488" s="480"/>
    </row>
    <row r="489" spans="2:6" s="479" customFormat="1" x14ac:dyDescent="0.2">
      <c r="B489" s="524"/>
      <c r="C489" s="893" t="s">
        <v>70</v>
      </c>
      <c r="D489" s="895">
        <f>(D485*D486*D487)*1.05</f>
        <v>0</v>
      </c>
      <c r="E489" s="894" t="s">
        <v>1029</v>
      </c>
    </row>
    <row r="490" spans="2:6" s="479" customFormat="1" x14ac:dyDescent="0.2">
      <c r="B490" s="524"/>
      <c r="E490" s="480"/>
    </row>
    <row r="491" spans="2:6" s="479" customFormat="1" ht="16.5" x14ac:dyDescent="0.25">
      <c r="B491" s="524"/>
      <c r="C491" s="893" t="s">
        <v>1688</v>
      </c>
      <c r="D491" s="895">
        <f>+D489+D467+D474+D481</f>
        <v>19.772550000000003</v>
      </c>
      <c r="E491" s="894" t="s">
        <v>1029</v>
      </c>
      <c r="F491" s="413"/>
    </row>
    <row r="492" spans="2:6" s="479" customFormat="1" x14ac:dyDescent="0.2">
      <c r="B492" s="524"/>
      <c r="D492" s="479" t="s">
        <v>3092</v>
      </c>
      <c r="E492" s="480"/>
    </row>
    <row r="493" spans="2:6" s="479" customFormat="1" x14ac:dyDescent="0.2">
      <c r="B493" s="524"/>
      <c r="C493" s="894" t="s">
        <v>1546</v>
      </c>
      <c r="D493" s="894" t="s">
        <v>13</v>
      </c>
      <c r="E493" s="894" t="s">
        <v>3148</v>
      </c>
    </row>
    <row r="494" spans="2:6" s="479" customFormat="1" x14ac:dyDescent="0.2">
      <c r="B494" s="891" t="s">
        <v>2184</v>
      </c>
      <c r="C494" s="893" t="s">
        <v>1017</v>
      </c>
      <c r="D494" s="895">
        <f>ROUND(D491*muroc,0)</f>
        <v>6723</v>
      </c>
      <c r="E494" s="894" t="s">
        <v>1020</v>
      </c>
    </row>
    <row r="495" spans="2:6" s="479" customFormat="1" x14ac:dyDescent="0.2">
      <c r="B495" s="891" t="s">
        <v>1914</v>
      </c>
      <c r="C495" s="893" t="s">
        <v>1018</v>
      </c>
      <c r="D495" s="895">
        <f>ROUND(D491*muroa,1)</f>
        <v>13.6</v>
      </c>
      <c r="E495" s="894" t="s">
        <v>1010</v>
      </c>
    </row>
    <row r="496" spans="2:6" s="479" customFormat="1" x14ac:dyDescent="0.2">
      <c r="B496" s="891" t="s">
        <v>2190</v>
      </c>
      <c r="C496" s="893" t="s">
        <v>1019</v>
      </c>
      <c r="D496" s="895">
        <f>ROUND(D491*murop,1)</f>
        <v>10.7</v>
      </c>
      <c r="E496" s="894" t="s">
        <v>1010</v>
      </c>
    </row>
    <row r="497" spans="2:6" s="479" customFormat="1" x14ac:dyDescent="0.2">
      <c r="B497" s="891" t="s">
        <v>2086</v>
      </c>
      <c r="C497" s="893" t="s">
        <v>3168</v>
      </c>
      <c r="D497" s="895">
        <f>ROUND(D491*muroad,0)</f>
        <v>47</v>
      </c>
      <c r="E497" s="894" t="s">
        <v>1022</v>
      </c>
    </row>
    <row r="498" spans="2:6" s="479" customFormat="1" x14ac:dyDescent="0.2">
      <c r="B498" s="891" t="s">
        <v>1924</v>
      </c>
      <c r="C498" s="893" t="s">
        <v>3169</v>
      </c>
      <c r="D498" s="895">
        <f>ROUND(D491*murof,0)</f>
        <v>20</v>
      </c>
      <c r="E498" s="894" t="s">
        <v>1022</v>
      </c>
    </row>
    <row r="499" spans="2:6" s="479" customFormat="1" x14ac:dyDescent="0.2">
      <c r="B499" s="891" t="s">
        <v>2191</v>
      </c>
      <c r="C499" s="893" t="s">
        <v>3170</v>
      </c>
      <c r="D499" s="895">
        <v>4</v>
      </c>
      <c r="E499" s="894" t="s">
        <v>3148</v>
      </c>
    </row>
    <row r="502" spans="2:6" ht="18.75" x14ac:dyDescent="0.25">
      <c r="C502" s="1052" t="s">
        <v>124</v>
      </c>
    </row>
    <row r="504" spans="2:6" s="479" customFormat="1" x14ac:dyDescent="0.2">
      <c r="C504" s="481" t="s">
        <v>1042</v>
      </c>
      <c r="D504" s="498">
        <f>+D27</f>
        <v>2.6</v>
      </c>
      <c r="E504" s="485" t="s">
        <v>1008</v>
      </c>
    </row>
    <row r="505" spans="2:6" s="479" customFormat="1" x14ac:dyDescent="0.2">
      <c r="C505" s="489" t="s">
        <v>1026</v>
      </c>
      <c r="D505" s="491">
        <f>D26</f>
        <v>49.8</v>
      </c>
      <c r="E505" s="491" t="s">
        <v>1008</v>
      </c>
    </row>
    <row r="507" spans="2:6" s="479" customFormat="1" ht="16.5" x14ac:dyDescent="0.25">
      <c r="C507" s="893" t="s">
        <v>996</v>
      </c>
      <c r="D507" s="895">
        <f>(D504*D505)*2</f>
        <v>258.95999999999998</v>
      </c>
      <c r="E507" s="894" t="s">
        <v>78</v>
      </c>
      <c r="F507" s="413"/>
    </row>
    <row r="509" spans="2:6" ht="18.75" x14ac:dyDescent="0.25">
      <c r="C509" s="1052" t="s">
        <v>3453</v>
      </c>
    </row>
    <row r="511" spans="2:6" s="479" customFormat="1" x14ac:dyDescent="0.2">
      <c r="C511" s="481" t="s">
        <v>1087</v>
      </c>
      <c r="D511" s="498">
        <f>+D471</f>
        <v>0</v>
      </c>
      <c r="E511" s="485" t="s">
        <v>137</v>
      </c>
    </row>
    <row r="513" spans="2:6" s="479" customFormat="1" ht="16.5" x14ac:dyDescent="0.25">
      <c r="C513" s="893" t="s">
        <v>996</v>
      </c>
      <c r="D513" s="895">
        <f>+D511</f>
        <v>0</v>
      </c>
      <c r="E513" s="894" t="s">
        <v>78</v>
      </c>
      <c r="F513" s="413"/>
    </row>
    <row r="515" spans="2:6" ht="18.75" x14ac:dyDescent="0.25">
      <c r="C515" s="1052" t="s">
        <v>1689</v>
      </c>
    </row>
    <row r="517" spans="2:6" s="479" customFormat="1" x14ac:dyDescent="0.2">
      <c r="C517" s="481" t="s">
        <v>1087</v>
      </c>
      <c r="D517" s="498">
        <f>+D478</f>
        <v>39.22</v>
      </c>
      <c r="E517" s="485" t="s">
        <v>137</v>
      </c>
    </row>
    <row r="519" spans="2:6" s="479" customFormat="1" x14ac:dyDescent="0.2">
      <c r="C519" s="893" t="s">
        <v>996</v>
      </c>
      <c r="D519" s="895">
        <f>+D517</f>
        <v>39.22</v>
      </c>
      <c r="E519" s="894" t="s">
        <v>78</v>
      </c>
    </row>
    <row r="521" spans="2:6" s="479" customFormat="1" ht="16.5" x14ac:dyDescent="0.25">
      <c r="C521" s="893" t="s">
        <v>1690</v>
      </c>
      <c r="D521" s="895">
        <f>+D519+D513+D507</f>
        <v>298.17999999999995</v>
      </c>
      <c r="E521" s="894" t="s">
        <v>137</v>
      </c>
      <c r="F521" s="413"/>
    </row>
    <row r="523" spans="2:6" s="479" customFormat="1" x14ac:dyDescent="0.2">
      <c r="B523" s="891" t="s">
        <v>2576</v>
      </c>
      <c r="C523" s="893" t="str">
        <f>_xlfn.XLOOKUP(B523,'BASE DATOS PRECIOS '!B:B,'BASE DATOS PRECIOS '!E:E,0,0,1)</f>
        <v>FUNDAS DE 10CM</v>
      </c>
      <c r="D523" s="895">
        <v>600</v>
      </c>
      <c r="E523" s="894" t="str">
        <f>_xlfn.XLOOKUP(B523,'BASE DATOS PRECIOS '!B:B,'BASE DATOS PRECIOS '!F:F,0,0,1)</f>
        <v>UND</v>
      </c>
    </row>
    <row r="524" spans="2:6" s="479" customFormat="1" x14ac:dyDescent="0.2">
      <c r="B524" s="891" t="s">
        <v>2186</v>
      </c>
      <c r="C524" s="893" t="str">
        <f>_xlfn.XLOOKUP(B524,'BASE DATOS PRECIOS '!B:B,'BASE DATOS PRECIOS '!E:E,0,0,1)</f>
        <v>REGLA SEMIDURO 1X3X4 SIN CEPILLAR</v>
      </c>
      <c r="D524" s="895">
        <v>10</v>
      </c>
      <c r="E524" s="894" t="str">
        <f>_xlfn.XLOOKUP(B524,'BASE DATOS PRECIOS '!B:B,'BASE DATOS PRECIOS '!F:F,0,0,1)</f>
        <v>UND</v>
      </c>
    </row>
    <row r="525" spans="2:6" s="479" customFormat="1" x14ac:dyDescent="0.2">
      <c r="B525" s="891" t="s">
        <v>2132</v>
      </c>
      <c r="C525" s="893" t="str">
        <f>_xlfn.XLOOKUP(B525,'BASE DATOS PRECIOS '!B:B,'BASE DATOS PRECIOS '!E:E,0,0,1)</f>
        <v>CLAVO ACERO 2 X 3.8MM CAJA (250)</v>
      </c>
      <c r="D525" s="895">
        <v>1</v>
      </c>
      <c r="E525" s="894" t="str">
        <f>_xlfn.XLOOKUP(B525,'BASE DATOS PRECIOS '!B:B,'BASE DATOS PRECIOS '!F:F,0,0,1)</f>
        <v>CJ</v>
      </c>
    </row>
    <row r="526" spans="2:6" s="479" customFormat="1" x14ac:dyDescent="0.2">
      <c r="B526" s="891" t="s">
        <v>3531</v>
      </c>
      <c r="C526" s="893" t="str">
        <f>_xlfn.XLOOKUP(B526,'BASE DATOS PRECIOS '!B:B,'BASE DATOS PRECIOS '!E:E,0,0,1)</f>
        <v>REPEMAX CAPA GRUESA 80XA-W2 (40KG)</v>
      </c>
      <c r="D526" s="895">
        <v>3</v>
      </c>
      <c r="E526" s="894" t="str">
        <f>_xlfn.XLOOKUP(B526,'BASE DATOS PRECIOS '!B:B,'BASE DATOS PRECIOS '!F:F,0,0,1)</f>
        <v>SACO</v>
      </c>
    </row>
    <row r="527" spans="2:6" s="479" customFormat="1" x14ac:dyDescent="0.2">
      <c r="B527" s="891" t="s">
        <v>3533</v>
      </c>
      <c r="C527" s="893" t="str">
        <f>_xlfn.XLOOKUP(B527,'BASE DATOS PRECIOS '!B:B,'BASE DATOS PRECIOS '!E:E,0,0,1)</f>
        <v>PERNO ANCLAJE 3/8X3-1/2</v>
      </c>
      <c r="D527" s="895">
        <v>60</v>
      </c>
      <c r="E527" s="894" t="str">
        <f>_xlfn.XLOOKUP(B527,'BASE DATOS PRECIOS '!B:B,'BASE DATOS PRECIOS '!F:F,0,0,1)</f>
        <v>UND</v>
      </c>
    </row>
    <row r="528" spans="2:6" s="479" customFormat="1" x14ac:dyDescent="0.2">
      <c r="B528" s="891" t="s">
        <v>2180</v>
      </c>
      <c r="C528" s="893" t="str">
        <f>_xlfn.XLOOKUP(B528,'BASE DATOS PRECIOS '!B:B,'BASE DATOS PRECIOS '!E:E,0,0,1)</f>
        <v>CRAYON LYRA AMARILLO</v>
      </c>
      <c r="D528" s="895">
        <v>10</v>
      </c>
      <c r="E528" s="894" t="str">
        <f>_xlfn.XLOOKUP(B528,'BASE DATOS PRECIOS '!B:B,'BASE DATOS PRECIOS '!F:F,0,0,1)</f>
        <v>UND</v>
      </c>
    </row>
    <row r="530" spans="3:6" s="479" customFormat="1" x14ac:dyDescent="0.2">
      <c r="C530" s="894"/>
      <c r="D530" s="894" t="s">
        <v>1012</v>
      </c>
      <c r="E530" s="894" t="s">
        <v>257</v>
      </c>
      <c r="F530" s="894" t="s">
        <v>1657</v>
      </c>
    </row>
    <row r="531" spans="3:6" s="479" customFormat="1" x14ac:dyDescent="0.2">
      <c r="C531" s="894" t="s">
        <v>996</v>
      </c>
      <c r="D531" s="898">
        <f>+D164</f>
        <v>1320</v>
      </c>
      <c r="E531" s="898">
        <f>+D531*D521</f>
        <v>393597.59999999992</v>
      </c>
      <c r="F531" s="894">
        <f>ROUND(E531/'COSTOS MO CUADRILLA'!K11,0)</f>
        <v>140</v>
      </c>
    </row>
    <row r="532" spans="3:6" s="479" customFormat="1" x14ac:dyDescent="0.2">
      <c r="C532" s="894" t="s">
        <v>1043</v>
      </c>
      <c r="D532" s="898">
        <f>+D165</f>
        <v>11000</v>
      </c>
      <c r="E532" s="898">
        <f>+D532*D491</f>
        <v>217498.05000000002</v>
      </c>
      <c r="F532" s="894">
        <f>ROUND(E532/'COSTOS MO CUADRILLA'!K11,0)</f>
        <v>77</v>
      </c>
    </row>
    <row r="533" spans="3:6" s="479" customFormat="1" x14ac:dyDescent="0.2">
      <c r="C533" s="894" t="s">
        <v>1044</v>
      </c>
      <c r="D533" s="898">
        <f>+D166</f>
        <v>330</v>
      </c>
      <c r="E533" s="898">
        <f>+D533*D521</f>
        <v>98399.39999999998</v>
      </c>
      <c r="F533" s="894">
        <f>ROUND(E533/'COSTOS MO CUADRILLA'!K11,0)</f>
        <v>35</v>
      </c>
    </row>
    <row r="534" spans="3:6" s="479" customFormat="1" x14ac:dyDescent="0.2">
      <c r="C534" s="894" t="s">
        <v>1045</v>
      </c>
      <c r="D534" s="898">
        <f>+D167</f>
        <v>550</v>
      </c>
      <c r="E534" s="898">
        <f>+D534*D521</f>
        <v>163998.99999999997</v>
      </c>
      <c r="F534" s="894">
        <f>ROUND(E534/'COSTOS MO CUADRILLA'!K11,0)</f>
        <v>58</v>
      </c>
    </row>
    <row r="535" spans="3:6" s="479" customFormat="1" x14ac:dyDescent="0.2">
      <c r="C535" s="894" t="s">
        <v>2144</v>
      </c>
      <c r="D535" s="898">
        <f>+D168</f>
        <v>650</v>
      </c>
      <c r="E535" s="898">
        <f>+D535*D521</f>
        <v>193816.99999999997</v>
      </c>
      <c r="F535" s="894">
        <f>ROUND(E535/'COSTOS MO CUADRILLA'!K11,0)</f>
        <v>69</v>
      </c>
    </row>
    <row r="536" spans="3:6" s="479" customFormat="1" x14ac:dyDescent="0.2">
      <c r="C536" s="893"/>
      <c r="D536" s="894" t="s">
        <v>1016</v>
      </c>
      <c r="E536" s="898">
        <f>SUM(E531:E535)</f>
        <v>1067311.0499999998</v>
      </c>
      <c r="F536" s="895">
        <f>+E536/'COSTOS MO CUADRILLA'!K11</f>
        <v>379.94891747572808</v>
      </c>
    </row>
    <row r="539" spans="3:6" ht="21" x14ac:dyDescent="0.2">
      <c r="C539" s="471" t="s">
        <v>2045</v>
      </c>
      <c r="D539" s="1148" t="s">
        <v>1926</v>
      </c>
      <c r="E539" s="1148"/>
      <c r="F539" s="1148"/>
    </row>
    <row r="541" spans="3:6" ht="18.75" x14ac:dyDescent="0.25">
      <c r="C541" s="1052" t="s">
        <v>1691</v>
      </c>
    </row>
    <row r="543" spans="3:6" s="479" customFormat="1" x14ac:dyDescent="0.2">
      <c r="C543" s="491" t="s">
        <v>1037</v>
      </c>
      <c r="D543" s="491" t="s">
        <v>1038</v>
      </c>
      <c r="E543" s="480"/>
    </row>
    <row r="544" spans="3:6" s="479" customFormat="1" x14ac:dyDescent="0.2">
      <c r="E544" s="480"/>
    </row>
    <row r="545" spans="2:10" s="479" customFormat="1" ht="16.5" x14ac:dyDescent="0.25">
      <c r="C545" s="481" t="s">
        <v>1026</v>
      </c>
      <c r="D545" s="498">
        <f>+D30</f>
        <v>24.2</v>
      </c>
      <c r="E545" s="498" t="s">
        <v>1008</v>
      </c>
      <c r="F545" s="413"/>
    </row>
    <row r="546" spans="2:10" s="479" customFormat="1" ht="16.5" x14ac:dyDescent="0.25">
      <c r="C546" s="481" t="s">
        <v>1042</v>
      </c>
      <c r="D546" s="485">
        <f>+D31</f>
        <v>1</v>
      </c>
      <c r="E546" s="498" t="s">
        <v>1008</v>
      </c>
      <c r="F546" s="413"/>
    </row>
    <row r="547" spans="2:10" s="479" customFormat="1" x14ac:dyDescent="0.2">
      <c r="C547" s="481" t="s">
        <v>1087</v>
      </c>
      <c r="D547" s="485">
        <f>+D546*D545</f>
        <v>24.2</v>
      </c>
      <c r="E547" s="498" t="s">
        <v>137</v>
      </c>
      <c r="F547" s="505"/>
    </row>
    <row r="548" spans="2:10" s="479" customFormat="1" ht="16.5" x14ac:dyDescent="0.25">
      <c r="C548" s="489" t="s">
        <v>3123</v>
      </c>
      <c r="D548" s="502">
        <f>ROUND(D546/0.3,0)</f>
        <v>3</v>
      </c>
      <c r="E548" s="491" t="s">
        <v>1024</v>
      </c>
      <c r="F548" s="413"/>
    </row>
    <row r="549" spans="2:10" s="479" customFormat="1" ht="16.5" x14ac:dyDescent="0.25">
      <c r="C549" s="489" t="s">
        <v>3118</v>
      </c>
      <c r="D549" s="502">
        <f>ROUND(D545/0.3,0)</f>
        <v>81</v>
      </c>
      <c r="E549" s="491" t="s">
        <v>1024</v>
      </c>
      <c r="F549" s="413"/>
    </row>
    <row r="550" spans="2:10" x14ac:dyDescent="0.2">
      <c r="C550" s="316"/>
      <c r="D550" s="317"/>
      <c r="E550" s="120"/>
      <c r="F550" s="414"/>
    </row>
    <row r="551" spans="2:10" ht="18.75" x14ac:dyDescent="0.25">
      <c r="C551" s="1052" t="s">
        <v>1671</v>
      </c>
      <c r="D551" s="1052" t="s">
        <v>1038</v>
      </c>
    </row>
    <row r="553" spans="2:10" s="479" customFormat="1" ht="16.5" x14ac:dyDescent="0.25">
      <c r="C553" s="481" t="s">
        <v>1026</v>
      </c>
      <c r="D553" s="498">
        <f>D28</f>
        <v>41.8</v>
      </c>
      <c r="E553" s="498" t="s">
        <v>1008</v>
      </c>
      <c r="F553" s="413"/>
    </row>
    <row r="554" spans="2:10" s="479" customFormat="1" ht="16.5" x14ac:dyDescent="0.25">
      <c r="B554" s="524"/>
      <c r="C554" s="481" t="s">
        <v>1042</v>
      </c>
      <c r="D554" s="498">
        <f>+D29</f>
        <v>2.6</v>
      </c>
      <c r="E554" s="498" t="s">
        <v>1008</v>
      </c>
      <c r="F554" s="413"/>
      <c r="J554" s="480"/>
    </row>
    <row r="555" spans="2:10" s="479" customFormat="1" x14ac:dyDescent="0.2">
      <c r="B555" s="524"/>
      <c r="C555" s="481" t="s">
        <v>1087</v>
      </c>
      <c r="D555" s="485">
        <f>+D554*D553</f>
        <v>108.67999999999999</v>
      </c>
      <c r="E555" s="498" t="s">
        <v>137</v>
      </c>
      <c r="J555" s="480"/>
    </row>
    <row r="556" spans="2:10" s="479" customFormat="1" ht="16.5" x14ac:dyDescent="0.25">
      <c r="B556" s="524"/>
      <c r="C556" s="489" t="s">
        <v>1039</v>
      </c>
      <c r="D556" s="502">
        <f>ROUND(D554/0.3,0)</f>
        <v>9</v>
      </c>
      <c r="E556" s="491" t="s">
        <v>1024</v>
      </c>
      <c r="F556" s="413"/>
      <c r="J556" s="480"/>
    </row>
    <row r="557" spans="2:10" s="479" customFormat="1" ht="16.5" x14ac:dyDescent="0.25">
      <c r="B557" s="524"/>
      <c r="C557" s="489" t="s">
        <v>3118</v>
      </c>
      <c r="D557" s="502">
        <f>ROUND(D553/0.3,0)</f>
        <v>139</v>
      </c>
      <c r="E557" s="491" t="s">
        <v>1024</v>
      </c>
      <c r="F557" s="413"/>
      <c r="J557" s="480"/>
    </row>
    <row r="558" spans="2:10" x14ac:dyDescent="0.2">
      <c r="C558" s="316"/>
      <c r="D558" s="317"/>
      <c r="E558" s="120"/>
    </row>
    <row r="559" spans="2:10" ht="18.75" x14ac:dyDescent="0.25">
      <c r="C559" s="1052" t="s">
        <v>1485</v>
      </c>
      <c r="D559" s="317"/>
      <c r="E559" s="120"/>
    </row>
    <row r="560" spans="2:10" x14ac:dyDescent="0.2">
      <c r="C560" s="316"/>
      <c r="D560" s="317"/>
      <c r="E560" s="120"/>
    </row>
    <row r="561" spans="1:12" x14ac:dyDescent="0.2">
      <c r="C561" s="915" t="s">
        <v>3795</v>
      </c>
      <c r="D561" s="1120"/>
      <c r="E561" s="120"/>
    </row>
    <row r="562" spans="1:12" s="479" customFormat="1" x14ac:dyDescent="0.2">
      <c r="B562" s="524"/>
      <c r="C562" s="491" t="s">
        <v>1146</v>
      </c>
      <c r="D562" s="491" t="s">
        <v>1461</v>
      </c>
      <c r="E562" s="491" t="s">
        <v>13</v>
      </c>
      <c r="F562" s="491" t="s">
        <v>1486</v>
      </c>
      <c r="G562" s="491" t="s">
        <v>1487</v>
      </c>
      <c r="H562" s="491" t="s">
        <v>257</v>
      </c>
      <c r="J562" s="480"/>
      <c r="K562" s="480"/>
      <c r="L562" s="480"/>
    </row>
    <row r="563" spans="1:12" s="479" customFormat="1" ht="16.5" x14ac:dyDescent="0.25">
      <c r="A563" s="1153" t="s">
        <v>1099</v>
      </c>
      <c r="B563" s="524" t="str">
        <f>C55</f>
        <v>P11</v>
      </c>
      <c r="C563" s="920">
        <f>D55</f>
        <v>2.15</v>
      </c>
      <c r="D563" s="920">
        <f t="shared" ref="D563:E563" si="47">E55</f>
        <v>0.9</v>
      </c>
      <c r="E563" s="920">
        <f t="shared" si="47"/>
        <v>1</v>
      </c>
      <c r="F563" s="490">
        <f t="shared" ref="F563:F567" si="48">(SUM(C563:D563)*2+1.6)*E563</f>
        <v>7.6999999999999993</v>
      </c>
      <c r="G563" s="490">
        <f>0.8*4*E563</f>
        <v>3.2</v>
      </c>
      <c r="H563" s="490">
        <f>+G563+F563</f>
        <v>10.899999999999999</v>
      </c>
      <c r="I563" s="413"/>
      <c r="J563" s="480"/>
      <c r="K563" s="480"/>
      <c r="L563" s="480"/>
    </row>
    <row r="564" spans="1:12" s="479" customFormat="1" ht="16.5" x14ac:dyDescent="0.25">
      <c r="A564" s="1153"/>
      <c r="B564" s="524" t="str">
        <f t="shared" ref="B564:B577" si="49">C56</f>
        <v>P12</v>
      </c>
      <c r="C564" s="920"/>
      <c r="D564" s="920"/>
      <c r="E564" s="920"/>
      <c r="F564" s="490">
        <f t="shared" si="48"/>
        <v>0</v>
      </c>
      <c r="G564" s="490">
        <f>0.8*4*E564</f>
        <v>0</v>
      </c>
      <c r="H564" s="490">
        <f>+G564+F564</f>
        <v>0</v>
      </c>
      <c r="I564" s="413"/>
      <c r="J564" s="480"/>
      <c r="K564" s="480"/>
      <c r="L564" s="480"/>
    </row>
    <row r="565" spans="1:12" s="479" customFormat="1" ht="16.5" x14ac:dyDescent="0.25">
      <c r="A565" s="1153"/>
      <c r="B565" s="524" t="str">
        <f t="shared" si="49"/>
        <v>P13</v>
      </c>
      <c r="C565" s="920">
        <f t="shared" ref="C565:E565" si="50">D57</f>
        <v>2.15</v>
      </c>
      <c r="D565" s="920">
        <f t="shared" si="50"/>
        <v>0.9</v>
      </c>
      <c r="E565" s="920">
        <f t="shared" si="50"/>
        <v>1</v>
      </c>
      <c r="F565" s="490">
        <f t="shared" si="48"/>
        <v>7.6999999999999993</v>
      </c>
      <c r="G565" s="490">
        <f t="shared" ref="G565:G566" si="51">0.8*4*E565</f>
        <v>3.2</v>
      </c>
      <c r="H565" s="490">
        <f>+G565+F565</f>
        <v>10.899999999999999</v>
      </c>
      <c r="I565" s="413"/>
      <c r="J565" s="480"/>
    </row>
    <row r="566" spans="1:12" s="479" customFormat="1" ht="16.5" x14ac:dyDescent="0.25">
      <c r="A566" s="1153"/>
      <c r="B566" s="524" t="str">
        <f t="shared" si="49"/>
        <v>P14</v>
      </c>
      <c r="C566" s="920">
        <f t="shared" ref="C566:E566" si="52">D58</f>
        <v>2.15</v>
      </c>
      <c r="D566" s="920">
        <f t="shared" si="52"/>
        <v>0.9</v>
      </c>
      <c r="E566" s="920">
        <f t="shared" si="52"/>
        <v>1</v>
      </c>
      <c r="F566" s="490">
        <f t="shared" si="48"/>
        <v>7.6999999999999993</v>
      </c>
      <c r="G566" s="490">
        <f t="shared" si="51"/>
        <v>3.2</v>
      </c>
      <c r="H566" s="490">
        <f t="shared" ref="H566" si="53">+G566+F566</f>
        <v>10.899999999999999</v>
      </c>
      <c r="I566" s="413"/>
      <c r="J566" s="480"/>
    </row>
    <row r="567" spans="1:12" s="479" customFormat="1" ht="16.5" x14ac:dyDescent="0.25">
      <c r="A567" s="1153"/>
      <c r="B567" s="524" t="str">
        <f t="shared" si="49"/>
        <v>P15</v>
      </c>
      <c r="C567" s="920"/>
      <c r="D567" s="920"/>
      <c r="E567" s="920"/>
      <c r="F567" s="490">
        <f t="shared" si="48"/>
        <v>0</v>
      </c>
      <c r="G567" s="490">
        <f t="shared" ref="G567" si="54">0.8*4*E567</f>
        <v>0</v>
      </c>
      <c r="H567" s="490">
        <f t="shared" ref="H567" si="55">+G567+F567</f>
        <v>0</v>
      </c>
      <c r="I567" s="413"/>
      <c r="J567" s="480"/>
    </row>
    <row r="568" spans="1:12" s="479" customFormat="1" ht="16.5" x14ac:dyDescent="0.25">
      <c r="A568" s="1153"/>
      <c r="B568" s="524">
        <f t="shared" si="49"/>
        <v>0</v>
      </c>
      <c r="C568" s="920">
        <f t="shared" ref="C568:E568" si="56">D60</f>
        <v>0</v>
      </c>
      <c r="D568" s="920">
        <f t="shared" si="56"/>
        <v>0</v>
      </c>
      <c r="E568" s="920">
        <f t="shared" si="56"/>
        <v>0</v>
      </c>
      <c r="F568" s="490">
        <f t="shared" ref="F568:F587" si="57">(SUM(C568:D568)*2+1.6)*E568</f>
        <v>0</v>
      </c>
      <c r="G568" s="490">
        <f t="shared" ref="G568:G587" si="58">0.8*4*E568</f>
        <v>0</v>
      </c>
      <c r="H568" s="490">
        <f t="shared" ref="H568:H587" si="59">+G568+F568</f>
        <v>0</v>
      </c>
      <c r="I568" s="413"/>
      <c r="J568" s="480"/>
    </row>
    <row r="569" spans="1:12" s="479" customFormat="1" ht="16.5" x14ac:dyDescent="0.25">
      <c r="A569" s="1153"/>
      <c r="B569" s="524">
        <f t="shared" si="49"/>
        <v>0</v>
      </c>
      <c r="C569" s="920">
        <f t="shared" ref="C569:E569" si="60">D61</f>
        <v>0</v>
      </c>
      <c r="D569" s="920">
        <f t="shared" si="60"/>
        <v>0</v>
      </c>
      <c r="E569" s="920">
        <f t="shared" si="60"/>
        <v>0</v>
      </c>
      <c r="F569" s="490">
        <f t="shared" si="57"/>
        <v>0</v>
      </c>
      <c r="G569" s="490">
        <f t="shared" si="58"/>
        <v>0</v>
      </c>
      <c r="H569" s="490">
        <f t="shared" si="59"/>
        <v>0</v>
      </c>
      <c r="I569" s="413"/>
      <c r="J569" s="480"/>
    </row>
    <row r="570" spans="1:12" s="479" customFormat="1" ht="16.5" x14ac:dyDescent="0.25">
      <c r="A570" s="1153"/>
      <c r="B570" s="524">
        <f t="shared" si="49"/>
        <v>0</v>
      </c>
      <c r="C570" s="920">
        <f t="shared" ref="C570:E570" si="61">D62</f>
        <v>0</v>
      </c>
      <c r="D570" s="920">
        <f t="shared" si="61"/>
        <v>0</v>
      </c>
      <c r="E570" s="920">
        <f t="shared" si="61"/>
        <v>0</v>
      </c>
      <c r="F570" s="490">
        <f t="shared" si="57"/>
        <v>0</v>
      </c>
      <c r="G570" s="490">
        <f t="shared" si="58"/>
        <v>0</v>
      </c>
      <c r="H570" s="490">
        <f t="shared" si="59"/>
        <v>0</v>
      </c>
      <c r="I570" s="413"/>
      <c r="J570" s="480"/>
    </row>
    <row r="571" spans="1:12" s="479" customFormat="1" ht="16.5" x14ac:dyDescent="0.25">
      <c r="A571" s="1153"/>
      <c r="B571" s="524">
        <f t="shared" si="49"/>
        <v>0</v>
      </c>
      <c r="C571" s="920">
        <f t="shared" ref="C571:E571" si="62">D63</f>
        <v>0</v>
      </c>
      <c r="D571" s="920">
        <f t="shared" si="62"/>
        <v>0</v>
      </c>
      <c r="E571" s="920">
        <f t="shared" si="62"/>
        <v>0</v>
      </c>
      <c r="F571" s="490">
        <f t="shared" si="57"/>
        <v>0</v>
      </c>
      <c r="G571" s="490">
        <f t="shared" si="58"/>
        <v>0</v>
      </c>
      <c r="H571" s="490">
        <f t="shared" si="59"/>
        <v>0</v>
      </c>
      <c r="I571" s="413"/>
      <c r="J571" s="480"/>
    </row>
    <row r="572" spans="1:12" s="479" customFormat="1" ht="16.5" x14ac:dyDescent="0.25">
      <c r="A572" s="1153"/>
      <c r="B572" s="524">
        <f t="shared" si="49"/>
        <v>0</v>
      </c>
      <c r="C572" s="920">
        <f t="shared" ref="C572:E572" si="63">D64</f>
        <v>0</v>
      </c>
      <c r="D572" s="920">
        <f t="shared" si="63"/>
        <v>0</v>
      </c>
      <c r="E572" s="920">
        <f t="shared" si="63"/>
        <v>0</v>
      </c>
      <c r="F572" s="490">
        <f t="shared" si="57"/>
        <v>0</v>
      </c>
      <c r="G572" s="490">
        <f t="shared" si="58"/>
        <v>0</v>
      </c>
      <c r="H572" s="490">
        <f t="shared" si="59"/>
        <v>0</v>
      </c>
      <c r="I572" s="413"/>
      <c r="J572" s="480"/>
    </row>
    <row r="573" spans="1:12" s="479" customFormat="1" ht="16.5" x14ac:dyDescent="0.25">
      <c r="A573" s="1153"/>
      <c r="B573" s="524">
        <f t="shared" si="49"/>
        <v>0</v>
      </c>
      <c r="C573" s="920">
        <f t="shared" ref="C573:E573" si="64">D65</f>
        <v>0</v>
      </c>
      <c r="D573" s="920">
        <f t="shared" si="64"/>
        <v>0</v>
      </c>
      <c r="E573" s="920">
        <f t="shared" si="64"/>
        <v>0</v>
      </c>
      <c r="F573" s="490">
        <f t="shared" si="57"/>
        <v>0</v>
      </c>
      <c r="G573" s="490">
        <f t="shared" si="58"/>
        <v>0</v>
      </c>
      <c r="H573" s="490">
        <f t="shared" si="59"/>
        <v>0</v>
      </c>
      <c r="I573" s="413"/>
      <c r="J573" s="480"/>
    </row>
    <row r="574" spans="1:12" s="479" customFormat="1" ht="16.5" x14ac:dyDescent="0.25">
      <c r="A574" s="1153"/>
      <c r="B574" s="524">
        <f t="shared" si="49"/>
        <v>0</v>
      </c>
      <c r="C574" s="920">
        <f t="shared" ref="C574:E574" si="65">D66</f>
        <v>0</v>
      </c>
      <c r="D574" s="920">
        <f t="shared" si="65"/>
        <v>0</v>
      </c>
      <c r="E574" s="920">
        <f t="shared" si="65"/>
        <v>0</v>
      </c>
      <c r="F574" s="490">
        <f t="shared" si="57"/>
        <v>0</v>
      </c>
      <c r="G574" s="490">
        <f t="shared" si="58"/>
        <v>0</v>
      </c>
      <c r="H574" s="490">
        <f t="shared" si="59"/>
        <v>0</v>
      </c>
      <c r="I574" s="413"/>
      <c r="J574" s="480"/>
    </row>
    <row r="575" spans="1:12" s="479" customFormat="1" ht="16.5" x14ac:dyDescent="0.25">
      <c r="A575" s="1153"/>
      <c r="B575" s="524">
        <f t="shared" si="49"/>
        <v>0</v>
      </c>
      <c r="C575" s="920">
        <f t="shared" ref="C575:E575" si="66">D67</f>
        <v>0</v>
      </c>
      <c r="D575" s="920">
        <f t="shared" si="66"/>
        <v>0</v>
      </c>
      <c r="E575" s="920">
        <f t="shared" si="66"/>
        <v>0</v>
      </c>
      <c r="F575" s="490">
        <f t="shared" si="57"/>
        <v>0</v>
      </c>
      <c r="G575" s="490">
        <f t="shared" si="58"/>
        <v>0</v>
      </c>
      <c r="H575" s="490">
        <f t="shared" si="59"/>
        <v>0</v>
      </c>
      <c r="I575" s="413"/>
      <c r="J575" s="480"/>
    </row>
    <row r="576" spans="1:12" s="479" customFormat="1" ht="16.5" x14ac:dyDescent="0.25">
      <c r="A576" s="1153"/>
      <c r="B576" s="524">
        <f t="shared" si="49"/>
        <v>0</v>
      </c>
      <c r="C576" s="920">
        <f t="shared" ref="C576:E576" si="67">D68</f>
        <v>0</v>
      </c>
      <c r="D576" s="920">
        <f t="shared" si="67"/>
        <v>0</v>
      </c>
      <c r="E576" s="920">
        <f t="shared" si="67"/>
        <v>0</v>
      </c>
      <c r="F576" s="490">
        <f t="shared" si="57"/>
        <v>0</v>
      </c>
      <c r="G576" s="490">
        <f t="shared" si="58"/>
        <v>0</v>
      </c>
      <c r="H576" s="490">
        <f t="shared" si="59"/>
        <v>0</v>
      </c>
      <c r="I576" s="413"/>
      <c r="J576" s="480"/>
    </row>
    <row r="577" spans="1:12" s="479" customFormat="1" ht="16.5" x14ac:dyDescent="0.25">
      <c r="A577" s="1153"/>
      <c r="B577" s="524">
        <f t="shared" si="49"/>
        <v>0</v>
      </c>
      <c r="C577" s="920">
        <f t="shared" ref="C577:E577" si="68">D69</f>
        <v>0</v>
      </c>
      <c r="D577" s="920">
        <f t="shared" si="68"/>
        <v>0</v>
      </c>
      <c r="E577" s="920">
        <f t="shared" si="68"/>
        <v>0</v>
      </c>
      <c r="F577" s="490">
        <f t="shared" si="57"/>
        <v>0</v>
      </c>
      <c r="G577" s="490">
        <f t="shared" si="58"/>
        <v>0</v>
      </c>
      <c r="H577" s="490">
        <f t="shared" si="59"/>
        <v>0</v>
      </c>
      <c r="I577" s="413"/>
      <c r="J577" s="480"/>
    </row>
    <row r="578" spans="1:12" s="479" customFormat="1" ht="16.5" x14ac:dyDescent="0.25">
      <c r="A578" s="1153" t="s">
        <v>3584</v>
      </c>
      <c r="B578" s="524">
        <f>C83</f>
        <v>0</v>
      </c>
      <c r="C578" s="920">
        <f>D83</f>
        <v>1.95</v>
      </c>
      <c r="D578" s="920">
        <f t="shared" ref="D578:E578" si="69">E83</f>
        <v>1.35</v>
      </c>
      <c r="E578" s="920">
        <f t="shared" si="69"/>
        <v>1</v>
      </c>
      <c r="F578" s="490">
        <f t="shared" si="57"/>
        <v>8.1999999999999993</v>
      </c>
      <c r="G578" s="490">
        <f t="shared" si="58"/>
        <v>3.2</v>
      </c>
      <c r="H578" s="490">
        <f t="shared" si="59"/>
        <v>11.399999999999999</v>
      </c>
      <c r="I578" s="413"/>
      <c r="J578" s="480"/>
    </row>
    <row r="579" spans="1:12" s="479" customFormat="1" ht="16.5" x14ac:dyDescent="0.25">
      <c r="A579" s="1153"/>
      <c r="B579" s="524">
        <f t="shared" ref="B579:B587" si="70">C84</f>
        <v>0</v>
      </c>
      <c r="C579" s="920">
        <f t="shared" ref="C579:E579" si="71">D84</f>
        <v>1.95</v>
      </c>
      <c r="D579" s="920">
        <f t="shared" si="71"/>
        <v>1.2</v>
      </c>
      <c r="E579" s="920">
        <f t="shared" si="71"/>
        <v>1</v>
      </c>
      <c r="F579" s="490">
        <f t="shared" si="57"/>
        <v>7.9</v>
      </c>
      <c r="G579" s="490">
        <f t="shared" si="58"/>
        <v>3.2</v>
      </c>
      <c r="H579" s="490">
        <f t="shared" si="59"/>
        <v>11.100000000000001</v>
      </c>
      <c r="I579" s="413"/>
      <c r="J579" s="480"/>
    </row>
    <row r="580" spans="1:12" s="479" customFormat="1" ht="16.5" x14ac:dyDescent="0.25">
      <c r="A580" s="1153"/>
      <c r="B580" s="524">
        <f t="shared" si="70"/>
        <v>0</v>
      </c>
      <c r="C580" s="920">
        <f t="shared" ref="C580:E580" si="72">D85</f>
        <v>1.5</v>
      </c>
      <c r="D580" s="920">
        <f t="shared" si="72"/>
        <v>1.5</v>
      </c>
      <c r="E580" s="920">
        <f t="shared" si="72"/>
        <v>1</v>
      </c>
      <c r="F580" s="490">
        <f t="shared" si="57"/>
        <v>7.6</v>
      </c>
      <c r="G580" s="490">
        <f t="shared" si="58"/>
        <v>3.2</v>
      </c>
      <c r="H580" s="490">
        <f t="shared" si="59"/>
        <v>10.8</v>
      </c>
      <c r="I580" s="413"/>
      <c r="J580" s="480"/>
    </row>
    <row r="581" spans="1:12" s="479" customFormat="1" ht="16.5" x14ac:dyDescent="0.25">
      <c r="A581" s="1153"/>
      <c r="B581" s="524">
        <f t="shared" si="70"/>
        <v>0</v>
      </c>
      <c r="C581" s="920">
        <f t="shared" ref="C581:E581" si="73">D86</f>
        <v>1.5</v>
      </c>
      <c r="D581" s="920">
        <f t="shared" si="73"/>
        <v>1.5</v>
      </c>
      <c r="E581" s="920">
        <f t="shared" si="73"/>
        <v>1</v>
      </c>
      <c r="F581" s="490">
        <f t="shared" si="57"/>
        <v>7.6</v>
      </c>
      <c r="G581" s="490">
        <f t="shared" si="58"/>
        <v>3.2</v>
      </c>
      <c r="H581" s="490">
        <f t="shared" si="59"/>
        <v>10.8</v>
      </c>
      <c r="I581" s="413"/>
      <c r="J581" s="480"/>
    </row>
    <row r="582" spans="1:12" s="479" customFormat="1" ht="16.5" x14ac:dyDescent="0.25">
      <c r="A582" s="1153"/>
      <c r="B582" s="524">
        <f t="shared" si="70"/>
        <v>0</v>
      </c>
      <c r="C582" s="920">
        <f t="shared" ref="C582:E582" si="74">D87</f>
        <v>2.1</v>
      </c>
      <c r="D582" s="920">
        <f t="shared" si="74"/>
        <v>1.2</v>
      </c>
      <c r="E582" s="920">
        <f t="shared" si="74"/>
        <v>1</v>
      </c>
      <c r="F582" s="490">
        <f t="shared" si="57"/>
        <v>8.1999999999999993</v>
      </c>
      <c r="G582" s="490">
        <f t="shared" si="58"/>
        <v>3.2</v>
      </c>
      <c r="H582" s="490">
        <f t="shared" si="59"/>
        <v>11.399999999999999</v>
      </c>
      <c r="I582" s="413"/>
      <c r="J582" s="480"/>
    </row>
    <row r="583" spans="1:12" s="479" customFormat="1" ht="16.5" x14ac:dyDescent="0.25">
      <c r="A583" s="1153"/>
      <c r="B583" s="524">
        <f t="shared" si="70"/>
        <v>0</v>
      </c>
      <c r="C583" s="920">
        <f t="shared" ref="C583:E583" si="75">D88</f>
        <v>0</v>
      </c>
      <c r="D583" s="920">
        <f t="shared" si="75"/>
        <v>0</v>
      </c>
      <c r="E583" s="920">
        <f t="shared" si="75"/>
        <v>0</v>
      </c>
      <c r="F583" s="490">
        <f t="shared" si="57"/>
        <v>0</v>
      </c>
      <c r="G583" s="490">
        <f t="shared" si="58"/>
        <v>0</v>
      </c>
      <c r="H583" s="490">
        <f t="shared" si="59"/>
        <v>0</v>
      </c>
      <c r="I583" s="413"/>
      <c r="J583" s="480"/>
    </row>
    <row r="584" spans="1:12" s="479" customFormat="1" ht="16.5" x14ac:dyDescent="0.25">
      <c r="A584" s="1153"/>
      <c r="B584" s="524">
        <f t="shared" si="70"/>
        <v>0</v>
      </c>
      <c r="C584" s="920">
        <f t="shared" ref="C584:E584" si="76">D89</f>
        <v>0</v>
      </c>
      <c r="D584" s="920">
        <f t="shared" si="76"/>
        <v>0</v>
      </c>
      <c r="E584" s="920">
        <f t="shared" si="76"/>
        <v>0</v>
      </c>
      <c r="F584" s="490">
        <f t="shared" si="57"/>
        <v>0</v>
      </c>
      <c r="G584" s="490">
        <f t="shared" si="58"/>
        <v>0</v>
      </c>
      <c r="H584" s="490">
        <f t="shared" si="59"/>
        <v>0</v>
      </c>
      <c r="I584" s="413"/>
      <c r="J584" s="480"/>
    </row>
    <row r="585" spans="1:12" s="479" customFormat="1" ht="16.5" x14ac:dyDescent="0.25">
      <c r="A585" s="1153"/>
      <c r="B585" s="524">
        <f t="shared" si="70"/>
        <v>0</v>
      </c>
      <c r="C585" s="920">
        <f t="shared" ref="C585:E585" si="77">D90</f>
        <v>0</v>
      </c>
      <c r="D585" s="920">
        <f t="shared" si="77"/>
        <v>0</v>
      </c>
      <c r="E585" s="920">
        <f t="shared" si="77"/>
        <v>0</v>
      </c>
      <c r="F585" s="490">
        <f t="shared" si="57"/>
        <v>0</v>
      </c>
      <c r="G585" s="490">
        <f t="shared" si="58"/>
        <v>0</v>
      </c>
      <c r="H585" s="490">
        <f t="shared" si="59"/>
        <v>0</v>
      </c>
      <c r="I585" s="413"/>
      <c r="J585" s="480"/>
    </row>
    <row r="586" spans="1:12" s="479" customFormat="1" ht="16.5" x14ac:dyDescent="0.25">
      <c r="A586" s="1153"/>
      <c r="B586" s="524">
        <f t="shared" si="70"/>
        <v>0</v>
      </c>
      <c r="C586" s="920">
        <f t="shared" ref="C586:E586" si="78">D91</f>
        <v>0</v>
      </c>
      <c r="D586" s="920">
        <f t="shared" si="78"/>
        <v>0</v>
      </c>
      <c r="E586" s="920">
        <f t="shared" si="78"/>
        <v>0</v>
      </c>
      <c r="F586" s="490">
        <f t="shared" si="57"/>
        <v>0</v>
      </c>
      <c r="G586" s="490">
        <f t="shared" si="58"/>
        <v>0</v>
      </c>
      <c r="H586" s="490">
        <f t="shared" si="59"/>
        <v>0</v>
      </c>
      <c r="I586" s="413"/>
      <c r="J586" s="480"/>
    </row>
    <row r="587" spans="1:12" s="479" customFormat="1" ht="16.5" x14ac:dyDescent="0.25">
      <c r="A587" s="1153"/>
      <c r="B587" s="524">
        <f t="shared" si="70"/>
        <v>0</v>
      </c>
      <c r="C587" s="920">
        <f t="shared" ref="C587:E587" si="79">D92</f>
        <v>0</v>
      </c>
      <c r="D587" s="920">
        <f t="shared" si="79"/>
        <v>0</v>
      </c>
      <c r="E587" s="920">
        <f t="shared" si="79"/>
        <v>0</v>
      </c>
      <c r="F587" s="490">
        <f t="shared" si="57"/>
        <v>0</v>
      </c>
      <c r="G587" s="490">
        <f t="shared" si="58"/>
        <v>0</v>
      </c>
      <c r="H587" s="490">
        <f t="shared" si="59"/>
        <v>0</v>
      </c>
      <c r="I587" s="413"/>
      <c r="J587" s="480"/>
    </row>
    <row r="588" spans="1:12" s="479" customFormat="1" x14ac:dyDescent="0.2">
      <c r="B588" s="524"/>
      <c r="C588" s="492"/>
      <c r="D588" s="507"/>
      <c r="E588" s="494"/>
      <c r="H588" s="508">
        <f>SUM(H563:H587)</f>
        <v>88.199999999999989</v>
      </c>
      <c r="J588" s="480"/>
    </row>
    <row r="590" spans="1:12" ht="18.75" x14ac:dyDescent="0.25">
      <c r="C590" s="1052" t="s">
        <v>1854</v>
      </c>
      <c r="D590" s="419"/>
      <c r="E590" s="120"/>
    </row>
    <row r="591" spans="1:12" x14ac:dyDescent="0.2">
      <c r="C591" s="316"/>
      <c r="D591" s="317"/>
      <c r="E591" s="120"/>
    </row>
    <row r="592" spans="1:12" s="479" customFormat="1" x14ac:dyDescent="0.2">
      <c r="C592" s="491" t="s">
        <v>1855</v>
      </c>
      <c r="D592" s="491" t="s">
        <v>1025</v>
      </c>
      <c r="E592" s="873" t="s">
        <v>1856</v>
      </c>
      <c r="F592" s="706" t="s">
        <v>1663</v>
      </c>
      <c r="G592" s="706" t="s">
        <v>257</v>
      </c>
      <c r="H592" s="706" t="s">
        <v>1459</v>
      </c>
      <c r="I592" s="1156" t="s">
        <v>1857</v>
      </c>
      <c r="J592" s="1156"/>
      <c r="K592" s="1156"/>
      <c r="L592" s="1156"/>
    </row>
    <row r="593" spans="3:13" s="479" customFormat="1" ht="16.5" x14ac:dyDescent="0.25">
      <c r="C593" s="1155" t="s">
        <v>1858</v>
      </c>
      <c r="D593" s="1146">
        <v>9</v>
      </c>
      <c r="E593" s="873" t="s">
        <v>1859</v>
      </c>
      <c r="F593" s="706" t="s">
        <v>1484</v>
      </c>
      <c r="G593" s="929">
        <f>+D593*($D$27+0.9)*J593/5.7</f>
        <v>0</v>
      </c>
      <c r="H593" s="929">
        <f>IF(F593="#2",1.494,IF(F593="#3",3.36,IF(F593="#4",5.964,IF(F593="#5",9.312,IF(F593="#2 de 4.11",18.56,IF(F593="#2 de 4.88",26.17,IF(F593="#2 de 5.3",30.87,0)))))))*G593</f>
        <v>0</v>
      </c>
      <c r="I593" s="910" t="s">
        <v>1860</v>
      </c>
      <c r="J593" s="932">
        <v>0</v>
      </c>
      <c r="K593" s="935"/>
      <c r="L593" s="932"/>
      <c r="M593" s="417"/>
    </row>
    <row r="594" spans="3:13" s="479" customFormat="1" ht="16.5" x14ac:dyDescent="0.25">
      <c r="C594" s="1145"/>
      <c r="D594" s="1146"/>
      <c r="E594" s="874" t="s">
        <v>1861</v>
      </c>
      <c r="F594" s="927" t="s">
        <v>1484</v>
      </c>
      <c r="G594" s="930">
        <f>ROUNDUP($D$27/J594+1,0)*L594*D593/5.7</f>
        <v>11.368421052631579</v>
      </c>
      <c r="H594" s="930">
        <f t="shared" ref="H594:H598" si="80">IF(F594="#2",1.494,IF(F594="#3",3.36,IF(F594="#4",5.964,IF(F594="#5",9.312,IF(F594="#2 de 4.11",18.56,IF(F594="#2 de 4.88",26.17,IF(F594="#2 de 5.3",30.87,0)))))))*G594</f>
        <v>38.197894736842102</v>
      </c>
      <c r="I594" s="925" t="s">
        <v>1862</v>
      </c>
      <c r="J594" s="933">
        <v>0.25</v>
      </c>
      <c r="K594" s="936" t="s">
        <v>1863</v>
      </c>
      <c r="L594" s="933">
        <v>0.6</v>
      </c>
      <c r="M594" s="417"/>
    </row>
    <row r="595" spans="3:13" s="479" customFormat="1" ht="16.5" x14ac:dyDescent="0.25">
      <c r="C595" s="1155" t="s">
        <v>1864</v>
      </c>
      <c r="D595" s="1146">
        <v>6</v>
      </c>
      <c r="E595" s="873" t="s">
        <v>1859</v>
      </c>
      <c r="F595" s="706" t="s">
        <v>1484</v>
      </c>
      <c r="G595" s="929">
        <f>+D595*($D$27+0.9)*J595/5.7</f>
        <v>0</v>
      </c>
      <c r="H595" s="929">
        <f t="shared" si="80"/>
        <v>0</v>
      </c>
      <c r="I595" s="910" t="s">
        <v>1860</v>
      </c>
      <c r="J595" s="932">
        <v>0</v>
      </c>
      <c r="K595" s="935"/>
      <c r="L595" s="932"/>
      <c r="M595" s="417"/>
    </row>
    <row r="596" spans="3:13" s="479" customFormat="1" ht="16.5" x14ac:dyDescent="0.25">
      <c r="C596" s="1145"/>
      <c r="D596" s="1146"/>
      <c r="E596" s="874" t="s">
        <v>1861</v>
      </c>
      <c r="F596" s="927" t="s">
        <v>1484</v>
      </c>
      <c r="G596" s="930">
        <f>ROUNDUP($D$27/J596+1,0)*L596*D595/5.7</f>
        <v>13.894736842105264</v>
      </c>
      <c r="H596" s="930">
        <f t="shared" si="80"/>
        <v>46.686315789473682</v>
      </c>
      <c r="I596" s="925" t="s">
        <v>1862</v>
      </c>
      <c r="J596" s="933">
        <v>0.25</v>
      </c>
      <c r="K596" s="936" t="s">
        <v>1863</v>
      </c>
      <c r="L596" s="933">
        <v>1.1000000000000001</v>
      </c>
      <c r="M596" s="417"/>
    </row>
    <row r="597" spans="3:13" s="479" customFormat="1" ht="16.5" x14ac:dyDescent="0.25">
      <c r="C597" s="1155" t="s">
        <v>1865</v>
      </c>
      <c r="D597" s="1146">
        <v>4</v>
      </c>
      <c r="E597" s="873" t="s">
        <v>1859</v>
      </c>
      <c r="F597" s="706" t="s">
        <v>1484</v>
      </c>
      <c r="G597" s="929">
        <f>+D597*($D$27+0.9)*J597/5.7</f>
        <v>0</v>
      </c>
      <c r="H597" s="929">
        <f t="shared" si="80"/>
        <v>0</v>
      </c>
      <c r="I597" s="910" t="s">
        <v>1860</v>
      </c>
      <c r="J597" s="932">
        <v>0</v>
      </c>
      <c r="K597" s="935"/>
      <c r="L597" s="932"/>
      <c r="M597" s="417"/>
    </row>
    <row r="598" spans="3:13" s="479" customFormat="1" ht="16.5" x14ac:dyDescent="0.25">
      <c r="C598" s="1145"/>
      <c r="D598" s="1146"/>
      <c r="E598" s="874" t="s">
        <v>1861</v>
      </c>
      <c r="F598" s="927" t="s">
        <v>1484</v>
      </c>
      <c r="G598" s="930">
        <f>ROUNDUP($D$27/J598+1,0)*L598*D597/5.7</f>
        <v>10.105263157894736</v>
      </c>
      <c r="H598" s="930">
        <f t="shared" si="80"/>
        <v>33.953684210526312</v>
      </c>
      <c r="I598" s="925" t="s">
        <v>1862</v>
      </c>
      <c r="J598" s="933">
        <v>0.25</v>
      </c>
      <c r="K598" s="936" t="s">
        <v>1863</v>
      </c>
      <c r="L598" s="933">
        <v>1.2</v>
      </c>
      <c r="M598" s="417"/>
    </row>
    <row r="599" spans="3:13" s="479" customFormat="1" ht="16.5" x14ac:dyDescent="0.25">
      <c r="C599" s="1155" t="s">
        <v>3553</v>
      </c>
      <c r="D599" s="1146"/>
      <c r="E599" s="873" t="s">
        <v>1859</v>
      </c>
      <c r="F599" s="706" t="s">
        <v>1484</v>
      </c>
      <c r="G599" s="929">
        <f>+D599*($D$27+0.9)*J599/5.7</f>
        <v>0</v>
      </c>
      <c r="H599" s="929">
        <f t="shared" ref="H599:H602" si="81">IF(F599="#2",1.494,IF(F599="#3",3.36,IF(F599="#4",5.964,IF(F599="#5",9.312,IF(F599="#2 de 4.11",18.56,IF(F599="#2 de 4.88",26.17,IF(F599="#2 de 5.3",30.87,0)))))))*G599</f>
        <v>0</v>
      </c>
      <c r="I599" s="910" t="s">
        <v>1860</v>
      </c>
      <c r="J599" s="932">
        <v>0</v>
      </c>
      <c r="K599" s="935"/>
      <c r="L599" s="932"/>
      <c r="M599" s="417"/>
    </row>
    <row r="600" spans="3:13" s="479" customFormat="1" ht="16.5" x14ac:dyDescent="0.25">
      <c r="C600" s="1145"/>
      <c r="D600" s="1146"/>
      <c r="E600" s="874" t="s">
        <v>1861</v>
      </c>
      <c r="F600" s="927" t="s">
        <v>1484</v>
      </c>
      <c r="G600" s="930">
        <f>ROUNDUP($D$27/J600+1,0)*L600*D599/5.7</f>
        <v>0</v>
      </c>
      <c r="H600" s="930">
        <f t="shared" si="81"/>
        <v>0</v>
      </c>
      <c r="I600" s="925" t="s">
        <v>1862</v>
      </c>
      <c r="J600" s="933">
        <v>0.2</v>
      </c>
      <c r="K600" s="936" t="s">
        <v>1863</v>
      </c>
      <c r="L600" s="933">
        <v>2.1</v>
      </c>
      <c r="M600" s="417"/>
    </row>
    <row r="601" spans="3:13" s="479" customFormat="1" ht="16.5" x14ac:dyDescent="0.25">
      <c r="C601" s="1155" t="s">
        <v>3554</v>
      </c>
      <c r="D601" s="1146"/>
      <c r="E601" s="873" t="s">
        <v>1859</v>
      </c>
      <c r="F601" s="706" t="s">
        <v>1484</v>
      </c>
      <c r="G601" s="929">
        <f>+D601*($D$27+0.9)*J601/5.7</f>
        <v>0</v>
      </c>
      <c r="H601" s="929">
        <f t="shared" si="81"/>
        <v>0</v>
      </c>
      <c r="I601" s="910" t="s">
        <v>1860</v>
      </c>
      <c r="J601" s="932">
        <v>0</v>
      </c>
      <c r="K601" s="935"/>
      <c r="L601" s="932"/>
      <c r="M601" s="417"/>
    </row>
    <row r="602" spans="3:13" s="479" customFormat="1" ht="16.5" x14ac:dyDescent="0.25">
      <c r="C602" s="1145"/>
      <c r="D602" s="1146"/>
      <c r="E602" s="874" t="s">
        <v>1861</v>
      </c>
      <c r="F602" s="927" t="s">
        <v>1484</v>
      </c>
      <c r="G602" s="930">
        <f>ROUNDUP($D$27/J602+1,0)*L602*D601/5.7</f>
        <v>0</v>
      </c>
      <c r="H602" s="930">
        <f t="shared" si="81"/>
        <v>0</v>
      </c>
      <c r="I602" s="925" t="s">
        <v>1862</v>
      </c>
      <c r="J602" s="933">
        <v>0.2</v>
      </c>
      <c r="K602" s="936" t="s">
        <v>1863</v>
      </c>
      <c r="L602" s="933">
        <v>1</v>
      </c>
      <c r="M602" s="417"/>
    </row>
    <row r="603" spans="3:13" s="479" customFormat="1" ht="16.5" x14ac:dyDescent="0.25">
      <c r="C603" s="1144" t="s">
        <v>3090</v>
      </c>
      <c r="D603" s="1146">
        <v>13.3</v>
      </c>
      <c r="E603" s="873" t="s">
        <v>1859</v>
      </c>
      <c r="F603" s="706" t="s">
        <v>1681</v>
      </c>
      <c r="G603" s="929">
        <f>+D603*J603*1.1/5.7</f>
        <v>5.1333333333333337</v>
      </c>
      <c r="H603" s="929">
        <f t="shared" ref="H603:H604" si="82">IF(F603="#2",1.494,IF(F603="#3",3.36,IF(F603="#4",5.964,IF(F603="#5",9.312,IF(F603="#2 de 4.11",18.56,IF(F603="#2 de 4.88",26.17,IF(F603="#2 de 5.3",30.87,0)))))))*G603</f>
        <v>30.615200000000005</v>
      </c>
      <c r="I603" s="910" t="s">
        <v>1860</v>
      </c>
      <c r="J603" s="932">
        <v>2</v>
      </c>
      <c r="K603" s="935"/>
      <c r="L603" s="932"/>
      <c r="M603" s="417"/>
    </row>
    <row r="604" spans="3:13" s="479" customFormat="1" ht="16.5" x14ac:dyDescent="0.25">
      <c r="C604" s="1147"/>
      <c r="D604" s="1146"/>
      <c r="E604" s="875" t="s">
        <v>1859</v>
      </c>
      <c r="F604" s="928" t="s">
        <v>1484</v>
      </c>
      <c r="G604" s="931">
        <f>+D603*J604*1.1/5.7</f>
        <v>5.1333333333333337</v>
      </c>
      <c r="H604" s="931">
        <f t="shared" si="82"/>
        <v>17.248000000000001</v>
      </c>
      <c r="I604" s="909" t="s">
        <v>1860</v>
      </c>
      <c r="J604" s="934">
        <v>2</v>
      </c>
      <c r="K604" s="494"/>
      <c r="L604" s="934"/>
      <c r="M604" s="417"/>
    </row>
    <row r="605" spans="3:13" s="479" customFormat="1" ht="16.5" x14ac:dyDescent="0.25">
      <c r="C605" s="1145"/>
      <c r="D605" s="1146"/>
      <c r="E605" s="874" t="s">
        <v>1861</v>
      </c>
      <c r="F605" s="927" t="s">
        <v>1484</v>
      </c>
      <c r="G605" s="930">
        <f>ROUNDUP(D603/J605+1,0)*L605/5.7</f>
        <v>0</v>
      </c>
      <c r="H605" s="930">
        <f>IF(F605="#2",1.494,IF(F605="#3",3.36,IF(F605="#4",5.964,IF(F605="#5",9.312,IF(F605="#2 de 4.11",18.56,IF(F605="#2 de 4.88",26.17,IF(F605="#2 de 5.3",30.87,0)))))))*G605</f>
        <v>0</v>
      </c>
      <c r="I605" s="925" t="s">
        <v>1862</v>
      </c>
      <c r="J605" s="933">
        <v>0.1</v>
      </c>
      <c r="K605" s="936" t="s">
        <v>1863</v>
      </c>
      <c r="L605" s="933">
        <v>0</v>
      </c>
      <c r="M605" s="417"/>
    </row>
    <row r="606" spans="3:13" s="479" customFormat="1" ht="16.5" x14ac:dyDescent="0.25">
      <c r="C606" s="1144" t="s">
        <v>3091</v>
      </c>
      <c r="D606" s="1146"/>
      <c r="E606" s="873" t="s">
        <v>1859</v>
      </c>
      <c r="F606" s="706" t="s">
        <v>1681</v>
      </c>
      <c r="G606" s="929">
        <f>+D606*J606*1.1/5.7</f>
        <v>0</v>
      </c>
      <c r="H606" s="929">
        <f t="shared" ref="H606:H607" si="83">IF(F606="#2",1.494,IF(F606="#3",3.36,IF(F606="#4",5.964,IF(F606="#5",9.312,IF(F606="#2 de 4.11",18.56,IF(F606="#2 de 4.88",26.17,IF(F606="#2 de 5.3",30.87,0)))))))*G606</f>
        <v>0</v>
      </c>
      <c r="I606" s="910" t="s">
        <v>1860</v>
      </c>
      <c r="J606" s="932">
        <v>2</v>
      </c>
      <c r="K606" s="935"/>
      <c r="L606" s="932"/>
      <c r="M606" s="417"/>
    </row>
    <row r="607" spans="3:13" s="479" customFormat="1" ht="16.5" x14ac:dyDescent="0.25">
      <c r="C607" s="1147"/>
      <c r="D607" s="1146"/>
      <c r="E607" s="875" t="s">
        <v>1859</v>
      </c>
      <c r="F607" s="928" t="s">
        <v>1484</v>
      </c>
      <c r="G607" s="931">
        <f>+D606*J607*1.1/5.7</f>
        <v>0</v>
      </c>
      <c r="H607" s="931">
        <f t="shared" si="83"/>
        <v>0</v>
      </c>
      <c r="I607" s="909" t="s">
        <v>1860</v>
      </c>
      <c r="J607" s="934">
        <v>2</v>
      </c>
      <c r="K607" s="494"/>
      <c r="L607" s="934"/>
      <c r="M607" s="417"/>
    </row>
    <row r="608" spans="3:13" s="479" customFormat="1" ht="16.5" x14ac:dyDescent="0.25">
      <c r="C608" s="1145"/>
      <c r="D608" s="1146"/>
      <c r="E608" s="874" t="s">
        <v>1861</v>
      </c>
      <c r="F608" s="927" t="s">
        <v>1484</v>
      </c>
      <c r="G608" s="930">
        <f>ROUNDUP(D606/J608+1,0)*L608/5.7</f>
        <v>0</v>
      </c>
      <c r="H608" s="930">
        <f>IF(F608="#2",1.494,IF(F608="#3",3.36,IF(F608="#4",5.964,IF(F608="#5",9.312,IF(F608="#2 de 4.11",18.56,IF(F608="#2 de 4.88",26.17,IF(F608="#2 de 5.3",30.87,0)))))))*G608</f>
        <v>0</v>
      </c>
      <c r="I608" s="925" t="s">
        <v>1862</v>
      </c>
      <c r="J608" s="933">
        <v>0.1</v>
      </c>
      <c r="K608" s="936" t="s">
        <v>1863</v>
      </c>
      <c r="L608" s="933">
        <v>0</v>
      </c>
      <c r="M608" s="417"/>
    </row>
    <row r="609" spans="3:10" x14ac:dyDescent="0.2">
      <c r="C609" s="316"/>
      <c r="D609" s="317"/>
      <c r="E609" s="120"/>
      <c r="H609" s="922">
        <f>SUM(H593:H608)</f>
        <v>166.70109473684209</v>
      </c>
    </row>
    <row r="610" spans="3:10" ht="18.75" x14ac:dyDescent="0.25">
      <c r="C610" s="1052" t="s">
        <v>1692</v>
      </c>
      <c r="D610" s="317"/>
      <c r="E610" s="120"/>
      <c r="H610" s="120"/>
    </row>
    <row r="611" spans="3:10" x14ac:dyDescent="0.2">
      <c r="C611" s="316"/>
      <c r="D611" s="317"/>
      <c r="E611" s="120"/>
      <c r="H611" s="120"/>
    </row>
    <row r="612" spans="3:10" s="479" customFormat="1" ht="16.5" x14ac:dyDescent="0.25">
      <c r="C612" s="481" t="s">
        <v>1673</v>
      </c>
      <c r="D612" s="880">
        <v>8.9</v>
      </c>
      <c r="E612" s="498" t="s">
        <v>1008</v>
      </c>
      <c r="F612" s="413" t="s">
        <v>2178</v>
      </c>
      <c r="H612" s="494"/>
      <c r="J612" s="480"/>
    </row>
    <row r="613" spans="3:10" s="479" customFormat="1" ht="16.5" x14ac:dyDescent="0.25">
      <c r="C613" s="503" t="s">
        <v>1674</v>
      </c>
      <c r="D613" s="504">
        <v>0.35</v>
      </c>
      <c r="E613" s="504" t="s">
        <v>1008</v>
      </c>
      <c r="F613" s="413" t="s">
        <v>2178</v>
      </c>
      <c r="H613" s="494"/>
      <c r="J613" s="480"/>
    </row>
    <row r="614" spans="3:10" x14ac:dyDescent="0.2">
      <c r="C614" s="316"/>
      <c r="D614" s="317"/>
      <c r="E614" s="120"/>
      <c r="H614" s="120"/>
    </row>
    <row r="615" spans="3:10" ht="18.75" x14ac:dyDescent="0.25">
      <c r="C615" s="1052" t="s">
        <v>1675</v>
      </c>
      <c r="D615" s="317"/>
      <c r="E615" s="120"/>
      <c r="H615" s="120"/>
    </row>
    <row r="617" spans="3:10" s="479" customFormat="1" ht="16.5" x14ac:dyDescent="0.25">
      <c r="C617" s="481" t="s">
        <v>1676</v>
      </c>
      <c r="D617" s="498">
        <f>+D18</f>
        <v>31.5</v>
      </c>
      <c r="E617" s="498" t="s">
        <v>137</v>
      </c>
      <c r="F617" s="413" t="s">
        <v>2178</v>
      </c>
    </row>
    <row r="618" spans="3:10" x14ac:dyDescent="0.2">
      <c r="C618" s="316"/>
      <c r="D618" s="317"/>
      <c r="E618" s="120"/>
    </row>
    <row r="619" spans="3:10" x14ac:dyDescent="0.2">
      <c r="F619" s="63"/>
      <c r="G619" s="63"/>
    </row>
    <row r="620" spans="3:10" s="479" customFormat="1" x14ac:dyDescent="0.2">
      <c r="C620" s="894" t="s">
        <v>1546</v>
      </c>
      <c r="D620" s="894" t="s">
        <v>1662</v>
      </c>
      <c r="E620" s="894" t="s">
        <v>1663</v>
      </c>
      <c r="F620" s="894" t="s">
        <v>257</v>
      </c>
      <c r="G620" s="894" t="s">
        <v>1459</v>
      </c>
    </row>
    <row r="621" spans="3:10" s="479" customFormat="1" x14ac:dyDescent="0.2">
      <c r="C621" s="893" t="s">
        <v>3119</v>
      </c>
      <c r="D621" s="895">
        <f>+D556</f>
        <v>9</v>
      </c>
      <c r="E621" s="894" t="s">
        <v>1484</v>
      </c>
      <c r="F621" s="895">
        <f>+D621*D553/5.7</f>
        <v>66</v>
      </c>
      <c r="G621" s="895">
        <f>IF(E621="#2",1.494,IF(E621="#3",3.36,IF(E621="#4",5.964,IF(E621="#5",9.312,IF(E621="#2 de 4.11",18.56,IF(E621="#2 de 4.88",26.17,IF(E621="#2 de 5.3",30.87,0)))))))*F621</f>
        <v>221.76</v>
      </c>
    </row>
    <row r="622" spans="3:10" s="479" customFormat="1" x14ac:dyDescent="0.2">
      <c r="C622" s="893" t="s">
        <v>3120</v>
      </c>
      <c r="D622" s="895">
        <f>+D557</f>
        <v>139</v>
      </c>
      <c r="E622" s="894" t="s">
        <v>1484</v>
      </c>
      <c r="F622" s="895">
        <f>+D622*D554/5.7</f>
        <v>63.403508771929829</v>
      </c>
      <c r="G622" s="895">
        <f>IF(E622="#2",1.494,IF(E622="#3",3.36,IF(E622="#4",5.964,IF(E622="#5",9.312,IF(E622="#2 de 4.11",18.56,IF(E622="#2 de 4.88",26.17,IF(E622="#2 de 5.3",30.87,0)))))))*F622</f>
        <v>213.03578947368422</v>
      </c>
    </row>
    <row r="623" spans="3:10" s="479" customFormat="1" x14ac:dyDescent="0.2">
      <c r="C623" s="893" t="s">
        <v>3121</v>
      </c>
      <c r="D623" s="895">
        <f>+D548</f>
        <v>3</v>
      </c>
      <c r="E623" s="894" t="s">
        <v>1484</v>
      </c>
      <c r="F623" s="895">
        <f>+D623*D545/5.7</f>
        <v>12.736842105263156</v>
      </c>
      <c r="G623" s="895">
        <f>IF(E623="#2",1.494,IF(E623="#3",3.36,IF(E623="#4",5.964,IF(E623="#5",9.312,IF(E623="#2 de 4.11",18.56,IF(E623="#2 de 4.88",26.17,IF(E623="#2 de 5.3",30.87,0)))))))*F623</f>
        <v>42.795789473684202</v>
      </c>
    </row>
    <row r="624" spans="3:10" s="479" customFormat="1" x14ac:dyDescent="0.2">
      <c r="C624" s="893" t="s">
        <v>3122</v>
      </c>
      <c r="D624" s="895">
        <f>+D549</f>
        <v>81</v>
      </c>
      <c r="E624" s="894" t="s">
        <v>1484</v>
      </c>
      <c r="F624" s="895">
        <f>+D624*D546/5.7</f>
        <v>14.210526315789473</v>
      </c>
      <c r="G624" s="895">
        <f>IF(E624="#2",1.494,IF(E624="#3",3.36,IF(E624="#4",5.964,IF(E624="#5",9.312,IF(E624="#2 de 4.11",18.56,IF(E624="#2 de 4.88",26.17,IF(E624="#2 de 5.3",30.87,0)))))))*F624</f>
        <v>47.747368421052627</v>
      </c>
    </row>
    <row r="625" spans="2:7" s="479" customFormat="1" x14ac:dyDescent="0.2">
      <c r="B625" s="524"/>
      <c r="C625" s="893" t="s">
        <v>1679</v>
      </c>
      <c r="D625" s="895">
        <v>0.125</v>
      </c>
      <c r="E625" s="894" t="s">
        <v>1484</v>
      </c>
      <c r="F625" s="895">
        <f>D612/D625*D613*(1+FDG)/6</f>
        <v>4.3609999999999998</v>
      </c>
      <c r="G625" s="895">
        <f t="shared" ref="G625:G626" si="84">IF(E625="#2",1.494,IF(E625="#3",3.36,IF(E625="#4",5.964,IF(E625="#5",9.312,IF(E625="#2 de 4.11",18.56,IF(E625="#2 de 4.88",26.17,IF(E625="#2 de 5.3",30.87,0)))))))*F625</f>
        <v>14.652959999999998</v>
      </c>
    </row>
    <row r="626" spans="2:7" s="479" customFormat="1" x14ac:dyDescent="0.2">
      <c r="B626" s="524"/>
      <c r="C626" s="893" t="s">
        <v>1680</v>
      </c>
      <c r="D626" s="895">
        <f>+H588*(1+FDG)/6</f>
        <v>15.434999999999997</v>
      </c>
      <c r="E626" s="894" t="s">
        <v>1681</v>
      </c>
      <c r="F626" s="894">
        <f>ROUNDUP(D626/0.5,0)*0.5</f>
        <v>15.5</v>
      </c>
      <c r="G626" s="895">
        <f t="shared" si="84"/>
        <v>92.442000000000007</v>
      </c>
    </row>
    <row r="627" spans="2:7" s="479" customFormat="1" x14ac:dyDescent="0.2">
      <c r="B627" s="524"/>
      <c r="C627" s="893" t="s">
        <v>1682</v>
      </c>
      <c r="D627" s="895">
        <v>0.2</v>
      </c>
      <c r="E627" s="894" t="s">
        <v>1684</v>
      </c>
      <c r="F627" s="895">
        <f>D617*2/(1.9*5.7)</f>
        <v>5.8171745152354566</v>
      </c>
      <c r="G627" s="895">
        <f>IF(E627="#2",1.494,IF(E627="#3",3.36,IF(E627="#4",5.964,IF(E627="#5",9.312,IF(E627="#2 de 4.11",18.56,IF(E627="#2 de 4.88",26.17,IF(E627="#2 de 5.3",30.87,0)))))))*F627</f>
        <v>152.23545706371192</v>
      </c>
    </row>
    <row r="628" spans="2:7" x14ac:dyDescent="0.2">
      <c r="F628" s="63"/>
      <c r="G628" s="895">
        <f>SUM(G621:G627)</f>
        <v>784.66936443213297</v>
      </c>
    </row>
    <row r="629" spans="2:7" s="479" customFormat="1" x14ac:dyDescent="0.2">
      <c r="B629" s="524"/>
      <c r="C629" s="894" t="s">
        <v>1546</v>
      </c>
      <c r="D629" s="894" t="s">
        <v>13</v>
      </c>
      <c r="E629" s="894" t="s">
        <v>3148</v>
      </c>
    </row>
    <row r="630" spans="2:7" s="479" customFormat="1" x14ac:dyDescent="0.2">
      <c r="B630" s="891" t="s">
        <v>1918</v>
      </c>
      <c r="C630" s="907" t="s">
        <v>3053</v>
      </c>
      <c r="D630" s="895">
        <f>ROUNDUP(SUMIFS(G593:G608,F593:F608,"#3",E593:E608,"Aros")+F625,0)</f>
        <v>40</v>
      </c>
      <c r="E630" s="894" t="s">
        <v>1282</v>
      </c>
    </row>
    <row r="631" spans="2:7" s="479" customFormat="1" ht="16.5" x14ac:dyDescent="0.25">
      <c r="B631" s="891" t="s">
        <v>1918</v>
      </c>
      <c r="C631" s="907" t="s">
        <v>3497</v>
      </c>
      <c r="D631" s="895">
        <f>ROUNDUP(SUMIFS(G593:G608,F593:F608,"#3",E593:E608,"Longitudinal")+F621+F622+F623+F624,0)</f>
        <v>162</v>
      </c>
      <c r="E631" s="894" t="s">
        <v>1280</v>
      </c>
      <c r="F631" s="413"/>
    </row>
    <row r="632" spans="2:7" s="479" customFormat="1" ht="16.5" x14ac:dyDescent="0.25">
      <c r="B632" s="891" t="s">
        <v>1919</v>
      </c>
      <c r="C632" s="907" t="s">
        <v>1526</v>
      </c>
      <c r="D632" s="895">
        <f>ROUNDUP(SUMIF(F593:F608,"#4",G593:G608),0)+F626</f>
        <v>21.5</v>
      </c>
      <c r="E632" s="894" t="s">
        <v>1280</v>
      </c>
      <c r="F632" s="413"/>
    </row>
    <row r="633" spans="2:7" s="479" customFormat="1" ht="16.5" x14ac:dyDescent="0.25">
      <c r="B633" s="891" t="s">
        <v>2187</v>
      </c>
      <c r="C633" s="907" t="s">
        <v>1670</v>
      </c>
      <c r="D633" s="895">
        <f>+F627</f>
        <v>5.8171745152354566</v>
      </c>
      <c r="E633" s="894" t="s">
        <v>1280</v>
      </c>
      <c r="F633" s="413"/>
    </row>
    <row r="634" spans="2:7" s="479" customFormat="1" ht="16.5" x14ac:dyDescent="0.25">
      <c r="B634" s="891" t="s">
        <v>1920</v>
      </c>
      <c r="C634" s="907" t="s">
        <v>1583</v>
      </c>
      <c r="D634" s="895">
        <f>ROUND(SUM(G621:G627,H609)*FAN,0)</f>
        <v>43</v>
      </c>
      <c r="E634" s="894" t="s">
        <v>1411</v>
      </c>
      <c r="F634" s="413"/>
    </row>
    <row r="635" spans="2:7" s="479" customFormat="1" x14ac:dyDescent="0.2">
      <c r="B635" s="891" t="s">
        <v>1923</v>
      </c>
      <c r="C635" s="907" t="s">
        <v>3167</v>
      </c>
      <c r="D635" s="895">
        <f>ROUNDUP((D631*3.36+D632*5.964)*0.004,0)</f>
        <v>3</v>
      </c>
      <c r="E635" s="894" t="s">
        <v>1280</v>
      </c>
    </row>
    <row r="636" spans="2:7" s="479" customFormat="1" x14ac:dyDescent="0.2">
      <c r="B636" s="891" t="s">
        <v>1922</v>
      </c>
      <c r="C636" s="907" t="s">
        <v>3166</v>
      </c>
      <c r="D636" s="895">
        <f>+D635</f>
        <v>3</v>
      </c>
      <c r="E636" s="894" t="s">
        <v>1280</v>
      </c>
    </row>
    <row r="637" spans="2:7" x14ac:dyDescent="0.2">
      <c r="C637" s="100"/>
    </row>
    <row r="638" spans="2:7" s="479" customFormat="1" x14ac:dyDescent="0.2">
      <c r="B638" s="524"/>
      <c r="C638" s="894"/>
      <c r="D638" s="894" t="s">
        <v>1012</v>
      </c>
      <c r="E638" s="894" t="s">
        <v>257</v>
      </c>
      <c r="F638" s="894" t="s">
        <v>1657</v>
      </c>
    </row>
    <row r="639" spans="2:7" s="479" customFormat="1" x14ac:dyDescent="0.2">
      <c r="B639" s="524"/>
      <c r="C639" s="894" t="s">
        <v>1685</v>
      </c>
      <c r="D639" s="898">
        <f>+D163</f>
        <v>550</v>
      </c>
      <c r="E639" s="898">
        <f>+D639*SUM(G621:G627,H609)</f>
        <v>523253.75254293624</v>
      </c>
      <c r="F639" s="894">
        <f>ROUND(E639/'COSTOS MO CUADRILLA'!K13,0)</f>
        <v>192</v>
      </c>
    </row>
    <row r="640" spans="2:7" s="479" customFormat="1" x14ac:dyDescent="0.2">
      <c r="B640" s="524"/>
      <c r="C640" s="893"/>
      <c r="D640" s="894" t="s">
        <v>1016</v>
      </c>
      <c r="E640" s="898">
        <f>SUM(E639:E639)</f>
        <v>523253.75254293624</v>
      </c>
      <c r="F640" s="899">
        <f>+E640/'COSTOS MO CUADRILLA'!K13</f>
        <v>192.01972570382981</v>
      </c>
      <c r="G640" s="480"/>
    </row>
    <row r="643" spans="3:6" ht="21" x14ac:dyDescent="0.2">
      <c r="C643" s="471" t="s">
        <v>2046</v>
      </c>
      <c r="D643" s="1150" t="s">
        <v>1927</v>
      </c>
      <c r="E643" s="1151"/>
      <c r="F643" s="1152"/>
    </row>
    <row r="645" spans="3:6" ht="18.75" x14ac:dyDescent="0.25">
      <c r="C645" s="1052" t="s">
        <v>1693</v>
      </c>
    </row>
    <row r="647" spans="3:6" x14ac:dyDescent="0.2">
      <c r="C647" s="489" t="s">
        <v>3351</v>
      </c>
      <c r="D647" s="491">
        <f>+D648*D649+D656*D657</f>
        <v>132.88</v>
      </c>
      <c r="E647" s="491" t="s">
        <v>137</v>
      </c>
    </row>
    <row r="648" spans="3:6" s="479" customFormat="1" ht="16.5" x14ac:dyDescent="0.25">
      <c r="C648" s="489" t="s">
        <v>1026</v>
      </c>
      <c r="D648" s="490">
        <f>+D545</f>
        <v>24.2</v>
      </c>
      <c r="E648" s="491" t="s">
        <v>1008</v>
      </c>
      <c r="F648" s="413"/>
    </row>
    <row r="649" spans="3:6" s="479" customFormat="1" ht="16.5" x14ac:dyDescent="0.25">
      <c r="C649" s="481" t="s">
        <v>1041</v>
      </c>
      <c r="D649" s="485">
        <f>+D546</f>
        <v>1</v>
      </c>
      <c r="E649" s="485" t="s">
        <v>1008</v>
      </c>
      <c r="F649" s="413"/>
    </row>
    <row r="650" spans="3:6" s="479" customFormat="1" ht="16.5" x14ac:dyDescent="0.25">
      <c r="C650" s="489" t="s">
        <v>1028</v>
      </c>
      <c r="D650" s="491">
        <v>0.1</v>
      </c>
      <c r="E650" s="491" t="s">
        <v>1008</v>
      </c>
      <c r="F650" s="413"/>
    </row>
    <row r="651" spans="3:6" s="479" customFormat="1" ht="16.5" x14ac:dyDescent="0.25">
      <c r="E651" s="480"/>
      <c r="F651" s="415"/>
    </row>
    <row r="652" spans="3:6" s="479" customFormat="1" ht="16.5" x14ac:dyDescent="0.25">
      <c r="C652" s="893" t="s">
        <v>1693</v>
      </c>
      <c r="D652" s="895">
        <f>D648*D649*D650</f>
        <v>2.42</v>
      </c>
      <c r="E652" s="894" t="s">
        <v>1029</v>
      </c>
      <c r="F652" s="413"/>
    </row>
    <row r="654" spans="3:6" ht="18.75" x14ac:dyDescent="0.25">
      <c r="C654" s="1052" t="s">
        <v>1040</v>
      </c>
    </row>
    <row r="656" spans="3:6" s="479" customFormat="1" ht="16.5" x14ac:dyDescent="0.25">
      <c r="C656" s="489" t="s">
        <v>1026</v>
      </c>
      <c r="D656" s="490">
        <f>+D553</f>
        <v>41.8</v>
      </c>
      <c r="E656" s="491" t="s">
        <v>1008</v>
      </c>
      <c r="F656" s="413"/>
    </row>
    <row r="657" spans="3:6" s="479" customFormat="1" ht="16.5" x14ac:dyDescent="0.25">
      <c r="C657" s="481" t="s">
        <v>1041</v>
      </c>
      <c r="D657" s="490">
        <f>+D554</f>
        <v>2.6</v>
      </c>
      <c r="E657" s="485" t="s">
        <v>1008</v>
      </c>
      <c r="F657" s="413"/>
    </row>
    <row r="658" spans="3:6" s="479" customFormat="1" ht="16.5" x14ac:dyDescent="0.25">
      <c r="C658" s="489" t="s">
        <v>1028</v>
      </c>
      <c r="D658" s="491">
        <v>0.1</v>
      </c>
      <c r="E658" s="491" t="s">
        <v>1008</v>
      </c>
      <c r="F658" s="413"/>
    </row>
    <row r="660" spans="3:6" s="479" customFormat="1" ht="16.5" x14ac:dyDescent="0.25">
      <c r="C660" s="893" t="s">
        <v>1040</v>
      </c>
      <c r="D660" s="895">
        <f>D656*D657*D658</f>
        <v>10.868</v>
      </c>
      <c r="E660" s="894" t="s">
        <v>1029</v>
      </c>
      <c r="F660" s="413"/>
    </row>
    <row r="662" spans="3:6" ht="18.75" x14ac:dyDescent="0.25">
      <c r="C662" s="1052" t="s">
        <v>3054</v>
      </c>
    </row>
    <row r="664" spans="3:6" s="479" customFormat="1" ht="16.5" x14ac:dyDescent="0.25">
      <c r="C664" s="481" t="s">
        <v>3056</v>
      </c>
      <c r="D664" s="498">
        <f>+D617</f>
        <v>31.5</v>
      </c>
      <c r="E664" s="485" t="s">
        <v>78</v>
      </c>
      <c r="F664" s="413"/>
    </row>
    <row r="665" spans="3:6" s="479" customFormat="1" ht="16.5" x14ac:dyDescent="0.25">
      <c r="C665" s="489" t="s">
        <v>1028</v>
      </c>
      <c r="D665" s="491">
        <v>0.15</v>
      </c>
      <c r="E665" s="491" t="s">
        <v>1008</v>
      </c>
      <c r="F665" s="413"/>
    </row>
    <row r="666" spans="3:6" s="479" customFormat="1" ht="16.5" x14ac:dyDescent="0.25">
      <c r="E666" s="480"/>
      <c r="F666" s="413"/>
    </row>
    <row r="667" spans="3:6" s="479" customFormat="1" ht="16.5" x14ac:dyDescent="0.25">
      <c r="C667" s="893" t="s">
        <v>3478</v>
      </c>
      <c r="D667" s="895">
        <f>D665*D664</f>
        <v>4.7249999999999996</v>
      </c>
      <c r="E667" s="894" t="s">
        <v>1029</v>
      </c>
      <c r="F667" s="413"/>
    </row>
    <row r="669" spans="3:6" ht="18.75" x14ac:dyDescent="0.25">
      <c r="C669" s="1052" t="s">
        <v>1694</v>
      </c>
    </row>
    <row r="671" spans="3:6" s="479" customFormat="1" x14ac:dyDescent="0.2">
      <c r="C671" s="489" t="s">
        <v>1026</v>
      </c>
      <c r="D671" s="490">
        <f>+D612</f>
        <v>8.9</v>
      </c>
      <c r="E671" s="491" t="s">
        <v>1008</v>
      </c>
    </row>
    <row r="672" spans="3:6" s="479" customFormat="1" x14ac:dyDescent="0.2">
      <c r="C672" s="481" t="s">
        <v>1041</v>
      </c>
      <c r="D672" s="485">
        <v>0.15</v>
      </c>
      <c r="E672" s="485" t="s">
        <v>1008</v>
      </c>
    </row>
    <row r="673" spans="2:6" s="479" customFormat="1" x14ac:dyDescent="0.2">
      <c r="C673" s="489" t="s">
        <v>1028</v>
      </c>
      <c r="D673" s="491">
        <v>0.1</v>
      </c>
      <c r="E673" s="491" t="s">
        <v>1008</v>
      </c>
    </row>
    <row r="675" spans="2:6" s="479" customFormat="1" x14ac:dyDescent="0.2">
      <c r="B675" s="524"/>
      <c r="C675" s="893" t="s">
        <v>70</v>
      </c>
      <c r="D675" s="895">
        <f>(D671*D672*D673)*1.05</f>
        <v>0.14017500000000002</v>
      </c>
      <c r="E675" s="894" t="s">
        <v>1029</v>
      </c>
    </row>
    <row r="676" spans="2:6" s="479" customFormat="1" x14ac:dyDescent="0.2">
      <c r="B676" s="524"/>
      <c r="E676" s="480"/>
    </row>
    <row r="677" spans="2:6" s="479" customFormat="1" x14ac:dyDescent="0.2">
      <c r="B677" s="524"/>
      <c r="C677" s="893" t="s">
        <v>1695</v>
      </c>
      <c r="D677" s="895">
        <f>+D675+D660+D667+D652</f>
        <v>18.153174999999997</v>
      </c>
      <c r="E677" s="894" t="s">
        <v>1029</v>
      </c>
    </row>
    <row r="679" spans="2:6" s="479" customFormat="1" x14ac:dyDescent="0.2">
      <c r="B679" s="524"/>
      <c r="C679" s="894" t="s">
        <v>1546</v>
      </c>
      <c r="D679" s="894" t="s">
        <v>13</v>
      </c>
      <c r="E679" s="894" t="s">
        <v>3148</v>
      </c>
    </row>
    <row r="680" spans="2:6" s="479" customFormat="1" x14ac:dyDescent="0.2">
      <c r="B680" s="891" t="s">
        <v>2184</v>
      </c>
      <c r="C680" s="893" t="s">
        <v>1017</v>
      </c>
      <c r="D680" s="895">
        <f>ROUND(D677*muroc,0)</f>
        <v>6172</v>
      </c>
      <c r="E680" s="894" t="s">
        <v>1020</v>
      </c>
    </row>
    <row r="681" spans="2:6" s="479" customFormat="1" x14ac:dyDescent="0.2">
      <c r="B681" s="891" t="s">
        <v>1914</v>
      </c>
      <c r="C681" s="893" t="s">
        <v>1018</v>
      </c>
      <c r="D681" s="895">
        <f>ROUND(D677*muroa,1)</f>
        <v>12.5</v>
      </c>
      <c r="E681" s="894" t="s">
        <v>1010</v>
      </c>
    </row>
    <row r="682" spans="2:6" s="479" customFormat="1" x14ac:dyDescent="0.2">
      <c r="B682" s="891" t="s">
        <v>2190</v>
      </c>
      <c r="C682" s="893" t="s">
        <v>1019</v>
      </c>
      <c r="D682" s="895">
        <f>ROUND(D677*murop,1)</f>
        <v>9.8000000000000007</v>
      </c>
      <c r="E682" s="894" t="s">
        <v>1010</v>
      </c>
    </row>
    <row r="683" spans="2:6" s="479" customFormat="1" x14ac:dyDescent="0.2">
      <c r="B683" s="891" t="s">
        <v>2086</v>
      </c>
      <c r="C683" s="893" t="s">
        <v>3168</v>
      </c>
      <c r="D683" s="895">
        <f>ROUND(D677*muroad,0)</f>
        <v>44</v>
      </c>
      <c r="E683" s="894" t="s">
        <v>1022</v>
      </c>
    </row>
    <row r="684" spans="2:6" s="479" customFormat="1" x14ac:dyDescent="0.2">
      <c r="B684" s="891" t="s">
        <v>1924</v>
      </c>
      <c r="C684" s="893" t="s">
        <v>3169</v>
      </c>
      <c r="D684" s="895">
        <f>ROUND(D677*murof,0)</f>
        <v>18</v>
      </c>
      <c r="E684" s="894" t="s">
        <v>1022</v>
      </c>
    </row>
    <row r="686" spans="2:6" ht="18.75" x14ac:dyDescent="0.25">
      <c r="C686" s="1052" t="s">
        <v>1696</v>
      </c>
    </row>
    <row r="687" spans="2:6" x14ac:dyDescent="0.2">
      <c r="F687" s="414"/>
    </row>
    <row r="688" spans="2:6" s="479" customFormat="1" ht="16.5" x14ac:dyDescent="0.25">
      <c r="B688" s="524"/>
      <c r="C688" s="481" t="s">
        <v>1042</v>
      </c>
      <c r="D688" s="485">
        <f>+D649</f>
        <v>1</v>
      </c>
      <c r="E688" s="485" t="s">
        <v>1008</v>
      </c>
      <c r="F688" s="413"/>
    </row>
    <row r="689" spans="2:6" s="479" customFormat="1" ht="16.5" x14ac:dyDescent="0.25">
      <c r="B689" s="524"/>
      <c r="C689" s="489" t="s">
        <v>1026</v>
      </c>
      <c r="D689" s="491">
        <f>+D648</f>
        <v>24.2</v>
      </c>
      <c r="E689" s="491" t="s">
        <v>1008</v>
      </c>
      <c r="F689" s="413"/>
    </row>
    <row r="691" spans="2:6" s="479" customFormat="1" ht="16.5" x14ac:dyDescent="0.25">
      <c r="C691" s="893" t="s">
        <v>996</v>
      </c>
      <c r="D691" s="895">
        <f>(D688*D689)*2</f>
        <v>48.4</v>
      </c>
      <c r="E691" s="894" t="s">
        <v>78</v>
      </c>
      <c r="F691" s="413"/>
    </row>
    <row r="692" spans="2:6" x14ac:dyDescent="0.2">
      <c r="F692" s="414"/>
    </row>
    <row r="693" spans="2:6" ht="18.75" x14ac:dyDescent="0.25">
      <c r="C693" s="1052" t="s">
        <v>124</v>
      </c>
      <c r="F693" s="414"/>
    </row>
    <row r="694" spans="2:6" x14ac:dyDescent="0.2">
      <c r="F694" s="414"/>
    </row>
    <row r="695" spans="2:6" s="479" customFormat="1" ht="16.5" x14ac:dyDescent="0.25">
      <c r="C695" s="481" t="s">
        <v>1042</v>
      </c>
      <c r="D695" s="485">
        <f>+D554</f>
        <v>2.6</v>
      </c>
      <c r="E695" s="485" t="s">
        <v>1008</v>
      </c>
      <c r="F695" s="413"/>
    </row>
    <row r="696" spans="2:6" s="479" customFormat="1" ht="16.5" x14ac:dyDescent="0.25">
      <c r="C696" s="489" t="s">
        <v>1026</v>
      </c>
      <c r="D696" s="490">
        <f>+D553</f>
        <v>41.8</v>
      </c>
      <c r="E696" s="491" t="s">
        <v>1008</v>
      </c>
      <c r="F696" s="413"/>
    </row>
    <row r="698" spans="2:6" s="479" customFormat="1" ht="16.5" x14ac:dyDescent="0.25">
      <c r="C698" s="893" t="s">
        <v>996</v>
      </c>
      <c r="D698" s="895">
        <f>(D695*D696)*2</f>
        <v>217.35999999999999</v>
      </c>
      <c r="E698" s="894" t="s">
        <v>78</v>
      </c>
      <c r="F698" s="413"/>
    </row>
    <row r="700" spans="2:6" ht="18.75" x14ac:dyDescent="0.25">
      <c r="C700" s="1052" t="s">
        <v>3055</v>
      </c>
    </row>
    <row r="702" spans="2:6" s="479" customFormat="1" x14ac:dyDescent="0.2">
      <c r="C702" s="481" t="s">
        <v>3479</v>
      </c>
      <c r="D702" s="498">
        <f>+D664</f>
        <v>31.5</v>
      </c>
      <c r="E702" s="485" t="s">
        <v>137</v>
      </c>
    </row>
    <row r="703" spans="2:6" s="479" customFormat="1" x14ac:dyDescent="0.2">
      <c r="E703" s="480"/>
    </row>
    <row r="704" spans="2:6" s="479" customFormat="1" ht="16.5" x14ac:dyDescent="0.25">
      <c r="C704" s="893" t="s">
        <v>996</v>
      </c>
      <c r="D704" s="895">
        <f>+D702</f>
        <v>31.5</v>
      </c>
      <c r="E704" s="894" t="s">
        <v>78</v>
      </c>
      <c r="F704" s="417"/>
    </row>
    <row r="705" spans="2:6" s="479" customFormat="1" x14ac:dyDescent="0.2">
      <c r="E705" s="480"/>
    </row>
    <row r="706" spans="2:6" s="479" customFormat="1" x14ac:dyDescent="0.2">
      <c r="C706" s="893" t="s">
        <v>1697</v>
      </c>
      <c r="D706" s="895">
        <f>D704+D698+D691</f>
        <v>297.26</v>
      </c>
      <c r="E706" s="894" t="s">
        <v>137</v>
      </c>
    </row>
    <row r="708" spans="2:6" s="479" customFormat="1" x14ac:dyDescent="0.2">
      <c r="B708" s="891" t="s">
        <v>2576</v>
      </c>
      <c r="C708" s="893" t="str">
        <f>_xlfn.XLOOKUP(B708,'BASE DATOS PRECIOS '!B:B,'BASE DATOS PRECIOS '!E:E,0,0,1)</f>
        <v>FUNDAS DE 10CM</v>
      </c>
      <c r="D708" s="895">
        <f>IF($D$24=2,600,0)</f>
        <v>600</v>
      </c>
      <c r="E708" s="894" t="s">
        <v>3148</v>
      </c>
    </row>
    <row r="709" spans="2:6" s="479" customFormat="1" x14ac:dyDescent="0.2">
      <c r="B709" s="891" t="s">
        <v>2132</v>
      </c>
      <c r="C709" s="893" t="str">
        <f>_xlfn.XLOOKUP(B709,'BASE DATOS PRECIOS '!B:B,'BASE DATOS PRECIOS '!E:E,0,0,1)</f>
        <v>CLAVO ACERO 2 X 3.8MM CAJA (250)</v>
      </c>
      <c r="D709" s="895">
        <v>1</v>
      </c>
      <c r="E709" s="894" t="str">
        <f>_xlfn.XLOOKUP(B709,'BASE DATOS PRECIOS '!B:B,'BASE DATOS PRECIOS '!F:F,0,0,1)</f>
        <v>CJ</v>
      </c>
    </row>
    <row r="710" spans="2:6" s="479" customFormat="1" x14ac:dyDescent="0.2">
      <c r="B710" s="891" t="s">
        <v>3531</v>
      </c>
      <c r="C710" s="893" t="str">
        <f>_xlfn.XLOOKUP(B710,'BASE DATOS PRECIOS '!B:B,'BASE DATOS PRECIOS '!E:E,0,0,1)</f>
        <v>REPEMAX CAPA GRUESA 80XA-W2 (40KG)</v>
      </c>
      <c r="D710" s="895">
        <f>IF($D$24=2,3,0)</f>
        <v>3</v>
      </c>
      <c r="E710" s="894" t="str">
        <f>_xlfn.XLOOKUP(B710,'BASE DATOS PRECIOS '!B:B,'BASE DATOS PRECIOS '!F:F,0,0,1)</f>
        <v>SACO</v>
      </c>
    </row>
    <row r="711" spans="2:6" s="479" customFormat="1" x14ac:dyDescent="0.2">
      <c r="B711" s="891" t="s">
        <v>1991</v>
      </c>
      <c r="C711" s="893" t="str">
        <f>_xlfn.XLOOKUP(B711,'BASE DATOS PRECIOS '!B:B,'BASE DATOS PRECIOS '!E:E,0,0,1)</f>
        <v>SEPARADORES TIPO CONO 12CM SP450</v>
      </c>
      <c r="D711" s="895">
        <f>IF($D$24=2,60,0)</f>
        <v>60</v>
      </c>
      <c r="E711" s="894" t="str">
        <f>_xlfn.XLOOKUP(B711,'BASE DATOS PRECIOS '!B:B,'BASE DATOS PRECIOS '!F:F,0,0,1)</f>
        <v>UND</v>
      </c>
    </row>
    <row r="712" spans="2:6" s="479" customFormat="1" x14ac:dyDescent="0.2">
      <c r="B712" s="891" t="s">
        <v>2189</v>
      </c>
      <c r="C712" s="893" t="str">
        <f>_xlfn.XLOOKUP(B712,'BASE DATOS PRECIOS '!B:B,'BASE DATOS PRECIOS '!E:E,0,0,1)</f>
        <v>SEPARADOR TIPO CONO 2.5CM (1") SP125</v>
      </c>
      <c r="D712" s="895">
        <f>IF($D$24=2,60,0)</f>
        <v>60</v>
      </c>
      <c r="E712" s="894" t="str">
        <f>_xlfn.XLOOKUP(B712,'BASE DATOS PRECIOS '!B:B,'BASE DATOS PRECIOS '!F:F,0,0,1)</f>
        <v>UND</v>
      </c>
    </row>
    <row r="714" spans="2:6" s="479" customFormat="1" x14ac:dyDescent="0.2">
      <c r="C714" s="894"/>
      <c r="D714" s="894" t="s">
        <v>1012</v>
      </c>
      <c r="E714" s="894" t="s">
        <v>257</v>
      </c>
      <c r="F714" s="894" t="s">
        <v>1657</v>
      </c>
    </row>
    <row r="715" spans="2:6" s="479" customFormat="1" x14ac:dyDescent="0.2">
      <c r="C715" s="907" t="s">
        <v>996</v>
      </c>
      <c r="D715" s="898">
        <f>+D164</f>
        <v>1320</v>
      </c>
      <c r="E715" s="898">
        <f>+D715*D706</f>
        <v>392383.2</v>
      </c>
      <c r="F715" s="894">
        <f>ROUND(E715/'COSTOS MO CUADRILLA'!K14,0)</f>
        <v>140</v>
      </c>
    </row>
    <row r="716" spans="2:6" s="479" customFormat="1" x14ac:dyDescent="0.2">
      <c r="C716" s="907" t="s">
        <v>1043</v>
      </c>
      <c r="D716" s="898">
        <f>+D165</f>
        <v>11000</v>
      </c>
      <c r="E716" s="898">
        <f>+D716*D677</f>
        <v>199684.92499999996</v>
      </c>
      <c r="F716" s="894">
        <f>ROUND(E716/'COSTOS MO CUADRILLA'!K14,0)</f>
        <v>71</v>
      </c>
    </row>
    <row r="717" spans="2:6" s="479" customFormat="1" x14ac:dyDescent="0.2">
      <c r="C717" s="907" t="s">
        <v>1435</v>
      </c>
      <c r="D717" s="898">
        <f>+D166</f>
        <v>330</v>
      </c>
      <c r="E717" s="898">
        <f>+D717*D706</f>
        <v>98095.8</v>
      </c>
      <c r="F717" s="894">
        <f>ROUND(E717/'COSTOS MO CUADRILLA'!K14,0)</f>
        <v>35</v>
      </c>
    </row>
    <row r="718" spans="2:6" s="479" customFormat="1" x14ac:dyDescent="0.2">
      <c r="C718" s="907" t="s">
        <v>1436</v>
      </c>
      <c r="D718" s="898">
        <f>+D167</f>
        <v>550</v>
      </c>
      <c r="E718" s="898">
        <f>+D718*D706</f>
        <v>163493</v>
      </c>
      <c r="F718" s="894">
        <f>ROUND(E718/'COSTOS MO CUADRILLA'!K14,0)</f>
        <v>58</v>
      </c>
    </row>
    <row r="719" spans="2:6" s="479" customFormat="1" x14ac:dyDescent="0.2">
      <c r="C719" s="893"/>
      <c r="D719" s="894" t="s">
        <v>1016</v>
      </c>
      <c r="E719" s="898">
        <f>SUM(E715:E718)</f>
        <v>853656.92500000005</v>
      </c>
      <c r="F719" s="899">
        <f>+E719/'COSTOS MO CUADRILLA'!K14</f>
        <v>303.8908147249191</v>
      </c>
    </row>
    <row r="722" spans="3:10" ht="21" x14ac:dyDescent="0.2">
      <c r="C722" s="470">
        <v>1.3</v>
      </c>
      <c r="D722" s="470" t="s">
        <v>141</v>
      </c>
    </row>
    <row r="724" spans="3:10" ht="21" x14ac:dyDescent="0.2">
      <c r="C724" s="471" t="s">
        <v>2047</v>
      </c>
      <c r="D724" s="471" t="s">
        <v>142</v>
      </c>
      <c r="E724" s="471">
        <f>+D21</f>
        <v>44.8</v>
      </c>
      <c r="F724" s="471" t="s">
        <v>396</v>
      </c>
    </row>
    <row r="726" spans="3:10" ht="18.75" x14ac:dyDescent="0.25">
      <c r="C726" s="1052" t="s">
        <v>1505</v>
      </c>
    </row>
    <row r="728" spans="3:10" s="479" customFormat="1" ht="16.5" x14ac:dyDescent="0.25">
      <c r="C728" s="491" t="s">
        <v>3587</v>
      </c>
      <c r="D728" s="878">
        <f>9.9+48.8</f>
        <v>58.699999999999996</v>
      </c>
      <c r="E728" s="485" t="s">
        <v>1008</v>
      </c>
      <c r="F728" s="413"/>
    </row>
    <row r="729" spans="3:10" s="479" customFormat="1" ht="16.5" x14ac:dyDescent="0.25">
      <c r="C729" s="938" t="s">
        <v>2970</v>
      </c>
      <c r="D729" s="895">
        <f>ROUNDUP(((D728)*1.1/6),0)</f>
        <v>11</v>
      </c>
      <c r="E729" s="894" t="s">
        <v>1024</v>
      </c>
      <c r="F729" s="413"/>
    </row>
    <row r="730" spans="3:10" x14ac:dyDescent="0.2">
      <c r="F730" s="414"/>
    </row>
    <row r="731" spans="3:10" ht="18.75" x14ac:dyDescent="0.25">
      <c r="C731" s="1052" t="s">
        <v>1518</v>
      </c>
      <c r="G731" s="509"/>
      <c r="H731" s="510"/>
      <c r="J731" s="511"/>
    </row>
    <row r="733" spans="3:10" x14ac:dyDescent="0.2">
      <c r="C733" s="491" t="s">
        <v>3585</v>
      </c>
      <c r="D733" s="878">
        <f>I733</f>
        <v>0</v>
      </c>
      <c r="E733" s="485" t="s">
        <v>1008</v>
      </c>
      <c r="G733" s="509"/>
      <c r="H733" s="512"/>
      <c r="I733" s="512"/>
      <c r="J733" s="512"/>
    </row>
    <row r="734" spans="3:10" s="479" customFormat="1" ht="16.5" x14ac:dyDescent="0.25">
      <c r="C734" s="491" t="s">
        <v>3586</v>
      </c>
      <c r="D734" s="878">
        <v>0</v>
      </c>
      <c r="E734" s="485" t="s">
        <v>1008</v>
      </c>
      <c r="F734" s="413"/>
      <c r="G734" s="509"/>
      <c r="H734" s="509"/>
      <c r="I734" s="509"/>
    </row>
    <row r="735" spans="3:10" x14ac:dyDescent="0.2">
      <c r="C735" s="893" t="s">
        <v>1070</v>
      </c>
      <c r="D735" s="895">
        <f>D733*1.1/6</f>
        <v>0</v>
      </c>
      <c r="E735" s="894" t="s">
        <v>1024</v>
      </c>
      <c r="F735" s="414"/>
      <c r="G735" s="50"/>
      <c r="H735" s="50"/>
      <c r="I735" s="50"/>
    </row>
    <row r="736" spans="3:10" s="479" customFormat="1" ht="16.5" x14ac:dyDescent="0.25">
      <c r="C736" s="893" t="s">
        <v>1059</v>
      </c>
      <c r="D736" s="895">
        <f>D734*1.1/6</f>
        <v>0</v>
      </c>
      <c r="E736" s="894" t="s">
        <v>1024</v>
      </c>
      <c r="F736" s="413"/>
      <c r="G736" s="509"/>
      <c r="H736" s="509"/>
      <c r="I736" s="509"/>
    </row>
    <row r="738" spans="3:6" ht="18.75" x14ac:dyDescent="0.25">
      <c r="C738" s="1052" t="s">
        <v>1058</v>
      </c>
      <c r="F738" s="414"/>
    </row>
    <row r="739" spans="3:6" x14ac:dyDescent="0.2">
      <c r="F739" s="414"/>
    </row>
    <row r="740" spans="3:6" s="479" customFormat="1" ht="16.5" x14ac:dyDescent="0.25">
      <c r="C740" s="513" t="s">
        <v>1062</v>
      </c>
      <c r="D740" s="878">
        <f>38.5+19.4</f>
        <v>57.9</v>
      </c>
      <c r="E740" s="485" t="s">
        <v>1076</v>
      </c>
      <c r="F740" s="413"/>
    </row>
    <row r="741" spans="3:6" s="479" customFormat="1" ht="16.5" x14ac:dyDescent="0.25">
      <c r="C741" s="893" t="s">
        <v>1064</v>
      </c>
      <c r="D741" s="895">
        <f>(D740/6)*1.1</f>
        <v>10.615000000000002</v>
      </c>
      <c r="E741" s="894" t="s">
        <v>1024</v>
      </c>
      <c r="F741" s="413"/>
    </row>
    <row r="742" spans="3:6" x14ac:dyDescent="0.2">
      <c r="F742" s="414"/>
    </row>
    <row r="743" spans="3:6" ht="18.75" x14ac:dyDescent="0.25">
      <c r="C743" s="1052" t="s">
        <v>1517</v>
      </c>
      <c r="F743" s="414"/>
    </row>
    <row r="745" spans="3:6" s="479" customFormat="1" ht="16.5" x14ac:dyDescent="0.25">
      <c r="C745" s="513" t="s">
        <v>1519</v>
      </c>
      <c r="D745" s="878">
        <v>15</v>
      </c>
      <c r="E745" s="485" t="s">
        <v>1167</v>
      </c>
      <c r="F745" s="413"/>
    </row>
    <row r="746" spans="3:6" s="479" customFormat="1" x14ac:dyDescent="0.2">
      <c r="C746" s="513" t="s">
        <v>1520</v>
      </c>
      <c r="D746" s="878">
        <v>19</v>
      </c>
      <c r="E746" s="485" t="s">
        <v>1167</v>
      </c>
      <c r="F746" s="505"/>
    </row>
    <row r="747" spans="3:6" s="479" customFormat="1" x14ac:dyDescent="0.2">
      <c r="C747" s="513" t="s">
        <v>1521</v>
      </c>
      <c r="D747" s="878">
        <v>0</v>
      </c>
      <c r="E747" s="485" t="s">
        <v>1167</v>
      </c>
      <c r="F747" s="505"/>
    </row>
    <row r="748" spans="3:6" s="479" customFormat="1" x14ac:dyDescent="0.2">
      <c r="C748" s="513" t="s">
        <v>1522</v>
      </c>
      <c r="D748" s="878">
        <v>0</v>
      </c>
      <c r="E748" s="485" t="s">
        <v>1167</v>
      </c>
      <c r="F748" s="505"/>
    </row>
    <row r="749" spans="3:6" s="479" customFormat="1" x14ac:dyDescent="0.2">
      <c r="C749" s="513" t="s">
        <v>1523</v>
      </c>
      <c r="D749" s="878">
        <v>0</v>
      </c>
      <c r="E749" s="485" t="s">
        <v>1167</v>
      </c>
    </row>
    <row r="750" spans="3:6" s="479" customFormat="1" x14ac:dyDescent="0.2">
      <c r="C750" s="513" t="s">
        <v>1527</v>
      </c>
      <c r="D750" s="878">
        <v>0</v>
      </c>
      <c r="E750" s="485" t="s">
        <v>1076</v>
      </c>
    </row>
    <row r="752" spans="3:6" s="479" customFormat="1" ht="16.5" x14ac:dyDescent="0.25">
      <c r="C752" s="893" t="s">
        <v>1524</v>
      </c>
      <c r="D752" s="895">
        <v>6</v>
      </c>
      <c r="E752" s="894" t="s">
        <v>1076</v>
      </c>
      <c r="F752" s="413"/>
    </row>
    <row r="753" spans="2:6" s="479" customFormat="1" ht="16.5" x14ac:dyDescent="0.25">
      <c r="C753" s="893" t="s">
        <v>1525</v>
      </c>
      <c r="D753" s="895">
        <f>+D745*1+D746*1+D747*1+D748*1+D749*1</f>
        <v>34</v>
      </c>
      <c r="E753" s="894" t="s">
        <v>1076</v>
      </c>
      <c r="F753" s="413"/>
    </row>
    <row r="754" spans="2:6" s="479" customFormat="1" ht="16.5" x14ac:dyDescent="0.25">
      <c r="C754" s="893" t="s">
        <v>1526</v>
      </c>
      <c r="D754" s="895">
        <f>+D745*0.8+D746*0.6+D747*0.6+D748*0.5+D749*0.8</f>
        <v>23.4</v>
      </c>
      <c r="E754" s="894" t="s">
        <v>1076</v>
      </c>
      <c r="F754" s="413"/>
    </row>
    <row r="755" spans="2:6" s="479" customFormat="1" x14ac:dyDescent="0.2">
      <c r="C755" s="893" t="s">
        <v>1528</v>
      </c>
      <c r="D755" s="895">
        <f>ROUNDUP(D750/0.4,0)</f>
        <v>0</v>
      </c>
      <c r="E755" s="894" t="s">
        <v>1167</v>
      </c>
      <c r="F755" s="505"/>
    </row>
    <row r="756" spans="2:6" s="479" customFormat="1" x14ac:dyDescent="0.2">
      <c r="C756" s="893" t="s">
        <v>1529</v>
      </c>
      <c r="D756" s="895">
        <f>+D750</f>
        <v>0</v>
      </c>
      <c r="E756" s="894" t="s">
        <v>1076</v>
      </c>
    </row>
    <row r="757" spans="2:6" s="479" customFormat="1" x14ac:dyDescent="0.2">
      <c r="C757" s="893" t="s">
        <v>1531</v>
      </c>
      <c r="D757" s="895">
        <f>+D755/12</f>
        <v>0</v>
      </c>
      <c r="E757" s="894" t="s">
        <v>1530</v>
      </c>
    </row>
    <row r="759" spans="2:6" ht="18.75" x14ac:dyDescent="0.25">
      <c r="C759" s="1052" t="s">
        <v>1065</v>
      </c>
    </row>
    <row r="761" spans="2:6" s="479" customFormat="1" ht="16.5" x14ac:dyDescent="0.25">
      <c r="C761" s="513" t="s">
        <v>1066</v>
      </c>
      <c r="D761" s="878"/>
      <c r="E761" s="498" t="s">
        <v>1008</v>
      </c>
      <c r="F761" s="413"/>
    </row>
    <row r="762" spans="2:6" x14ac:dyDescent="0.2">
      <c r="B762" s="892" t="s">
        <v>2405</v>
      </c>
      <c r="C762" s="513" t="s">
        <v>3559</v>
      </c>
      <c r="D762" s="878">
        <f>27.5+9.5</f>
        <v>37</v>
      </c>
      <c r="E762" s="498" t="s">
        <v>1008</v>
      </c>
    </row>
    <row r="763" spans="2:6" s="479" customFormat="1" ht="16.5" x14ac:dyDescent="0.25">
      <c r="C763" s="893" t="s">
        <v>1067</v>
      </c>
      <c r="D763" s="895">
        <f>(D761/6)*1.1</f>
        <v>0</v>
      </c>
      <c r="E763" s="894" t="s">
        <v>1024</v>
      </c>
      <c r="F763" s="413"/>
    </row>
    <row r="764" spans="2:6" s="479" customFormat="1" x14ac:dyDescent="0.2">
      <c r="E764" s="480"/>
    </row>
    <row r="765" spans="2:6" s="479" customFormat="1" ht="16.5" x14ac:dyDescent="0.25">
      <c r="C765" s="513" t="s">
        <v>1068</v>
      </c>
      <c r="D765" s="878">
        <v>0</v>
      </c>
      <c r="E765" s="498" t="s">
        <v>1008</v>
      </c>
      <c r="F765" s="413"/>
    </row>
    <row r="766" spans="2:6" s="479" customFormat="1" x14ac:dyDescent="0.2">
      <c r="E766" s="480"/>
    </row>
    <row r="767" spans="2:6" s="479" customFormat="1" x14ac:dyDescent="0.2">
      <c r="C767" s="893" t="s">
        <v>1061</v>
      </c>
      <c r="D767" s="895">
        <f>(D765/6)*1.1</f>
        <v>0</v>
      </c>
      <c r="E767" s="894" t="s">
        <v>1024</v>
      </c>
    </row>
    <row r="769" spans="1:10" x14ac:dyDescent="0.2">
      <c r="G769" s="414"/>
      <c r="H769" s="427"/>
      <c r="I769" s="414"/>
      <c r="J769" s="428"/>
    </row>
    <row r="770" spans="1:10" s="479" customFormat="1" x14ac:dyDescent="0.2">
      <c r="A770" s="479" t="s">
        <v>3171</v>
      </c>
      <c r="B770" s="524"/>
      <c r="C770" s="895" t="s">
        <v>1546</v>
      </c>
      <c r="D770" s="895" t="s">
        <v>1507</v>
      </c>
      <c r="E770" s="895" t="s">
        <v>1459</v>
      </c>
      <c r="F770" s="895" t="s">
        <v>1515</v>
      </c>
      <c r="G770" s="505"/>
      <c r="J770" s="480"/>
    </row>
    <row r="771" spans="1:10" s="479" customFormat="1" x14ac:dyDescent="0.2">
      <c r="B771" s="891"/>
      <c r="C771" s="893" t="s">
        <v>3480</v>
      </c>
      <c r="D771" s="895">
        <f>D735</f>
        <v>0</v>
      </c>
      <c r="E771" s="895">
        <f>+D771*6*0.3*0.0018*7850</f>
        <v>0</v>
      </c>
      <c r="F771" s="895">
        <f t="shared" ref="F771:F780" si="85">ROUNDUP(D771,0)</f>
        <v>0</v>
      </c>
      <c r="G771" s="505"/>
      <c r="J771" s="480"/>
    </row>
    <row r="772" spans="1:10" s="479" customFormat="1" ht="16.5" x14ac:dyDescent="0.25">
      <c r="B772" s="891" t="s">
        <v>2036</v>
      </c>
      <c r="C772" s="893" t="s">
        <v>1508</v>
      </c>
      <c r="D772" s="895">
        <f>+D729+D736</f>
        <v>11</v>
      </c>
      <c r="E772" s="895">
        <f>+D772*6*0.3*0.0018*7850</f>
        <v>279.774</v>
      </c>
      <c r="F772" s="895">
        <f t="shared" si="85"/>
        <v>11</v>
      </c>
      <c r="G772" s="413"/>
      <c r="J772" s="480"/>
    </row>
    <row r="773" spans="1:10" s="479" customFormat="1" ht="16.5" x14ac:dyDescent="0.25">
      <c r="B773" s="891" t="s">
        <v>2194</v>
      </c>
      <c r="C773" s="893" t="s">
        <v>1509</v>
      </c>
      <c r="D773" s="895">
        <f>+D763</f>
        <v>0</v>
      </c>
      <c r="E773" s="895">
        <f>+D773*6*0.3*0.0018*7850</f>
        <v>0</v>
      </c>
      <c r="F773" s="895">
        <f t="shared" si="85"/>
        <v>0</v>
      </c>
      <c r="G773" s="413"/>
    </row>
    <row r="774" spans="1:10" s="479" customFormat="1" ht="16.5" x14ac:dyDescent="0.25">
      <c r="B774" s="891" t="s">
        <v>2193</v>
      </c>
      <c r="C774" s="893" t="s">
        <v>1506</v>
      </c>
      <c r="D774" s="895">
        <f>+D767+D741</f>
        <v>10.615000000000002</v>
      </c>
      <c r="E774" s="895">
        <f>+D774*6*0.2*0.0018*7850</f>
        <v>179.98794000000004</v>
      </c>
      <c r="F774" s="895">
        <f t="shared" si="85"/>
        <v>11</v>
      </c>
      <c r="G774" s="413"/>
    </row>
    <row r="775" spans="1:10" s="479" customFormat="1" ht="16.5" x14ac:dyDescent="0.25">
      <c r="B775" s="891" t="s">
        <v>2405</v>
      </c>
      <c r="C775" s="893" t="s">
        <v>3559</v>
      </c>
      <c r="D775" s="895">
        <f>D762/6*1.1</f>
        <v>6.7833333333333341</v>
      </c>
      <c r="E775" s="895">
        <f>+D775*6*0.2*0.0018*7850</f>
        <v>115.01820000000001</v>
      </c>
      <c r="F775" s="895">
        <f t="shared" ref="F775" si="86">ROUNDUP(D775,0)</f>
        <v>7</v>
      </c>
      <c r="G775" s="413"/>
    </row>
    <row r="776" spans="1:10" s="479" customFormat="1" x14ac:dyDescent="0.2">
      <c r="B776" s="891" t="s">
        <v>1960</v>
      </c>
      <c r="C776" s="893" t="s">
        <v>1524</v>
      </c>
      <c r="D776" s="895">
        <f>+D752/6</f>
        <v>1</v>
      </c>
      <c r="E776" s="895">
        <f>+D776*6*0.1*0.00475*7850</f>
        <v>22.372500000000006</v>
      </c>
      <c r="F776" s="895">
        <f t="shared" si="85"/>
        <v>1</v>
      </c>
      <c r="G776" s="505"/>
    </row>
    <row r="777" spans="1:10" s="479" customFormat="1" x14ac:dyDescent="0.2">
      <c r="B777" s="891" t="s">
        <v>1973</v>
      </c>
      <c r="C777" s="893" t="s">
        <v>1524</v>
      </c>
      <c r="D777" s="895">
        <v>1</v>
      </c>
      <c r="E777" s="895">
        <f>+D777*6*0.1*0.00475*7850</f>
        <v>22.372500000000006</v>
      </c>
      <c r="F777" s="895">
        <f t="shared" ref="F777" si="87">ROUNDUP(D777,0)</f>
        <v>1</v>
      </c>
      <c r="G777" s="505"/>
    </row>
    <row r="778" spans="1:10" s="479" customFormat="1" x14ac:dyDescent="0.2">
      <c r="B778" s="891" t="s">
        <v>2421</v>
      </c>
      <c r="C778" s="938" t="str">
        <f>_xlfn.XLOOKUP(B778,'BASE DATOS PRECIOS '!B:B,'BASE DATOS PRECIOS '!E:E,0,0,1)</f>
        <v>ANGULAR HN 1"X1/8</v>
      </c>
      <c r="D778" s="895">
        <v>1</v>
      </c>
      <c r="E778" s="895">
        <f>+D778*6*0.1*0.00475*7850</f>
        <v>22.372500000000006</v>
      </c>
      <c r="F778" s="895">
        <f t="shared" ref="F778" si="88">ROUNDUP(D778,0)</f>
        <v>1</v>
      </c>
      <c r="G778" s="505"/>
    </row>
    <row r="779" spans="1:10" s="479" customFormat="1" x14ac:dyDescent="0.2">
      <c r="B779" s="891" t="s">
        <v>1918</v>
      </c>
      <c r="C779" s="893" t="s">
        <v>3053</v>
      </c>
      <c r="D779" s="895">
        <f>+D753/6</f>
        <v>5.666666666666667</v>
      </c>
      <c r="E779" s="895">
        <f>+D779*6*0.56</f>
        <v>19.040000000000003</v>
      </c>
      <c r="F779" s="895">
        <f>ROUNDUP(D779,0)</f>
        <v>6</v>
      </c>
    </row>
    <row r="780" spans="1:10" s="479" customFormat="1" x14ac:dyDescent="0.2">
      <c r="B780" s="891" t="s">
        <v>1919</v>
      </c>
      <c r="C780" s="893" t="s">
        <v>1526</v>
      </c>
      <c r="D780" s="895">
        <f>+D754/6</f>
        <v>3.9</v>
      </c>
      <c r="E780" s="895">
        <f>+D780*6*0.994</f>
        <v>23.259599999999999</v>
      </c>
      <c r="F780" s="895">
        <f t="shared" si="85"/>
        <v>4</v>
      </c>
    </row>
    <row r="781" spans="1:10" s="479" customFormat="1" x14ac:dyDescent="0.2">
      <c r="B781" s="891"/>
      <c r="C781" s="893"/>
      <c r="D781" s="941" t="s">
        <v>1510</v>
      </c>
      <c r="E781" s="895">
        <f>SUM(E771:E780)</f>
        <v>684.19724000000019</v>
      </c>
      <c r="F781" s="895"/>
    </row>
    <row r="782" spans="1:10" s="479" customFormat="1" x14ac:dyDescent="0.2">
      <c r="B782" s="524"/>
      <c r="C782" s="891" t="s">
        <v>2195</v>
      </c>
      <c r="D782" s="894" t="s">
        <v>1511</v>
      </c>
      <c r="E782" s="895">
        <f>+E781*2.2/550</f>
        <v>2.736788960000001</v>
      </c>
      <c r="F782" s="895">
        <f>ROUNDUP(E782,0)</f>
        <v>3</v>
      </c>
    </row>
    <row r="783" spans="1:10" s="479" customFormat="1" x14ac:dyDescent="0.2">
      <c r="B783" s="524"/>
      <c r="C783" s="891" t="s">
        <v>1922</v>
      </c>
      <c r="D783" s="894" t="s">
        <v>1516</v>
      </c>
      <c r="E783" s="895">
        <v>15</v>
      </c>
      <c r="F783" s="895">
        <f>ROUNDUP(E783,0)</f>
        <v>15</v>
      </c>
    </row>
    <row r="784" spans="1:10" s="479" customFormat="1" x14ac:dyDescent="0.2">
      <c r="B784" s="524"/>
      <c r="C784" s="891" t="s">
        <v>2201</v>
      </c>
      <c r="D784" s="894" t="s">
        <v>1512</v>
      </c>
      <c r="E784" s="895">
        <f>+E782/2</f>
        <v>1.3683944800000005</v>
      </c>
      <c r="F784" s="895">
        <f t="shared" ref="F784:F787" si="89">ROUNDUP(E784,0)</f>
        <v>2</v>
      </c>
    </row>
    <row r="785" spans="2:6" s="479" customFormat="1" x14ac:dyDescent="0.2">
      <c r="B785" s="524"/>
      <c r="C785" s="891" t="s">
        <v>2182</v>
      </c>
      <c r="D785" s="894" t="s">
        <v>1513</v>
      </c>
      <c r="E785" s="895">
        <f>+E784</f>
        <v>1.3683944800000005</v>
      </c>
      <c r="F785" s="895">
        <f t="shared" si="89"/>
        <v>2</v>
      </c>
    </row>
    <row r="786" spans="2:6" s="479" customFormat="1" x14ac:dyDescent="0.2">
      <c r="B786" s="524"/>
      <c r="C786" s="891" t="s">
        <v>1939</v>
      </c>
      <c r="D786" s="894" t="s">
        <v>3172</v>
      </c>
      <c r="E786" s="895">
        <f>+SUM(F772:F776)/10</f>
        <v>3</v>
      </c>
      <c r="F786" s="895">
        <f t="shared" si="89"/>
        <v>3</v>
      </c>
    </row>
    <row r="787" spans="2:6" s="479" customFormat="1" x14ac:dyDescent="0.2">
      <c r="B787" s="524"/>
      <c r="C787" s="891" t="s">
        <v>1961</v>
      </c>
      <c r="D787" s="894" t="s">
        <v>3173</v>
      </c>
      <c r="E787" s="895">
        <v>2</v>
      </c>
      <c r="F787" s="895">
        <f t="shared" si="89"/>
        <v>2</v>
      </c>
    </row>
    <row r="788" spans="2:6" s="479" customFormat="1" x14ac:dyDescent="0.2">
      <c r="B788" s="524"/>
      <c r="C788" s="891" t="s">
        <v>3535</v>
      </c>
      <c r="D788" s="896" t="str">
        <f>_xlfn.XLOOKUP(C788,'BASE DATOS PRECIOS '!B:B,'BASE DATOS PRECIOS '!E:E,0,0,1)</f>
        <v>STONE GRIP EPOXICO</v>
      </c>
      <c r="E788" s="895">
        <f>IF($D$24=2,2,1)</f>
        <v>2</v>
      </c>
      <c r="F788" s="895">
        <f t="shared" ref="F788:F789" si="90">ROUNDUP(E788,0)</f>
        <v>2</v>
      </c>
    </row>
    <row r="789" spans="2:6" s="479" customFormat="1" x14ac:dyDescent="0.2">
      <c r="B789" s="524"/>
      <c r="C789" s="891" t="s">
        <v>1978</v>
      </c>
      <c r="D789" s="896" t="str">
        <f>_xlfn.XLOOKUP(C789,'BASE DATOS PRECIOS '!B:B,'BASE DATOS PRECIOS '!E:E,0,0,1)</f>
        <v>LIJA DE AGUA #120</v>
      </c>
      <c r="E789" s="895">
        <v>10</v>
      </c>
      <c r="F789" s="895">
        <f t="shared" si="90"/>
        <v>10</v>
      </c>
    </row>
    <row r="790" spans="2:6" s="479" customFormat="1" x14ac:dyDescent="0.2">
      <c r="B790" s="524"/>
      <c r="C790" s="891" t="s">
        <v>2649</v>
      </c>
      <c r="D790" s="896" t="str">
        <f>_xlfn.XLOOKUP(C790,'BASE DATOS PRECIOS '!B:B,'BASE DATOS PRECIOS '!E:E,0,0,1)</f>
        <v>PUNTA PHILLIPS PH#2</v>
      </c>
      <c r="E790" s="895">
        <v>5</v>
      </c>
      <c r="F790" s="895">
        <f t="shared" ref="F790" si="91">ROUNDUP(E790,0)</f>
        <v>5</v>
      </c>
    </row>
    <row r="791" spans="2:6" s="479" customFormat="1" x14ac:dyDescent="0.2">
      <c r="B791" s="524"/>
      <c r="C791" s="891" t="s">
        <v>1938</v>
      </c>
      <c r="D791" s="896" t="str">
        <f>_xlfn.XLOOKUP(C791,'BASE DATOS PRECIOS '!B:B,'BASE DATOS PRECIOS '!E:E,0,0,1)</f>
        <v>BROCHA CORRIENTE 2"</v>
      </c>
      <c r="E791" s="895">
        <v>2</v>
      </c>
      <c r="F791" s="895">
        <f t="shared" ref="F791" si="92">ROUNDUP(E791,0)</f>
        <v>2</v>
      </c>
    </row>
    <row r="792" spans="2:6" s="479" customFormat="1" x14ac:dyDescent="0.2">
      <c r="B792" s="524"/>
      <c r="C792" s="891" t="s">
        <v>1938</v>
      </c>
      <c r="D792" s="896" t="str">
        <f>_xlfn.XLOOKUP(C792,'BASE DATOS PRECIOS '!B:B,'BASE DATOS PRECIOS '!E:E,0,0,1)</f>
        <v>BROCHA CORRIENTE 2"</v>
      </c>
      <c r="E792" s="895">
        <v>2</v>
      </c>
      <c r="F792" s="895">
        <f t="shared" ref="F792" si="93">ROUNDUP(E792,0)</f>
        <v>2</v>
      </c>
    </row>
    <row r="793" spans="2:6" s="479" customFormat="1" x14ac:dyDescent="0.2">
      <c r="B793" s="524"/>
      <c r="C793" s="891" t="s">
        <v>2613</v>
      </c>
      <c r="D793" s="896" t="str">
        <f>_xlfn.XLOOKUP(C793,'BASE DATOS PRECIOS '!B:B,'BASE DATOS PRECIOS '!E:E,0,0,1)</f>
        <v>LAPIZ ROJO/VERDE/NARANJA</v>
      </c>
      <c r="E793" s="895">
        <v>1</v>
      </c>
      <c r="F793" s="895">
        <f t="shared" ref="F793" si="94">ROUNDUP(E793,0)</f>
        <v>1</v>
      </c>
    </row>
    <row r="794" spans="2:6" s="479" customFormat="1" x14ac:dyDescent="0.2">
      <c r="B794" s="524"/>
      <c r="D794" s="941" t="s">
        <v>1514</v>
      </c>
      <c r="E794" s="898">
        <f>+E781*D174</f>
        <v>1026295.8600000003</v>
      </c>
      <c r="F794" s="940">
        <f>ROUND(E794/'COSTOS MO CUADRILLA'!K16,0)</f>
        <v>349</v>
      </c>
    </row>
    <row r="797" spans="2:6" ht="21" x14ac:dyDescent="0.2">
      <c r="C797" s="471" t="s">
        <v>2048</v>
      </c>
      <c r="D797" s="471" t="s">
        <v>152</v>
      </c>
      <c r="E797" s="471">
        <f>+D22</f>
        <v>16</v>
      </c>
      <c r="F797" s="471" t="s">
        <v>396</v>
      </c>
    </row>
    <row r="799" spans="2:6" s="479" customFormat="1" ht="16.5" x14ac:dyDescent="0.25">
      <c r="C799" s="513" t="s">
        <v>1069</v>
      </c>
      <c r="D799" s="878">
        <v>26.4</v>
      </c>
      <c r="E799" s="498" t="s">
        <v>1008</v>
      </c>
      <c r="F799" s="413"/>
    </row>
    <row r="800" spans="2:6" s="479" customFormat="1" ht="16.5" x14ac:dyDescent="0.25">
      <c r="C800" s="893" t="s">
        <v>1070</v>
      </c>
      <c r="D800" s="895">
        <f>D799*1.1/6</f>
        <v>4.84</v>
      </c>
      <c r="E800" s="894" t="s">
        <v>1024</v>
      </c>
      <c r="F800" s="413"/>
    </row>
    <row r="801" spans="3:6" s="479" customFormat="1" ht="16.5" x14ac:dyDescent="0.25">
      <c r="C801" s="518" t="s">
        <v>3095</v>
      </c>
      <c r="D801" s="878">
        <v>0</v>
      </c>
      <c r="E801" s="485" t="s">
        <v>1008</v>
      </c>
      <c r="F801" s="413"/>
    </row>
    <row r="802" spans="3:6" s="479" customFormat="1" ht="16.5" x14ac:dyDescent="0.25">
      <c r="C802" s="893" t="s">
        <v>1059</v>
      </c>
      <c r="D802" s="895">
        <f>D801*1.1/6</f>
        <v>0</v>
      </c>
      <c r="E802" s="894" t="s">
        <v>1024</v>
      </c>
      <c r="F802" s="413"/>
    </row>
    <row r="803" spans="3:6" s="479" customFormat="1" ht="16.5" x14ac:dyDescent="0.25">
      <c r="C803" s="513" t="s">
        <v>1071</v>
      </c>
      <c r="D803" s="878">
        <v>21.1</v>
      </c>
      <c r="E803" s="498" t="s">
        <v>1008</v>
      </c>
      <c r="F803" s="882" t="s">
        <v>3706</v>
      </c>
    </row>
    <row r="804" spans="3:6" s="479" customFormat="1" ht="16.5" x14ac:dyDescent="0.25">
      <c r="C804" s="893" t="s">
        <v>1060</v>
      </c>
      <c r="D804" s="895">
        <f>D803*1.1/6</f>
        <v>3.8683333333333341</v>
      </c>
      <c r="E804" s="894" t="s">
        <v>1024</v>
      </c>
      <c r="F804" s="413"/>
    </row>
    <row r="805" spans="3:6" s="479" customFormat="1" ht="16.5" x14ac:dyDescent="0.25">
      <c r="C805" s="513" t="s">
        <v>1072</v>
      </c>
      <c r="D805" s="878">
        <v>7.8</v>
      </c>
      <c r="E805" s="498" t="s">
        <v>1008</v>
      </c>
      <c r="F805" s="882" t="s">
        <v>2152</v>
      </c>
    </row>
    <row r="806" spans="3:6" s="479" customFormat="1" ht="16.5" x14ac:dyDescent="0.25">
      <c r="C806" s="893" t="s">
        <v>1073</v>
      </c>
      <c r="D806" s="895">
        <f>+D805*1.1/6</f>
        <v>1.43</v>
      </c>
      <c r="E806" s="894" t="s">
        <v>1024</v>
      </c>
      <c r="F806" s="413"/>
    </row>
    <row r="807" spans="3:6" x14ac:dyDescent="0.2">
      <c r="F807" s="414"/>
    </row>
    <row r="809" spans="3:6" ht="18.75" x14ac:dyDescent="0.25">
      <c r="C809" s="1052" t="s">
        <v>1517</v>
      </c>
    </row>
    <row r="811" spans="3:6" s="479" customFormat="1" ht="16.5" x14ac:dyDescent="0.25">
      <c r="C811" s="513" t="s">
        <v>1519</v>
      </c>
      <c r="D811" s="878">
        <v>0</v>
      </c>
      <c r="E811" s="485" t="s">
        <v>1167</v>
      </c>
      <c r="F811" s="413"/>
    </row>
    <row r="812" spans="3:6" s="479" customFormat="1" x14ac:dyDescent="0.2">
      <c r="C812" s="513" t="s">
        <v>1520</v>
      </c>
      <c r="D812" s="878">
        <v>0</v>
      </c>
      <c r="E812" s="485" t="s">
        <v>1167</v>
      </c>
    </row>
    <row r="813" spans="3:6" s="479" customFormat="1" x14ac:dyDescent="0.2">
      <c r="C813" s="513" t="s">
        <v>1521</v>
      </c>
      <c r="D813" s="878">
        <v>0</v>
      </c>
      <c r="E813" s="485" t="s">
        <v>1167</v>
      </c>
    </row>
    <row r="814" spans="3:6" s="479" customFormat="1" x14ac:dyDescent="0.2">
      <c r="C814" s="513" t="s">
        <v>1522</v>
      </c>
      <c r="D814" s="878">
        <v>0</v>
      </c>
      <c r="E814" s="485" t="s">
        <v>1167</v>
      </c>
    </row>
    <row r="815" spans="3:6" s="479" customFormat="1" x14ac:dyDescent="0.2">
      <c r="C815" s="513" t="s">
        <v>1523</v>
      </c>
      <c r="D815" s="878">
        <v>0</v>
      </c>
      <c r="E815" s="485" t="s">
        <v>1167</v>
      </c>
    </row>
    <row r="816" spans="3:6" s="479" customFormat="1" x14ac:dyDescent="0.2">
      <c r="C816" s="513" t="s">
        <v>1527</v>
      </c>
      <c r="D816" s="878">
        <v>0</v>
      </c>
      <c r="E816" s="485" t="s">
        <v>1076</v>
      </c>
    </row>
    <row r="817" spans="2:8" s="479" customFormat="1" x14ac:dyDescent="0.2">
      <c r="E817" s="480"/>
    </row>
    <row r="818" spans="2:8" s="479" customFormat="1" x14ac:dyDescent="0.2">
      <c r="C818" s="893" t="s">
        <v>1524</v>
      </c>
      <c r="D818" s="895">
        <f>+D811*0.12+D812*0.2+D813*0.2+D814*0.1+D815*0.25</f>
        <v>0</v>
      </c>
      <c r="E818" s="894" t="s">
        <v>1076</v>
      </c>
    </row>
    <row r="819" spans="2:8" s="479" customFormat="1" x14ac:dyDescent="0.2">
      <c r="C819" s="893" t="s">
        <v>1525</v>
      </c>
      <c r="D819" s="895">
        <f>+D811*1+D812*1+D813*1+D814*1+D815*1</f>
        <v>0</v>
      </c>
      <c r="E819" s="894" t="s">
        <v>1076</v>
      </c>
    </row>
    <row r="820" spans="2:8" s="479" customFormat="1" x14ac:dyDescent="0.2">
      <c r="B820" s="524"/>
      <c r="C820" s="893" t="s">
        <v>1526</v>
      </c>
      <c r="D820" s="895">
        <f>+D811*0.8+D812*0.6+D813*0.6+D814*0.5+D815*0.8</f>
        <v>0</v>
      </c>
      <c r="E820" s="894" t="s">
        <v>1076</v>
      </c>
    </row>
    <row r="821" spans="2:8" s="479" customFormat="1" x14ac:dyDescent="0.2">
      <c r="B821" s="524"/>
      <c r="C821" s="893" t="s">
        <v>1528</v>
      </c>
      <c r="D821" s="895">
        <f>ROUNDUP(D816/0.4,0)</f>
        <v>0</v>
      </c>
      <c r="E821" s="894" t="s">
        <v>1167</v>
      </c>
    </row>
    <row r="822" spans="2:8" s="479" customFormat="1" x14ac:dyDescent="0.2">
      <c r="B822" s="524"/>
      <c r="C822" s="893" t="s">
        <v>1529</v>
      </c>
      <c r="D822" s="895">
        <f>+D816</f>
        <v>0</v>
      </c>
      <c r="E822" s="894" t="s">
        <v>1076</v>
      </c>
    </row>
    <row r="823" spans="2:8" s="479" customFormat="1" x14ac:dyDescent="0.2">
      <c r="B823" s="524"/>
      <c r="C823" s="893" t="s">
        <v>1531</v>
      </c>
      <c r="D823" s="895">
        <f>+D821/12</f>
        <v>0</v>
      </c>
      <c r="E823" s="894" t="s">
        <v>1530</v>
      </c>
    </row>
    <row r="826" spans="2:8" s="479" customFormat="1" x14ac:dyDescent="0.2">
      <c r="B826" s="524"/>
      <c r="C826" s="895"/>
      <c r="D826" s="895" t="s">
        <v>1507</v>
      </c>
      <c r="E826" s="895" t="s">
        <v>1459</v>
      </c>
      <c r="F826" s="895" t="s">
        <v>1515</v>
      </c>
      <c r="G826" s="895" t="s">
        <v>1535</v>
      </c>
    </row>
    <row r="827" spans="2:8" s="479" customFormat="1" ht="16.5" x14ac:dyDescent="0.25">
      <c r="B827" s="891" t="s">
        <v>2196</v>
      </c>
      <c r="C827" s="893" t="s">
        <v>1534</v>
      </c>
      <c r="D827" s="895">
        <f>+D800</f>
        <v>4.84</v>
      </c>
      <c r="E827" s="895">
        <f>+D827*6*0.4*0.0018*7850</f>
        <v>164.13407999999998</v>
      </c>
      <c r="F827" s="895">
        <f>ROUNDUP(D827,0)</f>
        <v>5</v>
      </c>
      <c r="G827" s="895">
        <f>+D827*0.4*6</f>
        <v>11.616</v>
      </c>
      <c r="H827" s="413"/>
    </row>
    <row r="828" spans="2:8" s="479" customFormat="1" ht="16.5" x14ac:dyDescent="0.25">
      <c r="B828" s="891" t="s">
        <v>2198</v>
      </c>
      <c r="C828" s="893" t="s">
        <v>1533</v>
      </c>
      <c r="D828" s="895">
        <f>+D806</f>
        <v>1.43</v>
      </c>
      <c r="E828" s="895">
        <f>+D828*6*0.3*0.0018*7850</f>
        <v>36.370619999999995</v>
      </c>
      <c r="F828" s="895">
        <f>ROUNDUP(D828,0)</f>
        <v>2</v>
      </c>
      <c r="G828" s="895">
        <f>+D828*0.3*6</f>
        <v>2.5739999999999998</v>
      </c>
      <c r="H828" s="413"/>
    </row>
    <row r="829" spans="2:8" s="479" customFormat="1" ht="16.5" x14ac:dyDescent="0.25">
      <c r="B829" s="891" t="s">
        <v>2197</v>
      </c>
      <c r="C829" s="893" t="s">
        <v>1532</v>
      </c>
      <c r="D829" s="895">
        <f>+D804</f>
        <v>3.8683333333333341</v>
      </c>
      <c r="E829" s="895">
        <f>+D829*6*0.2*0.0018*7850</f>
        <v>65.591460000000012</v>
      </c>
      <c r="F829" s="895">
        <f t="shared" ref="F829:F833" si="95">ROUNDUP(D829,0)</f>
        <v>4</v>
      </c>
      <c r="G829" s="895">
        <f>+D829*0.2*6</f>
        <v>4.6420000000000012</v>
      </c>
      <c r="H829" s="413"/>
    </row>
    <row r="830" spans="2:8" s="479" customFormat="1" ht="16.5" x14ac:dyDescent="0.25">
      <c r="B830" s="891" t="s">
        <v>1962</v>
      </c>
      <c r="C830" s="893" t="s">
        <v>1508</v>
      </c>
      <c r="D830" s="895">
        <f>+D802</f>
        <v>0</v>
      </c>
      <c r="E830" s="895">
        <f>+D830*6*0.3*0.0018*7850</f>
        <v>0</v>
      </c>
      <c r="F830" s="895">
        <f>ROUNDUP(D830,0)</f>
        <v>0</v>
      </c>
      <c r="G830" s="895">
        <f>+D830*0.2*6</f>
        <v>0</v>
      </c>
      <c r="H830" s="413"/>
    </row>
    <row r="831" spans="2:8" s="479" customFormat="1" x14ac:dyDescent="0.2">
      <c r="B831" s="891" t="s">
        <v>1960</v>
      </c>
      <c r="C831" s="893" t="s">
        <v>1524</v>
      </c>
      <c r="D831" s="895">
        <f>+D818/6</f>
        <v>0</v>
      </c>
      <c r="E831" s="895">
        <f>+D831*6*0.1*0.00475*7850</f>
        <v>0</v>
      </c>
      <c r="F831" s="895">
        <f t="shared" si="95"/>
        <v>0</v>
      </c>
      <c r="G831" s="895">
        <f>+D831*6*0.2</f>
        <v>0</v>
      </c>
    </row>
    <row r="832" spans="2:8" s="479" customFormat="1" x14ac:dyDescent="0.2">
      <c r="B832" s="891" t="s">
        <v>1918</v>
      </c>
      <c r="C832" s="893" t="s">
        <v>3497</v>
      </c>
      <c r="D832" s="895">
        <f>+D819/6</f>
        <v>0</v>
      </c>
      <c r="E832" s="895">
        <f>+D832*6*0.56</f>
        <v>0</v>
      </c>
      <c r="F832" s="895">
        <f t="shared" si="95"/>
        <v>0</v>
      </c>
      <c r="G832" s="895"/>
    </row>
    <row r="833" spans="2:7" s="479" customFormat="1" x14ac:dyDescent="0.2">
      <c r="B833" s="891" t="s">
        <v>1919</v>
      </c>
      <c r="C833" s="893" t="s">
        <v>1526</v>
      </c>
      <c r="D833" s="894">
        <f>+D820/6</f>
        <v>0</v>
      </c>
      <c r="E833" s="895">
        <f>+D833*6*0.994</f>
        <v>0</v>
      </c>
      <c r="F833" s="895">
        <f t="shared" si="95"/>
        <v>0</v>
      </c>
      <c r="G833" s="895"/>
    </row>
    <row r="834" spans="2:7" s="479" customFormat="1" x14ac:dyDescent="0.2">
      <c r="B834" s="524"/>
      <c r="C834" s="939"/>
      <c r="D834" s="941" t="s">
        <v>1510</v>
      </c>
      <c r="E834" s="942">
        <f>SUM(E827:E830)</f>
        <v>266.09616</v>
      </c>
      <c r="F834" s="942" t="s">
        <v>1536</v>
      </c>
      <c r="G834" s="942">
        <f>SUM(G827:G833)</f>
        <v>18.832000000000001</v>
      </c>
    </row>
    <row r="835" spans="2:7" s="479" customFormat="1" x14ac:dyDescent="0.2">
      <c r="B835" s="524"/>
      <c r="C835" s="891" t="s">
        <v>2195</v>
      </c>
      <c r="D835" s="894" t="s">
        <v>1511</v>
      </c>
      <c r="E835" s="895">
        <f>+E834*2.2/550</f>
        <v>1.0643846400000001</v>
      </c>
      <c r="F835" s="895">
        <f>ROUND(E835,0)</f>
        <v>1</v>
      </c>
    </row>
    <row r="836" spans="2:7" s="479" customFormat="1" x14ac:dyDescent="0.2">
      <c r="B836" s="524"/>
      <c r="C836" s="891" t="s">
        <v>3134</v>
      </c>
      <c r="D836" s="894" t="s">
        <v>1516</v>
      </c>
      <c r="E836" s="895">
        <f>+E835</f>
        <v>1.0643846400000001</v>
      </c>
      <c r="F836" s="895">
        <f t="shared" ref="F836:F838" si="96">ROUND(E836,0)</f>
        <v>1</v>
      </c>
    </row>
    <row r="837" spans="2:7" s="479" customFormat="1" x14ac:dyDescent="0.2">
      <c r="B837" s="524"/>
      <c r="C837" s="891" t="s">
        <v>2201</v>
      </c>
      <c r="D837" s="894" t="s">
        <v>1512</v>
      </c>
      <c r="E837" s="895">
        <f t="shared" ref="E837" si="97">+E836</f>
        <v>1.0643846400000001</v>
      </c>
      <c r="F837" s="895">
        <f t="shared" si="96"/>
        <v>1</v>
      </c>
    </row>
    <row r="838" spans="2:7" s="479" customFormat="1" x14ac:dyDescent="0.2">
      <c r="B838" s="524"/>
      <c r="C838" s="891" t="s">
        <v>2182</v>
      </c>
      <c r="D838" s="894" t="s">
        <v>1513</v>
      </c>
      <c r="E838" s="895">
        <f>+E837</f>
        <v>1.0643846400000001</v>
      </c>
      <c r="F838" s="895">
        <f t="shared" si="96"/>
        <v>1</v>
      </c>
    </row>
    <row r="839" spans="2:7" s="479" customFormat="1" x14ac:dyDescent="0.2">
      <c r="B839" s="524"/>
      <c r="C839" s="891" t="s">
        <v>3135</v>
      </c>
      <c r="D839" s="894" t="s">
        <v>1646</v>
      </c>
      <c r="E839" s="895">
        <f>+G834/25</f>
        <v>0.75328000000000006</v>
      </c>
      <c r="F839" s="895">
        <f>ROUNDUP(E839,0)</f>
        <v>1</v>
      </c>
    </row>
    <row r="840" spans="2:7" s="479" customFormat="1" x14ac:dyDescent="0.2">
      <c r="B840" s="524"/>
      <c r="C840" s="891" t="s">
        <v>1939</v>
      </c>
      <c r="D840" s="894" t="s">
        <v>3174</v>
      </c>
      <c r="E840" s="895">
        <f>+SUM(F827:F831)/10</f>
        <v>1.1000000000000001</v>
      </c>
      <c r="F840" s="895">
        <f t="shared" ref="F840:F842" si="98">ROUNDUP(E840,0)</f>
        <v>2</v>
      </c>
    </row>
    <row r="841" spans="2:7" s="479" customFormat="1" x14ac:dyDescent="0.2">
      <c r="B841" s="524"/>
      <c r="C841" s="891" t="s">
        <v>2200</v>
      </c>
      <c r="D841" s="894" t="s">
        <v>3175</v>
      </c>
      <c r="E841" s="895">
        <v>1</v>
      </c>
      <c r="F841" s="895">
        <f t="shared" si="98"/>
        <v>1</v>
      </c>
    </row>
    <row r="842" spans="2:7" s="479" customFormat="1" x14ac:dyDescent="0.2">
      <c r="B842" s="524"/>
      <c r="C842" s="891" t="s">
        <v>1963</v>
      </c>
      <c r="D842" s="894" t="s">
        <v>3176</v>
      </c>
      <c r="E842" s="895">
        <v>1</v>
      </c>
      <c r="F842" s="895">
        <f t="shared" si="98"/>
        <v>1</v>
      </c>
    </row>
    <row r="843" spans="2:7" s="479" customFormat="1" x14ac:dyDescent="0.2">
      <c r="B843" s="524"/>
      <c r="D843" s="941" t="s">
        <v>1514</v>
      </c>
      <c r="E843" s="943">
        <f>+E834*D174</f>
        <v>399144.24</v>
      </c>
      <c r="F843" s="944">
        <f>ROUND(E843/'COSTOS MO CUADRILLA'!K17,0)</f>
        <v>136</v>
      </c>
    </row>
    <row r="846" spans="2:7" ht="21" x14ac:dyDescent="0.2">
      <c r="C846" s="471" t="s">
        <v>2049</v>
      </c>
      <c r="D846" s="471" t="s">
        <v>162</v>
      </c>
    </row>
    <row r="848" spans="2:7" s="479" customFormat="1" ht="16.5" x14ac:dyDescent="0.25">
      <c r="C848" s="481" t="s">
        <v>1074</v>
      </c>
      <c r="D848" s="485">
        <f>+D21</f>
        <v>44.8</v>
      </c>
      <c r="E848" s="485" t="s">
        <v>78</v>
      </c>
      <c r="F848" s="904" t="s">
        <v>3589</v>
      </c>
    </row>
    <row r="849" spans="2:7" s="479" customFormat="1" x14ac:dyDescent="0.2">
      <c r="D849" s="512"/>
      <c r="E849" s="517"/>
      <c r="F849" s="505"/>
    </row>
    <row r="850" spans="2:7" s="479" customFormat="1" ht="33" x14ac:dyDescent="0.2">
      <c r="C850" s="519" t="s">
        <v>3588</v>
      </c>
      <c r="D850" s="519" t="s">
        <v>3590</v>
      </c>
      <c r="E850" s="520" t="s">
        <v>1075</v>
      </c>
      <c r="F850" s="520" t="s">
        <v>3591</v>
      </c>
      <c r="G850" s="491" t="s">
        <v>1063</v>
      </c>
    </row>
    <row r="851" spans="2:7" s="479" customFormat="1" x14ac:dyDescent="0.2">
      <c r="C851" s="878">
        <v>2.2599999999999998</v>
      </c>
      <c r="D851" s="937">
        <f>ROUNDUP(C851*2,0)/2</f>
        <v>2.5</v>
      </c>
      <c r="E851" s="880">
        <v>1.57</v>
      </c>
      <c r="F851" s="920">
        <f>E851+0.2</f>
        <v>1.77</v>
      </c>
      <c r="G851" s="485">
        <f>D851*F851</f>
        <v>4.4249999999999998</v>
      </c>
    </row>
    <row r="852" spans="2:7" s="479" customFormat="1" x14ac:dyDescent="0.2">
      <c r="C852" s="878">
        <v>0.95</v>
      </c>
      <c r="D852" s="937">
        <f t="shared" ref="D852:D859" si="99">ROUNDUP(C852*2,0)/2</f>
        <v>1</v>
      </c>
      <c r="E852" s="880">
        <v>5.15</v>
      </c>
      <c r="F852" s="920">
        <f t="shared" ref="F852:F857" si="100">E852+0.2</f>
        <v>5.3500000000000005</v>
      </c>
      <c r="G852" s="485">
        <f t="shared" ref="G852:G859" si="101">D852*F852</f>
        <v>5.3500000000000005</v>
      </c>
    </row>
    <row r="853" spans="2:7" s="479" customFormat="1" x14ac:dyDescent="0.2">
      <c r="C853" s="878">
        <v>2.6</v>
      </c>
      <c r="D853" s="937">
        <f t="shared" si="99"/>
        <v>3</v>
      </c>
      <c r="E853" s="880">
        <v>7.4</v>
      </c>
      <c r="F853" s="920">
        <f t="shared" si="100"/>
        <v>7.6000000000000005</v>
      </c>
      <c r="G853" s="485">
        <f t="shared" si="101"/>
        <v>22.8</v>
      </c>
    </row>
    <row r="854" spans="2:7" s="479" customFormat="1" x14ac:dyDescent="0.2">
      <c r="C854" s="878">
        <v>1.81</v>
      </c>
      <c r="D854" s="937">
        <f t="shared" si="99"/>
        <v>2</v>
      </c>
      <c r="E854" s="880">
        <v>2.65</v>
      </c>
      <c r="F854" s="920">
        <f t="shared" si="100"/>
        <v>2.85</v>
      </c>
      <c r="G854" s="485">
        <f t="shared" si="101"/>
        <v>5.7</v>
      </c>
    </row>
    <row r="855" spans="2:7" s="479" customFormat="1" x14ac:dyDescent="0.2">
      <c r="C855" s="878">
        <v>1.5</v>
      </c>
      <c r="D855" s="937">
        <f t="shared" si="99"/>
        <v>1.5</v>
      </c>
      <c r="E855" s="880">
        <v>2.33</v>
      </c>
      <c r="F855" s="920">
        <f t="shared" si="100"/>
        <v>2.5300000000000002</v>
      </c>
      <c r="G855" s="485">
        <f t="shared" si="101"/>
        <v>3.7950000000000004</v>
      </c>
    </row>
    <row r="856" spans="2:7" s="479" customFormat="1" x14ac:dyDescent="0.2">
      <c r="C856" s="878">
        <v>2.33</v>
      </c>
      <c r="D856" s="937">
        <f t="shared" si="99"/>
        <v>2.5</v>
      </c>
      <c r="E856" s="880">
        <v>2.15</v>
      </c>
      <c r="F856" s="920">
        <f t="shared" si="100"/>
        <v>2.35</v>
      </c>
      <c r="G856" s="485">
        <f t="shared" si="101"/>
        <v>5.875</v>
      </c>
    </row>
    <row r="857" spans="2:7" s="479" customFormat="1" x14ac:dyDescent="0.2">
      <c r="C857" s="878">
        <v>5.55</v>
      </c>
      <c r="D857" s="937">
        <f t="shared" si="99"/>
        <v>6</v>
      </c>
      <c r="E857" s="880">
        <v>2</v>
      </c>
      <c r="F857" s="920">
        <f t="shared" si="100"/>
        <v>2.2000000000000002</v>
      </c>
      <c r="G857" s="485">
        <f t="shared" si="101"/>
        <v>13.200000000000001</v>
      </c>
    </row>
    <row r="858" spans="2:7" s="479" customFormat="1" x14ac:dyDescent="0.2">
      <c r="C858" s="878"/>
      <c r="D858" s="937">
        <f t="shared" si="99"/>
        <v>0</v>
      </c>
      <c r="E858" s="880"/>
      <c r="F858" s="920">
        <f t="shared" ref="F858:F859" si="102">E858+0.2</f>
        <v>0.2</v>
      </c>
      <c r="G858" s="485">
        <f t="shared" si="101"/>
        <v>0</v>
      </c>
    </row>
    <row r="859" spans="2:7" s="479" customFormat="1" x14ac:dyDescent="0.2">
      <c r="C859" s="878"/>
      <c r="D859" s="937">
        <f t="shared" si="99"/>
        <v>0</v>
      </c>
      <c r="E859" s="878"/>
      <c r="F859" s="920">
        <f t="shared" si="102"/>
        <v>0.2</v>
      </c>
      <c r="G859" s="485">
        <f t="shared" si="101"/>
        <v>0</v>
      </c>
    </row>
    <row r="860" spans="2:7" s="479" customFormat="1" x14ac:dyDescent="0.2">
      <c r="E860" s="63"/>
      <c r="G860" s="945">
        <f>SUM(G851:G859)</f>
        <v>61.14500000000001</v>
      </c>
    </row>
    <row r="863" spans="2:7" s="521" customFormat="1" ht="20.100000000000001" customHeight="1" x14ac:dyDescent="0.2">
      <c r="B863" s="946" t="s">
        <v>2202</v>
      </c>
      <c r="C863" s="903" t="s">
        <v>1077</v>
      </c>
      <c r="D863" s="897">
        <f>G860*2.15</f>
        <v>131.46175000000002</v>
      </c>
      <c r="E863" s="896" t="s">
        <v>1031</v>
      </c>
      <c r="F863" s="522" t="s">
        <v>2178</v>
      </c>
    </row>
    <row r="864" spans="2:7" s="479" customFormat="1" x14ac:dyDescent="0.2">
      <c r="B864" s="524"/>
      <c r="E864" s="480"/>
      <c r="F864" s="505"/>
    </row>
    <row r="865" spans="2:6" s="479" customFormat="1" x14ac:dyDescent="0.2">
      <c r="B865" s="524"/>
      <c r="E865" s="480"/>
      <c r="F865" s="505"/>
    </row>
    <row r="866" spans="2:6" s="479" customFormat="1" x14ac:dyDescent="0.2">
      <c r="B866" s="524"/>
      <c r="E866" s="480"/>
      <c r="F866" s="505"/>
    </row>
    <row r="867" spans="2:6" s="479" customFormat="1" x14ac:dyDescent="0.2">
      <c r="B867" s="524"/>
      <c r="C867" s="893" t="s">
        <v>1078</v>
      </c>
      <c r="D867" s="893"/>
      <c r="E867" s="894" t="s">
        <v>1079</v>
      </c>
      <c r="F867" s="505"/>
    </row>
    <row r="868" spans="2:6" s="479" customFormat="1" ht="16.5" x14ac:dyDescent="0.25">
      <c r="B868" s="891" t="s">
        <v>1964</v>
      </c>
      <c r="C868" s="893" t="s">
        <v>1538</v>
      </c>
      <c r="D868" s="896">
        <f>D740/0.5</f>
        <v>115.8</v>
      </c>
      <c r="E868" s="899">
        <f>D868*1.28</f>
        <v>148.22399999999999</v>
      </c>
      <c r="F868" s="413" t="s">
        <v>2178</v>
      </c>
    </row>
    <row r="869" spans="2:6" s="479" customFormat="1" ht="16.5" x14ac:dyDescent="0.25">
      <c r="B869" s="891" t="s">
        <v>2203</v>
      </c>
      <c r="C869" s="893" t="s">
        <v>1537</v>
      </c>
      <c r="D869" s="896">
        <f>+D868*2</f>
        <v>231.6</v>
      </c>
      <c r="E869" s="899">
        <f>D869*1.28</f>
        <v>296.44799999999998</v>
      </c>
      <c r="F869" s="413" t="s">
        <v>2178</v>
      </c>
    </row>
    <row r="870" spans="2:6" s="479" customFormat="1" x14ac:dyDescent="0.2">
      <c r="B870" s="891"/>
      <c r="E870" s="480"/>
      <c r="F870" s="505"/>
    </row>
    <row r="871" spans="2:6" s="479" customFormat="1" x14ac:dyDescent="0.2">
      <c r="B871" s="891"/>
      <c r="C871" s="894" t="s">
        <v>1546</v>
      </c>
      <c r="D871" s="894" t="s">
        <v>13</v>
      </c>
      <c r="E871" s="894" t="s">
        <v>3148</v>
      </c>
      <c r="F871" s="505"/>
    </row>
    <row r="872" spans="2:6" s="479" customFormat="1" x14ac:dyDescent="0.2">
      <c r="B872" s="891" t="s">
        <v>3560</v>
      </c>
      <c r="C872" s="907" t="s">
        <v>3177</v>
      </c>
      <c r="D872" s="895">
        <f>+D863</f>
        <v>131.46175000000002</v>
      </c>
      <c r="E872" s="894" t="s">
        <v>1411</v>
      </c>
      <c r="F872" s="505"/>
    </row>
    <row r="873" spans="2:6" s="479" customFormat="1" x14ac:dyDescent="0.2">
      <c r="B873" s="891" t="s">
        <v>1964</v>
      </c>
      <c r="C873" s="907" t="s">
        <v>3178</v>
      </c>
      <c r="D873" s="894">
        <f>+ROUNDUP((D868/50),0)*50</f>
        <v>150</v>
      </c>
      <c r="E873" s="894" t="s">
        <v>1826</v>
      </c>
      <c r="F873" s="505"/>
    </row>
    <row r="874" spans="2:6" s="479" customFormat="1" x14ac:dyDescent="0.2">
      <c r="B874" s="891" t="s">
        <v>2203</v>
      </c>
      <c r="C874" s="907" t="s">
        <v>3179</v>
      </c>
      <c r="D874" s="894">
        <f>+ROUNDUP((D869/100),0)*100</f>
        <v>300</v>
      </c>
      <c r="E874" s="894" t="s">
        <v>1826</v>
      </c>
      <c r="F874" s="505"/>
    </row>
    <row r="875" spans="2:6" s="479" customFormat="1" x14ac:dyDescent="0.2">
      <c r="B875" s="891" t="s">
        <v>1936</v>
      </c>
      <c r="C875" s="907" t="s">
        <v>3180</v>
      </c>
      <c r="D875" s="894">
        <f>ROUNDUP(D848/50,0)</f>
        <v>1</v>
      </c>
      <c r="E875" s="894" t="s">
        <v>1796</v>
      </c>
      <c r="F875" s="505"/>
    </row>
    <row r="876" spans="2:6" s="479" customFormat="1" x14ac:dyDescent="0.2">
      <c r="B876" s="524"/>
      <c r="E876" s="480"/>
      <c r="F876" s="505"/>
    </row>
    <row r="877" spans="2:6" s="479" customFormat="1" x14ac:dyDescent="0.2">
      <c r="B877" s="524"/>
      <c r="C877" s="894"/>
      <c r="D877" s="894" t="s">
        <v>1012</v>
      </c>
      <c r="E877" s="894" t="s">
        <v>257</v>
      </c>
      <c r="F877" s="894" t="s">
        <v>1657</v>
      </c>
    </row>
    <row r="878" spans="2:6" s="479" customFormat="1" x14ac:dyDescent="0.2">
      <c r="B878" s="524"/>
      <c r="C878" s="894" t="s">
        <v>1735</v>
      </c>
      <c r="D878" s="898">
        <f>+D175</f>
        <v>12500</v>
      </c>
      <c r="E878" s="898">
        <f>+D878*D848</f>
        <v>560000</v>
      </c>
      <c r="F878" s="899">
        <f>ROUND(E878/'COSTOS MO CUADRILLA'!K18,0)</f>
        <v>156</v>
      </c>
    </row>
    <row r="879" spans="2:6" s="479" customFormat="1" x14ac:dyDescent="0.2">
      <c r="B879" s="524"/>
      <c r="C879" s="893"/>
      <c r="D879" s="894" t="s">
        <v>1016</v>
      </c>
      <c r="E879" s="898">
        <f>SUM(E878:E878)</f>
        <v>560000</v>
      </c>
      <c r="F879" s="899">
        <f>+E879/'COSTOS MO CUADRILLA'!K18</f>
        <v>155.55555555555554</v>
      </c>
    </row>
    <row r="882" spans="2:6" ht="21" x14ac:dyDescent="0.2">
      <c r="C882" s="471" t="s">
        <v>2050</v>
      </c>
      <c r="D882" s="471" t="s">
        <v>167</v>
      </c>
    </row>
    <row r="884" spans="2:6" s="479" customFormat="1" ht="16.5" x14ac:dyDescent="0.25">
      <c r="B884" s="524"/>
      <c r="C884" s="481" t="s">
        <v>1736</v>
      </c>
      <c r="D884" s="878">
        <v>0</v>
      </c>
      <c r="E884" s="485" t="s">
        <v>78</v>
      </c>
      <c r="F884" s="413" t="s">
        <v>2178</v>
      </c>
    </row>
    <row r="885" spans="2:6" s="479" customFormat="1" ht="16.5" x14ac:dyDescent="0.25">
      <c r="B885" s="524"/>
      <c r="C885" s="481" t="s">
        <v>1737</v>
      </c>
      <c r="D885" s="880">
        <v>0</v>
      </c>
      <c r="E885" s="485" t="s">
        <v>1076</v>
      </c>
      <c r="F885" s="413" t="s">
        <v>2178</v>
      </c>
    </row>
    <row r="886" spans="2:6" s="479" customFormat="1" ht="16.5" x14ac:dyDescent="0.25">
      <c r="B886" s="524"/>
      <c r="C886" s="481" t="s">
        <v>1738</v>
      </c>
      <c r="D886" s="880">
        <v>0</v>
      </c>
      <c r="E886" s="485" t="s">
        <v>1076</v>
      </c>
      <c r="F886" s="413" t="s">
        <v>2178</v>
      </c>
    </row>
    <row r="887" spans="2:6" s="479" customFormat="1" ht="16.5" x14ac:dyDescent="0.25">
      <c r="B887" s="524"/>
      <c r="C887" s="481" t="s">
        <v>1739</v>
      </c>
      <c r="D887" s="878">
        <v>0</v>
      </c>
      <c r="E887" s="485" t="s">
        <v>78</v>
      </c>
      <c r="F887" s="413" t="s">
        <v>2178</v>
      </c>
    </row>
    <row r="888" spans="2:6" s="479" customFormat="1" ht="16.5" x14ac:dyDescent="0.25">
      <c r="B888" s="524"/>
      <c r="C888" s="481" t="s">
        <v>1740</v>
      </c>
      <c r="D888" s="485">
        <f>SUM(D884:D887)</f>
        <v>0</v>
      </c>
      <c r="E888" s="485" t="s">
        <v>78</v>
      </c>
      <c r="F888" s="413" t="s">
        <v>2178</v>
      </c>
    </row>
    <row r="889" spans="2:6" s="479" customFormat="1" x14ac:dyDescent="0.2">
      <c r="B889" s="524"/>
      <c r="E889" s="480"/>
      <c r="F889" s="505"/>
    </row>
    <row r="890" spans="2:6" s="479" customFormat="1" ht="18.75" x14ac:dyDescent="0.25">
      <c r="B890" s="524"/>
      <c r="C890" s="1052" t="s">
        <v>1741</v>
      </c>
      <c r="E890" s="480"/>
      <c r="F890" s="505"/>
    </row>
    <row r="891" spans="2:6" s="479" customFormat="1" x14ac:dyDescent="0.2">
      <c r="B891" s="524"/>
      <c r="E891" s="480"/>
      <c r="F891" s="505"/>
    </row>
    <row r="892" spans="2:6" s="479" customFormat="1" x14ac:dyDescent="0.2">
      <c r="B892" s="524"/>
      <c r="C892" s="894" t="s">
        <v>1546</v>
      </c>
      <c r="D892" s="894" t="s">
        <v>13</v>
      </c>
      <c r="E892" s="894" t="s">
        <v>3148</v>
      </c>
      <c r="F892" s="505"/>
    </row>
    <row r="893" spans="2:6" s="479" customFormat="1" ht="16.5" x14ac:dyDescent="0.25">
      <c r="B893" s="891" t="s">
        <v>2090</v>
      </c>
      <c r="C893" s="893" t="s">
        <v>1742</v>
      </c>
      <c r="D893" s="894">
        <f>ROUNDUP(D884/10.86,1)</f>
        <v>0</v>
      </c>
      <c r="E893" s="894" t="s">
        <v>1167</v>
      </c>
      <c r="F893" s="413" t="s">
        <v>2178</v>
      </c>
    </row>
    <row r="894" spans="2:6" s="479" customFormat="1" ht="16.5" x14ac:dyDescent="0.25">
      <c r="B894" s="891" t="s">
        <v>2205</v>
      </c>
      <c r="C894" s="893" t="s">
        <v>1743</v>
      </c>
      <c r="D894" s="894">
        <f>ROUNDUP(D884*4,0)</f>
        <v>0</v>
      </c>
      <c r="E894" s="894" t="s">
        <v>1167</v>
      </c>
      <c r="F894" s="413" t="s">
        <v>2178</v>
      </c>
    </row>
    <row r="895" spans="2:6" s="479" customFormat="1" x14ac:dyDescent="0.2">
      <c r="B895" s="891"/>
      <c r="E895" s="480"/>
      <c r="F895" s="505"/>
    </row>
    <row r="896" spans="2:6" s="479" customFormat="1" ht="18.75" x14ac:dyDescent="0.25">
      <c r="B896" s="891"/>
      <c r="C896" s="1052" t="s">
        <v>1744</v>
      </c>
      <c r="E896" s="480"/>
      <c r="F896" s="505"/>
    </row>
    <row r="897" spans="2:6" s="479" customFormat="1" x14ac:dyDescent="0.2">
      <c r="B897" s="891"/>
      <c r="E897" s="480"/>
      <c r="F897" s="505"/>
    </row>
    <row r="898" spans="2:6" s="479" customFormat="1" ht="16.5" x14ac:dyDescent="0.25">
      <c r="B898" s="891"/>
      <c r="C898" s="894" t="s">
        <v>1546</v>
      </c>
      <c r="D898" s="894" t="s">
        <v>13</v>
      </c>
      <c r="E898" s="894" t="s">
        <v>3148</v>
      </c>
      <c r="F898" s="413" t="s">
        <v>2178</v>
      </c>
    </row>
    <row r="899" spans="2:6" s="479" customFormat="1" ht="16.5" x14ac:dyDescent="0.25">
      <c r="B899" s="891" t="s">
        <v>1967</v>
      </c>
      <c r="C899" s="893" t="s">
        <v>1745</v>
      </c>
      <c r="D899" s="894">
        <f>ROUNDUP(D887/11.8,1)</f>
        <v>0</v>
      </c>
      <c r="E899" s="894" t="s">
        <v>1167</v>
      </c>
      <c r="F899" s="413" t="s">
        <v>2178</v>
      </c>
    </row>
    <row r="900" spans="2:6" s="479" customFormat="1" ht="16.5" x14ac:dyDescent="0.25">
      <c r="B900" s="891" t="s">
        <v>1965</v>
      </c>
      <c r="C900" s="893" t="s">
        <v>1746</v>
      </c>
      <c r="D900" s="894">
        <f>ROUNDUP(D885/6.4,0)</f>
        <v>0</v>
      </c>
      <c r="E900" s="894" t="s">
        <v>1167</v>
      </c>
      <c r="F900" s="413" t="s">
        <v>2178</v>
      </c>
    </row>
    <row r="901" spans="2:6" s="479" customFormat="1" ht="16.5" x14ac:dyDescent="0.25">
      <c r="B901" s="891" t="s">
        <v>1966</v>
      </c>
      <c r="C901" s="893" t="s">
        <v>1813</v>
      </c>
      <c r="D901" s="894">
        <f>ROUNDUP(D885/11.8,0)</f>
        <v>0</v>
      </c>
      <c r="E901" s="894" t="s">
        <v>1167</v>
      </c>
      <c r="F901" s="413" t="s">
        <v>2178</v>
      </c>
    </row>
    <row r="902" spans="2:6" s="479" customFormat="1" ht="16.5" x14ac:dyDescent="0.25">
      <c r="B902" s="891" t="s">
        <v>1968</v>
      </c>
      <c r="C902" s="893" t="s">
        <v>1747</v>
      </c>
      <c r="D902" s="895">
        <f>ROUNDUP(D885,0)</f>
        <v>0</v>
      </c>
      <c r="E902" s="894" t="s">
        <v>1076</v>
      </c>
      <c r="F902" s="413" t="s">
        <v>2178</v>
      </c>
    </row>
    <row r="903" spans="2:6" s="479" customFormat="1" ht="16.5" x14ac:dyDescent="0.25">
      <c r="B903" s="891" t="s">
        <v>1969</v>
      </c>
      <c r="C903" s="893" t="s">
        <v>1748</v>
      </c>
      <c r="D903" s="895">
        <f>ROUNDUP(D885,0)</f>
        <v>0</v>
      </c>
      <c r="E903" s="894" t="s">
        <v>1076</v>
      </c>
      <c r="F903" s="413" t="s">
        <v>2178</v>
      </c>
    </row>
    <row r="904" spans="2:6" s="479" customFormat="1" ht="16.5" x14ac:dyDescent="0.25">
      <c r="B904" s="891" t="s">
        <v>1970</v>
      </c>
      <c r="C904" s="893" t="s">
        <v>1749</v>
      </c>
      <c r="D904" s="894">
        <f>ROUNDUP(D885*2/4.3,0)</f>
        <v>0</v>
      </c>
      <c r="E904" s="894" t="s">
        <v>1167</v>
      </c>
      <c r="F904" s="413" t="s">
        <v>2178</v>
      </c>
    </row>
    <row r="905" spans="2:6" s="479" customFormat="1" ht="16.5" x14ac:dyDescent="0.25">
      <c r="B905" s="891" t="s">
        <v>2205</v>
      </c>
      <c r="C905" s="893" t="s">
        <v>1750</v>
      </c>
      <c r="D905" s="894">
        <f>ROUNDUP(D887*3,0)</f>
        <v>0</v>
      </c>
      <c r="E905" s="894" t="s">
        <v>1167</v>
      </c>
      <c r="F905" s="413" t="s">
        <v>2178</v>
      </c>
    </row>
    <row r="906" spans="2:6" s="479" customFormat="1" x14ac:dyDescent="0.2">
      <c r="B906" s="524"/>
      <c r="E906" s="480"/>
    </row>
    <row r="907" spans="2:6" s="479" customFormat="1" x14ac:dyDescent="0.2">
      <c r="B907" s="524"/>
      <c r="C907" s="894"/>
      <c r="D907" s="894" t="s">
        <v>1012</v>
      </c>
      <c r="E907" s="894" t="s">
        <v>257</v>
      </c>
      <c r="F907" s="894" t="s">
        <v>1657</v>
      </c>
    </row>
    <row r="908" spans="2:6" s="479" customFormat="1" x14ac:dyDescent="0.2">
      <c r="B908" s="524"/>
      <c r="C908" s="894" t="s">
        <v>1735</v>
      </c>
      <c r="D908" s="898">
        <f>+D175</f>
        <v>12500</v>
      </c>
      <c r="E908" s="898">
        <f>+D908*D888</f>
        <v>0</v>
      </c>
      <c r="F908" s="899">
        <f>ROUND(E908/'COSTOS MO CUADRILLA'!K19,0)</f>
        <v>0</v>
      </c>
    </row>
    <row r="909" spans="2:6" s="479" customFormat="1" x14ac:dyDescent="0.2">
      <c r="B909" s="524"/>
      <c r="C909" s="893"/>
      <c r="D909" s="894" t="s">
        <v>1016</v>
      </c>
      <c r="E909" s="898">
        <f>SUM(E908:E908)</f>
        <v>0</v>
      </c>
      <c r="F909" s="899">
        <f>+E909/'COSTOS MO CUADRILLA'!K19</f>
        <v>0</v>
      </c>
    </row>
    <row r="912" spans="2:6" ht="21" x14ac:dyDescent="0.2">
      <c r="C912" s="471" t="s">
        <v>2051</v>
      </c>
      <c r="D912" s="1148" t="s">
        <v>181</v>
      </c>
      <c r="E912" s="1148"/>
      <c r="F912" s="1148"/>
    </row>
    <row r="914" spans="3:8" s="479" customFormat="1" ht="16.5" x14ac:dyDescent="0.25">
      <c r="C914" s="485" t="s">
        <v>1753</v>
      </c>
      <c r="D914" s="485" t="str">
        <f>IF(D24=1,IF(D25="Sí","Sí","No"),"No")</f>
        <v>No</v>
      </c>
      <c r="E914" s="709"/>
    </row>
    <row r="915" spans="3:8" s="479" customFormat="1" x14ac:dyDescent="0.2">
      <c r="E915" s="480"/>
    </row>
    <row r="916" spans="3:8" s="479" customFormat="1" x14ac:dyDescent="0.2">
      <c r="E916" s="480"/>
      <c r="F916" s="894" t="s">
        <v>1459</v>
      </c>
      <c r="G916" s="894" t="s">
        <v>1535</v>
      </c>
    </row>
    <row r="917" spans="3:8" s="479" customFormat="1" x14ac:dyDescent="0.2">
      <c r="C917" s="893" t="s">
        <v>1539</v>
      </c>
      <c r="D917" s="894">
        <f>IF(D914="Sí",2.6,0)</f>
        <v>0</v>
      </c>
      <c r="E917" s="894" t="s">
        <v>1076</v>
      </c>
      <c r="F917" s="895">
        <f>+D917*0.5*0.0018*7850</f>
        <v>0</v>
      </c>
      <c r="G917" s="895">
        <f>+D917*0.5</f>
        <v>0</v>
      </c>
    </row>
    <row r="918" spans="3:8" s="479" customFormat="1" x14ac:dyDescent="0.2">
      <c r="C918" s="893" t="s">
        <v>1540</v>
      </c>
      <c r="D918" s="894">
        <f>IF(D914="Sí",4.26+0.55,0)</f>
        <v>0</v>
      </c>
      <c r="E918" s="894" t="s">
        <v>1076</v>
      </c>
      <c r="F918" s="895">
        <f>+D918*0.4*0.0018*7850</f>
        <v>0</v>
      </c>
      <c r="G918" s="895">
        <f>+D918*0.4</f>
        <v>0</v>
      </c>
    </row>
    <row r="919" spans="3:8" s="479" customFormat="1" x14ac:dyDescent="0.2">
      <c r="C919" s="893" t="s">
        <v>1541</v>
      </c>
      <c r="D919" s="894">
        <f>IF(D914="Sí",0.4*13,0)</f>
        <v>0</v>
      </c>
      <c r="E919" s="894" t="s">
        <v>1076</v>
      </c>
      <c r="F919" s="895">
        <f>+D919*0.2*0.0018*7850</f>
        <v>0</v>
      </c>
      <c r="G919" s="895">
        <f>+D919*0.2</f>
        <v>0</v>
      </c>
    </row>
    <row r="920" spans="3:8" s="479" customFormat="1" x14ac:dyDescent="0.2">
      <c r="C920" s="893" t="s">
        <v>1529</v>
      </c>
      <c r="D920" s="894">
        <f>IF(D914="Sí",1.9*12+0.7*4+2,0)</f>
        <v>0</v>
      </c>
      <c r="E920" s="894" t="s">
        <v>1076</v>
      </c>
      <c r="F920" s="895">
        <f>+D920*0.1*0.0032*7850</f>
        <v>0</v>
      </c>
      <c r="G920" s="895">
        <f>+D920*0.2</f>
        <v>0</v>
      </c>
    </row>
    <row r="921" spans="3:8" s="479" customFormat="1" x14ac:dyDescent="0.2">
      <c r="C921" s="893" t="s">
        <v>1525</v>
      </c>
      <c r="D921" s="894">
        <f>IF(D914="Sí",5*0.3*12+0.5*3*2,0)</f>
        <v>0</v>
      </c>
      <c r="E921" s="894" t="s">
        <v>1076</v>
      </c>
      <c r="F921" s="895"/>
      <c r="G921" s="895"/>
    </row>
    <row r="922" spans="3:8" s="479" customFormat="1" x14ac:dyDescent="0.2">
      <c r="C922" s="893" t="s">
        <v>1543</v>
      </c>
      <c r="D922" s="894">
        <f>IF(D914="Sí",15.5,0)</f>
        <v>0</v>
      </c>
      <c r="E922" s="894" t="s">
        <v>1076</v>
      </c>
      <c r="F922" s="895"/>
      <c r="G922" s="895"/>
    </row>
    <row r="923" spans="3:8" s="479" customFormat="1" x14ac:dyDescent="0.2">
      <c r="C923" s="893" t="s">
        <v>1814</v>
      </c>
      <c r="D923" s="894">
        <f>IF(D914="Sí",11.6,0)</f>
        <v>0</v>
      </c>
      <c r="E923" s="894" t="s">
        <v>1076</v>
      </c>
      <c r="F923" s="895">
        <f>+D923*0.1*0.0018*7850</f>
        <v>0</v>
      </c>
      <c r="G923" s="895">
        <f>+D923*0.1</f>
        <v>0</v>
      </c>
    </row>
    <row r="924" spans="3:8" s="479" customFormat="1" ht="16.5" x14ac:dyDescent="0.25">
      <c r="E924" s="894"/>
      <c r="F924" s="895">
        <f>SUM(F917:F923)</f>
        <v>0</v>
      </c>
      <c r="G924" s="895">
        <f>SUM(G917:G923)</f>
        <v>0</v>
      </c>
      <c r="H924" s="417"/>
    </row>
    <row r="925" spans="3:8" s="479" customFormat="1" x14ac:dyDescent="0.2">
      <c r="E925" s="894" t="s">
        <v>1511</v>
      </c>
      <c r="F925" s="895">
        <f>+F924*SOL</f>
        <v>0</v>
      </c>
      <c r="G925" s="895">
        <f>ROUNDUP(F925,0)</f>
        <v>0</v>
      </c>
    </row>
    <row r="926" spans="3:8" s="479" customFormat="1" x14ac:dyDescent="0.2">
      <c r="E926" s="894" t="s">
        <v>1516</v>
      </c>
      <c r="F926" s="895">
        <f>+F925</f>
        <v>0</v>
      </c>
      <c r="G926" s="895">
        <f>ROUNDUP(F926,0)</f>
        <v>0</v>
      </c>
    </row>
    <row r="927" spans="3:8" s="479" customFormat="1" x14ac:dyDescent="0.2">
      <c r="E927" s="894" t="s">
        <v>1512</v>
      </c>
      <c r="F927" s="895">
        <f t="shared" ref="F927:F928" si="103">+F926</f>
        <v>0</v>
      </c>
      <c r="G927" s="895">
        <f t="shared" ref="G927:G928" si="104">ROUNDUP(F927,0)</f>
        <v>0</v>
      </c>
    </row>
    <row r="928" spans="3:8" s="479" customFormat="1" x14ac:dyDescent="0.2">
      <c r="E928" s="894" t="s">
        <v>1513</v>
      </c>
      <c r="F928" s="895">
        <f t="shared" si="103"/>
        <v>0</v>
      </c>
      <c r="G928" s="895">
        <f t="shared" si="104"/>
        <v>0</v>
      </c>
    </row>
    <row r="929" spans="2:6" s="479" customFormat="1" x14ac:dyDescent="0.2">
      <c r="E929" s="480"/>
    </row>
    <row r="930" spans="2:6" s="479" customFormat="1" x14ac:dyDescent="0.2">
      <c r="C930" s="481" t="s">
        <v>13</v>
      </c>
      <c r="D930" s="498">
        <f>IF(D914="Sí",14,0)</f>
        <v>0</v>
      </c>
      <c r="E930" s="485" t="s">
        <v>1167</v>
      </c>
    </row>
    <row r="931" spans="2:6" s="479" customFormat="1" x14ac:dyDescent="0.2">
      <c r="C931" s="481" t="s">
        <v>1460</v>
      </c>
      <c r="D931" s="498">
        <v>0.7</v>
      </c>
      <c r="E931" s="485" t="s">
        <v>1076</v>
      </c>
    </row>
    <row r="932" spans="2:6" s="479" customFormat="1" x14ac:dyDescent="0.2">
      <c r="C932" s="481" t="s">
        <v>1461</v>
      </c>
      <c r="D932" s="498">
        <v>0.28000000000000003</v>
      </c>
      <c r="E932" s="485" t="s">
        <v>1076</v>
      </c>
    </row>
    <row r="933" spans="2:6" s="479" customFormat="1" x14ac:dyDescent="0.2">
      <c r="B933" s="524"/>
      <c r="C933" s="481" t="s">
        <v>1542</v>
      </c>
      <c r="D933" s="498">
        <v>0.5</v>
      </c>
      <c r="E933" s="485" t="s">
        <v>1076</v>
      </c>
    </row>
    <row r="934" spans="2:6" s="479" customFormat="1" x14ac:dyDescent="0.2">
      <c r="B934" s="524"/>
      <c r="C934" s="895" t="s">
        <v>1057</v>
      </c>
      <c r="D934" s="895">
        <f>+D933*D932*D931*D930</f>
        <v>0</v>
      </c>
      <c r="E934" s="895" t="s">
        <v>1029</v>
      </c>
    </row>
    <row r="935" spans="2:6" s="479" customFormat="1" x14ac:dyDescent="0.2">
      <c r="B935" s="524"/>
      <c r="E935" s="480"/>
    </row>
    <row r="936" spans="2:6" s="479" customFormat="1" x14ac:dyDescent="0.2">
      <c r="B936" s="524"/>
      <c r="C936" s="894" t="s">
        <v>1546</v>
      </c>
      <c r="D936" s="894" t="s">
        <v>13</v>
      </c>
      <c r="E936" s="894" t="s">
        <v>3148</v>
      </c>
    </row>
    <row r="937" spans="2:6" s="479" customFormat="1" x14ac:dyDescent="0.2">
      <c r="B937" s="891" t="s">
        <v>2184</v>
      </c>
      <c r="C937" s="893" t="s">
        <v>1017</v>
      </c>
      <c r="D937" s="895">
        <f>D934*losac</f>
        <v>0</v>
      </c>
      <c r="E937" s="894" t="s">
        <v>1020</v>
      </c>
    </row>
    <row r="938" spans="2:6" s="479" customFormat="1" x14ac:dyDescent="0.2">
      <c r="B938" s="891" t="s">
        <v>1914</v>
      </c>
      <c r="C938" s="893" t="s">
        <v>1018</v>
      </c>
      <c r="D938" s="895">
        <f>D934*losaa</f>
        <v>0</v>
      </c>
      <c r="E938" s="894" t="s">
        <v>1010</v>
      </c>
    </row>
    <row r="939" spans="2:6" s="479" customFormat="1" x14ac:dyDescent="0.2">
      <c r="B939" s="891" t="s">
        <v>2190</v>
      </c>
      <c r="C939" s="893" t="s">
        <v>1019</v>
      </c>
      <c r="D939" s="895">
        <f>D934*losap</f>
        <v>0</v>
      </c>
      <c r="E939" s="894" t="s">
        <v>1010</v>
      </c>
    </row>
    <row r="940" spans="2:6" s="479" customFormat="1" x14ac:dyDescent="0.2">
      <c r="B940" s="891"/>
      <c r="E940" s="480"/>
    </row>
    <row r="941" spans="2:6" s="479" customFormat="1" x14ac:dyDescent="0.2">
      <c r="B941" s="891"/>
      <c r="C941" s="894" t="s">
        <v>1546</v>
      </c>
      <c r="D941" s="894" t="s">
        <v>13</v>
      </c>
      <c r="E941" s="894" t="s">
        <v>3148</v>
      </c>
      <c r="F941" s="500"/>
    </row>
    <row r="942" spans="2:6" s="479" customFormat="1" ht="16.5" x14ac:dyDescent="0.25">
      <c r="B942" s="891" t="s">
        <v>1958</v>
      </c>
      <c r="C942" s="893" t="s">
        <v>1539</v>
      </c>
      <c r="D942" s="894">
        <f>ROUNDUP(D917/6,0)</f>
        <v>0</v>
      </c>
      <c r="E942" s="894" t="s">
        <v>1167</v>
      </c>
      <c r="F942" s="413"/>
    </row>
    <row r="943" spans="2:6" s="479" customFormat="1" ht="16.5" x14ac:dyDescent="0.25">
      <c r="B943" s="891" t="s">
        <v>2196</v>
      </c>
      <c r="C943" s="893" t="s">
        <v>1540</v>
      </c>
      <c r="D943" s="894">
        <f>ROUNDUP(D918/6,0)</f>
        <v>0</v>
      </c>
      <c r="E943" s="894" t="s">
        <v>1167</v>
      </c>
      <c r="F943" s="413"/>
    </row>
    <row r="944" spans="2:6" s="479" customFormat="1" ht="16.5" x14ac:dyDescent="0.25">
      <c r="B944" s="891" t="s">
        <v>2197</v>
      </c>
      <c r="C944" s="893" t="s">
        <v>1541</v>
      </c>
      <c r="D944" s="894">
        <f>ROUNDUP(D919/6,0)</f>
        <v>0</v>
      </c>
      <c r="E944" s="894" t="s">
        <v>1167</v>
      </c>
      <c r="F944" s="413"/>
    </row>
    <row r="945" spans="2:6" s="479" customFormat="1" ht="16.5" x14ac:dyDescent="0.25">
      <c r="B945" s="891" t="s">
        <v>1973</v>
      </c>
      <c r="C945" s="893" t="s">
        <v>1529</v>
      </c>
      <c r="D945" s="894">
        <f>ROUNDUP(D920/6,0)</f>
        <v>0</v>
      </c>
      <c r="E945" s="894" t="s">
        <v>1167</v>
      </c>
      <c r="F945" s="413"/>
    </row>
    <row r="946" spans="2:6" s="479" customFormat="1" ht="16.5" x14ac:dyDescent="0.25">
      <c r="B946" s="891" t="s">
        <v>1918</v>
      </c>
      <c r="C946" s="893" t="s">
        <v>3053</v>
      </c>
      <c r="D946" s="894">
        <f>ROUNDUP(D921/6,0)</f>
        <v>0</v>
      </c>
      <c r="E946" s="894" t="s">
        <v>1167</v>
      </c>
      <c r="F946" s="413"/>
    </row>
    <row r="947" spans="2:6" s="479" customFormat="1" ht="16.5" x14ac:dyDescent="0.25">
      <c r="B947" s="891" t="s">
        <v>2206</v>
      </c>
      <c r="C947" s="893" t="s">
        <v>1543</v>
      </c>
      <c r="D947" s="894">
        <f t="shared" ref="D947:D948" si="105">ROUNDUP(D922/6,0)</f>
        <v>0</v>
      </c>
      <c r="E947" s="894" t="s">
        <v>1167</v>
      </c>
      <c r="F947" s="413"/>
    </row>
    <row r="948" spans="2:6" s="479" customFormat="1" ht="16.5" x14ac:dyDescent="0.25">
      <c r="B948" s="891" t="s">
        <v>2207</v>
      </c>
      <c r="C948" s="893" t="s">
        <v>1814</v>
      </c>
      <c r="D948" s="894">
        <f t="shared" si="105"/>
        <v>0</v>
      </c>
      <c r="E948" s="894" t="s">
        <v>1167</v>
      </c>
      <c r="F948" s="413"/>
    </row>
    <row r="949" spans="2:6" s="479" customFormat="1" ht="16.5" x14ac:dyDescent="0.25">
      <c r="B949" s="891" t="s">
        <v>2195</v>
      </c>
      <c r="C949" s="893" t="s">
        <v>1511</v>
      </c>
      <c r="D949" s="895">
        <f>+G925</f>
        <v>0</v>
      </c>
      <c r="E949" s="894" t="s">
        <v>1411</v>
      </c>
      <c r="F949" s="413"/>
    </row>
    <row r="950" spans="2:6" s="479" customFormat="1" ht="16.5" x14ac:dyDescent="0.25">
      <c r="B950" s="891" t="s">
        <v>3134</v>
      </c>
      <c r="C950" s="893" t="s">
        <v>1516</v>
      </c>
      <c r="D950" s="895">
        <f>+G926</f>
        <v>0</v>
      </c>
      <c r="E950" s="894" t="s">
        <v>1167</v>
      </c>
      <c r="F950" s="413"/>
    </row>
    <row r="951" spans="2:6" s="479" customFormat="1" ht="16.5" x14ac:dyDescent="0.25">
      <c r="B951" s="891" t="s">
        <v>2201</v>
      </c>
      <c r="C951" s="893" t="s">
        <v>1512</v>
      </c>
      <c r="D951" s="895">
        <f>+G927</f>
        <v>0</v>
      </c>
      <c r="E951" s="894" t="s">
        <v>1754</v>
      </c>
      <c r="F951" s="413"/>
    </row>
    <row r="952" spans="2:6" s="479" customFormat="1" ht="16.5" x14ac:dyDescent="0.25">
      <c r="B952" s="891" t="s">
        <v>2182</v>
      </c>
      <c r="C952" s="893" t="s">
        <v>1513</v>
      </c>
      <c r="D952" s="895">
        <f>+G928</f>
        <v>0</v>
      </c>
      <c r="E952" s="894" t="s">
        <v>1411</v>
      </c>
      <c r="F952" s="413"/>
    </row>
    <row r="953" spans="2:6" s="479" customFormat="1" ht="16.5" x14ac:dyDescent="0.25">
      <c r="B953" s="891" t="s">
        <v>1961</v>
      </c>
      <c r="C953" s="893" t="s">
        <v>1755</v>
      </c>
      <c r="D953" s="894">
        <f>ROUNDUP(G924/25/0.25,0)*0.25</f>
        <v>0</v>
      </c>
      <c r="E953" s="894" t="s">
        <v>1754</v>
      </c>
      <c r="F953" s="413"/>
    </row>
    <row r="954" spans="2:6" s="479" customFormat="1" ht="16.5" x14ac:dyDescent="0.25">
      <c r="B954" s="891" t="s">
        <v>1937</v>
      </c>
      <c r="C954" s="893" t="s">
        <v>1756</v>
      </c>
      <c r="D954" s="894">
        <f>+D953</f>
        <v>0</v>
      </c>
      <c r="E954" s="894" t="s">
        <v>1754</v>
      </c>
      <c r="F954" s="413"/>
    </row>
    <row r="955" spans="2:6" s="479" customFormat="1" ht="16.5" x14ac:dyDescent="0.25">
      <c r="B955" s="524"/>
      <c r="C955" s="893" t="s">
        <v>1757</v>
      </c>
      <c r="D955" s="894">
        <f>+D954</f>
        <v>0</v>
      </c>
      <c r="E955" s="894" t="s">
        <v>1754</v>
      </c>
      <c r="F955" s="413"/>
    </row>
    <row r="956" spans="2:6" s="479" customFormat="1" x14ac:dyDescent="0.2">
      <c r="B956" s="524"/>
      <c r="D956" s="480"/>
      <c r="E956" s="480"/>
    </row>
    <row r="957" spans="2:6" s="479" customFormat="1" x14ac:dyDescent="0.2">
      <c r="B957" s="524"/>
      <c r="C957" s="894"/>
      <c r="D957" s="894" t="s">
        <v>1012</v>
      </c>
      <c r="E957" s="894" t="s">
        <v>257</v>
      </c>
      <c r="F957" s="894" t="s">
        <v>1657</v>
      </c>
    </row>
    <row r="958" spans="2:6" s="479" customFormat="1" x14ac:dyDescent="0.2">
      <c r="C958" s="894" t="s">
        <v>1758</v>
      </c>
      <c r="D958" s="898">
        <f>D174</f>
        <v>1500</v>
      </c>
      <c r="E958" s="898">
        <f>D958*F924</f>
        <v>0</v>
      </c>
      <c r="F958" s="899">
        <f>ROUND(E958/'COSTOS MO CUADRILLA'!K20,0)</f>
        <v>0</v>
      </c>
    </row>
    <row r="959" spans="2:6" s="479" customFormat="1" x14ac:dyDescent="0.2">
      <c r="C959" s="894" t="s">
        <v>1759</v>
      </c>
      <c r="D959" s="898">
        <f>+D151</f>
        <v>11000</v>
      </c>
      <c r="E959" s="898">
        <f>D959*D934</f>
        <v>0</v>
      </c>
      <c r="F959" s="899">
        <f>ROUND(E959/'COSTOS MO CUADRILLA'!K27,0)</f>
        <v>0</v>
      </c>
    </row>
    <row r="960" spans="2:6" s="479" customFormat="1" x14ac:dyDescent="0.2">
      <c r="C960" s="893"/>
      <c r="D960" s="894" t="s">
        <v>1016</v>
      </c>
      <c r="E960" s="898">
        <f>SUM(E958:E959)</f>
        <v>0</v>
      </c>
      <c r="F960" s="899">
        <f t="shared" ref="F960" si="106">+E960/5175</f>
        <v>0</v>
      </c>
    </row>
    <row r="961" spans="2:8" s="479" customFormat="1" x14ac:dyDescent="0.2">
      <c r="C961" s="478"/>
      <c r="D961" s="478"/>
      <c r="E961" s="480"/>
      <c r="F961" s="478"/>
    </row>
    <row r="962" spans="2:8" x14ac:dyDescent="0.2">
      <c r="C962" s="100"/>
      <c r="D962" s="100"/>
      <c r="F962" s="100"/>
    </row>
    <row r="963" spans="2:8" ht="21" x14ac:dyDescent="0.2">
      <c r="C963" s="471" t="s">
        <v>2052</v>
      </c>
      <c r="D963" s="1148" t="s">
        <v>3181</v>
      </c>
      <c r="E963" s="1148"/>
      <c r="F963" s="1148"/>
    </row>
    <row r="965" spans="2:8" s="479" customFormat="1" x14ac:dyDescent="0.2">
      <c r="C965" s="485" t="s">
        <v>1698</v>
      </c>
      <c r="D965" s="485" t="str">
        <f>IF(D24=1,"No","Sí")</f>
        <v>Sí</v>
      </c>
      <c r="E965" s="480"/>
    </row>
    <row r="966" spans="2:8" s="479" customFormat="1" x14ac:dyDescent="0.2">
      <c r="C966" s="485" t="s">
        <v>1699</v>
      </c>
      <c r="D966" s="485" t="str">
        <f>IF(D24=1,"No",IF(D25="Sí","Sí","No"))</f>
        <v>Sí</v>
      </c>
      <c r="E966" s="480"/>
    </row>
    <row r="967" spans="2:8" s="479" customFormat="1" x14ac:dyDescent="0.2">
      <c r="E967" s="480"/>
    </row>
    <row r="968" spans="2:8" s="479" customFormat="1" x14ac:dyDescent="0.2">
      <c r="E968" s="480"/>
      <c r="F968" s="894" t="s">
        <v>1459</v>
      </c>
      <c r="G968" s="894" t="s">
        <v>1535</v>
      </c>
      <c r="H968" s="505"/>
    </row>
    <row r="969" spans="2:8" s="479" customFormat="1" ht="16.5" x14ac:dyDescent="0.25">
      <c r="C969" s="893" t="s">
        <v>1544</v>
      </c>
      <c r="D969" s="894">
        <f>IF(D965="Sí",14.28,0)+IF(D966="Sí",27.05,0)</f>
        <v>41.33</v>
      </c>
      <c r="E969" s="894" t="s">
        <v>1076</v>
      </c>
      <c r="F969" s="895">
        <f>+D969*0.1*0.0018*7850</f>
        <v>58.399290000000001</v>
      </c>
      <c r="G969" s="895">
        <f>+D969*0.1</f>
        <v>4.133</v>
      </c>
      <c r="H969" s="413" t="s">
        <v>2178</v>
      </c>
    </row>
    <row r="970" spans="2:8" s="479" customFormat="1" ht="16.5" x14ac:dyDescent="0.25">
      <c r="C970" s="893" t="s">
        <v>1543</v>
      </c>
      <c r="D970" s="894">
        <f>IF(D965="Sí",21.45,0)+IF(D966="Sí",12.42,0)</f>
        <v>33.869999999999997</v>
      </c>
      <c r="E970" s="894" t="s">
        <v>1076</v>
      </c>
      <c r="F970" s="895">
        <f>+D970*1.552</f>
        <v>52.566240000000001</v>
      </c>
      <c r="G970" s="895">
        <f>0.05*D970</f>
        <v>1.6935</v>
      </c>
      <c r="H970" s="413" t="s">
        <v>2178</v>
      </c>
    </row>
    <row r="971" spans="2:8" s="479" customFormat="1" ht="16.5" x14ac:dyDescent="0.25">
      <c r="E971" s="550"/>
      <c r="F971" s="895">
        <f>SUM(F969:F970)</f>
        <v>110.96553</v>
      </c>
      <c r="G971" s="895">
        <f>SUM(G969:G970)</f>
        <v>5.8265000000000002</v>
      </c>
      <c r="H971" s="413" t="s">
        <v>2178</v>
      </c>
    </row>
    <row r="972" spans="2:8" s="479" customFormat="1" ht="16.5" x14ac:dyDescent="0.25">
      <c r="E972" s="894" t="s">
        <v>1511</v>
      </c>
      <c r="F972" s="895">
        <f>+F971*SOL</f>
        <v>0.44386212000000003</v>
      </c>
      <c r="G972" s="895">
        <f>ROUNDUP(F972,0)</f>
        <v>1</v>
      </c>
      <c r="H972" s="413" t="s">
        <v>2178</v>
      </c>
    </row>
    <row r="973" spans="2:8" s="479" customFormat="1" ht="16.5" x14ac:dyDescent="0.25">
      <c r="E973" s="894" t="s">
        <v>1516</v>
      </c>
      <c r="F973" s="895">
        <f>+F972</f>
        <v>0.44386212000000003</v>
      </c>
      <c r="G973" s="895">
        <f>ROUNDUP(F973,0)</f>
        <v>1</v>
      </c>
      <c r="H973" s="413" t="s">
        <v>2178</v>
      </c>
    </row>
    <row r="974" spans="2:8" s="479" customFormat="1" ht="16.5" x14ac:dyDescent="0.25">
      <c r="B974" s="524"/>
      <c r="E974" s="894" t="s">
        <v>1512</v>
      </c>
      <c r="F974" s="895">
        <f t="shared" ref="F974:F975" si="107">+F973</f>
        <v>0.44386212000000003</v>
      </c>
      <c r="G974" s="895">
        <f t="shared" ref="G974:G975" si="108">ROUNDUP(F974,0)</f>
        <v>1</v>
      </c>
      <c r="H974" s="413" t="s">
        <v>2178</v>
      </c>
    </row>
    <row r="975" spans="2:8" s="479" customFormat="1" ht="16.5" x14ac:dyDescent="0.25">
      <c r="B975" s="524"/>
      <c r="E975" s="894" t="s">
        <v>1513</v>
      </c>
      <c r="F975" s="895">
        <f t="shared" si="107"/>
        <v>0.44386212000000003</v>
      </c>
      <c r="G975" s="895">
        <f t="shared" si="108"/>
        <v>1</v>
      </c>
      <c r="H975" s="413" t="s">
        <v>2178</v>
      </c>
    </row>
    <row r="976" spans="2:8" s="479" customFormat="1" x14ac:dyDescent="0.2">
      <c r="B976" s="524"/>
      <c r="E976" s="480"/>
    </row>
    <row r="977" spans="2:6" s="479" customFormat="1" x14ac:dyDescent="0.2">
      <c r="B977" s="524"/>
      <c r="C977" s="894" t="s">
        <v>1546</v>
      </c>
      <c r="D977" s="894" t="s">
        <v>13</v>
      </c>
      <c r="E977" s="894" t="s">
        <v>3148</v>
      </c>
    </row>
    <row r="978" spans="2:6" s="479" customFormat="1" x14ac:dyDescent="0.2">
      <c r="B978" s="891" t="s">
        <v>2207</v>
      </c>
      <c r="C978" s="893" t="s">
        <v>1544</v>
      </c>
      <c r="D978" s="894">
        <f>ROUNDUP(D969/6,0)</f>
        <v>7</v>
      </c>
      <c r="E978" s="894" t="s">
        <v>1167</v>
      </c>
    </row>
    <row r="979" spans="2:6" s="479" customFormat="1" x14ac:dyDescent="0.2">
      <c r="B979" s="891" t="s">
        <v>2206</v>
      </c>
      <c r="C979" s="893" t="s">
        <v>1543</v>
      </c>
      <c r="D979" s="894">
        <f>ROUNDUP(D970/6,0)</f>
        <v>6</v>
      </c>
      <c r="E979" s="894" t="s">
        <v>1167</v>
      </c>
    </row>
    <row r="980" spans="2:6" s="479" customFormat="1" x14ac:dyDescent="0.2">
      <c r="B980" s="891" t="s">
        <v>2195</v>
      </c>
      <c r="C980" s="893" t="s">
        <v>1511</v>
      </c>
      <c r="D980" s="895">
        <f>+G972</f>
        <v>1</v>
      </c>
      <c r="E980" s="894" t="s">
        <v>1411</v>
      </c>
    </row>
    <row r="981" spans="2:6" s="479" customFormat="1" x14ac:dyDescent="0.2">
      <c r="B981" s="891" t="s">
        <v>3134</v>
      </c>
      <c r="C981" s="893" t="s">
        <v>1516</v>
      </c>
      <c r="D981" s="895">
        <f t="shared" ref="D981:D983" si="109">+G973</f>
        <v>1</v>
      </c>
      <c r="E981" s="894" t="s">
        <v>1167</v>
      </c>
    </row>
    <row r="982" spans="2:6" s="479" customFormat="1" x14ac:dyDescent="0.2">
      <c r="B982" s="891" t="s">
        <v>2201</v>
      </c>
      <c r="C982" s="893" t="s">
        <v>1512</v>
      </c>
      <c r="D982" s="895">
        <f t="shared" si="109"/>
        <v>1</v>
      </c>
      <c r="E982" s="894" t="s">
        <v>1754</v>
      </c>
    </row>
    <row r="983" spans="2:6" s="479" customFormat="1" x14ac:dyDescent="0.2">
      <c r="B983" s="891" t="s">
        <v>2182</v>
      </c>
      <c r="C983" s="893" t="s">
        <v>1513</v>
      </c>
      <c r="D983" s="895">
        <f t="shared" si="109"/>
        <v>1</v>
      </c>
      <c r="E983" s="894" t="s">
        <v>1411</v>
      </c>
    </row>
    <row r="984" spans="2:6" s="479" customFormat="1" x14ac:dyDescent="0.2">
      <c r="B984" s="891" t="s">
        <v>1961</v>
      </c>
      <c r="C984" s="893" t="s">
        <v>1755</v>
      </c>
      <c r="D984" s="894">
        <f>ROUNDUP(G971/25/0.25,0)*0.25</f>
        <v>0.25</v>
      </c>
      <c r="E984" s="894" t="s">
        <v>1754</v>
      </c>
    </row>
    <row r="985" spans="2:6" s="479" customFormat="1" x14ac:dyDescent="0.2">
      <c r="B985" s="891" t="s">
        <v>1961</v>
      </c>
      <c r="C985" s="893" t="s">
        <v>1756</v>
      </c>
      <c r="D985" s="894">
        <f>+D984</f>
        <v>0.25</v>
      </c>
      <c r="E985" s="894" t="s">
        <v>1754</v>
      </c>
    </row>
    <row r="986" spans="2:6" s="479" customFormat="1" x14ac:dyDescent="0.2">
      <c r="B986" s="891" t="s">
        <v>1937</v>
      </c>
      <c r="C986" s="893" t="s">
        <v>1757</v>
      </c>
      <c r="D986" s="894">
        <f>+D985</f>
        <v>0.25</v>
      </c>
      <c r="E986" s="894" t="s">
        <v>1754</v>
      </c>
    </row>
    <row r="987" spans="2:6" s="479" customFormat="1" x14ac:dyDescent="0.2">
      <c r="B987" s="891" t="s">
        <v>1939</v>
      </c>
      <c r="C987" s="893" t="s">
        <v>3172</v>
      </c>
      <c r="D987" s="894">
        <f>+ROUNDUP((D978/10),0)</f>
        <v>1</v>
      </c>
      <c r="E987" s="894" t="s">
        <v>1826</v>
      </c>
    </row>
    <row r="988" spans="2:6" s="479" customFormat="1" x14ac:dyDescent="0.2">
      <c r="B988" s="891" t="s">
        <v>1963</v>
      </c>
      <c r="C988" s="893" t="s">
        <v>3183</v>
      </c>
      <c r="D988" s="895">
        <f>+D983</f>
        <v>1</v>
      </c>
      <c r="E988" s="894" t="s">
        <v>3182</v>
      </c>
    </row>
    <row r="989" spans="2:6" x14ac:dyDescent="0.2">
      <c r="B989" s="892"/>
    </row>
    <row r="990" spans="2:6" s="479" customFormat="1" x14ac:dyDescent="0.2">
      <c r="B990" s="524"/>
      <c r="C990" s="894"/>
      <c r="D990" s="894" t="s">
        <v>1012</v>
      </c>
      <c r="E990" s="894" t="s">
        <v>257</v>
      </c>
      <c r="F990" s="894" t="s">
        <v>1657</v>
      </c>
    </row>
    <row r="991" spans="2:6" s="479" customFormat="1" x14ac:dyDescent="0.2">
      <c r="B991" s="524"/>
      <c r="C991" s="894" t="s">
        <v>1758</v>
      </c>
      <c r="D991" s="898">
        <f>D174*1.5</f>
        <v>2250</v>
      </c>
      <c r="E991" s="898">
        <f>D991*F971</f>
        <v>249672.4425</v>
      </c>
      <c r="F991" s="899">
        <f>ROUND(E991/'COSTOS MO CUADRILLA'!K20,0)</f>
        <v>85</v>
      </c>
    </row>
    <row r="992" spans="2:6" s="479" customFormat="1" x14ac:dyDescent="0.2">
      <c r="B992" s="524"/>
      <c r="C992" s="893"/>
      <c r="D992" s="894" t="s">
        <v>1016</v>
      </c>
      <c r="E992" s="898">
        <f>SUM(E991:E991)</f>
        <v>249672.4425</v>
      </c>
      <c r="F992" s="899">
        <f>+E992/'COSTOS MO CUADRILLA'!K20</f>
        <v>84.855993529411762</v>
      </c>
    </row>
    <row r="993" spans="2:6" x14ac:dyDescent="0.2">
      <c r="C993" s="100"/>
      <c r="D993" s="100"/>
      <c r="F993" s="100"/>
    </row>
    <row r="995" spans="2:6" ht="21" x14ac:dyDescent="0.2">
      <c r="C995" s="470">
        <v>1.4</v>
      </c>
      <c r="D995" s="475" t="s">
        <v>1895</v>
      </c>
    </row>
    <row r="997" spans="2:6" ht="21" x14ac:dyDescent="0.2">
      <c r="C997" s="471" t="s">
        <v>2054</v>
      </c>
      <c r="D997" s="471" t="s">
        <v>1928</v>
      </c>
    </row>
    <row r="999" spans="2:6" s="479" customFormat="1" ht="18.75" x14ac:dyDescent="0.25">
      <c r="B999" s="891" t="s">
        <v>3128</v>
      </c>
      <c r="C999" s="1052" t="s">
        <v>1080</v>
      </c>
      <c r="E999" s="480"/>
    </row>
    <row r="1000" spans="2:6" s="479" customFormat="1" x14ac:dyDescent="0.2">
      <c r="B1000" s="891"/>
      <c r="D1000" s="480"/>
      <c r="E1000" s="480"/>
      <c r="F1000" s="500"/>
    </row>
    <row r="1001" spans="2:6" s="479" customFormat="1" ht="16.5" x14ac:dyDescent="0.25">
      <c r="B1001" s="891"/>
      <c r="C1001" s="481" t="s">
        <v>1081</v>
      </c>
      <c r="D1001" s="880">
        <v>42.8</v>
      </c>
      <c r="E1001" s="485" t="s">
        <v>1008</v>
      </c>
      <c r="F1001" s="413"/>
    </row>
    <row r="1002" spans="2:6" s="479" customFormat="1" x14ac:dyDescent="0.2">
      <c r="B1002" s="891"/>
      <c r="E1002" s="480"/>
      <c r="F1002" s="500"/>
    </row>
    <row r="1003" spans="2:6" s="479" customFormat="1" x14ac:dyDescent="0.2">
      <c r="B1003" s="891"/>
      <c r="E1003" s="480"/>
    </row>
    <row r="1004" spans="2:6" s="479" customFormat="1" ht="18.75" x14ac:dyDescent="0.25">
      <c r="B1004" s="891"/>
      <c r="C1004" s="1052" t="s">
        <v>1082</v>
      </c>
      <c r="E1004" s="480"/>
    </row>
    <row r="1005" spans="2:6" x14ac:dyDescent="0.2">
      <c r="B1005" s="891"/>
    </row>
    <row r="1006" spans="2:6" s="479" customFormat="1" ht="16.5" x14ac:dyDescent="0.25">
      <c r="B1006" s="891" t="s">
        <v>3128</v>
      </c>
      <c r="C1006" s="481" t="s">
        <v>1081</v>
      </c>
      <c r="D1006" s="880">
        <v>14.1</v>
      </c>
      <c r="E1006" s="485" t="s">
        <v>1008</v>
      </c>
      <c r="F1006" s="413"/>
    </row>
    <row r="1007" spans="2:6" s="479" customFormat="1" ht="16.5" x14ac:dyDescent="0.25">
      <c r="B1007" s="891"/>
      <c r="E1007" s="480"/>
      <c r="F1007" s="415"/>
    </row>
    <row r="1008" spans="2:6" s="479" customFormat="1" ht="16.5" x14ac:dyDescent="0.25">
      <c r="B1008" s="891"/>
      <c r="C1008" s="894" t="s">
        <v>1546</v>
      </c>
      <c r="D1008" s="894" t="s">
        <v>13</v>
      </c>
      <c r="E1008" s="894" t="s">
        <v>3148</v>
      </c>
      <c r="F1008" s="415"/>
    </row>
    <row r="1009" spans="2:6" s="479" customFormat="1" ht="16.5" x14ac:dyDescent="0.25">
      <c r="B1009" s="891" t="s">
        <v>3128</v>
      </c>
      <c r="C1009" s="893" t="s">
        <v>3184</v>
      </c>
      <c r="D1009" s="895">
        <f>+D1001+D1006</f>
        <v>56.9</v>
      </c>
      <c r="E1009" s="894" t="s">
        <v>1076</v>
      </c>
      <c r="F1009" s="415"/>
    </row>
    <row r="1010" spans="2:6" s="479" customFormat="1" ht="16.5" x14ac:dyDescent="0.25">
      <c r="B1010" s="891" t="s">
        <v>2403</v>
      </c>
      <c r="C1010" s="893" t="s">
        <v>1751</v>
      </c>
      <c r="D1010" s="897">
        <v>1</v>
      </c>
      <c r="E1010" s="894" t="s">
        <v>1024</v>
      </c>
      <c r="F1010" s="413" t="s">
        <v>2178</v>
      </c>
    </row>
    <row r="1011" spans="2:6" s="479" customFormat="1" ht="16.5" x14ac:dyDescent="0.25">
      <c r="B1011" s="891" t="s">
        <v>2208</v>
      </c>
      <c r="C1011" s="893" t="s">
        <v>1752</v>
      </c>
      <c r="D1011" s="897">
        <f>ROUNDUP((D1001+D1006)/0.1/100,0)*100</f>
        <v>600</v>
      </c>
      <c r="E1011" s="894" t="s">
        <v>1024</v>
      </c>
      <c r="F1011" s="413" t="s">
        <v>2178</v>
      </c>
    </row>
    <row r="1012" spans="2:6" s="479" customFormat="1" ht="16.5" x14ac:dyDescent="0.25">
      <c r="B1012" s="891" t="s">
        <v>2130</v>
      </c>
      <c r="C1012" s="893" t="s">
        <v>3185</v>
      </c>
      <c r="D1012" s="897">
        <f>ROUNDUP((D1001*2+D1006)/24,0)</f>
        <v>5</v>
      </c>
      <c r="E1012" s="894" t="s">
        <v>1530</v>
      </c>
      <c r="F1012" s="413" t="s">
        <v>2178</v>
      </c>
    </row>
    <row r="1013" spans="2:6" s="479" customFormat="1" ht="16.5" x14ac:dyDescent="0.25">
      <c r="B1013" s="891"/>
      <c r="C1013" s="478"/>
      <c r="D1013" s="478"/>
      <c r="E1013" s="480"/>
      <c r="F1013" s="413"/>
    </row>
    <row r="1014" spans="2:6" s="479" customFormat="1" x14ac:dyDescent="0.2">
      <c r="B1014" s="524"/>
      <c r="C1014" s="894"/>
      <c r="D1014" s="894" t="s">
        <v>1012</v>
      </c>
      <c r="E1014" s="894" t="s">
        <v>257</v>
      </c>
      <c r="F1014" s="894" t="s">
        <v>1657</v>
      </c>
    </row>
    <row r="1015" spans="2:6" s="479" customFormat="1" x14ac:dyDescent="0.2">
      <c r="B1015" s="524"/>
      <c r="C1015" s="894" t="s">
        <v>2150</v>
      </c>
      <c r="D1015" s="898">
        <f>+D176</f>
        <v>5000</v>
      </c>
      <c r="E1015" s="898">
        <f>+D1015*($D$1001)</f>
        <v>214000</v>
      </c>
      <c r="F1015" s="899">
        <f>ROUND(E1015/'COSTOS MO CUADRILLA'!K24,0)</f>
        <v>73</v>
      </c>
    </row>
    <row r="1016" spans="2:6" s="479" customFormat="1" x14ac:dyDescent="0.2">
      <c r="B1016" s="524"/>
      <c r="C1016" s="894" t="s">
        <v>1871</v>
      </c>
      <c r="D1016" s="898">
        <f>+D208</f>
        <v>6000</v>
      </c>
      <c r="E1016" s="898">
        <f>+D1016*($D$1001)</f>
        <v>256799.99999999997</v>
      </c>
      <c r="F1016" s="899">
        <f>ROUND(E1016/'COSTOS MO CUADRILLA'!K24,0)</f>
        <v>88</v>
      </c>
    </row>
    <row r="1017" spans="2:6" s="479" customFormat="1" x14ac:dyDescent="0.2">
      <c r="B1017" s="524"/>
      <c r="C1017" s="893"/>
      <c r="D1017" s="894" t="s">
        <v>1016</v>
      </c>
      <c r="E1017" s="898">
        <f>SUM(E1015:E1016)</f>
        <v>470800</v>
      </c>
      <c r="F1017" s="899">
        <f>+E1017/'COSTOS MO CUADRILLA'!K24</f>
        <v>160.95726495726495</v>
      </c>
    </row>
    <row r="1018" spans="2:6" s="479" customFormat="1" x14ac:dyDescent="0.2">
      <c r="B1018" s="524"/>
      <c r="E1018" s="480"/>
    </row>
    <row r="1019" spans="2:6" s="479" customFormat="1" x14ac:dyDescent="0.2">
      <c r="B1019" s="524"/>
      <c r="C1019" s="894"/>
      <c r="D1019" s="894" t="s">
        <v>1012</v>
      </c>
      <c r="E1019" s="894" t="s">
        <v>257</v>
      </c>
      <c r="F1019" s="894" t="s">
        <v>1657</v>
      </c>
    </row>
    <row r="1020" spans="2:6" s="479" customFormat="1" x14ac:dyDescent="0.2">
      <c r="B1020" s="524"/>
      <c r="C1020" s="894" t="s">
        <v>2151</v>
      </c>
      <c r="D1020" s="898">
        <f>+D176</f>
        <v>5000</v>
      </c>
      <c r="E1020" s="898">
        <f>+D1020*($D$1006)</f>
        <v>70500</v>
      </c>
      <c r="F1020" s="899">
        <f>ROUND(E1020/'COSTOS MO CUADRILLA'!K24,0)</f>
        <v>24</v>
      </c>
    </row>
    <row r="1021" spans="2:6" s="479" customFormat="1" x14ac:dyDescent="0.2">
      <c r="B1021" s="524"/>
      <c r="C1021" s="894" t="s">
        <v>1871</v>
      </c>
      <c r="D1021" s="898">
        <f>+D208</f>
        <v>6000</v>
      </c>
      <c r="E1021" s="898">
        <f>+D1021*(+$D$1006)</f>
        <v>84600</v>
      </c>
      <c r="F1021" s="899">
        <f>ROUND(E1021/'COSTOS MO CUADRILLA'!K24,0)</f>
        <v>29</v>
      </c>
    </row>
    <row r="1022" spans="2:6" s="479" customFormat="1" x14ac:dyDescent="0.2">
      <c r="B1022" s="524"/>
      <c r="C1022" s="893"/>
      <c r="D1022" s="894" t="s">
        <v>1016</v>
      </c>
      <c r="E1022" s="898">
        <f>SUM(E1020:E1021)</f>
        <v>155100</v>
      </c>
      <c r="F1022" s="899">
        <f>+E1022/'COSTOS MO CUADRILLA'!K24</f>
        <v>53.025641025641029</v>
      </c>
    </row>
    <row r="1024" spans="2:6" ht="21" x14ac:dyDescent="0.2">
      <c r="C1024" s="471" t="s">
        <v>2055</v>
      </c>
      <c r="D1024" s="471" t="s">
        <v>244</v>
      </c>
    </row>
    <row r="1026" spans="2:10" x14ac:dyDescent="0.2">
      <c r="C1026" s="894" t="s">
        <v>1546</v>
      </c>
      <c r="D1026" s="894" t="s">
        <v>13</v>
      </c>
      <c r="E1026" s="894" t="s">
        <v>14</v>
      </c>
      <c r="F1026" s="414"/>
    </row>
    <row r="1027" spans="2:10" ht="16.5" x14ac:dyDescent="0.25">
      <c r="B1027" s="892" t="s">
        <v>3130</v>
      </c>
      <c r="C1027" s="893" t="s">
        <v>1812</v>
      </c>
      <c r="D1027" s="895">
        <v>1</v>
      </c>
      <c r="E1027" s="895" t="s">
        <v>1167</v>
      </c>
      <c r="F1027" s="413"/>
    </row>
    <row r="1028" spans="2:10" ht="16.5" x14ac:dyDescent="0.25">
      <c r="B1028" s="892" t="s">
        <v>3126</v>
      </c>
      <c r="C1028" s="893" t="s">
        <v>3125</v>
      </c>
      <c r="D1028" s="895">
        <v>12</v>
      </c>
      <c r="E1028" s="895" t="s">
        <v>1076</v>
      </c>
      <c r="F1028" s="413"/>
    </row>
    <row r="1029" spans="2:10" x14ac:dyDescent="0.2">
      <c r="B1029" s="892"/>
      <c r="F1029" s="414"/>
    </row>
    <row r="1030" spans="2:10" x14ac:dyDescent="0.2">
      <c r="C1030" s="893" t="s">
        <v>1077</v>
      </c>
      <c r="D1030" s="895">
        <f>D1028*1.28</f>
        <v>15.36</v>
      </c>
      <c r="E1030" s="894" t="s">
        <v>1031</v>
      </c>
    </row>
    <row r="1032" spans="2:10" x14ac:dyDescent="0.2">
      <c r="C1032" s="893"/>
      <c r="D1032" s="894" t="s">
        <v>1012</v>
      </c>
      <c r="E1032" s="894" t="s">
        <v>1013</v>
      </c>
      <c r="F1032" s="894" t="s">
        <v>1657</v>
      </c>
      <c r="H1032" s="1170"/>
      <c r="I1032" s="1170"/>
      <c r="J1032" s="1170"/>
    </row>
    <row r="1033" spans="2:10" x14ac:dyDescent="0.2">
      <c r="C1033" s="947" t="s">
        <v>1841</v>
      </c>
      <c r="D1033" s="898">
        <f>+D205</f>
        <v>15000</v>
      </c>
      <c r="E1033" s="898">
        <f>+D1033*D1028</f>
        <v>180000</v>
      </c>
      <c r="F1033" s="899">
        <f>+E1033/'COSTOS MO CUADRILLA'!K25</f>
        <v>61.53846153846154</v>
      </c>
      <c r="H1033" s="63"/>
    </row>
    <row r="1034" spans="2:10" x14ac:dyDescent="0.2">
      <c r="C1034" s="893"/>
      <c r="D1034" s="894" t="s">
        <v>1016</v>
      </c>
      <c r="E1034" s="898">
        <f>SUM(E1033:E1033)</f>
        <v>180000</v>
      </c>
      <c r="F1034" s="899">
        <f>+E1034/'COSTOS MO CUADRILLA'!K25</f>
        <v>61.53846153846154</v>
      </c>
      <c r="G1034" s="63"/>
      <c r="H1034" s="63"/>
      <c r="I1034" s="136"/>
      <c r="J1034" s="321"/>
    </row>
    <row r="1035" spans="2:10" x14ac:dyDescent="0.2">
      <c r="C1035" s="63"/>
      <c r="D1035" s="63"/>
      <c r="F1035" s="63"/>
      <c r="G1035" s="63"/>
      <c r="H1035" s="63"/>
      <c r="I1035" s="136"/>
      <c r="J1035" s="321"/>
    </row>
    <row r="1036" spans="2:10" ht="21" x14ac:dyDescent="0.2">
      <c r="C1036" s="470">
        <v>1.5</v>
      </c>
      <c r="D1036" s="475" t="s">
        <v>1898</v>
      </c>
    </row>
    <row r="1038" spans="2:10" ht="21" x14ac:dyDescent="0.2">
      <c r="C1038" s="471" t="s">
        <v>2056</v>
      </c>
      <c r="D1038" s="471" t="s">
        <v>133</v>
      </c>
    </row>
    <row r="1040" spans="2:10" s="479" customFormat="1" ht="16.5" x14ac:dyDescent="0.25">
      <c r="C1040" s="485" t="s">
        <v>1698</v>
      </c>
      <c r="D1040" s="485" t="str">
        <f>IF(D24=1,"No","Sí")</f>
        <v>Sí</v>
      </c>
      <c r="E1040" s="480"/>
      <c r="F1040" s="413"/>
    </row>
    <row r="1041" spans="3:6" s="479" customFormat="1" ht="16.5" x14ac:dyDescent="0.25">
      <c r="C1041" s="485" t="s">
        <v>1699</v>
      </c>
      <c r="D1041" s="485" t="str">
        <f>IF(D24=1,"No",IF(D25="Sí","Sí","No"))</f>
        <v>Sí</v>
      </c>
      <c r="E1041" s="480"/>
      <c r="F1041" s="413"/>
    </row>
    <row r="1042" spans="3:6" x14ac:dyDescent="0.2">
      <c r="F1042" s="414"/>
    </row>
    <row r="1043" spans="3:6" ht="18.75" x14ac:dyDescent="0.25">
      <c r="C1043" s="1052" t="s">
        <v>1700</v>
      </c>
      <c r="F1043" s="414"/>
    </row>
    <row r="1044" spans="3:6" x14ac:dyDescent="0.2">
      <c r="F1044" s="414"/>
    </row>
    <row r="1045" spans="3:6" s="479" customFormat="1" x14ac:dyDescent="0.2">
      <c r="C1045" s="1157" t="s">
        <v>1701</v>
      </c>
      <c r="D1045" s="1157"/>
      <c r="E1045" s="1157"/>
      <c r="F1045" s="505"/>
    </row>
    <row r="1046" spans="3:6" s="479" customFormat="1" ht="16.5" x14ac:dyDescent="0.25">
      <c r="C1046" s="481" t="s">
        <v>13</v>
      </c>
      <c r="D1046" s="485">
        <f>IF(D1041="Sí",22,IF(D1040="Sí",11,0))</f>
        <v>22</v>
      </c>
      <c r="E1046" s="485" t="s">
        <v>1167</v>
      </c>
      <c r="F1046" s="413"/>
    </row>
    <row r="1047" spans="3:6" s="479" customFormat="1" ht="16.5" x14ac:dyDescent="0.25">
      <c r="C1047" s="481" t="s">
        <v>1460</v>
      </c>
      <c r="D1047" s="485">
        <v>1.06</v>
      </c>
      <c r="E1047" s="485" t="s">
        <v>1076</v>
      </c>
      <c r="F1047" s="413"/>
    </row>
    <row r="1048" spans="3:6" s="479" customFormat="1" ht="16.5" x14ac:dyDescent="0.25">
      <c r="C1048" s="481" t="s">
        <v>1702</v>
      </c>
      <c r="D1048" s="485">
        <v>7.6999999999999999E-2</v>
      </c>
      <c r="E1048" s="485" t="s">
        <v>137</v>
      </c>
      <c r="F1048" s="413"/>
    </row>
    <row r="1049" spans="3:6" s="479" customFormat="1" ht="16.5" x14ac:dyDescent="0.25">
      <c r="C1049" s="481" t="s">
        <v>1703</v>
      </c>
      <c r="D1049" s="485">
        <f>+D1048*D1047</f>
        <v>8.1619999999999998E-2</v>
      </c>
      <c r="E1049" s="485" t="s">
        <v>1010</v>
      </c>
      <c r="F1049" s="413"/>
    </row>
    <row r="1050" spans="3:6" s="479" customFormat="1" ht="16.5" x14ac:dyDescent="0.25">
      <c r="C1050" s="481" t="s">
        <v>1704</v>
      </c>
      <c r="D1050" s="485">
        <f>+D1049*D1046</f>
        <v>1.7956399999999999</v>
      </c>
      <c r="E1050" s="485" t="s">
        <v>1010</v>
      </c>
      <c r="F1050" s="413"/>
    </row>
    <row r="1051" spans="3:6" s="479" customFormat="1" x14ac:dyDescent="0.2">
      <c r="E1051" s="480"/>
      <c r="F1051" s="505"/>
    </row>
    <row r="1052" spans="3:6" s="479" customFormat="1" x14ac:dyDescent="0.2">
      <c r="C1052" s="1157" t="s">
        <v>1705</v>
      </c>
      <c r="D1052" s="1157"/>
      <c r="E1052" s="1157"/>
      <c r="F1052" s="505"/>
    </row>
    <row r="1053" spans="3:6" s="479" customFormat="1" ht="16.5" x14ac:dyDescent="0.25">
      <c r="C1053" s="481" t="s">
        <v>13</v>
      </c>
      <c r="D1053" s="485">
        <f>IF(D1041="Sí",8,IF(D1040="Sí",4,0))</f>
        <v>8</v>
      </c>
      <c r="E1053" s="485" t="s">
        <v>1167</v>
      </c>
      <c r="F1053" s="413"/>
    </row>
    <row r="1054" spans="3:6" s="479" customFormat="1" ht="16.5" x14ac:dyDescent="0.25">
      <c r="C1054" s="481" t="s">
        <v>1542</v>
      </c>
      <c r="D1054" s="485">
        <v>0.1</v>
      </c>
      <c r="E1054" s="485" t="s">
        <v>1076</v>
      </c>
      <c r="F1054" s="413"/>
    </row>
    <row r="1055" spans="3:6" s="479" customFormat="1" ht="16.5" x14ac:dyDescent="0.25">
      <c r="C1055" s="481" t="s">
        <v>1676</v>
      </c>
      <c r="D1055" s="485">
        <f>0.76*0.76/2</f>
        <v>0.2888</v>
      </c>
      <c r="E1055" s="485" t="s">
        <v>137</v>
      </c>
      <c r="F1055" s="413"/>
    </row>
    <row r="1056" spans="3:6" s="479" customFormat="1" ht="16.5" x14ac:dyDescent="0.25">
      <c r="C1056" s="481" t="s">
        <v>1460</v>
      </c>
      <c r="D1056" s="485">
        <v>1.5</v>
      </c>
      <c r="E1056" s="485" t="s">
        <v>1076</v>
      </c>
      <c r="F1056" s="413"/>
    </row>
    <row r="1057" spans="2:6" s="479" customFormat="1" ht="16.5" x14ac:dyDescent="0.25">
      <c r="C1057" s="481" t="s">
        <v>1702</v>
      </c>
      <c r="D1057" s="485">
        <v>7.6999999999999999E-2</v>
      </c>
      <c r="E1057" s="485" t="s">
        <v>137</v>
      </c>
      <c r="F1057" s="413"/>
    </row>
    <row r="1058" spans="2:6" s="479" customFormat="1" ht="16.5" x14ac:dyDescent="0.25">
      <c r="C1058" s="481" t="s">
        <v>1703</v>
      </c>
      <c r="D1058" s="485">
        <f>+D1055*D1054+D1056*D1057</f>
        <v>0.14438000000000001</v>
      </c>
      <c r="E1058" s="485" t="s">
        <v>1010</v>
      </c>
      <c r="F1058" s="413"/>
    </row>
    <row r="1059" spans="2:6" s="479" customFormat="1" ht="16.5" x14ac:dyDescent="0.25">
      <c r="C1059" s="481" t="s">
        <v>1704</v>
      </c>
      <c r="D1059" s="485">
        <f>+D1058*D1053</f>
        <v>1.1550400000000001</v>
      </c>
      <c r="E1059" s="485" t="s">
        <v>1010</v>
      </c>
      <c r="F1059" s="413"/>
    </row>
    <row r="1060" spans="2:6" s="479" customFormat="1" x14ac:dyDescent="0.2">
      <c r="E1060" s="480"/>
      <c r="F1060" s="505"/>
    </row>
    <row r="1061" spans="2:6" s="479" customFormat="1" ht="16.5" x14ac:dyDescent="0.25">
      <c r="C1061" s="893" t="s">
        <v>1706</v>
      </c>
      <c r="D1061" s="895">
        <f>+D1059+D1050</f>
        <v>2.9506800000000002</v>
      </c>
      <c r="E1061" s="894" t="s">
        <v>1029</v>
      </c>
      <c r="F1061" s="413"/>
    </row>
    <row r="1063" spans="2:6" s="479" customFormat="1" x14ac:dyDescent="0.2">
      <c r="B1063" s="524"/>
      <c r="C1063" s="894" t="s">
        <v>1546</v>
      </c>
      <c r="D1063" s="894" t="s">
        <v>13</v>
      </c>
      <c r="E1063" s="894" t="s">
        <v>14</v>
      </c>
      <c r="F1063" s="505"/>
    </row>
    <row r="1064" spans="2:6" s="479" customFormat="1" x14ac:dyDescent="0.2">
      <c r="B1064" s="891" t="s">
        <v>2184</v>
      </c>
      <c r="C1064" s="893" t="s">
        <v>1017</v>
      </c>
      <c r="D1064" s="895">
        <f>ROUND(D1061*losac,0)</f>
        <v>983</v>
      </c>
      <c r="E1064" s="894" t="s">
        <v>1020</v>
      </c>
    </row>
    <row r="1065" spans="2:6" s="479" customFormat="1" x14ac:dyDescent="0.2">
      <c r="B1065" s="891" t="s">
        <v>1914</v>
      </c>
      <c r="C1065" s="893" t="s">
        <v>1018</v>
      </c>
      <c r="D1065" s="895">
        <f>ROUND(D1061*losaa,1)</f>
        <v>1.7</v>
      </c>
      <c r="E1065" s="894" t="s">
        <v>1010</v>
      </c>
    </row>
    <row r="1066" spans="2:6" s="479" customFormat="1" x14ac:dyDescent="0.2">
      <c r="B1066" s="891" t="s">
        <v>2190</v>
      </c>
      <c r="C1066" s="893" t="s">
        <v>1019</v>
      </c>
      <c r="D1066" s="895">
        <f>ROUND(D1061*losap,1)</f>
        <v>1.9</v>
      </c>
      <c r="E1066" s="894" t="s">
        <v>1010</v>
      </c>
    </row>
    <row r="1067" spans="2:6" s="479" customFormat="1" x14ac:dyDescent="0.2">
      <c r="B1067" s="891" t="s">
        <v>2086</v>
      </c>
      <c r="C1067" s="893" t="s">
        <v>3186</v>
      </c>
      <c r="D1067" s="895">
        <f>ROUND(D1061*losaad,0)</f>
        <v>2</v>
      </c>
      <c r="E1067" s="894" t="s">
        <v>1022</v>
      </c>
    </row>
    <row r="1069" spans="2:6" ht="18.75" x14ac:dyDescent="0.25">
      <c r="C1069" s="1052" t="s">
        <v>1707</v>
      </c>
    </row>
    <row r="1070" spans="2:6" s="479" customFormat="1" x14ac:dyDescent="0.2">
      <c r="B1070" s="524"/>
      <c r="E1070" s="480"/>
    </row>
    <row r="1071" spans="2:6" s="479" customFormat="1" x14ac:dyDescent="0.2">
      <c r="B1071" s="524"/>
      <c r="C1071" s="481" t="s">
        <v>1708</v>
      </c>
      <c r="D1071" s="485">
        <f>0.077*8</f>
        <v>0.61599999999999999</v>
      </c>
      <c r="E1071" s="485" t="s">
        <v>137</v>
      </c>
    </row>
    <row r="1072" spans="2:6" s="479" customFormat="1" x14ac:dyDescent="0.2">
      <c r="C1072" s="489" t="s">
        <v>1535</v>
      </c>
      <c r="D1072" s="491">
        <v>5.5</v>
      </c>
      <c r="E1072" s="491" t="s">
        <v>137</v>
      </c>
    </row>
    <row r="1073" spans="3:7" s="479" customFormat="1" x14ac:dyDescent="0.2">
      <c r="C1073" s="481" t="s">
        <v>13</v>
      </c>
      <c r="D1073" s="485">
        <f>+D1046/11</f>
        <v>2</v>
      </c>
      <c r="E1073" s="485" t="s">
        <v>1167</v>
      </c>
    </row>
    <row r="1074" spans="3:7" s="479" customFormat="1" x14ac:dyDescent="0.2">
      <c r="E1074" s="480"/>
    </row>
    <row r="1075" spans="3:7" s="479" customFormat="1" ht="16.5" x14ac:dyDescent="0.25">
      <c r="C1075" s="893" t="s">
        <v>996</v>
      </c>
      <c r="D1075" s="895">
        <f>D1071*D1072*D1073</f>
        <v>6.7759999999999998</v>
      </c>
      <c r="E1075" s="894" t="s">
        <v>78</v>
      </c>
      <c r="F1075" s="413"/>
    </row>
    <row r="1077" spans="3:7" ht="18.75" x14ac:dyDescent="0.25">
      <c r="C1077" s="1052" t="s">
        <v>1709</v>
      </c>
      <c r="D1077" s="317"/>
      <c r="E1077" s="120"/>
    </row>
    <row r="1079" spans="3:7" s="479" customFormat="1" x14ac:dyDescent="0.2">
      <c r="C1079" s="481" t="s">
        <v>13</v>
      </c>
      <c r="D1079" s="485">
        <f>+D1073</f>
        <v>2</v>
      </c>
      <c r="E1079" s="485" t="s">
        <v>1167</v>
      </c>
    </row>
    <row r="1080" spans="3:7" s="479" customFormat="1" x14ac:dyDescent="0.2">
      <c r="C1080" s="481" t="s">
        <v>1710</v>
      </c>
      <c r="D1080" s="485">
        <v>2.11</v>
      </c>
      <c r="E1080" s="498" t="s">
        <v>137</v>
      </c>
    </row>
    <row r="1081" spans="3:7" s="479" customFormat="1" x14ac:dyDescent="0.2">
      <c r="C1081" s="481" t="s">
        <v>1711</v>
      </c>
      <c r="D1081" s="485">
        <v>1.06</v>
      </c>
      <c r="E1081" s="498" t="s">
        <v>1076</v>
      </c>
    </row>
    <row r="1082" spans="3:7" s="479" customFormat="1" x14ac:dyDescent="0.2">
      <c r="C1082" s="503" t="s">
        <v>1712</v>
      </c>
      <c r="D1082" s="504">
        <f>0.344*11</f>
        <v>3.7839999999999998</v>
      </c>
      <c r="E1082" s="504" t="s">
        <v>1076</v>
      </c>
    </row>
    <row r="1083" spans="3:7" s="479" customFormat="1" x14ac:dyDescent="0.2">
      <c r="C1083" s="492"/>
      <c r="D1083" s="507"/>
      <c r="E1083" s="494"/>
    </row>
    <row r="1084" spans="3:7" s="479" customFormat="1" x14ac:dyDescent="0.2">
      <c r="C1084" s="894" t="s">
        <v>1546</v>
      </c>
      <c r="D1084" s="894" t="s">
        <v>1662</v>
      </c>
      <c r="E1084" s="894" t="s">
        <v>1663</v>
      </c>
      <c r="F1084" s="894" t="s">
        <v>257</v>
      </c>
      <c r="G1084" s="894" t="s">
        <v>1459</v>
      </c>
    </row>
    <row r="1085" spans="3:7" s="479" customFormat="1" x14ac:dyDescent="0.2">
      <c r="C1085" s="893" t="s">
        <v>1713</v>
      </c>
      <c r="D1085" s="895">
        <v>0.1</v>
      </c>
      <c r="E1085" s="894" t="s">
        <v>1484</v>
      </c>
      <c r="F1085" s="895">
        <f>ROUNDUP(D1081/D1085+1,0)*(D1082+0.6*4)*D1079/6</f>
        <v>24.736000000000001</v>
      </c>
      <c r="G1085" s="895">
        <f>IF(E1085="#2",1.494,IF(E1085="#3",3.36,IF(E1085="#4",5.964,IF(E1085="#5",9.312,IF(E1085="#2 de 4.11",18.56,IF(E1085="#2 de 4.88",26.17,IF(E1085="#2 de 5.3",30.87,0)))))))*F1085</f>
        <v>83.112960000000001</v>
      </c>
    </row>
    <row r="1086" spans="3:7" s="479" customFormat="1" x14ac:dyDescent="0.2">
      <c r="C1086" s="893" t="s">
        <v>1714</v>
      </c>
      <c r="D1086" s="895">
        <v>0.2</v>
      </c>
      <c r="E1086" s="894" t="s">
        <v>1484</v>
      </c>
      <c r="F1086" s="895">
        <f>ROUNDUP(D1082/D1086+2,0)*(D1081+0.6)*D1079/6</f>
        <v>11.62</v>
      </c>
      <c r="G1086" s="895">
        <f t="shared" ref="G1086:G1087" si="110">IF(E1086="#2",1.494,IF(E1086="#3",3.36,IF(E1086="#4",5.964,IF(E1086="#5",9.312,IF(E1086="#2 de 4.11",18.56,IF(E1086="#2 de 4.88",26.17,IF(E1086="#2 de 5.3",30.87,0)))))))*F1086</f>
        <v>39.043199999999999</v>
      </c>
    </row>
    <row r="1087" spans="3:7" s="479" customFormat="1" x14ac:dyDescent="0.2">
      <c r="C1087" s="893" t="s">
        <v>1715</v>
      </c>
      <c r="D1087" s="895">
        <v>0.1</v>
      </c>
      <c r="E1087" s="894" t="s">
        <v>1484</v>
      </c>
      <c r="F1087" s="894">
        <f>1.1/D1087*4*D1080/5.5*D1079</f>
        <v>33.76</v>
      </c>
      <c r="G1087" s="895">
        <f t="shared" si="110"/>
        <v>113.43359999999998</v>
      </c>
    </row>
    <row r="1089" spans="2:6" s="479" customFormat="1" x14ac:dyDescent="0.2">
      <c r="B1089" s="524"/>
      <c r="C1089" s="894" t="s">
        <v>1546</v>
      </c>
      <c r="D1089" s="894" t="s">
        <v>13</v>
      </c>
      <c r="E1089" s="894" t="s">
        <v>14</v>
      </c>
    </row>
    <row r="1090" spans="2:6" s="479" customFormat="1" ht="16.5" x14ac:dyDescent="0.25">
      <c r="B1090" s="891" t="s">
        <v>1918</v>
      </c>
      <c r="C1090" s="894" t="s">
        <v>3497</v>
      </c>
      <c r="D1090" s="895">
        <f>ROUNDUP(F1085+F1086+F1087,0)</f>
        <v>71</v>
      </c>
      <c r="E1090" s="894" t="s">
        <v>1280</v>
      </c>
      <c r="F1090" s="413"/>
    </row>
    <row r="1091" spans="2:6" s="479" customFormat="1" ht="16.5" x14ac:dyDescent="0.25">
      <c r="B1091" s="891" t="s">
        <v>1920</v>
      </c>
      <c r="C1091" s="894" t="s">
        <v>1583</v>
      </c>
      <c r="D1091" s="895">
        <f>ROUND(SUM(G1085:G1087)*FAN,0)</f>
        <v>11</v>
      </c>
      <c r="E1091" s="894" t="s">
        <v>1411</v>
      </c>
      <c r="F1091" s="413"/>
    </row>
    <row r="1092" spans="2:6" s="479" customFormat="1" x14ac:dyDescent="0.2">
      <c r="B1092" s="891" t="s">
        <v>1923</v>
      </c>
      <c r="C1092" s="894" t="s">
        <v>3167</v>
      </c>
      <c r="D1092" s="895">
        <f>ROUNDUP((D1090*3.36)*0.004,0)</f>
        <v>1</v>
      </c>
      <c r="E1092" s="894" t="s">
        <v>1280</v>
      </c>
    </row>
    <row r="1093" spans="2:6" s="479" customFormat="1" x14ac:dyDescent="0.2">
      <c r="B1093" s="891" t="s">
        <v>1922</v>
      </c>
      <c r="C1093" s="894" t="s">
        <v>3166</v>
      </c>
      <c r="D1093" s="895">
        <f>+D1092</f>
        <v>1</v>
      </c>
      <c r="E1093" s="894" t="s">
        <v>1280</v>
      </c>
    </row>
    <row r="1095" spans="2:6" s="479" customFormat="1" x14ac:dyDescent="0.2">
      <c r="C1095" s="894"/>
      <c r="D1095" s="894" t="s">
        <v>1012</v>
      </c>
      <c r="E1095" s="894" t="s">
        <v>257</v>
      </c>
      <c r="F1095" s="894" t="s">
        <v>1657</v>
      </c>
    </row>
    <row r="1096" spans="2:6" s="479" customFormat="1" x14ac:dyDescent="0.2">
      <c r="C1096" s="894" t="s">
        <v>1707</v>
      </c>
      <c r="D1096" s="898">
        <f>+D170</f>
        <v>16000</v>
      </c>
      <c r="E1096" s="898">
        <f>+D1096*D1075</f>
        <v>108416</v>
      </c>
      <c r="F1096" s="894">
        <f>ROUND(E1096/'COSTOS MO CUADRILLA'!K27,0)</f>
        <v>39</v>
      </c>
    </row>
    <row r="1097" spans="2:6" s="479" customFormat="1" x14ac:dyDescent="0.2">
      <c r="C1097" s="894" t="s">
        <v>1716</v>
      </c>
      <c r="D1097" s="898">
        <f>+D152*2.6</f>
        <v>1560</v>
      </c>
      <c r="E1097" s="898">
        <f>+D1097*SUM(G1085:G1087)</f>
        <v>367520.02559999999</v>
      </c>
      <c r="F1097" s="894">
        <f>ROUND(E1097/'COSTOS MO CUADRILLA'!K27,0)</f>
        <v>131</v>
      </c>
    </row>
    <row r="1098" spans="2:6" s="479" customFormat="1" x14ac:dyDescent="0.2">
      <c r="C1098" s="894" t="s">
        <v>1717</v>
      </c>
      <c r="D1098" s="898">
        <f>+D169</f>
        <v>15000</v>
      </c>
      <c r="E1098" s="898">
        <f>+D1098*D1061</f>
        <v>44260.200000000004</v>
      </c>
      <c r="F1098" s="894">
        <f>ROUND(E1098/'COSTOS MO CUADRILLA'!K27,0)</f>
        <v>16</v>
      </c>
    </row>
    <row r="1099" spans="2:6" s="479" customFormat="1" x14ac:dyDescent="0.2">
      <c r="C1099" s="894" t="s">
        <v>1718</v>
      </c>
      <c r="D1099" s="898">
        <f>+D171</f>
        <v>3200</v>
      </c>
      <c r="E1099" s="898">
        <f>+D1099*D1075</f>
        <v>21683.200000000001</v>
      </c>
      <c r="F1099" s="894">
        <f>ROUND(E1099/'COSTOS MO CUADRILLA'!K27,0)</f>
        <v>8</v>
      </c>
    </row>
    <row r="1100" spans="2:6" s="479" customFormat="1" x14ac:dyDescent="0.2">
      <c r="C1100" s="894" t="s">
        <v>1719</v>
      </c>
      <c r="D1100" s="898">
        <f>+D172</f>
        <v>6500</v>
      </c>
      <c r="E1100" s="898">
        <f>+D1100*D1075</f>
        <v>44044</v>
      </c>
      <c r="F1100" s="894">
        <f>ROUND(E1100/'COSTOS MO CUADRILLA'!K27,0)</f>
        <v>16</v>
      </c>
    </row>
    <row r="1101" spans="2:6" s="479" customFormat="1" x14ac:dyDescent="0.2">
      <c r="C1101" s="893"/>
      <c r="D1101" s="894" t="s">
        <v>1016</v>
      </c>
      <c r="E1101" s="898">
        <f>SUM(E1096:E1100)</f>
        <v>585923.42559999996</v>
      </c>
      <c r="F1101" s="899">
        <f>+E1101/'COSTOS MO CUADRILLA'!K27</f>
        <v>209.5986237918699</v>
      </c>
    </row>
    <row r="1103" spans="2:6" ht="21" x14ac:dyDescent="0.2">
      <c r="C1103" s="471" t="s">
        <v>2057</v>
      </c>
      <c r="D1103" s="471" t="s">
        <v>134</v>
      </c>
    </row>
    <row r="1105" spans="3:8" ht="18.75" x14ac:dyDescent="0.25">
      <c r="C1105" s="1052" t="s">
        <v>1720</v>
      </c>
    </row>
    <row r="1107" spans="3:8" s="479" customFormat="1" ht="16.5" x14ac:dyDescent="0.25">
      <c r="C1107" s="489" t="s">
        <v>1025</v>
      </c>
      <c r="D1107" s="491">
        <v>1</v>
      </c>
      <c r="E1107" s="491" t="s">
        <v>1167</v>
      </c>
      <c r="F1107" s="413"/>
    </row>
    <row r="1108" spans="3:8" s="479" customFormat="1" ht="16.5" x14ac:dyDescent="0.25">
      <c r="C1108" s="489" t="s">
        <v>1026</v>
      </c>
      <c r="D1108" s="491">
        <v>2.75</v>
      </c>
      <c r="E1108" s="491" t="s">
        <v>1008</v>
      </c>
      <c r="F1108" s="413"/>
    </row>
    <row r="1109" spans="3:8" s="479" customFormat="1" ht="16.5" x14ac:dyDescent="0.25">
      <c r="C1109" s="481" t="s">
        <v>1027</v>
      </c>
      <c r="D1109" s="498">
        <v>0.4</v>
      </c>
      <c r="E1109" s="485" t="s">
        <v>1008</v>
      </c>
      <c r="F1109" s="413"/>
    </row>
    <row r="1110" spans="3:8" s="479" customFormat="1" ht="16.5" x14ac:dyDescent="0.25">
      <c r="C1110" s="489" t="s">
        <v>1028</v>
      </c>
      <c r="D1110" s="491">
        <v>0.25</v>
      </c>
      <c r="E1110" s="491" t="s">
        <v>1008</v>
      </c>
      <c r="F1110" s="413"/>
    </row>
    <row r="1111" spans="3:8" x14ac:dyDescent="0.2">
      <c r="F1111" s="414"/>
    </row>
    <row r="1113" spans="3:8" s="479" customFormat="1" x14ac:dyDescent="0.2">
      <c r="C1113" s="893" t="s">
        <v>70</v>
      </c>
      <c r="D1113" s="895">
        <f>D1108*D1109*D1110*D1107</f>
        <v>0.27500000000000002</v>
      </c>
      <c r="E1113" s="894" t="s">
        <v>1029</v>
      </c>
      <c r="F1113" s="501"/>
    </row>
    <row r="1114" spans="3:8" x14ac:dyDescent="0.2">
      <c r="D1114" s="137"/>
    </row>
    <row r="1115" spans="3:8" ht="18.75" x14ac:dyDescent="0.25">
      <c r="C1115" s="1052" t="s">
        <v>1046</v>
      </c>
      <c r="D1115" s="1052" t="s">
        <v>1047</v>
      </c>
    </row>
    <row r="1117" spans="3:8" s="479" customFormat="1" x14ac:dyDescent="0.2">
      <c r="C1117" s="894" t="s">
        <v>1546</v>
      </c>
      <c r="D1117" s="894" t="s">
        <v>1662</v>
      </c>
      <c r="E1117" s="894" t="s">
        <v>1663</v>
      </c>
      <c r="F1117" s="894" t="s">
        <v>257</v>
      </c>
      <c r="G1117" s="894" t="s">
        <v>1459</v>
      </c>
    </row>
    <row r="1118" spans="3:8" s="479" customFormat="1" ht="16.5" x14ac:dyDescent="0.25">
      <c r="C1118" s="893" t="s">
        <v>1721</v>
      </c>
      <c r="D1118" s="895">
        <v>0.2</v>
      </c>
      <c r="E1118" s="894" t="s">
        <v>1484</v>
      </c>
      <c r="F1118" s="895">
        <f>(ROUNDUP(D1109/D1118,0)+1)*(D1108+D1110*2)*D1107*(1+FDG)/6</f>
        <v>1.70625</v>
      </c>
      <c r="G1118" s="895">
        <f>IF(E1118="#2",1.494,IF(E1118="#3",3.36,IF(E1118="#4",5.964,IF(E1118="#5",9.312,IF(E1118="#2 de 4.11",18.56,IF(E1118="#2 de 4.88",26.17,IF(E1118="#2 de 5.3",30.87,0)))))))*F1118</f>
        <v>5.7329999999999997</v>
      </c>
      <c r="H1118" s="413"/>
    </row>
    <row r="1119" spans="3:8" s="479" customFormat="1" ht="16.5" x14ac:dyDescent="0.25">
      <c r="C1119" s="893" t="s">
        <v>1722</v>
      </c>
      <c r="D1119" s="895">
        <v>0.2</v>
      </c>
      <c r="E1119" s="894" t="s">
        <v>1484</v>
      </c>
      <c r="F1119" s="895">
        <f>(ROUNDUP(D1108/D1119,0)+1)*(D1109+D1110*2)*D1107*(1+FDG)/6</f>
        <v>2.3625000000000003</v>
      </c>
      <c r="G1119" s="895">
        <f t="shared" ref="G1119" si="111">IF(E1119="#2",1.494,IF(E1119="#3",3.36,IF(E1119="#4",5.964,IF(E1119="#5",9.312,IF(E1119="#2 de 4.11",18.56,IF(E1119="#2 de 4.88",26.17,IF(E1119="#2 de 5.3",30.87,0)))))))*F1119</f>
        <v>7.9380000000000006</v>
      </c>
      <c r="H1119" s="413"/>
    </row>
    <row r="1120" spans="3:8" x14ac:dyDescent="0.2">
      <c r="H1120" s="414"/>
    </row>
    <row r="1121" spans="3:8" ht="18.75" x14ac:dyDescent="0.25">
      <c r="C1121" s="1052" t="s">
        <v>1048</v>
      </c>
    </row>
    <row r="1123" spans="3:8" s="479" customFormat="1" ht="16.5" x14ac:dyDescent="0.25">
      <c r="C1123" s="489" t="s">
        <v>1025</v>
      </c>
      <c r="D1123" s="491">
        <v>2</v>
      </c>
      <c r="E1123" s="491" t="s">
        <v>1167</v>
      </c>
      <c r="F1123" s="413"/>
    </row>
    <row r="1124" spans="3:8" s="479" customFormat="1" ht="16.5" x14ac:dyDescent="0.25">
      <c r="C1124" s="489" t="s">
        <v>1028</v>
      </c>
      <c r="D1124" s="491">
        <v>0.12</v>
      </c>
      <c r="E1124" s="491" t="s">
        <v>1008</v>
      </c>
      <c r="F1124" s="413"/>
    </row>
    <row r="1125" spans="3:8" s="479" customFormat="1" ht="16.5" x14ac:dyDescent="0.25">
      <c r="C1125" s="481" t="s">
        <v>1049</v>
      </c>
      <c r="D1125" s="485">
        <v>0.6</v>
      </c>
      <c r="E1125" s="485" t="s">
        <v>1008</v>
      </c>
      <c r="F1125" s="413"/>
    </row>
    <row r="1126" spans="3:8" s="479" customFormat="1" ht="16.5" x14ac:dyDescent="0.25">
      <c r="C1126" s="481" t="s">
        <v>1041</v>
      </c>
      <c r="D1126" s="491">
        <f>2.55+0.25</f>
        <v>2.8</v>
      </c>
      <c r="E1126" s="491" t="s">
        <v>1008</v>
      </c>
      <c r="F1126" s="413"/>
    </row>
    <row r="1127" spans="3:8" s="479" customFormat="1" x14ac:dyDescent="0.2">
      <c r="E1127" s="480"/>
      <c r="F1127" s="500"/>
    </row>
    <row r="1128" spans="3:8" s="479" customFormat="1" ht="16.5" x14ac:dyDescent="0.25">
      <c r="C1128" s="893" t="s">
        <v>70</v>
      </c>
      <c r="D1128" s="895">
        <f>((D1124*D1125*D1126)+(D1124*D1125*0.65))*1.05</f>
        <v>0.26082</v>
      </c>
      <c r="E1128" s="894" t="s">
        <v>1029</v>
      </c>
      <c r="F1128" s="413"/>
    </row>
    <row r="1129" spans="3:8" x14ac:dyDescent="0.2">
      <c r="D1129" s="137"/>
      <c r="F1129" s="418"/>
    </row>
    <row r="1130" spans="3:8" ht="18.75" x14ac:dyDescent="0.25">
      <c r="C1130" s="1052" t="s">
        <v>1050</v>
      </c>
      <c r="D1130" s="320"/>
    </row>
    <row r="1132" spans="3:8" s="479" customFormat="1" x14ac:dyDescent="0.2">
      <c r="C1132" s="894" t="s">
        <v>1546</v>
      </c>
      <c r="D1132" s="894" t="s">
        <v>1662</v>
      </c>
      <c r="E1132" s="894" t="s">
        <v>1663</v>
      </c>
      <c r="F1132" s="894" t="s">
        <v>257</v>
      </c>
      <c r="G1132" s="894" t="s">
        <v>1459</v>
      </c>
    </row>
    <row r="1133" spans="3:8" s="479" customFormat="1" ht="16.5" x14ac:dyDescent="0.25">
      <c r="C1133" s="893" t="s">
        <v>1723</v>
      </c>
      <c r="D1133" s="895">
        <v>8</v>
      </c>
      <c r="E1133" s="894" t="s">
        <v>1484</v>
      </c>
      <c r="F1133" s="895">
        <f>+D1133*(D1126+0.5)/6*D1123</f>
        <v>8.7999999999999989</v>
      </c>
      <c r="G1133" s="895">
        <f>IF(E1133="#2",1.494,IF(E1133="#3",3.36,IF(E1133="#4",5.964,IF(E1133="#5",9.312,IF(E1133="#2 de 4.11",18.56,IF(E1133="#2 de 4.88",26.17,IF(E1133="#2 de 5.3",30.87,0)))))))*F1133</f>
        <v>29.567999999999994</v>
      </c>
      <c r="H1133" s="413"/>
    </row>
    <row r="1134" spans="3:8" s="479" customFormat="1" ht="16.5" x14ac:dyDescent="0.25">
      <c r="C1134" s="893" t="s">
        <v>1724</v>
      </c>
      <c r="D1134" s="948">
        <v>0.125</v>
      </c>
      <c r="E1134" s="894" t="s">
        <v>1664</v>
      </c>
      <c r="F1134" s="895">
        <f>D1126/D1134*(D1125+D1124)*2*(1+FDG)/6*D1123</f>
        <v>11.2896</v>
      </c>
      <c r="G1134" s="895">
        <f t="shared" ref="G1134" si="112">IF(E1134="#2",1.494,IF(E1134="#3",3.36,IF(E1134="#4",5.964,IF(E1134="#5",9.312,IF(E1134="#2 de 4.11",18.56,IF(E1134="#2 de 4.88",26.17,IF(E1134="#2 de 5.3",30.87,0)))))))*F1134</f>
        <v>16.866662399999999</v>
      </c>
      <c r="H1134" s="413"/>
    </row>
    <row r="1136" spans="3:8" ht="18.75" x14ac:dyDescent="0.25">
      <c r="C1136" s="1052" t="s">
        <v>1725</v>
      </c>
    </row>
    <row r="1138" spans="3:7" s="479" customFormat="1" ht="16.5" x14ac:dyDescent="0.25">
      <c r="C1138" s="481" t="s">
        <v>1726</v>
      </c>
      <c r="D1138" s="485">
        <f>(D1124+D1125)*2</f>
        <v>1.44</v>
      </c>
      <c r="E1138" s="485" t="s">
        <v>1008</v>
      </c>
      <c r="F1138" s="413"/>
    </row>
    <row r="1139" spans="3:7" s="479" customFormat="1" ht="16.5" x14ac:dyDescent="0.25">
      <c r="C1139" s="489" t="s">
        <v>1042</v>
      </c>
      <c r="D1139" s="491">
        <f>+D1126</f>
        <v>2.8</v>
      </c>
      <c r="E1139" s="491" t="s">
        <v>1008</v>
      </c>
      <c r="F1139" s="413"/>
    </row>
    <row r="1140" spans="3:7" s="479" customFormat="1" ht="16.5" x14ac:dyDescent="0.25">
      <c r="C1140" s="949" t="s">
        <v>906</v>
      </c>
      <c r="D1140" s="896">
        <f>+D1139*D1138</f>
        <v>4.032</v>
      </c>
      <c r="E1140" s="896" t="s">
        <v>137</v>
      </c>
      <c r="F1140" s="413"/>
    </row>
    <row r="1141" spans="3:7" x14ac:dyDescent="0.2">
      <c r="F1141" s="414"/>
    </row>
    <row r="1142" spans="3:7" ht="18.75" x14ac:dyDescent="0.25">
      <c r="C1142" s="1052" t="s">
        <v>1051</v>
      </c>
      <c r="F1142" s="414"/>
    </row>
    <row r="1143" spans="3:7" x14ac:dyDescent="0.2">
      <c r="F1143" s="414"/>
    </row>
    <row r="1144" spans="3:7" s="479" customFormat="1" ht="16.5" x14ac:dyDescent="0.25">
      <c r="C1144" s="489" t="s">
        <v>1028</v>
      </c>
      <c r="D1144" s="491">
        <v>0.2</v>
      </c>
      <c r="E1144" s="491" t="s">
        <v>1008</v>
      </c>
      <c r="F1144" s="413"/>
    </row>
    <row r="1145" spans="3:7" s="479" customFormat="1" ht="16.5" x14ac:dyDescent="0.25">
      <c r="C1145" s="481" t="s">
        <v>1049</v>
      </c>
      <c r="D1145" s="485">
        <v>0.33</v>
      </c>
      <c r="E1145" s="485" t="s">
        <v>1008</v>
      </c>
      <c r="F1145" s="413"/>
    </row>
    <row r="1146" spans="3:7" s="479" customFormat="1" ht="16.5" x14ac:dyDescent="0.25">
      <c r="C1146" s="481" t="s">
        <v>1041</v>
      </c>
      <c r="D1146" s="491">
        <v>2.88</v>
      </c>
      <c r="E1146" s="491" t="s">
        <v>1008</v>
      </c>
      <c r="F1146" s="413"/>
    </row>
    <row r="1148" spans="3:7" s="479" customFormat="1" ht="16.5" x14ac:dyDescent="0.25">
      <c r="C1148" s="893" t="s">
        <v>70</v>
      </c>
      <c r="D1148" s="895">
        <f>D1144*D1145*D1146</f>
        <v>0.19008</v>
      </c>
      <c r="E1148" s="894" t="s">
        <v>1029</v>
      </c>
      <c r="F1148" s="413"/>
    </row>
    <row r="1149" spans="3:7" x14ac:dyDescent="0.2">
      <c r="D1149" s="137"/>
      <c r="F1149" s="414"/>
    </row>
    <row r="1150" spans="3:7" ht="18.75" x14ac:dyDescent="0.25">
      <c r="C1150" s="1052" t="s">
        <v>1052</v>
      </c>
      <c r="D1150" s="320"/>
    </row>
    <row r="1152" spans="3:7" s="479" customFormat="1" x14ac:dyDescent="0.2">
      <c r="C1152" s="894" t="s">
        <v>1546</v>
      </c>
      <c r="D1152" s="894" t="s">
        <v>1662</v>
      </c>
      <c r="E1152" s="894" t="s">
        <v>1663</v>
      </c>
      <c r="F1152" s="894" t="s">
        <v>257</v>
      </c>
      <c r="G1152" s="894" t="s">
        <v>1459</v>
      </c>
    </row>
    <row r="1153" spans="2:8" s="479" customFormat="1" ht="16.5" x14ac:dyDescent="0.25">
      <c r="C1153" s="893" t="s">
        <v>1723</v>
      </c>
      <c r="D1153" s="895">
        <v>4</v>
      </c>
      <c r="E1153" s="894" t="s">
        <v>1484</v>
      </c>
      <c r="F1153" s="895">
        <f>+D1153*(D1146+0.5)/6</f>
        <v>2.2533333333333334</v>
      </c>
      <c r="G1153" s="895">
        <f>IF(E1153="#2",1.494,IF(E1153="#3",3.36,IF(E1153="#4",5.964,IF(E1153="#5",9.312,IF(E1153="#2 de 4.11",18.56,IF(E1153="#2 de 4.88",26.17,IF(E1153="#2 de 5.3",30.87,0)))))))*F1153</f>
        <v>7.5712000000000002</v>
      </c>
      <c r="H1153" s="413"/>
    </row>
    <row r="1154" spans="2:8" s="479" customFormat="1" ht="16.5" x14ac:dyDescent="0.25">
      <c r="C1154" s="893" t="s">
        <v>1724</v>
      </c>
      <c r="D1154" s="895">
        <v>0.15</v>
      </c>
      <c r="E1154" s="894" t="s">
        <v>1664</v>
      </c>
      <c r="F1154" s="895">
        <f>D1146/D1154*(D1145+D1144)*2*(1+FDG)/6</f>
        <v>3.5616000000000003</v>
      </c>
      <c r="G1154" s="895">
        <f t="shared" ref="G1154" si="113">IF(E1154="#2",1.494,IF(E1154="#3",3.36,IF(E1154="#4",5.964,IF(E1154="#5",9.312,IF(E1154="#2 de 4.11",18.56,IF(E1154="#2 de 4.88",26.17,IF(E1154="#2 de 5.3",30.87,0)))))))*F1154</f>
        <v>5.3210304000000006</v>
      </c>
      <c r="H1154" s="413"/>
    </row>
    <row r="1155" spans="2:8" x14ac:dyDescent="0.2">
      <c r="H1155" s="414"/>
    </row>
    <row r="1156" spans="2:8" ht="18.75" x14ac:dyDescent="0.25">
      <c r="C1156" s="1052" t="s">
        <v>1725</v>
      </c>
    </row>
    <row r="1158" spans="2:8" s="479" customFormat="1" x14ac:dyDescent="0.2">
      <c r="C1158" s="481" t="s">
        <v>1726</v>
      </c>
      <c r="D1158" s="485">
        <f>(D1144+D1145)*2</f>
        <v>1.06</v>
      </c>
      <c r="E1158" s="485" t="s">
        <v>1008</v>
      </c>
    </row>
    <row r="1159" spans="2:8" s="479" customFormat="1" x14ac:dyDescent="0.2">
      <c r="C1159" s="489" t="s">
        <v>1042</v>
      </c>
      <c r="D1159" s="491">
        <f>+D1146</f>
        <v>2.88</v>
      </c>
      <c r="E1159" s="491" t="s">
        <v>1008</v>
      </c>
    </row>
    <row r="1160" spans="2:8" s="479" customFormat="1" ht="16.5" x14ac:dyDescent="0.25">
      <c r="C1160" s="949" t="s">
        <v>906</v>
      </c>
      <c r="D1160" s="896">
        <f>+D1159*D1158</f>
        <v>3.0528</v>
      </c>
      <c r="E1160" s="896" t="s">
        <v>137</v>
      </c>
      <c r="F1160" s="413"/>
    </row>
    <row r="1163" spans="2:8" s="479" customFormat="1" ht="16.5" x14ac:dyDescent="0.25">
      <c r="B1163" s="524"/>
      <c r="C1163" s="894" t="s">
        <v>1546</v>
      </c>
      <c r="D1163" s="894" t="s">
        <v>13</v>
      </c>
      <c r="E1163" s="894" t="s">
        <v>14</v>
      </c>
      <c r="F1163" s="415"/>
    </row>
    <row r="1164" spans="2:8" s="479" customFormat="1" ht="16.5" x14ac:dyDescent="0.25">
      <c r="B1164" s="891" t="s">
        <v>2184</v>
      </c>
      <c r="C1164" s="893" t="s">
        <v>1017</v>
      </c>
      <c r="D1164" s="895">
        <f>ROUND(D1174*muroc,0)</f>
        <v>247</v>
      </c>
      <c r="E1164" s="894" t="s">
        <v>1020</v>
      </c>
      <c r="F1164" s="413"/>
    </row>
    <row r="1165" spans="2:8" s="479" customFormat="1" ht="16.5" x14ac:dyDescent="0.25">
      <c r="B1165" s="891" t="s">
        <v>1914</v>
      </c>
      <c r="C1165" s="893" t="s">
        <v>1018</v>
      </c>
      <c r="D1165" s="895">
        <f>ROUND(D1174*muroa,1)</f>
        <v>0.5</v>
      </c>
      <c r="E1165" s="894" t="s">
        <v>1010</v>
      </c>
      <c r="F1165" s="413"/>
    </row>
    <row r="1166" spans="2:8" s="479" customFormat="1" ht="16.5" x14ac:dyDescent="0.25">
      <c r="B1166" s="891" t="s">
        <v>2190</v>
      </c>
      <c r="C1166" s="893" t="s">
        <v>1019</v>
      </c>
      <c r="D1166" s="895">
        <f>ROUND(D1174*murop,1)</f>
        <v>0.4</v>
      </c>
      <c r="E1166" s="894" t="s">
        <v>1010</v>
      </c>
      <c r="F1166" s="413"/>
    </row>
    <row r="1167" spans="2:8" s="479" customFormat="1" ht="16.5" x14ac:dyDescent="0.25">
      <c r="B1167" s="891" t="s">
        <v>2086</v>
      </c>
      <c r="C1167" s="893" t="s">
        <v>3187</v>
      </c>
      <c r="D1167" s="895">
        <f>ROUND(D1174*muroad,0)</f>
        <v>2</v>
      </c>
      <c r="E1167" s="894" t="s">
        <v>1022</v>
      </c>
      <c r="F1167" s="413"/>
    </row>
    <row r="1168" spans="2:8" s="479" customFormat="1" ht="16.5" x14ac:dyDescent="0.25">
      <c r="B1168" s="891" t="s">
        <v>1924</v>
      </c>
      <c r="C1168" s="893" t="s">
        <v>3188</v>
      </c>
      <c r="D1168" s="895">
        <f>ROUND(D1174*murof,0)</f>
        <v>1</v>
      </c>
      <c r="E1168" s="894" t="s">
        <v>1022</v>
      </c>
      <c r="F1168" s="413"/>
    </row>
    <row r="1169" spans="2:6" s="479" customFormat="1" x14ac:dyDescent="0.2">
      <c r="B1169" s="891"/>
      <c r="E1169" s="480"/>
    </row>
    <row r="1170" spans="2:6" s="479" customFormat="1" x14ac:dyDescent="0.2">
      <c r="B1170" s="891"/>
      <c r="C1170" s="894" t="s">
        <v>1546</v>
      </c>
      <c r="D1170" s="894" t="s">
        <v>13</v>
      </c>
      <c r="E1170" s="894" t="s">
        <v>14</v>
      </c>
    </row>
    <row r="1171" spans="2:6" s="479" customFormat="1" ht="16.5" x14ac:dyDescent="0.25">
      <c r="B1171" s="891" t="s">
        <v>2188</v>
      </c>
      <c r="C1171" s="907" t="s">
        <v>1669</v>
      </c>
      <c r="D1171" s="895">
        <f>ROUNDUP(F1134+F1154,0)</f>
        <v>15</v>
      </c>
      <c r="E1171" s="894" t="s">
        <v>1280</v>
      </c>
      <c r="F1171" s="413"/>
    </row>
    <row r="1172" spans="2:6" s="479" customFormat="1" ht="16.5" x14ac:dyDescent="0.25">
      <c r="B1172" s="891" t="s">
        <v>1918</v>
      </c>
      <c r="C1172" s="907" t="s">
        <v>3497</v>
      </c>
      <c r="D1172" s="895">
        <f>ROUNDUP(F1118+F1119+F1133+F1153,0)</f>
        <v>16</v>
      </c>
      <c r="E1172" s="894" t="s">
        <v>1280</v>
      </c>
      <c r="F1172" s="413"/>
    </row>
    <row r="1173" spans="2:6" s="479" customFormat="1" ht="16.5" x14ac:dyDescent="0.25">
      <c r="B1173" s="891" t="s">
        <v>1920</v>
      </c>
      <c r="C1173" s="907" t="s">
        <v>1583</v>
      </c>
      <c r="D1173" s="895">
        <f>ROUND((G1118+G1119+G1133+G1134+G1153+G1154)*FAN,0)</f>
        <v>3</v>
      </c>
      <c r="E1173" s="894" t="s">
        <v>1411</v>
      </c>
      <c r="F1173" s="413"/>
    </row>
    <row r="1174" spans="2:6" s="479" customFormat="1" ht="16.5" x14ac:dyDescent="0.25">
      <c r="B1174" s="891"/>
      <c r="C1174" s="907" t="s">
        <v>1727</v>
      </c>
      <c r="D1174" s="895">
        <f>+D1148+D1128+D1113</f>
        <v>0.72589999999999999</v>
      </c>
      <c r="E1174" s="894" t="s">
        <v>1280</v>
      </c>
      <c r="F1174" s="413"/>
    </row>
    <row r="1175" spans="2:6" s="479" customFormat="1" ht="16.5" x14ac:dyDescent="0.25">
      <c r="B1175" s="524"/>
      <c r="C1175" s="907" t="s">
        <v>1728</v>
      </c>
      <c r="D1175" s="895">
        <f>+D1160+D1140</f>
        <v>7.0847999999999995</v>
      </c>
      <c r="E1175" s="894" t="s">
        <v>1280</v>
      </c>
      <c r="F1175" s="413"/>
    </row>
    <row r="1177" spans="2:6" s="479" customFormat="1" x14ac:dyDescent="0.2">
      <c r="C1177" s="894"/>
      <c r="D1177" s="894" t="s">
        <v>1012</v>
      </c>
      <c r="E1177" s="894" t="s">
        <v>257</v>
      </c>
      <c r="F1177" s="894" t="s">
        <v>1657</v>
      </c>
    </row>
    <row r="1178" spans="2:6" s="479" customFormat="1" x14ac:dyDescent="0.2">
      <c r="C1178" s="894" t="s">
        <v>1729</v>
      </c>
      <c r="D1178" s="898">
        <f>+D152*2</f>
        <v>1200</v>
      </c>
      <c r="E1178" s="898">
        <f>+D1178*(G1118+G1119+G1133+G1134+G1153+G1154)</f>
        <v>87597.471359999981</v>
      </c>
      <c r="F1178" s="894">
        <f>ROUNDUP(E1178/'COSTOS MO CUADRILLA'!K28,0)</f>
        <v>32</v>
      </c>
    </row>
    <row r="1179" spans="2:6" s="479" customFormat="1" x14ac:dyDescent="0.2">
      <c r="C1179" s="894" t="s">
        <v>996</v>
      </c>
      <c r="D1179" s="898">
        <f>+D164*5</f>
        <v>6600</v>
      </c>
      <c r="E1179" s="898">
        <f>+D1179*D1175</f>
        <v>46759.68</v>
      </c>
      <c r="F1179" s="894">
        <f>ROUNDUP(E1179/'COSTOS MO CUADRILLA'!K28,0)</f>
        <v>17</v>
      </c>
    </row>
    <row r="1180" spans="2:6" s="479" customFormat="1" x14ac:dyDescent="0.2">
      <c r="C1180" s="894" t="s">
        <v>1730</v>
      </c>
      <c r="D1180" s="898">
        <f>+D165</f>
        <v>11000</v>
      </c>
      <c r="E1180" s="898">
        <f>+D1180*D1174</f>
        <v>7984.9</v>
      </c>
      <c r="F1180" s="894">
        <f>ROUNDUP(E1180/'COSTOS MO CUADRILLA'!K28,0)</f>
        <v>3</v>
      </c>
    </row>
    <row r="1181" spans="2:6" s="479" customFormat="1" x14ac:dyDescent="0.2">
      <c r="C1181" s="894" t="s">
        <v>1731</v>
      </c>
      <c r="D1181" s="898">
        <f>+D167*5</f>
        <v>2750</v>
      </c>
      <c r="E1181" s="898">
        <f>+D1181*D1175</f>
        <v>19483.199999999997</v>
      </c>
      <c r="F1181" s="894">
        <f>ROUNDUP(E1181/'COSTOS MO CUADRILLA'!K28,0)</f>
        <v>7</v>
      </c>
    </row>
    <row r="1182" spans="2:6" s="479" customFormat="1" x14ac:dyDescent="0.2">
      <c r="C1182" s="893"/>
      <c r="D1182" s="894" t="s">
        <v>1016</v>
      </c>
      <c r="E1182" s="898">
        <f>SUM(E1178:E1181)</f>
        <v>161825.25135999999</v>
      </c>
      <c r="F1182" s="894">
        <f>ROUNDUP(E1182/'COSTOS MO CUADRILLA'!K28,0)</f>
        <v>58</v>
      </c>
    </row>
    <row r="1185" spans="1:6" ht="21" x14ac:dyDescent="0.2">
      <c r="C1185" s="471" t="s">
        <v>2058</v>
      </c>
      <c r="D1185" s="471" t="s">
        <v>136</v>
      </c>
    </row>
    <row r="1188" spans="1:6" s="479" customFormat="1" ht="16.5" x14ac:dyDescent="0.25">
      <c r="C1188" s="481" t="s">
        <v>1053</v>
      </c>
      <c r="D1188" s="498">
        <f>+D13</f>
        <v>9.5</v>
      </c>
      <c r="E1188" s="485" t="s">
        <v>78</v>
      </c>
      <c r="F1188" s="413"/>
    </row>
    <row r="1189" spans="1:6" s="479" customFormat="1" ht="16.5" x14ac:dyDescent="0.25">
      <c r="C1189" s="489" t="s">
        <v>1054</v>
      </c>
      <c r="D1189" s="498">
        <f>+D14</f>
        <v>29.8</v>
      </c>
      <c r="E1189" s="491" t="s">
        <v>78</v>
      </c>
      <c r="F1189" s="413"/>
    </row>
    <row r="1190" spans="1:6" s="479" customFormat="1" ht="16.5" x14ac:dyDescent="0.25">
      <c r="C1190" s="481" t="s">
        <v>1055</v>
      </c>
      <c r="D1190" s="490">
        <f>SUM(D1188:D1189)</f>
        <v>39.299999999999997</v>
      </c>
      <c r="E1190" s="491" t="s">
        <v>1056</v>
      </c>
      <c r="F1190" s="413"/>
    </row>
    <row r="1192" spans="1:6" ht="18.75" x14ac:dyDescent="0.25">
      <c r="A1192" s="765">
        <f>+FCL</f>
        <v>0.3</v>
      </c>
      <c r="C1192" s="1052" t="s">
        <v>1006</v>
      </c>
    </row>
    <row r="1194" spans="1:6" s="479" customFormat="1" ht="16.5" x14ac:dyDescent="0.25">
      <c r="B1194" s="524"/>
      <c r="C1194" s="481" t="s">
        <v>1007</v>
      </c>
      <c r="D1194" s="485">
        <v>0.3</v>
      </c>
      <c r="E1194" s="485" t="s">
        <v>1008</v>
      </c>
      <c r="F1194" s="413"/>
    </row>
    <row r="1195" spans="1:6" s="479" customFormat="1" ht="16.5" x14ac:dyDescent="0.25">
      <c r="B1195" s="524"/>
      <c r="C1195" s="526" t="s">
        <v>1504</v>
      </c>
      <c r="D1195" s="490">
        <f>D1190</f>
        <v>39.299999999999997</v>
      </c>
      <c r="E1195" s="491" t="s">
        <v>78</v>
      </c>
      <c r="F1195" s="413"/>
    </row>
    <row r="1196" spans="1:6" x14ac:dyDescent="0.2">
      <c r="F1196" s="414"/>
    </row>
    <row r="1197" spans="1:6" ht="16.5" x14ac:dyDescent="0.25">
      <c r="B1197" s="892" t="s">
        <v>1910</v>
      </c>
      <c r="C1197" s="893" t="s">
        <v>1481</v>
      </c>
      <c r="D1197" s="895">
        <f>D1194*D1195*(1+FCL)</f>
        <v>15.327</v>
      </c>
      <c r="E1197" s="894" t="s">
        <v>1010</v>
      </c>
      <c r="F1197" s="413"/>
    </row>
    <row r="1199" spans="1:6" ht="18.75" x14ac:dyDescent="0.25">
      <c r="C1199" s="1052" t="s">
        <v>1057</v>
      </c>
    </row>
    <row r="1201" spans="2:7" s="479" customFormat="1" x14ac:dyDescent="0.2">
      <c r="B1201" s="524"/>
      <c r="C1201" s="489" t="s">
        <v>1028</v>
      </c>
      <c r="D1201" s="491">
        <v>0.1</v>
      </c>
      <c r="E1201" s="491" t="s">
        <v>1008</v>
      </c>
    </row>
    <row r="1202" spans="2:7" s="479" customFormat="1" x14ac:dyDescent="0.2">
      <c r="B1202" s="524"/>
      <c r="E1202" s="480"/>
    </row>
    <row r="1203" spans="2:7" s="479" customFormat="1" ht="16.5" x14ac:dyDescent="0.25">
      <c r="B1203" s="524"/>
      <c r="C1203" s="893" t="s">
        <v>70</v>
      </c>
      <c r="D1203" s="895">
        <f>(D1190*D1201)*1.05</f>
        <v>4.1265000000000001</v>
      </c>
      <c r="E1203" s="894" t="s">
        <v>1029</v>
      </c>
      <c r="F1203" s="413"/>
    </row>
    <row r="1205" spans="2:7" s="479" customFormat="1" x14ac:dyDescent="0.2">
      <c r="B1205" s="524"/>
      <c r="C1205" s="894" t="s">
        <v>1546</v>
      </c>
      <c r="D1205" s="894" t="s">
        <v>13</v>
      </c>
      <c r="E1205" s="894" t="s">
        <v>14</v>
      </c>
      <c r="F1205" s="505"/>
    </row>
    <row r="1206" spans="2:7" s="479" customFormat="1" ht="16.5" x14ac:dyDescent="0.25">
      <c r="B1206" s="891" t="s">
        <v>2184</v>
      </c>
      <c r="C1206" s="893" t="s">
        <v>1017</v>
      </c>
      <c r="D1206" s="895">
        <f>D1203*losac</f>
        <v>1374.1245000000001</v>
      </c>
      <c r="E1206" s="894" t="s">
        <v>1020</v>
      </c>
      <c r="F1206" s="413"/>
    </row>
    <row r="1207" spans="2:7" s="479" customFormat="1" ht="16.5" x14ac:dyDescent="0.25">
      <c r="B1207" s="891" t="s">
        <v>1914</v>
      </c>
      <c r="C1207" s="893" t="s">
        <v>1018</v>
      </c>
      <c r="D1207" s="895">
        <f>D1203*losaa</f>
        <v>2.39337</v>
      </c>
      <c r="E1207" s="894" t="s">
        <v>1010</v>
      </c>
      <c r="F1207" s="413"/>
    </row>
    <row r="1208" spans="2:7" s="479" customFormat="1" ht="16.5" x14ac:dyDescent="0.25">
      <c r="B1208" s="891" t="s">
        <v>1917</v>
      </c>
      <c r="C1208" s="893" t="s">
        <v>1019</v>
      </c>
      <c r="D1208" s="895">
        <f>D1203*losap</f>
        <v>2.5996950000000001</v>
      </c>
      <c r="E1208" s="894" t="s">
        <v>1010</v>
      </c>
      <c r="F1208" s="413"/>
    </row>
    <row r="1209" spans="2:7" s="479" customFormat="1" x14ac:dyDescent="0.2">
      <c r="B1209" s="524"/>
      <c r="E1209" s="480"/>
    </row>
    <row r="1211" spans="2:7" ht="18.75" x14ac:dyDescent="0.25">
      <c r="C1211" s="1052" t="s">
        <v>1030</v>
      </c>
    </row>
    <row r="1213" spans="2:7" s="479" customFormat="1" ht="15.75" x14ac:dyDescent="0.2">
      <c r="B1213" s="524"/>
      <c r="C1213" s="489" t="s">
        <v>1732</v>
      </c>
      <c r="D1213" s="491">
        <f>+D1190</f>
        <v>39.299999999999997</v>
      </c>
      <c r="E1213" s="491" t="s">
        <v>78</v>
      </c>
    </row>
    <row r="1214" spans="2:7" s="479" customFormat="1" x14ac:dyDescent="0.2">
      <c r="B1214" s="524"/>
      <c r="E1214" s="480"/>
    </row>
    <row r="1215" spans="2:7" s="479" customFormat="1" x14ac:dyDescent="0.2">
      <c r="B1215" s="524"/>
      <c r="C1215" s="894" t="s">
        <v>1546</v>
      </c>
      <c r="D1215" s="894" t="s">
        <v>1662</v>
      </c>
      <c r="E1215" s="894" t="s">
        <v>1663</v>
      </c>
      <c r="F1215" s="894" t="s">
        <v>257</v>
      </c>
      <c r="G1215" s="894" t="s">
        <v>1459</v>
      </c>
    </row>
    <row r="1216" spans="2:7" s="479" customFormat="1" x14ac:dyDescent="0.2">
      <c r="B1216" s="524"/>
      <c r="C1216" s="893" t="s">
        <v>1665</v>
      </c>
      <c r="D1216" s="895">
        <f>D1213/(1.9*5.7)</f>
        <v>3.6288088642659275</v>
      </c>
      <c r="E1216" s="894" t="s">
        <v>1666</v>
      </c>
      <c r="F1216" s="894">
        <f>ROUNDUP(D1216/0.5,0)*1</f>
        <v>8</v>
      </c>
      <c r="G1216" s="895">
        <f>IF(E1216="#2",1.494,IF(E1216="#3",3.36,IF(E1216="#4",5.964,IF(E1216="#5",9.312,IF(E1216="#2 de 4.11",18.56,IF(E1216="#2 de 4.88",26.17,IF(E1216="#2 de 5.3",30.87,0)))))))*F1216</f>
        <v>246.96</v>
      </c>
    </row>
    <row r="1217" spans="2:8" s="479" customFormat="1" x14ac:dyDescent="0.2">
      <c r="B1217" s="524"/>
      <c r="E1217" s="480"/>
    </row>
    <row r="1218" spans="2:8" s="479" customFormat="1" x14ac:dyDescent="0.2">
      <c r="B1218" s="524"/>
      <c r="C1218" s="894" t="s">
        <v>1546</v>
      </c>
      <c r="D1218" s="894" t="s">
        <v>13</v>
      </c>
      <c r="E1218" s="894" t="s">
        <v>14</v>
      </c>
    </row>
    <row r="1219" spans="2:8" s="479" customFormat="1" ht="16.5" x14ac:dyDescent="0.25">
      <c r="B1219" s="891" t="s">
        <v>2187</v>
      </c>
      <c r="C1219" s="907" t="s">
        <v>1670</v>
      </c>
      <c r="D1219" s="895">
        <f>+F1216</f>
        <v>8</v>
      </c>
      <c r="E1219" s="894" t="s">
        <v>1280</v>
      </c>
      <c r="F1219" s="413"/>
    </row>
    <row r="1220" spans="2:8" s="479" customFormat="1" ht="16.5" x14ac:dyDescent="0.25">
      <c r="B1220" s="891" t="s">
        <v>1920</v>
      </c>
      <c r="C1220" s="907" t="s">
        <v>1583</v>
      </c>
      <c r="D1220" s="895">
        <f>ROUND(SUM(G1216)*FAN,0)</f>
        <v>11</v>
      </c>
      <c r="E1220" s="894" t="s">
        <v>1411</v>
      </c>
      <c r="F1220" s="413"/>
    </row>
    <row r="1221" spans="2:8" s="479" customFormat="1" x14ac:dyDescent="0.2">
      <c r="B1221" s="891" t="s">
        <v>2210</v>
      </c>
      <c r="C1221" s="907" t="s">
        <v>3189</v>
      </c>
      <c r="D1221" s="895">
        <f>D1213*0.15*1.1/75</f>
        <v>8.6459999999999995E-2</v>
      </c>
      <c r="E1221" s="894" t="s">
        <v>1760</v>
      </c>
    </row>
    <row r="1222" spans="2:8" s="479" customFormat="1" x14ac:dyDescent="0.2">
      <c r="B1222" s="891" t="s">
        <v>1975</v>
      </c>
      <c r="C1222" s="907" t="s">
        <v>3190</v>
      </c>
      <c r="D1222" s="895">
        <v>10</v>
      </c>
      <c r="E1222" s="894" t="s">
        <v>1775</v>
      </c>
    </row>
    <row r="1223" spans="2:8" s="479" customFormat="1" x14ac:dyDescent="0.2">
      <c r="B1223" s="891" t="s">
        <v>2211</v>
      </c>
      <c r="C1223" s="907" t="s">
        <v>3191</v>
      </c>
      <c r="D1223" s="895">
        <v>1</v>
      </c>
      <c r="E1223" s="894" t="s">
        <v>3192</v>
      </c>
    </row>
    <row r="1224" spans="2:8" s="479" customFormat="1" x14ac:dyDescent="0.2">
      <c r="B1224" s="524"/>
      <c r="C1224" s="480"/>
      <c r="D1224" s="523"/>
      <c r="E1224" s="480"/>
    </row>
    <row r="1225" spans="2:8" s="479" customFormat="1" x14ac:dyDescent="0.2">
      <c r="B1225" s="524"/>
      <c r="C1225" s="894"/>
      <c r="D1225" s="894" t="s">
        <v>1012</v>
      </c>
      <c r="E1225" s="894" t="s">
        <v>257</v>
      </c>
      <c r="F1225" s="894" t="s">
        <v>1657</v>
      </c>
    </row>
    <row r="1226" spans="2:8" s="479" customFormat="1" x14ac:dyDescent="0.2">
      <c r="B1226" s="524"/>
      <c r="C1226" s="894" t="s">
        <v>1481</v>
      </c>
      <c r="D1226" s="898">
        <f>+D149*1.5</f>
        <v>12000</v>
      </c>
      <c r="E1226" s="898">
        <f>+D1226*D1197</f>
        <v>183924</v>
      </c>
      <c r="F1226" s="899">
        <f>ROUND(E1226/'COSTOS MO CUADRILLA'!K29,0)</f>
        <v>66</v>
      </c>
    </row>
    <row r="1227" spans="2:8" s="479" customFormat="1" x14ac:dyDescent="0.2">
      <c r="B1227" s="524"/>
      <c r="C1227" s="894" t="s">
        <v>1434</v>
      </c>
      <c r="D1227" s="898">
        <f>+D151*1.5</f>
        <v>16500</v>
      </c>
      <c r="E1227" s="898">
        <f>+D1227*D1203</f>
        <v>68087.25</v>
      </c>
      <c r="F1227" s="899">
        <f>ROUND(E1227/'COSTOS MO CUADRILLA'!K29,0)</f>
        <v>24</v>
      </c>
    </row>
    <row r="1228" spans="2:8" s="479" customFormat="1" x14ac:dyDescent="0.2">
      <c r="B1228" s="524"/>
      <c r="C1228" s="894" t="s">
        <v>1733</v>
      </c>
      <c r="D1228" s="898">
        <f>+D173*1.5</f>
        <v>4650</v>
      </c>
      <c r="E1228" s="898">
        <f>+D1228*D1190</f>
        <v>182745</v>
      </c>
      <c r="F1228" s="899">
        <f>ROUND(E1228/'COSTOS MO CUADRILLA'!K29,0)</f>
        <v>65</v>
      </c>
    </row>
    <row r="1229" spans="2:8" s="479" customFormat="1" x14ac:dyDescent="0.2">
      <c r="B1229" s="524"/>
      <c r="C1229" s="894" t="s">
        <v>1734</v>
      </c>
      <c r="D1229" s="898">
        <f>+D152*1.5</f>
        <v>900</v>
      </c>
      <c r="E1229" s="898">
        <f>+D1229*G1216</f>
        <v>222264</v>
      </c>
      <c r="F1229" s="899">
        <f>ROUND(E1229/'COSTOS MO CUADRILLA'!K29,0)</f>
        <v>80</v>
      </c>
    </row>
    <row r="1230" spans="2:8" s="479" customFormat="1" x14ac:dyDescent="0.2">
      <c r="B1230" s="524"/>
      <c r="C1230" s="893"/>
      <c r="D1230" s="894" t="s">
        <v>1016</v>
      </c>
      <c r="E1230" s="898">
        <f>SUM(E1226:E1229)</f>
        <v>657020.25</v>
      </c>
      <c r="F1230" s="899">
        <f>+E1230/'COSTOS MO CUADRILLA'!K29</f>
        <v>235.03163414634145</v>
      </c>
      <c r="G1230" s="480"/>
    </row>
    <row r="1232" spans="2:8" s="479" customFormat="1" x14ac:dyDescent="0.2">
      <c r="B1232" s="524"/>
      <c r="C1232" s="893"/>
      <c r="D1232" s="894" t="s">
        <v>1012</v>
      </c>
      <c r="E1232" s="894" t="s">
        <v>1013</v>
      </c>
      <c r="F1232" s="894" t="s">
        <v>1657</v>
      </c>
      <c r="G1232" s="624"/>
      <c r="H1232" s="624"/>
    </row>
    <row r="1233" spans="2:9" s="479" customFormat="1" x14ac:dyDescent="0.2">
      <c r="B1233" s="524"/>
      <c r="C1233" s="893" t="s">
        <v>3154</v>
      </c>
      <c r="D1233" s="894"/>
      <c r="E1233" s="894"/>
      <c r="F1233" s="894">
        <v>1</v>
      </c>
      <c r="G1233" s="624"/>
      <c r="H1233" s="624"/>
    </row>
    <row r="1234" spans="2:9" s="479" customFormat="1" x14ac:dyDescent="0.2">
      <c r="B1234" s="524"/>
      <c r="C1234" s="893"/>
      <c r="D1234" s="950" t="s">
        <v>257</v>
      </c>
      <c r="E1234" s="898">
        <f>SUM(E1233:E1233)</f>
        <v>0</v>
      </c>
      <c r="F1234" s="895">
        <f>SUM(F1233:F1233)</f>
        <v>1</v>
      </c>
    </row>
    <row r="1236" spans="2:9" ht="21" x14ac:dyDescent="0.2">
      <c r="C1236" s="471" t="s">
        <v>2059</v>
      </c>
      <c r="D1236" s="471" t="s">
        <v>217</v>
      </c>
    </row>
    <row r="1239" spans="2:9" s="479" customFormat="1" ht="16.5" x14ac:dyDescent="0.25">
      <c r="B1239" s="524"/>
      <c r="C1239" s="481" t="s">
        <v>1337</v>
      </c>
      <c r="D1239" s="880">
        <v>8.5</v>
      </c>
      <c r="E1239" s="485" t="s">
        <v>1008</v>
      </c>
      <c r="F1239" s="413"/>
    </row>
    <row r="1240" spans="2:9" s="479" customFormat="1" x14ac:dyDescent="0.2">
      <c r="B1240" s="891" t="s">
        <v>2212</v>
      </c>
      <c r="C1240" s="893" t="s">
        <v>1338</v>
      </c>
      <c r="D1240" s="895">
        <f>+ROUNDUP((D1239/6),0)</f>
        <v>2</v>
      </c>
      <c r="E1240" s="894" t="s">
        <v>1024</v>
      </c>
      <c r="F1240" s="481">
        <f>+D1240*12.63</f>
        <v>25.26</v>
      </c>
      <c r="G1240" s="481" t="s">
        <v>1411</v>
      </c>
    </row>
    <row r="1241" spans="2:9" s="479" customFormat="1" x14ac:dyDescent="0.2">
      <c r="B1241" s="891" t="s">
        <v>2195</v>
      </c>
      <c r="C1241" s="893" t="s">
        <v>1511</v>
      </c>
      <c r="D1241" s="895">
        <f>+F1240*SOL</f>
        <v>0.10104</v>
      </c>
      <c r="E1241" s="894" t="s">
        <v>1411</v>
      </c>
    </row>
    <row r="1242" spans="2:9" s="479" customFormat="1" x14ac:dyDescent="0.2">
      <c r="B1242" s="891"/>
      <c r="E1242" s="480"/>
    </row>
    <row r="1243" spans="2:9" s="479" customFormat="1" x14ac:dyDescent="0.2">
      <c r="B1243" s="891"/>
      <c r="E1243" s="480"/>
      <c r="H1243" s="499"/>
      <c r="I1243" s="499"/>
    </row>
    <row r="1244" spans="2:9" s="479" customFormat="1" x14ac:dyDescent="0.2">
      <c r="B1244" s="891"/>
      <c r="C1244" s="894" t="s">
        <v>1546</v>
      </c>
      <c r="D1244" s="894" t="s">
        <v>13</v>
      </c>
      <c r="E1244" s="894" t="s">
        <v>14</v>
      </c>
      <c r="G1244" s="424"/>
      <c r="H1244" s="424"/>
      <c r="I1244" s="425"/>
    </row>
    <row r="1245" spans="2:9" s="479" customFormat="1" x14ac:dyDescent="0.2">
      <c r="B1245" s="891" t="s">
        <v>2451</v>
      </c>
      <c r="C1245" s="893" t="s">
        <v>3193</v>
      </c>
      <c r="D1245" s="880">
        <v>0</v>
      </c>
      <c r="E1245" s="894" t="s">
        <v>1280</v>
      </c>
      <c r="G1245" s="424"/>
      <c r="H1245" s="425"/>
      <c r="I1245" s="425"/>
    </row>
    <row r="1246" spans="2:9" s="479" customFormat="1" x14ac:dyDescent="0.2">
      <c r="B1246" s="891" t="s">
        <v>3199</v>
      </c>
      <c r="C1246" s="893" t="s">
        <v>3194</v>
      </c>
      <c r="D1246" s="880">
        <f>6*5</f>
        <v>30</v>
      </c>
      <c r="E1246" s="894" t="s">
        <v>1280</v>
      </c>
      <c r="G1246" s="499"/>
      <c r="H1246" s="517"/>
      <c r="I1246" s="425"/>
    </row>
    <row r="1247" spans="2:9" s="479" customFormat="1" x14ac:dyDescent="0.2">
      <c r="B1247" s="891" t="s">
        <v>3200</v>
      </c>
      <c r="C1247" s="893" t="s">
        <v>3195</v>
      </c>
      <c r="D1247" s="880">
        <v>0</v>
      </c>
      <c r="E1247" s="894" t="s">
        <v>1280</v>
      </c>
      <c r="G1247" s="499"/>
      <c r="H1247" s="517"/>
      <c r="I1247" s="425"/>
    </row>
    <row r="1248" spans="2:9" s="479" customFormat="1" x14ac:dyDescent="0.2">
      <c r="B1248" s="891" t="s">
        <v>3201</v>
      </c>
      <c r="C1248" s="893" t="s">
        <v>3196</v>
      </c>
      <c r="D1248" s="880">
        <v>0</v>
      </c>
      <c r="E1248" s="894" t="s">
        <v>1280</v>
      </c>
      <c r="G1248" s="499"/>
      <c r="H1248" s="517"/>
      <c r="I1248" s="517"/>
    </row>
    <row r="1249" spans="2:6" s="479" customFormat="1" x14ac:dyDescent="0.2">
      <c r="B1249" s="891" t="s">
        <v>3202</v>
      </c>
      <c r="C1249" s="893" t="s">
        <v>3197</v>
      </c>
      <c r="D1249" s="880">
        <v>1</v>
      </c>
      <c r="E1249" s="894" t="s">
        <v>1280</v>
      </c>
    </row>
    <row r="1250" spans="2:6" s="479" customFormat="1" x14ac:dyDescent="0.2">
      <c r="B1250" s="891" t="s">
        <v>3203</v>
      </c>
      <c r="C1250" s="893" t="s">
        <v>3198</v>
      </c>
      <c r="D1250" s="880">
        <v>7</v>
      </c>
      <c r="E1250" s="894" t="s">
        <v>1280</v>
      </c>
    </row>
    <row r="1251" spans="2:6" s="479" customFormat="1" x14ac:dyDescent="0.2">
      <c r="B1251" s="891" t="s">
        <v>2212</v>
      </c>
      <c r="C1251" s="893" t="s">
        <v>1338</v>
      </c>
      <c r="D1251" s="895">
        <f>+D1240</f>
        <v>2</v>
      </c>
      <c r="E1251" s="894" t="s">
        <v>1280</v>
      </c>
    </row>
    <row r="1252" spans="2:6" s="479" customFormat="1" x14ac:dyDescent="0.2">
      <c r="B1252" s="891" t="s">
        <v>2195</v>
      </c>
      <c r="C1252" s="893" t="s">
        <v>1511</v>
      </c>
      <c r="D1252" s="895">
        <f>+D1241</f>
        <v>0.10104</v>
      </c>
      <c r="E1252" s="894" t="s">
        <v>1411</v>
      </c>
    </row>
    <row r="1253" spans="2:6" s="479" customFormat="1" x14ac:dyDescent="0.2">
      <c r="B1253" s="524"/>
      <c r="E1253" s="480"/>
    </row>
    <row r="1254" spans="2:6" s="479" customFormat="1" x14ac:dyDescent="0.2">
      <c r="B1254" s="524"/>
      <c r="C1254" s="894"/>
      <c r="D1254" s="894" t="s">
        <v>1012</v>
      </c>
      <c r="E1254" s="894" t="s">
        <v>257</v>
      </c>
      <c r="F1254" s="894" t="s">
        <v>1657</v>
      </c>
    </row>
    <row r="1255" spans="2:6" s="479" customFormat="1" x14ac:dyDescent="0.2">
      <c r="B1255" s="524"/>
      <c r="C1255" s="894" t="s">
        <v>1835</v>
      </c>
      <c r="D1255" s="898">
        <f>+D201</f>
        <v>14500</v>
      </c>
      <c r="E1255" s="898">
        <f>+D1255*D1239</f>
        <v>123250</v>
      </c>
      <c r="F1255" s="899">
        <f>ROUND(E1255/'COSTOS MO CUADRILLA'!K30,0)</f>
        <v>43</v>
      </c>
    </row>
    <row r="1256" spans="2:6" s="479" customFormat="1" x14ac:dyDescent="0.2">
      <c r="B1256" s="524"/>
      <c r="C1256" s="894" t="str">
        <f>C174</f>
        <v>Soldadura</v>
      </c>
      <c r="D1256" s="898">
        <f>D174</f>
        <v>1500</v>
      </c>
      <c r="E1256" s="898">
        <f>+D1256*F1240</f>
        <v>37890</v>
      </c>
      <c r="F1256" s="899">
        <f>ROUND(E1256/'COSTOS MO CUADRILLA'!K30,0)</f>
        <v>13</v>
      </c>
    </row>
    <row r="1257" spans="2:6" s="479" customFormat="1" x14ac:dyDescent="0.2">
      <c r="B1257" s="524"/>
      <c r="C1257" s="893"/>
      <c r="D1257" s="894" t="s">
        <v>1016</v>
      </c>
      <c r="E1257" s="898">
        <f>SUM(E1255:E1256)</f>
        <v>161140</v>
      </c>
      <c r="F1257" s="899">
        <f>+E1257/'COSTOS MO CUADRILLA'!K30</f>
        <v>56.540350877192985</v>
      </c>
    </row>
    <row r="1258" spans="2:6" s="479" customFormat="1" x14ac:dyDescent="0.2">
      <c r="B1258" s="524"/>
      <c r="E1258" s="480"/>
    </row>
    <row r="1259" spans="2:6" s="479" customFormat="1" x14ac:dyDescent="0.2">
      <c r="B1259" s="524"/>
      <c r="E1259" s="480"/>
    </row>
    <row r="1260" spans="2:6" ht="21" x14ac:dyDescent="0.2">
      <c r="C1260" s="471" t="s">
        <v>2060</v>
      </c>
      <c r="D1260" s="471" t="s">
        <v>218</v>
      </c>
    </row>
    <row r="1261" spans="2:6" s="479" customFormat="1" x14ac:dyDescent="0.2">
      <c r="B1261" s="524"/>
      <c r="E1261" s="480"/>
    </row>
    <row r="1262" spans="2:6" s="479" customFormat="1" ht="16.5" x14ac:dyDescent="0.25">
      <c r="B1262" s="524"/>
      <c r="C1262" s="481" t="s">
        <v>1339</v>
      </c>
      <c r="D1262" s="880">
        <f>6.8*1.8</f>
        <v>12.24</v>
      </c>
      <c r="E1262" s="485" t="s">
        <v>78</v>
      </c>
      <c r="F1262" s="413" t="s">
        <v>2178</v>
      </c>
    </row>
    <row r="1263" spans="2:6" s="479" customFormat="1" ht="16.5" x14ac:dyDescent="0.25">
      <c r="B1263" s="524"/>
      <c r="C1263" s="481" t="s">
        <v>1340</v>
      </c>
      <c r="D1263" s="880">
        <v>7.2</v>
      </c>
      <c r="E1263" s="485" t="s">
        <v>78</v>
      </c>
      <c r="F1263" s="413" t="s">
        <v>2178</v>
      </c>
    </row>
    <row r="1264" spans="2:6" s="479" customFormat="1" x14ac:dyDescent="0.2">
      <c r="B1264" s="524"/>
      <c r="C1264" s="481" t="s">
        <v>1342</v>
      </c>
      <c r="D1264" s="498">
        <f>(D1263/(0.56*0.56))*1.05</f>
        <v>24.107142857142858</v>
      </c>
      <c r="E1264" s="485" t="s">
        <v>1024</v>
      </c>
      <c r="F1264" s="505"/>
    </row>
    <row r="1265" spans="2:7" s="479" customFormat="1" x14ac:dyDescent="0.2">
      <c r="B1265" s="524"/>
      <c r="C1265" s="481" t="s">
        <v>1343</v>
      </c>
      <c r="D1265" s="498">
        <f>D1263*0.05*1.3</f>
        <v>0.46800000000000008</v>
      </c>
      <c r="E1265" s="485" t="s">
        <v>1029</v>
      </c>
    </row>
    <row r="1266" spans="2:7" s="479" customFormat="1" x14ac:dyDescent="0.2">
      <c r="B1266" s="524"/>
      <c r="C1266" s="481" t="s">
        <v>1341</v>
      </c>
      <c r="D1266" s="485">
        <v>0.1</v>
      </c>
      <c r="E1266" s="485" t="s">
        <v>1092</v>
      </c>
    </row>
    <row r="1267" spans="2:7" s="479" customFormat="1" x14ac:dyDescent="0.2">
      <c r="B1267" s="524"/>
      <c r="C1267" s="893" t="s">
        <v>1057</v>
      </c>
      <c r="D1267" s="895">
        <f>D1262*D1266*1.05</f>
        <v>1.2852000000000003</v>
      </c>
      <c r="E1267" s="894" t="s">
        <v>1029</v>
      </c>
    </row>
    <row r="1268" spans="2:7" s="479" customFormat="1" x14ac:dyDescent="0.2">
      <c r="B1268" s="524"/>
      <c r="C1268" s="524"/>
      <c r="D1268" s="524"/>
      <c r="E1268" s="550"/>
      <c r="F1268" s="524"/>
    </row>
    <row r="1269" spans="2:7" s="479" customFormat="1" x14ac:dyDescent="0.2">
      <c r="B1269" s="524"/>
      <c r="C1269" s="524"/>
      <c r="D1269" s="524"/>
      <c r="E1269" s="550"/>
      <c r="F1269" s="524"/>
    </row>
    <row r="1270" spans="2:7" s="479" customFormat="1" x14ac:dyDescent="0.2">
      <c r="B1270" s="524"/>
      <c r="C1270" s="894" t="s">
        <v>1546</v>
      </c>
      <c r="D1270" s="894" t="s">
        <v>13</v>
      </c>
      <c r="E1270" s="894" t="s">
        <v>14</v>
      </c>
    </row>
    <row r="1271" spans="2:7" s="479" customFormat="1" ht="16.5" x14ac:dyDescent="0.25">
      <c r="B1271" s="891" t="s">
        <v>2184</v>
      </c>
      <c r="C1271" s="893" t="s">
        <v>1017</v>
      </c>
      <c r="D1271" s="895">
        <f>ROUND(D1267*losac,0)</f>
        <v>428</v>
      </c>
      <c r="E1271" s="894" t="s">
        <v>1020</v>
      </c>
      <c r="F1271" s="413"/>
    </row>
    <row r="1272" spans="2:7" s="479" customFormat="1" ht="16.5" x14ac:dyDescent="0.25">
      <c r="B1272" s="891" t="s">
        <v>1914</v>
      </c>
      <c r="C1272" s="893" t="s">
        <v>1018</v>
      </c>
      <c r="D1272" s="895">
        <f>ROUND(D1267*losaa,1)</f>
        <v>0.7</v>
      </c>
      <c r="E1272" s="894" t="s">
        <v>1010</v>
      </c>
      <c r="F1272" s="413"/>
    </row>
    <row r="1273" spans="2:7" s="479" customFormat="1" x14ac:dyDescent="0.2">
      <c r="B1273" s="891" t="s">
        <v>1917</v>
      </c>
      <c r="C1273" s="893" t="s">
        <v>1019</v>
      </c>
      <c r="D1273" s="895">
        <f>ROUND(D1267*losap,1)</f>
        <v>0.8</v>
      </c>
      <c r="E1273" s="894" t="s">
        <v>1010</v>
      </c>
    </row>
    <row r="1274" spans="2:7" s="479" customFormat="1" x14ac:dyDescent="0.2">
      <c r="B1274" s="524"/>
      <c r="E1274" s="480"/>
    </row>
    <row r="1275" spans="2:7" s="479" customFormat="1" x14ac:dyDescent="0.2">
      <c r="B1275" s="524"/>
      <c r="C1275" s="894" t="s">
        <v>1546</v>
      </c>
      <c r="D1275" s="894" t="s">
        <v>1662</v>
      </c>
      <c r="E1275" s="894" t="s">
        <v>1663</v>
      </c>
      <c r="F1275" s="894" t="s">
        <v>257</v>
      </c>
      <c r="G1275" s="894" t="s">
        <v>1459</v>
      </c>
    </row>
    <row r="1276" spans="2:7" s="479" customFormat="1" x14ac:dyDescent="0.2">
      <c r="B1276" s="524"/>
      <c r="C1276" s="893" t="s">
        <v>1665</v>
      </c>
      <c r="D1276" s="895">
        <f>D1262/(1.9*5.7)</f>
        <v>1.1301939058171746</v>
      </c>
      <c r="E1276" s="894" t="s">
        <v>1666</v>
      </c>
      <c r="F1276" s="894">
        <f>ROUNDUP(D1276/0.5,0)*0.5</f>
        <v>1.5</v>
      </c>
      <c r="G1276" s="895">
        <f t="shared" ref="G1276" si="114">IF(E1276="#2",1.494,IF(E1276="#3",3.36,IF(E1276="#4",5.964,IF(E1276="#5",9.312,IF(E1276="#2 de 4.11",18.56,IF(E1276="#2 de 4.88",26.17,IF(E1276="#2 de 5.3",30.87,0)))))))*F1276</f>
        <v>46.305</v>
      </c>
    </row>
    <row r="1277" spans="2:7" s="479" customFormat="1" x14ac:dyDescent="0.2">
      <c r="B1277" s="524"/>
      <c r="E1277" s="480"/>
    </row>
    <row r="1278" spans="2:7" s="479" customFormat="1" x14ac:dyDescent="0.2">
      <c r="B1278" s="524"/>
      <c r="C1278" s="894" t="s">
        <v>1546</v>
      </c>
      <c r="D1278" s="894" t="s">
        <v>13</v>
      </c>
      <c r="E1278" s="894" t="s">
        <v>14</v>
      </c>
    </row>
    <row r="1279" spans="2:7" s="479" customFormat="1" ht="16.5" x14ac:dyDescent="0.25">
      <c r="B1279" s="524" t="s">
        <v>2187</v>
      </c>
      <c r="C1279" s="894" t="s">
        <v>1670</v>
      </c>
      <c r="D1279" s="894">
        <f>+F1276</f>
        <v>1.5</v>
      </c>
      <c r="E1279" s="894" t="s">
        <v>1280</v>
      </c>
      <c r="F1279" s="413" t="s">
        <v>2178</v>
      </c>
    </row>
    <row r="1280" spans="2:7" s="479" customFormat="1" ht="16.5" x14ac:dyDescent="0.25">
      <c r="B1280" s="524" t="s">
        <v>1920</v>
      </c>
      <c r="C1280" s="894" t="s">
        <v>1583</v>
      </c>
      <c r="D1280" s="894">
        <f>ROUND(SUM(G1276:G1276)*FAN,1)</f>
        <v>2.1</v>
      </c>
      <c r="E1280" s="894" t="s">
        <v>1411</v>
      </c>
      <c r="F1280" s="413" t="s">
        <v>2178</v>
      </c>
    </row>
    <row r="1281" spans="2:10" s="479" customFormat="1" x14ac:dyDescent="0.2">
      <c r="B1281" s="524" t="s">
        <v>2213</v>
      </c>
      <c r="C1281" s="894" t="s">
        <v>1342</v>
      </c>
      <c r="D1281" s="895">
        <f>+D1264</f>
        <v>24.107142857142858</v>
      </c>
      <c r="E1281" s="894" t="s">
        <v>1280</v>
      </c>
      <c r="J1281" s="480"/>
    </row>
    <row r="1282" spans="2:10" s="479" customFormat="1" x14ac:dyDescent="0.2">
      <c r="B1282" s="524" t="s">
        <v>2190</v>
      </c>
      <c r="C1282" s="894" t="s">
        <v>1343</v>
      </c>
      <c r="D1282" s="895">
        <f>+D1265</f>
        <v>0.46800000000000008</v>
      </c>
      <c r="E1282" s="894" t="s">
        <v>1010</v>
      </c>
      <c r="J1282" s="480"/>
    </row>
    <row r="1283" spans="2:10" s="479" customFormat="1" x14ac:dyDescent="0.2">
      <c r="B1283" s="524"/>
      <c r="E1283" s="480"/>
      <c r="J1283" s="480"/>
    </row>
    <row r="1284" spans="2:10" s="479" customFormat="1" x14ac:dyDescent="0.2">
      <c r="B1284" s="524"/>
      <c r="C1284" s="893"/>
      <c r="D1284" s="894" t="s">
        <v>1012</v>
      </c>
      <c r="E1284" s="894" t="s">
        <v>1013</v>
      </c>
      <c r="F1284" s="894" t="s">
        <v>1657</v>
      </c>
      <c r="H1284" s="1158"/>
      <c r="I1284" s="1158"/>
      <c r="J1284" s="1158"/>
    </row>
    <row r="1285" spans="2:10" s="479" customFormat="1" x14ac:dyDescent="0.2">
      <c r="B1285" s="524"/>
      <c r="C1285" s="893" t="s">
        <v>1021</v>
      </c>
      <c r="D1285" s="898">
        <f>+D151</f>
        <v>11000</v>
      </c>
      <c r="E1285" s="898">
        <f>D1285*D1267</f>
        <v>14137.200000000004</v>
      </c>
      <c r="F1285" s="899">
        <f>+E1285/'COSTOS MO CUADRILLA'!K31</f>
        <v>5.0572097560975626</v>
      </c>
      <c r="H1285" s="480"/>
      <c r="J1285" s="480"/>
    </row>
    <row r="1286" spans="2:10" s="479" customFormat="1" x14ac:dyDescent="0.2">
      <c r="C1286" s="893" t="s">
        <v>1035</v>
      </c>
      <c r="D1286" s="898">
        <f>+D152</f>
        <v>600</v>
      </c>
      <c r="E1286" s="898">
        <f>SUM(G1276)*D1286</f>
        <v>27783</v>
      </c>
      <c r="F1286" s="899">
        <f>+E1286/'COSTOS MO CUADRILLA'!K31</f>
        <v>9.9386341463414638</v>
      </c>
      <c r="G1286" s="480"/>
      <c r="H1286" s="480"/>
      <c r="I1286" s="495"/>
      <c r="J1286" s="496"/>
    </row>
    <row r="1287" spans="2:10" s="479" customFormat="1" x14ac:dyDescent="0.2">
      <c r="C1287" s="893"/>
      <c r="D1287" s="894" t="s">
        <v>1016</v>
      </c>
      <c r="E1287" s="898">
        <f>SUM(E1285:E1286)</f>
        <v>41920.200000000004</v>
      </c>
      <c r="F1287" s="899">
        <f>+E1287/'COSTOS MO CUADRILLA'!K31</f>
        <v>14.995843902439026</v>
      </c>
      <c r="G1287" s="480"/>
      <c r="H1287" s="480"/>
      <c r="I1287" s="495"/>
      <c r="J1287" s="496"/>
    </row>
    <row r="1288" spans="2:10" s="479" customFormat="1" x14ac:dyDescent="0.2">
      <c r="C1288" s="524"/>
      <c r="D1288" s="524"/>
      <c r="E1288" s="550"/>
      <c r="F1288" s="524"/>
      <c r="J1288" s="480"/>
    </row>
    <row r="1289" spans="2:10" s="479" customFormat="1" x14ac:dyDescent="0.2">
      <c r="C1289" s="893"/>
      <c r="D1289" s="894" t="s">
        <v>1012</v>
      </c>
      <c r="E1289" s="894" t="s">
        <v>1013</v>
      </c>
      <c r="F1289" s="894" t="s">
        <v>1657</v>
      </c>
      <c r="H1289" s="1158"/>
      <c r="I1289" s="1158"/>
      <c r="J1289" s="1158"/>
    </row>
    <row r="1290" spans="2:10" s="479" customFormat="1" x14ac:dyDescent="0.2">
      <c r="C1290" s="893" t="s">
        <v>3428</v>
      </c>
      <c r="D1290" s="898">
        <f>+D209</f>
        <v>18000</v>
      </c>
      <c r="E1290" s="898">
        <f>D1290*D1263</f>
        <v>129600</v>
      </c>
      <c r="F1290" s="899">
        <f>+E1290/'COSTOS MO CUADRILLA'!K31</f>
        <v>46.360975609756096</v>
      </c>
      <c r="G1290" s="506"/>
      <c r="H1290" s="480"/>
      <c r="J1290" s="480"/>
    </row>
    <row r="1291" spans="2:10" s="479" customFormat="1" x14ac:dyDescent="0.2">
      <c r="C1291" s="893"/>
      <c r="D1291" s="894" t="s">
        <v>1016</v>
      </c>
      <c r="E1291" s="898">
        <f>SUM(E1290:E1290)</f>
        <v>129600</v>
      </c>
      <c r="F1291" s="899">
        <f>+E1291/'COSTOS MO CUADRILLA'!K31</f>
        <v>46.360975609756096</v>
      </c>
      <c r="G1291" s="480"/>
      <c r="H1291" s="480"/>
      <c r="I1291" s="495"/>
      <c r="J1291" s="496"/>
    </row>
    <row r="1293" spans="2:10" ht="21" x14ac:dyDescent="0.2">
      <c r="C1293" s="470">
        <v>1.6</v>
      </c>
      <c r="D1293" s="475" t="s">
        <v>187</v>
      </c>
    </row>
    <row r="1295" spans="2:10" ht="21" x14ac:dyDescent="0.2">
      <c r="C1295" s="471" t="s">
        <v>2124</v>
      </c>
      <c r="D1295" s="471" t="s">
        <v>188</v>
      </c>
    </row>
    <row r="1297" spans="2:10" s="479" customFormat="1" ht="18.75" x14ac:dyDescent="0.25">
      <c r="C1297" s="1052" t="s">
        <v>1344</v>
      </c>
      <c r="E1297" s="480"/>
      <c r="J1297" s="480"/>
    </row>
    <row r="1298" spans="2:10" s="479" customFormat="1" x14ac:dyDescent="0.2">
      <c r="E1298" s="480"/>
      <c r="J1298" s="480"/>
    </row>
    <row r="1299" spans="2:10" s="479" customFormat="1" ht="16.5" x14ac:dyDescent="0.25">
      <c r="C1299" s="481" t="s">
        <v>1055</v>
      </c>
      <c r="D1299" s="880">
        <v>38.299999999999997</v>
      </c>
      <c r="E1299" s="485" t="s">
        <v>137</v>
      </c>
      <c r="F1299" s="882" t="s">
        <v>3592</v>
      </c>
      <c r="J1299" s="480"/>
    </row>
    <row r="1300" spans="2:10" s="479" customFormat="1" x14ac:dyDescent="0.2">
      <c r="B1300" s="524"/>
      <c r="E1300" s="480"/>
      <c r="H1300" s="516"/>
      <c r="I1300" s="517"/>
      <c r="J1300" s="517"/>
    </row>
    <row r="1301" spans="2:10" s="479" customFormat="1" x14ac:dyDescent="0.2">
      <c r="B1301" s="524"/>
      <c r="C1301" s="894" t="s">
        <v>1546</v>
      </c>
      <c r="D1301" s="894" t="s">
        <v>13</v>
      </c>
      <c r="E1301" s="894" t="s">
        <v>14</v>
      </c>
      <c r="G1301" s="505"/>
      <c r="H1301" s="516"/>
      <c r="I1301" s="517"/>
      <c r="J1301" s="517"/>
    </row>
    <row r="1302" spans="2:10" s="479" customFormat="1" ht="16.5" x14ac:dyDescent="0.25">
      <c r="B1302" s="891" t="s">
        <v>2214</v>
      </c>
      <c r="C1302" s="893" t="s">
        <v>1083</v>
      </c>
      <c r="D1302" s="895">
        <f>ROUNDUP((D1299/(1.22*2.44))*1.1,0)</f>
        <v>15</v>
      </c>
      <c r="E1302" s="894" t="s">
        <v>1024</v>
      </c>
      <c r="F1302" s="413"/>
      <c r="G1302" s="505"/>
      <c r="H1302" s="516"/>
      <c r="I1302" s="517"/>
      <c r="J1302" s="517"/>
    </row>
    <row r="1303" spans="2:10" s="479" customFormat="1" ht="16.5" x14ac:dyDescent="0.25">
      <c r="B1303" s="891" t="s">
        <v>2091</v>
      </c>
      <c r="C1303" s="893" t="s">
        <v>1597</v>
      </c>
      <c r="D1303" s="895">
        <f>ROUNDUP(D128*D1299,0)</f>
        <v>36</v>
      </c>
      <c r="E1303" s="894" t="s">
        <v>1024</v>
      </c>
      <c r="F1303" s="413"/>
      <c r="G1303" s="505"/>
      <c r="J1303" s="480"/>
    </row>
    <row r="1304" spans="2:10" s="479" customFormat="1" ht="16.5" x14ac:dyDescent="0.25">
      <c r="B1304" s="891" t="s">
        <v>2218</v>
      </c>
      <c r="C1304" s="893" t="s">
        <v>1598</v>
      </c>
      <c r="D1304" s="895">
        <f>ROUNDUP(D129*D1299,0)</f>
        <v>11</v>
      </c>
      <c r="E1304" s="894" t="s">
        <v>1024</v>
      </c>
      <c r="F1304" s="413"/>
      <c r="H1304" s="527"/>
      <c r="I1304" s="517"/>
      <c r="J1304" s="517"/>
    </row>
    <row r="1305" spans="2:10" s="479" customFormat="1" ht="16.5" x14ac:dyDescent="0.25">
      <c r="B1305" s="891" t="s">
        <v>2216</v>
      </c>
      <c r="C1305" s="893" t="s">
        <v>1601</v>
      </c>
      <c r="D1305" s="895">
        <f>ROUNDUP(D132*D1299/2,0)</f>
        <v>2</v>
      </c>
      <c r="E1305" s="894" t="s">
        <v>1760</v>
      </c>
      <c r="F1305" s="413"/>
      <c r="H1305" s="514"/>
      <c r="I1305" s="499"/>
      <c r="J1305" s="517"/>
    </row>
    <row r="1306" spans="2:10" s="479" customFormat="1" ht="16.5" x14ac:dyDescent="0.25">
      <c r="B1306" s="891" t="s">
        <v>2003</v>
      </c>
      <c r="C1306" s="893" t="s">
        <v>1602</v>
      </c>
      <c r="D1306" s="895">
        <f>ROUNDUP(D133*D1299,0)</f>
        <v>14</v>
      </c>
      <c r="E1306" s="894" t="s">
        <v>1024</v>
      </c>
      <c r="F1306" s="413"/>
      <c r="J1306" s="480"/>
    </row>
    <row r="1307" spans="2:10" s="479" customFormat="1" ht="16.5" x14ac:dyDescent="0.25">
      <c r="B1307" s="891" t="s">
        <v>2217</v>
      </c>
      <c r="C1307" s="893" t="s">
        <v>1603</v>
      </c>
      <c r="D1307" s="895">
        <f>ROUNDUP(D134*D1299,0)</f>
        <v>14</v>
      </c>
      <c r="E1307" s="894" t="s">
        <v>1024</v>
      </c>
      <c r="F1307" s="413"/>
      <c r="J1307" s="480"/>
    </row>
    <row r="1308" spans="2:10" s="479" customFormat="1" ht="16.5" x14ac:dyDescent="0.25">
      <c r="B1308" s="891" t="s">
        <v>2203</v>
      </c>
      <c r="C1308" s="893" t="s">
        <v>1821</v>
      </c>
      <c r="D1308" s="895">
        <f>ROUNDUP(D135*D1299/100,0)</f>
        <v>10</v>
      </c>
      <c r="E1308" s="894" t="s">
        <v>1761</v>
      </c>
      <c r="F1308" s="413"/>
      <c r="J1308" s="480"/>
    </row>
    <row r="1309" spans="2:10" s="479" customFormat="1" ht="16.5" x14ac:dyDescent="0.25">
      <c r="B1309" s="891" t="s">
        <v>2884</v>
      </c>
      <c r="C1309" s="893" t="s">
        <v>3210</v>
      </c>
      <c r="D1309" s="895">
        <f>ROUNDUP(D136*D1299/100,0)</f>
        <v>10</v>
      </c>
      <c r="E1309" s="894" t="s">
        <v>1761</v>
      </c>
      <c r="F1309" s="413"/>
      <c r="J1309" s="480"/>
    </row>
    <row r="1310" spans="2:10" s="479" customFormat="1" ht="16.5" x14ac:dyDescent="0.25">
      <c r="B1310" s="891" t="s">
        <v>2215</v>
      </c>
      <c r="C1310" s="893" t="s">
        <v>1594</v>
      </c>
      <c r="D1310" s="895">
        <f>ROUNDUP(D136*D1299,0)</f>
        <v>920</v>
      </c>
      <c r="E1310" s="894" t="s">
        <v>1024</v>
      </c>
      <c r="F1310" s="413"/>
    </row>
    <row r="1311" spans="2:10" s="479" customFormat="1" x14ac:dyDescent="0.2">
      <c r="B1311" s="524"/>
      <c r="E1311" s="480"/>
    </row>
    <row r="1312" spans="2:10" s="479" customFormat="1" x14ac:dyDescent="0.2">
      <c r="B1312" s="524"/>
      <c r="C1312" s="894"/>
      <c r="D1312" s="894" t="s">
        <v>1012</v>
      </c>
      <c r="E1312" s="894" t="s">
        <v>257</v>
      </c>
      <c r="F1312" s="894" t="s">
        <v>1657</v>
      </c>
    </row>
    <row r="1313" spans="2:6" s="479" customFormat="1" x14ac:dyDescent="0.2">
      <c r="B1313" s="524"/>
      <c r="C1313" s="894" t="s">
        <v>3429</v>
      </c>
      <c r="D1313" s="898">
        <f>+D177</f>
        <v>4500</v>
      </c>
      <c r="E1313" s="898">
        <f>+D1313*D1299</f>
        <v>172350</v>
      </c>
      <c r="F1313" s="899">
        <f>ROUND(E1313/'COSTOS MO CUADRILLA'!K33,0)</f>
        <v>62</v>
      </c>
    </row>
    <row r="1314" spans="2:6" s="479" customFormat="1" x14ac:dyDescent="0.2">
      <c r="B1314" s="524"/>
      <c r="C1314" s="893"/>
      <c r="D1314" s="894" t="s">
        <v>1016</v>
      </c>
      <c r="E1314" s="898">
        <f>SUM(E1313:E1313)</f>
        <v>172350</v>
      </c>
      <c r="F1314" s="899">
        <f>+E1314/'COSTOS MO CUADRILLA'!K33</f>
        <v>61.691275167785236</v>
      </c>
    </row>
    <row r="1316" spans="2:6" s="479" customFormat="1" ht="18.75" customHeight="1" x14ac:dyDescent="0.25">
      <c r="B1316" s="524"/>
      <c r="C1316" s="1052" t="s">
        <v>1815</v>
      </c>
      <c r="E1316" s="480"/>
    </row>
    <row r="1317" spans="2:6" s="479" customFormat="1" x14ac:dyDescent="0.2">
      <c r="B1317" s="524"/>
      <c r="E1317" s="480"/>
      <c r="F1317" s="500"/>
    </row>
    <row r="1318" spans="2:6" s="479" customFormat="1" ht="16.5" x14ac:dyDescent="0.25">
      <c r="B1318" s="524"/>
      <c r="C1318" s="481" t="s">
        <v>1055</v>
      </c>
      <c r="D1318" s="880">
        <v>9.6999999999999993</v>
      </c>
      <c r="E1318" s="485" t="s">
        <v>137</v>
      </c>
      <c r="F1318" s="413"/>
    </row>
    <row r="1319" spans="2:6" s="479" customFormat="1" ht="16.5" x14ac:dyDescent="0.25">
      <c r="B1319" s="524"/>
      <c r="C1319" s="481" t="s">
        <v>1726</v>
      </c>
      <c r="D1319" s="880">
        <v>9.07</v>
      </c>
      <c r="E1319" s="485" t="s">
        <v>1076</v>
      </c>
      <c r="F1319" s="413"/>
    </row>
    <row r="1320" spans="2:6" s="479" customFormat="1" x14ac:dyDescent="0.2">
      <c r="B1320" s="524"/>
      <c r="E1320" s="480"/>
      <c r="F1320" s="505"/>
    </row>
    <row r="1321" spans="2:6" s="479" customFormat="1" x14ac:dyDescent="0.2">
      <c r="B1321" s="524"/>
      <c r="C1321" s="894" t="s">
        <v>1546</v>
      </c>
      <c r="D1321" s="894" t="s">
        <v>13</v>
      </c>
      <c r="E1321" s="894" t="s">
        <v>14</v>
      </c>
      <c r="F1321" s="505"/>
    </row>
    <row r="1322" spans="2:6" s="479" customFormat="1" ht="16.5" x14ac:dyDescent="0.25">
      <c r="B1322" s="891" t="s">
        <v>2004</v>
      </c>
      <c r="C1322" s="893" t="s">
        <v>1816</v>
      </c>
      <c r="D1322" s="895">
        <f>ROUNDUP(D1318*1.1,0)</f>
        <v>11</v>
      </c>
      <c r="E1322" s="894" t="s">
        <v>78</v>
      </c>
      <c r="F1322" s="413"/>
    </row>
    <row r="1323" spans="2:6" s="479" customFormat="1" ht="16.5" x14ac:dyDescent="0.25">
      <c r="B1323" s="891" t="s">
        <v>2219</v>
      </c>
      <c r="C1323" s="893" t="s">
        <v>1817</v>
      </c>
      <c r="D1323" s="895">
        <f>ROUNDUP(D1319*1.1/5.8,0)</f>
        <v>2</v>
      </c>
      <c r="E1323" s="894" t="s">
        <v>1826</v>
      </c>
      <c r="F1323" s="413"/>
    </row>
    <row r="1324" spans="2:6" s="479" customFormat="1" ht="16.5" x14ac:dyDescent="0.25">
      <c r="B1324" s="891" t="s">
        <v>2220</v>
      </c>
      <c r="C1324" s="893" t="s">
        <v>1818</v>
      </c>
      <c r="D1324" s="895">
        <f>ROUNDUP(D1318,0)</f>
        <v>10</v>
      </c>
      <c r="E1324" s="894" t="s">
        <v>1826</v>
      </c>
      <c r="F1324" s="413"/>
    </row>
    <row r="1325" spans="2:6" s="479" customFormat="1" ht="16.5" x14ac:dyDescent="0.25">
      <c r="B1325" s="891" t="s">
        <v>1931</v>
      </c>
      <c r="C1325" s="893" t="s">
        <v>1819</v>
      </c>
      <c r="D1325" s="895">
        <f>ROUNDUP(D1318*D120,0)</f>
        <v>2</v>
      </c>
      <c r="E1325" s="894" t="s">
        <v>1826</v>
      </c>
      <c r="F1325" s="413"/>
    </row>
    <row r="1326" spans="2:6" s="479" customFormat="1" ht="16.5" x14ac:dyDescent="0.25">
      <c r="B1326" s="891" t="s">
        <v>2221</v>
      </c>
      <c r="C1326" s="893" t="s">
        <v>1820</v>
      </c>
      <c r="D1326" s="895">
        <f>ROUNDUP(D1318*D119,0)</f>
        <v>8</v>
      </c>
      <c r="E1326" s="894" t="s">
        <v>1826</v>
      </c>
      <c r="F1326" s="413"/>
    </row>
    <row r="1327" spans="2:6" s="479" customFormat="1" ht="16.5" x14ac:dyDescent="0.25">
      <c r="B1327" s="891" t="s">
        <v>2203</v>
      </c>
      <c r="C1327" s="893" t="s">
        <v>1821</v>
      </c>
      <c r="D1327" s="895">
        <f>ROUNDUP(D1318*D124,0)</f>
        <v>243</v>
      </c>
      <c r="E1327" s="894" t="s">
        <v>1826</v>
      </c>
      <c r="F1327" s="413"/>
    </row>
    <row r="1328" spans="2:6" s="479" customFormat="1" ht="16.5" x14ac:dyDescent="0.25">
      <c r="B1328" s="891" t="s">
        <v>2222</v>
      </c>
      <c r="C1328" s="893" t="s">
        <v>1822</v>
      </c>
      <c r="D1328" s="895">
        <f>ROUNDUP(D1319/0.2/100,0)</f>
        <v>1</v>
      </c>
      <c r="E1328" s="894" t="s">
        <v>1811</v>
      </c>
      <c r="F1328" s="413"/>
    </row>
    <row r="1329" spans="2:7" s="479" customFormat="1" ht="16.5" x14ac:dyDescent="0.25">
      <c r="B1329" s="891" t="s">
        <v>2203</v>
      </c>
      <c r="C1329" s="893" t="s">
        <v>1823</v>
      </c>
      <c r="D1329" s="895">
        <f>ROUNDUP(D1318*D124/100,0)</f>
        <v>3</v>
      </c>
      <c r="E1329" s="894" t="s">
        <v>1827</v>
      </c>
      <c r="F1329" s="413"/>
    </row>
    <row r="1330" spans="2:7" s="479" customFormat="1" ht="16.5" x14ac:dyDescent="0.25">
      <c r="B1330" s="891" t="s">
        <v>2006</v>
      </c>
      <c r="C1330" s="893" t="s">
        <v>1824</v>
      </c>
      <c r="D1330" s="895">
        <f>+D1328/100</f>
        <v>0.01</v>
      </c>
      <c r="E1330" s="894" t="s">
        <v>1811</v>
      </c>
      <c r="F1330" s="413"/>
    </row>
    <row r="1331" spans="2:7" s="479" customFormat="1" ht="16.5" x14ac:dyDescent="0.25">
      <c r="B1331" s="891" t="s">
        <v>2215</v>
      </c>
      <c r="C1331" s="893" t="s">
        <v>1825</v>
      </c>
      <c r="D1331" s="895">
        <f>ROUNDUP(D1318*D125,0)</f>
        <v>117</v>
      </c>
      <c r="E1331" s="894" t="s">
        <v>1826</v>
      </c>
      <c r="F1331" s="413"/>
    </row>
    <row r="1333" spans="2:7" s="479" customFormat="1" x14ac:dyDescent="0.2">
      <c r="B1333" s="524"/>
      <c r="C1333" s="894"/>
      <c r="D1333" s="894" t="s">
        <v>1012</v>
      </c>
      <c r="E1333" s="894" t="s">
        <v>257</v>
      </c>
      <c r="F1333" s="894" t="s">
        <v>1657</v>
      </c>
    </row>
    <row r="1334" spans="2:7" s="479" customFormat="1" x14ac:dyDescent="0.2">
      <c r="B1334" s="524"/>
      <c r="C1334" s="894" t="s">
        <v>3430</v>
      </c>
      <c r="D1334" s="898">
        <f>+D178</f>
        <v>6000</v>
      </c>
      <c r="E1334" s="898">
        <f>+D1334*D1318</f>
        <v>58199.999999999993</v>
      </c>
      <c r="F1334" s="899">
        <f>ROUND(E1334/'COSTOS MO CUADRILLA'!K33,0)</f>
        <v>21</v>
      </c>
      <c r="G1334" s="528"/>
    </row>
    <row r="1335" spans="2:7" s="479" customFormat="1" x14ac:dyDescent="0.2">
      <c r="B1335" s="524"/>
      <c r="C1335" s="893"/>
      <c r="D1335" s="894" t="s">
        <v>1016</v>
      </c>
      <c r="E1335" s="898">
        <f>SUM(E1334:E1334)</f>
        <v>58199.999999999993</v>
      </c>
      <c r="F1335" s="899">
        <f>+E1335/'COSTOS MO CUADRILLA'!K33</f>
        <v>20.832214765100669</v>
      </c>
      <c r="G1335" s="480"/>
    </row>
    <row r="1336" spans="2:7" s="479" customFormat="1" x14ac:dyDescent="0.2">
      <c r="B1336" s="524"/>
      <c r="E1336" s="480"/>
    </row>
    <row r="1337" spans="2:7" s="479" customFormat="1" ht="18.75" x14ac:dyDescent="0.25">
      <c r="B1337" s="524"/>
      <c r="C1337" s="1052" t="s">
        <v>1832</v>
      </c>
      <c r="E1337" s="480"/>
    </row>
    <row r="1338" spans="2:7" s="479" customFormat="1" x14ac:dyDescent="0.2">
      <c r="B1338" s="524"/>
      <c r="E1338" s="480"/>
    </row>
    <row r="1339" spans="2:7" s="479" customFormat="1" ht="16.5" x14ac:dyDescent="0.25">
      <c r="B1339" s="524"/>
      <c r="C1339" s="481" t="s">
        <v>1460</v>
      </c>
      <c r="D1339" s="878">
        <v>1.75</v>
      </c>
      <c r="E1339" s="485" t="s">
        <v>1076</v>
      </c>
      <c r="F1339" s="413"/>
    </row>
    <row r="1340" spans="2:7" s="479" customFormat="1" ht="16.5" x14ac:dyDescent="0.25">
      <c r="B1340" s="524"/>
      <c r="C1340" s="481" t="s">
        <v>1146</v>
      </c>
      <c r="D1340" s="485">
        <f>+D27</f>
        <v>2.6</v>
      </c>
      <c r="E1340" s="485" t="s">
        <v>1076</v>
      </c>
      <c r="F1340" s="413"/>
    </row>
    <row r="1341" spans="2:7" s="479" customFormat="1" ht="16.5" x14ac:dyDescent="0.25">
      <c r="B1341" s="524"/>
      <c r="C1341" s="481" t="s">
        <v>1055</v>
      </c>
      <c r="D1341" s="485">
        <f>+D1340*D1339</f>
        <v>4.55</v>
      </c>
      <c r="E1341" s="485" t="s">
        <v>137</v>
      </c>
      <c r="F1341" s="413"/>
    </row>
    <row r="1343" spans="2:7" s="479" customFormat="1" x14ac:dyDescent="0.2">
      <c r="B1343" s="891"/>
      <c r="C1343" s="894" t="s">
        <v>1546</v>
      </c>
      <c r="D1343" s="894" t="s">
        <v>13</v>
      </c>
      <c r="E1343" s="894" t="s">
        <v>14</v>
      </c>
      <c r="F1343" s="505"/>
    </row>
    <row r="1344" spans="2:7" s="479" customFormat="1" ht="16.5" x14ac:dyDescent="0.25">
      <c r="B1344" s="891" t="s">
        <v>2214</v>
      </c>
      <c r="C1344" s="893" t="s">
        <v>1833</v>
      </c>
      <c r="D1344" s="895">
        <f>ROUNDUP($D$1341*D118,0)</f>
        <v>2</v>
      </c>
      <c r="E1344" s="894" t="s">
        <v>1024</v>
      </c>
      <c r="F1344" s="413"/>
    </row>
    <row r="1345" spans="2:6" s="479" customFormat="1" ht="16.5" x14ac:dyDescent="0.25">
      <c r="B1345" s="891" t="s">
        <v>2223</v>
      </c>
      <c r="C1345" s="893" t="s">
        <v>1834</v>
      </c>
      <c r="D1345" s="895">
        <f>ROUNDUP($D$1341*D118,0)</f>
        <v>2</v>
      </c>
      <c r="E1345" s="894" t="s">
        <v>1024</v>
      </c>
      <c r="F1345" s="413"/>
    </row>
    <row r="1346" spans="2:6" s="479" customFormat="1" ht="16.5" x14ac:dyDescent="0.25">
      <c r="B1346" s="891" t="s">
        <v>2091</v>
      </c>
      <c r="C1346" s="893" t="s">
        <v>1597</v>
      </c>
      <c r="D1346" s="895">
        <f>ROUNDUP($D$1341*D128,0)</f>
        <v>5</v>
      </c>
      <c r="E1346" s="894" t="s">
        <v>1024</v>
      </c>
      <c r="F1346" s="413"/>
    </row>
    <row r="1347" spans="2:6" s="479" customFormat="1" ht="16.5" x14ac:dyDescent="0.25">
      <c r="B1347" s="891" t="s">
        <v>2218</v>
      </c>
      <c r="C1347" s="893" t="s">
        <v>1598</v>
      </c>
      <c r="D1347" s="895">
        <f>ROUNDUP($D$1341*D129,0)</f>
        <v>2</v>
      </c>
      <c r="E1347" s="894" t="s">
        <v>1024</v>
      </c>
      <c r="F1347" s="413"/>
    </row>
    <row r="1348" spans="2:6" s="479" customFormat="1" ht="16.5" x14ac:dyDescent="0.25">
      <c r="B1348" s="891" t="s">
        <v>2222</v>
      </c>
      <c r="C1348" s="893" t="s">
        <v>1599</v>
      </c>
      <c r="D1348" s="895">
        <f>ROUNDUP($D$1341*D130,0)/100</f>
        <v>0.2</v>
      </c>
      <c r="E1348" s="894" t="s">
        <v>1811</v>
      </c>
      <c r="F1348" s="413"/>
    </row>
    <row r="1349" spans="2:6" s="479" customFormat="1" ht="16.5" x14ac:dyDescent="0.25">
      <c r="B1349" s="891" t="s">
        <v>2006</v>
      </c>
      <c r="C1349" s="893" t="s">
        <v>1600</v>
      </c>
      <c r="D1349" s="895">
        <f>ROUNDUP($D$1341*D131,0)/100</f>
        <v>0.2</v>
      </c>
      <c r="E1349" s="894" t="s">
        <v>377</v>
      </c>
      <c r="F1349" s="413"/>
    </row>
    <row r="1350" spans="2:6" s="479" customFormat="1" ht="16.5" x14ac:dyDescent="0.25">
      <c r="B1350" s="891" t="s">
        <v>2216</v>
      </c>
      <c r="C1350" s="893" t="s">
        <v>1601</v>
      </c>
      <c r="D1350" s="895">
        <f>ROUNDUP($D$1341*D132,0)</f>
        <v>1</v>
      </c>
      <c r="E1350" s="894" t="s">
        <v>1760</v>
      </c>
      <c r="F1350" s="413"/>
    </row>
    <row r="1351" spans="2:6" s="479" customFormat="1" ht="16.5" x14ac:dyDescent="0.25">
      <c r="B1351" s="891" t="s">
        <v>2003</v>
      </c>
      <c r="C1351" s="893" t="s">
        <v>1602</v>
      </c>
      <c r="D1351" s="895">
        <f>ROUNDUP($D$1341*D133,0)</f>
        <v>2</v>
      </c>
      <c r="E1351" s="894" t="s">
        <v>1024</v>
      </c>
      <c r="F1351" s="413"/>
    </row>
    <row r="1352" spans="2:6" s="479" customFormat="1" ht="16.5" x14ac:dyDescent="0.25">
      <c r="B1352" s="891" t="s">
        <v>2217</v>
      </c>
      <c r="C1352" s="893" t="s">
        <v>1603</v>
      </c>
      <c r="D1352" s="895">
        <f>ROUNDUP($D$1341*D134,0)</f>
        <v>2</v>
      </c>
      <c r="E1352" s="894" t="s">
        <v>1024</v>
      </c>
      <c r="F1352" s="413"/>
    </row>
    <row r="1353" spans="2:6" s="479" customFormat="1" ht="16.5" x14ac:dyDescent="0.25">
      <c r="B1353" s="891" t="s">
        <v>2203</v>
      </c>
      <c r="C1353" s="893" t="s">
        <v>1593</v>
      </c>
      <c r="D1353" s="895">
        <f>ROUNDUP($D$1341*D135/100,0)</f>
        <v>2</v>
      </c>
      <c r="E1353" s="894" t="s">
        <v>1761</v>
      </c>
      <c r="F1353" s="413"/>
    </row>
    <row r="1354" spans="2:6" s="479" customFormat="1" ht="16.5" x14ac:dyDescent="0.25">
      <c r="B1354" s="891" t="s">
        <v>2215</v>
      </c>
      <c r="C1354" s="893" t="s">
        <v>1594</v>
      </c>
      <c r="D1354" s="895">
        <f>ROUNDUP($D$1341*D136,0)</f>
        <v>110</v>
      </c>
      <c r="E1354" s="894" t="s">
        <v>1024</v>
      </c>
      <c r="F1354" s="413"/>
    </row>
    <row r="1355" spans="2:6" s="479" customFormat="1" x14ac:dyDescent="0.2">
      <c r="B1355" s="524"/>
      <c r="E1355" s="480"/>
    </row>
    <row r="1356" spans="2:6" s="479" customFormat="1" x14ac:dyDescent="0.2">
      <c r="B1356" s="524"/>
      <c r="C1356" s="894"/>
      <c r="D1356" s="894" t="s">
        <v>1012</v>
      </c>
      <c r="E1356" s="894" t="s">
        <v>257</v>
      </c>
      <c r="F1356" s="894" t="s">
        <v>1657</v>
      </c>
    </row>
    <row r="1357" spans="2:6" s="479" customFormat="1" x14ac:dyDescent="0.2">
      <c r="B1357" s="524"/>
      <c r="C1357" s="894" t="s">
        <v>3431</v>
      </c>
      <c r="D1357" s="898">
        <f>+D179</f>
        <v>6500</v>
      </c>
      <c r="E1357" s="898">
        <f>+D1357*D1341</f>
        <v>29575</v>
      </c>
      <c r="F1357" s="899">
        <f>ROUND(E1357/'COSTOS MO CUADRILLA'!K33,0)</f>
        <v>11</v>
      </c>
    </row>
    <row r="1358" spans="2:6" s="479" customFormat="1" x14ac:dyDescent="0.2">
      <c r="B1358" s="524"/>
      <c r="C1358" s="893"/>
      <c r="D1358" s="894" t="s">
        <v>1016</v>
      </c>
      <c r="E1358" s="898">
        <f>SUM(E1357:E1357)</f>
        <v>29575</v>
      </c>
      <c r="F1358" s="899">
        <f>+E1358/'COSTOS MO CUADRILLA'!K33</f>
        <v>10.586129753914989</v>
      </c>
    </row>
    <row r="1360" spans="2:6" ht="21" x14ac:dyDescent="0.2">
      <c r="C1360" s="471" t="s">
        <v>2125</v>
      </c>
      <c r="D1360" s="1148" t="s">
        <v>189</v>
      </c>
      <c r="E1360" s="1148"/>
      <c r="F1360" s="1148"/>
    </row>
    <row r="1362" spans="2:6" s="479" customFormat="1" ht="18.75" x14ac:dyDescent="0.25">
      <c r="B1362" s="524"/>
      <c r="C1362" s="1052" t="s">
        <v>1084</v>
      </c>
      <c r="E1362" s="480"/>
    </row>
    <row r="1363" spans="2:6" s="479" customFormat="1" ht="16.5" x14ac:dyDescent="0.25">
      <c r="B1363" s="524"/>
      <c r="D1363" s="413"/>
      <c r="E1363" s="710"/>
    </row>
    <row r="1364" spans="2:6" s="479" customFormat="1" ht="16.5" x14ac:dyDescent="0.25">
      <c r="B1364" s="524"/>
      <c r="C1364" s="481" t="s">
        <v>1828</v>
      </c>
      <c r="D1364" s="880">
        <v>2.9</v>
      </c>
      <c r="E1364" s="485" t="s">
        <v>137</v>
      </c>
      <c r="F1364" s="413"/>
    </row>
    <row r="1365" spans="2:6" s="479" customFormat="1" ht="16.5" x14ac:dyDescent="0.25">
      <c r="B1365" s="524"/>
      <c r="C1365" s="481" t="s">
        <v>1829</v>
      </c>
      <c r="D1365" s="880">
        <v>38.299999999999997</v>
      </c>
      <c r="E1365" s="485" t="s">
        <v>137</v>
      </c>
      <c r="F1365" s="413"/>
    </row>
    <row r="1366" spans="2:6" s="479" customFormat="1" ht="16.5" x14ac:dyDescent="0.25">
      <c r="B1366" s="524"/>
      <c r="C1366" s="481" t="s">
        <v>1055</v>
      </c>
      <c r="D1366" s="498">
        <f>+D1364+D1365</f>
        <v>41.199999999999996</v>
      </c>
      <c r="E1366" s="485" t="s">
        <v>137</v>
      </c>
      <c r="F1366" s="413"/>
    </row>
    <row r="1367" spans="2:6" s="479" customFormat="1" x14ac:dyDescent="0.2">
      <c r="B1367" s="524"/>
      <c r="E1367" s="480"/>
      <c r="F1367" s="500"/>
    </row>
    <row r="1368" spans="2:6" s="479" customFormat="1" x14ac:dyDescent="0.2">
      <c r="B1368" s="524"/>
      <c r="C1368" s="894" t="s">
        <v>1546</v>
      </c>
      <c r="D1368" s="894" t="s">
        <v>13</v>
      </c>
      <c r="E1368" s="894" t="s">
        <v>14</v>
      </c>
      <c r="F1368" s="500"/>
    </row>
    <row r="1369" spans="2:6" s="479" customFormat="1" ht="16.5" x14ac:dyDescent="0.25">
      <c r="B1369" s="891" t="s">
        <v>2223</v>
      </c>
      <c r="C1369" s="893" t="s">
        <v>1830</v>
      </c>
      <c r="D1369" s="895">
        <f>ROUNDUP($D$1365*D118,0)</f>
        <v>15</v>
      </c>
      <c r="E1369" s="894" t="s">
        <v>1024</v>
      </c>
      <c r="F1369" s="413"/>
    </row>
    <row r="1370" spans="2:6" s="479" customFormat="1" ht="16.5" x14ac:dyDescent="0.25">
      <c r="B1370" s="891" t="s">
        <v>2224</v>
      </c>
      <c r="C1370" s="893" t="s">
        <v>1831</v>
      </c>
      <c r="D1370" s="895">
        <f>ROUNDUP($D$1364*D118,0)</f>
        <v>2</v>
      </c>
      <c r="E1370" s="894" t="s">
        <v>1024</v>
      </c>
      <c r="F1370" s="413"/>
    </row>
    <row r="1371" spans="2:6" s="479" customFormat="1" ht="16.5" x14ac:dyDescent="0.25">
      <c r="B1371" s="891" t="s">
        <v>2221</v>
      </c>
      <c r="C1371" s="893" t="str">
        <f>+C119</f>
        <v>Perfil omega</v>
      </c>
      <c r="D1371" s="895">
        <f>ROUNDUP($D$1366*D119,0)</f>
        <v>33</v>
      </c>
      <c r="E1371" s="894" t="s">
        <v>1024</v>
      </c>
      <c r="F1371" s="413"/>
    </row>
    <row r="1372" spans="2:6" s="479" customFormat="1" ht="16.5" x14ac:dyDescent="0.25">
      <c r="B1372" s="891" t="s">
        <v>1931</v>
      </c>
      <c r="C1372" s="893" t="str">
        <f>+C120</f>
        <v>Canal para cielo</v>
      </c>
      <c r="D1372" s="895">
        <f>ROUNDUP($D$1366*D120,0)</f>
        <v>9</v>
      </c>
      <c r="E1372" s="894" t="s">
        <v>1024</v>
      </c>
      <c r="F1372" s="413"/>
    </row>
    <row r="1373" spans="2:6" s="479" customFormat="1" ht="16.5" x14ac:dyDescent="0.25">
      <c r="B1373" s="891" t="s">
        <v>2220</v>
      </c>
      <c r="C1373" s="893" t="str">
        <f>+C121</f>
        <v>Angular de metal</v>
      </c>
      <c r="D1373" s="895">
        <f>ROUNDUP($D$1366*D121,0)</f>
        <v>11</v>
      </c>
      <c r="E1373" s="894" t="s">
        <v>1024</v>
      </c>
      <c r="F1373" s="413"/>
    </row>
    <row r="1374" spans="2:6" s="479" customFormat="1" ht="16.5" x14ac:dyDescent="0.25">
      <c r="B1374" s="891" t="s">
        <v>2225</v>
      </c>
      <c r="C1374" s="893" t="str">
        <f>+C122</f>
        <v>Cinta papel de 2"x76m</v>
      </c>
      <c r="D1374" s="895">
        <f>ROUNDUP($D$1366*D122,0)</f>
        <v>1</v>
      </c>
      <c r="E1374" s="894" t="s">
        <v>1760</v>
      </c>
      <c r="F1374" s="413"/>
    </row>
    <row r="1375" spans="2:6" s="479" customFormat="1" ht="16.5" x14ac:dyDescent="0.25">
      <c r="B1375" s="891" t="s">
        <v>2222</v>
      </c>
      <c r="C1375" s="893" t="s">
        <v>1599</v>
      </c>
      <c r="D1375" s="895">
        <f>ROUNDUP($D$1366*D130/100,0)</f>
        <v>2</v>
      </c>
      <c r="E1375" s="894" t="s">
        <v>1811</v>
      </c>
      <c r="F1375" s="413"/>
    </row>
    <row r="1376" spans="2:6" s="479" customFormat="1" ht="16.5" x14ac:dyDescent="0.25">
      <c r="B1376" s="891" t="s">
        <v>2006</v>
      </c>
      <c r="C1376" s="893" t="s">
        <v>1600</v>
      </c>
      <c r="D1376" s="895">
        <f>ROUNDUP($D$1366*D131/100,0)</f>
        <v>2</v>
      </c>
      <c r="E1376" s="894" t="s">
        <v>1811</v>
      </c>
      <c r="F1376" s="413"/>
    </row>
    <row r="1377" spans="2:13" s="479" customFormat="1" ht="16.5" x14ac:dyDescent="0.25">
      <c r="B1377" s="891" t="s">
        <v>2208</v>
      </c>
      <c r="C1377" s="893" t="str">
        <f>+C124</f>
        <v>Tornillo frijolillo</v>
      </c>
      <c r="D1377" s="895">
        <f>ROUNDUP($D$1366*D124/100,0)</f>
        <v>11</v>
      </c>
      <c r="E1377" s="894" t="s">
        <v>1761</v>
      </c>
      <c r="F1377" s="413"/>
    </row>
    <row r="1378" spans="2:13" s="479" customFormat="1" ht="16.5" x14ac:dyDescent="0.25">
      <c r="B1378" s="891" t="s">
        <v>2215</v>
      </c>
      <c r="C1378" s="893" t="str">
        <f>+C125</f>
        <v>Tornillo de forro</v>
      </c>
      <c r="D1378" s="895">
        <f>ROUNDUP($D$1366*D125,0)</f>
        <v>495</v>
      </c>
      <c r="E1378" s="894" t="s">
        <v>1024</v>
      </c>
      <c r="F1378" s="413"/>
    </row>
    <row r="1380" spans="2:13" s="479" customFormat="1" x14ac:dyDescent="0.2">
      <c r="B1380" s="524"/>
      <c r="C1380" s="894"/>
      <c r="D1380" s="894" t="s">
        <v>1012</v>
      </c>
      <c r="E1380" s="894" t="s">
        <v>257</v>
      </c>
      <c r="F1380" s="894" t="s">
        <v>1657</v>
      </c>
      <c r="J1380" s="480"/>
    </row>
    <row r="1381" spans="2:13" s="479" customFormat="1" x14ac:dyDescent="0.2">
      <c r="B1381" s="524"/>
      <c r="C1381" s="894" t="s">
        <v>3432</v>
      </c>
      <c r="D1381" s="898">
        <f>+D178</f>
        <v>6000</v>
      </c>
      <c r="E1381" s="898">
        <f>+D1381*D1366</f>
        <v>247199.99999999997</v>
      </c>
      <c r="F1381" s="899">
        <f>ROUND(E1381/'COSTOS MO CUADRILLA'!K34,0)</f>
        <v>88</v>
      </c>
      <c r="J1381" s="480"/>
    </row>
    <row r="1382" spans="2:13" s="479" customFormat="1" x14ac:dyDescent="0.2">
      <c r="B1382" s="524"/>
      <c r="C1382" s="893"/>
      <c r="D1382" s="894" t="s">
        <v>1016</v>
      </c>
      <c r="E1382" s="898">
        <f>SUM(E1381:E1381)</f>
        <v>247199.99999999997</v>
      </c>
      <c r="F1382" s="899">
        <f>+E1382/'COSTOS MO CUADRILLA'!K34</f>
        <v>88.483221476510053</v>
      </c>
      <c r="G1382" s="480"/>
      <c r="H1382" s="480"/>
      <c r="I1382" s="495"/>
      <c r="J1382" s="496"/>
    </row>
    <row r="1383" spans="2:13" s="479" customFormat="1" x14ac:dyDescent="0.2">
      <c r="B1383" s="524"/>
      <c r="E1383" s="480"/>
      <c r="J1383" s="480"/>
    </row>
    <row r="1384" spans="2:13" s="479" customFormat="1" ht="18.75" x14ac:dyDescent="0.25">
      <c r="B1384" s="524"/>
      <c r="C1384" s="1052" t="s">
        <v>1085</v>
      </c>
      <c r="E1384" s="480"/>
      <c r="J1384" s="480"/>
      <c r="L1384" s="505"/>
    </row>
    <row r="1385" spans="2:13" s="479" customFormat="1" x14ac:dyDescent="0.2">
      <c r="B1385" s="524"/>
      <c r="E1385" s="480"/>
    </row>
    <row r="1386" spans="2:13" s="479" customFormat="1" x14ac:dyDescent="0.2">
      <c r="B1386" s="524"/>
      <c r="C1386" s="509" t="s">
        <v>3542</v>
      </c>
      <c r="E1386" s="480"/>
    </row>
    <row r="1387" spans="2:13" s="479" customFormat="1" x14ac:dyDescent="0.2">
      <c r="B1387" s="524"/>
      <c r="C1387" s="491" t="s">
        <v>1026</v>
      </c>
      <c r="D1387" s="491" t="s">
        <v>1041</v>
      </c>
      <c r="E1387" s="491" t="s">
        <v>1087</v>
      </c>
      <c r="F1387" s="485" t="s">
        <v>1088</v>
      </c>
      <c r="H1387" s="868" t="s">
        <v>3528</v>
      </c>
      <c r="I1387" s="517"/>
      <c r="J1387" s="517"/>
      <c r="K1387" s="517"/>
      <c r="L1387" s="499"/>
      <c r="M1387" s="499"/>
    </row>
    <row r="1388" spans="2:13" s="479" customFormat="1" ht="16.5" x14ac:dyDescent="0.25">
      <c r="B1388" s="524"/>
      <c r="C1388" s="912">
        <v>4.5</v>
      </c>
      <c r="D1388" s="912">
        <v>2.6</v>
      </c>
      <c r="E1388" s="490">
        <f>C1388*D1388</f>
        <v>11.700000000000001</v>
      </c>
      <c r="F1388" s="485" t="s">
        <v>1089</v>
      </c>
      <c r="G1388" s="413"/>
      <c r="H1388" s="878">
        <v>0</v>
      </c>
      <c r="I1388" s="529"/>
      <c r="J1388" s="529"/>
      <c r="K1388" s="517"/>
      <c r="L1388" s="529"/>
      <c r="M1388" s="499"/>
    </row>
    <row r="1389" spans="2:13" s="479" customFormat="1" ht="16.5" x14ac:dyDescent="0.25">
      <c r="B1389" s="524"/>
      <c r="C1389" s="951"/>
      <c r="D1389" s="912"/>
      <c r="E1389" s="490">
        <f>C1389*D1389</f>
        <v>0</v>
      </c>
      <c r="F1389" s="485" t="s">
        <v>1089</v>
      </c>
      <c r="G1389" s="413"/>
      <c r="H1389" s="517"/>
      <c r="I1389" s="529"/>
      <c r="J1389" s="529"/>
      <c r="K1389" s="517"/>
      <c r="L1389" s="529"/>
      <c r="M1389" s="499"/>
    </row>
    <row r="1390" spans="2:13" s="479" customFormat="1" x14ac:dyDescent="0.2">
      <c r="B1390" s="524"/>
      <c r="C1390" s="485">
        <f>SUM(C1388:C1389)</f>
        <v>4.5</v>
      </c>
      <c r="E1390" s="498">
        <f>SUM(E1388:E1389)-H1388</f>
        <v>11.700000000000001</v>
      </c>
      <c r="H1390" s="517"/>
      <c r="I1390" s="529"/>
      <c r="J1390" s="529"/>
      <c r="K1390" s="517"/>
      <c r="L1390" s="529"/>
      <c r="M1390" s="499"/>
    </row>
    <row r="1391" spans="2:13" s="479" customFormat="1" x14ac:dyDescent="0.2">
      <c r="B1391" s="524"/>
      <c r="D1391" s="480"/>
      <c r="E1391" s="480"/>
      <c r="H1391" s="529"/>
      <c r="I1391" s="529"/>
      <c r="J1391" s="529"/>
      <c r="K1391" s="517"/>
      <c r="L1391" s="529"/>
      <c r="M1391" s="499"/>
    </row>
    <row r="1392" spans="2:13" s="479" customFormat="1" x14ac:dyDescent="0.2">
      <c r="B1392" s="524"/>
      <c r="C1392" s="509" t="s">
        <v>3541</v>
      </c>
      <c r="D1392" s="480"/>
      <c r="E1392" s="480"/>
      <c r="H1392" s="529"/>
      <c r="I1392" s="529"/>
      <c r="J1392" s="529"/>
      <c r="K1392" s="517"/>
      <c r="L1392" s="529"/>
      <c r="M1392" s="499"/>
    </row>
    <row r="1393" spans="2:13" s="479" customFormat="1" x14ac:dyDescent="0.2">
      <c r="B1393" s="524"/>
      <c r="C1393" s="491" t="s">
        <v>1026</v>
      </c>
      <c r="D1393" s="491" t="s">
        <v>1041</v>
      </c>
      <c r="E1393" s="491" t="s">
        <v>1087</v>
      </c>
      <c r="F1393" s="485" t="s">
        <v>1088</v>
      </c>
      <c r="H1393" s="868" t="s">
        <v>3528</v>
      </c>
      <c r="I1393" s="517"/>
      <c r="J1393" s="517"/>
      <c r="K1393" s="517"/>
      <c r="L1393" s="499"/>
      <c r="M1393" s="499"/>
    </row>
    <row r="1394" spans="2:13" s="479" customFormat="1" ht="16.5" x14ac:dyDescent="0.25">
      <c r="B1394" s="524"/>
      <c r="C1394" s="912">
        <v>7.8</v>
      </c>
      <c r="D1394" s="912">
        <v>2.6</v>
      </c>
      <c r="E1394" s="490">
        <f>C1394*D1394</f>
        <v>20.28</v>
      </c>
      <c r="F1394" s="485" t="s">
        <v>1089</v>
      </c>
      <c r="G1394" s="413"/>
      <c r="H1394" s="878">
        <f>3*1.7</f>
        <v>5.0999999999999996</v>
      </c>
      <c r="I1394" s="529"/>
      <c r="J1394" s="529"/>
      <c r="K1394" s="517"/>
      <c r="L1394" s="529"/>
      <c r="M1394" s="499"/>
    </row>
    <row r="1395" spans="2:13" s="479" customFormat="1" ht="16.5" x14ac:dyDescent="0.25">
      <c r="B1395" s="524"/>
      <c r="C1395" s="951">
        <v>11</v>
      </c>
      <c r="D1395" s="912">
        <v>1.6</v>
      </c>
      <c r="E1395" s="490">
        <f>C1395*D1395</f>
        <v>17.600000000000001</v>
      </c>
      <c r="F1395" s="485" t="s">
        <v>1089</v>
      </c>
      <c r="G1395" s="413"/>
      <c r="H1395" s="517"/>
      <c r="I1395" s="529"/>
      <c r="J1395" s="529"/>
      <c r="K1395" s="517"/>
      <c r="L1395" s="529"/>
      <c r="M1395" s="499"/>
    </row>
    <row r="1396" spans="2:13" s="479" customFormat="1" x14ac:dyDescent="0.2">
      <c r="B1396" s="524"/>
      <c r="C1396" s="485">
        <f>SUM(C1394:C1395)</f>
        <v>18.8</v>
      </c>
      <c r="E1396" s="498">
        <f>SUM(E1394:E1395)-H1394</f>
        <v>32.78</v>
      </c>
      <c r="H1396" s="517"/>
      <c r="I1396" s="529"/>
      <c r="J1396" s="529"/>
      <c r="K1396" s="517"/>
      <c r="L1396" s="529"/>
      <c r="M1396" s="499"/>
    </row>
    <row r="1397" spans="2:13" s="479" customFormat="1" x14ac:dyDescent="0.2">
      <c r="B1397" s="524"/>
      <c r="D1397" s="480"/>
      <c r="E1397" s="480"/>
      <c r="H1397" s="529"/>
      <c r="I1397" s="529"/>
      <c r="J1397" s="529"/>
      <c r="K1397" s="517"/>
      <c r="L1397" s="529"/>
      <c r="M1397" s="499"/>
    </row>
    <row r="1398" spans="2:13" s="479" customFormat="1" x14ac:dyDescent="0.2">
      <c r="B1398" s="524"/>
      <c r="C1398" s="894" t="s">
        <v>1546</v>
      </c>
      <c r="D1398" s="894" t="s">
        <v>13</v>
      </c>
      <c r="E1398" s="894" t="s">
        <v>14</v>
      </c>
      <c r="F1398" s="500"/>
      <c r="H1398" s="529"/>
      <c r="I1398" s="529"/>
      <c r="J1398" s="529"/>
      <c r="K1398" s="517"/>
      <c r="L1398" s="529"/>
      <c r="M1398" s="499"/>
    </row>
    <row r="1399" spans="2:13" s="479" customFormat="1" ht="16.5" x14ac:dyDescent="0.25">
      <c r="B1399" s="891" t="s">
        <v>2214</v>
      </c>
      <c r="C1399" s="893" t="s">
        <v>1833</v>
      </c>
      <c r="D1399" s="895">
        <f>ROUNDUP(($E$1390+E1396)*D127/2,0)</f>
        <v>17</v>
      </c>
      <c r="E1399" s="894" t="s">
        <v>1024</v>
      </c>
      <c r="F1399" s="413"/>
      <c r="H1399" s="529"/>
      <c r="I1399" s="529"/>
      <c r="J1399" s="529"/>
      <c r="K1399" s="517"/>
      <c r="L1399" s="529"/>
      <c r="M1399" s="499"/>
    </row>
    <row r="1400" spans="2:13" s="479" customFormat="1" ht="16.5" x14ac:dyDescent="0.25">
      <c r="B1400" s="891" t="s">
        <v>2223</v>
      </c>
      <c r="C1400" s="893" t="s">
        <v>1834</v>
      </c>
      <c r="D1400" s="895">
        <f>+D1399</f>
        <v>17</v>
      </c>
      <c r="E1400" s="894" t="s">
        <v>1024</v>
      </c>
      <c r="F1400" s="413"/>
      <c r="H1400" s="539"/>
      <c r="I1400" s="517"/>
      <c r="J1400" s="517"/>
      <c r="K1400" s="515"/>
      <c r="L1400" s="517"/>
      <c r="M1400" s="514"/>
    </row>
    <row r="1401" spans="2:13" s="479" customFormat="1" ht="16.5" x14ac:dyDescent="0.25">
      <c r="B1401" s="891" t="s">
        <v>2091</v>
      </c>
      <c r="C1401" s="893" t="str">
        <f>_xlfn.XLOOKUP(B1401,'BASE DATOS PRECIOS '!B:B,'BASE DATOS PRECIOS '!E:E,0,0,1)</f>
        <v>STUD 3X10 CAL#25</v>
      </c>
      <c r="D1401" s="895">
        <f>ROUNDUP($E$1390*D128,0)</f>
        <v>11</v>
      </c>
      <c r="E1401" s="894" t="s">
        <v>1024</v>
      </c>
      <c r="F1401" s="413"/>
      <c r="J1401" s="480"/>
    </row>
    <row r="1402" spans="2:13" s="479" customFormat="1" ht="16.5" x14ac:dyDescent="0.25">
      <c r="B1402" s="891" t="s">
        <v>2218</v>
      </c>
      <c r="C1402" s="893" t="str">
        <f>_xlfn.XLOOKUP(B1402,'BASE DATOS PRECIOS '!B:B,'BASE DATOS PRECIOS '!E:E,0,0,1)</f>
        <v>TRACK 3X10 CAL#25</v>
      </c>
      <c r="D1402" s="895">
        <f>ROUNDUP(C1390*2/3,0)</f>
        <v>3</v>
      </c>
      <c r="E1402" s="894" t="s">
        <v>1024</v>
      </c>
      <c r="F1402" s="413"/>
      <c r="J1402" s="480"/>
    </row>
    <row r="1403" spans="2:13" s="479" customFormat="1" ht="16.5" x14ac:dyDescent="0.25">
      <c r="B1403" s="891" t="s">
        <v>2533</v>
      </c>
      <c r="C1403" s="893" t="str">
        <f>_xlfn.XLOOKUP(B1403,'BASE DATOS PRECIOS '!B:B,'BASE DATOS PRECIOS '!E:E,0,0,1)</f>
        <v>STUD 4X10 CAL#25</v>
      </c>
      <c r="D1403" s="895">
        <f>ROUNDUP(E$1396*$D$128,0)</f>
        <v>31</v>
      </c>
      <c r="E1403" s="894" t="s">
        <v>1024</v>
      </c>
      <c r="F1403" s="413"/>
      <c r="J1403" s="480"/>
    </row>
    <row r="1404" spans="2:13" s="479" customFormat="1" ht="16.5" x14ac:dyDescent="0.25">
      <c r="B1404" s="891" t="s">
        <v>2540</v>
      </c>
      <c r="C1404" s="893" t="str">
        <f>_xlfn.XLOOKUP(B1404,'BASE DATOS PRECIOS '!B:B,'BASE DATOS PRECIOS '!E:E,0,0,1)</f>
        <v>TRACK 4X10 CAL#25</v>
      </c>
      <c r="D1404" s="895">
        <f>ROUNDUP(C1396*2/3,0)</f>
        <v>13</v>
      </c>
      <c r="E1404" s="894" t="s">
        <v>1024</v>
      </c>
      <c r="F1404" s="413"/>
      <c r="J1404" s="480"/>
    </row>
    <row r="1405" spans="2:13" s="479" customFormat="1" ht="16.5" x14ac:dyDescent="0.25">
      <c r="B1405" s="891" t="s">
        <v>2222</v>
      </c>
      <c r="C1405" s="893" t="str">
        <f t="shared" ref="C1405:C1411" si="115">+C130</f>
        <v>Clavo de impacto</v>
      </c>
      <c r="D1405" s="895">
        <f>ROUNDUP(($E$1390+E1396)*D130,0)</f>
        <v>189</v>
      </c>
      <c r="E1405" s="894" t="s">
        <v>1024</v>
      </c>
      <c r="F1405" s="413"/>
      <c r="J1405" s="480"/>
    </row>
    <row r="1406" spans="2:13" s="479" customFormat="1" ht="16.5" x14ac:dyDescent="0.25">
      <c r="B1406" s="891" t="s">
        <v>2006</v>
      </c>
      <c r="C1406" s="893" t="str">
        <f t="shared" si="115"/>
        <v>Tiro verde</v>
      </c>
      <c r="D1406" s="895">
        <f>ROUNDUP(($E$1390+E1396)*D131,0)/100</f>
        <v>1.89</v>
      </c>
      <c r="E1406" s="894" t="s">
        <v>377</v>
      </c>
      <c r="F1406" s="413"/>
      <c r="J1406" s="480"/>
    </row>
    <row r="1407" spans="2:13" s="479" customFormat="1" ht="16.5" x14ac:dyDescent="0.25">
      <c r="B1407" s="891" t="s">
        <v>2216</v>
      </c>
      <c r="C1407" s="893" t="str">
        <f t="shared" si="115"/>
        <v xml:space="preserve">Cinta malla </v>
      </c>
      <c r="D1407" s="895">
        <f>ROUNDUP(($E$1390+E1396)*D132,0)</f>
        <v>3</v>
      </c>
      <c r="E1407" s="894" t="s">
        <v>1760</v>
      </c>
      <c r="F1407" s="413"/>
      <c r="J1407" s="480"/>
    </row>
    <row r="1408" spans="2:13" s="479" customFormat="1" ht="16.5" x14ac:dyDescent="0.25">
      <c r="B1408" s="891" t="s">
        <v>2003</v>
      </c>
      <c r="C1408" s="893" t="str">
        <f t="shared" si="115"/>
        <v>Jota de plástico</v>
      </c>
      <c r="D1408" s="895">
        <f>ROUNDUP(($E$1390+E1396)*D133,0)</f>
        <v>17</v>
      </c>
      <c r="E1408" s="894" t="s">
        <v>1024</v>
      </c>
      <c r="F1408" s="413"/>
      <c r="J1408" s="480"/>
    </row>
    <row r="1409" spans="2:13" s="479" customFormat="1" ht="16.5" x14ac:dyDescent="0.25">
      <c r="B1409" s="891" t="s">
        <v>2217</v>
      </c>
      <c r="C1409" s="893" t="str">
        <f t="shared" si="115"/>
        <v>Esquinero de plástico</v>
      </c>
      <c r="D1409" s="895">
        <f>ROUNDUP(($E$1390+E1396)*D134,0)</f>
        <v>17</v>
      </c>
      <c r="E1409" s="894" t="s">
        <v>1024</v>
      </c>
      <c r="F1409" s="413"/>
      <c r="J1409" s="480"/>
    </row>
    <row r="1410" spans="2:13" s="479" customFormat="1" ht="16.5" x14ac:dyDescent="0.25">
      <c r="B1410" s="891" t="s">
        <v>2208</v>
      </c>
      <c r="C1410" s="893" t="str">
        <f t="shared" si="115"/>
        <v>Tornillo frijolillo</v>
      </c>
      <c r="D1410" s="895">
        <f>ROUNDUP(($E$1390+E1396)*D135/100,0)</f>
        <v>12</v>
      </c>
      <c r="E1410" s="894" t="s">
        <v>1761</v>
      </c>
      <c r="F1410" s="413"/>
      <c r="J1410" s="480"/>
    </row>
    <row r="1411" spans="2:13" s="479" customFormat="1" ht="16.5" x14ac:dyDescent="0.25">
      <c r="B1411" s="891" t="s">
        <v>2215</v>
      </c>
      <c r="C1411" s="893" t="str">
        <f t="shared" si="115"/>
        <v>Tornillo de forro</v>
      </c>
      <c r="D1411" s="895">
        <f>ROUNDUP(($E$1390+E1396)*D136,0)</f>
        <v>1068</v>
      </c>
      <c r="E1411" s="894" t="s">
        <v>1024</v>
      </c>
      <c r="F1411" s="413"/>
      <c r="J1411" s="480"/>
    </row>
    <row r="1413" spans="2:13" s="479" customFormat="1" x14ac:dyDescent="0.2">
      <c r="C1413" s="896"/>
      <c r="D1413" s="896" t="s">
        <v>1012</v>
      </c>
      <c r="E1413" s="896" t="s">
        <v>257</v>
      </c>
      <c r="F1413" s="896" t="s">
        <v>1657</v>
      </c>
      <c r="J1413" s="480"/>
    </row>
    <row r="1414" spans="2:13" s="479" customFormat="1" ht="14.85" customHeight="1" x14ac:dyDescent="0.2">
      <c r="C1414" s="896" t="s">
        <v>3433</v>
      </c>
      <c r="D1414" s="900">
        <f>+D179</f>
        <v>6500</v>
      </c>
      <c r="E1414" s="900">
        <f>+D1414*E1390</f>
        <v>76050</v>
      </c>
      <c r="F1414" s="901">
        <f>ROUND(E1414/'COSTOS MO CUADRILLA'!K34,0)</f>
        <v>27</v>
      </c>
    </row>
    <row r="1415" spans="2:13" s="479" customFormat="1" x14ac:dyDescent="0.2">
      <c r="C1415" s="903"/>
      <c r="D1415" s="896" t="s">
        <v>1016</v>
      </c>
      <c r="E1415" s="900">
        <f>SUM(E1414:E1414)</f>
        <v>76050</v>
      </c>
      <c r="F1415" s="901">
        <f>+E1415/'COSTOS MO CUADRILLA'!K34</f>
        <v>27.221476510067113</v>
      </c>
      <c r="G1415" s="480"/>
    </row>
    <row r="1417" spans="2:13" ht="21" x14ac:dyDescent="0.2">
      <c r="C1417" s="474">
        <v>2</v>
      </c>
      <c r="D1417" s="474" t="s">
        <v>373</v>
      </c>
      <c r="G1417" s="100"/>
    </row>
    <row r="1418" spans="2:13" x14ac:dyDescent="0.2">
      <c r="G1418" s="100"/>
    </row>
    <row r="1419" spans="2:13" ht="21" x14ac:dyDescent="0.2">
      <c r="C1419" s="470">
        <v>2.1</v>
      </c>
      <c r="D1419" s="470" t="s">
        <v>3139</v>
      </c>
      <c r="G1419" s="100"/>
    </row>
    <row r="1420" spans="2:13" x14ac:dyDescent="0.2">
      <c r="G1420" s="531" t="s">
        <v>3593</v>
      </c>
      <c r="J1420" s="531" t="s">
        <v>1107</v>
      </c>
      <c r="K1420" s="531"/>
      <c r="L1420" s="501">
        <v>0.55000000000000004</v>
      </c>
      <c r="M1420" s="479"/>
    </row>
    <row r="1421" spans="2:13" s="479" customFormat="1" ht="18.75" x14ac:dyDescent="0.25">
      <c r="C1421" s="1052" t="s">
        <v>1763</v>
      </c>
      <c r="E1421" s="480"/>
      <c r="G1421" s="532" t="s">
        <v>1146</v>
      </c>
      <c r="H1421" s="532" t="s">
        <v>1461</v>
      </c>
      <c r="I1421" s="533" t="s">
        <v>1139</v>
      </c>
      <c r="J1421" s="532" t="s">
        <v>1146</v>
      </c>
      <c r="K1421" s="532" t="s">
        <v>1461</v>
      </c>
      <c r="L1421" s="532" t="s">
        <v>3096</v>
      </c>
      <c r="M1421" s="532" t="s">
        <v>3594</v>
      </c>
    </row>
    <row r="1422" spans="2:13" s="479" customFormat="1" x14ac:dyDescent="0.2">
      <c r="E1422" s="480"/>
      <c r="G1422" s="920">
        <f t="shared" ref="G1422:G1443" si="116">D71</f>
        <v>2.15</v>
      </c>
      <c r="H1422" s="920">
        <f t="shared" ref="H1422:H1443" si="117">E71</f>
        <v>0.6</v>
      </c>
      <c r="I1422" s="498">
        <f t="shared" ref="I1422:I1443" si="118">+G1422*H1422</f>
        <v>1.2899999999999998</v>
      </c>
      <c r="J1422" s="920">
        <f t="shared" ref="J1422:J1452" si="119">D39</f>
        <v>2.15</v>
      </c>
      <c r="K1422" s="920">
        <f t="shared" ref="K1422:K1452" si="120">E39</f>
        <v>1</v>
      </c>
      <c r="L1422" s="498">
        <f>$L$1420*K1422</f>
        <v>0.55000000000000004</v>
      </c>
      <c r="M1422" s="498">
        <f>+J1422*K1422</f>
        <v>2.15</v>
      </c>
    </row>
    <row r="1423" spans="2:13" s="479" customFormat="1" ht="16.350000000000001" customHeight="1" x14ac:dyDescent="0.25">
      <c r="C1423" s="481" t="s">
        <v>1764</v>
      </c>
      <c r="D1423" s="485">
        <f>D26</f>
        <v>49.8</v>
      </c>
      <c r="E1423" s="485" t="s">
        <v>1008</v>
      </c>
      <c r="F1423" s="413"/>
      <c r="G1423" s="920">
        <f t="shared" si="116"/>
        <v>0.55000000000000004</v>
      </c>
      <c r="H1423" s="920">
        <f t="shared" si="117"/>
        <v>0.55000000000000004</v>
      </c>
      <c r="I1423" s="498">
        <f t="shared" si="118"/>
        <v>0.30250000000000005</v>
      </c>
      <c r="J1423" s="920">
        <f t="shared" si="119"/>
        <v>2.15</v>
      </c>
      <c r="K1423" s="920">
        <f t="shared" si="120"/>
        <v>0.8</v>
      </c>
      <c r="L1423" s="498">
        <f t="shared" ref="L1423:L1452" si="121">$L$1420*K1423</f>
        <v>0.44000000000000006</v>
      </c>
      <c r="M1423" s="498">
        <f t="shared" ref="M1423:M1452" si="122">+J1423*K1423</f>
        <v>1.72</v>
      </c>
    </row>
    <row r="1424" spans="2:13" s="479" customFormat="1" ht="16.5" x14ac:dyDescent="0.25">
      <c r="C1424" s="481" t="s">
        <v>1765</v>
      </c>
      <c r="D1424" s="498">
        <f>D27</f>
        <v>2.6</v>
      </c>
      <c r="E1424" s="485" t="s">
        <v>1076</v>
      </c>
      <c r="F1424" s="413"/>
      <c r="G1424" s="920">
        <f t="shared" si="116"/>
        <v>0.55000000000000004</v>
      </c>
      <c r="H1424" s="920">
        <f t="shared" si="117"/>
        <v>0.55000000000000004</v>
      </c>
      <c r="I1424" s="498">
        <f t="shared" si="118"/>
        <v>0.30250000000000005</v>
      </c>
      <c r="J1424" s="920">
        <f t="shared" si="119"/>
        <v>1.1499999999999999</v>
      </c>
      <c r="K1424" s="920">
        <f t="shared" si="120"/>
        <v>0.8</v>
      </c>
      <c r="L1424" s="498">
        <f t="shared" si="121"/>
        <v>0.44000000000000006</v>
      </c>
      <c r="M1424" s="498">
        <f t="shared" si="122"/>
        <v>0.91999999999999993</v>
      </c>
    </row>
    <row r="1425" spans="3:13" s="479" customFormat="1" ht="16.5" x14ac:dyDescent="0.25">
      <c r="C1425" s="481" t="s">
        <v>1087</v>
      </c>
      <c r="D1425" s="498">
        <f>(D1423*D1424)</f>
        <v>129.47999999999999</v>
      </c>
      <c r="E1425" s="485" t="s">
        <v>78</v>
      </c>
      <c r="F1425" s="413"/>
      <c r="G1425" s="920">
        <f t="shared" si="116"/>
        <v>0</v>
      </c>
      <c r="H1425" s="920">
        <f t="shared" si="117"/>
        <v>0</v>
      </c>
      <c r="I1425" s="498">
        <f t="shared" si="118"/>
        <v>0</v>
      </c>
      <c r="J1425" s="920">
        <f t="shared" si="119"/>
        <v>2.15</v>
      </c>
      <c r="K1425" s="920">
        <f t="shared" si="120"/>
        <v>1.8</v>
      </c>
      <c r="L1425" s="498">
        <f t="shared" si="121"/>
        <v>0.9900000000000001</v>
      </c>
      <c r="M1425" s="498">
        <f t="shared" si="122"/>
        <v>3.87</v>
      </c>
    </row>
    <row r="1426" spans="3:13" s="479" customFormat="1" ht="16.5" x14ac:dyDescent="0.25">
      <c r="C1426" s="481" t="s">
        <v>1766</v>
      </c>
      <c r="D1426" s="498">
        <f>D28</f>
        <v>41.8</v>
      </c>
      <c r="E1426" s="485" t="s">
        <v>1008</v>
      </c>
      <c r="F1426" s="413"/>
      <c r="G1426" s="920">
        <f t="shared" si="116"/>
        <v>0</v>
      </c>
      <c r="H1426" s="920">
        <f t="shared" si="117"/>
        <v>0</v>
      </c>
      <c r="I1426" s="498">
        <f t="shared" si="118"/>
        <v>0</v>
      </c>
      <c r="J1426" s="920">
        <f t="shared" si="119"/>
        <v>2.15</v>
      </c>
      <c r="K1426" s="920">
        <f t="shared" si="120"/>
        <v>0.9</v>
      </c>
      <c r="L1426" s="498">
        <f t="shared" si="121"/>
        <v>0.49500000000000005</v>
      </c>
      <c r="M1426" s="498">
        <f t="shared" si="122"/>
        <v>1.9350000000000001</v>
      </c>
    </row>
    <row r="1427" spans="3:13" s="479" customFormat="1" ht="16.5" x14ac:dyDescent="0.25">
      <c r="C1427" s="481" t="s">
        <v>1767</v>
      </c>
      <c r="D1427" s="498">
        <f>D29</f>
        <v>2.6</v>
      </c>
      <c r="E1427" s="485" t="s">
        <v>1076</v>
      </c>
      <c r="F1427" s="413"/>
      <c r="G1427" s="920">
        <f t="shared" si="116"/>
        <v>0</v>
      </c>
      <c r="H1427" s="920">
        <f t="shared" si="117"/>
        <v>0</v>
      </c>
      <c r="I1427" s="498">
        <f t="shared" si="118"/>
        <v>0</v>
      </c>
      <c r="J1427" s="920">
        <f t="shared" si="119"/>
        <v>2.15</v>
      </c>
      <c r="K1427" s="920">
        <f t="shared" si="120"/>
        <v>1.5</v>
      </c>
      <c r="L1427" s="498">
        <f t="shared" si="121"/>
        <v>0.82500000000000007</v>
      </c>
      <c r="M1427" s="498">
        <f t="shared" si="122"/>
        <v>3.2249999999999996</v>
      </c>
    </row>
    <row r="1428" spans="3:13" s="479" customFormat="1" ht="16.5" x14ac:dyDescent="0.25">
      <c r="C1428" s="481" t="s">
        <v>1087</v>
      </c>
      <c r="D1428" s="498">
        <f>(D1426*D1427)</f>
        <v>108.67999999999999</v>
      </c>
      <c r="E1428" s="485" t="s">
        <v>78</v>
      </c>
      <c r="F1428" s="413"/>
      <c r="G1428" s="920">
        <f t="shared" si="116"/>
        <v>0</v>
      </c>
      <c r="H1428" s="920">
        <f t="shared" si="117"/>
        <v>0</v>
      </c>
      <c r="I1428" s="498">
        <f t="shared" si="118"/>
        <v>0</v>
      </c>
      <c r="J1428" s="920">
        <f t="shared" si="119"/>
        <v>2.15</v>
      </c>
      <c r="K1428" s="920">
        <f t="shared" si="120"/>
        <v>0.7</v>
      </c>
      <c r="L1428" s="498">
        <f t="shared" si="121"/>
        <v>0.38500000000000001</v>
      </c>
      <c r="M1428" s="498">
        <f t="shared" si="122"/>
        <v>1.5049999999999999</v>
      </c>
    </row>
    <row r="1429" spans="3:13" s="479" customFormat="1" ht="14.85" customHeight="1" x14ac:dyDescent="0.2">
      <c r="C1429" s="481" t="s">
        <v>1768</v>
      </c>
      <c r="D1429" s="498">
        <f>D30</f>
        <v>24.2</v>
      </c>
      <c r="E1429" s="485" t="s">
        <v>1008</v>
      </c>
      <c r="F1429" s="505"/>
      <c r="G1429" s="920">
        <f t="shared" si="116"/>
        <v>0</v>
      </c>
      <c r="H1429" s="920">
        <f t="shared" si="117"/>
        <v>0</v>
      </c>
      <c r="I1429" s="498">
        <f>+G1429*H1429</f>
        <v>0</v>
      </c>
      <c r="J1429" s="920">
        <f t="shared" si="119"/>
        <v>2.15</v>
      </c>
      <c r="K1429" s="920">
        <f t="shared" si="120"/>
        <v>0.8</v>
      </c>
      <c r="L1429" s="498">
        <f t="shared" si="121"/>
        <v>0.44000000000000006</v>
      </c>
      <c r="M1429" s="498">
        <f t="shared" si="122"/>
        <v>1.72</v>
      </c>
    </row>
    <row r="1430" spans="3:13" s="479" customFormat="1" ht="14.85" customHeight="1" x14ac:dyDescent="0.2">
      <c r="C1430" s="481" t="s">
        <v>1769</v>
      </c>
      <c r="D1430" s="498">
        <f>D31</f>
        <v>1</v>
      </c>
      <c r="E1430" s="485" t="s">
        <v>1076</v>
      </c>
      <c r="G1430" s="920">
        <f t="shared" si="116"/>
        <v>0</v>
      </c>
      <c r="H1430" s="920">
        <f t="shared" si="117"/>
        <v>0</v>
      </c>
      <c r="I1430" s="498">
        <f t="shared" si="118"/>
        <v>0</v>
      </c>
      <c r="J1430" s="920">
        <f t="shared" si="119"/>
        <v>2.15</v>
      </c>
      <c r="K1430" s="920">
        <f t="shared" si="120"/>
        <v>0.7</v>
      </c>
      <c r="L1430" s="498">
        <f t="shared" si="121"/>
        <v>0.38500000000000001</v>
      </c>
      <c r="M1430" s="498">
        <f t="shared" si="122"/>
        <v>1.5049999999999999</v>
      </c>
    </row>
    <row r="1431" spans="3:13" s="479" customFormat="1" x14ac:dyDescent="0.2">
      <c r="C1431" s="481" t="s">
        <v>1087</v>
      </c>
      <c r="D1431" s="498">
        <f>(D1429*D1430)</f>
        <v>24.2</v>
      </c>
      <c r="E1431" s="485" t="s">
        <v>78</v>
      </c>
      <c r="G1431" s="920">
        <f t="shared" si="116"/>
        <v>0</v>
      </c>
      <c r="H1431" s="920">
        <f t="shared" si="117"/>
        <v>0</v>
      </c>
      <c r="I1431" s="498">
        <f t="shared" si="118"/>
        <v>0</v>
      </c>
      <c r="J1431" s="920">
        <f t="shared" si="119"/>
        <v>0</v>
      </c>
      <c r="K1431" s="920">
        <f t="shared" si="120"/>
        <v>0</v>
      </c>
      <c r="L1431" s="498">
        <f t="shared" si="121"/>
        <v>0</v>
      </c>
      <c r="M1431" s="498">
        <f t="shared" si="122"/>
        <v>0</v>
      </c>
    </row>
    <row r="1432" spans="3:13" s="479" customFormat="1" ht="16.5" x14ac:dyDescent="0.25">
      <c r="C1432" s="952" t="s">
        <v>3124</v>
      </c>
      <c r="D1432" s="498">
        <f>+D1366</f>
        <v>41.199999999999996</v>
      </c>
      <c r="E1432" s="485" t="s">
        <v>1010</v>
      </c>
      <c r="F1432" s="413"/>
      <c r="G1432" s="920">
        <f t="shared" si="116"/>
        <v>0</v>
      </c>
      <c r="H1432" s="920">
        <f t="shared" si="117"/>
        <v>0</v>
      </c>
      <c r="I1432" s="498">
        <f t="shared" si="118"/>
        <v>0</v>
      </c>
      <c r="J1432" s="920">
        <f t="shared" si="119"/>
        <v>0</v>
      </c>
      <c r="K1432" s="920">
        <f t="shared" si="120"/>
        <v>0</v>
      </c>
      <c r="L1432" s="498">
        <f t="shared" si="121"/>
        <v>0</v>
      </c>
      <c r="M1432" s="498">
        <f t="shared" si="122"/>
        <v>0</v>
      </c>
    </row>
    <row r="1433" spans="3:13" s="479" customFormat="1" ht="16.5" x14ac:dyDescent="0.25">
      <c r="C1433" s="893" t="s">
        <v>1770</v>
      </c>
      <c r="D1433" s="895">
        <f>+D1425+D1428+D1431-I1444-M1453+D1432+(D1339*D1340)</f>
        <v>266.21249999999998</v>
      </c>
      <c r="E1433" s="894" t="s">
        <v>78</v>
      </c>
      <c r="F1433" s="413"/>
      <c r="G1433" s="920">
        <f t="shared" si="116"/>
        <v>0</v>
      </c>
      <c r="H1433" s="920">
        <f t="shared" si="117"/>
        <v>0</v>
      </c>
      <c r="I1433" s="498">
        <f t="shared" si="118"/>
        <v>0</v>
      </c>
      <c r="J1433" s="920">
        <f t="shared" si="119"/>
        <v>0</v>
      </c>
      <c r="K1433" s="920">
        <f t="shared" si="120"/>
        <v>0</v>
      </c>
      <c r="L1433" s="498">
        <f t="shared" si="121"/>
        <v>0</v>
      </c>
      <c r="M1433" s="498">
        <f t="shared" si="122"/>
        <v>0</v>
      </c>
    </row>
    <row r="1434" spans="3:13" s="479" customFormat="1" x14ac:dyDescent="0.2">
      <c r="E1434" s="480"/>
      <c r="G1434" s="920">
        <f t="shared" si="116"/>
        <v>1.95</v>
      </c>
      <c r="H1434" s="920">
        <f t="shared" si="117"/>
        <v>1.35</v>
      </c>
      <c r="I1434" s="498">
        <f t="shared" si="118"/>
        <v>2.6325000000000003</v>
      </c>
      <c r="J1434" s="920">
        <f t="shared" si="119"/>
        <v>0</v>
      </c>
      <c r="K1434" s="920">
        <f t="shared" si="120"/>
        <v>0</v>
      </c>
      <c r="L1434" s="498">
        <f t="shared" si="121"/>
        <v>0</v>
      </c>
      <c r="M1434" s="498">
        <f t="shared" si="122"/>
        <v>0</v>
      </c>
    </row>
    <row r="1435" spans="3:13" s="479" customFormat="1" ht="18.75" x14ac:dyDescent="0.25">
      <c r="C1435" s="1052" t="s">
        <v>1771</v>
      </c>
      <c r="E1435" s="480"/>
      <c r="G1435" s="920">
        <f t="shared" si="116"/>
        <v>1.95</v>
      </c>
      <c r="H1435" s="920">
        <f t="shared" si="117"/>
        <v>1.2</v>
      </c>
      <c r="I1435" s="498">
        <f t="shared" si="118"/>
        <v>2.34</v>
      </c>
      <c r="J1435" s="920">
        <f t="shared" si="119"/>
        <v>0</v>
      </c>
      <c r="K1435" s="920">
        <f t="shared" si="120"/>
        <v>0</v>
      </c>
      <c r="L1435" s="498">
        <f t="shared" si="121"/>
        <v>0</v>
      </c>
      <c r="M1435" s="498">
        <f t="shared" si="122"/>
        <v>0</v>
      </c>
    </row>
    <row r="1436" spans="3:13" s="479" customFormat="1" x14ac:dyDescent="0.2">
      <c r="E1436" s="480"/>
      <c r="G1436" s="920">
        <f t="shared" si="116"/>
        <v>1.5</v>
      </c>
      <c r="H1436" s="920">
        <f t="shared" si="117"/>
        <v>1.5</v>
      </c>
      <c r="I1436" s="498">
        <f t="shared" si="118"/>
        <v>2.25</v>
      </c>
      <c r="J1436" s="920">
        <f t="shared" si="119"/>
        <v>0</v>
      </c>
      <c r="K1436" s="920">
        <f t="shared" si="120"/>
        <v>0</v>
      </c>
      <c r="L1436" s="498">
        <f t="shared" si="121"/>
        <v>0</v>
      </c>
      <c r="M1436" s="498">
        <f t="shared" si="122"/>
        <v>0</v>
      </c>
    </row>
    <row r="1437" spans="3:13" s="479" customFormat="1" ht="14.85" customHeight="1" x14ac:dyDescent="0.2">
      <c r="C1437" s="481" t="s">
        <v>1764</v>
      </c>
      <c r="D1437" s="498">
        <v>0</v>
      </c>
      <c r="E1437" s="485" t="s">
        <v>1008</v>
      </c>
      <c r="G1437" s="920">
        <f t="shared" si="116"/>
        <v>1.5</v>
      </c>
      <c r="H1437" s="920">
        <f t="shared" si="117"/>
        <v>1.5</v>
      </c>
      <c r="I1437" s="498">
        <f t="shared" si="118"/>
        <v>2.25</v>
      </c>
      <c r="J1437" s="920">
        <f t="shared" si="119"/>
        <v>0</v>
      </c>
      <c r="K1437" s="920">
        <f t="shared" si="120"/>
        <v>0</v>
      </c>
      <c r="L1437" s="498">
        <f t="shared" si="121"/>
        <v>0</v>
      </c>
      <c r="M1437" s="498">
        <f t="shared" si="122"/>
        <v>0</v>
      </c>
    </row>
    <row r="1438" spans="3:13" s="479" customFormat="1" x14ac:dyDescent="0.2">
      <c r="C1438" s="481" t="s">
        <v>1765</v>
      </c>
      <c r="D1438" s="498">
        <v>0</v>
      </c>
      <c r="E1438" s="485" t="s">
        <v>1076</v>
      </c>
      <c r="F1438" s="505"/>
      <c r="G1438" s="920">
        <f t="shared" si="116"/>
        <v>2.1</v>
      </c>
      <c r="H1438" s="920">
        <f t="shared" si="117"/>
        <v>1.2</v>
      </c>
      <c r="I1438" s="498">
        <f t="shared" si="118"/>
        <v>2.52</v>
      </c>
      <c r="J1438" s="920">
        <f t="shared" si="119"/>
        <v>2.15</v>
      </c>
      <c r="K1438" s="920">
        <f t="shared" si="120"/>
        <v>0.9</v>
      </c>
      <c r="L1438" s="498">
        <f t="shared" si="121"/>
        <v>0.49500000000000005</v>
      </c>
      <c r="M1438" s="498">
        <f t="shared" si="122"/>
        <v>1.9350000000000001</v>
      </c>
    </row>
    <row r="1439" spans="3:13" s="479" customFormat="1" ht="16.5" x14ac:dyDescent="0.25">
      <c r="C1439" s="481" t="s">
        <v>1087</v>
      </c>
      <c r="D1439" s="880">
        <v>208.07</v>
      </c>
      <c r="E1439" s="485" t="s">
        <v>78</v>
      </c>
      <c r="F1439" s="413"/>
      <c r="G1439" s="920">
        <f t="shared" si="116"/>
        <v>0</v>
      </c>
      <c r="H1439" s="920">
        <f t="shared" si="117"/>
        <v>0</v>
      </c>
      <c r="I1439" s="498">
        <f t="shared" si="118"/>
        <v>0</v>
      </c>
      <c r="J1439" s="920">
        <f t="shared" si="119"/>
        <v>2.15</v>
      </c>
      <c r="K1439" s="920">
        <f t="shared" si="120"/>
        <v>0.8</v>
      </c>
      <c r="L1439" s="498">
        <f t="shared" si="121"/>
        <v>0.44000000000000006</v>
      </c>
      <c r="M1439" s="498">
        <f t="shared" si="122"/>
        <v>1.72</v>
      </c>
    </row>
    <row r="1440" spans="3:13" s="479" customFormat="1" x14ac:dyDescent="0.2">
      <c r="C1440" s="481" t="s">
        <v>1766</v>
      </c>
      <c r="D1440" s="498">
        <v>0</v>
      </c>
      <c r="E1440" s="485" t="s">
        <v>1008</v>
      </c>
      <c r="F1440" s="505"/>
      <c r="G1440" s="920">
        <f t="shared" si="116"/>
        <v>0</v>
      </c>
      <c r="H1440" s="920">
        <f t="shared" si="117"/>
        <v>0</v>
      </c>
      <c r="I1440" s="498">
        <f t="shared" si="118"/>
        <v>0</v>
      </c>
      <c r="J1440" s="920">
        <f t="shared" si="119"/>
        <v>2.15</v>
      </c>
      <c r="K1440" s="920">
        <f t="shared" si="120"/>
        <v>0.9</v>
      </c>
      <c r="L1440" s="498">
        <f t="shared" si="121"/>
        <v>0.49500000000000005</v>
      </c>
      <c r="M1440" s="498">
        <f t="shared" si="122"/>
        <v>1.9350000000000001</v>
      </c>
    </row>
    <row r="1441" spans="2:13" s="479" customFormat="1" x14ac:dyDescent="0.2">
      <c r="C1441" s="481" t="s">
        <v>1767</v>
      </c>
      <c r="D1441" s="498">
        <v>0</v>
      </c>
      <c r="E1441" s="485" t="s">
        <v>1076</v>
      </c>
      <c r="F1441" s="505"/>
      <c r="G1441" s="920">
        <f t="shared" si="116"/>
        <v>0</v>
      </c>
      <c r="H1441" s="920">
        <f t="shared" si="117"/>
        <v>0</v>
      </c>
      <c r="I1441" s="498">
        <f t="shared" si="118"/>
        <v>0</v>
      </c>
      <c r="J1441" s="920">
        <f t="shared" si="119"/>
        <v>2.15</v>
      </c>
      <c r="K1441" s="920">
        <f t="shared" si="120"/>
        <v>0.9</v>
      </c>
      <c r="L1441" s="498">
        <f t="shared" si="121"/>
        <v>0.49500000000000005</v>
      </c>
      <c r="M1441" s="498">
        <f t="shared" si="122"/>
        <v>1.9350000000000001</v>
      </c>
    </row>
    <row r="1442" spans="2:13" s="479" customFormat="1" ht="14.85" customHeight="1" x14ac:dyDescent="0.2">
      <c r="C1442" s="481" t="s">
        <v>1087</v>
      </c>
      <c r="D1442" s="498">
        <f>(D1440*D1441)</f>
        <v>0</v>
      </c>
      <c r="E1442" s="485" t="s">
        <v>78</v>
      </c>
      <c r="G1442" s="920">
        <f t="shared" si="116"/>
        <v>0</v>
      </c>
      <c r="H1442" s="920">
        <f t="shared" si="117"/>
        <v>0</v>
      </c>
      <c r="I1442" s="498">
        <f t="shared" si="118"/>
        <v>0</v>
      </c>
      <c r="J1442" s="920">
        <f t="shared" si="119"/>
        <v>2.15</v>
      </c>
      <c r="K1442" s="920">
        <f t="shared" si="120"/>
        <v>0.9</v>
      </c>
      <c r="L1442" s="498">
        <f t="shared" si="121"/>
        <v>0.49500000000000005</v>
      </c>
      <c r="M1442" s="498">
        <f t="shared" si="122"/>
        <v>1.9350000000000001</v>
      </c>
    </row>
    <row r="1443" spans="2:13" s="479" customFormat="1" x14ac:dyDescent="0.2">
      <c r="C1443" s="481" t="s">
        <v>1768</v>
      </c>
      <c r="D1443" s="498">
        <v>0</v>
      </c>
      <c r="E1443" s="485" t="s">
        <v>1008</v>
      </c>
      <c r="G1443" s="920">
        <f t="shared" si="116"/>
        <v>0</v>
      </c>
      <c r="H1443" s="920">
        <f t="shared" si="117"/>
        <v>0</v>
      </c>
      <c r="I1443" s="498">
        <f t="shared" si="118"/>
        <v>0</v>
      </c>
      <c r="J1443" s="920">
        <f t="shared" si="119"/>
        <v>0</v>
      </c>
      <c r="K1443" s="920">
        <f t="shared" si="120"/>
        <v>0</v>
      </c>
      <c r="L1443" s="498">
        <f t="shared" si="121"/>
        <v>0</v>
      </c>
      <c r="M1443" s="498">
        <f t="shared" si="122"/>
        <v>0</v>
      </c>
    </row>
    <row r="1444" spans="2:13" s="479" customFormat="1" x14ac:dyDescent="0.2">
      <c r="C1444" s="481" t="s">
        <v>1769</v>
      </c>
      <c r="D1444" s="498">
        <v>0</v>
      </c>
      <c r="E1444" s="485" t="s">
        <v>1076</v>
      </c>
      <c r="H1444"/>
      <c r="I1444" s="529">
        <f>SUM(I1422:I1443)</f>
        <v>13.887499999999999</v>
      </c>
      <c r="J1444" s="920">
        <f t="shared" si="119"/>
        <v>0</v>
      </c>
      <c r="K1444" s="920">
        <f t="shared" si="120"/>
        <v>0</v>
      </c>
      <c r="L1444" s="498">
        <f t="shared" si="121"/>
        <v>0</v>
      </c>
      <c r="M1444" s="498">
        <f t="shared" si="122"/>
        <v>0</v>
      </c>
    </row>
    <row r="1445" spans="2:13" s="479" customFormat="1" x14ac:dyDescent="0.2">
      <c r="C1445" s="481" t="s">
        <v>1087</v>
      </c>
      <c r="D1445" s="498">
        <f>(D1443*D1444)</f>
        <v>0</v>
      </c>
      <c r="E1445" s="485" t="s">
        <v>78</v>
      </c>
      <c r="H1445"/>
      <c r="I1445" s="499"/>
      <c r="J1445" s="920">
        <f t="shared" si="119"/>
        <v>0</v>
      </c>
      <c r="K1445" s="920">
        <f t="shared" si="120"/>
        <v>0</v>
      </c>
      <c r="L1445" s="498">
        <f t="shared" si="121"/>
        <v>0</v>
      </c>
      <c r="M1445" s="498">
        <f t="shared" si="122"/>
        <v>0</v>
      </c>
    </row>
    <row r="1446" spans="2:13" s="479" customFormat="1" x14ac:dyDescent="0.2">
      <c r="C1446" s="481" t="s">
        <v>1772</v>
      </c>
      <c r="D1446" s="498">
        <v>0</v>
      </c>
      <c r="E1446" s="485" t="s">
        <v>1008</v>
      </c>
      <c r="H1446"/>
      <c r="J1446" s="920">
        <f t="shared" si="119"/>
        <v>0</v>
      </c>
      <c r="K1446" s="920">
        <f t="shared" si="120"/>
        <v>0</v>
      </c>
      <c r="L1446" s="498">
        <f t="shared" si="121"/>
        <v>0</v>
      </c>
      <c r="M1446" s="498">
        <f t="shared" si="122"/>
        <v>0</v>
      </c>
    </row>
    <row r="1447" spans="2:13" s="479" customFormat="1" x14ac:dyDescent="0.2">
      <c r="B1447" s="524"/>
      <c r="C1447" s="481" t="s">
        <v>1773</v>
      </c>
      <c r="D1447" s="498">
        <v>0</v>
      </c>
      <c r="E1447" s="485" t="s">
        <v>1076</v>
      </c>
      <c r="J1447" s="920">
        <f t="shared" si="119"/>
        <v>0</v>
      </c>
      <c r="K1447" s="920">
        <f t="shared" si="120"/>
        <v>0</v>
      </c>
      <c r="L1447" s="498">
        <f t="shared" si="121"/>
        <v>0</v>
      </c>
      <c r="M1447" s="498">
        <f t="shared" si="122"/>
        <v>0</v>
      </c>
    </row>
    <row r="1448" spans="2:13" s="479" customFormat="1" x14ac:dyDescent="0.2">
      <c r="B1448" s="524"/>
      <c r="C1448" s="481" t="s">
        <v>1087</v>
      </c>
      <c r="D1448" s="498">
        <f>(D1446*D1447)</f>
        <v>0</v>
      </c>
      <c r="E1448" s="485" t="s">
        <v>78</v>
      </c>
      <c r="J1448" s="920">
        <f t="shared" si="119"/>
        <v>0</v>
      </c>
      <c r="K1448" s="920">
        <f t="shared" si="120"/>
        <v>0</v>
      </c>
      <c r="L1448" s="498">
        <f t="shared" si="121"/>
        <v>0</v>
      </c>
      <c r="M1448" s="498">
        <f t="shared" si="122"/>
        <v>0</v>
      </c>
    </row>
    <row r="1449" spans="2:13" s="479" customFormat="1" ht="16.5" x14ac:dyDescent="0.25">
      <c r="B1449" s="524"/>
      <c r="C1449" s="893" t="s">
        <v>1774</v>
      </c>
      <c r="D1449" s="895">
        <f>+D1448+D1445+D1442+D1439</f>
        <v>208.07</v>
      </c>
      <c r="E1449" s="894" t="s">
        <v>78</v>
      </c>
      <c r="F1449" s="413"/>
      <c r="J1449" s="920">
        <f t="shared" si="119"/>
        <v>0</v>
      </c>
      <c r="K1449" s="920">
        <f t="shared" si="120"/>
        <v>0</v>
      </c>
      <c r="L1449" s="498">
        <f t="shared" si="121"/>
        <v>0</v>
      </c>
      <c r="M1449" s="498">
        <f t="shared" si="122"/>
        <v>0</v>
      </c>
    </row>
    <row r="1450" spans="2:13" x14ac:dyDescent="0.2">
      <c r="I1450" s="479"/>
      <c r="J1450" s="920">
        <f t="shared" si="119"/>
        <v>0</v>
      </c>
      <c r="K1450" s="920">
        <f t="shared" si="120"/>
        <v>0</v>
      </c>
      <c r="L1450" s="498">
        <f t="shared" si="121"/>
        <v>0</v>
      </c>
      <c r="M1450" s="498">
        <f t="shared" si="122"/>
        <v>0</v>
      </c>
    </row>
    <row r="1451" spans="2:13" ht="21" x14ac:dyDescent="0.2">
      <c r="C1451" s="471" t="s">
        <v>2061</v>
      </c>
      <c r="D1451" s="471" t="s">
        <v>193</v>
      </c>
      <c r="I1451" s="479"/>
      <c r="J1451" s="920">
        <f t="shared" si="119"/>
        <v>0</v>
      </c>
      <c r="K1451" s="920">
        <f t="shared" si="120"/>
        <v>0</v>
      </c>
      <c r="L1451" s="498">
        <f t="shared" si="121"/>
        <v>0</v>
      </c>
      <c r="M1451" s="498">
        <f t="shared" si="122"/>
        <v>0</v>
      </c>
    </row>
    <row r="1452" spans="2:13" x14ac:dyDescent="0.2">
      <c r="I1452" s="479"/>
      <c r="J1452" s="920">
        <f t="shared" si="119"/>
        <v>0</v>
      </c>
      <c r="K1452" s="920">
        <f t="shared" si="120"/>
        <v>0</v>
      </c>
      <c r="L1452" s="498">
        <f t="shared" si="121"/>
        <v>0</v>
      </c>
      <c r="M1452" s="498">
        <f t="shared" si="122"/>
        <v>0</v>
      </c>
    </row>
    <row r="1453" spans="2:13" s="479" customFormat="1" ht="16.5" x14ac:dyDescent="0.25">
      <c r="B1453" s="524"/>
      <c r="C1453" s="481" t="s">
        <v>1093</v>
      </c>
      <c r="D1453" s="498">
        <f>+D1449+D1433</f>
        <v>474.28249999999997</v>
      </c>
      <c r="E1453" s="485" t="s">
        <v>78</v>
      </c>
      <c r="F1453" s="413"/>
      <c r="M1453" s="529">
        <f>SUM(M1422:M1452)</f>
        <v>28.009999999999991</v>
      </c>
    </row>
    <row r="1454" spans="2:13" s="479" customFormat="1" x14ac:dyDescent="0.2">
      <c r="B1454" s="524"/>
      <c r="E1454" s="480"/>
      <c r="F1454" s="505"/>
    </row>
    <row r="1455" spans="2:13" s="479" customFormat="1" x14ac:dyDescent="0.2">
      <c r="B1455" s="524"/>
      <c r="C1455" s="894" t="s">
        <v>1546</v>
      </c>
      <c r="D1455" s="894" t="s">
        <v>13</v>
      </c>
      <c r="E1455" s="894" t="s">
        <v>14</v>
      </c>
      <c r="F1455" s="505"/>
    </row>
    <row r="1456" spans="2:13" s="479" customFormat="1" ht="16.5" x14ac:dyDescent="0.25">
      <c r="B1456" s="891" t="s">
        <v>2226</v>
      </c>
      <c r="C1456" s="893" t="str">
        <f>+C137</f>
        <v>Muro seco</v>
      </c>
      <c r="D1456" s="894">
        <f>ROUNDUP(D1453*D137,0)</f>
        <v>144</v>
      </c>
      <c r="E1456" s="894" t="s">
        <v>1775</v>
      </c>
      <c r="F1456" s="413"/>
    </row>
    <row r="1457" spans="2:12" x14ac:dyDescent="0.2">
      <c r="I1457" s="479"/>
      <c r="J1457" s="479"/>
      <c r="K1457" s="479"/>
      <c r="L1457" s="479"/>
    </row>
    <row r="1458" spans="2:12" s="479" customFormat="1" x14ac:dyDescent="0.2">
      <c r="B1458" s="524"/>
      <c r="C1458" s="894"/>
      <c r="D1458" s="894" t="s">
        <v>1012</v>
      </c>
      <c r="E1458" s="894" t="s">
        <v>257</v>
      </c>
      <c r="F1458" s="894" t="s">
        <v>1657</v>
      </c>
    </row>
    <row r="1459" spans="2:12" s="479" customFormat="1" x14ac:dyDescent="0.2">
      <c r="B1459" s="524"/>
      <c r="C1459" s="894" t="s">
        <v>3481</v>
      </c>
      <c r="D1459" s="898">
        <f>D184</f>
        <v>2500</v>
      </c>
      <c r="E1459" s="898">
        <f>+D1459*D1453</f>
        <v>1185706.25</v>
      </c>
      <c r="F1459" s="899">
        <f>ROUND(E1459/'COSTOS MO CUADRILLA'!K37,0)</f>
        <v>392</v>
      </c>
    </row>
    <row r="1460" spans="2:12" s="479" customFormat="1" x14ac:dyDescent="0.2">
      <c r="B1460" s="524"/>
      <c r="C1460" s="893"/>
      <c r="D1460" s="894" t="s">
        <v>1016</v>
      </c>
      <c r="E1460" s="898">
        <f>SUM(E1459:E1459)</f>
        <v>1185706.25</v>
      </c>
      <c r="F1460" s="899">
        <f>+E1460/'COSTOS MO CUADRILLA'!K37</f>
        <v>392.21835241730281</v>
      </c>
    </row>
    <row r="1461" spans="2:12" x14ac:dyDescent="0.2">
      <c r="I1461" s="479"/>
      <c r="J1461" s="479"/>
      <c r="K1461" s="479"/>
      <c r="L1461" s="479"/>
    </row>
    <row r="1462" spans="2:12" x14ac:dyDescent="0.2">
      <c r="I1462" s="479"/>
      <c r="J1462" s="479"/>
      <c r="K1462" s="479"/>
      <c r="L1462" s="479"/>
    </row>
    <row r="1463" spans="2:12" ht="21" x14ac:dyDescent="0.2">
      <c r="C1463" s="471" t="s">
        <v>2062</v>
      </c>
      <c r="D1463" s="471" t="s">
        <v>195</v>
      </c>
      <c r="I1463" s="479"/>
      <c r="J1463" s="479"/>
      <c r="K1463" s="479"/>
      <c r="L1463" s="479"/>
    </row>
    <row r="1464" spans="2:12" x14ac:dyDescent="0.2">
      <c r="I1464" s="479"/>
      <c r="J1464" s="479"/>
      <c r="K1464" s="479"/>
      <c r="L1464" s="479"/>
    </row>
    <row r="1465" spans="2:12" s="479" customFormat="1" ht="16.5" x14ac:dyDescent="0.25">
      <c r="B1465" s="524"/>
      <c r="C1465" s="481" t="s">
        <v>1093</v>
      </c>
      <c r="D1465" s="498">
        <f>+D1433-D1432</f>
        <v>225.01249999999999</v>
      </c>
      <c r="E1465" s="485" t="s">
        <v>78</v>
      </c>
      <c r="F1465" s="413"/>
    </row>
    <row r="1466" spans="2:12" s="479" customFormat="1" x14ac:dyDescent="0.2">
      <c r="B1466" s="524"/>
      <c r="E1466" s="480"/>
      <c r="F1466" s="505"/>
    </row>
    <row r="1467" spans="2:12" s="479" customFormat="1" x14ac:dyDescent="0.2">
      <c r="B1467" s="524"/>
      <c r="C1467" s="894" t="s">
        <v>1546</v>
      </c>
      <c r="D1467" s="894" t="s">
        <v>13</v>
      </c>
      <c r="E1467" s="894" t="s">
        <v>14</v>
      </c>
      <c r="F1467" s="505"/>
    </row>
    <row r="1468" spans="2:12" s="479" customFormat="1" ht="16.5" x14ac:dyDescent="0.25">
      <c r="B1468" s="891" t="s">
        <v>1976</v>
      </c>
      <c r="C1468" s="893" t="str">
        <f>+C138</f>
        <v>Maxiempaste liso 25kg</v>
      </c>
      <c r="D1468" s="894">
        <f>ROUNDUP(D1465*D138,0)</f>
        <v>21</v>
      </c>
      <c r="E1468" s="894" t="s">
        <v>1775</v>
      </c>
      <c r="F1468" s="413"/>
    </row>
    <row r="1469" spans="2:12" s="479" customFormat="1" ht="16.5" x14ac:dyDescent="0.25">
      <c r="B1469" s="891" t="s">
        <v>1978</v>
      </c>
      <c r="C1469" s="893" t="s">
        <v>3211</v>
      </c>
      <c r="D1469" s="894">
        <f>+D1468*2</f>
        <v>42</v>
      </c>
      <c r="E1469" s="894" t="s">
        <v>1776</v>
      </c>
      <c r="F1469" s="413"/>
    </row>
    <row r="1470" spans="2:12" s="479" customFormat="1" ht="16.5" x14ac:dyDescent="0.25">
      <c r="B1470" s="891" t="s">
        <v>2227</v>
      </c>
      <c r="C1470" s="893" t="s">
        <v>3212</v>
      </c>
      <c r="D1470" s="894">
        <f>ROUNDUP(D1465/45,0)</f>
        <v>6</v>
      </c>
      <c r="E1470" s="894" t="s">
        <v>1280</v>
      </c>
      <c r="F1470" s="413"/>
    </row>
    <row r="1471" spans="2:12" s="479" customFormat="1" ht="16.5" x14ac:dyDescent="0.25">
      <c r="B1471" s="891" t="s">
        <v>2182</v>
      </c>
      <c r="C1471" s="893" t="s">
        <v>3157</v>
      </c>
      <c r="D1471" s="894">
        <f>ROUND(D1465/200,0)</f>
        <v>1</v>
      </c>
      <c r="E1471" s="894" t="s">
        <v>1411</v>
      </c>
      <c r="F1471" s="413"/>
    </row>
    <row r="1472" spans="2:12" x14ac:dyDescent="0.2">
      <c r="B1472" s="892"/>
      <c r="I1472" s="479"/>
      <c r="J1472" s="479"/>
      <c r="K1472" s="479"/>
      <c r="L1472" s="479"/>
    </row>
    <row r="1473" spans="3:12" s="479" customFormat="1" x14ac:dyDescent="0.2">
      <c r="C1473" s="894"/>
      <c r="D1473" s="894" t="s">
        <v>1012</v>
      </c>
      <c r="E1473" s="894" t="s">
        <v>257</v>
      </c>
      <c r="F1473" s="894" t="s">
        <v>1657</v>
      </c>
    </row>
    <row r="1474" spans="3:12" s="479" customFormat="1" x14ac:dyDescent="0.2">
      <c r="C1474" s="894" t="s">
        <v>3436</v>
      </c>
      <c r="D1474" s="898">
        <f>+D185</f>
        <v>1500</v>
      </c>
      <c r="E1474" s="898">
        <f>+D1474*D1465</f>
        <v>337518.75</v>
      </c>
      <c r="F1474" s="899">
        <f>ROUND(E1474/'COSTOS MO CUADRILLA'!K38,0)</f>
        <v>102</v>
      </c>
    </row>
    <row r="1475" spans="3:12" s="479" customFormat="1" x14ac:dyDescent="0.2">
      <c r="C1475" s="893"/>
      <c r="D1475" s="894" t="s">
        <v>1016</v>
      </c>
      <c r="E1475" s="898">
        <f>SUM(E1474:E1474)</f>
        <v>337518.75</v>
      </c>
      <c r="F1475" s="899">
        <f>+E1475/'COSTOS MO CUADRILLA'!K38</f>
        <v>102.27840909090909</v>
      </c>
    </row>
    <row r="1476" spans="3:12" x14ac:dyDescent="0.2">
      <c r="I1476" s="479"/>
      <c r="J1476" s="479"/>
      <c r="K1476" s="479"/>
      <c r="L1476" s="479"/>
    </row>
    <row r="1477" spans="3:12" x14ac:dyDescent="0.2">
      <c r="I1477" s="479"/>
      <c r="J1477" s="479"/>
      <c r="K1477" s="479"/>
      <c r="L1477" s="479"/>
    </row>
    <row r="1478" spans="3:12" ht="21" x14ac:dyDescent="0.2">
      <c r="C1478" s="470">
        <v>2.2000000000000002</v>
      </c>
      <c r="D1478" s="475" t="s">
        <v>196</v>
      </c>
      <c r="I1478" s="479"/>
      <c r="J1478" s="479"/>
      <c r="K1478" s="479"/>
      <c r="L1478" s="479"/>
    </row>
    <row r="1479" spans="3:12" x14ac:dyDescent="0.2">
      <c r="I1479" s="479"/>
      <c r="J1479" s="479"/>
      <c r="K1479" s="479"/>
      <c r="L1479" s="479"/>
    </row>
    <row r="1480" spans="3:12" ht="21" x14ac:dyDescent="0.2">
      <c r="C1480" s="471" t="s">
        <v>2063</v>
      </c>
      <c r="D1480" s="471" t="s">
        <v>198</v>
      </c>
      <c r="I1480" s="479"/>
      <c r="J1480" s="479"/>
      <c r="K1480" s="479"/>
      <c r="L1480" s="479"/>
    </row>
    <row r="1481" spans="3:12" x14ac:dyDescent="0.2">
      <c r="I1481" s="479"/>
      <c r="J1481" s="479"/>
      <c r="K1481" s="479"/>
      <c r="L1481" s="479"/>
    </row>
    <row r="1482" spans="3:12" ht="18.75" x14ac:dyDescent="0.25">
      <c r="C1482" s="1052" t="s">
        <v>1094</v>
      </c>
      <c r="I1482" s="479"/>
      <c r="J1482" s="479"/>
      <c r="K1482" s="479"/>
      <c r="L1482" s="479"/>
    </row>
    <row r="1483" spans="3:12" x14ac:dyDescent="0.2">
      <c r="I1483" s="479"/>
      <c r="J1483" s="479"/>
      <c r="K1483" s="479"/>
      <c r="L1483" s="479"/>
    </row>
    <row r="1484" spans="3:12" s="479" customFormat="1" ht="16.5" x14ac:dyDescent="0.25">
      <c r="C1484" s="561" t="s">
        <v>1090</v>
      </c>
      <c r="D1484" s="878">
        <v>6.4</v>
      </c>
      <c r="E1484" s="485" t="s">
        <v>1008</v>
      </c>
      <c r="F1484" s="413"/>
    </row>
    <row r="1485" spans="3:12" s="479" customFormat="1" ht="16.5" x14ac:dyDescent="0.25">
      <c r="C1485" s="481" t="s">
        <v>1091</v>
      </c>
      <c r="D1485" s="498">
        <f>+D27</f>
        <v>2.6</v>
      </c>
      <c r="E1485" s="485" t="s">
        <v>1008</v>
      </c>
      <c r="F1485" s="413"/>
    </row>
    <row r="1486" spans="3:12" s="479" customFormat="1" ht="16.5" x14ac:dyDescent="0.25">
      <c r="C1486" s="481" t="s">
        <v>1093</v>
      </c>
      <c r="D1486" s="498">
        <f>+D1485*D1484</f>
        <v>16.64</v>
      </c>
      <c r="E1486" s="485" t="s">
        <v>78</v>
      </c>
      <c r="F1486" s="413"/>
    </row>
    <row r="1487" spans="3:12" s="479" customFormat="1" ht="16.5" x14ac:dyDescent="0.25">
      <c r="C1487" s="481" t="s">
        <v>1095</v>
      </c>
      <c r="D1487" s="880">
        <v>5.8</v>
      </c>
      <c r="E1487" s="485" t="s">
        <v>78</v>
      </c>
      <c r="F1487" s="413"/>
    </row>
    <row r="1488" spans="3:12" x14ac:dyDescent="0.2">
      <c r="I1488" s="479"/>
      <c r="J1488" s="479"/>
      <c r="K1488" s="479"/>
      <c r="L1488" s="479"/>
    </row>
    <row r="1489" spans="3:6" s="479" customFormat="1" ht="16.5" x14ac:dyDescent="0.25">
      <c r="C1489" s="481" t="s">
        <v>1096</v>
      </c>
      <c r="D1489" s="498">
        <f>D1486+D1487</f>
        <v>22.44</v>
      </c>
      <c r="E1489" s="485" t="s">
        <v>78</v>
      </c>
      <c r="F1489" s="413"/>
    </row>
    <row r="1490" spans="3:6" s="479" customFormat="1" ht="16.5" x14ac:dyDescent="0.25">
      <c r="C1490" s="481" t="s">
        <v>1322</v>
      </c>
      <c r="D1490" s="498">
        <f>+ROUNDUP(D1489*1.07,0)</f>
        <v>25</v>
      </c>
      <c r="E1490" s="485" t="s">
        <v>137</v>
      </c>
      <c r="F1490" s="413"/>
    </row>
    <row r="1491" spans="3:6" s="479" customFormat="1" x14ac:dyDescent="0.2">
      <c r="E1491" s="480"/>
      <c r="F1491" s="505"/>
    </row>
    <row r="1492" spans="3:6" s="479" customFormat="1" x14ac:dyDescent="0.2">
      <c r="C1492" s="894" t="s">
        <v>1546</v>
      </c>
      <c r="D1492" s="894" t="s">
        <v>13</v>
      </c>
      <c r="E1492" s="894" t="s">
        <v>14</v>
      </c>
      <c r="F1492" s="505"/>
    </row>
    <row r="1493" spans="3:6" s="479" customFormat="1" ht="16.5" x14ac:dyDescent="0.25">
      <c r="C1493" s="893" t="s">
        <v>1777</v>
      </c>
      <c r="D1493" s="895">
        <f>+D1490</f>
        <v>25</v>
      </c>
      <c r="E1493" s="894" t="s">
        <v>137</v>
      </c>
      <c r="F1493" s="413"/>
    </row>
    <row r="1494" spans="3:6" s="479" customFormat="1" ht="16.5" x14ac:dyDescent="0.25">
      <c r="C1494" s="893" t="str">
        <f t="shared" ref="C1494:C1499" si="123">C140</f>
        <v>Bondex Plus 40 kg INTACO</v>
      </c>
      <c r="D1494" s="895">
        <f>ROUNDUP($D$1489*D140,0)</f>
        <v>4</v>
      </c>
      <c r="E1494" s="894" t="s">
        <v>1775</v>
      </c>
      <c r="F1494" s="413"/>
    </row>
    <row r="1495" spans="3:6" s="479" customFormat="1" ht="16.5" x14ac:dyDescent="0.25">
      <c r="C1495" s="893" t="str">
        <f t="shared" si="123"/>
        <v>Fragua 2kg</v>
      </c>
      <c r="D1495" s="895">
        <f>ROUNDUP($D$1489*D141,0)</f>
        <v>4</v>
      </c>
      <c r="E1495" s="894" t="s">
        <v>1778</v>
      </c>
      <c r="F1495" s="413"/>
    </row>
    <row r="1496" spans="3:6" s="479" customFormat="1" ht="16.5" x14ac:dyDescent="0.25">
      <c r="C1496" s="893" t="str">
        <f t="shared" si="123"/>
        <v>Cruz para sisa</v>
      </c>
      <c r="D1496" s="895">
        <f>$D$1489*D142</f>
        <v>1.496</v>
      </c>
      <c r="E1496" s="894" t="s">
        <v>1778</v>
      </c>
      <c r="F1496" s="413"/>
    </row>
    <row r="1497" spans="3:6" s="479" customFormat="1" ht="16.5" x14ac:dyDescent="0.25">
      <c r="C1497" s="893" t="str">
        <f t="shared" si="123"/>
        <v>Espuma para limpiar</v>
      </c>
      <c r="D1497" s="895">
        <f>$D$1489*D143</f>
        <v>0.374</v>
      </c>
      <c r="E1497" s="894" t="s">
        <v>1167</v>
      </c>
      <c r="F1497" s="413"/>
    </row>
    <row r="1498" spans="3:6" s="479" customFormat="1" ht="16.5" x14ac:dyDescent="0.25">
      <c r="C1498" s="893" t="str">
        <f t="shared" si="123"/>
        <v>Chispa para cortar ceramica</v>
      </c>
      <c r="D1498" s="895">
        <f>$D$1489*D144</f>
        <v>0.29920000000000002</v>
      </c>
      <c r="E1498" s="894" t="s">
        <v>1167</v>
      </c>
      <c r="F1498" s="413"/>
    </row>
    <row r="1499" spans="3:6" s="479" customFormat="1" ht="16.5" x14ac:dyDescent="0.25">
      <c r="C1499" s="893" t="str">
        <f t="shared" si="123"/>
        <v>Disco diamantado 4-1/2"</v>
      </c>
      <c r="D1499" s="895">
        <f>$D$1489*D145</f>
        <v>0.187</v>
      </c>
      <c r="E1499" s="894" t="s">
        <v>1167</v>
      </c>
      <c r="F1499" s="413"/>
    </row>
    <row r="1500" spans="3:6" s="479" customFormat="1" x14ac:dyDescent="0.2">
      <c r="E1500" s="480"/>
      <c r="F1500" s="505"/>
    </row>
    <row r="1501" spans="3:6" s="479" customFormat="1" x14ac:dyDescent="0.2">
      <c r="C1501" s="894"/>
      <c r="D1501" s="894" t="s">
        <v>1012</v>
      </c>
      <c r="E1501" s="894" t="s">
        <v>257</v>
      </c>
      <c r="F1501" s="894" t="s">
        <v>1657</v>
      </c>
    </row>
    <row r="1502" spans="3:6" s="479" customFormat="1" x14ac:dyDescent="0.2">
      <c r="C1502" s="894" t="s">
        <v>3434</v>
      </c>
      <c r="D1502" s="898">
        <f>D180</f>
        <v>6500</v>
      </c>
      <c r="E1502" s="898">
        <f>+D1502*D1489</f>
        <v>145860</v>
      </c>
      <c r="F1502" s="899">
        <f>ROUND(E1502/'COSTOS MO CUADRILLA'!K40,0)</f>
        <v>48</v>
      </c>
    </row>
    <row r="1503" spans="3:6" s="479" customFormat="1" x14ac:dyDescent="0.2">
      <c r="C1503" s="893"/>
      <c r="D1503" s="894" t="s">
        <v>1016</v>
      </c>
      <c r="E1503" s="898">
        <f>SUM(E1502:E1502)</f>
        <v>145860</v>
      </c>
      <c r="F1503" s="899">
        <f>+E1503/'COSTOS MO CUADRILLA'!K40</f>
        <v>48.275177304964537</v>
      </c>
    </row>
    <row r="1506" spans="3:6" ht="18.75" x14ac:dyDescent="0.25">
      <c r="C1506" s="1052" t="s">
        <v>1097</v>
      </c>
    </row>
    <row r="1509" spans="3:6" s="479" customFormat="1" ht="16.5" x14ac:dyDescent="0.25">
      <c r="C1509" s="481" t="s">
        <v>1098</v>
      </c>
      <c r="D1509" s="498">
        <f>D12+D19</f>
        <v>87.34</v>
      </c>
      <c r="E1509" s="485" t="s">
        <v>78</v>
      </c>
      <c r="F1509" s="413"/>
    </row>
    <row r="1510" spans="3:6" s="479" customFormat="1" ht="16.5" x14ac:dyDescent="0.25">
      <c r="C1510" s="481" t="s">
        <v>1323</v>
      </c>
      <c r="D1510" s="498">
        <f>ROUNDUP(+D1509*1.07,1)</f>
        <v>93.5</v>
      </c>
      <c r="E1510" s="485" t="s">
        <v>78</v>
      </c>
      <c r="F1510" s="413"/>
    </row>
    <row r="1511" spans="3:6" s="479" customFormat="1" x14ac:dyDescent="0.2">
      <c r="D1511" s="495"/>
      <c r="E1511" s="480"/>
      <c r="F1511" s="505"/>
    </row>
    <row r="1512" spans="3:6" s="479" customFormat="1" x14ac:dyDescent="0.2">
      <c r="C1512" s="894" t="s">
        <v>1546</v>
      </c>
      <c r="D1512" s="894" t="s">
        <v>13</v>
      </c>
      <c r="E1512" s="894" t="s">
        <v>14</v>
      </c>
      <c r="F1512" s="505"/>
    </row>
    <row r="1513" spans="3:6" s="479" customFormat="1" ht="16.5" x14ac:dyDescent="0.25">
      <c r="C1513" s="893" t="s">
        <v>1779</v>
      </c>
      <c r="D1513" s="895">
        <f>+D1510</f>
        <v>93.5</v>
      </c>
      <c r="E1513" s="894" t="s">
        <v>137</v>
      </c>
      <c r="F1513" s="413"/>
    </row>
    <row r="1514" spans="3:6" s="479" customFormat="1" ht="16.5" x14ac:dyDescent="0.25">
      <c r="C1514" s="893" t="str">
        <f t="shared" ref="C1514:C1519" si="124">C140</f>
        <v>Bondex Plus 40 kg INTACO</v>
      </c>
      <c r="D1514" s="895">
        <f>ROUNDUP($D$1509*D140,0)</f>
        <v>15</v>
      </c>
      <c r="E1514" s="894" t="s">
        <v>1775</v>
      </c>
      <c r="F1514" s="413"/>
    </row>
    <row r="1515" spans="3:6" s="479" customFormat="1" ht="16.5" x14ac:dyDescent="0.25">
      <c r="C1515" s="893" t="str">
        <f t="shared" si="124"/>
        <v>Fragua 2kg</v>
      </c>
      <c r="D1515" s="895">
        <f>ROUNDUP($D$1509*D141,0)</f>
        <v>14</v>
      </c>
      <c r="E1515" s="894" t="s">
        <v>1778</v>
      </c>
      <c r="F1515" s="413"/>
    </row>
    <row r="1516" spans="3:6" s="479" customFormat="1" ht="16.5" x14ac:dyDescent="0.25">
      <c r="C1516" s="893" t="str">
        <f t="shared" si="124"/>
        <v>Cruz para sisa</v>
      </c>
      <c r="D1516" s="895">
        <f>ROUNDUP($D$1509*D142,0)</f>
        <v>6</v>
      </c>
      <c r="E1516" s="894" t="s">
        <v>1778</v>
      </c>
      <c r="F1516" s="413"/>
    </row>
    <row r="1517" spans="3:6" s="479" customFormat="1" ht="16.5" x14ac:dyDescent="0.25">
      <c r="C1517" s="893" t="str">
        <f t="shared" si="124"/>
        <v>Espuma para limpiar</v>
      </c>
      <c r="D1517" s="895">
        <f>$D$1509*D143</f>
        <v>1.4556666666666667</v>
      </c>
      <c r="E1517" s="894" t="s">
        <v>1167</v>
      </c>
      <c r="F1517" s="413"/>
    </row>
    <row r="1518" spans="3:6" s="479" customFormat="1" ht="16.5" x14ac:dyDescent="0.25">
      <c r="C1518" s="893" t="str">
        <f t="shared" si="124"/>
        <v>Chispa para cortar ceramica</v>
      </c>
      <c r="D1518" s="895">
        <f>$D$1509*D144</f>
        <v>1.1645333333333334</v>
      </c>
      <c r="E1518" s="894" t="s">
        <v>1167</v>
      </c>
      <c r="F1518" s="413"/>
    </row>
    <row r="1519" spans="3:6" s="479" customFormat="1" ht="16.5" x14ac:dyDescent="0.25">
      <c r="C1519" s="893" t="str">
        <f t="shared" si="124"/>
        <v>Disco diamantado 4-1/2"</v>
      </c>
      <c r="D1519" s="895">
        <f>$D$1509*D145</f>
        <v>0.72783333333333333</v>
      </c>
      <c r="E1519" s="894" t="s">
        <v>1167</v>
      </c>
      <c r="F1519" s="413"/>
    </row>
    <row r="1521" spans="2:6" s="479" customFormat="1" x14ac:dyDescent="0.2">
      <c r="C1521" s="894"/>
      <c r="D1521" s="894" t="s">
        <v>1012</v>
      </c>
      <c r="E1521" s="894" t="s">
        <v>257</v>
      </c>
      <c r="F1521" s="894" t="s">
        <v>1657</v>
      </c>
    </row>
    <row r="1522" spans="2:6" s="479" customFormat="1" x14ac:dyDescent="0.2">
      <c r="C1522" s="894" t="s">
        <v>3435</v>
      </c>
      <c r="D1522" s="898">
        <f>D181</f>
        <v>6500</v>
      </c>
      <c r="E1522" s="898">
        <f>+D1522*D1509</f>
        <v>567710</v>
      </c>
      <c r="F1522" s="899">
        <f>ROUND(E1522/'COSTOS MO CUADRILLA'!K40,0)</f>
        <v>188</v>
      </c>
    </row>
    <row r="1523" spans="2:6" s="479" customFormat="1" x14ac:dyDescent="0.2">
      <c r="C1523" s="893"/>
      <c r="D1523" s="894" t="s">
        <v>1016</v>
      </c>
      <c r="E1523" s="898">
        <f>SUM(E1522:E1522)</f>
        <v>567710</v>
      </c>
      <c r="F1523" s="899">
        <f>+E1523/'COSTOS MO CUADRILLA'!K40</f>
        <v>187.89456264775413</v>
      </c>
    </row>
    <row r="1527" spans="2:6" ht="18.75" x14ac:dyDescent="0.25">
      <c r="C1527" s="1052" t="s">
        <v>1780</v>
      </c>
    </row>
    <row r="1529" spans="2:6" s="479" customFormat="1" x14ac:dyDescent="0.2">
      <c r="B1529" s="524"/>
      <c r="C1529" s="894" t="s">
        <v>1546</v>
      </c>
      <c r="D1529" s="894" t="s">
        <v>13</v>
      </c>
      <c r="E1529" s="894" t="s">
        <v>14</v>
      </c>
    </row>
    <row r="1530" spans="2:6" s="479" customFormat="1" ht="16.5" x14ac:dyDescent="0.25">
      <c r="B1530" s="891" t="s">
        <v>2229</v>
      </c>
      <c r="C1530" s="907" t="s">
        <v>1777</v>
      </c>
      <c r="D1530" s="895">
        <f>+D1493</f>
        <v>25</v>
      </c>
      <c r="E1530" s="894" t="s">
        <v>137</v>
      </c>
      <c r="F1530" s="413"/>
    </row>
    <row r="1531" spans="2:6" s="479" customFormat="1" ht="16.5" x14ac:dyDescent="0.25">
      <c r="B1531" s="891" t="s">
        <v>2228</v>
      </c>
      <c r="C1531" s="907" t="s">
        <v>1779</v>
      </c>
      <c r="D1531" s="895">
        <f>ROUNDUP(D1513,0)</f>
        <v>94</v>
      </c>
      <c r="E1531" s="894" t="s">
        <v>137</v>
      </c>
      <c r="F1531" s="413"/>
    </row>
    <row r="1532" spans="2:6" s="479" customFormat="1" ht="16.5" x14ac:dyDescent="0.25">
      <c r="B1532" s="891" t="s">
        <v>2230</v>
      </c>
      <c r="C1532" s="953" t="s">
        <v>1606</v>
      </c>
      <c r="D1532" s="899">
        <f>+D1494+D1514</f>
        <v>19</v>
      </c>
      <c r="E1532" s="894" t="s">
        <v>1775</v>
      </c>
      <c r="F1532" s="413"/>
    </row>
    <row r="1533" spans="2:6" s="479" customFormat="1" ht="16.5" x14ac:dyDescent="0.25">
      <c r="B1533" s="891" t="s">
        <v>2231</v>
      </c>
      <c r="C1533" s="953" t="s">
        <v>1607</v>
      </c>
      <c r="D1533" s="895">
        <f>+D1495+D1515</f>
        <v>18</v>
      </c>
      <c r="E1533" s="894" t="s">
        <v>1778</v>
      </c>
      <c r="F1533" s="413"/>
    </row>
    <row r="1534" spans="2:6" s="479" customFormat="1" ht="16.5" x14ac:dyDescent="0.25">
      <c r="B1534" s="891" t="s">
        <v>1979</v>
      </c>
      <c r="C1534" s="953" t="s">
        <v>1608</v>
      </c>
      <c r="D1534" s="895">
        <f>ROUND(D1496+D1516,0)</f>
        <v>7</v>
      </c>
      <c r="E1534" s="894" t="s">
        <v>1778</v>
      </c>
      <c r="F1534" s="413"/>
    </row>
    <row r="1535" spans="2:6" s="479" customFormat="1" ht="16.5" x14ac:dyDescent="0.25">
      <c r="B1535" s="891" t="s">
        <v>2232</v>
      </c>
      <c r="C1535" s="953" t="s">
        <v>1609</v>
      </c>
      <c r="D1535" s="895">
        <f>ROUND(D1497+D1517,0)</f>
        <v>2</v>
      </c>
      <c r="E1535" s="894" t="s">
        <v>1167</v>
      </c>
      <c r="F1535" s="413"/>
    </row>
    <row r="1536" spans="2:6" s="479" customFormat="1" ht="16.5" x14ac:dyDescent="0.25">
      <c r="B1536" s="891" t="s">
        <v>2233</v>
      </c>
      <c r="C1536" s="953" t="s">
        <v>1610</v>
      </c>
      <c r="D1536" s="895">
        <f>ROUND(D1498+D1518,0)</f>
        <v>1</v>
      </c>
      <c r="E1536" s="894" t="s">
        <v>1167</v>
      </c>
      <c r="F1536" s="413"/>
    </row>
    <row r="1537" spans="2:10" s="479" customFormat="1" ht="16.5" x14ac:dyDescent="0.25">
      <c r="B1537" s="891" t="s">
        <v>1981</v>
      </c>
      <c r="C1537" s="953" t="s">
        <v>1611</v>
      </c>
      <c r="D1537" s="895">
        <f>ROUND(D1499+D1519,0)</f>
        <v>1</v>
      </c>
      <c r="E1537" s="894" t="s">
        <v>1167</v>
      </c>
      <c r="F1537" s="413"/>
    </row>
    <row r="1538" spans="2:10" s="479" customFormat="1" x14ac:dyDescent="0.2">
      <c r="B1538" s="891"/>
      <c r="E1538" s="480"/>
    </row>
    <row r="1539" spans="2:10" s="479" customFormat="1" x14ac:dyDescent="0.2">
      <c r="B1539" s="891"/>
      <c r="C1539" s="894"/>
      <c r="D1539" s="894" t="s">
        <v>1012</v>
      </c>
      <c r="E1539" s="894" t="s">
        <v>257</v>
      </c>
      <c r="F1539" s="894" t="s">
        <v>1657</v>
      </c>
    </row>
    <row r="1540" spans="2:10" s="479" customFormat="1" ht="16.5" x14ac:dyDescent="0.25">
      <c r="B1540" s="524"/>
      <c r="C1540" s="894" t="str">
        <f>+C1502</f>
        <v>Mano de obra de enchape de baño</v>
      </c>
      <c r="D1540" s="898">
        <f>+D1502</f>
        <v>6500</v>
      </c>
      <c r="E1540" s="898">
        <f>+E1502</f>
        <v>145860</v>
      </c>
      <c r="F1540" s="899">
        <f>+F1502</f>
        <v>48</v>
      </c>
      <c r="G1540" s="413"/>
    </row>
    <row r="1541" spans="2:10" s="479" customFormat="1" ht="16.5" x14ac:dyDescent="0.25">
      <c r="B1541" s="524"/>
      <c r="C1541" s="894" t="str">
        <f>+C1559</f>
        <v>Enchapes externos</v>
      </c>
      <c r="D1541" s="898">
        <f>+D1559</f>
        <v>6500</v>
      </c>
      <c r="E1541" s="898">
        <f>+E1559</f>
        <v>16900</v>
      </c>
      <c r="F1541" s="899">
        <f>+F1559</f>
        <v>6</v>
      </c>
      <c r="G1541" s="413"/>
    </row>
    <row r="1542" spans="2:10" s="479" customFormat="1" ht="16.5" x14ac:dyDescent="0.25">
      <c r="B1542" s="524"/>
      <c r="C1542" s="894" t="str">
        <f>+C1522</f>
        <v>Mano de obra enchape, porcelanato</v>
      </c>
      <c r="D1542" s="898">
        <f>+D1522</f>
        <v>6500</v>
      </c>
      <c r="E1542" s="898">
        <f>+E1522</f>
        <v>567710</v>
      </c>
      <c r="F1542" s="899">
        <f>+F1522</f>
        <v>188</v>
      </c>
      <c r="G1542" s="413"/>
    </row>
    <row r="1543" spans="2:10" s="479" customFormat="1" ht="16.5" x14ac:dyDescent="0.25">
      <c r="B1543" s="524"/>
      <c r="C1543" s="893"/>
      <c r="D1543" s="894" t="s">
        <v>1016</v>
      </c>
      <c r="E1543" s="898">
        <f>SUM(E1540:E1542)</f>
        <v>730470</v>
      </c>
      <c r="F1543" s="899">
        <f>+E1543/'COSTOS MO CUADRILLA'!K40</f>
        <v>241.76312056737586</v>
      </c>
      <c r="G1543" s="413"/>
    </row>
    <row r="1544" spans="2:10" x14ac:dyDescent="0.2">
      <c r="G1544" s="414"/>
    </row>
    <row r="1545" spans="2:10" ht="18.75" x14ac:dyDescent="0.25">
      <c r="C1545" s="1052" t="s">
        <v>1324</v>
      </c>
    </row>
    <row r="1548" spans="2:10" s="479" customFormat="1" ht="15" customHeight="1" x14ac:dyDescent="0.25">
      <c r="B1548" s="540"/>
      <c r="C1548" s="561" t="s">
        <v>1090</v>
      </c>
      <c r="D1548" s="485">
        <v>0</v>
      </c>
      <c r="E1548" s="485" t="s">
        <v>1008</v>
      </c>
      <c r="F1548" s="413"/>
      <c r="G1548" s="480"/>
    </row>
    <row r="1549" spans="2:10" s="479" customFormat="1" ht="16.5" x14ac:dyDescent="0.25">
      <c r="B1549" s="540"/>
      <c r="C1549" s="561" t="s">
        <v>1091</v>
      </c>
      <c r="D1549" s="485">
        <v>0</v>
      </c>
      <c r="E1549" s="485" t="s">
        <v>1092</v>
      </c>
      <c r="F1549" s="413"/>
    </row>
    <row r="1550" spans="2:10" s="479" customFormat="1" ht="16.5" x14ac:dyDescent="0.25">
      <c r="B1550" s="540"/>
      <c r="C1550" s="561" t="s">
        <v>1325</v>
      </c>
      <c r="D1550" s="880">
        <v>2.6</v>
      </c>
      <c r="E1550" s="485" t="s">
        <v>78</v>
      </c>
      <c r="F1550" s="413"/>
    </row>
    <row r="1552" spans="2:10" s="479" customFormat="1" x14ac:dyDescent="0.2">
      <c r="B1552" s="954"/>
      <c r="C1552" s="894" t="s">
        <v>1546</v>
      </c>
      <c r="D1552" s="894" t="s">
        <v>13</v>
      </c>
      <c r="E1552" s="894" t="s">
        <v>14</v>
      </c>
      <c r="F1552" s="505"/>
      <c r="J1552" s="480"/>
    </row>
    <row r="1553" spans="1:17" s="479" customFormat="1" ht="16.5" x14ac:dyDescent="0.25">
      <c r="B1553" s="946" t="s">
        <v>2234</v>
      </c>
      <c r="C1553" s="893" t="s">
        <v>1328</v>
      </c>
      <c r="D1553" s="895">
        <f>ROUNDUP(D1550/3,0)</f>
        <v>1</v>
      </c>
      <c r="E1553" s="894" t="s">
        <v>1280</v>
      </c>
      <c r="F1553" s="413"/>
      <c r="J1553" s="480"/>
      <c r="N1553" s="480"/>
      <c r="O1553" s="480"/>
      <c r="P1553" s="1164"/>
      <c r="Q1553" s="1164"/>
    </row>
    <row r="1554" spans="1:17" s="479" customFormat="1" ht="15" customHeight="1" x14ac:dyDescent="0.25">
      <c r="B1554" s="946" t="s">
        <v>2230</v>
      </c>
      <c r="C1554" s="893" t="str">
        <f>C140</f>
        <v>Bondex Plus 40 kg INTACO</v>
      </c>
      <c r="D1554" s="895">
        <f>ROUNDUP(D1550*D140,0)</f>
        <v>1</v>
      </c>
      <c r="E1554" s="894" t="s">
        <v>1775</v>
      </c>
      <c r="F1554" s="413"/>
      <c r="J1554" s="512"/>
      <c r="K1554" s="509"/>
      <c r="L1554" s="509"/>
      <c r="M1554" s="509"/>
      <c r="N1554" s="512"/>
      <c r="O1554" s="512"/>
      <c r="P1554" s="1164"/>
      <c r="Q1554" s="1164"/>
    </row>
    <row r="1555" spans="1:17" s="479" customFormat="1" ht="16.5" x14ac:dyDescent="0.25">
      <c r="B1555" s="946" t="s">
        <v>2222</v>
      </c>
      <c r="C1555" s="893" t="s">
        <v>1326</v>
      </c>
      <c r="D1555" s="895">
        <f>+D1553*2</f>
        <v>2</v>
      </c>
      <c r="E1555" s="894" t="s">
        <v>1280</v>
      </c>
      <c r="F1555" s="413"/>
    </row>
    <row r="1556" spans="1:17" s="479" customFormat="1" ht="16.5" x14ac:dyDescent="0.25">
      <c r="B1556" s="946" t="s">
        <v>2006</v>
      </c>
      <c r="C1556" s="893" t="s">
        <v>1327</v>
      </c>
      <c r="D1556" s="895">
        <f>+D1555</f>
        <v>2</v>
      </c>
      <c r="E1556" s="894" t="s">
        <v>1280</v>
      </c>
      <c r="F1556" s="413"/>
    </row>
    <row r="1557" spans="1:17" s="479" customFormat="1" x14ac:dyDescent="0.2">
      <c r="B1557" s="891"/>
      <c r="C1557" s="509"/>
      <c r="D1557" s="541"/>
      <c r="E1557" s="512"/>
      <c r="F1557" s="542"/>
    </row>
    <row r="1558" spans="1:17" s="479" customFormat="1" x14ac:dyDescent="0.2">
      <c r="B1558" s="524"/>
      <c r="C1558" s="894"/>
      <c r="D1558" s="894" t="s">
        <v>1012</v>
      </c>
      <c r="E1558" s="894" t="s">
        <v>257</v>
      </c>
      <c r="F1558" s="894" t="s">
        <v>1657</v>
      </c>
    </row>
    <row r="1559" spans="1:17" s="479" customFormat="1" x14ac:dyDescent="0.2">
      <c r="B1559" s="524"/>
      <c r="C1559" s="894" t="str">
        <f>C182</f>
        <v>Enchapes externos</v>
      </c>
      <c r="D1559" s="898">
        <f>D182</f>
        <v>6500</v>
      </c>
      <c r="E1559" s="898">
        <f>+D1559*D1550</f>
        <v>16900</v>
      </c>
      <c r="F1559" s="899">
        <f>ROUND(E1559/'COSTOS MO CUADRILLA'!K40,0)</f>
        <v>6</v>
      </c>
    </row>
    <row r="1560" spans="1:17" s="479" customFormat="1" x14ac:dyDescent="0.2">
      <c r="B1560" s="524"/>
      <c r="C1560" s="893"/>
      <c r="D1560" s="894" t="s">
        <v>1016</v>
      </c>
      <c r="E1560" s="898">
        <f>SUM(E1559:E1559)</f>
        <v>16900</v>
      </c>
      <c r="F1560" s="899">
        <f>+E1560/'COSTOS MO CUADRILLA'!K40</f>
        <v>5.5933806146572103</v>
      </c>
      <c r="G1560" s="480"/>
      <c r="H1560" s="480"/>
    </row>
    <row r="1563" spans="1:17" ht="21" x14ac:dyDescent="0.2">
      <c r="C1563" s="470">
        <v>2.2999999999999998</v>
      </c>
      <c r="D1563" s="475" t="s">
        <v>1934</v>
      </c>
      <c r="G1563" s="100"/>
    </row>
    <row r="1565" spans="1:17" ht="21" x14ac:dyDescent="0.2">
      <c r="C1565" s="471" t="s">
        <v>2064</v>
      </c>
      <c r="D1565" s="471" t="s">
        <v>1904</v>
      </c>
    </row>
    <row r="1567" spans="1:17" s="479" customFormat="1" ht="16.5" x14ac:dyDescent="0.25">
      <c r="B1567" s="869" t="s">
        <v>2711</v>
      </c>
      <c r="C1567" s="481" t="str">
        <f>_xlfn.XLOOKUP(B1567,'BASE DATOS PRECIOS '!B:B,'BASE DATOS PRECIOS '!E:E,0,0,1)</f>
        <v>PINTURA SUPRA MATE BLANCO</v>
      </c>
      <c r="D1567" s="498">
        <f>+D1433+D1366</f>
        <v>307.41249999999997</v>
      </c>
      <c r="E1567" s="485" t="s">
        <v>137</v>
      </c>
      <c r="F1567" s="498">
        <f>+D1567/62.5</f>
        <v>4.9185999999999996</v>
      </c>
      <c r="G1567" s="498">
        <f>ROUNDUP(F1567,0)</f>
        <v>5</v>
      </c>
      <c r="H1567" s="413"/>
    </row>
    <row r="1568" spans="1:17" s="479" customFormat="1" ht="16.5" x14ac:dyDescent="0.25">
      <c r="A1568" s="478" t="s">
        <v>3544</v>
      </c>
      <c r="B1568" s="869" t="s">
        <v>2236</v>
      </c>
      <c r="C1568" s="481" t="str">
        <f>_xlfn.XLOOKUP(B1568,'BASE DATOS PRECIOS '!B:B,'BASE DATOS PRECIOS '!E:E,0,0,1)</f>
        <v>PINTURA SEAL COAT CUBETA</v>
      </c>
      <c r="D1568" s="880">
        <f>D1439-D1550</f>
        <v>205.47</v>
      </c>
      <c r="E1568" s="485" t="s">
        <v>137</v>
      </c>
      <c r="F1568" s="498">
        <f>+D1568/62.5</f>
        <v>3.2875199999999998</v>
      </c>
      <c r="G1568" s="498">
        <f>ROUNDUP(F1568,0)</f>
        <v>4</v>
      </c>
      <c r="H1568" s="413"/>
    </row>
    <row r="1569" spans="1:8" s="479" customFormat="1" ht="16.5" x14ac:dyDescent="0.25">
      <c r="A1569" s="478" t="s">
        <v>3545</v>
      </c>
      <c r="B1569" s="869" t="s">
        <v>2236</v>
      </c>
      <c r="C1569" s="481" t="str">
        <f>_xlfn.XLOOKUP(B1569,'BASE DATOS PRECIOS '!B:B,'BASE DATOS PRECIOS '!E:E,0,0,1)</f>
        <v>PINTURA SEAL COAT CUBETA</v>
      </c>
      <c r="D1569" s="880">
        <v>0</v>
      </c>
      <c r="E1569" s="485" t="s">
        <v>137</v>
      </c>
      <c r="F1569" s="498">
        <f>+D1569/62.5</f>
        <v>0</v>
      </c>
      <c r="G1569" s="498">
        <f>ROUNDUP(F1569,0)</f>
        <v>0</v>
      </c>
      <c r="H1569" s="413"/>
    </row>
    <row r="1570" spans="1:8" s="479" customFormat="1" ht="16.5" x14ac:dyDescent="0.25">
      <c r="A1570" s="478" t="s">
        <v>3546</v>
      </c>
      <c r="B1570" s="869" t="s">
        <v>2236</v>
      </c>
      <c r="C1570" s="481" t="str">
        <f>_xlfn.XLOOKUP(B1570,'BASE DATOS PRECIOS '!B:B,'BASE DATOS PRECIOS '!E:E,0,0,1)</f>
        <v>PINTURA SEAL COAT CUBETA</v>
      </c>
      <c r="D1570" s="880">
        <v>0</v>
      </c>
      <c r="E1570" s="485" t="s">
        <v>137</v>
      </c>
      <c r="F1570" s="498">
        <f>+D1570/62.5</f>
        <v>0</v>
      </c>
      <c r="G1570" s="498">
        <f>ROUNDUP(F1570,0)</f>
        <v>0</v>
      </c>
      <c r="H1570" s="413"/>
    </row>
    <row r="1571" spans="1:8" s="479" customFormat="1" ht="16.5" x14ac:dyDescent="0.25">
      <c r="B1571" s="869" t="s">
        <v>2237</v>
      </c>
      <c r="C1571" s="481" t="str">
        <f>_xlfn.XLOOKUP(B1571,'BASE DATOS PRECIOS '!B:B,'BASE DATOS PRECIOS '!E:E,0,0,1)</f>
        <v>PINTURA SUPER COAT CUBETA</v>
      </c>
      <c r="D1571" s="498">
        <f>+D1239*3</f>
        <v>25.5</v>
      </c>
      <c r="E1571" s="485" t="s">
        <v>137</v>
      </c>
      <c r="F1571" s="498">
        <f>+D1571/62.5</f>
        <v>0.40799999999999997</v>
      </c>
      <c r="G1571" s="498">
        <f>ROUNDUP(F1571,0)</f>
        <v>1</v>
      </c>
      <c r="H1571" s="413"/>
    </row>
    <row r="1572" spans="1:8" s="479" customFormat="1" x14ac:dyDescent="0.2">
      <c r="B1572" s="524"/>
      <c r="D1572" s="501">
        <f>SUM(D1567:D1571)</f>
        <v>538.38249999999994</v>
      </c>
      <c r="E1572" s="480"/>
      <c r="F1572" s="523"/>
      <c r="G1572" s="523"/>
    </row>
    <row r="1573" spans="1:8" s="479" customFormat="1" x14ac:dyDescent="0.2">
      <c r="B1573" s="524"/>
      <c r="C1573" s="894" t="s">
        <v>1546</v>
      </c>
      <c r="D1573" s="894" t="s">
        <v>13</v>
      </c>
      <c r="E1573" s="894" t="s">
        <v>14</v>
      </c>
    </row>
    <row r="1574" spans="1:8" s="479" customFormat="1" x14ac:dyDescent="0.2">
      <c r="B1574" s="891" t="s">
        <v>1935</v>
      </c>
      <c r="C1574" s="907" t="s">
        <v>3214</v>
      </c>
      <c r="D1574" s="895">
        <f>+D1572/60</f>
        <v>8.9730416666666653</v>
      </c>
      <c r="E1574" s="894" t="s">
        <v>3213</v>
      </c>
    </row>
    <row r="1575" spans="1:8" s="479" customFormat="1" x14ac:dyDescent="0.2">
      <c r="B1575" s="891" t="s">
        <v>1936</v>
      </c>
      <c r="C1575" s="907" t="s">
        <v>3215</v>
      </c>
      <c r="D1575" s="894">
        <v>1</v>
      </c>
      <c r="E1575" s="894" t="s">
        <v>1796</v>
      </c>
    </row>
    <row r="1576" spans="1:8" s="479" customFormat="1" x14ac:dyDescent="0.2">
      <c r="B1576" s="891" t="s">
        <v>2238</v>
      </c>
      <c r="C1576" s="907" t="s">
        <v>3216</v>
      </c>
      <c r="D1576" s="894">
        <v>2</v>
      </c>
      <c r="E1576" s="894" t="s">
        <v>1280</v>
      </c>
    </row>
    <row r="1577" spans="1:8" s="479" customFormat="1" x14ac:dyDescent="0.2">
      <c r="B1577" s="891" t="s">
        <v>2182</v>
      </c>
      <c r="C1577" s="907" t="s">
        <v>3157</v>
      </c>
      <c r="D1577" s="894">
        <v>2</v>
      </c>
      <c r="E1577" s="894" t="s">
        <v>1411</v>
      </c>
    </row>
    <row r="1578" spans="1:8" s="479" customFormat="1" x14ac:dyDescent="0.2">
      <c r="B1578" s="891" t="s">
        <v>2201</v>
      </c>
      <c r="C1578" s="907" t="s">
        <v>3217</v>
      </c>
      <c r="D1578" s="894">
        <v>3</v>
      </c>
      <c r="E1578" s="894" t="s">
        <v>1754</v>
      </c>
    </row>
    <row r="1579" spans="1:8" s="479" customFormat="1" x14ac:dyDescent="0.2">
      <c r="B1579" s="891" t="s">
        <v>1937</v>
      </c>
      <c r="C1579" s="907" t="s">
        <v>3218</v>
      </c>
      <c r="D1579" s="894">
        <v>1</v>
      </c>
      <c r="E1579" s="894" t="s">
        <v>1754</v>
      </c>
    </row>
    <row r="1580" spans="1:8" s="479" customFormat="1" x14ac:dyDescent="0.2">
      <c r="B1580" s="891" t="s">
        <v>1938</v>
      </c>
      <c r="C1580" s="907" t="s">
        <v>3219</v>
      </c>
      <c r="D1580" s="955">
        <f>+D1572/190</f>
        <v>2.8335921052631576</v>
      </c>
      <c r="E1580" s="894" t="s">
        <v>1280</v>
      </c>
    </row>
    <row r="1581" spans="1:8" s="479" customFormat="1" x14ac:dyDescent="0.2">
      <c r="B1581" s="891" t="s">
        <v>1939</v>
      </c>
      <c r="C1581" s="907" t="s">
        <v>3172</v>
      </c>
      <c r="D1581" s="955">
        <f>+D1582</f>
        <v>4.141403846153846</v>
      </c>
      <c r="E1581" s="894" t="s">
        <v>1280</v>
      </c>
    </row>
    <row r="1582" spans="1:8" s="479" customFormat="1" x14ac:dyDescent="0.2">
      <c r="B1582" s="891" t="s">
        <v>1940</v>
      </c>
      <c r="C1582" s="907" t="s">
        <v>3220</v>
      </c>
      <c r="D1582" s="955">
        <f>+D1572/130</f>
        <v>4.141403846153846</v>
      </c>
      <c r="E1582" s="894" t="s">
        <v>1280</v>
      </c>
    </row>
    <row r="1583" spans="1:8" s="479" customFormat="1" x14ac:dyDescent="0.2">
      <c r="B1583" s="891" t="s">
        <v>1941</v>
      </c>
      <c r="C1583" s="907" t="s">
        <v>3221</v>
      </c>
      <c r="D1583" s="955">
        <f>+D1582</f>
        <v>4.141403846153846</v>
      </c>
      <c r="E1583" s="894" t="s">
        <v>1280</v>
      </c>
    </row>
    <row r="1584" spans="1:8" s="479" customFormat="1" x14ac:dyDescent="0.2">
      <c r="B1584" s="891" t="s">
        <v>2239</v>
      </c>
      <c r="C1584" s="907" t="s">
        <v>3222</v>
      </c>
      <c r="D1584" s="955">
        <f>+D1572/190</f>
        <v>2.8335921052631576</v>
      </c>
      <c r="E1584" s="894" t="s">
        <v>1280</v>
      </c>
    </row>
    <row r="1585" spans="2:10" s="479" customFormat="1" x14ac:dyDescent="0.2">
      <c r="B1585" s="891" t="s">
        <v>2227</v>
      </c>
      <c r="C1585" s="907" t="s">
        <v>3212</v>
      </c>
      <c r="D1585" s="955">
        <f>+D1572/130</f>
        <v>4.141403846153846</v>
      </c>
      <c r="E1585" s="894" t="s">
        <v>1280</v>
      </c>
    </row>
    <row r="1586" spans="2:10" s="479" customFormat="1" x14ac:dyDescent="0.2">
      <c r="B1586" s="891" t="s">
        <v>2240</v>
      </c>
      <c r="C1586" s="907" t="s">
        <v>3223</v>
      </c>
      <c r="D1586" s="955">
        <f>+D1584</f>
        <v>2.8335921052631576</v>
      </c>
      <c r="E1586" s="894" t="s">
        <v>1280</v>
      </c>
    </row>
    <row r="1587" spans="2:10" s="479" customFormat="1" x14ac:dyDescent="0.2">
      <c r="B1587" s="891" t="s">
        <v>2131</v>
      </c>
      <c r="C1587" s="907" t="s">
        <v>3224</v>
      </c>
      <c r="D1587" s="894">
        <v>1</v>
      </c>
      <c r="E1587" s="894" t="s">
        <v>1280</v>
      </c>
    </row>
    <row r="1588" spans="2:10" s="479" customFormat="1" x14ac:dyDescent="0.2">
      <c r="B1588" s="891" t="s">
        <v>1977</v>
      </c>
      <c r="C1588" s="907" t="str">
        <f>_xlfn.XLOOKUP(B1588,'BASE DATOS PRECIOS '!B:B,'BASE DATOS PRECIOS '!E:E,0,0,1)</f>
        <v>MAXICRIL ADHESIVO</v>
      </c>
      <c r="D1588" s="894">
        <v>1</v>
      </c>
      <c r="E1588" s="894" t="str">
        <f>_xlfn.XLOOKUP(B1588,'BASE DATOS PRECIOS '!B:B,'BASE DATOS PRECIOS '!F:F,0,0,1)</f>
        <v>GALON</v>
      </c>
    </row>
    <row r="1589" spans="2:10" x14ac:dyDescent="0.2">
      <c r="B1589" s="892"/>
    </row>
    <row r="1590" spans="2:10" s="479" customFormat="1" x14ac:dyDescent="0.2">
      <c r="C1590" s="893"/>
      <c r="D1590" s="894" t="s">
        <v>1012</v>
      </c>
      <c r="E1590" s="894" t="s">
        <v>1013</v>
      </c>
      <c r="F1590" s="894" t="s">
        <v>1657</v>
      </c>
      <c r="H1590" s="1158"/>
      <c r="I1590" s="1158"/>
      <c r="J1590" s="1158"/>
    </row>
    <row r="1591" spans="2:10" s="479" customFormat="1" x14ac:dyDescent="0.2">
      <c r="C1591" s="893" t="s">
        <v>2165</v>
      </c>
      <c r="D1591" s="898">
        <f>D187</f>
        <v>800</v>
      </c>
      <c r="E1591" s="898">
        <f>SUM(D1567)*D1591</f>
        <v>245929.99999999997</v>
      </c>
      <c r="F1591" s="899">
        <f>+E1591/'COSTOS MO CUADRILLA'!K42</f>
        <v>77.154509803921556</v>
      </c>
      <c r="G1591" s="506"/>
      <c r="H1591" s="480"/>
      <c r="J1591" s="480"/>
    </row>
    <row r="1592" spans="2:10" s="479" customFormat="1" x14ac:dyDescent="0.2">
      <c r="C1592" s="893"/>
      <c r="D1592" s="894" t="s">
        <v>1016</v>
      </c>
      <c r="E1592" s="898">
        <f>SUM(E1591:E1591)</f>
        <v>245929.99999999997</v>
      </c>
      <c r="F1592" s="899">
        <f>+E1592/'COSTOS MO CUADRILLA'!K42</f>
        <v>77.154509803921556</v>
      </c>
      <c r="G1592" s="480"/>
      <c r="H1592" s="480"/>
      <c r="I1592" s="495"/>
      <c r="J1592" s="480"/>
    </row>
    <row r="1593" spans="2:10" s="479" customFormat="1" x14ac:dyDescent="0.2">
      <c r="E1593" s="480"/>
      <c r="J1593" s="480"/>
    </row>
    <row r="1594" spans="2:10" s="479" customFormat="1" x14ac:dyDescent="0.2">
      <c r="C1594" s="893"/>
      <c r="D1594" s="894" t="s">
        <v>1012</v>
      </c>
      <c r="E1594" s="894" t="s">
        <v>1013</v>
      </c>
      <c r="F1594" s="894" t="s">
        <v>1657</v>
      </c>
      <c r="H1594" s="1158"/>
      <c r="I1594" s="1158"/>
      <c r="J1594" s="1158"/>
    </row>
    <row r="1595" spans="2:10" s="479" customFormat="1" x14ac:dyDescent="0.2">
      <c r="C1595" s="893" t="s">
        <v>2162</v>
      </c>
      <c r="D1595" s="898">
        <f>+D188</f>
        <v>1200</v>
      </c>
      <c r="E1595" s="898">
        <f>SUM(D1567)*D1595</f>
        <v>368894.99999999994</v>
      </c>
      <c r="F1595" s="895">
        <f>+E1595/'COSTOS MO CUADRILLA'!K42</f>
        <v>115.73176470588234</v>
      </c>
      <c r="G1595" s="506"/>
      <c r="H1595" s="480"/>
      <c r="J1595" s="480"/>
    </row>
    <row r="1596" spans="2:10" s="479" customFormat="1" x14ac:dyDescent="0.2">
      <c r="C1596" s="893"/>
      <c r="D1596" s="894" t="s">
        <v>1016</v>
      </c>
      <c r="E1596" s="898">
        <f>SUM(E1595:E1595)</f>
        <v>368894.99999999994</v>
      </c>
      <c r="F1596" s="895">
        <f>+E1596/'COSTOS MO CUADRILLA'!K42</f>
        <v>115.73176470588234</v>
      </c>
      <c r="G1596" s="480"/>
      <c r="H1596" s="480"/>
      <c r="I1596" s="495"/>
      <c r="J1596" s="496"/>
    </row>
    <row r="1597" spans="2:10" s="479" customFormat="1" x14ac:dyDescent="0.2">
      <c r="E1597" s="480"/>
      <c r="J1597" s="480"/>
    </row>
    <row r="1598" spans="2:10" s="479" customFormat="1" x14ac:dyDescent="0.2">
      <c r="C1598" s="893"/>
      <c r="D1598" s="894" t="s">
        <v>1012</v>
      </c>
      <c r="E1598" s="894" t="s">
        <v>1013</v>
      </c>
      <c r="F1598" s="894" t="s">
        <v>1657</v>
      </c>
      <c r="H1598" s="1158"/>
      <c r="I1598" s="1158"/>
      <c r="J1598" s="1158"/>
    </row>
    <row r="1599" spans="2:10" s="479" customFormat="1" x14ac:dyDescent="0.2">
      <c r="C1599" s="893" t="s">
        <v>2163</v>
      </c>
      <c r="D1599" s="898">
        <f>+D189</f>
        <v>1200</v>
      </c>
      <c r="E1599" s="898">
        <f>SUM(D1569:D1571)*D1599</f>
        <v>30600</v>
      </c>
      <c r="F1599" s="895">
        <f>+E1599/'COSTOS MO CUADRILLA'!K42</f>
        <v>9.6</v>
      </c>
      <c r="H1599" s="480"/>
      <c r="J1599" s="480"/>
    </row>
    <row r="1600" spans="2:10" s="479" customFormat="1" x14ac:dyDescent="0.2">
      <c r="C1600" s="893"/>
      <c r="D1600" s="894" t="s">
        <v>1016</v>
      </c>
      <c r="E1600" s="898">
        <f>SUM(E1599:E1599)</f>
        <v>30600</v>
      </c>
      <c r="F1600" s="895">
        <f>+E1600/'COSTOS MO CUADRILLA'!K42</f>
        <v>9.6</v>
      </c>
      <c r="G1600" s="480"/>
      <c r="H1600" s="480"/>
      <c r="I1600" s="495"/>
      <c r="J1600" s="496"/>
    </row>
    <row r="1601" spans="2:10" s="479" customFormat="1" x14ac:dyDescent="0.2">
      <c r="E1601" s="480"/>
      <c r="J1601" s="480"/>
    </row>
    <row r="1602" spans="2:10" s="479" customFormat="1" x14ac:dyDescent="0.2">
      <c r="C1602" s="893"/>
      <c r="D1602" s="894" t="s">
        <v>1012</v>
      </c>
      <c r="E1602" s="894" t="s">
        <v>1013</v>
      </c>
      <c r="F1602" s="894" t="s">
        <v>1657</v>
      </c>
      <c r="H1602" s="1158"/>
      <c r="I1602" s="1158"/>
      <c r="J1602" s="1158"/>
    </row>
    <row r="1603" spans="2:10" s="479" customFormat="1" x14ac:dyDescent="0.2">
      <c r="C1603" s="893" t="s">
        <v>2164</v>
      </c>
      <c r="D1603" s="898">
        <f>+D190</f>
        <v>1000</v>
      </c>
      <c r="E1603" s="898">
        <f>SUM(D1567)*D1603</f>
        <v>307412.49999999994</v>
      </c>
      <c r="F1603" s="895">
        <f>+E1603/'COSTOS MO CUADRILLA'!K42</f>
        <v>96.443137254901941</v>
      </c>
    </row>
    <row r="1604" spans="2:10" s="479" customFormat="1" x14ac:dyDescent="0.2">
      <c r="C1604" s="893"/>
      <c r="D1604" s="894" t="s">
        <v>1016</v>
      </c>
      <c r="E1604" s="898">
        <f>SUM(E1603:E1603)</f>
        <v>307412.49999999994</v>
      </c>
      <c r="F1604" s="895">
        <f>+E1604/'COSTOS MO CUADRILLA'!K42</f>
        <v>96.443137254901941</v>
      </c>
      <c r="G1604" s="506"/>
    </row>
    <row r="1607" spans="2:10" ht="21" x14ac:dyDescent="0.2">
      <c r="C1607" s="471" t="s">
        <v>2126</v>
      </c>
      <c r="D1607" s="471" t="s">
        <v>222</v>
      </c>
    </row>
    <row r="1609" spans="2:10" s="479" customFormat="1" ht="16.5" x14ac:dyDescent="0.25">
      <c r="B1609" s="524"/>
      <c r="C1609" s="481" t="s">
        <v>1805</v>
      </c>
      <c r="D1609" s="485">
        <f>+D18</f>
        <v>31.5</v>
      </c>
      <c r="E1609" s="485" t="s">
        <v>137</v>
      </c>
      <c r="F1609" s="413"/>
    </row>
    <row r="1610" spans="2:10" s="479" customFormat="1" ht="16.5" x14ac:dyDescent="0.25">
      <c r="B1610" s="524"/>
      <c r="C1610" s="481" t="s">
        <v>1806</v>
      </c>
      <c r="D1610" s="498">
        <f>+D545</f>
        <v>24.2</v>
      </c>
      <c r="E1610" s="485" t="s">
        <v>1076</v>
      </c>
      <c r="F1610" s="413"/>
    </row>
    <row r="1611" spans="2:10" s="479" customFormat="1" ht="16.5" x14ac:dyDescent="0.25">
      <c r="B1611" s="524"/>
      <c r="C1611" s="481" t="s">
        <v>1807</v>
      </c>
      <c r="D1611" s="485">
        <v>1</v>
      </c>
      <c r="E1611" s="485" t="s">
        <v>1076</v>
      </c>
      <c r="F1611" s="413"/>
    </row>
    <row r="1612" spans="2:10" s="479" customFormat="1" ht="16.5" x14ac:dyDescent="0.25">
      <c r="B1612" s="524"/>
      <c r="C1612" s="481" t="s">
        <v>1808</v>
      </c>
      <c r="D1612" s="485">
        <f>+D1611*D1610</f>
        <v>24.2</v>
      </c>
      <c r="E1612" s="485" t="s">
        <v>137</v>
      </c>
      <c r="F1612" s="413"/>
    </row>
    <row r="1613" spans="2:10" s="479" customFormat="1" ht="16.5" x14ac:dyDescent="0.25">
      <c r="B1613" s="524"/>
      <c r="C1613" s="481" t="s">
        <v>1839</v>
      </c>
      <c r="D1613" s="485">
        <f>+D1612+D1609</f>
        <v>55.7</v>
      </c>
      <c r="E1613" s="485" t="s">
        <v>137</v>
      </c>
      <c r="F1613" s="413"/>
    </row>
    <row r="1614" spans="2:10" s="479" customFormat="1" ht="16.5" x14ac:dyDescent="0.25">
      <c r="B1614" s="524"/>
      <c r="D1614" s="480"/>
      <c r="E1614" s="480"/>
      <c r="F1614" s="413"/>
    </row>
    <row r="1615" spans="2:10" s="479" customFormat="1" ht="16.5" x14ac:dyDescent="0.25">
      <c r="B1615" s="524"/>
      <c r="D1615" s="480"/>
      <c r="E1615" s="480"/>
      <c r="F1615" s="413"/>
    </row>
    <row r="1616" spans="2:10" s="479" customFormat="1" ht="16.5" x14ac:dyDescent="0.25">
      <c r="B1616" s="891"/>
      <c r="C1616" s="894" t="s">
        <v>1546</v>
      </c>
      <c r="D1616" s="894" t="s">
        <v>13</v>
      </c>
      <c r="E1616" s="894" t="s">
        <v>14</v>
      </c>
      <c r="F1616" s="415"/>
    </row>
    <row r="1617" spans="2:10" s="479" customFormat="1" ht="16.5" x14ac:dyDescent="0.25">
      <c r="B1617" s="891" t="s">
        <v>1942</v>
      </c>
      <c r="C1617" s="893" t="s">
        <v>3225</v>
      </c>
      <c r="D1617" s="894">
        <f>ROUNDUP(D1613/28,1)</f>
        <v>2</v>
      </c>
      <c r="E1617" s="894" t="s">
        <v>1762</v>
      </c>
      <c r="F1617" s="413"/>
    </row>
    <row r="1618" spans="2:10" s="479" customFormat="1" ht="16.5" x14ac:dyDescent="0.25">
      <c r="B1618" s="891" t="s">
        <v>1943</v>
      </c>
      <c r="C1618" s="893" t="s">
        <v>3226</v>
      </c>
      <c r="D1618" s="894">
        <f>+D1617</f>
        <v>2</v>
      </c>
      <c r="E1618" s="894" t="s">
        <v>1762</v>
      </c>
      <c r="F1618" s="413"/>
    </row>
    <row r="1619" spans="2:10" s="479" customFormat="1" ht="16.5" x14ac:dyDescent="0.25">
      <c r="B1619" s="891" t="s">
        <v>1944</v>
      </c>
      <c r="C1619" s="893" t="s">
        <v>3227</v>
      </c>
      <c r="D1619" s="894">
        <f>ROUNDUP(D1613*0.7/20,1)</f>
        <v>2</v>
      </c>
      <c r="E1619" s="894" t="s">
        <v>1775</v>
      </c>
      <c r="F1619" s="413"/>
    </row>
    <row r="1620" spans="2:10" s="479" customFormat="1" ht="16.5" x14ac:dyDescent="0.25">
      <c r="B1620" s="891" t="s">
        <v>1941</v>
      </c>
      <c r="C1620" s="893" t="s">
        <v>3221</v>
      </c>
      <c r="D1620" s="894">
        <f>IF(D1609=0,0,1)</f>
        <v>1</v>
      </c>
      <c r="E1620" s="894" t="s">
        <v>1826</v>
      </c>
      <c r="F1620" s="413"/>
    </row>
    <row r="1621" spans="2:10" s="479" customFormat="1" ht="16.5" x14ac:dyDescent="0.25">
      <c r="B1621" s="891" t="s">
        <v>1940</v>
      </c>
      <c r="C1621" s="893" t="s">
        <v>3220</v>
      </c>
      <c r="D1621" s="894">
        <f>IF(D1609=0,0,1)</f>
        <v>1</v>
      </c>
      <c r="E1621" s="894" t="s">
        <v>1826</v>
      </c>
      <c r="F1621" s="413"/>
    </row>
    <row r="1622" spans="2:10" s="479" customFormat="1" ht="16.5" x14ac:dyDescent="0.25">
      <c r="B1622" s="891" t="s">
        <v>1939</v>
      </c>
      <c r="C1622" s="893" t="s">
        <v>3172</v>
      </c>
      <c r="D1622" s="894">
        <f>IF(D1609=0,0,1)</f>
        <v>1</v>
      </c>
      <c r="E1622" s="894" t="s">
        <v>1826</v>
      </c>
      <c r="F1622" s="413"/>
      <c r="J1622" s="480"/>
    </row>
    <row r="1623" spans="2:10" s="479" customFormat="1" ht="16.5" x14ac:dyDescent="0.25">
      <c r="B1623" s="891" t="s">
        <v>2227</v>
      </c>
      <c r="C1623" s="893" t="s">
        <v>3228</v>
      </c>
      <c r="D1623" s="894">
        <f>IF(D1609=0,0,2)</f>
        <v>2</v>
      </c>
      <c r="E1623" s="894" t="s">
        <v>1826</v>
      </c>
      <c r="F1623" s="413"/>
      <c r="J1623" s="480"/>
    </row>
    <row r="1624" spans="2:10" s="479" customFormat="1" ht="16.5" x14ac:dyDescent="0.25">
      <c r="B1624" s="891"/>
      <c r="E1624" s="480"/>
      <c r="F1624" s="413"/>
      <c r="J1624" s="480"/>
    </row>
    <row r="1625" spans="2:10" s="479" customFormat="1" x14ac:dyDescent="0.2">
      <c r="B1625" s="524"/>
      <c r="E1625" s="480"/>
      <c r="J1625" s="480"/>
    </row>
    <row r="1626" spans="2:10" s="479" customFormat="1" x14ac:dyDescent="0.2">
      <c r="B1626" s="524"/>
      <c r="C1626" s="893"/>
      <c r="D1626" s="894" t="s">
        <v>1012</v>
      </c>
      <c r="E1626" s="894" t="s">
        <v>1013</v>
      </c>
      <c r="F1626" s="894" t="s">
        <v>1657</v>
      </c>
      <c r="H1626" s="1158"/>
      <c r="I1626" s="1158"/>
      <c r="J1626" s="1158"/>
    </row>
    <row r="1627" spans="2:10" s="479" customFormat="1" x14ac:dyDescent="0.2">
      <c r="B1627" s="524"/>
      <c r="C1627" s="893" t="s">
        <v>1655</v>
      </c>
      <c r="D1627" s="898">
        <f>+D199</f>
        <v>2500</v>
      </c>
      <c r="E1627" s="898">
        <f>+D1627*D1613</f>
        <v>139250</v>
      </c>
      <c r="F1627" s="899">
        <f>+E1627/'COSTOS MO CUADRILLA'!K43</f>
        <v>43.686274509803923</v>
      </c>
      <c r="H1627" s="480"/>
      <c r="J1627" s="480"/>
    </row>
    <row r="1628" spans="2:10" s="479" customFormat="1" x14ac:dyDescent="0.2">
      <c r="B1628" s="524"/>
      <c r="C1628" s="893"/>
      <c r="D1628" s="894" t="s">
        <v>1016</v>
      </c>
      <c r="E1628" s="898">
        <f>SUM(E1627:E1627)</f>
        <v>139250</v>
      </c>
      <c r="F1628" s="899">
        <f>+E1628/'COSTOS MO CUADRILLA'!K43</f>
        <v>43.686274509803923</v>
      </c>
      <c r="G1628" s="480"/>
      <c r="H1628" s="480"/>
      <c r="I1628" s="495"/>
      <c r="J1628" s="496"/>
    </row>
    <row r="1629" spans="2:10" x14ac:dyDescent="0.2">
      <c r="C1629" s="420"/>
      <c r="D1629" s="420"/>
      <c r="E1629" s="708"/>
      <c r="F1629" s="420"/>
      <c r="G1629" s="420"/>
      <c r="H1629" s="63"/>
      <c r="I1629" s="136"/>
      <c r="J1629" s="321"/>
    </row>
    <row r="1630" spans="2:10" x14ac:dyDescent="0.2">
      <c r="C1630" s="420"/>
      <c r="D1630" s="420"/>
      <c r="E1630" s="708"/>
      <c r="F1630" s="420"/>
      <c r="G1630" s="420"/>
      <c r="H1630" s="63"/>
      <c r="I1630" s="136"/>
      <c r="J1630" s="321"/>
    </row>
    <row r="1631" spans="2:10" ht="21" x14ac:dyDescent="0.2">
      <c r="C1631" s="471" t="s">
        <v>2127</v>
      </c>
      <c r="D1631" s="471" t="s">
        <v>224</v>
      </c>
    </row>
    <row r="1633" spans="2:12" s="479" customFormat="1" ht="16.5" x14ac:dyDescent="0.25">
      <c r="B1633" s="524"/>
      <c r="C1633" s="481" t="s">
        <v>1740</v>
      </c>
      <c r="D1633" s="498">
        <f>+D20</f>
        <v>158.13999999999999</v>
      </c>
      <c r="E1633" s="485" t="s">
        <v>137</v>
      </c>
      <c r="F1633" s="413"/>
    </row>
    <row r="1634" spans="2:12" x14ac:dyDescent="0.2">
      <c r="J1634" s="480"/>
    </row>
    <row r="1635" spans="2:12" s="479" customFormat="1" x14ac:dyDescent="0.2">
      <c r="C1635" s="893"/>
      <c r="D1635" s="894" t="s">
        <v>1012</v>
      </c>
      <c r="E1635" s="894" t="s">
        <v>1013</v>
      </c>
      <c r="F1635" s="894" t="s">
        <v>1657</v>
      </c>
      <c r="H1635" s="1158"/>
      <c r="I1635" s="1158"/>
      <c r="J1635" s="1158"/>
    </row>
    <row r="1636" spans="2:12" s="479" customFormat="1" x14ac:dyDescent="0.2">
      <c r="C1636" s="947" t="str">
        <f>+C200</f>
        <v>Revisión y limpieza final (poncheo)</v>
      </c>
      <c r="D1636" s="898">
        <f>+D200</f>
        <v>2000</v>
      </c>
      <c r="E1636" s="898">
        <f>+D1636*D1633</f>
        <v>316280</v>
      </c>
      <c r="F1636" s="899">
        <f>+E1636/'COSTOS MO CUADRILLA'!K44</f>
        <v>120.48761904761905</v>
      </c>
      <c r="H1636" s="480"/>
      <c r="J1636" s="480"/>
    </row>
    <row r="1637" spans="2:12" s="479" customFormat="1" x14ac:dyDescent="0.2">
      <c r="C1637" s="893"/>
      <c r="D1637" s="894" t="s">
        <v>1016</v>
      </c>
      <c r="E1637" s="898">
        <f>SUM(E1636:E1636)</f>
        <v>316280</v>
      </c>
      <c r="F1637" s="899">
        <f>+E1637/'COSTOS MO CUADRILLA'!K44</f>
        <v>120.48761904761905</v>
      </c>
      <c r="G1637" s="480"/>
      <c r="H1637" s="480"/>
      <c r="I1637" s="495"/>
      <c r="J1637" s="496"/>
    </row>
    <row r="1640" spans="2:12" ht="21" x14ac:dyDescent="0.2">
      <c r="C1640" s="470">
        <v>2.4</v>
      </c>
      <c r="D1640" s="475" t="s">
        <v>1905</v>
      </c>
      <c r="E1640" s="708"/>
      <c r="F1640" s="420"/>
      <c r="G1640" s="63"/>
      <c r="H1640" s="63"/>
      <c r="I1640" s="136" t="s">
        <v>1309</v>
      </c>
      <c r="J1640" s="321">
        <v>2.1</v>
      </c>
      <c r="K1640">
        <v>2.8</v>
      </c>
      <c r="L1640">
        <v>1</v>
      </c>
    </row>
    <row r="1641" spans="2:12" x14ac:dyDescent="0.2">
      <c r="E1641" s="708"/>
      <c r="F1641" s="420"/>
      <c r="G1641" s="63"/>
      <c r="H1641" s="63"/>
      <c r="I1641" s="136" t="s">
        <v>3527</v>
      </c>
      <c r="J1641" s="321">
        <v>2.1</v>
      </c>
      <c r="K1641">
        <v>2</v>
      </c>
      <c r="L1641">
        <v>2</v>
      </c>
    </row>
    <row r="1642" spans="2:12" ht="21" x14ac:dyDescent="0.2">
      <c r="C1642" s="471" t="s">
        <v>2065</v>
      </c>
      <c r="D1642" s="471" t="s">
        <v>208</v>
      </c>
      <c r="E1642" s="708"/>
      <c r="F1642" s="420"/>
      <c r="G1642" s="63"/>
      <c r="H1642" s="63"/>
      <c r="I1642" s="136"/>
      <c r="J1642" s="321"/>
    </row>
    <row r="1643" spans="2:12" x14ac:dyDescent="0.2">
      <c r="C1643" s="420"/>
      <c r="D1643" s="420"/>
      <c r="E1643" s="708"/>
      <c r="F1643" s="420"/>
      <c r="G1643" s="63"/>
      <c r="H1643" s="63"/>
      <c r="I1643" s="136"/>
      <c r="J1643" s="321"/>
    </row>
    <row r="1644" spans="2:12" ht="21" x14ac:dyDescent="0.2">
      <c r="C1644" s="470">
        <v>2.5</v>
      </c>
      <c r="D1644" s="475" t="s">
        <v>225</v>
      </c>
      <c r="E1644" s="708"/>
      <c r="F1644" s="420"/>
      <c r="G1644" s="63"/>
      <c r="H1644" s="63"/>
      <c r="I1644" s="136"/>
      <c r="J1644" s="321"/>
    </row>
    <row r="1645" spans="2:12" x14ac:dyDescent="0.2">
      <c r="E1645" s="708"/>
      <c r="F1645" s="420"/>
      <c r="G1645" s="63"/>
      <c r="H1645" s="63"/>
      <c r="I1645" s="136"/>
      <c r="J1645" s="321"/>
    </row>
    <row r="1646" spans="2:12" ht="21" x14ac:dyDescent="0.2">
      <c r="C1646" s="471" t="s">
        <v>2067</v>
      </c>
      <c r="D1646" s="1148" t="s">
        <v>1399</v>
      </c>
      <c r="E1646" s="1148"/>
      <c r="F1646" s="1148"/>
    </row>
    <row r="1647" spans="2:12" hidden="1" x14ac:dyDescent="0.2"/>
    <row r="1648" spans="2:12" hidden="1" x14ac:dyDescent="0.2">
      <c r="C1648" s="485" t="s">
        <v>1546</v>
      </c>
      <c r="D1648" s="485" t="s">
        <v>13</v>
      </c>
      <c r="E1648" s="485" t="s">
        <v>1146</v>
      </c>
      <c r="F1648" s="485" t="s">
        <v>1461</v>
      </c>
      <c r="G1648" s="485" t="s">
        <v>1676</v>
      </c>
      <c r="H1648" s="485" t="s">
        <v>1547</v>
      </c>
      <c r="I1648" s="485" t="s">
        <v>1012</v>
      </c>
      <c r="J1648" s="485" t="s">
        <v>257</v>
      </c>
    </row>
    <row r="1649" spans="3:15" hidden="1" x14ac:dyDescent="0.2">
      <c r="C1649" s="484" t="s">
        <v>3564</v>
      </c>
      <c r="D1649" s="482">
        <v>1</v>
      </c>
      <c r="E1649" s="484">
        <v>2.15</v>
      </c>
      <c r="F1649" s="484">
        <v>0.6</v>
      </c>
      <c r="G1649" s="498">
        <f>+F1649*E1649*D1649</f>
        <v>1.2899999999999998</v>
      </c>
      <c r="H1649" s="957">
        <f>SUM(G1649:G1661)</f>
        <v>11.135</v>
      </c>
      <c r="I1649" s="959">
        <f>+J1668</f>
        <v>53525.872353116603</v>
      </c>
      <c r="J1649" s="959">
        <f>+I1649*H1649</f>
        <v>596010.58865195338</v>
      </c>
    </row>
    <row r="1650" spans="3:15" hidden="1" x14ac:dyDescent="0.2">
      <c r="C1650" s="484" t="s">
        <v>3565</v>
      </c>
      <c r="D1650" s="482">
        <v>1</v>
      </c>
      <c r="E1650" s="484">
        <v>0.55000000000000004</v>
      </c>
      <c r="F1650" s="484">
        <v>0.55000000000000004</v>
      </c>
      <c r="G1650" s="498">
        <f t="shared" ref="G1650:G1665" si="125">+F1650*E1650*D1650</f>
        <v>0.30250000000000005</v>
      </c>
      <c r="H1650" s="958"/>
      <c r="I1650" s="959"/>
      <c r="J1650" s="959"/>
    </row>
    <row r="1651" spans="3:15" hidden="1" x14ac:dyDescent="0.2">
      <c r="C1651" s="484"/>
      <c r="D1651" s="482"/>
      <c r="E1651" s="484"/>
      <c r="F1651" s="484"/>
      <c r="G1651" s="498">
        <f t="shared" si="125"/>
        <v>0</v>
      </c>
      <c r="H1651" s="958"/>
      <c r="I1651" s="959"/>
      <c r="J1651" s="959"/>
    </row>
    <row r="1652" spans="3:15" hidden="1" x14ac:dyDescent="0.2">
      <c r="C1652" s="484" t="s">
        <v>3566</v>
      </c>
      <c r="D1652" s="482">
        <v>1</v>
      </c>
      <c r="E1652" s="484">
        <v>2</v>
      </c>
      <c r="F1652" s="484">
        <v>1.35</v>
      </c>
      <c r="G1652" s="498">
        <f t="shared" ref="G1652:G1655" si="126">+F1652*E1652*D1652</f>
        <v>2.7</v>
      </c>
      <c r="H1652" s="958"/>
      <c r="I1652" s="959"/>
      <c r="J1652" s="959"/>
    </row>
    <row r="1653" spans="3:15" hidden="1" x14ac:dyDescent="0.2">
      <c r="C1653" s="484" t="s">
        <v>3567</v>
      </c>
      <c r="D1653" s="482">
        <v>1</v>
      </c>
      <c r="E1653" s="484">
        <v>1.95</v>
      </c>
      <c r="F1653" s="484">
        <v>1.2</v>
      </c>
      <c r="G1653" s="498">
        <f t="shared" si="126"/>
        <v>2.34</v>
      </c>
      <c r="H1653" s="958"/>
      <c r="I1653" s="959"/>
      <c r="J1653" s="959"/>
    </row>
    <row r="1654" spans="3:15" hidden="1" x14ac:dyDescent="0.2">
      <c r="C1654" s="484" t="s">
        <v>3568</v>
      </c>
      <c r="D1654" s="482">
        <v>1</v>
      </c>
      <c r="E1654" s="484">
        <v>1.4</v>
      </c>
      <c r="F1654" s="484">
        <v>1.5</v>
      </c>
      <c r="G1654" s="498">
        <f t="shared" si="126"/>
        <v>2.0999999999999996</v>
      </c>
      <c r="H1654" s="958"/>
      <c r="I1654" s="959"/>
      <c r="J1654" s="959"/>
    </row>
    <row r="1655" spans="3:15" s="479" customFormat="1" hidden="1" x14ac:dyDescent="0.2">
      <c r="C1655" s="766" t="s">
        <v>3568</v>
      </c>
      <c r="D1655" s="482">
        <v>1</v>
      </c>
      <c r="E1655" s="484">
        <v>1.4</v>
      </c>
      <c r="F1655" s="484">
        <v>1.5</v>
      </c>
      <c r="G1655" s="498">
        <f t="shared" si="126"/>
        <v>2.0999999999999996</v>
      </c>
      <c r="H1655" s="958"/>
      <c r="I1655" s="959"/>
      <c r="J1655" s="959"/>
      <c r="L1655"/>
      <c r="M1655"/>
      <c r="N1655"/>
      <c r="O1655"/>
    </row>
    <row r="1656" spans="3:15" s="479" customFormat="1" ht="18" hidden="1" customHeight="1" x14ac:dyDescent="0.25">
      <c r="C1656" s="484" t="s">
        <v>3569</v>
      </c>
      <c r="D1656" s="482">
        <v>1</v>
      </c>
      <c r="E1656" s="484">
        <v>0.55000000000000004</v>
      </c>
      <c r="F1656" s="484">
        <v>0.55000000000000004</v>
      </c>
      <c r="G1656" s="498">
        <f t="shared" si="125"/>
        <v>0.30250000000000005</v>
      </c>
      <c r="H1656" s="958"/>
      <c r="I1656" s="959"/>
      <c r="J1656" s="959"/>
      <c r="K1656" s="413"/>
      <c r="L1656"/>
      <c r="M1656"/>
      <c r="N1656"/>
      <c r="O1656"/>
    </row>
    <row r="1657" spans="3:15" s="479" customFormat="1" ht="18" hidden="1" customHeight="1" x14ac:dyDescent="0.25">
      <c r="C1657" s="484"/>
      <c r="D1657" s="482"/>
      <c r="E1657" s="484"/>
      <c r="F1657" s="484"/>
      <c r="G1657" s="498">
        <f t="shared" si="125"/>
        <v>0</v>
      </c>
      <c r="H1657" s="958"/>
      <c r="I1657" s="959"/>
      <c r="J1657" s="959"/>
      <c r="K1657" s="413"/>
      <c r="L1657"/>
      <c r="M1657"/>
      <c r="N1657"/>
      <c r="O1657"/>
    </row>
    <row r="1658" spans="3:15" s="479" customFormat="1" ht="18" hidden="1" customHeight="1" x14ac:dyDescent="0.25">
      <c r="C1658" s="484"/>
      <c r="D1658" s="482"/>
      <c r="E1658" s="484"/>
      <c r="F1658" s="484"/>
      <c r="G1658" s="498">
        <f t="shared" si="125"/>
        <v>0</v>
      </c>
      <c r="H1658" s="958"/>
      <c r="I1658" s="959"/>
      <c r="J1658" s="959"/>
      <c r="K1658" s="413"/>
      <c r="L1658"/>
      <c r="M1658"/>
      <c r="N1658"/>
      <c r="O1658"/>
    </row>
    <row r="1659" spans="3:15" s="479" customFormat="1" ht="18" hidden="1" customHeight="1" x14ac:dyDescent="0.25">
      <c r="C1659" s="766"/>
      <c r="D1659" s="482"/>
      <c r="E1659" s="484"/>
      <c r="F1659" s="484"/>
      <c r="G1659" s="498">
        <f t="shared" si="125"/>
        <v>0</v>
      </c>
      <c r="H1659" s="958"/>
      <c r="I1659" s="959"/>
      <c r="J1659" s="959"/>
      <c r="K1659" s="413"/>
      <c r="L1659"/>
      <c r="M1659"/>
      <c r="N1659"/>
      <c r="O1659"/>
    </row>
    <row r="1660" spans="3:15" s="479" customFormat="1" ht="18" hidden="1" customHeight="1" x14ac:dyDescent="0.25">
      <c r="C1660" s="766"/>
      <c r="D1660" s="482"/>
      <c r="E1660" s="484"/>
      <c r="F1660" s="484"/>
      <c r="G1660" s="498">
        <f t="shared" si="125"/>
        <v>0</v>
      </c>
      <c r="H1660" s="958"/>
      <c r="I1660" s="959"/>
      <c r="J1660" s="959"/>
      <c r="K1660" s="413"/>
      <c r="L1660"/>
      <c r="M1660"/>
      <c r="N1660"/>
      <c r="O1660"/>
    </row>
    <row r="1661" spans="3:15" s="479" customFormat="1" ht="18" hidden="1" customHeight="1" x14ac:dyDescent="0.25">
      <c r="C1661" s="766"/>
      <c r="D1661" s="482"/>
      <c r="E1661" s="484"/>
      <c r="F1661" s="484"/>
      <c r="G1661" s="498">
        <f t="shared" si="125"/>
        <v>0</v>
      </c>
      <c r="H1661" s="958"/>
      <c r="I1661" s="959"/>
      <c r="J1661" s="959"/>
      <c r="K1661" s="413"/>
      <c r="L1661"/>
      <c r="M1661"/>
      <c r="N1661"/>
      <c r="O1661"/>
    </row>
    <row r="1662" spans="3:15" s="479" customFormat="1" ht="18" hidden="1" customHeight="1" x14ac:dyDescent="0.25">
      <c r="C1662" s="484" t="s">
        <v>3552</v>
      </c>
      <c r="D1662" s="482">
        <v>1</v>
      </c>
      <c r="E1662" s="484">
        <v>2.1</v>
      </c>
      <c r="F1662" s="484">
        <v>1.6</v>
      </c>
      <c r="G1662" s="498">
        <f>+F1662*E1662*D1662</f>
        <v>3.3600000000000003</v>
      </c>
      <c r="H1662" s="957">
        <f>SUM(G1662:G1665)</f>
        <v>9.870000000000001</v>
      </c>
      <c r="I1662" s="959">
        <f>+J1669</f>
        <v>47039.534883720924</v>
      </c>
      <c r="J1662" s="959">
        <f>+H1662*I1662</f>
        <v>464280.20930232556</v>
      </c>
      <c r="K1662" s="413"/>
      <c r="L1662"/>
      <c r="M1662"/>
      <c r="N1662"/>
      <c r="O1662"/>
    </row>
    <row r="1663" spans="3:15" s="479" customFormat="1" ht="18" hidden="1" customHeight="1" x14ac:dyDescent="0.25">
      <c r="C1663" s="484" t="s">
        <v>3552</v>
      </c>
      <c r="D1663" s="482">
        <v>1</v>
      </c>
      <c r="E1663" s="484">
        <v>2.1</v>
      </c>
      <c r="F1663" s="484">
        <v>1.6</v>
      </c>
      <c r="G1663" s="498">
        <f>+F1663*E1663*D1663</f>
        <v>3.3600000000000003</v>
      </c>
      <c r="H1663" s="957"/>
      <c r="I1663" s="959"/>
      <c r="J1663" s="959"/>
      <c r="K1663" s="413"/>
      <c r="L1663"/>
      <c r="M1663"/>
      <c r="N1663"/>
      <c r="O1663"/>
    </row>
    <row r="1664" spans="3:15" s="479" customFormat="1" ht="18" hidden="1" customHeight="1" x14ac:dyDescent="0.25">
      <c r="C1664" s="484" t="s">
        <v>3552</v>
      </c>
      <c r="D1664" s="482">
        <v>1</v>
      </c>
      <c r="E1664" s="484">
        <v>2.1</v>
      </c>
      <c r="F1664" s="484">
        <v>1.5</v>
      </c>
      <c r="G1664" s="498">
        <f t="shared" si="125"/>
        <v>3.1500000000000004</v>
      </c>
      <c r="H1664" s="957"/>
      <c r="I1664" s="959"/>
      <c r="J1664" s="959"/>
      <c r="K1664" s="413"/>
      <c r="L1664"/>
      <c r="M1664"/>
      <c r="N1664"/>
      <c r="O1664"/>
    </row>
    <row r="1665" spans="2:15" s="479" customFormat="1" ht="18" hidden="1" customHeight="1" x14ac:dyDescent="0.25">
      <c r="C1665" s="484"/>
      <c r="D1665" s="482"/>
      <c r="E1665" s="484"/>
      <c r="F1665" s="484"/>
      <c r="G1665" s="498">
        <f t="shared" si="125"/>
        <v>0</v>
      </c>
      <c r="H1665" s="957"/>
      <c r="I1665" s="959"/>
      <c r="J1665" s="959"/>
      <c r="K1665" s="413"/>
      <c r="L1665"/>
      <c r="M1665"/>
      <c r="N1665"/>
      <c r="O1665"/>
    </row>
    <row r="1666" spans="2:15" s="479" customFormat="1" ht="18" hidden="1" customHeight="1" x14ac:dyDescent="0.25">
      <c r="E1666" s="480"/>
      <c r="G1666" s="497">
        <f>SUM(G1649:G1665)</f>
        <v>21.005000000000003</v>
      </c>
      <c r="I1666" s="543"/>
      <c r="J1666" s="544">
        <f>SUM(J1649:J1665)</f>
        <v>1060290.797954279</v>
      </c>
      <c r="K1666" s="413"/>
      <c r="L1666"/>
      <c r="M1666"/>
      <c r="N1666"/>
      <c r="O1666"/>
    </row>
    <row r="1667" spans="2:15" s="479" customFormat="1" ht="18" hidden="1" customHeight="1" x14ac:dyDescent="0.25">
      <c r="K1667" s="413"/>
      <c r="L1667"/>
      <c r="M1667"/>
      <c r="N1667"/>
      <c r="O1667"/>
    </row>
    <row r="1668" spans="2:15" s="479" customFormat="1" ht="18" hidden="1" customHeight="1" x14ac:dyDescent="0.25">
      <c r="F1668" s="1171"/>
      <c r="G1668" s="499">
        <f>2.15*1.76+0.5*0.3+1.85*1.4+0.53+0.53+1.44*1.77+0.48*1.41+1.85*1.4+0.48*1.41+0.48*1.41</f>
        <v>14.7532</v>
      </c>
      <c r="H1668" s="545">
        <f>178480+26660+65960+38630+92820+68750+92820+68750+65960</f>
        <v>698830</v>
      </c>
      <c r="I1668" s="545">
        <f>+H1668*1.13</f>
        <v>789677.89999999991</v>
      </c>
      <c r="J1668" s="546">
        <f>+I1668/G1668</f>
        <v>53525.872353116603</v>
      </c>
      <c r="K1668" s="413"/>
      <c r="L1668"/>
      <c r="M1668"/>
      <c r="N1668"/>
      <c r="O1668"/>
    </row>
    <row r="1669" spans="2:15" s="479" customFormat="1" ht="18.75" hidden="1" customHeight="1" thickBot="1" x14ac:dyDescent="0.3">
      <c r="F1669" s="1172"/>
      <c r="G1669" s="530">
        <f>3*2.15*1.98</f>
        <v>12.770999999999999</v>
      </c>
      <c r="H1669" s="547">
        <f>3*177210</f>
        <v>531630</v>
      </c>
      <c r="I1669" s="547">
        <f>+H1669*1.13</f>
        <v>600741.89999999991</v>
      </c>
      <c r="J1669" s="548">
        <f>+I1669/G1669</f>
        <v>47039.534883720924</v>
      </c>
      <c r="K1669" s="413"/>
      <c r="L1669"/>
      <c r="M1669"/>
      <c r="N1669"/>
      <c r="O1669"/>
    </row>
    <row r="1670" spans="2:15" s="479" customFormat="1" ht="18" hidden="1" customHeight="1" x14ac:dyDescent="0.25">
      <c r="F1670" s="499"/>
      <c r="G1670" s="499">
        <f>SUM(G1668:G1669)</f>
        <v>27.5242</v>
      </c>
      <c r="H1670" s="545">
        <f>SUM(H1668:H1669)</f>
        <v>1230460</v>
      </c>
      <c r="I1670" s="545">
        <f>SUM(I1668:I1669)</f>
        <v>1390419.7999999998</v>
      </c>
      <c r="J1670" s="546"/>
      <c r="K1670" s="413"/>
      <c r="L1670"/>
      <c r="M1670"/>
      <c r="N1670"/>
      <c r="O1670"/>
    </row>
    <row r="1671" spans="2:15" s="479" customFormat="1" ht="18" customHeight="1" x14ac:dyDescent="0.25">
      <c r="K1671" s="413"/>
      <c r="L1671"/>
      <c r="M1671"/>
      <c r="N1671"/>
      <c r="O1671"/>
    </row>
    <row r="1672" spans="2:15" s="479" customFormat="1" x14ac:dyDescent="0.2">
      <c r="E1672" s="480"/>
      <c r="J1672" s="480"/>
      <c r="L1672"/>
      <c r="M1672"/>
      <c r="N1672"/>
      <c r="O1672"/>
    </row>
    <row r="1673" spans="2:15" s="479" customFormat="1" ht="25.5" customHeight="1" x14ac:dyDescent="0.2">
      <c r="C1673" s="491" t="s">
        <v>1809</v>
      </c>
      <c r="D1673" s="960">
        <f>SUMIF('Subc. Vent.'!B:B,'1_OG y 2_ACA'!E1673,'Subc. Vent.'!F:F)/COUNTIF('Subc. Vent.'!B:B,'1_OG y 2_ACA'!E1673)</f>
        <v>1151015.175</v>
      </c>
      <c r="E1673" s="912" t="s">
        <v>3613</v>
      </c>
      <c r="L1673"/>
      <c r="M1673"/>
      <c r="N1673"/>
      <c r="O1673"/>
    </row>
    <row r="1674" spans="2:15" s="479" customFormat="1" x14ac:dyDescent="0.2">
      <c r="B1674" s="524"/>
      <c r="E1674" s="480"/>
      <c r="L1674"/>
      <c r="M1674"/>
      <c r="N1674"/>
      <c r="O1674"/>
    </row>
    <row r="1675" spans="2:15" s="479" customFormat="1" x14ac:dyDescent="0.2">
      <c r="B1675" s="524"/>
      <c r="E1675" s="480"/>
      <c r="L1675"/>
      <c r="M1675"/>
      <c r="N1675"/>
      <c r="O1675"/>
    </row>
    <row r="1676" spans="2:15" x14ac:dyDescent="0.2">
      <c r="F1676" s="424"/>
      <c r="G1676" s="424"/>
      <c r="H1676" s="429"/>
      <c r="I1676" s="429"/>
      <c r="J1676" s="430"/>
    </row>
    <row r="1677" spans="2:15" ht="21" x14ac:dyDescent="0.2">
      <c r="C1677" s="470">
        <v>2.6</v>
      </c>
      <c r="D1677" s="475" t="s">
        <v>207</v>
      </c>
      <c r="F1677" s="424"/>
      <c r="G1677" s="424"/>
      <c r="H1677" s="429"/>
      <c r="I1677" s="429"/>
      <c r="J1677" s="430"/>
    </row>
    <row r="1678" spans="2:15" x14ac:dyDescent="0.2">
      <c r="F1678" s="424"/>
      <c r="G1678" s="424"/>
      <c r="H1678" s="429"/>
      <c r="I1678" s="429"/>
      <c r="J1678" s="430"/>
    </row>
    <row r="1679" spans="2:15" ht="21" x14ac:dyDescent="0.2">
      <c r="C1679" s="471" t="s">
        <v>2068</v>
      </c>
      <c r="D1679" s="471" t="s">
        <v>208</v>
      </c>
      <c r="F1679" s="424"/>
      <c r="G1679" s="424"/>
      <c r="H1679" s="429"/>
      <c r="I1679" s="429"/>
      <c r="J1679" s="430"/>
    </row>
    <row r="1680" spans="2:15" x14ac:dyDescent="0.2">
      <c r="F1680" s="424"/>
      <c r="G1680" s="1159"/>
      <c r="H1680" s="1159"/>
      <c r="I1680" s="1159"/>
      <c r="J1680" s="1159"/>
    </row>
    <row r="1681" spans="3:10" x14ac:dyDescent="0.2">
      <c r="C1681" s="224" t="s">
        <v>3644</v>
      </c>
      <c r="D1681" s="224"/>
      <c r="F1681" s="424"/>
      <c r="G1681" s="425"/>
      <c r="H1681" s="425"/>
      <c r="I1681" s="425"/>
      <c r="J1681" s="425"/>
    </row>
    <row r="1682" spans="3:10" x14ac:dyDescent="0.2">
      <c r="C1682" s="103" t="s">
        <v>3557</v>
      </c>
      <c r="D1682" s="878">
        <v>1</v>
      </c>
      <c r="F1682" s="424"/>
      <c r="G1682" s="425"/>
      <c r="H1682" s="425"/>
      <c r="I1682" s="425"/>
      <c r="J1682" s="425"/>
    </row>
    <row r="1683" spans="3:10" x14ac:dyDescent="0.2">
      <c r="C1683" s="103" t="s">
        <v>3645</v>
      </c>
      <c r="D1683" s="878">
        <v>0</v>
      </c>
      <c r="F1683" s="424"/>
      <c r="G1683" s="425"/>
      <c r="H1683" s="425"/>
      <c r="I1683" s="425"/>
      <c r="J1683" s="425"/>
    </row>
    <row r="1684" spans="3:10" x14ac:dyDescent="0.2">
      <c r="C1684" s="103" t="s">
        <v>3646</v>
      </c>
      <c r="D1684" s="878">
        <v>1</v>
      </c>
      <c r="F1684" s="424"/>
      <c r="G1684" s="425"/>
      <c r="H1684" s="425"/>
      <c r="I1684" s="425"/>
      <c r="J1684" s="425"/>
    </row>
    <row r="1685" spans="3:10" x14ac:dyDescent="0.2">
      <c r="C1685" s="103" t="s">
        <v>3647</v>
      </c>
      <c r="D1685" s="878">
        <v>2</v>
      </c>
      <c r="F1685" s="424"/>
      <c r="G1685" s="425"/>
      <c r="H1685" s="425"/>
      <c r="I1685" s="425"/>
      <c r="J1685" s="425"/>
    </row>
    <row r="1686" spans="3:10" x14ac:dyDescent="0.2">
      <c r="C1686" s="103" t="s">
        <v>3648</v>
      </c>
      <c r="D1686" s="878">
        <v>0</v>
      </c>
      <c r="F1686" s="424"/>
      <c r="G1686" s="425"/>
      <c r="H1686" s="425"/>
      <c r="I1686" s="425"/>
      <c r="J1686" s="425"/>
    </row>
    <row r="1687" spans="3:10" x14ac:dyDescent="0.2">
      <c r="C1687" s="103" t="s">
        <v>3649</v>
      </c>
      <c r="D1687" s="878">
        <v>1</v>
      </c>
      <c r="F1687" s="424"/>
      <c r="G1687" s="425"/>
      <c r="H1687" s="425"/>
      <c r="I1687" s="425"/>
      <c r="J1687" s="425"/>
    </row>
    <row r="1688" spans="3:10" x14ac:dyDescent="0.2">
      <c r="C1688" s="103" t="s">
        <v>3650</v>
      </c>
      <c r="D1688" s="878">
        <v>1</v>
      </c>
      <c r="F1688" s="424"/>
      <c r="G1688" s="425"/>
      <c r="H1688" s="425"/>
      <c r="I1688" s="425"/>
      <c r="J1688" s="425"/>
    </row>
    <row r="1689" spans="3:10" x14ac:dyDescent="0.2">
      <c r="C1689" s="103" t="s">
        <v>3651</v>
      </c>
      <c r="D1689" s="878">
        <v>0</v>
      </c>
      <c r="F1689" s="424"/>
      <c r="G1689" s="425"/>
      <c r="H1689" s="425"/>
      <c r="I1689" s="425"/>
      <c r="J1689" s="425"/>
    </row>
    <row r="1690" spans="3:10" x14ac:dyDescent="0.2">
      <c r="C1690" s="103" t="s">
        <v>3652</v>
      </c>
      <c r="D1690" s="878">
        <v>2</v>
      </c>
      <c r="F1690" s="424"/>
      <c r="G1690" s="425"/>
      <c r="H1690" s="425"/>
      <c r="I1690" s="425"/>
      <c r="J1690" s="425"/>
    </row>
    <row r="1691" spans="3:10" x14ac:dyDescent="0.2">
      <c r="C1691" s="103" t="s">
        <v>3653</v>
      </c>
      <c r="D1691" s="878">
        <v>0</v>
      </c>
      <c r="F1691" s="424"/>
      <c r="G1691" s="425"/>
      <c r="H1691" s="425"/>
      <c r="I1691" s="425"/>
      <c r="J1691" s="425"/>
    </row>
    <row r="1692" spans="3:10" x14ac:dyDescent="0.2">
      <c r="C1692" s="103" t="s">
        <v>3654</v>
      </c>
      <c r="D1692" s="878">
        <v>0</v>
      </c>
      <c r="F1692" s="424"/>
      <c r="G1692" s="425"/>
      <c r="H1692" s="425"/>
      <c r="I1692" s="425"/>
      <c r="J1692" s="425"/>
    </row>
    <row r="1693" spans="3:10" x14ac:dyDescent="0.2">
      <c r="C1693" s="103" t="s">
        <v>3556</v>
      </c>
      <c r="D1693" s="878">
        <v>0</v>
      </c>
      <c r="F1693" s="424"/>
      <c r="G1693" s="425"/>
      <c r="H1693" s="425"/>
      <c r="I1693" s="425"/>
      <c r="J1693" s="425"/>
    </row>
    <row r="1694" spans="3:10" x14ac:dyDescent="0.2">
      <c r="C1694" s="103" t="s">
        <v>1545</v>
      </c>
      <c r="D1694" s="878">
        <v>1</v>
      </c>
      <c r="F1694" s="424"/>
      <c r="G1694" s="425"/>
      <c r="H1694" s="425"/>
      <c r="I1694" s="425"/>
      <c r="J1694" s="425"/>
    </row>
    <row r="1695" spans="3:10" x14ac:dyDescent="0.2">
      <c r="C1695" s="103" t="s">
        <v>3655</v>
      </c>
      <c r="D1695" s="878">
        <v>3</v>
      </c>
      <c r="F1695" s="424"/>
      <c r="G1695" s="425"/>
      <c r="H1695" s="425"/>
      <c r="I1695" s="425"/>
      <c r="J1695" s="425"/>
    </row>
    <row r="1696" spans="3:10" x14ac:dyDescent="0.2">
      <c r="C1696" s="103" t="s">
        <v>3656</v>
      </c>
      <c r="D1696" s="878">
        <v>0</v>
      </c>
      <c r="F1696" s="424"/>
      <c r="G1696" s="425"/>
      <c r="H1696" s="425"/>
      <c r="I1696" s="425"/>
      <c r="J1696" s="425"/>
    </row>
    <row r="1697" spans="2:10" x14ac:dyDescent="0.2">
      <c r="C1697" s="103" t="s">
        <v>3010</v>
      </c>
      <c r="D1697" s="878">
        <v>2</v>
      </c>
      <c r="F1697" s="424"/>
      <c r="G1697" s="425"/>
      <c r="H1697" s="425"/>
      <c r="I1697" s="425"/>
      <c r="J1697" s="425"/>
    </row>
    <row r="1698" spans="2:10" x14ac:dyDescent="0.2">
      <c r="C1698" s="103" t="s">
        <v>3657</v>
      </c>
      <c r="D1698" s="878">
        <v>0</v>
      </c>
      <c r="F1698" s="424"/>
      <c r="G1698" s="425"/>
      <c r="H1698" s="425"/>
      <c r="I1698" s="425"/>
      <c r="J1698" s="425"/>
    </row>
    <row r="1699" spans="2:10" x14ac:dyDescent="0.2">
      <c r="C1699" s="103" t="s">
        <v>3658</v>
      </c>
      <c r="D1699" s="878">
        <v>1</v>
      </c>
      <c r="F1699" s="424"/>
      <c r="G1699" s="425"/>
      <c r="H1699" s="425"/>
      <c r="I1699" s="425"/>
      <c r="J1699" s="425"/>
    </row>
    <row r="1700" spans="2:10" x14ac:dyDescent="0.2">
      <c r="G1700" s="509"/>
      <c r="H1700" s="509"/>
      <c r="I1700" s="541"/>
      <c r="J1700" s="512"/>
    </row>
    <row r="1701" spans="2:10" s="479" customFormat="1" x14ac:dyDescent="0.2">
      <c r="B1701" s="524"/>
      <c r="C1701" s="893" t="s">
        <v>1349</v>
      </c>
      <c r="D1701" s="895">
        <f>BaseDatosMuebles!G33</f>
        <v>3.25</v>
      </c>
      <c r="E1701" s="894" t="s">
        <v>1076</v>
      </c>
      <c r="G1701" s="509"/>
      <c r="H1701" s="509"/>
      <c r="I1701" s="541"/>
      <c r="J1701" s="512"/>
    </row>
    <row r="1702" spans="2:10" s="479" customFormat="1" ht="16.5" x14ac:dyDescent="0.25">
      <c r="B1702" s="524"/>
      <c r="E1702" s="480"/>
      <c r="F1702" s="413"/>
      <c r="G1702" s="509"/>
      <c r="H1702" s="509"/>
      <c r="I1702" s="541"/>
      <c r="J1702" s="512"/>
    </row>
    <row r="1703" spans="2:10" s="479" customFormat="1" ht="16.5" x14ac:dyDescent="0.25">
      <c r="B1703" s="524"/>
      <c r="C1703" s="894" t="s">
        <v>1546</v>
      </c>
      <c r="D1703" s="894" t="s">
        <v>13</v>
      </c>
      <c r="E1703" s="894" t="s">
        <v>14</v>
      </c>
      <c r="F1703" s="413"/>
      <c r="G1703" s="509"/>
      <c r="H1703" s="509"/>
      <c r="I1703" s="541"/>
      <c r="J1703" s="512"/>
    </row>
    <row r="1704" spans="2:10" s="479" customFormat="1" x14ac:dyDescent="0.2">
      <c r="B1704" s="891" t="s">
        <v>2245</v>
      </c>
      <c r="C1704" s="893" t="s">
        <v>3230</v>
      </c>
      <c r="D1704" s="1039">
        <f>BaseDatosMuebles!G10</f>
        <v>44</v>
      </c>
      <c r="E1704" s="894" t="s">
        <v>3213</v>
      </c>
    </row>
    <row r="1705" spans="2:10" s="479" customFormat="1" x14ac:dyDescent="0.2">
      <c r="B1705" s="891" t="s">
        <v>2096</v>
      </c>
      <c r="C1705" s="893" t="s">
        <v>3231</v>
      </c>
      <c r="D1705" s="1039">
        <f>BaseDatosMuebles!G11</f>
        <v>94</v>
      </c>
      <c r="E1705" s="894" t="s">
        <v>3213</v>
      </c>
    </row>
    <row r="1706" spans="2:10" s="479" customFormat="1" x14ac:dyDescent="0.2">
      <c r="B1706" s="891" t="s">
        <v>2243</v>
      </c>
      <c r="C1706" s="893" t="s">
        <v>3232</v>
      </c>
      <c r="D1706" s="1039">
        <f>BaseDatosMuebles!G12</f>
        <v>48</v>
      </c>
      <c r="E1706" s="894" t="s">
        <v>3213</v>
      </c>
    </row>
    <row r="1707" spans="2:10" s="479" customFormat="1" x14ac:dyDescent="0.2">
      <c r="B1707" s="891" t="s">
        <v>1947</v>
      </c>
      <c r="C1707" s="893" t="s">
        <v>3233</v>
      </c>
      <c r="D1707" s="1039">
        <f>BaseDatosMuebles!G13</f>
        <v>44</v>
      </c>
      <c r="E1707" s="894" t="s">
        <v>3213</v>
      </c>
    </row>
    <row r="1708" spans="2:10" s="479" customFormat="1" x14ac:dyDescent="0.2">
      <c r="B1708" s="891" t="s">
        <v>2242</v>
      </c>
      <c r="C1708" s="893" t="s">
        <v>3234</v>
      </c>
      <c r="D1708" s="1039">
        <f>BaseDatosMuebles!G14</f>
        <v>11</v>
      </c>
      <c r="E1708" s="894" t="s">
        <v>3213</v>
      </c>
    </row>
    <row r="1709" spans="2:10" s="479" customFormat="1" x14ac:dyDescent="0.2">
      <c r="B1709" s="891" t="s">
        <v>2244</v>
      </c>
      <c r="C1709" s="893" t="s">
        <v>3235</v>
      </c>
      <c r="D1709" s="1039">
        <f>BaseDatosMuebles!G15</f>
        <v>22</v>
      </c>
      <c r="E1709" s="894" t="s">
        <v>3213</v>
      </c>
    </row>
    <row r="1710" spans="2:10" s="479" customFormat="1" x14ac:dyDescent="0.2">
      <c r="B1710" s="891" t="s">
        <v>2246</v>
      </c>
      <c r="C1710" s="893" t="s">
        <v>3236</v>
      </c>
      <c r="D1710" s="1039">
        <f>BaseDatosMuebles!G16</f>
        <v>6</v>
      </c>
      <c r="E1710" s="894" t="s">
        <v>3213</v>
      </c>
    </row>
    <row r="1711" spans="2:10" s="479" customFormat="1" x14ac:dyDescent="0.2">
      <c r="B1711" s="891" t="s">
        <v>1949</v>
      </c>
      <c r="C1711" s="893" t="s">
        <v>3237</v>
      </c>
      <c r="D1711" s="1039">
        <f>BaseDatosMuebles!G17</f>
        <v>13.65</v>
      </c>
      <c r="E1711" s="894" t="s">
        <v>1076</v>
      </c>
    </row>
    <row r="1712" spans="2:10" s="479" customFormat="1" x14ac:dyDescent="0.2">
      <c r="B1712" s="891" t="s">
        <v>1946</v>
      </c>
      <c r="C1712" s="893" t="s">
        <v>3238</v>
      </c>
      <c r="D1712" s="1039">
        <f>BaseDatosMuebles!G18</f>
        <v>18</v>
      </c>
      <c r="E1712" s="894" t="s">
        <v>1280</v>
      </c>
    </row>
    <row r="1713" spans="2:7" s="479" customFormat="1" x14ac:dyDescent="0.2">
      <c r="B1713" s="891" t="s">
        <v>1945</v>
      </c>
      <c r="C1713" s="893" t="s">
        <v>3239</v>
      </c>
      <c r="D1713" s="1039">
        <f>BaseDatosMuebles!G19</f>
        <v>18</v>
      </c>
      <c r="E1713" s="894" t="s">
        <v>1280</v>
      </c>
    </row>
    <row r="1714" spans="2:7" s="479" customFormat="1" x14ac:dyDescent="0.2">
      <c r="B1714" s="891" t="s">
        <v>2685</v>
      </c>
      <c r="C1714" s="893" t="s">
        <v>3240</v>
      </c>
      <c r="D1714" s="1039">
        <f>BaseDatosMuebles!G20</f>
        <v>132.18000000000004</v>
      </c>
      <c r="E1714" s="894" t="s">
        <v>137</v>
      </c>
      <c r="F1714" s="1038">
        <f>ROUNDUP(D1714/4.575,0)</f>
        <v>29</v>
      </c>
      <c r="G1714" s="1038"/>
    </row>
    <row r="1715" spans="2:7" s="479" customFormat="1" x14ac:dyDescent="0.2">
      <c r="B1715" s="891" t="s">
        <v>2247</v>
      </c>
      <c r="C1715" s="893" t="s">
        <v>3241</v>
      </c>
      <c r="D1715" s="1039">
        <f>BaseDatosMuebles!G21</f>
        <v>93.3</v>
      </c>
      <c r="E1715" s="894" t="s">
        <v>1076</v>
      </c>
    </row>
    <row r="1716" spans="2:7" s="479" customFormat="1" x14ac:dyDescent="0.2">
      <c r="B1716" s="891" t="s">
        <v>2241</v>
      </c>
      <c r="C1716" s="893" t="s">
        <v>3242</v>
      </c>
      <c r="D1716" s="1039">
        <f>BaseDatosMuebles!G22</f>
        <v>9</v>
      </c>
      <c r="E1716" s="894" t="s">
        <v>1280</v>
      </c>
    </row>
    <row r="1717" spans="2:7" s="479" customFormat="1" x14ac:dyDescent="0.2">
      <c r="B1717" s="891"/>
      <c r="C1717" s="893"/>
      <c r="D1717" s="893"/>
      <c r="E1717" s="894"/>
    </row>
    <row r="1718" spans="2:7" s="479" customFormat="1" x14ac:dyDescent="0.2">
      <c r="B1718" s="891" t="s">
        <v>2100</v>
      </c>
      <c r="C1718" s="893" t="s">
        <v>3243</v>
      </c>
      <c r="D1718" s="894">
        <v>12</v>
      </c>
      <c r="E1718" s="894" t="s">
        <v>1280</v>
      </c>
    </row>
    <row r="1719" spans="2:7" s="479" customFormat="1" x14ac:dyDescent="0.2">
      <c r="B1719" s="891" t="s">
        <v>2656</v>
      </c>
      <c r="C1719" s="893" t="s">
        <v>3244</v>
      </c>
      <c r="D1719" s="894">
        <v>1500</v>
      </c>
      <c r="E1719" s="894" t="s">
        <v>1280</v>
      </c>
    </row>
    <row r="1720" spans="2:7" s="479" customFormat="1" x14ac:dyDescent="0.2">
      <c r="B1720" s="891" t="s">
        <v>2668</v>
      </c>
      <c r="C1720" s="893" t="s">
        <v>3245</v>
      </c>
      <c r="D1720" s="894">
        <v>300</v>
      </c>
      <c r="E1720" s="894" t="s">
        <v>1280</v>
      </c>
    </row>
    <row r="1721" spans="2:7" s="479" customFormat="1" x14ac:dyDescent="0.2">
      <c r="B1721" s="891" t="s">
        <v>2667</v>
      </c>
      <c r="C1721" s="893" t="s">
        <v>3246</v>
      </c>
      <c r="D1721" s="894">
        <v>300</v>
      </c>
      <c r="E1721" s="894" t="s">
        <v>1280</v>
      </c>
    </row>
    <row r="1722" spans="2:7" s="479" customFormat="1" x14ac:dyDescent="0.2">
      <c r="B1722" s="891" t="s">
        <v>2657</v>
      </c>
      <c r="C1722" s="893" t="s">
        <v>3247</v>
      </c>
      <c r="D1722" s="894">
        <v>100</v>
      </c>
      <c r="E1722" s="894" t="s">
        <v>1280</v>
      </c>
    </row>
    <row r="1723" spans="2:7" s="479" customFormat="1" x14ac:dyDescent="0.2">
      <c r="B1723" s="891" t="s">
        <v>2568</v>
      </c>
      <c r="C1723" s="893" t="s">
        <v>3248</v>
      </c>
      <c r="D1723" s="894">
        <v>50</v>
      </c>
      <c r="E1723" s="894" t="s">
        <v>1280</v>
      </c>
    </row>
    <row r="1724" spans="2:7" s="479" customFormat="1" x14ac:dyDescent="0.2">
      <c r="B1724" s="891" t="s">
        <v>2656</v>
      </c>
      <c r="C1724" s="893" t="s">
        <v>3244</v>
      </c>
      <c r="D1724" s="894">
        <v>75</v>
      </c>
      <c r="E1724" s="894" t="s">
        <v>1280</v>
      </c>
    </row>
    <row r="1725" spans="2:7" s="479" customFormat="1" x14ac:dyDescent="0.2">
      <c r="B1725" s="891" t="s">
        <v>2253</v>
      </c>
      <c r="C1725" s="893" t="s">
        <v>3249</v>
      </c>
      <c r="D1725" s="894">
        <v>1</v>
      </c>
      <c r="E1725" s="894" t="s">
        <v>1811</v>
      </c>
    </row>
    <row r="1726" spans="2:7" s="479" customFormat="1" x14ac:dyDescent="0.2">
      <c r="B1726" s="891" t="s">
        <v>2191</v>
      </c>
      <c r="C1726" s="893" t="s">
        <v>3250</v>
      </c>
      <c r="D1726" s="894">
        <v>4</v>
      </c>
      <c r="E1726" s="894" t="s">
        <v>1280</v>
      </c>
    </row>
    <row r="1727" spans="2:7" s="479" customFormat="1" x14ac:dyDescent="0.2">
      <c r="B1727" s="891" t="s">
        <v>2217</v>
      </c>
      <c r="C1727" s="893" t="s">
        <v>3251</v>
      </c>
      <c r="D1727" s="894">
        <v>15</v>
      </c>
      <c r="E1727" s="894" t="s">
        <v>1280</v>
      </c>
    </row>
    <row r="1728" spans="2:7" s="479" customFormat="1" x14ac:dyDescent="0.2">
      <c r="B1728" s="891" t="s">
        <v>1948</v>
      </c>
      <c r="C1728" s="893" t="s">
        <v>3252</v>
      </c>
      <c r="D1728" s="894">
        <v>16</v>
      </c>
      <c r="E1728" s="894" t="s">
        <v>1280</v>
      </c>
    </row>
    <row r="1729" spans="2:14" s="479" customFormat="1" x14ac:dyDescent="0.2">
      <c r="B1729" s="891" t="s">
        <v>2239</v>
      </c>
      <c r="C1729" s="893" t="s">
        <v>3253</v>
      </c>
      <c r="D1729" s="894">
        <v>1</v>
      </c>
      <c r="E1729" s="894" t="s">
        <v>1280</v>
      </c>
    </row>
    <row r="1730" spans="2:14" s="479" customFormat="1" x14ac:dyDescent="0.2">
      <c r="B1730" s="891" t="s">
        <v>2182</v>
      </c>
      <c r="C1730" s="893" t="s">
        <v>3254</v>
      </c>
      <c r="D1730" s="894">
        <v>1</v>
      </c>
      <c r="E1730" s="894" t="s">
        <v>1411</v>
      </c>
    </row>
    <row r="1731" spans="2:14" s="479" customFormat="1" x14ac:dyDescent="0.2">
      <c r="B1731" s="891" t="s">
        <v>3007</v>
      </c>
      <c r="C1731" s="893" t="s">
        <v>3255</v>
      </c>
      <c r="D1731" s="894">
        <v>1</v>
      </c>
      <c r="E1731" s="894" t="s">
        <v>1411</v>
      </c>
    </row>
    <row r="1732" spans="2:14" s="479" customFormat="1" x14ac:dyDescent="0.2">
      <c r="B1732" s="891" t="s">
        <v>2251</v>
      </c>
      <c r="C1732" s="893" t="s">
        <v>3256</v>
      </c>
      <c r="D1732" s="894">
        <v>2</v>
      </c>
      <c r="E1732" s="894" t="s">
        <v>3229</v>
      </c>
    </row>
    <row r="1733" spans="2:14" s="479" customFormat="1" x14ac:dyDescent="0.2">
      <c r="B1733" s="891" t="s">
        <v>2201</v>
      </c>
      <c r="C1733" s="893" t="s">
        <v>3217</v>
      </c>
      <c r="D1733" s="894">
        <v>2</v>
      </c>
      <c r="E1733" s="894" t="s">
        <v>3192</v>
      </c>
    </row>
    <row r="1734" spans="2:14" x14ac:dyDescent="0.2">
      <c r="B1734" s="892"/>
    </row>
    <row r="1735" spans="2:14" s="479" customFormat="1" x14ac:dyDescent="0.2">
      <c r="B1735" s="524"/>
      <c r="C1735" s="893"/>
      <c r="D1735" s="894" t="s">
        <v>1012</v>
      </c>
      <c r="E1735" s="894" t="s">
        <v>1013</v>
      </c>
      <c r="F1735" s="894" t="s">
        <v>1657</v>
      </c>
      <c r="H1735" s="1158"/>
      <c r="I1735" s="1158"/>
      <c r="J1735" s="1158"/>
    </row>
    <row r="1736" spans="2:14" s="479" customFormat="1" x14ac:dyDescent="0.2">
      <c r="B1736" s="524"/>
      <c r="C1736" s="947" t="s">
        <v>3352</v>
      </c>
      <c r="D1736" s="898">
        <f>+D278</f>
        <v>0</v>
      </c>
      <c r="E1736" s="898">
        <f>+D1736*D1733</f>
        <v>0</v>
      </c>
      <c r="F1736" s="899">
        <v>100</v>
      </c>
      <c r="H1736" s="480"/>
      <c r="J1736" s="480"/>
    </row>
    <row r="1737" spans="2:14" s="479" customFormat="1" x14ac:dyDescent="0.2">
      <c r="B1737" s="524"/>
      <c r="C1737" s="893"/>
      <c r="D1737" s="894" t="s">
        <v>1016</v>
      </c>
      <c r="E1737" s="898">
        <f>SUM(E1736:E1736)</f>
        <v>0</v>
      </c>
      <c r="F1737" s="899">
        <f>+E1737/5175</f>
        <v>0</v>
      </c>
      <c r="G1737" s="480"/>
      <c r="H1737" s="480"/>
      <c r="I1737" s="495"/>
      <c r="J1737" s="496"/>
    </row>
    <row r="1738" spans="2:14" s="479" customFormat="1" x14ac:dyDescent="0.2">
      <c r="B1738" s="524"/>
      <c r="C1738" s="524"/>
      <c r="D1738" s="524"/>
      <c r="E1738" s="550"/>
      <c r="F1738" s="524"/>
      <c r="G1738" s="480"/>
      <c r="H1738" s="480"/>
      <c r="I1738" s="495"/>
      <c r="J1738" s="496"/>
    </row>
    <row r="1740" spans="2:14" ht="21" x14ac:dyDescent="0.2">
      <c r="C1740" s="471" t="s">
        <v>2128</v>
      </c>
      <c r="D1740" s="471" t="s">
        <v>209</v>
      </c>
    </row>
    <row r="1741" spans="2:14" x14ac:dyDescent="0.2">
      <c r="J1741"/>
    </row>
    <row r="1742" spans="2:14" ht="18.75" x14ac:dyDescent="0.25">
      <c r="C1742" s="1052" t="s">
        <v>1099</v>
      </c>
      <c r="J1742"/>
    </row>
    <row r="1743" spans="2:14" s="479" customFormat="1" x14ac:dyDescent="0.2">
      <c r="B1743" s="524"/>
      <c r="E1743" s="480"/>
      <c r="J1743"/>
      <c r="K1743"/>
      <c r="L1743"/>
      <c r="M1743"/>
      <c r="N1743"/>
    </row>
    <row r="1744" spans="2:14" s="479" customFormat="1" ht="16.5" x14ac:dyDescent="0.25">
      <c r="B1744" s="524"/>
      <c r="C1744" s="549" t="s">
        <v>1332</v>
      </c>
      <c r="D1744" s="549" t="s">
        <v>1333</v>
      </c>
      <c r="E1744" s="480"/>
      <c r="F1744" s="505"/>
      <c r="I1744" s="413"/>
      <c r="J1744"/>
      <c r="K1744"/>
      <c r="L1744"/>
      <c r="M1744"/>
      <c r="N1744"/>
    </row>
    <row r="1745" spans="2:14" s="479" customFormat="1" ht="16.5" x14ac:dyDescent="0.25">
      <c r="B1745" s="524"/>
      <c r="C1745" s="485" t="s">
        <v>1330</v>
      </c>
      <c r="D1745" s="880">
        <f>COUNTIF(E39:E59,0.8)</f>
        <v>4</v>
      </c>
      <c r="E1745" s="523"/>
      <c r="F1745" s="413"/>
      <c r="I1745" s="413"/>
      <c r="J1745"/>
      <c r="K1745"/>
      <c r="L1745"/>
      <c r="M1745"/>
      <c r="N1745"/>
    </row>
    <row r="1746" spans="2:14" s="479" customFormat="1" ht="16.5" x14ac:dyDescent="0.25">
      <c r="B1746" s="524"/>
      <c r="C1746" s="485" t="s">
        <v>1331</v>
      </c>
      <c r="D1746" s="880">
        <f>COUNTIF(E39:E59,0.9)</f>
        <v>5</v>
      </c>
      <c r="E1746" s="523"/>
      <c r="F1746" s="413"/>
      <c r="I1746" s="413"/>
      <c r="J1746"/>
      <c r="K1746"/>
      <c r="L1746"/>
      <c r="M1746"/>
      <c r="N1746"/>
    </row>
    <row r="1747" spans="2:14" s="479" customFormat="1" ht="16.5" x14ac:dyDescent="0.25">
      <c r="B1747" s="524"/>
      <c r="C1747" s="485" t="s">
        <v>3455</v>
      </c>
      <c r="D1747" s="880">
        <f>COUNTIF(E39:E59,1)</f>
        <v>1</v>
      </c>
      <c r="E1747" s="523"/>
      <c r="F1747" s="413"/>
      <c r="I1747" s="413"/>
      <c r="J1747"/>
      <c r="K1747"/>
      <c r="L1747"/>
      <c r="M1747"/>
      <c r="N1747"/>
    </row>
    <row r="1748" spans="2:14" s="479" customFormat="1" ht="16.5" x14ac:dyDescent="0.25">
      <c r="B1748" s="524"/>
      <c r="C1748" s="485" t="s">
        <v>3454</v>
      </c>
      <c r="D1748" s="880">
        <v>0</v>
      </c>
      <c r="E1748" s="523"/>
      <c r="F1748" s="413"/>
      <c r="J1748"/>
      <c r="K1748"/>
      <c r="L1748"/>
      <c r="M1748"/>
      <c r="N1748"/>
    </row>
    <row r="1749" spans="2:14" s="479" customFormat="1" ht="16.5" x14ac:dyDescent="0.25">
      <c r="B1749" s="524"/>
      <c r="D1749" s="485">
        <f>SUM(D1745:D1748)</f>
        <v>10</v>
      </c>
      <c r="E1749" s="523"/>
      <c r="F1749" s="413"/>
      <c r="J1749"/>
      <c r="K1749"/>
      <c r="L1749"/>
      <c r="M1749"/>
      <c r="N1749"/>
    </row>
    <row r="1750" spans="2:14" s="479" customFormat="1" ht="16.5" x14ac:dyDescent="0.25">
      <c r="B1750" s="524"/>
      <c r="C1750" s="480"/>
      <c r="D1750" s="480"/>
      <c r="E1750" s="523"/>
      <c r="F1750" s="413"/>
      <c r="G1750" s="480"/>
      <c r="H1750" s="480"/>
      <c r="J1750"/>
      <c r="K1750"/>
      <c r="L1750"/>
      <c r="M1750"/>
      <c r="N1750"/>
    </row>
    <row r="1751" spans="2:14" ht="18.75" x14ac:dyDescent="0.25">
      <c r="C1751" s="1052" t="s">
        <v>1100</v>
      </c>
    </row>
    <row r="1753" spans="2:14" s="479" customFormat="1" ht="16.5" x14ac:dyDescent="0.25">
      <c r="B1753" s="524"/>
      <c r="C1753" s="485" t="s">
        <v>1460</v>
      </c>
      <c r="D1753" s="878">
        <v>70.5</v>
      </c>
      <c r="E1753" s="485" t="s">
        <v>1008</v>
      </c>
      <c r="F1753" s="423"/>
    </row>
    <row r="1754" spans="2:14" s="479" customFormat="1" x14ac:dyDescent="0.2">
      <c r="B1754" s="524"/>
      <c r="C1754" s="485" t="s">
        <v>1781</v>
      </c>
      <c r="D1754" s="485">
        <v>1</v>
      </c>
      <c r="E1754" s="485" t="s">
        <v>1008</v>
      </c>
    </row>
    <row r="1755" spans="2:14" s="479" customFormat="1" x14ac:dyDescent="0.2">
      <c r="B1755" s="524"/>
      <c r="C1755" s="485" t="s">
        <v>1782</v>
      </c>
      <c r="D1755" s="487">
        <v>7.0000000000000007E-2</v>
      </c>
      <c r="E1755" s="485"/>
    </row>
    <row r="1756" spans="2:14" s="479" customFormat="1" x14ac:dyDescent="0.2">
      <c r="B1756" s="891" t="s">
        <v>2252</v>
      </c>
      <c r="C1756" s="894" t="s">
        <v>1329</v>
      </c>
      <c r="D1756" s="894">
        <f>ROUNDUP(D1753*(1+D1755),0)</f>
        <v>76</v>
      </c>
      <c r="E1756" s="894" t="s">
        <v>1167</v>
      </c>
    </row>
    <row r="1757" spans="2:14" s="479" customFormat="1" x14ac:dyDescent="0.2">
      <c r="B1757" s="891" t="s">
        <v>2253</v>
      </c>
      <c r="C1757" s="894" t="s">
        <v>3136</v>
      </c>
      <c r="D1757" s="894">
        <f>+D1756*5/100</f>
        <v>3.8</v>
      </c>
      <c r="E1757" s="894" t="s">
        <v>1811</v>
      </c>
    </row>
    <row r="1758" spans="2:14" s="479" customFormat="1" x14ac:dyDescent="0.2">
      <c r="B1758" s="524"/>
      <c r="E1758" s="480"/>
    </row>
    <row r="1759" spans="2:14" s="479" customFormat="1" x14ac:dyDescent="0.2">
      <c r="B1759" s="524"/>
      <c r="E1759" s="480"/>
    </row>
    <row r="1760" spans="2:14" s="479" customFormat="1" x14ac:dyDescent="0.2">
      <c r="B1760" s="524"/>
      <c r="C1760" s="894" t="s">
        <v>1546</v>
      </c>
      <c r="D1760" s="894" t="s">
        <v>13</v>
      </c>
      <c r="E1760" s="894" t="s">
        <v>14</v>
      </c>
    </row>
    <row r="1761" spans="2:6" s="479" customFormat="1" x14ac:dyDescent="0.2">
      <c r="B1761" s="891" t="s">
        <v>2102</v>
      </c>
      <c r="C1761" s="893" t="s">
        <v>3257</v>
      </c>
      <c r="D1761" s="895">
        <f>D1745+D1746+D1747+D1748</f>
        <v>10</v>
      </c>
      <c r="E1761" s="894" t="s">
        <v>1280</v>
      </c>
    </row>
    <row r="1762" spans="2:6" s="479" customFormat="1" x14ac:dyDescent="0.2">
      <c r="B1762" s="891" t="s">
        <v>2103</v>
      </c>
      <c r="C1762" s="893" t="s">
        <v>3258</v>
      </c>
      <c r="D1762" s="895">
        <f>D1748</f>
        <v>0</v>
      </c>
      <c r="E1762" s="894" t="s">
        <v>1280</v>
      </c>
    </row>
    <row r="1763" spans="2:6" s="479" customFormat="1" x14ac:dyDescent="0.2">
      <c r="B1763" s="891" t="s">
        <v>2191</v>
      </c>
      <c r="C1763" s="893" t="s">
        <v>3250</v>
      </c>
      <c r="D1763" s="894">
        <v>1</v>
      </c>
      <c r="E1763" s="894" t="s">
        <v>1280</v>
      </c>
    </row>
    <row r="1764" spans="2:6" s="479" customFormat="1" x14ac:dyDescent="0.2">
      <c r="B1764" s="891" t="s">
        <v>2667</v>
      </c>
      <c r="C1764" s="893" t="s">
        <v>3246</v>
      </c>
      <c r="D1764" s="894">
        <f>D1749*12.5</f>
        <v>125</v>
      </c>
      <c r="E1764" s="894" t="s">
        <v>1280</v>
      </c>
    </row>
    <row r="1765" spans="2:6" s="479" customFormat="1" x14ac:dyDescent="0.2">
      <c r="B1765" s="891" t="s">
        <v>2252</v>
      </c>
      <c r="C1765" s="893" t="s">
        <v>3259</v>
      </c>
      <c r="D1765" s="894">
        <f>+D1756</f>
        <v>76</v>
      </c>
      <c r="E1765" s="894" t="s">
        <v>1280</v>
      </c>
    </row>
    <row r="1766" spans="2:6" s="479" customFormat="1" x14ac:dyDescent="0.2">
      <c r="B1766" s="891" t="s">
        <v>2253</v>
      </c>
      <c r="C1766" s="893" t="s">
        <v>3249</v>
      </c>
      <c r="D1766" s="894">
        <f>+D1757</f>
        <v>3.8</v>
      </c>
      <c r="E1766" s="894" t="s">
        <v>1811</v>
      </c>
    </row>
    <row r="1767" spans="2:6" s="479" customFormat="1" x14ac:dyDescent="0.2">
      <c r="B1767" s="891" t="s">
        <v>1951</v>
      </c>
      <c r="C1767" s="893" t="s">
        <v>3260</v>
      </c>
      <c r="D1767" s="895">
        <f>+D1747+D1748</f>
        <v>1</v>
      </c>
      <c r="E1767" s="894" t="s">
        <v>1280</v>
      </c>
    </row>
    <row r="1768" spans="2:6" s="479" customFormat="1" x14ac:dyDescent="0.2">
      <c r="B1768" s="891" t="s">
        <v>1953</v>
      </c>
      <c r="C1768" s="893" t="s">
        <v>3261</v>
      </c>
      <c r="D1768" s="895">
        <f>+D1745+D1748</f>
        <v>4</v>
      </c>
      <c r="E1768" s="894" t="s">
        <v>1280</v>
      </c>
    </row>
    <row r="1769" spans="2:6" s="479" customFormat="1" x14ac:dyDescent="0.2">
      <c r="B1769" s="891" t="s">
        <v>1952</v>
      </c>
      <c r="C1769" s="893" t="s">
        <v>3262</v>
      </c>
      <c r="D1769" s="895">
        <f>+D1746</f>
        <v>5</v>
      </c>
      <c r="E1769" s="894" t="s">
        <v>1280</v>
      </c>
    </row>
    <row r="1770" spans="2:6" x14ac:dyDescent="0.2">
      <c r="B1770" s="892"/>
    </row>
    <row r="1771" spans="2:6" s="479" customFormat="1" x14ac:dyDescent="0.2">
      <c r="B1771" s="524"/>
      <c r="C1771" s="894"/>
      <c r="D1771" s="894" t="s">
        <v>1012</v>
      </c>
      <c r="E1771" s="894" t="s">
        <v>257</v>
      </c>
      <c r="F1771" s="894" t="s">
        <v>1657</v>
      </c>
    </row>
    <row r="1772" spans="2:6" s="479" customFormat="1" x14ac:dyDescent="0.2">
      <c r="B1772" s="524"/>
      <c r="C1772" s="898" t="s">
        <v>3437</v>
      </c>
      <c r="D1772" s="898">
        <f>+D191</f>
        <v>13500</v>
      </c>
      <c r="E1772" s="898">
        <f>+D1772*D1749</f>
        <v>135000</v>
      </c>
      <c r="F1772" s="899">
        <f>+E1772/'COSTOS MO CUADRILLA'!K52</f>
        <v>41.379310344827587</v>
      </c>
    </row>
    <row r="1773" spans="2:6" s="479" customFormat="1" x14ac:dyDescent="0.2">
      <c r="B1773" s="524"/>
      <c r="C1773" s="898" t="s">
        <v>3438</v>
      </c>
      <c r="D1773" s="898">
        <f>+D192</f>
        <v>3500</v>
      </c>
      <c r="E1773" s="898">
        <f>+D1773*D1756</f>
        <v>266000</v>
      </c>
      <c r="F1773" s="899">
        <f>+E1773/'COSTOS MO CUADRILLA'!K52</f>
        <v>81.532567049808435</v>
      </c>
    </row>
    <row r="1774" spans="2:6" s="479" customFormat="1" x14ac:dyDescent="0.2">
      <c r="B1774" s="524"/>
      <c r="C1774" s="893"/>
      <c r="D1774" s="894" t="s">
        <v>1016</v>
      </c>
      <c r="E1774" s="898">
        <f>SUM(E1772:E1773)</f>
        <v>401000</v>
      </c>
      <c r="F1774" s="899">
        <f>+E1774/'COSTOS MO CUADRILLA'!K52</f>
        <v>122.91187739463602</v>
      </c>
    </row>
    <row r="1775" spans="2:6" x14ac:dyDescent="0.2">
      <c r="D1775" s="63"/>
      <c r="E1775" s="321"/>
      <c r="F1775" s="150"/>
    </row>
    <row r="1776" spans="2:6" x14ac:dyDescent="0.2">
      <c r="D1776" s="63"/>
      <c r="E1776" s="321"/>
      <c r="F1776" s="150"/>
    </row>
    <row r="1777" spans="2:6" ht="21" x14ac:dyDescent="0.2">
      <c r="C1777" s="470">
        <v>2.7</v>
      </c>
      <c r="D1777" s="475" t="s">
        <v>221</v>
      </c>
    </row>
    <row r="1779" spans="2:6" ht="21" x14ac:dyDescent="0.2">
      <c r="C1779" s="471" t="s">
        <v>2069</v>
      </c>
      <c r="D1779" s="471" t="s">
        <v>221</v>
      </c>
    </row>
    <row r="1781" spans="2:6" s="479" customFormat="1" x14ac:dyDescent="0.2">
      <c r="B1781" s="478"/>
      <c r="C1781" s="485" t="s">
        <v>1546</v>
      </c>
      <c r="D1781" s="485" t="s">
        <v>13</v>
      </c>
      <c r="E1781" s="485" t="s">
        <v>14</v>
      </c>
      <c r="F1781" s="505"/>
    </row>
    <row r="1782" spans="2:6" s="479" customFormat="1" ht="16.5" x14ac:dyDescent="0.25">
      <c r="B1782" s="478"/>
      <c r="C1782" s="481" t="s">
        <v>1784</v>
      </c>
      <c r="D1782" s="878">
        <v>1</v>
      </c>
      <c r="E1782" s="485" t="s">
        <v>1167</v>
      </c>
      <c r="F1782" s="413"/>
    </row>
    <row r="1783" spans="2:6" s="479" customFormat="1" ht="16.5" x14ac:dyDescent="0.25">
      <c r="B1783" s="478"/>
      <c r="C1783" s="481" t="s">
        <v>1785</v>
      </c>
      <c r="D1783" s="878">
        <v>1</v>
      </c>
      <c r="E1783" s="485" t="s">
        <v>1167</v>
      </c>
      <c r="F1783" s="413"/>
    </row>
    <row r="1784" spans="2:6" s="479" customFormat="1" ht="16.5" x14ac:dyDescent="0.25">
      <c r="B1784" s="478"/>
      <c r="C1784" s="481" t="s">
        <v>1786</v>
      </c>
      <c r="D1784" s="878">
        <v>1</v>
      </c>
      <c r="E1784" s="485" t="s">
        <v>1167</v>
      </c>
      <c r="F1784" s="413"/>
    </row>
    <row r="1785" spans="2:6" s="479" customFormat="1" x14ac:dyDescent="0.2">
      <c r="B1785" s="478"/>
      <c r="C1785" s="478"/>
      <c r="D1785" s="478"/>
      <c r="E1785" s="480"/>
      <c r="F1785" s="478"/>
    </row>
    <row r="1786" spans="2:6" s="479" customFormat="1" x14ac:dyDescent="0.2">
      <c r="B1786" s="478"/>
      <c r="C1786" s="894" t="s">
        <v>1546</v>
      </c>
      <c r="D1786" s="894" t="s">
        <v>13</v>
      </c>
      <c r="E1786" s="894" t="s">
        <v>14</v>
      </c>
      <c r="F1786" s="500"/>
    </row>
    <row r="1787" spans="2:6" s="479" customFormat="1" ht="16.5" x14ac:dyDescent="0.25">
      <c r="B1787" s="891" t="s">
        <v>2254</v>
      </c>
      <c r="C1787" s="893" t="s">
        <v>1787</v>
      </c>
      <c r="D1787" s="894">
        <f>SUM(D1782:D1784)</f>
        <v>3</v>
      </c>
      <c r="E1787" s="894" t="s">
        <v>1167</v>
      </c>
      <c r="F1787" s="413"/>
    </row>
    <row r="1788" spans="2:6" s="479" customFormat="1" ht="16.5" x14ac:dyDescent="0.25">
      <c r="B1788" s="891" t="s">
        <v>2255</v>
      </c>
      <c r="C1788" s="893" t="s">
        <v>1788</v>
      </c>
      <c r="D1788" s="894">
        <f>+D1787</f>
        <v>3</v>
      </c>
      <c r="E1788" s="894" t="s">
        <v>1167</v>
      </c>
      <c r="F1788" s="413"/>
    </row>
    <row r="1789" spans="2:6" s="479" customFormat="1" ht="16.5" x14ac:dyDescent="0.25">
      <c r="B1789" s="891" t="s">
        <v>2256</v>
      </c>
      <c r="C1789" s="893" t="s">
        <v>1789</v>
      </c>
      <c r="D1789" s="894">
        <f>+D1787</f>
        <v>3</v>
      </c>
      <c r="E1789" s="894" t="s">
        <v>1167</v>
      </c>
      <c r="F1789" s="413"/>
    </row>
    <row r="1790" spans="2:6" s="479" customFormat="1" ht="16.5" x14ac:dyDescent="0.25">
      <c r="B1790" s="891" t="s">
        <v>2257</v>
      </c>
      <c r="C1790" s="893" t="s">
        <v>1790</v>
      </c>
      <c r="D1790" s="894">
        <f>IF('1_OG y 2_ACA'!D24=2,SUM(D1782:D1783),D1782)+1</f>
        <v>3</v>
      </c>
      <c r="E1790" s="894" t="s">
        <v>1167</v>
      </c>
      <c r="F1790" s="413"/>
    </row>
    <row r="1791" spans="2:6" s="479" customFormat="1" ht="16.5" x14ac:dyDescent="0.25">
      <c r="B1791" s="891" t="s">
        <v>2258</v>
      </c>
      <c r="C1791" s="893" t="s">
        <v>1791</v>
      </c>
      <c r="D1791" s="894">
        <f>SUM(D1782:D1783)-D1790+1</f>
        <v>0</v>
      </c>
      <c r="E1791" s="894" t="s">
        <v>1167</v>
      </c>
      <c r="F1791" s="413"/>
    </row>
    <row r="1792" spans="2:6" s="479" customFormat="1" ht="16.5" x14ac:dyDescent="0.25">
      <c r="B1792" s="891" t="s">
        <v>2259</v>
      </c>
      <c r="C1792" s="893" t="s">
        <v>1792</v>
      </c>
      <c r="D1792" s="894">
        <f>+D1790</f>
        <v>3</v>
      </c>
      <c r="E1792" s="894" t="s">
        <v>1167</v>
      </c>
      <c r="F1792" s="413"/>
    </row>
    <row r="1793" spans="2:6" s="479" customFormat="1" ht="16.5" x14ac:dyDescent="0.25">
      <c r="B1793" s="891" t="s">
        <v>2260</v>
      </c>
      <c r="C1793" s="893" t="s">
        <v>1793</v>
      </c>
      <c r="D1793" s="894">
        <v>1</v>
      </c>
      <c r="E1793" s="894" t="s">
        <v>1167</v>
      </c>
      <c r="F1793" s="413"/>
    </row>
    <row r="1794" spans="2:6" s="479" customFormat="1" ht="16.5" x14ac:dyDescent="0.25">
      <c r="B1794" s="891" t="s">
        <v>2261</v>
      </c>
      <c r="C1794" s="893" t="s">
        <v>1794</v>
      </c>
      <c r="D1794" s="894">
        <f>+D1791</f>
        <v>0</v>
      </c>
      <c r="E1794" s="894" t="s">
        <v>1167</v>
      </c>
      <c r="F1794" s="413"/>
    </row>
    <row r="1795" spans="2:6" s="479" customFormat="1" ht="16.5" x14ac:dyDescent="0.25">
      <c r="B1795" s="891" t="s">
        <v>2262</v>
      </c>
      <c r="C1795" s="893" t="s">
        <v>1795</v>
      </c>
      <c r="D1795" s="894">
        <f>ROUNDUP(D1787*0.2+D1790*0.27+D1791*0.27+D1803*0.27+D1801*0.34+D1798*0.38,0)</f>
        <v>3</v>
      </c>
      <c r="E1795" s="894" t="s">
        <v>1796</v>
      </c>
      <c r="F1795" s="413"/>
    </row>
    <row r="1796" spans="2:6" s="479" customFormat="1" ht="16.5" x14ac:dyDescent="0.25">
      <c r="B1796" s="891" t="s">
        <v>2263</v>
      </c>
      <c r="C1796" s="893" t="s">
        <v>1797</v>
      </c>
      <c r="D1796" s="894">
        <f>SUM(D1782:D1784)</f>
        <v>3</v>
      </c>
      <c r="E1796" s="894" t="s">
        <v>1167</v>
      </c>
      <c r="F1796" s="413"/>
    </row>
    <row r="1797" spans="2:6" s="479" customFormat="1" ht="16.5" x14ac:dyDescent="0.25">
      <c r="B1797" s="891" t="s">
        <v>2264</v>
      </c>
      <c r="C1797" s="893" t="s">
        <v>1798</v>
      </c>
      <c r="D1797" s="894">
        <f>+D1796</f>
        <v>3</v>
      </c>
      <c r="E1797" s="894" t="s">
        <v>1167</v>
      </c>
      <c r="F1797" s="413"/>
    </row>
    <row r="1798" spans="2:6" s="479" customFormat="1" ht="16.5" x14ac:dyDescent="0.25">
      <c r="B1798" s="891" t="s">
        <v>2265</v>
      </c>
      <c r="C1798" s="893" t="s">
        <v>1799</v>
      </c>
      <c r="D1798" s="894">
        <v>1</v>
      </c>
      <c r="E1798" s="894" t="s">
        <v>1167</v>
      </c>
      <c r="F1798" s="413"/>
    </row>
    <row r="1799" spans="2:6" s="479" customFormat="1" ht="16.5" x14ac:dyDescent="0.25">
      <c r="B1799" s="891" t="s">
        <v>2266</v>
      </c>
      <c r="C1799" s="893" t="s">
        <v>1800</v>
      </c>
      <c r="D1799" s="894">
        <f>+D1798</f>
        <v>1</v>
      </c>
      <c r="E1799" s="894" t="s">
        <v>1167</v>
      </c>
      <c r="F1799" s="413"/>
    </row>
    <row r="1800" spans="2:6" s="479" customFormat="1" ht="16.5" x14ac:dyDescent="0.25">
      <c r="B1800" s="891" t="s">
        <v>2267</v>
      </c>
      <c r="C1800" s="893" t="s">
        <v>1801</v>
      </c>
      <c r="D1800" s="894">
        <f>SUM(D1782:D1783)</f>
        <v>2</v>
      </c>
      <c r="E1800" s="894" t="s">
        <v>1167</v>
      </c>
      <c r="F1800" s="413"/>
    </row>
    <row r="1801" spans="2:6" s="479" customFormat="1" ht="16.5" x14ac:dyDescent="0.25">
      <c r="B1801" s="891" t="s">
        <v>2268</v>
      </c>
      <c r="C1801" s="893" t="s">
        <v>1802</v>
      </c>
      <c r="D1801" s="894">
        <v>1</v>
      </c>
      <c r="E1801" s="894" t="s">
        <v>1167</v>
      </c>
      <c r="F1801" s="413"/>
    </row>
    <row r="1802" spans="2:6" s="479" customFormat="1" ht="16.5" x14ac:dyDescent="0.25">
      <c r="B1802" s="891" t="s">
        <v>2269</v>
      </c>
      <c r="C1802" s="893" t="s">
        <v>1803</v>
      </c>
      <c r="D1802" s="894">
        <f>+D1784</f>
        <v>1</v>
      </c>
      <c r="E1802" s="894" t="s">
        <v>1167</v>
      </c>
      <c r="F1802" s="413"/>
    </row>
    <row r="1803" spans="2:6" s="479" customFormat="1" ht="16.5" x14ac:dyDescent="0.25">
      <c r="B1803" s="891" t="s">
        <v>2270</v>
      </c>
      <c r="C1803" s="893" t="s">
        <v>1804</v>
      </c>
      <c r="D1803" s="894">
        <f>+D1784</f>
        <v>1</v>
      </c>
      <c r="E1803" s="894" t="s">
        <v>1167</v>
      </c>
      <c r="F1803" s="413"/>
    </row>
    <row r="1805" spans="2:6" s="479" customFormat="1" x14ac:dyDescent="0.2">
      <c r="C1805" s="893"/>
      <c r="D1805" s="894" t="s">
        <v>1012</v>
      </c>
      <c r="E1805" s="894" t="s">
        <v>1013</v>
      </c>
      <c r="F1805" s="894" t="s">
        <v>1657</v>
      </c>
    </row>
    <row r="1806" spans="2:6" s="479" customFormat="1" x14ac:dyDescent="0.2">
      <c r="C1806" s="893" t="s">
        <v>1650</v>
      </c>
      <c r="D1806" s="898">
        <f>+'1_OG y 2_ACA'!D193</f>
        <v>7800</v>
      </c>
      <c r="E1806" s="898">
        <f>D1806*D1787</f>
        <v>23400</v>
      </c>
      <c r="F1806" s="899">
        <f>+E1806/'COSTOS MO CUADRILLA'!K54</f>
        <v>7.0909090909090908</v>
      </c>
    </row>
    <row r="1807" spans="2:6" s="479" customFormat="1" x14ac:dyDescent="0.2">
      <c r="C1807" s="893" t="s">
        <v>1651</v>
      </c>
      <c r="D1807" s="898">
        <f>+'1_OG y 2_ACA'!D194</f>
        <v>5500</v>
      </c>
      <c r="E1807" s="898">
        <f>D1807*(D1790+D1791+D1803)</f>
        <v>22000</v>
      </c>
      <c r="F1807" s="899">
        <f>+E1807/'COSTOS MO CUADRILLA'!K54</f>
        <v>6.666666666666667</v>
      </c>
    </row>
    <row r="1808" spans="2:6" s="479" customFormat="1" x14ac:dyDescent="0.2">
      <c r="C1808" s="893" t="s">
        <v>1652</v>
      </c>
      <c r="D1808" s="898">
        <f>+'1_OG y 2_ACA'!D195</f>
        <v>5500</v>
      </c>
      <c r="E1808" s="898">
        <f>D1808*D1801</f>
        <v>5500</v>
      </c>
      <c r="F1808" s="899">
        <f>+E1808/'COSTOS MO CUADRILLA'!K54</f>
        <v>1.6666666666666667</v>
      </c>
    </row>
    <row r="1809" spans="2:16" s="479" customFormat="1" x14ac:dyDescent="0.2">
      <c r="C1809" s="893" t="s">
        <v>1653</v>
      </c>
      <c r="D1809" s="898">
        <f>+'1_OG y 2_ACA'!D196</f>
        <v>5500</v>
      </c>
      <c r="E1809" s="898">
        <f>D1809*D1798</f>
        <v>5500</v>
      </c>
      <c r="F1809" s="899">
        <f>+E1809/'COSTOS MO CUADRILLA'!K54</f>
        <v>1.6666666666666667</v>
      </c>
    </row>
    <row r="1810" spans="2:16" s="479" customFormat="1" x14ac:dyDescent="0.2">
      <c r="C1810" s="893" t="s">
        <v>1654</v>
      </c>
      <c r="D1810" s="898">
        <f>+'1_OG y 2_ACA'!D197</f>
        <v>2570</v>
      </c>
      <c r="E1810" s="898">
        <f>D1810*D1800</f>
        <v>5140</v>
      </c>
      <c r="F1810" s="899">
        <f>+E1810/'COSTOS MO CUADRILLA'!K54</f>
        <v>1.5575757575757576</v>
      </c>
    </row>
    <row r="1811" spans="2:16" s="479" customFormat="1" x14ac:dyDescent="0.2">
      <c r="C1811" s="893"/>
      <c r="D1811" s="894" t="s">
        <v>1016</v>
      </c>
      <c r="E1811" s="898">
        <f>SUM(E1806:E1810)</f>
        <v>61540</v>
      </c>
      <c r="F1811" s="899">
        <f>+E1811/'COSTOS MO CUADRILLA'!K54</f>
        <v>18.648484848484848</v>
      </c>
    </row>
    <row r="1813" spans="2:16" s="479" customFormat="1" x14ac:dyDescent="0.2">
      <c r="C1813" s="893"/>
      <c r="D1813" s="894" t="s">
        <v>1012</v>
      </c>
      <c r="E1813" s="894" t="s">
        <v>1013</v>
      </c>
      <c r="F1813" s="894" t="s">
        <v>1657</v>
      </c>
      <c r="H1813" s="1158"/>
      <c r="I1813" s="1158"/>
      <c r="J1813" s="1158"/>
    </row>
    <row r="1814" spans="2:16" s="479" customFormat="1" x14ac:dyDescent="0.2">
      <c r="C1814" s="893" t="s">
        <v>1837</v>
      </c>
      <c r="D1814" s="898">
        <f>+'1_OG y 2_ACA'!D198</f>
        <v>5175</v>
      </c>
      <c r="E1814" s="898">
        <f>+D1814*(D1802+D1800+D1794+D1793+D1792)</f>
        <v>36225</v>
      </c>
      <c r="F1814" s="899">
        <f>+E1814/'COSTOS MO CUADRILLA'!K54</f>
        <v>10.977272727272727</v>
      </c>
      <c r="H1814" s="480"/>
      <c r="J1814" s="480"/>
    </row>
    <row r="1815" spans="2:16" s="479" customFormat="1" x14ac:dyDescent="0.2">
      <c r="C1815" s="893"/>
      <c r="D1815" s="894" t="s">
        <v>1016</v>
      </c>
      <c r="E1815" s="898">
        <f>SUM(E1814:E1814)</f>
        <v>36225</v>
      </c>
      <c r="F1815" s="899">
        <f>+E1815/'COSTOS MO CUADRILLA'!K54</f>
        <v>10.977272727272727</v>
      </c>
      <c r="G1815" s="480"/>
      <c r="H1815" s="480"/>
      <c r="I1815" s="495"/>
      <c r="J1815" s="496"/>
    </row>
    <row r="1816" spans="2:16" s="479" customFormat="1" x14ac:dyDescent="0.2">
      <c r="C1816" s="478"/>
      <c r="D1816" s="478"/>
      <c r="E1816" s="480"/>
      <c r="F1816" s="478"/>
      <c r="G1816" s="480"/>
      <c r="H1816" s="480"/>
      <c r="I1816" s="495"/>
      <c r="J1816" s="496"/>
    </row>
    <row r="1817" spans="2:16" ht="21" x14ac:dyDescent="0.2">
      <c r="C1817" s="470">
        <v>2.8</v>
      </c>
      <c r="D1817" s="475" t="s">
        <v>1438</v>
      </c>
      <c r="F1817" s="100"/>
      <c r="G1817" s="63"/>
      <c r="H1817" s="63"/>
      <c r="I1817" s="136"/>
      <c r="J1817" s="321"/>
    </row>
    <row r="1819" spans="2:16" ht="21" x14ac:dyDescent="0.2">
      <c r="B1819" s="100"/>
      <c r="C1819" s="471" t="s">
        <v>2070</v>
      </c>
      <c r="D1819" s="471" t="s">
        <v>215</v>
      </c>
      <c r="F1819" s="100"/>
      <c r="G1819" s="63"/>
      <c r="H1819" s="63"/>
      <c r="I1819" s="136"/>
      <c r="J1819" s="321"/>
    </row>
    <row r="1820" spans="2:16" x14ac:dyDescent="0.2">
      <c r="N1820" s="50"/>
      <c r="O1820" s="1154"/>
      <c r="P1820" s="1154"/>
    </row>
    <row r="1821" spans="2:16" ht="16.5" x14ac:dyDescent="0.25">
      <c r="C1821" s="135" t="s">
        <v>1334</v>
      </c>
      <c r="D1821" s="227">
        <f>+D23-D12-D13-D14</f>
        <v>36.339999999999989</v>
      </c>
      <c r="E1821" s="135" t="s">
        <v>78</v>
      </c>
      <c r="F1821" s="413"/>
    </row>
    <row r="1822" spans="2:16" ht="16.5" x14ac:dyDescent="0.25">
      <c r="C1822" s="135" t="s">
        <v>1783</v>
      </c>
      <c r="D1822" s="227">
        <f>SUM(D1821:D1821)*1.05</f>
        <v>38.156999999999989</v>
      </c>
      <c r="E1822" s="135" t="s">
        <v>78</v>
      </c>
      <c r="F1822" s="413"/>
    </row>
    <row r="1823" spans="2:16" ht="16.5" x14ac:dyDescent="0.25">
      <c r="G1823" s="413"/>
    </row>
    <row r="1824" spans="2:16" ht="16.5" x14ac:dyDescent="0.25">
      <c r="C1824" s="551" t="s">
        <v>3264</v>
      </c>
      <c r="D1824" s="229">
        <v>6.8</v>
      </c>
      <c r="E1824" s="229" t="s">
        <v>1076</v>
      </c>
      <c r="F1824" s="413"/>
    </row>
    <row r="1825" spans="2:6" x14ac:dyDescent="0.2">
      <c r="B1825" s="892"/>
      <c r="C1825" s="893" t="s">
        <v>3265</v>
      </c>
      <c r="D1825" s="895">
        <f>+D1824</f>
        <v>6.8</v>
      </c>
      <c r="E1825" s="894" t="s">
        <v>1008</v>
      </c>
    </row>
    <row r="1826" spans="2:6" x14ac:dyDescent="0.2">
      <c r="B1826" s="892" t="s">
        <v>1917</v>
      </c>
      <c r="C1826" s="893" t="s">
        <v>1335</v>
      </c>
      <c r="D1826" s="895">
        <f>+D1824*0.3*0.25*1.3</f>
        <v>0.66300000000000003</v>
      </c>
      <c r="E1826" s="894" t="s">
        <v>1029</v>
      </c>
    </row>
    <row r="1827" spans="2:6" x14ac:dyDescent="0.2">
      <c r="B1827" s="892" t="s">
        <v>2271</v>
      </c>
      <c r="C1827" s="893" t="s">
        <v>3269</v>
      </c>
      <c r="D1827" s="895"/>
      <c r="E1827" s="894"/>
    </row>
    <row r="1828" spans="2:6" x14ac:dyDescent="0.2">
      <c r="C1828" s="893"/>
      <c r="D1828" s="895"/>
      <c r="E1828" s="894"/>
    </row>
    <row r="1830" spans="2:6" x14ac:dyDescent="0.2">
      <c r="B1830" s="892"/>
      <c r="C1830" s="894" t="s">
        <v>1546</v>
      </c>
      <c r="D1830" s="894" t="s">
        <v>13</v>
      </c>
      <c r="E1830" s="894" t="s">
        <v>14</v>
      </c>
    </row>
    <row r="1831" spans="2:6" x14ac:dyDescent="0.2">
      <c r="B1831" s="892" t="s">
        <v>1983</v>
      </c>
      <c r="C1831" s="907" t="s">
        <v>3263</v>
      </c>
      <c r="D1831" s="895">
        <f>+D1822</f>
        <v>38.156999999999989</v>
      </c>
      <c r="E1831" s="894" t="s">
        <v>137</v>
      </c>
    </row>
    <row r="1832" spans="2:6" x14ac:dyDescent="0.2">
      <c r="B1832" s="892" t="s">
        <v>2134</v>
      </c>
      <c r="C1832" s="893" t="s">
        <v>3267</v>
      </c>
      <c r="D1832" s="895">
        <f>+D1825</f>
        <v>6.8</v>
      </c>
      <c r="E1832" s="894" t="s">
        <v>1076</v>
      </c>
    </row>
    <row r="1833" spans="2:6" x14ac:dyDescent="0.2">
      <c r="B1833" s="892" t="s">
        <v>1917</v>
      </c>
      <c r="C1833" s="893" t="s">
        <v>3268</v>
      </c>
      <c r="D1833" s="895">
        <f>+D1826</f>
        <v>0.66300000000000003</v>
      </c>
      <c r="E1833" s="894" t="s">
        <v>1010</v>
      </c>
    </row>
    <row r="1834" spans="2:6" x14ac:dyDescent="0.2">
      <c r="B1834" s="892" t="s">
        <v>2271</v>
      </c>
      <c r="C1834" s="893" t="s">
        <v>3270</v>
      </c>
      <c r="D1834" s="895">
        <f>+D1824/6</f>
        <v>1.1333333333333333</v>
      </c>
      <c r="E1834" s="894" t="s">
        <v>1280</v>
      </c>
    </row>
    <row r="1835" spans="2:6" x14ac:dyDescent="0.2">
      <c r="B1835" s="892" t="s">
        <v>2638</v>
      </c>
      <c r="C1835" s="893" t="s">
        <v>3271</v>
      </c>
      <c r="D1835" s="895">
        <v>1</v>
      </c>
      <c r="E1835" s="894" t="s">
        <v>1280</v>
      </c>
    </row>
    <row r="1836" spans="2:6" x14ac:dyDescent="0.2">
      <c r="B1836" s="892"/>
      <c r="C1836" s="420"/>
      <c r="D1836" s="420"/>
      <c r="E1836" s="708"/>
    </row>
    <row r="1837" spans="2:6" x14ac:dyDescent="0.2">
      <c r="C1837" s="894"/>
      <c r="D1837" s="894" t="s">
        <v>1012</v>
      </c>
      <c r="E1837" s="894" t="s">
        <v>257</v>
      </c>
      <c r="F1837" s="894" t="s">
        <v>1657</v>
      </c>
    </row>
    <row r="1838" spans="2:6" x14ac:dyDescent="0.2">
      <c r="C1838" s="894" t="str">
        <f>C186</f>
        <v>Instalación de zacate</v>
      </c>
      <c r="D1838" s="898">
        <f>D186</f>
        <v>4000</v>
      </c>
      <c r="E1838" s="898">
        <f>+D1838*D1821</f>
        <v>145359.99999999997</v>
      </c>
      <c r="F1838" s="899">
        <f>ROUND(E1838/'COSTOS MO CUADRILLA'!K56,0)</f>
        <v>58</v>
      </c>
    </row>
    <row r="1839" spans="2:6" x14ac:dyDescent="0.2">
      <c r="C1839" s="893"/>
      <c r="D1839" s="894" t="s">
        <v>1016</v>
      </c>
      <c r="E1839" s="898">
        <f>SUM(E1838:E1838)</f>
        <v>145359.99999999997</v>
      </c>
      <c r="F1839" s="899">
        <f>+E1839/'COSTOS MO CUADRILLA'!K56</f>
        <v>58.027944111776435</v>
      </c>
    </row>
    <row r="1841" spans="3:5" ht="21" x14ac:dyDescent="0.3">
      <c r="C1841" s="1168" t="s">
        <v>1548</v>
      </c>
      <c r="D1841" s="1169"/>
    </row>
    <row r="1843" spans="3:5" x14ac:dyDescent="0.2">
      <c r="C1843" s="893" t="s">
        <v>1549</v>
      </c>
      <c r="D1843" s="895">
        <f>+D1061+D677+D491+D1267+D1203+D1148+D1128+D1113+D277+D255</f>
        <v>59.525205000000007</v>
      </c>
      <c r="E1843" s="894" t="s">
        <v>584</v>
      </c>
    </row>
    <row r="1844" spans="3:5" x14ac:dyDescent="0.2">
      <c r="C1844" s="893" t="s">
        <v>1866</v>
      </c>
      <c r="D1844" s="895">
        <f>+D1061+D677+D491</f>
        <v>40.876404999999998</v>
      </c>
      <c r="E1844" s="894" t="s">
        <v>584</v>
      </c>
    </row>
  </sheetData>
  <mergeCells count="90">
    <mergeCell ref="A366:A375"/>
    <mergeCell ref="A351:A365"/>
    <mergeCell ref="C1841:D1841"/>
    <mergeCell ref="H1032:J1032"/>
    <mergeCell ref="H1284:J1284"/>
    <mergeCell ref="H1590:J1590"/>
    <mergeCell ref="H1626:J1626"/>
    <mergeCell ref="H1635:J1635"/>
    <mergeCell ref="H1289:J1289"/>
    <mergeCell ref="H1602:J1602"/>
    <mergeCell ref="F1668:F1669"/>
    <mergeCell ref="H1598:J1598"/>
    <mergeCell ref="C1045:E1045"/>
    <mergeCell ref="C393:C394"/>
    <mergeCell ref="D393:D394"/>
    <mergeCell ref="C397:C399"/>
    <mergeCell ref="C139:E139"/>
    <mergeCell ref="C146:E146"/>
    <mergeCell ref="Q1553:Q1554"/>
    <mergeCell ref="H328:J328"/>
    <mergeCell ref="C383:C384"/>
    <mergeCell ref="D383:D384"/>
    <mergeCell ref="D912:F912"/>
    <mergeCell ref="P1553:P1554"/>
    <mergeCell ref="C400:C402"/>
    <mergeCell ref="C403:C405"/>
    <mergeCell ref="I380:L380"/>
    <mergeCell ref="C381:C382"/>
    <mergeCell ref="D381:D382"/>
    <mergeCell ref="D403:D405"/>
    <mergeCell ref="C385:C386"/>
    <mergeCell ref="D385:D386"/>
    <mergeCell ref="D397:D399"/>
    <mergeCell ref="C395:C396"/>
    <mergeCell ref="D395:D396"/>
    <mergeCell ref="C126:E126"/>
    <mergeCell ref="C8:E8"/>
    <mergeCell ref="C94:E94"/>
    <mergeCell ref="C98:E98"/>
    <mergeCell ref="C111:E111"/>
    <mergeCell ref="C117:E117"/>
    <mergeCell ref="C36:F36"/>
    <mergeCell ref="C387:C388"/>
    <mergeCell ref="D387:D388"/>
    <mergeCell ref="C389:C390"/>
    <mergeCell ref="D389:D390"/>
    <mergeCell ref="C391:C392"/>
    <mergeCell ref="D391:D392"/>
    <mergeCell ref="C595:C596"/>
    <mergeCell ref="D595:D596"/>
    <mergeCell ref="C597:C598"/>
    <mergeCell ref="D597:D598"/>
    <mergeCell ref="C593:C594"/>
    <mergeCell ref="D593:D594"/>
    <mergeCell ref="A563:A577"/>
    <mergeCell ref="A578:A587"/>
    <mergeCell ref="O1820:P1820"/>
    <mergeCell ref="C601:C602"/>
    <mergeCell ref="D601:D602"/>
    <mergeCell ref="C599:C600"/>
    <mergeCell ref="D599:D600"/>
    <mergeCell ref="I592:L592"/>
    <mergeCell ref="C1052:E1052"/>
    <mergeCell ref="H1813:J1813"/>
    <mergeCell ref="D1360:F1360"/>
    <mergeCell ref="G1680:J1680"/>
    <mergeCell ref="H1594:J1594"/>
    <mergeCell ref="D1646:F1646"/>
    <mergeCell ref="H1735:J1735"/>
    <mergeCell ref="D963:F963"/>
    <mergeCell ref="C603:C605"/>
    <mergeCell ref="D603:D605"/>
    <mergeCell ref="D643:F643"/>
    <mergeCell ref="C606:C608"/>
    <mergeCell ref="D606:D608"/>
    <mergeCell ref="C408:C409"/>
    <mergeCell ref="D408:D409"/>
    <mergeCell ref="C406:C407"/>
    <mergeCell ref="D406:D407"/>
    <mergeCell ref="D400:D402"/>
    <mergeCell ref="C410:C411"/>
    <mergeCell ref="D410:D411"/>
    <mergeCell ref="C414:C416"/>
    <mergeCell ref="D539:F539"/>
    <mergeCell ref="D414:D416"/>
    <mergeCell ref="D412:D413"/>
    <mergeCell ref="C417:C419"/>
    <mergeCell ref="D417:D419"/>
    <mergeCell ref="D458:F458"/>
    <mergeCell ref="C412:C413"/>
  </mergeCells>
  <phoneticPr fontId="20" type="noConversion"/>
  <dataValidations count="4">
    <dataValidation type="list" allowBlank="1" showInputMessage="1" showErrorMessage="1" sqref="E1118:E1119 E1133:E1134 E1153:E1154 E1216 E1276 E437:E442 E1085:E1087 F381:F419 E309 E621:E627 F593:F608" xr:uid="{98400BB9-F457-4B1A-8170-DAB18526B408}">
      <formula1>"#2,#3,#4,#5,#2 de 4.11,#2 de 4.88,#2 de 5.3"</formula1>
    </dataValidation>
    <dataValidation type="list" allowBlank="1" showInputMessage="1" showErrorMessage="1" sqref="D25" xr:uid="{372393F9-C4A9-4F63-A995-31B5C6A9E9EE}">
      <formula1>"Sí,No"</formula1>
    </dataValidation>
    <dataValidation type="list" allowBlank="1" showInputMessage="1" showErrorMessage="1" sqref="D24" xr:uid="{5E7A2683-3CBA-4206-899B-52F2878FBA4A}">
      <formula1>"1,2"</formula1>
    </dataValidation>
    <dataValidation type="list" allowBlank="1" showInputMessage="1" showErrorMessage="1" sqref="E302:E308 E310" xr:uid="{5685AFF8-8A66-48C6-85EE-F66D770B5B6E}">
      <formula1>"#2,#3,#4,#5,#2 de 4.11,#2 de 4.88,#2 de 5.3,#2 DE 6.35"</formula1>
    </dataValidation>
  </dataValidations>
  <pageMargins left="0.7" right="0.7" top="0.75" bottom="0.75" header="0.3" footer="0.3"/>
  <pageSetup orientation="portrait" r:id="rId1"/>
  <ignoredErrors>
    <ignoredError sqref="G388" formula="1"/>
  </ignoredError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0BA6996-3CCA-4914-A924-0F29AABEB723}">
          <x14:formula1>
            <xm:f>'Subc. Vent.'!$B:$B</xm:f>
          </x14:formula1>
          <xm:sqref>E1673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7DF73-5F6C-4F38-AF22-0A91F999C3A0}">
  <dimension ref="A3:K223"/>
  <sheetViews>
    <sheetView showGridLines="0" zoomScale="80" zoomScaleNormal="80" workbookViewId="0">
      <selection activeCell="D184" sqref="D184"/>
    </sheetView>
  </sheetViews>
  <sheetFormatPr defaultColWidth="11.43359375" defaultRowHeight="15" x14ac:dyDescent="0.2"/>
  <cols>
    <col min="2" max="2" width="6.3203125" style="420" customWidth="1"/>
    <col min="3" max="3" width="39.546875" customWidth="1"/>
    <col min="4" max="4" width="55.5546875" style="272" customWidth="1"/>
    <col min="5" max="5" width="19.50390625" customWidth="1"/>
    <col min="6" max="6" width="27.44140625" customWidth="1"/>
    <col min="7" max="7" width="32.5546875" customWidth="1"/>
    <col min="8" max="8" width="18.29296875" customWidth="1"/>
    <col min="9" max="9" width="18.0234375" customWidth="1"/>
    <col min="10" max="10" width="12.5078125" style="63" bestFit="1" customWidth="1"/>
    <col min="11" max="11" width="18.5625" customWidth="1"/>
    <col min="12" max="12" width="15.6015625" customWidth="1"/>
    <col min="13" max="13" width="13.44921875" customWidth="1"/>
    <col min="14" max="14" width="14.52734375" customWidth="1"/>
    <col min="17" max="17" width="18.0234375" customWidth="1"/>
    <col min="18" max="18" width="13.98828125" bestFit="1" customWidth="1"/>
  </cols>
  <sheetData>
    <row r="3" spans="3:6" ht="33" x14ac:dyDescent="0.2">
      <c r="C3" s="890" t="s">
        <v>2137</v>
      </c>
      <c r="D3" s="1064" t="str">
        <f>'1_OG y 2_ACA'!D3</f>
        <v>Modelo Casa</v>
      </c>
      <c r="E3" s="1064" t="str">
        <f>'1_OG y 2_ACA'!E3</f>
        <v>VN-L.32</v>
      </c>
    </row>
    <row r="5" spans="3:6" ht="21" x14ac:dyDescent="0.2">
      <c r="C5" s="474">
        <v>3</v>
      </c>
      <c r="D5" s="1054" t="s">
        <v>2071</v>
      </c>
    </row>
    <row r="7" spans="3:6" ht="21" x14ac:dyDescent="0.2">
      <c r="C7" s="470">
        <v>3.2</v>
      </c>
      <c r="D7" s="627" t="s">
        <v>240</v>
      </c>
    </row>
    <row r="8" spans="3:6" ht="21" x14ac:dyDescent="0.3">
      <c r="C8" s="476"/>
      <c r="D8" s="628"/>
    </row>
    <row r="9" spans="3:6" x14ac:dyDescent="0.2">
      <c r="C9" s="100"/>
      <c r="D9" s="629"/>
    </row>
    <row r="10" spans="3:6" s="479" customFormat="1" x14ac:dyDescent="0.2">
      <c r="C10" s="485" t="s">
        <v>1546</v>
      </c>
      <c r="D10" s="498" t="s">
        <v>13</v>
      </c>
      <c r="E10" s="485" t="s">
        <v>14</v>
      </c>
      <c r="F10" s="505"/>
    </row>
    <row r="11" spans="3:6" s="479" customFormat="1" ht="16.5" x14ac:dyDescent="0.25">
      <c r="C11" s="481" t="s">
        <v>1784</v>
      </c>
      <c r="D11" s="880">
        <v>1</v>
      </c>
      <c r="E11" s="485" t="s">
        <v>1167</v>
      </c>
      <c r="F11" s="413"/>
    </row>
    <row r="12" spans="3:6" s="479" customFormat="1" ht="16.5" x14ac:dyDescent="0.25">
      <c r="C12" s="481" t="s">
        <v>1785</v>
      </c>
      <c r="D12" s="880">
        <v>1</v>
      </c>
      <c r="E12" s="485" t="s">
        <v>1167</v>
      </c>
      <c r="F12" s="413"/>
    </row>
    <row r="13" spans="3:6" s="479" customFormat="1" ht="16.5" x14ac:dyDescent="0.25">
      <c r="C13" s="481" t="s">
        <v>1786</v>
      </c>
      <c r="D13" s="880">
        <v>1</v>
      </c>
      <c r="E13" s="485" t="s">
        <v>1167</v>
      </c>
      <c r="F13" s="413"/>
    </row>
    <row r="14" spans="3:6" x14ac:dyDescent="0.2">
      <c r="F14" s="414"/>
    </row>
    <row r="15" spans="3:6" ht="21" x14ac:dyDescent="0.2">
      <c r="C15" s="471" t="s">
        <v>2081</v>
      </c>
      <c r="D15" s="630" t="s">
        <v>3359</v>
      </c>
      <c r="E15" s="636"/>
    </row>
    <row r="17" spans="1:6" s="479" customFormat="1" ht="18.75" x14ac:dyDescent="0.25">
      <c r="B17" s="524"/>
      <c r="C17" s="1052" t="s">
        <v>3272</v>
      </c>
      <c r="D17" s="1055"/>
      <c r="E17" s="1052"/>
    </row>
    <row r="18" spans="1:6" s="479" customFormat="1" ht="18.75" customHeight="1" x14ac:dyDescent="0.25">
      <c r="B18" s="524"/>
      <c r="C18" s="1173" t="s">
        <v>3368</v>
      </c>
      <c r="D18" s="1173"/>
      <c r="E18" s="1173"/>
    </row>
    <row r="19" spans="1:6" s="479" customFormat="1" ht="16.5" x14ac:dyDescent="0.25">
      <c r="A19" s="483"/>
      <c r="B19" s="891" t="s">
        <v>2032</v>
      </c>
      <c r="C19" s="481" t="s">
        <v>1498</v>
      </c>
      <c r="D19" s="1056">
        <f>29.8+10</f>
        <v>39.799999999999997</v>
      </c>
      <c r="E19" s="895">
        <f>ROUNDUP(D19/6,0)</f>
        <v>7</v>
      </c>
      <c r="F19" s="423"/>
    </row>
    <row r="20" spans="1:6" s="479" customFormat="1" ht="16.5" x14ac:dyDescent="0.25">
      <c r="A20" s="483"/>
      <c r="B20" s="891" t="s">
        <v>2116</v>
      </c>
      <c r="C20" s="481" t="s">
        <v>3360</v>
      </c>
      <c r="D20" s="1056">
        <v>0</v>
      </c>
      <c r="E20" s="895">
        <f>ROUNDUP(D20/6,0)</f>
        <v>0</v>
      </c>
      <c r="F20" s="423"/>
    </row>
    <row r="21" spans="1:6" s="479" customFormat="1" ht="16.5" x14ac:dyDescent="0.25">
      <c r="A21" s="483"/>
      <c r="B21" s="891" t="s">
        <v>2016</v>
      </c>
      <c r="C21" s="481" t="s">
        <v>1501</v>
      </c>
      <c r="D21" s="1056">
        <f>12.1+10</f>
        <v>22.1</v>
      </c>
      <c r="E21" s="895">
        <f>ROUNDUP(D21/6,0)</f>
        <v>4</v>
      </c>
      <c r="F21" s="423"/>
    </row>
    <row r="22" spans="1:6" s="479" customFormat="1" ht="18.75" customHeight="1" x14ac:dyDescent="0.25">
      <c r="A22" s="483"/>
      <c r="B22" s="891"/>
      <c r="C22" s="1173" t="s">
        <v>3369</v>
      </c>
      <c r="D22" s="1173"/>
      <c r="E22" s="1173"/>
    </row>
    <row r="23" spans="1:6" s="479" customFormat="1" ht="16.5" x14ac:dyDescent="0.25">
      <c r="A23" s="483"/>
      <c r="B23" s="891" t="s">
        <v>2783</v>
      </c>
      <c r="C23" s="481" t="s">
        <v>3109</v>
      </c>
      <c r="D23" s="1056">
        <v>6</v>
      </c>
      <c r="E23" s="895">
        <f t="shared" ref="E23:E33" si="0">ROUNDUP(D23,0)</f>
        <v>6</v>
      </c>
      <c r="F23" s="423"/>
    </row>
    <row r="24" spans="1:6" s="479" customFormat="1" ht="16.5" x14ac:dyDescent="0.25">
      <c r="A24" s="483"/>
      <c r="B24" s="891" t="s">
        <v>2209</v>
      </c>
      <c r="C24" s="481" t="s">
        <v>1499</v>
      </c>
      <c r="D24" s="1056"/>
      <c r="E24" s="895">
        <f t="shared" si="0"/>
        <v>0</v>
      </c>
      <c r="F24" s="423"/>
    </row>
    <row r="25" spans="1:6" s="479" customFormat="1" ht="16.5" x14ac:dyDescent="0.25">
      <c r="A25" s="483"/>
      <c r="B25" s="891" t="s">
        <v>2781</v>
      </c>
      <c r="C25" s="481" t="s">
        <v>3361</v>
      </c>
      <c r="D25" s="1056"/>
      <c r="E25" s="895">
        <f t="shared" si="0"/>
        <v>0</v>
      </c>
      <c r="F25" s="423"/>
    </row>
    <row r="26" spans="1:6" s="479" customFormat="1" ht="16.5" x14ac:dyDescent="0.25">
      <c r="A26" s="483"/>
      <c r="B26" s="891" t="s">
        <v>2351</v>
      </c>
      <c r="C26" s="481" t="s">
        <v>3362</v>
      </c>
      <c r="D26" s="1056"/>
      <c r="E26" s="895">
        <f t="shared" si="0"/>
        <v>0</v>
      </c>
      <c r="F26" s="423"/>
    </row>
    <row r="27" spans="1:6" s="479" customFormat="1" ht="16.5" x14ac:dyDescent="0.25">
      <c r="A27" s="483"/>
      <c r="B27" s="891" t="s">
        <v>2847</v>
      </c>
      <c r="C27" s="481" t="s">
        <v>3363</v>
      </c>
      <c r="D27" s="1056">
        <v>9</v>
      </c>
      <c r="E27" s="895">
        <f t="shared" si="0"/>
        <v>9</v>
      </c>
      <c r="F27" s="423"/>
    </row>
    <row r="28" spans="1:6" s="479" customFormat="1" ht="16.5" x14ac:dyDescent="0.25">
      <c r="A28" s="483"/>
      <c r="B28" s="891" t="s">
        <v>2033</v>
      </c>
      <c r="C28" s="481" t="s">
        <v>1502</v>
      </c>
      <c r="D28" s="1056">
        <v>2</v>
      </c>
      <c r="E28" s="895">
        <f t="shared" si="0"/>
        <v>2</v>
      </c>
      <c r="F28" s="423"/>
    </row>
    <row r="29" spans="1:6" s="479" customFormat="1" ht="16.5" x14ac:dyDescent="0.25">
      <c r="A29" s="483"/>
      <c r="B29" s="891" t="s">
        <v>2345</v>
      </c>
      <c r="C29" s="481" t="s">
        <v>1500</v>
      </c>
      <c r="D29" s="1056">
        <v>3</v>
      </c>
      <c r="E29" s="895">
        <f t="shared" si="0"/>
        <v>3</v>
      </c>
      <c r="F29" s="423"/>
    </row>
    <row r="30" spans="1:6" s="479" customFormat="1" ht="16.5" x14ac:dyDescent="0.25">
      <c r="A30" s="483"/>
      <c r="B30" s="891" t="s">
        <v>2018</v>
      </c>
      <c r="C30" s="481" t="s">
        <v>3364</v>
      </c>
      <c r="D30" s="1056"/>
      <c r="E30" s="895">
        <f t="shared" si="0"/>
        <v>0</v>
      </c>
      <c r="F30" s="423"/>
    </row>
    <row r="31" spans="1:6" s="479" customFormat="1" ht="16.5" x14ac:dyDescent="0.25">
      <c r="A31" s="483"/>
      <c r="B31" s="891" t="s">
        <v>2347</v>
      </c>
      <c r="C31" s="481" t="s">
        <v>1503</v>
      </c>
      <c r="D31" s="1056">
        <v>3</v>
      </c>
      <c r="E31" s="895">
        <f t="shared" si="0"/>
        <v>3</v>
      </c>
      <c r="F31" s="423"/>
    </row>
    <row r="32" spans="1:6" s="479" customFormat="1" ht="16.5" x14ac:dyDescent="0.25">
      <c r="A32" s="483"/>
      <c r="B32" s="891" t="s">
        <v>2350</v>
      </c>
      <c r="C32" s="481" t="s">
        <v>3365</v>
      </c>
      <c r="D32" s="1056">
        <v>2</v>
      </c>
      <c r="E32" s="895">
        <f t="shared" si="0"/>
        <v>2</v>
      </c>
      <c r="F32" s="423"/>
    </row>
    <row r="33" spans="1:7" s="479" customFormat="1" ht="16.5" x14ac:dyDescent="0.25">
      <c r="A33" s="483"/>
      <c r="B33" s="891" t="s">
        <v>2022</v>
      </c>
      <c r="C33" s="481" t="s">
        <v>3366</v>
      </c>
      <c r="D33" s="1056"/>
      <c r="E33" s="895">
        <f t="shared" si="0"/>
        <v>0</v>
      </c>
      <c r="F33" s="423"/>
    </row>
    <row r="34" spans="1:7" s="479" customFormat="1" x14ac:dyDescent="0.2">
      <c r="B34" s="524"/>
      <c r="D34" s="501"/>
    </row>
    <row r="35" spans="1:7" s="479" customFormat="1" ht="16.5" x14ac:dyDescent="0.25">
      <c r="B35" s="556"/>
      <c r="C35" s="893"/>
      <c r="D35" s="895" t="s">
        <v>1012</v>
      </c>
      <c r="E35" s="893" t="s">
        <v>1013</v>
      </c>
      <c r="F35" s="894" t="s">
        <v>1657</v>
      </c>
    </row>
    <row r="36" spans="1:7" s="479" customFormat="1" ht="16.5" x14ac:dyDescent="0.25">
      <c r="B36" s="556"/>
      <c r="C36" s="893" t="s">
        <v>3401</v>
      </c>
      <c r="D36" s="898">
        <f>+'1_OG y 2_ACA'!D154</f>
        <v>1200</v>
      </c>
      <c r="E36" s="1057">
        <f>+SUM(D19:D21)*D36</f>
        <v>74280</v>
      </c>
      <c r="F36" s="895">
        <f>+E36/'COSTOS MO CUADRILLA'!K70</f>
        <v>26.260606060606062</v>
      </c>
      <c r="G36" s="624"/>
    </row>
    <row r="37" spans="1:7" s="479" customFormat="1" ht="16.5" x14ac:dyDescent="0.25">
      <c r="B37" s="556"/>
      <c r="C37" s="893" t="s">
        <v>3402</v>
      </c>
      <c r="D37" s="898">
        <f>+'1_OG y 2_ACA'!D155</f>
        <v>500</v>
      </c>
      <c r="E37" s="1057">
        <f>+SUM(D23:D33)*D37</f>
        <v>12500</v>
      </c>
      <c r="F37" s="895">
        <f>+E37/'COSTOS MO CUADRILLA'!K70</f>
        <v>4.4191919191919196</v>
      </c>
      <c r="G37" s="624"/>
    </row>
    <row r="38" spans="1:7" s="479" customFormat="1" ht="16.5" x14ac:dyDescent="0.25">
      <c r="B38" s="556"/>
      <c r="C38" s="893"/>
      <c r="D38" s="895" t="s">
        <v>1016</v>
      </c>
      <c r="E38" s="1057">
        <f>SUM(E36:E37)</f>
        <v>86780</v>
      </c>
      <c r="F38" s="895">
        <f>+E38/'COSTOS MO CUADRILLA'!K70</f>
        <v>30.679797979797982</v>
      </c>
    </row>
    <row r="39" spans="1:7" s="479" customFormat="1" ht="16.5" x14ac:dyDescent="0.25">
      <c r="B39" s="556"/>
      <c r="C39" s="556"/>
      <c r="D39" s="631"/>
      <c r="E39" s="556"/>
      <c r="F39" s="556"/>
      <c r="G39" s="556"/>
    </row>
    <row r="40" spans="1:7" s="479" customFormat="1" ht="16.5" x14ac:dyDescent="0.25">
      <c r="B40" s="556"/>
      <c r="C40" s="556"/>
      <c r="D40" s="631"/>
      <c r="E40" s="556"/>
      <c r="F40" s="556"/>
      <c r="G40" s="556"/>
    </row>
    <row r="41" spans="1:7" ht="21" x14ac:dyDescent="0.2">
      <c r="C41" s="471" t="s">
        <v>2082</v>
      </c>
      <c r="D41" s="630" t="s">
        <v>3370</v>
      </c>
      <c r="E41" s="625"/>
    </row>
    <row r="43" spans="1:7" s="479" customFormat="1" ht="18.75" x14ac:dyDescent="0.25">
      <c r="B43" s="524"/>
      <c r="C43" s="1052" t="s">
        <v>3273</v>
      </c>
      <c r="D43" s="1055"/>
      <c r="E43" s="1052"/>
      <c r="F43" s="473"/>
    </row>
    <row r="44" spans="1:7" s="479" customFormat="1" ht="18" x14ac:dyDescent="0.25">
      <c r="B44" s="524"/>
      <c r="C44" s="1173" t="s">
        <v>3368</v>
      </c>
      <c r="D44" s="1173"/>
      <c r="E44" s="1173"/>
    </row>
    <row r="45" spans="1:7" s="479" customFormat="1" ht="16.5" x14ac:dyDescent="0.25">
      <c r="B45" s="891" t="s">
        <v>2031</v>
      </c>
      <c r="C45" s="481" t="s">
        <v>1488</v>
      </c>
      <c r="D45" s="880">
        <f>39.4+10</f>
        <v>49.4</v>
      </c>
      <c r="E45" s="895">
        <f>ROUNDUP(D45/6,0)</f>
        <v>9</v>
      </c>
      <c r="F45" s="413"/>
    </row>
    <row r="46" spans="1:7" s="479" customFormat="1" ht="16.5" x14ac:dyDescent="0.25">
      <c r="B46" s="891" t="s">
        <v>2358</v>
      </c>
      <c r="C46" s="558" t="s">
        <v>1493</v>
      </c>
      <c r="D46" s="880">
        <f>26.2+12</f>
        <v>38.200000000000003</v>
      </c>
      <c r="E46" s="895">
        <f>ROUNDUP(D46/6,0)</f>
        <v>7</v>
      </c>
      <c r="F46" s="413"/>
    </row>
    <row r="47" spans="1:7" s="479" customFormat="1" ht="18" x14ac:dyDescent="0.25">
      <c r="B47" s="891"/>
      <c r="C47" s="1173" t="s">
        <v>3369</v>
      </c>
      <c r="D47" s="1173"/>
      <c r="E47" s="1173"/>
    </row>
    <row r="48" spans="1:7" s="479" customFormat="1" ht="16.5" x14ac:dyDescent="0.25">
      <c r="B48" s="891" t="s">
        <v>2353</v>
      </c>
      <c r="C48" s="481" t="s">
        <v>1489</v>
      </c>
      <c r="D48" s="880">
        <v>18</v>
      </c>
      <c r="E48" s="895">
        <f t="shared" ref="E48:E55" si="1">ROUNDUP(D48,0)</f>
        <v>18</v>
      </c>
      <c r="F48" s="413"/>
    </row>
    <row r="49" spans="2:7" s="479" customFormat="1" ht="16.5" x14ac:dyDescent="0.25">
      <c r="B49" s="891" t="s">
        <v>2357</v>
      </c>
      <c r="C49" s="481" t="s">
        <v>1494</v>
      </c>
      <c r="D49" s="880">
        <v>15</v>
      </c>
      <c r="E49" s="895">
        <f>ROUNDUP(D49,0)</f>
        <v>15</v>
      </c>
      <c r="F49" s="413"/>
    </row>
    <row r="50" spans="2:7" s="479" customFormat="1" ht="16.5" x14ac:dyDescent="0.25">
      <c r="B50" s="891" t="s">
        <v>2354</v>
      </c>
      <c r="C50" s="481" t="s">
        <v>1490</v>
      </c>
      <c r="D50" s="880">
        <v>12</v>
      </c>
      <c r="E50" s="895">
        <f t="shared" si="1"/>
        <v>12</v>
      </c>
      <c r="F50" s="413"/>
    </row>
    <row r="51" spans="2:7" s="479" customFormat="1" ht="16.5" x14ac:dyDescent="0.25">
      <c r="B51" s="891" t="s">
        <v>2356</v>
      </c>
      <c r="C51" s="481" t="s">
        <v>1495</v>
      </c>
      <c r="D51" s="880">
        <v>5</v>
      </c>
      <c r="E51" s="895">
        <f>ROUNDUP(D51,0)</f>
        <v>5</v>
      </c>
      <c r="F51" s="413"/>
    </row>
    <row r="52" spans="2:7" s="479" customFormat="1" ht="16.5" x14ac:dyDescent="0.25">
      <c r="B52" s="891" t="s">
        <v>2352</v>
      </c>
      <c r="C52" s="488" t="s">
        <v>1496</v>
      </c>
      <c r="D52" s="880">
        <v>1</v>
      </c>
      <c r="E52" s="895">
        <f t="shared" si="1"/>
        <v>1</v>
      </c>
      <c r="F52" s="413"/>
      <c r="G52" s="153"/>
    </row>
    <row r="53" spans="2:7" s="479" customFormat="1" ht="16.5" x14ac:dyDescent="0.25">
      <c r="B53" s="891" t="s">
        <v>2359</v>
      </c>
      <c r="C53" s="481" t="s">
        <v>1497</v>
      </c>
      <c r="D53" s="880">
        <v>1</v>
      </c>
      <c r="E53" s="895">
        <f>ROUNDUP(D53,0)</f>
        <v>1</v>
      </c>
      <c r="F53" s="413"/>
    </row>
    <row r="54" spans="2:7" s="479" customFormat="1" ht="16.5" x14ac:dyDescent="0.25">
      <c r="B54" s="891" t="s">
        <v>2341</v>
      </c>
      <c r="C54" s="481" t="s">
        <v>1491</v>
      </c>
      <c r="D54" s="880">
        <v>1</v>
      </c>
      <c r="E54" s="895">
        <f>ROUNDUP(D54,0)</f>
        <v>1</v>
      </c>
      <c r="F54" s="413"/>
    </row>
    <row r="55" spans="2:7" s="479" customFormat="1" ht="16.5" x14ac:dyDescent="0.25">
      <c r="B55" s="1058" t="s">
        <v>2266</v>
      </c>
      <c r="C55" s="481" t="s">
        <v>1492</v>
      </c>
      <c r="D55" s="880">
        <v>1</v>
      </c>
      <c r="E55" s="895">
        <f t="shared" si="1"/>
        <v>1</v>
      </c>
      <c r="F55" s="413"/>
    </row>
    <row r="56" spans="2:7" s="479" customFormat="1" x14ac:dyDescent="0.2">
      <c r="B56" s="891"/>
      <c r="C56" s="524"/>
      <c r="D56" s="632"/>
      <c r="E56" s="524"/>
      <c r="F56" s="524"/>
    </row>
    <row r="57" spans="2:7" s="479" customFormat="1" ht="16.5" x14ac:dyDescent="0.25">
      <c r="B57" s="556"/>
      <c r="C57" s="893"/>
      <c r="D57" s="895" t="s">
        <v>1012</v>
      </c>
      <c r="E57" s="893" t="s">
        <v>1013</v>
      </c>
      <c r="F57" s="894" t="s">
        <v>1657</v>
      </c>
    </row>
    <row r="58" spans="2:7" s="479" customFormat="1" ht="16.5" x14ac:dyDescent="0.25">
      <c r="B58" s="556"/>
      <c r="C58" s="893" t="s">
        <v>3401</v>
      </c>
      <c r="D58" s="898">
        <f>+'1_OG y 2_ACA'!D158</f>
        <v>600</v>
      </c>
      <c r="E58" s="1057">
        <f>+SUM(D45:D46)*D58</f>
        <v>52560</v>
      </c>
      <c r="F58" s="895">
        <f>+E58/'COSTOS MO CUADRILLA'!K71</f>
        <v>18.581818181818182</v>
      </c>
      <c r="G58" s="624"/>
    </row>
    <row r="59" spans="2:7" s="479" customFormat="1" ht="16.5" x14ac:dyDescent="0.25">
      <c r="B59" s="556"/>
      <c r="C59" s="893" t="s">
        <v>3402</v>
      </c>
      <c r="D59" s="898">
        <f>+'1_OG y 2_ACA'!D159</f>
        <v>485</v>
      </c>
      <c r="E59" s="1057">
        <f>+SUM(D48:D55)*D59</f>
        <v>26190</v>
      </c>
      <c r="F59" s="895">
        <f>+E59/'COSTOS MO CUADRILLA'!K71</f>
        <v>9.2590909090909097</v>
      </c>
      <c r="G59" s="624"/>
    </row>
    <row r="60" spans="2:7" s="479" customFormat="1" ht="16.5" x14ac:dyDescent="0.25">
      <c r="B60" s="556"/>
      <c r="C60" s="893"/>
      <c r="D60" s="895" t="s">
        <v>1016</v>
      </c>
      <c r="E60" s="1057">
        <f>SUM(E58:E59)</f>
        <v>78750</v>
      </c>
      <c r="F60" s="895">
        <f>+E60/'COSTOS MO CUADRILLA'!K71</f>
        <v>27.840909090909093</v>
      </c>
    </row>
    <row r="61" spans="2:7" s="479" customFormat="1" x14ac:dyDescent="0.2">
      <c r="B61" s="524"/>
      <c r="C61" s="524"/>
      <c r="D61" s="632"/>
      <c r="E61" s="524"/>
      <c r="F61" s="524"/>
    </row>
    <row r="62" spans="2:7" s="479" customFormat="1" x14ac:dyDescent="0.2">
      <c r="B62" s="524"/>
      <c r="C62" s="524"/>
      <c r="D62" s="632"/>
      <c r="E62" s="524"/>
      <c r="F62" s="524"/>
    </row>
    <row r="63" spans="2:7" ht="21" x14ac:dyDescent="0.2">
      <c r="C63" s="471" t="s">
        <v>3371</v>
      </c>
      <c r="D63" s="630" t="s">
        <v>3372</v>
      </c>
      <c r="E63" s="625"/>
    </row>
    <row r="65" spans="2:7" s="479" customFormat="1" ht="18.75" x14ac:dyDescent="0.25">
      <c r="B65" s="524"/>
      <c r="C65" s="1052" t="s">
        <v>3372</v>
      </c>
      <c r="D65" s="1055"/>
      <c r="E65" s="1052"/>
      <c r="F65" s="473"/>
    </row>
    <row r="66" spans="2:7" s="479" customFormat="1" ht="18" x14ac:dyDescent="0.25">
      <c r="B66" s="524"/>
      <c r="C66" s="1173" t="s">
        <v>3368</v>
      </c>
      <c r="D66" s="1173" t="s">
        <v>3403</v>
      </c>
      <c r="E66" s="1173"/>
    </row>
    <row r="67" spans="2:7" s="479" customFormat="1" ht="16.5" x14ac:dyDescent="0.25">
      <c r="B67" s="891" t="s">
        <v>2031</v>
      </c>
      <c r="C67" s="481" t="s">
        <v>1488</v>
      </c>
      <c r="D67" s="880">
        <v>0</v>
      </c>
      <c r="E67" s="895">
        <f>ROUNDUP(D67/6,0)</f>
        <v>0</v>
      </c>
      <c r="F67" s="413"/>
    </row>
    <row r="68" spans="2:7" s="479" customFormat="1" ht="16.5" x14ac:dyDescent="0.25">
      <c r="B68" s="891" t="s">
        <v>2358</v>
      </c>
      <c r="C68" s="558" t="s">
        <v>1493</v>
      </c>
      <c r="D68" s="880">
        <v>0</v>
      </c>
      <c r="E68" s="895">
        <f>ROUNDUP(D68/6,0)</f>
        <v>0</v>
      </c>
      <c r="F68" s="413"/>
    </row>
    <row r="69" spans="2:7" s="479" customFormat="1" ht="18" x14ac:dyDescent="0.25">
      <c r="B69" s="891"/>
      <c r="C69" s="1173" t="s">
        <v>3369</v>
      </c>
      <c r="D69" s="1173"/>
      <c r="E69" s="1173"/>
    </row>
    <row r="70" spans="2:7" s="479" customFormat="1" ht="16.5" x14ac:dyDescent="0.25">
      <c r="B70" s="891" t="s">
        <v>2353</v>
      </c>
      <c r="C70" s="481" t="s">
        <v>1489</v>
      </c>
      <c r="D70" s="880">
        <v>0</v>
      </c>
      <c r="E70" s="895">
        <f t="shared" ref="E70:E74" si="2">ROUNDUP(D70,0)</f>
        <v>0</v>
      </c>
      <c r="F70" s="413"/>
    </row>
    <row r="71" spans="2:7" s="479" customFormat="1" ht="16.5" x14ac:dyDescent="0.25">
      <c r="B71" s="891" t="s">
        <v>2357</v>
      </c>
      <c r="C71" s="481" t="s">
        <v>1494</v>
      </c>
      <c r="D71" s="880">
        <v>0</v>
      </c>
      <c r="E71" s="895">
        <f>ROUNDUP(D71,0)</f>
        <v>0</v>
      </c>
      <c r="F71" s="413"/>
    </row>
    <row r="72" spans="2:7" s="479" customFormat="1" ht="16.5" x14ac:dyDescent="0.25">
      <c r="B72" s="891" t="s">
        <v>2354</v>
      </c>
      <c r="C72" s="481" t="s">
        <v>1490</v>
      </c>
      <c r="D72" s="880">
        <v>0</v>
      </c>
      <c r="E72" s="895">
        <f t="shared" si="2"/>
        <v>0</v>
      </c>
      <c r="F72" s="413"/>
    </row>
    <row r="73" spans="2:7" s="479" customFormat="1" ht="16.5" x14ac:dyDescent="0.25">
      <c r="B73" s="891" t="s">
        <v>2356</v>
      </c>
      <c r="C73" s="481" t="s">
        <v>1495</v>
      </c>
      <c r="D73" s="880">
        <v>0</v>
      </c>
      <c r="E73" s="895">
        <f>ROUNDUP(D73,0)</f>
        <v>0</v>
      </c>
      <c r="F73" s="413"/>
    </row>
    <row r="74" spans="2:7" s="479" customFormat="1" ht="16.5" x14ac:dyDescent="0.25">
      <c r="B74" s="891" t="s">
        <v>2352</v>
      </c>
      <c r="C74" s="481" t="s">
        <v>1496</v>
      </c>
      <c r="D74" s="880">
        <v>0</v>
      </c>
      <c r="E74" s="895">
        <f t="shared" si="2"/>
        <v>0</v>
      </c>
      <c r="F74" s="413"/>
      <c r="G74" s="153"/>
    </row>
    <row r="75" spans="2:7" s="479" customFormat="1" ht="16.5" x14ac:dyDescent="0.25">
      <c r="B75" s="891" t="s">
        <v>2359</v>
      </c>
      <c r="C75" s="481" t="s">
        <v>1497</v>
      </c>
      <c r="D75" s="880">
        <v>0</v>
      </c>
      <c r="E75" s="895">
        <f t="shared" ref="E75" si="3">ROUNDUP(D75,0)</f>
        <v>0</v>
      </c>
      <c r="F75" s="413"/>
    </row>
    <row r="76" spans="2:7" s="479" customFormat="1" x14ac:dyDescent="0.2">
      <c r="B76" s="891"/>
      <c r="C76" s="524"/>
      <c r="D76" s="632"/>
      <c r="E76" s="524"/>
      <c r="F76" s="524"/>
    </row>
    <row r="77" spans="2:7" s="479" customFormat="1" ht="16.5" x14ac:dyDescent="0.25">
      <c r="B77" s="556"/>
      <c r="C77" s="893"/>
      <c r="D77" s="895" t="s">
        <v>1012</v>
      </c>
      <c r="E77" s="893" t="s">
        <v>1013</v>
      </c>
      <c r="F77" s="894" t="s">
        <v>1657</v>
      </c>
    </row>
    <row r="78" spans="2:7" s="479" customFormat="1" ht="16.5" x14ac:dyDescent="0.25">
      <c r="B78" s="556"/>
      <c r="C78" s="893" t="s">
        <v>3401</v>
      </c>
      <c r="D78" s="898">
        <f>+'1_OG y 2_ACA'!D158</f>
        <v>600</v>
      </c>
      <c r="E78" s="1057">
        <f>+SUM(D67:D68)*D78</f>
        <v>0</v>
      </c>
      <c r="F78" s="895">
        <f>+E78/'COSTOS MO CUADRILLA'!K72</f>
        <v>0</v>
      </c>
      <c r="G78" s="624"/>
    </row>
    <row r="79" spans="2:7" s="479" customFormat="1" ht="16.5" x14ac:dyDescent="0.25">
      <c r="B79" s="556"/>
      <c r="C79" s="893" t="s">
        <v>3402</v>
      </c>
      <c r="D79" s="898">
        <f>+'1_OG y 2_ACA'!D159</f>
        <v>485</v>
      </c>
      <c r="E79" s="1057">
        <f>+SUM(D70:D75)*D79</f>
        <v>0</v>
      </c>
      <c r="F79" s="895">
        <f>+E79/'COSTOS MO CUADRILLA'!K72</f>
        <v>0</v>
      </c>
    </row>
    <row r="80" spans="2:7" s="479" customFormat="1" ht="16.5" x14ac:dyDescent="0.25">
      <c r="B80" s="556"/>
      <c r="C80" s="893"/>
      <c r="D80" s="895" t="s">
        <v>1016</v>
      </c>
      <c r="E80" s="1057">
        <f>SUM(E78:E79)</f>
        <v>0</v>
      </c>
      <c r="F80" s="895">
        <f>+E80/'COSTOS MO CUADRILLA'!K72</f>
        <v>0</v>
      </c>
    </row>
    <row r="81" spans="1:6" ht="19.5" customHeight="1" x14ac:dyDescent="0.2"/>
    <row r="82" spans="1:6" hidden="1" x14ac:dyDescent="0.2"/>
    <row r="83" spans="1:6" s="479" customFormat="1" ht="21" hidden="1" x14ac:dyDescent="0.2">
      <c r="B83" s="524"/>
      <c r="C83" s="471" t="s">
        <v>3373</v>
      </c>
      <c r="D83" s="630" t="s">
        <v>3374</v>
      </c>
      <c r="E83" s="524"/>
      <c r="F83" s="524"/>
    </row>
    <row r="84" spans="1:6" s="479" customFormat="1" hidden="1" x14ac:dyDescent="0.2">
      <c r="B84" s="524"/>
      <c r="C84" s="524"/>
      <c r="D84" s="632"/>
      <c r="E84" s="524"/>
      <c r="F84" s="524"/>
    </row>
    <row r="85" spans="1:6" s="479" customFormat="1" ht="18.75" hidden="1" x14ac:dyDescent="0.25">
      <c r="B85" s="524"/>
      <c r="C85" s="1052" t="s">
        <v>3374</v>
      </c>
      <c r="D85" s="1055"/>
      <c r="E85" s="1052"/>
    </row>
    <row r="86" spans="1:6" s="479" customFormat="1" ht="18" hidden="1" x14ac:dyDescent="0.25">
      <c r="B86" s="524"/>
      <c r="C86" s="1173" t="s">
        <v>3368</v>
      </c>
      <c r="D86" s="1173"/>
      <c r="E86" s="1173"/>
    </row>
    <row r="87" spans="1:6" s="479" customFormat="1" ht="16.5" hidden="1" x14ac:dyDescent="0.25">
      <c r="A87" s="483"/>
      <c r="B87" s="891" t="s">
        <v>2116</v>
      </c>
      <c r="C87" s="481" t="s">
        <v>3360</v>
      </c>
      <c r="D87" s="880">
        <v>0</v>
      </c>
      <c r="E87" s="895">
        <f>ROUNDUP(D87/6,0)</f>
        <v>0</v>
      </c>
      <c r="F87" s="423"/>
    </row>
    <row r="88" spans="1:6" s="479" customFormat="1" ht="16.5" hidden="1" x14ac:dyDescent="0.25">
      <c r="A88" s="483"/>
      <c r="B88" s="891" t="s">
        <v>2016</v>
      </c>
      <c r="C88" s="481" t="s">
        <v>1501</v>
      </c>
      <c r="D88" s="880">
        <v>0</v>
      </c>
      <c r="E88" s="895">
        <f>ROUNDUP(D88/6,0)</f>
        <v>0</v>
      </c>
      <c r="F88" s="423"/>
    </row>
    <row r="89" spans="1:6" s="479" customFormat="1" ht="18" hidden="1" x14ac:dyDescent="0.25">
      <c r="A89" s="483"/>
      <c r="B89" s="891"/>
      <c r="C89" s="1173" t="s">
        <v>3369</v>
      </c>
      <c r="D89" s="1173"/>
      <c r="E89" s="1173"/>
    </row>
    <row r="90" spans="1:6" s="479" customFormat="1" ht="16.5" hidden="1" x14ac:dyDescent="0.25">
      <c r="A90" s="483"/>
      <c r="B90" s="891" t="s">
        <v>2781</v>
      </c>
      <c r="C90" s="481" t="s">
        <v>3361</v>
      </c>
      <c r="D90" s="880">
        <v>0</v>
      </c>
      <c r="E90" s="895">
        <f t="shared" ref="E90:E96" si="4">ROUNDUP(D90,0)</f>
        <v>0</v>
      </c>
      <c r="F90" s="423"/>
    </row>
    <row r="91" spans="1:6" s="479" customFormat="1" ht="16.5" hidden="1" x14ac:dyDescent="0.25">
      <c r="A91" s="483"/>
      <c r="B91" s="891" t="s">
        <v>2351</v>
      </c>
      <c r="C91" s="481" t="s">
        <v>3362</v>
      </c>
      <c r="D91" s="880">
        <v>0</v>
      </c>
      <c r="E91" s="895">
        <f t="shared" si="4"/>
        <v>0</v>
      </c>
      <c r="F91" s="423"/>
    </row>
    <row r="92" spans="1:6" s="479" customFormat="1" ht="16.5" hidden="1" x14ac:dyDescent="0.25">
      <c r="A92" s="483"/>
      <c r="B92" s="891" t="s">
        <v>2847</v>
      </c>
      <c r="C92" s="481" t="s">
        <v>3363</v>
      </c>
      <c r="D92" s="880">
        <v>0</v>
      </c>
      <c r="E92" s="895">
        <f t="shared" si="4"/>
        <v>0</v>
      </c>
      <c r="F92" s="423"/>
    </row>
    <row r="93" spans="1:6" s="479" customFormat="1" ht="16.5" hidden="1" x14ac:dyDescent="0.25">
      <c r="A93" s="483"/>
      <c r="B93" s="891" t="s">
        <v>2033</v>
      </c>
      <c r="C93" s="481" t="s">
        <v>1502</v>
      </c>
      <c r="D93" s="880">
        <v>0</v>
      </c>
      <c r="E93" s="895">
        <f t="shared" si="4"/>
        <v>0</v>
      </c>
      <c r="F93" s="423"/>
    </row>
    <row r="94" spans="1:6" s="479" customFormat="1" ht="16.5" hidden="1" x14ac:dyDescent="0.25">
      <c r="A94" s="483"/>
      <c r="B94" s="891" t="s">
        <v>2018</v>
      </c>
      <c r="C94" s="481" t="s">
        <v>3364</v>
      </c>
      <c r="D94" s="880">
        <v>0</v>
      </c>
      <c r="E94" s="895">
        <f t="shared" si="4"/>
        <v>0</v>
      </c>
      <c r="F94" s="423"/>
    </row>
    <row r="95" spans="1:6" s="479" customFormat="1" ht="16.5" hidden="1" x14ac:dyDescent="0.25">
      <c r="A95" s="483"/>
      <c r="B95" s="891" t="s">
        <v>2347</v>
      </c>
      <c r="C95" s="481" t="s">
        <v>1503</v>
      </c>
      <c r="D95" s="880">
        <v>0</v>
      </c>
      <c r="E95" s="895">
        <f t="shared" si="4"/>
        <v>0</v>
      </c>
      <c r="F95" s="423"/>
    </row>
    <row r="96" spans="1:6" s="479" customFormat="1" ht="16.5" hidden="1" x14ac:dyDescent="0.25">
      <c r="A96" s="483"/>
      <c r="B96" s="891" t="s">
        <v>2022</v>
      </c>
      <c r="C96" s="481" t="s">
        <v>3366</v>
      </c>
      <c r="D96" s="880">
        <v>0</v>
      </c>
      <c r="E96" s="895">
        <f t="shared" si="4"/>
        <v>0</v>
      </c>
      <c r="F96" s="423"/>
    </row>
    <row r="97" spans="1:11" hidden="1" x14ac:dyDescent="0.2"/>
    <row r="98" spans="1:11" s="479" customFormat="1" ht="16.5" hidden="1" x14ac:dyDescent="0.25">
      <c r="B98" s="556"/>
      <c r="C98" s="893"/>
      <c r="D98" s="895" t="s">
        <v>1012</v>
      </c>
      <c r="E98" s="893" t="s">
        <v>1013</v>
      </c>
      <c r="F98" s="894" t="s">
        <v>1657</v>
      </c>
    </row>
    <row r="99" spans="1:11" s="479" customFormat="1" ht="16.5" hidden="1" x14ac:dyDescent="0.25">
      <c r="B99" s="556"/>
      <c r="C99" s="893" t="s">
        <v>3401</v>
      </c>
      <c r="D99" s="898">
        <f>+'1_OG y 2_ACA'!D156</f>
        <v>1200</v>
      </c>
      <c r="E99" s="1057">
        <f>+SUM(D87:D88)*D99</f>
        <v>0</v>
      </c>
      <c r="F99" s="895">
        <f>+E99/'COSTOS MO CUADRILLA'!K72</f>
        <v>0</v>
      </c>
      <c r="G99" s="624"/>
      <c r="J99" s="480"/>
    </row>
    <row r="100" spans="1:11" s="479" customFormat="1" ht="16.5" hidden="1" x14ac:dyDescent="0.25">
      <c r="B100" s="556"/>
      <c r="C100" s="893" t="s">
        <v>3402</v>
      </c>
      <c r="D100" s="898">
        <f>+'1_OG y 2_ACA'!D157</f>
        <v>400</v>
      </c>
      <c r="E100" s="1057">
        <f>+SUM(D90:D96)*D100</f>
        <v>0</v>
      </c>
      <c r="F100" s="895">
        <f>+E100/'COSTOS MO CUADRILLA'!K72</f>
        <v>0</v>
      </c>
      <c r="J100" s="480"/>
    </row>
    <row r="101" spans="1:11" s="479" customFormat="1" ht="16.5" hidden="1" x14ac:dyDescent="0.25">
      <c r="B101" s="556"/>
      <c r="C101" s="893"/>
      <c r="D101" s="895" t="s">
        <v>1016</v>
      </c>
      <c r="E101" s="1057">
        <f>SUM(E99:E100)</f>
        <v>0</v>
      </c>
      <c r="F101" s="895">
        <f>+E101/'COSTOS MO CUADRILLA'!K72</f>
        <v>0</v>
      </c>
      <c r="J101" s="480"/>
    </row>
    <row r="102" spans="1:11" s="479" customFormat="1" ht="16.5" hidden="1" x14ac:dyDescent="0.25">
      <c r="B102" s="556"/>
      <c r="C102" s="556"/>
      <c r="D102" s="631"/>
      <c r="E102" s="556"/>
      <c r="F102" s="556"/>
      <c r="G102" s="556"/>
      <c r="H102" s="556"/>
      <c r="J102" s="480"/>
    </row>
    <row r="103" spans="1:11" s="479" customFormat="1" hidden="1" x14ac:dyDescent="0.2">
      <c r="B103" s="524"/>
      <c r="C103" s="524"/>
      <c r="D103" s="632"/>
      <c r="E103" s="524"/>
      <c r="F103" s="524"/>
    </row>
    <row r="104" spans="1:11" ht="21" x14ac:dyDescent="0.2">
      <c r="C104" s="471" t="s">
        <v>2083</v>
      </c>
      <c r="D104" s="630" t="s">
        <v>1915</v>
      </c>
      <c r="E104" s="315"/>
    </row>
    <row r="105" spans="1:11" x14ac:dyDescent="0.2">
      <c r="E105" s="315"/>
    </row>
    <row r="106" spans="1:11" s="63" customFormat="1" ht="18.75" x14ac:dyDescent="0.25">
      <c r="B106" s="420"/>
      <c r="C106" s="1052" t="s">
        <v>3146</v>
      </c>
      <c r="D106" s="1055"/>
      <c r="E106" s="1052"/>
      <c r="F106"/>
      <c r="G106"/>
      <c r="K106"/>
    </row>
    <row r="107" spans="1:11" s="479" customFormat="1" ht="18" x14ac:dyDescent="0.25">
      <c r="A107" s="483"/>
      <c r="B107" s="891"/>
      <c r="C107" s="1173" t="s">
        <v>3368</v>
      </c>
      <c r="D107" s="1173" t="s">
        <v>3711</v>
      </c>
      <c r="E107" s="1173"/>
      <c r="G107" s="63"/>
      <c r="H107" s="1059"/>
      <c r="I107" s="148"/>
      <c r="J107" s="1059"/>
      <c r="K107" s="148"/>
    </row>
    <row r="108" spans="1:11" s="479" customFormat="1" ht="16.5" x14ac:dyDescent="0.25">
      <c r="A108" s="483"/>
      <c r="B108" s="891" t="s">
        <v>2029</v>
      </c>
      <c r="C108" s="481" t="s">
        <v>3378</v>
      </c>
      <c r="D108" s="880">
        <v>0</v>
      </c>
      <c r="E108" s="895">
        <f>ROUNDUP(D108,0)</f>
        <v>0</v>
      </c>
      <c r="F108" s="413"/>
      <c r="G108" s="478"/>
      <c r="H108" s="1060"/>
      <c r="I108" s="1061"/>
      <c r="J108" s="1060"/>
      <c r="K108" s="1061"/>
    </row>
    <row r="109" spans="1:11" s="479" customFormat="1" ht="16.5" x14ac:dyDescent="0.25">
      <c r="A109" s="483"/>
      <c r="B109" s="891" t="s">
        <v>2031</v>
      </c>
      <c r="C109" s="481" t="s">
        <v>3376</v>
      </c>
      <c r="D109" s="880">
        <f>+H114/6</f>
        <v>0</v>
      </c>
      <c r="E109" s="895">
        <f>ROUNDUP(D109,0)</f>
        <v>0</v>
      </c>
      <c r="F109" s="413"/>
      <c r="G109" s="478"/>
      <c r="H109" s="1060"/>
      <c r="I109" s="1061"/>
      <c r="J109" s="1060"/>
      <c r="K109" s="1061"/>
    </row>
    <row r="110" spans="1:11" s="479" customFormat="1" ht="16.5" x14ac:dyDescent="0.25">
      <c r="A110" s="483"/>
      <c r="B110" s="891" t="s">
        <v>2358</v>
      </c>
      <c r="C110" s="481" t="s">
        <v>3377</v>
      </c>
      <c r="D110" s="880">
        <f>+I114/6</f>
        <v>0</v>
      </c>
      <c r="E110" s="895">
        <f t="shared" ref="E110:E118" si="5">ROUNDUP(D110,0)</f>
        <v>0</v>
      </c>
      <c r="F110" s="413"/>
      <c r="G110" s="478"/>
      <c r="H110" s="1060"/>
      <c r="I110" s="1061"/>
      <c r="J110" s="1060"/>
      <c r="K110" s="1061"/>
    </row>
    <row r="111" spans="1:11" s="479" customFormat="1" ht="18" x14ac:dyDescent="0.25">
      <c r="A111" s="483"/>
      <c r="B111" s="891"/>
      <c r="C111" s="1173" t="s">
        <v>3369</v>
      </c>
      <c r="D111" s="1173"/>
      <c r="E111" s="1173"/>
      <c r="G111" s="478"/>
      <c r="H111" s="1060"/>
      <c r="I111" s="1061"/>
      <c r="J111" s="1060"/>
      <c r="K111" s="1061"/>
    </row>
    <row r="112" spans="1:11" s="479" customFormat="1" ht="16.5" x14ac:dyDescent="0.25">
      <c r="A112" s="483"/>
      <c r="B112" s="891" t="s">
        <v>2353</v>
      </c>
      <c r="C112" s="481" t="s">
        <v>3379</v>
      </c>
      <c r="D112" s="880">
        <v>0</v>
      </c>
      <c r="E112" s="895">
        <f t="shared" si="5"/>
        <v>0</v>
      </c>
      <c r="F112" s="413"/>
      <c r="G112" s="478"/>
      <c r="H112" s="1060"/>
      <c r="I112" s="1061"/>
      <c r="J112" s="1060"/>
      <c r="K112" s="1061"/>
    </row>
    <row r="113" spans="1:11" s="479" customFormat="1" ht="16.5" x14ac:dyDescent="0.25">
      <c r="A113" s="483"/>
      <c r="B113" s="891" t="s">
        <v>2357</v>
      </c>
      <c r="C113" s="481" t="s">
        <v>3380</v>
      </c>
      <c r="D113" s="880">
        <v>0</v>
      </c>
      <c r="E113" s="895">
        <f t="shared" si="5"/>
        <v>0</v>
      </c>
      <c r="F113" s="413"/>
      <c r="G113" s="478"/>
      <c r="H113" s="1060"/>
      <c r="I113" s="1061"/>
      <c r="J113" s="1060"/>
      <c r="K113" s="1061"/>
    </row>
    <row r="114" spans="1:11" s="479" customFormat="1" ht="16.5" x14ac:dyDescent="0.25">
      <c r="A114" s="483"/>
      <c r="B114" s="891" t="s">
        <v>2352</v>
      </c>
      <c r="C114" s="481" t="s">
        <v>3381</v>
      </c>
      <c r="D114" s="880">
        <v>0</v>
      </c>
      <c r="E114" s="895">
        <f t="shared" si="5"/>
        <v>0</v>
      </c>
      <c r="F114" s="413"/>
      <c r="H114" s="480"/>
      <c r="I114" s="480"/>
      <c r="J114" s="480"/>
      <c r="K114" s="480"/>
    </row>
    <row r="115" spans="1:11" s="479" customFormat="1" ht="16.5" x14ac:dyDescent="0.25">
      <c r="A115" s="483"/>
      <c r="B115" s="891" t="s">
        <v>2359</v>
      </c>
      <c r="C115" s="481" t="s">
        <v>3382</v>
      </c>
      <c r="D115" s="880">
        <v>0</v>
      </c>
      <c r="E115" s="895">
        <f t="shared" si="5"/>
        <v>0</v>
      </c>
      <c r="F115" s="413"/>
    </row>
    <row r="116" spans="1:11" s="479" customFormat="1" ht="16.5" x14ac:dyDescent="0.25">
      <c r="A116" s="483"/>
      <c r="B116" s="891" t="s">
        <v>2355</v>
      </c>
      <c r="C116" s="481" t="s">
        <v>3383</v>
      </c>
      <c r="D116" s="880">
        <v>0</v>
      </c>
      <c r="E116" s="895">
        <f t="shared" si="5"/>
        <v>0</v>
      </c>
      <c r="F116" s="413"/>
    </row>
    <row r="117" spans="1:11" s="479" customFormat="1" ht="16.5" x14ac:dyDescent="0.25">
      <c r="A117" s="483"/>
      <c r="B117" s="891" t="s">
        <v>2361</v>
      </c>
      <c r="C117" s="481" t="s">
        <v>3384</v>
      </c>
      <c r="D117" s="880">
        <v>0</v>
      </c>
      <c r="E117" s="895">
        <f t="shared" si="5"/>
        <v>0</v>
      </c>
      <c r="F117" s="413"/>
    </row>
    <row r="118" spans="1:11" s="479" customFormat="1" ht="16.5" x14ac:dyDescent="0.25">
      <c r="A118" s="483"/>
      <c r="B118" s="891" t="s">
        <v>2349</v>
      </c>
      <c r="C118" s="481" t="s">
        <v>3385</v>
      </c>
      <c r="D118" s="880">
        <v>0</v>
      </c>
      <c r="E118" s="895">
        <f t="shared" si="5"/>
        <v>0</v>
      </c>
      <c r="F118" s="413"/>
    </row>
    <row r="119" spans="1:11" x14ac:dyDescent="0.2">
      <c r="A119" s="1062"/>
      <c r="B119" s="892"/>
    </row>
    <row r="120" spans="1:11" ht="18.75" x14ac:dyDescent="0.25">
      <c r="C120" s="1052" t="s">
        <v>3147</v>
      </c>
      <c r="D120" s="1055"/>
      <c r="E120" s="1052"/>
      <c r="G120" s="478"/>
      <c r="H120" s="1060"/>
      <c r="I120" s="1061"/>
      <c r="J120" s="1060"/>
      <c r="K120" s="1061"/>
    </row>
    <row r="121" spans="1:11" ht="18" x14ac:dyDescent="0.25">
      <c r="C121" s="1173" t="s">
        <v>3368</v>
      </c>
      <c r="D121" s="1173"/>
      <c r="E121" s="1173"/>
      <c r="G121" s="478"/>
      <c r="H121" s="1060"/>
      <c r="I121" s="1061"/>
      <c r="J121" s="1060"/>
      <c r="K121" s="1061"/>
    </row>
    <row r="122" spans="1:11" s="479" customFormat="1" x14ac:dyDescent="0.2">
      <c r="B122" s="891" t="s">
        <v>2029</v>
      </c>
      <c r="C122" s="481" t="s">
        <v>3375</v>
      </c>
      <c r="D122" s="880">
        <v>0</v>
      </c>
      <c r="E122" s="895">
        <f t="shared" ref="E122:E132" si="6">ROUNDUP(D122,0)</f>
        <v>0</v>
      </c>
      <c r="F122" s="505"/>
      <c r="G122" s="480"/>
      <c r="H122" s="480"/>
      <c r="I122" s="480"/>
      <c r="J122" s="480"/>
      <c r="K122" s="480"/>
    </row>
    <row r="123" spans="1:11" s="479" customFormat="1" ht="16.5" x14ac:dyDescent="0.25">
      <c r="B123" s="891" t="s">
        <v>2031</v>
      </c>
      <c r="C123" s="481" t="s">
        <v>3376</v>
      </c>
      <c r="D123" s="880">
        <v>0</v>
      </c>
      <c r="E123" s="895">
        <f t="shared" si="6"/>
        <v>0</v>
      </c>
      <c r="F123" s="413"/>
      <c r="G123" s="480"/>
      <c r="H123" s="1060"/>
      <c r="I123" s="1061"/>
      <c r="J123" s="480"/>
    </row>
    <row r="124" spans="1:11" s="479" customFormat="1" ht="16.5" x14ac:dyDescent="0.25">
      <c r="B124" s="891" t="s">
        <v>2358</v>
      </c>
      <c r="C124" s="481" t="s">
        <v>3377</v>
      </c>
      <c r="D124" s="880">
        <v>0</v>
      </c>
      <c r="E124" s="895">
        <f t="shared" si="6"/>
        <v>0</v>
      </c>
      <c r="F124" s="413"/>
      <c r="H124" s="1060"/>
      <c r="I124" s="1061"/>
      <c r="J124" s="480"/>
    </row>
    <row r="125" spans="1:11" s="479" customFormat="1" ht="18" x14ac:dyDescent="0.25">
      <c r="B125" s="891"/>
      <c r="C125" s="1173" t="s">
        <v>3369</v>
      </c>
      <c r="D125" s="1173"/>
      <c r="E125" s="1173"/>
      <c r="F125" s="413"/>
      <c r="H125" s="1060"/>
      <c r="I125" s="1061"/>
      <c r="J125" s="480"/>
    </row>
    <row r="126" spans="1:11" s="479" customFormat="1" ht="16.5" x14ac:dyDescent="0.25">
      <c r="B126" s="891" t="s">
        <v>2353</v>
      </c>
      <c r="C126" s="481" t="s">
        <v>3379</v>
      </c>
      <c r="D126" s="880">
        <v>0</v>
      </c>
      <c r="E126" s="895">
        <f t="shared" si="6"/>
        <v>0</v>
      </c>
      <c r="F126" s="413"/>
      <c r="H126" s="1060"/>
      <c r="J126" s="480"/>
    </row>
    <row r="127" spans="1:11" s="479" customFormat="1" ht="16.5" x14ac:dyDescent="0.25">
      <c r="B127" s="891" t="s">
        <v>2357</v>
      </c>
      <c r="C127" s="481" t="s">
        <v>3380</v>
      </c>
      <c r="D127" s="880">
        <v>0</v>
      </c>
      <c r="E127" s="895">
        <f t="shared" si="6"/>
        <v>0</v>
      </c>
      <c r="F127" s="413"/>
      <c r="H127" s="1060"/>
      <c r="J127" s="480"/>
    </row>
    <row r="128" spans="1:11" s="479" customFormat="1" ht="16.5" x14ac:dyDescent="0.25">
      <c r="B128" s="891" t="s">
        <v>2352</v>
      </c>
      <c r="C128" s="481" t="s">
        <v>3381</v>
      </c>
      <c r="D128" s="880">
        <v>0</v>
      </c>
      <c r="E128" s="895">
        <f t="shared" si="6"/>
        <v>0</v>
      </c>
      <c r="F128" s="413"/>
      <c r="H128" s="1060"/>
      <c r="J128" s="480"/>
    </row>
    <row r="129" spans="2:11" s="479" customFormat="1" ht="16.5" x14ac:dyDescent="0.25">
      <c r="B129" s="891" t="s">
        <v>2359</v>
      </c>
      <c r="C129" s="481" t="s">
        <v>3382</v>
      </c>
      <c r="D129" s="880">
        <v>0</v>
      </c>
      <c r="E129" s="895">
        <f t="shared" si="6"/>
        <v>0</v>
      </c>
      <c r="F129" s="413"/>
      <c r="H129" s="1060"/>
      <c r="J129" s="480"/>
    </row>
    <row r="130" spans="2:11" s="479" customFormat="1" ht="16.5" x14ac:dyDescent="0.25">
      <c r="B130" s="891" t="s">
        <v>2355</v>
      </c>
      <c r="C130" s="481" t="s">
        <v>3383</v>
      </c>
      <c r="D130" s="880">
        <v>0</v>
      </c>
      <c r="E130" s="895">
        <f t="shared" si="6"/>
        <v>0</v>
      </c>
      <c r="F130" s="413"/>
    </row>
    <row r="131" spans="2:11" s="479" customFormat="1" x14ac:dyDescent="0.2">
      <c r="B131" s="891" t="s">
        <v>2361</v>
      </c>
      <c r="C131" s="481" t="s">
        <v>3384</v>
      </c>
      <c r="D131" s="880"/>
      <c r="E131" s="895">
        <f t="shared" si="6"/>
        <v>0</v>
      </c>
      <c r="F131" s="505"/>
    </row>
    <row r="132" spans="2:11" s="479" customFormat="1" x14ac:dyDescent="0.2">
      <c r="B132" s="891" t="s">
        <v>2349</v>
      </c>
      <c r="C132" s="481" t="s">
        <v>3385</v>
      </c>
      <c r="D132" s="880"/>
      <c r="E132" s="895">
        <f t="shared" si="6"/>
        <v>0</v>
      </c>
      <c r="F132" s="505"/>
      <c r="J132" s="480"/>
    </row>
    <row r="133" spans="2:11" s="479" customFormat="1" x14ac:dyDescent="0.2">
      <c r="B133" s="524"/>
      <c r="D133" s="501"/>
    </row>
    <row r="134" spans="2:11" s="479" customFormat="1" x14ac:dyDescent="0.2">
      <c r="B134" s="524"/>
      <c r="C134" s="894" t="s">
        <v>1546</v>
      </c>
      <c r="D134" s="895" t="s">
        <v>13</v>
      </c>
      <c r="E134" s="894" t="s">
        <v>14</v>
      </c>
    </row>
    <row r="135" spans="2:11" s="479" customFormat="1" x14ac:dyDescent="0.2">
      <c r="B135" s="891" t="s">
        <v>2029</v>
      </c>
      <c r="C135" s="893" t="s">
        <v>3375</v>
      </c>
      <c r="D135" s="895">
        <f>+E108+E122</f>
        <v>0</v>
      </c>
      <c r="E135" s="895" t="s">
        <v>1167</v>
      </c>
      <c r="K135" s="480"/>
    </row>
    <row r="136" spans="2:11" s="479" customFormat="1" x14ac:dyDescent="0.2">
      <c r="B136" s="891" t="s">
        <v>2031</v>
      </c>
      <c r="C136" s="893" t="s">
        <v>3376</v>
      </c>
      <c r="D136" s="895">
        <f>+E109+E123</f>
        <v>0</v>
      </c>
      <c r="E136" s="895" t="s">
        <v>1167</v>
      </c>
      <c r="K136" s="480"/>
    </row>
    <row r="137" spans="2:11" s="479" customFormat="1" x14ac:dyDescent="0.2">
      <c r="B137" s="891" t="s">
        <v>2358</v>
      </c>
      <c r="C137" s="893" t="s">
        <v>3377</v>
      </c>
      <c r="D137" s="895">
        <f>+E110+E124</f>
        <v>0</v>
      </c>
      <c r="E137" s="895" t="s">
        <v>1167</v>
      </c>
    </row>
    <row r="138" spans="2:11" s="479" customFormat="1" x14ac:dyDescent="0.2">
      <c r="B138" s="891" t="s">
        <v>2353</v>
      </c>
      <c r="C138" s="893" t="s">
        <v>3379</v>
      </c>
      <c r="D138" s="895">
        <f t="shared" ref="D138:D144" si="7">+D112+D126</f>
        <v>0</v>
      </c>
      <c r="E138" s="895" t="s">
        <v>1167</v>
      </c>
    </row>
    <row r="139" spans="2:11" s="479" customFormat="1" x14ac:dyDescent="0.2">
      <c r="B139" s="891" t="s">
        <v>2357</v>
      </c>
      <c r="C139" s="893" t="s">
        <v>3380</v>
      </c>
      <c r="D139" s="895">
        <f t="shared" si="7"/>
        <v>0</v>
      </c>
      <c r="E139" s="895" t="s">
        <v>1167</v>
      </c>
    </row>
    <row r="140" spans="2:11" s="479" customFormat="1" x14ac:dyDescent="0.2">
      <c r="B140" s="891" t="s">
        <v>2352</v>
      </c>
      <c r="C140" s="893" t="s">
        <v>3381</v>
      </c>
      <c r="D140" s="895">
        <f t="shared" si="7"/>
        <v>0</v>
      </c>
      <c r="E140" s="895" t="s">
        <v>1167</v>
      </c>
    </row>
    <row r="141" spans="2:11" s="479" customFormat="1" x14ac:dyDescent="0.2">
      <c r="B141" s="891" t="s">
        <v>2359</v>
      </c>
      <c r="C141" s="893" t="s">
        <v>3382</v>
      </c>
      <c r="D141" s="895">
        <f t="shared" si="7"/>
        <v>0</v>
      </c>
      <c r="E141" s="895" t="s">
        <v>1167</v>
      </c>
    </row>
    <row r="142" spans="2:11" s="479" customFormat="1" x14ac:dyDescent="0.2">
      <c r="B142" s="891" t="s">
        <v>2355</v>
      </c>
      <c r="C142" s="893" t="s">
        <v>3383</v>
      </c>
      <c r="D142" s="895">
        <f t="shared" si="7"/>
        <v>0</v>
      </c>
      <c r="E142" s="895" t="s">
        <v>1167</v>
      </c>
    </row>
    <row r="143" spans="2:11" s="479" customFormat="1" x14ac:dyDescent="0.2">
      <c r="B143" s="891" t="s">
        <v>2361</v>
      </c>
      <c r="C143" s="893" t="s">
        <v>3384</v>
      </c>
      <c r="D143" s="895">
        <f t="shared" si="7"/>
        <v>0</v>
      </c>
      <c r="E143" s="895" t="s">
        <v>1167</v>
      </c>
    </row>
    <row r="144" spans="2:11" s="479" customFormat="1" x14ac:dyDescent="0.2">
      <c r="B144" s="891" t="s">
        <v>2349</v>
      </c>
      <c r="C144" s="893" t="s">
        <v>3385</v>
      </c>
      <c r="D144" s="895">
        <f t="shared" si="7"/>
        <v>0</v>
      </c>
      <c r="E144" s="895" t="s">
        <v>1167</v>
      </c>
    </row>
    <row r="145" spans="2:7" s="479" customFormat="1" x14ac:dyDescent="0.2">
      <c r="B145" s="891" t="s">
        <v>2286</v>
      </c>
      <c r="C145" s="893" t="str">
        <f>_xlfn.XLOOKUP(B145,'BASE DATOS PRECIOS '!B:B,'BASE DATOS PRECIOS '!E:E,0,0,1)</f>
        <v>PEGAMENTO  PVC AZUL WETBONDING</v>
      </c>
      <c r="D145" s="895">
        <f>IF('1_OG y 2_ACA'!D2=2,5,2)</f>
        <v>2</v>
      </c>
      <c r="E145" s="893" t="str">
        <f>_xlfn.XLOOKUP(B145,'BASE DATOS PRECIOS '!B:B,'BASE DATOS PRECIOS '!F:F,0,0,1)</f>
        <v>1/8 DE GALON</v>
      </c>
    </row>
    <row r="146" spans="2:7" s="479" customFormat="1" x14ac:dyDescent="0.2">
      <c r="B146" s="891" t="s">
        <v>1930</v>
      </c>
      <c r="C146" s="893" t="str">
        <f>_xlfn.XLOOKUP(B146,'BASE DATOS PRECIOS '!B:B,'BASE DATOS PRECIOS '!E:E,0,0,1)</f>
        <v>LAMINA ESTEREOFON 2" 1.22X2.44</v>
      </c>
      <c r="D146" s="895">
        <v>3</v>
      </c>
      <c r="E146" s="893" t="str">
        <f>_xlfn.XLOOKUP(B146,'BASE DATOS PRECIOS '!B:B,'BASE DATOS PRECIOS '!F:F,0,0,1)</f>
        <v>UND</v>
      </c>
    </row>
    <row r="147" spans="2:7" s="479" customFormat="1" x14ac:dyDescent="0.2">
      <c r="B147" s="891" t="s">
        <v>3537</v>
      </c>
      <c r="C147" s="893" t="str">
        <f>_xlfn.XLOOKUP(B147,'BASE DATOS PRECIOS '!B:B,'BASE DATOS PRECIOS '!E:E,0,0,1)</f>
        <v>PINTURA EN SPRAY VERDE FLUORESCENTE</v>
      </c>
      <c r="D147" s="895">
        <v>2</v>
      </c>
      <c r="E147" s="893" t="str">
        <f>_xlfn.XLOOKUP(B147,'BASE DATOS PRECIOS '!B:B,'BASE DATOS PRECIOS '!F:F,0,0,1)</f>
        <v>UND</v>
      </c>
    </row>
    <row r="148" spans="2:7" s="479" customFormat="1" x14ac:dyDescent="0.2">
      <c r="B148" s="891" t="s">
        <v>2501</v>
      </c>
      <c r="C148" s="893" t="str">
        <f>_xlfn.XLOOKUP(B148,'BASE DATOS PRECIOS '!B:B,'BASE DATOS PRECIOS '!E:E,0,0,1)</f>
        <v>ENCHUFE PARA EXTENSION HEMBRA</v>
      </c>
      <c r="D148" s="895">
        <v>1</v>
      </c>
      <c r="E148" s="893" t="str">
        <f>_xlfn.XLOOKUP(B148,'BASE DATOS PRECIOS '!B:B,'BASE DATOS PRECIOS '!F:F,0,0,1)</f>
        <v>UND</v>
      </c>
    </row>
    <row r="149" spans="2:7" s="479" customFormat="1" x14ac:dyDescent="0.2">
      <c r="B149" s="891" t="s">
        <v>3539</v>
      </c>
      <c r="C149" s="893" t="str">
        <f>_xlfn.XLOOKUP(B149,'BASE DATOS PRECIOS '!B:B,'BASE DATOS PRECIOS '!E:E,0,0,1)</f>
        <v>TEFLON CINTA 3/4 (10M)</v>
      </c>
      <c r="D149" s="895">
        <v>4</v>
      </c>
      <c r="E149" s="893" t="str">
        <f>_xlfn.XLOOKUP(B149,'BASE DATOS PRECIOS '!B:B,'BASE DATOS PRECIOS '!F:F,0,0,1)</f>
        <v>UND</v>
      </c>
    </row>
    <row r="150" spans="2:7" s="479" customFormat="1" x14ac:dyDescent="0.2">
      <c r="B150" s="891" t="s">
        <v>2500</v>
      </c>
      <c r="C150" s="893" t="str">
        <f>_xlfn.XLOOKUP(B150,'BASE DATOS PRECIOS '!B:B,'BASE DATOS PRECIOS '!E:E,0,0,1)</f>
        <v>ENCHUFE PARA EXTENSION MACHO</v>
      </c>
      <c r="D150" s="895">
        <v>1</v>
      </c>
      <c r="E150" s="893" t="str">
        <f>_xlfn.XLOOKUP(B150,'BASE DATOS PRECIOS '!B:B,'BASE DATOS PRECIOS '!F:F,0,0,1)</f>
        <v>UND</v>
      </c>
    </row>
    <row r="153" spans="2:7" x14ac:dyDescent="0.2">
      <c r="C153" s="893"/>
      <c r="D153" s="895" t="s">
        <v>1012</v>
      </c>
      <c r="E153" s="893" t="s">
        <v>1013</v>
      </c>
      <c r="F153" s="894" t="s">
        <v>1657</v>
      </c>
    </row>
    <row r="154" spans="2:7" x14ac:dyDescent="0.2">
      <c r="C154" s="893" t="s">
        <v>3401</v>
      </c>
      <c r="D154" s="898">
        <f>+'1_OG y 2_ACA'!D158</f>
        <v>600</v>
      </c>
      <c r="E154" s="1057">
        <f>+SUM(D108:D110,D122:D124)*D154</f>
        <v>0</v>
      </c>
      <c r="F154" s="895">
        <f>+E154/'COSTOS MO CUADRILLA'!K74</f>
        <v>0</v>
      </c>
      <c r="G154" s="624"/>
    </row>
    <row r="155" spans="2:7" x14ac:dyDescent="0.2">
      <c r="C155" s="893" t="s">
        <v>3402</v>
      </c>
      <c r="D155" s="898">
        <f>+'1_OG y 2_ACA'!D159</f>
        <v>485</v>
      </c>
      <c r="E155" s="1057">
        <f>+SUM(D112:D118,D126:D132)*D155</f>
        <v>0</v>
      </c>
      <c r="F155" s="895">
        <f>+E155/'COSTOS MO CUADRILLA'!K74</f>
        <v>0</v>
      </c>
    </row>
    <row r="156" spans="2:7" x14ac:dyDescent="0.2">
      <c r="C156" s="893"/>
      <c r="D156" s="895" t="s">
        <v>1016</v>
      </c>
      <c r="E156" s="1057">
        <f>SUM(E154:E155)</f>
        <v>0</v>
      </c>
      <c r="F156" s="895">
        <f>+E156/'COSTOS MO CUADRILLA'!K74</f>
        <v>0</v>
      </c>
    </row>
    <row r="157" spans="2:7" x14ac:dyDescent="0.2">
      <c r="C157" s="420"/>
      <c r="D157" s="420"/>
      <c r="E157" s="420"/>
      <c r="F157" s="420"/>
    </row>
    <row r="158" spans="2:7" x14ac:dyDescent="0.2">
      <c r="C158" s="420"/>
      <c r="D158" s="633"/>
      <c r="E158" s="420"/>
      <c r="F158" s="420"/>
    </row>
    <row r="159" spans="2:7" ht="21" x14ac:dyDescent="0.2">
      <c r="C159" s="471" t="s">
        <v>2084</v>
      </c>
      <c r="D159" s="630" t="s">
        <v>242</v>
      </c>
      <c r="E159" s="473"/>
    </row>
    <row r="161" spans="2:6" s="479" customFormat="1" ht="16.5" x14ac:dyDescent="0.25">
      <c r="B161" s="524"/>
      <c r="C161" s="485" t="s">
        <v>1546</v>
      </c>
      <c r="D161" s="498" t="s">
        <v>13</v>
      </c>
      <c r="E161" s="485" t="s">
        <v>14</v>
      </c>
      <c r="F161" s="413"/>
    </row>
    <row r="162" spans="2:6" s="479" customFormat="1" x14ac:dyDescent="0.2">
      <c r="B162" s="524"/>
      <c r="C162" s="481" t="s">
        <v>3387</v>
      </c>
      <c r="D162" s="880">
        <v>4</v>
      </c>
      <c r="E162" s="498" t="s">
        <v>1167</v>
      </c>
      <c r="F162" s="499"/>
    </row>
    <row r="163" spans="2:6" s="479" customFormat="1" x14ac:dyDescent="0.2">
      <c r="B163" s="524"/>
      <c r="C163" s="481" t="s">
        <v>3388</v>
      </c>
      <c r="D163" s="880">
        <v>1</v>
      </c>
      <c r="E163" s="498"/>
      <c r="F163" s="499"/>
    </row>
    <row r="164" spans="2:6" s="479" customFormat="1" x14ac:dyDescent="0.2">
      <c r="B164" s="524"/>
      <c r="C164" s="893" t="s">
        <v>1727</v>
      </c>
      <c r="D164" s="895">
        <f>+D162*(2*(0.83*0.06*0.45)+3*(0.32*0.06*0.45)+(0.83*0.05*0.44))+D163*((4*(0.32*0.06*0.25))+(0.32*0.32*0.05))</f>
        <v>0.38031999999999999</v>
      </c>
      <c r="E164" s="895" t="s">
        <v>1010</v>
      </c>
      <c r="F164" s="499"/>
    </row>
    <row r="166" spans="2:6" s="479" customFormat="1" x14ac:dyDescent="0.2">
      <c r="B166" s="524"/>
      <c r="C166" s="894" t="s">
        <v>1546</v>
      </c>
      <c r="D166" s="895" t="s">
        <v>13</v>
      </c>
      <c r="E166" s="894" t="s">
        <v>14</v>
      </c>
      <c r="F166" s="499"/>
    </row>
    <row r="167" spans="2:6" s="479" customFormat="1" ht="16.5" x14ac:dyDescent="0.25">
      <c r="B167" s="946" t="s">
        <v>2334</v>
      </c>
      <c r="C167" s="893" t="s">
        <v>3340</v>
      </c>
      <c r="D167" s="895">
        <v>1</v>
      </c>
      <c r="E167" s="895" t="s">
        <v>1167</v>
      </c>
      <c r="F167" s="413"/>
    </row>
    <row r="168" spans="2:6" s="479" customFormat="1" ht="16.5" x14ac:dyDescent="0.25">
      <c r="B168" s="946" t="s">
        <v>1984</v>
      </c>
      <c r="C168" s="893" t="s">
        <v>3341</v>
      </c>
      <c r="D168" s="895">
        <v>3</v>
      </c>
      <c r="E168" s="895" t="s">
        <v>1167</v>
      </c>
      <c r="F168" s="413"/>
    </row>
    <row r="169" spans="2:6" s="479" customFormat="1" x14ac:dyDescent="0.2">
      <c r="B169" s="946" t="s">
        <v>2184</v>
      </c>
      <c r="C169" s="893" t="s">
        <v>3342</v>
      </c>
      <c r="D169" s="895">
        <f>+ROUNDUP((D164*'1_OG y 2_ACA'!D104),0)</f>
        <v>127</v>
      </c>
      <c r="E169" s="895" t="s">
        <v>1411</v>
      </c>
      <c r="F169" s="499"/>
    </row>
    <row r="170" spans="2:6" s="479" customFormat="1" x14ac:dyDescent="0.2">
      <c r="B170" s="946" t="s">
        <v>1917</v>
      </c>
      <c r="C170" s="893" t="s">
        <v>3343</v>
      </c>
      <c r="D170" s="895">
        <f>ROUNDUP($D$164*'1_OG y 2_ACA'!D103,2)</f>
        <v>0.24000000000000002</v>
      </c>
      <c r="E170" s="895" t="s">
        <v>1010</v>
      </c>
      <c r="F170" s="499"/>
    </row>
    <row r="171" spans="2:6" s="479" customFormat="1" x14ac:dyDescent="0.2">
      <c r="B171" s="946" t="s">
        <v>1914</v>
      </c>
      <c r="C171" s="893" t="s">
        <v>3344</v>
      </c>
      <c r="D171" s="895">
        <f>ROUNDUP($D$164*'1_OG y 2_ACA'!D102,2)</f>
        <v>0.23</v>
      </c>
      <c r="E171" s="895" t="s">
        <v>1010</v>
      </c>
      <c r="F171" s="499"/>
    </row>
    <row r="172" spans="2:6" s="479" customFormat="1" x14ac:dyDescent="0.2">
      <c r="B172" s="525"/>
      <c r="C172" s="525"/>
      <c r="D172" s="525"/>
      <c r="E172" s="525"/>
      <c r="F172" s="499"/>
    </row>
    <row r="173" spans="2:6" s="479" customFormat="1" x14ac:dyDescent="0.2">
      <c r="B173" s="525"/>
      <c r="C173" s="525"/>
      <c r="D173" s="525"/>
      <c r="E173" s="525"/>
      <c r="F173" s="499"/>
    </row>
    <row r="174" spans="2:6" s="479" customFormat="1" ht="18.75" x14ac:dyDescent="0.25">
      <c r="B174" s="524"/>
      <c r="C174" s="1052" t="s">
        <v>3712</v>
      </c>
      <c r="D174" s="1055"/>
      <c r="E174" s="1052"/>
      <c r="F174" s="635"/>
    </row>
    <row r="175" spans="2:6" s="479" customFormat="1" ht="18" x14ac:dyDescent="0.25">
      <c r="B175" s="524"/>
      <c r="C175" s="1173" t="s">
        <v>3368</v>
      </c>
      <c r="D175" s="1173"/>
      <c r="E175" s="1173"/>
    </row>
    <row r="176" spans="2:6" s="479" customFormat="1" ht="16.5" x14ac:dyDescent="0.25">
      <c r="B176" s="891" t="s">
        <v>2032</v>
      </c>
      <c r="C176" s="481" t="s">
        <v>1498</v>
      </c>
      <c r="D176" s="880">
        <f>23.9+10</f>
        <v>33.9</v>
      </c>
      <c r="E176" s="895">
        <f>ROUNDUP(D176/6,0)</f>
        <v>6</v>
      </c>
      <c r="F176" s="423"/>
    </row>
    <row r="177" spans="2:10" s="479" customFormat="1" ht="16.5" x14ac:dyDescent="0.25">
      <c r="B177" s="891" t="s">
        <v>2116</v>
      </c>
      <c r="C177" s="481" t="s">
        <v>3360</v>
      </c>
      <c r="D177" s="880">
        <v>0</v>
      </c>
      <c r="E177" s="895">
        <f>ROUNDUP(D177/6,0)</f>
        <v>0</v>
      </c>
      <c r="F177" s="423"/>
    </row>
    <row r="178" spans="2:10" s="479" customFormat="1" ht="18" x14ac:dyDescent="0.25">
      <c r="B178" s="891"/>
      <c r="C178" s="1174" t="s">
        <v>3369</v>
      </c>
      <c r="D178" s="1174"/>
      <c r="E178" s="1174"/>
    </row>
    <row r="179" spans="2:10" s="479" customFormat="1" ht="16.5" x14ac:dyDescent="0.25">
      <c r="B179" s="891" t="s">
        <v>2783</v>
      </c>
      <c r="C179" s="481" t="s">
        <v>3109</v>
      </c>
      <c r="D179" s="880"/>
      <c r="E179" s="895">
        <f t="shared" ref="E179:E185" si="8">ROUNDUP(D179,0)</f>
        <v>0</v>
      </c>
      <c r="F179" s="423"/>
    </row>
    <row r="180" spans="2:10" s="479" customFormat="1" ht="16.5" x14ac:dyDescent="0.25">
      <c r="B180" s="891" t="s">
        <v>2209</v>
      </c>
      <c r="C180" s="481" t="s">
        <v>1499</v>
      </c>
      <c r="D180" s="880">
        <v>8</v>
      </c>
      <c r="E180" s="895">
        <f t="shared" si="8"/>
        <v>8</v>
      </c>
      <c r="F180" s="423"/>
    </row>
    <row r="181" spans="2:10" s="479" customFormat="1" ht="16.5" x14ac:dyDescent="0.25">
      <c r="B181" s="891" t="s">
        <v>2781</v>
      </c>
      <c r="C181" s="481" t="s">
        <v>3361</v>
      </c>
      <c r="D181" s="880"/>
      <c r="E181" s="895">
        <f t="shared" si="8"/>
        <v>0</v>
      </c>
      <c r="F181" s="423"/>
    </row>
    <row r="182" spans="2:10" s="479" customFormat="1" ht="16.5" x14ac:dyDescent="0.25">
      <c r="B182" s="891" t="s">
        <v>2351</v>
      </c>
      <c r="C182" s="481" t="s">
        <v>3362</v>
      </c>
      <c r="D182" s="880">
        <v>0</v>
      </c>
      <c r="E182" s="895">
        <f t="shared" si="8"/>
        <v>0</v>
      </c>
      <c r="F182" s="423"/>
      <c r="J182" s="480"/>
    </row>
    <row r="183" spans="2:10" s="479" customFormat="1" ht="16.5" x14ac:dyDescent="0.25">
      <c r="B183" s="891" t="s">
        <v>2345</v>
      </c>
      <c r="C183" s="481" t="s">
        <v>1500</v>
      </c>
      <c r="D183" s="880">
        <v>2</v>
      </c>
      <c r="E183" s="895">
        <f t="shared" si="8"/>
        <v>2</v>
      </c>
      <c r="F183" s="423"/>
      <c r="J183" s="480"/>
    </row>
    <row r="184" spans="2:10" s="479" customFormat="1" ht="16.5" x14ac:dyDescent="0.25">
      <c r="B184" s="891" t="s">
        <v>2018</v>
      </c>
      <c r="C184" s="481" t="s">
        <v>3364</v>
      </c>
      <c r="D184" s="880"/>
      <c r="E184" s="895">
        <f t="shared" si="8"/>
        <v>0</v>
      </c>
      <c r="F184" s="423"/>
      <c r="J184" s="480"/>
    </row>
    <row r="185" spans="2:10" s="479" customFormat="1" ht="16.5" x14ac:dyDescent="0.25">
      <c r="B185" s="891" t="s">
        <v>2350</v>
      </c>
      <c r="C185" s="481" t="s">
        <v>3365</v>
      </c>
      <c r="D185" s="880">
        <v>0</v>
      </c>
      <c r="E185" s="895">
        <f t="shared" si="8"/>
        <v>0</v>
      </c>
      <c r="F185" s="423"/>
      <c r="J185" s="480"/>
    </row>
    <row r="186" spans="2:10" s="479" customFormat="1" x14ac:dyDescent="0.2">
      <c r="B186" s="891"/>
      <c r="D186" s="523"/>
      <c r="E186" s="523"/>
      <c r="F186" s="499"/>
      <c r="J186" s="480"/>
    </row>
    <row r="187" spans="2:10" s="479" customFormat="1" x14ac:dyDescent="0.2">
      <c r="B187" s="891"/>
      <c r="C187" s="893"/>
      <c r="D187" s="895" t="s">
        <v>1012</v>
      </c>
      <c r="E187" s="893" t="s">
        <v>1013</v>
      </c>
      <c r="F187" s="894" t="s">
        <v>1657</v>
      </c>
      <c r="G187" s="624"/>
      <c r="H187" s="1158"/>
      <c r="I187" s="1158"/>
      <c r="J187" s="1158"/>
    </row>
    <row r="188" spans="2:10" s="479" customFormat="1" x14ac:dyDescent="0.2">
      <c r="B188" s="524"/>
      <c r="C188" s="947" t="s">
        <v>1840</v>
      </c>
      <c r="D188" s="898">
        <f>+'1_OG y 2_ACA'!D202</f>
        <v>12000</v>
      </c>
      <c r="E188" s="1057">
        <f>+D188*(D162+D163+D167+D168)</f>
        <v>108000</v>
      </c>
      <c r="F188" s="895">
        <f>+E188/'COSTOS MO CUADRILLA'!K75</f>
        <v>38.181818181818187</v>
      </c>
      <c r="G188" s="624"/>
    </row>
    <row r="189" spans="2:10" s="479" customFormat="1" x14ac:dyDescent="0.2">
      <c r="B189" s="524"/>
      <c r="C189" s="893" t="s">
        <v>3401</v>
      </c>
      <c r="D189" s="898">
        <f>+'1_OG y 2_ACA'!D203</f>
        <v>2000</v>
      </c>
      <c r="E189" s="1057">
        <f>+SUM(D142:D144,D176:D177)*D189</f>
        <v>67800</v>
      </c>
      <c r="F189" s="895">
        <f>+E189/'COSTOS MO CUADRILLA'!K75</f>
        <v>23.969696969696972</v>
      </c>
      <c r="G189" s="624"/>
    </row>
    <row r="190" spans="2:10" s="479" customFormat="1" x14ac:dyDescent="0.2">
      <c r="B190" s="524"/>
      <c r="C190" s="893" t="s">
        <v>3402</v>
      </c>
      <c r="D190" s="898">
        <f>+'1_OG y 2_ACA'!D204</f>
        <v>2000</v>
      </c>
      <c r="E190" s="1057">
        <f>+SUM(D179:D185)*D190</f>
        <v>20000</v>
      </c>
      <c r="F190" s="895">
        <f>+E190/'COSTOS MO CUADRILLA'!K75</f>
        <v>7.0707070707070709</v>
      </c>
      <c r="G190" s="624"/>
    </row>
    <row r="191" spans="2:10" s="479" customFormat="1" x14ac:dyDescent="0.2">
      <c r="B191" s="524"/>
      <c r="C191" s="893"/>
      <c r="D191" s="895" t="s">
        <v>1016</v>
      </c>
      <c r="E191" s="1057">
        <f>SUM(E188:E190)</f>
        <v>195800</v>
      </c>
      <c r="F191" s="895">
        <f>+E191/'COSTOS MO CUADRILLA'!K75</f>
        <v>69.222222222222229</v>
      </c>
    </row>
    <row r="192" spans="2:10" s="479" customFormat="1" x14ac:dyDescent="0.2">
      <c r="B192" s="524"/>
      <c r="C192" s="524"/>
      <c r="D192" s="632"/>
      <c r="E192" s="524"/>
      <c r="F192" s="524"/>
      <c r="G192" s="524"/>
    </row>
    <row r="193" spans="2:10" s="479" customFormat="1" x14ac:dyDescent="0.2">
      <c r="B193" s="524"/>
      <c r="C193" s="524"/>
      <c r="D193" s="524"/>
      <c r="E193" s="524"/>
      <c r="F193" s="524"/>
    </row>
    <row r="194" spans="2:10" ht="21" x14ac:dyDescent="0.2">
      <c r="C194" s="471" t="s">
        <v>3390</v>
      </c>
      <c r="D194" s="630" t="s">
        <v>1441</v>
      </c>
      <c r="E194" s="473"/>
    </row>
    <row r="196" spans="2:10" s="479" customFormat="1" x14ac:dyDescent="0.2">
      <c r="B196" s="891"/>
      <c r="C196" s="894" t="s">
        <v>1546</v>
      </c>
      <c r="D196" s="895" t="s">
        <v>13</v>
      </c>
      <c r="E196" s="894" t="s">
        <v>14</v>
      </c>
    </row>
    <row r="197" spans="2:10" s="479" customFormat="1" ht="16.5" x14ac:dyDescent="0.25">
      <c r="B197" s="891" t="s">
        <v>2336</v>
      </c>
      <c r="C197" s="893" t="s">
        <v>1842</v>
      </c>
      <c r="D197" s="895">
        <f>+D11*2+D12*2+D13*2</f>
        <v>6</v>
      </c>
      <c r="E197" s="895" t="s">
        <v>1167</v>
      </c>
      <c r="F197" s="413"/>
    </row>
    <row r="198" spans="2:10" s="479" customFormat="1" ht="16.5" x14ac:dyDescent="0.25">
      <c r="B198" s="891" t="s">
        <v>2337</v>
      </c>
      <c r="C198" s="893" t="s">
        <v>1843</v>
      </c>
      <c r="D198" s="895">
        <f>+D197</f>
        <v>6</v>
      </c>
      <c r="E198" s="895" t="s">
        <v>1167</v>
      </c>
      <c r="F198" s="413"/>
    </row>
    <row r="199" spans="2:10" s="479" customFormat="1" ht="16.5" x14ac:dyDescent="0.25">
      <c r="B199" s="891" t="s">
        <v>2338</v>
      </c>
      <c r="C199" s="893" t="s">
        <v>1844</v>
      </c>
      <c r="D199" s="895">
        <f>+D11*5+D12*5+D13*3</f>
        <v>13</v>
      </c>
      <c r="E199" s="895" t="s">
        <v>1167</v>
      </c>
      <c r="F199" s="413"/>
    </row>
    <row r="200" spans="2:10" s="479" customFormat="1" ht="16.5" x14ac:dyDescent="0.25">
      <c r="B200" s="891" t="s">
        <v>2339</v>
      </c>
      <c r="C200" s="893" t="s">
        <v>1845</v>
      </c>
      <c r="D200" s="895">
        <f>+D201</f>
        <v>3</v>
      </c>
      <c r="E200" s="895" t="s">
        <v>1167</v>
      </c>
      <c r="F200" s="413"/>
    </row>
    <row r="201" spans="2:10" s="479" customFormat="1" ht="16.5" x14ac:dyDescent="0.25">
      <c r="B201" s="891" t="s">
        <v>2025</v>
      </c>
      <c r="C201" s="893" t="s">
        <v>1846</v>
      </c>
      <c r="D201" s="895">
        <f>+D205</f>
        <v>3</v>
      </c>
      <c r="E201" s="895" t="s">
        <v>1167</v>
      </c>
      <c r="F201" s="413"/>
    </row>
    <row r="202" spans="2:10" s="479" customFormat="1" ht="16.5" x14ac:dyDescent="0.25">
      <c r="B202" s="891" t="s">
        <v>2340</v>
      </c>
      <c r="C202" s="893" t="s">
        <v>1847</v>
      </c>
      <c r="D202" s="895">
        <f>+D205</f>
        <v>3</v>
      </c>
      <c r="E202" s="895" t="s">
        <v>1167</v>
      </c>
      <c r="F202" s="413"/>
    </row>
    <row r="203" spans="2:10" s="479" customFormat="1" ht="16.5" x14ac:dyDescent="0.25">
      <c r="B203" s="891" t="s">
        <v>2341</v>
      </c>
      <c r="C203" s="893" t="s">
        <v>1848</v>
      </c>
      <c r="D203" s="895">
        <f>+D198</f>
        <v>6</v>
      </c>
      <c r="E203" s="895" t="s">
        <v>1167</v>
      </c>
      <c r="F203" s="413"/>
    </row>
    <row r="204" spans="2:10" s="479" customFormat="1" ht="16.5" x14ac:dyDescent="0.25">
      <c r="B204" s="891" t="s">
        <v>2113</v>
      </c>
      <c r="C204" s="893" t="s">
        <v>1849</v>
      </c>
      <c r="D204" s="895">
        <v>1</v>
      </c>
      <c r="E204" s="895" t="s">
        <v>1167</v>
      </c>
      <c r="F204" s="413"/>
    </row>
    <row r="205" spans="2:10" s="479" customFormat="1" ht="16.5" x14ac:dyDescent="0.25">
      <c r="B205" s="891" t="s">
        <v>2342</v>
      </c>
      <c r="C205" s="893" t="s">
        <v>1850</v>
      </c>
      <c r="D205" s="895">
        <f>+D206</f>
        <v>3</v>
      </c>
      <c r="E205" s="895" t="s">
        <v>1167</v>
      </c>
      <c r="F205" s="413"/>
    </row>
    <row r="206" spans="2:10" s="479" customFormat="1" ht="16.5" x14ac:dyDescent="0.25">
      <c r="B206" s="891" t="s">
        <v>2343</v>
      </c>
      <c r="C206" s="893" t="s">
        <v>1851</v>
      </c>
      <c r="D206" s="895">
        <f>+D198/2</f>
        <v>3</v>
      </c>
      <c r="E206" s="895" t="s">
        <v>1167</v>
      </c>
      <c r="F206" s="413"/>
    </row>
    <row r="208" spans="2:10" s="479" customFormat="1" x14ac:dyDescent="0.2">
      <c r="B208" s="524"/>
      <c r="C208" s="893"/>
      <c r="D208" s="895" t="s">
        <v>1012</v>
      </c>
      <c r="E208" s="893" t="s">
        <v>1013</v>
      </c>
      <c r="F208" s="894" t="s">
        <v>1657</v>
      </c>
      <c r="H208" s="1158"/>
      <c r="I208" s="1158"/>
      <c r="J208" s="1158"/>
    </row>
    <row r="209" spans="2:10" s="479" customFormat="1" x14ac:dyDescent="0.2">
      <c r="B209" s="524"/>
      <c r="C209" s="947" t="s">
        <v>3445</v>
      </c>
      <c r="D209" s="898">
        <f>+'1_OG y 2_ACA'!D206</f>
        <v>25000</v>
      </c>
      <c r="E209" s="1057">
        <f>+D209*SUM(D11:D13)</f>
        <v>75000</v>
      </c>
      <c r="F209" s="895">
        <f>+E209/'COSTOS MO CUADRILLA'!K76</f>
        <v>26.515151515151516</v>
      </c>
      <c r="G209" s="624"/>
      <c r="H209" s="480"/>
      <c r="J209" s="480"/>
    </row>
    <row r="210" spans="2:10" s="479" customFormat="1" x14ac:dyDescent="0.2">
      <c r="B210" s="524"/>
      <c r="C210" s="893"/>
      <c r="D210" s="895" t="s">
        <v>1016</v>
      </c>
      <c r="E210" s="1057">
        <f>SUM(E209:E209)</f>
        <v>75000</v>
      </c>
      <c r="F210" s="895">
        <f>+E210/'COSTOS MO CUADRILLA'!K76</f>
        <v>26.515151515151516</v>
      </c>
      <c r="G210" s="480"/>
      <c r="H210" s="480"/>
      <c r="I210" s="495"/>
      <c r="J210" s="496"/>
    </row>
    <row r="211" spans="2:10" ht="16.5" x14ac:dyDescent="0.25">
      <c r="B211" s="557"/>
      <c r="C211" s="99"/>
      <c r="D211" s="99"/>
      <c r="E211" s="99"/>
      <c r="F211" s="413"/>
    </row>
    <row r="212" spans="2:10" s="479" customFormat="1" x14ac:dyDescent="0.2">
      <c r="B212" s="524"/>
      <c r="D212" s="501"/>
    </row>
    <row r="213" spans="2:10" s="479" customFormat="1" ht="21" x14ac:dyDescent="0.2">
      <c r="B213" s="524"/>
      <c r="C213" s="471" t="s">
        <v>3449</v>
      </c>
      <c r="D213" s="630" t="s">
        <v>3386</v>
      </c>
    </row>
    <row r="215" spans="2:10" s="479" customFormat="1" x14ac:dyDescent="0.2">
      <c r="B215" s="524"/>
      <c r="C215" s="894" t="s">
        <v>1546</v>
      </c>
      <c r="D215" s="895" t="s">
        <v>13</v>
      </c>
      <c r="E215" s="894" t="s">
        <v>14</v>
      </c>
      <c r="H215" s="480"/>
      <c r="J215" s="496"/>
    </row>
    <row r="216" spans="2:10" s="479" customFormat="1" ht="27.75" x14ac:dyDescent="0.2">
      <c r="B216" s="946" t="s">
        <v>2013</v>
      </c>
      <c r="C216" s="1063" t="s">
        <v>3345</v>
      </c>
      <c r="D216" s="897">
        <v>1</v>
      </c>
      <c r="E216" s="897" t="s">
        <v>1167</v>
      </c>
      <c r="F216" s="499"/>
      <c r="J216" s="480"/>
    </row>
    <row r="217" spans="2:10" s="479" customFormat="1" x14ac:dyDescent="0.2">
      <c r="B217" s="946" t="s">
        <v>2335</v>
      </c>
      <c r="C217" s="903" t="s">
        <v>3346</v>
      </c>
      <c r="D217" s="897">
        <v>1</v>
      </c>
      <c r="E217" s="897" t="s">
        <v>1167</v>
      </c>
      <c r="F217" s="499"/>
      <c r="J217" s="480"/>
    </row>
    <row r="218" spans="2:10" s="479" customFormat="1" ht="27.75" x14ac:dyDescent="0.2">
      <c r="B218" s="946" t="s">
        <v>2014</v>
      </c>
      <c r="C218" s="1063" t="s">
        <v>3347</v>
      </c>
      <c r="D218" s="897">
        <v>1</v>
      </c>
      <c r="E218" s="897" t="s">
        <v>1167</v>
      </c>
      <c r="F218" s="499"/>
      <c r="J218" s="480"/>
    </row>
    <row r="219" spans="2:10" s="479" customFormat="1" x14ac:dyDescent="0.2">
      <c r="B219" s="946" t="s">
        <v>2186</v>
      </c>
      <c r="C219" s="903" t="s">
        <v>3348</v>
      </c>
      <c r="D219" s="897">
        <f>+D162</f>
        <v>4</v>
      </c>
      <c r="E219" s="897" t="s">
        <v>1167</v>
      </c>
      <c r="F219" s="499"/>
      <c r="J219" s="480"/>
    </row>
    <row r="220" spans="2:10" x14ac:dyDescent="0.2">
      <c r="B220" s="892"/>
      <c r="E220" s="315"/>
    </row>
    <row r="221" spans="2:10" s="479" customFormat="1" x14ac:dyDescent="0.2">
      <c r="B221" s="524"/>
      <c r="C221" s="893"/>
      <c r="D221" s="895" t="s">
        <v>1012</v>
      </c>
      <c r="E221" s="893" t="s">
        <v>1013</v>
      </c>
      <c r="F221" s="894" t="s">
        <v>1657</v>
      </c>
      <c r="H221" s="1158"/>
      <c r="I221" s="1158"/>
      <c r="J221" s="1158"/>
    </row>
    <row r="222" spans="2:10" s="479" customFormat="1" x14ac:dyDescent="0.2">
      <c r="B222" s="524"/>
      <c r="C222" s="947" t="s">
        <v>3446</v>
      </c>
      <c r="D222" s="898">
        <f>+'1_OG y 2_ACA'!D207</f>
        <v>15000</v>
      </c>
      <c r="E222" s="1057">
        <f>+D222*SUM(D216:D219)</f>
        <v>105000</v>
      </c>
      <c r="F222" s="895">
        <f>+E222/'COSTOS MO CUADRILLA'!K77</f>
        <v>37.121212121212125</v>
      </c>
      <c r="G222" s="624"/>
      <c r="H222" s="480"/>
      <c r="J222" s="480"/>
    </row>
    <row r="223" spans="2:10" s="479" customFormat="1" x14ac:dyDescent="0.2">
      <c r="B223" s="524"/>
      <c r="C223" s="893"/>
      <c r="D223" s="895" t="s">
        <v>1016</v>
      </c>
      <c r="E223" s="1057">
        <f>SUM(E222:E222)</f>
        <v>105000</v>
      </c>
      <c r="F223" s="895">
        <f>+E223/'COSTOS MO CUADRILLA'!K77</f>
        <v>37.121212121212125</v>
      </c>
      <c r="G223" s="480"/>
      <c r="H223" s="480"/>
      <c r="I223" s="495"/>
      <c r="J223" s="496"/>
    </row>
  </sheetData>
  <mergeCells count="17">
    <mergeCell ref="C121:E121"/>
    <mergeCell ref="C125:E125"/>
    <mergeCell ref="C69:E69"/>
    <mergeCell ref="C86:E86"/>
    <mergeCell ref="C89:E89"/>
    <mergeCell ref="C107:E107"/>
    <mergeCell ref="C111:E111"/>
    <mergeCell ref="C22:E22"/>
    <mergeCell ref="C18:E18"/>
    <mergeCell ref="C44:E44"/>
    <mergeCell ref="C47:E47"/>
    <mergeCell ref="C66:E66"/>
    <mergeCell ref="C175:E175"/>
    <mergeCell ref="C178:E178"/>
    <mergeCell ref="H187:J187"/>
    <mergeCell ref="H208:J208"/>
    <mergeCell ref="H221:J22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F5BCB-DB2A-4D5F-AA22-4E1E57BC243F}">
  <dimension ref="B3:H336"/>
  <sheetViews>
    <sheetView showGridLines="0" zoomScale="85" zoomScaleNormal="85" workbookViewId="0">
      <selection activeCell="D11" sqref="D11"/>
    </sheetView>
  </sheetViews>
  <sheetFormatPr defaultColWidth="11.43359375" defaultRowHeight="15" x14ac:dyDescent="0.2"/>
  <cols>
    <col min="2" max="2" width="6.3203125" style="1065" customWidth="1"/>
    <col min="3" max="3" width="33.62890625" customWidth="1"/>
    <col min="4" max="4" width="42.640625" bestFit="1" customWidth="1"/>
    <col min="5" max="5" width="16.54296875" customWidth="1"/>
    <col min="6" max="6" width="27.44140625" customWidth="1"/>
    <col min="7" max="7" width="32.5546875" customWidth="1"/>
    <col min="8" max="8" width="18.29296875" hidden="1" customWidth="1"/>
    <col min="9" max="9" width="18.0234375" customWidth="1"/>
    <col min="10" max="10" width="13.98828125" bestFit="1" customWidth="1"/>
  </cols>
  <sheetData>
    <row r="3" spans="2:6" ht="33" x14ac:dyDescent="0.45">
      <c r="C3" s="552" t="s">
        <v>2137</v>
      </c>
      <c r="D3" s="555" t="str">
        <f>'1_OG y 2_ACA'!D3</f>
        <v>Modelo Casa</v>
      </c>
      <c r="E3" s="555" t="str">
        <f>'1_OG y 2_ACA'!E3</f>
        <v>VN-L.32</v>
      </c>
    </row>
    <row r="5" spans="2:6" ht="21" x14ac:dyDescent="0.2">
      <c r="C5" s="474">
        <v>3</v>
      </c>
      <c r="D5" s="474" t="s">
        <v>2071</v>
      </c>
    </row>
    <row r="7" spans="2:6" ht="21" x14ac:dyDescent="0.2">
      <c r="C7" s="470">
        <v>3.1</v>
      </c>
      <c r="D7" s="475" t="s">
        <v>227</v>
      </c>
    </row>
    <row r="8" spans="2:6" ht="21" x14ac:dyDescent="0.3">
      <c r="C8" s="476"/>
      <c r="D8" s="476"/>
    </row>
    <row r="9" spans="2:6" ht="21" x14ac:dyDescent="0.2">
      <c r="C9" s="471" t="s">
        <v>2072</v>
      </c>
      <c r="D9" s="472" t="s">
        <v>3274</v>
      </c>
    </row>
    <row r="11" spans="2:6" x14ac:dyDescent="0.2">
      <c r="C11" s="118" t="s">
        <v>3781</v>
      </c>
      <c r="D11" s="912" t="s">
        <v>3456</v>
      </c>
    </row>
    <row r="13" spans="2:6" ht="18.75" x14ac:dyDescent="0.25">
      <c r="C13" s="477" t="s">
        <v>1658</v>
      </c>
      <c r="D13" s="477"/>
      <c r="E13" s="477"/>
    </row>
    <row r="14" spans="2:6" ht="16.5" x14ac:dyDescent="0.25">
      <c r="B14" s="891" t="s">
        <v>1993</v>
      </c>
      <c r="C14" s="481" t="s">
        <v>3023</v>
      </c>
      <c r="D14" s="1071">
        <f>IFERROR(_xlfn.XLOOKUP($D$11,ELEC!$F$5:$AV$5,ELEC!F6:AV6,0,0,1),0)</f>
        <v>1</v>
      </c>
      <c r="E14" s="895">
        <f>ROUNDUP(D14,0)</f>
        <v>1</v>
      </c>
      <c r="F14" s="423"/>
    </row>
    <row r="15" spans="2:6" ht="16.5" x14ac:dyDescent="0.25">
      <c r="B15" s="891" t="s">
        <v>1994</v>
      </c>
      <c r="C15" s="481" t="s">
        <v>3024</v>
      </c>
      <c r="D15" s="1071">
        <f>IFERROR(_xlfn.XLOOKUP($D$11,ELEC!$F$5:$AV$5,ELEC!F7:AV7,0,0,1),0)</f>
        <v>3</v>
      </c>
      <c r="E15" s="895">
        <f t="shared" ref="E15:E33" si="0">ROUNDUP(D15,0)</f>
        <v>3</v>
      </c>
      <c r="F15" s="423"/>
    </row>
    <row r="16" spans="2:6" ht="16.5" x14ac:dyDescent="0.25">
      <c r="B16" s="891" t="s">
        <v>1992</v>
      </c>
      <c r="C16" s="481" t="s">
        <v>3025</v>
      </c>
      <c r="D16" s="1071">
        <f>IFERROR(_xlfn.XLOOKUP($D$11,ELEC!$F$5:$AV$5,ELEC!F8:AV8,0,0,1),0)</f>
        <v>45</v>
      </c>
      <c r="E16" s="895">
        <f t="shared" si="0"/>
        <v>45</v>
      </c>
      <c r="F16" s="423"/>
    </row>
    <row r="17" spans="2:8" ht="16.5" x14ac:dyDescent="0.25">
      <c r="B17" s="891" t="s">
        <v>1998</v>
      </c>
      <c r="C17" s="481" t="s">
        <v>3026</v>
      </c>
      <c r="D17" s="1071">
        <f>IFERROR(_xlfn.XLOOKUP($D$11,ELEC!$F$5:$AV$5,ELEC!F9:AV9,0,0,1),0)</f>
        <v>15</v>
      </c>
      <c r="E17" s="895">
        <f t="shared" si="0"/>
        <v>15</v>
      </c>
      <c r="F17" s="423"/>
    </row>
    <row r="18" spans="2:8" ht="16.5" x14ac:dyDescent="0.25">
      <c r="B18" s="891" t="s">
        <v>1997</v>
      </c>
      <c r="C18" s="481" t="s">
        <v>3027</v>
      </c>
      <c r="D18" s="1071">
        <f>IFERROR(_xlfn.XLOOKUP($D$11,ELEC!$F$5:$AV$5,ELEC!F10:AV10,0,0,1),0)</f>
        <v>4</v>
      </c>
      <c r="E18" s="895">
        <f t="shared" si="0"/>
        <v>4</v>
      </c>
      <c r="F18" s="423"/>
      <c r="H18" t="s">
        <v>3778</v>
      </c>
    </row>
    <row r="19" spans="2:8" ht="16.5" x14ac:dyDescent="0.25">
      <c r="B19" s="891" t="s">
        <v>2282</v>
      </c>
      <c r="C19" s="481" t="s">
        <v>3028</v>
      </c>
      <c r="D19" s="1071">
        <f>IFERROR(_xlfn.XLOOKUP($D$11,ELEC!$F$5:$AV$5,ELEC!F11:AV11,0,0,1),0)</f>
        <v>7</v>
      </c>
      <c r="E19" s="895">
        <f t="shared" si="0"/>
        <v>7</v>
      </c>
      <c r="F19" s="423"/>
      <c r="H19" t="s">
        <v>3777</v>
      </c>
    </row>
    <row r="20" spans="2:8" ht="16.5" x14ac:dyDescent="0.25">
      <c r="B20" s="891" t="s">
        <v>2288</v>
      </c>
      <c r="C20" s="481" t="s">
        <v>3029</v>
      </c>
      <c r="D20" s="1071">
        <f>IFERROR(_xlfn.XLOOKUP($D$11,ELEC!$F$5:$AV$5,ELEC!F12:AV12,0,0,1),0)</f>
        <v>45</v>
      </c>
      <c r="E20" s="895">
        <f t="shared" si="0"/>
        <v>45</v>
      </c>
      <c r="F20" s="423"/>
      <c r="H20" t="s">
        <v>3776</v>
      </c>
    </row>
    <row r="21" spans="2:8" ht="16.5" x14ac:dyDescent="0.25">
      <c r="B21" s="891" t="s">
        <v>2289</v>
      </c>
      <c r="C21" s="481" t="s">
        <v>3030</v>
      </c>
      <c r="D21" s="1071">
        <f>IFERROR(_xlfn.XLOOKUP($D$11,ELEC!$F$5:$AV$5,ELEC!F13:AV13,0,0,1),0)</f>
        <v>25</v>
      </c>
      <c r="E21" s="895">
        <f t="shared" si="0"/>
        <v>25</v>
      </c>
      <c r="F21" s="423"/>
      <c r="H21" t="s">
        <v>3775</v>
      </c>
    </row>
    <row r="22" spans="2:8" ht="16.5" x14ac:dyDescent="0.25">
      <c r="B22" s="891" t="s">
        <v>2283</v>
      </c>
      <c r="C22" s="481" t="s">
        <v>3031</v>
      </c>
      <c r="D22" s="1071">
        <f>IFERROR(_xlfn.XLOOKUP($D$11,ELEC!$F$5:$AV$5,ELEC!F14:AV14,0,0,1),0)</f>
        <v>3</v>
      </c>
      <c r="E22" s="895">
        <f t="shared" si="0"/>
        <v>3</v>
      </c>
      <c r="F22" s="423"/>
      <c r="H22" t="s">
        <v>3774</v>
      </c>
    </row>
    <row r="23" spans="2:8" ht="16.5" x14ac:dyDescent="0.25">
      <c r="B23" s="891" t="s">
        <v>2284</v>
      </c>
      <c r="C23" s="481" t="s">
        <v>3032</v>
      </c>
      <c r="D23" s="1071">
        <f>IFERROR(_xlfn.XLOOKUP($D$11,ELEC!$F$5:$AV$5,ELEC!F15:AV15,0,0,1),0)</f>
        <v>3</v>
      </c>
      <c r="E23" s="895">
        <f t="shared" si="0"/>
        <v>3</v>
      </c>
      <c r="F23" s="423"/>
      <c r="H23" t="s">
        <v>3773</v>
      </c>
    </row>
    <row r="24" spans="2:8" ht="16.5" x14ac:dyDescent="0.25">
      <c r="B24" s="891" t="s">
        <v>2292</v>
      </c>
      <c r="C24" s="481" t="s">
        <v>3033</v>
      </c>
      <c r="D24" s="1071">
        <f>IFERROR(_xlfn.XLOOKUP($D$11,ELEC!$F$5:$AV$5,ELEC!F16:AV16,0,0,1),0)</f>
        <v>18</v>
      </c>
      <c r="E24" s="895">
        <f t="shared" si="0"/>
        <v>18</v>
      </c>
      <c r="F24" s="423"/>
      <c r="H24" t="s">
        <v>3772</v>
      </c>
    </row>
    <row r="25" spans="2:8" ht="16.5" x14ac:dyDescent="0.25">
      <c r="B25" s="891" t="s">
        <v>2290</v>
      </c>
      <c r="C25" s="481" t="s">
        <v>3034</v>
      </c>
      <c r="D25" s="1071">
        <f>IFERROR(_xlfn.XLOOKUP($D$11,ELEC!$F$5:$AV$5,ELEC!F17:AV17,0,0,1),0)</f>
        <v>15</v>
      </c>
      <c r="E25" s="895">
        <f t="shared" si="0"/>
        <v>15</v>
      </c>
      <c r="F25" s="423"/>
      <c r="H25" t="s">
        <v>3771</v>
      </c>
    </row>
    <row r="26" spans="2:8" ht="16.5" x14ac:dyDescent="0.25">
      <c r="B26" s="891" t="s">
        <v>2295</v>
      </c>
      <c r="C26" s="481" t="s">
        <v>3035</v>
      </c>
      <c r="D26" s="1071">
        <f>IFERROR(_xlfn.XLOOKUP($D$11,ELEC!$F$5:$AV$5,ELEC!F18:AV18,0,0,1),0)</f>
        <v>0</v>
      </c>
      <c r="E26" s="895">
        <f t="shared" si="0"/>
        <v>0</v>
      </c>
      <c r="F26" s="423"/>
      <c r="H26" t="s">
        <v>3770</v>
      </c>
    </row>
    <row r="27" spans="2:8" ht="16.5" x14ac:dyDescent="0.25">
      <c r="B27" s="891" t="s">
        <v>1999</v>
      </c>
      <c r="C27" s="481" t="s">
        <v>3036</v>
      </c>
      <c r="D27" s="1071">
        <f>IFERROR(_xlfn.XLOOKUP($D$11,ELEC!$F$5:$AV$5,ELEC!F19:AV19,0,0,1),0)</f>
        <v>1</v>
      </c>
      <c r="E27" s="895">
        <f t="shared" si="0"/>
        <v>1</v>
      </c>
      <c r="F27" s="423"/>
      <c r="H27" t="s">
        <v>3769</v>
      </c>
    </row>
    <row r="28" spans="2:8" ht="16.5" x14ac:dyDescent="0.25">
      <c r="B28" s="891" t="s">
        <v>2287</v>
      </c>
      <c r="C28" s="481" t="s">
        <v>3037</v>
      </c>
      <c r="D28" s="1071">
        <f>IFERROR(_xlfn.XLOOKUP($D$11,ELEC!$F$5:$AV$5,ELEC!F20:AV20,0,0,1),0)</f>
        <v>1</v>
      </c>
      <c r="E28" s="895">
        <f t="shared" si="0"/>
        <v>1</v>
      </c>
      <c r="F28" s="423"/>
      <c r="H28" t="s">
        <v>3768</v>
      </c>
    </row>
    <row r="29" spans="2:8" ht="16.5" x14ac:dyDescent="0.25">
      <c r="B29" s="891" t="s">
        <v>2286</v>
      </c>
      <c r="C29" s="481" t="s">
        <v>3038</v>
      </c>
      <c r="D29" s="1071">
        <f>IFERROR(_xlfn.XLOOKUP($D$11,ELEC!$F$5:$AV$5,ELEC!F21:AV21,0,0,1),0)</f>
        <v>1</v>
      </c>
      <c r="E29" s="895">
        <f t="shared" si="0"/>
        <v>1</v>
      </c>
      <c r="F29" s="423"/>
      <c r="H29" t="s">
        <v>3767</v>
      </c>
    </row>
    <row r="30" spans="2:8" ht="16.5" x14ac:dyDescent="0.25">
      <c r="B30" s="891" t="s">
        <v>2285</v>
      </c>
      <c r="C30" s="481" t="s">
        <v>3108</v>
      </c>
      <c r="D30" s="1071">
        <f>IFERROR(_xlfn.XLOOKUP($D$11,ELEC!$F$5:$AV$5,ELEC!F22:AV22,0,0,1),0)</f>
        <v>1</v>
      </c>
      <c r="E30" s="895">
        <f t="shared" si="0"/>
        <v>1</v>
      </c>
      <c r="F30" s="423"/>
      <c r="H30" t="s">
        <v>3766</v>
      </c>
    </row>
    <row r="31" spans="2:8" ht="16.5" x14ac:dyDescent="0.25">
      <c r="B31" s="891" t="s">
        <v>1930</v>
      </c>
      <c r="C31" s="481" t="s">
        <v>3040</v>
      </c>
      <c r="D31" s="1071">
        <f>IFERROR(_xlfn.XLOOKUP($D$11,ELEC!$F$5:$AV$5,ELEC!F23:AV23,0,0,1),0)</f>
        <v>0.5</v>
      </c>
      <c r="E31" s="895">
        <f t="shared" si="0"/>
        <v>1</v>
      </c>
      <c r="F31" s="423"/>
      <c r="H31" t="s">
        <v>3765</v>
      </c>
    </row>
    <row r="32" spans="2:8" ht="16.5" x14ac:dyDescent="0.25">
      <c r="B32" s="891" t="s">
        <v>2297</v>
      </c>
      <c r="C32" s="481" t="s">
        <v>2891</v>
      </c>
      <c r="D32" s="1071">
        <f>IFERROR(_xlfn.XLOOKUP($D$11,ELEC!$F$5:$AV$5,ELEC!F24:AV24,0,0,1),0)</f>
        <v>0</v>
      </c>
      <c r="E32" s="895">
        <f t="shared" si="0"/>
        <v>0</v>
      </c>
      <c r="F32" s="423"/>
      <c r="H32" t="s">
        <v>3764</v>
      </c>
    </row>
    <row r="33" spans="2:8" x14ac:dyDescent="0.2">
      <c r="B33" s="891" t="s">
        <v>2293</v>
      </c>
      <c r="C33" s="481" t="s">
        <v>3041</v>
      </c>
      <c r="D33" s="1071">
        <f>IFERROR(_xlfn.XLOOKUP($D$11,ELEC!$F$5:$AV$5,ELEC!F25:AV25,0,0,1),0)</f>
        <v>1</v>
      </c>
      <c r="E33" s="895">
        <f t="shared" si="0"/>
        <v>1</v>
      </c>
      <c r="F33" s="137"/>
      <c r="H33" t="s">
        <v>3763</v>
      </c>
    </row>
    <row r="34" spans="2:8" x14ac:dyDescent="0.2">
      <c r="H34" t="s">
        <v>3456</v>
      </c>
    </row>
    <row r="35" spans="2:8" s="63" customFormat="1" ht="23.1" customHeight="1" x14ac:dyDescent="0.2">
      <c r="B35" s="1065"/>
      <c r="C35" s="562" t="s">
        <v>1809</v>
      </c>
      <c r="D35" s="563">
        <f>+E328+E329</f>
        <v>211250</v>
      </c>
      <c r="E35"/>
      <c r="F35"/>
      <c r="H35" t="s">
        <v>3762</v>
      </c>
    </row>
    <row r="36" spans="2:8" s="63" customFormat="1" ht="23.1" customHeight="1" x14ac:dyDescent="0.2">
      <c r="B36" s="1065"/>
      <c r="C36" s="100"/>
      <c r="D36" s="100"/>
      <c r="E36" s="100"/>
      <c r="F36"/>
      <c r="H36" t="s">
        <v>3761</v>
      </c>
    </row>
    <row r="37" spans="2:8" x14ac:dyDescent="0.2">
      <c r="H37" t="s">
        <v>3760</v>
      </c>
    </row>
    <row r="38" spans="2:8" s="479" customFormat="1" ht="21" x14ac:dyDescent="0.2">
      <c r="B38" s="939"/>
      <c r="C38" s="471" t="s">
        <v>2073</v>
      </c>
      <c r="D38" s="472" t="s">
        <v>230</v>
      </c>
      <c r="E38"/>
      <c r="F38"/>
      <c r="H38" t="s">
        <v>3759</v>
      </c>
    </row>
    <row r="39" spans="2:8" s="479" customFormat="1" x14ac:dyDescent="0.2">
      <c r="B39" s="939"/>
      <c r="E39"/>
      <c r="F39"/>
      <c r="H39" t="s">
        <v>3758</v>
      </c>
    </row>
    <row r="40" spans="2:8" s="479" customFormat="1" x14ac:dyDescent="0.2">
      <c r="B40" s="939"/>
      <c r="H40" t="s">
        <v>3757</v>
      </c>
    </row>
    <row r="41" spans="2:8" s="479" customFormat="1" ht="18.75" x14ac:dyDescent="0.25">
      <c r="B41" s="939"/>
      <c r="C41" s="477" t="s">
        <v>1440</v>
      </c>
      <c r="D41" s="559" t="s">
        <v>13</v>
      </c>
      <c r="E41" s="559" t="s">
        <v>14</v>
      </c>
      <c r="F41" s="512"/>
      <c r="H41" t="s">
        <v>3756</v>
      </c>
    </row>
    <row r="42" spans="2:8" s="479" customFormat="1" ht="16.5" x14ac:dyDescent="0.25">
      <c r="B42" s="891" t="s">
        <v>2283</v>
      </c>
      <c r="C42" s="481" t="s">
        <v>3042</v>
      </c>
      <c r="D42" s="1071">
        <f>IFERROR(_xlfn.XLOOKUP($D$11,ELEC!$F$5:$AV$5,ELEC!F32:AV32,0,0,1),0)+IFERROR(_xlfn.XLOOKUP($D$11,ELEC!$F$5:$AV$5,ELEC!F84:AV84,0,0,1),0)</f>
        <v>0</v>
      </c>
      <c r="E42" s="895">
        <f>ROUNDUP(D42,0)</f>
        <v>0</v>
      </c>
      <c r="F42" s="413"/>
      <c r="H42" t="s">
        <v>3755</v>
      </c>
    </row>
    <row r="43" spans="2:8" s="479" customFormat="1" ht="16.5" x14ac:dyDescent="0.25">
      <c r="B43" s="891" t="s">
        <v>2284</v>
      </c>
      <c r="C43" s="481" t="s">
        <v>3043</v>
      </c>
      <c r="D43" s="1071">
        <f>IFERROR(_xlfn.XLOOKUP($D$11,ELEC!$F$5:$AV$5,ELEC!F33:AV33,0,0,1),0)+IFERROR(_xlfn.XLOOKUP($D$11,ELEC!$F$5:$AV$5,ELEC!F85:AV85,0,0,1),0)</f>
        <v>0</v>
      </c>
      <c r="E43" s="895">
        <f t="shared" ref="E43:E62" si="1">ROUNDUP(D43,0)</f>
        <v>0</v>
      </c>
      <c r="F43" s="413"/>
      <c r="H43" t="s">
        <v>3754</v>
      </c>
    </row>
    <row r="44" spans="2:8" s="479" customFormat="1" ht="16.5" x14ac:dyDescent="0.25">
      <c r="B44" s="891" t="s">
        <v>2292</v>
      </c>
      <c r="C44" s="481" t="s">
        <v>2888</v>
      </c>
      <c r="D44" s="1071">
        <f>IFERROR(_xlfn.XLOOKUP($D$11,ELEC!$F$5:$AV$5,ELEC!F34:AV34,0,0,1),0)+IFERROR(_xlfn.XLOOKUP($D$11,ELEC!$F$5:$AV$5,ELEC!F86:AV86,0,0,1),0)</f>
        <v>20</v>
      </c>
      <c r="E44" s="895">
        <f t="shared" si="1"/>
        <v>20</v>
      </c>
      <c r="F44" s="413"/>
      <c r="H44" t="s">
        <v>3753</v>
      </c>
    </row>
    <row r="45" spans="2:8" s="479" customFormat="1" ht="16.5" x14ac:dyDescent="0.25">
      <c r="B45" s="891" t="s">
        <v>2290</v>
      </c>
      <c r="C45" s="481" t="s">
        <v>3044</v>
      </c>
      <c r="D45" s="1071">
        <f>IFERROR(_xlfn.XLOOKUP($D$11,ELEC!$F$5:$AV$5,ELEC!F35:AV35,0,0,1),0)+IFERROR(_xlfn.XLOOKUP($D$11,ELEC!$F$5:$AV$5,ELEC!F87:AV87,0,0,1),0)</f>
        <v>12</v>
      </c>
      <c r="E45" s="895">
        <f t="shared" si="1"/>
        <v>12</v>
      </c>
      <c r="F45" s="413"/>
      <c r="H45" t="s">
        <v>3752</v>
      </c>
    </row>
    <row r="46" spans="2:8" s="479" customFormat="1" ht="16.5" x14ac:dyDescent="0.25">
      <c r="B46" s="891" t="s">
        <v>1999</v>
      </c>
      <c r="C46" s="481" t="s">
        <v>3036</v>
      </c>
      <c r="D46" s="1071">
        <f>IFERROR(_xlfn.XLOOKUP($D$11,ELEC!$F$5:$AV$5,ELEC!F36:AV36,0,0,1),0)+IFERROR(_xlfn.XLOOKUP($D$11,ELEC!$F$5:$AV$5,ELEC!F88:AV88,0,0,1),0)</f>
        <v>2</v>
      </c>
      <c r="E46" s="895">
        <f t="shared" si="1"/>
        <v>2</v>
      </c>
      <c r="F46" s="413"/>
      <c r="H46" t="s">
        <v>3751</v>
      </c>
    </row>
    <row r="47" spans="2:8" s="479" customFormat="1" ht="16.5" x14ac:dyDescent="0.25">
      <c r="B47" s="891" t="s">
        <v>2287</v>
      </c>
      <c r="C47" s="481" t="s">
        <v>3037</v>
      </c>
      <c r="D47" s="1071">
        <f>IFERROR(_xlfn.XLOOKUP($D$11,ELEC!$F$5:$AV$5,ELEC!F37:AV37,0,0,1),0)+IFERROR(_xlfn.XLOOKUP($D$11,ELEC!$F$5:$AV$5,ELEC!F89:AV89,0,0,1),0)</f>
        <v>4</v>
      </c>
      <c r="E47" s="895">
        <f t="shared" si="1"/>
        <v>4</v>
      </c>
      <c r="F47" s="413"/>
      <c r="H47" t="s">
        <v>3750</v>
      </c>
    </row>
    <row r="48" spans="2:8" s="479" customFormat="1" ht="16.5" x14ac:dyDescent="0.25">
      <c r="B48" s="891" t="s">
        <v>2286</v>
      </c>
      <c r="C48" s="481" t="s">
        <v>3038</v>
      </c>
      <c r="D48" s="1071">
        <f>IFERROR(_xlfn.XLOOKUP($D$11,ELEC!$F$5:$AV$5,ELEC!F38:AV38,0,0,1),0)+IFERROR(_xlfn.XLOOKUP($D$11,ELEC!$F$5:$AV$5,ELEC!F90:AV90,0,0,1),0)</f>
        <v>3</v>
      </c>
      <c r="E48" s="895">
        <f t="shared" si="1"/>
        <v>3</v>
      </c>
      <c r="F48" s="413"/>
      <c r="H48" t="s">
        <v>3749</v>
      </c>
    </row>
    <row r="49" spans="2:8" s="479" customFormat="1" ht="16.5" x14ac:dyDescent="0.25">
      <c r="B49" s="891" t="s">
        <v>2285</v>
      </c>
      <c r="C49" s="481" t="s">
        <v>3039</v>
      </c>
      <c r="D49" s="1071">
        <f>IFERROR(_xlfn.XLOOKUP($D$11,ELEC!$F$5:$AV$5,ELEC!F39:AV39,0,0,1),0)+IFERROR(_xlfn.XLOOKUP($D$11,ELEC!$F$5:$AV$5,ELEC!F91:AV91,0,0,1),0)</f>
        <v>2</v>
      </c>
      <c r="E49" s="895">
        <f t="shared" si="1"/>
        <v>2</v>
      </c>
      <c r="F49" s="413"/>
      <c r="H49" t="s">
        <v>3748</v>
      </c>
    </row>
    <row r="50" spans="2:8" s="479" customFormat="1" ht="16.5" x14ac:dyDescent="0.25">
      <c r="B50" s="891" t="s">
        <v>1930</v>
      </c>
      <c r="C50" s="481" t="s">
        <v>3040</v>
      </c>
      <c r="D50" s="1071">
        <f>IFERROR(_xlfn.XLOOKUP($D$11,ELEC!$F$5:$AV$5,ELEC!F40:AV40,0,0,1),0)+IFERROR(_xlfn.XLOOKUP($D$11,ELEC!$F$5:$AV$5,ELEC!F92:AV92,0,0,1),0)</f>
        <v>1</v>
      </c>
      <c r="E50" s="895">
        <f t="shared" si="1"/>
        <v>1</v>
      </c>
      <c r="F50" s="413"/>
      <c r="H50" t="s">
        <v>3747</v>
      </c>
    </row>
    <row r="51" spans="2:8" s="479" customFormat="1" ht="16.5" x14ac:dyDescent="0.25">
      <c r="B51" s="891" t="s">
        <v>2293</v>
      </c>
      <c r="C51" s="481" t="s">
        <v>3045</v>
      </c>
      <c r="D51" s="1071">
        <f>IFERROR(_xlfn.XLOOKUP($D$11,ELEC!$F$5:$AV$5,ELEC!F41:AV41,0,0,1),0)+IFERROR(_xlfn.XLOOKUP($D$11,ELEC!$F$5:$AV$5,ELEC!F93:AV93,0,0,1),0)</f>
        <v>3</v>
      </c>
      <c r="E51" s="895">
        <f t="shared" si="1"/>
        <v>3</v>
      </c>
      <c r="F51" s="413"/>
      <c r="H51" t="s">
        <v>3746</v>
      </c>
    </row>
    <row r="52" spans="2:8" s="479" customFormat="1" ht="16.5" x14ac:dyDescent="0.25">
      <c r="B52" s="891" t="s">
        <v>2296</v>
      </c>
      <c r="C52" s="481" t="s">
        <v>3046</v>
      </c>
      <c r="D52" s="1071">
        <f>IFERROR(_xlfn.XLOOKUP($D$11,ELEC!$F$5:$AV$5,ELEC!F42:AV42,0,0,1),0)+IFERROR(_xlfn.XLOOKUP($D$11,ELEC!$F$5:$AV$5,ELEC!F94:AV94,0,0,1),0)</f>
        <v>1</v>
      </c>
      <c r="E52" s="895">
        <f t="shared" si="1"/>
        <v>1</v>
      </c>
      <c r="F52" s="413"/>
      <c r="H52" t="s">
        <v>3745</v>
      </c>
    </row>
    <row r="53" spans="2:8" s="479" customFormat="1" ht="16.5" x14ac:dyDescent="0.25">
      <c r="B53" s="891" t="s">
        <v>2484</v>
      </c>
      <c r="C53" s="481" t="s">
        <v>3047</v>
      </c>
      <c r="D53" s="1071">
        <f>IFERROR(_xlfn.XLOOKUP($D$11,ELEC!$F$5:$AV$5,ELEC!F43:AV43,0,0,1),0)+IFERROR(_xlfn.XLOOKUP($D$11,ELEC!$F$5:$AV$5,ELEC!F95:AV95,0,0,1),0)</f>
        <v>5</v>
      </c>
      <c r="E53" s="895">
        <f t="shared" si="1"/>
        <v>5</v>
      </c>
      <c r="F53" s="413"/>
      <c r="H53" t="s">
        <v>3744</v>
      </c>
    </row>
    <row r="54" spans="2:8" s="479" customFormat="1" ht="16.5" x14ac:dyDescent="0.25">
      <c r="B54" s="891" t="s">
        <v>1987</v>
      </c>
      <c r="C54" s="481" t="s">
        <v>3048</v>
      </c>
      <c r="D54" s="1071">
        <f>IFERROR(_xlfn.XLOOKUP($D$11,ELEC!$F$5:$AV$5,ELEC!F44:AV44,0,0,1),0)+IFERROR(_xlfn.XLOOKUP($D$11,ELEC!$F$5:$AV$5,ELEC!F96:AV96,0,0,1),0)</f>
        <v>44</v>
      </c>
      <c r="E54" s="895">
        <f t="shared" si="1"/>
        <v>44</v>
      </c>
      <c r="F54" s="413"/>
      <c r="H54" t="s">
        <v>3743</v>
      </c>
    </row>
    <row r="55" spans="2:8" s="479" customFormat="1" ht="16.5" x14ac:dyDescent="0.25">
      <c r="B55" s="891" t="s">
        <v>2294</v>
      </c>
      <c r="C55" s="481" t="s">
        <v>3049</v>
      </c>
      <c r="D55" s="1071">
        <f>IFERROR(_xlfn.XLOOKUP($D$11,ELEC!$F$5:$AV$5,ELEC!F45:AV45,0,0,1),0)+IFERROR(_xlfn.XLOOKUP($D$11,ELEC!$F$5:$AV$5,ELEC!F97:AV97,0,0,1),0)</f>
        <v>0</v>
      </c>
      <c r="E55" s="895">
        <f t="shared" si="1"/>
        <v>0</v>
      </c>
      <c r="F55" s="413"/>
      <c r="H55" t="s">
        <v>3742</v>
      </c>
    </row>
    <row r="56" spans="2:8" s="479" customFormat="1" ht="16.5" x14ac:dyDescent="0.25">
      <c r="B56" s="891" t="s">
        <v>1995</v>
      </c>
      <c r="C56" s="481" t="s">
        <v>3050</v>
      </c>
      <c r="D56" s="1071">
        <f>IFERROR(_xlfn.XLOOKUP($D$11,ELEC!$F$5:$AV$5,ELEC!F46:AV46,0,0,1),0)+IFERROR(_xlfn.XLOOKUP($D$11,ELEC!$F$5:$AV$5,ELEC!F98:AV98,0,0,1),0)</f>
        <v>0</v>
      </c>
      <c r="E56" s="895">
        <f t="shared" si="1"/>
        <v>0</v>
      </c>
      <c r="F56" s="413"/>
      <c r="H56" t="s">
        <v>3741</v>
      </c>
    </row>
    <row r="57" spans="2:8" s="479" customFormat="1" ht="16.5" x14ac:dyDescent="0.25">
      <c r="B57" s="891" t="s">
        <v>1996</v>
      </c>
      <c r="C57" s="481" t="s">
        <v>3051</v>
      </c>
      <c r="D57" s="1071">
        <f>IFERROR(_xlfn.XLOOKUP($D$11,ELEC!$F$5:$AV$5,ELEC!F47:AV47,0,0,1),0)+IFERROR(_xlfn.XLOOKUP($D$11,ELEC!$F$5:$AV$5,ELEC!F99:AV99,0,0,1),0)</f>
        <v>1</v>
      </c>
      <c r="E57" s="895">
        <f t="shared" si="1"/>
        <v>1</v>
      </c>
      <c r="F57" s="413"/>
      <c r="H57" t="s">
        <v>3740</v>
      </c>
    </row>
    <row r="58" spans="2:8" s="479" customFormat="1" ht="16.5" x14ac:dyDescent="0.25">
      <c r="B58" s="891" t="s">
        <v>2295</v>
      </c>
      <c r="C58" s="481" t="s">
        <v>2889</v>
      </c>
      <c r="D58" s="1071">
        <f>IFERROR(_xlfn.XLOOKUP($D$11,ELEC!$F$5:$AV$5,ELEC!F48:AV48,0,0,1),0)+IFERROR(_xlfn.XLOOKUP($D$11,ELEC!$F$5:$AV$5,ELEC!F100:AV100,0,0,1),0)</f>
        <v>57</v>
      </c>
      <c r="E58" s="895">
        <f t="shared" si="1"/>
        <v>57</v>
      </c>
      <c r="F58" s="413"/>
      <c r="H58" t="s">
        <v>3739</v>
      </c>
    </row>
    <row r="59" spans="2:8" s="479" customFormat="1" ht="16.5" x14ac:dyDescent="0.25">
      <c r="B59" s="891" t="s">
        <v>2291</v>
      </c>
      <c r="C59" s="481" t="s">
        <v>3052</v>
      </c>
      <c r="D59" s="1071">
        <f>IFERROR(_xlfn.XLOOKUP($D$11,ELEC!$F$5:$AV$5,ELEC!F49:AV49,0,0,1),0)+IFERROR(_xlfn.XLOOKUP($D$11,ELEC!$F$5:$AV$5,ELEC!F101:AV101,0,0,1),0)</f>
        <v>14</v>
      </c>
      <c r="E59" s="895">
        <f t="shared" si="1"/>
        <v>14</v>
      </c>
      <c r="F59" s="413"/>
      <c r="H59" t="s">
        <v>3738</v>
      </c>
    </row>
    <row r="60" spans="2:8" s="479" customFormat="1" x14ac:dyDescent="0.2">
      <c r="B60" s="891" t="s">
        <v>1988</v>
      </c>
      <c r="C60" s="481" t="s">
        <v>2887</v>
      </c>
      <c r="D60" s="1071">
        <f>IFERROR(_xlfn.XLOOKUP($D$11,ELEC!$F$5:$AV$5,ELEC!F50:AV50,0,0,1),0)+IFERROR(_xlfn.XLOOKUP($D$11,ELEC!$F$5:$AV$5,ELEC!F102:AV102,0,0,1),0)</f>
        <v>10</v>
      </c>
      <c r="E60" s="895">
        <f t="shared" si="1"/>
        <v>10</v>
      </c>
      <c r="F60" s="505"/>
      <c r="H60" t="s">
        <v>3737</v>
      </c>
    </row>
    <row r="61" spans="2:8" s="479" customFormat="1" x14ac:dyDescent="0.2">
      <c r="B61" s="891" t="s">
        <v>1985</v>
      </c>
      <c r="C61" s="481" t="s">
        <v>2885</v>
      </c>
      <c r="D61" s="1071">
        <f>IFERROR(_xlfn.XLOOKUP($D$11,ELEC!$F$5:$AV$5,ELEC!F51:AV51,0,0,1),0)+IFERROR(_xlfn.XLOOKUP($D$11,ELEC!$F$5:$AV$5,ELEC!F103:AV103,0,0,1),0)</f>
        <v>4</v>
      </c>
      <c r="E61" s="895">
        <f t="shared" si="1"/>
        <v>4</v>
      </c>
      <c r="F61" s="505"/>
    </row>
    <row r="62" spans="2:8" s="479" customFormat="1" ht="16.5" x14ac:dyDescent="0.25">
      <c r="B62" s="891" t="s">
        <v>1918</v>
      </c>
      <c r="C62" s="481" t="s">
        <v>3053</v>
      </c>
      <c r="D62" s="1071">
        <f>IFERROR(_xlfn.XLOOKUP($D$11,ELEC!$F$5:$AV$5,ELEC!F52:AV52,0,0,1),0)+IFERROR(_xlfn.XLOOKUP($D$11,ELEC!$F$5:$AV$5,ELEC!F104:AV104,0,0,1),0)</f>
        <v>6</v>
      </c>
      <c r="E62" s="895">
        <f t="shared" si="1"/>
        <v>6</v>
      </c>
      <c r="F62" s="413"/>
    </row>
    <row r="63" spans="2:8" s="479" customFormat="1" ht="16.5" x14ac:dyDescent="0.25">
      <c r="B63" s="891" t="s">
        <v>2289</v>
      </c>
      <c r="C63" s="561" t="s">
        <v>3030</v>
      </c>
      <c r="D63" s="1071">
        <f>IFERROR(_xlfn.XLOOKUP($D$11,ELEC!$F$5:$AV$5,ELEC!F53:AV53,0,0,1),0)+IFERROR(_xlfn.XLOOKUP($D$11,ELEC!$F$5:$AV$5,ELEC!F105:AV105,0,0,1),0)</f>
        <v>4</v>
      </c>
      <c r="E63" s="895">
        <f t="shared" ref="E63" si="2">ROUNDUP(D63,0)</f>
        <v>4</v>
      </c>
      <c r="F63" s="413"/>
    </row>
    <row r="65" spans="2:6" s="63" customFormat="1" ht="23.1" customHeight="1" x14ac:dyDescent="0.2">
      <c r="B65" s="1065"/>
      <c r="C65" s="562" t="s">
        <v>1809</v>
      </c>
      <c r="D65" s="563">
        <f>+E330</f>
        <v>71250</v>
      </c>
      <c r="E65"/>
      <c r="F65"/>
    </row>
    <row r="68" spans="2:6" ht="21" x14ac:dyDescent="0.2">
      <c r="C68" s="471" t="s">
        <v>2074</v>
      </c>
      <c r="D68" s="472" t="s">
        <v>3275</v>
      </c>
    </row>
    <row r="71" spans="2:6" ht="18.75" x14ac:dyDescent="0.25">
      <c r="C71" s="477" t="s">
        <v>3275</v>
      </c>
      <c r="D71" s="559" t="s">
        <v>13</v>
      </c>
      <c r="E71" s="559" t="s">
        <v>14</v>
      </c>
    </row>
    <row r="72" spans="2:6" x14ac:dyDescent="0.2">
      <c r="B72" s="891" t="s">
        <v>1993</v>
      </c>
      <c r="C72" s="481" t="s">
        <v>3023</v>
      </c>
      <c r="D72" s="1071">
        <f>IFERROR(_xlfn.XLOOKUP($D$11,ELEC!$F$5:$AV$5,ELEC!F58:AV58,0,0,1),0)</f>
        <v>0</v>
      </c>
      <c r="E72" s="895">
        <f>ROUNDUP(D72,0)</f>
        <v>0</v>
      </c>
    </row>
    <row r="73" spans="2:6" x14ac:dyDescent="0.2">
      <c r="B73" s="891" t="s">
        <v>1994</v>
      </c>
      <c r="C73" s="481" t="s">
        <v>3024</v>
      </c>
      <c r="D73" s="1071">
        <f>IFERROR(_xlfn.XLOOKUP($D$11,ELEC!$F$5:$AV$5,ELEC!F59:AV59,0,0,1),0)</f>
        <v>0</v>
      </c>
      <c r="E73" s="895">
        <f t="shared" ref="E73:E93" si="3">ROUNDUP(D73,0)</f>
        <v>0</v>
      </c>
    </row>
    <row r="74" spans="2:6" x14ac:dyDescent="0.2">
      <c r="B74" s="891" t="s">
        <v>1992</v>
      </c>
      <c r="C74" s="481" t="s">
        <v>3025</v>
      </c>
      <c r="D74" s="1071">
        <f>IFERROR(_xlfn.XLOOKUP($D$11,ELEC!$F$5:$AV$5,ELEC!F60:AV60,0,0,1),0)</f>
        <v>45</v>
      </c>
      <c r="E74" s="895">
        <f t="shared" si="3"/>
        <v>45</v>
      </c>
    </row>
    <row r="75" spans="2:6" x14ac:dyDescent="0.2">
      <c r="B75" s="891" t="s">
        <v>1998</v>
      </c>
      <c r="C75" s="481" t="s">
        <v>3026</v>
      </c>
      <c r="D75" s="1071">
        <f>IFERROR(_xlfn.XLOOKUP($D$11,ELEC!$F$5:$AV$5,ELEC!F61:AV61,0,0,1),0)</f>
        <v>15</v>
      </c>
      <c r="E75" s="895">
        <f t="shared" si="3"/>
        <v>15</v>
      </c>
    </row>
    <row r="76" spans="2:6" x14ac:dyDescent="0.2">
      <c r="B76" s="891" t="s">
        <v>1997</v>
      </c>
      <c r="C76" s="481" t="s">
        <v>3027</v>
      </c>
      <c r="D76" s="1071">
        <f>IFERROR(_xlfn.XLOOKUP($D$11,ELEC!$F$5:$AV$5,ELEC!F62:AV62,0,0,1),0)</f>
        <v>0</v>
      </c>
      <c r="E76" s="895">
        <f t="shared" si="3"/>
        <v>0</v>
      </c>
    </row>
    <row r="77" spans="2:6" x14ac:dyDescent="0.2">
      <c r="B77" s="891" t="s">
        <v>2282</v>
      </c>
      <c r="C77" s="481" t="s">
        <v>3028</v>
      </c>
      <c r="D77" s="1071">
        <f>IFERROR(_xlfn.XLOOKUP($D$11,ELEC!$F$5:$AV$5,ELEC!F63:AV63,0,0,1),0)</f>
        <v>0</v>
      </c>
      <c r="E77" s="895">
        <f t="shared" si="3"/>
        <v>0</v>
      </c>
    </row>
    <row r="78" spans="2:6" x14ac:dyDescent="0.2">
      <c r="B78" s="891" t="s">
        <v>2288</v>
      </c>
      <c r="C78" s="481" t="s">
        <v>3029</v>
      </c>
      <c r="D78" s="1071">
        <f>IFERROR(_xlfn.XLOOKUP($D$11,ELEC!$F$5:$AV$5,ELEC!F64:AV64,0,0,1),0)</f>
        <v>45</v>
      </c>
      <c r="E78" s="895">
        <f t="shared" si="3"/>
        <v>45</v>
      </c>
    </row>
    <row r="79" spans="2:6" x14ac:dyDescent="0.2">
      <c r="B79" s="891" t="s">
        <v>2289</v>
      </c>
      <c r="C79" s="481" t="s">
        <v>3030</v>
      </c>
      <c r="D79" s="1071">
        <f>IFERROR(_xlfn.XLOOKUP($D$11,ELEC!$F$5:$AV$5,ELEC!F65:AV65,0,0,1),0)</f>
        <v>12</v>
      </c>
      <c r="E79" s="895">
        <f t="shared" si="3"/>
        <v>12</v>
      </c>
    </row>
    <row r="80" spans="2:6" x14ac:dyDescent="0.2">
      <c r="B80" s="891" t="s">
        <v>2283</v>
      </c>
      <c r="C80" s="481" t="s">
        <v>3031</v>
      </c>
      <c r="D80" s="1071">
        <f>IFERROR(_xlfn.XLOOKUP($D$11,ELEC!$F$5:$AV$5,ELEC!F66:AV66,0,0,1),0)</f>
        <v>0</v>
      </c>
      <c r="E80" s="895">
        <f t="shared" si="3"/>
        <v>0</v>
      </c>
    </row>
    <row r="81" spans="2:5" x14ac:dyDescent="0.2">
      <c r="B81" s="891" t="s">
        <v>2284</v>
      </c>
      <c r="C81" s="481" t="s">
        <v>3032</v>
      </c>
      <c r="D81" s="1071">
        <f>IFERROR(_xlfn.XLOOKUP($D$11,ELEC!$F$5:$AV$5,ELEC!F67:AV67,0,0,1),0)</f>
        <v>0</v>
      </c>
      <c r="E81" s="895">
        <f t="shared" si="3"/>
        <v>0</v>
      </c>
    </row>
    <row r="82" spans="2:5" x14ac:dyDescent="0.2">
      <c r="B82" s="891" t="s">
        <v>2292</v>
      </c>
      <c r="C82" s="481" t="s">
        <v>3033</v>
      </c>
      <c r="D82" s="1071">
        <f>IFERROR(_xlfn.XLOOKUP($D$11,ELEC!$F$5:$AV$5,ELEC!F68:AV68,0,0,1),0)</f>
        <v>15</v>
      </c>
      <c r="E82" s="895">
        <f t="shared" si="3"/>
        <v>15</v>
      </c>
    </row>
    <row r="83" spans="2:5" x14ac:dyDescent="0.2">
      <c r="B83" s="891" t="s">
        <v>2290</v>
      </c>
      <c r="C83" s="481" t="s">
        <v>3034</v>
      </c>
      <c r="D83" s="1071">
        <f>IFERROR(_xlfn.XLOOKUP($D$11,ELEC!$F$5:$AV$5,ELEC!F69:AV69,0,0,1),0)</f>
        <v>10</v>
      </c>
      <c r="E83" s="895">
        <f t="shared" si="3"/>
        <v>10</v>
      </c>
    </row>
    <row r="84" spans="2:5" x14ac:dyDescent="0.2">
      <c r="B84" s="891" t="s">
        <v>2295</v>
      </c>
      <c r="C84" s="481" t="s">
        <v>3035</v>
      </c>
      <c r="D84" s="1071">
        <f>IFERROR(_xlfn.XLOOKUP($D$11,ELEC!$F$5:$AV$5,ELEC!F70:AV70,0,0,1),0)</f>
        <v>20</v>
      </c>
      <c r="E84" s="895">
        <f t="shared" si="3"/>
        <v>20</v>
      </c>
    </row>
    <row r="85" spans="2:5" x14ac:dyDescent="0.2">
      <c r="B85" s="891" t="s">
        <v>1999</v>
      </c>
      <c r="C85" s="481" t="s">
        <v>3036</v>
      </c>
      <c r="D85" s="1071">
        <f>IFERROR(_xlfn.XLOOKUP($D$11,ELEC!$F$5:$AV$5,ELEC!F71:AV71,0,0,1),0)</f>
        <v>1</v>
      </c>
      <c r="E85" s="895">
        <f t="shared" si="3"/>
        <v>1</v>
      </c>
    </row>
    <row r="86" spans="2:5" x14ac:dyDescent="0.2">
      <c r="B86" s="891" t="s">
        <v>2287</v>
      </c>
      <c r="C86" s="481" t="s">
        <v>3037</v>
      </c>
      <c r="D86" s="1071">
        <f>IFERROR(_xlfn.XLOOKUP($D$11,ELEC!$F$5:$AV$5,ELEC!F72:AV72,0,0,1),0)</f>
        <v>2</v>
      </c>
      <c r="E86" s="895">
        <f t="shared" si="3"/>
        <v>2</v>
      </c>
    </row>
    <row r="87" spans="2:5" x14ac:dyDescent="0.2">
      <c r="B87" s="891" t="s">
        <v>2286</v>
      </c>
      <c r="C87" s="481" t="s">
        <v>3038</v>
      </c>
      <c r="D87" s="1071">
        <f>IFERROR(_xlfn.XLOOKUP($D$11,ELEC!$F$5:$AV$5,ELEC!F73:AV73,0,0,1),0)</f>
        <v>1</v>
      </c>
      <c r="E87" s="895">
        <f t="shared" si="3"/>
        <v>1</v>
      </c>
    </row>
    <row r="88" spans="2:5" x14ac:dyDescent="0.2">
      <c r="B88" s="891" t="s">
        <v>2285</v>
      </c>
      <c r="C88" s="481" t="s">
        <v>3039</v>
      </c>
      <c r="D88" s="1071">
        <f>IFERROR(_xlfn.XLOOKUP($D$11,ELEC!$F$5:$AV$5,ELEC!F74:AV74,0,0,1),0)</f>
        <v>1</v>
      </c>
      <c r="E88" s="895">
        <f t="shared" si="3"/>
        <v>1</v>
      </c>
    </row>
    <row r="89" spans="2:5" x14ac:dyDescent="0.2">
      <c r="B89" s="891" t="s">
        <v>1930</v>
      </c>
      <c r="C89" s="481" t="s">
        <v>3040</v>
      </c>
      <c r="D89" s="1071">
        <f>IFERROR(_xlfn.XLOOKUP($D$11,ELEC!$F$5:$AV$5,ELEC!F75:AV75,0,0,1),0)</f>
        <v>0.5</v>
      </c>
      <c r="E89" s="895">
        <f t="shared" si="3"/>
        <v>1</v>
      </c>
    </row>
    <row r="90" spans="2:5" x14ac:dyDescent="0.2">
      <c r="B90" s="891" t="s">
        <v>2297</v>
      </c>
      <c r="C90" s="481" t="s">
        <v>2891</v>
      </c>
      <c r="D90" s="1071">
        <f>IFERROR(_xlfn.XLOOKUP($D$11,ELEC!$F$5:$AV$5,ELEC!F76:AV76,0,0,1),0)</f>
        <v>10</v>
      </c>
      <c r="E90" s="895">
        <f t="shared" si="3"/>
        <v>10</v>
      </c>
    </row>
    <row r="91" spans="2:5" x14ac:dyDescent="0.2">
      <c r="B91" s="891" t="s">
        <v>2293</v>
      </c>
      <c r="C91" s="481" t="s">
        <v>3041</v>
      </c>
      <c r="D91" s="1071">
        <f>IFERROR(_xlfn.XLOOKUP($D$11,ELEC!$F$5:$AV$5,ELEC!F77:AV77,0,0,1),0)</f>
        <v>2</v>
      </c>
      <c r="E91" s="895">
        <f t="shared" si="3"/>
        <v>2</v>
      </c>
    </row>
    <row r="92" spans="2:5" x14ac:dyDescent="0.2">
      <c r="B92" s="891" t="s">
        <v>3276</v>
      </c>
      <c r="C92" s="481" t="s">
        <v>3093</v>
      </c>
      <c r="D92" s="1071">
        <f>IFERROR(_xlfn.XLOOKUP($D$11,ELEC!$F$5:$AV$5,ELEC!F78:AV78,0,0,1),0)</f>
        <v>2</v>
      </c>
      <c r="E92" s="895">
        <f t="shared" si="3"/>
        <v>2</v>
      </c>
    </row>
    <row r="93" spans="2:5" x14ac:dyDescent="0.2">
      <c r="B93" s="891" t="s">
        <v>2291</v>
      </c>
      <c r="C93" s="481" t="s">
        <v>3094</v>
      </c>
      <c r="D93" s="1071">
        <f>IFERROR(_xlfn.XLOOKUP($D$11,ELEC!$F$5:$AV$5,ELEC!F79:AV79,0,0,1),0)</f>
        <v>10</v>
      </c>
      <c r="E93" s="895">
        <f t="shared" si="3"/>
        <v>10</v>
      </c>
    </row>
    <row r="97" spans="2:5" ht="21" x14ac:dyDescent="0.2">
      <c r="C97" s="471" t="s">
        <v>2075</v>
      </c>
      <c r="D97" s="472" t="s">
        <v>3278</v>
      </c>
    </row>
    <row r="100" spans="2:5" ht="18.75" x14ac:dyDescent="0.25">
      <c r="C100" s="477" t="s">
        <v>3275</v>
      </c>
      <c r="D100" s="559" t="s">
        <v>13</v>
      </c>
      <c r="E100" s="559" t="s">
        <v>14</v>
      </c>
    </row>
    <row r="101" spans="2:5" x14ac:dyDescent="0.2">
      <c r="B101" s="891" t="s">
        <v>1993</v>
      </c>
      <c r="C101" s="481" t="s">
        <v>3023</v>
      </c>
      <c r="D101" s="1071">
        <f>IFERROR(_xlfn.XLOOKUP($D$11,ELEC!$F$5:$AV$5,ELEC!F110:AV110,0,0,1),0)</f>
        <v>0</v>
      </c>
      <c r="E101" s="895">
        <f t="shared" ref="E101:E120" si="4">ROUNDUP(D101,0)</f>
        <v>0</v>
      </c>
    </row>
    <row r="102" spans="2:5" x14ac:dyDescent="0.2">
      <c r="B102" s="891" t="s">
        <v>1994</v>
      </c>
      <c r="C102" s="481" t="s">
        <v>3024</v>
      </c>
      <c r="D102" s="1071">
        <f>IFERROR(_xlfn.XLOOKUP($D$11,ELEC!$F$5:$AV$5,ELEC!F111:AV111,0,0,1),0)</f>
        <v>0</v>
      </c>
      <c r="E102" s="895">
        <f t="shared" si="4"/>
        <v>0</v>
      </c>
    </row>
    <row r="103" spans="2:5" x14ac:dyDescent="0.2">
      <c r="B103" s="891" t="s">
        <v>1992</v>
      </c>
      <c r="C103" s="481" t="s">
        <v>3025</v>
      </c>
      <c r="D103" s="1071">
        <f>IFERROR(_xlfn.XLOOKUP($D$11,ELEC!$F$5:$AV$5,ELEC!F112:AV112,0,0,1),0)</f>
        <v>25</v>
      </c>
      <c r="E103" s="895">
        <f t="shared" si="4"/>
        <v>25</v>
      </c>
    </row>
    <row r="104" spans="2:5" x14ac:dyDescent="0.2">
      <c r="B104" s="891" t="s">
        <v>1998</v>
      </c>
      <c r="C104" s="481" t="s">
        <v>3026</v>
      </c>
      <c r="D104" s="1071">
        <f>IFERROR(_xlfn.XLOOKUP($D$11,ELEC!$F$5:$AV$5,ELEC!F113:AV113,0,0,1),0)</f>
        <v>7</v>
      </c>
      <c r="E104" s="895">
        <f t="shared" si="4"/>
        <v>7</v>
      </c>
    </row>
    <row r="105" spans="2:5" x14ac:dyDescent="0.2">
      <c r="B105" s="891" t="s">
        <v>1997</v>
      </c>
      <c r="C105" s="481" t="s">
        <v>3027</v>
      </c>
      <c r="D105" s="1071">
        <f>IFERROR(_xlfn.XLOOKUP($D$11,ELEC!$F$5:$AV$5,ELEC!F114:AV114,0,0,1),0)</f>
        <v>0</v>
      </c>
      <c r="E105" s="895">
        <f t="shared" si="4"/>
        <v>0</v>
      </c>
    </row>
    <row r="106" spans="2:5" x14ac:dyDescent="0.2">
      <c r="B106" s="891" t="s">
        <v>2282</v>
      </c>
      <c r="C106" s="481" t="s">
        <v>3028</v>
      </c>
      <c r="D106" s="1071">
        <f>IFERROR(_xlfn.XLOOKUP($D$11,ELEC!$F$5:$AV$5,ELEC!F115:AV115,0,0,1),0)</f>
        <v>0</v>
      </c>
      <c r="E106" s="895">
        <f t="shared" si="4"/>
        <v>0</v>
      </c>
    </row>
    <row r="107" spans="2:5" x14ac:dyDescent="0.2">
      <c r="B107" s="891" t="s">
        <v>2288</v>
      </c>
      <c r="C107" s="481" t="s">
        <v>3029</v>
      </c>
      <c r="D107" s="1071">
        <f>IFERROR(_xlfn.XLOOKUP($D$11,ELEC!$F$5:$AV$5,ELEC!F116:AV116,0,0,1),0)</f>
        <v>25</v>
      </c>
      <c r="E107" s="895">
        <f t="shared" si="4"/>
        <v>25</v>
      </c>
    </row>
    <row r="108" spans="2:5" x14ac:dyDescent="0.2">
      <c r="B108" s="891" t="s">
        <v>2289</v>
      </c>
      <c r="C108" s="481" t="s">
        <v>3030</v>
      </c>
      <c r="D108" s="1071">
        <f>IFERROR(_xlfn.XLOOKUP($D$11,ELEC!$F$5:$AV$5,ELEC!F117:AV117,0,0,1),0)</f>
        <v>10</v>
      </c>
      <c r="E108" s="895">
        <f t="shared" si="4"/>
        <v>10</v>
      </c>
    </row>
    <row r="109" spans="2:5" x14ac:dyDescent="0.2">
      <c r="B109" s="891" t="s">
        <v>2283</v>
      </c>
      <c r="C109" s="481" t="s">
        <v>3031</v>
      </c>
      <c r="D109" s="1071">
        <f>IFERROR(_xlfn.XLOOKUP($D$11,ELEC!$F$5:$AV$5,ELEC!F118:AV118,0,0,1),0)</f>
        <v>0</v>
      </c>
      <c r="E109" s="895">
        <f t="shared" si="4"/>
        <v>0</v>
      </c>
    </row>
    <row r="110" spans="2:5" x14ac:dyDescent="0.2">
      <c r="B110" s="891" t="s">
        <v>2284</v>
      </c>
      <c r="C110" s="481" t="s">
        <v>3032</v>
      </c>
      <c r="D110" s="1071">
        <f>IFERROR(_xlfn.XLOOKUP($D$11,ELEC!$F$5:$AV$5,ELEC!F119:AV119,0,0,1),0)</f>
        <v>0</v>
      </c>
      <c r="E110" s="895">
        <f t="shared" si="4"/>
        <v>0</v>
      </c>
    </row>
    <row r="111" spans="2:5" x14ac:dyDescent="0.2">
      <c r="B111" s="891" t="s">
        <v>2292</v>
      </c>
      <c r="C111" s="481" t="s">
        <v>3033</v>
      </c>
      <c r="D111" s="1071">
        <f>IFERROR(_xlfn.XLOOKUP($D$11,ELEC!$F$5:$AV$5,ELEC!F120:AV120,0,0,1),0)</f>
        <v>10</v>
      </c>
      <c r="E111" s="895">
        <f t="shared" si="4"/>
        <v>10</v>
      </c>
    </row>
    <row r="112" spans="2:5" x14ac:dyDescent="0.2">
      <c r="B112" s="891" t="s">
        <v>2290</v>
      </c>
      <c r="C112" s="481" t="s">
        <v>3034</v>
      </c>
      <c r="D112" s="1071">
        <f>IFERROR(_xlfn.XLOOKUP($D$11,ELEC!$F$5:$AV$5,ELEC!F121:AV121,0,0,1),0)</f>
        <v>4</v>
      </c>
      <c r="E112" s="895">
        <f t="shared" si="4"/>
        <v>4</v>
      </c>
    </row>
    <row r="113" spans="2:6" x14ac:dyDescent="0.2">
      <c r="B113" s="891" t="s">
        <v>2295</v>
      </c>
      <c r="C113" s="481" t="s">
        <v>3279</v>
      </c>
      <c r="D113" s="1071">
        <f>IFERROR(_xlfn.XLOOKUP($D$11,ELEC!$F$5:$AV$5,ELEC!F122:AV122,0,0,1),0)</f>
        <v>30</v>
      </c>
      <c r="E113" s="895">
        <f t="shared" si="4"/>
        <v>30</v>
      </c>
    </row>
    <row r="114" spans="2:6" x14ac:dyDescent="0.2">
      <c r="B114" s="891" t="s">
        <v>1999</v>
      </c>
      <c r="C114" s="481" t="s">
        <v>3036</v>
      </c>
      <c r="D114" s="1071">
        <f>IFERROR(_xlfn.XLOOKUP($D$11,ELEC!$F$5:$AV$5,ELEC!F123:AV123,0,0,1),0)</f>
        <v>1</v>
      </c>
      <c r="E114" s="895">
        <f t="shared" si="4"/>
        <v>1</v>
      </c>
    </row>
    <row r="115" spans="2:6" x14ac:dyDescent="0.2">
      <c r="B115" s="891" t="s">
        <v>2287</v>
      </c>
      <c r="C115" s="481" t="s">
        <v>3037</v>
      </c>
      <c r="D115" s="1071">
        <f>IFERROR(_xlfn.XLOOKUP($D$11,ELEC!$F$5:$AV$5,ELEC!F124:AV124,0,0,1),0)</f>
        <v>1</v>
      </c>
      <c r="E115" s="895">
        <f t="shared" si="4"/>
        <v>1</v>
      </c>
    </row>
    <row r="116" spans="2:6" x14ac:dyDescent="0.2">
      <c r="B116" s="891" t="s">
        <v>2286</v>
      </c>
      <c r="C116" s="481" t="s">
        <v>3038</v>
      </c>
      <c r="D116" s="1071">
        <f>IFERROR(_xlfn.XLOOKUP($D$11,ELEC!$F$5:$AV$5,ELEC!F125:AV125,0,0,1),0)</f>
        <v>1</v>
      </c>
      <c r="E116" s="895">
        <f t="shared" si="4"/>
        <v>1</v>
      </c>
    </row>
    <row r="117" spans="2:6" x14ac:dyDescent="0.2">
      <c r="B117" s="891" t="s">
        <v>2285</v>
      </c>
      <c r="C117" s="481" t="s">
        <v>3039</v>
      </c>
      <c r="D117" s="1071">
        <f>IFERROR(_xlfn.XLOOKUP($D$11,ELEC!$F$5:$AV$5,ELEC!F126:AV126,0,0,1),0)</f>
        <v>0</v>
      </c>
      <c r="E117" s="895">
        <f t="shared" si="4"/>
        <v>0</v>
      </c>
    </row>
    <row r="118" spans="2:6" x14ac:dyDescent="0.2">
      <c r="B118" s="891" t="s">
        <v>1930</v>
      </c>
      <c r="C118" s="481" t="s">
        <v>3040</v>
      </c>
      <c r="D118" s="1071">
        <f>IFERROR(_xlfn.XLOOKUP($D$11,ELEC!$F$5:$AV$5,ELEC!F127:AV127,0,0,1),0)</f>
        <v>0</v>
      </c>
      <c r="E118" s="895">
        <f t="shared" si="4"/>
        <v>0</v>
      </c>
    </row>
    <row r="119" spans="2:6" x14ac:dyDescent="0.2">
      <c r="B119" s="891" t="s">
        <v>2297</v>
      </c>
      <c r="C119" s="481" t="s">
        <v>2891</v>
      </c>
      <c r="D119" s="1071">
        <f>IFERROR(_xlfn.XLOOKUP($D$11,ELEC!$F$5:$AV$5,ELEC!F128:AV128,0,0,1),0)</f>
        <v>5</v>
      </c>
      <c r="E119" s="895">
        <f t="shared" si="4"/>
        <v>5</v>
      </c>
    </row>
    <row r="120" spans="2:6" x14ac:dyDescent="0.2">
      <c r="B120" s="891" t="s">
        <v>2293</v>
      </c>
      <c r="C120" s="481" t="s">
        <v>3041</v>
      </c>
      <c r="D120" s="1071">
        <f>IFERROR(_xlfn.XLOOKUP($D$11,ELEC!$F$5:$AV$5,ELEC!F129:AV129,0,0,1),0)</f>
        <v>0</v>
      </c>
      <c r="E120" s="895">
        <f t="shared" si="4"/>
        <v>0</v>
      </c>
    </row>
    <row r="121" spans="2:6" x14ac:dyDescent="0.2">
      <c r="B121" s="891" t="s">
        <v>1987</v>
      </c>
      <c r="C121" s="481" t="s">
        <v>3048</v>
      </c>
      <c r="D121" s="1071">
        <f>IFERROR(_xlfn.XLOOKUP($D$11,ELEC!$F$5:$AV$5,ELEC!F130:AV130,0,0,1),0)</f>
        <v>5</v>
      </c>
      <c r="E121" s="895">
        <f t="shared" ref="E121:E123" si="5">ROUNDUP(D121,0)</f>
        <v>5</v>
      </c>
    </row>
    <row r="122" spans="2:6" x14ac:dyDescent="0.2">
      <c r="B122" s="891" t="s">
        <v>2484</v>
      </c>
      <c r="C122" s="481" t="s">
        <v>3047</v>
      </c>
      <c r="D122" s="1071">
        <f>IFERROR(_xlfn.XLOOKUP($D$11,ELEC!$F$5:$AV$5,ELEC!F131:AV131,0,0,1),0)</f>
        <v>1</v>
      </c>
      <c r="E122" s="895">
        <f t="shared" si="5"/>
        <v>1</v>
      </c>
    </row>
    <row r="123" spans="2:6" x14ac:dyDescent="0.2">
      <c r="B123" s="891" t="s">
        <v>2291</v>
      </c>
      <c r="C123" s="481" t="s">
        <v>3529</v>
      </c>
      <c r="D123" s="1071">
        <f>IFERROR(_xlfn.XLOOKUP($D$11,ELEC!$F$5:$AV$5,ELEC!F132:AV132,0,0,1),0)</f>
        <v>2</v>
      </c>
      <c r="E123" s="895">
        <f t="shared" si="5"/>
        <v>2</v>
      </c>
    </row>
    <row r="126" spans="2:6" s="63" customFormat="1" ht="21" x14ac:dyDescent="0.2">
      <c r="B126" s="1065"/>
      <c r="C126" s="471" t="s">
        <v>2076</v>
      </c>
      <c r="D126" s="472" t="s">
        <v>1810</v>
      </c>
      <c r="E126"/>
      <c r="F126"/>
    </row>
    <row r="127" spans="2:6" s="63" customFormat="1" x14ac:dyDescent="0.2">
      <c r="B127" s="1065"/>
      <c r="C127" s="100"/>
      <c r="D127" s="100"/>
      <c r="E127"/>
      <c r="F127"/>
    </row>
    <row r="129" spans="2:6" s="63" customFormat="1" ht="18.75" x14ac:dyDescent="0.25">
      <c r="B129" s="1065"/>
      <c r="C129" s="477" t="s">
        <v>1810</v>
      </c>
      <c r="D129" s="559" t="s">
        <v>13</v>
      </c>
      <c r="E129" s="559" t="s">
        <v>14</v>
      </c>
      <c r="F129"/>
    </row>
    <row r="130" spans="2:6" s="63" customFormat="1" ht="16.5" x14ac:dyDescent="0.25">
      <c r="B130" s="891" t="s">
        <v>1992</v>
      </c>
      <c r="C130" s="481" t="s">
        <v>2886</v>
      </c>
      <c r="D130" s="1071">
        <f>IFERROR(_xlfn.XLOOKUP($D$11,ELEC!$F$5:$AV$5,ELEC!F136:AV136,0,0,1),0)</f>
        <v>20</v>
      </c>
      <c r="E130" s="895">
        <f t="shared" ref="E130:E157" si="6">ROUNDUP(D130,0)</f>
        <v>20</v>
      </c>
      <c r="F130" s="413"/>
    </row>
    <row r="131" spans="2:6" s="63" customFormat="1" ht="16.5" x14ac:dyDescent="0.25">
      <c r="B131" s="891" t="s">
        <v>2288</v>
      </c>
      <c r="C131" s="481" t="s">
        <v>2887</v>
      </c>
      <c r="D131" s="1071">
        <f>IFERROR(_xlfn.XLOOKUP($D$11,ELEC!$F$5:$AV$5,ELEC!F137:AV137,0,0,1),0)</f>
        <v>9</v>
      </c>
      <c r="E131" s="895">
        <f t="shared" si="6"/>
        <v>9</v>
      </c>
      <c r="F131" s="413"/>
    </row>
    <row r="132" spans="2:6" s="63" customFormat="1" ht="16.5" x14ac:dyDescent="0.25">
      <c r="B132" s="891" t="s">
        <v>2292</v>
      </c>
      <c r="C132" s="481" t="s">
        <v>2888</v>
      </c>
      <c r="D132" s="1071">
        <f>IFERROR(_xlfn.XLOOKUP($D$11,ELEC!$F$5:$AV$5,ELEC!F138:AV138,0,0,1),0)</f>
        <v>8</v>
      </c>
      <c r="E132" s="895">
        <f t="shared" si="6"/>
        <v>8</v>
      </c>
      <c r="F132" s="413"/>
    </row>
    <row r="133" spans="2:6" s="63" customFormat="1" ht="16.5" x14ac:dyDescent="0.25">
      <c r="B133" s="891" t="s">
        <v>2295</v>
      </c>
      <c r="C133" s="481" t="s">
        <v>2889</v>
      </c>
      <c r="D133" s="1071">
        <f>IFERROR(_xlfn.XLOOKUP($D$11,ELEC!$F$5:$AV$5,ELEC!F139:AV139,0,0,1),0)</f>
        <v>30</v>
      </c>
      <c r="E133" s="895">
        <f t="shared" si="6"/>
        <v>30</v>
      </c>
      <c r="F133" s="413"/>
    </row>
    <row r="134" spans="2:6" s="63" customFormat="1" ht="16.5" x14ac:dyDescent="0.25">
      <c r="B134" s="891" t="s">
        <v>2314</v>
      </c>
      <c r="C134" s="481" t="s">
        <v>2890</v>
      </c>
      <c r="D134" s="1071">
        <f>IFERROR(_xlfn.XLOOKUP($D$11,ELEC!$F$5:$AV$5,ELEC!F140:AV140,0,0,1),0)</f>
        <v>25</v>
      </c>
      <c r="E134" s="895">
        <f t="shared" si="6"/>
        <v>25</v>
      </c>
      <c r="F134" s="413"/>
    </row>
    <row r="135" spans="2:6" s="63" customFormat="1" ht="16.5" x14ac:dyDescent="0.25">
      <c r="B135" s="891" t="s">
        <v>2297</v>
      </c>
      <c r="C135" s="481" t="s">
        <v>2891</v>
      </c>
      <c r="D135" s="1071">
        <f>IFERROR(_xlfn.XLOOKUP($D$11,ELEC!$F$5:$AV$5,ELEC!F141:AV141,0,0,1),0)</f>
        <v>4</v>
      </c>
      <c r="E135" s="895">
        <f t="shared" si="6"/>
        <v>4</v>
      </c>
      <c r="F135" s="413"/>
    </row>
    <row r="136" spans="2:6" s="63" customFormat="1" ht="16.5" x14ac:dyDescent="0.25">
      <c r="B136" s="891" t="s">
        <v>2323</v>
      </c>
      <c r="C136" s="481" t="s">
        <v>2892</v>
      </c>
      <c r="D136" s="1071">
        <f>IFERROR(_xlfn.XLOOKUP($D$11,ELEC!$F$5:$AV$5,ELEC!F142:AV142,0,0,1),0)</f>
        <v>25</v>
      </c>
      <c r="E136" s="895">
        <f t="shared" si="6"/>
        <v>25</v>
      </c>
      <c r="F136" s="413"/>
    </row>
    <row r="137" spans="2:6" s="63" customFormat="1" ht="16.5" x14ac:dyDescent="0.25">
      <c r="B137" s="891" t="s">
        <v>2294</v>
      </c>
      <c r="C137" s="481" t="s">
        <v>2893</v>
      </c>
      <c r="D137" s="1071">
        <f>IFERROR(_xlfn.XLOOKUP($D$11,ELEC!$F$5:$AV$5,ELEC!F143:AV143,0,0,1),0)</f>
        <v>0</v>
      </c>
      <c r="E137" s="895">
        <f t="shared" si="6"/>
        <v>0</v>
      </c>
      <c r="F137" s="413"/>
    </row>
    <row r="138" spans="2:6" s="63" customFormat="1" ht="16.5" x14ac:dyDescent="0.25">
      <c r="B138" s="891" t="s">
        <v>2317</v>
      </c>
      <c r="C138" s="481" t="s">
        <v>2894</v>
      </c>
      <c r="D138" s="1071">
        <f>IFERROR(_xlfn.XLOOKUP($D$11,ELEC!$F$5:$AV$5,ELEC!F144:AV144,0,0,1),0)</f>
        <v>9</v>
      </c>
      <c r="E138" s="895">
        <f t="shared" si="6"/>
        <v>9</v>
      </c>
      <c r="F138" s="413"/>
    </row>
    <row r="139" spans="2:6" s="63" customFormat="1" ht="16.5" x14ac:dyDescent="0.25">
      <c r="B139" s="891" t="s">
        <v>2322</v>
      </c>
      <c r="C139" s="481" t="s">
        <v>2895</v>
      </c>
      <c r="D139" s="1071">
        <f>IFERROR(_xlfn.XLOOKUP($D$11,ELEC!$F$5:$AV$5,ELEC!F145:AV145,0,0,1),0)</f>
        <v>3</v>
      </c>
      <c r="E139" s="895">
        <f t="shared" si="6"/>
        <v>3</v>
      </c>
      <c r="F139" s="413"/>
    </row>
    <row r="140" spans="2:6" s="63" customFormat="1" ht="16.5" x14ac:dyDescent="0.25">
      <c r="B140" s="891" t="s">
        <v>2005</v>
      </c>
      <c r="C140" s="481" t="s">
        <v>2896</v>
      </c>
      <c r="D140" s="1071">
        <f>IFERROR(_xlfn.XLOOKUP($D$11,ELEC!$F$5:$AV$5,ELEC!F146:AV146,0,0,1),0)</f>
        <v>50</v>
      </c>
      <c r="E140" s="895">
        <f t="shared" si="6"/>
        <v>50</v>
      </c>
      <c r="F140" s="413"/>
    </row>
    <row r="141" spans="2:6" s="63" customFormat="1" ht="16.5" x14ac:dyDescent="0.25">
      <c r="B141" s="891" t="s">
        <v>2318</v>
      </c>
      <c r="C141" s="481" t="s">
        <v>2897</v>
      </c>
      <c r="D141" s="1071">
        <f>IFERROR(_xlfn.XLOOKUP($D$11,ELEC!$F$5:$AV$5,ELEC!F147:AV147,0,0,1),0)</f>
        <v>25</v>
      </c>
      <c r="E141" s="895">
        <f t="shared" si="6"/>
        <v>25</v>
      </c>
      <c r="F141" s="413"/>
    </row>
    <row r="142" spans="2:6" s="63" customFormat="1" ht="16.5" x14ac:dyDescent="0.25">
      <c r="B142" s="891" t="s">
        <v>2320</v>
      </c>
      <c r="C142" s="481" t="s">
        <v>2898</v>
      </c>
      <c r="D142" s="1071">
        <f>IFERROR(_xlfn.XLOOKUP($D$11,ELEC!$F$5:$AV$5,ELEC!F148:AV148,0,0,1),0)</f>
        <v>1</v>
      </c>
      <c r="E142" s="895">
        <f t="shared" si="6"/>
        <v>1</v>
      </c>
      <c r="F142" s="413"/>
    </row>
    <row r="143" spans="2:6" s="63" customFormat="1" ht="16.5" x14ac:dyDescent="0.25">
      <c r="B143" s="891" t="s">
        <v>2312</v>
      </c>
      <c r="C143" s="481" t="s">
        <v>2899</v>
      </c>
      <c r="D143" s="1071">
        <f>IFERROR(_xlfn.XLOOKUP($D$11,ELEC!$F$5:$AV$5,ELEC!F149:AV149,0,0,1),0)</f>
        <v>200</v>
      </c>
      <c r="E143" s="895">
        <f t="shared" si="6"/>
        <v>200</v>
      </c>
      <c r="F143" s="413"/>
    </row>
    <row r="144" spans="2:6" s="63" customFormat="1" ht="16.5" x14ac:dyDescent="0.25">
      <c r="B144" s="891" t="s">
        <v>2312</v>
      </c>
      <c r="C144" s="481" t="s">
        <v>2900</v>
      </c>
      <c r="D144" s="1071">
        <f>IFERROR(_xlfn.XLOOKUP($D$11,ELEC!$F$5:$AV$5,ELEC!F150:AV150,0,0,1),0)</f>
        <v>200</v>
      </c>
      <c r="E144" s="895">
        <f t="shared" si="6"/>
        <v>200</v>
      </c>
      <c r="F144" s="413"/>
    </row>
    <row r="145" spans="2:6" s="63" customFormat="1" ht="16.5" x14ac:dyDescent="0.25">
      <c r="B145" s="891" t="s">
        <v>2312</v>
      </c>
      <c r="C145" s="481" t="s">
        <v>2901</v>
      </c>
      <c r="D145" s="1071">
        <f>IFERROR(_xlfn.XLOOKUP($D$11,ELEC!$F$5:$AV$5,ELEC!F151:AV151,0,0,1),0)</f>
        <v>200</v>
      </c>
      <c r="E145" s="895">
        <f t="shared" si="6"/>
        <v>200</v>
      </c>
      <c r="F145" s="413"/>
    </row>
    <row r="146" spans="2:6" s="63" customFormat="1" ht="16.5" x14ac:dyDescent="0.25">
      <c r="B146" s="891" t="s">
        <v>2312</v>
      </c>
      <c r="C146" s="481" t="s">
        <v>2902</v>
      </c>
      <c r="D146" s="1071">
        <f>IFERROR(_xlfn.XLOOKUP($D$11,ELEC!$F$5:$AV$5,ELEC!F152:AV152,0,0,1),0)</f>
        <v>200</v>
      </c>
      <c r="E146" s="895">
        <f t="shared" si="6"/>
        <v>200</v>
      </c>
      <c r="F146" s="413"/>
    </row>
    <row r="147" spans="2:6" s="63" customFormat="1" ht="16.5" x14ac:dyDescent="0.25">
      <c r="B147" s="891" t="s">
        <v>2324</v>
      </c>
      <c r="C147" s="481" t="s">
        <v>2903</v>
      </c>
      <c r="D147" s="1071">
        <f>IFERROR(_xlfn.XLOOKUP($D$11,ELEC!$F$5:$AV$5,ELEC!F153:AV153,0,0,1),0)</f>
        <v>10</v>
      </c>
      <c r="E147" s="895">
        <f t="shared" si="6"/>
        <v>10</v>
      </c>
      <c r="F147" s="413"/>
    </row>
    <row r="148" spans="2:6" s="63" customFormat="1" ht="16.5" x14ac:dyDescent="0.25">
      <c r="B148" s="891" t="s">
        <v>2319</v>
      </c>
      <c r="C148" s="481" t="s">
        <v>2904</v>
      </c>
      <c r="D148" s="1071">
        <f>IFERROR(_xlfn.XLOOKUP($D$11,ELEC!$F$5:$AV$5,ELEC!F154:AV154,0,0,1),0)</f>
        <v>50</v>
      </c>
      <c r="E148" s="895">
        <f t="shared" si="6"/>
        <v>50</v>
      </c>
      <c r="F148" s="413"/>
    </row>
    <row r="149" spans="2:6" s="63" customFormat="1" ht="16.5" x14ac:dyDescent="0.25">
      <c r="B149" s="891" t="s">
        <v>2293</v>
      </c>
      <c r="C149" s="481" t="s">
        <v>2905</v>
      </c>
      <c r="D149" s="1071">
        <f>IFERROR(_xlfn.XLOOKUP($D$11,ELEC!$F$5:$AV$5,ELEC!F155:AV155,0,0,1),0)</f>
        <v>1</v>
      </c>
      <c r="E149" s="895">
        <f t="shared" si="6"/>
        <v>1</v>
      </c>
      <c r="F149" s="413"/>
    </row>
    <row r="150" spans="2:6" s="63" customFormat="1" ht="16.5" x14ac:dyDescent="0.25">
      <c r="B150" s="891" t="s">
        <v>2186</v>
      </c>
      <c r="C150" s="481" t="s">
        <v>2906</v>
      </c>
      <c r="D150" s="1071">
        <f>IFERROR(_xlfn.XLOOKUP($D$11,ELEC!$F$5:$AV$5,ELEC!F156:AV156,0,0,1),0)</f>
        <v>0</v>
      </c>
      <c r="E150" s="895">
        <f t="shared" si="6"/>
        <v>0</v>
      </c>
      <c r="F150" s="413"/>
    </row>
    <row r="151" spans="2:6" s="63" customFormat="1" ht="16.5" x14ac:dyDescent="0.25">
      <c r="B151" s="891" t="s">
        <v>3280</v>
      </c>
      <c r="C151" s="481" t="s">
        <v>2907</v>
      </c>
      <c r="D151" s="1071">
        <f>IFERROR(_xlfn.XLOOKUP($D$11,ELEC!$F$5:$AV$5,ELEC!F157:AV157,0,0,1),0)</f>
        <v>100</v>
      </c>
      <c r="E151" s="895">
        <f t="shared" si="6"/>
        <v>100</v>
      </c>
      <c r="F151" s="413"/>
    </row>
    <row r="152" spans="2:6" s="63" customFormat="1" ht="16.5" x14ac:dyDescent="0.25">
      <c r="B152" s="891" t="s">
        <v>2289</v>
      </c>
      <c r="C152" s="481" t="s">
        <v>2908</v>
      </c>
      <c r="D152" s="1071">
        <f>IFERROR(_xlfn.XLOOKUP($D$11,ELEC!$F$5:$AV$5,ELEC!F158:AV158,0,0,1),0)</f>
        <v>2</v>
      </c>
      <c r="E152" s="895">
        <f t="shared" si="6"/>
        <v>2</v>
      </c>
      <c r="F152" s="413"/>
    </row>
    <row r="153" spans="2:6" s="63" customFormat="1" ht="16.5" x14ac:dyDescent="0.25">
      <c r="B153" s="891" t="s">
        <v>2291</v>
      </c>
      <c r="C153" s="481" t="s">
        <v>2909</v>
      </c>
      <c r="D153" s="1071">
        <f>IFERROR(_xlfn.XLOOKUP($D$11,ELEC!$F$5:$AV$5,ELEC!F159:AV159,0,0,1),0)</f>
        <v>4</v>
      </c>
      <c r="E153" s="895">
        <f t="shared" si="6"/>
        <v>4</v>
      </c>
      <c r="F153" s="413"/>
    </row>
    <row r="154" spans="2:6" s="63" customFormat="1" ht="16.5" x14ac:dyDescent="0.25">
      <c r="B154" s="891" t="s">
        <v>2290</v>
      </c>
      <c r="C154" s="481" t="s">
        <v>2910</v>
      </c>
      <c r="D154" s="1071">
        <f>IFERROR(_xlfn.XLOOKUP($D$11,ELEC!$F$5:$AV$5,ELEC!F160:AV160,0,0,1),0)</f>
        <v>2</v>
      </c>
      <c r="E154" s="895">
        <f t="shared" si="6"/>
        <v>2</v>
      </c>
      <c r="F154" s="413"/>
    </row>
    <row r="155" spans="2:6" s="63" customFormat="1" ht="16.5" x14ac:dyDescent="0.25">
      <c r="B155" s="891" t="s">
        <v>1998</v>
      </c>
      <c r="C155" s="488" t="s">
        <v>2911</v>
      </c>
      <c r="D155" s="1071">
        <f>IFERROR(_xlfn.XLOOKUP($D$11,ELEC!$F$5:$AV$5,ELEC!F161:AV161,0,0,1),0)</f>
        <v>4</v>
      </c>
      <c r="E155" s="895">
        <f t="shared" si="6"/>
        <v>4</v>
      </c>
      <c r="F155" s="413"/>
    </row>
    <row r="156" spans="2:6" s="63" customFormat="1" ht="16.5" x14ac:dyDescent="0.25">
      <c r="B156" s="891" t="s">
        <v>2484</v>
      </c>
      <c r="C156" s="481" t="s">
        <v>2912</v>
      </c>
      <c r="D156" s="1071">
        <f>IFERROR(_xlfn.XLOOKUP($D$11,ELEC!$F$5:$AV$5,ELEC!F162:AV162,0,0,1),0)</f>
        <v>4</v>
      </c>
      <c r="E156" s="895">
        <f t="shared" si="6"/>
        <v>4</v>
      </c>
      <c r="F156" s="413"/>
    </row>
    <row r="157" spans="2:6" s="63" customFormat="1" ht="16.5" x14ac:dyDescent="0.25">
      <c r="B157" s="891" t="s">
        <v>3281</v>
      </c>
      <c r="C157" s="481" t="s">
        <v>2913</v>
      </c>
      <c r="D157" s="1071">
        <f>IFERROR(_xlfn.XLOOKUP($D$11,ELEC!$F$5:$AV$5,ELEC!F163:AV163,0,0,1),0)</f>
        <v>100</v>
      </c>
      <c r="E157" s="895">
        <f t="shared" si="6"/>
        <v>100</v>
      </c>
      <c r="F157" s="413"/>
    </row>
    <row r="158" spans="2:6" s="63" customFormat="1" ht="16.5" x14ac:dyDescent="0.25">
      <c r="B158" s="891" t="s">
        <v>1987</v>
      </c>
      <c r="C158" s="1071" t="s">
        <v>3048</v>
      </c>
      <c r="D158" s="1071">
        <f>IFERROR(_xlfn.XLOOKUP($D$11,ELEC!$F$5:$AV$5,ELEC!F164:AV164,0,0,1),0)</f>
        <v>6</v>
      </c>
      <c r="E158" s="895">
        <f t="shared" ref="E158:E159" si="7">ROUNDUP(D158,0)</f>
        <v>6</v>
      </c>
      <c r="F158" s="413"/>
    </row>
    <row r="159" spans="2:6" s="63" customFormat="1" ht="16.5" x14ac:dyDescent="0.25">
      <c r="B159" s="891" t="s">
        <v>2313</v>
      </c>
      <c r="C159" s="1071" t="s">
        <v>3057</v>
      </c>
      <c r="D159" s="1071">
        <f>IFERROR(_xlfn.XLOOKUP($D$11,ELEC!$F$5:$AV$5,ELEC!F165:AV165,0,0,1),0)</f>
        <v>35</v>
      </c>
      <c r="E159" s="895">
        <f t="shared" si="7"/>
        <v>35</v>
      </c>
      <c r="F159" s="413"/>
    </row>
    <row r="161" spans="2:6" s="63" customFormat="1" ht="23.1" customHeight="1" x14ac:dyDescent="0.2">
      <c r="B161" s="1065"/>
      <c r="C161" s="562" t="s">
        <v>1809</v>
      </c>
      <c r="D161" s="563">
        <f>+E327</f>
        <v>95000</v>
      </c>
      <c r="E161"/>
      <c r="F161"/>
    </row>
    <row r="164" spans="2:6" s="63" customFormat="1" ht="21" x14ac:dyDescent="0.2">
      <c r="B164" s="149"/>
      <c r="C164" s="471" t="s">
        <v>2077</v>
      </c>
      <c r="D164" s="472" t="s">
        <v>233</v>
      </c>
      <c r="E164" s="560"/>
    </row>
    <row r="167" spans="2:6" ht="18.75" x14ac:dyDescent="0.25">
      <c r="C167" s="477" t="s">
        <v>1384</v>
      </c>
      <c r="D167" s="559" t="s">
        <v>13</v>
      </c>
      <c r="E167" s="559" t="s">
        <v>14</v>
      </c>
    </row>
    <row r="168" spans="2:6" x14ac:dyDescent="0.2">
      <c r="B168" s="891" t="s">
        <v>1993</v>
      </c>
      <c r="C168" s="481" t="s">
        <v>3295</v>
      </c>
      <c r="D168" s="1071">
        <f>IFERROR(_xlfn.XLOOKUP($D$11,ELEC!$F$5:$AV$5,ELEC!F282:AV282,0,0,1),0)</f>
        <v>1</v>
      </c>
      <c r="E168" s="895">
        <f t="shared" ref="E168:E193" si="8">ROUNDUP(D168,0)</f>
        <v>1</v>
      </c>
    </row>
    <row r="169" spans="2:6" x14ac:dyDescent="0.2">
      <c r="B169" s="891" t="s">
        <v>1994</v>
      </c>
      <c r="C169" s="481" t="s">
        <v>3294</v>
      </c>
      <c r="D169" s="1071">
        <f>IFERROR(_xlfn.XLOOKUP($D$11,ELEC!$F$5:$AV$5,ELEC!F283:AV283,0,0,1),0)</f>
        <v>1</v>
      </c>
      <c r="E169" s="895">
        <f t="shared" si="8"/>
        <v>1</v>
      </c>
    </row>
    <row r="170" spans="2:6" x14ac:dyDescent="0.2">
      <c r="B170" s="891" t="s">
        <v>1992</v>
      </c>
      <c r="C170" s="481" t="s">
        <v>3296</v>
      </c>
      <c r="D170" s="1071">
        <f>IFERROR(_xlfn.XLOOKUP($D$11,ELEC!$F$5:$AV$5,ELEC!F284:AV284,0,0,1),0)</f>
        <v>2</v>
      </c>
      <c r="E170" s="895">
        <f t="shared" si="8"/>
        <v>2</v>
      </c>
    </row>
    <row r="171" spans="2:6" x14ac:dyDescent="0.2">
      <c r="B171" s="891" t="s">
        <v>1998</v>
      </c>
      <c r="C171" s="481" t="s">
        <v>3329</v>
      </c>
      <c r="D171" s="1071">
        <f>IFERROR(_xlfn.XLOOKUP($D$11,ELEC!$F$5:$AV$5,ELEC!F285:AV285,0,0,1),0)</f>
        <v>0</v>
      </c>
      <c r="E171" s="895">
        <f t="shared" si="8"/>
        <v>0</v>
      </c>
    </row>
    <row r="172" spans="2:6" x14ac:dyDescent="0.2">
      <c r="B172" s="891" t="s">
        <v>1997</v>
      </c>
      <c r="C172" s="481" t="s">
        <v>3291</v>
      </c>
      <c r="D172" s="1071">
        <f>IFERROR(_xlfn.XLOOKUP($D$11,ELEC!$F$5:$AV$5,ELEC!F286:AV286,0,0,1),0)</f>
        <v>2</v>
      </c>
      <c r="E172" s="895">
        <f t="shared" si="8"/>
        <v>2</v>
      </c>
    </row>
    <row r="173" spans="2:6" x14ac:dyDescent="0.2">
      <c r="B173" s="891" t="s">
        <v>2282</v>
      </c>
      <c r="C173" s="481" t="s">
        <v>3292</v>
      </c>
      <c r="D173" s="1071">
        <f>IFERROR(_xlfn.XLOOKUP($D$11,ELEC!$F$5:$AV$5,ELEC!F287:AV287,0,0,1),0)</f>
        <v>2</v>
      </c>
      <c r="E173" s="895">
        <f t="shared" si="8"/>
        <v>2</v>
      </c>
    </row>
    <row r="174" spans="2:6" x14ac:dyDescent="0.2">
      <c r="B174" s="891" t="s">
        <v>2288</v>
      </c>
      <c r="C174" s="481" t="s">
        <v>3293</v>
      </c>
      <c r="D174" s="1071">
        <f>IFERROR(_xlfn.XLOOKUP($D$11,ELEC!$F$5:$AV$5,ELEC!F288:AV288,0,0,1),0)</f>
        <v>1</v>
      </c>
      <c r="E174" s="895">
        <f t="shared" si="8"/>
        <v>1</v>
      </c>
    </row>
    <row r="175" spans="2:6" x14ac:dyDescent="0.2">
      <c r="B175" s="891" t="s">
        <v>2283</v>
      </c>
      <c r="C175" s="481" t="s">
        <v>3330</v>
      </c>
      <c r="D175" s="1071">
        <f>IFERROR(_xlfn.XLOOKUP($D$11,ELEC!$F$5:$AV$5,ELEC!F289:AV289,0,0,1),0)</f>
        <v>1</v>
      </c>
      <c r="E175" s="895">
        <f t="shared" si="8"/>
        <v>1</v>
      </c>
    </row>
    <row r="176" spans="2:6" x14ac:dyDescent="0.2">
      <c r="B176" s="891" t="s">
        <v>2284</v>
      </c>
      <c r="C176" s="481" t="s">
        <v>3331</v>
      </c>
      <c r="D176" s="1071">
        <f>IFERROR(_xlfn.XLOOKUP($D$11,ELEC!$F$5:$AV$5,ELEC!F290:AV290,0,0,1),0)</f>
        <v>1</v>
      </c>
      <c r="E176" s="895">
        <f t="shared" si="8"/>
        <v>1</v>
      </c>
    </row>
    <row r="177" spans="2:5" x14ac:dyDescent="0.2">
      <c r="B177" s="891" t="s">
        <v>2292</v>
      </c>
      <c r="C177" s="481" t="s">
        <v>3332</v>
      </c>
      <c r="D177" s="1071">
        <f>IFERROR(_xlfn.XLOOKUP($D$11,ELEC!$F$5:$AV$5,ELEC!F291:AV291,0,0,1),0)</f>
        <v>0</v>
      </c>
      <c r="E177" s="895">
        <f t="shared" si="8"/>
        <v>0</v>
      </c>
    </row>
    <row r="178" spans="2:5" x14ac:dyDescent="0.2">
      <c r="B178" s="891" t="s">
        <v>1995</v>
      </c>
      <c r="C178" s="481" t="s">
        <v>3290</v>
      </c>
      <c r="D178" s="1071">
        <f>IFERROR(_xlfn.XLOOKUP($D$11,ELEC!$F$5:$AV$5,ELEC!F292:AV292,0,0,1),0)</f>
        <v>1</v>
      </c>
      <c r="E178" s="895">
        <f t="shared" si="8"/>
        <v>1</v>
      </c>
    </row>
    <row r="179" spans="2:5" x14ac:dyDescent="0.2">
      <c r="B179" s="891" t="s">
        <v>1996</v>
      </c>
      <c r="C179" s="481" t="s">
        <v>3333</v>
      </c>
      <c r="D179" s="1071">
        <f>IFERROR(_xlfn.XLOOKUP($D$11,ELEC!$F$5:$AV$5,ELEC!F293:AV293,0,0,1),0)</f>
        <v>0</v>
      </c>
      <c r="E179" s="895">
        <f t="shared" si="8"/>
        <v>0</v>
      </c>
    </row>
    <row r="180" spans="2:5" x14ac:dyDescent="0.2">
      <c r="B180" s="891" t="s">
        <v>2295</v>
      </c>
      <c r="C180" s="481" t="s">
        <v>3289</v>
      </c>
      <c r="D180" s="1071">
        <f>IFERROR(_xlfn.XLOOKUP($D$11,ELEC!$F$5:$AV$5,ELEC!F294:AV294,0,0,1),0)</f>
        <v>1</v>
      </c>
      <c r="E180" s="895">
        <f t="shared" si="8"/>
        <v>1</v>
      </c>
    </row>
    <row r="181" spans="2:5" x14ac:dyDescent="0.2">
      <c r="B181" s="891" t="s">
        <v>2274</v>
      </c>
      <c r="C181" s="481" t="s">
        <v>3284</v>
      </c>
      <c r="D181" s="1071">
        <f>IFERROR(_xlfn.XLOOKUP($D$11,ELEC!$F$5:$AV$5,ELEC!F295:AV295,0,0,1),0)</f>
        <v>1</v>
      </c>
      <c r="E181" s="895">
        <f t="shared" si="8"/>
        <v>1</v>
      </c>
    </row>
    <row r="182" spans="2:5" x14ac:dyDescent="0.2">
      <c r="B182" s="891" t="s">
        <v>2009</v>
      </c>
      <c r="C182" s="481" t="s">
        <v>3285</v>
      </c>
      <c r="D182" s="1071">
        <f>IFERROR(_xlfn.XLOOKUP($D$11,ELEC!$F$5:$AV$5,ELEC!F296:AV296,0,0,1),0)</f>
        <v>1</v>
      </c>
      <c r="E182" s="895">
        <f t="shared" si="8"/>
        <v>1</v>
      </c>
    </row>
    <row r="183" spans="2:5" x14ac:dyDescent="0.2">
      <c r="B183" s="891" t="s">
        <v>1990</v>
      </c>
      <c r="C183" s="481" t="s">
        <v>3301</v>
      </c>
      <c r="D183" s="1071">
        <f>IFERROR(_xlfn.XLOOKUP($D$11,ELEC!$F$5:$AV$5,ELEC!F297:AV297,0,0,1),0)</f>
        <v>0</v>
      </c>
      <c r="E183" s="895">
        <f t="shared" si="8"/>
        <v>0</v>
      </c>
    </row>
    <row r="184" spans="2:5" x14ac:dyDescent="0.2">
      <c r="B184" s="891" t="s">
        <v>2118</v>
      </c>
      <c r="C184" s="481" t="s">
        <v>3334</v>
      </c>
      <c r="D184" s="1071">
        <f>IFERROR(_xlfn.XLOOKUP($D$11,ELEC!$F$5:$AV$5,ELEC!F298:AV298,0,0,1),0)</f>
        <v>1</v>
      </c>
      <c r="E184" s="895">
        <f t="shared" si="8"/>
        <v>1</v>
      </c>
    </row>
    <row r="185" spans="2:5" x14ac:dyDescent="0.2">
      <c r="B185" s="891" t="s">
        <v>2273</v>
      </c>
      <c r="C185" s="481" t="s">
        <v>3298</v>
      </c>
      <c r="D185" s="1071">
        <f>IFERROR(_xlfn.XLOOKUP($D$11,ELEC!$F$5:$AV$5,ELEC!F299:AV299,0,0,1),0)</f>
        <v>1</v>
      </c>
      <c r="E185" s="895">
        <f t="shared" si="8"/>
        <v>1</v>
      </c>
    </row>
    <row r="186" spans="2:5" x14ac:dyDescent="0.2">
      <c r="B186" s="891" t="s">
        <v>2276</v>
      </c>
      <c r="C186" s="481" t="s">
        <v>3336</v>
      </c>
      <c r="D186" s="1071">
        <f>IFERROR(_xlfn.XLOOKUP($D$11,ELEC!$F$5:$AV$5,ELEC!F300:AV300,0,0,1),0)</f>
        <v>1</v>
      </c>
      <c r="E186" s="895">
        <f t="shared" si="8"/>
        <v>1</v>
      </c>
    </row>
    <row r="187" spans="2:5" x14ac:dyDescent="0.2">
      <c r="B187" s="891" t="s">
        <v>2280</v>
      </c>
      <c r="C187" s="481" t="s">
        <v>3297</v>
      </c>
      <c r="D187" s="1071">
        <f>IFERROR(_xlfn.XLOOKUP($D$11,ELEC!$F$5:$AV$5,ELEC!F301:AV301,0,0,1),0)</f>
        <v>1</v>
      </c>
      <c r="E187" s="895">
        <f t="shared" si="8"/>
        <v>1</v>
      </c>
    </row>
    <row r="188" spans="2:5" x14ac:dyDescent="0.2">
      <c r="B188" s="891" t="s">
        <v>2275</v>
      </c>
      <c r="C188" s="481" t="s">
        <v>3287</v>
      </c>
      <c r="D188" s="1071">
        <f>IFERROR(_xlfn.XLOOKUP($D$11,ELEC!$F$5:$AV$5,ELEC!F302:AV302,0,0,1),0)</f>
        <v>2</v>
      </c>
      <c r="E188" s="895">
        <f t="shared" si="8"/>
        <v>2</v>
      </c>
    </row>
    <row r="189" spans="2:5" x14ac:dyDescent="0.2">
      <c r="B189" s="891" t="s">
        <v>2277</v>
      </c>
      <c r="C189" s="481" t="s">
        <v>3286</v>
      </c>
      <c r="D189" s="1071">
        <f>IFERROR(_xlfn.XLOOKUP($D$11,ELEC!$F$5:$AV$5,ELEC!F303:AV303,0,0,1),0)</f>
        <v>1</v>
      </c>
      <c r="E189" s="895">
        <f t="shared" si="8"/>
        <v>1</v>
      </c>
    </row>
    <row r="190" spans="2:5" x14ac:dyDescent="0.2">
      <c r="B190" s="891" t="s">
        <v>2298</v>
      </c>
      <c r="C190" s="481" t="s">
        <v>3288</v>
      </c>
      <c r="D190" s="1071">
        <f>IFERROR(_xlfn.XLOOKUP($D$11,ELEC!$F$5:$AV$5,ELEC!F304:AV304,0,0,1),0)</f>
        <v>1</v>
      </c>
      <c r="E190" s="895">
        <f t="shared" si="8"/>
        <v>1</v>
      </c>
    </row>
    <row r="191" spans="2:5" x14ac:dyDescent="0.2">
      <c r="B191" s="891" t="s">
        <v>2300</v>
      </c>
      <c r="C191" s="481" t="s">
        <v>3300</v>
      </c>
      <c r="D191" s="1071">
        <f>IFERROR(_xlfn.XLOOKUP($D$11,ELEC!$F$5:$AV$5,ELEC!F305:AV305,0,0,1),0)</f>
        <v>4</v>
      </c>
      <c r="E191" s="895">
        <f t="shared" si="8"/>
        <v>4</v>
      </c>
    </row>
    <row r="192" spans="2:5" x14ac:dyDescent="0.2">
      <c r="B192" s="891" t="s">
        <v>2299</v>
      </c>
      <c r="C192" s="481" t="s">
        <v>3299</v>
      </c>
      <c r="D192" s="1071">
        <f>IFERROR(_xlfn.XLOOKUP($D$11,ELEC!$F$5:$AV$5,ELEC!F306:AV306,0,0,1),0)</f>
        <v>0</v>
      </c>
      <c r="E192" s="895">
        <f t="shared" si="8"/>
        <v>0</v>
      </c>
    </row>
    <row r="193" spans="2:5" x14ac:dyDescent="0.2">
      <c r="B193" s="891" t="s">
        <v>3328</v>
      </c>
      <c r="C193" s="481" t="s">
        <v>3335</v>
      </c>
      <c r="D193" s="1071">
        <f>IFERROR(_xlfn.XLOOKUP($D$11,ELEC!$F$5:$AV$5,ELEC!F307:AV307,0,0,1),0)</f>
        <v>1</v>
      </c>
      <c r="E193" s="895">
        <f t="shared" si="8"/>
        <v>1</v>
      </c>
    </row>
    <row r="195" spans="2:5" s="63" customFormat="1" ht="23.1" customHeight="1" x14ac:dyDescent="0.2">
      <c r="B195" s="1065"/>
      <c r="C195" s="562" t="s">
        <v>1809</v>
      </c>
      <c r="D195" s="563">
        <f>+E326</f>
        <v>25000</v>
      </c>
      <c r="E195"/>
    </row>
    <row r="196" spans="2:5" s="63" customFormat="1" ht="23.1" customHeight="1" x14ac:dyDescent="0.2">
      <c r="B196" s="1065"/>
      <c r="C196" s="100"/>
      <c r="D196" s="100"/>
      <c r="E196"/>
    </row>
    <row r="198" spans="2:5" s="63" customFormat="1" ht="21" x14ac:dyDescent="0.2">
      <c r="B198" s="149"/>
      <c r="C198" s="471" t="s">
        <v>2078</v>
      </c>
      <c r="D198" s="472" t="s">
        <v>236</v>
      </c>
      <c r="E198"/>
    </row>
    <row r="201" spans="2:5" s="480" customFormat="1" ht="18.75" x14ac:dyDescent="0.25">
      <c r="B201" s="1066"/>
      <c r="C201" s="477" t="s">
        <v>3316</v>
      </c>
      <c r="D201" s="559" t="s">
        <v>13</v>
      </c>
      <c r="E201" s="559" t="s">
        <v>14</v>
      </c>
    </row>
    <row r="202" spans="2:5" s="480" customFormat="1" x14ac:dyDescent="0.2">
      <c r="B202" s="891" t="s">
        <v>1995</v>
      </c>
      <c r="C202" s="481" t="s">
        <v>3302</v>
      </c>
      <c r="D202" s="1071">
        <f>IFERROR(_xlfn.XLOOKUP($D$11,ELEC!$F$5:$AV$5,ELEC!F167:AV167,0,0,1),0)</f>
        <v>1</v>
      </c>
      <c r="E202" s="895">
        <f t="shared" ref="E202:E215" si="9">ROUNDUP(D202,0)</f>
        <v>1</v>
      </c>
    </row>
    <row r="203" spans="2:5" s="479" customFormat="1" x14ac:dyDescent="0.2">
      <c r="B203" s="891" t="s">
        <v>1996</v>
      </c>
      <c r="C203" s="481" t="s">
        <v>3303</v>
      </c>
      <c r="D203" s="1071">
        <f>IFERROR(_xlfn.XLOOKUP($D$11,ELEC!$F$5:$AV$5,ELEC!F168:AV168,0,0,1),0)</f>
        <v>2</v>
      </c>
      <c r="E203" s="895">
        <f t="shared" si="9"/>
        <v>2</v>
      </c>
    </row>
    <row r="204" spans="2:5" s="479" customFormat="1" x14ac:dyDescent="0.2">
      <c r="B204" s="891" t="s">
        <v>2295</v>
      </c>
      <c r="C204" s="481" t="s">
        <v>3304</v>
      </c>
      <c r="D204" s="1071">
        <f>IFERROR(_xlfn.XLOOKUP($D$11,ELEC!$F$5:$AV$5,ELEC!F169:AV169,0,0,1),0)</f>
        <v>20</v>
      </c>
      <c r="E204" s="895">
        <f t="shared" si="9"/>
        <v>20</v>
      </c>
    </row>
    <row r="205" spans="2:5" s="479" customFormat="1" x14ac:dyDescent="0.2">
      <c r="B205" s="891" t="s">
        <v>2291</v>
      </c>
      <c r="C205" s="481" t="s">
        <v>3305</v>
      </c>
      <c r="D205" s="1071">
        <f>IFERROR(_xlfn.XLOOKUP($D$11,ELEC!$F$5:$AV$5,ELEC!F170:AV170,0,0,1),0)</f>
        <v>10</v>
      </c>
      <c r="E205" s="895">
        <f t="shared" si="9"/>
        <v>10</v>
      </c>
    </row>
    <row r="206" spans="2:5" s="479" customFormat="1" x14ac:dyDescent="0.2">
      <c r="B206" s="891" t="s">
        <v>2283</v>
      </c>
      <c r="C206" s="481" t="s">
        <v>3306</v>
      </c>
      <c r="D206" s="1071">
        <f>IFERROR(_xlfn.XLOOKUP($D$11,ELEC!$F$5:$AV$5,ELEC!F171:AV171,0,0,1),0)</f>
        <v>1</v>
      </c>
      <c r="E206" s="895">
        <f t="shared" si="9"/>
        <v>1</v>
      </c>
    </row>
    <row r="207" spans="2:5" s="479" customFormat="1" x14ac:dyDescent="0.2">
      <c r="B207" s="891" t="s">
        <v>2284</v>
      </c>
      <c r="C207" s="481" t="s">
        <v>3307</v>
      </c>
      <c r="D207" s="1071">
        <f>IFERROR(_xlfn.XLOOKUP($D$11,ELEC!$F$5:$AV$5,ELEC!F172:AV172,0,0,1),0)</f>
        <v>2</v>
      </c>
      <c r="E207" s="895">
        <f t="shared" si="9"/>
        <v>2</v>
      </c>
    </row>
    <row r="208" spans="2:5" s="479" customFormat="1" x14ac:dyDescent="0.2">
      <c r="B208" s="891" t="s">
        <v>2292</v>
      </c>
      <c r="C208" s="481" t="s">
        <v>3308</v>
      </c>
      <c r="D208" s="1071">
        <f>IFERROR(_xlfn.XLOOKUP($D$11,ELEC!$F$5:$AV$5,ELEC!F173:AV173,0,0,1),0)</f>
        <v>13</v>
      </c>
      <c r="E208" s="895">
        <f t="shared" si="9"/>
        <v>13</v>
      </c>
    </row>
    <row r="209" spans="2:8" s="479" customFormat="1" x14ac:dyDescent="0.2">
      <c r="B209" s="891" t="s">
        <v>2290</v>
      </c>
      <c r="C209" s="481" t="s">
        <v>3309</v>
      </c>
      <c r="D209" s="1071">
        <f>IFERROR(_xlfn.XLOOKUP($D$11,ELEC!$F$5:$AV$5,ELEC!F174:AV174,0,0,1),0)</f>
        <v>10</v>
      </c>
      <c r="E209" s="895">
        <f t="shared" si="9"/>
        <v>10</v>
      </c>
    </row>
    <row r="210" spans="2:8" s="479" customFormat="1" x14ac:dyDescent="0.2">
      <c r="B210" s="891" t="s">
        <v>2186</v>
      </c>
      <c r="C210" s="481" t="s">
        <v>3310</v>
      </c>
      <c r="D210" s="1071">
        <f>IFERROR(_xlfn.XLOOKUP($D$11,ELEC!$F$5:$AV$5,ELEC!F175:AV175,0,0,1),0)</f>
        <v>1</v>
      </c>
      <c r="E210" s="895">
        <f t="shared" si="9"/>
        <v>1</v>
      </c>
    </row>
    <row r="211" spans="2:8" s="479" customFormat="1" x14ac:dyDescent="0.2">
      <c r="B211" s="891" t="s">
        <v>1987</v>
      </c>
      <c r="C211" s="481" t="s">
        <v>3311</v>
      </c>
      <c r="D211" s="1071">
        <f>IFERROR(_xlfn.XLOOKUP($D$11,ELEC!$F$5:$AV$5,ELEC!F176:AV176,0,0,1),0)</f>
        <v>1</v>
      </c>
      <c r="E211" s="895">
        <f t="shared" si="9"/>
        <v>1</v>
      </c>
    </row>
    <row r="212" spans="2:8" s="479" customFormat="1" x14ac:dyDescent="0.2">
      <c r="B212" s="891" t="s">
        <v>2308</v>
      </c>
      <c r="C212" s="481" t="s">
        <v>3312</v>
      </c>
      <c r="D212" s="1071">
        <f>IFERROR(_xlfn.XLOOKUP($D$11,ELEC!$F$5:$AV$5,ELEC!F177:AV177,0,0,1),0)</f>
        <v>0</v>
      </c>
      <c r="E212" s="895">
        <f t="shared" si="9"/>
        <v>0</v>
      </c>
    </row>
    <row r="213" spans="2:8" s="479" customFormat="1" x14ac:dyDescent="0.2">
      <c r="B213" s="891" t="s">
        <v>2309</v>
      </c>
      <c r="C213" s="481" t="s">
        <v>3313</v>
      </c>
      <c r="D213" s="1071">
        <f>IFERROR(_xlfn.XLOOKUP($D$11,ELEC!$F$5:$AV$5,ELEC!F178:AV178,0,0,1),0)</f>
        <v>1</v>
      </c>
      <c r="E213" s="895">
        <f t="shared" si="9"/>
        <v>1</v>
      </c>
    </row>
    <row r="214" spans="2:8" s="479" customFormat="1" x14ac:dyDescent="0.2">
      <c r="B214" s="891" t="s">
        <v>1992</v>
      </c>
      <c r="C214" s="481" t="s">
        <v>3314</v>
      </c>
      <c r="D214" s="1071">
        <f>IFERROR(_xlfn.XLOOKUP($D$11,ELEC!$F$5:$AV$5,ELEC!F179:AV179,0,0,1),0)</f>
        <v>1</v>
      </c>
      <c r="E214" s="895">
        <f t="shared" si="9"/>
        <v>1</v>
      </c>
    </row>
    <row r="215" spans="2:8" s="479" customFormat="1" x14ac:dyDescent="0.2">
      <c r="B215" s="891" t="s">
        <v>3317</v>
      </c>
      <c r="C215" s="481" t="s">
        <v>3315</v>
      </c>
      <c r="D215" s="1071">
        <f>IFERROR(_xlfn.XLOOKUP($D$11,ELEC!$F$5:$AV$5,ELEC!F180:AV180,0,0,1),0)</f>
        <v>1</v>
      </c>
      <c r="E215" s="895">
        <f t="shared" si="9"/>
        <v>1</v>
      </c>
    </row>
    <row r="216" spans="2:8" s="479" customFormat="1" x14ac:dyDescent="0.2">
      <c r="B216" s="891" t="s">
        <v>2484</v>
      </c>
      <c r="C216" s="561" t="s">
        <v>3047</v>
      </c>
      <c r="D216" s="1071">
        <f>IFERROR(_xlfn.XLOOKUP($D$11,ELEC!$F$5:$AV$5,ELEC!F181:AV181,0,0,1),0)</f>
        <v>1</v>
      </c>
      <c r="E216" s="895">
        <f t="shared" ref="E216" si="10">ROUNDUP(D216,0)</f>
        <v>1</v>
      </c>
    </row>
    <row r="218" spans="2:8" s="63" customFormat="1" ht="23.1" customHeight="1" x14ac:dyDescent="0.2">
      <c r="B218" s="1065"/>
      <c r="C218" s="562" t="s">
        <v>1809</v>
      </c>
      <c r="D218" s="563">
        <f>+E325</f>
        <v>32500</v>
      </c>
      <c r="E218"/>
      <c r="F218"/>
    </row>
    <row r="221" spans="2:8" ht="21" x14ac:dyDescent="0.2">
      <c r="C221" s="471" t="s">
        <v>2079</v>
      </c>
      <c r="D221" s="472" t="s">
        <v>237</v>
      </c>
    </row>
    <row r="222" spans="2:8" x14ac:dyDescent="0.2">
      <c r="C222" s="100"/>
      <c r="D222" s="100"/>
    </row>
    <row r="224" spans="2:8" ht="18.75" x14ac:dyDescent="0.25">
      <c r="C224" s="477" t="s">
        <v>3319</v>
      </c>
      <c r="D224" s="559" t="s">
        <v>13</v>
      </c>
      <c r="E224" s="559" t="s">
        <v>14</v>
      </c>
      <c r="G224" s="479"/>
      <c r="H224" s="479"/>
    </row>
    <row r="225" spans="2:6" s="479" customFormat="1" ht="16.5" x14ac:dyDescent="0.25">
      <c r="B225" s="891" t="s">
        <v>2312</v>
      </c>
      <c r="C225" s="561" t="s">
        <v>3057</v>
      </c>
      <c r="D225" s="1071">
        <f>IFERROR(_xlfn.XLOOKUP($D$11,ELEC!$F$5:$AV$5,ELEC!F188:AV188,0,0,1),0)</f>
        <v>230</v>
      </c>
      <c r="E225" s="895">
        <f t="shared" ref="E225:E238" si="11">ROUNDUP(D225,0)</f>
        <v>230</v>
      </c>
      <c r="F225" s="413"/>
    </row>
    <row r="226" spans="2:6" s="479" customFormat="1" ht="16.5" x14ac:dyDescent="0.25">
      <c r="B226" s="891" t="s">
        <v>2312</v>
      </c>
      <c r="C226" s="561" t="s">
        <v>2900</v>
      </c>
      <c r="D226" s="1071">
        <f>IFERROR(_xlfn.XLOOKUP($D$11,ELEC!$F$5:$AV$5,ELEC!F189:AV189,0,0,1),0)</f>
        <v>230</v>
      </c>
      <c r="E226" s="895">
        <f t="shared" si="11"/>
        <v>230</v>
      </c>
      <c r="F226" s="413"/>
    </row>
    <row r="227" spans="2:6" s="479" customFormat="1" ht="16.5" x14ac:dyDescent="0.25">
      <c r="B227" s="891" t="s">
        <v>2312</v>
      </c>
      <c r="C227" s="561" t="s">
        <v>2902</v>
      </c>
      <c r="D227" s="1071">
        <f>IFERROR(_xlfn.XLOOKUP($D$11,ELEC!$F$5:$AV$5,ELEC!F190:AV190,0,0,1),0)</f>
        <v>230</v>
      </c>
      <c r="E227" s="895">
        <f t="shared" si="11"/>
        <v>230</v>
      </c>
      <c r="F227" s="413"/>
    </row>
    <row r="228" spans="2:6" s="479" customFormat="1" x14ac:dyDescent="0.2">
      <c r="B228" s="891" t="s">
        <v>2312</v>
      </c>
      <c r="C228" s="561" t="s">
        <v>2899</v>
      </c>
      <c r="D228" s="1071">
        <f>IFERROR(_xlfn.XLOOKUP($D$11,ELEC!$F$5:$AV$5,ELEC!F191:AV191,0,0,1),0)</f>
        <v>0</v>
      </c>
      <c r="E228" s="895">
        <f t="shared" si="11"/>
        <v>0</v>
      </c>
      <c r="F228" s="505"/>
    </row>
    <row r="229" spans="2:6" s="479" customFormat="1" x14ac:dyDescent="0.2">
      <c r="B229" s="891" t="s">
        <v>2312</v>
      </c>
      <c r="C229" s="561" t="s">
        <v>2901</v>
      </c>
      <c r="D229" s="1071">
        <f>IFERROR(_xlfn.XLOOKUP($D$11,ELEC!$F$5:$AV$5,ELEC!F192:AV192,0,0,1),0)</f>
        <v>0</v>
      </c>
      <c r="E229" s="895">
        <f t="shared" si="11"/>
        <v>0</v>
      </c>
      <c r="F229" s="505"/>
    </row>
    <row r="230" spans="2:6" s="479" customFormat="1" ht="16.5" x14ac:dyDescent="0.25">
      <c r="B230" s="891" t="s">
        <v>2313</v>
      </c>
      <c r="C230" s="561" t="s">
        <v>3058</v>
      </c>
      <c r="D230" s="1071">
        <f>IFERROR(_xlfn.XLOOKUP($D$11,ELEC!$F$5:$AV$5,ELEC!F193:AV193,0,0,1),0)</f>
        <v>0</v>
      </c>
      <c r="E230" s="895">
        <f t="shared" si="11"/>
        <v>0</v>
      </c>
      <c r="F230" s="413"/>
    </row>
    <row r="231" spans="2:6" s="479" customFormat="1" ht="16.5" x14ac:dyDescent="0.25">
      <c r="B231" s="891" t="s">
        <v>2313</v>
      </c>
      <c r="C231" s="561" t="s">
        <v>3059</v>
      </c>
      <c r="D231" s="1071">
        <f>IFERROR(_xlfn.XLOOKUP($D$11,ELEC!$F$5:$AV$5,ELEC!F194:AV194,0,0,1),0)</f>
        <v>0</v>
      </c>
      <c r="E231" s="895">
        <f t="shared" si="11"/>
        <v>0</v>
      </c>
      <c r="F231" s="413"/>
    </row>
    <row r="232" spans="2:6" s="479" customFormat="1" ht="16.5" x14ac:dyDescent="0.25">
      <c r="B232" s="891" t="s">
        <v>2300</v>
      </c>
      <c r="C232" s="561" t="s">
        <v>3060</v>
      </c>
      <c r="D232" s="1071">
        <f>IFERROR(_xlfn.XLOOKUP($D$11,ELEC!$F$5:$AV$5,ELEC!F195:AV195,0,0,1),0)</f>
        <v>0</v>
      </c>
      <c r="E232" s="895">
        <f t="shared" si="11"/>
        <v>0</v>
      </c>
      <c r="F232" s="413"/>
    </row>
    <row r="233" spans="2:6" s="479" customFormat="1" ht="16.5" x14ac:dyDescent="0.25">
      <c r="B233" s="891" t="s">
        <v>2300</v>
      </c>
      <c r="C233" s="561" t="s">
        <v>3061</v>
      </c>
      <c r="D233" s="1071">
        <f>IFERROR(_xlfn.XLOOKUP($D$11,ELEC!$F$5:$AV$5,ELEC!F196:AV196,0,0,1),0)</f>
        <v>0</v>
      </c>
      <c r="E233" s="895">
        <f t="shared" si="11"/>
        <v>0</v>
      </c>
      <c r="F233" s="413"/>
    </row>
    <row r="234" spans="2:6" s="479" customFormat="1" ht="16.5" x14ac:dyDescent="0.25">
      <c r="B234" s="891" t="s">
        <v>2300</v>
      </c>
      <c r="C234" s="561" t="s">
        <v>3062</v>
      </c>
      <c r="D234" s="1071">
        <f>IFERROR(_xlfn.XLOOKUP($D$11,ELEC!$F$5:$AV$5,ELEC!F197:AV197,0,0,1),0)</f>
        <v>0</v>
      </c>
      <c r="E234" s="895">
        <f t="shared" si="11"/>
        <v>0</v>
      </c>
      <c r="F234" s="413"/>
    </row>
    <row r="235" spans="2:6" s="479" customFormat="1" ht="16.5" x14ac:dyDescent="0.25">
      <c r="B235" s="891" t="s">
        <v>2299</v>
      </c>
      <c r="C235" s="561" t="s">
        <v>3063</v>
      </c>
      <c r="D235" s="1071">
        <f>IFERROR(_xlfn.XLOOKUP($D$11,ELEC!$F$5:$AV$5,ELEC!F198:AV198,0,0,1),0)</f>
        <v>60</v>
      </c>
      <c r="E235" s="895">
        <f t="shared" si="11"/>
        <v>60</v>
      </c>
      <c r="F235" s="413"/>
    </row>
    <row r="236" spans="2:6" s="479" customFormat="1" x14ac:dyDescent="0.2">
      <c r="B236" s="891" t="s">
        <v>2316</v>
      </c>
      <c r="C236" s="561" t="s">
        <v>3064</v>
      </c>
      <c r="D236" s="1071">
        <f>IFERROR(_xlfn.XLOOKUP($D$11,ELEC!$F$5:$AV$5,ELEC!F199:AV199,0,0,1),0)</f>
        <v>20</v>
      </c>
      <c r="E236" s="895">
        <f t="shared" si="11"/>
        <v>20</v>
      </c>
      <c r="F236" s="505"/>
    </row>
    <row r="237" spans="2:6" s="479" customFormat="1" ht="16.5" x14ac:dyDescent="0.25">
      <c r="B237" s="891" t="s">
        <v>2315</v>
      </c>
      <c r="C237" s="561" t="s">
        <v>3065</v>
      </c>
      <c r="D237" s="1071">
        <f>IFERROR(_xlfn.XLOOKUP($D$11,ELEC!$F$5:$AV$5,ELEC!F200:AV200,0,0,1),0)</f>
        <v>70</v>
      </c>
      <c r="E237" s="895">
        <f t="shared" si="11"/>
        <v>70</v>
      </c>
      <c r="F237" s="413"/>
    </row>
    <row r="238" spans="2:6" s="479" customFormat="1" ht="16.5" x14ac:dyDescent="0.25">
      <c r="B238" s="891" t="s">
        <v>2278</v>
      </c>
      <c r="C238" s="561" t="s">
        <v>3066</v>
      </c>
      <c r="D238" s="1071">
        <f>IFERROR(_xlfn.XLOOKUP($D$11,ELEC!$F$5:$AV$5,ELEC!F201:AV201,0,0,1),0)</f>
        <v>1</v>
      </c>
      <c r="E238" s="895">
        <f t="shared" si="11"/>
        <v>1</v>
      </c>
      <c r="F238" s="413"/>
    </row>
    <row r="239" spans="2:6" s="479" customFormat="1" ht="16.5" x14ac:dyDescent="0.25">
      <c r="B239" s="891"/>
      <c r="C239" s="561"/>
      <c r="D239" s="1071">
        <f>IFERROR(_xlfn.XLOOKUP($D$11,ELEC!$F$5:$AV$5,ELEC!F202:AV202,0,0,1),0)</f>
        <v>0</v>
      </c>
      <c r="E239" s="895"/>
      <c r="F239" s="413"/>
    </row>
    <row r="240" spans="2:6" s="479" customFormat="1" x14ac:dyDescent="0.2">
      <c r="B240" s="891" t="s">
        <v>3320</v>
      </c>
      <c r="C240" s="561" t="s">
        <v>3068</v>
      </c>
      <c r="D240" s="1071">
        <f>IFERROR(_xlfn.XLOOKUP($D$11,ELEC!$F$5:$AV$5,ELEC!F203:AV203,0,0,1),0)</f>
        <v>1</v>
      </c>
      <c r="E240" s="895">
        <f>ROUNDUP(D240,0)</f>
        <v>1</v>
      </c>
    </row>
    <row r="241" spans="2:8" s="479" customFormat="1" x14ac:dyDescent="0.2">
      <c r="B241" s="891" t="s">
        <v>2320</v>
      </c>
      <c r="C241" s="561" t="s">
        <v>2898</v>
      </c>
      <c r="D241" s="1071">
        <f>IFERROR(_xlfn.XLOOKUP($D$11,ELEC!$F$5:$AV$5,ELEC!F204:AV204,0,0,1),0)</f>
        <v>0</v>
      </c>
      <c r="E241" s="895">
        <f>ROUNDUP(D241,0)</f>
        <v>0</v>
      </c>
      <c r="F241" s="500"/>
    </row>
    <row r="242" spans="2:8" s="479" customFormat="1" ht="18.75" x14ac:dyDescent="0.25">
      <c r="B242" s="1065"/>
      <c r="C242" s="477" t="s">
        <v>3321</v>
      </c>
      <c r="D242" s="559" t="s">
        <v>13</v>
      </c>
      <c r="E242" s="559" t="s">
        <v>14</v>
      </c>
    </row>
    <row r="243" spans="2:8" x14ac:dyDescent="0.2">
      <c r="B243" s="891" t="s">
        <v>2312</v>
      </c>
      <c r="C243" s="561" t="s">
        <v>3057</v>
      </c>
      <c r="D243" s="1071">
        <f>IFERROR(_xlfn.XLOOKUP($D$11,ELEC!$F$5:$AV$5,ELEC!F261:AV261,0,0,1),0)</f>
        <v>0</v>
      </c>
      <c r="E243" s="895">
        <f t="shared" ref="E243:E260" si="12">ROUNDUP(D243,0)</f>
        <v>0</v>
      </c>
      <c r="G243" s="479"/>
      <c r="H243" s="479"/>
    </row>
    <row r="244" spans="2:8" s="479" customFormat="1" x14ac:dyDescent="0.2">
      <c r="B244" s="891" t="s">
        <v>2312</v>
      </c>
      <c r="C244" s="561" t="s">
        <v>2900</v>
      </c>
      <c r="D244" s="1071">
        <f>IFERROR(_xlfn.XLOOKUP($D$11,ELEC!$F$5:$AV$5,ELEC!F262:AV262,0,0,1),0)</f>
        <v>0</v>
      </c>
      <c r="E244" s="895">
        <f t="shared" si="12"/>
        <v>0</v>
      </c>
    </row>
    <row r="245" spans="2:8" s="479" customFormat="1" x14ac:dyDescent="0.2">
      <c r="B245" s="891" t="s">
        <v>2312</v>
      </c>
      <c r="C245" s="561" t="s">
        <v>2902</v>
      </c>
      <c r="D245" s="1071">
        <f>IFERROR(_xlfn.XLOOKUP($D$11,ELEC!$F$5:$AV$5,ELEC!F263:AV263,0,0,1),0)</f>
        <v>0</v>
      </c>
      <c r="E245" s="895">
        <f t="shared" si="12"/>
        <v>0</v>
      </c>
    </row>
    <row r="246" spans="2:8" s="479" customFormat="1" x14ac:dyDescent="0.2">
      <c r="B246" s="891" t="s">
        <v>2312</v>
      </c>
      <c r="C246" s="561" t="s">
        <v>2899</v>
      </c>
      <c r="D246" s="1071">
        <f>IFERROR(_xlfn.XLOOKUP($D$11,ELEC!$F$5:$AV$5,ELEC!F264:AV264,0,0,1),0)</f>
        <v>0</v>
      </c>
      <c r="E246" s="895">
        <f t="shared" si="12"/>
        <v>0</v>
      </c>
    </row>
    <row r="247" spans="2:8" s="479" customFormat="1" x14ac:dyDescent="0.2">
      <c r="B247" s="891" t="s">
        <v>2312</v>
      </c>
      <c r="C247" s="561" t="s">
        <v>2901</v>
      </c>
      <c r="D247" s="1071">
        <f>IFERROR(_xlfn.XLOOKUP($D$11,ELEC!$F$5:$AV$5,ELEC!F265:AV265,0,0,1),0)</f>
        <v>0</v>
      </c>
      <c r="E247" s="895">
        <f t="shared" si="12"/>
        <v>0</v>
      </c>
    </row>
    <row r="248" spans="2:8" s="479" customFormat="1" x14ac:dyDescent="0.2">
      <c r="B248" s="891" t="s">
        <v>2313</v>
      </c>
      <c r="C248" s="561" t="s">
        <v>3058</v>
      </c>
      <c r="D248" s="1071">
        <f>IFERROR(_xlfn.XLOOKUP($D$11,ELEC!$F$5:$AV$5,ELEC!F266:AV266,0,0,1),0)</f>
        <v>50</v>
      </c>
      <c r="E248" s="895">
        <f t="shared" si="12"/>
        <v>50</v>
      </c>
    </row>
    <row r="249" spans="2:8" s="479" customFormat="1" x14ac:dyDescent="0.2">
      <c r="B249" s="891" t="s">
        <v>2313</v>
      </c>
      <c r="C249" s="561" t="s">
        <v>3059</v>
      </c>
      <c r="D249" s="1071">
        <f>IFERROR(_xlfn.XLOOKUP($D$11,ELEC!$F$5:$AV$5,ELEC!F267:AV267,0,0,1),0)</f>
        <v>25</v>
      </c>
      <c r="E249" s="895">
        <f t="shared" si="12"/>
        <v>25</v>
      </c>
    </row>
    <row r="250" spans="2:8" s="479" customFormat="1" x14ac:dyDescent="0.2">
      <c r="B250" s="891" t="s">
        <v>2313</v>
      </c>
      <c r="C250" s="561" t="s">
        <v>3069</v>
      </c>
      <c r="D250" s="1071">
        <f>IFERROR(_xlfn.XLOOKUP($D$11,ELEC!$F$5:$AV$5,ELEC!F268:AV268,0,0,1),0)</f>
        <v>40</v>
      </c>
      <c r="E250" s="895">
        <f t="shared" si="12"/>
        <v>40</v>
      </c>
    </row>
    <row r="251" spans="2:8" s="479" customFormat="1" x14ac:dyDescent="0.2">
      <c r="B251" s="891" t="s">
        <v>2300</v>
      </c>
      <c r="C251" s="561" t="s">
        <v>3060</v>
      </c>
      <c r="D251" s="1071">
        <f>IFERROR(_xlfn.XLOOKUP($D$11,ELEC!$F$5:$AV$5,ELEC!F269:AV269,0,0,1),0)</f>
        <v>27</v>
      </c>
      <c r="E251" s="895">
        <f t="shared" si="12"/>
        <v>27</v>
      </c>
    </row>
    <row r="252" spans="2:8" s="479" customFormat="1" x14ac:dyDescent="0.2">
      <c r="B252" s="891" t="s">
        <v>2300</v>
      </c>
      <c r="C252" s="561" t="s">
        <v>3061</v>
      </c>
      <c r="D252" s="1071">
        <f>IFERROR(_xlfn.XLOOKUP($D$11,ELEC!$F$5:$AV$5,ELEC!F270:AV270,0,0,1),0)</f>
        <v>60</v>
      </c>
      <c r="E252" s="895">
        <f t="shared" si="12"/>
        <v>60</v>
      </c>
    </row>
    <row r="253" spans="2:8" s="479" customFormat="1" x14ac:dyDescent="0.2">
      <c r="B253" s="891" t="s">
        <v>2300</v>
      </c>
      <c r="C253" s="561" t="s">
        <v>3062</v>
      </c>
      <c r="D253" s="1071">
        <f>IFERROR(_xlfn.XLOOKUP($D$11,ELEC!$F$5:$AV$5,ELEC!F271:AV271,0,0,1),0)</f>
        <v>22</v>
      </c>
      <c r="E253" s="895">
        <f t="shared" si="12"/>
        <v>22</v>
      </c>
    </row>
    <row r="254" spans="2:8" s="479" customFormat="1" x14ac:dyDescent="0.2">
      <c r="B254" s="891" t="s">
        <v>2299</v>
      </c>
      <c r="C254" s="561" t="s">
        <v>3063</v>
      </c>
      <c r="D254" s="1071">
        <f>IFERROR(_xlfn.XLOOKUP($D$11,ELEC!$F$5:$AV$5,ELEC!F272:AV272,0,0,1),0)</f>
        <v>0</v>
      </c>
      <c r="E254" s="895">
        <f t="shared" si="12"/>
        <v>0</v>
      </c>
    </row>
    <row r="255" spans="2:8" s="479" customFormat="1" x14ac:dyDescent="0.2">
      <c r="B255" s="891" t="s">
        <v>2316</v>
      </c>
      <c r="C255" s="561" t="s">
        <v>3064</v>
      </c>
      <c r="D255" s="1071">
        <f>IFERROR(_xlfn.XLOOKUP($D$11,ELEC!$F$5:$AV$5,ELEC!F273:AV273,0,0,1),0)</f>
        <v>0</v>
      </c>
      <c r="E255" s="895">
        <f t="shared" si="12"/>
        <v>0</v>
      </c>
    </row>
    <row r="256" spans="2:8" s="479" customFormat="1" x14ac:dyDescent="0.2">
      <c r="B256" s="891" t="s">
        <v>2315</v>
      </c>
      <c r="C256" s="561" t="s">
        <v>3065</v>
      </c>
      <c r="D256" s="1071">
        <f>IFERROR(_xlfn.XLOOKUP($D$11,ELEC!$F$5:$AV$5,ELEC!F274:AV274,0,0,1),0)</f>
        <v>0</v>
      </c>
      <c r="E256" s="895">
        <f t="shared" si="12"/>
        <v>0</v>
      </c>
    </row>
    <row r="257" spans="2:5" s="479" customFormat="1" x14ac:dyDescent="0.2">
      <c r="B257" s="891" t="s">
        <v>2278</v>
      </c>
      <c r="C257" s="561" t="s">
        <v>3066</v>
      </c>
      <c r="D257" s="1071">
        <f>IFERROR(_xlfn.XLOOKUP($D$11,ELEC!$F$5:$AV$5,ELEC!F275:AV275,0,0,1),0)</f>
        <v>0</v>
      </c>
      <c r="E257" s="895">
        <f t="shared" si="12"/>
        <v>0</v>
      </c>
    </row>
    <row r="258" spans="2:5" s="479" customFormat="1" x14ac:dyDescent="0.2">
      <c r="B258" s="891" t="s">
        <v>2279</v>
      </c>
      <c r="C258" s="561" t="s">
        <v>3067</v>
      </c>
      <c r="D258" s="1071">
        <f>IFERROR(_xlfn.XLOOKUP($D$11,ELEC!$F$5:$AV$5,ELEC!F276:AV276,0,0,1),0)</f>
        <v>0</v>
      </c>
      <c r="E258" s="895">
        <f t="shared" si="12"/>
        <v>0</v>
      </c>
    </row>
    <row r="259" spans="2:5" s="479" customFormat="1" x14ac:dyDescent="0.2">
      <c r="B259" s="891" t="s">
        <v>3320</v>
      </c>
      <c r="C259" s="561" t="s">
        <v>3068</v>
      </c>
      <c r="D259" s="1071">
        <f>IFERROR(_xlfn.XLOOKUP($D$11,ELEC!$F$5:$AV$5,ELEC!F277:AV277,0,0,1),0)</f>
        <v>0</v>
      </c>
      <c r="E259" s="895">
        <f t="shared" si="12"/>
        <v>0</v>
      </c>
    </row>
    <row r="260" spans="2:5" s="479" customFormat="1" x14ac:dyDescent="0.2">
      <c r="B260" s="891" t="s">
        <v>2320</v>
      </c>
      <c r="C260" s="561" t="s">
        <v>2898</v>
      </c>
      <c r="D260" s="1071">
        <f>IFERROR(_xlfn.XLOOKUP($D$11,ELEC!$F$5:$AV$5,ELEC!F278:AV278,0,0,1),0)</f>
        <v>0</v>
      </c>
      <c r="E260" s="895">
        <f t="shared" si="12"/>
        <v>0</v>
      </c>
    </row>
    <row r="261" spans="2:5" s="479" customFormat="1" x14ac:dyDescent="0.2">
      <c r="B261" s="939"/>
    </row>
    <row r="262" spans="2:5" s="479" customFormat="1" ht="18.75" x14ac:dyDescent="0.2">
      <c r="B262" s="1065"/>
      <c r="C262" s="562" t="s">
        <v>1809</v>
      </c>
      <c r="D262" s="563">
        <f>+E333</f>
        <v>235000</v>
      </c>
      <c r="E262"/>
    </row>
    <row r="265" spans="2:5" ht="21" x14ac:dyDescent="0.2">
      <c r="C265" s="471" t="s">
        <v>2080</v>
      </c>
      <c r="D265" s="472" t="s">
        <v>238</v>
      </c>
    </row>
    <row r="268" spans="2:5" ht="18.75" x14ac:dyDescent="0.25">
      <c r="C268" s="477" t="s">
        <v>3321</v>
      </c>
      <c r="D268" s="559" t="s">
        <v>13</v>
      </c>
      <c r="E268" s="559" t="s">
        <v>14</v>
      </c>
    </row>
    <row r="269" spans="2:5" x14ac:dyDescent="0.2">
      <c r="B269" s="891" t="s">
        <v>2011</v>
      </c>
      <c r="C269" s="561" t="s">
        <v>2914</v>
      </c>
      <c r="D269" s="1071">
        <f>IFERROR(_xlfn.XLOOKUP($D$11,ELEC!$F$5:$AV$5,ELEC!F209:AV209,0,0,1),0)</f>
        <v>3</v>
      </c>
      <c r="E269" s="895">
        <f>ROUNDUP(D269,0)</f>
        <v>3</v>
      </c>
    </row>
    <row r="270" spans="2:5" x14ac:dyDescent="0.2">
      <c r="B270" s="891" t="s">
        <v>2321</v>
      </c>
      <c r="C270" s="561" t="s">
        <v>2915</v>
      </c>
      <c r="D270" s="1071">
        <f>IFERROR(_xlfn.XLOOKUP($D$11,ELEC!$F$5:$AV$5,ELEC!F210:AV210,0,0,1),0)</f>
        <v>5</v>
      </c>
      <c r="E270" s="895">
        <f t="shared" ref="E270:E295" si="13">ROUNDUP(D270,0)</f>
        <v>5</v>
      </c>
    </row>
    <row r="271" spans="2:5" x14ac:dyDescent="0.2">
      <c r="B271" s="891" t="s">
        <v>2010</v>
      </c>
      <c r="C271" s="561" t="s">
        <v>2916</v>
      </c>
      <c r="D271" s="1071">
        <f>IFERROR(_xlfn.XLOOKUP($D$11,ELEC!$F$5:$AV$5,ELEC!F211:AV211,0,0,1),0)</f>
        <v>2</v>
      </c>
      <c r="E271" s="895">
        <f t="shared" si="13"/>
        <v>2</v>
      </c>
    </row>
    <row r="272" spans="2:5" x14ac:dyDescent="0.2">
      <c r="B272" s="891" t="s">
        <v>2479</v>
      </c>
      <c r="C272" s="561" t="s">
        <v>2917</v>
      </c>
      <c r="D272" s="1071">
        <f>IFERROR(_xlfn.XLOOKUP($D$11,ELEC!$F$5:$AV$5,ELEC!F212:AV212,0,0,1),0)</f>
        <v>2</v>
      </c>
      <c r="E272" s="895">
        <f t="shared" si="13"/>
        <v>2</v>
      </c>
    </row>
    <row r="273" spans="2:5" x14ac:dyDescent="0.2">
      <c r="B273" s="891" t="s">
        <v>2301</v>
      </c>
      <c r="C273" s="561" t="s">
        <v>2918</v>
      </c>
      <c r="D273" s="1071">
        <f>IFERROR(_xlfn.XLOOKUP($D$11,ELEC!$F$5:$AV$5,ELEC!F213:AV213,0,0,1),0)</f>
        <v>10</v>
      </c>
      <c r="E273" s="895">
        <f t="shared" si="13"/>
        <v>10</v>
      </c>
    </row>
    <row r="274" spans="2:5" x14ac:dyDescent="0.2">
      <c r="B274" s="891" t="s">
        <v>2481</v>
      </c>
      <c r="C274" s="561" t="s">
        <v>2919</v>
      </c>
      <c r="D274" s="1071">
        <f>IFERROR(_xlfn.XLOOKUP($D$11,ELEC!$F$5:$AV$5,ELEC!F214:AV214,0,0,1),0)</f>
        <v>2</v>
      </c>
      <c r="E274" s="895">
        <f t="shared" si="13"/>
        <v>2</v>
      </c>
    </row>
    <row r="275" spans="2:5" x14ac:dyDescent="0.2">
      <c r="B275" s="891" t="s">
        <v>2302</v>
      </c>
      <c r="C275" s="561" t="s">
        <v>2920</v>
      </c>
      <c r="D275" s="1071">
        <f>IFERROR(_xlfn.XLOOKUP($D$11,ELEC!$F$5:$AV$5,ELEC!F215:AV215,0,0,1),0)</f>
        <v>1</v>
      </c>
      <c r="E275" s="895">
        <f t="shared" si="13"/>
        <v>1</v>
      </c>
    </row>
    <row r="276" spans="2:5" x14ac:dyDescent="0.2">
      <c r="B276" s="891" t="s">
        <v>1986</v>
      </c>
      <c r="C276" s="561" t="s">
        <v>2921</v>
      </c>
      <c r="D276" s="1071">
        <f>IFERROR(_xlfn.XLOOKUP($D$11,ELEC!$F$5:$AV$5,ELEC!F216:AV216,0,0,1),0)</f>
        <v>4</v>
      </c>
      <c r="E276" s="895">
        <f t="shared" si="13"/>
        <v>4</v>
      </c>
    </row>
    <row r="277" spans="2:5" x14ac:dyDescent="0.2">
      <c r="B277" s="891" t="s">
        <v>2303</v>
      </c>
      <c r="C277" s="561" t="s">
        <v>2922</v>
      </c>
      <c r="D277" s="1071">
        <f>IFERROR(_xlfn.XLOOKUP($D$11,ELEC!$F$5:$AV$5,ELEC!F217:AV217,0,0,1),0)</f>
        <v>5</v>
      </c>
      <c r="E277" s="895">
        <f t="shared" si="13"/>
        <v>5</v>
      </c>
    </row>
    <row r="278" spans="2:5" x14ac:dyDescent="0.2">
      <c r="B278" s="891" t="s">
        <v>2330</v>
      </c>
      <c r="C278" s="561" t="s">
        <v>2923</v>
      </c>
      <c r="D278" s="1071">
        <f>IFERROR(_xlfn.XLOOKUP($D$11,ELEC!$F$5:$AV$5,ELEC!F218:AV218,0,0,1),0)</f>
        <v>6</v>
      </c>
      <c r="E278" s="895">
        <f t="shared" si="13"/>
        <v>6</v>
      </c>
    </row>
    <row r="279" spans="2:5" x14ac:dyDescent="0.2">
      <c r="B279" s="891" t="s">
        <v>2327</v>
      </c>
      <c r="C279" s="561" t="s">
        <v>2924</v>
      </c>
      <c r="D279" s="1071">
        <f>IFERROR(_xlfn.XLOOKUP($D$11,ELEC!$F$5:$AV$5,ELEC!F219:AV219,0,0,1),0)</f>
        <v>3</v>
      </c>
      <c r="E279" s="895">
        <f t="shared" si="13"/>
        <v>3</v>
      </c>
    </row>
    <row r="280" spans="2:5" x14ac:dyDescent="0.2">
      <c r="B280" s="891" t="s">
        <v>2331</v>
      </c>
      <c r="C280" s="561" t="s">
        <v>2925</v>
      </c>
      <c r="D280" s="1071">
        <f>IFERROR(_xlfn.XLOOKUP($D$11,ELEC!$F$5:$AV$5,ELEC!F220:AV220,0,0,1),0)</f>
        <v>53</v>
      </c>
      <c r="E280" s="895">
        <f t="shared" si="13"/>
        <v>53</v>
      </c>
    </row>
    <row r="281" spans="2:5" x14ac:dyDescent="0.2">
      <c r="B281" s="891" t="s">
        <v>2490</v>
      </c>
      <c r="C281" s="561" t="s">
        <v>2926</v>
      </c>
      <c r="D281" s="1071">
        <f>IFERROR(_xlfn.XLOOKUP($D$11,ELEC!$F$5:$AV$5,ELEC!F221:AV221,0,0,1),0)</f>
        <v>0</v>
      </c>
      <c r="E281" s="895">
        <f t="shared" si="13"/>
        <v>0</v>
      </c>
    </row>
    <row r="282" spans="2:5" x14ac:dyDescent="0.2">
      <c r="B282" s="891" t="s">
        <v>2938</v>
      </c>
      <c r="C282" s="561" t="s">
        <v>2927</v>
      </c>
      <c r="D282" s="1071">
        <f>IFERROR(_xlfn.XLOOKUP($D$11,ELEC!$F$5:$AV$5,ELEC!F222:AV222,0,0,1),0)</f>
        <v>35</v>
      </c>
      <c r="E282" s="895">
        <f t="shared" si="13"/>
        <v>35</v>
      </c>
    </row>
    <row r="283" spans="2:5" x14ac:dyDescent="0.2">
      <c r="B283" s="891" t="s">
        <v>2328</v>
      </c>
      <c r="C283" s="561" t="s">
        <v>2928</v>
      </c>
      <c r="D283" s="1071">
        <f>IFERROR(_xlfn.XLOOKUP($D$11,ELEC!$F$5:$AV$5,ELEC!F223:AV223,0,0,1),0)</f>
        <v>4</v>
      </c>
      <c r="E283" s="895">
        <f t="shared" si="13"/>
        <v>4</v>
      </c>
    </row>
    <row r="284" spans="2:5" x14ac:dyDescent="0.2">
      <c r="B284" s="891" t="s">
        <v>3322</v>
      </c>
      <c r="C284" s="561" t="s">
        <v>2929</v>
      </c>
      <c r="D284" s="1071">
        <f>IFERROR(_xlfn.XLOOKUP($D$11,ELEC!$F$5:$AV$5,ELEC!F224:AV224,0,0,1),0)</f>
        <v>18</v>
      </c>
      <c r="E284" s="895">
        <f t="shared" si="13"/>
        <v>18</v>
      </c>
    </row>
    <row r="285" spans="2:5" x14ac:dyDescent="0.2">
      <c r="B285" s="891" t="s">
        <v>1989</v>
      </c>
      <c r="C285" s="561" t="s">
        <v>2930</v>
      </c>
      <c r="D285" s="1071">
        <f>IFERROR(_xlfn.XLOOKUP($D$11,ELEC!$F$5:$AV$5,ELEC!F225:AV225,0,0,1),0)</f>
        <v>6</v>
      </c>
      <c r="E285" s="895">
        <f t="shared" si="13"/>
        <v>6</v>
      </c>
    </row>
    <row r="286" spans="2:5" x14ac:dyDescent="0.2">
      <c r="B286" s="891" t="s">
        <v>2001</v>
      </c>
      <c r="C286" s="561" t="s">
        <v>2931</v>
      </c>
      <c r="D286" s="1071">
        <f>IFERROR(_xlfn.XLOOKUP($D$11,ELEC!$F$5:$AV$5,ELEC!F226:AV226,0,0,1),0)</f>
        <v>8</v>
      </c>
      <c r="E286" s="895">
        <f t="shared" si="13"/>
        <v>8</v>
      </c>
    </row>
    <row r="287" spans="2:5" x14ac:dyDescent="0.2">
      <c r="B287" s="891" t="s">
        <v>2320</v>
      </c>
      <c r="C287" s="561" t="s">
        <v>2898</v>
      </c>
      <c r="D287" s="1071">
        <f>IFERROR(_xlfn.XLOOKUP($D$11,ELEC!$F$5:$AV$5,ELEC!F227:AV227,0,0,1),0)</f>
        <v>2</v>
      </c>
      <c r="E287" s="895">
        <f t="shared" si="13"/>
        <v>2</v>
      </c>
    </row>
    <row r="288" spans="2:5" x14ac:dyDescent="0.2">
      <c r="B288" s="891" t="s">
        <v>3281</v>
      </c>
      <c r="C288" s="561" t="s">
        <v>2932</v>
      </c>
      <c r="D288" s="1071">
        <f>IFERROR(_xlfn.XLOOKUP($D$11,ELEC!$F$5:$AV$5,ELEC!F228:AV228,0,0,1),0)</f>
        <v>100</v>
      </c>
      <c r="E288" s="895">
        <f t="shared" si="13"/>
        <v>100</v>
      </c>
    </row>
    <row r="289" spans="2:5" x14ac:dyDescent="0.2">
      <c r="B289" s="891" t="s">
        <v>2005</v>
      </c>
      <c r="C289" s="561" t="s">
        <v>2896</v>
      </c>
      <c r="D289" s="1071">
        <f>IFERROR(_xlfn.XLOOKUP($D$11,ELEC!$F$5:$AV$5,ELEC!F229:AV229,0,0,1),0)</f>
        <v>50</v>
      </c>
      <c r="E289" s="895">
        <f t="shared" si="13"/>
        <v>50</v>
      </c>
    </row>
    <row r="290" spans="2:5" x14ac:dyDescent="0.2">
      <c r="B290" s="891" t="s">
        <v>2332</v>
      </c>
      <c r="C290" s="561" t="s">
        <v>2933</v>
      </c>
      <c r="D290" s="1071">
        <f>IFERROR(_xlfn.XLOOKUP($D$11,ELEC!$F$5:$AV$5,ELEC!F230:AV230,0,0,1),0)</f>
        <v>2</v>
      </c>
      <c r="E290" s="895">
        <f t="shared" si="13"/>
        <v>2</v>
      </c>
    </row>
    <row r="291" spans="2:5" x14ac:dyDescent="0.2">
      <c r="B291" s="891" t="s">
        <v>2938</v>
      </c>
      <c r="C291" s="561" t="s">
        <v>2934</v>
      </c>
      <c r="D291" s="1071">
        <f>IFERROR(_xlfn.XLOOKUP($D$11,ELEC!$F$5:$AV$5,ELEC!F231:AV231,0,0,1),0)</f>
        <v>1</v>
      </c>
      <c r="E291" s="895">
        <f t="shared" si="13"/>
        <v>1</v>
      </c>
    </row>
    <row r="292" spans="2:5" x14ac:dyDescent="0.2">
      <c r="B292" s="891" t="s">
        <v>2319</v>
      </c>
      <c r="C292" s="561" t="s">
        <v>2904</v>
      </c>
      <c r="D292" s="1071">
        <f>IFERROR(_xlfn.XLOOKUP($D$11,ELEC!$F$5:$AV$5,ELEC!F232:AV232,0,0,1),0)</f>
        <v>50</v>
      </c>
      <c r="E292" s="895">
        <f t="shared" si="13"/>
        <v>50</v>
      </c>
    </row>
    <row r="293" spans="2:5" x14ac:dyDescent="0.2">
      <c r="B293" s="891" t="s">
        <v>2310</v>
      </c>
      <c r="C293" s="561" t="s">
        <v>2935</v>
      </c>
      <c r="D293" s="1071">
        <f>IFERROR(_xlfn.XLOOKUP($D$11,ELEC!$F$5:$AV$5,ELEC!F233:AV233,0,0,1),0)</f>
        <v>10</v>
      </c>
      <c r="E293" s="895">
        <f t="shared" si="13"/>
        <v>10</v>
      </c>
    </row>
    <row r="294" spans="2:5" x14ac:dyDescent="0.2">
      <c r="B294" s="891" t="s">
        <v>3323</v>
      </c>
      <c r="C294" s="561" t="s">
        <v>2936</v>
      </c>
      <c r="D294" s="1071">
        <f>IFERROR(_xlfn.XLOOKUP($D$11,ELEC!$F$5:$AV$5,ELEC!F234:AV234,0,0,1),0)</f>
        <v>30</v>
      </c>
      <c r="E294" s="895">
        <f t="shared" si="13"/>
        <v>30</v>
      </c>
    </row>
    <row r="295" spans="2:5" x14ac:dyDescent="0.2">
      <c r="B295" s="891" t="s">
        <v>3324</v>
      </c>
      <c r="C295" s="561" t="s">
        <v>2937</v>
      </c>
      <c r="D295" s="1071">
        <f>IFERROR(_xlfn.XLOOKUP($D$11,ELEC!$F$5:$AV$5,ELEC!F235:AV235,0,0,1),0)</f>
        <v>30</v>
      </c>
      <c r="E295" s="895">
        <f t="shared" si="13"/>
        <v>30</v>
      </c>
    </row>
    <row r="297" spans="2:5" ht="18.75" x14ac:dyDescent="0.2">
      <c r="C297" s="562" t="s">
        <v>1809</v>
      </c>
      <c r="D297" s="563">
        <f>+E331</f>
        <v>123750</v>
      </c>
    </row>
    <row r="300" spans="2:5" ht="21" x14ac:dyDescent="0.2">
      <c r="C300" s="471" t="s">
        <v>3338</v>
      </c>
      <c r="D300" s="472" t="s">
        <v>3782</v>
      </c>
    </row>
    <row r="302" spans="2:5" s="479" customFormat="1" ht="18.75" x14ac:dyDescent="0.25">
      <c r="B302" s="939"/>
      <c r="C302" s="477" t="s">
        <v>3321</v>
      </c>
      <c r="D302" s="559" t="s">
        <v>13</v>
      </c>
      <c r="E302" s="559" t="s">
        <v>14</v>
      </c>
    </row>
    <row r="303" spans="2:5" x14ac:dyDescent="0.2">
      <c r="B303" s="891" t="s">
        <v>2000</v>
      </c>
      <c r="C303" s="561" t="s">
        <v>2939</v>
      </c>
      <c r="D303" s="1071">
        <f>IFERROR(_xlfn.XLOOKUP($D$11,ELEC!$F$5:$AV$5,ELEC!F240:AV240,0,0,1),0)</f>
        <v>0</v>
      </c>
      <c r="E303" s="895">
        <f t="shared" ref="E303:E317" si="14">ROUNDUP(D303,0)</f>
        <v>0</v>
      </c>
    </row>
    <row r="304" spans="2:5" x14ac:dyDescent="0.2">
      <c r="B304" s="891" t="s">
        <v>2954</v>
      </c>
      <c r="C304" s="561" t="s">
        <v>2940</v>
      </c>
      <c r="D304" s="1071">
        <f>IFERROR(_xlfn.XLOOKUP($D$11,ELEC!$F$5:$AV$5,ELEC!F241:AV241,0,0,1),0)</f>
        <v>1</v>
      </c>
      <c r="E304" s="895">
        <f t="shared" si="14"/>
        <v>1</v>
      </c>
    </row>
    <row r="305" spans="2:5" x14ac:dyDescent="0.2">
      <c r="B305" s="891" t="s">
        <v>2955</v>
      </c>
      <c r="C305" s="561" t="s">
        <v>2941</v>
      </c>
      <c r="D305" s="1071">
        <f>IFERROR(_xlfn.XLOOKUP($D$11,ELEC!$F$5:$AV$5,ELEC!F242:AV242,0,0,1),0)</f>
        <v>13</v>
      </c>
      <c r="E305" s="895">
        <f t="shared" si="14"/>
        <v>13</v>
      </c>
    </row>
    <row r="306" spans="2:5" x14ac:dyDescent="0.2">
      <c r="B306" s="891" t="s">
        <v>2482</v>
      </c>
      <c r="C306" s="561" t="s">
        <v>2942</v>
      </c>
      <c r="D306" s="1071">
        <f>IFERROR(_xlfn.XLOOKUP($D$11,ELEC!$F$5:$AV$5,ELEC!F243:AV243,0,0,1),0)</f>
        <v>1</v>
      </c>
      <c r="E306" s="895">
        <f t="shared" si="14"/>
        <v>1</v>
      </c>
    </row>
    <row r="307" spans="2:5" x14ac:dyDescent="0.2">
      <c r="B307" s="891" t="s">
        <v>2955</v>
      </c>
      <c r="C307" s="561" t="s">
        <v>2943</v>
      </c>
      <c r="D307" s="1071">
        <f>IFERROR(_xlfn.XLOOKUP($D$11,ELEC!$F$5:$AV$5,ELEC!F244:AV244,0,0,1),0)</f>
        <v>1</v>
      </c>
      <c r="E307" s="895">
        <f t="shared" si="14"/>
        <v>1</v>
      </c>
    </row>
    <row r="308" spans="2:5" x14ac:dyDescent="0.2">
      <c r="B308" s="891" t="s">
        <v>2956</v>
      </c>
      <c r="C308" s="561" t="s">
        <v>2944</v>
      </c>
      <c r="D308" s="1071">
        <f>IFERROR(_xlfn.XLOOKUP($D$11,ELEC!$F$5:$AV$5,ELEC!F245:AV245,0,0,1),0)</f>
        <v>3</v>
      </c>
      <c r="E308" s="895">
        <f t="shared" si="14"/>
        <v>3</v>
      </c>
    </row>
    <row r="309" spans="2:5" x14ac:dyDescent="0.2">
      <c r="B309" s="891" t="s">
        <v>2957</v>
      </c>
      <c r="C309" s="561" t="s">
        <v>2945</v>
      </c>
      <c r="D309" s="1071">
        <f>IFERROR(_xlfn.XLOOKUP($D$11,ELEC!$F$5:$AV$5,ELEC!F246:AV246,0,0,1),0)</f>
        <v>1</v>
      </c>
      <c r="E309" s="895">
        <f t="shared" si="14"/>
        <v>1</v>
      </c>
    </row>
    <row r="310" spans="2:5" x14ac:dyDescent="0.2">
      <c r="B310" s="891" t="s">
        <v>2496</v>
      </c>
      <c r="C310" s="561" t="s">
        <v>2946</v>
      </c>
      <c r="D310" s="1071">
        <f>IFERROR(_xlfn.XLOOKUP($D$11,ELEC!$F$5:$AV$5,ELEC!F247:AV247,0,0,1),0)</f>
        <v>0</v>
      </c>
      <c r="E310" s="895">
        <f t="shared" si="14"/>
        <v>0</v>
      </c>
    </row>
    <row r="311" spans="2:5" x14ac:dyDescent="0.2">
      <c r="B311" s="891" t="s">
        <v>2964</v>
      </c>
      <c r="C311" s="561" t="s">
        <v>2947</v>
      </c>
      <c r="D311" s="1071">
        <f>IFERROR(_xlfn.XLOOKUP($D$11,ELEC!$F$5:$AV$5,ELEC!F248:AV248,0,0,1),0)</f>
        <v>1</v>
      </c>
      <c r="E311" s="895">
        <f t="shared" si="14"/>
        <v>1</v>
      </c>
    </row>
    <row r="312" spans="2:5" x14ac:dyDescent="0.2">
      <c r="B312" s="891" t="s">
        <v>2962</v>
      </c>
      <c r="C312" s="561" t="s">
        <v>2948</v>
      </c>
      <c r="D312" s="1071">
        <f>IFERROR(_xlfn.XLOOKUP($D$11,ELEC!$F$5:$AV$5,ELEC!F249:AV249,0,0,1),0)</f>
        <v>1</v>
      </c>
      <c r="E312" s="895">
        <f t="shared" si="14"/>
        <v>1</v>
      </c>
    </row>
    <row r="313" spans="2:5" x14ac:dyDescent="0.2">
      <c r="B313" s="891" t="s">
        <v>2310</v>
      </c>
      <c r="C313" s="561" t="s">
        <v>2935</v>
      </c>
      <c r="D313" s="1071">
        <f>IFERROR(_xlfn.XLOOKUP($D$11,ELEC!$F$5:$AV$5,ELEC!F250:AV250,0,0,1),0)</f>
        <v>0</v>
      </c>
      <c r="E313" s="895">
        <f t="shared" si="14"/>
        <v>0</v>
      </c>
    </row>
    <row r="314" spans="2:5" x14ac:dyDescent="0.2">
      <c r="B314" s="891" t="s">
        <v>2958</v>
      </c>
      <c r="C314" s="561" t="s">
        <v>2949</v>
      </c>
      <c r="D314" s="1071">
        <f>IFERROR(_xlfn.XLOOKUP($D$11,ELEC!$F$5:$AV$5,ELEC!F251:AV251,0,0,1),0)</f>
        <v>1</v>
      </c>
      <c r="E314" s="895">
        <f t="shared" si="14"/>
        <v>1</v>
      </c>
    </row>
    <row r="315" spans="2:5" x14ac:dyDescent="0.2">
      <c r="B315" s="891" t="s">
        <v>1921</v>
      </c>
      <c r="C315" s="561" t="s">
        <v>2950</v>
      </c>
      <c r="D315" s="1071">
        <f>IFERROR(_xlfn.XLOOKUP($D$11,ELEC!$F$5:$AV$5,ELEC!F252:AV252,0,0,1),0)</f>
        <v>1</v>
      </c>
      <c r="E315" s="895">
        <f t="shared" si="14"/>
        <v>1</v>
      </c>
    </row>
    <row r="316" spans="2:5" x14ac:dyDescent="0.2">
      <c r="B316" s="891" t="s">
        <v>2278</v>
      </c>
      <c r="C316" s="561" t="s">
        <v>2951</v>
      </c>
      <c r="D316" s="1071">
        <f>IFERROR(_xlfn.XLOOKUP($D$11,ELEC!$F$5:$AV$5,ELEC!F253:AV253,0,0,1),0)</f>
        <v>1</v>
      </c>
      <c r="E316" s="895">
        <f t="shared" si="14"/>
        <v>1</v>
      </c>
    </row>
    <row r="317" spans="2:5" x14ac:dyDescent="0.2">
      <c r="B317" s="891" t="s">
        <v>2279</v>
      </c>
      <c r="C317" s="561" t="s">
        <v>2952</v>
      </c>
      <c r="D317" s="1071">
        <f>IFERROR(_xlfn.XLOOKUP($D$11,ELEC!$F$5:$AV$5,ELEC!F254:AV254,0,0,1),0)</f>
        <v>0</v>
      </c>
      <c r="E317" s="895">
        <f t="shared" si="14"/>
        <v>0</v>
      </c>
    </row>
    <row r="319" spans="2:5" ht="18.75" x14ac:dyDescent="0.2">
      <c r="C319" s="562" t="s">
        <v>1809</v>
      </c>
      <c r="D319" s="563">
        <f>+E332</f>
        <v>156250</v>
      </c>
    </row>
    <row r="321" spans="2:6" x14ac:dyDescent="0.2">
      <c r="D321" s="136"/>
    </row>
    <row r="322" spans="2:6" ht="15.75" thickBot="1" x14ac:dyDescent="0.25"/>
    <row r="323" spans="2:6" s="479" customFormat="1" ht="16.5" x14ac:dyDescent="0.25">
      <c r="B323" s="939"/>
      <c r="C323" s="568" t="s">
        <v>3339</v>
      </c>
      <c r="D323" s="469" t="s">
        <v>3456</v>
      </c>
      <c r="E323" s="569" t="s">
        <v>250</v>
      </c>
      <c r="F323" s="570" t="s">
        <v>3011</v>
      </c>
    </row>
    <row r="324" spans="2:6" s="479" customFormat="1" x14ac:dyDescent="0.2">
      <c r="B324" s="939"/>
      <c r="C324" s="571"/>
      <c r="D324" s="572" t="s">
        <v>3012</v>
      </c>
      <c r="E324" s="573" t="s">
        <v>13</v>
      </c>
      <c r="F324" s="574" t="s">
        <v>3013</v>
      </c>
    </row>
    <row r="325" spans="2:6" s="479" customFormat="1" x14ac:dyDescent="0.2">
      <c r="B325" s="939"/>
      <c r="C325" s="579">
        <v>1</v>
      </c>
      <c r="D325" s="580" t="s">
        <v>3014</v>
      </c>
      <c r="E325" s="581">
        <v>32500</v>
      </c>
      <c r="F325" s="582">
        <v>0</v>
      </c>
    </row>
    <row r="326" spans="2:6" s="479" customFormat="1" x14ac:dyDescent="0.2">
      <c r="B326" s="939"/>
      <c r="C326" s="579">
        <v>2</v>
      </c>
      <c r="D326" s="580" t="s">
        <v>3015</v>
      </c>
      <c r="E326" s="581">
        <v>25000</v>
      </c>
      <c r="F326" s="582">
        <v>0</v>
      </c>
    </row>
    <row r="327" spans="2:6" s="479" customFormat="1" x14ac:dyDescent="0.2">
      <c r="B327" s="939"/>
      <c r="C327" s="579">
        <v>3</v>
      </c>
      <c r="D327" s="580" t="s">
        <v>3016</v>
      </c>
      <c r="E327" s="581">
        <v>95000</v>
      </c>
      <c r="F327" s="582">
        <v>0</v>
      </c>
    </row>
    <row r="328" spans="2:6" s="479" customFormat="1" x14ac:dyDescent="0.2">
      <c r="B328" s="939"/>
      <c r="C328" s="579">
        <v>4</v>
      </c>
      <c r="D328" s="580" t="s">
        <v>3017</v>
      </c>
      <c r="E328" s="581">
        <v>35000</v>
      </c>
      <c r="F328" s="582">
        <v>0</v>
      </c>
    </row>
    <row r="329" spans="2:6" s="479" customFormat="1" x14ac:dyDescent="0.2">
      <c r="B329" s="939"/>
      <c r="C329" s="579">
        <v>5</v>
      </c>
      <c r="D329" s="580" t="s">
        <v>3018</v>
      </c>
      <c r="E329" s="581">
        <v>176250</v>
      </c>
      <c r="F329" s="582">
        <v>0</v>
      </c>
    </row>
    <row r="330" spans="2:6" s="479" customFormat="1" x14ac:dyDescent="0.2">
      <c r="B330" s="939"/>
      <c r="C330" s="579">
        <v>6</v>
      </c>
      <c r="D330" s="580" t="s">
        <v>3019</v>
      </c>
      <c r="E330" s="581">
        <v>71250</v>
      </c>
      <c r="F330" s="582">
        <v>0</v>
      </c>
    </row>
    <row r="331" spans="2:6" s="479" customFormat="1" x14ac:dyDescent="0.2">
      <c r="B331" s="483"/>
      <c r="C331" s="579">
        <v>7</v>
      </c>
      <c r="D331" s="580" t="s">
        <v>3020</v>
      </c>
      <c r="E331" s="581">
        <v>123750</v>
      </c>
      <c r="F331" s="582">
        <v>0</v>
      </c>
    </row>
    <row r="332" spans="2:6" s="479" customFormat="1" x14ac:dyDescent="0.2">
      <c r="B332" s="483"/>
      <c r="C332" s="579">
        <v>8</v>
      </c>
      <c r="D332" s="580" t="s">
        <v>3021</v>
      </c>
      <c r="E332" s="581">
        <v>156250</v>
      </c>
      <c r="F332" s="582">
        <v>0</v>
      </c>
    </row>
    <row r="333" spans="2:6" s="479" customFormat="1" ht="15.75" thickBot="1" x14ac:dyDescent="0.25">
      <c r="B333" s="483"/>
      <c r="C333" s="583">
        <v>9</v>
      </c>
      <c r="D333" s="584" t="s">
        <v>3022</v>
      </c>
      <c r="E333" s="585">
        <v>235000</v>
      </c>
      <c r="F333" s="586">
        <v>0</v>
      </c>
    </row>
    <row r="334" spans="2:6" s="479" customFormat="1" ht="15.75" thickBot="1" x14ac:dyDescent="0.25">
      <c r="B334" s="483"/>
      <c r="C334" s="575">
        <v>10</v>
      </c>
      <c r="D334" s="576" t="s">
        <v>257</v>
      </c>
      <c r="E334" s="577">
        <f>SUM(E325:E333)</f>
        <v>950000</v>
      </c>
      <c r="F334" s="578">
        <v>0</v>
      </c>
    </row>
    <row r="336" spans="2:6" ht="18.75" x14ac:dyDescent="0.2">
      <c r="C336" s="588" t="s">
        <v>3349</v>
      </c>
      <c r="D336" s="563">
        <v>207468</v>
      </c>
    </row>
  </sheetData>
  <dataValidations count="1">
    <dataValidation type="list" allowBlank="1" showInputMessage="1" showErrorMessage="1" sqref="D11" xr:uid="{348EBBBC-CC00-4297-955C-351C2DA9A954}">
      <formula1>$H$18:$H$60</formula1>
    </dataValidation>
  </dataValidation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F34C1-8C8A-4395-B38A-B7069C4ADC3B}">
  <sheetPr>
    <tabColor theme="8" tint="0.39997558519241921"/>
  </sheetPr>
  <dimension ref="A1:L1749"/>
  <sheetViews>
    <sheetView workbookViewId="0">
      <selection activeCell="K8" sqref="K8"/>
    </sheetView>
  </sheetViews>
  <sheetFormatPr defaultColWidth="11.43359375" defaultRowHeight="15" x14ac:dyDescent="0.2"/>
  <cols>
    <col min="1" max="1" width="22.46484375" style="343" customWidth="1"/>
    <col min="2" max="2" width="15.46875" style="344" customWidth="1"/>
    <col min="3" max="4" width="13.44921875" style="806" bestFit="1" customWidth="1"/>
    <col min="5" max="5" width="65.51171875" style="117" bestFit="1" customWidth="1"/>
    <col min="6" max="6" width="13.44921875" style="107" bestFit="1" customWidth="1"/>
    <col min="7" max="7" width="13.046875" customWidth="1"/>
    <col min="8" max="8" width="20.4453125" bestFit="1" customWidth="1"/>
    <col min="9" max="9" width="18.5625" customWidth="1"/>
  </cols>
  <sheetData>
    <row r="1" spans="1:12" s="119" customFormat="1" ht="25.5" x14ac:dyDescent="0.2">
      <c r="A1" s="386"/>
      <c r="B1" s="387" t="s">
        <v>10</v>
      </c>
      <c r="C1" s="796" t="s">
        <v>3530</v>
      </c>
      <c r="D1" s="796" t="s">
        <v>2362</v>
      </c>
      <c r="E1" s="387" t="s">
        <v>261</v>
      </c>
      <c r="F1" s="387" t="s">
        <v>262</v>
      </c>
      <c r="G1" s="394" t="s">
        <v>263</v>
      </c>
      <c r="H1" s="387" t="s">
        <v>264</v>
      </c>
      <c r="I1" s="387" t="s">
        <v>2363</v>
      </c>
      <c r="J1" s="353" t="s">
        <v>2364</v>
      </c>
      <c r="K1" s="354">
        <v>530</v>
      </c>
      <c r="L1" s="356" t="s">
        <v>2178</v>
      </c>
    </row>
    <row r="2" spans="1:12" ht="20.85" customHeight="1" x14ac:dyDescent="0.2">
      <c r="A2" s="388" t="s">
        <v>2365</v>
      </c>
      <c r="B2" s="389" t="s">
        <v>959</v>
      </c>
      <c r="C2" s="797"/>
      <c r="D2" s="809"/>
      <c r="E2" s="390" t="s">
        <v>960</v>
      </c>
      <c r="F2" s="391" t="s">
        <v>271</v>
      </c>
      <c r="G2" s="392">
        <v>5500</v>
      </c>
      <c r="H2" s="393">
        <f>+G2*1.13</f>
        <v>6214.9999999999991</v>
      </c>
      <c r="I2" s="356" t="s">
        <v>2178</v>
      </c>
      <c r="J2" s="126" t="s">
        <v>272</v>
      </c>
      <c r="K2" s="126">
        <v>1.1299999999999999</v>
      </c>
      <c r="L2" t="s">
        <v>273</v>
      </c>
    </row>
    <row r="3" spans="1:12" x14ac:dyDescent="0.2">
      <c r="A3" s="355" t="s">
        <v>2365</v>
      </c>
      <c r="B3" s="106" t="s">
        <v>959</v>
      </c>
      <c r="C3" s="798"/>
      <c r="D3" s="810"/>
      <c r="E3" s="328" t="s">
        <v>960</v>
      </c>
      <c r="F3" s="108" t="s">
        <v>271</v>
      </c>
      <c r="G3" s="130">
        <v>5500</v>
      </c>
      <c r="H3" s="123">
        <f>+G3*1.13</f>
        <v>6214.9999999999991</v>
      </c>
      <c r="I3" s="356" t="s">
        <v>2178</v>
      </c>
      <c r="J3" s="105" t="s">
        <v>272</v>
      </c>
      <c r="K3" s="105">
        <v>1.1000000000000001</v>
      </c>
      <c r="L3" s="119" t="s">
        <v>277</v>
      </c>
    </row>
    <row r="4" spans="1:12" ht="20.100000000000001" customHeight="1" x14ac:dyDescent="0.2">
      <c r="A4" s="355" t="s">
        <v>2365</v>
      </c>
      <c r="B4" s="106" t="s">
        <v>508</v>
      </c>
      <c r="C4" s="798"/>
      <c r="D4" s="810"/>
      <c r="E4" s="127" t="s">
        <v>509</v>
      </c>
      <c r="F4" s="108" t="s">
        <v>271</v>
      </c>
      <c r="G4" s="130">
        <v>58744.4</v>
      </c>
      <c r="H4" s="123">
        <f>+G4*1.13</f>
        <v>66381.171999999991</v>
      </c>
      <c r="I4" s="356" t="s">
        <v>2178</v>
      </c>
      <c r="J4" s="105" t="s">
        <v>272</v>
      </c>
      <c r="K4" s="105">
        <v>1</v>
      </c>
      <c r="L4" s="119" t="s">
        <v>280</v>
      </c>
    </row>
    <row r="5" spans="1:12" ht="20.100000000000001" customHeight="1" x14ac:dyDescent="0.2">
      <c r="A5" s="225"/>
      <c r="B5" s="369" t="s">
        <v>1883</v>
      </c>
      <c r="C5" s="798"/>
      <c r="D5" s="810"/>
      <c r="E5" s="370" t="s">
        <v>1884</v>
      </c>
      <c r="F5" s="371" t="s">
        <v>271</v>
      </c>
      <c r="G5" s="372">
        <v>12212.39</v>
      </c>
      <c r="H5" s="373">
        <f>+G5*1.13</f>
        <v>13800.000699999999</v>
      </c>
      <c r="I5" s="356" t="s">
        <v>2178</v>
      </c>
    </row>
    <row r="6" spans="1:12" ht="20.100000000000001" customHeight="1" x14ac:dyDescent="0.2">
      <c r="A6" s="225"/>
      <c r="B6" s="151" t="s">
        <v>179</v>
      </c>
      <c r="C6" s="798"/>
      <c r="D6" s="810"/>
      <c r="E6" s="329" t="s">
        <v>982</v>
      </c>
      <c r="F6" s="256" t="s">
        <v>983</v>
      </c>
      <c r="G6" s="130" t="s">
        <v>1880</v>
      </c>
      <c r="H6" s="123">
        <v>6844</v>
      </c>
      <c r="I6" s="356" t="s">
        <v>2178</v>
      </c>
    </row>
    <row r="7" spans="1:12" ht="20.100000000000001" customHeight="1" x14ac:dyDescent="0.2">
      <c r="A7" s="225"/>
      <c r="B7" s="151" t="s">
        <v>178</v>
      </c>
      <c r="C7" s="798"/>
      <c r="D7" s="810"/>
      <c r="E7" s="329" t="s">
        <v>980</v>
      </c>
      <c r="F7" s="256" t="s">
        <v>981</v>
      </c>
      <c r="G7" s="130" t="s">
        <v>1880</v>
      </c>
      <c r="H7" s="123">
        <v>11021.16</v>
      </c>
      <c r="I7" s="356" t="s">
        <v>2178</v>
      </c>
    </row>
    <row r="8" spans="1:12" x14ac:dyDescent="0.2">
      <c r="A8" s="355" t="s">
        <v>2365</v>
      </c>
      <c r="B8" s="106" t="s">
        <v>737</v>
      </c>
      <c r="C8" s="798"/>
      <c r="D8" s="810"/>
      <c r="E8" s="127" t="s">
        <v>738</v>
      </c>
      <c r="F8" s="108" t="s">
        <v>271</v>
      </c>
      <c r="G8" s="130">
        <v>64000</v>
      </c>
      <c r="H8" s="123">
        <f>+G8*1.13</f>
        <v>72320</v>
      </c>
      <c r="I8" s="356"/>
    </row>
    <row r="9" spans="1:12" x14ac:dyDescent="0.2">
      <c r="A9" s="355" t="s">
        <v>2365</v>
      </c>
      <c r="B9" s="106" t="s">
        <v>737</v>
      </c>
      <c r="C9" s="798"/>
      <c r="D9" s="810"/>
      <c r="E9" s="328" t="s">
        <v>738</v>
      </c>
      <c r="F9" s="108" t="s">
        <v>271</v>
      </c>
      <c r="G9" s="130">
        <v>64000</v>
      </c>
      <c r="H9" s="123">
        <f>+G9*1.13</f>
        <v>72320</v>
      </c>
      <c r="I9" s="63"/>
    </row>
    <row r="10" spans="1:12" ht="20.100000000000001" customHeight="1" x14ac:dyDescent="0.2">
      <c r="A10" s="225"/>
      <c r="B10" s="106" t="s">
        <v>737</v>
      </c>
      <c r="C10" s="798"/>
      <c r="D10" s="810"/>
      <c r="E10" s="328" t="s">
        <v>738</v>
      </c>
      <c r="F10" s="108" t="s">
        <v>271</v>
      </c>
      <c r="G10" s="130">
        <v>64000</v>
      </c>
      <c r="H10" s="123">
        <f>+G10*1.13</f>
        <v>72320</v>
      </c>
      <c r="I10" s="356" t="s">
        <v>2178</v>
      </c>
    </row>
    <row r="11" spans="1:12" ht="20.100000000000001" customHeight="1" x14ac:dyDescent="0.2">
      <c r="A11" s="355" t="s">
        <v>2365</v>
      </c>
      <c r="B11" s="151" t="s">
        <v>180</v>
      </c>
      <c r="C11" s="798"/>
      <c r="D11" s="810"/>
      <c r="E11" s="329" t="s">
        <v>180</v>
      </c>
      <c r="F11" s="256" t="s">
        <v>983</v>
      </c>
      <c r="G11" s="130" t="s">
        <v>1880</v>
      </c>
      <c r="H11" s="123">
        <v>500</v>
      </c>
      <c r="I11" s="356" t="s">
        <v>2178</v>
      </c>
    </row>
    <row r="12" spans="1:12" ht="20.100000000000001" customHeight="1" x14ac:dyDescent="0.2">
      <c r="A12" s="355" t="s">
        <v>2365</v>
      </c>
      <c r="B12" s="106" t="s">
        <v>1920</v>
      </c>
      <c r="C12" s="798"/>
      <c r="D12" s="810"/>
      <c r="E12" s="127" t="s">
        <v>296</v>
      </c>
      <c r="F12" s="108" t="s">
        <v>276</v>
      </c>
      <c r="G12" s="130">
        <v>519.34</v>
      </c>
      <c r="H12" s="123">
        <f t="shared" ref="H12:H75" si="0">+G12*1.13</f>
        <v>586.85419999999999</v>
      </c>
      <c r="I12" s="356" t="s">
        <v>2178</v>
      </c>
    </row>
    <row r="13" spans="1:12" ht="20.100000000000001" customHeight="1" x14ac:dyDescent="0.2">
      <c r="A13" s="355" t="s">
        <v>2365</v>
      </c>
      <c r="B13" s="106" t="s">
        <v>2398</v>
      </c>
      <c r="C13" s="798"/>
      <c r="D13" s="810"/>
      <c r="E13" s="127" t="s">
        <v>304</v>
      </c>
      <c r="F13" s="108" t="s">
        <v>271</v>
      </c>
      <c r="G13" s="130">
        <v>7422.8280000000004</v>
      </c>
      <c r="H13" s="123">
        <f t="shared" si="0"/>
        <v>8387.7956400000003</v>
      </c>
      <c r="I13" s="356" t="s">
        <v>2178</v>
      </c>
    </row>
    <row r="14" spans="1:12" ht="20.100000000000001" customHeight="1" x14ac:dyDescent="0.2">
      <c r="A14" s="225"/>
      <c r="B14" s="106" t="s">
        <v>2401</v>
      </c>
      <c r="C14" s="798"/>
      <c r="D14" s="810"/>
      <c r="E14" s="127" t="s">
        <v>2402</v>
      </c>
      <c r="F14" s="108" t="s">
        <v>271</v>
      </c>
      <c r="G14" s="130">
        <v>13704.21</v>
      </c>
      <c r="H14" s="123">
        <f t="shared" si="0"/>
        <v>15485.757299999997</v>
      </c>
      <c r="I14" s="356" t="s">
        <v>2178</v>
      </c>
    </row>
    <row r="15" spans="1:12" ht="20.100000000000001" customHeight="1" x14ac:dyDescent="0.2">
      <c r="A15" s="357" t="s">
        <v>2371</v>
      </c>
      <c r="B15" s="106" t="s">
        <v>2401</v>
      </c>
      <c r="C15" s="798"/>
      <c r="D15" s="810"/>
      <c r="E15" s="127" t="s">
        <v>2402</v>
      </c>
      <c r="F15" s="108" t="s">
        <v>271</v>
      </c>
      <c r="G15" s="130">
        <v>13704.21</v>
      </c>
      <c r="H15" s="123">
        <f t="shared" si="0"/>
        <v>15485.757299999997</v>
      </c>
      <c r="I15" s="120"/>
    </row>
    <row r="16" spans="1:12" ht="20.100000000000001" customHeight="1" x14ac:dyDescent="0.2">
      <c r="A16" s="225"/>
      <c r="B16" s="106" t="s">
        <v>2403</v>
      </c>
      <c r="C16" s="798"/>
      <c r="D16" s="810"/>
      <c r="E16" s="127" t="s">
        <v>705</v>
      </c>
      <c r="F16" s="108" t="s">
        <v>271</v>
      </c>
      <c r="G16" s="130">
        <v>1546.78</v>
      </c>
      <c r="H16" s="123">
        <f t="shared" si="0"/>
        <v>1747.8613999999998</v>
      </c>
      <c r="I16" s="356" t="s">
        <v>2178</v>
      </c>
    </row>
    <row r="17" spans="1:9" ht="20.100000000000001" customHeight="1" x14ac:dyDescent="0.2">
      <c r="A17" s="225"/>
      <c r="B17" s="106" t="s">
        <v>1960</v>
      </c>
      <c r="C17" s="798"/>
      <c r="D17" s="810"/>
      <c r="E17" s="127" t="s">
        <v>2404</v>
      </c>
      <c r="F17" s="108" t="s">
        <v>271</v>
      </c>
      <c r="G17" s="130">
        <v>14658.52</v>
      </c>
      <c r="H17" s="123">
        <f t="shared" si="0"/>
        <v>16564.1276</v>
      </c>
      <c r="I17" s="356" t="s">
        <v>2178</v>
      </c>
    </row>
    <row r="18" spans="1:9" ht="20.100000000000001" customHeight="1" x14ac:dyDescent="0.2">
      <c r="A18" s="225"/>
      <c r="B18" s="106" t="s">
        <v>1973</v>
      </c>
      <c r="C18" s="798"/>
      <c r="D18" s="810"/>
      <c r="E18" s="127" t="s">
        <v>301</v>
      </c>
      <c r="F18" s="108" t="s">
        <v>271</v>
      </c>
      <c r="G18" s="130">
        <v>14290.66</v>
      </c>
      <c r="H18" s="123">
        <f t="shared" si="0"/>
        <v>16148.445799999998</v>
      </c>
      <c r="I18" s="356" t="s">
        <v>2178</v>
      </c>
    </row>
    <row r="19" spans="1:9" ht="20.100000000000001" customHeight="1" x14ac:dyDescent="0.2">
      <c r="A19" s="225"/>
      <c r="B19" s="106" t="s">
        <v>2417</v>
      </c>
      <c r="C19" s="798"/>
      <c r="D19" s="810"/>
      <c r="E19" s="127" t="s">
        <v>2418</v>
      </c>
      <c r="F19" s="108" t="s">
        <v>271</v>
      </c>
      <c r="G19" s="130">
        <v>56702.74</v>
      </c>
      <c r="H19" s="123">
        <f t="shared" si="0"/>
        <v>64074.096199999993</v>
      </c>
      <c r="I19" s="356" t="s">
        <v>2178</v>
      </c>
    </row>
    <row r="20" spans="1:9" ht="20.100000000000001" customHeight="1" x14ac:dyDescent="0.2">
      <c r="A20" s="355" t="s">
        <v>2365</v>
      </c>
      <c r="B20" s="106" t="s">
        <v>3130</v>
      </c>
      <c r="C20" s="798"/>
      <c r="D20" s="810"/>
      <c r="E20" s="127" t="s">
        <v>3131</v>
      </c>
      <c r="F20" s="108" t="s">
        <v>271</v>
      </c>
      <c r="G20" s="130">
        <v>3362.83</v>
      </c>
      <c r="H20" s="123">
        <f t="shared" si="0"/>
        <v>3799.9978999999994</v>
      </c>
      <c r="I20" s="63"/>
    </row>
    <row r="21" spans="1:9" ht="20.100000000000001" customHeight="1" x14ac:dyDescent="0.2">
      <c r="A21" s="225"/>
      <c r="B21" s="106" t="s">
        <v>2421</v>
      </c>
      <c r="C21" s="798"/>
      <c r="D21" s="810"/>
      <c r="E21" s="127" t="s">
        <v>299</v>
      </c>
      <c r="F21" s="108" t="s">
        <v>271</v>
      </c>
      <c r="G21" s="130">
        <v>3611.57</v>
      </c>
      <c r="H21" s="123">
        <f t="shared" si="0"/>
        <v>4081.0740999999998</v>
      </c>
      <c r="I21" s="356" t="s">
        <v>2178</v>
      </c>
    </row>
    <row r="22" spans="1:9" ht="20.100000000000001" customHeight="1" x14ac:dyDescent="0.2">
      <c r="A22" s="225"/>
      <c r="B22" s="106" t="s">
        <v>2429</v>
      </c>
      <c r="C22" s="798"/>
      <c r="D22" s="810"/>
      <c r="E22" s="127" t="s">
        <v>298</v>
      </c>
      <c r="F22" s="108" t="s">
        <v>271</v>
      </c>
      <c r="G22" s="130">
        <v>22600</v>
      </c>
      <c r="H22" s="123">
        <f t="shared" si="0"/>
        <v>25537.999999999996</v>
      </c>
      <c r="I22" s="356" t="s">
        <v>2178</v>
      </c>
    </row>
    <row r="23" spans="1:9" ht="20.100000000000001" customHeight="1" x14ac:dyDescent="0.2">
      <c r="A23" s="225"/>
      <c r="B23" s="106" t="s">
        <v>2425</v>
      </c>
      <c r="C23" s="798"/>
      <c r="D23" s="810"/>
      <c r="E23" s="127" t="s">
        <v>2426</v>
      </c>
      <c r="F23" s="108" t="s">
        <v>271</v>
      </c>
      <c r="G23" s="130">
        <v>34633.4</v>
      </c>
      <c r="H23" s="123">
        <f t="shared" si="0"/>
        <v>39135.741999999998</v>
      </c>
      <c r="I23" s="356" t="s">
        <v>2178</v>
      </c>
    </row>
    <row r="24" spans="1:9" ht="20.100000000000001" customHeight="1" x14ac:dyDescent="0.2">
      <c r="A24" s="225"/>
      <c r="B24" s="106" t="s">
        <v>2399</v>
      </c>
      <c r="C24" s="798"/>
      <c r="D24" s="810"/>
      <c r="E24" s="127" t="s">
        <v>598</v>
      </c>
      <c r="F24" s="108" t="s">
        <v>271</v>
      </c>
      <c r="G24" s="130">
        <v>13375</v>
      </c>
      <c r="H24" s="123">
        <f t="shared" si="0"/>
        <v>15113.749999999998</v>
      </c>
      <c r="I24" s="356" t="s">
        <v>2178</v>
      </c>
    </row>
    <row r="25" spans="1:9" ht="20.100000000000001" customHeight="1" x14ac:dyDescent="0.2">
      <c r="A25" s="225"/>
      <c r="B25" s="106" t="s">
        <v>2414</v>
      </c>
      <c r="C25" s="798"/>
      <c r="D25" s="810"/>
      <c r="E25" s="127" t="s">
        <v>2415</v>
      </c>
      <c r="F25" s="108" t="s">
        <v>271</v>
      </c>
      <c r="G25" s="130">
        <v>32103.67</v>
      </c>
      <c r="H25" s="123">
        <f t="shared" si="0"/>
        <v>36277.147099999995</v>
      </c>
      <c r="I25" s="356" t="s">
        <v>2178</v>
      </c>
    </row>
    <row r="26" spans="1:9" ht="20.100000000000001" customHeight="1" x14ac:dyDescent="0.2">
      <c r="A26" s="225"/>
      <c r="B26" s="106" t="s">
        <v>2423</v>
      </c>
      <c r="C26" s="798"/>
      <c r="D26" s="810"/>
      <c r="E26" s="127" t="s">
        <v>559</v>
      </c>
      <c r="F26" s="108" t="s">
        <v>271</v>
      </c>
      <c r="G26" s="130">
        <v>27299.7</v>
      </c>
      <c r="H26" s="123">
        <f t="shared" si="0"/>
        <v>30848.660999999996</v>
      </c>
      <c r="I26" s="356" t="s">
        <v>2178</v>
      </c>
    </row>
    <row r="27" spans="1:9" ht="20.100000000000001" customHeight="1" x14ac:dyDescent="0.2">
      <c r="A27" s="357" t="s">
        <v>2384</v>
      </c>
      <c r="B27" s="106" t="s">
        <v>2424</v>
      </c>
      <c r="C27" s="798"/>
      <c r="D27" s="810"/>
      <c r="E27" s="127" t="s">
        <v>597</v>
      </c>
      <c r="F27" s="108" t="s">
        <v>271</v>
      </c>
      <c r="G27" s="130">
        <v>98765.8</v>
      </c>
      <c r="H27" s="123">
        <f t="shared" si="0"/>
        <v>111605.35399999999</v>
      </c>
      <c r="I27" s="63"/>
    </row>
    <row r="28" spans="1:9" ht="20.100000000000001" customHeight="1" x14ac:dyDescent="0.2">
      <c r="A28" s="357" t="s">
        <v>2385</v>
      </c>
      <c r="B28" s="106" t="s">
        <v>2195</v>
      </c>
      <c r="C28" s="798"/>
      <c r="D28" s="810"/>
      <c r="E28" s="127" t="s">
        <v>751</v>
      </c>
      <c r="F28" s="108" t="s">
        <v>276</v>
      </c>
      <c r="G28" s="130">
        <v>3185.87</v>
      </c>
      <c r="H28" s="123">
        <f t="shared" si="0"/>
        <v>3600.0330999999996</v>
      </c>
      <c r="I28" s="63"/>
    </row>
    <row r="29" spans="1:9" ht="20.100000000000001" customHeight="1" x14ac:dyDescent="0.2">
      <c r="A29" s="104"/>
      <c r="B29" s="106" t="s">
        <v>2645</v>
      </c>
      <c r="C29" s="798"/>
      <c r="D29" s="810"/>
      <c r="E29" s="127" t="s">
        <v>2646</v>
      </c>
      <c r="F29" s="108" t="s">
        <v>271</v>
      </c>
      <c r="G29" s="130">
        <v>14296.22</v>
      </c>
      <c r="H29" s="123">
        <f t="shared" si="0"/>
        <v>16154.728599999999</v>
      </c>
      <c r="I29" s="356" t="s">
        <v>2178</v>
      </c>
    </row>
    <row r="30" spans="1:9" ht="20.100000000000001" customHeight="1" x14ac:dyDescent="0.2">
      <c r="A30" s="225"/>
      <c r="B30" s="106" t="s">
        <v>2405</v>
      </c>
      <c r="C30" s="798"/>
      <c r="D30" s="810"/>
      <c r="E30" s="127" t="s">
        <v>940</v>
      </c>
      <c r="F30" s="108" t="s">
        <v>271</v>
      </c>
      <c r="G30" s="130">
        <v>4879.2</v>
      </c>
      <c r="H30" s="123">
        <f t="shared" si="0"/>
        <v>5513.4959999999992</v>
      </c>
      <c r="I30" s="356" t="s">
        <v>2178</v>
      </c>
    </row>
    <row r="31" spans="1:9" ht="20.100000000000001" customHeight="1" x14ac:dyDescent="0.2">
      <c r="A31" s="225"/>
      <c r="B31" s="106" t="s">
        <v>2185</v>
      </c>
      <c r="C31" s="798"/>
      <c r="D31" s="810"/>
      <c r="E31" s="127" t="s">
        <v>845</v>
      </c>
      <c r="F31" s="108" t="s">
        <v>271</v>
      </c>
      <c r="G31" s="130">
        <v>12600</v>
      </c>
      <c r="H31" s="123">
        <f t="shared" si="0"/>
        <v>14237.999999999998</v>
      </c>
      <c r="I31" s="356" t="s">
        <v>2178</v>
      </c>
    </row>
    <row r="32" spans="1:9" ht="20.100000000000001" customHeight="1" x14ac:dyDescent="0.2">
      <c r="A32" s="225"/>
      <c r="B32" s="106" t="s">
        <v>2197</v>
      </c>
      <c r="C32" s="798"/>
      <c r="D32" s="810"/>
      <c r="E32" s="127" t="s">
        <v>847</v>
      </c>
      <c r="F32" s="108" t="s">
        <v>271</v>
      </c>
      <c r="G32" s="130">
        <v>10827</v>
      </c>
      <c r="H32" s="123">
        <f t="shared" si="0"/>
        <v>12234.509999999998</v>
      </c>
      <c r="I32" s="356" t="s">
        <v>2178</v>
      </c>
    </row>
    <row r="33" spans="1:9" ht="20.100000000000001" customHeight="1" x14ac:dyDescent="0.2">
      <c r="A33" s="225"/>
      <c r="B33" s="106" t="s">
        <v>1962</v>
      </c>
      <c r="C33" s="798"/>
      <c r="D33" s="810"/>
      <c r="E33" s="127" t="s">
        <v>849</v>
      </c>
      <c r="F33" s="108" t="s">
        <v>271</v>
      </c>
      <c r="G33" s="130">
        <v>18873</v>
      </c>
      <c r="H33" s="123">
        <f t="shared" si="0"/>
        <v>21326.489999999998</v>
      </c>
      <c r="I33" s="356" t="s">
        <v>2178</v>
      </c>
    </row>
    <row r="34" spans="1:9" ht="20.100000000000001" customHeight="1" x14ac:dyDescent="0.2">
      <c r="A34" s="135"/>
      <c r="B34" s="106" t="s">
        <v>2196</v>
      </c>
      <c r="C34" s="798"/>
      <c r="D34" s="810"/>
      <c r="E34" s="127" t="s">
        <v>851</v>
      </c>
      <c r="F34" s="108" t="s">
        <v>271</v>
      </c>
      <c r="G34" s="130">
        <v>16898.72</v>
      </c>
      <c r="H34" s="123">
        <f t="shared" si="0"/>
        <v>19095.553599999999</v>
      </c>
      <c r="I34" s="356" t="s">
        <v>2178</v>
      </c>
    </row>
    <row r="35" spans="1:9" ht="20.100000000000001" customHeight="1" x14ac:dyDescent="0.2">
      <c r="A35" s="225"/>
      <c r="B35" s="106" t="s">
        <v>2198</v>
      </c>
      <c r="C35" s="798"/>
      <c r="D35" s="810"/>
      <c r="E35" s="127" t="s">
        <v>853</v>
      </c>
      <c r="F35" s="108" t="s">
        <v>271</v>
      </c>
      <c r="G35" s="130">
        <v>12188</v>
      </c>
      <c r="H35" s="123">
        <f t="shared" si="0"/>
        <v>13772.439999999999</v>
      </c>
      <c r="I35" s="356" t="s">
        <v>2178</v>
      </c>
    </row>
    <row r="36" spans="1:9" ht="20.100000000000001" customHeight="1" x14ac:dyDescent="0.2">
      <c r="A36" s="225"/>
      <c r="B36" s="106" t="s">
        <v>1958</v>
      </c>
      <c r="C36" s="798"/>
      <c r="D36" s="810"/>
      <c r="E36" s="127" t="s">
        <v>855</v>
      </c>
      <c r="F36" s="108" t="s">
        <v>271</v>
      </c>
      <c r="G36" s="130">
        <v>28236</v>
      </c>
      <c r="H36" s="123">
        <f t="shared" si="0"/>
        <v>31906.679999999997</v>
      </c>
      <c r="I36" s="356" t="s">
        <v>2178</v>
      </c>
    </row>
    <row r="37" spans="1:9" ht="20.100000000000001" customHeight="1" x14ac:dyDescent="0.2">
      <c r="A37" s="225"/>
      <c r="B37" s="106" t="s">
        <v>1972</v>
      </c>
      <c r="C37" s="798"/>
      <c r="D37" s="810"/>
      <c r="E37" s="127" t="s">
        <v>2410</v>
      </c>
      <c r="F37" s="108" t="s">
        <v>271</v>
      </c>
      <c r="G37" s="130">
        <v>6646.41</v>
      </c>
      <c r="H37" s="123">
        <f t="shared" si="0"/>
        <v>7510.443299999999</v>
      </c>
      <c r="I37" s="356" t="s">
        <v>2178</v>
      </c>
    </row>
    <row r="38" spans="1:9" ht="20.100000000000001" customHeight="1" x14ac:dyDescent="0.2">
      <c r="A38" s="135"/>
      <c r="B38" s="369" t="s">
        <v>2419</v>
      </c>
      <c r="C38" s="798"/>
      <c r="D38" s="810"/>
      <c r="E38" s="370" t="s">
        <v>844</v>
      </c>
      <c r="F38" s="371" t="s">
        <v>271</v>
      </c>
      <c r="G38" s="372">
        <v>3946.9</v>
      </c>
      <c r="H38" s="373">
        <f t="shared" si="0"/>
        <v>4459.9969999999994</v>
      </c>
      <c r="I38" s="356" t="s">
        <v>2178</v>
      </c>
    </row>
    <row r="39" spans="1:9" ht="20.100000000000001" customHeight="1" x14ac:dyDescent="0.2">
      <c r="A39" s="225"/>
      <c r="B39" s="106" t="s">
        <v>2194</v>
      </c>
      <c r="C39" s="798"/>
      <c r="D39" s="810"/>
      <c r="E39" s="127" t="s">
        <v>852</v>
      </c>
      <c r="F39" s="108" t="s">
        <v>271</v>
      </c>
      <c r="G39" s="130">
        <v>16219</v>
      </c>
      <c r="H39" s="123">
        <f t="shared" si="0"/>
        <v>18327.469999999998</v>
      </c>
      <c r="I39" s="356" t="s">
        <v>2178</v>
      </c>
    </row>
    <row r="40" spans="1:9" ht="20.100000000000001" customHeight="1" x14ac:dyDescent="0.2">
      <c r="A40" s="362"/>
      <c r="B40" s="106" t="s">
        <v>2193</v>
      </c>
      <c r="C40" s="798"/>
      <c r="D40" s="810"/>
      <c r="E40" s="127" t="s">
        <v>846</v>
      </c>
      <c r="F40" s="108" t="s">
        <v>271</v>
      </c>
      <c r="G40" s="130">
        <v>12108</v>
      </c>
      <c r="H40" s="123">
        <f t="shared" si="0"/>
        <v>13682.039999999999</v>
      </c>
      <c r="I40" s="63" t="s">
        <v>2178</v>
      </c>
    </row>
    <row r="41" spans="1:9" ht="20.100000000000001" customHeight="1" x14ac:dyDescent="0.2">
      <c r="A41" s="225"/>
      <c r="B41" s="106" t="s">
        <v>2036</v>
      </c>
      <c r="C41" s="798"/>
      <c r="D41" s="810"/>
      <c r="E41" s="127" t="s">
        <v>848</v>
      </c>
      <c r="F41" s="108" t="s">
        <v>271</v>
      </c>
      <c r="G41" s="130">
        <v>17272</v>
      </c>
      <c r="H41" s="123">
        <f t="shared" si="0"/>
        <v>19517.359999999997</v>
      </c>
      <c r="I41" s="356" t="s">
        <v>2178</v>
      </c>
    </row>
    <row r="42" spans="1:9" ht="20.100000000000001" customHeight="1" x14ac:dyDescent="0.2">
      <c r="A42" s="225"/>
      <c r="B42" s="106" t="s">
        <v>1957</v>
      </c>
      <c r="C42" s="798"/>
      <c r="D42" s="810"/>
      <c r="E42" s="127" t="s">
        <v>850</v>
      </c>
      <c r="F42" s="108" t="s">
        <v>271</v>
      </c>
      <c r="G42" s="130">
        <v>37192.76</v>
      </c>
      <c r="H42" s="123">
        <f t="shared" si="0"/>
        <v>42027.818800000001</v>
      </c>
      <c r="I42" s="356" t="s">
        <v>2178</v>
      </c>
    </row>
    <row r="43" spans="1:9" ht="20.100000000000001" customHeight="1" x14ac:dyDescent="0.2">
      <c r="A43" s="357" t="s">
        <v>2391</v>
      </c>
      <c r="B43" s="106" t="s">
        <v>2427</v>
      </c>
      <c r="C43" s="798"/>
      <c r="D43" s="810"/>
      <c r="E43" s="127" t="s">
        <v>836</v>
      </c>
      <c r="F43" s="108" t="s">
        <v>271</v>
      </c>
      <c r="G43" s="130">
        <v>7064.18</v>
      </c>
      <c r="H43" s="123">
        <f t="shared" si="0"/>
        <v>7982.5233999999991</v>
      </c>
      <c r="I43" s="63" t="s">
        <v>2178</v>
      </c>
    </row>
    <row r="44" spans="1:9" ht="20.100000000000001" customHeight="1" x14ac:dyDescent="0.2">
      <c r="A44" s="225"/>
      <c r="B44" s="106" t="s">
        <v>2428</v>
      </c>
      <c r="C44" s="798"/>
      <c r="D44" s="810"/>
      <c r="E44" s="127" t="s">
        <v>663</v>
      </c>
      <c r="F44" s="108" t="s">
        <v>271</v>
      </c>
      <c r="G44" s="130">
        <v>9734.51</v>
      </c>
      <c r="H44" s="123">
        <f t="shared" si="0"/>
        <v>10999.996299999999</v>
      </c>
      <c r="I44" s="356" t="s">
        <v>2178</v>
      </c>
    </row>
    <row r="45" spans="1:9" ht="20.100000000000001" customHeight="1" x14ac:dyDescent="0.2">
      <c r="A45" s="225"/>
      <c r="B45" s="106" t="s">
        <v>2430</v>
      </c>
      <c r="C45" s="798"/>
      <c r="D45" s="810"/>
      <c r="E45" s="328" t="s">
        <v>1882</v>
      </c>
      <c r="F45" s="108" t="s">
        <v>271</v>
      </c>
      <c r="G45" s="130">
        <v>4073.26</v>
      </c>
      <c r="H45" s="123">
        <f t="shared" si="0"/>
        <v>4602.7838000000002</v>
      </c>
      <c r="I45" s="356" t="s">
        <v>2178</v>
      </c>
    </row>
    <row r="46" spans="1:9" ht="20.100000000000001" customHeight="1" x14ac:dyDescent="0.2">
      <c r="A46" s="225"/>
      <c r="B46" s="106" t="s">
        <v>2431</v>
      </c>
      <c r="C46" s="798"/>
      <c r="D46" s="810"/>
      <c r="E46" s="328" t="s">
        <v>1881</v>
      </c>
      <c r="F46" s="108" t="s">
        <v>271</v>
      </c>
      <c r="G46" s="130">
        <v>19910</v>
      </c>
      <c r="H46" s="123">
        <f t="shared" si="0"/>
        <v>22498.3</v>
      </c>
      <c r="I46" s="356" t="s">
        <v>2178</v>
      </c>
    </row>
    <row r="47" spans="1:9" ht="20.100000000000001" customHeight="1" x14ac:dyDescent="0.2">
      <c r="A47" s="135"/>
      <c r="B47" s="363" t="s">
        <v>2212</v>
      </c>
      <c r="C47" s="802"/>
      <c r="D47" s="815"/>
      <c r="E47" s="364" t="s">
        <v>2413</v>
      </c>
      <c r="F47" s="365" t="s">
        <v>271</v>
      </c>
      <c r="G47" s="366">
        <v>6004.9</v>
      </c>
      <c r="H47" s="367">
        <f t="shared" si="0"/>
        <v>6785.5369999999994</v>
      </c>
      <c r="I47" s="356" t="s">
        <v>2178</v>
      </c>
    </row>
    <row r="48" spans="1:9" ht="20.100000000000001" customHeight="1" x14ac:dyDescent="0.2">
      <c r="A48" s="135"/>
      <c r="B48" s="106" t="s">
        <v>2187</v>
      </c>
      <c r="C48" s="798"/>
      <c r="D48" s="810"/>
      <c r="E48" s="127" t="s">
        <v>2400</v>
      </c>
      <c r="F48" s="108" t="s">
        <v>271</v>
      </c>
      <c r="G48" s="130">
        <v>16603.98</v>
      </c>
      <c r="H48" s="123">
        <f t="shared" si="0"/>
        <v>18762.497399999997</v>
      </c>
      <c r="I48" s="356" t="s">
        <v>2178</v>
      </c>
    </row>
    <row r="49" spans="1:9" ht="20.100000000000001" customHeight="1" x14ac:dyDescent="0.2">
      <c r="A49" s="357" t="s">
        <v>2396</v>
      </c>
      <c r="B49" s="106" t="s">
        <v>2188</v>
      </c>
      <c r="C49" s="798"/>
      <c r="D49" s="810"/>
      <c r="E49" s="129" t="s">
        <v>2406</v>
      </c>
      <c r="F49" s="108" t="s">
        <v>271</v>
      </c>
      <c r="G49" s="130">
        <v>504.25</v>
      </c>
      <c r="H49" s="123">
        <f t="shared" si="0"/>
        <v>569.8024999999999</v>
      </c>
      <c r="I49" s="63"/>
    </row>
    <row r="50" spans="1:9" ht="20.100000000000001" customHeight="1" x14ac:dyDescent="0.2">
      <c r="A50" s="225"/>
      <c r="B50" s="106" t="s">
        <v>1918</v>
      </c>
      <c r="C50" s="801" t="s">
        <v>24</v>
      </c>
      <c r="D50" s="814"/>
      <c r="E50" s="129" t="s">
        <v>3502</v>
      </c>
      <c r="F50" s="108" t="s">
        <v>271</v>
      </c>
      <c r="G50" s="130">
        <v>1190</v>
      </c>
      <c r="H50" s="123">
        <f t="shared" si="0"/>
        <v>1344.6999999999998</v>
      </c>
      <c r="I50" s="356" t="s">
        <v>2178</v>
      </c>
    </row>
    <row r="51" spans="1:9" ht="20.100000000000001" customHeight="1" x14ac:dyDescent="0.2">
      <c r="A51" s="225"/>
      <c r="B51" s="106" t="s">
        <v>1918</v>
      </c>
      <c r="C51" s="801" t="s">
        <v>109</v>
      </c>
      <c r="D51" s="814"/>
      <c r="E51" s="129" t="s">
        <v>3502</v>
      </c>
      <c r="F51" s="108" t="s">
        <v>271</v>
      </c>
      <c r="G51" s="130">
        <v>1308.23</v>
      </c>
      <c r="H51" s="123">
        <f t="shared" si="0"/>
        <v>1478.2999</v>
      </c>
      <c r="I51" s="356" t="s">
        <v>2178</v>
      </c>
    </row>
    <row r="52" spans="1:9" ht="20.100000000000001" customHeight="1" x14ac:dyDescent="0.2">
      <c r="A52" s="225"/>
      <c r="B52" s="106" t="s">
        <v>1919</v>
      </c>
      <c r="C52" s="801" t="s">
        <v>24</v>
      </c>
      <c r="D52" s="814"/>
      <c r="E52" s="129" t="s">
        <v>2407</v>
      </c>
      <c r="F52" s="108" t="s">
        <v>271</v>
      </c>
      <c r="G52" s="130">
        <v>2120</v>
      </c>
      <c r="H52" s="123">
        <f t="shared" si="0"/>
        <v>2395.6</v>
      </c>
      <c r="I52" s="356" t="s">
        <v>2178</v>
      </c>
    </row>
    <row r="53" spans="1:9" ht="20.100000000000001" customHeight="1" x14ac:dyDescent="0.2">
      <c r="A53" s="225"/>
      <c r="B53" s="106" t="s">
        <v>1919</v>
      </c>
      <c r="C53" s="801" t="s">
        <v>109</v>
      </c>
      <c r="D53" s="814"/>
      <c r="E53" s="129" t="s">
        <v>2407</v>
      </c>
      <c r="F53" s="108" t="s">
        <v>271</v>
      </c>
      <c r="G53" s="130">
        <v>2311.83</v>
      </c>
      <c r="H53" s="123">
        <f t="shared" si="0"/>
        <v>2612.3678999999997</v>
      </c>
      <c r="I53" s="356" t="s">
        <v>2178</v>
      </c>
    </row>
    <row r="54" spans="1:9" ht="20.100000000000001" customHeight="1" x14ac:dyDescent="0.2">
      <c r="A54" s="225"/>
      <c r="B54" s="106" t="s">
        <v>2408</v>
      </c>
      <c r="C54" s="798"/>
      <c r="D54" s="810"/>
      <c r="E54" s="129" t="s">
        <v>2409</v>
      </c>
      <c r="F54" s="108" t="s">
        <v>271</v>
      </c>
      <c r="G54" s="130">
        <v>3436.85</v>
      </c>
      <c r="H54" s="123">
        <f t="shared" si="0"/>
        <v>3883.6404999999995</v>
      </c>
      <c r="I54" s="356" t="s">
        <v>2178</v>
      </c>
    </row>
    <row r="55" spans="1:9" ht="20.100000000000001" customHeight="1" x14ac:dyDescent="0.2">
      <c r="A55" s="225"/>
      <c r="B55" s="106" t="s">
        <v>2206</v>
      </c>
      <c r="C55" s="798"/>
      <c r="D55" s="810"/>
      <c r="E55" s="129" t="s">
        <v>879</v>
      </c>
      <c r="F55" s="108" t="s">
        <v>271</v>
      </c>
      <c r="G55" s="130">
        <v>5022</v>
      </c>
      <c r="H55" s="123">
        <f t="shared" si="0"/>
        <v>5674.86</v>
      </c>
      <c r="I55" s="356" t="s">
        <v>2178</v>
      </c>
    </row>
    <row r="56" spans="1:9" ht="20.100000000000001" customHeight="1" x14ac:dyDescent="0.2">
      <c r="A56" s="225"/>
      <c r="B56" s="106" t="s">
        <v>2389</v>
      </c>
      <c r="C56" s="798"/>
      <c r="D56" s="810"/>
      <c r="E56" s="127" t="s">
        <v>713</v>
      </c>
      <c r="F56" s="108" t="s">
        <v>271</v>
      </c>
      <c r="G56" s="130">
        <v>1558.66</v>
      </c>
      <c r="H56" s="123">
        <f t="shared" si="0"/>
        <v>1761.2857999999999</v>
      </c>
      <c r="I56" s="356" t="s">
        <v>2178</v>
      </c>
    </row>
    <row r="57" spans="1:9" ht="20.100000000000001" customHeight="1" x14ac:dyDescent="0.2">
      <c r="A57" s="225"/>
      <c r="B57" s="106" t="s">
        <v>2392</v>
      </c>
      <c r="C57" s="798"/>
      <c r="D57" s="810"/>
      <c r="E57" s="127" t="s">
        <v>913</v>
      </c>
      <c r="F57" s="108" t="s">
        <v>271</v>
      </c>
      <c r="G57" s="130">
        <v>21367.52</v>
      </c>
      <c r="H57" s="123">
        <f t="shared" si="0"/>
        <v>24145.297599999998</v>
      </c>
      <c r="I57" s="356" t="s">
        <v>2178</v>
      </c>
    </row>
    <row r="58" spans="1:9" ht="20.100000000000001" customHeight="1" x14ac:dyDescent="0.2">
      <c r="A58" s="225"/>
      <c r="B58" s="106" t="s">
        <v>2608</v>
      </c>
      <c r="C58" s="798"/>
      <c r="D58" s="810"/>
      <c r="E58" s="127" t="s">
        <v>2609</v>
      </c>
      <c r="F58" s="108" t="s">
        <v>271</v>
      </c>
      <c r="G58" s="130">
        <v>9500</v>
      </c>
      <c r="H58" s="123">
        <f t="shared" si="0"/>
        <v>10734.999999999998</v>
      </c>
      <c r="I58" s="356" t="s">
        <v>2178</v>
      </c>
    </row>
    <row r="59" spans="1:9" ht="20.100000000000001" customHeight="1" x14ac:dyDescent="0.2">
      <c r="A59" s="104"/>
      <c r="B59" s="106" t="s">
        <v>2558</v>
      </c>
      <c r="C59" s="798"/>
      <c r="D59" s="810"/>
      <c r="E59" s="127" t="s">
        <v>474</v>
      </c>
      <c r="F59" s="108" t="s">
        <v>271</v>
      </c>
      <c r="G59" s="130">
        <v>1689.26</v>
      </c>
      <c r="H59" s="123">
        <f t="shared" si="0"/>
        <v>1908.8637999999999</v>
      </c>
      <c r="I59" s="356" t="s">
        <v>2178</v>
      </c>
    </row>
    <row r="60" spans="1:9" ht="20.100000000000001" customHeight="1" x14ac:dyDescent="0.2">
      <c r="A60" s="225"/>
      <c r="B60" s="106" t="s">
        <v>2567</v>
      </c>
      <c r="C60" s="798"/>
      <c r="D60" s="810"/>
      <c r="E60" s="127" t="s">
        <v>490</v>
      </c>
      <c r="F60" s="108" t="s">
        <v>271</v>
      </c>
      <c r="G60" s="130">
        <v>913.3</v>
      </c>
      <c r="H60" s="123">
        <f t="shared" si="0"/>
        <v>1032.0289999999998</v>
      </c>
      <c r="I60" s="356" t="s">
        <v>2178</v>
      </c>
    </row>
    <row r="61" spans="1:9" ht="20.100000000000001" customHeight="1" x14ac:dyDescent="0.2">
      <c r="A61" s="225"/>
      <c r="B61" s="106" t="s">
        <v>2256</v>
      </c>
      <c r="C61" s="798"/>
      <c r="D61" s="810"/>
      <c r="E61" s="127" t="s">
        <v>625</v>
      </c>
      <c r="F61" s="108" t="s">
        <v>271</v>
      </c>
      <c r="G61" s="130">
        <v>1364.28</v>
      </c>
      <c r="H61" s="123">
        <f t="shared" si="0"/>
        <v>1541.6363999999999</v>
      </c>
      <c r="I61" s="356" t="s">
        <v>2178</v>
      </c>
    </row>
    <row r="62" spans="1:9" ht="20.100000000000001" customHeight="1" x14ac:dyDescent="0.2">
      <c r="A62" s="225"/>
      <c r="B62" s="106" t="s">
        <v>2254</v>
      </c>
      <c r="C62" s="798"/>
      <c r="D62" s="810"/>
      <c r="E62" s="127" t="s">
        <v>2387</v>
      </c>
      <c r="F62" s="108" t="s">
        <v>271</v>
      </c>
      <c r="G62" s="130">
        <v>46908.77</v>
      </c>
      <c r="H62" s="123">
        <f t="shared" si="0"/>
        <v>53006.910099999994</v>
      </c>
      <c r="I62" s="356" t="s">
        <v>2178</v>
      </c>
    </row>
    <row r="63" spans="1:9" ht="20.100000000000001" customHeight="1" x14ac:dyDescent="0.2">
      <c r="A63" s="225"/>
      <c r="B63" s="106" t="s">
        <v>2261</v>
      </c>
      <c r="C63" s="798"/>
      <c r="D63" s="810"/>
      <c r="E63" s="127" t="s">
        <v>2386</v>
      </c>
      <c r="F63" s="108" t="s">
        <v>271</v>
      </c>
      <c r="G63" s="130">
        <v>36217.83</v>
      </c>
      <c r="H63" s="123">
        <f t="shared" si="0"/>
        <v>40926.147899999996</v>
      </c>
      <c r="I63" s="356" t="s">
        <v>2178</v>
      </c>
    </row>
    <row r="64" spans="1:9" ht="20.100000000000001" customHeight="1" x14ac:dyDescent="0.2">
      <c r="A64" s="225"/>
      <c r="B64" s="106" t="s">
        <v>2269</v>
      </c>
      <c r="C64" s="798"/>
      <c r="D64" s="810"/>
      <c r="E64" s="127" t="s">
        <v>540</v>
      </c>
      <c r="F64" s="108" t="s">
        <v>271</v>
      </c>
      <c r="G64" s="130">
        <v>21723</v>
      </c>
      <c r="H64" s="123">
        <f t="shared" si="0"/>
        <v>24546.989999999998</v>
      </c>
      <c r="I64" s="356" t="s">
        <v>2178</v>
      </c>
    </row>
    <row r="65" spans="1:9" x14ac:dyDescent="0.2">
      <c r="A65" s="225"/>
      <c r="B65" s="106" t="s">
        <v>2267</v>
      </c>
      <c r="C65" s="798"/>
      <c r="D65" s="810"/>
      <c r="E65" s="127" t="s">
        <v>538</v>
      </c>
      <c r="F65" s="108" t="s">
        <v>271</v>
      </c>
      <c r="G65" s="130">
        <v>29253</v>
      </c>
      <c r="H65" s="123">
        <f t="shared" si="0"/>
        <v>33055.89</v>
      </c>
      <c r="I65" s="356" t="s">
        <v>2178</v>
      </c>
    </row>
    <row r="66" spans="1:9" x14ac:dyDescent="0.2">
      <c r="A66" s="225"/>
      <c r="B66" s="106" t="s">
        <v>2259</v>
      </c>
      <c r="C66" s="798"/>
      <c r="D66" s="810"/>
      <c r="E66" s="127" t="s">
        <v>536</v>
      </c>
      <c r="F66" s="108" t="s">
        <v>271</v>
      </c>
      <c r="G66" s="130">
        <v>30920</v>
      </c>
      <c r="H66" s="123">
        <f t="shared" si="0"/>
        <v>34939.599999999999</v>
      </c>
      <c r="I66" s="356" t="s">
        <v>2178</v>
      </c>
    </row>
    <row r="67" spans="1:9" ht="20.100000000000001" customHeight="1" x14ac:dyDescent="0.2">
      <c r="A67" s="225"/>
      <c r="B67" s="106" t="s">
        <v>2108</v>
      </c>
      <c r="C67" s="798"/>
      <c r="D67" s="810"/>
      <c r="E67" s="127" t="s">
        <v>2390</v>
      </c>
      <c r="F67" s="108" t="s">
        <v>271</v>
      </c>
      <c r="G67" s="130">
        <v>40343.410000000003</v>
      </c>
      <c r="H67" s="123">
        <f t="shared" si="0"/>
        <v>45588.0533</v>
      </c>
      <c r="I67" s="356" t="s">
        <v>2178</v>
      </c>
    </row>
    <row r="68" spans="1:9" ht="20.100000000000001" customHeight="1" x14ac:dyDescent="0.2">
      <c r="A68" s="225"/>
      <c r="B68" s="106" t="s">
        <v>2257</v>
      </c>
      <c r="C68" s="798"/>
      <c r="D68" s="810"/>
      <c r="E68" s="127" t="s">
        <v>2109</v>
      </c>
      <c r="F68" s="108" t="s">
        <v>271</v>
      </c>
      <c r="G68" s="130">
        <v>21954.04</v>
      </c>
      <c r="H68" s="123">
        <f t="shared" si="0"/>
        <v>24808.065199999997</v>
      </c>
      <c r="I68" s="356" t="s">
        <v>2178</v>
      </c>
    </row>
    <row r="69" spans="1:9" ht="20.100000000000001" customHeight="1" x14ac:dyDescent="0.2">
      <c r="A69" s="225"/>
      <c r="B69" s="106" t="s">
        <v>2270</v>
      </c>
      <c r="C69" s="798"/>
      <c r="D69" s="810"/>
      <c r="E69" s="127" t="s">
        <v>2115</v>
      </c>
      <c r="F69" s="108" t="s">
        <v>271</v>
      </c>
      <c r="G69" s="130">
        <v>24200</v>
      </c>
      <c r="H69" s="123">
        <f t="shared" si="0"/>
        <v>27345.999999999996</v>
      </c>
      <c r="I69" s="356" t="s">
        <v>2178</v>
      </c>
    </row>
    <row r="70" spans="1:9" ht="20.100000000000001" customHeight="1" x14ac:dyDescent="0.2">
      <c r="A70" s="225"/>
      <c r="B70" s="106" t="s">
        <v>2258</v>
      </c>
      <c r="C70" s="798"/>
      <c r="D70" s="810"/>
      <c r="E70" s="127" t="s">
        <v>2110</v>
      </c>
      <c r="F70" s="108" t="s">
        <v>271</v>
      </c>
      <c r="G70" s="130">
        <v>30784.36</v>
      </c>
      <c r="H70" s="123">
        <f t="shared" si="0"/>
        <v>34786.326799999995</v>
      </c>
      <c r="I70" s="356" t="s">
        <v>2178</v>
      </c>
    </row>
    <row r="71" spans="1:9" ht="20.100000000000001" customHeight="1" x14ac:dyDescent="0.2">
      <c r="A71" s="225"/>
      <c r="B71" s="345" t="s">
        <v>2114</v>
      </c>
      <c r="C71" s="808"/>
      <c r="D71" s="848"/>
      <c r="E71" s="852" t="s">
        <v>2115</v>
      </c>
      <c r="F71" s="346" t="s">
        <v>271</v>
      </c>
      <c r="G71" s="863">
        <v>23383.21</v>
      </c>
      <c r="H71" s="336">
        <f t="shared" si="0"/>
        <v>26423.027299999998</v>
      </c>
      <c r="I71" s="356" t="s">
        <v>2178</v>
      </c>
    </row>
    <row r="72" spans="1:9" ht="20.100000000000001" customHeight="1" x14ac:dyDescent="0.2">
      <c r="A72" s="225"/>
      <c r="B72" s="106" t="s">
        <v>1950</v>
      </c>
      <c r="C72" s="798"/>
      <c r="D72" s="810"/>
      <c r="E72" s="127" t="s">
        <v>592</v>
      </c>
      <c r="F72" s="108" t="s">
        <v>271</v>
      </c>
      <c r="G72" s="130">
        <v>860.98</v>
      </c>
      <c r="H72" s="123">
        <f t="shared" si="0"/>
        <v>972.90739999999994</v>
      </c>
      <c r="I72" s="356" t="s">
        <v>2178</v>
      </c>
    </row>
    <row r="73" spans="1:9" ht="20.100000000000001" customHeight="1" x14ac:dyDescent="0.2">
      <c r="A73" s="225"/>
      <c r="B73" s="106" t="s">
        <v>2096</v>
      </c>
      <c r="C73" s="798"/>
      <c r="D73" s="810"/>
      <c r="E73" s="127" t="s">
        <v>2097</v>
      </c>
      <c r="F73" s="108" t="s">
        <v>271</v>
      </c>
      <c r="G73" s="130">
        <v>177.47</v>
      </c>
      <c r="H73" s="123">
        <f t="shared" si="0"/>
        <v>200.54109999999997</v>
      </c>
      <c r="I73" s="356" t="s">
        <v>2178</v>
      </c>
    </row>
    <row r="74" spans="1:9" ht="20.100000000000001" customHeight="1" x14ac:dyDescent="0.2">
      <c r="A74" s="225"/>
      <c r="B74" s="106" t="s">
        <v>2692</v>
      </c>
      <c r="C74" s="798"/>
      <c r="D74" s="810"/>
      <c r="E74" s="127" t="s">
        <v>657</v>
      </c>
      <c r="F74" s="108" t="s">
        <v>271</v>
      </c>
      <c r="G74" s="130">
        <v>6602.5</v>
      </c>
      <c r="H74" s="123">
        <f t="shared" si="0"/>
        <v>7460.8249999999989</v>
      </c>
      <c r="I74" s="356" t="s">
        <v>2178</v>
      </c>
    </row>
    <row r="75" spans="1:9" ht="20.100000000000001" customHeight="1" x14ac:dyDescent="0.2">
      <c r="A75" s="293"/>
      <c r="B75" s="106" t="s">
        <v>1949</v>
      </c>
      <c r="C75" s="798"/>
      <c r="D75" s="810"/>
      <c r="E75" s="127" t="s">
        <v>723</v>
      </c>
      <c r="F75" s="108" t="s">
        <v>342</v>
      </c>
      <c r="G75" s="130">
        <f>7498.09/3.6</f>
        <v>2082.8027777777779</v>
      </c>
      <c r="H75" s="123">
        <f t="shared" si="0"/>
        <v>2353.5671388888886</v>
      </c>
      <c r="I75" s="356" t="s">
        <v>2178</v>
      </c>
    </row>
    <row r="76" spans="1:9" ht="20.100000000000001" customHeight="1" x14ac:dyDescent="0.2">
      <c r="A76" s="225"/>
      <c r="B76" s="106" t="s">
        <v>1947</v>
      </c>
      <c r="C76" s="798"/>
      <c r="D76" s="810"/>
      <c r="E76" s="127" t="s">
        <v>753</v>
      </c>
      <c r="F76" s="108" t="s">
        <v>271</v>
      </c>
      <c r="G76" s="130">
        <v>202.56</v>
      </c>
      <c r="H76" s="123">
        <f t="shared" ref="H76:H139" si="1">+G76*1.13</f>
        <v>228.89279999999999</v>
      </c>
      <c r="I76" s="356" t="s">
        <v>2178</v>
      </c>
    </row>
    <row r="77" spans="1:9" ht="20.100000000000001" customHeight="1" x14ac:dyDescent="0.2">
      <c r="A77" s="357" t="s">
        <v>2416</v>
      </c>
      <c r="B77" s="106" t="s">
        <v>1948</v>
      </c>
      <c r="C77" s="798"/>
      <c r="D77" s="810"/>
      <c r="E77" s="127" t="s">
        <v>755</v>
      </c>
      <c r="F77" s="108" t="s">
        <v>271</v>
      </c>
      <c r="G77" s="130">
        <v>18.89</v>
      </c>
      <c r="H77" s="123">
        <f t="shared" si="1"/>
        <v>21.345699999999997</v>
      </c>
      <c r="I77" s="63"/>
    </row>
    <row r="78" spans="1:9" ht="20.100000000000001" customHeight="1" x14ac:dyDescent="0.2">
      <c r="A78" s="225"/>
      <c r="B78" s="106" t="s">
        <v>2100</v>
      </c>
      <c r="C78" s="798"/>
      <c r="D78" s="810"/>
      <c r="E78" s="127" t="s">
        <v>2101</v>
      </c>
      <c r="F78" s="108" t="s">
        <v>271</v>
      </c>
      <c r="G78" s="130">
        <v>3100</v>
      </c>
      <c r="H78" s="123">
        <f t="shared" si="1"/>
        <v>3502.9999999999995</v>
      </c>
      <c r="I78" s="356" t="s">
        <v>2178</v>
      </c>
    </row>
    <row r="79" spans="1:9" ht="20.100000000000001" customHeight="1" x14ac:dyDescent="0.2">
      <c r="A79" s="225"/>
      <c r="B79" s="106" t="s">
        <v>2247</v>
      </c>
      <c r="C79" s="798"/>
      <c r="D79" s="810"/>
      <c r="E79" s="127" t="s">
        <v>2693</v>
      </c>
      <c r="F79" s="108" t="s">
        <v>342</v>
      </c>
      <c r="G79" s="130">
        <v>80.573599999999999</v>
      </c>
      <c r="H79" s="123">
        <f t="shared" si="1"/>
        <v>91.04816799999999</v>
      </c>
      <c r="I79" s="356" t="s">
        <v>2178</v>
      </c>
    </row>
    <row r="80" spans="1:9" ht="20.100000000000001" customHeight="1" x14ac:dyDescent="0.2">
      <c r="A80" s="368"/>
      <c r="B80" s="106" t="s">
        <v>2242</v>
      </c>
      <c r="C80" s="798"/>
      <c r="D80" s="810"/>
      <c r="E80" s="127" t="s">
        <v>841</v>
      </c>
      <c r="F80" s="108" t="s">
        <v>271</v>
      </c>
      <c r="G80" s="130">
        <v>3184.53</v>
      </c>
      <c r="H80" s="123">
        <f t="shared" si="1"/>
        <v>3598.5189</v>
      </c>
      <c r="I80" s="356" t="s">
        <v>2178</v>
      </c>
    </row>
    <row r="81" spans="1:9" ht="20.100000000000001" customHeight="1" x14ac:dyDescent="0.2">
      <c r="A81" s="374" t="s">
        <v>2420</v>
      </c>
      <c r="B81" s="106" t="s">
        <v>2394</v>
      </c>
      <c r="C81" s="798"/>
      <c r="D81" s="810"/>
      <c r="E81" s="127" t="s">
        <v>2395</v>
      </c>
      <c r="F81" s="108" t="s">
        <v>271</v>
      </c>
      <c r="G81" s="130">
        <v>2846.02</v>
      </c>
      <c r="H81" s="123">
        <f t="shared" si="1"/>
        <v>3216.0025999999998</v>
      </c>
      <c r="I81" s="356" t="s">
        <v>2178</v>
      </c>
    </row>
    <row r="82" spans="1:9" ht="20.100000000000001" customHeight="1" x14ac:dyDescent="0.2">
      <c r="A82" s="135"/>
      <c r="B82" s="106" t="s">
        <v>2245</v>
      </c>
      <c r="C82" s="798"/>
      <c r="D82" s="810"/>
      <c r="E82" s="127" t="s">
        <v>321</v>
      </c>
      <c r="F82" s="108" t="s">
        <v>271</v>
      </c>
      <c r="G82" s="130">
        <v>431.31</v>
      </c>
      <c r="H82" s="123">
        <f t="shared" si="1"/>
        <v>487.38029999999998</v>
      </c>
      <c r="I82" s="356" t="s">
        <v>2178</v>
      </c>
    </row>
    <row r="83" spans="1:9" ht="20.100000000000001" customHeight="1" x14ac:dyDescent="0.2">
      <c r="A83" s="368"/>
      <c r="B83" s="106" t="s">
        <v>2268</v>
      </c>
      <c r="C83" s="798"/>
      <c r="D83" s="810"/>
      <c r="E83" s="127" t="s">
        <v>513</v>
      </c>
      <c r="F83" s="108" t="s">
        <v>271</v>
      </c>
      <c r="G83" s="130">
        <v>35480.19</v>
      </c>
      <c r="H83" s="123">
        <f t="shared" si="1"/>
        <v>40092.614699999998</v>
      </c>
      <c r="I83" s="356" t="s">
        <v>2178</v>
      </c>
    </row>
    <row r="84" spans="1:9" ht="20.100000000000001" customHeight="1" x14ac:dyDescent="0.2">
      <c r="A84" s="225"/>
      <c r="B84" s="106" t="s">
        <v>2098</v>
      </c>
      <c r="C84" s="798"/>
      <c r="D84" s="810"/>
      <c r="E84" s="127" t="s">
        <v>2393</v>
      </c>
      <c r="F84" s="108" t="s">
        <v>271</v>
      </c>
      <c r="G84" s="130">
        <v>67958</v>
      </c>
      <c r="H84" s="123">
        <f t="shared" si="1"/>
        <v>76792.539999999994</v>
      </c>
      <c r="I84" s="356" t="s">
        <v>2178</v>
      </c>
    </row>
    <row r="85" spans="1:9" ht="20.100000000000001" customHeight="1" x14ac:dyDescent="0.2">
      <c r="A85" s="225"/>
      <c r="B85" s="106" t="s">
        <v>2260</v>
      </c>
      <c r="C85" s="798"/>
      <c r="D85" s="810"/>
      <c r="E85" s="127" t="s">
        <v>2111</v>
      </c>
      <c r="F85" s="108" t="s">
        <v>271</v>
      </c>
      <c r="G85" s="130">
        <v>27283.85</v>
      </c>
      <c r="H85" s="123">
        <f t="shared" si="1"/>
        <v>30830.750499999995</v>
      </c>
      <c r="I85" s="356" t="s">
        <v>2178</v>
      </c>
    </row>
    <row r="86" spans="1:9" ht="20.100000000000001" customHeight="1" x14ac:dyDescent="0.2">
      <c r="A86" s="225"/>
      <c r="B86" s="106" t="s">
        <v>2241</v>
      </c>
      <c r="C86" s="798"/>
      <c r="D86" s="810"/>
      <c r="E86" s="127" t="s">
        <v>719</v>
      </c>
      <c r="F86" s="108" t="s">
        <v>271</v>
      </c>
      <c r="G86" s="130">
        <v>9536.83</v>
      </c>
      <c r="H86" s="123">
        <f t="shared" si="1"/>
        <v>10776.617899999999</v>
      </c>
      <c r="I86" s="356" t="s">
        <v>2178</v>
      </c>
    </row>
    <row r="87" spans="1:9" ht="20.100000000000001" customHeight="1" x14ac:dyDescent="0.2">
      <c r="A87" s="225"/>
      <c r="B87" s="106" t="s">
        <v>2244</v>
      </c>
      <c r="C87" s="798"/>
      <c r="D87" s="810"/>
      <c r="E87" s="127" t="s">
        <v>2687</v>
      </c>
      <c r="F87" s="108" t="s">
        <v>271</v>
      </c>
      <c r="G87" s="130">
        <v>2451.92</v>
      </c>
      <c r="H87" s="123">
        <f t="shared" si="1"/>
        <v>2770.6695999999997</v>
      </c>
      <c r="I87" s="356" t="s">
        <v>2178</v>
      </c>
    </row>
    <row r="88" spans="1:9" ht="20.100000000000001" customHeight="1" x14ac:dyDescent="0.2">
      <c r="A88" s="225"/>
      <c r="B88" s="106" t="s">
        <v>2246</v>
      </c>
      <c r="C88" s="798"/>
      <c r="D88" s="810"/>
      <c r="E88" s="127" t="s">
        <v>2688</v>
      </c>
      <c r="F88" s="108" t="s">
        <v>271</v>
      </c>
      <c r="G88" s="130">
        <v>2930.33</v>
      </c>
      <c r="H88" s="123">
        <f t="shared" si="1"/>
        <v>3311.2728999999995</v>
      </c>
      <c r="I88" s="356" t="s">
        <v>2178</v>
      </c>
    </row>
    <row r="89" spans="1:9" ht="20.100000000000001" customHeight="1" x14ac:dyDescent="0.2">
      <c r="A89" s="225"/>
      <c r="B89" s="106" t="s">
        <v>2243</v>
      </c>
      <c r="C89" s="798"/>
      <c r="D89" s="810"/>
      <c r="E89" s="127" t="s">
        <v>802</v>
      </c>
      <c r="F89" s="108" t="s">
        <v>271</v>
      </c>
      <c r="G89" s="130">
        <v>763.51</v>
      </c>
      <c r="H89" s="123">
        <f t="shared" si="1"/>
        <v>862.76629999999989</v>
      </c>
      <c r="I89" s="356" t="s">
        <v>2178</v>
      </c>
    </row>
    <row r="90" spans="1:9" ht="20.100000000000001" customHeight="1" x14ac:dyDescent="0.2">
      <c r="A90" s="357" t="s">
        <v>2422</v>
      </c>
      <c r="B90" s="106" t="s">
        <v>1933</v>
      </c>
      <c r="C90" s="798"/>
      <c r="D90" s="810"/>
      <c r="E90" s="127" t="s">
        <v>2610</v>
      </c>
      <c r="F90" s="108" t="s">
        <v>411</v>
      </c>
      <c r="G90" s="130">
        <v>16550</v>
      </c>
      <c r="H90" s="123">
        <f t="shared" si="1"/>
        <v>18701.5</v>
      </c>
      <c r="I90" s="63"/>
    </row>
    <row r="91" spans="1:9" ht="20.100000000000001" customHeight="1" x14ac:dyDescent="0.2">
      <c r="A91" s="225"/>
      <c r="B91" s="106" t="s">
        <v>1930</v>
      </c>
      <c r="C91" s="798"/>
      <c r="D91" s="810"/>
      <c r="E91" s="127" t="s">
        <v>560</v>
      </c>
      <c r="F91" s="108" t="s">
        <v>271</v>
      </c>
      <c r="G91" s="130">
        <v>4875.8599999999997</v>
      </c>
      <c r="H91" s="123">
        <f t="shared" si="1"/>
        <v>5509.7217999999993</v>
      </c>
      <c r="I91" s="356" t="s">
        <v>2178</v>
      </c>
    </row>
    <row r="92" spans="1:9" ht="20.100000000000001" customHeight="1" x14ac:dyDescent="0.2">
      <c r="A92" s="225"/>
      <c r="B92" s="260" t="s">
        <v>2234</v>
      </c>
      <c r="C92" s="798"/>
      <c r="D92" s="810"/>
      <c r="E92" s="127" t="s">
        <v>2731</v>
      </c>
      <c r="F92" s="108" t="s">
        <v>271</v>
      </c>
      <c r="G92" s="130">
        <v>22892</v>
      </c>
      <c r="H92" s="123">
        <f t="shared" si="1"/>
        <v>25867.96</v>
      </c>
      <c r="I92" s="356" t="s">
        <v>2178</v>
      </c>
    </row>
    <row r="93" spans="1:9" ht="20.100000000000001" customHeight="1" x14ac:dyDescent="0.2">
      <c r="A93" s="225"/>
      <c r="B93" s="106" t="s">
        <v>2225</v>
      </c>
      <c r="C93" s="798"/>
      <c r="D93" s="810"/>
      <c r="E93" s="127" t="s">
        <v>408</v>
      </c>
      <c r="F93" s="108" t="s">
        <v>271</v>
      </c>
      <c r="G93" s="130">
        <v>1046.07</v>
      </c>
      <c r="H93" s="123">
        <f t="shared" si="1"/>
        <v>1182.0590999999997</v>
      </c>
      <c r="I93" s="356" t="s">
        <v>2178</v>
      </c>
    </row>
    <row r="94" spans="1:9" ht="20.100000000000001" customHeight="1" x14ac:dyDescent="0.2">
      <c r="A94" s="225"/>
      <c r="B94" s="106" t="s">
        <v>2216</v>
      </c>
      <c r="C94" s="798"/>
      <c r="D94" s="810"/>
      <c r="E94" s="127" t="s">
        <v>580</v>
      </c>
      <c r="F94" s="108" t="s">
        <v>411</v>
      </c>
      <c r="G94" s="130">
        <v>1307.75</v>
      </c>
      <c r="H94" s="123">
        <f t="shared" si="1"/>
        <v>1477.7574999999999</v>
      </c>
      <c r="I94" s="356" t="s">
        <v>2178</v>
      </c>
    </row>
    <row r="95" spans="1:9" ht="20.100000000000001" customHeight="1" x14ac:dyDescent="0.2">
      <c r="A95" s="225"/>
      <c r="B95" s="106" t="s">
        <v>2214</v>
      </c>
      <c r="C95" s="798"/>
      <c r="D95" s="810"/>
      <c r="E95" s="127" t="s">
        <v>544</v>
      </c>
      <c r="F95" s="108" t="s">
        <v>271</v>
      </c>
      <c r="G95" s="130">
        <v>15886.73</v>
      </c>
      <c r="H95" s="123">
        <f t="shared" si="1"/>
        <v>17952.004899999996</v>
      </c>
      <c r="I95" s="356" t="s">
        <v>2178</v>
      </c>
    </row>
    <row r="96" spans="1:9" ht="20.100000000000001" customHeight="1" x14ac:dyDescent="0.2">
      <c r="A96" s="225"/>
      <c r="B96" s="106" t="s">
        <v>2224</v>
      </c>
      <c r="C96" s="798"/>
      <c r="D96" s="810"/>
      <c r="E96" s="127" t="s">
        <v>546</v>
      </c>
      <c r="F96" s="108" t="s">
        <v>271</v>
      </c>
      <c r="G96" s="130">
        <v>7419.19</v>
      </c>
      <c r="H96" s="123">
        <f t="shared" si="1"/>
        <v>8383.684699999998</v>
      </c>
      <c r="I96" s="356" t="s">
        <v>2178</v>
      </c>
    </row>
    <row r="97" spans="1:9" ht="20.100000000000001" customHeight="1" x14ac:dyDescent="0.2">
      <c r="A97" s="368"/>
      <c r="B97" s="106" t="s">
        <v>2223</v>
      </c>
      <c r="C97" s="798"/>
      <c r="D97" s="810"/>
      <c r="E97" s="127" t="s">
        <v>548</v>
      </c>
      <c r="F97" s="108" t="s">
        <v>271</v>
      </c>
      <c r="G97" s="130">
        <v>5649.56</v>
      </c>
      <c r="H97" s="123">
        <f t="shared" si="1"/>
        <v>6384.0028000000002</v>
      </c>
      <c r="I97" s="356" t="s">
        <v>2178</v>
      </c>
    </row>
    <row r="98" spans="1:9" ht="20.100000000000001" customHeight="1" x14ac:dyDescent="0.2">
      <c r="A98" s="225"/>
      <c r="B98" s="106" t="s">
        <v>1932</v>
      </c>
      <c r="C98" s="798"/>
      <c r="D98" s="810"/>
      <c r="E98" s="127" t="s">
        <v>655</v>
      </c>
      <c r="F98" s="108" t="s">
        <v>305</v>
      </c>
      <c r="G98" s="130">
        <v>15292.04</v>
      </c>
      <c r="H98" s="123">
        <f t="shared" si="1"/>
        <v>17280.0052</v>
      </c>
      <c r="I98" s="356" t="s">
        <v>2178</v>
      </c>
    </row>
    <row r="99" spans="1:9" ht="20.100000000000001" customHeight="1" x14ac:dyDescent="0.2">
      <c r="A99" s="225"/>
      <c r="B99" s="106" t="s">
        <v>2541</v>
      </c>
      <c r="C99" s="798"/>
      <c r="D99" s="810"/>
      <c r="E99" s="127" t="s">
        <v>2542</v>
      </c>
      <c r="F99" s="108" t="s">
        <v>324</v>
      </c>
      <c r="G99" s="130">
        <v>6714</v>
      </c>
      <c r="H99" s="123">
        <f t="shared" si="1"/>
        <v>7586.82</v>
      </c>
      <c r="I99" s="356" t="s">
        <v>2178</v>
      </c>
    </row>
    <row r="100" spans="1:9" ht="20.100000000000001" customHeight="1" x14ac:dyDescent="0.2">
      <c r="A100" s="225"/>
      <c r="B100" s="106" t="s">
        <v>2220</v>
      </c>
      <c r="C100" s="798"/>
      <c r="D100" s="810"/>
      <c r="E100" s="127" t="s">
        <v>303</v>
      </c>
      <c r="F100" s="108" t="s">
        <v>271</v>
      </c>
      <c r="G100" s="130">
        <v>470</v>
      </c>
      <c r="H100" s="123">
        <f t="shared" si="1"/>
        <v>531.09999999999991</v>
      </c>
      <c r="I100" s="356" t="s">
        <v>2178</v>
      </c>
    </row>
    <row r="101" spans="1:9" ht="20.100000000000001" customHeight="1" x14ac:dyDescent="0.2">
      <c r="A101" s="135"/>
      <c r="B101" s="106" t="s">
        <v>1931</v>
      </c>
      <c r="C101" s="798"/>
      <c r="D101" s="810"/>
      <c r="E101" s="127" t="s">
        <v>392</v>
      </c>
      <c r="F101" s="108" t="s">
        <v>271</v>
      </c>
      <c r="G101" s="130">
        <v>1740</v>
      </c>
      <c r="H101" s="123">
        <f t="shared" si="1"/>
        <v>1966.1999999999998</v>
      </c>
      <c r="I101" s="356" t="s">
        <v>2178</v>
      </c>
    </row>
    <row r="102" spans="1:9" x14ac:dyDescent="0.2">
      <c r="A102" s="225"/>
      <c r="B102" s="106" t="s">
        <v>2221</v>
      </c>
      <c r="C102" s="795"/>
      <c r="D102" s="813"/>
      <c r="E102" s="127" t="s">
        <v>2532</v>
      </c>
      <c r="F102" s="108" t="s">
        <v>271</v>
      </c>
      <c r="G102" s="130">
        <v>1090</v>
      </c>
      <c r="H102" s="123">
        <f t="shared" si="1"/>
        <v>1231.6999999999998</v>
      </c>
      <c r="I102" s="356" t="s">
        <v>2178</v>
      </c>
    </row>
    <row r="103" spans="1:9" x14ac:dyDescent="0.2">
      <c r="A103" s="225"/>
      <c r="B103" s="106" t="s">
        <v>2091</v>
      </c>
      <c r="C103" s="798"/>
      <c r="D103" s="810"/>
      <c r="E103" s="127" t="s">
        <v>763</v>
      </c>
      <c r="F103" s="108" t="s">
        <v>271</v>
      </c>
      <c r="G103" s="130">
        <v>755.28</v>
      </c>
      <c r="H103" s="123">
        <f t="shared" si="1"/>
        <v>853.46639999999991</v>
      </c>
      <c r="I103" s="356" t="s">
        <v>2178</v>
      </c>
    </row>
    <row r="104" spans="1:9" x14ac:dyDescent="0.2">
      <c r="A104" s="225"/>
      <c r="B104" s="106" t="s">
        <v>2533</v>
      </c>
      <c r="C104" s="798"/>
      <c r="D104" s="810"/>
      <c r="E104" s="127" t="s">
        <v>764</v>
      </c>
      <c r="F104" s="108" t="s">
        <v>271</v>
      </c>
      <c r="G104" s="130">
        <v>946.64</v>
      </c>
      <c r="H104" s="123">
        <f t="shared" si="1"/>
        <v>1069.7031999999999</v>
      </c>
      <c r="I104" s="356" t="s">
        <v>2178</v>
      </c>
    </row>
    <row r="105" spans="1:9" x14ac:dyDescent="0.2">
      <c r="A105" s="225"/>
      <c r="B105" s="106" t="s">
        <v>2805</v>
      </c>
      <c r="C105" s="798"/>
      <c r="D105" s="810"/>
      <c r="E105" s="127" t="s">
        <v>791</v>
      </c>
      <c r="F105" s="108" t="s">
        <v>271</v>
      </c>
      <c r="G105" s="130">
        <v>1515</v>
      </c>
      <c r="H105" s="123">
        <f t="shared" si="1"/>
        <v>1711.9499999999998</v>
      </c>
      <c r="I105" s="356" t="s">
        <v>2178</v>
      </c>
    </row>
    <row r="106" spans="1:9" ht="20.100000000000001" customHeight="1" x14ac:dyDescent="0.2">
      <c r="A106" s="225"/>
      <c r="B106" s="106" t="s">
        <v>2218</v>
      </c>
      <c r="C106" s="798"/>
      <c r="D106" s="810"/>
      <c r="E106" s="127" t="s">
        <v>832</v>
      </c>
      <c r="F106" s="108" t="s">
        <v>271</v>
      </c>
      <c r="G106" s="130">
        <v>629.67999999999995</v>
      </c>
      <c r="H106" s="123">
        <f t="shared" si="1"/>
        <v>711.53839999999991</v>
      </c>
      <c r="I106" s="356" t="s">
        <v>2178</v>
      </c>
    </row>
    <row r="107" spans="1:9" x14ac:dyDescent="0.2">
      <c r="A107" s="225"/>
      <c r="B107" s="106" t="s">
        <v>2540</v>
      </c>
      <c r="C107" s="798"/>
      <c r="D107" s="810"/>
      <c r="E107" s="127" t="s">
        <v>833</v>
      </c>
      <c r="F107" s="108" t="s">
        <v>271</v>
      </c>
      <c r="G107" s="130">
        <v>832.02</v>
      </c>
      <c r="H107" s="123">
        <f t="shared" si="1"/>
        <v>940.18259999999987</v>
      </c>
      <c r="I107" s="356" t="s">
        <v>2178</v>
      </c>
    </row>
    <row r="108" spans="1:9" ht="20.100000000000001" customHeight="1" x14ac:dyDescent="0.2">
      <c r="A108" s="368"/>
      <c r="B108" s="106" t="s">
        <v>2219</v>
      </c>
      <c r="C108" s="798"/>
      <c r="D108" s="810"/>
      <c r="E108" s="127" t="s">
        <v>2531</v>
      </c>
      <c r="F108" s="108" t="s">
        <v>271</v>
      </c>
      <c r="G108" s="130">
        <v>1971.28</v>
      </c>
      <c r="H108" s="123">
        <f t="shared" si="1"/>
        <v>2227.5463999999997</v>
      </c>
      <c r="I108" s="356" t="s">
        <v>2178</v>
      </c>
    </row>
    <row r="109" spans="1:9" ht="20.100000000000001" customHeight="1" x14ac:dyDescent="0.2">
      <c r="A109" s="225"/>
      <c r="B109" s="106" t="s">
        <v>2217</v>
      </c>
      <c r="C109" s="798"/>
      <c r="D109" s="810"/>
      <c r="E109" s="127" t="s">
        <v>499</v>
      </c>
      <c r="F109" s="108" t="s">
        <v>271</v>
      </c>
      <c r="G109" s="130">
        <v>834</v>
      </c>
      <c r="H109" s="123">
        <f t="shared" si="1"/>
        <v>942.42</v>
      </c>
      <c r="I109" s="356" t="s">
        <v>2178</v>
      </c>
    </row>
    <row r="110" spans="1:9" ht="20.100000000000001" customHeight="1" x14ac:dyDescent="0.2">
      <c r="A110" s="225"/>
      <c r="B110" s="106" t="s">
        <v>2003</v>
      </c>
      <c r="C110" s="798"/>
      <c r="D110" s="810"/>
      <c r="E110" s="127" t="s">
        <v>647</v>
      </c>
      <c r="F110" s="108" t="s">
        <v>271</v>
      </c>
      <c r="G110" s="130">
        <v>862</v>
      </c>
      <c r="H110" s="123">
        <f t="shared" si="1"/>
        <v>974.06</v>
      </c>
      <c r="I110" s="356" t="s">
        <v>2178</v>
      </c>
    </row>
    <row r="111" spans="1:9" ht="20.100000000000001" customHeight="1" x14ac:dyDescent="0.2">
      <c r="A111" s="135"/>
      <c r="B111" s="106" t="s">
        <v>2007</v>
      </c>
      <c r="C111" s="798"/>
      <c r="D111" s="810"/>
      <c r="E111" s="127" t="s">
        <v>767</v>
      </c>
      <c r="F111" s="108" t="s">
        <v>271</v>
      </c>
      <c r="G111" s="130">
        <v>2500.94</v>
      </c>
      <c r="H111" s="123">
        <f t="shared" si="1"/>
        <v>2826.0621999999998</v>
      </c>
      <c r="I111" s="356" t="s">
        <v>2178</v>
      </c>
    </row>
    <row r="112" spans="1:9" x14ac:dyDescent="0.2">
      <c r="A112" s="368"/>
      <c r="B112" s="106" t="s">
        <v>2004</v>
      </c>
      <c r="C112" s="798"/>
      <c r="D112" s="810"/>
      <c r="E112" s="127" t="s">
        <v>2534</v>
      </c>
      <c r="F112" s="108" t="s">
        <v>1400</v>
      </c>
      <c r="G112" s="130">
        <v>6132.96</v>
      </c>
      <c r="H112" s="123">
        <f t="shared" si="1"/>
        <v>6930.2447999999995</v>
      </c>
      <c r="I112" s="356" t="s">
        <v>2178</v>
      </c>
    </row>
    <row r="113" spans="1:9" ht="20.100000000000001" customHeight="1" x14ac:dyDescent="0.2">
      <c r="A113" s="225"/>
      <c r="B113" s="106" t="s">
        <v>1990</v>
      </c>
      <c r="C113" s="798"/>
      <c r="D113" s="810"/>
      <c r="E113" s="127" t="s">
        <v>434</v>
      </c>
      <c r="F113" s="108" t="s">
        <v>271</v>
      </c>
      <c r="G113" s="130">
        <v>2166.5700000000002</v>
      </c>
      <c r="H113" s="123">
        <f t="shared" si="1"/>
        <v>2448.2240999999999</v>
      </c>
      <c r="I113" s="356" t="s">
        <v>2178</v>
      </c>
    </row>
    <row r="114" spans="1:9" ht="20.100000000000001" customHeight="1" x14ac:dyDescent="0.2">
      <c r="A114" s="225"/>
      <c r="B114" s="106" t="s">
        <v>2005</v>
      </c>
      <c r="C114" s="798"/>
      <c r="D114" s="810"/>
      <c r="E114" s="127" t="s">
        <v>440</v>
      </c>
      <c r="F114" s="108" t="s">
        <v>377</v>
      </c>
      <c r="G114" s="130">
        <v>103.27</v>
      </c>
      <c r="H114" s="123">
        <f t="shared" si="1"/>
        <v>116.69509999999998</v>
      </c>
      <c r="I114" s="356" t="s">
        <v>2178</v>
      </c>
    </row>
    <row r="115" spans="1:9" ht="20.100000000000001" customHeight="1" x14ac:dyDescent="0.2">
      <c r="A115" s="225"/>
      <c r="B115" s="106" t="s">
        <v>2318</v>
      </c>
      <c r="C115" s="798"/>
      <c r="D115" s="810"/>
      <c r="E115" s="127" t="s">
        <v>445</v>
      </c>
      <c r="F115" s="108" t="s">
        <v>271</v>
      </c>
      <c r="G115" s="130">
        <v>95.58</v>
      </c>
      <c r="H115" s="123">
        <f t="shared" si="1"/>
        <v>108.00539999999999</v>
      </c>
      <c r="I115" s="356" t="s">
        <v>2178</v>
      </c>
    </row>
    <row r="116" spans="1:9" ht="20.100000000000001" customHeight="1" x14ac:dyDescent="0.2">
      <c r="A116" s="225"/>
      <c r="B116" s="106" t="s">
        <v>1989</v>
      </c>
      <c r="C116" s="798"/>
      <c r="D116" s="810"/>
      <c r="E116" s="127" t="s">
        <v>449</v>
      </c>
      <c r="F116" s="108" t="s">
        <v>271</v>
      </c>
      <c r="G116" s="130">
        <v>844.57</v>
      </c>
      <c r="H116" s="123">
        <f t="shared" si="1"/>
        <v>954.36410000000001</v>
      </c>
      <c r="I116" s="356" t="s">
        <v>2178</v>
      </c>
    </row>
    <row r="117" spans="1:9" ht="20.100000000000001" customHeight="1" x14ac:dyDescent="0.2">
      <c r="A117" s="225"/>
      <c r="B117" s="106" t="s">
        <v>2329</v>
      </c>
      <c r="C117" s="798"/>
      <c r="D117" s="810"/>
      <c r="E117" s="127" t="s">
        <v>457</v>
      </c>
      <c r="F117" s="108" t="s">
        <v>271</v>
      </c>
      <c r="G117" s="130">
        <v>440</v>
      </c>
      <c r="H117" s="123">
        <f t="shared" si="1"/>
        <v>497.19999999999993</v>
      </c>
      <c r="I117" s="356" t="s">
        <v>2178</v>
      </c>
    </row>
    <row r="118" spans="1:9" ht="20.100000000000001" customHeight="1" x14ac:dyDescent="0.2">
      <c r="A118" s="225"/>
      <c r="B118" s="106" t="s">
        <v>2319</v>
      </c>
      <c r="C118" s="798"/>
      <c r="D118" s="810"/>
      <c r="E118" s="127" t="s">
        <v>586</v>
      </c>
      <c r="F118" s="108" t="s">
        <v>377</v>
      </c>
      <c r="G118" s="130">
        <v>79.38</v>
      </c>
      <c r="H118" s="123">
        <f t="shared" si="1"/>
        <v>89.699399999999983</v>
      </c>
      <c r="I118" s="356" t="s">
        <v>2178</v>
      </c>
    </row>
    <row r="119" spans="1:9" ht="20.100000000000001" customHeight="1" x14ac:dyDescent="0.2">
      <c r="A119" s="225"/>
      <c r="B119" s="106" t="s">
        <v>2001</v>
      </c>
      <c r="C119" s="798"/>
      <c r="D119" s="810"/>
      <c r="E119" s="127" t="s">
        <v>2122</v>
      </c>
      <c r="F119" s="108" t="s">
        <v>271</v>
      </c>
      <c r="G119" s="130">
        <v>855.46</v>
      </c>
      <c r="H119" s="123">
        <f t="shared" si="1"/>
        <v>966.6697999999999</v>
      </c>
      <c r="I119" s="356" t="s">
        <v>2178</v>
      </c>
    </row>
    <row r="120" spans="1:9" ht="20.100000000000001" customHeight="1" x14ac:dyDescent="0.2">
      <c r="A120" s="225"/>
      <c r="B120" s="106" t="s">
        <v>2309</v>
      </c>
      <c r="C120" s="798"/>
      <c r="D120" s="810"/>
      <c r="E120" s="127" t="s">
        <v>517</v>
      </c>
      <c r="F120" s="108" t="s">
        <v>271</v>
      </c>
      <c r="G120" s="130">
        <v>42930</v>
      </c>
      <c r="H120" s="123">
        <f t="shared" si="1"/>
        <v>48510.899999999994</v>
      </c>
      <c r="I120" s="356" t="s">
        <v>2178</v>
      </c>
    </row>
    <row r="121" spans="1:9" ht="20.100000000000001" customHeight="1" x14ac:dyDescent="0.2">
      <c r="A121" s="225"/>
      <c r="B121" s="106" t="s">
        <v>2273</v>
      </c>
      <c r="C121" s="798"/>
      <c r="D121" s="810"/>
      <c r="E121" s="127" t="s">
        <v>528</v>
      </c>
      <c r="F121" s="108" t="s">
        <v>271</v>
      </c>
      <c r="G121" s="130">
        <v>825.82</v>
      </c>
      <c r="H121" s="123">
        <f t="shared" si="1"/>
        <v>933.17660000000001</v>
      </c>
      <c r="I121" s="356" t="s">
        <v>2178</v>
      </c>
    </row>
    <row r="122" spans="1:9" ht="20.100000000000001" customHeight="1" x14ac:dyDescent="0.2">
      <c r="A122" s="357" t="s">
        <v>2446</v>
      </c>
      <c r="B122" s="106" t="s">
        <v>2317</v>
      </c>
      <c r="C122" s="798"/>
      <c r="D122" s="810"/>
      <c r="E122" s="127" t="s">
        <v>773</v>
      </c>
      <c r="F122" s="108" t="s">
        <v>271</v>
      </c>
      <c r="G122" s="130">
        <v>138.07</v>
      </c>
      <c r="H122" s="123">
        <f t="shared" si="1"/>
        <v>156.01909999999998</v>
      </c>
      <c r="I122" s="356"/>
    </row>
    <row r="123" spans="1:9" ht="20.100000000000001" customHeight="1" x14ac:dyDescent="0.2">
      <c r="A123" s="225"/>
      <c r="B123" s="106" t="s">
        <v>2332</v>
      </c>
      <c r="C123" s="798"/>
      <c r="D123" s="810"/>
      <c r="E123" s="127" t="s">
        <v>775</v>
      </c>
      <c r="F123" s="108" t="s">
        <v>271</v>
      </c>
      <c r="G123" s="130">
        <v>404.42</v>
      </c>
      <c r="H123" s="123">
        <f t="shared" si="1"/>
        <v>456.99459999999999</v>
      </c>
      <c r="I123" s="356" t="s">
        <v>2178</v>
      </c>
    </row>
    <row r="124" spans="1:9" ht="20.100000000000001" customHeight="1" x14ac:dyDescent="0.2">
      <c r="A124" s="225"/>
      <c r="B124" s="106" t="s">
        <v>2278</v>
      </c>
      <c r="C124" s="798"/>
      <c r="D124" s="810"/>
      <c r="E124" s="127" t="s">
        <v>780</v>
      </c>
      <c r="F124" s="108" t="s">
        <v>271</v>
      </c>
      <c r="G124" s="130">
        <v>714.58</v>
      </c>
      <c r="H124" s="123">
        <f t="shared" si="1"/>
        <v>807.47539999999992</v>
      </c>
      <c r="I124" s="356" t="s">
        <v>2178</v>
      </c>
    </row>
    <row r="125" spans="1:9" ht="20.100000000000001" customHeight="1" x14ac:dyDescent="0.2">
      <c r="A125" s="225"/>
      <c r="B125" s="106" t="s">
        <v>2279</v>
      </c>
      <c r="C125" s="798"/>
      <c r="D125" s="810"/>
      <c r="E125" s="127" t="s">
        <v>782</v>
      </c>
      <c r="F125" s="108" t="s">
        <v>271</v>
      </c>
      <c r="G125" s="130">
        <v>705.54</v>
      </c>
      <c r="H125" s="123">
        <f t="shared" si="1"/>
        <v>797.26019999999983</v>
      </c>
      <c r="I125" s="356" t="s">
        <v>2178</v>
      </c>
    </row>
    <row r="126" spans="1:9" ht="20.100000000000001" customHeight="1" x14ac:dyDescent="0.2">
      <c r="A126" s="225"/>
      <c r="B126" s="106" t="s">
        <v>2320</v>
      </c>
      <c r="C126" s="798"/>
      <c r="D126" s="810"/>
      <c r="E126" s="127" t="s">
        <v>2491</v>
      </c>
      <c r="F126" s="108" t="s">
        <v>271</v>
      </c>
      <c r="G126" s="130">
        <v>2239.65</v>
      </c>
      <c r="H126" s="123">
        <f t="shared" si="1"/>
        <v>2530.8044999999997</v>
      </c>
      <c r="I126" s="356" t="s">
        <v>2178</v>
      </c>
    </row>
    <row r="127" spans="1:9" ht="20.100000000000001" customHeight="1" x14ac:dyDescent="0.2">
      <c r="A127" s="225"/>
      <c r="B127" s="106" t="s">
        <v>2280</v>
      </c>
      <c r="C127" s="798"/>
      <c r="D127" s="810"/>
      <c r="E127" s="127" t="s">
        <v>877</v>
      </c>
      <c r="F127" s="108" t="s">
        <v>271</v>
      </c>
      <c r="G127" s="130">
        <v>9372</v>
      </c>
      <c r="H127" s="123">
        <f t="shared" si="1"/>
        <v>10590.359999999999</v>
      </c>
      <c r="I127" s="356" t="s">
        <v>2178</v>
      </c>
    </row>
    <row r="128" spans="1:9" ht="20.100000000000001" customHeight="1" x14ac:dyDescent="0.2">
      <c r="A128" s="225"/>
      <c r="B128" s="106" t="s">
        <v>2497</v>
      </c>
      <c r="C128" s="798"/>
      <c r="D128" s="810"/>
      <c r="E128" s="127" t="s">
        <v>438</v>
      </c>
      <c r="F128" s="108" t="s">
        <v>271</v>
      </c>
      <c r="G128" s="130">
        <v>256</v>
      </c>
      <c r="H128" s="123">
        <f t="shared" si="1"/>
        <v>289.27999999999997</v>
      </c>
      <c r="I128" s="356" t="s">
        <v>2178</v>
      </c>
    </row>
    <row r="129" spans="1:9" ht="20.100000000000001" customHeight="1" x14ac:dyDescent="0.2">
      <c r="A129" s="225"/>
      <c r="B129" s="106" t="s">
        <v>2310</v>
      </c>
      <c r="C129" s="798"/>
      <c r="D129" s="810"/>
      <c r="E129" s="127" t="s">
        <v>443</v>
      </c>
      <c r="F129" s="108" t="s">
        <v>271</v>
      </c>
      <c r="G129" s="130">
        <v>202.02</v>
      </c>
      <c r="H129" s="123">
        <f t="shared" si="1"/>
        <v>228.2826</v>
      </c>
      <c r="I129" s="356" t="s">
        <v>2178</v>
      </c>
    </row>
    <row r="130" spans="1:9" ht="20.100000000000001" customHeight="1" x14ac:dyDescent="0.2">
      <c r="A130" s="225"/>
      <c r="B130" s="106" t="s">
        <v>2500</v>
      </c>
      <c r="C130" s="798"/>
      <c r="D130" s="810"/>
      <c r="E130" s="127" t="s">
        <v>589</v>
      </c>
      <c r="F130" s="108" t="s">
        <v>271</v>
      </c>
      <c r="G130" s="130">
        <v>708.14</v>
      </c>
      <c r="H130" s="123">
        <f t="shared" si="1"/>
        <v>800.19819999999993</v>
      </c>
      <c r="I130" s="356" t="s">
        <v>2178</v>
      </c>
    </row>
    <row r="131" spans="1:9" ht="20.100000000000001" customHeight="1" x14ac:dyDescent="0.2">
      <c r="A131" s="225"/>
      <c r="B131" s="106" t="s">
        <v>2500</v>
      </c>
      <c r="C131" s="798"/>
      <c r="D131" s="810"/>
      <c r="E131" s="127" t="s">
        <v>589</v>
      </c>
      <c r="F131" s="108" t="s">
        <v>271</v>
      </c>
      <c r="G131" s="130">
        <v>7470.66</v>
      </c>
      <c r="H131" s="123">
        <f t="shared" si="1"/>
        <v>8441.8457999999991</v>
      </c>
      <c r="I131" s="356" t="s">
        <v>2178</v>
      </c>
    </row>
    <row r="132" spans="1:9" ht="20.100000000000001" customHeight="1" x14ac:dyDescent="0.2">
      <c r="A132" s="225"/>
      <c r="B132" s="106" t="s">
        <v>2501</v>
      </c>
      <c r="C132" s="798"/>
      <c r="D132" s="810"/>
      <c r="E132" s="127" t="s">
        <v>928</v>
      </c>
      <c r="F132" s="108" t="s">
        <v>271</v>
      </c>
      <c r="G132" s="130">
        <v>885.17</v>
      </c>
      <c r="H132" s="123">
        <f t="shared" si="1"/>
        <v>1000.2420999999998</v>
      </c>
      <c r="I132" s="356" t="s">
        <v>2178</v>
      </c>
    </row>
    <row r="133" spans="1:9" ht="20.100000000000001" customHeight="1" x14ac:dyDescent="0.2">
      <c r="A133" s="225"/>
      <c r="B133" s="106" t="s">
        <v>2501</v>
      </c>
      <c r="C133" s="798"/>
      <c r="D133" s="810"/>
      <c r="E133" s="127" t="s">
        <v>928</v>
      </c>
      <c r="F133" s="108" t="s">
        <v>271</v>
      </c>
      <c r="G133" s="130">
        <v>4749.3</v>
      </c>
      <c r="H133" s="123">
        <f t="shared" si="1"/>
        <v>5366.7089999999998</v>
      </c>
      <c r="I133" s="356" t="s">
        <v>2178</v>
      </c>
    </row>
    <row r="134" spans="1:9" ht="20.100000000000001" customHeight="1" x14ac:dyDescent="0.2">
      <c r="A134" s="357" t="s">
        <v>2453</v>
      </c>
      <c r="B134" s="106" t="s">
        <v>2507</v>
      </c>
      <c r="C134" s="798"/>
      <c r="D134" s="810"/>
      <c r="E134" s="127" t="s">
        <v>435</v>
      </c>
      <c r="F134" s="108" t="s">
        <v>271</v>
      </c>
      <c r="G134" s="130">
        <v>437.5</v>
      </c>
      <c r="H134" s="123">
        <f t="shared" si="1"/>
        <v>494.37499999999994</v>
      </c>
      <c r="I134" s="63"/>
    </row>
    <row r="135" spans="1:9" ht="20.100000000000001" customHeight="1" x14ac:dyDescent="0.2">
      <c r="A135" s="225"/>
      <c r="B135" s="106" t="s">
        <v>2508</v>
      </c>
      <c r="C135" s="798"/>
      <c r="D135" s="810"/>
      <c r="E135" s="127" t="s">
        <v>436</v>
      </c>
      <c r="F135" s="108" t="s">
        <v>271</v>
      </c>
      <c r="G135" s="130">
        <v>1350</v>
      </c>
      <c r="H135" s="123">
        <f t="shared" si="1"/>
        <v>1525.4999999999998</v>
      </c>
      <c r="I135" s="356" t="s">
        <v>2178</v>
      </c>
    </row>
    <row r="136" spans="1:9" ht="20.100000000000001" customHeight="1" x14ac:dyDescent="0.2">
      <c r="A136" s="225"/>
      <c r="B136" s="106" t="s">
        <v>2508</v>
      </c>
      <c r="C136" s="798"/>
      <c r="D136" s="810"/>
      <c r="E136" s="127" t="s">
        <v>436</v>
      </c>
      <c r="F136" s="108" t="s">
        <v>271</v>
      </c>
      <c r="G136" s="130" t="s">
        <v>1880</v>
      </c>
      <c r="H136" s="123" t="e">
        <f t="shared" si="1"/>
        <v>#VALUE!</v>
      </c>
      <c r="I136" s="356" t="s">
        <v>2178</v>
      </c>
    </row>
    <row r="137" spans="1:9" ht="20.100000000000001" customHeight="1" x14ac:dyDescent="0.2">
      <c r="A137" s="225"/>
      <c r="B137" s="106" t="s">
        <v>2509</v>
      </c>
      <c r="C137" s="798"/>
      <c r="D137" s="810"/>
      <c r="E137" s="127" t="s">
        <v>432</v>
      </c>
      <c r="F137" s="108" t="s">
        <v>271</v>
      </c>
      <c r="G137" s="130">
        <v>406.25</v>
      </c>
      <c r="H137" s="123">
        <f t="shared" si="1"/>
        <v>459.06249999999994</v>
      </c>
      <c r="I137" s="356" t="s">
        <v>2178</v>
      </c>
    </row>
    <row r="138" spans="1:9" x14ac:dyDescent="0.2">
      <c r="A138" s="225"/>
      <c r="B138" s="106" t="s">
        <v>2515</v>
      </c>
      <c r="C138" s="798"/>
      <c r="D138" s="810"/>
      <c r="E138" s="127" t="s">
        <v>891</v>
      </c>
      <c r="F138" s="108" t="s">
        <v>271</v>
      </c>
      <c r="G138" s="130">
        <v>2184</v>
      </c>
      <c r="H138" s="123">
        <f t="shared" si="1"/>
        <v>2467.9199999999996</v>
      </c>
      <c r="I138" s="356" t="s">
        <v>2178</v>
      </c>
    </row>
    <row r="139" spans="1:9" x14ac:dyDescent="0.2">
      <c r="A139" s="225"/>
      <c r="B139" s="106" t="s">
        <v>2519</v>
      </c>
      <c r="C139" s="798"/>
      <c r="D139" s="810"/>
      <c r="E139" s="127" t="s">
        <v>437</v>
      </c>
      <c r="F139" s="108" t="s">
        <v>271</v>
      </c>
      <c r="G139" s="130">
        <v>750</v>
      </c>
      <c r="H139" s="123">
        <f t="shared" si="1"/>
        <v>847.49999999999989</v>
      </c>
      <c r="I139" s="356" t="s">
        <v>2178</v>
      </c>
    </row>
    <row r="140" spans="1:9" ht="20.100000000000001" customHeight="1" x14ac:dyDescent="0.2">
      <c r="A140" s="225"/>
      <c r="B140" s="106" t="s">
        <v>2528</v>
      </c>
      <c r="C140" s="798"/>
      <c r="D140" s="810"/>
      <c r="E140" s="127" t="s">
        <v>898</v>
      </c>
      <c r="F140" s="108" t="s">
        <v>271</v>
      </c>
      <c r="G140" s="130">
        <v>335.37</v>
      </c>
      <c r="H140" s="123">
        <f t="shared" ref="H140:H203" si="2">+G140*1.13</f>
        <v>378.96809999999999</v>
      </c>
      <c r="I140" s="356" t="s">
        <v>2178</v>
      </c>
    </row>
    <row r="141" spans="1:9" ht="20.100000000000001" customHeight="1" x14ac:dyDescent="0.2">
      <c r="A141" s="357" t="s">
        <v>2458</v>
      </c>
      <c r="B141" s="106" t="s">
        <v>2530</v>
      </c>
      <c r="C141" s="798"/>
      <c r="D141" s="810"/>
      <c r="E141" s="127" t="s">
        <v>317</v>
      </c>
      <c r="F141" s="108" t="s">
        <v>271</v>
      </c>
      <c r="G141" s="130">
        <v>2213.77</v>
      </c>
      <c r="H141" s="123">
        <f t="shared" si="2"/>
        <v>2501.5600999999997</v>
      </c>
    </row>
    <row r="142" spans="1:9" ht="20.100000000000001" customHeight="1" x14ac:dyDescent="0.2">
      <c r="A142" s="225"/>
      <c r="B142" s="106" t="s">
        <v>2957</v>
      </c>
      <c r="C142" s="798"/>
      <c r="D142" s="810"/>
      <c r="E142" s="127" t="s">
        <v>2123</v>
      </c>
      <c r="F142" s="108" t="s">
        <v>271</v>
      </c>
      <c r="G142" s="130">
        <v>53667.22</v>
      </c>
      <c r="H142" s="123">
        <f t="shared" si="2"/>
        <v>60643.958599999998</v>
      </c>
      <c r="I142" s="356" t="s">
        <v>2178</v>
      </c>
    </row>
    <row r="143" spans="1:9" ht="20.100000000000001" customHeight="1" x14ac:dyDescent="0.2">
      <c r="A143" s="225"/>
      <c r="B143" s="106" t="s">
        <v>2311</v>
      </c>
      <c r="C143" s="798"/>
      <c r="D143" s="810"/>
      <c r="E143" s="127" t="s">
        <v>2123</v>
      </c>
      <c r="F143" s="108" t="s">
        <v>271</v>
      </c>
      <c r="G143" s="130">
        <f>100.76*tc</f>
        <v>53402.8</v>
      </c>
      <c r="H143" s="123">
        <f t="shared" si="2"/>
        <v>60345.163999999997</v>
      </c>
      <c r="I143" s="356" t="s">
        <v>2178</v>
      </c>
    </row>
    <row r="144" spans="1:9" ht="20.100000000000001" customHeight="1" x14ac:dyDescent="0.2">
      <c r="A144" s="225"/>
      <c r="B144" s="106" t="s">
        <v>3276</v>
      </c>
      <c r="C144" s="798"/>
      <c r="D144" s="810"/>
      <c r="E144" s="127" t="s">
        <v>3277</v>
      </c>
      <c r="F144" s="108" t="s">
        <v>271</v>
      </c>
      <c r="G144" s="130">
        <v>1246.83</v>
      </c>
      <c r="H144" s="123">
        <f t="shared" si="2"/>
        <v>1408.9178999999997</v>
      </c>
      <c r="I144" s="356" t="s">
        <v>2178</v>
      </c>
    </row>
    <row r="145" spans="1:9" ht="20.100000000000001" customHeight="1" x14ac:dyDescent="0.2">
      <c r="A145" s="225"/>
      <c r="B145" s="106" t="s">
        <v>2294</v>
      </c>
      <c r="C145" s="798"/>
      <c r="D145" s="810"/>
      <c r="E145" s="127" t="s">
        <v>2495</v>
      </c>
      <c r="F145" s="108" t="s">
        <v>271</v>
      </c>
      <c r="G145" s="130">
        <v>400.95</v>
      </c>
      <c r="H145" s="123">
        <f t="shared" si="2"/>
        <v>453.07349999999997</v>
      </c>
      <c r="I145" s="356" t="s">
        <v>2178</v>
      </c>
    </row>
    <row r="146" spans="1:9" ht="20.100000000000001" customHeight="1" x14ac:dyDescent="0.2">
      <c r="A146" s="225"/>
      <c r="B146" s="106" t="s">
        <v>2011</v>
      </c>
      <c r="C146" s="798"/>
      <c r="D146" s="810"/>
      <c r="E146" s="127" t="s">
        <v>286</v>
      </c>
      <c r="F146" s="108" t="s">
        <v>271</v>
      </c>
      <c r="G146" s="130">
        <v>853.54</v>
      </c>
      <c r="H146" s="123">
        <f t="shared" si="2"/>
        <v>964.50019999999984</v>
      </c>
      <c r="I146" s="356" t="s">
        <v>2178</v>
      </c>
    </row>
    <row r="147" spans="1:9" ht="20.100000000000001" customHeight="1" x14ac:dyDescent="0.2">
      <c r="A147" s="225"/>
      <c r="B147" s="106" t="s">
        <v>2321</v>
      </c>
      <c r="C147" s="798"/>
      <c r="D147" s="810"/>
      <c r="E147" s="127" t="s">
        <v>288</v>
      </c>
      <c r="F147" s="108" t="s">
        <v>271</v>
      </c>
      <c r="G147" s="130">
        <v>2120</v>
      </c>
      <c r="H147" s="123">
        <f t="shared" si="2"/>
        <v>2395.6</v>
      </c>
      <c r="I147" s="356" t="s">
        <v>2178</v>
      </c>
    </row>
    <row r="148" spans="1:9" ht="20.100000000000001" customHeight="1" x14ac:dyDescent="0.2">
      <c r="A148" s="225"/>
      <c r="B148" s="106" t="s">
        <v>2010</v>
      </c>
      <c r="C148" s="798"/>
      <c r="D148" s="810"/>
      <c r="E148" s="127" t="s">
        <v>308</v>
      </c>
      <c r="F148" s="108" t="s">
        <v>271</v>
      </c>
      <c r="G148" s="130">
        <v>2396</v>
      </c>
      <c r="H148" s="123">
        <f t="shared" si="2"/>
        <v>2707.4799999999996</v>
      </c>
      <c r="I148" s="356" t="s">
        <v>2178</v>
      </c>
    </row>
    <row r="149" spans="1:9" ht="20.100000000000001" customHeight="1" x14ac:dyDescent="0.2">
      <c r="A149" s="225"/>
      <c r="B149" s="106" t="s">
        <v>2479</v>
      </c>
      <c r="C149" s="798"/>
      <c r="D149" s="810"/>
      <c r="E149" s="127" t="s">
        <v>2480</v>
      </c>
      <c r="F149" s="108" t="s">
        <v>271</v>
      </c>
      <c r="G149" s="130">
        <v>5672.23</v>
      </c>
      <c r="H149" s="123">
        <f t="shared" si="2"/>
        <v>6409.6198999999988</v>
      </c>
      <c r="I149" s="356" t="s">
        <v>2178</v>
      </c>
    </row>
    <row r="150" spans="1:9" ht="20.100000000000001" customHeight="1" x14ac:dyDescent="0.2">
      <c r="A150" s="225"/>
      <c r="B150" s="106" t="s">
        <v>2301</v>
      </c>
      <c r="C150" s="798"/>
      <c r="D150" s="810"/>
      <c r="E150" s="127" t="s">
        <v>310</v>
      </c>
      <c r="F150" s="108" t="s">
        <v>271</v>
      </c>
      <c r="G150" s="130">
        <v>882.9</v>
      </c>
      <c r="H150" s="123">
        <f t="shared" si="2"/>
        <v>997.67699999999991</v>
      </c>
      <c r="I150" s="356" t="s">
        <v>2178</v>
      </c>
    </row>
    <row r="151" spans="1:9" ht="20.100000000000001" customHeight="1" x14ac:dyDescent="0.2">
      <c r="A151" s="225"/>
      <c r="B151" s="106" t="s">
        <v>2481</v>
      </c>
      <c r="C151" s="798"/>
      <c r="D151" s="810"/>
      <c r="E151" s="127" t="s">
        <v>311</v>
      </c>
      <c r="F151" s="108" t="s">
        <v>271</v>
      </c>
      <c r="G151" s="130">
        <v>1336</v>
      </c>
      <c r="H151" s="123">
        <f t="shared" si="2"/>
        <v>1509.6799999999998</v>
      </c>
      <c r="I151" s="356" t="s">
        <v>2178</v>
      </c>
    </row>
    <row r="152" spans="1:9" ht="20.100000000000001" customHeight="1" x14ac:dyDescent="0.2">
      <c r="A152" s="225"/>
      <c r="B152" s="106" t="s">
        <v>2302</v>
      </c>
      <c r="C152" s="798"/>
      <c r="D152" s="810"/>
      <c r="E152" s="127" t="s">
        <v>313</v>
      </c>
      <c r="F152" s="108" t="s">
        <v>271</v>
      </c>
      <c r="G152" s="130">
        <v>2596</v>
      </c>
      <c r="H152" s="123">
        <f t="shared" si="2"/>
        <v>2933.4799999999996</v>
      </c>
      <c r="I152" s="356" t="s">
        <v>2178</v>
      </c>
    </row>
    <row r="153" spans="1:9" ht="20.100000000000001" customHeight="1" x14ac:dyDescent="0.2">
      <c r="A153" s="225"/>
      <c r="B153" s="106" t="s">
        <v>2330</v>
      </c>
      <c r="C153" s="798"/>
      <c r="D153" s="810"/>
      <c r="E153" s="127" t="s">
        <v>697</v>
      </c>
      <c r="F153" s="108" t="s">
        <v>271</v>
      </c>
      <c r="G153" s="130">
        <v>2702.65</v>
      </c>
      <c r="H153" s="123">
        <f t="shared" si="2"/>
        <v>3053.9944999999998</v>
      </c>
      <c r="I153" s="356" t="s">
        <v>2178</v>
      </c>
    </row>
    <row r="154" spans="1:9" ht="20.100000000000001" customHeight="1" x14ac:dyDescent="0.2">
      <c r="A154" s="225"/>
      <c r="B154" s="106" t="s">
        <v>2327</v>
      </c>
      <c r="C154" s="798"/>
      <c r="D154" s="810"/>
      <c r="E154" s="127" t="s">
        <v>699</v>
      </c>
      <c r="F154" s="108" t="s">
        <v>271</v>
      </c>
      <c r="G154" s="130">
        <v>787.82</v>
      </c>
      <c r="H154" s="123">
        <f t="shared" si="2"/>
        <v>890.23659999999995</v>
      </c>
      <c r="I154" s="356" t="s">
        <v>2178</v>
      </c>
    </row>
    <row r="155" spans="1:9" ht="20.100000000000001" customHeight="1" x14ac:dyDescent="0.2">
      <c r="A155" s="225"/>
      <c r="B155" s="106" t="s">
        <v>2327</v>
      </c>
      <c r="C155" s="798"/>
      <c r="D155" s="810"/>
      <c r="E155" s="127" t="s">
        <v>699</v>
      </c>
      <c r="F155" s="108" t="s">
        <v>271</v>
      </c>
      <c r="G155" s="130">
        <v>3200</v>
      </c>
      <c r="H155" s="123">
        <f t="shared" si="2"/>
        <v>3615.9999999999995</v>
      </c>
      <c r="I155" s="356" t="s">
        <v>2178</v>
      </c>
    </row>
    <row r="156" spans="1:9" ht="20.100000000000001" customHeight="1" x14ac:dyDescent="0.2">
      <c r="A156" s="225"/>
      <c r="B156" s="106" t="s">
        <v>2331</v>
      </c>
      <c r="C156" s="798"/>
      <c r="D156" s="810"/>
      <c r="E156" s="127" t="s">
        <v>701</v>
      </c>
      <c r="F156" s="108" t="s">
        <v>271</v>
      </c>
      <c r="G156" s="130">
        <v>464.51</v>
      </c>
      <c r="H156" s="123">
        <f t="shared" si="2"/>
        <v>524.8963</v>
      </c>
      <c r="I156" s="356" t="s">
        <v>2178</v>
      </c>
    </row>
    <row r="157" spans="1:9" ht="20.100000000000001" customHeight="1" x14ac:dyDescent="0.2">
      <c r="A157" s="225"/>
      <c r="B157" s="106" t="s">
        <v>2328</v>
      </c>
      <c r="C157" s="798"/>
      <c r="D157" s="810"/>
      <c r="E157" s="127" t="s">
        <v>809</v>
      </c>
      <c r="F157" s="108" t="s">
        <v>271</v>
      </c>
      <c r="G157" s="130">
        <v>1720.57</v>
      </c>
      <c r="H157" s="123">
        <f t="shared" si="2"/>
        <v>1944.2440999999997</v>
      </c>
      <c r="I157" s="356" t="s">
        <v>2178</v>
      </c>
    </row>
    <row r="158" spans="1:9" ht="20.100000000000001" customHeight="1" x14ac:dyDescent="0.2">
      <c r="A158" s="225"/>
      <c r="B158" s="106" t="s">
        <v>2504</v>
      </c>
      <c r="C158" s="798"/>
      <c r="D158" s="810"/>
      <c r="E158" s="127" t="s">
        <v>975</v>
      </c>
      <c r="F158" s="108" t="s">
        <v>271</v>
      </c>
      <c r="G158" s="130">
        <v>2712</v>
      </c>
      <c r="H158" s="123">
        <f t="shared" si="2"/>
        <v>3064.5599999999995</v>
      </c>
      <c r="I158" s="356" t="s">
        <v>2178</v>
      </c>
    </row>
    <row r="159" spans="1:9" ht="20.100000000000001" customHeight="1" x14ac:dyDescent="0.2">
      <c r="A159" s="225"/>
      <c r="B159" s="106" t="s">
        <v>2504</v>
      </c>
      <c r="C159" s="798"/>
      <c r="D159" s="810"/>
      <c r="E159" s="127" t="s">
        <v>975</v>
      </c>
      <c r="F159" s="108" t="s">
        <v>271</v>
      </c>
      <c r="G159" s="130">
        <v>2244</v>
      </c>
      <c r="H159" s="123">
        <f t="shared" si="2"/>
        <v>2535.7199999999998</v>
      </c>
      <c r="I159" s="356" t="s">
        <v>2178</v>
      </c>
    </row>
    <row r="160" spans="1:9" ht="20.100000000000001" customHeight="1" x14ac:dyDescent="0.2">
      <c r="A160" s="225"/>
      <c r="B160" s="106" t="s">
        <v>2514</v>
      </c>
      <c r="C160" s="798"/>
      <c r="D160" s="810"/>
      <c r="E160" s="127" t="s">
        <v>562</v>
      </c>
      <c r="F160" s="108" t="s">
        <v>271</v>
      </c>
      <c r="G160" s="130">
        <v>7680</v>
      </c>
      <c r="H160" s="123">
        <f t="shared" si="2"/>
        <v>8678.4</v>
      </c>
      <c r="I160" s="356" t="s">
        <v>2178</v>
      </c>
    </row>
    <row r="161" spans="1:9" ht="20.100000000000001" customHeight="1" x14ac:dyDescent="0.2">
      <c r="A161" s="225"/>
      <c r="B161" s="106" t="s">
        <v>2002</v>
      </c>
      <c r="C161" s="798"/>
      <c r="D161" s="810"/>
      <c r="E161" s="127" t="s">
        <v>915</v>
      </c>
      <c r="F161" s="108" t="s">
        <v>271</v>
      </c>
      <c r="G161" s="130">
        <v>2247</v>
      </c>
      <c r="H161" s="123">
        <f t="shared" si="2"/>
        <v>2539.1099999999997</v>
      </c>
      <c r="I161" s="356" t="s">
        <v>2178</v>
      </c>
    </row>
    <row r="162" spans="1:9" ht="20.100000000000001" customHeight="1" x14ac:dyDescent="0.2">
      <c r="A162" s="225"/>
      <c r="B162" s="106" t="s">
        <v>2333</v>
      </c>
      <c r="C162" s="798"/>
      <c r="D162" s="810"/>
      <c r="E162" s="127" t="s">
        <v>925</v>
      </c>
      <c r="F162" s="108" t="s">
        <v>271</v>
      </c>
      <c r="G162" s="130">
        <v>18084.93</v>
      </c>
      <c r="H162" s="123">
        <f t="shared" si="2"/>
        <v>20435.970899999997</v>
      </c>
      <c r="I162" s="356" t="s">
        <v>2178</v>
      </c>
    </row>
    <row r="163" spans="1:9" ht="20.100000000000001" customHeight="1" x14ac:dyDescent="0.2">
      <c r="A163" s="225"/>
      <c r="B163" s="106" t="s">
        <v>2313</v>
      </c>
      <c r="C163" s="798" t="s">
        <v>24</v>
      </c>
      <c r="D163" s="810" t="s">
        <v>3516</v>
      </c>
      <c r="E163" s="127" t="s">
        <v>3520</v>
      </c>
      <c r="F163" s="108" t="s">
        <v>342</v>
      </c>
      <c r="G163" s="130">
        <v>410</v>
      </c>
      <c r="H163" s="123">
        <f t="shared" si="2"/>
        <v>463.29999999999995</v>
      </c>
      <c r="I163" s="356" t="s">
        <v>2178</v>
      </c>
    </row>
    <row r="164" spans="1:9" ht="20.100000000000001" customHeight="1" x14ac:dyDescent="0.2">
      <c r="A164" s="225"/>
      <c r="B164" s="106" t="s">
        <v>2313</v>
      </c>
      <c r="C164" s="798" t="s">
        <v>109</v>
      </c>
      <c r="D164" s="810" t="s">
        <v>3518</v>
      </c>
      <c r="E164" s="127" t="s">
        <v>3520</v>
      </c>
      <c r="F164" s="108" t="s">
        <v>342</v>
      </c>
      <c r="G164" s="130">
        <v>410</v>
      </c>
      <c r="H164" s="123">
        <f t="shared" si="2"/>
        <v>463.29999999999995</v>
      </c>
      <c r="I164" s="356" t="s">
        <v>2178</v>
      </c>
    </row>
    <row r="165" spans="1:9" ht="20.100000000000001" customHeight="1" x14ac:dyDescent="0.2">
      <c r="A165" s="225"/>
      <c r="B165" s="106" t="s">
        <v>2313</v>
      </c>
      <c r="C165" s="798" t="s">
        <v>126</v>
      </c>
      <c r="D165" s="810" t="s">
        <v>3519</v>
      </c>
      <c r="E165" s="127" t="s">
        <v>3520</v>
      </c>
      <c r="F165" s="108" t="s">
        <v>342</v>
      </c>
      <c r="G165" s="130">
        <v>410</v>
      </c>
      <c r="H165" s="123">
        <f t="shared" si="2"/>
        <v>463.29999999999995</v>
      </c>
      <c r="I165" s="356" t="s">
        <v>2178</v>
      </c>
    </row>
    <row r="166" spans="1:9" ht="20.100000000000001" customHeight="1" x14ac:dyDescent="0.2">
      <c r="A166" s="225"/>
      <c r="B166" s="106" t="s">
        <v>2312</v>
      </c>
      <c r="C166" s="798" t="s">
        <v>24</v>
      </c>
      <c r="D166" s="810" t="s">
        <v>3515</v>
      </c>
      <c r="E166" s="127" t="s">
        <v>3513</v>
      </c>
      <c r="F166" s="108" t="s">
        <v>342</v>
      </c>
      <c r="G166" s="130">
        <v>235</v>
      </c>
      <c r="H166" s="123">
        <f t="shared" si="2"/>
        <v>265.54999999999995</v>
      </c>
      <c r="I166" s="356" t="s">
        <v>2178</v>
      </c>
    </row>
    <row r="167" spans="1:9" ht="20.100000000000001" customHeight="1" x14ac:dyDescent="0.2">
      <c r="A167" s="368"/>
      <c r="B167" s="106" t="s">
        <v>2312</v>
      </c>
      <c r="C167" s="798" t="s">
        <v>109</v>
      </c>
      <c r="D167" s="810" t="s">
        <v>3516</v>
      </c>
      <c r="E167" s="127" t="s">
        <v>3513</v>
      </c>
      <c r="F167" s="108" t="s">
        <v>342</v>
      </c>
      <c r="G167" s="130">
        <v>235</v>
      </c>
      <c r="H167" s="123">
        <f t="shared" si="2"/>
        <v>265.54999999999995</v>
      </c>
      <c r="I167" s="356" t="s">
        <v>2178</v>
      </c>
    </row>
    <row r="168" spans="1:9" ht="20.100000000000001" customHeight="1" x14ac:dyDescent="0.2">
      <c r="A168" s="225"/>
      <c r="B168" s="106" t="s">
        <v>2312</v>
      </c>
      <c r="C168" s="798" t="s">
        <v>126</v>
      </c>
      <c r="D168" s="810" t="s">
        <v>3517</v>
      </c>
      <c r="E168" s="127" t="s">
        <v>3513</v>
      </c>
      <c r="F168" s="108" t="s">
        <v>342</v>
      </c>
      <c r="G168" s="130">
        <v>235</v>
      </c>
      <c r="H168" s="123">
        <f t="shared" si="2"/>
        <v>265.54999999999995</v>
      </c>
      <c r="I168" s="356" t="s">
        <v>2178</v>
      </c>
    </row>
    <row r="169" spans="1:9" ht="20.100000000000001" customHeight="1" x14ac:dyDescent="0.2">
      <c r="A169" s="225"/>
      <c r="B169" s="106" t="s">
        <v>2312</v>
      </c>
      <c r="C169" s="798" t="s">
        <v>3514</v>
      </c>
      <c r="D169" s="810" t="s">
        <v>3518</v>
      </c>
      <c r="E169" s="127" t="s">
        <v>3513</v>
      </c>
      <c r="F169" s="108" t="s">
        <v>342</v>
      </c>
      <c r="G169" s="130">
        <v>235</v>
      </c>
      <c r="H169" s="123">
        <f t="shared" si="2"/>
        <v>265.54999999999995</v>
      </c>
      <c r="I169" s="356" t="s">
        <v>2178</v>
      </c>
    </row>
    <row r="170" spans="1:9" ht="20.100000000000001" customHeight="1" x14ac:dyDescent="0.2">
      <c r="A170" s="225"/>
      <c r="B170" s="106" t="s">
        <v>2312</v>
      </c>
      <c r="C170" s="798" t="s">
        <v>140</v>
      </c>
      <c r="D170" s="810" t="s">
        <v>3519</v>
      </c>
      <c r="E170" s="127" t="s">
        <v>3513</v>
      </c>
      <c r="F170" s="108" t="s">
        <v>342</v>
      </c>
      <c r="G170" s="130">
        <v>235</v>
      </c>
      <c r="H170" s="123">
        <f t="shared" si="2"/>
        <v>265.54999999999995</v>
      </c>
      <c r="I170" s="356" t="s">
        <v>2178</v>
      </c>
    </row>
    <row r="171" spans="1:9" ht="20.100000000000001" customHeight="1" x14ac:dyDescent="0.2">
      <c r="A171" s="225"/>
      <c r="B171" s="106" t="s">
        <v>2300</v>
      </c>
      <c r="C171" s="798" t="s">
        <v>24</v>
      </c>
      <c r="D171" s="810" t="s">
        <v>3516</v>
      </c>
      <c r="E171" s="127" t="s">
        <v>3521</v>
      </c>
      <c r="F171" s="108" t="s">
        <v>342</v>
      </c>
      <c r="G171" s="130">
        <v>665</v>
      </c>
      <c r="H171" s="123">
        <f t="shared" si="2"/>
        <v>751.44999999999993</v>
      </c>
      <c r="I171" s="356" t="s">
        <v>2178</v>
      </c>
    </row>
    <row r="172" spans="1:9" ht="20.100000000000001" customHeight="1" x14ac:dyDescent="0.2">
      <c r="A172" s="357" t="s">
        <v>2477</v>
      </c>
      <c r="B172" s="106" t="s">
        <v>2300</v>
      </c>
      <c r="C172" s="798" t="s">
        <v>109</v>
      </c>
      <c r="D172" s="810" t="s">
        <v>3518</v>
      </c>
      <c r="E172" s="127" t="s">
        <v>3521</v>
      </c>
      <c r="F172" s="108" t="s">
        <v>342</v>
      </c>
      <c r="G172" s="130">
        <v>665</v>
      </c>
      <c r="H172" s="123">
        <f t="shared" si="2"/>
        <v>751.44999999999993</v>
      </c>
      <c r="I172" s="63"/>
    </row>
    <row r="173" spans="1:9" ht="20.100000000000001" customHeight="1" x14ac:dyDescent="0.2">
      <c r="A173" s="225"/>
      <c r="B173" s="106" t="s">
        <v>2300</v>
      </c>
      <c r="C173" s="798" t="s">
        <v>126</v>
      </c>
      <c r="D173" s="810" t="s">
        <v>3519</v>
      </c>
      <c r="E173" s="127" t="s">
        <v>3521</v>
      </c>
      <c r="F173" s="108" t="s">
        <v>342</v>
      </c>
      <c r="G173" s="130">
        <v>665</v>
      </c>
      <c r="H173" s="123">
        <f t="shared" si="2"/>
        <v>751.44999999999993</v>
      </c>
      <c r="I173" s="356" t="s">
        <v>2178</v>
      </c>
    </row>
    <row r="174" spans="1:9" ht="20.100000000000001" customHeight="1" x14ac:dyDescent="0.2">
      <c r="A174" s="225"/>
      <c r="B174" s="106" t="s">
        <v>2299</v>
      </c>
      <c r="C174" s="798"/>
      <c r="D174" s="810"/>
      <c r="E174" s="127" t="s">
        <v>365</v>
      </c>
      <c r="F174" s="108" t="s">
        <v>342</v>
      </c>
      <c r="G174" s="130">
        <v>732.42</v>
      </c>
      <c r="H174" s="123">
        <f t="shared" si="2"/>
        <v>827.63459999999986</v>
      </c>
      <c r="I174" s="356" t="s">
        <v>2178</v>
      </c>
    </row>
    <row r="175" spans="1:9" ht="20.100000000000001" customHeight="1" x14ac:dyDescent="0.2">
      <c r="A175" s="225"/>
      <c r="B175" s="106" t="s">
        <v>2316</v>
      </c>
      <c r="C175" s="798"/>
      <c r="D175" s="810"/>
      <c r="E175" s="127" t="s">
        <v>368</v>
      </c>
      <c r="F175" s="108" t="s">
        <v>342</v>
      </c>
      <c r="G175" s="130">
        <v>249.94</v>
      </c>
      <c r="H175" s="123">
        <f t="shared" si="2"/>
        <v>282.43219999999997</v>
      </c>
      <c r="I175" s="356" t="s">
        <v>2178</v>
      </c>
    </row>
    <row r="176" spans="1:9" ht="20.100000000000001" customHeight="1" x14ac:dyDescent="0.2">
      <c r="A176" s="225"/>
      <c r="B176" s="106" t="s">
        <v>2314</v>
      </c>
      <c r="C176" s="798"/>
      <c r="D176" s="810"/>
      <c r="E176" s="127" t="s">
        <v>370</v>
      </c>
      <c r="F176" s="108" t="s">
        <v>342</v>
      </c>
      <c r="G176" s="130">
        <v>1189.55</v>
      </c>
      <c r="H176" s="123">
        <f t="shared" si="2"/>
        <v>1344.1914999999999</v>
      </c>
      <c r="I176" s="356" t="s">
        <v>2178</v>
      </c>
    </row>
    <row r="177" spans="1:9" ht="20.100000000000001" customHeight="1" x14ac:dyDescent="0.2">
      <c r="A177" s="225"/>
      <c r="B177" s="106" t="s">
        <v>2498</v>
      </c>
      <c r="C177" s="798"/>
      <c r="D177" s="810"/>
      <c r="E177" s="127" t="s">
        <v>890</v>
      </c>
      <c r="F177" s="108" t="s">
        <v>342</v>
      </c>
      <c r="G177" s="130">
        <v>2193.5300000000002</v>
      </c>
      <c r="H177" s="123">
        <f t="shared" si="2"/>
        <v>2478.6889000000001</v>
      </c>
      <c r="I177" s="356" t="s">
        <v>2178</v>
      </c>
    </row>
    <row r="178" spans="1:9" ht="20.100000000000001" customHeight="1" x14ac:dyDescent="0.2">
      <c r="A178" s="104"/>
      <c r="B178" s="106" t="s">
        <v>2315</v>
      </c>
      <c r="C178" s="798"/>
      <c r="D178" s="810"/>
      <c r="E178" s="127" t="s">
        <v>372</v>
      </c>
      <c r="F178" s="108" t="s">
        <v>342</v>
      </c>
      <c r="G178" s="130">
        <v>309.26</v>
      </c>
      <c r="H178" s="123">
        <f t="shared" si="2"/>
        <v>349.46379999999994</v>
      </c>
      <c r="I178" s="356" t="s">
        <v>2178</v>
      </c>
    </row>
    <row r="179" spans="1:9" ht="20.100000000000001" customHeight="1" x14ac:dyDescent="0.2">
      <c r="A179" s="104"/>
      <c r="B179" s="106" t="s">
        <v>2505</v>
      </c>
      <c r="C179" s="798"/>
      <c r="D179" s="810"/>
      <c r="E179" s="127" t="s">
        <v>341</v>
      </c>
      <c r="F179" s="108" t="s">
        <v>342</v>
      </c>
      <c r="G179" s="130">
        <v>1149.97</v>
      </c>
      <c r="H179" s="123">
        <f t="shared" si="2"/>
        <v>1299.4660999999999</v>
      </c>
      <c r="I179" s="356" t="s">
        <v>2178</v>
      </c>
    </row>
    <row r="180" spans="1:9" ht="20.100000000000001" customHeight="1" x14ac:dyDescent="0.2">
      <c r="A180" s="225"/>
      <c r="B180" s="106" t="s">
        <v>2506</v>
      </c>
      <c r="C180" s="798"/>
      <c r="D180" s="810"/>
      <c r="E180" s="127" t="s">
        <v>923</v>
      </c>
      <c r="F180" s="108" t="s">
        <v>342</v>
      </c>
      <c r="G180" s="130">
        <v>2888</v>
      </c>
      <c r="H180" s="123">
        <f t="shared" si="2"/>
        <v>3263.4399999999996</v>
      </c>
      <c r="I180" s="356" t="s">
        <v>2178</v>
      </c>
    </row>
    <row r="181" spans="1:9" ht="20.100000000000001" customHeight="1" x14ac:dyDescent="0.2">
      <c r="A181" s="225"/>
      <c r="B181" s="106" t="s">
        <v>2510</v>
      </c>
      <c r="C181" s="798"/>
      <c r="D181" s="810"/>
      <c r="E181" s="127" t="s">
        <v>366</v>
      </c>
      <c r="F181" s="108" t="s">
        <v>342</v>
      </c>
      <c r="G181" s="130">
        <v>328.61</v>
      </c>
      <c r="H181" s="123">
        <f t="shared" si="2"/>
        <v>371.32929999999999</v>
      </c>
      <c r="I181" s="356" t="s">
        <v>2178</v>
      </c>
    </row>
    <row r="182" spans="1:9" ht="20.100000000000001" customHeight="1" x14ac:dyDescent="0.2">
      <c r="A182" s="225"/>
      <c r="B182" s="106" t="s">
        <v>2511</v>
      </c>
      <c r="C182" s="798"/>
      <c r="D182" s="810"/>
      <c r="E182" s="127" t="s">
        <v>343</v>
      </c>
      <c r="F182" s="108" t="s">
        <v>342</v>
      </c>
      <c r="G182" s="130">
        <v>2322.2600000000002</v>
      </c>
      <c r="H182" s="123">
        <f t="shared" si="2"/>
        <v>2624.1538</v>
      </c>
      <c r="I182" s="356" t="s">
        <v>2178</v>
      </c>
    </row>
    <row r="183" spans="1:9" ht="20.100000000000001" customHeight="1" x14ac:dyDescent="0.2">
      <c r="A183" s="104"/>
      <c r="B183" s="106" t="s">
        <v>2298</v>
      </c>
      <c r="C183" s="798"/>
      <c r="D183" s="810"/>
      <c r="E183" s="127" t="s">
        <v>319</v>
      </c>
      <c r="F183" s="108" t="s">
        <v>271</v>
      </c>
      <c r="G183" s="130">
        <v>56650</v>
      </c>
      <c r="H183" s="123">
        <f t="shared" si="2"/>
        <v>64014.499999999993</v>
      </c>
      <c r="I183" s="356" t="s">
        <v>2178</v>
      </c>
    </row>
    <row r="184" spans="1:9" ht="20.100000000000001" customHeight="1" x14ac:dyDescent="0.2">
      <c r="A184" s="225"/>
      <c r="B184" s="106" t="s">
        <v>2000</v>
      </c>
      <c r="C184" s="798"/>
      <c r="D184" s="810"/>
      <c r="E184" s="127" t="s">
        <v>328</v>
      </c>
      <c r="F184" s="108" t="s">
        <v>271</v>
      </c>
      <c r="G184" s="130">
        <v>24970</v>
      </c>
      <c r="H184" s="123">
        <f t="shared" si="2"/>
        <v>28216.1</v>
      </c>
      <c r="I184" s="356" t="s">
        <v>2178</v>
      </c>
    </row>
    <row r="185" spans="1:9" ht="20.100000000000001" customHeight="1" x14ac:dyDescent="0.2">
      <c r="A185" s="225"/>
      <c r="B185" s="106" t="s">
        <v>2482</v>
      </c>
      <c r="C185" s="798"/>
      <c r="D185" s="810"/>
      <c r="E185" s="127" t="s">
        <v>922</v>
      </c>
      <c r="F185" s="108" t="s">
        <v>271</v>
      </c>
      <c r="G185" s="130">
        <v>51058</v>
      </c>
      <c r="H185" s="123">
        <f t="shared" si="2"/>
        <v>57695.539999999994</v>
      </c>
      <c r="I185" s="356" t="s">
        <v>2178</v>
      </c>
    </row>
    <row r="186" spans="1:9" ht="20.100000000000001" customHeight="1" x14ac:dyDescent="0.2">
      <c r="A186" s="225"/>
      <c r="B186" s="106" t="s">
        <v>2305</v>
      </c>
      <c r="C186" s="798"/>
      <c r="D186" s="810"/>
      <c r="E186" s="127" t="s">
        <v>330</v>
      </c>
      <c r="F186" s="108" t="s">
        <v>271</v>
      </c>
      <c r="G186" s="130">
        <v>22710</v>
      </c>
      <c r="H186" s="123">
        <f t="shared" si="2"/>
        <v>25662.3</v>
      </c>
      <c r="I186" s="356" t="s">
        <v>2178</v>
      </c>
    </row>
    <row r="187" spans="1:9" ht="20.100000000000001" customHeight="1" x14ac:dyDescent="0.2">
      <c r="A187" s="225"/>
      <c r="B187" s="106" t="s">
        <v>2483</v>
      </c>
      <c r="C187" s="798"/>
      <c r="D187" s="810"/>
      <c r="E187" s="127" t="s">
        <v>331</v>
      </c>
      <c r="F187" s="108" t="s">
        <v>271</v>
      </c>
      <c r="G187" s="130">
        <v>10729.5</v>
      </c>
      <c r="H187" s="123">
        <f t="shared" si="2"/>
        <v>12124.334999999999</v>
      </c>
      <c r="I187" s="356" t="s">
        <v>2178</v>
      </c>
    </row>
    <row r="188" spans="1:9" ht="20.100000000000001" customHeight="1" x14ac:dyDescent="0.2">
      <c r="A188" s="104"/>
      <c r="B188" s="106" t="s">
        <v>2306</v>
      </c>
      <c r="C188" s="798"/>
      <c r="D188" s="810"/>
      <c r="E188" s="127" t="s">
        <v>333</v>
      </c>
      <c r="F188" s="108" t="s">
        <v>271</v>
      </c>
      <c r="G188" s="130">
        <v>53280</v>
      </c>
      <c r="H188" s="123">
        <f t="shared" si="2"/>
        <v>60206.399999999994</v>
      </c>
      <c r="I188" s="356" t="s">
        <v>2178</v>
      </c>
    </row>
    <row r="189" spans="1:9" x14ac:dyDescent="0.2">
      <c r="A189" s="225"/>
      <c r="B189" s="106" t="s">
        <v>2307</v>
      </c>
      <c r="C189" s="798"/>
      <c r="D189" s="810"/>
      <c r="E189" s="127" t="s">
        <v>335</v>
      </c>
      <c r="F189" s="108" t="s">
        <v>271</v>
      </c>
      <c r="G189" s="130">
        <v>53280</v>
      </c>
      <c r="H189" s="123">
        <f t="shared" si="2"/>
        <v>60206.399999999994</v>
      </c>
      <c r="I189" s="356" t="s">
        <v>2178</v>
      </c>
    </row>
    <row r="190" spans="1:9" x14ac:dyDescent="0.2">
      <c r="A190" s="225"/>
      <c r="B190" s="106" t="s">
        <v>2308</v>
      </c>
      <c r="C190" s="798"/>
      <c r="D190" s="810"/>
      <c r="E190" s="127" t="s">
        <v>395</v>
      </c>
      <c r="F190" s="108" t="s">
        <v>271</v>
      </c>
      <c r="G190" s="130">
        <f>136.45*tc</f>
        <v>72318.5</v>
      </c>
      <c r="H190" s="123">
        <f t="shared" si="2"/>
        <v>81719.904999999999</v>
      </c>
      <c r="I190" s="356" t="s">
        <v>2178</v>
      </c>
    </row>
    <row r="191" spans="1:9" x14ac:dyDescent="0.2">
      <c r="A191" s="225"/>
      <c r="B191" s="106" t="s">
        <v>2492</v>
      </c>
      <c r="C191" s="798"/>
      <c r="D191" s="810"/>
      <c r="E191" s="127" t="s">
        <v>569</v>
      </c>
      <c r="F191" s="108" t="s">
        <v>271</v>
      </c>
      <c r="G191" s="130">
        <v>4168.6000000000004</v>
      </c>
      <c r="H191" s="123">
        <f t="shared" si="2"/>
        <v>4710.518</v>
      </c>
      <c r="I191" s="356" t="s">
        <v>2178</v>
      </c>
    </row>
    <row r="192" spans="1:9" ht="20.100000000000001" customHeight="1" x14ac:dyDescent="0.2">
      <c r="A192" s="225"/>
      <c r="B192" s="106" t="s">
        <v>2954</v>
      </c>
      <c r="C192" s="798"/>
      <c r="D192" s="810"/>
      <c r="E192" s="127" t="s">
        <v>2959</v>
      </c>
      <c r="F192" s="108" t="s">
        <v>271</v>
      </c>
      <c r="G192" s="130">
        <v>50129</v>
      </c>
      <c r="H192" s="123">
        <f t="shared" si="2"/>
        <v>56645.77</v>
      </c>
      <c r="I192" s="356" t="s">
        <v>2178</v>
      </c>
    </row>
    <row r="193" spans="1:9" ht="20.100000000000001" customHeight="1" x14ac:dyDescent="0.2">
      <c r="A193" s="104"/>
      <c r="B193" s="106" t="s">
        <v>3317</v>
      </c>
      <c r="C193" s="798"/>
      <c r="D193" s="810"/>
      <c r="E193" s="127" t="s">
        <v>3318</v>
      </c>
      <c r="F193" s="108" t="s">
        <v>271</v>
      </c>
      <c r="G193" s="130">
        <f>81770.794/1.12</f>
        <v>73009.637499999983</v>
      </c>
      <c r="H193" s="123">
        <f t="shared" si="2"/>
        <v>82500.890374999974</v>
      </c>
      <c r="I193" s="356" t="s">
        <v>2178</v>
      </c>
    </row>
    <row r="194" spans="1:9" ht="20.100000000000001" customHeight="1" x14ac:dyDescent="0.2">
      <c r="A194" s="104"/>
      <c r="B194" s="106" t="s">
        <v>2520</v>
      </c>
      <c r="C194" s="798"/>
      <c r="D194" s="810"/>
      <c r="E194" s="127" t="s">
        <v>957</v>
      </c>
      <c r="F194" s="108" t="s">
        <v>271</v>
      </c>
      <c r="G194" s="130">
        <v>26011.14</v>
      </c>
      <c r="H194" s="123">
        <f t="shared" si="2"/>
        <v>29392.588199999998</v>
      </c>
      <c r="I194" s="356" t="s">
        <v>2178</v>
      </c>
    </row>
    <row r="195" spans="1:9" ht="20.100000000000001" customHeight="1" x14ac:dyDescent="0.2">
      <c r="A195" s="225"/>
      <c r="B195" s="106" t="s">
        <v>2521</v>
      </c>
      <c r="C195" s="798"/>
      <c r="D195" s="810"/>
      <c r="E195" s="127" t="s">
        <v>954</v>
      </c>
      <c r="F195" s="108" t="s">
        <v>271</v>
      </c>
      <c r="G195" s="130">
        <v>10027.959999999999</v>
      </c>
      <c r="H195" s="123">
        <f t="shared" si="2"/>
        <v>11331.594799999997</v>
      </c>
      <c r="I195" s="356" t="s">
        <v>2178</v>
      </c>
    </row>
    <row r="196" spans="1:9" ht="20.100000000000001" customHeight="1" x14ac:dyDescent="0.2">
      <c r="A196" s="225"/>
      <c r="B196" s="106" t="s">
        <v>2522</v>
      </c>
      <c r="C196" s="798"/>
      <c r="D196" s="810"/>
      <c r="E196" s="127" t="s">
        <v>956</v>
      </c>
      <c r="F196" s="108" t="s">
        <v>271</v>
      </c>
      <c r="G196" s="130">
        <v>10391.59</v>
      </c>
      <c r="H196" s="123">
        <f t="shared" si="2"/>
        <v>11742.4967</v>
      </c>
      <c r="I196" s="356" t="s">
        <v>2178</v>
      </c>
    </row>
    <row r="197" spans="1:9" ht="20.100000000000001" customHeight="1" x14ac:dyDescent="0.2">
      <c r="A197" s="225"/>
      <c r="B197" s="106" t="s">
        <v>2523</v>
      </c>
      <c r="C197" s="798"/>
      <c r="D197" s="810"/>
      <c r="E197" s="127" t="s">
        <v>955</v>
      </c>
      <c r="F197" s="108" t="s">
        <v>271</v>
      </c>
      <c r="G197" s="130">
        <v>44968.56</v>
      </c>
      <c r="H197" s="123">
        <f t="shared" si="2"/>
        <v>50814.472799999996</v>
      </c>
      <c r="I197" s="356" t="s">
        <v>2178</v>
      </c>
    </row>
    <row r="198" spans="1:9" ht="20.100000000000001" customHeight="1" x14ac:dyDescent="0.2">
      <c r="A198" s="225"/>
      <c r="B198" s="106" t="s">
        <v>2524</v>
      </c>
      <c r="C198" s="798"/>
      <c r="D198" s="810"/>
      <c r="E198" s="127" t="s">
        <v>326</v>
      </c>
      <c r="F198" s="108" t="s">
        <v>271</v>
      </c>
      <c r="G198" s="130">
        <v>5740</v>
      </c>
      <c r="H198" s="123">
        <f t="shared" si="2"/>
        <v>6486.2</v>
      </c>
      <c r="I198" s="356" t="s">
        <v>2178</v>
      </c>
    </row>
    <row r="199" spans="1:9" ht="20.100000000000001" customHeight="1" x14ac:dyDescent="0.2">
      <c r="A199" s="225"/>
      <c r="B199" s="106" t="s">
        <v>2527</v>
      </c>
      <c r="C199" s="798"/>
      <c r="D199" s="810"/>
      <c r="E199" s="127" t="s">
        <v>886</v>
      </c>
      <c r="F199" s="108" t="s">
        <v>271</v>
      </c>
      <c r="G199" s="130">
        <v>11500</v>
      </c>
      <c r="H199" s="123">
        <f t="shared" si="2"/>
        <v>12994.999999999998</v>
      </c>
      <c r="I199" s="356" t="s">
        <v>2178</v>
      </c>
    </row>
    <row r="200" spans="1:9" ht="20.100000000000001" customHeight="1" x14ac:dyDescent="0.2">
      <c r="A200" s="225"/>
      <c r="B200" s="106" t="s">
        <v>2529</v>
      </c>
      <c r="C200" s="798"/>
      <c r="D200" s="810"/>
      <c r="E200" s="127" t="s">
        <v>325</v>
      </c>
      <c r="F200" s="108" t="s">
        <v>271</v>
      </c>
      <c r="G200" s="130">
        <f>44.52*tc</f>
        <v>23595.600000000002</v>
      </c>
      <c r="H200" s="123">
        <f t="shared" si="2"/>
        <v>26663.027999999998</v>
      </c>
      <c r="I200" s="356" t="s">
        <v>2178</v>
      </c>
    </row>
    <row r="201" spans="1:9" ht="20.100000000000001" customHeight="1" x14ac:dyDescent="0.2">
      <c r="A201" s="225"/>
      <c r="B201" s="106" t="s">
        <v>1992</v>
      </c>
      <c r="C201" s="798"/>
      <c r="D201" s="810"/>
      <c r="E201" s="127" t="s">
        <v>471</v>
      </c>
      <c r="F201" s="108" t="s">
        <v>271</v>
      </c>
      <c r="G201" s="130">
        <v>289.5</v>
      </c>
      <c r="H201" s="123">
        <f t="shared" si="2"/>
        <v>327.13499999999999</v>
      </c>
      <c r="I201" s="356" t="s">
        <v>2178</v>
      </c>
    </row>
    <row r="202" spans="1:9" ht="20.100000000000001" customHeight="1" x14ac:dyDescent="0.2">
      <c r="A202" s="225"/>
      <c r="B202" s="106" t="s">
        <v>1993</v>
      </c>
      <c r="C202" s="798"/>
      <c r="D202" s="810"/>
      <c r="E202" s="127" t="s">
        <v>2784</v>
      </c>
      <c r="F202" s="108" t="s">
        <v>271</v>
      </c>
      <c r="G202" s="130">
        <v>1252.25</v>
      </c>
      <c r="H202" s="123">
        <f t="shared" si="2"/>
        <v>1415.0424999999998</v>
      </c>
      <c r="I202" s="356" t="s">
        <v>2178</v>
      </c>
    </row>
    <row r="203" spans="1:9" ht="20.100000000000001" customHeight="1" x14ac:dyDescent="0.2">
      <c r="A203" s="225"/>
      <c r="B203" s="106" t="s">
        <v>1995</v>
      </c>
      <c r="C203" s="798"/>
      <c r="D203" s="810"/>
      <c r="E203" s="127" t="s">
        <v>451</v>
      </c>
      <c r="F203" s="108" t="s">
        <v>271</v>
      </c>
      <c r="G203" s="130">
        <v>325.5</v>
      </c>
      <c r="H203" s="123">
        <f t="shared" si="2"/>
        <v>367.81499999999994</v>
      </c>
      <c r="I203" s="356" t="s">
        <v>2178</v>
      </c>
    </row>
    <row r="204" spans="1:9" ht="20.100000000000001" customHeight="1" x14ac:dyDescent="0.2">
      <c r="A204" s="225"/>
      <c r="B204" s="106" t="s">
        <v>1996</v>
      </c>
      <c r="C204" s="798"/>
      <c r="D204" s="810"/>
      <c r="E204" s="127" t="s">
        <v>453</v>
      </c>
      <c r="F204" s="108" t="s">
        <v>271</v>
      </c>
      <c r="G204" s="130">
        <v>293</v>
      </c>
      <c r="H204" s="123">
        <f t="shared" ref="H204:H267" si="3">+G204*1.13</f>
        <v>331.09</v>
      </c>
      <c r="I204" s="356" t="s">
        <v>2178</v>
      </c>
    </row>
    <row r="205" spans="1:9" ht="20.100000000000001" customHeight="1" x14ac:dyDescent="0.2">
      <c r="A205" s="225"/>
      <c r="B205" s="106" t="s">
        <v>1994</v>
      </c>
      <c r="C205" s="798"/>
      <c r="D205" s="810"/>
      <c r="E205" s="127" t="s">
        <v>470</v>
      </c>
      <c r="F205" s="108" t="s">
        <v>271</v>
      </c>
      <c r="G205" s="130">
        <v>431.25</v>
      </c>
      <c r="H205" s="123">
        <f t="shared" si="3"/>
        <v>487.31249999999994</v>
      </c>
      <c r="I205" s="356" t="s">
        <v>2178</v>
      </c>
    </row>
    <row r="206" spans="1:9" ht="20.100000000000001" customHeight="1" x14ac:dyDescent="0.2">
      <c r="A206" s="225"/>
      <c r="B206" s="106" t="s">
        <v>1998</v>
      </c>
      <c r="C206" s="798"/>
      <c r="D206" s="810"/>
      <c r="E206" s="127" t="s">
        <v>473</v>
      </c>
      <c r="F206" s="108" t="s">
        <v>271</v>
      </c>
      <c r="G206" s="130">
        <v>355</v>
      </c>
      <c r="H206" s="123">
        <f t="shared" si="3"/>
        <v>401.15</v>
      </c>
      <c r="I206" s="356" t="s">
        <v>2178</v>
      </c>
    </row>
    <row r="207" spans="1:9" ht="20.100000000000001" customHeight="1" x14ac:dyDescent="0.2">
      <c r="A207" s="225"/>
      <c r="B207" s="106" t="s">
        <v>1997</v>
      </c>
      <c r="C207" s="798"/>
      <c r="D207" s="810"/>
      <c r="E207" s="127" t="s">
        <v>2811</v>
      </c>
      <c r="F207" s="108" t="s">
        <v>271</v>
      </c>
      <c r="G207" s="130">
        <v>3111.5</v>
      </c>
      <c r="H207" s="123">
        <f t="shared" si="3"/>
        <v>3515.9949999999999</v>
      </c>
      <c r="I207" s="356" t="s">
        <v>2178</v>
      </c>
    </row>
    <row r="208" spans="1:9" ht="20.100000000000001" customHeight="1" x14ac:dyDescent="0.2">
      <c r="A208" s="357" t="s">
        <v>2487</v>
      </c>
      <c r="B208" s="106" t="s">
        <v>2282</v>
      </c>
      <c r="C208" s="798"/>
      <c r="D208" s="810"/>
      <c r="E208" s="127" t="s">
        <v>857</v>
      </c>
      <c r="F208" s="108" t="s">
        <v>271</v>
      </c>
      <c r="G208" s="130">
        <v>2093.75</v>
      </c>
      <c r="H208" s="123">
        <f t="shared" si="3"/>
        <v>2365.9375</v>
      </c>
      <c r="I208" s="63"/>
    </row>
    <row r="209" spans="1:9" x14ac:dyDescent="0.2">
      <c r="A209" s="225"/>
      <c r="B209" s="106" t="s">
        <v>2288</v>
      </c>
      <c r="C209" s="798"/>
      <c r="D209" s="810"/>
      <c r="E209" s="127" t="s">
        <v>858</v>
      </c>
      <c r="F209" s="108" t="s">
        <v>271</v>
      </c>
      <c r="G209" s="130">
        <v>651.75</v>
      </c>
      <c r="H209" s="123">
        <f t="shared" si="3"/>
        <v>736.47749999999996</v>
      </c>
      <c r="I209" s="356" t="s">
        <v>2178</v>
      </c>
    </row>
    <row r="210" spans="1:9" ht="20.100000000000001" customHeight="1" x14ac:dyDescent="0.2">
      <c r="A210" s="104"/>
      <c r="B210" s="106" t="s">
        <v>2289</v>
      </c>
      <c r="C210" s="798"/>
      <c r="D210" s="810"/>
      <c r="E210" s="127" t="s">
        <v>859</v>
      </c>
      <c r="F210" s="108" t="s">
        <v>271</v>
      </c>
      <c r="G210" s="130">
        <v>970.25</v>
      </c>
      <c r="H210" s="123">
        <f t="shared" si="3"/>
        <v>1096.3824999999999</v>
      </c>
      <c r="I210" s="356" t="s">
        <v>2178</v>
      </c>
    </row>
    <row r="211" spans="1:9" ht="20.100000000000001" customHeight="1" x14ac:dyDescent="0.2">
      <c r="A211" s="225"/>
      <c r="B211" s="106" t="s">
        <v>2283</v>
      </c>
      <c r="C211" s="798"/>
      <c r="D211" s="810"/>
      <c r="E211" s="127" t="s">
        <v>2821</v>
      </c>
      <c r="F211" s="108" t="s">
        <v>271</v>
      </c>
      <c r="G211" s="130">
        <v>275.5</v>
      </c>
      <c r="H211" s="123">
        <f t="shared" si="3"/>
        <v>311.315</v>
      </c>
      <c r="I211" s="356" t="s">
        <v>2178</v>
      </c>
    </row>
    <row r="212" spans="1:9" ht="20.100000000000001" customHeight="1" x14ac:dyDescent="0.2">
      <c r="A212" s="225"/>
      <c r="B212" s="106" t="s">
        <v>2284</v>
      </c>
      <c r="C212" s="798"/>
      <c r="D212" s="810"/>
      <c r="E212" s="127" t="s">
        <v>868</v>
      </c>
      <c r="F212" s="108" t="s">
        <v>271</v>
      </c>
      <c r="G212" s="130">
        <v>150.5</v>
      </c>
      <c r="H212" s="123">
        <f t="shared" si="3"/>
        <v>170.065</v>
      </c>
      <c r="I212" s="356" t="s">
        <v>2178</v>
      </c>
    </row>
    <row r="213" spans="1:9" ht="20.100000000000001" customHeight="1" x14ac:dyDescent="0.2">
      <c r="A213" s="225"/>
      <c r="B213" s="106" t="s">
        <v>2292</v>
      </c>
      <c r="C213" s="798"/>
      <c r="D213" s="810"/>
      <c r="E213" s="127" t="s">
        <v>869</v>
      </c>
      <c r="F213" s="108" t="s">
        <v>271</v>
      </c>
      <c r="G213" s="130">
        <v>66.5</v>
      </c>
      <c r="H213" s="123">
        <f t="shared" si="3"/>
        <v>75.144999999999996</v>
      </c>
      <c r="I213" s="356" t="s">
        <v>2178</v>
      </c>
    </row>
    <row r="214" spans="1:9" ht="20.100000000000001" customHeight="1" x14ac:dyDescent="0.2">
      <c r="A214" s="225"/>
      <c r="B214" s="106" t="s">
        <v>2290</v>
      </c>
      <c r="C214" s="798"/>
      <c r="D214" s="810"/>
      <c r="E214" s="127" t="s">
        <v>871</v>
      </c>
      <c r="F214" s="108" t="s">
        <v>271</v>
      </c>
      <c r="G214" s="130">
        <v>94.5</v>
      </c>
      <c r="H214" s="123">
        <f t="shared" si="3"/>
        <v>106.785</v>
      </c>
      <c r="I214" s="356" t="s">
        <v>2178</v>
      </c>
    </row>
    <row r="215" spans="1:9" ht="20.100000000000001" customHeight="1" x14ac:dyDescent="0.2">
      <c r="A215" s="225"/>
      <c r="B215" s="106" t="s">
        <v>2844</v>
      </c>
      <c r="C215" s="798"/>
      <c r="D215" s="810"/>
      <c r="E215" s="127" t="s">
        <v>472</v>
      </c>
      <c r="F215" s="108" t="s">
        <v>271</v>
      </c>
      <c r="G215" s="130">
        <v>1841.25</v>
      </c>
      <c r="H215" s="123">
        <f t="shared" si="3"/>
        <v>2080.6124999999997</v>
      </c>
      <c r="I215" s="356" t="s">
        <v>2178</v>
      </c>
    </row>
    <row r="216" spans="1:9" ht="20.100000000000001" customHeight="1" x14ac:dyDescent="0.2">
      <c r="A216" s="225"/>
      <c r="B216" s="106" t="s">
        <v>2845</v>
      </c>
      <c r="C216" s="798"/>
      <c r="D216" s="810"/>
      <c r="E216" s="127" t="s">
        <v>870</v>
      </c>
      <c r="F216" s="108" t="s">
        <v>271</v>
      </c>
      <c r="G216" s="130">
        <v>345.25</v>
      </c>
      <c r="H216" s="123">
        <f t="shared" si="3"/>
        <v>390.13249999999994</v>
      </c>
      <c r="I216" s="356" t="s">
        <v>2178</v>
      </c>
    </row>
    <row r="217" spans="1:9" x14ac:dyDescent="0.2">
      <c r="A217" s="225"/>
      <c r="B217" s="106" t="s">
        <v>2484</v>
      </c>
      <c r="C217" s="798"/>
      <c r="D217" s="810"/>
      <c r="E217" s="127" t="s">
        <v>2485</v>
      </c>
      <c r="F217" s="108" t="s">
        <v>271</v>
      </c>
      <c r="G217" s="130">
        <v>315</v>
      </c>
      <c r="H217" s="123">
        <f t="shared" si="3"/>
        <v>355.95</v>
      </c>
      <c r="I217" s="356" t="s">
        <v>2178</v>
      </c>
    </row>
    <row r="218" spans="1:9" ht="20.100000000000001" customHeight="1" x14ac:dyDescent="0.2">
      <c r="A218" s="225"/>
      <c r="B218" s="106" t="s">
        <v>2484</v>
      </c>
      <c r="C218" s="798"/>
      <c r="D218" s="810"/>
      <c r="E218" s="127" t="s">
        <v>2485</v>
      </c>
      <c r="F218" s="108" t="s">
        <v>271</v>
      </c>
      <c r="G218" s="130">
        <v>315</v>
      </c>
      <c r="H218" s="123">
        <f t="shared" si="3"/>
        <v>355.95</v>
      </c>
      <c r="I218" s="356" t="s">
        <v>2178</v>
      </c>
    </row>
    <row r="219" spans="1:9" ht="20.100000000000001" customHeight="1" x14ac:dyDescent="0.2">
      <c r="A219" s="225"/>
      <c r="B219" s="106" t="s">
        <v>1985</v>
      </c>
      <c r="C219" s="798"/>
      <c r="D219" s="810"/>
      <c r="E219" s="127" t="s">
        <v>314</v>
      </c>
      <c r="F219" s="108" t="s">
        <v>271</v>
      </c>
      <c r="G219" s="130">
        <v>140.78</v>
      </c>
      <c r="H219" s="123">
        <f t="shared" si="3"/>
        <v>159.08139999999997</v>
      </c>
      <c r="I219" s="356" t="s">
        <v>2178</v>
      </c>
    </row>
    <row r="220" spans="1:9" ht="20.100000000000001" customHeight="1" x14ac:dyDescent="0.2">
      <c r="A220" s="225"/>
      <c r="B220" s="106" t="s">
        <v>1986</v>
      </c>
      <c r="C220" s="798"/>
      <c r="D220" s="810"/>
      <c r="E220" s="127" t="s">
        <v>316</v>
      </c>
      <c r="F220" s="108" t="s">
        <v>271</v>
      </c>
      <c r="G220" s="130">
        <v>146.16999999999999</v>
      </c>
      <c r="H220" s="123">
        <f t="shared" si="3"/>
        <v>165.17209999999997</v>
      </c>
      <c r="I220" s="356" t="s">
        <v>2178</v>
      </c>
    </row>
    <row r="221" spans="1:9" ht="20.100000000000001" customHeight="1" x14ac:dyDescent="0.2">
      <c r="A221" s="104"/>
      <c r="B221" s="106" t="s">
        <v>2296</v>
      </c>
      <c r="C221" s="798"/>
      <c r="D221" s="810"/>
      <c r="E221" s="127" t="s">
        <v>379</v>
      </c>
      <c r="F221" s="108" t="s">
        <v>271</v>
      </c>
      <c r="G221" s="130">
        <v>1120</v>
      </c>
      <c r="H221" s="123">
        <f t="shared" si="3"/>
        <v>1265.5999999999999</v>
      </c>
      <c r="I221" s="356" t="s">
        <v>2178</v>
      </c>
    </row>
    <row r="222" spans="1:9" ht="18.600000000000001" customHeight="1" x14ac:dyDescent="0.2">
      <c r="A222" s="225"/>
      <c r="B222" s="106" t="s">
        <v>2297</v>
      </c>
      <c r="C222" s="798"/>
      <c r="D222" s="810"/>
      <c r="E222" s="127" t="s">
        <v>2486</v>
      </c>
      <c r="F222" s="108" t="s">
        <v>271</v>
      </c>
      <c r="G222" s="130">
        <v>344.25</v>
      </c>
      <c r="H222" s="123">
        <f t="shared" si="3"/>
        <v>389.00249999999994</v>
      </c>
      <c r="I222" s="356" t="s">
        <v>2178</v>
      </c>
    </row>
    <row r="223" spans="1:9" ht="18.600000000000001" customHeight="1" x14ac:dyDescent="0.2">
      <c r="A223" s="225"/>
      <c r="B223" s="106" t="s">
        <v>1987</v>
      </c>
      <c r="C223" s="798"/>
      <c r="D223" s="810"/>
      <c r="E223" s="127" t="s">
        <v>2120</v>
      </c>
      <c r="F223" s="108" t="s">
        <v>271</v>
      </c>
      <c r="G223" s="130">
        <v>676.99</v>
      </c>
      <c r="H223" s="123">
        <f t="shared" si="3"/>
        <v>764.99869999999999</v>
      </c>
      <c r="I223" s="356" t="s">
        <v>2178</v>
      </c>
    </row>
    <row r="224" spans="1:9" ht="20.100000000000001" customHeight="1" x14ac:dyDescent="0.2">
      <c r="A224" s="225"/>
      <c r="B224" s="106" t="s">
        <v>2488</v>
      </c>
      <c r="C224" s="798"/>
      <c r="D224" s="810"/>
      <c r="E224" s="127" t="s">
        <v>387</v>
      </c>
      <c r="F224" s="108" t="s">
        <v>271</v>
      </c>
      <c r="G224" s="130">
        <v>696</v>
      </c>
      <c r="H224" s="123">
        <f t="shared" si="3"/>
        <v>786.4799999999999</v>
      </c>
      <c r="I224" s="356" t="s">
        <v>2178</v>
      </c>
    </row>
    <row r="225" spans="1:9" ht="20.100000000000001" customHeight="1" x14ac:dyDescent="0.2">
      <c r="A225" s="225"/>
      <c r="B225" s="106" t="s">
        <v>2274</v>
      </c>
      <c r="C225" s="798"/>
      <c r="D225" s="810"/>
      <c r="E225" s="127" t="s">
        <v>429</v>
      </c>
      <c r="F225" s="108" t="s">
        <v>271</v>
      </c>
      <c r="G225" s="130">
        <v>891</v>
      </c>
      <c r="H225" s="123">
        <f t="shared" si="3"/>
        <v>1006.8299999999999</v>
      </c>
      <c r="I225" s="356" t="s">
        <v>2178</v>
      </c>
    </row>
    <row r="226" spans="1:9" ht="20.100000000000001" customHeight="1" x14ac:dyDescent="0.2">
      <c r="A226" s="225"/>
      <c r="B226" s="106" t="s">
        <v>2009</v>
      </c>
      <c r="C226" s="798"/>
      <c r="D226" s="810"/>
      <c r="E226" s="127" t="s">
        <v>431</v>
      </c>
      <c r="F226" s="108" t="s">
        <v>271</v>
      </c>
      <c r="G226" s="130">
        <v>730</v>
      </c>
      <c r="H226" s="123">
        <f t="shared" si="3"/>
        <v>824.9</v>
      </c>
      <c r="I226" s="356" t="s">
        <v>2178</v>
      </c>
    </row>
    <row r="227" spans="1:9" ht="20.100000000000001" customHeight="1" x14ac:dyDescent="0.2">
      <c r="A227" s="225"/>
      <c r="B227" s="106" t="s">
        <v>2118</v>
      </c>
      <c r="C227" s="798"/>
      <c r="D227" s="810"/>
      <c r="E227" s="127" t="s">
        <v>460</v>
      </c>
      <c r="F227" s="108" t="s">
        <v>271</v>
      </c>
      <c r="G227" s="130">
        <v>152.62</v>
      </c>
      <c r="H227" s="123">
        <f t="shared" si="3"/>
        <v>172.4606</v>
      </c>
      <c r="I227" s="356" t="s">
        <v>2178</v>
      </c>
    </row>
    <row r="228" spans="1:9" ht="20.100000000000001" customHeight="1" x14ac:dyDescent="0.2">
      <c r="A228" s="225"/>
      <c r="B228" s="106" t="s">
        <v>2324</v>
      </c>
      <c r="C228" s="798"/>
      <c r="D228" s="810"/>
      <c r="E228" s="127" t="s">
        <v>462</v>
      </c>
      <c r="F228" s="108" t="s">
        <v>271</v>
      </c>
      <c r="G228" s="130">
        <v>81</v>
      </c>
      <c r="H228" s="123">
        <f t="shared" si="3"/>
        <v>91.529999999999987</v>
      </c>
      <c r="I228" s="356" t="s">
        <v>2178</v>
      </c>
    </row>
    <row r="229" spans="1:9" ht="20.100000000000001" customHeight="1" x14ac:dyDescent="0.2">
      <c r="A229" s="225"/>
      <c r="B229" s="106" t="s">
        <v>2008</v>
      </c>
      <c r="C229" s="798"/>
      <c r="D229" s="810"/>
      <c r="E229" s="127" t="s">
        <v>2489</v>
      </c>
      <c r="F229" s="108" t="s">
        <v>271</v>
      </c>
      <c r="G229" s="130">
        <v>14.76</v>
      </c>
      <c r="H229" s="123">
        <f t="shared" si="3"/>
        <v>16.678799999999999</v>
      </c>
      <c r="I229" s="356" t="s">
        <v>2178</v>
      </c>
    </row>
    <row r="230" spans="1:9" ht="20.100000000000001" customHeight="1" x14ac:dyDescent="0.2">
      <c r="A230" s="225"/>
      <c r="B230" s="106" t="s">
        <v>2276</v>
      </c>
      <c r="C230" s="798"/>
      <c r="D230" s="810"/>
      <c r="E230" s="127" t="s">
        <v>862</v>
      </c>
      <c r="F230" s="108" t="s">
        <v>271</v>
      </c>
      <c r="G230" s="130">
        <v>5201.97</v>
      </c>
      <c r="H230" s="123">
        <f t="shared" si="3"/>
        <v>5878.2260999999999</v>
      </c>
      <c r="I230" s="356" t="s">
        <v>2178</v>
      </c>
    </row>
    <row r="231" spans="1:9" ht="20.100000000000001" customHeight="1" x14ac:dyDescent="0.2">
      <c r="A231" s="225"/>
      <c r="B231" s="106" t="s">
        <v>1988</v>
      </c>
      <c r="C231" s="798"/>
      <c r="D231" s="810"/>
      <c r="E231" s="127" t="s">
        <v>839</v>
      </c>
      <c r="F231" s="108" t="s">
        <v>271</v>
      </c>
      <c r="G231" s="130">
        <v>1922.46</v>
      </c>
      <c r="H231" s="123">
        <f t="shared" si="3"/>
        <v>2172.3797999999997</v>
      </c>
      <c r="I231" s="356" t="s">
        <v>2178</v>
      </c>
    </row>
    <row r="232" spans="1:9" ht="20.100000000000001" customHeight="1" x14ac:dyDescent="0.2">
      <c r="A232" s="225"/>
      <c r="B232" s="106" t="s">
        <v>2323</v>
      </c>
      <c r="C232" s="798"/>
      <c r="D232" s="810"/>
      <c r="E232" s="127" t="s">
        <v>526</v>
      </c>
      <c r="F232" s="108" t="s">
        <v>271</v>
      </c>
      <c r="G232" s="130">
        <v>16.2</v>
      </c>
      <c r="H232" s="123">
        <f t="shared" si="3"/>
        <v>18.305999999999997</v>
      </c>
      <c r="I232" s="356" t="s">
        <v>2178</v>
      </c>
    </row>
    <row r="233" spans="1:9" ht="20.100000000000001" customHeight="1" x14ac:dyDescent="0.2">
      <c r="A233" s="225"/>
      <c r="B233" s="106" t="s">
        <v>2494</v>
      </c>
      <c r="C233" s="798"/>
      <c r="D233" s="810"/>
      <c r="E233" s="127" t="s">
        <v>522</v>
      </c>
      <c r="F233" s="108" t="s">
        <v>271</v>
      </c>
      <c r="G233" s="130">
        <v>44.88</v>
      </c>
      <c r="H233" s="123">
        <f t="shared" si="3"/>
        <v>50.714399999999998</v>
      </c>
      <c r="I233" s="356" t="s">
        <v>2178</v>
      </c>
    </row>
    <row r="234" spans="1:9" ht="20.100000000000001" customHeight="1" x14ac:dyDescent="0.2">
      <c r="A234" s="225"/>
      <c r="B234" s="106" t="s">
        <v>2322</v>
      </c>
      <c r="C234" s="798"/>
      <c r="D234" s="810"/>
      <c r="E234" s="127" t="s">
        <v>771</v>
      </c>
      <c r="F234" s="108" t="s">
        <v>271</v>
      </c>
      <c r="G234" s="130">
        <v>136.71</v>
      </c>
      <c r="H234" s="123">
        <f t="shared" si="3"/>
        <v>154.48229999999998</v>
      </c>
      <c r="I234" s="356" t="s">
        <v>2178</v>
      </c>
    </row>
    <row r="235" spans="1:9" ht="20.100000000000001" customHeight="1" x14ac:dyDescent="0.2">
      <c r="A235" s="225"/>
      <c r="B235" s="106" t="s">
        <v>2275</v>
      </c>
      <c r="C235" s="798"/>
      <c r="D235" s="810"/>
      <c r="E235" s="127" t="s">
        <v>447</v>
      </c>
      <c r="F235" s="108" t="s">
        <v>271</v>
      </c>
      <c r="G235" s="130">
        <v>496.26</v>
      </c>
      <c r="H235" s="123">
        <f t="shared" si="3"/>
        <v>560.77379999999994</v>
      </c>
      <c r="I235" s="356" t="s">
        <v>2178</v>
      </c>
    </row>
    <row r="236" spans="1:9" ht="20.100000000000001" customHeight="1" x14ac:dyDescent="0.2">
      <c r="A236" s="225"/>
      <c r="B236" s="106" t="s">
        <v>2277</v>
      </c>
      <c r="C236" s="798"/>
      <c r="D236" s="810"/>
      <c r="E236" s="127" t="s">
        <v>1869</v>
      </c>
      <c r="F236" s="108" t="s">
        <v>271</v>
      </c>
      <c r="G236" s="130">
        <v>7319.55</v>
      </c>
      <c r="H236" s="123">
        <f t="shared" si="3"/>
        <v>8271.0914999999986</v>
      </c>
      <c r="I236" s="356" t="s">
        <v>2178</v>
      </c>
    </row>
    <row r="237" spans="1:9" ht="20.100000000000001" customHeight="1" x14ac:dyDescent="0.2">
      <c r="A237" s="225"/>
      <c r="B237" s="106" t="s">
        <v>2525</v>
      </c>
      <c r="C237" s="798"/>
      <c r="D237" s="810"/>
      <c r="E237" s="127" t="s">
        <v>441</v>
      </c>
      <c r="F237" s="108" t="s">
        <v>271</v>
      </c>
      <c r="G237" s="130">
        <v>73.31</v>
      </c>
      <c r="H237" s="123">
        <f t="shared" si="3"/>
        <v>82.840299999999999</v>
      </c>
      <c r="I237" s="356" t="s">
        <v>2178</v>
      </c>
    </row>
    <row r="238" spans="1:9" ht="20.100000000000001" customHeight="1" x14ac:dyDescent="0.2">
      <c r="A238" s="225"/>
      <c r="B238" s="106" t="s">
        <v>2526</v>
      </c>
      <c r="C238" s="798"/>
      <c r="D238" s="810"/>
      <c r="E238" s="127" t="s">
        <v>468</v>
      </c>
      <c r="F238" s="108" t="s">
        <v>271</v>
      </c>
      <c r="G238" s="130">
        <v>244.29</v>
      </c>
      <c r="H238" s="123">
        <f t="shared" si="3"/>
        <v>276.04769999999996</v>
      </c>
      <c r="I238" s="356" t="s">
        <v>2178</v>
      </c>
    </row>
    <row r="239" spans="1:9" ht="20.100000000000001" customHeight="1" x14ac:dyDescent="0.2">
      <c r="A239" s="225"/>
      <c r="B239" s="106" t="s">
        <v>2303</v>
      </c>
      <c r="C239" s="798"/>
      <c r="D239" s="810"/>
      <c r="E239" s="127" t="s">
        <v>601</v>
      </c>
      <c r="F239" s="108" t="s">
        <v>271</v>
      </c>
      <c r="G239" s="130">
        <v>2852.82</v>
      </c>
      <c r="H239" s="123">
        <f t="shared" si="3"/>
        <v>3223.6866</v>
      </c>
      <c r="I239" s="356" t="s">
        <v>2178</v>
      </c>
    </row>
    <row r="240" spans="1:9" ht="20.100000000000001" customHeight="1" x14ac:dyDescent="0.2">
      <c r="A240" s="225"/>
      <c r="B240" s="106" t="s">
        <v>2304</v>
      </c>
      <c r="C240" s="798"/>
      <c r="D240" s="810"/>
      <c r="E240" s="127" t="s">
        <v>2121</v>
      </c>
      <c r="F240" s="108" t="s">
        <v>271</v>
      </c>
      <c r="G240" s="130">
        <v>2579.19</v>
      </c>
      <c r="H240" s="123">
        <f t="shared" si="3"/>
        <v>2914.4847</v>
      </c>
      <c r="I240" s="356" t="s">
        <v>2178</v>
      </c>
    </row>
    <row r="241" spans="1:9" ht="20.100000000000001" customHeight="1" x14ac:dyDescent="0.2">
      <c r="A241" s="225"/>
      <c r="B241" s="106" t="s">
        <v>3322</v>
      </c>
      <c r="C241" s="798"/>
      <c r="D241" s="810"/>
      <c r="E241" s="127" t="s">
        <v>3327</v>
      </c>
      <c r="F241" s="108" t="s">
        <v>271</v>
      </c>
      <c r="G241" s="130">
        <f>2262.29/1.13</f>
        <v>2002.0265486725666</v>
      </c>
      <c r="H241" s="123">
        <f t="shared" si="3"/>
        <v>2262.29</v>
      </c>
      <c r="I241" s="356" t="s">
        <v>2178</v>
      </c>
    </row>
    <row r="242" spans="1:9" ht="20.100000000000001" customHeight="1" x14ac:dyDescent="0.2">
      <c r="A242" s="357" t="s">
        <v>2493</v>
      </c>
      <c r="B242" s="106" t="s">
        <v>2516</v>
      </c>
      <c r="C242" s="798"/>
      <c r="D242" s="810"/>
      <c r="E242" s="127" t="s">
        <v>599</v>
      </c>
      <c r="F242" s="108" t="s">
        <v>271</v>
      </c>
      <c r="G242" s="130">
        <v>3525</v>
      </c>
      <c r="H242" s="123">
        <f t="shared" si="3"/>
        <v>3983.2499999999995</v>
      </c>
      <c r="I242" s="63"/>
    </row>
    <row r="243" spans="1:9" ht="20.100000000000001" customHeight="1" x14ac:dyDescent="0.2">
      <c r="A243" s="104"/>
      <c r="B243" s="106" t="s">
        <v>2518</v>
      </c>
      <c r="C243" s="798"/>
      <c r="D243" s="810"/>
      <c r="E243" s="127" t="s">
        <v>972</v>
      </c>
      <c r="F243" s="108" t="s">
        <v>271</v>
      </c>
      <c r="G243" s="130">
        <v>16514.62</v>
      </c>
      <c r="H243" s="123">
        <f t="shared" si="3"/>
        <v>18661.520599999996</v>
      </c>
      <c r="I243" s="356" t="s">
        <v>2178</v>
      </c>
    </row>
    <row r="244" spans="1:9" ht="20.100000000000001" customHeight="1" x14ac:dyDescent="0.2">
      <c r="A244" s="225"/>
      <c r="B244" s="106" t="s">
        <v>2490</v>
      </c>
      <c r="C244" s="798"/>
      <c r="D244" s="810"/>
      <c r="E244" s="127" t="s">
        <v>703</v>
      </c>
      <c r="F244" s="108" t="s">
        <v>271</v>
      </c>
      <c r="G244" s="130">
        <v>593</v>
      </c>
      <c r="H244" s="123">
        <f t="shared" si="3"/>
        <v>670.08999999999992</v>
      </c>
      <c r="I244" s="356" t="s">
        <v>2178</v>
      </c>
    </row>
    <row r="245" spans="1:9" ht="20.100000000000001" customHeight="1" x14ac:dyDescent="0.2">
      <c r="A245" s="225"/>
      <c r="B245" s="106" t="s">
        <v>2962</v>
      </c>
      <c r="C245" s="795"/>
      <c r="D245" s="813"/>
      <c r="E245" s="127" t="s">
        <v>2963</v>
      </c>
      <c r="F245" s="108" t="s">
        <v>271</v>
      </c>
      <c r="G245" s="130">
        <v>4928</v>
      </c>
      <c r="H245" s="123">
        <f t="shared" si="3"/>
        <v>5568.6399999999994</v>
      </c>
      <c r="I245" s="356" t="s">
        <v>2178</v>
      </c>
    </row>
    <row r="246" spans="1:9" ht="20.100000000000001" customHeight="1" x14ac:dyDescent="0.2">
      <c r="A246" s="225"/>
      <c r="B246" s="106" t="s">
        <v>2958</v>
      </c>
      <c r="C246" s="798"/>
      <c r="D246" s="810"/>
      <c r="E246" s="127" t="s">
        <v>2966</v>
      </c>
      <c r="F246" s="108" t="s">
        <v>271</v>
      </c>
      <c r="G246" s="130">
        <v>2412.39</v>
      </c>
      <c r="H246" s="123">
        <f t="shared" si="3"/>
        <v>2726.0006999999996</v>
      </c>
      <c r="I246" s="356" t="s">
        <v>2178</v>
      </c>
    </row>
    <row r="247" spans="1:9" ht="20.100000000000001" customHeight="1" x14ac:dyDescent="0.2">
      <c r="A247" s="225"/>
      <c r="B247" s="106" t="s">
        <v>2326</v>
      </c>
      <c r="C247" s="798"/>
      <c r="D247" s="810"/>
      <c r="E247" s="127" t="s">
        <v>807</v>
      </c>
      <c r="F247" s="108" t="s">
        <v>271</v>
      </c>
      <c r="G247" s="130">
        <v>4080</v>
      </c>
      <c r="H247" s="123">
        <f t="shared" si="3"/>
        <v>4610.3999999999996</v>
      </c>
      <c r="I247" s="356" t="s">
        <v>2178</v>
      </c>
    </row>
    <row r="248" spans="1:9" ht="20.100000000000001" customHeight="1" x14ac:dyDescent="0.2">
      <c r="A248" s="225"/>
      <c r="B248" s="106" t="s">
        <v>2955</v>
      </c>
      <c r="C248" s="798"/>
      <c r="D248" s="810"/>
      <c r="E248" s="127" t="s">
        <v>2960</v>
      </c>
      <c r="F248" s="108" t="s">
        <v>271</v>
      </c>
      <c r="G248" s="130">
        <v>59338</v>
      </c>
      <c r="H248" s="123">
        <f t="shared" si="3"/>
        <v>67051.939999999988</v>
      </c>
      <c r="I248" s="356" t="s">
        <v>2178</v>
      </c>
    </row>
    <row r="249" spans="1:9" ht="20.100000000000001" customHeight="1" x14ac:dyDescent="0.2">
      <c r="A249" s="104"/>
      <c r="B249" s="106" t="s">
        <v>2956</v>
      </c>
      <c r="C249" s="798"/>
      <c r="D249" s="810"/>
      <c r="E249" s="127" t="s">
        <v>2961</v>
      </c>
      <c r="F249" s="108" t="s">
        <v>271</v>
      </c>
      <c r="G249" s="130">
        <v>56220.68</v>
      </c>
      <c r="H249" s="123">
        <f t="shared" si="3"/>
        <v>63529.368399999992</v>
      </c>
      <c r="I249" s="356" t="s">
        <v>2178</v>
      </c>
    </row>
    <row r="250" spans="1:9" ht="20.100000000000001" customHeight="1" x14ac:dyDescent="0.2">
      <c r="A250" s="104"/>
      <c r="B250" s="106" t="s">
        <v>2964</v>
      </c>
      <c r="C250" s="798"/>
      <c r="D250" s="810"/>
      <c r="E250" s="127" t="s">
        <v>2965</v>
      </c>
      <c r="F250" s="108" t="s">
        <v>271</v>
      </c>
      <c r="G250" s="130">
        <v>29539.29</v>
      </c>
      <c r="H250" s="123">
        <f t="shared" si="3"/>
        <v>33379.397700000001</v>
      </c>
      <c r="I250" s="356" t="s">
        <v>2178</v>
      </c>
    </row>
    <row r="251" spans="1:9" ht="20.100000000000001" customHeight="1" x14ac:dyDescent="0.2">
      <c r="A251" s="225"/>
      <c r="B251" s="106" t="s">
        <v>2496</v>
      </c>
      <c r="C251" s="798"/>
      <c r="D251" s="810"/>
      <c r="E251" s="127" t="s">
        <v>958</v>
      </c>
      <c r="F251" s="108" t="s">
        <v>271</v>
      </c>
      <c r="G251" s="130">
        <v>21531.4</v>
      </c>
      <c r="H251" s="123">
        <f t="shared" si="3"/>
        <v>24330.482</v>
      </c>
      <c r="I251" s="356" t="s">
        <v>2178</v>
      </c>
    </row>
    <row r="252" spans="1:9" ht="20.100000000000001" customHeight="1" x14ac:dyDescent="0.2">
      <c r="A252" s="225"/>
      <c r="B252" s="106" t="s">
        <v>2295</v>
      </c>
      <c r="C252" s="798"/>
      <c r="D252" s="810"/>
      <c r="E252" s="127" t="s">
        <v>454</v>
      </c>
      <c r="F252" s="108" t="s">
        <v>271</v>
      </c>
      <c r="G252" s="130">
        <v>83.25</v>
      </c>
      <c r="H252" s="123">
        <f t="shared" si="3"/>
        <v>94.072499999999991</v>
      </c>
      <c r="I252" s="356" t="s">
        <v>2178</v>
      </c>
    </row>
    <row r="253" spans="1:9" ht="20.100000000000001" customHeight="1" x14ac:dyDescent="0.2">
      <c r="A253" s="225"/>
      <c r="B253" s="106" t="s">
        <v>2291</v>
      </c>
      <c r="C253" s="798"/>
      <c r="D253" s="810"/>
      <c r="E253" s="127" t="s">
        <v>455</v>
      </c>
      <c r="F253" s="108" t="s">
        <v>271</v>
      </c>
      <c r="G253" s="130">
        <v>105.75</v>
      </c>
      <c r="H253" s="123">
        <f t="shared" si="3"/>
        <v>119.49749999999999</v>
      </c>
      <c r="I253" s="356" t="s">
        <v>2178</v>
      </c>
    </row>
    <row r="254" spans="1:9" ht="20.100000000000001" customHeight="1" x14ac:dyDescent="0.2">
      <c r="A254" s="225"/>
      <c r="B254" s="106" t="s">
        <v>2938</v>
      </c>
      <c r="C254" s="798"/>
      <c r="D254" s="810"/>
      <c r="E254" s="127" t="s">
        <v>2953</v>
      </c>
      <c r="F254" s="108" t="s">
        <v>271</v>
      </c>
      <c r="G254" s="130">
        <v>8788.3700000000008</v>
      </c>
      <c r="H254" s="123">
        <f t="shared" si="3"/>
        <v>9930.8580999999995</v>
      </c>
      <c r="I254" s="356" t="s">
        <v>2178</v>
      </c>
    </row>
    <row r="255" spans="1:9" ht="20.100000000000001" customHeight="1" x14ac:dyDescent="0.2">
      <c r="A255" s="225"/>
      <c r="B255" s="106" t="s">
        <v>2129</v>
      </c>
      <c r="C255" s="798"/>
      <c r="D255" s="810"/>
      <c r="E255" s="127" t="s">
        <v>297</v>
      </c>
      <c r="F255" s="108" t="s">
        <v>271</v>
      </c>
      <c r="G255" s="130">
        <v>16690.27</v>
      </c>
      <c r="H255" s="123">
        <f t="shared" si="3"/>
        <v>18860.005099999998</v>
      </c>
      <c r="I255" s="356" t="s">
        <v>2178</v>
      </c>
    </row>
    <row r="256" spans="1:9" ht="20.100000000000001" customHeight="1" x14ac:dyDescent="0.2">
      <c r="A256" s="225"/>
      <c r="B256" s="106" t="s">
        <v>1936</v>
      </c>
      <c r="C256" s="798"/>
      <c r="D256" s="810"/>
      <c r="E256" s="127" t="s">
        <v>487</v>
      </c>
      <c r="F256" s="108" t="s">
        <v>488</v>
      </c>
      <c r="G256" s="130">
        <v>4200.72</v>
      </c>
      <c r="H256" s="123">
        <f t="shared" si="3"/>
        <v>4746.8135999999995</v>
      </c>
      <c r="I256" s="356" t="s">
        <v>2178</v>
      </c>
    </row>
    <row r="257" spans="1:9" ht="20.100000000000001" customHeight="1" x14ac:dyDescent="0.2">
      <c r="A257" s="225"/>
      <c r="B257" s="106" t="s">
        <v>1936</v>
      </c>
      <c r="C257" s="798"/>
      <c r="D257" s="810"/>
      <c r="E257" s="127" t="s">
        <v>487</v>
      </c>
      <c r="F257" s="108" t="s">
        <v>488</v>
      </c>
      <c r="G257" s="130">
        <v>4814.16</v>
      </c>
      <c r="H257" s="123">
        <f t="shared" si="3"/>
        <v>5440.0007999999989</v>
      </c>
      <c r="I257" s="356" t="s">
        <v>2178</v>
      </c>
    </row>
    <row r="258" spans="1:9" ht="20.100000000000001" customHeight="1" x14ac:dyDescent="0.2">
      <c r="A258" s="225"/>
      <c r="B258" s="106" t="s">
        <v>2864</v>
      </c>
      <c r="C258" s="798"/>
      <c r="D258" s="810"/>
      <c r="E258" s="127" t="s">
        <v>489</v>
      </c>
      <c r="F258" s="108" t="s">
        <v>488</v>
      </c>
      <c r="G258" s="130">
        <v>4332.74</v>
      </c>
      <c r="H258" s="123">
        <f t="shared" si="3"/>
        <v>4895.9961999999996</v>
      </c>
      <c r="I258" s="356" t="s">
        <v>2178</v>
      </c>
    </row>
    <row r="259" spans="1:9" ht="20.100000000000001" customHeight="1" x14ac:dyDescent="0.2">
      <c r="A259" s="225"/>
      <c r="B259" s="106" t="s">
        <v>2200</v>
      </c>
      <c r="C259" s="798"/>
      <c r="D259" s="810"/>
      <c r="E259" s="127" t="s">
        <v>950</v>
      </c>
      <c r="F259" s="108" t="s">
        <v>271</v>
      </c>
      <c r="G259" s="130">
        <v>11017.7</v>
      </c>
      <c r="H259" s="123">
        <f t="shared" si="3"/>
        <v>12450.001</v>
      </c>
      <c r="I259" s="356" t="s">
        <v>2178</v>
      </c>
    </row>
    <row r="260" spans="1:9" ht="20.100000000000001" customHeight="1" x14ac:dyDescent="0.2">
      <c r="A260" s="225"/>
      <c r="B260" s="106" t="s">
        <v>2286</v>
      </c>
      <c r="C260" s="798"/>
      <c r="D260" s="810"/>
      <c r="E260" s="127" t="s">
        <v>2865</v>
      </c>
      <c r="F260" s="108" t="s">
        <v>659</v>
      </c>
      <c r="G260" s="130">
        <v>5163.72</v>
      </c>
      <c r="H260" s="123">
        <f t="shared" si="3"/>
        <v>5835.0036</v>
      </c>
      <c r="I260" s="356" t="s">
        <v>2178</v>
      </c>
    </row>
    <row r="261" spans="1:9" ht="20.100000000000001" customHeight="1" x14ac:dyDescent="0.2">
      <c r="A261" s="225"/>
      <c r="B261" s="106" t="s">
        <v>2286</v>
      </c>
      <c r="C261" s="798"/>
      <c r="D261" s="810"/>
      <c r="E261" s="127" t="s">
        <v>2865</v>
      </c>
      <c r="F261" s="108" t="s">
        <v>646</v>
      </c>
      <c r="G261" s="130">
        <v>7302.52</v>
      </c>
      <c r="H261" s="123">
        <f t="shared" si="3"/>
        <v>8251.8475999999991</v>
      </c>
      <c r="I261" s="356" t="s">
        <v>2178</v>
      </c>
    </row>
    <row r="262" spans="1:9" ht="20.100000000000001" customHeight="1" x14ac:dyDescent="0.2">
      <c r="A262" s="357" t="s">
        <v>2502</v>
      </c>
      <c r="B262" s="106" t="s">
        <v>2866</v>
      </c>
      <c r="C262" s="798"/>
      <c r="D262" s="810"/>
      <c r="E262" s="127" t="s">
        <v>660</v>
      </c>
      <c r="F262" s="108" t="s">
        <v>282</v>
      </c>
      <c r="G262" s="130">
        <v>16535.3982</v>
      </c>
      <c r="H262" s="123">
        <f t="shared" si="3"/>
        <v>18684.999965999999</v>
      </c>
      <c r="I262" s="63"/>
    </row>
    <row r="263" spans="1:9" ht="20.100000000000001" customHeight="1" x14ac:dyDescent="0.2">
      <c r="A263" s="357" t="s">
        <v>2503</v>
      </c>
      <c r="B263" s="106" t="s">
        <v>3007</v>
      </c>
      <c r="C263" s="798"/>
      <c r="D263" s="810"/>
      <c r="E263" s="127" t="s">
        <v>3008</v>
      </c>
      <c r="F263" s="108" t="s">
        <v>1411</v>
      </c>
      <c r="G263" s="130">
        <f>130410.132/20</f>
        <v>6520.5065999999997</v>
      </c>
      <c r="H263" s="123">
        <f t="shared" si="3"/>
        <v>7368.1724579999991</v>
      </c>
      <c r="I263" s="63"/>
    </row>
    <row r="264" spans="1:9" ht="20.100000000000001" customHeight="1" x14ac:dyDescent="0.2">
      <c r="A264" s="225"/>
      <c r="B264" s="106" t="s">
        <v>2867</v>
      </c>
      <c r="C264" s="798"/>
      <c r="D264" s="810"/>
      <c r="E264" s="127" t="s">
        <v>661</v>
      </c>
      <c r="F264" s="108" t="s">
        <v>271</v>
      </c>
      <c r="G264" s="130">
        <v>2212.39</v>
      </c>
      <c r="H264" s="123">
        <f t="shared" si="3"/>
        <v>2500.0006999999996</v>
      </c>
      <c r="I264" s="356" t="s">
        <v>2178</v>
      </c>
    </row>
    <row r="265" spans="1:9" ht="20.100000000000001" customHeight="1" x14ac:dyDescent="0.2">
      <c r="A265" s="225"/>
      <c r="B265" s="106" t="s">
        <v>2250</v>
      </c>
      <c r="C265" s="798"/>
      <c r="D265" s="810"/>
      <c r="E265" s="127" t="s">
        <v>734</v>
      </c>
      <c r="F265" s="108" t="s">
        <v>271</v>
      </c>
      <c r="G265" s="130">
        <v>6172.5663999999997</v>
      </c>
      <c r="H265" s="123">
        <f t="shared" si="3"/>
        <v>6975.000031999999</v>
      </c>
      <c r="I265" s="356" t="s">
        <v>2178</v>
      </c>
    </row>
    <row r="266" spans="1:9" ht="30" customHeight="1" x14ac:dyDescent="0.2">
      <c r="A266" s="225"/>
      <c r="B266" s="260" t="s">
        <v>2130</v>
      </c>
      <c r="C266" s="798"/>
      <c r="D266" s="810"/>
      <c r="E266" s="127" t="s">
        <v>2868</v>
      </c>
      <c r="F266" s="108" t="s">
        <v>271</v>
      </c>
      <c r="G266" s="130">
        <v>4307.3100000000004</v>
      </c>
      <c r="H266" s="123">
        <f t="shared" si="3"/>
        <v>4867.2602999999999</v>
      </c>
      <c r="I266" s="356" t="s">
        <v>2178</v>
      </c>
    </row>
    <row r="267" spans="1:9" ht="20.100000000000001" customHeight="1" x14ac:dyDescent="0.2">
      <c r="A267" s="225"/>
      <c r="B267" s="106" t="s">
        <v>2238</v>
      </c>
      <c r="C267" s="798"/>
      <c r="D267" s="810"/>
      <c r="E267" s="127" t="s">
        <v>745</v>
      </c>
      <c r="F267" s="108" t="s">
        <v>271</v>
      </c>
      <c r="G267" s="130">
        <v>2512.83</v>
      </c>
      <c r="H267" s="123">
        <f t="shared" si="3"/>
        <v>2839.4978999999998</v>
      </c>
      <c r="I267" s="356" t="s">
        <v>2178</v>
      </c>
    </row>
    <row r="268" spans="1:9" ht="20.100000000000001" customHeight="1" x14ac:dyDescent="0.2">
      <c r="A268" s="225"/>
      <c r="B268" s="106" t="s">
        <v>2262</v>
      </c>
      <c r="C268" s="798"/>
      <c r="D268" s="810"/>
      <c r="E268" s="127" t="s">
        <v>747</v>
      </c>
      <c r="F268" s="108" t="s">
        <v>271</v>
      </c>
      <c r="G268" s="130">
        <v>4013.2743</v>
      </c>
      <c r="H268" s="123">
        <f t="shared" ref="H268:H331" si="4">+G268*1.13</f>
        <v>4534.9999589999998</v>
      </c>
      <c r="I268" s="356" t="s">
        <v>2178</v>
      </c>
    </row>
    <row r="269" spans="1:9" ht="20.100000000000001" customHeight="1" x14ac:dyDescent="0.2">
      <c r="A269" s="368"/>
      <c r="B269" s="260" t="s">
        <v>2654</v>
      </c>
      <c r="C269" s="798"/>
      <c r="D269" s="810"/>
      <c r="E269" s="261" t="s">
        <v>2655</v>
      </c>
      <c r="F269" s="262" t="s">
        <v>1466</v>
      </c>
      <c r="G269" s="130">
        <v>1550</v>
      </c>
      <c r="H269" s="123">
        <f t="shared" si="4"/>
        <v>1751.4999999999998</v>
      </c>
      <c r="I269" s="356" t="s">
        <v>2178</v>
      </c>
    </row>
    <row r="270" spans="1:9" ht="20.100000000000001" customHeight="1" x14ac:dyDescent="0.2">
      <c r="A270" s="225"/>
      <c r="B270" s="106" t="s">
        <v>2253</v>
      </c>
      <c r="C270" s="798"/>
      <c r="D270" s="810"/>
      <c r="E270" s="127" t="s">
        <v>2133</v>
      </c>
      <c r="F270" s="108" t="s">
        <v>377</v>
      </c>
      <c r="G270" s="130">
        <v>420.97</v>
      </c>
      <c r="H270" s="123">
        <f t="shared" si="4"/>
        <v>475.6961</v>
      </c>
      <c r="I270" s="356" t="s">
        <v>2178</v>
      </c>
    </row>
    <row r="271" spans="1:9" ht="20.100000000000001" customHeight="1" x14ac:dyDescent="0.2">
      <c r="A271" s="104"/>
      <c r="B271" s="106" t="s">
        <v>2132</v>
      </c>
      <c r="C271" s="798"/>
      <c r="D271" s="810"/>
      <c r="E271" s="127" t="s">
        <v>2459</v>
      </c>
      <c r="F271" s="108" t="s">
        <v>893</v>
      </c>
      <c r="G271" s="130">
        <v>5637.5</v>
      </c>
      <c r="H271" s="123">
        <f t="shared" si="4"/>
        <v>6370.3749999999991</v>
      </c>
      <c r="I271" s="356" t="s">
        <v>2178</v>
      </c>
    </row>
    <row r="272" spans="1:9" ht="20.100000000000001" customHeight="1" x14ac:dyDescent="0.2">
      <c r="A272" s="225"/>
      <c r="B272" s="106" t="s">
        <v>2132</v>
      </c>
      <c r="C272" s="798"/>
      <c r="D272" s="810"/>
      <c r="E272" s="127" t="s">
        <v>2459</v>
      </c>
      <c r="F272" s="108" t="s">
        <v>377</v>
      </c>
      <c r="G272" s="130">
        <v>5231.45</v>
      </c>
      <c r="H272" s="123">
        <f t="shared" si="4"/>
        <v>5911.5384999999997</v>
      </c>
      <c r="I272" s="356" t="s">
        <v>2178</v>
      </c>
    </row>
    <row r="273" spans="1:9" ht="20.100000000000001" customHeight="1" x14ac:dyDescent="0.2">
      <c r="A273" s="225"/>
      <c r="B273" s="106" t="s">
        <v>2554</v>
      </c>
      <c r="C273" s="798"/>
      <c r="D273" s="810"/>
      <c r="E273" s="127" t="s">
        <v>412</v>
      </c>
      <c r="F273" s="108" t="s">
        <v>276</v>
      </c>
      <c r="G273" s="130">
        <v>785.58</v>
      </c>
      <c r="H273" s="123">
        <f t="shared" si="4"/>
        <v>887.70539999999994</v>
      </c>
      <c r="I273" s="356" t="s">
        <v>2178</v>
      </c>
    </row>
    <row r="274" spans="1:9" ht="20.100000000000001" customHeight="1" x14ac:dyDescent="0.2">
      <c r="A274" s="357" t="s">
        <v>2512</v>
      </c>
      <c r="B274" s="106" t="s">
        <v>2555</v>
      </c>
      <c r="C274" s="798"/>
      <c r="D274" s="810"/>
      <c r="E274" s="127" t="s">
        <v>413</v>
      </c>
      <c r="F274" s="108" t="s">
        <v>276</v>
      </c>
      <c r="G274" s="381">
        <v>683.52</v>
      </c>
      <c r="H274" s="123">
        <f t="shared" si="4"/>
        <v>772.37759999999992</v>
      </c>
      <c r="I274" s="356" t="s">
        <v>2178</v>
      </c>
    </row>
    <row r="275" spans="1:9" ht="20.100000000000001" customHeight="1" x14ac:dyDescent="0.2">
      <c r="A275" s="225"/>
      <c r="B275" s="106" t="s">
        <v>2222</v>
      </c>
      <c r="C275" s="798"/>
      <c r="D275" s="810"/>
      <c r="E275" s="127" t="s">
        <v>2460</v>
      </c>
      <c r="F275" s="108" t="s">
        <v>893</v>
      </c>
      <c r="G275" s="130">
        <v>1875</v>
      </c>
      <c r="H275" s="123">
        <f t="shared" si="4"/>
        <v>2118.75</v>
      </c>
      <c r="I275" s="356" t="s">
        <v>2178</v>
      </c>
    </row>
    <row r="276" spans="1:9" ht="20.100000000000001" customHeight="1" x14ac:dyDescent="0.2">
      <c r="A276" s="104"/>
      <c r="B276" s="106" t="s">
        <v>2222</v>
      </c>
      <c r="C276" s="798"/>
      <c r="D276" s="810"/>
      <c r="E276" s="127" t="s">
        <v>2460</v>
      </c>
      <c r="F276" s="108" t="s">
        <v>377</v>
      </c>
      <c r="G276" s="381">
        <v>367.82</v>
      </c>
      <c r="H276" s="123">
        <f t="shared" si="4"/>
        <v>415.63659999999993</v>
      </c>
      <c r="I276" s="356" t="s">
        <v>2178</v>
      </c>
    </row>
    <row r="277" spans="1:9" ht="20.100000000000001" customHeight="1" x14ac:dyDescent="0.2">
      <c r="A277" s="225"/>
      <c r="B277" s="106" t="s">
        <v>2600</v>
      </c>
      <c r="C277" s="798"/>
      <c r="D277" s="810"/>
      <c r="E277" s="127" t="s">
        <v>810</v>
      </c>
      <c r="F277" s="108" t="s">
        <v>271</v>
      </c>
      <c r="G277" s="130">
        <v>4.8673000000000002</v>
      </c>
      <c r="H277" s="123">
        <f t="shared" si="4"/>
        <v>5.5000489999999997</v>
      </c>
      <c r="I277" s="356" t="s">
        <v>2178</v>
      </c>
    </row>
    <row r="278" spans="1:9" ht="20.100000000000001" customHeight="1" x14ac:dyDescent="0.2">
      <c r="A278" s="225"/>
      <c r="B278" s="106" t="s">
        <v>3280</v>
      </c>
      <c r="C278" s="798"/>
      <c r="D278" s="810"/>
      <c r="E278" s="127" t="s">
        <v>3283</v>
      </c>
      <c r="F278" s="108" t="s">
        <v>271</v>
      </c>
      <c r="G278" s="130">
        <f>14.5/1.13</f>
        <v>12.831858407079647</v>
      </c>
      <c r="H278" s="123">
        <f t="shared" si="4"/>
        <v>14.5</v>
      </c>
      <c r="I278" s="356" t="s">
        <v>2178</v>
      </c>
    </row>
    <row r="279" spans="1:9" ht="20.100000000000001" customHeight="1" x14ac:dyDescent="0.2">
      <c r="A279" s="368"/>
      <c r="B279" s="106" t="s">
        <v>2205</v>
      </c>
      <c r="C279" s="798"/>
      <c r="D279" s="810"/>
      <c r="E279" s="127" t="s">
        <v>811</v>
      </c>
      <c r="F279" s="108" t="s">
        <v>271</v>
      </c>
      <c r="G279" s="130">
        <v>121.33</v>
      </c>
      <c r="H279" s="123">
        <f t="shared" si="4"/>
        <v>137.10289999999998</v>
      </c>
      <c r="I279" s="356" t="s">
        <v>2178</v>
      </c>
    </row>
    <row r="280" spans="1:9" ht="20.100000000000001" customHeight="1" x14ac:dyDescent="0.2">
      <c r="A280" s="225"/>
      <c r="B280" s="106" t="s">
        <v>2468</v>
      </c>
      <c r="C280" s="798"/>
      <c r="D280" s="810"/>
      <c r="E280" s="127" t="s">
        <v>812</v>
      </c>
      <c r="F280" s="108" t="s">
        <v>271</v>
      </c>
      <c r="G280" s="130">
        <v>10.4</v>
      </c>
      <c r="H280" s="123">
        <f t="shared" si="4"/>
        <v>11.751999999999999</v>
      </c>
      <c r="I280" s="356" t="s">
        <v>2178</v>
      </c>
    </row>
    <row r="281" spans="1:9" ht="20.100000000000001" customHeight="1" x14ac:dyDescent="0.2">
      <c r="A281" s="225"/>
      <c r="B281" s="106" t="s">
        <v>1971</v>
      </c>
      <c r="C281" s="798"/>
      <c r="D281" s="810"/>
      <c r="E281" s="127" t="s">
        <v>813</v>
      </c>
      <c r="F281" s="108" t="s">
        <v>271</v>
      </c>
      <c r="G281" s="130">
        <v>14.0623</v>
      </c>
      <c r="H281" s="123">
        <f t="shared" si="4"/>
        <v>15.890398999999999</v>
      </c>
      <c r="I281" s="356" t="s">
        <v>2178</v>
      </c>
    </row>
    <row r="282" spans="1:9" ht="20.100000000000001" customHeight="1" x14ac:dyDescent="0.2">
      <c r="A282" s="225"/>
      <c r="B282" s="106" t="s">
        <v>2248</v>
      </c>
      <c r="C282" s="798"/>
      <c r="D282" s="810"/>
      <c r="E282" s="127" t="s">
        <v>815</v>
      </c>
      <c r="F282" s="108" t="s">
        <v>271</v>
      </c>
      <c r="G282" s="130">
        <v>9.65</v>
      </c>
      <c r="H282" s="123">
        <f t="shared" si="4"/>
        <v>10.904499999999999</v>
      </c>
      <c r="I282" s="356" t="s">
        <v>2178</v>
      </c>
    </row>
    <row r="283" spans="1:9" ht="20.100000000000001" customHeight="1" x14ac:dyDescent="0.2">
      <c r="A283" s="225"/>
      <c r="B283" s="106" t="s">
        <v>3324</v>
      </c>
      <c r="C283" s="798"/>
      <c r="D283" s="810"/>
      <c r="E283" s="127" t="s">
        <v>3325</v>
      </c>
      <c r="F283" s="108" t="s">
        <v>271</v>
      </c>
      <c r="G283" s="130">
        <f>83.3333333333333/1.13</f>
        <v>73.746312684365762</v>
      </c>
      <c r="H283" s="123">
        <f t="shared" si="4"/>
        <v>83.3333333333333</v>
      </c>
      <c r="I283" s="356" t="s">
        <v>2178</v>
      </c>
    </row>
    <row r="284" spans="1:9" ht="20.100000000000001" customHeight="1" x14ac:dyDescent="0.2">
      <c r="A284" s="225"/>
      <c r="B284" s="106" t="s">
        <v>2670</v>
      </c>
      <c r="C284" s="798"/>
      <c r="D284" s="810"/>
      <c r="E284" s="127" t="s">
        <v>816</v>
      </c>
      <c r="F284" s="108" t="s">
        <v>271</v>
      </c>
      <c r="G284" s="130">
        <v>60</v>
      </c>
      <c r="H284" s="123">
        <f t="shared" si="4"/>
        <v>67.8</v>
      </c>
      <c r="I284" s="63"/>
    </row>
    <row r="285" spans="1:9" ht="20.100000000000001" customHeight="1" x14ac:dyDescent="0.2">
      <c r="A285" s="357" t="s">
        <v>2517</v>
      </c>
      <c r="B285" s="106" t="s">
        <v>2674</v>
      </c>
      <c r="C285" s="798"/>
      <c r="D285" s="810"/>
      <c r="E285" s="127" t="s">
        <v>916</v>
      </c>
      <c r="F285" s="108" t="s">
        <v>271</v>
      </c>
      <c r="G285" s="130">
        <v>9</v>
      </c>
      <c r="H285" s="123">
        <f t="shared" si="4"/>
        <v>10.169999999999998</v>
      </c>
      <c r="I285" s="63"/>
    </row>
    <row r="286" spans="1:9" ht="20.100000000000001" customHeight="1" x14ac:dyDescent="0.2">
      <c r="A286" s="225"/>
      <c r="B286" s="106" t="s">
        <v>2669</v>
      </c>
      <c r="C286" s="798"/>
      <c r="D286" s="810"/>
      <c r="E286" s="127" t="s">
        <v>818</v>
      </c>
      <c r="F286" s="108" t="s">
        <v>271</v>
      </c>
      <c r="G286" s="130">
        <v>27</v>
      </c>
      <c r="H286" s="123">
        <f t="shared" si="4"/>
        <v>30.509999999999998</v>
      </c>
      <c r="I286" s="356" t="s">
        <v>2178</v>
      </c>
    </row>
    <row r="287" spans="1:9" ht="20.100000000000001" customHeight="1" x14ac:dyDescent="0.2">
      <c r="A287" s="225"/>
      <c r="B287" s="106" t="s">
        <v>2657</v>
      </c>
      <c r="C287" s="798"/>
      <c r="D287" s="810"/>
      <c r="E287" s="127" t="s">
        <v>819</v>
      </c>
      <c r="F287" s="108" t="s">
        <v>271</v>
      </c>
      <c r="G287" s="130">
        <v>6.27</v>
      </c>
      <c r="H287" s="123">
        <f t="shared" si="4"/>
        <v>7.0850999999999988</v>
      </c>
      <c r="I287" s="356" t="s">
        <v>2178</v>
      </c>
    </row>
    <row r="288" spans="1:9" ht="20.100000000000001" customHeight="1" x14ac:dyDescent="0.2">
      <c r="A288" s="104"/>
      <c r="B288" s="106" t="s">
        <v>2667</v>
      </c>
      <c r="C288" s="795"/>
      <c r="D288" s="813"/>
      <c r="E288" s="127" t="s">
        <v>2107</v>
      </c>
      <c r="F288" s="108" t="s">
        <v>271</v>
      </c>
      <c r="G288" s="130">
        <v>23.65</v>
      </c>
      <c r="H288" s="123">
        <f t="shared" si="4"/>
        <v>26.724499999999995</v>
      </c>
      <c r="I288" s="356" t="s">
        <v>2178</v>
      </c>
    </row>
    <row r="289" spans="1:9" ht="20.100000000000001" customHeight="1" x14ac:dyDescent="0.2">
      <c r="A289" s="225"/>
      <c r="B289" s="106" t="s">
        <v>2656</v>
      </c>
      <c r="C289" s="798"/>
      <c r="D289" s="810"/>
      <c r="E289" s="127" t="s">
        <v>820</v>
      </c>
      <c r="F289" s="108" t="s">
        <v>271</v>
      </c>
      <c r="G289" s="130">
        <v>9.65</v>
      </c>
      <c r="H289" s="123">
        <f t="shared" si="4"/>
        <v>10.904499999999999</v>
      </c>
      <c r="I289" s="356" t="s">
        <v>2178</v>
      </c>
    </row>
    <row r="290" spans="1:9" ht="20.100000000000001" customHeight="1" x14ac:dyDescent="0.2">
      <c r="A290" s="104"/>
      <c r="B290" s="106" t="s">
        <v>2668</v>
      </c>
      <c r="C290" s="798"/>
      <c r="D290" s="810"/>
      <c r="E290" s="127" t="s">
        <v>821</v>
      </c>
      <c r="F290" s="108" t="s">
        <v>271</v>
      </c>
      <c r="G290" s="130">
        <v>4.82</v>
      </c>
      <c r="H290" s="123">
        <f t="shared" si="4"/>
        <v>5.4466000000000001</v>
      </c>
      <c r="I290" s="356" t="s">
        <v>2178</v>
      </c>
    </row>
    <row r="291" spans="1:9" ht="20.100000000000001" customHeight="1" x14ac:dyDescent="0.2">
      <c r="A291" s="225"/>
      <c r="B291" s="106" t="s">
        <v>2630</v>
      </c>
      <c r="C291" s="798"/>
      <c r="D291" s="810"/>
      <c r="E291" s="127" t="s">
        <v>822</v>
      </c>
      <c r="F291" s="108" t="s">
        <v>271</v>
      </c>
      <c r="G291" s="130">
        <v>7.83</v>
      </c>
      <c r="H291" s="123">
        <f t="shared" si="4"/>
        <v>8.8478999999999992</v>
      </c>
      <c r="I291" s="356" t="s">
        <v>2178</v>
      </c>
    </row>
    <row r="292" spans="1:9" ht="20.100000000000001" customHeight="1" x14ac:dyDescent="0.2">
      <c r="A292" s="225"/>
      <c r="B292" s="106" t="s">
        <v>2204</v>
      </c>
      <c r="C292" s="798"/>
      <c r="D292" s="810"/>
      <c r="E292" s="117" t="s">
        <v>979</v>
      </c>
      <c r="F292" s="108" t="s">
        <v>271</v>
      </c>
      <c r="G292" s="130">
        <v>60</v>
      </c>
      <c r="H292" s="123">
        <f t="shared" si="4"/>
        <v>67.8</v>
      </c>
      <c r="I292" s="356" t="s">
        <v>2178</v>
      </c>
    </row>
    <row r="293" spans="1:9" ht="20.100000000000001" customHeight="1" x14ac:dyDescent="0.2">
      <c r="A293" s="225"/>
      <c r="B293" s="106" t="s">
        <v>2601</v>
      </c>
      <c r="C293" s="798"/>
      <c r="D293" s="810"/>
      <c r="E293" s="127" t="s">
        <v>823</v>
      </c>
      <c r="F293" s="108" t="s">
        <v>271</v>
      </c>
      <c r="G293" s="130">
        <v>77.876999999999995</v>
      </c>
      <c r="H293" s="123">
        <f t="shared" si="4"/>
        <v>88.00100999999998</v>
      </c>
      <c r="I293" s="356" t="s">
        <v>2178</v>
      </c>
    </row>
    <row r="294" spans="1:9" ht="20.100000000000001" customHeight="1" x14ac:dyDescent="0.2">
      <c r="A294" s="225"/>
      <c r="B294" s="106" t="s">
        <v>2208</v>
      </c>
      <c r="C294" s="798"/>
      <c r="D294" s="810"/>
      <c r="E294" s="127" t="s">
        <v>824</v>
      </c>
      <c r="F294" s="108" t="s">
        <v>271</v>
      </c>
      <c r="G294" s="130">
        <v>5.2</v>
      </c>
      <c r="H294" s="123">
        <f t="shared" si="4"/>
        <v>5.8759999999999994</v>
      </c>
      <c r="I294" s="356" t="s">
        <v>2178</v>
      </c>
    </row>
    <row r="295" spans="1:9" ht="20.100000000000001" customHeight="1" x14ac:dyDescent="0.2">
      <c r="A295" s="104"/>
      <c r="B295" s="106" t="s">
        <v>2603</v>
      </c>
      <c r="C295" s="798"/>
      <c r="D295" s="810"/>
      <c r="E295" s="127" t="s">
        <v>976</v>
      </c>
      <c r="F295" s="108" t="s">
        <v>271</v>
      </c>
      <c r="G295" s="130">
        <v>31.43</v>
      </c>
      <c r="H295" s="123">
        <f t="shared" si="4"/>
        <v>35.515899999999995</v>
      </c>
      <c r="I295" s="356" t="s">
        <v>2178</v>
      </c>
    </row>
    <row r="296" spans="1:9" ht="20.100000000000001" customHeight="1" x14ac:dyDescent="0.2">
      <c r="A296" s="104"/>
      <c r="B296" s="106" t="s">
        <v>2602</v>
      </c>
      <c r="C296" s="798"/>
      <c r="D296" s="810"/>
      <c r="E296" s="127" t="s">
        <v>825</v>
      </c>
      <c r="F296" s="108" t="s">
        <v>271</v>
      </c>
      <c r="G296" s="130">
        <v>4.1399999999999997</v>
      </c>
      <c r="H296" s="123">
        <f t="shared" si="4"/>
        <v>4.6781999999999995</v>
      </c>
      <c r="I296" s="356" t="s">
        <v>2178</v>
      </c>
    </row>
    <row r="297" spans="1:9" ht="20.100000000000001" customHeight="1" x14ac:dyDescent="0.2">
      <c r="A297" s="225"/>
      <c r="B297" s="106" t="s">
        <v>2535</v>
      </c>
      <c r="C297" s="798"/>
      <c r="D297" s="810"/>
      <c r="E297" s="127" t="s">
        <v>826</v>
      </c>
      <c r="F297" s="108" t="s">
        <v>271</v>
      </c>
      <c r="G297" s="130">
        <v>3.33</v>
      </c>
      <c r="H297" s="123">
        <f t="shared" si="4"/>
        <v>3.7628999999999997</v>
      </c>
      <c r="I297" s="356" t="s">
        <v>2178</v>
      </c>
    </row>
    <row r="298" spans="1:9" ht="20.100000000000001" customHeight="1" x14ac:dyDescent="0.2">
      <c r="A298" s="104"/>
      <c r="B298" s="106" t="s">
        <v>2203</v>
      </c>
      <c r="C298" s="798"/>
      <c r="D298" s="810"/>
      <c r="E298" s="127" t="s">
        <v>828</v>
      </c>
      <c r="F298" s="108" t="s">
        <v>271</v>
      </c>
      <c r="G298" s="130">
        <v>3.47</v>
      </c>
      <c r="H298" s="123">
        <f t="shared" si="4"/>
        <v>3.9211</v>
      </c>
      <c r="I298" s="356" t="s">
        <v>2178</v>
      </c>
    </row>
    <row r="299" spans="1:9" ht="20.100000000000001" customHeight="1" x14ac:dyDescent="0.2">
      <c r="A299" s="225"/>
      <c r="B299" s="106" t="s">
        <v>2604</v>
      </c>
      <c r="C299" s="798"/>
      <c r="D299" s="810"/>
      <c r="E299" s="127" t="s">
        <v>2605</v>
      </c>
      <c r="F299" s="108" t="s">
        <v>271</v>
      </c>
      <c r="G299" s="130">
        <v>138.07</v>
      </c>
      <c r="H299" s="123">
        <f t="shared" si="4"/>
        <v>156.01909999999998</v>
      </c>
      <c r="I299" s="356" t="s">
        <v>2178</v>
      </c>
    </row>
    <row r="300" spans="1:9" ht="20.100000000000001" customHeight="1" x14ac:dyDescent="0.2">
      <c r="A300" s="225"/>
      <c r="B300" s="106" t="s">
        <v>2215</v>
      </c>
      <c r="C300" s="798"/>
      <c r="D300" s="810"/>
      <c r="E300" s="127" t="s">
        <v>2536</v>
      </c>
      <c r="F300" s="108" t="s">
        <v>271</v>
      </c>
      <c r="G300" s="130">
        <v>3.69</v>
      </c>
      <c r="H300" s="123">
        <f t="shared" si="4"/>
        <v>4.1696999999999997</v>
      </c>
      <c r="I300" s="356" t="s">
        <v>2178</v>
      </c>
    </row>
    <row r="301" spans="1:9" ht="20.100000000000001" customHeight="1" x14ac:dyDescent="0.2">
      <c r="A301" s="225"/>
      <c r="B301" s="106" t="s">
        <v>2092</v>
      </c>
      <c r="C301" s="798"/>
      <c r="D301" s="810"/>
      <c r="E301" s="127" t="s">
        <v>2537</v>
      </c>
      <c r="F301" s="108" t="s">
        <v>271</v>
      </c>
      <c r="G301" s="130">
        <v>5.13</v>
      </c>
      <c r="H301" s="123">
        <f t="shared" si="4"/>
        <v>5.7968999999999991</v>
      </c>
      <c r="I301" s="356" t="s">
        <v>2178</v>
      </c>
    </row>
    <row r="302" spans="1:9" ht="20.100000000000001" customHeight="1" x14ac:dyDescent="0.2">
      <c r="A302" s="104"/>
      <c r="B302" s="106" t="s">
        <v>2606</v>
      </c>
      <c r="C302" s="798"/>
      <c r="D302" s="810"/>
      <c r="E302" s="127" t="s">
        <v>830</v>
      </c>
      <c r="F302" s="108" t="s">
        <v>271</v>
      </c>
      <c r="G302" s="130">
        <v>9.65</v>
      </c>
      <c r="H302" s="123">
        <f t="shared" si="4"/>
        <v>10.904499999999999</v>
      </c>
      <c r="I302" s="356" t="s">
        <v>2178</v>
      </c>
    </row>
    <row r="303" spans="1:9" ht="20.100000000000001" customHeight="1" x14ac:dyDescent="0.2">
      <c r="A303" s="225"/>
      <c r="B303" s="106" t="s">
        <v>2183</v>
      </c>
      <c r="C303" s="798"/>
      <c r="D303" s="810"/>
      <c r="E303" s="127" t="s">
        <v>278</v>
      </c>
      <c r="F303" s="108" t="s">
        <v>279</v>
      </c>
      <c r="G303" s="130">
        <v>2486.5300000000002</v>
      </c>
      <c r="H303" s="123">
        <f t="shared" si="4"/>
        <v>2809.7788999999998</v>
      </c>
      <c r="I303" s="356" t="s">
        <v>2178</v>
      </c>
    </row>
    <row r="304" spans="1:9" ht="20.100000000000001" customHeight="1" x14ac:dyDescent="0.2">
      <c r="A304" s="104"/>
      <c r="B304" s="106" t="s">
        <v>2644</v>
      </c>
      <c r="C304" s="798"/>
      <c r="D304" s="810"/>
      <c r="E304" s="127" t="s">
        <v>281</v>
      </c>
      <c r="F304" s="108" t="s">
        <v>282</v>
      </c>
      <c r="G304" s="130">
        <v>1858.82</v>
      </c>
      <c r="H304" s="123">
        <f t="shared" si="4"/>
        <v>2100.4665999999997</v>
      </c>
      <c r="I304" s="356" t="s">
        <v>2178</v>
      </c>
    </row>
    <row r="305" spans="1:9" ht="20.100000000000001" customHeight="1" x14ac:dyDescent="0.2">
      <c r="A305" s="368"/>
      <c r="B305" s="106" t="s">
        <v>2548</v>
      </c>
      <c r="C305" s="798"/>
      <c r="D305" s="810"/>
      <c r="E305" s="127" t="s">
        <v>283</v>
      </c>
      <c r="F305" s="108" t="s">
        <v>271</v>
      </c>
      <c r="G305" s="130">
        <v>2996</v>
      </c>
      <c r="H305" s="123">
        <f t="shared" si="4"/>
        <v>3385.4799999999996</v>
      </c>
      <c r="I305" s="356" t="s">
        <v>2178</v>
      </c>
    </row>
    <row r="306" spans="1:9" ht="20.100000000000001" customHeight="1" x14ac:dyDescent="0.2">
      <c r="A306" s="225"/>
      <c r="B306" s="106" t="s">
        <v>2635</v>
      </c>
      <c r="C306" s="798"/>
      <c r="D306" s="810"/>
      <c r="E306" s="127" t="s">
        <v>2636</v>
      </c>
      <c r="F306" s="108" t="s">
        <v>271</v>
      </c>
      <c r="G306" s="130">
        <v>1789.0833</v>
      </c>
      <c r="H306" s="123">
        <f t="shared" si="4"/>
        <v>2021.6641289999998</v>
      </c>
      <c r="I306" s="356" t="s">
        <v>2178</v>
      </c>
    </row>
    <row r="307" spans="1:9" ht="20.100000000000001" customHeight="1" x14ac:dyDescent="0.2">
      <c r="A307" s="368"/>
      <c r="B307" s="106" t="s">
        <v>2671</v>
      </c>
      <c r="C307" s="798"/>
      <c r="D307" s="810"/>
      <c r="E307" s="127" t="s">
        <v>2672</v>
      </c>
      <c r="F307" s="108" t="s">
        <v>377</v>
      </c>
      <c r="G307" s="130">
        <v>200</v>
      </c>
      <c r="H307" s="123">
        <f t="shared" si="4"/>
        <v>225.99999999999997</v>
      </c>
      <c r="I307" s="356" t="s">
        <v>2178</v>
      </c>
    </row>
    <row r="308" spans="1:9" ht="20.100000000000001" customHeight="1" x14ac:dyDescent="0.2">
      <c r="A308" s="104"/>
      <c r="B308" s="106" t="s">
        <v>2179</v>
      </c>
      <c r="C308" s="798"/>
      <c r="D308" s="810"/>
      <c r="E308" s="127" t="s">
        <v>1911</v>
      </c>
      <c r="F308" s="108" t="s">
        <v>388</v>
      </c>
      <c r="G308" s="130">
        <v>1440</v>
      </c>
      <c r="H308" s="123">
        <f t="shared" si="4"/>
        <v>1627.1999999999998</v>
      </c>
      <c r="I308" s="356" t="s">
        <v>2178</v>
      </c>
    </row>
    <row r="309" spans="1:9" ht="20.100000000000001" customHeight="1" x14ac:dyDescent="0.2">
      <c r="A309" s="135"/>
      <c r="B309" s="106" t="s">
        <v>2179</v>
      </c>
      <c r="C309" s="798"/>
      <c r="D309" s="810"/>
      <c r="E309" s="127" t="s">
        <v>1911</v>
      </c>
      <c r="F309" s="108" t="s">
        <v>388</v>
      </c>
      <c r="G309" s="130">
        <v>2080</v>
      </c>
      <c r="H309" s="123">
        <f t="shared" si="4"/>
        <v>2350.3999999999996</v>
      </c>
      <c r="I309" s="356" t="s">
        <v>2178</v>
      </c>
    </row>
    <row r="310" spans="1:9" ht="20.100000000000001" customHeight="1" x14ac:dyDescent="0.2">
      <c r="A310" s="225"/>
      <c r="B310" s="106" t="s">
        <v>2578</v>
      </c>
      <c r="C310" s="798"/>
      <c r="D310" s="810"/>
      <c r="E310" s="127" t="s">
        <v>576</v>
      </c>
      <c r="F310" s="108" t="s">
        <v>271</v>
      </c>
      <c r="G310" s="130">
        <v>7477</v>
      </c>
      <c r="H310" s="123">
        <f t="shared" si="4"/>
        <v>8449.0099999999984</v>
      </c>
      <c r="I310" s="356" t="s">
        <v>2178</v>
      </c>
    </row>
    <row r="311" spans="1:9" ht="20.100000000000001" customHeight="1" x14ac:dyDescent="0.2">
      <c r="A311" s="225"/>
      <c r="B311" s="106" t="s">
        <v>2615</v>
      </c>
      <c r="C311" s="798"/>
      <c r="D311" s="810"/>
      <c r="E311" s="127" t="s">
        <v>2616</v>
      </c>
      <c r="F311" s="108" t="s">
        <v>342</v>
      </c>
      <c r="G311" s="130">
        <v>355.38</v>
      </c>
      <c r="H311" s="123">
        <f t="shared" si="4"/>
        <v>401.57939999999996</v>
      </c>
      <c r="I311" s="356" t="s">
        <v>2178</v>
      </c>
    </row>
    <row r="312" spans="1:9" ht="20.100000000000001" customHeight="1" x14ac:dyDescent="0.2">
      <c r="A312" s="225"/>
      <c r="B312" s="106" t="s">
        <v>2233</v>
      </c>
      <c r="C312" s="798"/>
      <c r="D312" s="810"/>
      <c r="E312" s="127" t="s">
        <v>892</v>
      </c>
      <c r="F312" s="108" t="s">
        <v>271</v>
      </c>
      <c r="G312" s="130">
        <v>6316.14</v>
      </c>
      <c r="H312" s="123">
        <f t="shared" si="4"/>
        <v>7137.2381999999998</v>
      </c>
      <c r="I312" s="356" t="s">
        <v>2178</v>
      </c>
    </row>
    <row r="313" spans="1:9" ht="20.100000000000001" customHeight="1" x14ac:dyDescent="0.2">
      <c r="A313" s="225"/>
      <c r="B313" s="106" t="s">
        <v>2287</v>
      </c>
      <c r="C313" s="798"/>
      <c r="D313" s="810"/>
      <c r="E313" s="127" t="s">
        <v>406</v>
      </c>
      <c r="F313" s="108" t="s">
        <v>271</v>
      </c>
      <c r="G313" s="130">
        <v>2575.2212</v>
      </c>
      <c r="H313" s="123">
        <f t="shared" si="4"/>
        <v>2909.9999559999997</v>
      </c>
      <c r="I313" s="356" t="s">
        <v>2178</v>
      </c>
    </row>
    <row r="314" spans="1:9" ht="20.100000000000001" customHeight="1" x14ac:dyDescent="0.2">
      <c r="A314" s="225"/>
      <c r="B314" s="106" t="s">
        <v>2287</v>
      </c>
      <c r="C314" s="798"/>
      <c r="D314" s="810"/>
      <c r="E314" s="127" t="s">
        <v>3107</v>
      </c>
      <c r="F314" s="108" t="s">
        <v>271</v>
      </c>
      <c r="G314" s="130">
        <v>2317.63</v>
      </c>
      <c r="H314" s="123">
        <f t="shared" si="4"/>
        <v>2618.9218999999998</v>
      </c>
      <c r="I314" s="356" t="s">
        <v>2178</v>
      </c>
    </row>
    <row r="315" spans="1:9" ht="20.100000000000001" customHeight="1" x14ac:dyDescent="0.2">
      <c r="A315" s="225"/>
      <c r="B315" s="106" t="s">
        <v>2180</v>
      </c>
      <c r="C315" s="798"/>
      <c r="D315" s="810"/>
      <c r="E315" s="127" t="s">
        <v>2557</v>
      </c>
      <c r="F315" s="108" t="s">
        <v>271</v>
      </c>
      <c r="G315" s="130">
        <v>300.89999999999998</v>
      </c>
      <c r="H315" s="123">
        <f t="shared" si="4"/>
        <v>340.01699999999994</v>
      </c>
      <c r="I315" s="356" t="s">
        <v>2178</v>
      </c>
    </row>
    <row r="316" spans="1:9" ht="20.100000000000001" customHeight="1" x14ac:dyDescent="0.2">
      <c r="A316" s="225"/>
      <c r="B316" s="106" t="s">
        <v>2181</v>
      </c>
      <c r="C316" s="798"/>
      <c r="D316" s="810"/>
      <c r="E316" s="127" t="s">
        <v>466</v>
      </c>
      <c r="F316" s="108" t="s">
        <v>271</v>
      </c>
      <c r="G316" s="130">
        <v>719.39</v>
      </c>
      <c r="H316" s="123">
        <f t="shared" si="4"/>
        <v>812.91069999999991</v>
      </c>
      <c r="I316" s="356" t="s">
        <v>2178</v>
      </c>
    </row>
    <row r="317" spans="1:9" ht="20.100000000000001" customHeight="1" x14ac:dyDescent="0.2">
      <c r="A317" s="225"/>
      <c r="B317" s="106" t="s">
        <v>2582</v>
      </c>
      <c r="C317" s="798"/>
      <c r="D317" s="810"/>
      <c r="E317" s="127" t="s">
        <v>899</v>
      </c>
      <c r="F317" s="108" t="s">
        <v>271</v>
      </c>
      <c r="G317" s="130">
        <v>1752.41</v>
      </c>
      <c r="H317" s="123">
        <f t="shared" si="4"/>
        <v>1980.2232999999999</v>
      </c>
      <c r="I317" s="356" t="s">
        <v>2178</v>
      </c>
    </row>
    <row r="318" spans="1:9" ht="20.100000000000001" customHeight="1" x14ac:dyDescent="0.2">
      <c r="A318" s="225"/>
      <c r="B318" s="106" t="s">
        <v>2629</v>
      </c>
      <c r="C318" s="798"/>
      <c r="D318" s="810"/>
      <c r="E318" s="127" t="s">
        <v>494</v>
      </c>
      <c r="F318" s="108" t="s">
        <v>271</v>
      </c>
      <c r="G318" s="130">
        <v>19.87</v>
      </c>
      <c r="H318" s="123">
        <f t="shared" si="4"/>
        <v>22.453099999999999</v>
      </c>
      <c r="I318" s="356" t="s">
        <v>2178</v>
      </c>
    </row>
    <row r="319" spans="1:9" ht="20.100000000000001" customHeight="1" x14ac:dyDescent="0.2">
      <c r="A319" s="225"/>
      <c r="B319" s="106" t="s">
        <v>2249</v>
      </c>
      <c r="C319" s="798"/>
      <c r="D319" s="810"/>
      <c r="E319" s="127" t="s">
        <v>2545</v>
      </c>
      <c r="F319" s="108" t="s">
        <v>271</v>
      </c>
      <c r="G319" s="130">
        <v>39.89</v>
      </c>
      <c r="H319" s="123">
        <f t="shared" si="4"/>
        <v>45.075699999999998</v>
      </c>
      <c r="I319" s="356" t="s">
        <v>2178</v>
      </c>
    </row>
    <row r="320" spans="1:9" ht="20.100000000000001" customHeight="1" x14ac:dyDescent="0.2">
      <c r="A320" s="225"/>
      <c r="B320" s="106" t="s">
        <v>2568</v>
      </c>
      <c r="C320" s="798"/>
      <c r="D320" s="810"/>
      <c r="E320" s="127" t="s">
        <v>496</v>
      </c>
      <c r="F320" s="108" t="s">
        <v>271</v>
      </c>
      <c r="G320" s="130">
        <v>4.91</v>
      </c>
      <c r="H320" s="123">
        <f t="shared" si="4"/>
        <v>5.5482999999999993</v>
      </c>
      <c r="I320" s="356" t="s">
        <v>2178</v>
      </c>
    </row>
    <row r="321" spans="1:9" ht="20.100000000000001" customHeight="1" x14ac:dyDescent="0.2">
      <c r="A321" s="357" t="s">
        <v>2538</v>
      </c>
      <c r="B321" s="106" t="s">
        <v>2191</v>
      </c>
      <c r="C321" s="798"/>
      <c r="D321" s="810"/>
      <c r="E321" s="127" t="s">
        <v>2569</v>
      </c>
      <c r="F321" s="108" t="s">
        <v>271</v>
      </c>
      <c r="G321" s="130">
        <v>5681.42</v>
      </c>
      <c r="H321" s="123">
        <f t="shared" si="4"/>
        <v>6420.0045999999993</v>
      </c>
      <c r="I321" s="356"/>
    </row>
    <row r="322" spans="1:9" ht="20.100000000000001" customHeight="1" x14ac:dyDescent="0.2">
      <c r="A322" s="104"/>
      <c r="B322" s="106" t="s">
        <v>2576</v>
      </c>
      <c r="C322" s="798"/>
      <c r="D322" s="810"/>
      <c r="E322" s="127" t="s">
        <v>514</v>
      </c>
      <c r="F322" s="108" t="s">
        <v>271</v>
      </c>
      <c r="G322" s="130">
        <v>26.153300000000002</v>
      </c>
      <c r="H322" s="123">
        <f t="shared" si="4"/>
        <v>29.553228999999998</v>
      </c>
      <c r="I322" s="356" t="s">
        <v>2178</v>
      </c>
    </row>
    <row r="323" spans="1:9" ht="20.100000000000001" customHeight="1" x14ac:dyDescent="0.2">
      <c r="A323" s="225"/>
      <c r="B323" s="106" t="s">
        <v>2293</v>
      </c>
      <c r="C323" s="798"/>
      <c r="D323" s="810"/>
      <c r="E323" s="127" t="s">
        <v>2119</v>
      </c>
      <c r="F323" s="108" t="s">
        <v>271</v>
      </c>
      <c r="G323" s="130">
        <v>1421.83</v>
      </c>
      <c r="H323" s="123">
        <f t="shared" si="4"/>
        <v>1606.6678999999997</v>
      </c>
      <c r="I323" s="356" t="s">
        <v>2178</v>
      </c>
    </row>
    <row r="324" spans="1:9" ht="20.100000000000001" customHeight="1" x14ac:dyDescent="0.2">
      <c r="A324" s="104"/>
      <c r="B324" s="106" t="s">
        <v>2213</v>
      </c>
      <c r="C324" s="798"/>
      <c r="D324" s="810"/>
      <c r="E324" s="127" t="s">
        <v>533</v>
      </c>
      <c r="F324" s="108" t="s">
        <v>271</v>
      </c>
      <c r="G324" s="130">
        <v>2140</v>
      </c>
      <c r="H324" s="123">
        <f t="shared" si="4"/>
        <v>2418.1999999999998</v>
      </c>
      <c r="I324" s="356" t="s">
        <v>2178</v>
      </c>
    </row>
    <row r="325" spans="1:9" ht="20.100000000000001" customHeight="1" x14ac:dyDescent="0.2">
      <c r="A325" s="395"/>
      <c r="B325" s="106" t="s">
        <v>2875</v>
      </c>
      <c r="C325" s="798"/>
      <c r="D325" s="810"/>
      <c r="E325" s="127" t="s">
        <v>534</v>
      </c>
      <c r="F325" s="108" t="s">
        <v>342</v>
      </c>
      <c r="G325" s="130">
        <v>1411</v>
      </c>
      <c r="H325" s="123">
        <f t="shared" si="4"/>
        <v>1594.4299999999998</v>
      </c>
      <c r="I325" s="401" t="s">
        <v>2178</v>
      </c>
    </row>
    <row r="326" spans="1:9" ht="20.100000000000001" customHeight="1" x14ac:dyDescent="0.2">
      <c r="A326" s="225"/>
      <c r="B326" s="106" t="s">
        <v>2543</v>
      </c>
      <c r="C326" s="798"/>
      <c r="D326" s="810"/>
      <c r="E326" s="127" t="s">
        <v>2544</v>
      </c>
      <c r="F326" s="108" t="s">
        <v>271</v>
      </c>
      <c r="G326" s="130">
        <v>472.97</v>
      </c>
      <c r="H326" s="123">
        <f t="shared" si="4"/>
        <v>534.45609999999999</v>
      </c>
      <c r="I326" s="356" t="s">
        <v>2178</v>
      </c>
    </row>
    <row r="327" spans="1:9" ht="20.100000000000001" customHeight="1" x14ac:dyDescent="0.2">
      <c r="A327" s="104"/>
      <c r="B327" s="106" t="s">
        <v>2285</v>
      </c>
      <c r="C327" s="798"/>
      <c r="D327" s="810"/>
      <c r="E327" s="127" t="s">
        <v>551</v>
      </c>
      <c r="F327" s="108" t="s">
        <v>271</v>
      </c>
      <c r="G327" s="130">
        <v>518.28</v>
      </c>
      <c r="H327" s="123">
        <f t="shared" si="4"/>
        <v>585.65639999999996</v>
      </c>
      <c r="I327" s="356" t="s">
        <v>2178</v>
      </c>
    </row>
    <row r="328" spans="1:9" ht="20.100000000000001" customHeight="1" x14ac:dyDescent="0.2">
      <c r="A328" s="225"/>
      <c r="B328" s="106" t="s">
        <v>2335</v>
      </c>
      <c r="C328" s="798"/>
      <c r="D328" s="810"/>
      <c r="E328" s="127" t="s">
        <v>557</v>
      </c>
      <c r="F328" s="108" t="s">
        <v>271</v>
      </c>
      <c r="G328" s="130">
        <v>10857.14</v>
      </c>
      <c r="H328" s="123">
        <f t="shared" si="4"/>
        <v>12268.568199999998</v>
      </c>
      <c r="I328" s="356" t="s">
        <v>2178</v>
      </c>
    </row>
    <row r="329" spans="1:9" ht="20.100000000000001" customHeight="1" x14ac:dyDescent="0.2">
      <c r="A329" s="225"/>
      <c r="B329" s="106" t="s">
        <v>2613</v>
      </c>
      <c r="C329" s="798"/>
      <c r="D329" s="810"/>
      <c r="E329" s="127" t="s">
        <v>901</v>
      </c>
      <c r="F329" s="108" t="s">
        <v>271</v>
      </c>
      <c r="G329" s="130">
        <v>311.49</v>
      </c>
      <c r="H329" s="123">
        <f t="shared" si="4"/>
        <v>351.9837</v>
      </c>
      <c r="I329" s="356" t="s">
        <v>2178</v>
      </c>
    </row>
    <row r="330" spans="1:9" ht="20.100000000000001" customHeight="1" x14ac:dyDescent="0.2">
      <c r="A330" s="357" t="s">
        <v>2546</v>
      </c>
      <c r="B330" s="106" t="s">
        <v>2614</v>
      </c>
      <c r="C330" s="798"/>
      <c r="D330" s="810"/>
      <c r="E330" s="127" t="s">
        <v>949</v>
      </c>
      <c r="F330" s="108" t="s">
        <v>271</v>
      </c>
      <c r="G330" s="130">
        <v>7132.74</v>
      </c>
      <c r="H330" s="123">
        <f t="shared" si="4"/>
        <v>8059.9961999999987</v>
      </c>
      <c r="I330" s="356"/>
    </row>
    <row r="331" spans="1:9" ht="20.100000000000001" customHeight="1" x14ac:dyDescent="0.2">
      <c r="A331" s="225"/>
      <c r="B331" s="106" t="s">
        <v>2239</v>
      </c>
      <c r="C331" s="798"/>
      <c r="D331" s="810"/>
      <c r="E331" s="127" t="s">
        <v>632</v>
      </c>
      <c r="F331" s="108" t="s">
        <v>271</v>
      </c>
      <c r="G331" s="130">
        <v>2553.1</v>
      </c>
      <c r="H331" s="123">
        <f t="shared" si="4"/>
        <v>2885.0029999999997</v>
      </c>
      <c r="I331" s="356" t="s">
        <v>2178</v>
      </c>
    </row>
    <row r="332" spans="1:9" ht="20.100000000000001" customHeight="1" x14ac:dyDescent="0.2">
      <c r="A332" s="225"/>
      <c r="B332" s="106" t="s">
        <v>2227</v>
      </c>
      <c r="C332" s="798"/>
      <c r="D332" s="810"/>
      <c r="E332" s="127" t="s">
        <v>634</v>
      </c>
      <c r="F332" s="108" t="s">
        <v>271</v>
      </c>
      <c r="G332" s="130">
        <v>3858.41</v>
      </c>
      <c r="H332" s="123">
        <f t="shared" ref="H332:H395" si="5">+G332*1.13</f>
        <v>4360.0032999999994</v>
      </c>
      <c r="I332" s="356" t="s">
        <v>2178</v>
      </c>
    </row>
    <row r="333" spans="1:9" ht="20.100000000000001" customHeight="1" x14ac:dyDescent="0.2">
      <c r="A333" s="225"/>
      <c r="B333" s="106" t="s">
        <v>2240</v>
      </c>
      <c r="C333" s="798"/>
      <c r="D333" s="810"/>
      <c r="E333" s="127" t="s">
        <v>636</v>
      </c>
      <c r="F333" s="108" t="s">
        <v>271</v>
      </c>
      <c r="G333" s="130">
        <v>1389.38</v>
      </c>
      <c r="H333" s="123">
        <f t="shared" si="5"/>
        <v>1569.9993999999999</v>
      </c>
      <c r="I333" s="356" t="s">
        <v>2178</v>
      </c>
    </row>
    <row r="334" spans="1:9" ht="20.100000000000001" customHeight="1" x14ac:dyDescent="0.2">
      <c r="A334" s="225"/>
      <c r="B334" s="106" t="s">
        <v>2182</v>
      </c>
      <c r="C334" s="798"/>
      <c r="D334" s="810"/>
      <c r="E334" s="127" t="s">
        <v>643</v>
      </c>
      <c r="F334" s="108" t="s">
        <v>276</v>
      </c>
      <c r="G334" s="130">
        <v>3838.94</v>
      </c>
      <c r="H334" s="123">
        <f t="shared" si="5"/>
        <v>4338.0021999999999</v>
      </c>
      <c r="I334" s="356" t="s">
        <v>2178</v>
      </c>
    </row>
    <row r="335" spans="1:9" ht="20.100000000000001" customHeight="1" x14ac:dyDescent="0.2">
      <c r="A335" s="225"/>
      <c r="B335" s="106" t="s">
        <v>3533</v>
      </c>
      <c r="C335" s="798"/>
      <c r="D335" s="810"/>
      <c r="E335" s="127" t="s">
        <v>3534</v>
      </c>
      <c r="F335" s="108" t="s">
        <v>271</v>
      </c>
      <c r="G335" s="130">
        <v>138.77000000000001</v>
      </c>
      <c r="H335" s="123">
        <f t="shared" si="5"/>
        <v>156.81010000000001</v>
      </c>
      <c r="I335" s="356"/>
    </row>
    <row r="336" spans="1:9" ht="20.100000000000001" customHeight="1" x14ac:dyDescent="0.2">
      <c r="A336" s="225"/>
      <c r="B336" s="106" t="s">
        <v>2210</v>
      </c>
      <c r="C336" s="798"/>
      <c r="D336" s="810"/>
      <c r="E336" s="127" t="s">
        <v>2588</v>
      </c>
      <c r="F336" s="108" t="s">
        <v>411</v>
      </c>
      <c r="G336" s="130">
        <v>57882.35</v>
      </c>
      <c r="H336" s="123">
        <f t="shared" si="5"/>
        <v>65407.055499999995</v>
      </c>
      <c r="I336" s="356" t="s">
        <v>2178</v>
      </c>
    </row>
    <row r="337" spans="1:9" ht="20.100000000000001" customHeight="1" x14ac:dyDescent="0.2">
      <c r="A337" s="225"/>
      <c r="B337" s="106" t="s">
        <v>2251</v>
      </c>
      <c r="C337" s="798"/>
      <c r="D337" s="810"/>
      <c r="E337" s="127" t="s">
        <v>704</v>
      </c>
      <c r="F337" s="108" t="s">
        <v>271</v>
      </c>
      <c r="G337" s="130">
        <v>2221.59</v>
      </c>
      <c r="H337" s="123">
        <f t="shared" si="5"/>
        <v>2510.3966999999998</v>
      </c>
      <c r="I337" s="356" t="s">
        <v>2178</v>
      </c>
    </row>
    <row r="338" spans="1:9" ht="20.100000000000001" customHeight="1" x14ac:dyDescent="0.2">
      <c r="A338" s="225"/>
      <c r="B338" s="106" t="s">
        <v>2662</v>
      </c>
      <c r="C338" s="798"/>
      <c r="D338" s="810"/>
      <c r="E338" s="127" t="s">
        <v>726</v>
      </c>
      <c r="F338" s="108" t="s">
        <v>271</v>
      </c>
      <c r="G338" s="130">
        <v>2876.11</v>
      </c>
      <c r="H338" s="123">
        <f t="shared" si="5"/>
        <v>3250.0043000000001</v>
      </c>
      <c r="I338" s="356" t="s">
        <v>2178</v>
      </c>
    </row>
    <row r="339" spans="1:9" ht="20.100000000000001" customHeight="1" x14ac:dyDescent="0.2">
      <c r="A339" s="225"/>
      <c r="B339" s="260" t="s">
        <v>2281</v>
      </c>
      <c r="C339" s="798"/>
      <c r="D339" s="810"/>
      <c r="E339" s="261" t="s">
        <v>2623</v>
      </c>
      <c r="F339" s="108" t="s">
        <v>271</v>
      </c>
      <c r="G339" s="130">
        <v>2378.7600000000002</v>
      </c>
      <c r="H339" s="123">
        <f t="shared" si="5"/>
        <v>2687.9987999999998</v>
      </c>
      <c r="I339" s="356" t="s">
        <v>2178</v>
      </c>
    </row>
    <row r="340" spans="1:9" ht="20.100000000000001" customHeight="1" x14ac:dyDescent="0.2">
      <c r="A340" s="225"/>
      <c r="B340" s="106" t="s">
        <v>2591</v>
      </c>
      <c r="C340" s="798"/>
      <c r="D340" s="810"/>
      <c r="E340" s="127" t="s">
        <v>2592</v>
      </c>
      <c r="F340" s="108" t="s">
        <v>271</v>
      </c>
      <c r="G340" s="130">
        <v>85</v>
      </c>
      <c r="H340" s="123">
        <f t="shared" si="5"/>
        <v>96.05</v>
      </c>
      <c r="I340" s="356" t="s">
        <v>2178</v>
      </c>
    </row>
    <row r="341" spans="1:9" ht="20.100000000000001" customHeight="1" x14ac:dyDescent="0.2">
      <c r="A341" s="225"/>
      <c r="B341" s="106" t="s">
        <v>2189</v>
      </c>
      <c r="C341" s="798"/>
      <c r="D341" s="810"/>
      <c r="E341" s="127" t="s">
        <v>735</v>
      </c>
      <c r="F341" s="108" t="s">
        <v>271</v>
      </c>
      <c r="G341" s="130">
        <v>50</v>
      </c>
      <c r="H341" s="123">
        <f t="shared" si="5"/>
        <v>56.499999999999993</v>
      </c>
      <c r="I341" s="356" t="s">
        <v>2178</v>
      </c>
    </row>
    <row r="342" spans="1:9" ht="20.100000000000001" customHeight="1" x14ac:dyDescent="0.2">
      <c r="A342" s="225"/>
      <c r="B342" s="106" t="s">
        <v>2593</v>
      </c>
      <c r="C342" s="798"/>
      <c r="D342" s="810"/>
      <c r="E342" s="127" t="s">
        <v>2594</v>
      </c>
      <c r="F342" s="108" t="s">
        <v>271</v>
      </c>
      <c r="G342" s="130">
        <v>110</v>
      </c>
      <c r="H342" s="123">
        <f t="shared" si="5"/>
        <v>124.29999999999998</v>
      </c>
      <c r="I342" s="356" t="s">
        <v>2178</v>
      </c>
    </row>
    <row r="343" spans="1:9" ht="20.100000000000001" customHeight="1" x14ac:dyDescent="0.2">
      <c r="A343" s="225"/>
      <c r="B343" s="106" t="s">
        <v>1991</v>
      </c>
      <c r="C343" s="798"/>
      <c r="D343" s="810"/>
      <c r="E343" s="127" t="s">
        <v>736</v>
      </c>
      <c r="F343" s="108" t="s">
        <v>271</v>
      </c>
      <c r="G343" s="130">
        <v>180</v>
      </c>
      <c r="H343" s="123">
        <f t="shared" si="5"/>
        <v>203.39999999999998</v>
      </c>
      <c r="I343" s="356" t="s">
        <v>2178</v>
      </c>
    </row>
    <row r="344" spans="1:9" ht="20.100000000000001" customHeight="1" x14ac:dyDescent="0.2">
      <c r="A344" s="225"/>
      <c r="B344" s="106" t="s">
        <v>2597</v>
      </c>
      <c r="C344" s="798"/>
      <c r="D344" s="810"/>
      <c r="E344" s="127" t="s">
        <v>974</v>
      </c>
      <c r="F344" s="108" t="s">
        <v>271</v>
      </c>
      <c r="G344" s="130">
        <v>34</v>
      </c>
      <c r="H344" s="123">
        <f t="shared" si="5"/>
        <v>38.419999999999995</v>
      </c>
      <c r="I344" s="356" t="s">
        <v>2178</v>
      </c>
    </row>
    <row r="345" spans="1:9" ht="20.100000000000001" customHeight="1" x14ac:dyDescent="0.2">
      <c r="A345" s="225"/>
      <c r="B345" s="106" t="s">
        <v>2598</v>
      </c>
      <c r="C345" s="798"/>
      <c r="D345" s="810"/>
      <c r="E345" s="127" t="s">
        <v>750</v>
      </c>
      <c r="F345" s="108" t="s">
        <v>271</v>
      </c>
      <c r="G345" s="130">
        <v>364</v>
      </c>
      <c r="H345" s="123">
        <f t="shared" si="5"/>
        <v>411.31999999999994</v>
      </c>
      <c r="I345" s="356" t="s">
        <v>2178</v>
      </c>
    </row>
    <row r="346" spans="1:9" x14ac:dyDescent="0.2">
      <c r="A346" s="225"/>
      <c r="B346" s="106" t="s">
        <v>1921</v>
      </c>
      <c r="C346" s="798"/>
      <c r="D346" s="810"/>
      <c r="E346" s="127" t="s">
        <v>778</v>
      </c>
      <c r="F346" s="108" t="s">
        <v>271</v>
      </c>
      <c r="G346" s="130">
        <v>3088.86</v>
      </c>
      <c r="H346" s="123">
        <f t="shared" si="5"/>
        <v>3490.4117999999999</v>
      </c>
      <c r="I346" s="356" t="s">
        <v>2178</v>
      </c>
    </row>
    <row r="347" spans="1:9" ht="20.100000000000001" customHeight="1" x14ac:dyDescent="0.2">
      <c r="A347" s="225"/>
      <c r="B347" s="106" t="s">
        <v>1921</v>
      </c>
      <c r="C347" s="798"/>
      <c r="D347" s="810"/>
      <c r="E347" s="127" t="s">
        <v>778</v>
      </c>
      <c r="F347" s="108" t="s">
        <v>271</v>
      </c>
      <c r="G347" s="130">
        <v>2593.88</v>
      </c>
      <c r="H347" s="123">
        <f t="shared" si="5"/>
        <v>2931.0843999999997</v>
      </c>
      <c r="I347" s="356" t="s">
        <v>2178</v>
      </c>
    </row>
    <row r="348" spans="1:9" ht="20.100000000000001" customHeight="1" x14ac:dyDescent="0.2">
      <c r="A348" s="368"/>
      <c r="B348" s="106" t="s">
        <v>2634</v>
      </c>
      <c r="C348" s="798"/>
      <c r="D348" s="810"/>
      <c r="E348" s="127" t="s">
        <v>798</v>
      </c>
      <c r="F348" s="108" t="s">
        <v>271</v>
      </c>
      <c r="G348" s="130">
        <v>4236.9399999999996</v>
      </c>
      <c r="H348" s="123">
        <f t="shared" si="5"/>
        <v>4787.7421999999988</v>
      </c>
      <c r="I348" s="356" t="s">
        <v>2178</v>
      </c>
    </row>
    <row r="349" spans="1:9" ht="20.100000000000001" customHeight="1" x14ac:dyDescent="0.2">
      <c r="A349" s="225"/>
      <c r="B349" s="106" t="s">
        <v>2006</v>
      </c>
      <c r="C349" s="798"/>
      <c r="D349" s="810"/>
      <c r="E349" s="127" t="s">
        <v>2599</v>
      </c>
      <c r="F349" s="108" t="s">
        <v>377</v>
      </c>
      <c r="G349" s="130">
        <v>2905.24</v>
      </c>
      <c r="H349" s="123">
        <f t="shared" si="5"/>
        <v>3282.9211999999993</v>
      </c>
      <c r="I349" s="356" t="s">
        <v>2178</v>
      </c>
    </row>
    <row r="350" spans="1:9" ht="20.100000000000001" customHeight="1" x14ac:dyDescent="0.2">
      <c r="A350" s="225"/>
      <c r="B350" s="106" t="s">
        <v>2660</v>
      </c>
      <c r="C350" s="798"/>
      <c r="D350" s="810"/>
      <c r="E350" s="127" t="s">
        <v>621</v>
      </c>
      <c r="F350" s="108" t="s">
        <v>271</v>
      </c>
      <c r="G350" s="130">
        <v>10597</v>
      </c>
      <c r="H350" s="123">
        <f t="shared" si="5"/>
        <v>11974.609999999999</v>
      </c>
      <c r="I350" s="356" t="s">
        <v>2178</v>
      </c>
    </row>
    <row r="351" spans="1:9" ht="20.100000000000001" customHeight="1" x14ac:dyDescent="0.2">
      <c r="A351" s="225"/>
      <c r="B351" s="106" t="s">
        <v>2232</v>
      </c>
      <c r="C351" s="798"/>
      <c r="D351" s="810"/>
      <c r="E351" s="127" t="s">
        <v>497</v>
      </c>
      <c r="F351" s="108" t="s">
        <v>271</v>
      </c>
      <c r="G351" s="130">
        <v>380.45</v>
      </c>
      <c r="H351" s="123">
        <f t="shared" si="5"/>
        <v>429.90849999999995</v>
      </c>
      <c r="I351" s="356" t="s">
        <v>2178</v>
      </c>
    </row>
    <row r="352" spans="1:9" ht="20.100000000000001" customHeight="1" x14ac:dyDescent="0.2">
      <c r="A352" s="225"/>
      <c r="B352" s="106" t="s">
        <v>2874</v>
      </c>
      <c r="C352" s="798"/>
      <c r="D352" s="810"/>
      <c r="E352" s="127" t="s">
        <v>612</v>
      </c>
      <c r="F352" s="108" t="s">
        <v>282</v>
      </c>
      <c r="G352" s="130">
        <v>12924</v>
      </c>
      <c r="H352" s="123">
        <f t="shared" si="5"/>
        <v>14604.119999999999</v>
      </c>
      <c r="I352" s="356" t="s">
        <v>2178</v>
      </c>
    </row>
    <row r="353" spans="1:9" ht="20.100000000000001" customHeight="1" x14ac:dyDescent="0.2">
      <c r="A353" s="225"/>
      <c r="B353" s="106" t="s">
        <v>1980</v>
      </c>
      <c r="C353" s="798"/>
      <c r="D353" s="810"/>
      <c r="E353" s="127" t="s">
        <v>2714</v>
      </c>
      <c r="F353" s="108" t="s">
        <v>271</v>
      </c>
      <c r="G353" s="130">
        <v>6548.67</v>
      </c>
      <c r="H353" s="123">
        <f t="shared" si="5"/>
        <v>7399.9970999999996</v>
      </c>
      <c r="I353" s="356" t="s">
        <v>2178</v>
      </c>
    </row>
    <row r="354" spans="1:9" ht="20.100000000000001" customHeight="1" x14ac:dyDescent="0.2">
      <c r="A354" s="225"/>
      <c r="B354" s="396" t="s">
        <v>2884</v>
      </c>
      <c r="C354" s="805"/>
      <c r="D354" s="818"/>
      <c r="E354" s="397" t="s">
        <v>2093</v>
      </c>
      <c r="F354" s="398" t="s">
        <v>271</v>
      </c>
      <c r="G354" s="399">
        <v>3.87</v>
      </c>
      <c r="H354" s="400">
        <f t="shared" si="5"/>
        <v>4.3731</v>
      </c>
      <c r="I354" s="356" t="s">
        <v>2178</v>
      </c>
    </row>
    <row r="355" spans="1:9" ht="20.100000000000001" customHeight="1" x14ac:dyDescent="0.2">
      <c r="A355" s="225"/>
      <c r="B355" s="106" t="s">
        <v>3281</v>
      </c>
      <c r="C355" s="798"/>
      <c r="D355" s="810"/>
      <c r="E355" s="127" t="s">
        <v>3282</v>
      </c>
      <c r="F355" s="108" t="s">
        <v>271</v>
      </c>
      <c r="G355" s="130">
        <f>5.5/1.13</f>
        <v>4.8672566371681416</v>
      </c>
      <c r="H355" s="123">
        <f t="shared" si="5"/>
        <v>5.4999999999999991</v>
      </c>
      <c r="I355" s="356" t="s">
        <v>2178</v>
      </c>
    </row>
    <row r="356" spans="1:9" ht="20.100000000000001" customHeight="1" x14ac:dyDescent="0.2">
      <c r="A356" s="104"/>
      <c r="B356" s="106" t="s">
        <v>3323</v>
      </c>
      <c r="C356" s="798"/>
      <c r="D356" s="810"/>
      <c r="E356" s="127" t="s">
        <v>3326</v>
      </c>
      <c r="F356" s="108" t="s">
        <v>271</v>
      </c>
      <c r="G356" s="130">
        <f>36.5/1.13</f>
        <v>32.300884955752217</v>
      </c>
      <c r="H356" s="123">
        <f t="shared" si="5"/>
        <v>36.5</v>
      </c>
      <c r="I356" s="356" t="s">
        <v>2178</v>
      </c>
    </row>
    <row r="357" spans="1:9" ht="20.100000000000001" customHeight="1" x14ac:dyDescent="0.2">
      <c r="A357" s="225"/>
      <c r="B357" s="106" t="s">
        <v>3535</v>
      </c>
      <c r="C357" s="798"/>
      <c r="D357" s="810"/>
      <c r="E357" s="127" t="s">
        <v>3536</v>
      </c>
      <c r="F357" s="108" t="s">
        <v>271</v>
      </c>
      <c r="G357" s="130">
        <v>10835.844999999999</v>
      </c>
      <c r="H357" s="123">
        <f t="shared" si="5"/>
        <v>12244.504849999998</v>
      </c>
      <c r="I357" s="356" t="s">
        <v>2178</v>
      </c>
    </row>
    <row r="358" spans="1:9" ht="20.100000000000001" customHeight="1" x14ac:dyDescent="0.2">
      <c r="A358" s="225"/>
      <c r="B358" s="106" t="s">
        <v>2499</v>
      </c>
      <c r="C358" s="798"/>
      <c r="D358" s="810"/>
      <c r="E358" s="127" t="s">
        <v>595</v>
      </c>
      <c r="F358" s="108" t="s">
        <v>271</v>
      </c>
      <c r="G358" s="130">
        <v>9479.0499999999993</v>
      </c>
      <c r="H358" s="123">
        <f t="shared" si="5"/>
        <v>10711.326499999997</v>
      </c>
      <c r="I358" s="356" t="s">
        <v>2178</v>
      </c>
    </row>
    <row r="359" spans="1:9" ht="20.100000000000001" customHeight="1" x14ac:dyDescent="0.2">
      <c r="A359" s="225"/>
      <c r="B359" s="106" t="s">
        <v>2647</v>
      </c>
      <c r="C359" s="798"/>
      <c r="D359" s="810"/>
      <c r="E359" s="127" t="s">
        <v>558</v>
      </c>
      <c r="F359" s="108" t="s">
        <v>271</v>
      </c>
      <c r="G359" s="130">
        <v>88495.575200000007</v>
      </c>
      <c r="H359" s="123">
        <f t="shared" si="5"/>
        <v>99999.999975999992</v>
      </c>
      <c r="I359" s="356" t="s">
        <v>2178</v>
      </c>
    </row>
    <row r="360" spans="1:9" ht="20.100000000000001" customHeight="1" x14ac:dyDescent="0.2">
      <c r="A360" s="225"/>
      <c r="B360" s="106" t="s">
        <v>2366</v>
      </c>
      <c r="C360" s="798"/>
      <c r="D360" s="810"/>
      <c r="E360" s="127" t="s">
        <v>945</v>
      </c>
      <c r="F360" s="108" t="s">
        <v>271</v>
      </c>
      <c r="G360" s="130">
        <v>11580.66</v>
      </c>
      <c r="H360" s="123">
        <f t="shared" si="5"/>
        <v>13086.145799999998</v>
      </c>
      <c r="I360" s="356" t="s">
        <v>2178</v>
      </c>
    </row>
    <row r="361" spans="1:9" ht="20.100000000000001" customHeight="1" x14ac:dyDescent="0.2">
      <c r="A361" s="225"/>
      <c r="B361" s="106" t="s">
        <v>2377</v>
      </c>
      <c r="C361" s="798"/>
      <c r="D361" s="810"/>
      <c r="E361" s="127" t="s">
        <v>590</v>
      </c>
      <c r="F361" s="108" t="s">
        <v>271</v>
      </c>
      <c r="G361" s="130">
        <v>11852</v>
      </c>
      <c r="H361" s="123">
        <f t="shared" si="5"/>
        <v>13392.759999999998</v>
      </c>
      <c r="I361" s="356" t="s">
        <v>2178</v>
      </c>
    </row>
    <row r="362" spans="1:9" x14ac:dyDescent="0.2">
      <c r="A362" s="368"/>
      <c r="B362" s="106" t="s">
        <v>2378</v>
      </c>
      <c r="C362" s="798"/>
      <c r="D362" s="810"/>
      <c r="E362" s="127" t="s">
        <v>2379</v>
      </c>
      <c r="F362" s="108" t="s">
        <v>271</v>
      </c>
      <c r="G362" s="130">
        <v>61000</v>
      </c>
      <c r="H362" s="123">
        <f t="shared" si="5"/>
        <v>68930</v>
      </c>
      <c r="I362" s="356" t="s">
        <v>2178</v>
      </c>
    </row>
    <row r="363" spans="1:9" ht="20.100000000000001" customHeight="1" x14ac:dyDescent="0.2">
      <c r="A363" s="225"/>
      <c r="B363" s="106" t="s">
        <v>2380</v>
      </c>
      <c r="C363" s="798"/>
      <c r="D363" s="810"/>
      <c r="E363" s="127" t="s">
        <v>581</v>
      </c>
      <c r="F363" s="108" t="s">
        <v>271</v>
      </c>
      <c r="G363" s="130">
        <v>23057.53</v>
      </c>
      <c r="H363" s="123">
        <f t="shared" si="5"/>
        <v>26055.008899999997</v>
      </c>
      <c r="I363" s="356" t="s">
        <v>2178</v>
      </c>
    </row>
    <row r="364" spans="1:9" ht="20.100000000000001" customHeight="1" x14ac:dyDescent="0.2">
      <c r="A364" s="225"/>
      <c r="B364" s="106" t="s">
        <v>2381</v>
      </c>
      <c r="C364" s="798"/>
      <c r="D364" s="810"/>
      <c r="E364" s="127" t="s">
        <v>582</v>
      </c>
      <c r="F364" s="108" t="s">
        <v>271</v>
      </c>
      <c r="G364" s="130">
        <v>47747.79</v>
      </c>
      <c r="H364" s="123">
        <f t="shared" si="5"/>
        <v>53955.002699999997</v>
      </c>
      <c r="I364" s="356" t="s">
        <v>2178</v>
      </c>
    </row>
    <row r="365" spans="1:9" ht="20.100000000000001" customHeight="1" x14ac:dyDescent="0.2">
      <c r="A365" s="225"/>
      <c r="B365" s="106" t="s">
        <v>2382</v>
      </c>
      <c r="C365" s="798"/>
      <c r="D365" s="810"/>
      <c r="E365" s="127" t="s">
        <v>695</v>
      </c>
      <c r="F365" s="108" t="s">
        <v>271</v>
      </c>
      <c r="G365" s="130">
        <v>3221.36</v>
      </c>
      <c r="H365" s="123">
        <f t="shared" si="5"/>
        <v>3640.1367999999998</v>
      </c>
      <c r="I365" s="356" t="s">
        <v>2178</v>
      </c>
    </row>
    <row r="366" spans="1:9" ht="20.100000000000001" customHeight="1" x14ac:dyDescent="0.2">
      <c r="A366" s="225"/>
      <c r="B366" s="106" t="s">
        <v>2383</v>
      </c>
      <c r="C366" s="798"/>
      <c r="D366" s="810"/>
      <c r="E366" s="127" t="s">
        <v>493</v>
      </c>
      <c r="F366" s="108" t="s">
        <v>271</v>
      </c>
      <c r="G366" s="130">
        <v>6743.38</v>
      </c>
      <c r="H366" s="123">
        <f t="shared" si="5"/>
        <v>7620.0193999999992</v>
      </c>
      <c r="I366" s="356" t="s">
        <v>2178</v>
      </c>
    </row>
    <row r="367" spans="1:9" ht="20.100000000000001" customHeight="1" x14ac:dyDescent="0.2">
      <c r="A367" s="225"/>
      <c r="B367" s="106" t="s">
        <v>2617</v>
      </c>
      <c r="C367" s="798"/>
      <c r="D367" s="810"/>
      <c r="E367" s="127" t="s">
        <v>2618</v>
      </c>
      <c r="F367" s="108" t="s">
        <v>271</v>
      </c>
      <c r="G367" s="130">
        <v>48699</v>
      </c>
      <c r="H367" s="123">
        <f t="shared" si="5"/>
        <v>55029.869999999995</v>
      </c>
      <c r="I367" s="356" t="s">
        <v>2178</v>
      </c>
    </row>
    <row r="368" spans="1:9" ht="20.100000000000001" customHeight="1" x14ac:dyDescent="0.2">
      <c r="A368" s="225"/>
      <c r="B368" s="106" t="s">
        <v>2622</v>
      </c>
      <c r="C368" s="798"/>
      <c r="D368" s="810"/>
      <c r="E368" s="127" t="s">
        <v>707</v>
      </c>
      <c r="F368" s="108" t="s">
        <v>271</v>
      </c>
      <c r="G368" s="130">
        <v>9336.2800000000007</v>
      </c>
      <c r="H368" s="123">
        <f t="shared" si="5"/>
        <v>10549.9964</v>
      </c>
      <c r="I368" s="356" t="s">
        <v>2178</v>
      </c>
    </row>
    <row r="369" spans="1:9" x14ac:dyDescent="0.2">
      <c r="A369" s="225"/>
      <c r="B369" s="106" t="s">
        <v>2639</v>
      </c>
      <c r="C369" s="798"/>
      <c r="D369" s="810"/>
      <c r="E369" s="127" t="s">
        <v>909</v>
      </c>
      <c r="F369" s="108" t="s">
        <v>271</v>
      </c>
      <c r="G369" s="130">
        <v>3761.06</v>
      </c>
      <c r="H369" s="123">
        <f t="shared" si="5"/>
        <v>4249.9977999999992</v>
      </c>
      <c r="I369" s="356" t="s">
        <v>2178</v>
      </c>
    </row>
    <row r="370" spans="1:9" x14ac:dyDescent="0.2">
      <c r="A370" s="225"/>
      <c r="B370" s="106" t="s">
        <v>2649</v>
      </c>
      <c r="C370" s="798"/>
      <c r="D370" s="810"/>
      <c r="E370" s="127" t="s">
        <v>706</v>
      </c>
      <c r="F370" s="108" t="s">
        <v>271</v>
      </c>
      <c r="G370" s="130">
        <v>465</v>
      </c>
      <c r="H370" s="123">
        <f t="shared" si="5"/>
        <v>525.44999999999993</v>
      </c>
      <c r="I370" s="356" t="s">
        <v>2178</v>
      </c>
    </row>
    <row r="371" spans="1:9" ht="20.100000000000001" customHeight="1" x14ac:dyDescent="0.2">
      <c r="A371" s="104"/>
      <c r="B371" s="106" t="s">
        <v>2640</v>
      </c>
      <c r="C371" s="798"/>
      <c r="D371" s="810"/>
      <c r="E371" s="127" t="s">
        <v>464</v>
      </c>
      <c r="F371" s="108" t="s">
        <v>271</v>
      </c>
      <c r="G371" s="130">
        <v>196.14</v>
      </c>
      <c r="H371" s="123">
        <f t="shared" si="5"/>
        <v>221.63819999999996</v>
      </c>
      <c r="I371" s="356" t="s">
        <v>2178</v>
      </c>
    </row>
    <row r="372" spans="1:9" ht="20.100000000000001" customHeight="1" x14ac:dyDescent="0.2">
      <c r="A372" s="225"/>
      <c r="B372" s="106" t="s">
        <v>2552</v>
      </c>
      <c r="C372" s="798"/>
      <c r="D372" s="810"/>
      <c r="E372" s="127" t="s">
        <v>2553</v>
      </c>
      <c r="F372" s="108" t="s">
        <v>271</v>
      </c>
      <c r="G372" s="130">
        <v>1033.8499999999999</v>
      </c>
      <c r="H372" s="123">
        <f t="shared" si="5"/>
        <v>1168.2504999999999</v>
      </c>
      <c r="I372" s="356" t="s">
        <v>2178</v>
      </c>
    </row>
    <row r="373" spans="1:9" ht="20.100000000000001" customHeight="1" x14ac:dyDescent="0.2">
      <c r="A373" s="225"/>
      <c r="B373" s="106" t="s">
        <v>2625</v>
      </c>
      <c r="C373" s="798"/>
      <c r="D373" s="810"/>
      <c r="E373" s="127" t="s">
        <v>2626</v>
      </c>
      <c r="F373" s="108" t="s">
        <v>271</v>
      </c>
      <c r="G373" s="130">
        <v>2121.6</v>
      </c>
      <c r="H373" s="123">
        <f t="shared" si="5"/>
        <v>2397.4079999999994</v>
      </c>
      <c r="I373" s="356" t="s">
        <v>2178</v>
      </c>
    </row>
    <row r="374" spans="1:9" ht="20.100000000000001" customHeight="1" x14ac:dyDescent="0.2">
      <c r="A374" s="225"/>
      <c r="B374" s="106" t="s">
        <v>2627</v>
      </c>
      <c r="C374" s="798"/>
      <c r="D374" s="810"/>
      <c r="E374" s="127" t="s">
        <v>2628</v>
      </c>
      <c r="F374" s="108" t="s">
        <v>271</v>
      </c>
      <c r="G374" s="130">
        <v>1699.12</v>
      </c>
      <c r="H374" s="123">
        <f t="shared" si="5"/>
        <v>1920.0055999999997</v>
      </c>
      <c r="I374" s="356" t="s">
        <v>2178</v>
      </c>
    </row>
    <row r="375" spans="1:9" ht="20.100000000000001" customHeight="1" x14ac:dyDescent="0.2">
      <c r="A375" s="225"/>
      <c r="B375" s="106" t="s">
        <v>2631</v>
      </c>
      <c r="C375" s="798"/>
      <c r="D375" s="810"/>
      <c r="E375" s="127" t="s">
        <v>570</v>
      </c>
      <c r="F375" s="108" t="s">
        <v>271</v>
      </c>
      <c r="G375" s="130">
        <v>13275</v>
      </c>
      <c r="H375" s="123">
        <f t="shared" si="5"/>
        <v>15000.749999999998</v>
      </c>
      <c r="I375" s="356" t="s">
        <v>2178</v>
      </c>
    </row>
    <row r="376" spans="1:9" ht="20.100000000000001" customHeight="1" x14ac:dyDescent="0.2">
      <c r="A376" s="225"/>
      <c r="B376" s="106" t="s">
        <v>2632</v>
      </c>
      <c r="C376" s="798"/>
      <c r="D376" s="810"/>
      <c r="E376" s="127" t="s">
        <v>2633</v>
      </c>
      <c r="F376" s="108" t="s">
        <v>271</v>
      </c>
      <c r="G376" s="130">
        <v>937.04</v>
      </c>
      <c r="H376" s="123">
        <f t="shared" si="5"/>
        <v>1058.8552</v>
      </c>
      <c r="I376" s="356" t="s">
        <v>2178</v>
      </c>
    </row>
    <row r="377" spans="1:9" ht="20.100000000000001" customHeight="1" x14ac:dyDescent="0.2">
      <c r="A377" s="225"/>
      <c r="B377" s="106" t="s">
        <v>2637</v>
      </c>
      <c r="C377" s="798"/>
      <c r="D377" s="810"/>
      <c r="E377" s="127" t="s">
        <v>337</v>
      </c>
      <c r="F377" s="108" t="s">
        <v>271</v>
      </c>
      <c r="G377" s="130">
        <v>4225.67</v>
      </c>
      <c r="H377" s="123">
        <f t="shared" si="5"/>
        <v>4775.0070999999998</v>
      </c>
      <c r="I377" s="356" t="s">
        <v>2178</v>
      </c>
    </row>
    <row r="378" spans="1:9" ht="20.100000000000001" customHeight="1" x14ac:dyDescent="0.2">
      <c r="A378" s="225"/>
      <c r="B378" s="106" t="s">
        <v>2678</v>
      </c>
      <c r="C378" s="798"/>
      <c r="D378" s="810"/>
      <c r="E378" s="127" t="s">
        <v>2679</v>
      </c>
      <c r="F378" s="108" t="s">
        <v>271</v>
      </c>
      <c r="G378" s="130">
        <v>1858.44</v>
      </c>
      <c r="H378" s="123">
        <f t="shared" si="5"/>
        <v>2100.0371999999998</v>
      </c>
      <c r="I378" s="356" t="s">
        <v>2178</v>
      </c>
    </row>
    <row r="379" spans="1:9" ht="20.100000000000001" customHeight="1" x14ac:dyDescent="0.2">
      <c r="A379" s="225"/>
      <c r="B379" s="106" t="s">
        <v>2683</v>
      </c>
      <c r="C379" s="798"/>
      <c r="D379" s="810"/>
      <c r="E379" s="127" t="s">
        <v>573</v>
      </c>
      <c r="F379" s="108" t="s">
        <v>271</v>
      </c>
      <c r="G379" s="130">
        <v>3733.03</v>
      </c>
      <c r="H379" s="123">
        <f t="shared" si="5"/>
        <v>4218.3238999999994</v>
      </c>
      <c r="I379" s="356" t="s">
        <v>2178</v>
      </c>
    </row>
    <row r="380" spans="1:9" ht="20.100000000000001" customHeight="1" x14ac:dyDescent="0.2">
      <c r="A380" s="225"/>
      <c r="B380" s="106" t="s">
        <v>1922</v>
      </c>
      <c r="C380" s="798"/>
      <c r="D380" s="810"/>
      <c r="E380" s="127" t="s">
        <v>485</v>
      </c>
      <c r="F380" s="108" t="s">
        <v>271</v>
      </c>
      <c r="G380" s="130">
        <v>2688.17</v>
      </c>
      <c r="H380" s="123">
        <f t="shared" si="5"/>
        <v>3037.6320999999998</v>
      </c>
      <c r="I380" s="356" t="s">
        <v>2178</v>
      </c>
    </row>
    <row r="381" spans="1:9" ht="20.100000000000001" customHeight="1" x14ac:dyDescent="0.2">
      <c r="A381" s="225"/>
      <c r="B381" s="106" t="s">
        <v>2559</v>
      </c>
      <c r="C381" s="798"/>
      <c r="D381" s="810"/>
      <c r="E381" s="127" t="s">
        <v>483</v>
      </c>
      <c r="F381" s="108" t="s">
        <v>271</v>
      </c>
      <c r="G381" s="130">
        <v>1905.31</v>
      </c>
      <c r="H381" s="123">
        <f t="shared" si="5"/>
        <v>2153.0002999999997</v>
      </c>
      <c r="I381" s="356" t="s">
        <v>2178</v>
      </c>
    </row>
    <row r="382" spans="1:9" ht="20.100000000000001" customHeight="1" x14ac:dyDescent="0.2">
      <c r="A382" s="225"/>
      <c r="B382" s="106" t="s">
        <v>2560</v>
      </c>
      <c r="C382" s="798"/>
      <c r="D382" s="810"/>
      <c r="E382" s="127" t="s">
        <v>479</v>
      </c>
      <c r="F382" s="108" t="s">
        <v>271</v>
      </c>
      <c r="G382" s="130">
        <v>3660.28</v>
      </c>
      <c r="H382" s="123">
        <f t="shared" si="5"/>
        <v>4136.1163999999999</v>
      </c>
      <c r="I382" s="356" t="s">
        <v>2178</v>
      </c>
    </row>
    <row r="383" spans="1:9" ht="20.100000000000001" customHeight="1" x14ac:dyDescent="0.2">
      <c r="A383" s="225"/>
      <c r="B383" s="106" t="s">
        <v>2561</v>
      </c>
      <c r="C383" s="798"/>
      <c r="D383" s="810"/>
      <c r="E383" s="127" t="s">
        <v>2562</v>
      </c>
      <c r="F383" s="108" t="s">
        <v>271</v>
      </c>
      <c r="G383" s="130">
        <v>5011.91</v>
      </c>
      <c r="H383" s="123">
        <f t="shared" si="5"/>
        <v>5663.4582999999993</v>
      </c>
      <c r="I383" s="356" t="s">
        <v>2178</v>
      </c>
    </row>
    <row r="384" spans="1:9" ht="20.100000000000001" customHeight="1" x14ac:dyDescent="0.2">
      <c r="A384" s="225"/>
      <c r="B384" s="106" t="s">
        <v>1981</v>
      </c>
      <c r="C384" s="798"/>
      <c r="D384" s="810"/>
      <c r="E384" s="127" t="s">
        <v>2563</v>
      </c>
      <c r="F384" s="108" t="s">
        <v>271</v>
      </c>
      <c r="G384" s="130">
        <v>4249.95</v>
      </c>
      <c r="H384" s="123">
        <f t="shared" si="5"/>
        <v>4802.4434999999994</v>
      </c>
      <c r="I384" s="356" t="s">
        <v>2178</v>
      </c>
    </row>
    <row r="385" spans="1:9" ht="20.100000000000001" customHeight="1" x14ac:dyDescent="0.2">
      <c r="A385" s="225"/>
      <c r="B385" s="106" t="s">
        <v>1959</v>
      </c>
      <c r="C385" s="798"/>
      <c r="D385" s="810"/>
      <c r="E385" s="127" t="s">
        <v>2564</v>
      </c>
      <c r="F385" s="108" t="s">
        <v>271</v>
      </c>
      <c r="G385" s="130">
        <v>1345</v>
      </c>
      <c r="H385" s="123">
        <f t="shared" si="5"/>
        <v>1519.85</v>
      </c>
      <c r="I385" s="356" t="s">
        <v>2178</v>
      </c>
    </row>
    <row r="386" spans="1:9" ht="20.100000000000001" customHeight="1" x14ac:dyDescent="0.2">
      <c r="A386" s="225"/>
      <c r="B386" s="106" t="s">
        <v>2088</v>
      </c>
      <c r="C386" s="798"/>
      <c r="D386" s="810"/>
      <c r="E386" s="127" t="s">
        <v>2565</v>
      </c>
      <c r="F386" s="108" t="s">
        <v>271</v>
      </c>
      <c r="G386" s="130">
        <v>1480.18</v>
      </c>
      <c r="H386" s="123">
        <f t="shared" si="5"/>
        <v>1672.6034</v>
      </c>
      <c r="I386" s="356" t="s">
        <v>2178</v>
      </c>
    </row>
    <row r="387" spans="1:9" ht="20.100000000000001" customHeight="1" x14ac:dyDescent="0.2">
      <c r="A387" s="225"/>
      <c r="B387" s="106" t="s">
        <v>2566</v>
      </c>
      <c r="C387" s="798"/>
      <c r="D387" s="810"/>
      <c r="E387" s="127" t="s">
        <v>486</v>
      </c>
      <c r="F387" s="108" t="s">
        <v>271</v>
      </c>
      <c r="G387" s="130">
        <v>12654.4</v>
      </c>
      <c r="H387" s="123">
        <f t="shared" si="5"/>
        <v>14299.471999999998</v>
      </c>
      <c r="I387" s="356" t="s">
        <v>2178</v>
      </c>
    </row>
    <row r="388" spans="1:9" ht="20.100000000000001" customHeight="1" x14ac:dyDescent="0.2">
      <c r="A388" s="225"/>
      <c r="B388" s="106" t="s">
        <v>2638</v>
      </c>
      <c r="C388" s="798"/>
      <c r="D388" s="810"/>
      <c r="E388" s="127" t="s">
        <v>484</v>
      </c>
      <c r="F388" s="108" t="s">
        <v>271</v>
      </c>
      <c r="G388" s="130">
        <v>4162.83</v>
      </c>
      <c r="H388" s="123">
        <f t="shared" si="5"/>
        <v>4703.9978999999994</v>
      </c>
      <c r="I388" s="356" t="s">
        <v>2178</v>
      </c>
    </row>
    <row r="389" spans="1:9" ht="20.100000000000001" customHeight="1" x14ac:dyDescent="0.2">
      <c r="A389" s="225"/>
      <c r="B389" s="106" t="s">
        <v>2643</v>
      </c>
      <c r="C389" s="798"/>
      <c r="D389" s="810"/>
      <c r="E389" s="127" t="s">
        <v>480</v>
      </c>
      <c r="F389" s="108" t="s">
        <v>271</v>
      </c>
      <c r="G389" s="130">
        <v>72600</v>
      </c>
      <c r="H389" s="123">
        <f t="shared" si="5"/>
        <v>82037.999999999985</v>
      </c>
      <c r="I389" s="356" t="s">
        <v>2178</v>
      </c>
    </row>
    <row r="390" spans="1:9" ht="20.100000000000001" customHeight="1" x14ac:dyDescent="0.2">
      <c r="A390" s="225"/>
      <c r="B390" s="106" t="s">
        <v>1923</v>
      </c>
      <c r="C390" s="798"/>
      <c r="D390" s="810"/>
      <c r="E390" s="127" t="s">
        <v>2648</v>
      </c>
      <c r="F390" s="108" t="s">
        <v>271</v>
      </c>
      <c r="G390" s="130">
        <v>3240</v>
      </c>
      <c r="H390" s="123">
        <f t="shared" si="5"/>
        <v>3661.2</v>
      </c>
      <c r="I390" s="356" t="s">
        <v>2178</v>
      </c>
    </row>
    <row r="391" spans="1:9" ht="20.100000000000001" customHeight="1" x14ac:dyDescent="0.2">
      <c r="A391" s="225"/>
      <c r="B391" s="106" t="s">
        <v>1978</v>
      </c>
      <c r="C391" s="798"/>
      <c r="D391" s="810"/>
      <c r="E391" s="127" t="s">
        <v>606</v>
      </c>
      <c r="F391" s="108" t="s">
        <v>271</v>
      </c>
      <c r="G391" s="130">
        <v>327.43</v>
      </c>
      <c r="H391" s="123">
        <f t="shared" si="5"/>
        <v>369.99589999999995</v>
      </c>
      <c r="I391" s="356" t="s">
        <v>2178</v>
      </c>
    </row>
    <row r="392" spans="1:9" ht="20.100000000000001" customHeight="1" x14ac:dyDescent="0.2">
      <c r="A392" s="225"/>
      <c r="B392" s="106" t="s">
        <v>2579</v>
      </c>
      <c r="C392" s="798"/>
      <c r="D392" s="810"/>
      <c r="E392" s="127" t="s">
        <v>607</v>
      </c>
      <c r="F392" s="108" t="s">
        <v>271</v>
      </c>
      <c r="G392" s="130">
        <v>274.33629999999999</v>
      </c>
      <c r="H392" s="123">
        <f t="shared" si="5"/>
        <v>310.00001899999995</v>
      </c>
      <c r="I392" s="356" t="s">
        <v>2178</v>
      </c>
    </row>
    <row r="393" spans="1:9" ht="20.100000000000001" customHeight="1" x14ac:dyDescent="0.2">
      <c r="A393" s="225"/>
      <c r="B393" s="106" t="s">
        <v>1935</v>
      </c>
      <c r="C393" s="798"/>
      <c r="D393" s="810"/>
      <c r="E393" s="127" t="s">
        <v>609</v>
      </c>
      <c r="F393" s="108" t="s">
        <v>271</v>
      </c>
      <c r="G393" s="130">
        <v>287.61</v>
      </c>
      <c r="H393" s="123">
        <f t="shared" si="5"/>
        <v>324.99930000000001</v>
      </c>
      <c r="I393" s="356" t="s">
        <v>2178</v>
      </c>
    </row>
    <row r="394" spans="1:9" ht="20.100000000000001" customHeight="1" x14ac:dyDescent="0.2">
      <c r="A394" s="225"/>
      <c r="B394" s="106" t="s">
        <v>2580</v>
      </c>
      <c r="C394" s="798"/>
      <c r="D394" s="810"/>
      <c r="E394" s="127" t="s">
        <v>610</v>
      </c>
      <c r="F394" s="108" t="s">
        <v>271</v>
      </c>
      <c r="G394" s="130">
        <v>283.18579999999997</v>
      </c>
      <c r="H394" s="123">
        <f t="shared" si="5"/>
        <v>319.99995399999995</v>
      </c>
      <c r="I394" s="356" t="s">
        <v>2178</v>
      </c>
    </row>
    <row r="395" spans="1:9" ht="20.100000000000001" customHeight="1" x14ac:dyDescent="0.2">
      <c r="A395" s="225"/>
      <c r="B395" s="106" t="s">
        <v>2685</v>
      </c>
      <c r="C395" s="798"/>
      <c r="D395" s="810"/>
      <c r="E395" s="127" t="s">
        <v>2686</v>
      </c>
      <c r="F395" s="108" t="s">
        <v>271</v>
      </c>
      <c r="G395" s="130">
        <v>33820</v>
      </c>
      <c r="H395" s="123">
        <f t="shared" si="5"/>
        <v>38216.6</v>
      </c>
      <c r="I395" s="356" t="s">
        <v>2178</v>
      </c>
    </row>
    <row r="396" spans="1:9" ht="20.100000000000001" customHeight="1" x14ac:dyDescent="0.2">
      <c r="A396" s="225"/>
      <c r="B396" s="106" t="s">
        <v>2673</v>
      </c>
      <c r="C396" s="798"/>
      <c r="D396" s="810"/>
      <c r="E396" s="128" t="s">
        <v>510</v>
      </c>
      <c r="F396" s="108" t="s">
        <v>271</v>
      </c>
      <c r="G396" s="130">
        <v>4651.2</v>
      </c>
      <c r="H396" s="123">
        <f t="shared" ref="H396:H419" si="6">+G396*1.13</f>
        <v>5255.8559999999989</v>
      </c>
      <c r="I396" s="356" t="s">
        <v>2178</v>
      </c>
    </row>
    <row r="397" spans="1:9" ht="20.100000000000001" customHeight="1" x14ac:dyDescent="0.2">
      <c r="A397" s="225"/>
      <c r="B397" s="106" t="s">
        <v>2574</v>
      </c>
      <c r="C397" s="798"/>
      <c r="D397" s="810"/>
      <c r="E397" s="128" t="s">
        <v>511</v>
      </c>
      <c r="F397" s="108" t="s">
        <v>271</v>
      </c>
      <c r="G397" s="130">
        <v>5384.8</v>
      </c>
      <c r="H397" s="123">
        <f t="shared" si="6"/>
        <v>6084.8239999999996</v>
      </c>
      <c r="I397" s="356" t="s">
        <v>2178</v>
      </c>
    </row>
    <row r="398" spans="1:9" ht="20.100000000000001" customHeight="1" x14ac:dyDescent="0.2">
      <c r="A398" s="225"/>
      <c r="B398" s="106" t="s">
        <v>2099</v>
      </c>
      <c r="C398" s="798"/>
      <c r="D398" s="810"/>
      <c r="E398" s="128" t="s">
        <v>711</v>
      </c>
      <c r="F398" s="108" t="s">
        <v>271</v>
      </c>
      <c r="G398" s="130">
        <v>3057.2</v>
      </c>
      <c r="H398" s="123">
        <f t="shared" si="6"/>
        <v>3454.6359999999995</v>
      </c>
      <c r="I398" s="356" t="s">
        <v>2178</v>
      </c>
    </row>
    <row r="399" spans="1:9" ht="20.100000000000001" customHeight="1" x14ac:dyDescent="0.2">
      <c r="A399" s="225"/>
      <c r="B399" s="106" t="s">
        <v>2653</v>
      </c>
      <c r="C399" s="798"/>
      <c r="D399" s="810"/>
      <c r="E399" s="128" t="s">
        <v>951</v>
      </c>
      <c r="F399" s="108" t="s">
        <v>271</v>
      </c>
      <c r="G399" s="130">
        <v>1567.64</v>
      </c>
      <c r="H399" s="123">
        <f t="shared" si="6"/>
        <v>1771.4331999999999</v>
      </c>
      <c r="I399" s="356" t="s">
        <v>2178</v>
      </c>
    </row>
    <row r="400" spans="1:9" ht="20.100000000000001" customHeight="1" x14ac:dyDescent="0.2">
      <c r="A400" s="225"/>
      <c r="B400" s="106" t="s">
        <v>2186</v>
      </c>
      <c r="C400" s="798"/>
      <c r="D400" s="810"/>
      <c r="E400" s="128" t="s">
        <v>712</v>
      </c>
      <c r="F400" s="108" t="s">
        <v>271</v>
      </c>
      <c r="G400" s="130">
        <v>1349.55</v>
      </c>
      <c r="H400" s="123">
        <f t="shared" si="6"/>
        <v>1524.9914999999999</v>
      </c>
      <c r="I400" s="356" t="s">
        <v>2178</v>
      </c>
    </row>
    <row r="401" spans="1:9" ht="20.100000000000001" customHeight="1" x14ac:dyDescent="0.2">
      <c r="A401" s="225"/>
      <c r="B401" s="106" t="s">
        <v>2677</v>
      </c>
      <c r="C401" s="798"/>
      <c r="D401" s="810"/>
      <c r="E401" s="127" t="s">
        <v>768</v>
      </c>
      <c r="F401" s="108" t="s">
        <v>271</v>
      </c>
      <c r="G401" s="130">
        <v>17500</v>
      </c>
      <c r="H401" s="123">
        <f t="shared" si="6"/>
        <v>19774.999999999996</v>
      </c>
      <c r="I401" s="356" t="s">
        <v>2178</v>
      </c>
    </row>
    <row r="402" spans="1:9" ht="20.100000000000001" customHeight="1" x14ac:dyDescent="0.2">
      <c r="A402" s="104"/>
      <c r="B402" s="106" t="s">
        <v>2589</v>
      </c>
      <c r="C402" s="798"/>
      <c r="D402" s="810"/>
      <c r="E402" s="128" t="s">
        <v>935</v>
      </c>
      <c r="F402" s="108" t="s">
        <v>271</v>
      </c>
      <c r="G402" s="130">
        <v>3200</v>
      </c>
      <c r="H402" s="123">
        <f t="shared" si="6"/>
        <v>3615.9999999999995</v>
      </c>
      <c r="I402" s="356" t="s">
        <v>2178</v>
      </c>
    </row>
    <row r="403" spans="1:9" ht="20.100000000000001" customHeight="1" x14ac:dyDescent="0.2">
      <c r="A403" s="225"/>
      <c r="B403" s="106" t="s">
        <v>2252</v>
      </c>
      <c r="C403" s="795"/>
      <c r="D403" s="813"/>
      <c r="E403" s="127" t="s">
        <v>2755</v>
      </c>
      <c r="F403" s="108" t="s">
        <v>271</v>
      </c>
      <c r="G403" s="130">
        <v>3589</v>
      </c>
      <c r="H403" s="123">
        <f t="shared" si="6"/>
        <v>4055.5699999999997</v>
      </c>
      <c r="I403" s="356" t="s">
        <v>2178</v>
      </c>
    </row>
    <row r="404" spans="1:9" ht="20.100000000000001" customHeight="1" x14ac:dyDescent="0.2">
      <c r="A404" s="225"/>
      <c r="B404" s="106" t="s">
        <v>2106</v>
      </c>
      <c r="C404" s="798"/>
      <c r="D404" s="810"/>
      <c r="E404" s="127" t="s">
        <v>2684</v>
      </c>
      <c r="F404" s="108" t="s">
        <v>271</v>
      </c>
      <c r="G404" s="130">
        <v>43098.25</v>
      </c>
      <c r="H404" s="123">
        <f t="shared" si="6"/>
        <v>48701.022499999992</v>
      </c>
      <c r="I404" s="356" t="s">
        <v>2178</v>
      </c>
    </row>
    <row r="405" spans="1:9" ht="20.100000000000001" customHeight="1" x14ac:dyDescent="0.2">
      <c r="A405" s="225"/>
      <c r="B405" s="106" t="s">
        <v>2439</v>
      </c>
      <c r="C405" s="798"/>
      <c r="D405" s="810"/>
      <c r="E405" s="127" t="s">
        <v>505</v>
      </c>
      <c r="F405" s="108" t="s">
        <v>388</v>
      </c>
      <c r="G405" s="130">
        <v>4420</v>
      </c>
      <c r="H405" s="123">
        <f t="shared" si="6"/>
        <v>4994.5999999999995</v>
      </c>
      <c r="I405" s="356" t="s">
        <v>2178</v>
      </c>
    </row>
    <row r="406" spans="1:9" ht="20.100000000000001" customHeight="1" x14ac:dyDescent="0.2">
      <c r="A406" s="225"/>
      <c r="B406" s="106" t="s">
        <v>1924</v>
      </c>
      <c r="C406" s="798"/>
      <c r="D406" s="810"/>
      <c r="E406" s="127" t="s">
        <v>506</v>
      </c>
      <c r="F406" s="108" t="s">
        <v>276</v>
      </c>
      <c r="G406" s="130">
        <v>4900</v>
      </c>
      <c r="H406" s="123">
        <f t="shared" si="6"/>
        <v>5536.9999999999991</v>
      </c>
      <c r="I406" s="356" t="s">
        <v>2178</v>
      </c>
    </row>
    <row r="407" spans="1:9" ht="20.100000000000001" customHeight="1" x14ac:dyDescent="0.2">
      <c r="A407" s="225"/>
      <c r="B407" s="106" t="s">
        <v>2860</v>
      </c>
      <c r="C407" s="798"/>
      <c r="D407" s="810"/>
      <c r="E407" s="127" t="s">
        <v>2861</v>
      </c>
      <c r="F407" s="108" t="s">
        <v>467</v>
      </c>
      <c r="G407" s="130">
        <f>374.4*tc</f>
        <v>198432</v>
      </c>
      <c r="H407" s="123">
        <f t="shared" si="6"/>
        <v>224228.15999999997</v>
      </c>
      <c r="I407" s="356" t="s">
        <v>2178</v>
      </c>
    </row>
    <row r="408" spans="1:9" ht="20.100000000000001" customHeight="1" x14ac:dyDescent="0.2">
      <c r="A408" s="225"/>
      <c r="B408" s="106" t="s">
        <v>2862</v>
      </c>
      <c r="C408" s="798"/>
      <c r="D408" s="810"/>
      <c r="E408" s="127" t="s">
        <v>2863</v>
      </c>
      <c r="F408" s="108" t="s">
        <v>467</v>
      </c>
      <c r="G408" s="130">
        <f>520*tc</f>
        <v>275600</v>
      </c>
      <c r="H408" s="123">
        <f t="shared" si="6"/>
        <v>311427.99999999994</v>
      </c>
      <c r="I408" s="356" t="s">
        <v>2178</v>
      </c>
    </row>
    <row r="409" spans="1:9" ht="20.100000000000001" customHeight="1" x14ac:dyDescent="0.2">
      <c r="A409" s="225"/>
      <c r="B409" s="106" t="s">
        <v>1977</v>
      </c>
      <c r="C409" s="798"/>
      <c r="D409" s="810"/>
      <c r="E409" s="127" t="s">
        <v>641</v>
      </c>
      <c r="F409" s="108" t="s">
        <v>282</v>
      </c>
      <c r="G409" s="130">
        <v>13300.89</v>
      </c>
      <c r="H409" s="123">
        <f t="shared" si="6"/>
        <v>15030.005699999998</v>
      </c>
      <c r="I409" s="356" t="s">
        <v>2178</v>
      </c>
    </row>
    <row r="410" spans="1:9" ht="20.100000000000001" customHeight="1" x14ac:dyDescent="0.2">
      <c r="A410" s="225"/>
      <c r="B410" s="106" t="s">
        <v>2086</v>
      </c>
      <c r="C410" s="798"/>
      <c r="D410" s="810"/>
      <c r="E410" s="328" t="s">
        <v>2087</v>
      </c>
      <c r="F410" s="108" t="s">
        <v>279</v>
      </c>
      <c r="G410" s="130">
        <f>1.25*tc</f>
        <v>662.5</v>
      </c>
      <c r="H410" s="123">
        <f t="shared" si="6"/>
        <v>748.62499999999989</v>
      </c>
      <c r="I410" s="356" t="s">
        <v>2178</v>
      </c>
    </row>
    <row r="411" spans="1:9" ht="20.100000000000001" customHeight="1" x14ac:dyDescent="0.2">
      <c r="A411" s="225"/>
      <c r="B411" s="333" t="s">
        <v>2086</v>
      </c>
      <c r="C411" s="843"/>
      <c r="D411" s="807"/>
      <c r="E411" s="342" t="s">
        <v>2087</v>
      </c>
      <c r="F411" s="334" t="s">
        <v>279</v>
      </c>
      <c r="G411" s="335">
        <v>1540.15</v>
      </c>
      <c r="H411" s="336">
        <f t="shared" si="6"/>
        <v>1740.3695</v>
      </c>
      <c r="I411" s="356" t="s">
        <v>2178</v>
      </c>
    </row>
    <row r="412" spans="1:9" ht="20.100000000000001" customHeight="1" x14ac:dyDescent="0.2">
      <c r="A412" s="225"/>
      <c r="B412" s="106" t="s">
        <v>1914</v>
      </c>
      <c r="C412" s="795"/>
      <c r="D412" s="813"/>
      <c r="E412" s="328" t="s">
        <v>2433</v>
      </c>
      <c r="F412" s="108" t="s">
        <v>584</v>
      </c>
      <c r="G412" s="130">
        <v>10658.85</v>
      </c>
      <c r="H412" s="123">
        <f t="shared" si="6"/>
        <v>12044.5005</v>
      </c>
      <c r="I412" s="356" t="s">
        <v>2178</v>
      </c>
    </row>
    <row r="413" spans="1:9" ht="20.100000000000001" customHeight="1" x14ac:dyDescent="0.2">
      <c r="A413" s="225"/>
      <c r="B413" s="106" t="s">
        <v>2397</v>
      </c>
      <c r="C413" s="798"/>
      <c r="D413" s="810"/>
      <c r="E413" s="328" t="s">
        <v>985</v>
      </c>
      <c r="F413" s="108" t="s">
        <v>584</v>
      </c>
      <c r="G413" s="130">
        <v>7522.12</v>
      </c>
      <c r="H413" s="123">
        <f t="shared" si="6"/>
        <v>8499.9955999999984</v>
      </c>
      <c r="I413" s="356" t="s">
        <v>2178</v>
      </c>
    </row>
    <row r="414" spans="1:9" ht="20.100000000000001" customHeight="1" x14ac:dyDescent="0.2">
      <c r="A414" s="225"/>
      <c r="B414" s="106" t="s">
        <v>1944</v>
      </c>
      <c r="C414" s="798"/>
      <c r="D414" s="810"/>
      <c r="E414" s="127" t="s">
        <v>2432</v>
      </c>
      <c r="F414" s="108" t="s">
        <v>324</v>
      </c>
      <c r="G414" s="130">
        <v>3932.4</v>
      </c>
      <c r="H414" s="123">
        <f t="shared" si="6"/>
        <v>4443.6120000000001</v>
      </c>
      <c r="I414" s="356" t="s">
        <v>2178</v>
      </c>
    </row>
    <row r="415" spans="1:9" ht="20.100000000000001" customHeight="1" x14ac:dyDescent="0.2">
      <c r="A415" s="225"/>
      <c r="B415" s="106" t="s">
        <v>1917</v>
      </c>
      <c r="C415" s="795"/>
      <c r="D415" s="813"/>
      <c r="E415" s="328" t="s">
        <v>987</v>
      </c>
      <c r="F415" s="108" t="s">
        <v>584</v>
      </c>
      <c r="G415" s="130">
        <v>15055</v>
      </c>
      <c r="H415" s="123">
        <f t="shared" si="6"/>
        <v>17012.149999999998</v>
      </c>
      <c r="I415" s="356" t="s">
        <v>2178</v>
      </c>
    </row>
    <row r="416" spans="1:9" ht="20.100000000000001" customHeight="1" x14ac:dyDescent="0.2">
      <c r="A416" s="225"/>
      <c r="B416" s="106" t="s">
        <v>1975</v>
      </c>
      <c r="C416" s="798"/>
      <c r="D416" s="810"/>
      <c r="E416" s="127" t="s">
        <v>2435</v>
      </c>
      <c r="F416" s="108" t="s">
        <v>324</v>
      </c>
      <c r="G416" s="130">
        <v>4000</v>
      </c>
      <c r="H416" s="123">
        <f t="shared" si="6"/>
        <v>4520</v>
      </c>
      <c r="I416" s="356" t="s">
        <v>2178</v>
      </c>
    </row>
    <row r="417" spans="1:9" ht="20.100000000000001" customHeight="1" x14ac:dyDescent="0.2">
      <c r="A417" s="225"/>
      <c r="B417" s="106" t="s">
        <v>1910</v>
      </c>
      <c r="C417" s="798"/>
      <c r="D417" s="810"/>
      <c r="E417" s="127" t="s">
        <v>964</v>
      </c>
      <c r="F417" s="108" t="s">
        <v>584</v>
      </c>
      <c r="G417" s="130">
        <v>12536.87</v>
      </c>
      <c r="H417" s="123">
        <f t="shared" si="6"/>
        <v>14166.6631</v>
      </c>
      <c r="I417" s="356" t="s">
        <v>2178</v>
      </c>
    </row>
    <row r="418" spans="1:9" ht="20.100000000000001" customHeight="1" x14ac:dyDescent="0.2">
      <c r="A418" s="225"/>
      <c r="B418" s="106" t="s">
        <v>2471</v>
      </c>
      <c r="C418" s="798"/>
      <c r="D418" s="810"/>
      <c r="E418" s="127" t="s">
        <v>2472</v>
      </c>
      <c r="F418" s="108" t="s">
        <v>276</v>
      </c>
      <c r="G418" s="130">
        <v>836.4</v>
      </c>
      <c r="H418" s="123">
        <f t="shared" si="6"/>
        <v>945.13199999999983</v>
      </c>
      <c r="I418" s="356" t="s">
        <v>2178</v>
      </c>
    </row>
    <row r="419" spans="1:9" ht="20.100000000000001" customHeight="1" x14ac:dyDescent="0.2">
      <c r="A419" s="225"/>
      <c r="B419" s="106" t="s">
        <v>2190</v>
      </c>
      <c r="C419" s="798"/>
      <c r="D419" s="810"/>
      <c r="E419" s="328" t="s">
        <v>2434</v>
      </c>
      <c r="F419" s="108" t="s">
        <v>584</v>
      </c>
      <c r="G419" s="130">
        <v>15055</v>
      </c>
      <c r="H419" s="123">
        <f t="shared" si="6"/>
        <v>17012.149999999998</v>
      </c>
      <c r="I419" s="356" t="s">
        <v>2178</v>
      </c>
    </row>
    <row r="420" spans="1:9" ht="20.100000000000001" customHeight="1" x14ac:dyDescent="0.2">
      <c r="A420" s="104"/>
      <c r="B420" s="106" t="s">
        <v>2190</v>
      </c>
      <c r="C420" s="798"/>
      <c r="D420" s="810"/>
      <c r="E420" s="328" t="s">
        <v>2434</v>
      </c>
      <c r="F420" s="108" t="s">
        <v>584</v>
      </c>
      <c r="G420" s="130">
        <v>15055</v>
      </c>
      <c r="H420" s="123" t="s">
        <v>3350</v>
      </c>
      <c r="I420" s="356" t="s">
        <v>2178</v>
      </c>
    </row>
    <row r="421" spans="1:9" ht="20.100000000000001" customHeight="1" x14ac:dyDescent="0.2">
      <c r="A421" s="225"/>
      <c r="B421" s="106" t="s">
        <v>2231</v>
      </c>
      <c r="C421" s="803" t="s">
        <v>109</v>
      </c>
      <c r="D421" s="816"/>
      <c r="E421" s="127" t="s">
        <v>2440</v>
      </c>
      <c r="F421" s="108" t="s">
        <v>271</v>
      </c>
      <c r="G421" s="130">
        <v>1522.9</v>
      </c>
      <c r="H421" s="123">
        <f t="shared" ref="H421:H452" si="7">+G421*1.13</f>
        <v>1720.877</v>
      </c>
      <c r="I421" s="356" t="s">
        <v>2178</v>
      </c>
    </row>
    <row r="422" spans="1:9" ht="20.100000000000001" customHeight="1" x14ac:dyDescent="0.2">
      <c r="A422" s="225"/>
      <c r="B422" s="106" t="s">
        <v>2231</v>
      </c>
      <c r="C422" s="801" t="s">
        <v>24</v>
      </c>
      <c r="D422" s="814"/>
      <c r="E422" s="127" t="s">
        <v>2094</v>
      </c>
      <c r="F422" s="108" t="s">
        <v>271</v>
      </c>
      <c r="G422" s="130">
        <v>1522.9</v>
      </c>
      <c r="H422" s="123">
        <f t="shared" si="7"/>
        <v>1720.877</v>
      </c>
      <c r="I422" s="356" t="s">
        <v>2178</v>
      </c>
    </row>
    <row r="423" spans="1:9" ht="20.100000000000001" customHeight="1" x14ac:dyDescent="0.2">
      <c r="A423" s="225"/>
      <c r="B423" s="106" t="s">
        <v>2231</v>
      </c>
      <c r="C423" s="798"/>
      <c r="D423" s="810"/>
      <c r="E423" s="127" t="s">
        <v>2094</v>
      </c>
      <c r="F423" s="108" t="s">
        <v>271</v>
      </c>
      <c r="G423" s="130">
        <v>1522.9</v>
      </c>
      <c r="H423" s="123">
        <f t="shared" si="7"/>
        <v>1720.877</v>
      </c>
      <c r="I423" s="356" t="s">
        <v>2178</v>
      </c>
    </row>
    <row r="424" spans="1:9" ht="20.100000000000001" customHeight="1" x14ac:dyDescent="0.2">
      <c r="A424" s="225"/>
      <c r="B424" s="106" t="s">
        <v>2231</v>
      </c>
      <c r="C424" s="798"/>
      <c r="D424" s="810"/>
      <c r="E424" s="127" t="s">
        <v>2094</v>
      </c>
      <c r="F424" s="108" t="s">
        <v>388</v>
      </c>
      <c r="G424" s="130">
        <v>1522.9</v>
      </c>
      <c r="H424" s="123">
        <f t="shared" si="7"/>
        <v>1720.877</v>
      </c>
      <c r="I424" s="356" t="s">
        <v>2178</v>
      </c>
    </row>
    <row r="425" spans="1:9" ht="20.100000000000001" customHeight="1" x14ac:dyDescent="0.2">
      <c r="A425" s="225"/>
      <c r="B425" s="106" t="s">
        <v>2230</v>
      </c>
      <c r="C425" s="798"/>
      <c r="D425" s="810"/>
      <c r="E425" s="127" t="s">
        <v>933</v>
      </c>
      <c r="F425" s="108" t="s">
        <v>271</v>
      </c>
      <c r="G425" s="130">
        <v>2734</v>
      </c>
      <c r="H425" s="123">
        <f t="shared" si="7"/>
        <v>3089.4199999999996</v>
      </c>
      <c r="I425" s="356" t="s">
        <v>2178</v>
      </c>
    </row>
    <row r="426" spans="1:9" ht="20.100000000000001" customHeight="1" x14ac:dyDescent="0.2">
      <c r="A426" s="225"/>
      <c r="B426" s="106" t="s">
        <v>2444</v>
      </c>
      <c r="C426" s="798"/>
      <c r="D426" s="810"/>
      <c r="E426" s="127" t="s">
        <v>658</v>
      </c>
      <c r="F426" s="108" t="s">
        <v>324</v>
      </c>
      <c r="G426" s="130">
        <v>3037.42</v>
      </c>
      <c r="H426" s="123">
        <f t="shared" si="7"/>
        <v>3432.2846</v>
      </c>
      <c r="I426" s="356" t="s">
        <v>2178</v>
      </c>
    </row>
    <row r="427" spans="1:9" ht="20.100000000000001" customHeight="1" x14ac:dyDescent="0.2">
      <c r="A427" s="225"/>
      <c r="B427" s="106" t="s">
        <v>2445</v>
      </c>
      <c r="C427" s="798"/>
      <c r="D427" s="810"/>
      <c r="E427" s="127" t="s">
        <v>642</v>
      </c>
      <c r="F427" s="108" t="s">
        <v>324</v>
      </c>
      <c r="G427" s="130">
        <v>27463.09</v>
      </c>
      <c r="H427" s="123">
        <f t="shared" si="7"/>
        <v>31033.291699999998</v>
      </c>
      <c r="I427" s="356" t="s">
        <v>2178</v>
      </c>
    </row>
    <row r="428" spans="1:9" ht="20.100000000000001" customHeight="1" x14ac:dyDescent="0.2">
      <c r="A428" s="225"/>
      <c r="B428" s="106" t="s">
        <v>2226</v>
      </c>
      <c r="C428" s="798"/>
      <c r="D428" s="810"/>
      <c r="E428" s="127" t="s">
        <v>650</v>
      </c>
      <c r="F428" s="108" t="s">
        <v>324</v>
      </c>
      <c r="G428" s="130">
        <v>5905</v>
      </c>
      <c r="H428" s="123">
        <f t="shared" si="7"/>
        <v>6672.65</v>
      </c>
      <c r="I428" s="356" t="s">
        <v>2178</v>
      </c>
    </row>
    <row r="429" spans="1:9" ht="20.100000000000001" customHeight="1" x14ac:dyDescent="0.2">
      <c r="A429" s="225"/>
      <c r="B429" s="106" t="s">
        <v>1976</v>
      </c>
      <c r="C429" s="798"/>
      <c r="D429" s="810"/>
      <c r="E429" s="127" t="s">
        <v>2448</v>
      </c>
      <c r="F429" s="108" t="s">
        <v>324</v>
      </c>
      <c r="G429" s="130">
        <v>9393.81</v>
      </c>
      <c r="H429" s="123">
        <f t="shared" si="7"/>
        <v>10615.005299999999</v>
      </c>
      <c r="I429" s="356" t="s">
        <v>2178</v>
      </c>
    </row>
    <row r="430" spans="1:9" ht="20.100000000000001" customHeight="1" x14ac:dyDescent="0.2">
      <c r="A430" s="225"/>
      <c r="B430" s="106" t="s">
        <v>2184</v>
      </c>
      <c r="C430" s="798"/>
      <c r="D430" s="810"/>
      <c r="E430" s="328" t="s">
        <v>986</v>
      </c>
      <c r="F430" s="108" t="s">
        <v>276</v>
      </c>
      <c r="G430" s="130">
        <v>107.43</v>
      </c>
      <c r="H430" s="123">
        <f t="shared" si="7"/>
        <v>121.3959</v>
      </c>
      <c r="I430" s="356" t="s">
        <v>2178</v>
      </c>
    </row>
    <row r="431" spans="1:9" ht="20.100000000000001" customHeight="1" x14ac:dyDescent="0.2">
      <c r="A431" s="225"/>
      <c r="B431" s="106" t="s">
        <v>1916</v>
      </c>
      <c r="C431" s="798"/>
      <c r="D431" s="810"/>
      <c r="E431" s="127" t="s">
        <v>930</v>
      </c>
      <c r="F431" s="108" t="s">
        <v>324</v>
      </c>
      <c r="G431" s="130">
        <v>40000</v>
      </c>
      <c r="H431" s="123">
        <f t="shared" si="7"/>
        <v>45199.999999999993</v>
      </c>
      <c r="I431" s="356" t="s">
        <v>2178</v>
      </c>
    </row>
    <row r="432" spans="1:9" ht="20.100000000000001" customHeight="1" x14ac:dyDescent="0.2">
      <c r="A432" s="368"/>
      <c r="B432" s="106" t="s">
        <v>2455</v>
      </c>
      <c r="C432" s="798"/>
      <c r="D432" s="810"/>
      <c r="E432" s="127" t="s">
        <v>714</v>
      </c>
      <c r="F432" s="108" t="s">
        <v>324</v>
      </c>
      <c r="G432" s="130">
        <v>3398.23</v>
      </c>
      <c r="H432" s="123">
        <f t="shared" si="7"/>
        <v>3839.9998999999998</v>
      </c>
      <c r="I432" s="356" t="s">
        <v>2178</v>
      </c>
    </row>
    <row r="433" spans="1:9" ht="20.100000000000001" customHeight="1" x14ac:dyDescent="0.2">
      <c r="A433" s="368"/>
      <c r="B433" s="106" t="s">
        <v>2457</v>
      </c>
      <c r="C433" s="798"/>
      <c r="D433" s="810"/>
      <c r="E433" s="127" t="s">
        <v>912</v>
      </c>
      <c r="F433" s="108" t="s">
        <v>324</v>
      </c>
      <c r="G433" s="130">
        <f>55*tc</f>
        <v>29150</v>
      </c>
      <c r="H433" s="123">
        <f t="shared" si="7"/>
        <v>32939.5</v>
      </c>
      <c r="I433" s="356" t="s">
        <v>2178</v>
      </c>
    </row>
    <row r="434" spans="1:9" ht="20.100000000000001" customHeight="1" x14ac:dyDescent="0.2">
      <c r="A434" s="225"/>
      <c r="B434" s="106" t="s">
        <v>2436</v>
      </c>
      <c r="C434" s="798"/>
      <c r="D434" s="810"/>
      <c r="E434" s="127" t="s">
        <v>393</v>
      </c>
      <c r="F434" s="108" t="s">
        <v>271</v>
      </c>
      <c r="G434" s="130">
        <v>5820.57</v>
      </c>
      <c r="H434" s="123">
        <f t="shared" si="7"/>
        <v>6577.244099999999</v>
      </c>
      <c r="I434" s="356" t="s">
        <v>2178</v>
      </c>
    </row>
    <row r="435" spans="1:9" ht="20.100000000000001" customHeight="1" x14ac:dyDescent="0.2">
      <c r="A435" s="225"/>
      <c r="B435" s="106" t="s">
        <v>2462</v>
      </c>
      <c r="C435" s="798"/>
      <c r="D435" s="810"/>
      <c r="E435" s="127" t="s">
        <v>929</v>
      </c>
      <c r="F435" s="108" t="s">
        <v>324</v>
      </c>
      <c r="G435" s="130">
        <f>140*tc</f>
        <v>74200</v>
      </c>
      <c r="H435" s="123">
        <f t="shared" si="7"/>
        <v>83845.999999999985</v>
      </c>
      <c r="I435" s="356" t="s">
        <v>2178</v>
      </c>
    </row>
    <row r="436" spans="1:9" ht="20.100000000000001" customHeight="1" x14ac:dyDescent="0.2">
      <c r="A436" s="104"/>
      <c r="B436" s="106" t="s">
        <v>2469</v>
      </c>
      <c r="C436" s="798"/>
      <c r="D436" s="810"/>
      <c r="E436" s="127" t="s">
        <v>554</v>
      </c>
      <c r="F436" s="108" t="s">
        <v>324</v>
      </c>
      <c r="G436" s="130">
        <v>230000</v>
      </c>
      <c r="H436" s="123">
        <f t="shared" si="7"/>
        <v>259899.99999999997</v>
      </c>
      <c r="I436" s="356" t="s">
        <v>2178</v>
      </c>
    </row>
    <row r="437" spans="1:9" ht="20.100000000000001" customHeight="1" x14ac:dyDescent="0.2">
      <c r="A437" s="225"/>
      <c r="B437" s="106" t="s">
        <v>2682</v>
      </c>
      <c r="C437" s="798"/>
      <c r="D437" s="810"/>
      <c r="E437" s="127" t="s">
        <v>743</v>
      </c>
      <c r="F437" s="108" t="s">
        <v>271</v>
      </c>
      <c r="G437" s="130">
        <f>32*tc</f>
        <v>16960</v>
      </c>
      <c r="H437" s="123">
        <f t="shared" si="7"/>
        <v>19164.8</v>
      </c>
      <c r="I437" s="356" t="s">
        <v>2178</v>
      </c>
    </row>
    <row r="438" spans="1:9" ht="20.100000000000001" customHeight="1" x14ac:dyDescent="0.2">
      <c r="A438" s="225"/>
      <c r="B438" s="106" t="s">
        <v>2437</v>
      </c>
      <c r="C438" s="798"/>
      <c r="D438" s="810"/>
      <c r="E438" s="127" t="s">
        <v>897</v>
      </c>
      <c r="F438" s="108" t="s">
        <v>584</v>
      </c>
      <c r="G438" s="130">
        <v>73098.38</v>
      </c>
      <c r="H438" s="123">
        <f t="shared" si="7"/>
        <v>82601.169399999999</v>
      </c>
      <c r="I438" s="356" t="s">
        <v>2178</v>
      </c>
    </row>
    <row r="439" spans="1:9" ht="20.100000000000001" customHeight="1" x14ac:dyDescent="0.2">
      <c r="A439" s="368"/>
      <c r="B439" s="106" t="s">
        <v>2438</v>
      </c>
      <c r="C439" s="798"/>
      <c r="D439" s="810"/>
      <c r="E439" s="127" t="s">
        <v>583</v>
      </c>
      <c r="F439" s="108" t="s">
        <v>584</v>
      </c>
      <c r="G439" s="130">
        <v>69793.88</v>
      </c>
      <c r="H439" s="123">
        <f t="shared" si="7"/>
        <v>78867.084399999992</v>
      </c>
      <c r="I439" s="356" t="s">
        <v>2178</v>
      </c>
    </row>
    <row r="440" spans="1:9" ht="20.100000000000001" customHeight="1" x14ac:dyDescent="0.2">
      <c r="A440" s="368"/>
      <c r="B440" s="106" t="s">
        <v>2272</v>
      </c>
      <c r="C440" s="798"/>
      <c r="D440" s="810"/>
      <c r="E440" s="127" t="s">
        <v>382</v>
      </c>
      <c r="F440" s="108" t="s">
        <v>271</v>
      </c>
      <c r="G440" s="130">
        <v>3191.76</v>
      </c>
      <c r="H440" s="123">
        <f t="shared" si="7"/>
        <v>3606.6887999999999</v>
      </c>
      <c r="I440" s="356" t="s">
        <v>2178</v>
      </c>
    </row>
    <row r="441" spans="1:9" ht="20.100000000000001" customHeight="1" x14ac:dyDescent="0.2">
      <c r="A441" s="225"/>
      <c r="B441" s="106" t="s">
        <v>1984</v>
      </c>
      <c r="C441" s="798"/>
      <c r="D441" s="810"/>
      <c r="E441" s="127" t="s">
        <v>742</v>
      </c>
      <c r="F441" s="108" t="s">
        <v>271</v>
      </c>
      <c r="G441" s="130">
        <v>3550</v>
      </c>
      <c r="H441" s="123">
        <f t="shared" si="7"/>
        <v>4011.4999999999995</v>
      </c>
      <c r="I441" s="356" t="s">
        <v>2178</v>
      </c>
    </row>
    <row r="442" spans="1:9" ht="20.100000000000001" customHeight="1" x14ac:dyDescent="0.2">
      <c r="A442" s="225"/>
      <c r="B442" s="106" t="s">
        <v>2443</v>
      </c>
      <c r="C442" s="798"/>
      <c r="D442" s="810"/>
      <c r="E442" s="127" t="s">
        <v>944</v>
      </c>
      <c r="F442" s="108" t="s">
        <v>271</v>
      </c>
      <c r="G442" s="130">
        <v>347.56</v>
      </c>
      <c r="H442" s="123">
        <f t="shared" si="7"/>
        <v>392.74279999999999</v>
      </c>
      <c r="I442" s="356" t="s">
        <v>2178</v>
      </c>
    </row>
    <row r="443" spans="1:9" ht="20.100000000000001" customHeight="1" x14ac:dyDescent="0.2">
      <c r="A443" s="357" t="s">
        <v>2619</v>
      </c>
      <c r="B443" s="106" t="s">
        <v>2012</v>
      </c>
      <c r="C443" s="798"/>
      <c r="D443" s="810"/>
      <c r="E443" s="328" t="s">
        <v>2449</v>
      </c>
      <c r="F443" s="108" t="s">
        <v>271</v>
      </c>
      <c r="G443" s="130">
        <v>14042.48</v>
      </c>
      <c r="H443" s="123">
        <f t="shared" si="7"/>
        <v>15868.002399999998</v>
      </c>
      <c r="I443" s="382"/>
    </row>
    <row r="444" spans="1:9" ht="20.100000000000001" customHeight="1" x14ac:dyDescent="0.2">
      <c r="A444" s="225"/>
      <c r="B444" s="106" t="s">
        <v>2450</v>
      </c>
      <c r="C444" s="798"/>
      <c r="D444" s="810"/>
      <c r="E444" s="328" t="s">
        <v>1114</v>
      </c>
      <c r="F444" s="108" t="s">
        <v>271</v>
      </c>
      <c r="G444" s="130">
        <v>28703.7</v>
      </c>
      <c r="H444" s="123">
        <f t="shared" si="7"/>
        <v>32435.180999999997</v>
      </c>
      <c r="I444" s="356" t="s">
        <v>2178</v>
      </c>
    </row>
    <row r="445" spans="1:9" ht="20.100000000000001" customHeight="1" x14ac:dyDescent="0.2">
      <c r="A445" s="225"/>
      <c r="B445" s="106" t="s">
        <v>2451</v>
      </c>
      <c r="C445" s="798"/>
      <c r="D445" s="810"/>
      <c r="E445" s="127" t="s">
        <v>3204</v>
      </c>
      <c r="F445" s="108" t="s">
        <v>271</v>
      </c>
      <c r="G445" s="130">
        <f>8077.27/1.13</f>
        <v>7148.0265486725675</v>
      </c>
      <c r="H445" s="123">
        <f t="shared" si="7"/>
        <v>8077.27</v>
      </c>
      <c r="I445" s="356" t="s">
        <v>2178</v>
      </c>
    </row>
    <row r="446" spans="1:9" ht="20.100000000000001" customHeight="1" x14ac:dyDescent="0.2">
      <c r="A446" s="225"/>
      <c r="B446" s="106" t="s">
        <v>2452</v>
      </c>
      <c r="C446" s="798"/>
      <c r="D446" s="810"/>
      <c r="E446" s="127" t="s">
        <v>322</v>
      </c>
      <c r="F446" s="108" t="s">
        <v>271</v>
      </c>
      <c r="G446" s="130">
        <v>435</v>
      </c>
      <c r="H446" s="123">
        <f t="shared" si="7"/>
        <v>491.54999999999995</v>
      </c>
      <c r="I446" s="356" t="s">
        <v>2178</v>
      </c>
    </row>
    <row r="447" spans="1:9" ht="20.100000000000001" customHeight="1" x14ac:dyDescent="0.2">
      <c r="A447" s="104"/>
      <c r="B447" s="106" t="s">
        <v>2456</v>
      </c>
      <c r="C447" s="798"/>
      <c r="D447" s="810"/>
      <c r="E447" s="127" t="s">
        <v>427</v>
      </c>
      <c r="F447" s="108" t="s">
        <v>271</v>
      </c>
      <c r="G447" s="130">
        <v>15482.3</v>
      </c>
      <c r="H447" s="123">
        <f t="shared" si="7"/>
        <v>17494.998999999996</v>
      </c>
      <c r="I447" s="356" t="s">
        <v>2178</v>
      </c>
    </row>
    <row r="448" spans="1:9" ht="20.100000000000001" customHeight="1" x14ac:dyDescent="0.2">
      <c r="A448" s="225"/>
      <c r="B448" s="106" t="s">
        <v>2549</v>
      </c>
      <c r="C448" s="798"/>
      <c r="D448" s="810"/>
      <c r="E448" s="127" t="s">
        <v>2550</v>
      </c>
      <c r="F448" s="108" t="s">
        <v>324</v>
      </c>
      <c r="G448" s="130">
        <v>6443.13</v>
      </c>
      <c r="H448" s="123">
        <f t="shared" si="7"/>
        <v>7280.7368999999999</v>
      </c>
      <c r="I448" s="356" t="s">
        <v>2178</v>
      </c>
    </row>
    <row r="449" spans="1:9" ht="20.100000000000001" customHeight="1" x14ac:dyDescent="0.2">
      <c r="A449" s="225"/>
      <c r="B449" s="106" t="s">
        <v>3531</v>
      </c>
      <c r="C449" s="798"/>
      <c r="D449" s="810"/>
      <c r="E449" s="127" t="s">
        <v>3532</v>
      </c>
      <c r="F449" s="108" t="s">
        <v>324</v>
      </c>
      <c r="G449" s="130">
        <v>4891.59</v>
      </c>
      <c r="H449" s="123">
        <f t="shared" si="7"/>
        <v>5527.4966999999997</v>
      </c>
      <c r="I449" s="356"/>
    </row>
    <row r="450" spans="1:9" ht="20.100000000000001" customHeight="1" x14ac:dyDescent="0.2">
      <c r="A450" s="225"/>
      <c r="B450" s="106" t="s">
        <v>3549</v>
      </c>
      <c r="C450" s="798"/>
      <c r="D450" s="810"/>
      <c r="E450" s="127" t="s">
        <v>3550</v>
      </c>
      <c r="F450" s="108" t="s">
        <v>584</v>
      </c>
      <c r="G450" s="130">
        <v>48211.95</v>
      </c>
      <c r="H450" s="123">
        <f t="shared" si="7"/>
        <v>54479.503499999992</v>
      </c>
      <c r="I450" s="356"/>
    </row>
    <row r="451" spans="1:9" ht="20.100000000000001" customHeight="1" x14ac:dyDescent="0.2">
      <c r="A451" s="225"/>
      <c r="B451" s="106" t="s">
        <v>3200</v>
      </c>
      <c r="C451" s="798"/>
      <c r="D451" s="810"/>
      <c r="E451" s="127" t="s">
        <v>3206</v>
      </c>
      <c r="F451" s="108" t="s">
        <v>271</v>
      </c>
      <c r="G451" s="130">
        <f>3810.52/1.13</f>
        <v>3372.1415929203545</v>
      </c>
      <c r="H451" s="123">
        <f t="shared" si="7"/>
        <v>3810.52</v>
      </c>
      <c r="I451" s="356" t="s">
        <v>2178</v>
      </c>
    </row>
    <row r="452" spans="1:9" ht="20.100000000000001" customHeight="1" x14ac:dyDescent="0.2">
      <c r="A452" s="368"/>
      <c r="B452" s="106" t="s">
        <v>3199</v>
      </c>
      <c r="C452" s="798"/>
      <c r="D452" s="810"/>
      <c r="E452" s="127" t="s">
        <v>3205</v>
      </c>
      <c r="F452" s="108" t="s">
        <v>271</v>
      </c>
      <c r="G452" s="130">
        <f>6988.62/1.13</f>
        <v>6184.6194690265493</v>
      </c>
      <c r="H452" s="123">
        <f t="shared" si="7"/>
        <v>6988.62</v>
      </c>
      <c r="I452" s="356" t="s">
        <v>2178</v>
      </c>
    </row>
    <row r="453" spans="1:9" ht="20.100000000000001" customHeight="1" x14ac:dyDescent="0.2">
      <c r="A453" s="225"/>
      <c r="B453" s="106" t="s">
        <v>3202</v>
      </c>
      <c r="C453" s="798"/>
      <c r="D453" s="810"/>
      <c r="E453" s="127" t="s">
        <v>3208</v>
      </c>
      <c r="F453" s="108" t="s">
        <v>271</v>
      </c>
      <c r="G453" s="130">
        <f>6115.08/1.13</f>
        <v>5411.5752212389389</v>
      </c>
      <c r="H453" s="123">
        <f t="shared" ref="H453:H484" si="8">+G453*1.13</f>
        <v>6115.08</v>
      </c>
      <c r="I453" s="356" t="s">
        <v>2178</v>
      </c>
    </row>
    <row r="454" spans="1:9" ht="20.100000000000001" customHeight="1" x14ac:dyDescent="0.2">
      <c r="A454" s="225"/>
      <c r="B454" s="106" t="s">
        <v>3201</v>
      </c>
      <c r="C454" s="798"/>
      <c r="D454" s="810"/>
      <c r="E454" s="127" t="s">
        <v>3207</v>
      </c>
      <c r="F454" s="108" t="s">
        <v>271</v>
      </c>
      <c r="G454" s="130">
        <f>3667.75/1.13</f>
        <v>3245.7964601769913</v>
      </c>
      <c r="H454" s="123">
        <f t="shared" si="8"/>
        <v>3667.75</v>
      </c>
      <c r="I454" s="356" t="s">
        <v>2178</v>
      </c>
    </row>
    <row r="455" spans="1:9" ht="20.100000000000001" customHeight="1" x14ac:dyDescent="0.2">
      <c r="A455" s="225"/>
      <c r="B455" s="106" t="s">
        <v>3203</v>
      </c>
      <c r="C455" s="798"/>
      <c r="D455" s="810"/>
      <c r="E455" s="127" t="s">
        <v>3209</v>
      </c>
      <c r="F455" s="108" t="s">
        <v>271</v>
      </c>
      <c r="G455" s="130">
        <f>6877.89/1.13</f>
        <v>6086.6283185840721</v>
      </c>
      <c r="H455" s="123">
        <f t="shared" si="8"/>
        <v>6877.8900000000012</v>
      </c>
      <c r="I455" s="356" t="s">
        <v>2178</v>
      </c>
    </row>
    <row r="456" spans="1:9" ht="20.100000000000001" customHeight="1" x14ac:dyDescent="0.2">
      <c r="A456" s="225"/>
      <c r="B456" s="106" t="s">
        <v>1938</v>
      </c>
      <c r="C456" s="798"/>
      <c r="D456" s="810"/>
      <c r="E456" s="127" t="s">
        <v>339</v>
      </c>
      <c r="F456" s="108" t="s">
        <v>271</v>
      </c>
      <c r="G456" s="130">
        <v>1261.07</v>
      </c>
      <c r="H456" s="123">
        <f t="shared" si="8"/>
        <v>1425.0090999999998</v>
      </c>
      <c r="I456" s="356" t="s">
        <v>2178</v>
      </c>
    </row>
    <row r="457" spans="1:9" ht="20.100000000000001" customHeight="1" x14ac:dyDescent="0.2">
      <c r="A457" s="225"/>
      <c r="B457" s="106" t="s">
        <v>1939</v>
      </c>
      <c r="C457" s="798"/>
      <c r="D457" s="810"/>
      <c r="E457" s="127" t="s">
        <v>340</v>
      </c>
      <c r="F457" s="108" t="s">
        <v>271</v>
      </c>
      <c r="G457" s="130">
        <v>1823.01</v>
      </c>
      <c r="H457" s="123">
        <f t="shared" si="8"/>
        <v>2060.0012999999999</v>
      </c>
      <c r="I457" s="356" t="s">
        <v>2178</v>
      </c>
    </row>
    <row r="458" spans="1:9" ht="20.100000000000001" customHeight="1" x14ac:dyDescent="0.2">
      <c r="A458" s="225"/>
      <c r="B458" s="106" t="s">
        <v>2571</v>
      </c>
      <c r="C458" s="798"/>
      <c r="D458" s="810"/>
      <c r="E458" s="127" t="s">
        <v>501</v>
      </c>
      <c r="F458" s="108" t="s">
        <v>271</v>
      </c>
      <c r="G458" s="130">
        <v>1402.65</v>
      </c>
      <c r="H458" s="123">
        <f t="shared" si="8"/>
        <v>1584.9945</v>
      </c>
      <c r="I458" s="356" t="s">
        <v>2178</v>
      </c>
    </row>
    <row r="459" spans="1:9" ht="20.100000000000001" customHeight="1" x14ac:dyDescent="0.2">
      <c r="A459" s="225"/>
      <c r="B459" s="106" t="s">
        <v>1940</v>
      </c>
      <c r="C459" s="798"/>
      <c r="D459" s="810"/>
      <c r="E459" s="127" t="s">
        <v>503</v>
      </c>
      <c r="F459" s="108" t="s">
        <v>271</v>
      </c>
      <c r="G459" s="130">
        <v>1539.82</v>
      </c>
      <c r="H459" s="123">
        <f t="shared" si="8"/>
        <v>1739.9965999999997</v>
      </c>
      <c r="I459" s="356" t="s">
        <v>2178</v>
      </c>
    </row>
    <row r="460" spans="1:9" ht="20.100000000000001" customHeight="1" x14ac:dyDescent="0.2">
      <c r="A460" s="225"/>
      <c r="B460" s="106" t="s">
        <v>2572</v>
      </c>
      <c r="C460" s="798"/>
      <c r="D460" s="810"/>
      <c r="E460" s="127" t="s">
        <v>504</v>
      </c>
      <c r="F460" s="108" t="s">
        <v>271</v>
      </c>
      <c r="G460" s="130">
        <v>4592.92</v>
      </c>
      <c r="H460" s="123">
        <f t="shared" si="8"/>
        <v>5189.9995999999992</v>
      </c>
      <c r="I460" s="356" t="s">
        <v>2178</v>
      </c>
    </row>
    <row r="461" spans="1:9" ht="20.100000000000001" customHeight="1" x14ac:dyDescent="0.2">
      <c r="A461" s="225"/>
      <c r="B461" s="106" t="s">
        <v>2585</v>
      </c>
      <c r="C461" s="798"/>
      <c r="D461" s="810"/>
      <c r="E461" s="127" t="s">
        <v>2586</v>
      </c>
      <c r="F461" s="108" t="s">
        <v>411</v>
      </c>
      <c r="G461" s="130">
        <v>1735</v>
      </c>
      <c r="H461" s="123">
        <f t="shared" si="8"/>
        <v>1960.5499999999997</v>
      </c>
      <c r="I461" s="356" t="s">
        <v>2178</v>
      </c>
    </row>
    <row r="462" spans="1:9" ht="20.100000000000001" customHeight="1" x14ac:dyDescent="0.2">
      <c r="A462" s="104"/>
      <c r="B462" s="106" t="s">
        <v>2587</v>
      </c>
      <c r="C462" s="798"/>
      <c r="D462" s="810"/>
      <c r="E462" s="127" t="s">
        <v>654</v>
      </c>
      <c r="F462" s="108" t="s">
        <v>411</v>
      </c>
      <c r="G462" s="130">
        <v>1987.17</v>
      </c>
      <c r="H462" s="123">
        <f t="shared" si="8"/>
        <v>2245.5020999999997</v>
      </c>
      <c r="I462" s="356" t="s">
        <v>2178</v>
      </c>
    </row>
    <row r="463" spans="1:9" ht="20.100000000000001" customHeight="1" x14ac:dyDescent="0.2">
      <c r="A463" s="225"/>
      <c r="B463" s="106" t="s">
        <v>1941</v>
      </c>
      <c r="C463" s="798"/>
      <c r="D463" s="810"/>
      <c r="E463" s="127" t="s">
        <v>725</v>
      </c>
      <c r="F463" s="108" t="s">
        <v>271</v>
      </c>
      <c r="G463" s="130">
        <v>2133</v>
      </c>
      <c r="H463" s="123">
        <f t="shared" si="8"/>
        <v>2410.29</v>
      </c>
      <c r="I463" s="356" t="s">
        <v>2178</v>
      </c>
    </row>
    <row r="464" spans="1:9" ht="20.100000000000001" customHeight="1" x14ac:dyDescent="0.2">
      <c r="A464" s="225"/>
      <c r="B464" s="106" t="s">
        <v>2131</v>
      </c>
      <c r="C464" s="798"/>
      <c r="D464" s="810"/>
      <c r="E464" s="127" t="s">
        <v>729</v>
      </c>
      <c r="F464" s="108" t="s">
        <v>271</v>
      </c>
      <c r="G464" s="130">
        <v>3569</v>
      </c>
      <c r="H464" s="123">
        <f t="shared" si="8"/>
        <v>4032.97</v>
      </c>
      <c r="I464" s="356" t="s">
        <v>2178</v>
      </c>
    </row>
    <row r="465" spans="1:9" ht="20.100000000000001" customHeight="1" x14ac:dyDescent="0.2">
      <c r="A465" s="375" t="s">
        <v>2641</v>
      </c>
      <c r="B465" s="106" t="s">
        <v>2612</v>
      </c>
      <c r="C465" s="798"/>
      <c r="D465" s="810"/>
      <c r="E465" s="127" t="s">
        <v>730</v>
      </c>
      <c r="F465" s="108" t="s">
        <v>271</v>
      </c>
      <c r="G465" s="130">
        <v>2212.39</v>
      </c>
      <c r="H465" s="123">
        <f t="shared" si="8"/>
        <v>2500.0006999999996</v>
      </c>
      <c r="I465" s="356"/>
    </row>
    <row r="466" spans="1:9" ht="20.100000000000001" customHeight="1" x14ac:dyDescent="0.2">
      <c r="A466" s="225"/>
      <c r="B466" s="106" t="s">
        <v>2676</v>
      </c>
      <c r="C466" s="798"/>
      <c r="D466" s="810"/>
      <c r="E466" s="127" t="s">
        <v>889</v>
      </c>
      <c r="F466" s="108" t="s">
        <v>271</v>
      </c>
      <c r="G466" s="130">
        <v>1805.3097</v>
      </c>
      <c r="H466" s="123">
        <f t="shared" si="8"/>
        <v>2039.9999609999998</v>
      </c>
      <c r="I466" s="356" t="s">
        <v>2178</v>
      </c>
    </row>
    <row r="467" spans="1:9" ht="20.100000000000001" customHeight="1" x14ac:dyDescent="0.2">
      <c r="A467" s="225"/>
      <c r="B467" s="106" t="s">
        <v>2201</v>
      </c>
      <c r="C467" s="798"/>
      <c r="D467" s="810"/>
      <c r="E467" s="127" t="s">
        <v>2700</v>
      </c>
      <c r="F467" s="108" t="s">
        <v>282</v>
      </c>
      <c r="G467" s="130">
        <v>5721.2389000000003</v>
      </c>
      <c r="H467" s="123">
        <f t="shared" si="8"/>
        <v>6464.999957</v>
      </c>
      <c r="I467" s="356" t="s">
        <v>2178</v>
      </c>
    </row>
    <row r="468" spans="1:9" ht="20.100000000000001" customHeight="1" x14ac:dyDescent="0.2">
      <c r="A468" s="225"/>
      <c r="B468" s="106" t="s">
        <v>2611</v>
      </c>
      <c r="C468" s="798"/>
      <c r="D468" s="810"/>
      <c r="E468" s="127" t="s">
        <v>476</v>
      </c>
      <c r="F468" s="108" t="s">
        <v>282</v>
      </c>
      <c r="G468" s="130">
        <v>5668.92</v>
      </c>
      <c r="H468" s="123">
        <f t="shared" si="8"/>
        <v>6405.8795999999993</v>
      </c>
      <c r="I468" s="356" t="s">
        <v>2178</v>
      </c>
    </row>
    <row r="469" spans="1:9" ht="20.100000000000001" customHeight="1" x14ac:dyDescent="0.2">
      <c r="A469" s="225"/>
      <c r="B469" s="106" t="s">
        <v>1942</v>
      </c>
      <c r="C469" s="798"/>
      <c r="D469" s="810"/>
      <c r="E469" s="127" t="s">
        <v>552</v>
      </c>
      <c r="F469" s="108" t="s">
        <v>305</v>
      </c>
      <c r="G469" s="130">
        <v>178482</v>
      </c>
      <c r="H469" s="123">
        <f t="shared" si="8"/>
        <v>201684.65999999997</v>
      </c>
      <c r="I469" s="356" t="s">
        <v>2178</v>
      </c>
    </row>
    <row r="470" spans="1:9" ht="20.100000000000001" customHeight="1" x14ac:dyDescent="0.2">
      <c r="A470" s="225"/>
      <c r="B470" s="106" t="s">
        <v>1943</v>
      </c>
      <c r="C470" s="798"/>
      <c r="D470" s="810"/>
      <c r="E470" s="127" t="s">
        <v>963</v>
      </c>
      <c r="F470" s="108" t="s">
        <v>305</v>
      </c>
      <c r="G470" s="130">
        <v>237924</v>
      </c>
      <c r="H470" s="123">
        <f t="shared" si="8"/>
        <v>268854.12</v>
      </c>
      <c r="I470" s="356" t="s">
        <v>2178</v>
      </c>
    </row>
    <row r="471" spans="1:9" ht="20.100000000000001" customHeight="1" x14ac:dyDescent="0.2">
      <c r="A471" s="225"/>
      <c r="B471" s="106" t="s">
        <v>2461</v>
      </c>
      <c r="C471" s="798"/>
      <c r="D471" s="810"/>
      <c r="E471" s="127" t="s">
        <v>961</v>
      </c>
      <c r="F471" s="108" t="s">
        <v>282</v>
      </c>
      <c r="G471" s="130">
        <v>18212.39</v>
      </c>
      <c r="H471" s="123">
        <f t="shared" si="8"/>
        <v>20580.000699999997</v>
      </c>
      <c r="I471" s="356" t="s">
        <v>2178</v>
      </c>
    </row>
    <row r="472" spans="1:9" ht="20.100000000000001" customHeight="1" x14ac:dyDescent="0.2">
      <c r="A472" s="225"/>
      <c r="B472" s="106" t="s">
        <v>2463</v>
      </c>
      <c r="C472" s="798"/>
      <c r="D472" s="810"/>
      <c r="E472" s="127" t="s">
        <v>553</v>
      </c>
      <c r="F472" s="108" t="s">
        <v>271</v>
      </c>
      <c r="G472" s="130">
        <v>85000</v>
      </c>
      <c r="H472" s="123">
        <f t="shared" si="8"/>
        <v>96049.999999999985</v>
      </c>
      <c r="I472" s="356" t="s">
        <v>2178</v>
      </c>
    </row>
    <row r="473" spans="1:9" ht="20.100000000000001" customHeight="1" x14ac:dyDescent="0.2">
      <c r="A473" s="225"/>
      <c r="B473" s="106" t="s">
        <v>2470</v>
      </c>
      <c r="C473" s="798"/>
      <c r="D473" s="810"/>
      <c r="E473" s="127" t="s">
        <v>637</v>
      </c>
      <c r="F473" s="108" t="s">
        <v>638</v>
      </c>
      <c r="G473" s="130">
        <v>214200</v>
      </c>
      <c r="H473" s="123">
        <f t="shared" si="8"/>
        <v>242045.99999999997</v>
      </c>
      <c r="I473" s="356" t="s">
        <v>2178</v>
      </c>
    </row>
    <row r="474" spans="1:9" ht="20.100000000000001" customHeight="1" x14ac:dyDescent="0.2">
      <c r="A474" s="225"/>
      <c r="B474" s="106" t="s">
        <v>1963</v>
      </c>
      <c r="C474" s="798"/>
      <c r="D474" s="810"/>
      <c r="E474" s="127" t="s">
        <v>645</v>
      </c>
      <c r="F474" s="108" t="s">
        <v>646</v>
      </c>
      <c r="G474" s="130">
        <v>6332.82</v>
      </c>
      <c r="H474" s="123">
        <f t="shared" si="8"/>
        <v>7156.0865999999987</v>
      </c>
      <c r="I474" s="356" t="s">
        <v>2178</v>
      </c>
    </row>
    <row r="475" spans="1:9" ht="20.100000000000001" customHeight="1" x14ac:dyDescent="0.2">
      <c r="A475" s="225"/>
      <c r="B475" s="106" t="s">
        <v>2707</v>
      </c>
      <c r="C475" s="798"/>
      <c r="D475" s="810"/>
      <c r="E475" s="127" t="s">
        <v>973</v>
      </c>
      <c r="F475" s="108" t="s">
        <v>271</v>
      </c>
      <c r="G475" s="130">
        <v>3228.32</v>
      </c>
      <c r="H475" s="123">
        <f t="shared" si="8"/>
        <v>3648.0016000000001</v>
      </c>
      <c r="I475" s="356" t="s">
        <v>2178</v>
      </c>
    </row>
    <row r="476" spans="1:9" ht="20.100000000000001" customHeight="1" x14ac:dyDescent="0.2">
      <c r="A476" s="357" t="s">
        <v>2651</v>
      </c>
      <c r="B476" s="106" t="s">
        <v>1961</v>
      </c>
      <c r="C476" s="798"/>
      <c r="D476" s="810"/>
      <c r="E476" s="127" t="s">
        <v>2089</v>
      </c>
      <c r="F476" s="108" t="s">
        <v>306</v>
      </c>
      <c r="G476" s="130">
        <v>15579.65</v>
      </c>
      <c r="H476" s="123">
        <f t="shared" si="8"/>
        <v>17605.004499999999</v>
      </c>
      <c r="I476" s="63"/>
    </row>
    <row r="477" spans="1:9" ht="20.100000000000001" customHeight="1" x14ac:dyDescent="0.2">
      <c r="A477" s="357" t="s">
        <v>2652</v>
      </c>
      <c r="B477" s="106" t="s">
        <v>1999</v>
      </c>
      <c r="C477" s="798"/>
      <c r="D477" s="810"/>
      <c r="E477" s="127" t="s">
        <v>675</v>
      </c>
      <c r="F477" s="108" t="s">
        <v>271</v>
      </c>
      <c r="G477" s="130">
        <v>4862.8319000000001</v>
      </c>
      <c r="H477" s="123">
        <f t="shared" si="8"/>
        <v>5495.0000469999995</v>
      </c>
      <c r="I477" s="63"/>
    </row>
    <row r="478" spans="1:9" ht="20.100000000000001" customHeight="1" x14ac:dyDescent="0.2">
      <c r="A478" s="225"/>
      <c r="B478" s="106" t="s">
        <v>2698</v>
      </c>
      <c r="C478" s="798"/>
      <c r="D478" s="810"/>
      <c r="E478" s="127" t="s">
        <v>688</v>
      </c>
      <c r="F478" s="108" t="s">
        <v>305</v>
      </c>
      <c r="G478" s="130">
        <v>65044.25</v>
      </c>
      <c r="H478" s="123">
        <f t="shared" si="8"/>
        <v>73500.002499999988</v>
      </c>
      <c r="I478" s="356" t="s">
        <v>2178</v>
      </c>
    </row>
    <row r="479" spans="1:9" ht="20.100000000000001" customHeight="1" x14ac:dyDescent="0.2">
      <c r="A479" s="225"/>
      <c r="B479" s="106" t="s">
        <v>1937</v>
      </c>
      <c r="C479" s="798"/>
      <c r="D479" s="810"/>
      <c r="E479" s="127" t="s">
        <v>2699</v>
      </c>
      <c r="F479" s="108" t="s">
        <v>282</v>
      </c>
      <c r="G479" s="130">
        <v>21730.97</v>
      </c>
      <c r="H479" s="123">
        <f t="shared" si="8"/>
        <v>24555.9961</v>
      </c>
      <c r="I479" s="356" t="s">
        <v>2178</v>
      </c>
    </row>
    <row r="480" spans="1:9" ht="20.100000000000001" customHeight="1" x14ac:dyDescent="0.2">
      <c r="A480" s="225"/>
      <c r="B480" s="106" t="s">
        <v>2709</v>
      </c>
      <c r="C480" s="798"/>
      <c r="D480" s="810"/>
      <c r="E480" s="127" t="s">
        <v>2710</v>
      </c>
      <c r="F480" s="108" t="s">
        <v>282</v>
      </c>
      <c r="G480" s="130">
        <v>20389.36</v>
      </c>
      <c r="H480" s="123">
        <f t="shared" si="8"/>
        <v>23039.976799999997</v>
      </c>
      <c r="I480" s="356" t="s">
        <v>2178</v>
      </c>
    </row>
    <row r="481" spans="1:9" ht="20.100000000000001" customHeight="1" x14ac:dyDescent="0.2">
      <c r="A481" s="225"/>
      <c r="B481" s="106" t="s">
        <v>2235</v>
      </c>
      <c r="C481" s="798"/>
      <c r="D481" s="810"/>
      <c r="E481" s="127" t="s">
        <v>969</v>
      </c>
      <c r="F481" s="108" t="s">
        <v>305</v>
      </c>
      <c r="G481" s="130">
        <v>39823.003299999997</v>
      </c>
      <c r="H481" s="123">
        <f t="shared" si="8"/>
        <v>44999.993728999994</v>
      </c>
      <c r="I481" s="356" t="s">
        <v>2178</v>
      </c>
    </row>
    <row r="482" spans="1:9" ht="20.100000000000001" customHeight="1" x14ac:dyDescent="0.2">
      <c r="A482" s="225"/>
      <c r="B482" s="106" t="s">
        <v>2199</v>
      </c>
      <c r="C482" s="798"/>
      <c r="D482" s="810"/>
      <c r="E482" s="127" t="s">
        <v>2697</v>
      </c>
      <c r="F482" s="108" t="s">
        <v>282</v>
      </c>
      <c r="G482" s="130">
        <v>23199.96</v>
      </c>
      <c r="H482" s="123">
        <f t="shared" si="8"/>
        <v>26215.954799999996</v>
      </c>
      <c r="I482" s="356" t="s">
        <v>2178</v>
      </c>
    </row>
    <row r="483" spans="1:9" ht="20.100000000000001" customHeight="1" x14ac:dyDescent="0.2">
      <c r="A483" s="225"/>
      <c r="B483" s="106" t="s">
        <v>2701</v>
      </c>
      <c r="C483" s="798"/>
      <c r="D483" s="810"/>
      <c r="E483" s="127" t="s">
        <v>2702</v>
      </c>
      <c r="F483" s="108" t="s">
        <v>646</v>
      </c>
      <c r="G483" s="130">
        <v>8931</v>
      </c>
      <c r="H483" s="123">
        <f t="shared" si="8"/>
        <v>10092.029999999999</v>
      </c>
      <c r="I483" s="356" t="s">
        <v>2178</v>
      </c>
    </row>
    <row r="484" spans="1:9" ht="20.100000000000001" customHeight="1" x14ac:dyDescent="0.2">
      <c r="A484" s="104"/>
      <c r="B484" s="106" t="s">
        <v>2756</v>
      </c>
      <c r="C484" s="798"/>
      <c r="D484" s="810"/>
      <c r="E484" s="127" t="s">
        <v>2757</v>
      </c>
      <c r="F484" s="108" t="s">
        <v>306</v>
      </c>
      <c r="G484" s="130">
        <v>26392.7</v>
      </c>
      <c r="H484" s="123">
        <f t="shared" si="8"/>
        <v>29823.750999999997</v>
      </c>
      <c r="I484" s="356" t="s">
        <v>2178</v>
      </c>
    </row>
    <row r="485" spans="1:9" ht="20.100000000000001" customHeight="1" x14ac:dyDescent="0.2">
      <c r="A485" s="225"/>
      <c r="B485" s="106" t="s">
        <v>2758</v>
      </c>
      <c r="C485" s="798"/>
      <c r="D485" s="810"/>
      <c r="E485" s="127" t="s">
        <v>2759</v>
      </c>
      <c r="F485" s="108" t="s">
        <v>646</v>
      </c>
      <c r="G485" s="130">
        <v>9107.52</v>
      </c>
      <c r="H485" s="123">
        <f t="shared" ref="H485:H516" si="9">+G485*1.13</f>
        <v>10291.497599999999</v>
      </c>
      <c r="I485" s="356" t="s">
        <v>2178</v>
      </c>
    </row>
    <row r="486" spans="1:9" ht="20.100000000000001" customHeight="1" x14ac:dyDescent="0.2">
      <c r="A486" s="225"/>
      <c r="B486" s="106" t="s">
        <v>2705</v>
      </c>
      <c r="C486" s="798"/>
      <c r="D486" s="810"/>
      <c r="E486" s="127" t="s">
        <v>749</v>
      </c>
      <c r="F486" s="108" t="s">
        <v>305</v>
      </c>
      <c r="G486" s="130">
        <v>88761.061900000001</v>
      </c>
      <c r="H486" s="123">
        <f t="shared" si="9"/>
        <v>100299.99994699999</v>
      </c>
      <c r="I486" s="356" t="s">
        <v>2178</v>
      </c>
    </row>
    <row r="487" spans="1:9" ht="20.100000000000001" customHeight="1" x14ac:dyDescent="0.2">
      <c r="A487" s="225"/>
      <c r="B487" s="106" t="s">
        <v>2706</v>
      </c>
      <c r="C487" s="798"/>
      <c r="D487" s="810"/>
      <c r="E487" s="127" t="s">
        <v>749</v>
      </c>
      <c r="F487" s="108" t="s">
        <v>282</v>
      </c>
      <c r="G487" s="130">
        <v>18769.91</v>
      </c>
      <c r="H487" s="123">
        <f t="shared" si="9"/>
        <v>21209.998299999999</v>
      </c>
      <c r="I487" s="356" t="s">
        <v>2178</v>
      </c>
    </row>
    <row r="488" spans="1:9" ht="20.100000000000001" customHeight="1" x14ac:dyDescent="0.2">
      <c r="A488" s="225"/>
      <c r="B488" s="106" t="s">
        <v>2715</v>
      </c>
      <c r="C488" s="798"/>
      <c r="D488" s="810"/>
      <c r="E488" s="127" t="s">
        <v>748</v>
      </c>
      <c r="F488" s="108" t="s">
        <v>305</v>
      </c>
      <c r="G488" s="130">
        <v>74074.559999999998</v>
      </c>
      <c r="H488" s="123">
        <f t="shared" si="9"/>
        <v>83704.252799999987</v>
      </c>
      <c r="I488" s="356" t="s">
        <v>2178</v>
      </c>
    </row>
    <row r="489" spans="1:9" ht="20.100000000000001" customHeight="1" x14ac:dyDescent="0.2">
      <c r="A489" s="368"/>
      <c r="B489" s="106" t="s">
        <v>2211</v>
      </c>
      <c r="C489" s="798"/>
      <c r="D489" s="810"/>
      <c r="E489" s="127" t="s">
        <v>639</v>
      </c>
      <c r="F489" s="108" t="s">
        <v>282</v>
      </c>
      <c r="G489" s="130">
        <v>25893.81</v>
      </c>
      <c r="H489" s="123">
        <f t="shared" si="9"/>
        <v>29260.005299999997</v>
      </c>
      <c r="I489" s="356" t="s">
        <v>2178</v>
      </c>
    </row>
    <row r="490" spans="1:9" ht="20.100000000000001" customHeight="1" x14ac:dyDescent="0.2">
      <c r="A490" s="135"/>
      <c r="B490" s="106" t="s">
        <v>2716</v>
      </c>
      <c r="C490" s="798"/>
      <c r="D490" s="810"/>
      <c r="E490" s="127" t="s">
        <v>2717</v>
      </c>
      <c r="F490" s="108" t="s">
        <v>305</v>
      </c>
      <c r="G490" s="130">
        <v>59486.725599999998</v>
      </c>
      <c r="H490" s="123">
        <f t="shared" si="9"/>
        <v>67219.99992799999</v>
      </c>
      <c r="I490" s="356" t="s">
        <v>2178</v>
      </c>
    </row>
    <row r="491" spans="1:9" ht="20.100000000000001" customHeight="1" x14ac:dyDescent="0.2">
      <c r="A491" s="368"/>
      <c r="B491" s="106" t="s">
        <v>2236</v>
      </c>
      <c r="C491" s="798"/>
      <c r="D491" s="810"/>
      <c r="E491" s="127" t="s">
        <v>2095</v>
      </c>
      <c r="F491" s="108" t="s">
        <v>305</v>
      </c>
      <c r="G491" s="130">
        <v>64640</v>
      </c>
      <c r="H491" s="123">
        <f t="shared" si="9"/>
        <v>73043.199999999997</v>
      </c>
      <c r="I491" s="356" t="s">
        <v>2178</v>
      </c>
    </row>
    <row r="492" spans="1:9" ht="20.100000000000001" customHeight="1" x14ac:dyDescent="0.2">
      <c r="A492" s="225"/>
      <c r="B492" s="106" t="s">
        <v>2237</v>
      </c>
      <c r="C492" s="798"/>
      <c r="D492" s="810"/>
      <c r="E492" s="127" t="s">
        <v>2704</v>
      </c>
      <c r="F492" s="108" t="s">
        <v>305</v>
      </c>
      <c r="G492" s="130">
        <v>70477.88</v>
      </c>
      <c r="H492" s="123">
        <f t="shared" si="9"/>
        <v>79640.004399999991</v>
      </c>
      <c r="I492" s="356" t="s">
        <v>2178</v>
      </c>
    </row>
    <row r="493" spans="1:9" ht="20.100000000000001" customHeight="1" x14ac:dyDescent="0.2">
      <c r="A493" s="225"/>
      <c r="B493" s="106" t="s">
        <v>2711</v>
      </c>
      <c r="C493" s="798"/>
      <c r="D493" s="810"/>
      <c r="E493" s="127" t="s">
        <v>689</v>
      </c>
      <c r="F493" s="108" t="s">
        <v>638</v>
      </c>
      <c r="G493" s="130">
        <v>41961.27</v>
      </c>
      <c r="H493" s="123">
        <f t="shared" si="9"/>
        <v>47416.235099999991</v>
      </c>
      <c r="I493" s="356" t="s">
        <v>2178</v>
      </c>
    </row>
    <row r="494" spans="1:9" ht="20.100000000000001" customHeight="1" x14ac:dyDescent="0.2">
      <c r="A494" s="225"/>
      <c r="B494" s="106" t="s">
        <v>3537</v>
      </c>
      <c r="C494" s="798"/>
      <c r="D494" s="810"/>
      <c r="E494" s="127" t="s">
        <v>3538</v>
      </c>
      <c r="F494" s="108" t="s">
        <v>271</v>
      </c>
      <c r="G494" s="130">
        <v>4376.6000000000004</v>
      </c>
      <c r="H494" s="123">
        <f t="shared" si="9"/>
        <v>4945.558</v>
      </c>
      <c r="I494" s="356" t="s">
        <v>2178</v>
      </c>
    </row>
    <row r="495" spans="1:9" ht="20.100000000000001" customHeight="1" x14ac:dyDescent="0.2">
      <c r="A495" s="357" t="s">
        <v>2675</v>
      </c>
      <c r="B495" s="106" t="s">
        <v>1979</v>
      </c>
      <c r="C495" s="798"/>
      <c r="D495" s="810"/>
      <c r="E495" s="127" t="s">
        <v>2624</v>
      </c>
      <c r="F495" s="108" t="s">
        <v>388</v>
      </c>
      <c r="G495" s="130">
        <v>444.56</v>
      </c>
      <c r="H495" s="123">
        <f t="shared" si="9"/>
        <v>502.35279999999995</v>
      </c>
      <c r="I495" s="63"/>
    </row>
    <row r="496" spans="1:9" ht="20.100000000000001" customHeight="1" x14ac:dyDescent="0.2">
      <c r="A496" s="225"/>
      <c r="B496" s="106" t="s">
        <v>2595</v>
      </c>
      <c r="C496" s="798"/>
      <c r="D496" s="810"/>
      <c r="E496" s="127" t="s">
        <v>2596</v>
      </c>
      <c r="F496" s="108" t="s">
        <v>388</v>
      </c>
      <c r="G496" s="130">
        <v>533.48</v>
      </c>
      <c r="H496" s="123">
        <f t="shared" si="9"/>
        <v>602.83240000000001</v>
      </c>
      <c r="I496" s="356" t="s">
        <v>2178</v>
      </c>
    </row>
    <row r="497" spans="1:10" ht="20.100000000000001" customHeight="1" x14ac:dyDescent="0.2">
      <c r="A497" s="225"/>
      <c r="B497" s="106" t="s">
        <v>2228</v>
      </c>
      <c r="C497" s="801" t="s">
        <v>109</v>
      </c>
      <c r="D497" s="814"/>
      <c r="E497" s="127" t="s">
        <v>2749</v>
      </c>
      <c r="F497" s="108" t="s">
        <v>396</v>
      </c>
      <c r="G497" s="130">
        <v>3808</v>
      </c>
      <c r="H497" s="123">
        <f t="shared" si="9"/>
        <v>4303.04</v>
      </c>
      <c r="I497" s="356" t="s">
        <v>2178</v>
      </c>
    </row>
    <row r="498" spans="1:10" ht="20.100000000000001" customHeight="1" x14ac:dyDescent="0.2">
      <c r="A498" s="225"/>
      <c r="B498" s="106" t="s">
        <v>2228</v>
      </c>
      <c r="C498" s="801" t="s">
        <v>24</v>
      </c>
      <c r="D498" s="814"/>
      <c r="E498" s="127" t="s">
        <v>2735</v>
      </c>
      <c r="F498" s="108" t="s">
        <v>396</v>
      </c>
      <c r="G498" s="130">
        <v>5520</v>
      </c>
      <c r="H498" s="123">
        <f t="shared" si="9"/>
        <v>6237.5999999999995</v>
      </c>
      <c r="I498" s="356" t="s">
        <v>2178</v>
      </c>
    </row>
    <row r="499" spans="1:10" ht="20.100000000000001" customHeight="1" x14ac:dyDescent="0.2">
      <c r="A499" s="225"/>
      <c r="B499" s="106" t="s">
        <v>2228</v>
      </c>
      <c r="C499" s="801" t="s">
        <v>126</v>
      </c>
      <c r="D499" s="814"/>
      <c r="E499" s="127" t="s">
        <v>2750</v>
      </c>
      <c r="F499" s="108" t="s">
        <v>1400</v>
      </c>
      <c r="G499" s="130">
        <v>7950</v>
      </c>
      <c r="H499" s="123">
        <f t="shared" si="9"/>
        <v>8983.5</v>
      </c>
      <c r="I499" s="356" t="s">
        <v>2178</v>
      </c>
    </row>
    <row r="500" spans="1:10" ht="20.100000000000001" customHeight="1" x14ac:dyDescent="0.2">
      <c r="A500" s="225"/>
      <c r="B500" s="106" t="s">
        <v>2228</v>
      </c>
      <c r="C500" s="801" t="s">
        <v>24</v>
      </c>
      <c r="D500" s="814"/>
      <c r="E500" s="127" t="s">
        <v>2721</v>
      </c>
      <c r="F500" s="108" t="s">
        <v>396</v>
      </c>
      <c r="G500" s="130">
        <v>5508.85</v>
      </c>
      <c r="H500" s="123">
        <f t="shared" si="9"/>
        <v>6225.0005000000001</v>
      </c>
      <c r="I500" s="356" t="s">
        <v>2178</v>
      </c>
    </row>
    <row r="501" spans="1:10" ht="20.100000000000001" customHeight="1" x14ac:dyDescent="0.2">
      <c r="A501" s="225"/>
      <c r="B501" s="106" t="s">
        <v>2228</v>
      </c>
      <c r="C501" s="801" t="s">
        <v>24</v>
      </c>
      <c r="D501" s="814"/>
      <c r="E501" s="127" t="s">
        <v>2721</v>
      </c>
      <c r="F501" s="108" t="s">
        <v>396</v>
      </c>
      <c r="G501" s="130">
        <v>4601.7700000000004</v>
      </c>
      <c r="H501" s="123">
        <f t="shared" si="9"/>
        <v>5200.0001000000002</v>
      </c>
      <c r="I501" s="356" t="s">
        <v>2178</v>
      </c>
    </row>
    <row r="502" spans="1:10" ht="20.100000000000001" customHeight="1" x14ac:dyDescent="0.2">
      <c r="A502" s="225"/>
      <c r="B502" s="106" t="s">
        <v>2722</v>
      </c>
      <c r="C502" s="801" t="s">
        <v>109</v>
      </c>
      <c r="D502" s="814"/>
      <c r="E502" s="127" t="s">
        <v>2732</v>
      </c>
      <c r="F502" s="108" t="s">
        <v>396</v>
      </c>
      <c r="G502" s="130">
        <v>4788</v>
      </c>
      <c r="H502" s="123">
        <f t="shared" si="9"/>
        <v>5410.44</v>
      </c>
      <c r="I502" s="356" t="s">
        <v>2178</v>
      </c>
    </row>
    <row r="503" spans="1:10" ht="20.100000000000001" customHeight="1" x14ac:dyDescent="0.2">
      <c r="A503" s="225"/>
      <c r="B503" s="106" t="s">
        <v>2722</v>
      </c>
      <c r="C503" s="801" t="s">
        <v>24</v>
      </c>
      <c r="D503" s="814"/>
      <c r="E503" s="127" t="s">
        <v>2723</v>
      </c>
      <c r="F503" s="108" t="s">
        <v>396</v>
      </c>
      <c r="G503" s="130">
        <v>4788</v>
      </c>
      <c r="H503" s="123">
        <f t="shared" si="9"/>
        <v>5410.44</v>
      </c>
      <c r="I503" s="356" t="s">
        <v>2178</v>
      </c>
    </row>
    <row r="504" spans="1:10" ht="20.100000000000001" customHeight="1" x14ac:dyDescent="0.2">
      <c r="A504" s="368"/>
      <c r="B504" s="106" t="s">
        <v>2229</v>
      </c>
      <c r="C504" s="801" t="s">
        <v>24</v>
      </c>
      <c r="D504" s="814"/>
      <c r="E504" s="127" t="s">
        <v>2724</v>
      </c>
      <c r="F504" s="108" t="s">
        <v>396</v>
      </c>
      <c r="G504" s="130">
        <v>7478.25</v>
      </c>
      <c r="H504" s="123">
        <f t="shared" si="9"/>
        <v>8450.4224999999988</v>
      </c>
      <c r="I504" s="356" t="s">
        <v>2178</v>
      </c>
    </row>
    <row r="505" spans="1:10" ht="20.100000000000001" customHeight="1" x14ac:dyDescent="0.2">
      <c r="A505" s="225"/>
      <c r="B505" s="106" t="s">
        <v>2229</v>
      </c>
      <c r="C505" s="801" t="s">
        <v>126</v>
      </c>
      <c r="D505" s="814"/>
      <c r="E505" s="127" t="s">
        <v>2726</v>
      </c>
      <c r="F505" s="108" t="s">
        <v>396</v>
      </c>
      <c r="G505" s="130">
        <v>8286.66</v>
      </c>
      <c r="H505" s="123">
        <f t="shared" si="9"/>
        <v>9363.9257999999991</v>
      </c>
      <c r="I505" s="356" t="s">
        <v>2178</v>
      </c>
      <c r="J505" s="81">
        <f>+H505/(2.7*2.8)</f>
        <v>1238.6145238095237</v>
      </c>
    </row>
    <row r="506" spans="1:10" ht="20.100000000000001" customHeight="1" x14ac:dyDescent="0.2">
      <c r="A506" s="368"/>
      <c r="B506" s="106" t="s">
        <v>2229</v>
      </c>
      <c r="C506" s="801" t="s">
        <v>109</v>
      </c>
      <c r="D506" s="814"/>
      <c r="E506" s="127" t="s">
        <v>2725</v>
      </c>
      <c r="F506" s="108" t="s">
        <v>396</v>
      </c>
      <c r="G506" s="130">
        <v>7071.28</v>
      </c>
      <c r="H506" s="123">
        <f t="shared" si="9"/>
        <v>7990.5463999999993</v>
      </c>
      <c r="I506" s="356" t="s">
        <v>2178</v>
      </c>
    </row>
    <row r="507" spans="1:10" ht="20.100000000000001" customHeight="1" x14ac:dyDescent="0.2">
      <c r="A507" s="225"/>
      <c r="B507" s="106" t="s">
        <v>2737</v>
      </c>
      <c r="C507" s="798"/>
      <c r="D507" s="810"/>
      <c r="E507" s="127" t="s">
        <v>2738</v>
      </c>
      <c r="F507" s="108" t="s">
        <v>396</v>
      </c>
      <c r="G507" s="130">
        <v>8166.8</v>
      </c>
      <c r="H507" s="123">
        <f t="shared" si="9"/>
        <v>9228.4839999999986</v>
      </c>
      <c r="I507" s="356" t="s">
        <v>2178</v>
      </c>
    </row>
    <row r="508" spans="1:10" ht="20.100000000000001" customHeight="1" x14ac:dyDescent="0.2">
      <c r="A508" s="225"/>
      <c r="B508" s="106" t="s">
        <v>2727</v>
      </c>
      <c r="C508" s="801" t="s">
        <v>190</v>
      </c>
      <c r="D508" s="814"/>
      <c r="E508" s="127" t="s">
        <v>2747</v>
      </c>
      <c r="F508" s="108" t="s">
        <v>396</v>
      </c>
      <c r="G508" s="130">
        <v>6637.17</v>
      </c>
      <c r="H508" s="123">
        <f t="shared" si="9"/>
        <v>7500.0020999999997</v>
      </c>
      <c r="I508" s="356" t="s">
        <v>2178</v>
      </c>
    </row>
    <row r="509" spans="1:10" ht="20.100000000000001" customHeight="1" x14ac:dyDescent="0.2">
      <c r="A509" s="225"/>
      <c r="B509" s="106" t="s">
        <v>2727</v>
      </c>
      <c r="C509" s="798"/>
      <c r="D509" s="810"/>
      <c r="E509" s="127" t="s">
        <v>2733</v>
      </c>
      <c r="F509" s="108" t="s">
        <v>396</v>
      </c>
      <c r="G509" s="130">
        <v>4934.5140000000001</v>
      </c>
      <c r="H509" s="123">
        <f t="shared" si="9"/>
        <v>5576.0008199999993</v>
      </c>
      <c r="I509" s="356" t="s">
        <v>2178</v>
      </c>
    </row>
    <row r="510" spans="1:10" ht="20.100000000000001" customHeight="1" x14ac:dyDescent="0.2">
      <c r="A510" s="225"/>
      <c r="B510" s="106" t="s">
        <v>2727</v>
      </c>
      <c r="C510" s="798">
        <v>12</v>
      </c>
      <c r="D510" s="810"/>
      <c r="E510" s="127" t="s">
        <v>2740</v>
      </c>
      <c r="F510" s="108" t="s">
        <v>396</v>
      </c>
      <c r="G510" s="130">
        <v>5655</v>
      </c>
      <c r="H510" s="123">
        <f t="shared" si="9"/>
        <v>6390.15</v>
      </c>
      <c r="I510" s="356" t="s">
        <v>2178</v>
      </c>
    </row>
    <row r="511" spans="1:10" ht="20.100000000000001" customHeight="1" x14ac:dyDescent="0.2">
      <c r="A511" s="225"/>
      <c r="B511" s="106" t="s">
        <v>2727</v>
      </c>
      <c r="C511" s="801" t="s">
        <v>24</v>
      </c>
      <c r="D511" s="814"/>
      <c r="E511" s="127" t="s">
        <v>2728</v>
      </c>
      <c r="F511" s="108" t="s">
        <v>396</v>
      </c>
      <c r="G511" s="130">
        <v>6950</v>
      </c>
      <c r="H511" s="123">
        <f t="shared" si="9"/>
        <v>7853.4999999999991</v>
      </c>
      <c r="I511" s="356" t="s">
        <v>2178</v>
      </c>
    </row>
    <row r="512" spans="1:10" ht="20.100000000000001" customHeight="1" x14ac:dyDescent="0.2">
      <c r="A512" s="225"/>
      <c r="B512" s="106" t="s">
        <v>2727</v>
      </c>
      <c r="C512" s="801" t="s">
        <v>109</v>
      </c>
      <c r="D512" s="814"/>
      <c r="E512" s="127" t="s">
        <v>2729</v>
      </c>
      <c r="F512" s="108" t="s">
        <v>396</v>
      </c>
      <c r="G512" s="130">
        <v>6950</v>
      </c>
      <c r="H512" s="123">
        <f t="shared" si="9"/>
        <v>7853.4999999999991</v>
      </c>
      <c r="I512" s="356" t="s">
        <v>2178</v>
      </c>
    </row>
    <row r="513" spans="1:10" ht="20.100000000000001" customHeight="1" x14ac:dyDescent="0.2">
      <c r="A513" s="225"/>
      <c r="B513" s="106" t="s">
        <v>2727</v>
      </c>
      <c r="C513" s="801" t="s">
        <v>186</v>
      </c>
      <c r="D513" s="814"/>
      <c r="E513" s="127" t="s">
        <v>2736</v>
      </c>
      <c r="F513" s="108" t="s">
        <v>396</v>
      </c>
      <c r="G513" s="130">
        <v>8252</v>
      </c>
      <c r="H513" s="123">
        <f t="shared" si="9"/>
        <v>9324.7599999999984</v>
      </c>
      <c r="I513" s="356" t="s">
        <v>2178</v>
      </c>
    </row>
    <row r="514" spans="1:10" ht="20.100000000000001" customHeight="1" x14ac:dyDescent="0.2">
      <c r="A514" s="225"/>
      <c r="B514" s="106" t="s">
        <v>2727</v>
      </c>
      <c r="C514" s="801" t="s">
        <v>140</v>
      </c>
      <c r="D514" s="814"/>
      <c r="E514" s="127" t="s">
        <v>2734</v>
      </c>
      <c r="F514" s="108" t="s">
        <v>396</v>
      </c>
      <c r="G514" s="130">
        <v>4424.78</v>
      </c>
      <c r="H514" s="123">
        <f t="shared" si="9"/>
        <v>5000.0013999999992</v>
      </c>
      <c r="I514" s="356" t="s">
        <v>2178</v>
      </c>
    </row>
    <row r="515" spans="1:10" ht="20.100000000000001" customHeight="1" x14ac:dyDescent="0.2">
      <c r="A515" s="225"/>
      <c r="B515" s="106" t="s">
        <v>2727</v>
      </c>
      <c r="C515" s="798">
        <v>11</v>
      </c>
      <c r="D515" s="810"/>
      <c r="E515" s="127" t="s">
        <v>2739</v>
      </c>
      <c r="F515" s="108" t="s">
        <v>396</v>
      </c>
      <c r="G515" s="130">
        <v>6150.4</v>
      </c>
      <c r="H515" s="123">
        <f t="shared" si="9"/>
        <v>6949.9519999999993</v>
      </c>
      <c r="I515" s="356" t="s">
        <v>2178</v>
      </c>
    </row>
    <row r="516" spans="1:10" ht="20.100000000000001" customHeight="1" x14ac:dyDescent="0.2">
      <c r="A516" s="225"/>
      <c r="B516" s="106" t="s">
        <v>2727</v>
      </c>
      <c r="C516" s="801" t="s">
        <v>126</v>
      </c>
      <c r="D516" s="814"/>
      <c r="E516" s="127" t="s">
        <v>2730</v>
      </c>
      <c r="F516" s="108" t="s">
        <v>396</v>
      </c>
      <c r="G516" s="130">
        <v>6950</v>
      </c>
      <c r="H516" s="123">
        <f t="shared" si="9"/>
        <v>7853.4999999999991</v>
      </c>
      <c r="I516" s="356" t="s">
        <v>2178</v>
      </c>
      <c r="J516">
        <f>+H516/360</f>
        <v>21.815277777777776</v>
      </c>
    </row>
    <row r="517" spans="1:10" ht="20.100000000000001" customHeight="1" x14ac:dyDescent="0.2">
      <c r="A517" s="225"/>
      <c r="B517" s="106" t="s">
        <v>2712</v>
      </c>
      <c r="C517" s="798"/>
      <c r="D517" s="810"/>
      <c r="E517" s="127" t="s">
        <v>2745</v>
      </c>
      <c r="F517" s="108" t="s">
        <v>396</v>
      </c>
      <c r="G517" s="130">
        <v>6474.3764000000001</v>
      </c>
      <c r="H517" s="123">
        <f t="shared" ref="H517:H548" si="10">+G517*1.13</f>
        <v>7316.0453319999997</v>
      </c>
      <c r="I517" s="356" t="s">
        <v>2178</v>
      </c>
    </row>
    <row r="518" spans="1:10" ht="20.100000000000001" customHeight="1" x14ac:dyDescent="0.2">
      <c r="A518" s="225"/>
      <c r="B518" s="106" t="s">
        <v>2712</v>
      </c>
      <c r="C518" s="798"/>
      <c r="D518" s="810"/>
      <c r="E518" s="127" t="s">
        <v>2746</v>
      </c>
      <c r="F518" s="108" t="s">
        <v>396</v>
      </c>
      <c r="G518" s="130">
        <v>6679.3311999999996</v>
      </c>
      <c r="H518" s="123">
        <f t="shared" si="10"/>
        <v>7547.6442559999987</v>
      </c>
      <c r="I518" s="356" t="s">
        <v>2178</v>
      </c>
    </row>
    <row r="519" spans="1:10" ht="20.100000000000001" customHeight="1" x14ac:dyDescent="0.2">
      <c r="A519" s="225"/>
      <c r="B519" s="106" t="s">
        <v>2712</v>
      </c>
      <c r="C519" s="798"/>
      <c r="D519" s="810"/>
      <c r="E519" s="127" t="s">
        <v>2748</v>
      </c>
      <c r="F519" s="108" t="s">
        <v>396</v>
      </c>
      <c r="G519" s="130">
        <v>6013.1</v>
      </c>
      <c r="H519" s="123">
        <f t="shared" si="10"/>
        <v>6794.8029999999999</v>
      </c>
      <c r="I519" s="356" t="s">
        <v>2178</v>
      </c>
    </row>
    <row r="520" spans="1:10" ht="20.100000000000001" customHeight="1" x14ac:dyDescent="0.2">
      <c r="A520" s="225"/>
      <c r="B520" s="106" t="s">
        <v>2712</v>
      </c>
      <c r="C520" s="798"/>
      <c r="D520" s="810"/>
      <c r="E520" s="127" t="s">
        <v>2741</v>
      </c>
      <c r="F520" s="108" t="s">
        <v>396</v>
      </c>
      <c r="G520" s="130">
        <v>7497</v>
      </c>
      <c r="H520" s="123">
        <f t="shared" si="10"/>
        <v>8471.6099999999988</v>
      </c>
      <c r="I520" s="356" t="s">
        <v>2178</v>
      </c>
    </row>
    <row r="521" spans="1:10" ht="20.100000000000001" customHeight="1" x14ac:dyDescent="0.2">
      <c r="A521" s="225"/>
      <c r="B521" s="106" t="s">
        <v>2712</v>
      </c>
      <c r="C521" s="798"/>
      <c r="D521" s="810"/>
      <c r="E521" s="127" t="s">
        <v>2743</v>
      </c>
      <c r="F521" s="108" t="s">
        <v>396</v>
      </c>
      <c r="G521" s="130">
        <v>7035.3981999999996</v>
      </c>
      <c r="H521" s="123">
        <f t="shared" si="10"/>
        <v>7949.9999659999985</v>
      </c>
      <c r="I521" s="356" t="s">
        <v>2178</v>
      </c>
    </row>
    <row r="522" spans="1:10" ht="20.100000000000001" customHeight="1" x14ac:dyDescent="0.2">
      <c r="A522" s="225"/>
      <c r="B522" s="106" t="s">
        <v>2712</v>
      </c>
      <c r="C522" s="798"/>
      <c r="D522" s="810"/>
      <c r="E522" s="127" t="s">
        <v>2742</v>
      </c>
      <c r="F522" s="108" t="s">
        <v>396</v>
      </c>
      <c r="G522" s="130">
        <v>7075</v>
      </c>
      <c r="H522" s="123">
        <f t="shared" si="10"/>
        <v>7994.7499999999991</v>
      </c>
      <c r="I522" s="356" t="s">
        <v>2178</v>
      </c>
    </row>
    <row r="523" spans="1:10" ht="20.100000000000001" customHeight="1" x14ac:dyDescent="0.2">
      <c r="A523" s="357" t="s">
        <v>2690</v>
      </c>
      <c r="B523" s="106" t="s">
        <v>2712</v>
      </c>
      <c r="C523" s="798"/>
      <c r="D523" s="810"/>
      <c r="E523" s="127" t="s">
        <v>2744</v>
      </c>
      <c r="F523" s="108" t="s">
        <v>584</v>
      </c>
      <c r="G523" s="130">
        <v>7077.4391999999998</v>
      </c>
      <c r="H523" s="123">
        <f t="shared" si="10"/>
        <v>7997.5062959999987</v>
      </c>
      <c r="I523" s="356" t="s">
        <v>2178</v>
      </c>
    </row>
    <row r="524" spans="1:10" ht="20.100000000000001" customHeight="1" x14ac:dyDescent="0.2">
      <c r="A524" s="225"/>
      <c r="B524" s="106" t="s">
        <v>2712</v>
      </c>
      <c r="C524" s="798"/>
      <c r="D524" s="810"/>
      <c r="E524" s="127" t="s">
        <v>2713</v>
      </c>
      <c r="F524" s="108" t="s">
        <v>396</v>
      </c>
      <c r="G524" s="130">
        <v>7456.9624999999996</v>
      </c>
      <c r="H524" s="123">
        <f t="shared" si="10"/>
        <v>8426.367624999999</v>
      </c>
      <c r="I524" s="356" t="s">
        <v>2178</v>
      </c>
    </row>
    <row r="525" spans="1:10" ht="20.100000000000001" customHeight="1" x14ac:dyDescent="0.2">
      <c r="A525" s="225"/>
      <c r="B525" s="106" t="s">
        <v>2014</v>
      </c>
      <c r="C525" s="798"/>
      <c r="D525" s="810"/>
      <c r="E525" s="127" t="s">
        <v>376</v>
      </c>
      <c r="F525" s="108" t="s">
        <v>271</v>
      </c>
      <c r="G525" s="130">
        <v>14900</v>
      </c>
      <c r="H525" s="123">
        <f t="shared" si="10"/>
        <v>16837</v>
      </c>
      <c r="I525" s="356" t="s">
        <v>2178</v>
      </c>
    </row>
    <row r="526" spans="1:10" ht="20.100000000000001" customHeight="1" x14ac:dyDescent="0.2">
      <c r="A526" s="368"/>
      <c r="B526" s="106" t="s">
        <v>2014</v>
      </c>
      <c r="C526" s="798"/>
      <c r="D526" s="810"/>
      <c r="E526" s="127" t="s">
        <v>376</v>
      </c>
      <c r="F526" s="108" t="s">
        <v>271</v>
      </c>
      <c r="G526" s="130">
        <v>15800</v>
      </c>
      <c r="H526" s="123">
        <f t="shared" si="10"/>
        <v>17854</v>
      </c>
      <c r="I526" s="356" t="s">
        <v>2178</v>
      </c>
    </row>
    <row r="527" spans="1:10" ht="20.100000000000001" customHeight="1" x14ac:dyDescent="0.2">
      <c r="A527" s="357" t="s">
        <v>2694</v>
      </c>
      <c r="B527" s="106" t="s">
        <v>2575</v>
      </c>
      <c r="C527" s="798"/>
      <c r="D527" s="810"/>
      <c r="E527" s="127" t="s">
        <v>475</v>
      </c>
      <c r="F527" s="108" t="s">
        <v>279</v>
      </c>
      <c r="G527" s="130">
        <v>6720</v>
      </c>
      <c r="H527" s="123">
        <f t="shared" si="10"/>
        <v>7593.5999999999995</v>
      </c>
      <c r="I527" s="63"/>
    </row>
    <row r="528" spans="1:10" ht="20.100000000000001" customHeight="1" x14ac:dyDescent="0.2">
      <c r="A528" s="104"/>
      <c r="B528" s="106" t="s">
        <v>2013</v>
      </c>
      <c r="C528" s="798"/>
      <c r="D528" s="810"/>
      <c r="E528" s="127" t="s">
        <v>550</v>
      </c>
      <c r="F528" s="108" t="s">
        <v>271</v>
      </c>
      <c r="G528" s="130">
        <v>15500</v>
      </c>
      <c r="H528" s="123">
        <f t="shared" si="10"/>
        <v>17515</v>
      </c>
      <c r="I528" s="356" t="s">
        <v>2178</v>
      </c>
    </row>
    <row r="529" spans="1:9" ht="20.100000000000001" customHeight="1" x14ac:dyDescent="0.2">
      <c r="A529" s="225"/>
      <c r="B529" s="106" t="s">
        <v>2336</v>
      </c>
      <c r="C529" s="798"/>
      <c r="D529" s="810"/>
      <c r="E529" s="127" t="s">
        <v>623</v>
      </c>
      <c r="F529" s="108" t="s">
        <v>271</v>
      </c>
      <c r="G529" s="130">
        <v>2094.61</v>
      </c>
      <c r="H529" s="123">
        <f t="shared" si="10"/>
        <v>2366.9092999999998</v>
      </c>
      <c r="I529" s="356" t="s">
        <v>2178</v>
      </c>
    </row>
    <row r="530" spans="1:9" ht="20.100000000000001" customHeight="1" x14ac:dyDescent="0.2">
      <c r="A530" s="357" t="s">
        <v>2695</v>
      </c>
      <c r="B530" s="106" t="s">
        <v>2583</v>
      </c>
      <c r="C530" s="798"/>
      <c r="D530" s="810"/>
      <c r="E530" s="127" t="s">
        <v>651</v>
      </c>
      <c r="F530" s="108" t="s">
        <v>271</v>
      </c>
      <c r="G530" s="130">
        <v>601.95000000000005</v>
      </c>
      <c r="H530" s="123">
        <f t="shared" si="10"/>
        <v>680.20349999999996</v>
      </c>
      <c r="I530" s="63"/>
    </row>
    <row r="531" spans="1:9" ht="20.100000000000001" customHeight="1" x14ac:dyDescent="0.2">
      <c r="A531" s="357" t="s">
        <v>2696</v>
      </c>
      <c r="B531" s="106" t="s">
        <v>2584</v>
      </c>
      <c r="C531" s="798"/>
      <c r="D531" s="810"/>
      <c r="E531" s="127" t="s">
        <v>652</v>
      </c>
      <c r="F531" s="108" t="s">
        <v>271</v>
      </c>
      <c r="G531" s="130">
        <v>212.93</v>
      </c>
      <c r="H531" s="123">
        <f t="shared" si="10"/>
        <v>240.61089999999999</v>
      </c>
      <c r="I531" s="63"/>
    </row>
    <row r="532" spans="1:9" ht="20.100000000000001" customHeight="1" x14ac:dyDescent="0.2">
      <c r="A532" s="225"/>
      <c r="B532" s="106" t="s">
        <v>2340</v>
      </c>
      <c r="C532" s="798"/>
      <c r="D532" s="810"/>
      <c r="E532" s="127" t="s">
        <v>800</v>
      </c>
      <c r="F532" s="108" t="s">
        <v>271</v>
      </c>
      <c r="G532" s="130">
        <v>169.91</v>
      </c>
      <c r="H532" s="123">
        <f t="shared" si="10"/>
        <v>191.99829999999997</v>
      </c>
      <c r="I532" s="356" t="s">
        <v>2178</v>
      </c>
    </row>
    <row r="533" spans="1:9" ht="20.100000000000001" customHeight="1" x14ac:dyDescent="0.2">
      <c r="A533" s="104"/>
      <c r="B533" s="106" t="s">
        <v>2661</v>
      </c>
      <c r="C533" s="798"/>
      <c r="D533" s="810"/>
      <c r="E533" s="127" t="s">
        <v>965</v>
      </c>
      <c r="F533" s="108" t="s">
        <v>966</v>
      </c>
      <c r="G533" s="130">
        <v>815.1</v>
      </c>
      <c r="H533" s="123">
        <f t="shared" si="10"/>
        <v>921.06299999999999</v>
      </c>
      <c r="I533" s="356" t="s">
        <v>2178</v>
      </c>
    </row>
    <row r="534" spans="1:9" ht="20.100000000000001" customHeight="1" x14ac:dyDescent="0.2">
      <c r="A534" s="225"/>
      <c r="B534" s="106" t="s">
        <v>2664</v>
      </c>
      <c r="C534" s="798"/>
      <c r="D534" s="810"/>
      <c r="E534" s="127" t="s">
        <v>931</v>
      </c>
      <c r="F534" s="108" t="s">
        <v>271</v>
      </c>
      <c r="G534" s="130">
        <v>1309.0999999999999</v>
      </c>
      <c r="H534" s="123">
        <f t="shared" si="10"/>
        <v>1479.2829999999997</v>
      </c>
      <c r="I534" s="356" t="s">
        <v>2178</v>
      </c>
    </row>
    <row r="535" spans="1:9" ht="20.100000000000001" customHeight="1" x14ac:dyDescent="0.2">
      <c r="A535" s="104"/>
      <c r="B535" s="106" t="s">
        <v>2665</v>
      </c>
      <c r="C535" s="798"/>
      <c r="D535" s="810"/>
      <c r="E535" s="127" t="s">
        <v>932</v>
      </c>
      <c r="F535" s="108" t="s">
        <v>271</v>
      </c>
      <c r="G535" s="130">
        <v>361.45</v>
      </c>
      <c r="H535" s="123">
        <f t="shared" si="10"/>
        <v>408.43849999999998</v>
      </c>
      <c r="I535" s="356" t="s">
        <v>2178</v>
      </c>
    </row>
    <row r="536" spans="1:9" ht="20.100000000000001" customHeight="1" x14ac:dyDescent="0.2">
      <c r="A536" s="368"/>
      <c r="B536" s="106" t="s">
        <v>2666</v>
      </c>
      <c r="C536" s="798"/>
      <c r="D536" s="810"/>
      <c r="E536" s="127" t="s">
        <v>926</v>
      </c>
      <c r="F536" s="108" t="s">
        <v>271</v>
      </c>
      <c r="G536" s="130">
        <v>439.19</v>
      </c>
      <c r="H536" s="123">
        <f t="shared" si="10"/>
        <v>496.28469999999993</v>
      </c>
      <c r="I536" s="356" t="s">
        <v>2178</v>
      </c>
    </row>
    <row r="537" spans="1:9" ht="20.100000000000001" customHeight="1" x14ac:dyDescent="0.2">
      <c r="A537" s="368"/>
      <c r="B537" s="106" t="s">
        <v>3539</v>
      </c>
      <c r="C537" s="798"/>
      <c r="D537" s="810"/>
      <c r="E537" s="127" t="s">
        <v>3540</v>
      </c>
      <c r="F537" s="108" t="s">
        <v>271</v>
      </c>
      <c r="G537" s="130">
        <v>295.52</v>
      </c>
      <c r="H537" s="123">
        <f t="shared" si="10"/>
        <v>333.93759999999997</v>
      </c>
      <c r="I537" s="356" t="s">
        <v>2178</v>
      </c>
    </row>
    <row r="538" spans="1:9" ht="20.100000000000001" customHeight="1" x14ac:dyDescent="0.2">
      <c r="A538" s="368"/>
      <c r="B538" s="254" t="s">
        <v>2804</v>
      </c>
      <c r="C538" s="798"/>
      <c r="D538" s="810"/>
      <c r="E538" s="331" t="s">
        <v>793</v>
      </c>
      <c r="F538" s="330" t="s">
        <v>271</v>
      </c>
      <c r="G538" s="332">
        <v>327.58999999999997</v>
      </c>
      <c r="H538" s="134">
        <f t="shared" si="10"/>
        <v>370.17669999999993</v>
      </c>
      <c r="I538" s="356" t="s">
        <v>2178</v>
      </c>
    </row>
    <row r="539" spans="1:9" ht="20.100000000000001" customHeight="1" x14ac:dyDescent="0.2">
      <c r="A539" s="368"/>
      <c r="B539" s="106" t="s">
        <v>2473</v>
      </c>
      <c r="C539" s="798"/>
      <c r="D539" s="810"/>
      <c r="E539" s="127" t="s">
        <v>417</v>
      </c>
      <c r="F539" s="108" t="s">
        <v>271</v>
      </c>
      <c r="G539" s="130">
        <v>427.52</v>
      </c>
      <c r="H539" s="123">
        <f t="shared" si="10"/>
        <v>483.09759999999994</v>
      </c>
      <c r="I539" s="356" t="s">
        <v>2178</v>
      </c>
    </row>
    <row r="540" spans="1:9" ht="20.100000000000001" customHeight="1" x14ac:dyDescent="0.2">
      <c r="A540" s="225"/>
      <c r="B540" s="106" t="s">
        <v>2556</v>
      </c>
      <c r="C540" s="798"/>
      <c r="D540" s="810"/>
      <c r="E540" s="127" t="s">
        <v>416</v>
      </c>
      <c r="F540" s="108" t="s">
        <v>271</v>
      </c>
      <c r="G540" s="130">
        <v>226.94</v>
      </c>
      <c r="H540" s="123">
        <f t="shared" si="10"/>
        <v>256.44219999999996</v>
      </c>
      <c r="I540" s="356" t="s">
        <v>2178</v>
      </c>
    </row>
    <row r="541" spans="1:9" ht="20.100000000000001" customHeight="1" x14ac:dyDescent="0.2">
      <c r="A541" s="225"/>
      <c r="B541" s="106" t="s">
        <v>2607</v>
      </c>
      <c r="C541" s="798"/>
      <c r="D541" s="810"/>
      <c r="E541" s="127" t="s">
        <v>872</v>
      </c>
      <c r="F541" s="108" t="s">
        <v>271</v>
      </c>
      <c r="G541" s="130">
        <v>190</v>
      </c>
      <c r="H541" s="123">
        <f t="shared" si="10"/>
        <v>214.7</v>
      </c>
      <c r="I541" s="356" t="s">
        <v>2178</v>
      </c>
    </row>
    <row r="542" spans="1:9" ht="20.100000000000001" customHeight="1" x14ac:dyDescent="0.2">
      <c r="A542" s="225"/>
      <c r="B542" s="106" t="s">
        <v>2342</v>
      </c>
      <c r="C542" s="798"/>
      <c r="D542" s="810"/>
      <c r="E542" s="127" t="s">
        <v>2573</v>
      </c>
      <c r="F542" s="108" t="s">
        <v>271</v>
      </c>
      <c r="G542" s="130">
        <v>4513</v>
      </c>
      <c r="H542" s="123">
        <f t="shared" si="10"/>
        <v>5099.6899999999996</v>
      </c>
      <c r="I542" s="356" t="s">
        <v>2178</v>
      </c>
    </row>
    <row r="543" spans="1:9" ht="20.100000000000001" customHeight="1" x14ac:dyDescent="0.2">
      <c r="A543" s="368"/>
      <c r="B543" s="106" t="s">
        <v>2325</v>
      </c>
      <c r="C543" s="798"/>
      <c r="D543" s="810"/>
      <c r="E543" s="127" t="s">
        <v>390</v>
      </c>
      <c r="F543" s="108" t="s">
        <v>271</v>
      </c>
      <c r="G543" s="130">
        <v>173100</v>
      </c>
      <c r="H543" s="123">
        <f t="shared" si="10"/>
        <v>195602.99999999997</v>
      </c>
      <c r="I543" s="356" t="s">
        <v>2178</v>
      </c>
    </row>
    <row r="544" spans="1:9" ht="20.100000000000001" customHeight="1" x14ac:dyDescent="0.2">
      <c r="A544" s="368"/>
      <c r="B544" s="106" t="s">
        <v>2264</v>
      </c>
      <c r="C544" s="798"/>
      <c r="D544" s="810"/>
      <c r="E544" s="127" t="s">
        <v>2570</v>
      </c>
      <c r="F544" s="108" t="s">
        <v>271</v>
      </c>
      <c r="G544" s="130">
        <v>969.17</v>
      </c>
      <c r="H544" s="123">
        <f t="shared" si="10"/>
        <v>1095.1620999999998</v>
      </c>
      <c r="I544" s="356" t="s">
        <v>2178</v>
      </c>
    </row>
    <row r="545" spans="1:9" ht="20.100000000000001" customHeight="1" x14ac:dyDescent="0.2">
      <c r="A545" s="368"/>
      <c r="B545" s="106" t="s">
        <v>2263</v>
      </c>
      <c r="C545" s="798"/>
      <c r="D545" s="810"/>
      <c r="E545" s="127" t="s">
        <v>2112</v>
      </c>
      <c r="F545" s="108" t="s">
        <v>271</v>
      </c>
      <c r="G545" s="130">
        <v>4550</v>
      </c>
      <c r="H545" s="123">
        <f t="shared" si="10"/>
        <v>5141.4999999999991</v>
      </c>
      <c r="I545" s="356" t="s">
        <v>2178</v>
      </c>
    </row>
    <row r="546" spans="1:9" ht="20.100000000000001" customHeight="1" x14ac:dyDescent="0.2">
      <c r="A546" s="368"/>
      <c r="B546" s="106" t="s">
        <v>1954</v>
      </c>
      <c r="C546" s="798"/>
      <c r="D546" s="810"/>
      <c r="E546" s="127" t="s">
        <v>2794</v>
      </c>
      <c r="F546" s="108" t="s">
        <v>271</v>
      </c>
      <c r="G546" s="130">
        <v>3200.75</v>
      </c>
      <c r="H546" s="123">
        <f t="shared" si="10"/>
        <v>3616.8474999999999</v>
      </c>
      <c r="I546" s="356" t="s">
        <v>2178</v>
      </c>
    </row>
    <row r="547" spans="1:9" ht="20.100000000000001" customHeight="1" x14ac:dyDescent="0.2">
      <c r="A547" s="368"/>
      <c r="B547" s="106" t="s">
        <v>2337</v>
      </c>
      <c r="C547" s="798"/>
      <c r="D547" s="810"/>
      <c r="E547" s="127" t="s">
        <v>620</v>
      </c>
      <c r="F547" s="108" t="s">
        <v>271</v>
      </c>
      <c r="G547" s="130">
        <v>3398.23</v>
      </c>
      <c r="H547" s="123">
        <f t="shared" si="10"/>
        <v>3839.9998999999998</v>
      </c>
      <c r="I547" s="356" t="s">
        <v>2178</v>
      </c>
    </row>
    <row r="548" spans="1:9" ht="20.100000000000001" customHeight="1" x14ac:dyDescent="0.2">
      <c r="A548" s="357" t="s">
        <v>2703</v>
      </c>
      <c r="B548" s="106" t="s">
        <v>2343</v>
      </c>
      <c r="C548" s="798"/>
      <c r="D548" s="810"/>
      <c r="E548" s="127" t="s">
        <v>616</v>
      </c>
      <c r="F548" s="108" t="s">
        <v>271</v>
      </c>
      <c r="G548" s="130">
        <v>2950</v>
      </c>
      <c r="H548" s="123">
        <f t="shared" si="10"/>
        <v>3333.4999999999995</v>
      </c>
      <c r="I548" s="63"/>
    </row>
    <row r="549" spans="1:9" ht="20.100000000000001" customHeight="1" x14ac:dyDescent="0.2">
      <c r="A549" s="225"/>
      <c r="B549" s="106" t="s">
        <v>2663</v>
      </c>
      <c r="C549" s="798"/>
      <c r="D549" s="810"/>
      <c r="E549" s="127" t="s">
        <v>284</v>
      </c>
      <c r="F549" s="108" t="s">
        <v>271</v>
      </c>
      <c r="G549" s="130">
        <v>2214</v>
      </c>
      <c r="H549" s="123">
        <f t="shared" ref="H549:H567" si="11">+G549*1.13</f>
        <v>2501.8199999999997</v>
      </c>
      <c r="I549" s="356" t="s">
        <v>2178</v>
      </c>
    </row>
    <row r="550" spans="1:9" ht="20.100000000000001" customHeight="1" x14ac:dyDescent="0.2">
      <c r="A550" s="225"/>
      <c r="B550" s="106" t="s">
        <v>2017</v>
      </c>
      <c r="C550" s="795"/>
      <c r="D550" s="813"/>
      <c r="E550" s="127" t="s">
        <v>672</v>
      </c>
      <c r="F550" s="108" t="s">
        <v>271</v>
      </c>
      <c r="G550" s="130">
        <v>79646.009999999995</v>
      </c>
      <c r="H550" s="123">
        <f t="shared" si="11"/>
        <v>89999.99129999998</v>
      </c>
      <c r="I550" s="356" t="s">
        <v>2178</v>
      </c>
    </row>
    <row r="551" spans="1:9" ht="20.100000000000001" customHeight="1" x14ac:dyDescent="0.2">
      <c r="A551" s="225"/>
      <c r="B551" s="106" t="s">
        <v>2265</v>
      </c>
      <c r="C551" s="795"/>
      <c r="D551" s="813"/>
      <c r="E551" s="127" t="s">
        <v>671</v>
      </c>
      <c r="F551" s="108" t="s">
        <v>271</v>
      </c>
      <c r="G551" s="130">
        <v>79646.009999999995</v>
      </c>
      <c r="H551" s="123">
        <f t="shared" si="11"/>
        <v>89999.99129999998</v>
      </c>
      <c r="I551" s="356" t="s">
        <v>2178</v>
      </c>
    </row>
    <row r="552" spans="1:9" ht="20.100000000000001" customHeight="1" x14ac:dyDescent="0.2">
      <c r="A552" s="225"/>
      <c r="B552" s="106" t="s">
        <v>2334</v>
      </c>
      <c r="C552" s="798"/>
      <c r="D552" s="810"/>
      <c r="E552" s="127" t="s">
        <v>835</v>
      </c>
      <c r="F552" s="108" t="s">
        <v>271</v>
      </c>
      <c r="G552" s="130">
        <v>6270</v>
      </c>
      <c r="H552" s="123">
        <f t="shared" si="11"/>
        <v>7085.0999999999995</v>
      </c>
      <c r="I552" s="356" t="s">
        <v>2178</v>
      </c>
    </row>
    <row r="553" spans="1:9" ht="20.100000000000001" customHeight="1" x14ac:dyDescent="0.2">
      <c r="A553" s="225"/>
      <c r="B553" s="106" t="s">
        <v>3328</v>
      </c>
      <c r="C553" s="798"/>
      <c r="D553" s="810"/>
      <c r="E553" s="127" t="s">
        <v>3337</v>
      </c>
      <c r="F553" s="108" t="s">
        <v>271</v>
      </c>
      <c r="G553" s="130">
        <v>3511.6</v>
      </c>
      <c r="H553" s="123">
        <f t="shared" si="11"/>
        <v>3968.1079999999997</v>
      </c>
      <c r="I553" s="356" t="s">
        <v>2178</v>
      </c>
    </row>
    <row r="554" spans="1:9" ht="20.100000000000001" customHeight="1" x14ac:dyDescent="0.2">
      <c r="A554" s="225"/>
      <c r="B554" s="106" t="s">
        <v>2113</v>
      </c>
      <c r="C554" s="798"/>
      <c r="D554" s="810"/>
      <c r="E554" s="127" t="s">
        <v>386</v>
      </c>
      <c r="F554" s="108" t="s">
        <v>271</v>
      </c>
      <c r="G554" s="130">
        <v>19026.98</v>
      </c>
      <c r="H554" s="123">
        <f t="shared" si="11"/>
        <v>21500.487399999998</v>
      </c>
      <c r="I554" s="356" t="s">
        <v>2178</v>
      </c>
    </row>
    <row r="555" spans="1:9" ht="20.100000000000001" customHeight="1" x14ac:dyDescent="0.2">
      <c r="A555" s="225"/>
      <c r="B555" s="106" t="s">
        <v>2846</v>
      </c>
      <c r="C555" s="798"/>
      <c r="D555" s="810"/>
      <c r="E555" s="127" t="s">
        <v>769</v>
      </c>
      <c r="F555" s="108" t="s">
        <v>271</v>
      </c>
      <c r="G555" s="130">
        <v>107842.91</v>
      </c>
      <c r="H555" s="123">
        <f t="shared" si="11"/>
        <v>121862.4883</v>
      </c>
      <c r="I555" s="356" t="s">
        <v>2178</v>
      </c>
    </row>
    <row r="556" spans="1:9" ht="20.100000000000001" customHeight="1" x14ac:dyDescent="0.2">
      <c r="A556" s="225"/>
      <c r="B556" s="106" t="s">
        <v>2255</v>
      </c>
      <c r="C556" s="798"/>
      <c r="D556" s="810"/>
      <c r="E556" s="127" t="s">
        <v>2551</v>
      </c>
      <c r="F556" s="108" t="s">
        <v>271</v>
      </c>
      <c r="G556" s="130">
        <v>3647</v>
      </c>
      <c r="H556" s="123">
        <f t="shared" si="11"/>
        <v>4121.1099999999997</v>
      </c>
      <c r="I556" s="356" t="s">
        <v>2178</v>
      </c>
    </row>
    <row r="557" spans="1:9" ht="20.100000000000001" customHeight="1" x14ac:dyDescent="0.2">
      <c r="A557" s="368"/>
      <c r="B557" s="106" t="s">
        <v>2411</v>
      </c>
      <c r="C557" s="798"/>
      <c r="D557" s="810"/>
      <c r="E557" s="127" t="s">
        <v>2412</v>
      </c>
      <c r="F557" s="108" t="s">
        <v>271</v>
      </c>
      <c r="G557" s="130">
        <v>6638</v>
      </c>
      <c r="H557" s="123">
        <f t="shared" si="11"/>
        <v>7500.94</v>
      </c>
      <c r="I557" s="356" t="s">
        <v>2178</v>
      </c>
    </row>
    <row r="558" spans="1:9" ht="20.100000000000001" customHeight="1" x14ac:dyDescent="0.2">
      <c r="A558" s="357" t="s">
        <v>2708</v>
      </c>
      <c r="B558" s="106" t="s">
        <v>2207</v>
      </c>
      <c r="C558" s="798"/>
      <c r="D558" s="810"/>
      <c r="E558" s="127" t="s">
        <v>843</v>
      </c>
      <c r="F558" s="108" t="s">
        <v>271</v>
      </c>
      <c r="G558" s="130">
        <v>11980</v>
      </c>
      <c r="H558" s="123">
        <f t="shared" si="11"/>
        <v>13537.399999999998</v>
      </c>
      <c r="I558" s="63"/>
    </row>
    <row r="559" spans="1:9" ht="20.100000000000001" customHeight="1" x14ac:dyDescent="0.2">
      <c r="A559" s="225"/>
      <c r="B559" s="106" t="s">
        <v>2760</v>
      </c>
      <c r="C559" s="798"/>
      <c r="D559" s="810"/>
      <c r="E559" s="127" t="s">
        <v>289</v>
      </c>
      <c r="F559" s="108" t="s">
        <v>271</v>
      </c>
      <c r="G559" s="130">
        <v>682.5</v>
      </c>
      <c r="H559" s="123">
        <f t="shared" si="11"/>
        <v>771.22499999999991</v>
      </c>
      <c r="I559" s="356" t="s">
        <v>2178</v>
      </c>
    </row>
    <row r="560" spans="1:9" ht="20.100000000000001" customHeight="1" x14ac:dyDescent="0.2">
      <c r="A560" s="368"/>
      <c r="B560" s="106" t="s">
        <v>2359</v>
      </c>
      <c r="C560" s="798"/>
      <c r="D560" s="810"/>
      <c r="E560" s="127" t="s">
        <v>561</v>
      </c>
      <c r="F560" s="108" t="s">
        <v>271</v>
      </c>
      <c r="G560" s="130">
        <v>215.75</v>
      </c>
      <c r="H560" s="123">
        <f t="shared" si="11"/>
        <v>243.79749999999999</v>
      </c>
      <c r="I560" s="356" t="s">
        <v>2178</v>
      </c>
    </row>
    <row r="561" spans="1:9" ht="20.100000000000001" customHeight="1" x14ac:dyDescent="0.2">
      <c r="A561" s="225"/>
      <c r="B561" s="106" t="s">
        <v>2352</v>
      </c>
      <c r="C561" s="798"/>
      <c r="D561" s="810"/>
      <c r="E561" s="127" t="s">
        <v>942</v>
      </c>
      <c r="F561" s="108" t="s">
        <v>271</v>
      </c>
      <c r="G561" s="130">
        <v>62.5</v>
      </c>
      <c r="H561" s="123">
        <f t="shared" si="11"/>
        <v>70.625</v>
      </c>
      <c r="I561" s="356" t="s">
        <v>2178</v>
      </c>
    </row>
    <row r="562" spans="1:9" ht="20.100000000000001" customHeight="1" x14ac:dyDescent="0.2">
      <c r="A562" s="225"/>
      <c r="B562" s="106" t="s">
        <v>2474</v>
      </c>
      <c r="C562" s="798"/>
      <c r="D562" s="810"/>
      <c r="E562" s="127" t="s">
        <v>2475</v>
      </c>
      <c r="F562" s="108" t="s">
        <v>271</v>
      </c>
      <c r="G562" s="130">
        <v>759.65</v>
      </c>
      <c r="H562" s="123">
        <f t="shared" si="11"/>
        <v>858.40449999999987</v>
      </c>
      <c r="I562" s="356" t="s">
        <v>2178</v>
      </c>
    </row>
    <row r="563" spans="1:9" ht="20.100000000000001" customHeight="1" x14ac:dyDescent="0.2">
      <c r="A563" s="225"/>
      <c r="B563" s="106" t="s">
        <v>1974</v>
      </c>
      <c r="C563" s="798"/>
      <c r="D563" s="810"/>
      <c r="E563" s="127" t="s">
        <v>2476</v>
      </c>
      <c r="F563" s="108" t="s">
        <v>271</v>
      </c>
      <c r="G563" s="130">
        <v>4569</v>
      </c>
      <c r="H563" s="123">
        <f t="shared" si="11"/>
        <v>5162.9699999999993</v>
      </c>
      <c r="I563" s="356" t="s">
        <v>2178</v>
      </c>
    </row>
    <row r="564" spans="1:9" ht="20.100000000000001" customHeight="1" x14ac:dyDescent="0.2">
      <c r="A564" s="225"/>
      <c r="B564" s="106" t="s">
        <v>2357</v>
      </c>
      <c r="C564" s="798"/>
      <c r="D564" s="810"/>
      <c r="E564" s="127" t="s">
        <v>423</v>
      </c>
      <c r="F564" s="108" t="s">
        <v>271</v>
      </c>
      <c r="G564" s="130">
        <v>202.25</v>
      </c>
      <c r="H564" s="123">
        <f t="shared" si="11"/>
        <v>228.54249999999999</v>
      </c>
      <c r="I564" s="356" t="s">
        <v>2178</v>
      </c>
    </row>
    <row r="565" spans="1:9" ht="20.100000000000001" customHeight="1" x14ac:dyDescent="0.2">
      <c r="A565" s="368"/>
      <c r="B565" s="106" t="s">
        <v>2779</v>
      </c>
      <c r="C565" s="798"/>
      <c r="D565" s="810"/>
      <c r="E565" s="127" t="s">
        <v>422</v>
      </c>
      <c r="F565" s="108" t="s">
        <v>271</v>
      </c>
      <c r="G565" s="130">
        <v>359</v>
      </c>
      <c r="H565" s="123">
        <f t="shared" si="11"/>
        <v>405.66999999999996</v>
      </c>
      <c r="I565" s="356" t="s">
        <v>2178</v>
      </c>
    </row>
    <row r="566" spans="1:9" ht="20.100000000000001" customHeight="1" x14ac:dyDescent="0.2">
      <c r="A566" s="368"/>
      <c r="B566" s="106" t="s">
        <v>2783</v>
      </c>
      <c r="C566" s="798"/>
      <c r="D566" s="810"/>
      <c r="E566" s="127" t="s">
        <v>425</v>
      </c>
      <c r="F566" s="108" t="s">
        <v>271</v>
      </c>
      <c r="G566" s="130">
        <v>2238.5</v>
      </c>
      <c r="H566" s="123">
        <f t="shared" si="11"/>
        <v>2529.5049999999997</v>
      </c>
      <c r="I566" s="356" t="s">
        <v>2178</v>
      </c>
    </row>
    <row r="567" spans="1:9" ht="20.100000000000001" customHeight="1" x14ac:dyDescent="0.2">
      <c r="A567" s="225"/>
      <c r="B567" s="106" t="s">
        <v>2478</v>
      </c>
      <c r="C567" s="798"/>
      <c r="D567" s="810"/>
      <c r="E567" s="127" t="s">
        <v>927</v>
      </c>
      <c r="F567" s="108" t="s">
        <v>271</v>
      </c>
      <c r="G567" s="130">
        <v>321</v>
      </c>
      <c r="H567" s="123">
        <f t="shared" si="11"/>
        <v>362.72999999999996</v>
      </c>
      <c r="I567" s="383" t="s">
        <v>2178</v>
      </c>
    </row>
    <row r="568" spans="1:9" ht="20.100000000000001" customHeight="1" x14ac:dyDescent="0.2">
      <c r="A568" s="225"/>
      <c r="B568" s="106" t="s">
        <v>2361</v>
      </c>
      <c r="C568" s="795"/>
      <c r="D568" s="813"/>
      <c r="E568" s="127" t="s">
        <v>2388</v>
      </c>
      <c r="F568" s="108"/>
      <c r="G568" s="130"/>
      <c r="H568" s="123"/>
      <c r="I568" s="356" t="s">
        <v>2178</v>
      </c>
    </row>
    <row r="569" spans="1:9" ht="20.100000000000001" customHeight="1" x14ac:dyDescent="0.2">
      <c r="A569" s="225"/>
      <c r="B569" s="106" t="s">
        <v>2338</v>
      </c>
      <c r="C569" s="798"/>
      <c r="D569" s="810"/>
      <c r="E569" s="127" t="s">
        <v>2719</v>
      </c>
      <c r="F569" s="108" t="s">
        <v>271</v>
      </c>
      <c r="G569" s="130">
        <v>235</v>
      </c>
      <c r="H569" s="123">
        <f t="shared" ref="H569:H600" si="12">+G569*1.13</f>
        <v>265.54999999999995</v>
      </c>
      <c r="I569" s="356" t="s">
        <v>2178</v>
      </c>
    </row>
    <row r="570" spans="1:9" ht="20.100000000000001" customHeight="1" x14ac:dyDescent="0.2">
      <c r="A570" s="357" t="s">
        <v>2718</v>
      </c>
      <c r="B570" s="106" t="s">
        <v>2028</v>
      </c>
      <c r="C570" s="798"/>
      <c r="D570" s="810"/>
      <c r="E570" s="127" t="s">
        <v>914</v>
      </c>
      <c r="F570" s="108" t="s">
        <v>271</v>
      </c>
      <c r="G570" s="130">
        <v>326</v>
      </c>
      <c r="H570" s="123">
        <f t="shared" si="12"/>
        <v>368.37999999999994</v>
      </c>
      <c r="I570" s="63"/>
    </row>
    <row r="571" spans="1:9" ht="20.100000000000001" customHeight="1" x14ac:dyDescent="0.2">
      <c r="A571" s="225"/>
      <c r="B571" s="106" t="s">
        <v>2761</v>
      </c>
      <c r="C571" s="798"/>
      <c r="D571" s="810"/>
      <c r="E571" s="127" t="s">
        <v>290</v>
      </c>
      <c r="F571" s="108" t="s">
        <v>271</v>
      </c>
      <c r="G571" s="130">
        <v>455.5</v>
      </c>
      <c r="H571" s="123">
        <f t="shared" si="12"/>
        <v>514.71499999999992</v>
      </c>
      <c r="I571" s="63"/>
    </row>
    <row r="572" spans="1:9" ht="20.100000000000001" customHeight="1" x14ac:dyDescent="0.2">
      <c r="A572" s="225"/>
      <c r="B572" s="106" t="s">
        <v>2762</v>
      </c>
      <c r="C572" s="798"/>
      <c r="D572" s="810"/>
      <c r="E572" s="127" t="s">
        <v>291</v>
      </c>
      <c r="F572" s="108" t="s">
        <v>271</v>
      </c>
      <c r="G572" s="130">
        <v>1783</v>
      </c>
      <c r="H572" s="123">
        <f t="shared" si="12"/>
        <v>2014.7899999999997</v>
      </c>
      <c r="I572" s="356" t="s">
        <v>2178</v>
      </c>
    </row>
    <row r="573" spans="1:9" ht="20.100000000000001" customHeight="1" x14ac:dyDescent="0.2">
      <c r="A573" s="225"/>
      <c r="B573" s="106" t="s">
        <v>2763</v>
      </c>
      <c r="C573" s="798"/>
      <c r="D573" s="810"/>
      <c r="E573" s="127" t="s">
        <v>292</v>
      </c>
      <c r="F573" s="108" t="s">
        <v>271</v>
      </c>
      <c r="G573" s="130">
        <v>98.5</v>
      </c>
      <c r="H573" s="123">
        <f t="shared" si="12"/>
        <v>111.30499999999999</v>
      </c>
      <c r="I573" s="356" t="s">
        <v>2178</v>
      </c>
    </row>
    <row r="574" spans="1:9" ht="20.100000000000001" customHeight="1" x14ac:dyDescent="0.2">
      <c r="A574" s="357" t="s">
        <v>2720</v>
      </c>
      <c r="B574" s="106" t="s">
        <v>2764</v>
      </c>
      <c r="C574" s="798"/>
      <c r="D574" s="810"/>
      <c r="E574" s="127" t="s">
        <v>885</v>
      </c>
      <c r="F574" s="108" t="s">
        <v>271</v>
      </c>
      <c r="G574" s="130">
        <v>2688</v>
      </c>
      <c r="H574" s="123">
        <f t="shared" si="12"/>
        <v>3037.4399999999996</v>
      </c>
      <c r="I574" s="63"/>
    </row>
    <row r="575" spans="1:9" ht="20.100000000000001" customHeight="1" x14ac:dyDescent="0.2">
      <c r="A575" s="225"/>
      <c r="B575" s="106" t="s">
        <v>2765</v>
      </c>
      <c r="C575" s="798"/>
      <c r="D575" s="810"/>
      <c r="E575" s="127" t="s">
        <v>293</v>
      </c>
      <c r="F575" s="108" t="s">
        <v>271</v>
      </c>
      <c r="G575" s="130">
        <v>608</v>
      </c>
      <c r="H575" s="123">
        <f t="shared" si="12"/>
        <v>687.04</v>
      </c>
      <c r="I575" s="356" t="s">
        <v>2178</v>
      </c>
    </row>
    <row r="576" spans="1:9" ht="20.100000000000001" customHeight="1" x14ac:dyDescent="0.2">
      <c r="A576" s="225"/>
      <c r="B576" s="106" t="s">
        <v>2766</v>
      </c>
      <c r="C576" s="798"/>
      <c r="D576" s="810"/>
      <c r="E576" s="127" t="s">
        <v>2767</v>
      </c>
      <c r="F576" s="108" t="s">
        <v>271</v>
      </c>
      <c r="G576" s="130">
        <v>1427</v>
      </c>
      <c r="H576" s="123">
        <f t="shared" si="12"/>
        <v>1612.5099999999998</v>
      </c>
      <c r="I576" s="356" t="s">
        <v>2178</v>
      </c>
    </row>
    <row r="577" spans="1:9" ht="20.100000000000001" customHeight="1" x14ac:dyDescent="0.2">
      <c r="A577" s="225"/>
      <c r="B577" s="106" t="s">
        <v>2768</v>
      </c>
      <c r="C577" s="798"/>
      <c r="D577" s="810"/>
      <c r="E577" s="127" t="s">
        <v>2769</v>
      </c>
      <c r="F577" s="108" t="s">
        <v>271</v>
      </c>
      <c r="G577" s="130">
        <v>214.11</v>
      </c>
      <c r="H577" s="123">
        <f t="shared" si="12"/>
        <v>241.9443</v>
      </c>
      <c r="I577" s="356" t="s">
        <v>2178</v>
      </c>
    </row>
    <row r="578" spans="1:9" ht="20.100000000000001" customHeight="1" x14ac:dyDescent="0.2">
      <c r="A578" s="225"/>
      <c r="B578" s="106" t="s">
        <v>2770</v>
      </c>
      <c r="C578" s="798"/>
      <c r="D578" s="810"/>
      <c r="E578" s="127" t="s">
        <v>419</v>
      </c>
      <c r="F578" s="108" t="s">
        <v>271</v>
      </c>
      <c r="G578" s="130">
        <v>331.5</v>
      </c>
      <c r="H578" s="123">
        <f t="shared" si="12"/>
        <v>374.59499999999997</v>
      </c>
      <c r="I578" s="356" t="s">
        <v>2178</v>
      </c>
    </row>
    <row r="579" spans="1:9" ht="20.100000000000001" customHeight="1" x14ac:dyDescent="0.2">
      <c r="A579" s="225"/>
      <c r="B579" s="106" t="s">
        <v>2771</v>
      </c>
      <c r="C579" s="798"/>
      <c r="D579" s="810"/>
      <c r="E579" s="127" t="s">
        <v>420</v>
      </c>
      <c r="F579" s="108" t="s">
        <v>271</v>
      </c>
      <c r="G579" s="130">
        <v>138.5</v>
      </c>
      <c r="H579" s="123">
        <f t="shared" si="12"/>
        <v>156.505</v>
      </c>
      <c r="I579" s="356" t="s">
        <v>2178</v>
      </c>
    </row>
    <row r="580" spans="1:9" ht="20.100000000000001" customHeight="1" x14ac:dyDescent="0.2">
      <c r="A580" s="225"/>
      <c r="B580" s="106" t="s">
        <v>2772</v>
      </c>
      <c r="C580" s="798"/>
      <c r="D580" s="810"/>
      <c r="E580" s="127" t="s">
        <v>2773</v>
      </c>
      <c r="F580" s="108" t="s">
        <v>271</v>
      </c>
      <c r="G580" s="130">
        <v>697</v>
      </c>
      <c r="H580" s="123">
        <f t="shared" si="12"/>
        <v>787.6099999999999</v>
      </c>
      <c r="I580" s="356" t="s">
        <v>2178</v>
      </c>
    </row>
    <row r="581" spans="1:9" ht="20.100000000000001" customHeight="1" x14ac:dyDescent="0.2">
      <c r="A581" s="368"/>
      <c r="B581" s="106" t="s">
        <v>2774</v>
      </c>
      <c r="C581" s="798"/>
      <c r="D581" s="810"/>
      <c r="E581" s="127" t="s">
        <v>2775</v>
      </c>
      <c r="F581" s="108" t="s">
        <v>271</v>
      </c>
      <c r="G581" s="130">
        <v>2925</v>
      </c>
      <c r="H581" s="123">
        <f t="shared" si="12"/>
        <v>3305.2499999999995</v>
      </c>
      <c r="I581" s="356" t="s">
        <v>2178</v>
      </c>
    </row>
    <row r="582" spans="1:9" ht="20.100000000000001" customHeight="1" x14ac:dyDescent="0.2">
      <c r="A582" s="225"/>
      <c r="B582" s="106" t="s">
        <v>2351</v>
      </c>
      <c r="C582" s="798"/>
      <c r="D582" s="810"/>
      <c r="E582" s="127" t="s">
        <v>2776</v>
      </c>
      <c r="F582" s="108" t="s">
        <v>271</v>
      </c>
      <c r="G582" s="130">
        <v>1068</v>
      </c>
      <c r="H582" s="123">
        <f t="shared" si="12"/>
        <v>1206.8399999999999</v>
      </c>
      <c r="I582" s="356" t="s">
        <v>2178</v>
      </c>
    </row>
    <row r="583" spans="1:9" ht="20.100000000000001" customHeight="1" x14ac:dyDescent="0.2">
      <c r="A583" s="225"/>
      <c r="B583" s="106" t="s">
        <v>2209</v>
      </c>
      <c r="C583" s="798"/>
      <c r="D583" s="810"/>
      <c r="E583" s="127" t="s">
        <v>2777</v>
      </c>
      <c r="F583" s="108" t="s">
        <v>271</v>
      </c>
      <c r="G583" s="130">
        <v>1879.25</v>
      </c>
      <c r="H583" s="123">
        <f t="shared" si="12"/>
        <v>2123.5524999999998</v>
      </c>
      <c r="I583" s="356" t="s">
        <v>2178</v>
      </c>
    </row>
    <row r="584" spans="1:9" ht="20.100000000000001" customHeight="1" x14ac:dyDescent="0.2">
      <c r="A584" s="225"/>
      <c r="B584" s="106" t="s">
        <v>2033</v>
      </c>
      <c r="C584" s="798"/>
      <c r="D584" s="810"/>
      <c r="E584" s="127" t="s">
        <v>2778</v>
      </c>
      <c r="F584" s="108" t="s">
        <v>271</v>
      </c>
      <c r="G584" s="130">
        <v>418</v>
      </c>
      <c r="H584" s="123">
        <f t="shared" si="12"/>
        <v>472.34</v>
      </c>
      <c r="I584" s="356" t="s">
        <v>2178</v>
      </c>
    </row>
    <row r="585" spans="1:9" ht="20.100000000000001" customHeight="1" x14ac:dyDescent="0.2">
      <c r="A585" s="368"/>
      <c r="B585" s="106" t="s">
        <v>2353</v>
      </c>
      <c r="C585" s="798"/>
      <c r="D585" s="810"/>
      <c r="E585" s="127" t="s">
        <v>426</v>
      </c>
      <c r="F585" s="108" t="s">
        <v>271</v>
      </c>
      <c r="G585" s="130">
        <v>75</v>
      </c>
      <c r="H585" s="123">
        <f t="shared" si="12"/>
        <v>84.749999999999986</v>
      </c>
      <c r="I585" s="356" t="s">
        <v>2178</v>
      </c>
    </row>
    <row r="586" spans="1:9" ht="20.100000000000001" customHeight="1" x14ac:dyDescent="0.2">
      <c r="A586" s="225"/>
      <c r="B586" s="106" t="s">
        <v>2360</v>
      </c>
      <c r="C586" s="798"/>
      <c r="D586" s="810"/>
      <c r="E586" s="127" t="s">
        <v>424</v>
      </c>
      <c r="F586" s="108" t="s">
        <v>271</v>
      </c>
      <c r="G586" s="130">
        <v>355.5</v>
      </c>
      <c r="H586" s="123">
        <f t="shared" si="12"/>
        <v>401.71499999999997</v>
      </c>
      <c r="I586" s="356" t="s">
        <v>2178</v>
      </c>
    </row>
    <row r="587" spans="1:9" ht="20.100000000000001" customHeight="1" x14ac:dyDescent="0.2">
      <c r="A587" s="225"/>
      <c r="B587" s="106" t="s">
        <v>2346</v>
      </c>
      <c r="C587" s="798"/>
      <c r="D587" s="810"/>
      <c r="E587" s="127" t="s">
        <v>2780</v>
      </c>
      <c r="F587" s="108" t="s">
        <v>271</v>
      </c>
      <c r="G587" s="130">
        <v>456.75</v>
      </c>
      <c r="H587" s="123">
        <f t="shared" si="12"/>
        <v>516.12749999999994</v>
      </c>
      <c r="I587" s="356" t="s">
        <v>2178</v>
      </c>
    </row>
    <row r="588" spans="1:9" ht="20.100000000000001" customHeight="1" x14ac:dyDescent="0.2">
      <c r="A588" s="368"/>
      <c r="B588" s="106" t="s">
        <v>2781</v>
      </c>
      <c r="C588" s="798"/>
      <c r="D588" s="810"/>
      <c r="E588" s="127" t="s">
        <v>2782</v>
      </c>
      <c r="F588" s="108" t="s">
        <v>271</v>
      </c>
      <c r="G588" s="130">
        <v>1202</v>
      </c>
      <c r="H588" s="123">
        <f t="shared" si="12"/>
        <v>1358.2599999999998</v>
      </c>
      <c r="I588" s="356" t="s">
        <v>2178</v>
      </c>
    </row>
    <row r="589" spans="1:9" ht="20.100000000000001" customHeight="1" x14ac:dyDescent="0.2">
      <c r="A589" s="225"/>
      <c r="B589" s="106" t="s">
        <v>2023</v>
      </c>
      <c r="C589" s="798"/>
      <c r="D589" s="810"/>
      <c r="E589" s="127" t="s">
        <v>2785</v>
      </c>
      <c r="F589" s="108" t="s">
        <v>271</v>
      </c>
      <c r="G589" s="130">
        <v>3003</v>
      </c>
      <c r="H589" s="123">
        <f t="shared" si="12"/>
        <v>3393.39</v>
      </c>
      <c r="I589" s="356" t="s">
        <v>2178</v>
      </c>
    </row>
    <row r="590" spans="1:9" ht="20.100000000000001" customHeight="1" x14ac:dyDescent="0.2">
      <c r="A590" s="225"/>
      <c r="B590" s="106" t="s">
        <v>2035</v>
      </c>
      <c r="C590" s="798"/>
      <c r="D590" s="810"/>
      <c r="E590" s="127" t="s">
        <v>710</v>
      </c>
      <c r="F590" s="108" t="s">
        <v>271</v>
      </c>
      <c r="G590" s="130">
        <v>89.5</v>
      </c>
      <c r="H590" s="123">
        <f t="shared" si="12"/>
        <v>101.13499999999999</v>
      </c>
      <c r="I590" s="356" t="s">
        <v>2178</v>
      </c>
    </row>
    <row r="591" spans="1:9" ht="20.100000000000001" customHeight="1" x14ac:dyDescent="0.2">
      <c r="A591" s="225"/>
      <c r="B591" s="106" t="s">
        <v>2350</v>
      </c>
      <c r="C591" s="798"/>
      <c r="D591" s="810"/>
      <c r="E591" s="127" t="s">
        <v>2786</v>
      </c>
      <c r="F591" s="108" t="s">
        <v>271</v>
      </c>
      <c r="G591" s="130">
        <v>1611</v>
      </c>
      <c r="H591" s="123">
        <f t="shared" si="12"/>
        <v>1820.4299999999998</v>
      </c>
      <c r="I591" s="356" t="s">
        <v>2178</v>
      </c>
    </row>
    <row r="592" spans="1:9" ht="20.100000000000001" customHeight="1" x14ac:dyDescent="0.2">
      <c r="A592" s="225"/>
      <c r="B592" s="106" t="s">
        <v>2022</v>
      </c>
      <c r="C592" s="798"/>
      <c r="D592" s="810"/>
      <c r="E592" s="127" t="s">
        <v>2787</v>
      </c>
      <c r="F592" s="108" t="s">
        <v>271</v>
      </c>
      <c r="G592" s="130">
        <v>829</v>
      </c>
      <c r="H592" s="123">
        <f t="shared" si="12"/>
        <v>936.76999999999987</v>
      </c>
      <c r="I592" s="356" t="s">
        <v>2178</v>
      </c>
    </row>
    <row r="593" spans="1:9" ht="20.100000000000001" customHeight="1" x14ac:dyDescent="0.2">
      <c r="A593" s="225"/>
      <c r="B593" s="106" t="s">
        <v>2344</v>
      </c>
      <c r="C593" s="798"/>
      <c r="D593" s="810"/>
      <c r="E593" s="127" t="s">
        <v>2788</v>
      </c>
      <c r="F593" s="108" t="s">
        <v>271</v>
      </c>
      <c r="G593" s="130">
        <v>1602.25</v>
      </c>
      <c r="H593" s="123">
        <f t="shared" si="12"/>
        <v>1810.5424999999998</v>
      </c>
      <c r="I593" s="356" t="s">
        <v>2178</v>
      </c>
    </row>
    <row r="594" spans="1:9" ht="20.100000000000001" customHeight="1" x14ac:dyDescent="0.2">
      <c r="A594" s="368"/>
      <c r="B594" s="106" t="s">
        <v>2789</v>
      </c>
      <c r="C594" s="798"/>
      <c r="D594" s="810"/>
      <c r="E594" s="127" t="s">
        <v>708</v>
      </c>
      <c r="F594" s="108" t="s">
        <v>271</v>
      </c>
      <c r="G594" s="130">
        <v>382</v>
      </c>
      <c r="H594" s="123">
        <f t="shared" si="12"/>
        <v>431.65999999999997</v>
      </c>
      <c r="I594" s="356" t="s">
        <v>2178</v>
      </c>
    </row>
    <row r="595" spans="1:9" ht="20.100000000000001" customHeight="1" x14ac:dyDescent="0.2">
      <c r="A595" s="368"/>
      <c r="B595" s="106" t="s">
        <v>2339</v>
      </c>
      <c r="C595" s="798"/>
      <c r="D595" s="810"/>
      <c r="E595" s="127" t="s">
        <v>2790</v>
      </c>
      <c r="F595" s="108" t="s">
        <v>271</v>
      </c>
      <c r="G595" s="130">
        <v>421.75</v>
      </c>
      <c r="H595" s="123">
        <f t="shared" si="12"/>
        <v>476.57749999999993</v>
      </c>
      <c r="I595" s="356" t="s">
        <v>2178</v>
      </c>
    </row>
    <row r="596" spans="1:9" ht="20.100000000000001" customHeight="1" x14ac:dyDescent="0.2">
      <c r="A596" s="368"/>
      <c r="B596" s="106" t="s">
        <v>2791</v>
      </c>
      <c r="C596" s="798"/>
      <c r="D596" s="810"/>
      <c r="E596" s="127" t="s">
        <v>2792</v>
      </c>
      <c r="F596" s="108" t="s">
        <v>271</v>
      </c>
      <c r="G596" s="130">
        <v>763.96</v>
      </c>
      <c r="H596" s="123">
        <f t="shared" si="12"/>
        <v>863.27479999999991</v>
      </c>
      <c r="I596" s="356" t="s">
        <v>2178</v>
      </c>
    </row>
    <row r="597" spans="1:9" ht="20.100000000000001" customHeight="1" x14ac:dyDescent="0.2">
      <c r="A597" s="225"/>
      <c r="B597" s="106" t="s">
        <v>2355</v>
      </c>
      <c r="C597" s="798"/>
      <c r="D597" s="810"/>
      <c r="E597" s="127" t="s">
        <v>2795</v>
      </c>
      <c r="F597" s="108" t="s">
        <v>271</v>
      </c>
      <c r="G597" s="130">
        <v>55</v>
      </c>
      <c r="H597" s="123">
        <f t="shared" si="12"/>
        <v>62.149999999999991</v>
      </c>
      <c r="I597" s="356" t="s">
        <v>2178</v>
      </c>
    </row>
    <row r="598" spans="1:9" ht="20.100000000000001" customHeight="1" x14ac:dyDescent="0.2">
      <c r="A598" s="225"/>
      <c r="B598" s="106" t="s">
        <v>2796</v>
      </c>
      <c r="C598" s="798"/>
      <c r="D598" s="810"/>
      <c r="E598" s="127" t="s">
        <v>2797</v>
      </c>
      <c r="F598" s="108" t="s">
        <v>271</v>
      </c>
      <c r="G598" s="130">
        <v>1216</v>
      </c>
      <c r="H598" s="123">
        <f t="shared" si="12"/>
        <v>1374.08</v>
      </c>
      <c r="I598" s="356" t="s">
        <v>2178</v>
      </c>
    </row>
    <row r="599" spans="1:9" ht="20.100000000000001" customHeight="1" x14ac:dyDescent="0.2">
      <c r="A599" s="225"/>
      <c r="B599" s="106" t="s">
        <v>2015</v>
      </c>
      <c r="C599" s="798"/>
      <c r="D599" s="810"/>
      <c r="E599" s="127" t="s">
        <v>2798</v>
      </c>
      <c r="F599" s="108" t="s">
        <v>271</v>
      </c>
      <c r="G599" s="130">
        <v>319.25</v>
      </c>
      <c r="H599" s="123">
        <f t="shared" si="12"/>
        <v>360.75249999999994</v>
      </c>
      <c r="I599" s="356" t="s">
        <v>2178</v>
      </c>
    </row>
    <row r="600" spans="1:9" ht="20.100000000000001" customHeight="1" x14ac:dyDescent="0.2">
      <c r="A600" s="225"/>
      <c r="B600" s="106" t="s">
        <v>2799</v>
      </c>
      <c r="C600" s="798"/>
      <c r="D600" s="810"/>
      <c r="E600" s="127" t="s">
        <v>2800</v>
      </c>
      <c r="F600" s="108" t="s">
        <v>271</v>
      </c>
      <c r="G600" s="130">
        <v>82.5</v>
      </c>
      <c r="H600" s="123">
        <f t="shared" si="12"/>
        <v>93.224999999999994</v>
      </c>
      <c r="I600" s="356" t="s">
        <v>2178</v>
      </c>
    </row>
    <row r="601" spans="1:9" ht="20.100000000000001" customHeight="1" x14ac:dyDescent="0.2">
      <c r="A601" s="225"/>
      <c r="B601" s="106" t="s">
        <v>2801</v>
      </c>
      <c r="C601" s="798"/>
      <c r="D601" s="810"/>
      <c r="E601" s="127" t="s">
        <v>790</v>
      </c>
      <c r="F601" s="108" t="s">
        <v>271</v>
      </c>
      <c r="G601" s="130">
        <v>263.5</v>
      </c>
      <c r="H601" s="123">
        <f t="shared" ref="H601:H625" si="13">+G601*1.13</f>
        <v>297.755</v>
      </c>
      <c r="I601" s="356" t="s">
        <v>2178</v>
      </c>
    </row>
    <row r="602" spans="1:9" ht="20.100000000000001" customHeight="1" x14ac:dyDescent="0.2">
      <c r="A602" s="225"/>
      <c r="B602" s="106" t="s">
        <v>2802</v>
      </c>
      <c r="C602" s="798"/>
      <c r="D602" s="810"/>
      <c r="E602" s="127" t="s">
        <v>786</v>
      </c>
      <c r="F602" s="108" t="s">
        <v>271</v>
      </c>
      <c r="G602" s="130">
        <v>1118</v>
      </c>
      <c r="H602" s="123">
        <f t="shared" si="13"/>
        <v>1263.3399999999999</v>
      </c>
      <c r="I602" s="356" t="s">
        <v>2178</v>
      </c>
    </row>
    <row r="603" spans="1:9" ht="20.100000000000001" customHeight="1" x14ac:dyDescent="0.2">
      <c r="A603" s="368"/>
      <c r="B603" s="106" t="s">
        <v>2803</v>
      </c>
      <c r="C603" s="798"/>
      <c r="D603" s="810"/>
      <c r="E603" s="127" t="s">
        <v>794</v>
      </c>
      <c r="F603" s="108" t="s">
        <v>271</v>
      </c>
      <c r="G603" s="130">
        <v>5097</v>
      </c>
      <c r="H603" s="123">
        <f t="shared" si="13"/>
        <v>5759.61</v>
      </c>
      <c r="I603" s="356" t="s">
        <v>2178</v>
      </c>
    </row>
    <row r="604" spans="1:9" ht="20.100000000000001" customHeight="1" x14ac:dyDescent="0.2">
      <c r="A604" s="225"/>
      <c r="B604" s="106" t="s">
        <v>2356</v>
      </c>
      <c r="C604" s="798"/>
      <c r="D604" s="810"/>
      <c r="E604" s="127" t="s">
        <v>792</v>
      </c>
      <c r="F604" s="108" t="s">
        <v>271</v>
      </c>
      <c r="G604" s="130">
        <v>267.75</v>
      </c>
      <c r="H604" s="123">
        <f t="shared" si="13"/>
        <v>302.55749999999995</v>
      </c>
      <c r="I604" s="356" t="s">
        <v>2178</v>
      </c>
    </row>
    <row r="605" spans="1:9" ht="20.100000000000001" customHeight="1" x14ac:dyDescent="0.2">
      <c r="A605" s="225"/>
      <c r="B605" s="106" t="s">
        <v>2354</v>
      </c>
      <c r="C605" s="798"/>
      <c r="D605" s="810"/>
      <c r="E605" s="127" t="s">
        <v>795</v>
      </c>
      <c r="F605" s="108" t="s">
        <v>271</v>
      </c>
      <c r="G605" s="130">
        <v>76.25</v>
      </c>
      <c r="H605" s="123">
        <f t="shared" si="13"/>
        <v>86.162499999999994</v>
      </c>
      <c r="I605" s="356" t="s">
        <v>2178</v>
      </c>
    </row>
    <row r="606" spans="1:9" ht="20.100000000000001" customHeight="1" x14ac:dyDescent="0.2">
      <c r="A606" s="225"/>
      <c r="B606" s="106" t="s">
        <v>2025</v>
      </c>
      <c r="C606" s="798"/>
      <c r="D606" s="810"/>
      <c r="E606" s="127" t="s">
        <v>2806</v>
      </c>
      <c r="F606" s="108" t="s">
        <v>271</v>
      </c>
      <c r="G606" s="130">
        <v>1289.75</v>
      </c>
      <c r="H606" s="123">
        <f t="shared" si="13"/>
        <v>1457.4174999999998</v>
      </c>
      <c r="I606" s="356" t="s">
        <v>2178</v>
      </c>
    </row>
    <row r="607" spans="1:9" ht="20.100000000000001" customHeight="1" x14ac:dyDescent="0.2">
      <c r="A607" s="225"/>
      <c r="B607" s="106" t="s">
        <v>2807</v>
      </c>
      <c r="C607" s="798"/>
      <c r="D607" s="810"/>
      <c r="E607" s="127" t="s">
        <v>797</v>
      </c>
      <c r="F607" s="108" t="s">
        <v>271</v>
      </c>
      <c r="G607" s="130">
        <v>644</v>
      </c>
      <c r="H607" s="123">
        <f t="shared" si="13"/>
        <v>727.71999999999991</v>
      </c>
      <c r="I607" s="356" t="s">
        <v>2178</v>
      </c>
    </row>
    <row r="608" spans="1:9" ht="20.100000000000001" customHeight="1" x14ac:dyDescent="0.2">
      <c r="A608" s="225"/>
      <c r="B608" s="106" t="s">
        <v>2034</v>
      </c>
      <c r="C608" s="798"/>
      <c r="D608" s="810"/>
      <c r="E608" s="127" t="s">
        <v>2808</v>
      </c>
      <c r="F608" s="108" t="s">
        <v>271</v>
      </c>
      <c r="G608" s="130">
        <v>3009.25</v>
      </c>
      <c r="H608" s="123">
        <f t="shared" si="13"/>
        <v>3400.4524999999999</v>
      </c>
      <c r="I608" s="356" t="s">
        <v>2178</v>
      </c>
    </row>
    <row r="609" spans="1:9" ht="20.100000000000001" customHeight="1" x14ac:dyDescent="0.2">
      <c r="A609" s="225"/>
      <c r="B609" s="106" t="s">
        <v>2809</v>
      </c>
      <c r="C609" s="798"/>
      <c r="D609" s="810"/>
      <c r="E609" s="127" t="s">
        <v>2810</v>
      </c>
      <c r="F609" s="108" t="s">
        <v>271</v>
      </c>
      <c r="G609" s="130">
        <v>1905.5</v>
      </c>
      <c r="H609" s="123">
        <f t="shared" si="13"/>
        <v>2153.2149999999997</v>
      </c>
      <c r="I609" s="356" t="s">
        <v>2178</v>
      </c>
    </row>
    <row r="610" spans="1:9" ht="20.100000000000001" customHeight="1" x14ac:dyDescent="0.2">
      <c r="A610" s="225"/>
      <c r="B610" s="106" t="s">
        <v>2358</v>
      </c>
      <c r="C610" s="798"/>
      <c r="D610" s="810"/>
      <c r="E610" s="127" t="s">
        <v>860</v>
      </c>
      <c r="F610" s="108" t="s">
        <v>271</v>
      </c>
      <c r="G610" s="130">
        <v>4925</v>
      </c>
      <c r="H610" s="123">
        <f t="shared" si="13"/>
        <v>5565.2499999999991</v>
      </c>
      <c r="I610" s="356" t="s">
        <v>2178</v>
      </c>
    </row>
    <row r="611" spans="1:9" ht="20.100000000000001" customHeight="1" x14ac:dyDescent="0.2">
      <c r="A611" s="225"/>
      <c r="B611" s="106" t="s">
        <v>2031</v>
      </c>
      <c r="C611" s="798"/>
      <c r="D611" s="810"/>
      <c r="E611" s="127" t="s">
        <v>863</v>
      </c>
      <c r="F611" s="108" t="s">
        <v>271</v>
      </c>
      <c r="G611" s="130">
        <v>2399.5</v>
      </c>
      <c r="H611" s="123">
        <f t="shared" si="13"/>
        <v>2711.4349999999999</v>
      </c>
      <c r="I611" s="356" t="s">
        <v>2178</v>
      </c>
    </row>
    <row r="612" spans="1:9" ht="20.100000000000001" customHeight="1" x14ac:dyDescent="0.2">
      <c r="A612" s="225"/>
      <c r="B612" s="106" t="s">
        <v>2029</v>
      </c>
      <c r="C612" s="798"/>
      <c r="D612" s="810"/>
      <c r="E612" s="127" t="s">
        <v>2812</v>
      </c>
      <c r="F612" s="108" t="s">
        <v>271</v>
      </c>
      <c r="G612" s="130">
        <v>3593</v>
      </c>
      <c r="H612" s="123">
        <f t="shared" si="13"/>
        <v>4060.0899999999997</v>
      </c>
      <c r="I612" s="356" t="s">
        <v>2178</v>
      </c>
    </row>
    <row r="613" spans="1:9" ht="20.100000000000001" customHeight="1" x14ac:dyDescent="0.2">
      <c r="A613" s="225"/>
      <c r="B613" s="106" t="s">
        <v>2016</v>
      </c>
      <c r="C613" s="798"/>
      <c r="D613" s="810"/>
      <c r="E613" s="127" t="s">
        <v>2813</v>
      </c>
      <c r="F613" s="108" t="s">
        <v>271</v>
      </c>
      <c r="G613" s="130">
        <v>5718.25</v>
      </c>
      <c r="H613" s="123">
        <f t="shared" si="13"/>
        <v>6461.6224999999995</v>
      </c>
      <c r="I613" s="356" t="s">
        <v>2178</v>
      </c>
    </row>
    <row r="614" spans="1:9" ht="20.100000000000001" customHeight="1" x14ac:dyDescent="0.2">
      <c r="A614" s="225"/>
      <c r="B614" s="106" t="s">
        <v>2815</v>
      </c>
      <c r="C614" s="798"/>
      <c r="D614" s="810"/>
      <c r="E614" s="127" t="s">
        <v>919</v>
      </c>
      <c r="F614" s="108" t="s">
        <v>271</v>
      </c>
      <c r="G614" s="130">
        <v>18578.25</v>
      </c>
      <c r="H614" s="123">
        <f t="shared" si="13"/>
        <v>20993.422499999997</v>
      </c>
      <c r="I614" s="356" t="s">
        <v>2178</v>
      </c>
    </row>
    <row r="615" spans="1:9" ht="20.100000000000001" customHeight="1" x14ac:dyDescent="0.2">
      <c r="A615" s="104"/>
      <c r="B615" s="106" t="s">
        <v>2271</v>
      </c>
      <c r="C615" s="798"/>
      <c r="D615" s="810"/>
      <c r="E615" s="127" t="s">
        <v>2814</v>
      </c>
      <c r="F615" s="108" t="s">
        <v>271</v>
      </c>
      <c r="G615" s="130">
        <v>48691</v>
      </c>
      <c r="H615" s="123">
        <f t="shared" si="13"/>
        <v>55020.829999999994</v>
      </c>
      <c r="I615" s="356" t="s">
        <v>2178</v>
      </c>
    </row>
    <row r="616" spans="1:9" ht="20.100000000000001" customHeight="1" x14ac:dyDescent="0.2">
      <c r="A616" s="135"/>
      <c r="B616" s="106" t="s">
        <v>2032</v>
      </c>
      <c r="C616" s="798"/>
      <c r="D616" s="810"/>
      <c r="E616" s="127" t="s">
        <v>2817</v>
      </c>
      <c r="F616" s="108" t="s">
        <v>271</v>
      </c>
      <c r="G616" s="130">
        <v>18578.25</v>
      </c>
      <c r="H616" s="123">
        <f t="shared" si="13"/>
        <v>20993.422499999997</v>
      </c>
      <c r="I616" s="356" t="s">
        <v>2178</v>
      </c>
    </row>
    <row r="617" spans="1:9" ht="20.100000000000001" customHeight="1" x14ac:dyDescent="0.2">
      <c r="A617" s="104"/>
      <c r="B617" s="106" t="s">
        <v>2818</v>
      </c>
      <c r="C617" s="798"/>
      <c r="D617" s="810"/>
      <c r="E617" s="127" t="s">
        <v>2819</v>
      </c>
      <c r="F617" s="108" t="s">
        <v>271</v>
      </c>
      <c r="G617" s="130">
        <v>44520</v>
      </c>
      <c r="H617" s="123">
        <f t="shared" si="13"/>
        <v>50307.6</v>
      </c>
      <c r="I617" s="356" t="s">
        <v>2178</v>
      </c>
    </row>
    <row r="618" spans="1:9" ht="20.100000000000001" customHeight="1" x14ac:dyDescent="0.2">
      <c r="A618" s="104"/>
      <c r="B618" s="106" t="s">
        <v>2820</v>
      </c>
      <c r="C618" s="798"/>
      <c r="D618" s="810"/>
      <c r="E618" s="127" t="s">
        <v>953</v>
      </c>
      <c r="F618" s="108" t="s">
        <v>271</v>
      </c>
      <c r="G618" s="130">
        <v>84255</v>
      </c>
      <c r="H618" s="123">
        <f t="shared" si="13"/>
        <v>95208.15</v>
      </c>
      <c r="I618" s="356" t="s">
        <v>2178</v>
      </c>
    </row>
    <row r="619" spans="1:9" ht="20.100000000000001" customHeight="1" x14ac:dyDescent="0.2">
      <c r="A619" s="368"/>
      <c r="B619" s="106" t="s">
        <v>2030</v>
      </c>
      <c r="C619" s="798"/>
      <c r="D619" s="810"/>
      <c r="E619" s="127" t="s">
        <v>2822</v>
      </c>
      <c r="F619" s="108" t="s">
        <v>271</v>
      </c>
      <c r="G619" s="130">
        <v>177</v>
      </c>
      <c r="H619" s="123">
        <f t="shared" si="13"/>
        <v>200.01</v>
      </c>
      <c r="I619" s="356" t="s">
        <v>2178</v>
      </c>
    </row>
    <row r="620" spans="1:9" ht="20.100000000000001" customHeight="1" x14ac:dyDescent="0.2">
      <c r="A620" s="368"/>
      <c r="B620" s="106" t="s">
        <v>2823</v>
      </c>
      <c r="C620" s="798"/>
      <c r="D620" s="810"/>
      <c r="E620" s="127" t="s">
        <v>2824</v>
      </c>
      <c r="F620" s="108" t="s">
        <v>271</v>
      </c>
      <c r="G620" s="130">
        <v>265</v>
      </c>
      <c r="H620" s="123">
        <f t="shared" si="13"/>
        <v>299.45</v>
      </c>
      <c r="I620" s="356" t="s">
        <v>2178</v>
      </c>
    </row>
    <row r="621" spans="1:9" ht="20.100000000000001" customHeight="1" x14ac:dyDescent="0.2">
      <c r="A621" s="225"/>
      <c r="B621" s="106" t="s">
        <v>2020</v>
      </c>
      <c r="C621" s="798"/>
      <c r="D621" s="810"/>
      <c r="E621" s="127" t="s">
        <v>2825</v>
      </c>
      <c r="F621" s="108" t="s">
        <v>271</v>
      </c>
      <c r="G621" s="130">
        <v>340.25</v>
      </c>
      <c r="H621" s="123">
        <f t="shared" si="13"/>
        <v>384.48249999999996</v>
      </c>
      <c r="I621" s="356" t="s">
        <v>2178</v>
      </c>
    </row>
    <row r="622" spans="1:9" ht="20.100000000000001" customHeight="1" x14ac:dyDescent="0.2">
      <c r="A622" s="225"/>
      <c r="B622" s="106" t="s">
        <v>2019</v>
      </c>
      <c r="C622" s="798"/>
      <c r="D622" s="810"/>
      <c r="E622" s="127" t="s">
        <v>2826</v>
      </c>
      <c r="F622" s="108" t="s">
        <v>271</v>
      </c>
      <c r="G622" s="130">
        <v>58.5</v>
      </c>
      <c r="H622" s="123">
        <f t="shared" si="13"/>
        <v>66.10499999999999</v>
      </c>
      <c r="I622" s="356" t="s">
        <v>2178</v>
      </c>
    </row>
    <row r="623" spans="1:9" ht="20.100000000000001" customHeight="1" x14ac:dyDescent="0.2">
      <c r="A623" s="225"/>
      <c r="B623" s="106" t="s">
        <v>2027</v>
      </c>
      <c r="C623" s="798"/>
      <c r="D623" s="810"/>
      <c r="E623" s="127" t="s">
        <v>2827</v>
      </c>
      <c r="F623" s="108" t="s">
        <v>271</v>
      </c>
      <c r="G623" s="130">
        <v>498.52</v>
      </c>
      <c r="H623" s="123">
        <f t="shared" si="13"/>
        <v>563.32759999999996</v>
      </c>
      <c r="I623" s="356" t="s">
        <v>2178</v>
      </c>
    </row>
    <row r="624" spans="1:9" ht="20.100000000000001" customHeight="1" x14ac:dyDescent="0.2">
      <c r="A624" s="104"/>
      <c r="B624" s="106" t="s">
        <v>2828</v>
      </c>
      <c r="C624" s="798"/>
      <c r="D624" s="810"/>
      <c r="E624" s="127" t="s">
        <v>2829</v>
      </c>
      <c r="F624" s="108" t="s">
        <v>271</v>
      </c>
      <c r="G624" s="130">
        <v>1839</v>
      </c>
      <c r="H624" s="123">
        <f t="shared" si="13"/>
        <v>2078.0699999999997</v>
      </c>
      <c r="I624" s="356" t="s">
        <v>2178</v>
      </c>
    </row>
    <row r="625" spans="1:9" ht="20.100000000000001" customHeight="1" x14ac:dyDescent="0.2">
      <c r="A625" s="225"/>
      <c r="B625" s="106" t="s">
        <v>2830</v>
      </c>
      <c r="C625" s="798"/>
      <c r="D625" s="810"/>
      <c r="E625" s="127" t="s">
        <v>2831</v>
      </c>
      <c r="F625" s="108" t="s">
        <v>271</v>
      </c>
      <c r="G625" s="130">
        <v>1599.75</v>
      </c>
      <c r="H625" s="123">
        <f t="shared" si="13"/>
        <v>1807.7174999999997</v>
      </c>
      <c r="I625" s="356" t="s">
        <v>2178</v>
      </c>
    </row>
    <row r="626" spans="1:9" ht="20.100000000000001" customHeight="1" x14ac:dyDescent="0.2">
      <c r="A626" s="225"/>
      <c r="B626" s="347" t="s">
        <v>2116</v>
      </c>
      <c r="C626" s="844"/>
      <c r="D626" s="847"/>
      <c r="E626" s="850" t="s">
        <v>2117</v>
      </c>
      <c r="F626" s="856"/>
      <c r="G626" s="862"/>
      <c r="H626" s="862"/>
      <c r="I626" s="356" t="s">
        <v>2178</v>
      </c>
    </row>
    <row r="627" spans="1:9" ht="20.100000000000001" customHeight="1" x14ac:dyDescent="0.2">
      <c r="A627" s="225"/>
      <c r="B627" s="106" t="s">
        <v>2347</v>
      </c>
      <c r="C627" s="798"/>
      <c r="D627" s="810"/>
      <c r="E627" s="127" t="s">
        <v>2832</v>
      </c>
      <c r="F627" s="108" t="s">
        <v>271</v>
      </c>
      <c r="G627" s="130">
        <v>1511.5</v>
      </c>
      <c r="H627" s="123">
        <f t="shared" ref="H627:H658" si="14">+G627*1.13</f>
        <v>1707.9949999999999</v>
      </c>
      <c r="I627" s="356" t="s">
        <v>2178</v>
      </c>
    </row>
    <row r="628" spans="1:9" ht="20.100000000000001" customHeight="1" x14ac:dyDescent="0.2">
      <c r="A628" s="104"/>
      <c r="B628" s="106" t="s">
        <v>2018</v>
      </c>
      <c r="C628" s="798"/>
      <c r="D628" s="810"/>
      <c r="E628" s="127" t="s">
        <v>2833</v>
      </c>
      <c r="F628" s="108" t="s">
        <v>271</v>
      </c>
      <c r="G628" s="130">
        <v>2450.25</v>
      </c>
      <c r="H628" s="123">
        <f t="shared" si="14"/>
        <v>2768.7824999999998</v>
      </c>
      <c r="I628" s="356" t="s">
        <v>2178</v>
      </c>
    </row>
    <row r="629" spans="1:9" ht="20.100000000000001" customHeight="1" x14ac:dyDescent="0.2">
      <c r="A629" s="225"/>
      <c r="B629" s="106" t="s">
        <v>2345</v>
      </c>
      <c r="C629" s="798"/>
      <c r="D629" s="810"/>
      <c r="E629" s="127" t="s">
        <v>2834</v>
      </c>
      <c r="F629" s="108" t="s">
        <v>271</v>
      </c>
      <c r="G629" s="130">
        <v>3760.75</v>
      </c>
      <c r="H629" s="123">
        <f t="shared" si="14"/>
        <v>4249.6475</v>
      </c>
      <c r="I629" s="356" t="s">
        <v>2178</v>
      </c>
    </row>
    <row r="630" spans="1:9" ht="20.100000000000001" customHeight="1" x14ac:dyDescent="0.2">
      <c r="A630" s="225"/>
      <c r="B630" s="254" t="s">
        <v>2835</v>
      </c>
      <c r="C630" s="798"/>
      <c r="D630" s="810"/>
      <c r="E630" s="331" t="s">
        <v>2836</v>
      </c>
      <c r="F630" s="330" t="s">
        <v>271</v>
      </c>
      <c r="G630" s="332">
        <v>3421</v>
      </c>
      <c r="H630" s="134">
        <f t="shared" si="14"/>
        <v>3865.7299999999996</v>
      </c>
      <c r="I630" s="356" t="s">
        <v>2178</v>
      </c>
    </row>
    <row r="631" spans="1:9" ht="20.100000000000001" customHeight="1" x14ac:dyDescent="0.2">
      <c r="A631" s="104"/>
      <c r="B631" s="106" t="s">
        <v>2349</v>
      </c>
      <c r="C631" s="798"/>
      <c r="D631" s="810"/>
      <c r="E631" s="127" t="s">
        <v>2838</v>
      </c>
      <c r="F631" s="108" t="s">
        <v>271</v>
      </c>
      <c r="G631" s="130">
        <v>312.5</v>
      </c>
      <c r="H631" s="123">
        <f t="shared" si="14"/>
        <v>353.12499999999994</v>
      </c>
      <c r="I631" s="356" t="s">
        <v>2178</v>
      </c>
    </row>
    <row r="632" spans="1:9" ht="20.100000000000001" customHeight="1" x14ac:dyDescent="0.2">
      <c r="A632" s="225"/>
      <c r="B632" s="106" t="s">
        <v>2024</v>
      </c>
      <c r="C632" s="798"/>
      <c r="D632" s="810"/>
      <c r="E632" s="127" t="s">
        <v>2839</v>
      </c>
      <c r="F632" s="108" t="s">
        <v>271</v>
      </c>
      <c r="G632" s="130">
        <v>270.25</v>
      </c>
      <c r="H632" s="123">
        <f t="shared" si="14"/>
        <v>305.38249999999999</v>
      </c>
      <c r="I632" s="356" t="s">
        <v>2178</v>
      </c>
    </row>
    <row r="633" spans="1:9" ht="20.100000000000001" customHeight="1" x14ac:dyDescent="0.2">
      <c r="A633" s="225"/>
      <c r="B633" s="106" t="s">
        <v>2348</v>
      </c>
      <c r="C633" s="798"/>
      <c r="D633" s="810"/>
      <c r="E633" s="127" t="s">
        <v>2840</v>
      </c>
      <c r="F633" s="108" t="s">
        <v>271</v>
      </c>
      <c r="G633" s="130">
        <v>268</v>
      </c>
      <c r="H633" s="123">
        <f t="shared" si="14"/>
        <v>302.83999999999997</v>
      </c>
      <c r="I633" s="356" t="s">
        <v>2178</v>
      </c>
    </row>
    <row r="634" spans="1:9" ht="20.100000000000001" customHeight="1" x14ac:dyDescent="0.2">
      <c r="A634" s="225"/>
      <c r="B634" s="254" t="s">
        <v>2841</v>
      </c>
      <c r="C634" s="798"/>
      <c r="D634" s="810"/>
      <c r="E634" s="331" t="s">
        <v>2842</v>
      </c>
      <c r="F634" s="330" t="s">
        <v>271</v>
      </c>
      <c r="G634" s="332">
        <v>1101.77</v>
      </c>
      <c r="H634" s="134">
        <f t="shared" si="14"/>
        <v>1245.0001</v>
      </c>
      <c r="I634" s="356" t="s">
        <v>2178</v>
      </c>
    </row>
    <row r="635" spans="1:9" ht="20.100000000000001" customHeight="1" x14ac:dyDescent="0.2">
      <c r="A635" s="225"/>
      <c r="B635" s="106" t="s">
        <v>2021</v>
      </c>
      <c r="C635" s="798"/>
      <c r="D635" s="810"/>
      <c r="E635" s="127" t="s">
        <v>884</v>
      </c>
      <c r="F635" s="108" t="s">
        <v>271</v>
      </c>
      <c r="G635" s="130">
        <v>1918.45</v>
      </c>
      <c r="H635" s="123">
        <f t="shared" si="14"/>
        <v>2167.8485000000001</v>
      </c>
      <c r="I635" s="356" t="s">
        <v>2178</v>
      </c>
    </row>
    <row r="636" spans="1:9" ht="20.100000000000001" customHeight="1" x14ac:dyDescent="0.2">
      <c r="A636" s="225"/>
      <c r="B636" s="106" t="s">
        <v>2843</v>
      </c>
      <c r="C636" s="798"/>
      <c r="D636" s="810"/>
      <c r="E636" s="127" t="s">
        <v>883</v>
      </c>
      <c r="F636" s="108" t="s">
        <v>271</v>
      </c>
      <c r="G636" s="130">
        <v>25426</v>
      </c>
      <c r="H636" s="123">
        <f t="shared" si="14"/>
        <v>28731.379999999997</v>
      </c>
      <c r="I636" s="356" t="s">
        <v>2178</v>
      </c>
    </row>
    <row r="637" spans="1:9" ht="20.100000000000001" customHeight="1" x14ac:dyDescent="0.2">
      <c r="A637" s="225"/>
      <c r="B637" s="106" t="s">
        <v>2847</v>
      </c>
      <c r="C637" s="798"/>
      <c r="D637" s="810"/>
      <c r="E637" s="127" t="s">
        <v>894</v>
      </c>
      <c r="F637" s="108" t="s">
        <v>271</v>
      </c>
      <c r="G637" s="130">
        <v>4738</v>
      </c>
      <c r="H637" s="123">
        <f t="shared" si="14"/>
        <v>5353.94</v>
      </c>
      <c r="I637" s="356" t="s">
        <v>2178</v>
      </c>
    </row>
    <row r="638" spans="1:9" ht="20.100000000000001" customHeight="1" x14ac:dyDescent="0.2">
      <c r="A638" s="225"/>
      <c r="B638" s="106" t="s">
        <v>2026</v>
      </c>
      <c r="C638" s="798"/>
      <c r="D638" s="810"/>
      <c r="E638" s="127" t="s">
        <v>2848</v>
      </c>
      <c r="F638" s="108" t="s">
        <v>271</v>
      </c>
      <c r="G638" s="130">
        <v>5367</v>
      </c>
      <c r="H638" s="123">
        <f t="shared" si="14"/>
        <v>6064.7099999999991</v>
      </c>
      <c r="I638" s="356" t="s">
        <v>2178</v>
      </c>
    </row>
    <row r="639" spans="1:9" ht="20.100000000000001" customHeight="1" x14ac:dyDescent="0.2">
      <c r="A639" s="225"/>
      <c r="B639" s="106" t="s">
        <v>2849</v>
      </c>
      <c r="C639" s="798"/>
      <c r="D639" s="810"/>
      <c r="E639" s="127" t="s">
        <v>920</v>
      </c>
      <c r="F639" s="108" t="s">
        <v>271</v>
      </c>
      <c r="G639" s="130">
        <v>7704</v>
      </c>
      <c r="H639" s="123">
        <f t="shared" si="14"/>
        <v>8705.5199999999986</v>
      </c>
      <c r="I639" s="356" t="s">
        <v>2178</v>
      </c>
    </row>
    <row r="640" spans="1:9" ht="20.100000000000001" customHeight="1" x14ac:dyDescent="0.2">
      <c r="A640" s="225"/>
      <c r="B640" s="106" t="s">
        <v>2850</v>
      </c>
      <c r="C640" s="798"/>
      <c r="D640" s="810"/>
      <c r="E640" s="127" t="s">
        <v>2851</v>
      </c>
      <c r="F640" s="108" t="s">
        <v>271</v>
      </c>
      <c r="G640" s="130">
        <v>11092.92</v>
      </c>
      <c r="H640" s="123">
        <f t="shared" si="14"/>
        <v>12534.999599999999</v>
      </c>
      <c r="I640" s="356" t="s">
        <v>2178</v>
      </c>
    </row>
    <row r="641" spans="1:9" ht="20.100000000000001" customHeight="1" x14ac:dyDescent="0.2">
      <c r="A641" s="225"/>
      <c r="B641" s="106" t="s">
        <v>2852</v>
      </c>
      <c r="C641" s="798"/>
      <c r="D641" s="810"/>
      <c r="E641" s="127" t="s">
        <v>2853</v>
      </c>
      <c r="F641" s="108" t="s">
        <v>271</v>
      </c>
      <c r="G641" s="130">
        <v>1452</v>
      </c>
      <c r="H641" s="123">
        <f t="shared" si="14"/>
        <v>1640.7599999999998</v>
      </c>
      <c r="I641" s="356" t="s">
        <v>2178</v>
      </c>
    </row>
    <row r="642" spans="1:9" ht="20.100000000000001" customHeight="1" x14ac:dyDescent="0.2">
      <c r="A642" s="225"/>
      <c r="B642" s="106" t="s">
        <v>2854</v>
      </c>
      <c r="C642" s="798"/>
      <c r="D642" s="810"/>
      <c r="E642" s="127" t="s">
        <v>2855</v>
      </c>
      <c r="F642" s="108" t="s">
        <v>271</v>
      </c>
      <c r="G642" s="130">
        <v>3670</v>
      </c>
      <c r="H642" s="123">
        <f t="shared" si="14"/>
        <v>4147.0999999999995</v>
      </c>
      <c r="I642" s="356" t="s">
        <v>2178</v>
      </c>
    </row>
    <row r="643" spans="1:9" ht="20.100000000000001" customHeight="1" x14ac:dyDescent="0.2">
      <c r="A643" s="104"/>
      <c r="B643" s="106" t="s">
        <v>2856</v>
      </c>
      <c r="C643" s="798"/>
      <c r="D643" s="810"/>
      <c r="E643" s="127" t="s">
        <v>2857</v>
      </c>
      <c r="F643" s="108" t="s">
        <v>271</v>
      </c>
      <c r="G643" s="130">
        <v>3013.27</v>
      </c>
      <c r="H643" s="123">
        <f t="shared" si="14"/>
        <v>3404.9950999999996</v>
      </c>
      <c r="I643" s="356" t="s">
        <v>2178</v>
      </c>
    </row>
    <row r="644" spans="1:9" ht="20.100000000000001" customHeight="1" x14ac:dyDescent="0.2">
      <c r="A644" s="104"/>
      <c r="B644" s="106" t="s">
        <v>2858</v>
      </c>
      <c r="C644" s="798"/>
      <c r="D644" s="810"/>
      <c r="E644" s="127" t="s">
        <v>2859</v>
      </c>
      <c r="F644" s="108" t="s">
        <v>271</v>
      </c>
      <c r="G644" s="130">
        <v>1059.28</v>
      </c>
      <c r="H644" s="123">
        <f t="shared" si="14"/>
        <v>1196.9863999999998</v>
      </c>
      <c r="I644" s="356" t="s">
        <v>2178</v>
      </c>
    </row>
    <row r="645" spans="1:9" ht="20.100000000000001" customHeight="1" x14ac:dyDescent="0.2">
      <c r="A645" s="225"/>
      <c r="B645" s="106" t="s">
        <v>2266</v>
      </c>
      <c r="C645" s="798"/>
      <c r="D645" s="810"/>
      <c r="E645" s="127" t="s">
        <v>903</v>
      </c>
      <c r="F645" s="108" t="s">
        <v>271</v>
      </c>
      <c r="G645" s="130">
        <v>2496.8000000000002</v>
      </c>
      <c r="H645" s="123">
        <f t="shared" si="14"/>
        <v>2821.384</v>
      </c>
      <c r="I645" s="356" t="s">
        <v>2178</v>
      </c>
    </row>
    <row r="646" spans="1:9" ht="20.100000000000001" customHeight="1" x14ac:dyDescent="0.2">
      <c r="A646" s="104"/>
      <c r="B646" s="106" t="s">
        <v>2581</v>
      </c>
      <c r="C646" s="798"/>
      <c r="D646" s="810"/>
      <c r="E646" s="127" t="s">
        <v>618</v>
      </c>
      <c r="F646" s="108" t="s">
        <v>271</v>
      </c>
      <c r="G646" s="130">
        <v>549.64</v>
      </c>
      <c r="H646" s="123">
        <f t="shared" si="14"/>
        <v>621.09319999999991</v>
      </c>
      <c r="I646" s="356" t="s">
        <v>2178</v>
      </c>
    </row>
    <row r="647" spans="1:9" ht="20.100000000000001" customHeight="1" x14ac:dyDescent="0.2">
      <c r="A647" s="225"/>
      <c r="B647" s="106" t="s">
        <v>2658</v>
      </c>
      <c r="C647" s="798"/>
      <c r="D647" s="810"/>
      <c r="E647" s="127" t="s">
        <v>2659</v>
      </c>
      <c r="F647" s="108" t="s">
        <v>271</v>
      </c>
      <c r="G647" s="130">
        <v>15833.45</v>
      </c>
      <c r="H647" s="123">
        <f t="shared" si="14"/>
        <v>17891.798500000001</v>
      </c>
      <c r="I647" s="356" t="s">
        <v>2178</v>
      </c>
    </row>
    <row r="648" spans="1:9" ht="20.100000000000001" customHeight="1" x14ac:dyDescent="0.2">
      <c r="A648" s="225"/>
      <c r="B648" s="106" t="s">
        <v>2341</v>
      </c>
      <c r="C648" s="798"/>
      <c r="D648" s="810"/>
      <c r="E648" s="127" t="s">
        <v>617</v>
      </c>
      <c r="F648" s="108" t="s">
        <v>271</v>
      </c>
      <c r="G648" s="130">
        <v>1567.4</v>
      </c>
      <c r="H648" s="123">
        <f t="shared" si="14"/>
        <v>1771.162</v>
      </c>
      <c r="I648" s="356" t="s">
        <v>2178</v>
      </c>
    </row>
    <row r="649" spans="1:9" ht="20.100000000000001" customHeight="1" x14ac:dyDescent="0.2">
      <c r="A649" s="104"/>
      <c r="B649" s="106" t="s">
        <v>3100</v>
      </c>
      <c r="C649" s="798"/>
      <c r="D649" s="810"/>
      <c r="E649" s="127" t="s">
        <v>3101</v>
      </c>
      <c r="F649" s="108" t="s">
        <v>271</v>
      </c>
      <c r="G649" s="130">
        <f>8531.502/1.13</f>
        <v>7550.0017699115051</v>
      </c>
      <c r="H649" s="123">
        <f t="shared" si="14"/>
        <v>8531.5020000000004</v>
      </c>
      <c r="I649" s="356" t="s">
        <v>2178</v>
      </c>
    </row>
    <row r="650" spans="1:9" ht="20.100000000000001" customHeight="1" x14ac:dyDescent="0.2">
      <c r="A650" s="225"/>
      <c r="B650" s="106" t="s">
        <v>2681</v>
      </c>
      <c r="C650" s="798"/>
      <c r="D650" s="810"/>
      <c r="E650" s="127" t="s">
        <v>566</v>
      </c>
      <c r="F650" s="108" t="s">
        <v>271</v>
      </c>
      <c r="G650" s="130">
        <v>1268.75</v>
      </c>
      <c r="H650" s="123">
        <f t="shared" si="14"/>
        <v>1433.6874999999998</v>
      </c>
      <c r="I650" s="356" t="s">
        <v>2178</v>
      </c>
    </row>
    <row r="651" spans="1:9" ht="20.100000000000001" customHeight="1" x14ac:dyDescent="0.2">
      <c r="A651" s="225"/>
      <c r="B651" s="106" t="s">
        <v>2751</v>
      </c>
      <c r="C651" s="798"/>
      <c r="D651" s="810"/>
      <c r="E651" s="127" t="s">
        <v>567</v>
      </c>
      <c r="F651" s="108" t="s">
        <v>568</v>
      </c>
      <c r="G651" s="130">
        <v>983.33</v>
      </c>
      <c r="H651" s="123">
        <f t="shared" si="14"/>
        <v>1111.1629</v>
      </c>
      <c r="I651" s="356" t="s">
        <v>2178</v>
      </c>
    </row>
    <row r="652" spans="1:9" ht="20.100000000000001" customHeight="1" x14ac:dyDescent="0.2">
      <c r="A652" s="225"/>
      <c r="B652" s="106" t="s">
        <v>2102</v>
      </c>
      <c r="C652" s="798"/>
      <c r="D652" s="810"/>
      <c r="E652" s="127" t="s">
        <v>2104</v>
      </c>
      <c r="F652" s="108" t="s">
        <v>271</v>
      </c>
      <c r="G652" s="130">
        <v>6037</v>
      </c>
      <c r="H652" s="123">
        <f t="shared" si="14"/>
        <v>6821.8099999999995</v>
      </c>
      <c r="I652" s="356" t="s">
        <v>2178</v>
      </c>
    </row>
    <row r="653" spans="1:9" ht="20.100000000000001" customHeight="1" x14ac:dyDescent="0.2">
      <c r="A653" s="225"/>
      <c r="B653" s="106" t="s">
        <v>2103</v>
      </c>
      <c r="C653" s="798"/>
      <c r="D653" s="810"/>
      <c r="E653" s="127" t="s">
        <v>2105</v>
      </c>
      <c r="F653" s="108" t="s">
        <v>271</v>
      </c>
      <c r="G653" s="130">
        <v>16204.33</v>
      </c>
      <c r="H653" s="123">
        <f t="shared" si="14"/>
        <v>18310.892899999999</v>
      </c>
      <c r="I653" s="356" t="s">
        <v>2178</v>
      </c>
    </row>
    <row r="654" spans="1:9" ht="20.100000000000001" customHeight="1" x14ac:dyDescent="0.2">
      <c r="A654" s="225"/>
      <c r="B654" s="106" t="s">
        <v>1945</v>
      </c>
      <c r="C654" s="798"/>
      <c r="D654" s="810"/>
      <c r="E654" s="127" t="s">
        <v>1116</v>
      </c>
      <c r="F654" s="108" t="s">
        <v>271</v>
      </c>
      <c r="G654" s="130">
        <f>1.57*tc</f>
        <v>832.1</v>
      </c>
      <c r="H654" s="123">
        <f t="shared" si="14"/>
        <v>940.27299999999991</v>
      </c>
      <c r="I654" s="356" t="s">
        <v>2178</v>
      </c>
    </row>
    <row r="655" spans="1:9" ht="20.100000000000001" customHeight="1" x14ac:dyDescent="0.2">
      <c r="A655" s="225"/>
      <c r="B655" s="106" t="s">
        <v>1946</v>
      </c>
      <c r="C655" s="798"/>
      <c r="D655" s="810"/>
      <c r="E655" s="127" t="s">
        <v>2689</v>
      </c>
      <c r="F655" s="108" t="s">
        <v>271</v>
      </c>
      <c r="G655" s="130">
        <v>3823.01</v>
      </c>
      <c r="H655" s="123">
        <f t="shared" si="14"/>
        <v>4320.0012999999999</v>
      </c>
      <c r="I655" s="356" t="s">
        <v>2178</v>
      </c>
    </row>
    <row r="656" spans="1:9" ht="20.100000000000001" customHeight="1" x14ac:dyDescent="0.2">
      <c r="A656" s="225"/>
      <c r="B656" s="106" t="s">
        <v>1951</v>
      </c>
      <c r="C656" s="798"/>
      <c r="D656" s="810"/>
      <c r="E656" s="328" t="s">
        <v>2752</v>
      </c>
      <c r="F656" s="108" t="s">
        <v>271</v>
      </c>
      <c r="G656" s="130">
        <v>130088.5</v>
      </c>
      <c r="H656" s="123">
        <f t="shared" si="14"/>
        <v>147000.00499999998</v>
      </c>
      <c r="I656" s="356" t="s">
        <v>2178</v>
      </c>
    </row>
    <row r="657" spans="1:9" ht="20.100000000000001" customHeight="1" x14ac:dyDescent="0.2">
      <c r="A657" s="225"/>
      <c r="B657" s="106" t="s">
        <v>1953</v>
      </c>
      <c r="C657" s="798"/>
      <c r="D657" s="810"/>
      <c r="E657" s="328" t="s">
        <v>2753</v>
      </c>
      <c r="F657" s="108" t="s">
        <v>271</v>
      </c>
      <c r="G657" s="130">
        <v>130088.5</v>
      </c>
      <c r="H657" s="123">
        <f t="shared" si="14"/>
        <v>147000.00499999998</v>
      </c>
      <c r="I657" s="356" t="s">
        <v>2178</v>
      </c>
    </row>
    <row r="658" spans="1:9" ht="20.100000000000001" customHeight="1" x14ac:dyDescent="0.2">
      <c r="A658" s="225"/>
      <c r="B658" s="106" t="s">
        <v>1952</v>
      </c>
      <c r="C658" s="798"/>
      <c r="D658" s="810"/>
      <c r="E658" s="328" t="s">
        <v>2754</v>
      </c>
      <c r="F658" s="108" t="s">
        <v>271</v>
      </c>
      <c r="G658" s="130">
        <v>130088.5</v>
      </c>
      <c r="H658" s="123">
        <f t="shared" si="14"/>
        <v>147000.00499999998</v>
      </c>
      <c r="I658" s="356" t="s">
        <v>2178</v>
      </c>
    </row>
    <row r="659" spans="1:9" ht="20.100000000000001" customHeight="1" x14ac:dyDescent="0.2">
      <c r="A659" s="104"/>
      <c r="B659" s="106" t="s">
        <v>1965</v>
      </c>
      <c r="C659" s="798"/>
      <c r="D659" s="810"/>
      <c r="E659" s="127" t="s">
        <v>943</v>
      </c>
      <c r="F659" s="108" t="s">
        <v>271</v>
      </c>
      <c r="G659" s="130">
        <f>26.99*tc</f>
        <v>14304.699999999999</v>
      </c>
      <c r="H659" s="123">
        <f t="shared" ref="H659:H691" si="15">+G659*1.13</f>
        <v>16164.310999999998</v>
      </c>
      <c r="I659" s="356" t="s">
        <v>2178</v>
      </c>
    </row>
    <row r="660" spans="1:9" ht="20.100000000000001" customHeight="1" x14ac:dyDescent="0.2">
      <c r="A660" s="225"/>
      <c r="B660" s="106" t="s">
        <v>1966</v>
      </c>
      <c r="C660" s="798"/>
      <c r="D660" s="810"/>
      <c r="E660" s="328" t="s">
        <v>977</v>
      </c>
      <c r="F660" s="108" t="s">
        <v>271</v>
      </c>
      <c r="G660" s="130">
        <f>23.05*tc</f>
        <v>12216.5</v>
      </c>
      <c r="H660" s="123">
        <f t="shared" si="15"/>
        <v>13804.644999999999</v>
      </c>
      <c r="I660" s="356" t="s">
        <v>2178</v>
      </c>
    </row>
    <row r="661" spans="1:9" ht="20.100000000000001" customHeight="1" x14ac:dyDescent="0.2">
      <c r="A661" s="357" t="s">
        <v>2793</v>
      </c>
      <c r="B661" s="106" t="s">
        <v>2466</v>
      </c>
      <c r="C661" s="798"/>
      <c r="D661" s="810"/>
      <c r="E661" s="127" t="s">
        <v>2467</v>
      </c>
      <c r="F661" s="108" t="s">
        <v>271</v>
      </c>
      <c r="G661" s="130">
        <v>285.60000000000002</v>
      </c>
      <c r="H661" s="123">
        <f t="shared" si="15"/>
        <v>322.72800000000001</v>
      </c>
      <c r="I661" s="63"/>
    </row>
    <row r="662" spans="1:9" ht="20.100000000000001" customHeight="1" x14ac:dyDescent="0.2">
      <c r="A662" s="104"/>
      <c r="B662" s="106" t="s">
        <v>1968</v>
      </c>
      <c r="C662" s="798"/>
      <c r="D662" s="810"/>
      <c r="E662" s="127" t="s">
        <v>403</v>
      </c>
      <c r="F662" s="108" t="s">
        <v>271</v>
      </c>
      <c r="G662" s="130">
        <v>173.4</v>
      </c>
      <c r="H662" s="123">
        <f t="shared" si="15"/>
        <v>195.94199999999998</v>
      </c>
      <c r="I662" s="356" t="s">
        <v>2178</v>
      </c>
    </row>
    <row r="663" spans="1:9" ht="20.100000000000001" customHeight="1" x14ac:dyDescent="0.2">
      <c r="A663" s="225"/>
      <c r="B663" s="106" t="s">
        <v>1969</v>
      </c>
      <c r="C663" s="798"/>
      <c r="D663" s="810"/>
      <c r="E663" s="127" t="s">
        <v>404</v>
      </c>
      <c r="F663" s="108" t="s">
        <v>271</v>
      </c>
      <c r="G663" s="130">
        <v>275</v>
      </c>
      <c r="H663" s="123">
        <f t="shared" si="15"/>
        <v>310.74999999999994</v>
      </c>
      <c r="I663" s="356" t="s">
        <v>2178</v>
      </c>
    </row>
    <row r="664" spans="1:9" ht="20.100000000000001" customHeight="1" x14ac:dyDescent="0.2">
      <c r="A664" s="104"/>
      <c r="B664" s="106" t="s">
        <v>1970</v>
      </c>
      <c r="C664" s="798"/>
      <c r="D664" s="810"/>
      <c r="E664" s="127" t="s">
        <v>967</v>
      </c>
      <c r="F664" s="108" t="s">
        <v>271</v>
      </c>
      <c r="G664" s="130">
        <v>4325</v>
      </c>
      <c r="H664" s="123">
        <f t="shared" si="15"/>
        <v>4887.2499999999991</v>
      </c>
      <c r="I664" s="356" t="s">
        <v>2178</v>
      </c>
    </row>
    <row r="665" spans="1:9" ht="20.100000000000001" customHeight="1" x14ac:dyDescent="0.2">
      <c r="A665" s="225"/>
      <c r="B665" s="106" t="s">
        <v>1964</v>
      </c>
      <c r="C665" s="798"/>
      <c r="D665" s="810"/>
      <c r="E665" s="127" t="s">
        <v>415</v>
      </c>
      <c r="F665" s="108" t="s">
        <v>271</v>
      </c>
      <c r="G665" s="130">
        <v>176.99</v>
      </c>
      <c r="H665" s="123">
        <f t="shared" si="15"/>
        <v>199.99869999999999</v>
      </c>
      <c r="I665" s="356" t="s">
        <v>2178</v>
      </c>
    </row>
    <row r="666" spans="1:9" ht="20.100000000000001" customHeight="1" x14ac:dyDescent="0.2">
      <c r="A666" s="225"/>
      <c r="B666" s="106" t="s">
        <v>2577</v>
      </c>
      <c r="C666" s="798"/>
      <c r="D666" s="810"/>
      <c r="E666" s="127" t="s">
        <v>529</v>
      </c>
      <c r="F666" s="108" t="s">
        <v>271</v>
      </c>
      <c r="G666" s="130">
        <v>716.56</v>
      </c>
      <c r="H666" s="123">
        <f t="shared" si="15"/>
        <v>809.7127999999999</v>
      </c>
      <c r="I666" s="356" t="s">
        <v>2178</v>
      </c>
    </row>
    <row r="667" spans="1:9" ht="20.100000000000001" customHeight="1" x14ac:dyDescent="0.2">
      <c r="A667" s="357"/>
      <c r="B667" s="106" t="s">
        <v>1929</v>
      </c>
      <c r="C667" s="798"/>
      <c r="D667" s="810"/>
      <c r="E667" s="127" t="s">
        <v>521</v>
      </c>
      <c r="F667" s="108" t="s">
        <v>271</v>
      </c>
      <c r="G667" s="130">
        <v>1097</v>
      </c>
      <c r="H667" s="123">
        <f t="shared" si="15"/>
        <v>1239.6099999999999</v>
      </c>
      <c r="I667" s="63"/>
    </row>
    <row r="668" spans="1:9" ht="20.100000000000001" customHeight="1" x14ac:dyDescent="0.2">
      <c r="A668" s="357"/>
      <c r="B668" s="106" t="s">
        <v>2202</v>
      </c>
      <c r="C668" s="798"/>
      <c r="D668" s="810"/>
      <c r="E668" s="127" t="s">
        <v>2464</v>
      </c>
      <c r="F668" s="108" t="s">
        <v>276</v>
      </c>
      <c r="G668" s="130">
        <v>769</v>
      </c>
      <c r="H668" s="123">
        <f t="shared" si="15"/>
        <v>868.96999999999991</v>
      </c>
      <c r="I668" s="63"/>
    </row>
    <row r="669" spans="1:9" ht="20.100000000000001" customHeight="1" x14ac:dyDescent="0.2">
      <c r="A669" s="357"/>
      <c r="B669" s="106" t="s">
        <v>3560</v>
      </c>
      <c r="C669" s="798"/>
      <c r="D669" s="810"/>
      <c r="E669" s="127" t="s">
        <v>3561</v>
      </c>
      <c r="F669" s="108" t="s">
        <v>276</v>
      </c>
      <c r="G669" s="130">
        <v>769</v>
      </c>
      <c r="H669" s="123">
        <f t="shared" ref="H669" si="16">+G669*1.13</f>
        <v>868.96999999999991</v>
      </c>
      <c r="I669" s="63"/>
    </row>
    <row r="670" spans="1:9" x14ac:dyDescent="0.2">
      <c r="A670" s="225"/>
      <c r="B670" s="106" t="s">
        <v>1967</v>
      </c>
      <c r="C670" s="798"/>
      <c r="D670" s="810"/>
      <c r="E670" s="117" t="s">
        <v>978</v>
      </c>
      <c r="F670" s="108" t="s">
        <v>271</v>
      </c>
      <c r="G670" s="130">
        <v>61200</v>
      </c>
      <c r="H670" s="123">
        <f t="shared" si="15"/>
        <v>69156</v>
      </c>
      <c r="I670" s="356" t="s">
        <v>2178</v>
      </c>
    </row>
    <row r="671" spans="1:9" ht="20.100000000000001" customHeight="1" x14ac:dyDescent="0.2">
      <c r="A671" s="225"/>
      <c r="B671" s="106" t="s">
        <v>2465</v>
      </c>
      <c r="C671" s="798"/>
      <c r="D671" s="810"/>
      <c r="E671" s="127" t="s">
        <v>630</v>
      </c>
      <c r="F671" s="108" t="s">
        <v>271</v>
      </c>
      <c r="G671" s="130">
        <f>134*tc</f>
        <v>71020</v>
      </c>
      <c r="H671" s="123">
        <f t="shared" si="15"/>
        <v>80252.599999999991</v>
      </c>
      <c r="I671" s="356" t="s">
        <v>2178</v>
      </c>
    </row>
    <row r="672" spans="1:9" ht="20.100000000000001" customHeight="1" x14ac:dyDescent="0.2">
      <c r="A672" s="225"/>
      <c r="B672" s="106" t="s">
        <v>2090</v>
      </c>
      <c r="C672" s="798"/>
      <c r="D672" s="810"/>
      <c r="E672" s="127" t="s">
        <v>948</v>
      </c>
      <c r="F672" s="108" t="s">
        <v>271</v>
      </c>
      <c r="G672" s="130">
        <v>50913</v>
      </c>
      <c r="H672" s="123">
        <f t="shared" si="15"/>
        <v>57531.689999999995</v>
      </c>
      <c r="I672" s="356" t="s">
        <v>2178</v>
      </c>
    </row>
    <row r="673" spans="1:9" ht="20.100000000000001" customHeight="1" x14ac:dyDescent="0.2">
      <c r="A673" s="104"/>
      <c r="B673" s="106" t="s">
        <v>3126</v>
      </c>
      <c r="C673" s="798"/>
      <c r="D673" s="810"/>
      <c r="E673" s="127" t="s">
        <v>3127</v>
      </c>
      <c r="F673" s="108" t="s">
        <v>342</v>
      </c>
      <c r="G673" s="130">
        <v>992</v>
      </c>
      <c r="H673" s="123">
        <f t="shared" si="15"/>
        <v>1120.9599999999998</v>
      </c>
      <c r="I673" s="356" t="s">
        <v>2178</v>
      </c>
    </row>
    <row r="674" spans="1:9" ht="20.100000000000001" customHeight="1" x14ac:dyDescent="0.2">
      <c r="A674" s="225"/>
      <c r="B674" s="106" t="s">
        <v>3128</v>
      </c>
      <c r="C674" s="798"/>
      <c r="D674" s="810"/>
      <c r="E674" s="127" t="s">
        <v>3129</v>
      </c>
      <c r="F674" s="108" t="s">
        <v>342</v>
      </c>
      <c r="G674" s="130">
        <v>1810</v>
      </c>
      <c r="H674" s="123">
        <f t="shared" si="15"/>
        <v>2045.2999999999997</v>
      </c>
      <c r="I674" s="356" t="s">
        <v>2178</v>
      </c>
    </row>
    <row r="675" spans="1:9" ht="20.100000000000001" customHeight="1" x14ac:dyDescent="0.2">
      <c r="A675" s="225"/>
      <c r="B675" s="106" t="s">
        <v>2134</v>
      </c>
      <c r="C675" s="798"/>
      <c r="D675" s="810"/>
      <c r="E675" s="127" t="s">
        <v>2590</v>
      </c>
      <c r="F675" s="108" t="s">
        <v>3266</v>
      </c>
      <c r="G675" s="130">
        <f>46086.69/30</f>
        <v>1536.2230000000002</v>
      </c>
      <c r="H675" s="123">
        <f t="shared" si="15"/>
        <v>1735.93199</v>
      </c>
      <c r="I675" s="356" t="s">
        <v>2178</v>
      </c>
    </row>
    <row r="676" spans="1:9" ht="20.100000000000001" customHeight="1" x14ac:dyDescent="0.2">
      <c r="A676" s="225"/>
      <c r="B676" s="106" t="s">
        <v>2621</v>
      </c>
      <c r="C676" s="798"/>
      <c r="D676" s="810"/>
      <c r="E676" s="127" t="s">
        <v>405</v>
      </c>
      <c r="F676" s="108" t="s">
        <v>271</v>
      </c>
      <c r="G676" s="130">
        <v>4373.37</v>
      </c>
      <c r="H676" s="123">
        <f t="shared" si="15"/>
        <v>4941.9080999999996</v>
      </c>
      <c r="I676" s="356" t="s">
        <v>2178</v>
      </c>
    </row>
    <row r="677" spans="1:9" ht="20.100000000000001" customHeight="1" x14ac:dyDescent="0.2">
      <c r="A677" s="225"/>
      <c r="B677" s="106" t="s">
        <v>2367</v>
      </c>
      <c r="C677" s="798"/>
      <c r="D677" s="810"/>
      <c r="E677" s="127" t="s">
        <v>653</v>
      </c>
      <c r="F677" s="108" t="s">
        <v>271</v>
      </c>
      <c r="G677" s="130">
        <v>3950</v>
      </c>
      <c r="H677" s="123">
        <f t="shared" si="15"/>
        <v>4463.5</v>
      </c>
      <c r="I677" s="356" t="s">
        <v>2178</v>
      </c>
    </row>
    <row r="678" spans="1:9" ht="20.100000000000001" customHeight="1" x14ac:dyDescent="0.2">
      <c r="A678" s="225"/>
      <c r="B678" s="106" t="s">
        <v>2368</v>
      </c>
      <c r="C678" s="798"/>
      <c r="D678" s="810"/>
      <c r="E678" s="127" t="s">
        <v>596</v>
      </c>
      <c r="F678" s="108" t="s">
        <v>271</v>
      </c>
      <c r="G678" s="130">
        <v>21600</v>
      </c>
      <c r="H678" s="123">
        <f t="shared" si="15"/>
        <v>24407.999999999996</v>
      </c>
      <c r="I678" s="356" t="s">
        <v>2178</v>
      </c>
    </row>
    <row r="679" spans="1:9" ht="20.100000000000001" customHeight="1" x14ac:dyDescent="0.2">
      <c r="A679" s="368"/>
      <c r="B679" s="106" t="s">
        <v>1983</v>
      </c>
      <c r="C679" s="798"/>
      <c r="D679" s="810"/>
      <c r="E679" s="127" t="s">
        <v>921</v>
      </c>
      <c r="F679" s="108" t="s">
        <v>396</v>
      </c>
      <c r="G679" s="130">
        <v>1175</v>
      </c>
      <c r="H679" s="123">
        <f t="shared" si="15"/>
        <v>1327.7499999999998</v>
      </c>
      <c r="I679" s="356" t="s">
        <v>2178</v>
      </c>
    </row>
    <row r="680" spans="1:9" ht="20.100000000000001" customHeight="1" x14ac:dyDescent="0.2">
      <c r="A680" s="104"/>
      <c r="B680" s="106" t="s">
        <v>2369</v>
      </c>
      <c r="C680" s="798"/>
      <c r="D680" s="810"/>
      <c r="E680" s="127" t="s">
        <v>905</v>
      </c>
      <c r="F680" s="108" t="s">
        <v>271</v>
      </c>
      <c r="G680" s="130">
        <v>4690.1899999999996</v>
      </c>
      <c r="H680" s="123">
        <f t="shared" si="15"/>
        <v>5299.9146999999994</v>
      </c>
      <c r="I680" s="356" t="s">
        <v>2178</v>
      </c>
    </row>
    <row r="681" spans="1:9" ht="20.100000000000001" customHeight="1" x14ac:dyDescent="0.2">
      <c r="A681" s="225"/>
      <c r="B681" s="106" t="s">
        <v>2370</v>
      </c>
      <c r="C681" s="798"/>
      <c r="D681" s="810"/>
      <c r="E681" s="127" t="s">
        <v>270</v>
      </c>
      <c r="F681" s="108" t="s">
        <v>467</v>
      </c>
      <c r="G681" s="130">
        <v>445000</v>
      </c>
      <c r="H681" s="123">
        <f t="shared" si="15"/>
        <v>502849.99999999994</v>
      </c>
      <c r="I681" s="356" t="s">
        <v>2178</v>
      </c>
    </row>
    <row r="682" spans="1:9" ht="20.100000000000001" customHeight="1" x14ac:dyDescent="0.2">
      <c r="A682" s="225"/>
      <c r="B682" s="106" t="s">
        <v>2376</v>
      </c>
      <c r="C682" s="798"/>
      <c r="D682" s="810"/>
      <c r="E682" s="127" t="s">
        <v>941</v>
      </c>
      <c r="F682" s="108" t="s">
        <v>271</v>
      </c>
      <c r="G682" s="130">
        <v>5309.73</v>
      </c>
      <c r="H682" s="123">
        <f t="shared" si="15"/>
        <v>5999.9948999999988</v>
      </c>
      <c r="I682" s="356" t="s">
        <v>2178</v>
      </c>
    </row>
    <row r="683" spans="1:9" ht="20.100000000000001" customHeight="1" x14ac:dyDescent="0.2">
      <c r="A683" s="104"/>
      <c r="B683" s="106" t="s">
        <v>2372</v>
      </c>
      <c r="C683" s="798"/>
      <c r="D683" s="810"/>
      <c r="E683" s="127" t="s">
        <v>611</v>
      </c>
      <c r="F683" s="108" t="s">
        <v>271</v>
      </c>
      <c r="G683" s="130">
        <v>45350</v>
      </c>
      <c r="H683" s="123">
        <f t="shared" si="15"/>
        <v>51245.499999999993</v>
      </c>
      <c r="I683" s="356" t="s">
        <v>2178</v>
      </c>
    </row>
    <row r="684" spans="1:9" ht="20.100000000000001" customHeight="1" x14ac:dyDescent="0.2">
      <c r="A684" s="104"/>
      <c r="B684" s="106" t="s">
        <v>2373</v>
      </c>
      <c r="C684" s="798"/>
      <c r="D684" s="810"/>
      <c r="E684" s="127" t="s">
        <v>715</v>
      </c>
      <c r="F684" s="108" t="s">
        <v>271</v>
      </c>
      <c r="G684" s="130">
        <v>6014.83</v>
      </c>
      <c r="H684" s="123">
        <f t="shared" si="15"/>
        <v>6796.7578999999996</v>
      </c>
      <c r="I684" s="356" t="s">
        <v>2178</v>
      </c>
    </row>
    <row r="685" spans="1:9" ht="20.100000000000001" customHeight="1" x14ac:dyDescent="0.2">
      <c r="A685" s="225"/>
      <c r="B685" s="106" t="s">
        <v>2374</v>
      </c>
      <c r="C685" s="798"/>
      <c r="D685" s="810"/>
      <c r="E685" s="127" t="s">
        <v>2375</v>
      </c>
      <c r="F685" s="108" t="s">
        <v>271</v>
      </c>
      <c r="G685" s="130">
        <v>19469.0265</v>
      </c>
      <c r="H685" s="123">
        <f t="shared" si="15"/>
        <v>21999.999945</v>
      </c>
      <c r="I685" s="356" t="s">
        <v>2178</v>
      </c>
    </row>
    <row r="686" spans="1:9" ht="20.100000000000001" customHeight="1" x14ac:dyDescent="0.2">
      <c r="A686" s="104"/>
      <c r="B686" s="106" t="s">
        <v>2680</v>
      </c>
      <c r="C686" s="798"/>
      <c r="D686" s="810"/>
      <c r="E686" s="127" t="s">
        <v>733</v>
      </c>
      <c r="F686" s="108" t="s">
        <v>271</v>
      </c>
      <c r="G686" s="130">
        <v>5411.84</v>
      </c>
      <c r="H686" s="123">
        <f t="shared" si="15"/>
        <v>6115.3791999999994</v>
      </c>
      <c r="I686" s="356" t="s">
        <v>2178</v>
      </c>
    </row>
    <row r="687" spans="1:9" ht="20.100000000000001" customHeight="1" x14ac:dyDescent="0.2">
      <c r="A687" s="104"/>
      <c r="B687" s="106" t="s">
        <v>2650</v>
      </c>
      <c r="C687" s="798"/>
      <c r="D687" s="810"/>
      <c r="E687" s="127" t="s">
        <v>465</v>
      </c>
      <c r="F687" s="108" t="s">
        <v>342</v>
      </c>
      <c r="G687" s="130">
        <v>71.736000000000004</v>
      </c>
      <c r="H687" s="123">
        <f t="shared" si="15"/>
        <v>81.061679999999996</v>
      </c>
      <c r="I687" s="356" t="s">
        <v>2178</v>
      </c>
    </row>
    <row r="688" spans="1:9" ht="20.100000000000001" customHeight="1" x14ac:dyDescent="0.2">
      <c r="A688" s="368"/>
      <c r="B688" s="369" t="s">
        <v>518</v>
      </c>
      <c r="C688" s="798"/>
      <c r="D688" s="810"/>
      <c r="E688" s="370" t="s">
        <v>519</v>
      </c>
      <c r="F688" s="371" t="s">
        <v>271</v>
      </c>
      <c r="G688" s="372">
        <v>228.72</v>
      </c>
      <c r="H688" s="373">
        <f t="shared" si="15"/>
        <v>258.45359999999999</v>
      </c>
      <c r="I688" s="356" t="s">
        <v>2178</v>
      </c>
    </row>
    <row r="689" spans="1:9" ht="20.100000000000001" customHeight="1" x14ac:dyDescent="0.2">
      <c r="A689" s="104"/>
      <c r="B689" s="369" t="s">
        <v>917</v>
      </c>
      <c r="C689" s="798"/>
      <c r="D689" s="810"/>
      <c r="E689" s="370" t="s">
        <v>918</v>
      </c>
      <c r="F689" s="371" t="s">
        <v>271</v>
      </c>
      <c r="G689" s="372">
        <v>12407.08</v>
      </c>
      <c r="H689" s="373">
        <f t="shared" si="15"/>
        <v>14020.000399999999</v>
      </c>
      <c r="I689" s="356" t="s">
        <v>2178</v>
      </c>
    </row>
    <row r="690" spans="1:9" ht="20.100000000000001" customHeight="1" x14ac:dyDescent="0.2">
      <c r="A690" s="225"/>
      <c r="B690" s="369" t="s">
        <v>491</v>
      </c>
      <c r="C690" s="798"/>
      <c r="D690" s="810"/>
      <c r="E690" s="370" t="s">
        <v>492</v>
      </c>
      <c r="F690" s="371" t="s">
        <v>271</v>
      </c>
      <c r="G690" s="372">
        <v>4229.3999999999996</v>
      </c>
      <c r="H690" s="373">
        <f t="shared" si="15"/>
        <v>4779.2219999999988</v>
      </c>
      <c r="I690" s="356" t="s">
        <v>2178</v>
      </c>
    </row>
    <row r="691" spans="1:9" ht="20.100000000000001" customHeight="1" x14ac:dyDescent="0.2">
      <c r="A691" s="225"/>
      <c r="B691" s="369" t="s">
        <v>648</v>
      </c>
      <c r="C691" s="798"/>
      <c r="D691" s="810"/>
      <c r="E691" s="370" t="s">
        <v>649</v>
      </c>
      <c r="F691" s="371" t="s">
        <v>271</v>
      </c>
      <c r="G691" s="372">
        <v>8137.1679999999997</v>
      </c>
      <c r="H691" s="373">
        <f t="shared" si="15"/>
        <v>9194.9998399999986</v>
      </c>
      <c r="I691" s="356" t="s">
        <v>2178</v>
      </c>
    </row>
    <row r="692" spans="1:9" ht="20.100000000000001" customHeight="1" x14ac:dyDescent="0.2">
      <c r="A692" s="104"/>
      <c r="B692" s="369" t="s">
        <v>274</v>
      </c>
      <c r="C692" s="798"/>
      <c r="D692" s="810"/>
      <c r="E692" s="370" t="s">
        <v>275</v>
      </c>
      <c r="F692" s="371" t="s">
        <v>276</v>
      </c>
      <c r="G692" s="372">
        <f>2.03*tc</f>
        <v>1075.8999999999999</v>
      </c>
      <c r="H692" s="373">
        <f t="shared" ref="H692:H723" si="17">+G692*1.13</f>
        <v>1215.7669999999998</v>
      </c>
      <c r="I692" s="356" t="s">
        <v>2178</v>
      </c>
    </row>
    <row r="693" spans="1:9" ht="20.100000000000001" customHeight="1" x14ac:dyDescent="0.2">
      <c r="A693" s="357" t="s">
        <v>2816</v>
      </c>
      <c r="B693" s="369" t="s">
        <v>887</v>
      </c>
      <c r="C693" s="798"/>
      <c r="D693" s="810"/>
      <c r="E693" s="370" t="s">
        <v>888</v>
      </c>
      <c r="F693" s="371" t="s">
        <v>271</v>
      </c>
      <c r="G693" s="372">
        <v>6199.42</v>
      </c>
      <c r="H693" s="373">
        <f t="shared" si="17"/>
        <v>7005.3445999999994</v>
      </c>
      <c r="I693" s="63"/>
    </row>
    <row r="694" spans="1:9" ht="20.100000000000001" customHeight="1" x14ac:dyDescent="0.2">
      <c r="A694" s="225"/>
      <c r="B694" s="369" t="s">
        <v>804</v>
      </c>
      <c r="C694" s="798"/>
      <c r="D694" s="810"/>
      <c r="E694" s="370" t="s">
        <v>805</v>
      </c>
      <c r="F694" s="371" t="s">
        <v>271</v>
      </c>
      <c r="G694" s="372">
        <v>1796.68</v>
      </c>
      <c r="H694" s="373">
        <f t="shared" si="17"/>
        <v>2030.2483999999999</v>
      </c>
      <c r="I694" s="356" t="s">
        <v>2178</v>
      </c>
    </row>
    <row r="695" spans="1:9" ht="20.100000000000001" customHeight="1" x14ac:dyDescent="0.2">
      <c r="A695" s="104"/>
      <c r="B695" s="369" t="s">
        <v>409</v>
      </c>
      <c r="C695" s="798"/>
      <c r="D695" s="810"/>
      <c r="E695" s="370" t="s">
        <v>410</v>
      </c>
      <c r="F695" s="371" t="s">
        <v>411</v>
      </c>
      <c r="G695" s="372">
        <v>1120.4000000000001</v>
      </c>
      <c r="H695" s="373">
        <f t="shared" si="17"/>
        <v>1266.0519999999999</v>
      </c>
      <c r="I695" s="356" t="s">
        <v>2178</v>
      </c>
    </row>
    <row r="696" spans="1:9" ht="20.100000000000001" customHeight="1" x14ac:dyDescent="0.2">
      <c r="A696" s="104"/>
      <c r="B696" s="369" t="s">
        <v>593</v>
      </c>
      <c r="C696" s="798"/>
      <c r="D696" s="810"/>
      <c r="E696" s="370" t="s">
        <v>594</v>
      </c>
      <c r="F696" s="371" t="s">
        <v>271</v>
      </c>
      <c r="G696" s="372">
        <v>877.5</v>
      </c>
      <c r="H696" s="373">
        <f t="shared" si="17"/>
        <v>991.57499999999993</v>
      </c>
      <c r="I696" s="356" t="s">
        <v>2178</v>
      </c>
    </row>
    <row r="697" spans="1:9" ht="20.100000000000001" customHeight="1" x14ac:dyDescent="0.2">
      <c r="A697" s="225"/>
      <c r="B697" s="369" t="s">
        <v>946</v>
      </c>
      <c r="C697" s="798"/>
      <c r="D697" s="810"/>
      <c r="E697" s="370" t="s">
        <v>947</v>
      </c>
      <c r="F697" s="371" t="s">
        <v>377</v>
      </c>
      <c r="G697" s="372">
        <v>1623.38</v>
      </c>
      <c r="H697" s="373">
        <f t="shared" si="17"/>
        <v>1834.4194</v>
      </c>
      <c r="I697" s="356" t="s">
        <v>2178</v>
      </c>
    </row>
    <row r="698" spans="1:9" ht="20.100000000000001" customHeight="1" x14ac:dyDescent="0.2">
      <c r="A698" s="225"/>
      <c r="B698" s="369" t="s">
        <v>587</v>
      </c>
      <c r="C698" s="798"/>
      <c r="D698" s="810"/>
      <c r="E698" s="370" t="s">
        <v>588</v>
      </c>
      <c r="F698" s="371" t="s">
        <v>271</v>
      </c>
      <c r="G698" s="372">
        <v>1113.5</v>
      </c>
      <c r="H698" s="373">
        <f t="shared" si="17"/>
        <v>1258.2549999999999</v>
      </c>
      <c r="I698" s="356" t="s">
        <v>2178</v>
      </c>
    </row>
    <row r="699" spans="1:9" ht="20.100000000000001" customHeight="1" x14ac:dyDescent="0.2">
      <c r="A699" s="104"/>
      <c r="B699" s="369" t="s">
        <v>731</v>
      </c>
      <c r="C699" s="798"/>
      <c r="D699" s="810"/>
      <c r="E699" s="370" t="s">
        <v>732</v>
      </c>
      <c r="F699" s="371" t="s">
        <v>271</v>
      </c>
      <c r="G699" s="372">
        <v>2831.86</v>
      </c>
      <c r="H699" s="373">
        <f t="shared" si="17"/>
        <v>3200.0018</v>
      </c>
      <c r="I699" s="356" t="s">
        <v>2178</v>
      </c>
    </row>
    <row r="700" spans="1:9" ht="20.100000000000001" customHeight="1" x14ac:dyDescent="0.2">
      <c r="A700" s="225"/>
      <c r="B700" s="369" t="s">
        <v>727</v>
      </c>
      <c r="C700" s="798"/>
      <c r="D700" s="810"/>
      <c r="E700" s="370" t="s">
        <v>728</v>
      </c>
      <c r="F700" s="371" t="s">
        <v>271</v>
      </c>
      <c r="G700" s="372">
        <v>3076</v>
      </c>
      <c r="H700" s="373">
        <f t="shared" si="17"/>
        <v>3475.8799999999997</v>
      </c>
      <c r="I700" s="356" t="s">
        <v>2178</v>
      </c>
    </row>
    <row r="701" spans="1:9" ht="20.100000000000001" customHeight="1" x14ac:dyDescent="0.2">
      <c r="A701" s="225"/>
      <c r="B701" s="369" t="s">
        <v>667</v>
      </c>
      <c r="C701" s="798"/>
      <c r="D701" s="810"/>
      <c r="E701" s="370" t="s">
        <v>668</v>
      </c>
      <c r="F701" s="371" t="s">
        <v>271</v>
      </c>
      <c r="G701" s="372">
        <v>141.86000000000001</v>
      </c>
      <c r="H701" s="373">
        <f t="shared" si="17"/>
        <v>160.30180000000001</v>
      </c>
      <c r="I701" s="356" t="s">
        <v>2178</v>
      </c>
    </row>
    <row r="702" spans="1:9" ht="20.100000000000001" customHeight="1" x14ac:dyDescent="0.2">
      <c r="A702" s="104"/>
      <c r="B702" s="369" t="s">
        <v>665</v>
      </c>
      <c r="C702" s="798"/>
      <c r="D702" s="810"/>
      <c r="E702" s="370" t="s">
        <v>666</v>
      </c>
      <c r="F702" s="371" t="s">
        <v>271</v>
      </c>
      <c r="G702" s="372">
        <v>1678.95</v>
      </c>
      <c r="H702" s="373">
        <f t="shared" si="17"/>
        <v>1897.2134999999998</v>
      </c>
      <c r="I702" s="356" t="s">
        <v>2178</v>
      </c>
    </row>
    <row r="703" spans="1:9" ht="20.100000000000001" customHeight="1" x14ac:dyDescent="0.2">
      <c r="A703" s="104"/>
      <c r="B703" s="369" t="s">
        <v>571</v>
      </c>
      <c r="C703" s="798"/>
      <c r="D703" s="810"/>
      <c r="E703" s="370" t="s">
        <v>572</v>
      </c>
      <c r="F703" s="371" t="s">
        <v>271</v>
      </c>
      <c r="G703" s="372">
        <v>1603.14</v>
      </c>
      <c r="H703" s="373">
        <f t="shared" si="17"/>
        <v>1811.5482</v>
      </c>
      <c r="I703" s="356" t="s">
        <v>2178</v>
      </c>
    </row>
    <row r="704" spans="1:9" ht="20.100000000000001" customHeight="1" x14ac:dyDescent="0.2">
      <c r="A704" s="225"/>
      <c r="B704" s="369" t="s">
        <v>481</v>
      </c>
      <c r="C704" s="798"/>
      <c r="D704" s="810"/>
      <c r="E704" s="370" t="s">
        <v>482</v>
      </c>
      <c r="F704" s="371" t="s">
        <v>271</v>
      </c>
      <c r="G704" s="372">
        <v>33696</v>
      </c>
      <c r="H704" s="373">
        <f t="shared" si="17"/>
        <v>38076.479999999996</v>
      </c>
      <c r="I704" s="356" t="s">
        <v>2178</v>
      </c>
    </row>
    <row r="705" spans="1:9" ht="20.100000000000001" customHeight="1" x14ac:dyDescent="0.2">
      <c r="A705" s="225"/>
      <c r="B705" s="369" t="s">
        <v>613</v>
      </c>
      <c r="C705" s="798"/>
      <c r="D705" s="810"/>
      <c r="E705" s="370" t="s">
        <v>614</v>
      </c>
      <c r="F705" s="371" t="s">
        <v>271</v>
      </c>
      <c r="G705" s="372">
        <v>19000</v>
      </c>
      <c r="H705" s="373">
        <f t="shared" si="17"/>
        <v>21469.999999999996</v>
      </c>
      <c r="I705" s="356" t="s">
        <v>2178</v>
      </c>
    </row>
    <row r="706" spans="1:9" ht="20.100000000000001" customHeight="1" x14ac:dyDescent="0.2">
      <c r="A706" s="225"/>
      <c r="B706" s="369" t="s">
        <v>477</v>
      </c>
      <c r="C706" s="798"/>
      <c r="D706" s="810"/>
      <c r="E706" s="370" t="s">
        <v>478</v>
      </c>
      <c r="F706" s="371" t="s">
        <v>271</v>
      </c>
      <c r="G706" s="372">
        <v>34426.800000000003</v>
      </c>
      <c r="H706" s="373">
        <f t="shared" si="17"/>
        <v>38902.284</v>
      </c>
      <c r="I706" s="356" t="s">
        <v>2178</v>
      </c>
    </row>
    <row r="707" spans="1:9" ht="20.100000000000001" customHeight="1" x14ac:dyDescent="0.2">
      <c r="A707" s="225"/>
      <c r="B707" s="369" t="s">
        <v>530</v>
      </c>
      <c r="C707" s="798"/>
      <c r="D707" s="810"/>
      <c r="E707" s="370" t="s">
        <v>531</v>
      </c>
      <c r="F707" s="371" t="s">
        <v>271</v>
      </c>
      <c r="G707" s="372">
        <v>2895</v>
      </c>
      <c r="H707" s="373">
        <f t="shared" si="17"/>
        <v>3271.35</v>
      </c>
      <c r="I707" s="356" t="s">
        <v>2178</v>
      </c>
    </row>
    <row r="708" spans="1:9" ht="20.100000000000001" customHeight="1" x14ac:dyDescent="0.2">
      <c r="A708" s="225"/>
      <c r="B708" s="369" t="s">
        <v>564</v>
      </c>
      <c r="C708" s="798"/>
      <c r="D708" s="810"/>
      <c r="E708" s="370" t="s">
        <v>565</v>
      </c>
      <c r="F708" s="371" t="s">
        <v>271</v>
      </c>
      <c r="G708" s="372">
        <v>6745.6156000000001</v>
      </c>
      <c r="H708" s="373">
        <f t="shared" si="17"/>
        <v>7622.5456279999989</v>
      </c>
      <c r="I708" s="356" t="s">
        <v>2178</v>
      </c>
    </row>
    <row r="709" spans="1:9" ht="20.100000000000001" customHeight="1" x14ac:dyDescent="0.2">
      <c r="A709" s="225"/>
      <c r="B709" s="369" t="s">
        <v>716</v>
      </c>
      <c r="C709" s="798"/>
      <c r="D709" s="810"/>
      <c r="E709" s="370" t="s">
        <v>717</v>
      </c>
      <c r="F709" s="371" t="s">
        <v>271</v>
      </c>
      <c r="G709" s="372">
        <v>1769.91</v>
      </c>
      <c r="H709" s="373">
        <f t="shared" si="17"/>
        <v>1999.9983</v>
      </c>
      <c r="I709" s="356" t="s">
        <v>2178</v>
      </c>
    </row>
    <row r="710" spans="1:9" ht="20.100000000000001" customHeight="1" x14ac:dyDescent="0.2">
      <c r="A710" s="225"/>
      <c r="B710" s="369" t="s">
        <v>756</v>
      </c>
      <c r="C710" s="798"/>
      <c r="D710" s="810"/>
      <c r="E710" s="370" t="s">
        <v>757</v>
      </c>
      <c r="F710" s="371" t="s">
        <v>305</v>
      </c>
      <c r="G710" s="372">
        <v>38615.85</v>
      </c>
      <c r="H710" s="373">
        <f t="shared" si="17"/>
        <v>43635.910499999991</v>
      </c>
      <c r="I710" s="356" t="s">
        <v>2178</v>
      </c>
    </row>
    <row r="711" spans="1:9" ht="20.100000000000001" customHeight="1" x14ac:dyDescent="0.2">
      <c r="A711" s="368"/>
      <c r="B711" s="369" t="s">
        <v>758</v>
      </c>
      <c r="C711" s="798"/>
      <c r="D711" s="810"/>
      <c r="E711" s="370" t="s">
        <v>759</v>
      </c>
      <c r="F711" s="371" t="s">
        <v>305</v>
      </c>
      <c r="G711" s="372">
        <v>43182</v>
      </c>
      <c r="H711" s="373">
        <f t="shared" si="17"/>
        <v>48795.659999999996</v>
      </c>
      <c r="I711" s="356" t="s">
        <v>2178</v>
      </c>
    </row>
    <row r="712" spans="1:9" x14ac:dyDescent="0.2">
      <c r="A712" s="225"/>
      <c r="B712" s="369" t="s">
        <v>760</v>
      </c>
      <c r="C712" s="798"/>
      <c r="D712" s="810"/>
      <c r="E712" s="370" t="s">
        <v>761</v>
      </c>
      <c r="F712" s="371" t="s">
        <v>305</v>
      </c>
      <c r="G712" s="372">
        <v>43173</v>
      </c>
      <c r="H712" s="373">
        <f t="shared" si="17"/>
        <v>48785.49</v>
      </c>
      <c r="I712" s="356" t="s">
        <v>2178</v>
      </c>
    </row>
    <row r="713" spans="1:9" ht="20.100000000000001" customHeight="1" x14ac:dyDescent="0.2">
      <c r="A713" s="357" t="s">
        <v>2837</v>
      </c>
      <c r="B713" s="369" t="s">
        <v>682</v>
      </c>
      <c r="C713" s="798"/>
      <c r="D713" s="810"/>
      <c r="E713" s="370" t="s">
        <v>683</v>
      </c>
      <c r="F713" s="371" t="s">
        <v>305</v>
      </c>
      <c r="G713" s="372">
        <v>79601.759999999995</v>
      </c>
      <c r="H713" s="373">
        <f t="shared" si="17"/>
        <v>89949.988799999992</v>
      </c>
      <c r="I713" s="63"/>
    </row>
    <row r="714" spans="1:9" ht="20.100000000000001" customHeight="1" x14ac:dyDescent="0.2">
      <c r="A714" s="225"/>
      <c r="B714" s="369" t="s">
        <v>680</v>
      </c>
      <c r="C714" s="798"/>
      <c r="D714" s="810"/>
      <c r="E714" s="370" t="s">
        <v>681</v>
      </c>
      <c r="F714" s="371" t="s">
        <v>282</v>
      </c>
      <c r="G714" s="372">
        <v>21154.867200000001</v>
      </c>
      <c r="H714" s="373">
        <f t="shared" si="17"/>
        <v>23904.999936</v>
      </c>
      <c r="I714" s="356" t="s">
        <v>2178</v>
      </c>
    </row>
    <row r="715" spans="1:9" ht="20.100000000000001" customHeight="1" x14ac:dyDescent="0.2">
      <c r="A715" s="225"/>
      <c r="B715" s="369" t="s">
        <v>678</v>
      </c>
      <c r="C715" s="798"/>
      <c r="D715" s="810"/>
      <c r="E715" s="370" t="s">
        <v>679</v>
      </c>
      <c r="F715" s="371" t="s">
        <v>282</v>
      </c>
      <c r="G715" s="372">
        <v>29734.51</v>
      </c>
      <c r="H715" s="373">
        <f t="shared" si="17"/>
        <v>33599.996299999992</v>
      </c>
      <c r="I715" s="356" t="s">
        <v>2178</v>
      </c>
    </row>
    <row r="716" spans="1:9" ht="20.100000000000001" customHeight="1" x14ac:dyDescent="0.2">
      <c r="A716" s="225"/>
      <c r="B716" s="369" t="s">
        <v>690</v>
      </c>
      <c r="C716" s="798"/>
      <c r="D716" s="810"/>
      <c r="E716" s="370" t="s">
        <v>691</v>
      </c>
      <c r="F716" s="371" t="s">
        <v>305</v>
      </c>
      <c r="G716" s="372">
        <v>79500</v>
      </c>
      <c r="H716" s="373">
        <f t="shared" si="17"/>
        <v>89834.999999999985</v>
      </c>
      <c r="I716" s="356" t="s">
        <v>2178</v>
      </c>
    </row>
    <row r="717" spans="1:9" ht="20.100000000000001" customHeight="1" x14ac:dyDescent="0.2">
      <c r="A717" s="225"/>
      <c r="B717" s="369" t="s">
        <v>684</v>
      </c>
      <c r="C717" s="798"/>
      <c r="D717" s="810"/>
      <c r="E717" s="370" t="s">
        <v>683</v>
      </c>
      <c r="F717" s="371" t="s">
        <v>282</v>
      </c>
      <c r="G717" s="372">
        <v>16769.91</v>
      </c>
      <c r="H717" s="373">
        <f t="shared" si="17"/>
        <v>18949.998299999999</v>
      </c>
      <c r="I717" s="356" t="s">
        <v>2178</v>
      </c>
    </row>
    <row r="718" spans="1:9" ht="20.100000000000001" customHeight="1" x14ac:dyDescent="0.2">
      <c r="A718" s="225"/>
      <c r="B718" s="865" t="s">
        <v>907</v>
      </c>
      <c r="C718" s="798"/>
      <c r="D718" s="819"/>
      <c r="E718" s="866" t="s">
        <v>908</v>
      </c>
      <c r="F718" s="858" t="s">
        <v>305</v>
      </c>
      <c r="G718" s="372">
        <v>59548.67</v>
      </c>
      <c r="H718" s="373">
        <f t="shared" si="17"/>
        <v>67289.997099999993</v>
      </c>
      <c r="I718" s="356" t="s">
        <v>2178</v>
      </c>
    </row>
    <row r="719" spans="1:9" ht="20.100000000000001" customHeight="1" x14ac:dyDescent="0.2">
      <c r="A719" s="225"/>
      <c r="B719" s="369" t="s">
        <v>676</v>
      </c>
      <c r="C719" s="798"/>
      <c r="D719" s="798"/>
      <c r="E719" s="385" t="s">
        <v>677</v>
      </c>
      <c r="F719" s="858" t="s">
        <v>271</v>
      </c>
      <c r="G719" s="372">
        <v>2769.91</v>
      </c>
      <c r="H719" s="373">
        <f t="shared" si="17"/>
        <v>3129.9982999999997</v>
      </c>
      <c r="I719" s="356" t="s">
        <v>2178</v>
      </c>
    </row>
    <row r="720" spans="1:9" ht="20.100000000000001" customHeight="1" x14ac:dyDescent="0.2">
      <c r="A720" s="225"/>
      <c r="B720" s="369" t="s">
        <v>765</v>
      </c>
      <c r="C720" s="798"/>
      <c r="D720" s="798"/>
      <c r="E720" s="385" t="s">
        <v>766</v>
      </c>
      <c r="F720" s="858" t="s">
        <v>646</v>
      </c>
      <c r="G720" s="372">
        <v>16738.938099999999</v>
      </c>
      <c r="H720" s="373">
        <f t="shared" si="17"/>
        <v>18915.000052999996</v>
      </c>
      <c r="I720" s="356" t="s">
        <v>2178</v>
      </c>
    </row>
    <row r="721" spans="1:9" ht="20.100000000000001" customHeight="1" x14ac:dyDescent="0.2">
      <c r="A721" s="225"/>
      <c r="B721" s="369" t="s">
        <v>673</v>
      </c>
      <c r="C721" s="798"/>
      <c r="D721" s="798"/>
      <c r="E721" s="385" t="s">
        <v>674</v>
      </c>
      <c r="F721" s="858" t="s">
        <v>646</v>
      </c>
      <c r="G721" s="372">
        <v>5236.7255999999998</v>
      </c>
      <c r="H721" s="373">
        <f t="shared" si="17"/>
        <v>5917.4999279999993</v>
      </c>
      <c r="I721" s="356" t="s">
        <v>2178</v>
      </c>
    </row>
    <row r="722" spans="1:9" ht="20.100000000000001" customHeight="1" x14ac:dyDescent="0.2">
      <c r="A722" s="225"/>
      <c r="B722" s="369" t="s">
        <v>399</v>
      </c>
      <c r="C722" s="798"/>
      <c r="D722" s="798"/>
      <c r="E722" s="385" t="s">
        <v>400</v>
      </c>
      <c r="F722" s="858" t="s">
        <v>396</v>
      </c>
      <c r="G722" s="372">
        <v>6950</v>
      </c>
      <c r="H722" s="373">
        <f t="shared" si="17"/>
        <v>7853.4999999999991</v>
      </c>
      <c r="I722" s="356" t="s">
        <v>2178</v>
      </c>
    </row>
    <row r="723" spans="1:9" ht="20.100000000000001" customHeight="1" x14ac:dyDescent="0.2">
      <c r="A723" s="225"/>
      <c r="B723" s="369" t="s">
        <v>970</v>
      </c>
      <c r="C723" s="798"/>
      <c r="D723" s="798"/>
      <c r="E723" s="385" t="s">
        <v>971</v>
      </c>
      <c r="F723" s="858" t="s">
        <v>396</v>
      </c>
      <c r="G723" s="372">
        <v>18957</v>
      </c>
      <c r="H723" s="373">
        <f t="shared" si="17"/>
        <v>21421.409999999996</v>
      </c>
      <c r="I723" s="356" t="s">
        <v>2178</v>
      </c>
    </row>
    <row r="724" spans="1:9" ht="20.100000000000001" customHeight="1" x14ac:dyDescent="0.2">
      <c r="A724" s="225"/>
      <c r="B724" s="369" t="s">
        <v>397</v>
      </c>
      <c r="C724" s="798"/>
      <c r="D724" s="798"/>
      <c r="E724" s="385" t="s">
        <v>398</v>
      </c>
      <c r="F724" s="858" t="s">
        <v>396</v>
      </c>
      <c r="G724" s="372">
        <v>4336.28</v>
      </c>
      <c r="H724" s="373">
        <f t="shared" ref="H724:H738" si="18">+G724*1.13</f>
        <v>4899.9963999999991</v>
      </c>
      <c r="I724" s="356" t="s">
        <v>2178</v>
      </c>
    </row>
    <row r="725" spans="1:9" ht="20.100000000000001" customHeight="1" x14ac:dyDescent="0.2">
      <c r="A725" s="225"/>
      <c r="B725" s="369" t="s">
        <v>693</v>
      </c>
      <c r="C725" s="798"/>
      <c r="D725" s="798"/>
      <c r="E725" s="385" t="s">
        <v>694</v>
      </c>
      <c r="F725" s="858" t="s">
        <v>396</v>
      </c>
      <c r="G725" s="372">
        <v>6016</v>
      </c>
      <c r="H725" s="373">
        <f t="shared" si="18"/>
        <v>6798.079999999999</v>
      </c>
      <c r="I725" s="356" t="s">
        <v>2178</v>
      </c>
    </row>
    <row r="726" spans="1:9" ht="20.100000000000001" customHeight="1" x14ac:dyDescent="0.2">
      <c r="A726" s="225"/>
      <c r="B726" s="369" t="s">
        <v>577</v>
      </c>
      <c r="C726" s="798"/>
      <c r="D726" s="798"/>
      <c r="E726" s="385" t="s">
        <v>578</v>
      </c>
      <c r="F726" s="858" t="s">
        <v>396</v>
      </c>
      <c r="G726" s="372">
        <v>25186</v>
      </c>
      <c r="H726" s="373">
        <f t="shared" si="18"/>
        <v>28460.179999999997</v>
      </c>
      <c r="I726" s="356" t="s">
        <v>2178</v>
      </c>
    </row>
    <row r="727" spans="1:9" ht="20.100000000000001" customHeight="1" x14ac:dyDescent="0.2">
      <c r="A727" s="225"/>
      <c r="B727" s="369" t="s">
        <v>199</v>
      </c>
      <c r="C727" s="798"/>
      <c r="D727" s="798"/>
      <c r="E727" s="385" t="s">
        <v>692</v>
      </c>
      <c r="F727" s="858" t="s">
        <v>396</v>
      </c>
      <c r="G727" s="372">
        <v>5720</v>
      </c>
      <c r="H727" s="373">
        <f t="shared" si="18"/>
        <v>6463.5999999999995</v>
      </c>
      <c r="I727" s="356" t="s">
        <v>2178</v>
      </c>
    </row>
    <row r="728" spans="1:9" ht="20.100000000000001" customHeight="1" x14ac:dyDescent="0.2">
      <c r="A728" s="104"/>
      <c r="B728" s="369" t="s">
        <v>401</v>
      </c>
      <c r="C728" s="798"/>
      <c r="D728" s="798"/>
      <c r="E728" s="385" t="s">
        <v>402</v>
      </c>
      <c r="F728" s="858" t="s">
        <v>396</v>
      </c>
      <c r="G728" s="372">
        <v>8628.2999999999993</v>
      </c>
      <c r="H728" s="373">
        <f t="shared" si="18"/>
        <v>9749.9789999999975</v>
      </c>
      <c r="I728" s="356" t="s">
        <v>2178</v>
      </c>
    </row>
    <row r="729" spans="1:9" ht="20.100000000000001" customHeight="1" x14ac:dyDescent="0.2">
      <c r="A729" s="104"/>
      <c r="B729" s="369" t="s">
        <v>626</v>
      </c>
      <c r="C729" s="798"/>
      <c r="D729" s="798"/>
      <c r="E729" s="385" t="s">
        <v>627</v>
      </c>
      <c r="F729" s="858" t="s">
        <v>271</v>
      </c>
      <c r="G729" s="372">
        <v>40707.964599999999</v>
      </c>
      <c r="H729" s="373">
        <f t="shared" si="18"/>
        <v>45999.999997999992</v>
      </c>
      <c r="I729" s="356" t="s">
        <v>2178</v>
      </c>
    </row>
    <row r="730" spans="1:9" x14ac:dyDescent="0.2">
      <c r="A730" s="104"/>
      <c r="B730" s="369" t="s">
        <v>628</v>
      </c>
      <c r="C730" s="798"/>
      <c r="D730" s="798"/>
      <c r="E730" s="385" t="s">
        <v>629</v>
      </c>
      <c r="F730" s="858" t="s">
        <v>271</v>
      </c>
      <c r="G730" s="372">
        <v>40707.964599999999</v>
      </c>
      <c r="H730" s="373">
        <f t="shared" si="18"/>
        <v>45999.999997999992</v>
      </c>
      <c r="I730" s="356" t="s">
        <v>2178</v>
      </c>
    </row>
    <row r="731" spans="1:9" ht="20.100000000000001" customHeight="1" x14ac:dyDescent="0.2">
      <c r="A731" s="225"/>
      <c r="B731" s="369" t="s">
        <v>937</v>
      </c>
      <c r="C731" s="798"/>
      <c r="D731" s="810"/>
      <c r="E731" s="370" t="s">
        <v>938</v>
      </c>
      <c r="F731" s="371" t="s">
        <v>271</v>
      </c>
      <c r="G731" s="372">
        <v>1274.25</v>
      </c>
      <c r="H731" s="373">
        <f t="shared" si="18"/>
        <v>1439.9024999999999</v>
      </c>
      <c r="I731" s="356" t="s">
        <v>2178</v>
      </c>
    </row>
    <row r="732" spans="1:9" ht="20.100000000000001" customHeight="1" x14ac:dyDescent="0.2">
      <c r="A732" s="225"/>
      <c r="B732" s="369" t="s">
        <v>864</v>
      </c>
      <c r="C732" s="798"/>
      <c r="D732" s="810"/>
      <c r="E732" s="370" t="s">
        <v>865</v>
      </c>
      <c r="F732" s="371" t="s">
        <v>271</v>
      </c>
      <c r="G732" s="372">
        <v>4024.25</v>
      </c>
      <c r="H732" s="373">
        <f t="shared" si="18"/>
        <v>4547.4024999999992</v>
      </c>
      <c r="I732" s="356" t="s">
        <v>2178</v>
      </c>
    </row>
    <row r="733" spans="1:9" ht="20.100000000000001" customHeight="1" x14ac:dyDescent="0.2">
      <c r="A733" s="225"/>
      <c r="B733" s="369" t="s">
        <v>881</v>
      </c>
      <c r="C733" s="798"/>
      <c r="D733" s="810"/>
      <c r="E733" s="370" t="s">
        <v>882</v>
      </c>
      <c r="F733" s="858" t="s">
        <v>271</v>
      </c>
      <c r="G733" s="372">
        <v>1900</v>
      </c>
      <c r="H733" s="373">
        <f t="shared" si="18"/>
        <v>2147</v>
      </c>
      <c r="I733" s="356" t="s">
        <v>2178</v>
      </c>
    </row>
    <row r="734" spans="1:9" ht="20.100000000000001" customHeight="1" x14ac:dyDescent="0.2">
      <c r="A734" s="225"/>
      <c r="B734" s="369" t="s">
        <v>910</v>
      </c>
      <c r="C734" s="798"/>
      <c r="D734" s="810"/>
      <c r="E734" s="370" t="s">
        <v>911</v>
      </c>
      <c r="F734" s="858" t="s">
        <v>282</v>
      </c>
      <c r="G734" s="372">
        <v>7430.75</v>
      </c>
      <c r="H734" s="373">
        <f t="shared" si="18"/>
        <v>8396.7474999999995</v>
      </c>
      <c r="I734" s="356" t="s">
        <v>2178</v>
      </c>
    </row>
    <row r="735" spans="1:9" ht="20.100000000000001" customHeight="1" x14ac:dyDescent="0.2">
      <c r="A735" s="225"/>
      <c r="B735" s="260" t="s">
        <v>2441</v>
      </c>
      <c r="C735" s="798"/>
      <c r="D735" s="810"/>
      <c r="E735" s="261" t="s">
        <v>2442</v>
      </c>
      <c r="F735" s="867" t="s">
        <v>342</v>
      </c>
      <c r="G735" s="130">
        <v>30166.67</v>
      </c>
      <c r="H735" s="123">
        <f t="shared" si="18"/>
        <v>34088.337099999997</v>
      </c>
      <c r="I735" s="356" t="s">
        <v>2178</v>
      </c>
    </row>
    <row r="736" spans="1:9" ht="20.100000000000001" customHeight="1" x14ac:dyDescent="0.2">
      <c r="A736" s="225"/>
      <c r="B736" s="358"/>
      <c r="C736" s="799"/>
      <c r="D736" s="811"/>
      <c r="E736" s="359"/>
      <c r="F736" s="854"/>
      <c r="G736" s="361">
        <v>1407.08</v>
      </c>
      <c r="H736" s="274">
        <f t="shared" si="18"/>
        <v>1590.0003999999997</v>
      </c>
      <c r="I736" s="356" t="s">
        <v>2178</v>
      </c>
    </row>
    <row r="737" spans="1:9" ht="20.100000000000001" customHeight="1" x14ac:dyDescent="0.2">
      <c r="A737" s="225"/>
      <c r="B737" s="358"/>
      <c r="C737" s="800"/>
      <c r="D737" s="812"/>
      <c r="E737" s="359"/>
      <c r="F737" s="854"/>
      <c r="G737" s="361">
        <v>924</v>
      </c>
      <c r="H737" s="274">
        <f t="shared" si="18"/>
        <v>1044.1199999999999</v>
      </c>
      <c r="I737" s="356" t="s">
        <v>2178</v>
      </c>
    </row>
    <row r="738" spans="1:9" ht="20.100000000000001" customHeight="1" x14ac:dyDescent="0.2">
      <c r="A738" s="225"/>
      <c r="B738" s="358"/>
      <c r="C738" s="800"/>
      <c r="D738" s="812"/>
      <c r="E738" s="359"/>
      <c r="F738" s="854"/>
      <c r="G738" s="361">
        <v>267</v>
      </c>
      <c r="H738" s="274">
        <f t="shared" si="18"/>
        <v>301.70999999999998</v>
      </c>
      <c r="I738" s="356" t="s">
        <v>2178</v>
      </c>
    </row>
    <row r="739" spans="1:9" ht="20.100000000000001" customHeight="1" x14ac:dyDescent="0.2">
      <c r="A739" s="104"/>
      <c r="B739" s="358"/>
      <c r="C739" s="800"/>
      <c r="D739" s="812"/>
      <c r="E739" s="359"/>
      <c r="F739" s="854"/>
      <c r="G739" s="361"/>
      <c r="H739" s="274"/>
      <c r="I739" s="356" t="s">
        <v>2178</v>
      </c>
    </row>
    <row r="740" spans="1:9" ht="20.100000000000001" customHeight="1" x14ac:dyDescent="0.2">
      <c r="A740" s="225"/>
      <c r="B740" s="358"/>
      <c r="C740" s="800"/>
      <c r="D740" s="812"/>
      <c r="E740" s="359"/>
      <c r="F740" s="854"/>
      <c r="G740" s="361">
        <v>55503</v>
      </c>
      <c r="H740" s="274">
        <f>+G740*1.13</f>
        <v>62718.389999999992</v>
      </c>
      <c r="I740" s="356" t="s">
        <v>2178</v>
      </c>
    </row>
    <row r="741" spans="1:9" ht="20.100000000000001" customHeight="1" x14ac:dyDescent="0.2">
      <c r="A741" s="225"/>
      <c r="B741" s="358"/>
      <c r="C741" s="800"/>
      <c r="D741" s="812"/>
      <c r="E741" s="359"/>
      <c r="F741" s="854"/>
      <c r="G741" s="361">
        <v>20698</v>
      </c>
      <c r="H741" s="274">
        <f>+G741*1.13</f>
        <v>23388.739999999998</v>
      </c>
      <c r="I741" s="356" t="s">
        <v>2178</v>
      </c>
    </row>
    <row r="742" spans="1:9" ht="20.100000000000001" customHeight="1" x14ac:dyDescent="0.2">
      <c r="A742" s="104"/>
      <c r="B742" s="369"/>
      <c r="C742" s="798"/>
      <c r="D742" s="810"/>
      <c r="E742" s="370"/>
      <c r="F742" s="858" t="s">
        <v>271</v>
      </c>
      <c r="G742" s="372">
        <v>17192.650000000001</v>
      </c>
      <c r="H742" s="373">
        <f>+G742*1.13</f>
        <v>19427.694500000001</v>
      </c>
      <c r="I742" s="63" t="s">
        <v>2869</v>
      </c>
    </row>
    <row r="743" spans="1:9" ht="20.100000000000001" customHeight="1" x14ac:dyDescent="0.2">
      <c r="A743" s="104"/>
      <c r="B743" s="358"/>
      <c r="C743" s="800"/>
      <c r="D743" s="812"/>
      <c r="E743" s="359"/>
      <c r="F743" s="854"/>
      <c r="G743" s="361">
        <v>26411.5</v>
      </c>
      <c r="H743" s="274">
        <f>+G743*1.13</f>
        <v>29844.994999999999</v>
      </c>
      <c r="I743" s="356" t="s">
        <v>2178</v>
      </c>
    </row>
    <row r="744" spans="1:9" ht="20.100000000000001" customHeight="1" x14ac:dyDescent="0.2">
      <c r="A744" s="104"/>
      <c r="B744" s="358"/>
      <c r="C744" s="800"/>
      <c r="D744" s="812"/>
      <c r="E744" s="359"/>
      <c r="F744" s="855" t="s">
        <v>2447</v>
      </c>
      <c r="G744" s="361"/>
      <c r="H744" s="274"/>
      <c r="I744" s="356" t="s">
        <v>2178</v>
      </c>
    </row>
    <row r="745" spans="1:9" ht="20.100000000000001" customHeight="1" x14ac:dyDescent="0.2">
      <c r="A745" s="104"/>
      <c r="B745" s="358"/>
      <c r="C745" s="800"/>
      <c r="D745" s="812"/>
      <c r="E745" s="377"/>
      <c r="F745" s="855" t="s">
        <v>2454</v>
      </c>
      <c r="G745" s="361"/>
      <c r="H745" s="274"/>
      <c r="I745" s="356" t="s">
        <v>2178</v>
      </c>
    </row>
    <row r="746" spans="1:9" ht="20.100000000000001" customHeight="1" x14ac:dyDescent="0.2">
      <c r="A746" s="225"/>
      <c r="B746" s="378"/>
      <c r="C746" s="804"/>
      <c r="D746" s="817"/>
      <c r="E746" s="379"/>
      <c r="F746" s="855" t="s">
        <v>2447</v>
      </c>
      <c r="G746" s="380"/>
      <c r="H746" s="380"/>
      <c r="I746" s="356" t="s">
        <v>2178</v>
      </c>
    </row>
    <row r="747" spans="1:9" ht="20.100000000000001" customHeight="1" x14ac:dyDescent="0.2">
      <c r="A747" s="104"/>
      <c r="B747" s="358"/>
      <c r="C747" s="800"/>
      <c r="D747" s="812"/>
      <c r="E747" s="359"/>
      <c r="F747" s="854"/>
      <c r="G747" s="361">
        <v>9577</v>
      </c>
      <c r="H747" s="274">
        <f>+G747*1.13</f>
        <v>10822.009999999998</v>
      </c>
      <c r="I747" s="356" t="s">
        <v>2178</v>
      </c>
    </row>
    <row r="748" spans="1:9" ht="20.100000000000001" customHeight="1" x14ac:dyDescent="0.2">
      <c r="A748" s="357" t="s">
        <v>2870</v>
      </c>
      <c r="B748" s="358"/>
      <c r="C748" s="800"/>
      <c r="D748" s="812"/>
      <c r="E748" s="359"/>
      <c r="F748" s="360"/>
      <c r="G748" s="361">
        <v>380.62</v>
      </c>
      <c r="H748" s="274">
        <f>+G748*1.13</f>
        <v>430.10059999999999</v>
      </c>
      <c r="I748" s="356"/>
    </row>
    <row r="749" spans="1:9" ht="20.100000000000001" customHeight="1" x14ac:dyDescent="0.2">
      <c r="A749" s="357" t="s">
        <v>2872</v>
      </c>
      <c r="B749" s="358"/>
      <c r="C749" s="800"/>
      <c r="D749" s="812"/>
      <c r="E749" s="359"/>
      <c r="F749" s="360"/>
      <c r="G749" s="361">
        <v>994.33</v>
      </c>
      <c r="H749" s="274">
        <f>+G749*1.13</f>
        <v>1123.5928999999999</v>
      </c>
      <c r="I749" s="356"/>
    </row>
    <row r="750" spans="1:9" ht="20.100000000000001" customHeight="1" x14ac:dyDescent="0.2">
      <c r="A750" s="104"/>
      <c r="B750" s="358"/>
      <c r="C750" s="800"/>
      <c r="D750" s="812"/>
      <c r="E750" s="359"/>
      <c r="F750" s="360"/>
      <c r="G750" s="361">
        <v>480.57</v>
      </c>
      <c r="H750" s="274">
        <f>+G750*1.13</f>
        <v>543.04409999999996</v>
      </c>
      <c r="I750" s="356" t="s">
        <v>2178</v>
      </c>
    </row>
    <row r="751" spans="1:9" ht="20.100000000000001" customHeight="1" x14ac:dyDescent="0.2">
      <c r="A751" s="368"/>
      <c r="B751" s="842"/>
      <c r="C751" s="800"/>
      <c r="D751" s="849"/>
      <c r="E751" s="853"/>
      <c r="F751" s="859"/>
      <c r="G751" s="361">
        <v>278.86180000000002</v>
      </c>
      <c r="H751" s="274">
        <f>+G751*1.13</f>
        <v>315.113834</v>
      </c>
      <c r="I751" s="356" t="s">
        <v>2178</v>
      </c>
    </row>
    <row r="752" spans="1:9" ht="20.100000000000001" customHeight="1" x14ac:dyDescent="0.2">
      <c r="A752" s="225"/>
      <c r="B752" s="358"/>
      <c r="C752" s="800"/>
      <c r="D752" s="800"/>
      <c r="E752" s="384"/>
      <c r="F752" s="376" t="s">
        <v>2513</v>
      </c>
      <c r="G752" s="361"/>
      <c r="H752" s="274"/>
      <c r="I752" s="356" t="s">
        <v>2178</v>
      </c>
    </row>
    <row r="753" spans="1:9" ht="20.100000000000001" customHeight="1" x14ac:dyDescent="0.2">
      <c r="A753" s="225"/>
      <c r="B753" s="358"/>
      <c r="C753" s="800"/>
      <c r="D753" s="800"/>
      <c r="E753" s="384"/>
      <c r="F753" s="360"/>
      <c r="G753" s="361">
        <v>6067.91</v>
      </c>
      <c r="H753" s="274">
        <f>+G753*1.13</f>
        <v>6856.7382999999991</v>
      </c>
      <c r="I753" s="356" t="s">
        <v>2178</v>
      </c>
    </row>
    <row r="754" spans="1:9" ht="20.100000000000001" customHeight="1" x14ac:dyDescent="0.2">
      <c r="A754" s="225"/>
      <c r="B754" s="358"/>
      <c r="C754" s="800"/>
      <c r="D754" s="800"/>
      <c r="E754" s="384"/>
      <c r="F754" s="376" t="s">
        <v>2539</v>
      </c>
      <c r="G754" s="361"/>
      <c r="H754" s="274"/>
      <c r="I754" s="356" t="s">
        <v>2178</v>
      </c>
    </row>
    <row r="755" spans="1:9" ht="20.100000000000001" customHeight="1" x14ac:dyDescent="0.2">
      <c r="A755" s="225"/>
      <c r="B755" s="358"/>
      <c r="C755" s="800"/>
      <c r="D755" s="800"/>
      <c r="E755" s="384"/>
      <c r="F755" s="376" t="s">
        <v>2547</v>
      </c>
      <c r="G755" s="361"/>
      <c r="H755" s="274"/>
      <c r="I755" s="356" t="s">
        <v>2178</v>
      </c>
    </row>
    <row r="756" spans="1:9" ht="20.100000000000001" customHeight="1" x14ac:dyDescent="0.2">
      <c r="A756" s="225"/>
      <c r="B756" s="358"/>
      <c r="C756" s="800"/>
      <c r="D756" s="800"/>
      <c r="E756" s="384"/>
      <c r="F756" s="376" t="s">
        <v>2620</v>
      </c>
      <c r="G756" s="361"/>
      <c r="H756" s="274"/>
      <c r="I756" s="356" t="s">
        <v>2178</v>
      </c>
    </row>
    <row r="757" spans="1:9" ht="20.100000000000001" customHeight="1" x14ac:dyDescent="0.2">
      <c r="A757" s="225"/>
      <c r="B757" s="358"/>
      <c r="C757" s="800"/>
      <c r="D757" s="800"/>
      <c r="E757" s="384"/>
      <c r="F757" s="376" t="s">
        <v>2642</v>
      </c>
      <c r="G757" s="361"/>
      <c r="H757" s="274"/>
      <c r="I757" s="356" t="s">
        <v>2178</v>
      </c>
    </row>
    <row r="758" spans="1:9" ht="20.100000000000001" customHeight="1" x14ac:dyDescent="0.2">
      <c r="A758" s="225"/>
      <c r="B758" s="358"/>
      <c r="C758" s="800"/>
      <c r="D758" s="800"/>
      <c r="E758" s="384"/>
      <c r="F758" s="360"/>
      <c r="G758" s="361">
        <v>938.44</v>
      </c>
      <c r="H758" s="274">
        <f>+G758*1.13</f>
        <v>1060.4371999999998</v>
      </c>
      <c r="I758" s="356"/>
    </row>
    <row r="759" spans="1:9" ht="20.100000000000001" customHeight="1" x14ac:dyDescent="0.2">
      <c r="A759" s="225"/>
      <c r="B759" s="358"/>
      <c r="C759" s="800"/>
      <c r="D759" s="800"/>
      <c r="E759" s="384"/>
      <c r="F759" s="360"/>
      <c r="G759" s="361">
        <v>1125</v>
      </c>
      <c r="H759" s="274">
        <f>+G759*1.13</f>
        <v>1271.2499999999998</v>
      </c>
      <c r="I759" s="356"/>
    </row>
    <row r="760" spans="1:9" ht="20.100000000000001" customHeight="1" x14ac:dyDescent="0.2">
      <c r="A760" s="225"/>
      <c r="B760" s="358"/>
      <c r="C760" s="800"/>
      <c r="D760" s="800"/>
      <c r="E760" s="384"/>
      <c r="F760" s="360"/>
      <c r="G760" s="361">
        <v>3640</v>
      </c>
      <c r="H760" s="274">
        <f>+G760*1.13</f>
        <v>4113.2</v>
      </c>
      <c r="I760" s="356"/>
    </row>
    <row r="761" spans="1:9" ht="20.100000000000001" customHeight="1" x14ac:dyDescent="0.2">
      <c r="A761" s="225"/>
      <c r="B761" s="358"/>
      <c r="C761" s="800"/>
      <c r="D761" s="800"/>
      <c r="E761" s="384"/>
      <c r="F761" s="376" t="s">
        <v>2691</v>
      </c>
      <c r="G761" s="361"/>
      <c r="H761" s="274"/>
      <c r="I761" s="356"/>
    </row>
    <row r="762" spans="1:9" ht="20.100000000000001" customHeight="1" x14ac:dyDescent="0.2">
      <c r="A762" s="225"/>
      <c r="B762" s="358"/>
      <c r="C762" s="800"/>
      <c r="D762" s="800"/>
      <c r="E762" s="384"/>
      <c r="F762" s="360"/>
      <c r="G762" s="361">
        <v>2133</v>
      </c>
      <c r="H762" s="274">
        <f t="shared" ref="H762:H773" si="19">+G762*1.13</f>
        <v>2410.29</v>
      </c>
      <c r="I762" s="356"/>
    </row>
    <row r="763" spans="1:9" ht="20.100000000000001" customHeight="1" x14ac:dyDescent="0.2">
      <c r="A763" s="225"/>
      <c r="B763" s="358"/>
      <c r="C763" s="800"/>
      <c r="D763" s="800"/>
      <c r="E763" s="384"/>
      <c r="F763" s="360"/>
      <c r="G763" s="361">
        <v>12782.28</v>
      </c>
      <c r="H763" s="274">
        <f t="shared" si="19"/>
        <v>14443.9764</v>
      </c>
      <c r="I763" s="356"/>
    </row>
    <row r="764" spans="1:9" ht="20.100000000000001" customHeight="1" x14ac:dyDescent="0.2">
      <c r="A764" s="225"/>
      <c r="B764" s="358"/>
      <c r="C764" s="800"/>
      <c r="D764" s="800"/>
      <c r="E764" s="384"/>
      <c r="F764" s="360"/>
      <c r="G764" s="361">
        <v>15743.362800000001</v>
      </c>
      <c r="H764" s="274">
        <f t="shared" si="19"/>
        <v>17789.999963999999</v>
      </c>
      <c r="I764" s="356"/>
    </row>
    <row r="765" spans="1:9" ht="20.100000000000001" customHeight="1" x14ac:dyDescent="0.2">
      <c r="A765" s="225"/>
      <c r="B765" s="358"/>
      <c r="C765" s="800"/>
      <c r="D765" s="800"/>
      <c r="E765" s="384"/>
      <c r="F765" s="360"/>
      <c r="G765" s="361">
        <v>24198.23</v>
      </c>
      <c r="H765" s="274">
        <f t="shared" si="19"/>
        <v>27343.999899999995</v>
      </c>
      <c r="I765" s="356"/>
    </row>
    <row r="766" spans="1:9" ht="20.100000000000001" customHeight="1" x14ac:dyDescent="0.2">
      <c r="A766" s="225"/>
      <c r="B766" s="358"/>
      <c r="C766" s="800"/>
      <c r="D766" s="800"/>
      <c r="E766" s="384"/>
      <c r="F766" s="360"/>
      <c r="G766" s="361">
        <v>11947</v>
      </c>
      <c r="H766" s="274">
        <f t="shared" si="19"/>
        <v>13500.109999999999</v>
      </c>
      <c r="I766" s="356"/>
    </row>
    <row r="767" spans="1:9" ht="20.100000000000001" customHeight="1" x14ac:dyDescent="0.2">
      <c r="A767" s="225"/>
      <c r="B767" s="358"/>
      <c r="C767" s="800"/>
      <c r="D767" s="800"/>
      <c r="E767" s="384"/>
      <c r="F767" s="360"/>
      <c r="G767" s="361">
        <v>22569.911499999998</v>
      </c>
      <c r="H767" s="274">
        <f t="shared" si="19"/>
        <v>25503.999994999995</v>
      </c>
      <c r="I767" s="356"/>
    </row>
    <row r="768" spans="1:9" ht="20.100000000000001" customHeight="1" x14ac:dyDescent="0.2">
      <c r="A768" s="225"/>
      <c r="B768" s="358"/>
      <c r="C768" s="800"/>
      <c r="D768" s="800"/>
      <c r="E768" s="384"/>
      <c r="F768" s="360"/>
      <c r="G768" s="361">
        <v>12875</v>
      </c>
      <c r="H768" s="274">
        <f t="shared" si="19"/>
        <v>14548.749999999998</v>
      </c>
      <c r="I768" s="356"/>
    </row>
    <row r="769" spans="1:9" ht="20.100000000000001" customHeight="1" x14ac:dyDescent="0.2">
      <c r="A769" s="225"/>
      <c r="B769" s="358"/>
      <c r="C769" s="800"/>
      <c r="D769" s="800"/>
      <c r="E769" s="384"/>
      <c r="F769" s="360"/>
      <c r="G769" s="361">
        <v>798.798</v>
      </c>
      <c r="H769" s="274">
        <f t="shared" si="19"/>
        <v>902.64173999999991</v>
      </c>
      <c r="I769" s="356"/>
    </row>
    <row r="770" spans="1:9" ht="20.100000000000001" customHeight="1" x14ac:dyDescent="0.2">
      <c r="A770" s="225"/>
      <c r="B770" s="358"/>
      <c r="C770" s="800"/>
      <c r="D770" s="800"/>
      <c r="E770" s="384"/>
      <c r="F770" s="360"/>
      <c r="G770" s="361">
        <v>229.57674</v>
      </c>
      <c r="H770" s="274">
        <f t="shared" si="19"/>
        <v>259.42171619999999</v>
      </c>
      <c r="I770" s="356"/>
    </row>
    <row r="771" spans="1:9" ht="20.100000000000001" customHeight="1" x14ac:dyDescent="0.2">
      <c r="A771" s="225"/>
      <c r="B771" s="358"/>
      <c r="C771" s="800"/>
      <c r="D771" s="800"/>
      <c r="E771" s="384"/>
      <c r="F771" s="360"/>
      <c r="G771" s="361">
        <v>58.52</v>
      </c>
      <c r="H771" s="274">
        <f t="shared" si="19"/>
        <v>66.127600000000001</v>
      </c>
      <c r="I771" s="356"/>
    </row>
    <row r="772" spans="1:9" ht="20.100000000000001" customHeight="1" x14ac:dyDescent="0.2">
      <c r="A772" s="357" t="s">
        <v>2876</v>
      </c>
      <c r="B772" s="358"/>
      <c r="C772" s="800"/>
      <c r="D772" s="800"/>
      <c r="E772" s="384"/>
      <c r="F772" s="360"/>
      <c r="G772" s="361">
        <v>12951.806</v>
      </c>
      <c r="H772" s="274">
        <f t="shared" si="19"/>
        <v>14635.540779999999</v>
      </c>
      <c r="I772" s="63"/>
    </row>
    <row r="773" spans="1:9" ht="20.100000000000001" customHeight="1" x14ac:dyDescent="0.2">
      <c r="A773" s="357" t="s">
        <v>2877</v>
      </c>
      <c r="B773" s="358"/>
      <c r="C773" s="800"/>
      <c r="D773" s="800"/>
      <c r="E773" s="384"/>
      <c r="F773" s="360"/>
      <c r="G773" s="361">
        <v>592.03600000000006</v>
      </c>
      <c r="H773" s="274">
        <f t="shared" si="19"/>
        <v>669.00067999999999</v>
      </c>
      <c r="I773" s="63"/>
    </row>
    <row r="774" spans="1:9" ht="20.100000000000001" customHeight="1" x14ac:dyDescent="0.2">
      <c r="A774" s="357" t="s">
        <v>2878</v>
      </c>
      <c r="B774" s="358"/>
      <c r="C774" s="800"/>
      <c r="D774" s="800"/>
      <c r="E774" s="358"/>
      <c r="F774" s="376" t="s">
        <v>2871</v>
      </c>
      <c r="G774" s="361"/>
      <c r="H774" s="274"/>
      <c r="I774" s="63"/>
    </row>
    <row r="775" spans="1:9" ht="20.100000000000001" customHeight="1" x14ac:dyDescent="0.2">
      <c r="A775" s="357" t="s">
        <v>2879</v>
      </c>
      <c r="B775" s="358"/>
      <c r="C775" s="800"/>
      <c r="D775" s="800"/>
      <c r="E775" s="358"/>
      <c r="F775" s="376" t="s">
        <v>2873</v>
      </c>
      <c r="G775" s="361"/>
      <c r="H775" s="274"/>
      <c r="I775" s="63"/>
    </row>
    <row r="776" spans="1:9" ht="20.100000000000001" customHeight="1" x14ac:dyDescent="0.2">
      <c r="A776" s="357" t="s">
        <v>2880</v>
      </c>
      <c r="B776" s="358"/>
      <c r="C776" s="800"/>
      <c r="D776" s="800"/>
      <c r="E776" s="384"/>
      <c r="F776" s="360"/>
      <c r="G776" s="361">
        <v>3346.5</v>
      </c>
      <c r="H776" s="274">
        <f t="shared" ref="H776:H783" si="20">+G776*1.13</f>
        <v>3781.5449999999996</v>
      </c>
      <c r="I776" s="63"/>
    </row>
    <row r="777" spans="1:9" ht="20.100000000000001" customHeight="1" x14ac:dyDescent="0.2">
      <c r="A777" s="357" t="s">
        <v>2881</v>
      </c>
      <c r="B777" s="358"/>
      <c r="C777" s="800"/>
      <c r="D777" s="800"/>
      <c r="E777" s="384"/>
      <c r="F777" s="360"/>
      <c r="G777" s="361">
        <v>4250.3999999999996</v>
      </c>
      <c r="H777" s="274">
        <f t="shared" si="20"/>
        <v>4802.9519999999993</v>
      </c>
      <c r="I777" s="63"/>
    </row>
    <row r="778" spans="1:9" ht="20.100000000000001" customHeight="1" x14ac:dyDescent="0.2">
      <c r="A778" s="357" t="s">
        <v>2882</v>
      </c>
      <c r="B778" s="358"/>
      <c r="C778" s="800"/>
      <c r="D778" s="800"/>
      <c r="E778" s="384"/>
      <c r="F778" s="360"/>
      <c r="G778" s="361">
        <v>26.548672566371685</v>
      </c>
      <c r="H778" s="274">
        <f t="shared" si="20"/>
        <v>30</v>
      </c>
      <c r="I778" s="63"/>
    </row>
    <row r="779" spans="1:9" x14ac:dyDescent="0.2">
      <c r="A779" s="357" t="s">
        <v>2883</v>
      </c>
      <c r="B779" s="358"/>
      <c r="C779" s="800"/>
      <c r="D779" s="800"/>
      <c r="E779" s="384"/>
      <c r="F779" s="360"/>
      <c r="G779" s="384">
        <v>26.548672566371685</v>
      </c>
      <c r="H779" s="274">
        <f t="shared" si="20"/>
        <v>30</v>
      </c>
      <c r="I779" s="63"/>
    </row>
    <row r="780" spans="1:9" x14ac:dyDescent="0.2">
      <c r="A780" s="368"/>
      <c r="B780" s="358"/>
      <c r="C780" s="800"/>
      <c r="D780" s="800"/>
      <c r="E780" s="384"/>
      <c r="F780" s="360"/>
      <c r="G780" s="384">
        <v>3982.3008849557527</v>
      </c>
      <c r="H780" s="274">
        <f t="shared" si="20"/>
        <v>4500</v>
      </c>
      <c r="I780" s="356" t="s">
        <v>2178</v>
      </c>
    </row>
    <row r="781" spans="1:9" x14ac:dyDescent="0.2">
      <c r="B781" s="358"/>
      <c r="C781" s="812"/>
      <c r="D781" s="812"/>
      <c r="E781" s="359"/>
      <c r="F781" s="360"/>
      <c r="G781" s="861">
        <v>70796.460176991153</v>
      </c>
      <c r="H781" s="864">
        <f t="shared" si="20"/>
        <v>80000</v>
      </c>
    </row>
    <row r="782" spans="1:9" x14ac:dyDescent="0.2">
      <c r="B782" s="358"/>
      <c r="C782" s="812"/>
      <c r="D782" s="812"/>
      <c r="E782" s="359"/>
      <c r="F782" s="360"/>
      <c r="G782" s="861">
        <v>26.548672566371685</v>
      </c>
      <c r="H782" s="864">
        <f t="shared" si="20"/>
        <v>30</v>
      </c>
    </row>
    <row r="783" spans="1:9" x14ac:dyDescent="0.2">
      <c r="B783" s="358"/>
      <c r="C783" s="812"/>
      <c r="D783" s="812"/>
      <c r="E783" s="359"/>
      <c r="F783" s="360"/>
      <c r="G783" s="861">
        <v>1172.5663716814161</v>
      </c>
      <c r="H783" s="864">
        <f t="shared" si="20"/>
        <v>1325</v>
      </c>
    </row>
    <row r="786" spans="7:7" x14ac:dyDescent="0.2">
      <c r="G786" s="136">
        <f>SUM(G5:G785)</f>
        <v>9781575.8346109968</v>
      </c>
    </row>
    <row r="1747" spans="3:8" x14ac:dyDescent="0.2">
      <c r="G1747" s="860"/>
      <c r="H1747" s="860"/>
    </row>
    <row r="1748" spans="3:8" x14ac:dyDescent="0.2">
      <c r="C1748" s="846"/>
      <c r="D1748" s="846"/>
      <c r="E1748" s="107"/>
      <c r="G1748" s="103"/>
      <c r="H1748" s="103"/>
    </row>
    <row r="1749" spans="3:8" x14ac:dyDescent="0.2">
      <c r="C1749" s="845"/>
      <c r="D1749" s="845"/>
      <c r="E1749" s="851"/>
      <c r="F1749" s="857"/>
    </row>
  </sheetData>
  <autoFilter ref="B1:H1749" xr:uid="{315F34C1-8C8A-4395-B38A-B7069C4ADC3B}">
    <sortState xmlns:xlrd2="http://schemas.microsoft.com/office/spreadsheetml/2017/richdata2" ref="B2:H1749">
      <sortCondition ref="B1:B1749"/>
    </sortState>
  </autoFilter>
  <phoneticPr fontId="20" type="noConversion"/>
  <conditionalFormatting sqref="A1">
    <cfRule type="duplicateValues" dxfId="29" priority="11"/>
  </conditionalFormatting>
  <conditionalFormatting sqref="B109">
    <cfRule type="duplicateValues" dxfId="28" priority="5"/>
  </conditionalFormatting>
  <conditionalFormatting sqref="B110:B272 C15:D15 B2:B108 B363:B746">
    <cfRule type="duplicateValues" dxfId="27" priority="113"/>
  </conditionalFormatting>
  <conditionalFormatting sqref="B747">
    <cfRule type="duplicateValues" dxfId="26" priority="6"/>
  </conditionalFormatting>
  <conditionalFormatting sqref="B748:B749">
    <cfRule type="duplicateValues" dxfId="25" priority="4"/>
  </conditionalFormatting>
  <conditionalFormatting sqref="B750">
    <cfRule type="duplicateValues" dxfId="24" priority="3"/>
  </conditionalFormatting>
  <conditionalFormatting sqref="B752:B778">
    <cfRule type="duplicateValues" dxfId="23" priority="90"/>
  </conditionalFormatting>
  <conditionalFormatting sqref="B779:B780">
    <cfRule type="duplicateValues" dxfId="22" priority="10"/>
  </conditionalFormatting>
  <conditionalFormatting sqref="B1747:D1747">
    <cfRule type="duplicateValues" dxfId="21" priority="83"/>
  </conditionalFormatting>
  <conditionalFormatting sqref="E746:F748 E749:G749 E750:F750">
    <cfRule type="cellIs" dxfId="20" priority="2" operator="equal">
      <formula>"ERROR"</formula>
    </cfRule>
  </conditionalFormatting>
  <conditionalFormatting sqref="E2:G669 E670:F713 G670:G748">
    <cfRule type="cellIs" dxfId="19" priority="1" operator="equal">
      <formula>"ERROR"</formula>
    </cfRule>
  </conditionalFormatting>
  <conditionalFormatting sqref="E1747:G1747">
    <cfRule type="cellIs" dxfId="18" priority="82" operator="equal">
      <formula>"ERROR"</formula>
    </cfRule>
  </conditionalFormatting>
  <conditionalFormatting sqref="F714:F745 E714:E746 G750:G778">
    <cfRule type="cellIs" dxfId="17" priority="8" operator="equal">
      <formula>"ERROR"</formula>
    </cfRule>
  </conditionalFormatting>
  <conditionalFormatting sqref="F782:F786">
    <cfRule type="cellIs" dxfId="16" priority="13" operator="equal">
      <formula>"ERROR"</formula>
    </cfRule>
  </conditionalFormatting>
  <pageMargins left="0.7" right="0.7" top="0.75" bottom="0.75" header="0.3" footer="0.3"/>
  <pageSetup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EC12B-E3B4-46A9-BEE3-005CADC842E7}">
  <dimension ref="A1:H57"/>
  <sheetViews>
    <sheetView workbookViewId="0">
      <selection activeCell="E11" sqref="E11"/>
    </sheetView>
  </sheetViews>
  <sheetFormatPr defaultColWidth="10.4921875" defaultRowHeight="15" x14ac:dyDescent="0.2"/>
  <cols>
    <col min="2" max="2" width="34.4375" customWidth="1"/>
    <col min="5" max="5" width="16.54296875" customWidth="1"/>
  </cols>
  <sheetData>
    <row r="1" spans="1:8" x14ac:dyDescent="0.2">
      <c r="A1" s="63" t="s">
        <v>2974</v>
      </c>
      <c r="B1" t="s">
        <v>2975</v>
      </c>
      <c r="C1" s="63" t="s">
        <v>13</v>
      </c>
      <c r="D1" s="63" t="s">
        <v>1657</v>
      </c>
      <c r="E1" s="431" t="s">
        <v>2976</v>
      </c>
      <c r="F1" s="407" t="s">
        <v>2977</v>
      </c>
      <c r="G1" s="407" t="s">
        <v>2978</v>
      </c>
    </row>
    <row r="2" spans="1:8" ht="16.5" x14ac:dyDescent="0.25">
      <c r="A2" s="63" t="s">
        <v>3570</v>
      </c>
      <c r="B2" t="s">
        <v>2139</v>
      </c>
      <c r="C2" s="408">
        <f>+'1_OG y 2_ACA'!D253</f>
        <v>48.12</v>
      </c>
      <c r="D2" s="408">
        <f>+Detallado!F35+Detallado!F36</f>
        <v>9</v>
      </c>
      <c r="E2" s="63">
        <v>336</v>
      </c>
      <c r="F2">
        <v>1</v>
      </c>
      <c r="G2">
        <v>839</v>
      </c>
      <c r="H2" s="413" t="s">
        <v>2178</v>
      </c>
    </row>
    <row r="3" spans="1:8" ht="16.5" x14ac:dyDescent="0.25">
      <c r="A3" s="63" t="str">
        <f t="shared" ref="A3:A34" si="0">+$A$2</f>
        <v>VN-I.13</v>
      </c>
      <c r="B3" t="s">
        <v>2138</v>
      </c>
      <c r="C3" s="408">
        <f>+'1_OG y 2_ACA'!D275</f>
        <v>48.12</v>
      </c>
      <c r="D3" s="408">
        <f>+Detallado!F19+Detallado!F20+Detallado!F26+Detallado!F27+Detallado!F50+Detallado!F51</f>
        <v>131</v>
      </c>
      <c r="E3" s="63">
        <f t="shared" ref="E3:E34" si="1">+$E$2</f>
        <v>336</v>
      </c>
      <c r="F3">
        <v>2</v>
      </c>
      <c r="G3">
        <v>839</v>
      </c>
      <c r="H3" s="413" t="s">
        <v>2178</v>
      </c>
    </row>
    <row r="4" spans="1:8" ht="16.5" x14ac:dyDescent="0.25">
      <c r="A4" s="63" t="str">
        <f t="shared" si="0"/>
        <v>VN-I.13</v>
      </c>
      <c r="B4" t="s">
        <v>2140</v>
      </c>
      <c r="C4" s="408">
        <f>+'1_OG y 2_ACA'!G311</f>
        <v>1289.1110244593301</v>
      </c>
      <c r="D4" s="408">
        <f>+Detallado!F48+Detallado!F49</f>
        <v>276</v>
      </c>
      <c r="E4" s="63">
        <f t="shared" si="1"/>
        <v>336</v>
      </c>
      <c r="F4">
        <v>3</v>
      </c>
      <c r="G4">
        <v>839</v>
      </c>
      <c r="H4" s="413" t="s">
        <v>2178</v>
      </c>
    </row>
    <row r="5" spans="1:8" ht="16.5" x14ac:dyDescent="0.25">
      <c r="A5" s="63" t="str">
        <f t="shared" si="0"/>
        <v>VN-I.13</v>
      </c>
      <c r="B5" t="s">
        <v>2141</v>
      </c>
      <c r="C5" s="408">
        <f>+'1_OG y 2_ACA'!D277</f>
        <v>10.105200000000002</v>
      </c>
      <c r="D5" s="408">
        <f>+Detallado!F52+Detallado!F53</f>
        <v>40</v>
      </c>
      <c r="E5" s="63">
        <f t="shared" si="1"/>
        <v>336</v>
      </c>
      <c r="F5">
        <v>4</v>
      </c>
      <c r="G5">
        <v>839</v>
      </c>
      <c r="H5" s="413" t="s">
        <v>2178</v>
      </c>
    </row>
    <row r="6" spans="1:8" ht="16.5" x14ac:dyDescent="0.25">
      <c r="A6" s="63" t="str">
        <f t="shared" si="0"/>
        <v>VN-I.13</v>
      </c>
      <c r="B6" t="s">
        <v>2143</v>
      </c>
      <c r="C6" s="408">
        <f>+'1_OG y 2_ACA'!D491+'1_OG y 2_ACA'!D677</f>
        <v>37.925725</v>
      </c>
      <c r="D6" s="408">
        <f>+Detallado!F66+Detallado!F67+Detallado!F78+Detallado!F79+Detallado!F80+Detallado!F81+Detallado!F99+Detallado!F100+Detallado!F109+Detallado!F110+Detallado!F111+Detallado!F112</f>
        <v>638</v>
      </c>
      <c r="E6" s="63">
        <f t="shared" si="1"/>
        <v>336</v>
      </c>
      <c r="F6">
        <v>5</v>
      </c>
      <c r="G6">
        <v>839</v>
      </c>
      <c r="H6" s="413" t="s">
        <v>2178</v>
      </c>
    </row>
    <row r="7" spans="1:8" ht="16.5" x14ac:dyDescent="0.25">
      <c r="A7" s="63" t="str">
        <f t="shared" si="0"/>
        <v>VN-I.13</v>
      </c>
      <c r="B7" t="s">
        <v>2142</v>
      </c>
      <c r="C7" s="408">
        <f>+'1_OG y 2_ACA'!H420+'1_OG y 2_ACA'!G443+'1_OG y 2_ACA'!H609+'1_OG y 2_ACA'!G628</f>
        <v>2386.9730591689754</v>
      </c>
      <c r="D7" s="408">
        <f>+Detallado!F64+Detallado!F65+Detallado!F97+Detallado!F98</f>
        <v>482</v>
      </c>
      <c r="E7" s="63">
        <f t="shared" si="1"/>
        <v>336</v>
      </c>
      <c r="F7">
        <v>6</v>
      </c>
      <c r="G7">
        <v>839</v>
      </c>
      <c r="H7" s="413" t="s">
        <v>2178</v>
      </c>
    </row>
    <row r="8" spans="1:8" x14ac:dyDescent="0.2">
      <c r="A8" s="63" t="str">
        <f t="shared" si="0"/>
        <v>VN-I.13</v>
      </c>
      <c r="B8" t="s">
        <v>2979</v>
      </c>
      <c r="C8" s="409">
        <v>0</v>
      </c>
      <c r="D8" s="409">
        <v>0</v>
      </c>
      <c r="E8" s="63">
        <f t="shared" si="1"/>
        <v>336</v>
      </c>
      <c r="F8">
        <v>7</v>
      </c>
      <c r="G8">
        <v>839</v>
      </c>
      <c r="H8" s="410" t="s">
        <v>2980</v>
      </c>
    </row>
    <row r="9" spans="1:8" ht="16.5" x14ac:dyDescent="0.25">
      <c r="A9" s="63" t="str">
        <f t="shared" si="0"/>
        <v>VN-I.13</v>
      </c>
      <c r="B9" t="s">
        <v>2981</v>
      </c>
      <c r="C9" s="408">
        <f>+'1_OG y 2_ACA'!D521+'1_OG y 2_ACA'!D706</f>
        <v>595.43999999999994</v>
      </c>
      <c r="D9" s="408">
        <f>+Detallado!F82+Detallado!F113</f>
        <v>92.5</v>
      </c>
      <c r="E9" s="63">
        <f t="shared" si="1"/>
        <v>336</v>
      </c>
      <c r="F9">
        <v>8</v>
      </c>
      <c r="G9">
        <v>839</v>
      </c>
      <c r="H9" s="413" t="s">
        <v>2178</v>
      </c>
    </row>
    <row r="10" spans="1:8" ht="16.5" x14ac:dyDescent="0.25">
      <c r="A10" s="63" t="str">
        <f t="shared" si="0"/>
        <v>VN-I.13</v>
      </c>
      <c r="B10" t="s">
        <v>2982</v>
      </c>
      <c r="C10" s="408">
        <f>+C9</f>
        <v>595.43999999999994</v>
      </c>
      <c r="D10" s="408">
        <f>+Detallado!F83+Detallado!F114</f>
        <v>92.5</v>
      </c>
      <c r="E10" s="63">
        <f t="shared" si="1"/>
        <v>336</v>
      </c>
      <c r="F10">
        <v>9</v>
      </c>
      <c r="G10">
        <v>839</v>
      </c>
      <c r="H10" s="413" t="s">
        <v>2178</v>
      </c>
    </row>
    <row r="11" spans="1:8" ht="16.5" x14ac:dyDescent="0.25">
      <c r="A11" s="63" t="str">
        <f t="shared" si="0"/>
        <v>VN-I.13</v>
      </c>
      <c r="B11" t="s">
        <v>2146</v>
      </c>
      <c r="C11" s="408">
        <f>+'1_OG y 2_ACA'!E781</f>
        <v>684.19724000000019</v>
      </c>
      <c r="D11" s="408">
        <f>+Detallado!F140+Detallado!F141</f>
        <v>349</v>
      </c>
      <c r="E11" s="63">
        <f t="shared" si="1"/>
        <v>336</v>
      </c>
      <c r="F11">
        <v>10</v>
      </c>
      <c r="G11">
        <v>839</v>
      </c>
      <c r="H11" s="413" t="s">
        <v>2178</v>
      </c>
    </row>
    <row r="12" spans="1:8" x14ac:dyDescent="0.2">
      <c r="A12" s="63" t="str">
        <f t="shared" si="0"/>
        <v>VN-I.13</v>
      </c>
      <c r="B12" t="s">
        <v>2983</v>
      </c>
      <c r="C12" s="409">
        <v>0</v>
      </c>
      <c r="D12" s="409">
        <v>0</v>
      </c>
      <c r="E12" s="63">
        <f t="shared" si="1"/>
        <v>336</v>
      </c>
      <c r="F12">
        <v>11</v>
      </c>
      <c r="G12">
        <v>839</v>
      </c>
      <c r="H12" s="410" t="s">
        <v>2980</v>
      </c>
    </row>
    <row r="13" spans="1:8" ht="16.5" x14ac:dyDescent="0.25">
      <c r="A13" s="63" t="str">
        <f t="shared" si="0"/>
        <v>VN-I.13</v>
      </c>
      <c r="B13" t="s">
        <v>2148</v>
      </c>
      <c r="C13" s="408">
        <f>+'1_OG y 2_ACA'!D848</f>
        <v>44.8</v>
      </c>
      <c r="D13" s="408">
        <f>+Detallado!F173+Detallado!F174</f>
        <v>156</v>
      </c>
      <c r="E13" s="63">
        <f t="shared" si="1"/>
        <v>336</v>
      </c>
      <c r="F13">
        <v>12</v>
      </c>
      <c r="G13">
        <v>839</v>
      </c>
      <c r="H13" s="413" t="s">
        <v>2178</v>
      </c>
    </row>
    <row r="14" spans="1:8" ht="16.5" x14ac:dyDescent="0.25">
      <c r="A14" s="63" t="str">
        <f t="shared" si="0"/>
        <v>VN-I.13</v>
      </c>
      <c r="B14" t="s">
        <v>2147</v>
      </c>
      <c r="C14" s="408">
        <f>+'1_OG y 2_ACA'!E834</f>
        <v>266.09616</v>
      </c>
      <c r="D14" s="408">
        <f>+Detallado!F164+Detallado!F165</f>
        <v>136</v>
      </c>
      <c r="E14" s="63">
        <f t="shared" si="1"/>
        <v>336</v>
      </c>
      <c r="F14">
        <v>13</v>
      </c>
      <c r="G14">
        <v>839</v>
      </c>
      <c r="H14" s="413" t="s">
        <v>2178</v>
      </c>
    </row>
    <row r="15" spans="1:8" ht="16.5" x14ac:dyDescent="0.25">
      <c r="A15" s="63" t="str">
        <f t="shared" si="0"/>
        <v>VN-I.13</v>
      </c>
      <c r="B15" t="s">
        <v>2149</v>
      </c>
      <c r="C15" s="408">
        <f>+'1_OG y 2_ACA'!D888</f>
        <v>0</v>
      </c>
      <c r="D15" s="408">
        <f>+Detallado!F185+Detallado!F186</f>
        <v>0</v>
      </c>
      <c r="E15" s="63">
        <f t="shared" si="1"/>
        <v>336</v>
      </c>
      <c r="F15">
        <v>14</v>
      </c>
      <c r="G15">
        <v>839</v>
      </c>
      <c r="H15" s="413" t="s">
        <v>2178</v>
      </c>
    </row>
    <row r="16" spans="1:8" x14ac:dyDescent="0.2">
      <c r="A16" s="63" t="str">
        <f t="shared" si="0"/>
        <v>VN-I.13</v>
      </c>
      <c r="B16" t="s">
        <v>2984</v>
      </c>
      <c r="C16" s="408">
        <f>+'1_OG y 2_ACA'!F971</f>
        <v>110.96553</v>
      </c>
      <c r="D16" s="408">
        <f>+Detallado!F227+Detallado!F228</f>
        <v>85</v>
      </c>
      <c r="E16" s="63">
        <f t="shared" si="1"/>
        <v>336</v>
      </c>
      <c r="F16">
        <v>15</v>
      </c>
      <c r="G16">
        <v>839</v>
      </c>
      <c r="H16" s="410" t="s">
        <v>2980</v>
      </c>
    </row>
    <row r="17" spans="1:8" x14ac:dyDescent="0.2">
      <c r="A17" s="63" t="str">
        <f t="shared" si="0"/>
        <v>VN-I.13</v>
      </c>
      <c r="B17" t="s">
        <v>2985</v>
      </c>
      <c r="C17" s="408">
        <f>+'1_OG y 2_ACA'!F924</f>
        <v>0</v>
      </c>
      <c r="D17" s="408">
        <f>+Detallado!F209+Detallado!F210</f>
        <v>0</v>
      </c>
      <c r="E17" s="63">
        <f t="shared" si="1"/>
        <v>336</v>
      </c>
      <c r="F17">
        <v>16</v>
      </c>
      <c r="G17">
        <v>839</v>
      </c>
      <c r="H17" s="410" t="s">
        <v>2980</v>
      </c>
    </row>
    <row r="18" spans="1:8" ht="16.5" x14ac:dyDescent="0.25">
      <c r="A18" s="63" t="str">
        <f t="shared" si="0"/>
        <v>VN-I.13</v>
      </c>
      <c r="B18" t="s">
        <v>2154</v>
      </c>
      <c r="C18" s="408">
        <f>+'1_OG y 2_ACA'!D1239</f>
        <v>8.5</v>
      </c>
      <c r="D18" s="408">
        <f>+Detallado!F308+Detallado!F309+Detallado!F310+Detallado!F311</f>
        <v>56</v>
      </c>
      <c r="E18" s="63">
        <f t="shared" si="1"/>
        <v>336</v>
      </c>
      <c r="F18">
        <v>19</v>
      </c>
      <c r="G18">
        <v>839</v>
      </c>
      <c r="H18" s="413" t="s">
        <v>2178</v>
      </c>
    </row>
    <row r="19" spans="1:8" ht="16.5" x14ac:dyDescent="0.25">
      <c r="A19" s="63" t="str">
        <f>+$A$2</f>
        <v>VN-I.13</v>
      </c>
      <c r="B19" t="s">
        <v>2153</v>
      </c>
      <c r="C19" s="408">
        <f>+'1_OG y 2_ACA'!D1190</f>
        <v>39.299999999999997</v>
      </c>
      <c r="D19" s="408">
        <f>+Detallado!F291+Detallado!F292+Detallado!F293+Detallado!F294+Detallado!F295+Detallado!F296+Detallado!F297+Detallado!F298</f>
        <v>235</v>
      </c>
      <c r="E19" s="63">
        <f t="shared" si="1"/>
        <v>336</v>
      </c>
      <c r="F19">
        <v>20</v>
      </c>
      <c r="G19">
        <v>839</v>
      </c>
      <c r="H19" s="413" t="s">
        <v>2178</v>
      </c>
    </row>
    <row r="20" spans="1:8" x14ac:dyDescent="0.2">
      <c r="A20" s="63" t="str">
        <f t="shared" si="0"/>
        <v>VN-I.13</v>
      </c>
      <c r="B20" t="s">
        <v>2986</v>
      </c>
      <c r="C20" s="408">
        <f>+'1_OG y 2_ACA'!D1061</f>
        <v>2.9506800000000002</v>
      </c>
      <c r="D20" s="408">
        <f>+Detallado!F261+Detallado!F262+Detallado!F263+Detallado!F264+Detallado!F265+Detallado!F266+Detallado!F267+Detallado!F268</f>
        <v>210</v>
      </c>
      <c r="E20" s="63">
        <f t="shared" si="1"/>
        <v>336</v>
      </c>
      <c r="F20">
        <v>18</v>
      </c>
      <c r="G20">
        <v>839</v>
      </c>
      <c r="H20" s="410" t="s">
        <v>2980</v>
      </c>
    </row>
    <row r="21" spans="1:8" ht="16.5" x14ac:dyDescent="0.25">
      <c r="A21" s="63" t="str">
        <f t="shared" si="0"/>
        <v>VN-I.13</v>
      </c>
      <c r="B21" t="s">
        <v>2155</v>
      </c>
      <c r="C21" s="408">
        <f>+'1_OG y 2_ACA'!D1262</f>
        <v>12.24</v>
      </c>
      <c r="D21" s="408">
        <f>+Detallado!F318+Detallado!F319</f>
        <v>15</v>
      </c>
      <c r="E21" s="63">
        <f t="shared" si="1"/>
        <v>336</v>
      </c>
      <c r="F21">
        <v>21</v>
      </c>
      <c r="G21">
        <v>839</v>
      </c>
      <c r="H21" s="413" t="s">
        <v>2178</v>
      </c>
    </row>
    <row r="22" spans="1:8" ht="16.5" x14ac:dyDescent="0.25">
      <c r="A22" s="63" t="str">
        <f t="shared" si="0"/>
        <v>VN-I.13</v>
      </c>
      <c r="B22" t="s">
        <v>2152</v>
      </c>
      <c r="C22" s="408">
        <f>+'1_OG y 2_ACA'!D1174</f>
        <v>0.72589999999999999</v>
      </c>
      <c r="D22" s="408">
        <f>+Detallado!F274+Detallado!F275+Detallado!F276+Detallado!F277+Detallado!F278+Detallado!F279+Detallado!F280+Detallado!F281</f>
        <v>59</v>
      </c>
      <c r="E22" s="63">
        <f t="shared" si="1"/>
        <v>336</v>
      </c>
      <c r="F22">
        <v>22</v>
      </c>
      <c r="G22">
        <v>839</v>
      </c>
      <c r="H22" s="413" t="s">
        <v>2178</v>
      </c>
    </row>
    <row r="23" spans="1:8" x14ac:dyDescent="0.2">
      <c r="A23" s="63" t="str">
        <f t="shared" si="0"/>
        <v>VN-I.13</v>
      </c>
      <c r="B23" t="s">
        <v>2987</v>
      </c>
      <c r="C23" s="408">
        <f>+'1_OG y 2_ACA'!D934</f>
        <v>0</v>
      </c>
      <c r="D23" s="408">
        <f>+Detallado!F211+Detallado!F212</f>
        <v>0</v>
      </c>
      <c r="E23" s="63">
        <f t="shared" si="1"/>
        <v>336</v>
      </c>
      <c r="F23">
        <v>23</v>
      </c>
      <c r="G23">
        <v>839</v>
      </c>
      <c r="H23" s="410" t="s">
        <v>2980</v>
      </c>
    </row>
    <row r="24" spans="1:8" ht="16.5" x14ac:dyDescent="0.25">
      <c r="A24" s="63" t="str">
        <f t="shared" si="0"/>
        <v>VN-I.13</v>
      </c>
      <c r="B24" t="s">
        <v>2156</v>
      </c>
      <c r="C24" s="408">
        <f>+'1_OG y 2_ACA'!D1263</f>
        <v>7.2</v>
      </c>
      <c r="D24" s="408">
        <f>+Detallado!F320+Detallado!F321</f>
        <v>47</v>
      </c>
      <c r="E24" s="63">
        <f t="shared" si="1"/>
        <v>336</v>
      </c>
      <c r="F24">
        <v>24</v>
      </c>
      <c r="G24">
        <v>839</v>
      </c>
      <c r="H24" s="413" t="s">
        <v>2178</v>
      </c>
    </row>
    <row r="25" spans="1:8" ht="16.5" x14ac:dyDescent="0.25">
      <c r="A25" s="63" t="str">
        <f t="shared" si="0"/>
        <v>VN-I.13</v>
      </c>
      <c r="B25" t="s">
        <v>2157</v>
      </c>
      <c r="C25" s="408">
        <f>+'1_OG y 2_ACA'!D1366</f>
        <v>41.199999999999996</v>
      </c>
      <c r="D25" s="408">
        <f>+Detallado!F389+Detallado!F390+Detallado!F391+Detallado!F392</f>
        <v>115</v>
      </c>
      <c r="E25" s="63">
        <f t="shared" si="1"/>
        <v>336</v>
      </c>
      <c r="F25">
        <v>25</v>
      </c>
      <c r="G25">
        <v>839</v>
      </c>
      <c r="H25" s="413" t="s">
        <v>2178</v>
      </c>
    </row>
    <row r="26" spans="1:8" ht="16.5" x14ac:dyDescent="0.25">
      <c r="A26" s="63" t="str">
        <f t="shared" si="0"/>
        <v>VN-I.13</v>
      </c>
      <c r="B26" t="s">
        <v>2988</v>
      </c>
      <c r="C26" s="408">
        <f>+'1_OG y 2_ACA'!D1299+'1_OG y 2_ACA'!D1341</f>
        <v>42.849999999999994</v>
      </c>
      <c r="D26" s="408">
        <f>+Detallado!F357+Detallado!F358</f>
        <v>73</v>
      </c>
      <c r="E26" s="63">
        <f t="shared" si="1"/>
        <v>336</v>
      </c>
      <c r="F26">
        <v>26</v>
      </c>
      <c r="G26">
        <v>839</v>
      </c>
      <c r="H26" s="413" t="s">
        <v>2178</v>
      </c>
    </row>
    <row r="27" spans="1:8" ht="16.5" x14ac:dyDescent="0.25">
      <c r="A27" s="63" t="str">
        <f t="shared" si="0"/>
        <v>VN-I.13</v>
      </c>
      <c r="B27" t="s">
        <v>2989</v>
      </c>
      <c r="C27" s="408">
        <f>+'1_OG y 2_ACA'!D1318</f>
        <v>9.6999999999999993</v>
      </c>
      <c r="D27" s="408">
        <f>+Detallado!F359+Detallado!F360</f>
        <v>21</v>
      </c>
      <c r="E27" s="63">
        <f t="shared" si="1"/>
        <v>336</v>
      </c>
      <c r="F27">
        <v>27</v>
      </c>
      <c r="G27">
        <v>839</v>
      </c>
      <c r="H27" s="413" t="s">
        <v>2178</v>
      </c>
    </row>
    <row r="28" spans="1:8" ht="16.5" x14ac:dyDescent="0.25">
      <c r="A28" s="63" t="str">
        <f t="shared" si="0"/>
        <v>VN-I.13</v>
      </c>
      <c r="B28" t="s">
        <v>2990</v>
      </c>
      <c r="C28" s="408">
        <f>+'1_OG y 2_ACA'!D1001</f>
        <v>42.8</v>
      </c>
      <c r="D28" s="408">
        <f>+Detallado!F242+Detallado!F244</f>
        <v>107</v>
      </c>
      <c r="E28" s="63">
        <f t="shared" si="1"/>
        <v>336</v>
      </c>
      <c r="F28">
        <v>28</v>
      </c>
      <c r="G28">
        <v>840</v>
      </c>
      <c r="H28" s="413" t="s">
        <v>2178</v>
      </c>
    </row>
    <row r="29" spans="1:8" ht="16.5" x14ac:dyDescent="0.25">
      <c r="A29" s="63" t="str">
        <f t="shared" si="0"/>
        <v>VN-I.13</v>
      </c>
      <c r="B29" t="s">
        <v>2991</v>
      </c>
      <c r="C29" s="408">
        <f>+'1_OG y 2_ACA'!D1006</f>
        <v>14.1</v>
      </c>
      <c r="D29" s="408">
        <f>+Detallado!F243+Detallado!F245</f>
        <v>107</v>
      </c>
      <c r="E29" s="63">
        <f t="shared" si="1"/>
        <v>336</v>
      </c>
      <c r="F29">
        <v>29</v>
      </c>
      <c r="G29">
        <v>840</v>
      </c>
      <c r="H29" s="413" t="s">
        <v>2178</v>
      </c>
    </row>
    <row r="30" spans="1:8" ht="16.5" x14ac:dyDescent="0.25">
      <c r="A30" s="63" t="str">
        <f t="shared" si="0"/>
        <v>VN-I.13</v>
      </c>
      <c r="B30" t="s">
        <v>2160</v>
      </c>
      <c r="C30" s="408">
        <f>+'1_OG y 2_ACA'!D1530+'1_OG y 2_ACA'!D1531</f>
        <v>119</v>
      </c>
      <c r="D30" s="408">
        <f>+Detallado!F422+Detallado!F423+Detallado!F426+Detallado!F427</f>
        <v>236</v>
      </c>
      <c r="E30" s="63">
        <f t="shared" si="1"/>
        <v>336</v>
      </c>
      <c r="F30">
        <v>30</v>
      </c>
      <c r="G30">
        <v>840</v>
      </c>
      <c r="H30" s="413" t="s">
        <v>2178</v>
      </c>
    </row>
    <row r="31" spans="1:8" ht="16.5" x14ac:dyDescent="0.25">
      <c r="A31" s="63" t="str">
        <f t="shared" si="0"/>
        <v>VN-I.13</v>
      </c>
      <c r="B31" t="s">
        <v>2161</v>
      </c>
      <c r="C31" s="408">
        <f>+'1_OG y 2_ACA'!D1550</f>
        <v>2.6</v>
      </c>
      <c r="D31" s="408">
        <f>+Detallado!F424+Detallado!F425</f>
        <v>6</v>
      </c>
      <c r="E31" s="63">
        <f t="shared" si="1"/>
        <v>336</v>
      </c>
      <c r="F31">
        <v>31</v>
      </c>
      <c r="G31">
        <v>840</v>
      </c>
      <c r="H31" s="413" t="s">
        <v>2178</v>
      </c>
    </row>
    <row r="32" spans="1:8" ht="16.5" x14ac:dyDescent="0.25">
      <c r="A32" s="63" t="str">
        <f t="shared" si="0"/>
        <v>VN-I.13</v>
      </c>
      <c r="B32" t="s">
        <v>2158</v>
      </c>
      <c r="C32" s="408">
        <f>+'1_OG y 2_ACA'!D1453</f>
        <v>474.28249999999997</v>
      </c>
      <c r="D32" s="408">
        <f>+Detallado!F397+Detallado!F398</f>
        <v>392</v>
      </c>
      <c r="E32" s="63">
        <f t="shared" si="1"/>
        <v>336</v>
      </c>
      <c r="F32">
        <v>32</v>
      </c>
      <c r="G32">
        <v>840</v>
      </c>
      <c r="H32" s="413" t="s">
        <v>2178</v>
      </c>
    </row>
    <row r="33" spans="1:8" ht="16.5" x14ac:dyDescent="0.25">
      <c r="A33" s="63" t="str">
        <f t="shared" si="0"/>
        <v>VN-I.13</v>
      </c>
      <c r="B33" t="s">
        <v>2159</v>
      </c>
      <c r="C33" s="408">
        <f>+'1_OG y 2_ACA'!D1465</f>
        <v>225.01249999999999</v>
      </c>
      <c r="D33" s="408">
        <f>+Detallado!F404+Detallado!F405</f>
        <v>102</v>
      </c>
      <c r="E33" s="63">
        <f t="shared" si="1"/>
        <v>336</v>
      </c>
      <c r="F33">
        <v>33</v>
      </c>
      <c r="G33">
        <v>840</v>
      </c>
      <c r="H33" s="413" t="s">
        <v>2178</v>
      </c>
    </row>
    <row r="34" spans="1:8" x14ac:dyDescent="0.2">
      <c r="A34" s="63" t="str">
        <f t="shared" si="0"/>
        <v>VN-I.13</v>
      </c>
      <c r="B34" t="s">
        <v>2992</v>
      </c>
      <c r="C34" s="411">
        <v>0</v>
      </c>
      <c r="D34" s="411">
        <v>0</v>
      </c>
      <c r="E34" s="63">
        <f t="shared" si="1"/>
        <v>336</v>
      </c>
      <c r="F34">
        <v>34</v>
      </c>
      <c r="G34">
        <v>843</v>
      </c>
      <c r="H34" s="412" t="s">
        <v>2993</v>
      </c>
    </row>
    <row r="35" spans="1:8" x14ac:dyDescent="0.2">
      <c r="A35" s="63" t="str">
        <f t="shared" ref="A35:A55" si="2">+$A$2</f>
        <v>VN-I.13</v>
      </c>
      <c r="B35" t="s">
        <v>2994</v>
      </c>
      <c r="C35" s="411">
        <v>0</v>
      </c>
      <c r="D35" s="411">
        <v>0</v>
      </c>
      <c r="E35" s="63">
        <f t="shared" ref="E35:E55" si="3">+$E$2</f>
        <v>336</v>
      </c>
      <c r="F35">
        <v>35</v>
      </c>
      <c r="G35">
        <v>843</v>
      </c>
      <c r="H35" s="412" t="s">
        <v>2993</v>
      </c>
    </row>
    <row r="36" spans="1:8" x14ac:dyDescent="0.2">
      <c r="A36" s="63" t="str">
        <f t="shared" si="2"/>
        <v>VN-I.13</v>
      </c>
      <c r="B36" t="s">
        <v>2995</v>
      </c>
      <c r="C36" s="411">
        <v>0</v>
      </c>
      <c r="D36" s="411">
        <v>0</v>
      </c>
      <c r="E36" s="63">
        <f t="shared" si="3"/>
        <v>336</v>
      </c>
      <c r="F36">
        <v>36</v>
      </c>
      <c r="G36">
        <v>843</v>
      </c>
      <c r="H36" s="412" t="s">
        <v>2993</v>
      </c>
    </row>
    <row r="37" spans="1:8" x14ac:dyDescent="0.2">
      <c r="A37" s="63" t="str">
        <f t="shared" si="2"/>
        <v>VN-I.13</v>
      </c>
      <c r="B37" t="s">
        <v>2996</v>
      </c>
      <c r="C37" s="411">
        <v>0</v>
      </c>
      <c r="D37" s="411">
        <v>0</v>
      </c>
      <c r="E37" s="63">
        <f t="shared" si="3"/>
        <v>336</v>
      </c>
      <c r="F37">
        <v>37</v>
      </c>
      <c r="G37">
        <v>843</v>
      </c>
      <c r="H37" s="412" t="s">
        <v>2993</v>
      </c>
    </row>
    <row r="38" spans="1:8" x14ac:dyDescent="0.2">
      <c r="A38" s="63" t="str">
        <f t="shared" si="2"/>
        <v>VN-I.13</v>
      </c>
      <c r="B38" t="s">
        <v>2997</v>
      </c>
      <c r="C38" s="411">
        <v>0</v>
      </c>
      <c r="D38" s="411">
        <v>0</v>
      </c>
      <c r="E38" s="63">
        <f t="shared" si="3"/>
        <v>336</v>
      </c>
      <c r="F38">
        <v>38</v>
      </c>
      <c r="G38">
        <v>843</v>
      </c>
      <c r="H38" s="412" t="s">
        <v>2993</v>
      </c>
    </row>
    <row r="39" spans="1:8" ht="16.5" x14ac:dyDescent="0.25">
      <c r="A39" s="63" t="str">
        <f t="shared" si="2"/>
        <v>VN-I.13</v>
      </c>
      <c r="B39" t="s">
        <v>2175</v>
      </c>
      <c r="C39" s="408">
        <f>+'3.2_MEC'!D19+'3.2_MEC'!D20+'3.2_MEC'!D21</f>
        <v>61.9</v>
      </c>
      <c r="D39" s="408">
        <f>+Detallado!F839+Detallado!F840+Detallado!F841+Detallado!F842+Detallado!F856+Detallado!F857+Detallado!F858+Detallado!F859</f>
        <v>60</v>
      </c>
      <c r="E39" s="63">
        <f t="shared" si="3"/>
        <v>336</v>
      </c>
      <c r="F39">
        <v>39</v>
      </c>
      <c r="G39">
        <v>839</v>
      </c>
      <c r="H39" s="413" t="s">
        <v>2178</v>
      </c>
    </row>
    <row r="40" spans="1:8" ht="16.5" x14ac:dyDescent="0.25">
      <c r="A40" s="63" t="str">
        <f t="shared" si="2"/>
        <v>VN-I.13</v>
      </c>
      <c r="B40" t="s">
        <v>2176</v>
      </c>
      <c r="C40" s="408">
        <f>+'3.2_MEC'!D108+'3.2_MEC'!D109+'3.2_MEC'!D110+'3.2_MEC'!D122+'3.2_MEC'!D123+'3.2_MEC'!D124</f>
        <v>0</v>
      </c>
      <c r="D40" s="408">
        <f>+Detallado!F871+Detallado!F872+Detallado!F873+Detallado!F874+Detallado!F887+Detallado!F888+Detallado!F889+Detallado!F890+Detallado!F909+Detallado!F910+Detallado!F941+Detallado!F942+Detallado!F948+Detallado!F949</f>
        <v>65</v>
      </c>
      <c r="E40" s="63">
        <f t="shared" si="3"/>
        <v>336</v>
      </c>
      <c r="F40">
        <v>40</v>
      </c>
      <c r="G40">
        <v>839</v>
      </c>
      <c r="H40" s="413" t="s">
        <v>2178</v>
      </c>
    </row>
    <row r="41" spans="1:8" ht="16.5" x14ac:dyDescent="0.25">
      <c r="A41" s="63" t="str">
        <f t="shared" si="2"/>
        <v>VN-I.13</v>
      </c>
      <c r="B41" t="s">
        <v>2174</v>
      </c>
      <c r="C41" s="408">
        <f>+'3.2_MEC'!D176+'3.2_MEC'!D177</f>
        <v>33.9</v>
      </c>
      <c r="D41" s="408">
        <f>+Detallado!F928+Detallado!F929</f>
        <v>70</v>
      </c>
      <c r="E41" s="63">
        <f t="shared" si="3"/>
        <v>336</v>
      </c>
      <c r="F41">
        <v>41</v>
      </c>
      <c r="G41">
        <v>839</v>
      </c>
      <c r="H41" s="413" t="s">
        <v>2178</v>
      </c>
    </row>
    <row r="42" spans="1:8" ht="16.5" x14ac:dyDescent="0.25">
      <c r="A42" s="63" t="str">
        <f t="shared" si="2"/>
        <v>VN-I.13</v>
      </c>
      <c r="B42" t="s">
        <v>1841</v>
      </c>
      <c r="C42" s="408">
        <f>+'1_OG y 2_ACA'!D1028</f>
        <v>12</v>
      </c>
      <c r="D42" s="408">
        <f>+Detallado!F251+Detallado!F252</f>
        <v>62</v>
      </c>
      <c r="E42" s="63">
        <f t="shared" si="3"/>
        <v>336</v>
      </c>
      <c r="F42">
        <v>42</v>
      </c>
      <c r="G42">
        <v>839</v>
      </c>
      <c r="H42" s="413" t="s">
        <v>2178</v>
      </c>
    </row>
    <row r="43" spans="1:8" ht="16.5" x14ac:dyDescent="0.25">
      <c r="A43" s="63" t="str">
        <f t="shared" si="2"/>
        <v>VN-I.13</v>
      </c>
      <c r="B43" t="s">
        <v>2998</v>
      </c>
      <c r="C43" s="408">
        <f>+'1_OG y 2_ACA'!D1567</f>
        <v>307.41249999999997</v>
      </c>
      <c r="D43" s="408">
        <f>+ROUNDUP('1_OG y 2_ACA'!F1592,0)</f>
        <v>78</v>
      </c>
      <c r="E43" s="63">
        <f t="shared" si="3"/>
        <v>336</v>
      </c>
      <c r="F43">
        <v>43</v>
      </c>
      <c r="G43">
        <v>840</v>
      </c>
      <c r="H43" s="413" t="s">
        <v>2178</v>
      </c>
    </row>
    <row r="44" spans="1:8" ht="16.5" x14ac:dyDescent="0.25">
      <c r="A44" s="63" t="str">
        <f t="shared" si="2"/>
        <v>VN-I.13</v>
      </c>
      <c r="B44" t="s">
        <v>2999</v>
      </c>
      <c r="C44" s="408">
        <f>+'1_OG y 2_ACA'!D1569+'1_OG y 2_ACA'!D1571</f>
        <v>25.5</v>
      </c>
      <c r="D44" s="408">
        <f>+ROUNDUP('1_OG y 2_ACA'!F1600,0)</f>
        <v>10</v>
      </c>
      <c r="E44" s="63">
        <f t="shared" si="3"/>
        <v>336</v>
      </c>
      <c r="F44">
        <v>44</v>
      </c>
      <c r="G44">
        <v>840</v>
      </c>
      <c r="H44" s="413" t="s">
        <v>2178</v>
      </c>
    </row>
    <row r="45" spans="1:8" ht="16.5" x14ac:dyDescent="0.25">
      <c r="A45" s="63" t="str">
        <f t="shared" si="2"/>
        <v>VN-I.13</v>
      </c>
      <c r="B45" t="s">
        <v>3000</v>
      </c>
      <c r="C45" s="408">
        <f>+C43</f>
        <v>307.41249999999997</v>
      </c>
      <c r="D45" s="408">
        <f>+ROUNDUP('1_OG y 2_ACA'!F1604,0)-2</f>
        <v>95</v>
      </c>
      <c r="E45" s="63">
        <f t="shared" si="3"/>
        <v>336</v>
      </c>
      <c r="F45">
        <v>45</v>
      </c>
      <c r="G45">
        <v>840</v>
      </c>
      <c r="H45" s="413" t="s">
        <v>2178</v>
      </c>
    </row>
    <row r="46" spans="1:8" ht="16.5" x14ac:dyDescent="0.25">
      <c r="A46" s="63" t="str">
        <f t="shared" si="2"/>
        <v>VN-I.13</v>
      </c>
      <c r="B46" t="s">
        <v>2162</v>
      </c>
      <c r="C46" s="408">
        <f>+C45</f>
        <v>307.41249999999997</v>
      </c>
      <c r="D46" s="408">
        <f>+ROUNDUP('1_OG y 2_ACA'!F1596,0)</f>
        <v>116</v>
      </c>
      <c r="E46" s="63">
        <f t="shared" si="3"/>
        <v>336</v>
      </c>
      <c r="F46">
        <v>46</v>
      </c>
      <c r="G46">
        <v>840</v>
      </c>
      <c r="H46" s="413" t="s">
        <v>2178</v>
      </c>
    </row>
    <row r="47" spans="1:8" x14ac:dyDescent="0.2">
      <c r="A47" s="63" t="str">
        <f t="shared" si="2"/>
        <v>VN-I.13</v>
      </c>
      <c r="B47" t="s">
        <v>3001</v>
      </c>
      <c r="C47" s="409">
        <f>+'1_OG y 2_ACA'!D1613</f>
        <v>55.7</v>
      </c>
      <c r="D47" s="409">
        <f>+Detallado!F460+Detallado!F461</f>
        <v>44</v>
      </c>
      <c r="E47" s="63">
        <f t="shared" si="3"/>
        <v>336</v>
      </c>
      <c r="F47">
        <v>47</v>
      </c>
      <c r="G47">
        <v>840</v>
      </c>
      <c r="H47" s="410" t="s">
        <v>2980</v>
      </c>
    </row>
    <row r="48" spans="1:8" x14ac:dyDescent="0.2">
      <c r="A48" s="63" t="str">
        <f t="shared" si="2"/>
        <v>VN-I.13</v>
      </c>
      <c r="B48" t="s">
        <v>3002</v>
      </c>
      <c r="C48" s="411">
        <v>0</v>
      </c>
      <c r="D48" s="411">
        <v>0</v>
      </c>
      <c r="E48" s="63">
        <f t="shared" si="3"/>
        <v>336</v>
      </c>
      <c r="F48">
        <v>48</v>
      </c>
      <c r="G48">
        <v>840</v>
      </c>
      <c r="H48" s="412" t="s">
        <v>2993</v>
      </c>
    </row>
    <row r="49" spans="1:8" ht="16.5" x14ac:dyDescent="0.25">
      <c r="A49" s="63" t="str">
        <f t="shared" si="2"/>
        <v>VN-I.13</v>
      </c>
      <c r="B49" t="s">
        <v>2171</v>
      </c>
      <c r="C49" s="408">
        <f>+'1_OG y 2_ACA'!I1703</f>
        <v>0</v>
      </c>
      <c r="D49" s="408">
        <f>+Detallado!F509+Detallado!F510</f>
        <v>100</v>
      </c>
      <c r="E49" s="63">
        <f t="shared" si="3"/>
        <v>336</v>
      </c>
      <c r="F49">
        <v>49</v>
      </c>
      <c r="G49">
        <v>842</v>
      </c>
      <c r="H49" s="413" t="s">
        <v>2178</v>
      </c>
    </row>
    <row r="50" spans="1:8" ht="16.5" x14ac:dyDescent="0.25">
      <c r="A50" s="63" t="str">
        <f t="shared" si="2"/>
        <v>VN-I.13</v>
      </c>
      <c r="B50" t="s">
        <v>2172</v>
      </c>
      <c r="C50" s="408">
        <f>'1_OG y 2_ACA'!D1749</f>
        <v>10</v>
      </c>
      <c r="D50" s="408">
        <f>+Detallado!F523+Detallado!F524</f>
        <v>123</v>
      </c>
      <c r="E50" s="63">
        <f t="shared" si="3"/>
        <v>336</v>
      </c>
      <c r="F50">
        <v>50</v>
      </c>
      <c r="G50">
        <v>842</v>
      </c>
      <c r="H50" s="413" t="s">
        <v>2178</v>
      </c>
    </row>
    <row r="51" spans="1:8" ht="16.5" x14ac:dyDescent="0.25">
      <c r="A51" s="63" t="str">
        <f t="shared" si="2"/>
        <v>VN-I.13</v>
      </c>
      <c r="B51" t="s">
        <v>2173</v>
      </c>
      <c r="C51" s="408">
        <f>+Detallado!F527+Detallado!F530+Detallado!F541</f>
        <v>7</v>
      </c>
      <c r="D51" s="408">
        <f>+Detallado!F544+Detallado!F545</f>
        <v>19</v>
      </c>
      <c r="E51" s="63">
        <f t="shared" si="3"/>
        <v>336</v>
      </c>
      <c r="F51">
        <v>51</v>
      </c>
      <c r="G51">
        <v>840</v>
      </c>
      <c r="H51" s="413" t="s">
        <v>2178</v>
      </c>
    </row>
    <row r="52" spans="1:8" ht="16.5" x14ac:dyDescent="0.25">
      <c r="A52" s="63" t="str">
        <f t="shared" si="2"/>
        <v>VN-I.13</v>
      </c>
      <c r="B52" t="s">
        <v>3003</v>
      </c>
      <c r="C52" s="408">
        <f>+Detallado!F546+Detallado!F547-2</f>
        <v>9</v>
      </c>
      <c r="D52" s="408">
        <f>+Detallado!F546+Detallado!F547-4</f>
        <v>7</v>
      </c>
      <c r="E52" s="63">
        <f t="shared" si="3"/>
        <v>336</v>
      </c>
      <c r="F52">
        <v>52</v>
      </c>
      <c r="G52">
        <v>840</v>
      </c>
      <c r="H52" s="413" t="s">
        <v>2178</v>
      </c>
    </row>
    <row r="53" spans="1:8" ht="16.5" x14ac:dyDescent="0.25">
      <c r="A53" s="63" t="str">
        <f t="shared" si="2"/>
        <v>VN-I.13</v>
      </c>
      <c r="B53" t="s">
        <v>3004</v>
      </c>
      <c r="C53" s="408">
        <f>+Detallado!F538</f>
        <v>1</v>
      </c>
      <c r="D53" s="408">
        <f>+Detallado!F546+Detallado!F547-7</f>
        <v>4</v>
      </c>
      <c r="E53" s="63">
        <f t="shared" si="3"/>
        <v>336</v>
      </c>
      <c r="F53">
        <v>53</v>
      </c>
      <c r="G53">
        <v>840</v>
      </c>
      <c r="H53" s="413" t="s">
        <v>2178</v>
      </c>
    </row>
    <row r="54" spans="1:8" ht="16.5" x14ac:dyDescent="0.25">
      <c r="A54" s="63" t="str">
        <f t="shared" si="2"/>
        <v>VN-I.13</v>
      </c>
      <c r="B54" t="s">
        <v>3005</v>
      </c>
      <c r="C54" s="408">
        <f>+'1_OG y 2_ACA'!D1821</f>
        <v>36.339999999999989</v>
      </c>
      <c r="D54" s="408">
        <f>+Detallado!F555+Detallado!F556</f>
        <v>58</v>
      </c>
      <c r="E54" s="63">
        <f t="shared" si="3"/>
        <v>336</v>
      </c>
      <c r="F54">
        <v>54</v>
      </c>
      <c r="G54">
        <v>840</v>
      </c>
      <c r="H54" s="413" t="s">
        <v>2178</v>
      </c>
    </row>
    <row r="55" spans="1:8" ht="16.5" x14ac:dyDescent="0.25">
      <c r="A55" s="63" t="str">
        <f t="shared" si="2"/>
        <v>VN-I.13</v>
      </c>
      <c r="B55" t="s">
        <v>2170</v>
      </c>
      <c r="C55" s="408">
        <v>1</v>
      </c>
      <c r="D55" s="408">
        <f>+Detallado!F463+Detallado!F464</f>
        <v>120</v>
      </c>
      <c r="E55" s="63">
        <f t="shared" si="3"/>
        <v>336</v>
      </c>
      <c r="F55">
        <v>55</v>
      </c>
      <c r="G55">
        <v>840</v>
      </c>
      <c r="H55" s="413" t="s">
        <v>2178</v>
      </c>
    </row>
    <row r="56" spans="1:8" x14ac:dyDescent="0.2">
      <c r="A56" s="63"/>
      <c r="D56" s="63"/>
      <c r="E56" s="63"/>
    </row>
    <row r="57" spans="1:8" x14ac:dyDescent="0.2">
      <c r="A57" s="63"/>
      <c r="D57" s="99">
        <f>SUM(D2:D56)</f>
        <v>5299</v>
      </c>
      <c r="E57" s="99">
        <f>+Detallado!F963</f>
        <v>5299</v>
      </c>
      <c r="F57" s="272">
        <f>+E57-D57</f>
        <v>0</v>
      </c>
    </row>
  </sheetData>
  <phoneticPr fontId="20" type="noConversion"/>
  <dataValidations count="1">
    <dataValidation type="list" allowBlank="1" showInputMessage="1" showErrorMessage="1" sqref="B3:B55" xr:uid="{BBF1CB87-A22A-4A67-97FA-31A71922F17A}">
      <formula1>ListaSubTareas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F1F17-D7C2-4720-BE2E-D440BECCCB41}">
  <sheetPr>
    <tabColor theme="7" tint="0.39997558519241921"/>
  </sheetPr>
  <dimension ref="B3:DA309"/>
  <sheetViews>
    <sheetView topLeftCell="A163" zoomScale="85" zoomScaleNormal="85" workbookViewId="0">
      <selection activeCell="F163" sqref="F163"/>
    </sheetView>
  </sheetViews>
  <sheetFormatPr defaultColWidth="11.43359375" defaultRowHeight="15" x14ac:dyDescent="0.2"/>
  <cols>
    <col min="1" max="1" width="2.95703125" customWidth="1"/>
    <col min="2" max="2" width="6.72265625" customWidth="1"/>
    <col min="3" max="3" width="37.6640625" style="63" customWidth="1"/>
    <col min="4" max="4" width="11.43359375" style="63"/>
    <col min="6" max="7" width="11.43359375" customWidth="1"/>
    <col min="8" max="8" width="11.97265625" bestFit="1" customWidth="1"/>
  </cols>
  <sheetData>
    <row r="3" spans="2:105" x14ac:dyDescent="0.2">
      <c r="B3" s="1068" t="s">
        <v>2137</v>
      </c>
      <c r="C3" s="1070" t="s">
        <v>3778</v>
      </c>
      <c r="D3" s="1069"/>
    </row>
    <row r="4" spans="2:105" x14ac:dyDescent="0.2">
      <c r="B4" s="1068"/>
      <c r="C4" s="1067" t="s">
        <v>3012</v>
      </c>
      <c r="D4" s="1067" t="s">
        <v>3013</v>
      </c>
      <c r="F4">
        <v>1</v>
      </c>
      <c r="G4">
        <v>2</v>
      </c>
      <c r="H4">
        <v>3</v>
      </c>
      <c r="I4">
        <v>4</v>
      </c>
      <c r="J4">
        <v>5</v>
      </c>
      <c r="K4">
        <v>6</v>
      </c>
      <c r="L4">
        <v>7</v>
      </c>
      <c r="M4">
        <v>8</v>
      </c>
      <c r="N4">
        <v>9</v>
      </c>
      <c r="O4">
        <v>10</v>
      </c>
      <c r="P4">
        <v>11</v>
      </c>
      <c r="Q4">
        <v>12</v>
      </c>
      <c r="R4">
        <v>13</v>
      </c>
      <c r="S4">
        <v>14</v>
      </c>
      <c r="T4">
        <v>15</v>
      </c>
      <c r="U4">
        <v>16</v>
      </c>
      <c r="V4">
        <v>17</v>
      </c>
      <c r="W4">
        <v>18</v>
      </c>
      <c r="X4">
        <v>19</v>
      </c>
      <c r="Y4">
        <v>20</v>
      </c>
      <c r="Z4">
        <v>21</v>
      </c>
      <c r="AA4">
        <v>22</v>
      </c>
      <c r="AB4">
        <v>23</v>
      </c>
      <c r="AC4">
        <v>24</v>
      </c>
      <c r="AD4">
        <v>25</v>
      </c>
      <c r="AE4">
        <v>26</v>
      </c>
      <c r="AF4">
        <v>27</v>
      </c>
      <c r="AG4">
        <v>28</v>
      </c>
      <c r="AH4">
        <v>29</v>
      </c>
      <c r="AI4">
        <v>30</v>
      </c>
      <c r="AJ4">
        <v>31</v>
      </c>
      <c r="AK4">
        <v>32</v>
      </c>
      <c r="AL4">
        <v>33</v>
      </c>
      <c r="AM4">
        <v>34</v>
      </c>
      <c r="AN4">
        <v>35</v>
      </c>
      <c r="AO4">
        <v>36</v>
      </c>
      <c r="AP4">
        <v>37</v>
      </c>
      <c r="AQ4">
        <v>38</v>
      </c>
      <c r="AR4">
        <v>39</v>
      </c>
      <c r="AS4">
        <v>40</v>
      </c>
      <c r="AT4">
        <v>41</v>
      </c>
      <c r="AU4">
        <v>42</v>
      </c>
      <c r="AV4">
        <v>43</v>
      </c>
      <c r="AW4">
        <v>44</v>
      </c>
      <c r="AX4">
        <v>45</v>
      </c>
      <c r="AY4">
        <v>46</v>
      </c>
      <c r="AZ4">
        <v>47</v>
      </c>
      <c r="BA4">
        <v>48</v>
      </c>
      <c r="BB4">
        <v>49</v>
      </c>
      <c r="BC4">
        <v>50</v>
      </c>
      <c r="BD4">
        <v>51</v>
      </c>
      <c r="BE4">
        <v>52</v>
      </c>
      <c r="BF4">
        <v>53</v>
      </c>
      <c r="BG4">
        <v>54</v>
      </c>
      <c r="BH4">
        <v>55</v>
      </c>
      <c r="BI4">
        <v>56</v>
      </c>
      <c r="BJ4">
        <v>57</v>
      </c>
      <c r="BK4">
        <v>58</v>
      </c>
      <c r="BL4">
        <v>59</v>
      </c>
      <c r="BM4">
        <v>60</v>
      </c>
      <c r="BN4">
        <v>61</v>
      </c>
      <c r="BO4">
        <v>62</v>
      </c>
      <c r="BP4">
        <v>63</v>
      </c>
      <c r="BQ4">
        <v>64</v>
      </c>
      <c r="BR4">
        <v>65</v>
      </c>
      <c r="BS4">
        <v>66</v>
      </c>
      <c r="BT4">
        <v>67</v>
      </c>
      <c r="BU4">
        <v>68</v>
      </c>
      <c r="BV4">
        <v>69</v>
      </c>
      <c r="BW4">
        <v>70</v>
      </c>
      <c r="BX4">
        <v>71</v>
      </c>
      <c r="BY4">
        <v>72</v>
      </c>
      <c r="BZ4">
        <v>73</v>
      </c>
      <c r="CA4">
        <v>74</v>
      </c>
      <c r="CB4">
        <v>75</v>
      </c>
      <c r="CC4">
        <v>76</v>
      </c>
      <c r="CD4">
        <v>77</v>
      </c>
      <c r="CE4">
        <v>78</v>
      </c>
      <c r="CF4">
        <v>79</v>
      </c>
      <c r="CG4">
        <v>80</v>
      </c>
      <c r="CH4">
        <v>81</v>
      </c>
      <c r="CI4">
        <v>82</v>
      </c>
      <c r="CJ4">
        <v>83</v>
      </c>
      <c r="CK4">
        <v>84</v>
      </c>
      <c r="CL4">
        <v>85</v>
      </c>
      <c r="CM4">
        <v>86</v>
      </c>
      <c r="CN4">
        <v>87</v>
      </c>
      <c r="CO4">
        <v>88</v>
      </c>
      <c r="CP4">
        <v>89</v>
      </c>
      <c r="CQ4">
        <v>90</v>
      </c>
      <c r="CR4">
        <v>91</v>
      </c>
      <c r="CS4">
        <v>92</v>
      </c>
      <c r="CT4">
        <v>93</v>
      </c>
      <c r="CU4">
        <v>94</v>
      </c>
      <c r="CV4">
        <v>95</v>
      </c>
      <c r="CW4">
        <v>96</v>
      </c>
      <c r="CX4">
        <v>97</v>
      </c>
      <c r="CY4">
        <v>98</v>
      </c>
      <c r="CZ4">
        <v>99</v>
      </c>
      <c r="DA4">
        <v>100</v>
      </c>
    </row>
    <row r="5" spans="2:105" x14ac:dyDescent="0.2">
      <c r="B5" s="1175" t="s">
        <v>3780</v>
      </c>
      <c r="C5" s="1176"/>
      <c r="D5" s="1177"/>
      <c r="E5" t="s">
        <v>3779</v>
      </c>
      <c r="F5" t="s">
        <v>3778</v>
      </c>
      <c r="G5" t="s">
        <v>3777</v>
      </c>
      <c r="H5" t="s">
        <v>3776</v>
      </c>
      <c r="I5" t="s">
        <v>3775</v>
      </c>
      <c r="J5" t="s">
        <v>3774</v>
      </c>
      <c r="K5" t="s">
        <v>3773</v>
      </c>
      <c r="L5" t="s">
        <v>3772</v>
      </c>
      <c r="M5" t="s">
        <v>3771</v>
      </c>
      <c r="N5" t="s">
        <v>3770</v>
      </c>
      <c r="O5" t="s">
        <v>3769</v>
      </c>
      <c r="P5" t="s">
        <v>3768</v>
      </c>
      <c r="Q5" t="s">
        <v>3767</v>
      </c>
      <c r="R5" t="s">
        <v>3766</v>
      </c>
      <c r="S5" t="s">
        <v>3765</v>
      </c>
      <c r="T5" t="s">
        <v>3764</v>
      </c>
      <c r="U5" t="s">
        <v>3763</v>
      </c>
      <c r="V5" t="s">
        <v>3456</v>
      </c>
      <c r="W5" t="s">
        <v>3762</v>
      </c>
      <c r="X5" t="s">
        <v>3761</v>
      </c>
      <c r="Y5" t="s">
        <v>3760</v>
      </c>
      <c r="Z5" t="s">
        <v>3759</v>
      </c>
      <c r="AA5" t="s">
        <v>3758</v>
      </c>
      <c r="AB5" t="s">
        <v>3757</v>
      </c>
      <c r="AC5" t="s">
        <v>3756</v>
      </c>
      <c r="AD5" t="s">
        <v>3755</v>
      </c>
      <c r="AE5" t="s">
        <v>3754</v>
      </c>
      <c r="AF5" t="s">
        <v>3753</v>
      </c>
      <c r="AG5" t="s">
        <v>3752</v>
      </c>
      <c r="AH5" t="s">
        <v>3751</v>
      </c>
      <c r="AI5" t="s">
        <v>3750</v>
      </c>
      <c r="AJ5" t="s">
        <v>3749</v>
      </c>
      <c r="AK5" t="s">
        <v>3748</v>
      </c>
      <c r="AL5" t="s">
        <v>3747</v>
      </c>
      <c r="AM5" t="s">
        <v>3746</v>
      </c>
      <c r="AN5" t="s">
        <v>3745</v>
      </c>
      <c r="AO5" t="s">
        <v>3744</v>
      </c>
      <c r="AP5" t="s">
        <v>3743</v>
      </c>
      <c r="AQ5" t="s">
        <v>3742</v>
      </c>
      <c r="AR5" t="s">
        <v>3741</v>
      </c>
      <c r="AS5" t="s">
        <v>3740</v>
      </c>
      <c r="AT5" t="s">
        <v>3739</v>
      </c>
      <c r="AU5" t="s">
        <v>3738</v>
      </c>
      <c r="AV5" t="s">
        <v>3737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</row>
    <row r="6" spans="2:105" x14ac:dyDescent="0.2">
      <c r="B6" s="103">
        <v>1</v>
      </c>
      <c r="C6" s="135" t="s">
        <v>3023</v>
      </c>
      <c r="D6" s="135" t="s">
        <v>1993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 t="s">
        <v>3092</v>
      </c>
      <c r="BP6" t="s">
        <v>3092</v>
      </c>
      <c r="BQ6" t="s">
        <v>3092</v>
      </c>
      <c r="BR6" t="s">
        <v>3092</v>
      </c>
      <c r="BS6" t="s">
        <v>3092</v>
      </c>
      <c r="BT6" t="s">
        <v>3092</v>
      </c>
      <c r="BU6" t="s">
        <v>3092</v>
      </c>
      <c r="BV6" t="s">
        <v>3092</v>
      </c>
      <c r="BW6" t="s">
        <v>3092</v>
      </c>
      <c r="BX6" t="s">
        <v>3092</v>
      </c>
      <c r="BY6" t="s">
        <v>3092</v>
      </c>
      <c r="BZ6" t="s">
        <v>3092</v>
      </c>
      <c r="CA6" t="s">
        <v>3092</v>
      </c>
      <c r="CB6" t="s">
        <v>3092</v>
      </c>
      <c r="CC6" t="s">
        <v>3092</v>
      </c>
      <c r="CD6" t="s">
        <v>3092</v>
      </c>
      <c r="CE6" t="s">
        <v>3092</v>
      </c>
      <c r="CF6" t="s">
        <v>3092</v>
      </c>
      <c r="CG6" t="s">
        <v>3092</v>
      </c>
      <c r="CH6" t="s">
        <v>3092</v>
      </c>
      <c r="CI6" t="s">
        <v>3092</v>
      </c>
      <c r="CJ6" t="s">
        <v>3092</v>
      </c>
      <c r="CK6" t="s">
        <v>3092</v>
      </c>
      <c r="CL6" t="s">
        <v>3092</v>
      </c>
      <c r="CM6" t="s">
        <v>3092</v>
      </c>
      <c r="CN6" t="s">
        <v>3092</v>
      </c>
      <c r="CO6" t="s">
        <v>3092</v>
      </c>
      <c r="CP6" t="s">
        <v>3092</v>
      </c>
      <c r="CQ6" t="s">
        <v>3092</v>
      </c>
      <c r="CR6" t="s">
        <v>3092</v>
      </c>
      <c r="CS6" t="s">
        <v>3092</v>
      </c>
      <c r="CT6" t="s">
        <v>3092</v>
      </c>
      <c r="CU6" t="s">
        <v>3092</v>
      </c>
      <c r="CV6" t="s">
        <v>3092</v>
      </c>
      <c r="CW6" t="s">
        <v>3092</v>
      </c>
      <c r="CX6" t="s">
        <v>3092</v>
      </c>
      <c r="CY6" t="s">
        <v>3092</v>
      </c>
      <c r="CZ6" t="s">
        <v>3092</v>
      </c>
      <c r="DA6" t="s">
        <v>3092</v>
      </c>
    </row>
    <row r="7" spans="2:105" x14ac:dyDescent="0.2">
      <c r="B7" s="103">
        <v>2</v>
      </c>
      <c r="C7" s="135" t="s">
        <v>3024</v>
      </c>
      <c r="D7" s="135" t="s">
        <v>1994</v>
      </c>
      <c r="F7">
        <v>3</v>
      </c>
      <c r="G7">
        <v>3</v>
      </c>
      <c r="H7">
        <v>3</v>
      </c>
      <c r="I7">
        <v>3</v>
      </c>
      <c r="J7">
        <v>3</v>
      </c>
      <c r="K7">
        <v>3</v>
      </c>
      <c r="L7">
        <v>3</v>
      </c>
      <c r="M7">
        <v>3</v>
      </c>
      <c r="N7">
        <v>3</v>
      </c>
      <c r="O7">
        <v>3</v>
      </c>
      <c r="P7">
        <v>3</v>
      </c>
      <c r="Q7">
        <v>3</v>
      </c>
      <c r="R7">
        <v>3</v>
      </c>
      <c r="S7">
        <v>3</v>
      </c>
      <c r="T7">
        <v>3</v>
      </c>
      <c r="U7">
        <v>3</v>
      </c>
      <c r="V7">
        <v>3</v>
      </c>
      <c r="W7">
        <v>3</v>
      </c>
      <c r="X7">
        <v>3</v>
      </c>
      <c r="Y7">
        <v>3</v>
      </c>
      <c r="Z7">
        <v>3</v>
      </c>
      <c r="AA7">
        <v>3</v>
      </c>
      <c r="AB7">
        <v>3</v>
      </c>
      <c r="AC7">
        <v>3</v>
      </c>
      <c r="AD7">
        <v>3</v>
      </c>
      <c r="AE7">
        <v>3</v>
      </c>
      <c r="AF7">
        <v>3</v>
      </c>
      <c r="AG7">
        <v>3</v>
      </c>
      <c r="AH7">
        <v>3</v>
      </c>
      <c r="AI7">
        <v>3</v>
      </c>
      <c r="AJ7">
        <v>3</v>
      </c>
      <c r="AK7">
        <v>3</v>
      </c>
      <c r="AL7">
        <v>3</v>
      </c>
      <c r="AM7">
        <v>3</v>
      </c>
      <c r="AN7">
        <v>3</v>
      </c>
      <c r="AO7">
        <v>3</v>
      </c>
      <c r="AP7">
        <v>3</v>
      </c>
      <c r="AQ7">
        <v>3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 t="s">
        <v>3092</v>
      </c>
      <c r="BP7" t="s">
        <v>3092</v>
      </c>
      <c r="BQ7" t="s">
        <v>3092</v>
      </c>
      <c r="BR7" t="s">
        <v>3092</v>
      </c>
      <c r="BS7" t="s">
        <v>3092</v>
      </c>
      <c r="BT7" t="s">
        <v>3092</v>
      </c>
      <c r="BU7" t="s">
        <v>3092</v>
      </c>
      <c r="BV7" t="s">
        <v>3092</v>
      </c>
      <c r="BW7" t="s">
        <v>3092</v>
      </c>
      <c r="BX7" t="s">
        <v>3092</v>
      </c>
      <c r="BY7" t="s">
        <v>3092</v>
      </c>
      <c r="BZ7" t="s">
        <v>3092</v>
      </c>
      <c r="CA7" t="s">
        <v>3092</v>
      </c>
      <c r="CB7" t="s">
        <v>3092</v>
      </c>
      <c r="CC7" t="s">
        <v>3092</v>
      </c>
      <c r="CD7" t="s">
        <v>3092</v>
      </c>
      <c r="CE7" t="s">
        <v>3092</v>
      </c>
      <c r="CF7" t="s">
        <v>3092</v>
      </c>
      <c r="CG7" t="s">
        <v>3092</v>
      </c>
      <c r="CH7" t="s">
        <v>3092</v>
      </c>
      <c r="CI7" t="s">
        <v>3092</v>
      </c>
      <c r="CJ7" t="s">
        <v>3092</v>
      </c>
      <c r="CK7" t="s">
        <v>3092</v>
      </c>
      <c r="CL7" t="s">
        <v>3092</v>
      </c>
      <c r="CM7" t="s">
        <v>3092</v>
      </c>
      <c r="CN7" t="s">
        <v>3092</v>
      </c>
      <c r="CO7" t="s">
        <v>3092</v>
      </c>
      <c r="CP7" t="s">
        <v>3092</v>
      </c>
      <c r="CQ7" t="s">
        <v>3092</v>
      </c>
      <c r="CR7" t="s">
        <v>3092</v>
      </c>
      <c r="CS7" t="s">
        <v>3092</v>
      </c>
      <c r="CT7" t="s">
        <v>3092</v>
      </c>
      <c r="CU7" t="s">
        <v>3092</v>
      </c>
      <c r="CV7" t="s">
        <v>3092</v>
      </c>
      <c r="CW7" t="s">
        <v>3092</v>
      </c>
      <c r="CX7" t="s">
        <v>3092</v>
      </c>
      <c r="CY7" t="s">
        <v>3092</v>
      </c>
      <c r="CZ7" t="s">
        <v>3092</v>
      </c>
      <c r="DA7" t="s">
        <v>3092</v>
      </c>
    </row>
    <row r="8" spans="2:105" x14ac:dyDescent="0.2">
      <c r="B8" s="103">
        <v>3</v>
      </c>
      <c r="C8" s="135" t="s">
        <v>3025</v>
      </c>
      <c r="D8" s="135" t="s">
        <v>1992</v>
      </c>
      <c r="F8">
        <v>50</v>
      </c>
      <c r="G8">
        <v>50</v>
      </c>
      <c r="H8">
        <v>50</v>
      </c>
      <c r="I8">
        <v>37</v>
      </c>
      <c r="J8">
        <v>37</v>
      </c>
      <c r="K8">
        <v>37</v>
      </c>
      <c r="L8">
        <v>50</v>
      </c>
      <c r="M8">
        <v>50</v>
      </c>
      <c r="N8">
        <v>55</v>
      </c>
      <c r="O8">
        <v>55</v>
      </c>
      <c r="P8">
        <v>55</v>
      </c>
      <c r="Q8">
        <v>45</v>
      </c>
      <c r="R8">
        <v>45</v>
      </c>
      <c r="S8">
        <v>50</v>
      </c>
      <c r="T8">
        <v>50</v>
      </c>
      <c r="U8">
        <v>45</v>
      </c>
      <c r="V8">
        <v>45</v>
      </c>
      <c r="W8">
        <v>45</v>
      </c>
      <c r="X8">
        <v>45</v>
      </c>
      <c r="Y8">
        <v>45</v>
      </c>
      <c r="Z8">
        <v>45</v>
      </c>
      <c r="AA8">
        <v>50</v>
      </c>
      <c r="AB8">
        <v>40</v>
      </c>
      <c r="AC8">
        <v>40</v>
      </c>
      <c r="AD8">
        <v>40</v>
      </c>
      <c r="AE8">
        <v>40</v>
      </c>
      <c r="AF8">
        <v>40</v>
      </c>
      <c r="AG8">
        <v>40</v>
      </c>
      <c r="AH8">
        <v>40</v>
      </c>
      <c r="AI8">
        <v>40</v>
      </c>
      <c r="AJ8">
        <v>40</v>
      </c>
      <c r="AK8">
        <v>40</v>
      </c>
      <c r="AL8">
        <v>0</v>
      </c>
      <c r="AM8">
        <v>40</v>
      </c>
      <c r="AN8">
        <v>40</v>
      </c>
      <c r="AO8">
        <v>50</v>
      </c>
      <c r="AP8">
        <v>43</v>
      </c>
      <c r="AQ8">
        <v>45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 t="s">
        <v>3092</v>
      </c>
      <c r="BP8" t="s">
        <v>3092</v>
      </c>
      <c r="BQ8" t="s">
        <v>3092</v>
      </c>
      <c r="BR8" t="s">
        <v>3092</v>
      </c>
      <c r="BS8" t="s">
        <v>3092</v>
      </c>
      <c r="BT8" t="s">
        <v>3092</v>
      </c>
      <c r="BU8" t="s">
        <v>3092</v>
      </c>
      <c r="BV8" t="s">
        <v>3092</v>
      </c>
      <c r="BW8" t="s">
        <v>3092</v>
      </c>
      <c r="BX8" t="s">
        <v>3092</v>
      </c>
      <c r="BY8" t="s">
        <v>3092</v>
      </c>
      <c r="BZ8" t="s">
        <v>3092</v>
      </c>
      <c r="CA8" t="s">
        <v>3092</v>
      </c>
      <c r="CB8" t="s">
        <v>3092</v>
      </c>
      <c r="CC8" t="s">
        <v>3092</v>
      </c>
      <c r="CD8" t="s">
        <v>3092</v>
      </c>
      <c r="CE8" t="s">
        <v>3092</v>
      </c>
      <c r="CF8" t="s">
        <v>3092</v>
      </c>
      <c r="CG8" t="s">
        <v>3092</v>
      </c>
      <c r="CH8" t="s">
        <v>3092</v>
      </c>
      <c r="CI8" t="s">
        <v>3092</v>
      </c>
      <c r="CJ8" t="s">
        <v>3092</v>
      </c>
      <c r="CK8" t="s">
        <v>3092</v>
      </c>
      <c r="CL8" t="s">
        <v>3092</v>
      </c>
      <c r="CM8" t="s">
        <v>3092</v>
      </c>
      <c r="CN8" t="s">
        <v>3092</v>
      </c>
      <c r="CO8" t="s">
        <v>3092</v>
      </c>
      <c r="CP8" t="s">
        <v>3092</v>
      </c>
      <c r="CQ8" t="s">
        <v>3092</v>
      </c>
      <c r="CR8" t="s">
        <v>3092</v>
      </c>
      <c r="CS8" t="s">
        <v>3092</v>
      </c>
      <c r="CT8" t="s">
        <v>3092</v>
      </c>
      <c r="CU8" t="s">
        <v>3092</v>
      </c>
      <c r="CV8" t="s">
        <v>3092</v>
      </c>
      <c r="CW8" t="s">
        <v>3092</v>
      </c>
      <c r="CX8" t="s">
        <v>3092</v>
      </c>
      <c r="CY8" t="s">
        <v>3092</v>
      </c>
      <c r="CZ8" t="s">
        <v>3092</v>
      </c>
      <c r="DA8" t="s">
        <v>3092</v>
      </c>
    </row>
    <row r="9" spans="2:105" x14ac:dyDescent="0.2">
      <c r="B9" s="103">
        <v>4</v>
      </c>
      <c r="C9" s="135" t="s">
        <v>3026</v>
      </c>
      <c r="D9" s="135" t="s">
        <v>1998</v>
      </c>
      <c r="F9">
        <v>17</v>
      </c>
      <c r="G9">
        <v>17</v>
      </c>
      <c r="H9">
        <v>17</v>
      </c>
      <c r="I9">
        <v>10</v>
      </c>
      <c r="J9">
        <v>10</v>
      </c>
      <c r="K9">
        <v>10</v>
      </c>
      <c r="L9">
        <v>17</v>
      </c>
      <c r="M9">
        <v>17</v>
      </c>
      <c r="N9">
        <v>15</v>
      </c>
      <c r="O9">
        <v>15</v>
      </c>
      <c r="P9">
        <v>15</v>
      </c>
      <c r="Q9">
        <v>14</v>
      </c>
      <c r="R9">
        <v>14</v>
      </c>
      <c r="S9">
        <v>20</v>
      </c>
      <c r="T9">
        <v>20</v>
      </c>
      <c r="U9">
        <v>15</v>
      </c>
      <c r="V9">
        <v>15</v>
      </c>
      <c r="W9">
        <v>15</v>
      </c>
      <c r="X9">
        <v>15</v>
      </c>
      <c r="Y9">
        <v>15</v>
      </c>
      <c r="Z9">
        <v>15</v>
      </c>
      <c r="AA9">
        <v>18</v>
      </c>
      <c r="AB9">
        <v>14</v>
      </c>
      <c r="AC9">
        <v>14</v>
      </c>
      <c r="AD9">
        <v>14</v>
      </c>
      <c r="AE9">
        <v>14</v>
      </c>
      <c r="AF9">
        <v>14</v>
      </c>
      <c r="AG9">
        <v>14</v>
      </c>
      <c r="AH9">
        <v>14</v>
      </c>
      <c r="AI9">
        <v>15</v>
      </c>
      <c r="AJ9">
        <v>14</v>
      </c>
      <c r="AK9">
        <v>14</v>
      </c>
      <c r="AL9">
        <v>0</v>
      </c>
      <c r="AM9">
        <v>14</v>
      </c>
      <c r="AN9">
        <v>14</v>
      </c>
      <c r="AO9">
        <v>18</v>
      </c>
      <c r="AP9">
        <v>8</v>
      </c>
      <c r="AQ9">
        <v>15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 t="s">
        <v>3092</v>
      </c>
      <c r="BP9" t="s">
        <v>3092</v>
      </c>
      <c r="BQ9" t="s">
        <v>3092</v>
      </c>
      <c r="BR9" t="s">
        <v>3092</v>
      </c>
      <c r="BS9" t="s">
        <v>3092</v>
      </c>
      <c r="BT9" t="s">
        <v>3092</v>
      </c>
      <c r="BU9" t="s">
        <v>3092</v>
      </c>
      <c r="BV9" t="s">
        <v>3092</v>
      </c>
      <c r="BW9" t="s">
        <v>3092</v>
      </c>
      <c r="BX9" t="s">
        <v>3092</v>
      </c>
      <c r="BY9" t="s">
        <v>3092</v>
      </c>
      <c r="BZ9" t="s">
        <v>3092</v>
      </c>
      <c r="CA9" t="s">
        <v>3092</v>
      </c>
      <c r="CB9" t="s">
        <v>3092</v>
      </c>
      <c r="CC9" t="s">
        <v>3092</v>
      </c>
      <c r="CD9" t="s">
        <v>3092</v>
      </c>
      <c r="CE9" t="s">
        <v>3092</v>
      </c>
      <c r="CF9" t="s">
        <v>3092</v>
      </c>
      <c r="CG9" t="s">
        <v>3092</v>
      </c>
      <c r="CH9" t="s">
        <v>3092</v>
      </c>
      <c r="CI9" t="s">
        <v>3092</v>
      </c>
      <c r="CJ9" t="s">
        <v>3092</v>
      </c>
      <c r="CK9" t="s">
        <v>3092</v>
      </c>
      <c r="CL9" t="s">
        <v>3092</v>
      </c>
      <c r="CM9" t="s">
        <v>3092</v>
      </c>
      <c r="CN9" t="s">
        <v>3092</v>
      </c>
      <c r="CO9" t="s">
        <v>3092</v>
      </c>
      <c r="CP9" t="s">
        <v>3092</v>
      </c>
      <c r="CQ9" t="s">
        <v>3092</v>
      </c>
      <c r="CR9" t="s">
        <v>3092</v>
      </c>
      <c r="CS9" t="s">
        <v>3092</v>
      </c>
      <c r="CT9" t="s">
        <v>3092</v>
      </c>
      <c r="CU9" t="s">
        <v>3092</v>
      </c>
      <c r="CV9" t="s">
        <v>3092</v>
      </c>
      <c r="CW9" t="s">
        <v>3092</v>
      </c>
      <c r="CX9" t="s">
        <v>3092</v>
      </c>
      <c r="CY9" t="s">
        <v>3092</v>
      </c>
      <c r="CZ9" t="s">
        <v>3092</v>
      </c>
      <c r="DA9" t="s">
        <v>3092</v>
      </c>
    </row>
    <row r="10" spans="2:105" x14ac:dyDescent="0.2">
      <c r="B10" s="103">
        <v>5</v>
      </c>
      <c r="C10" s="135" t="s">
        <v>3027</v>
      </c>
      <c r="D10" s="135" t="s">
        <v>1997</v>
      </c>
      <c r="F10">
        <v>4</v>
      </c>
      <c r="G10">
        <v>4</v>
      </c>
      <c r="H10">
        <v>4</v>
      </c>
      <c r="I10">
        <v>4</v>
      </c>
      <c r="J10">
        <v>4</v>
      </c>
      <c r="K10">
        <v>4</v>
      </c>
      <c r="L10">
        <v>4</v>
      </c>
      <c r="M10">
        <v>4</v>
      </c>
      <c r="N10">
        <v>4</v>
      </c>
      <c r="O10">
        <v>4</v>
      </c>
      <c r="P10">
        <v>4</v>
      </c>
      <c r="Q10">
        <v>4</v>
      </c>
      <c r="R10">
        <v>4</v>
      </c>
      <c r="S10">
        <v>4</v>
      </c>
      <c r="T10">
        <v>4</v>
      </c>
      <c r="U10">
        <v>4</v>
      </c>
      <c r="V10">
        <v>4</v>
      </c>
      <c r="W10">
        <v>4</v>
      </c>
      <c r="X10">
        <v>4</v>
      </c>
      <c r="Y10">
        <v>4</v>
      </c>
      <c r="Z10">
        <v>4</v>
      </c>
      <c r="AA10">
        <v>4</v>
      </c>
      <c r="AB10">
        <v>4</v>
      </c>
      <c r="AC10">
        <v>4</v>
      </c>
      <c r="AD10">
        <v>4</v>
      </c>
      <c r="AE10">
        <v>4</v>
      </c>
      <c r="AF10">
        <v>4</v>
      </c>
      <c r="AG10">
        <v>4</v>
      </c>
      <c r="AH10">
        <v>4</v>
      </c>
      <c r="AI10">
        <v>4</v>
      </c>
      <c r="AJ10">
        <v>4</v>
      </c>
      <c r="AK10">
        <v>4</v>
      </c>
      <c r="AL10">
        <v>4</v>
      </c>
      <c r="AM10">
        <v>4</v>
      </c>
      <c r="AN10">
        <v>4</v>
      </c>
      <c r="AO10">
        <v>4</v>
      </c>
      <c r="AP10">
        <v>4</v>
      </c>
      <c r="AQ10">
        <v>4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 t="s">
        <v>3092</v>
      </c>
      <c r="BP10" t="s">
        <v>3092</v>
      </c>
      <c r="BQ10" t="s">
        <v>3092</v>
      </c>
      <c r="BR10" t="s">
        <v>3092</v>
      </c>
      <c r="BS10" t="s">
        <v>3092</v>
      </c>
      <c r="BT10" t="s">
        <v>3092</v>
      </c>
      <c r="BU10" t="s">
        <v>3092</v>
      </c>
      <c r="BV10" t="s">
        <v>3092</v>
      </c>
      <c r="BW10" t="s">
        <v>3092</v>
      </c>
      <c r="BX10" t="s">
        <v>3092</v>
      </c>
      <c r="BY10" t="s">
        <v>3092</v>
      </c>
      <c r="BZ10" t="s">
        <v>3092</v>
      </c>
      <c r="CA10" t="s">
        <v>3092</v>
      </c>
      <c r="CB10" t="s">
        <v>3092</v>
      </c>
      <c r="CC10" t="s">
        <v>3092</v>
      </c>
      <c r="CD10" t="s">
        <v>3092</v>
      </c>
      <c r="CE10" t="s">
        <v>3092</v>
      </c>
      <c r="CF10" t="s">
        <v>3092</v>
      </c>
      <c r="CG10" t="s">
        <v>3092</v>
      </c>
      <c r="CH10" t="s">
        <v>3092</v>
      </c>
      <c r="CI10" t="s">
        <v>3092</v>
      </c>
      <c r="CJ10" t="s">
        <v>3092</v>
      </c>
      <c r="CK10" t="s">
        <v>3092</v>
      </c>
      <c r="CL10" t="s">
        <v>3092</v>
      </c>
      <c r="CM10" t="s">
        <v>3092</v>
      </c>
      <c r="CN10" t="s">
        <v>3092</v>
      </c>
      <c r="CO10" t="s">
        <v>3092</v>
      </c>
      <c r="CP10" t="s">
        <v>3092</v>
      </c>
      <c r="CQ10" t="s">
        <v>3092</v>
      </c>
      <c r="CR10" t="s">
        <v>3092</v>
      </c>
      <c r="CS10" t="s">
        <v>3092</v>
      </c>
      <c r="CT10" t="s">
        <v>3092</v>
      </c>
      <c r="CU10" t="s">
        <v>3092</v>
      </c>
      <c r="CV10" t="s">
        <v>3092</v>
      </c>
      <c r="CW10" t="s">
        <v>3092</v>
      </c>
      <c r="CX10" t="s">
        <v>3092</v>
      </c>
      <c r="CY10" t="s">
        <v>3092</v>
      </c>
      <c r="CZ10" t="s">
        <v>3092</v>
      </c>
      <c r="DA10" t="s">
        <v>3092</v>
      </c>
    </row>
    <row r="11" spans="2:105" x14ac:dyDescent="0.2">
      <c r="B11" s="103">
        <v>6</v>
      </c>
      <c r="C11" s="135" t="s">
        <v>3028</v>
      </c>
      <c r="D11" s="135" t="s">
        <v>2282</v>
      </c>
      <c r="F11">
        <v>7</v>
      </c>
      <c r="G11">
        <v>7</v>
      </c>
      <c r="H11">
        <v>7</v>
      </c>
      <c r="I11">
        <v>7</v>
      </c>
      <c r="J11">
        <v>7</v>
      </c>
      <c r="K11">
        <v>7</v>
      </c>
      <c r="L11">
        <v>7</v>
      </c>
      <c r="M11">
        <v>7</v>
      </c>
      <c r="N11">
        <v>7</v>
      </c>
      <c r="O11">
        <v>7</v>
      </c>
      <c r="P11">
        <v>7</v>
      </c>
      <c r="Q11">
        <v>7</v>
      </c>
      <c r="R11">
        <v>7</v>
      </c>
      <c r="S11">
        <v>7</v>
      </c>
      <c r="T11">
        <v>7</v>
      </c>
      <c r="U11">
        <v>7</v>
      </c>
      <c r="V11">
        <v>7</v>
      </c>
      <c r="W11">
        <v>7</v>
      </c>
      <c r="X11">
        <v>7</v>
      </c>
      <c r="Y11">
        <v>7</v>
      </c>
      <c r="Z11">
        <v>7</v>
      </c>
      <c r="AA11">
        <v>7</v>
      </c>
      <c r="AB11">
        <v>7</v>
      </c>
      <c r="AC11">
        <v>7</v>
      </c>
      <c r="AD11">
        <v>7</v>
      </c>
      <c r="AE11">
        <v>7</v>
      </c>
      <c r="AF11">
        <v>7</v>
      </c>
      <c r="AG11">
        <v>7</v>
      </c>
      <c r="AH11">
        <v>7</v>
      </c>
      <c r="AI11">
        <v>7</v>
      </c>
      <c r="AJ11">
        <v>7</v>
      </c>
      <c r="AK11">
        <v>7</v>
      </c>
      <c r="AL11">
        <v>7</v>
      </c>
      <c r="AM11">
        <v>7</v>
      </c>
      <c r="AN11">
        <v>7</v>
      </c>
      <c r="AO11">
        <v>7</v>
      </c>
      <c r="AP11">
        <v>7</v>
      </c>
      <c r="AQ11">
        <v>7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 t="s">
        <v>3092</v>
      </c>
      <c r="BP11" t="s">
        <v>3092</v>
      </c>
      <c r="BQ11" t="s">
        <v>3092</v>
      </c>
      <c r="BR11" t="s">
        <v>3092</v>
      </c>
      <c r="BS11" t="s">
        <v>3092</v>
      </c>
      <c r="BT11" t="s">
        <v>3092</v>
      </c>
      <c r="BU11" t="s">
        <v>3092</v>
      </c>
      <c r="BV11" t="s">
        <v>3092</v>
      </c>
      <c r="BW11" t="s">
        <v>3092</v>
      </c>
      <c r="BX11" t="s">
        <v>3092</v>
      </c>
      <c r="BY11" t="s">
        <v>3092</v>
      </c>
      <c r="BZ11" t="s">
        <v>3092</v>
      </c>
      <c r="CA11" t="s">
        <v>3092</v>
      </c>
      <c r="CB11" t="s">
        <v>3092</v>
      </c>
      <c r="CC11" t="s">
        <v>3092</v>
      </c>
      <c r="CD11" t="s">
        <v>3092</v>
      </c>
      <c r="CE11" t="s">
        <v>3092</v>
      </c>
      <c r="CF11" t="s">
        <v>3092</v>
      </c>
      <c r="CG11" t="s">
        <v>3092</v>
      </c>
      <c r="CH11" t="s">
        <v>3092</v>
      </c>
      <c r="CI11" t="s">
        <v>3092</v>
      </c>
      <c r="CJ11" t="s">
        <v>3092</v>
      </c>
      <c r="CK11" t="s">
        <v>3092</v>
      </c>
      <c r="CL11" t="s">
        <v>3092</v>
      </c>
      <c r="CM11" t="s">
        <v>3092</v>
      </c>
      <c r="CN11" t="s">
        <v>3092</v>
      </c>
      <c r="CO11" t="s">
        <v>3092</v>
      </c>
      <c r="CP11" t="s">
        <v>3092</v>
      </c>
      <c r="CQ11" t="s">
        <v>3092</v>
      </c>
      <c r="CR11" t="s">
        <v>3092</v>
      </c>
      <c r="CS11" t="s">
        <v>3092</v>
      </c>
      <c r="CT11" t="s">
        <v>3092</v>
      </c>
      <c r="CU11" t="s">
        <v>3092</v>
      </c>
      <c r="CV11" t="s">
        <v>3092</v>
      </c>
      <c r="CW11" t="s">
        <v>3092</v>
      </c>
      <c r="CX11" t="s">
        <v>3092</v>
      </c>
      <c r="CY11" t="s">
        <v>3092</v>
      </c>
      <c r="CZ11" t="s">
        <v>3092</v>
      </c>
      <c r="DA11" t="s">
        <v>3092</v>
      </c>
    </row>
    <row r="12" spans="2:105" x14ac:dyDescent="0.2">
      <c r="B12" s="103">
        <v>7</v>
      </c>
      <c r="C12" s="135" t="s">
        <v>3029</v>
      </c>
      <c r="D12" s="135" t="s">
        <v>2288</v>
      </c>
      <c r="F12">
        <v>50</v>
      </c>
      <c r="G12">
        <v>50</v>
      </c>
      <c r="H12">
        <v>50</v>
      </c>
      <c r="I12">
        <v>40</v>
      </c>
      <c r="J12">
        <v>40</v>
      </c>
      <c r="K12">
        <v>40</v>
      </c>
      <c r="L12">
        <v>50</v>
      </c>
      <c r="M12">
        <v>50</v>
      </c>
      <c r="N12">
        <v>50</v>
      </c>
      <c r="O12">
        <v>50</v>
      </c>
      <c r="P12">
        <v>50</v>
      </c>
      <c r="Q12">
        <v>45</v>
      </c>
      <c r="R12">
        <v>45</v>
      </c>
      <c r="S12">
        <v>50</v>
      </c>
      <c r="T12">
        <v>50</v>
      </c>
      <c r="U12">
        <v>45</v>
      </c>
      <c r="V12">
        <v>45</v>
      </c>
      <c r="W12">
        <v>45</v>
      </c>
      <c r="X12">
        <v>45</v>
      </c>
      <c r="Y12">
        <v>45</v>
      </c>
      <c r="Z12">
        <v>45</v>
      </c>
      <c r="AA12">
        <v>45</v>
      </c>
      <c r="AB12">
        <v>40</v>
      </c>
      <c r="AC12">
        <v>40</v>
      </c>
      <c r="AD12">
        <v>40</v>
      </c>
      <c r="AE12">
        <v>40</v>
      </c>
      <c r="AF12">
        <v>40</v>
      </c>
      <c r="AG12">
        <v>40</v>
      </c>
      <c r="AH12">
        <v>40</v>
      </c>
      <c r="AI12">
        <v>40</v>
      </c>
      <c r="AJ12">
        <v>40</v>
      </c>
      <c r="AK12">
        <v>40</v>
      </c>
      <c r="AL12">
        <v>0</v>
      </c>
      <c r="AM12">
        <v>40</v>
      </c>
      <c r="AN12">
        <v>40</v>
      </c>
      <c r="AO12">
        <v>45</v>
      </c>
      <c r="AP12">
        <v>50</v>
      </c>
      <c r="AQ12">
        <v>45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 t="s">
        <v>3092</v>
      </c>
      <c r="BP12" t="s">
        <v>3092</v>
      </c>
      <c r="BQ12" t="s">
        <v>3092</v>
      </c>
      <c r="BR12" t="s">
        <v>3092</v>
      </c>
      <c r="BS12" t="s">
        <v>3092</v>
      </c>
      <c r="BT12" t="s">
        <v>3092</v>
      </c>
      <c r="BU12" t="s">
        <v>3092</v>
      </c>
      <c r="BV12" t="s">
        <v>3092</v>
      </c>
      <c r="BW12" t="s">
        <v>3092</v>
      </c>
      <c r="BX12" t="s">
        <v>3092</v>
      </c>
      <c r="BY12" t="s">
        <v>3092</v>
      </c>
      <c r="BZ12" t="s">
        <v>3092</v>
      </c>
      <c r="CA12" t="s">
        <v>3092</v>
      </c>
      <c r="CB12" t="s">
        <v>3092</v>
      </c>
      <c r="CC12" t="s">
        <v>3092</v>
      </c>
      <c r="CD12" t="s">
        <v>3092</v>
      </c>
      <c r="CE12" t="s">
        <v>3092</v>
      </c>
      <c r="CF12" t="s">
        <v>3092</v>
      </c>
      <c r="CG12" t="s">
        <v>3092</v>
      </c>
      <c r="CH12" t="s">
        <v>3092</v>
      </c>
      <c r="CI12" t="s">
        <v>3092</v>
      </c>
      <c r="CJ12" t="s">
        <v>3092</v>
      </c>
      <c r="CK12" t="s">
        <v>3092</v>
      </c>
      <c r="CL12" t="s">
        <v>3092</v>
      </c>
      <c r="CM12" t="s">
        <v>3092</v>
      </c>
      <c r="CN12" t="s">
        <v>3092</v>
      </c>
      <c r="CO12" t="s">
        <v>3092</v>
      </c>
      <c r="CP12" t="s">
        <v>3092</v>
      </c>
      <c r="CQ12" t="s">
        <v>3092</v>
      </c>
      <c r="CR12" t="s">
        <v>3092</v>
      </c>
      <c r="CS12" t="s">
        <v>3092</v>
      </c>
      <c r="CT12" t="s">
        <v>3092</v>
      </c>
      <c r="CU12" t="s">
        <v>3092</v>
      </c>
      <c r="CV12" t="s">
        <v>3092</v>
      </c>
      <c r="CW12" t="s">
        <v>3092</v>
      </c>
      <c r="CX12" t="s">
        <v>3092</v>
      </c>
      <c r="CY12" t="s">
        <v>3092</v>
      </c>
      <c r="CZ12" t="s">
        <v>3092</v>
      </c>
      <c r="DA12" t="s">
        <v>3092</v>
      </c>
    </row>
    <row r="13" spans="2:105" x14ac:dyDescent="0.2">
      <c r="B13" s="103">
        <v>8</v>
      </c>
      <c r="C13" s="135" t="s">
        <v>3030</v>
      </c>
      <c r="D13" s="135" t="s">
        <v>2289</v>
      </c>
      <c r="F13">
        <v>25</v>
      </c>
      <c r="G13">
        <v>25</v>
      </c>
      <c r="H13">
        <v>25</v>
      </c>
      <c r="I13">
        <v>21</v>
      </c>
      <c r="J13">
        <v>21</v>
      </c>
      <c r="K13">
        <v>21</v>
      </c>
      <c r="L13">
        <v>25</v>
      </c>
      <c r="M13">
        <v>25</v>
      </c>
      <c r="N13">
        <v>25</v>
      </c>
      <c r="O13">
        <v>25</v>
      </c>
      <c r="P13">
        <v>25</v>
      </c>
      <c r="Q13">
        <v>17</v>
      </c>
      <c r="R13">
        <v>17</v>
      </c>
      <c r="S13">
        <v>20</v>
      </c>
      <c r="T13">
        <v>20</v>
      </c>
      <c r="U13">
        <v>25</v>
      </c>
      <c r="V13">
        <v>25</v>
      </c>
      <c r="W13">
        <v>25</v>
      </c>
      <c r="X13">
        <v>25</v>
      </c>
      <c r="Y13">
        <v>25</v>
      </c>
      <c r="Z13">
        <v>25</v>
      </c>
      <c r="AA13">
        <v>25</v>
      </c>
      <c r="AB13">
        <v>22</v>
      </c>
      <c r="AC13">
        <v>22</v>
      </c>
      <c r="AD13">
        <v>22</v>
      </c>
      <c r="AE13">
        <v>22</v>
      </c>
      <c r="AF13">
        <v>22</v>
      </c>
      <c r="AG13">
        <v>22</v>
      </c>
      <c r="AH13">
        <v>22</v>
      </c>
      <c r="AI13">
        <v>22</v>
      </c>
      <c r="AJ13">
        <v>22</v>
      </c>
      <c r="AK13">
        <v>22</v>
      </c>
      <c r="AL13">
        <v>0</v>
      </c>
      <c r="AM13">
        <v>22</v>
      </c>
      <c r="AN13">
        <v>22</v>
      </c>
      <c r="AO13">
        <v>25</v>
      </c>
      <c r="AP13">
        <v>17</v>
      </c>
      <c r="AQ13">
        <v>25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 t="s">
        <v>3092</v>
      </c>
      <c r="BP13" t="s">
        <v>3092</v>
      </c>
      <c r="BQ13" t="s">
        <v>3092</v>
      </c>
      <c r="BR13" t="s">
        <v>3092</v>
      </c>
      <c r="BS13" t="s">
        <v>3092</v>
      </c>
      <c r="BT13" t="s">
        <v>3092</v>
      </c>
      <c r="BU13" t="s">
        <v>3092</v>
      </c>
      <c r="BV13" t="s">
        <v>3092</v>
      </c>
      <c r="BW13" t="s">
        <v>3092</v>
      </c>
      <c r="BX13" t="s">
        <v>3092</v>
      </c>
      <c r="BY13" t="s">
        <v>3092</v>
      </c>
      <c r="BZ13" t="s">
        <v>3092</v>
      </c>
      <c r="CA13" t="s">
        <v>3092</v>
      </c>
      <c r="CB13" t="s">
        <v>3092</v>
      </c>
      <c r="CC13" t="s">
        <v>3092</v>
      </c>
      <c r="CD13" t="s">
        <v>3092</v>
      </c>
      <c r="CE13" t="s">
        <v>3092</v>
      </c>
      <c r="CF13" t="s">
        <v>3092</v>
      </c>
      <c r="CG13" t="s">
        <v>3092</v>
      </c>
      <c r="CH13" t="s">
        <v>3092</v>
      </c>
      <c r="CI13" t="s">
        <v>3092</v>
      </c>
      <c r="CJ13" t="s">
        <v>3092</v>
      </c>
      <c r="CK13" t="s">
        <v>3092</v>
      </c>
      <c r="CL13" t="s">
        <v>3092</v>
      </c>
      <c r="CM13" t="s">
        <v>3092</v>
      </c>
      <c r="CN13" t="s">
        <v>3092</v>
      </c>
      <c r="CO13" t="s">
        <v>3092</v>
      </c>
      <c r="CP13" t="s">
        <v>3092</v>
      </c>
      <c r="CQ13" t="s">
        <v>3092</v>
      </c>
      <c r="CR13" t="s">
        <v>3092</v>
      </c>
      <c r="CS13" t="s">
        <v>3092</v>
      </c>
      <c r="CT13" t="s">
        <v>3092</v>
      </c>
      <c r="CU13" t="s">
        <v>3092</v>
      </c>
      <c r="CV13" t="s">
        <v>3092</v>
      </c>
      <c r="CW13" t="s">
        <v>3092</v>
      </c>
      <c r="CX13" t="s">
        <v>3092</v>
      </c>
      <c r="CY13" t="s">
        <v>3092</v>
      </c>
      <c r="CZ13" t="s">
        <v>3092</v>
      </c>
      <c r="DA13" t="s">
        <v>3092</v>
      </c>
    </row>
    <row r="14" spans="2:105" x14ac:dyDescent="0.2">
      <c r="B14" s="103">
        <v>9</v>
      </c>
      <c r="C14" s="135" t="s">
        <v>3031</v>
      </c>
      <c r="D14" s="135" t="s">
        <v>2283</v>
      </c>
      <c r="F14">
        <v>3</v>
      </c>
      <c r="G14">
        <v>3</v>
      </c>
      <c r="H14">
        <v>3</v>
      </c>
      <c r="I14">
        <v>3</v>
      </c>
      <c r="J14">
        <v>3</v>
      </c>
      <c r="K14">
        <v>3</v>
      </c>
      <c r="L14">
        <v>3</v>
      </c>
      <c r="M14">
        <v>3</v>
      </c>
      <c r="N14">
        <v>3</v>
      </c>
      <c r="O14">
        <v>3</v>
      </c>
      <c r="P14">
        <v>3</v>
      </c>
      <c r="Q14">
        <v>3</v>
      </c>
      <c r="R14">
        <v>3</v>
      </c>
      <c r="S14">
        <v>3</v>
      </c>
      <c r="T14">
        <v>3</v>
      </c>
      <c r="U14">
        <v>3</v>
      </c>
      <c r="V14">
        <v>3</v>
      </c>
      <c r="W14">
        <v>3</v>
      </c>
      <c r="X14">
        <v>3</v>
      </c>
      <c r="Y14">
        <v>3</v>
      </c>
      <c r="Z14">
        <v>3</v>
      </c>
      <c r="AA14">
        <v>3</v>
      </c>
      <c r="AB14">
        <v>3</v>
      </c>
      <c r="AC14">
        <v>3</v>
      </c>
      <c r="AD14">
        <v>3</v>
      </c>
      <c r="AE14">
        <v>3</v>
      </c>
      <c r="AF14">
        <v>3</v>
      </c>
      <c r="AG14">
        <v>3</v>
      </c>
      <c r="AH14">
        <v>3</v>
      </c>
      <c r="AI14">
        <v>3</v>
      </c>
      <c r="AJ14">
        <v>3</v>
      </c>
      <c r="AK14">
        <v>3</v>
      </c>
      <c r="AL14">
        <v>3</v>
      </c>
      <c r="AM14">
        <v>3</v>
      </c>
      <c r="AN14">
        <v>3</v>
      </c>
      <c r="AO14">
        <v>3</v>
      </c>
      <c r="AP14">
        <v>3</v>
      </c>
      <c r="AQ14">
        <v>3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 t="s">
        <v>3092</v>
      </c>
      <c r="BP14" t="s">
        <v>3092</v>
      </c>
      <c r="BQ14" t="s">
        <v>3092</v>
      </c>
      <c r="BR14" t="s">
        <v>3092</v>
      </c>
      <c r="BS14" t="s">
        <v>3092</v>
      </c>
      <c r="BT14" t="s">
        <v>3092</v>
      </c>
      <c r="BU14" t="s">
        <v>3092</v>
      </c>
      <c r="BV14" t="s">
        <v>3092</v>
      </c>
      <c r="BW14" t="s">
        <v>3092</v>
      </c>
      <c r="BX14" t="s">
        <v>3092</v>
      </c>
      <c r="BY14" t="s">
        <v>3092</v>
      </c>
      <c r="BZ14" t="s">
        <v>3092</v>
      </c>
      <c r="CA14" t="s">
        <v>3092</v>
      </c>
      <c r="CB14" t="s">
        <v>3092</v>
      </c>
      <c r="CC14" t="s">
        <v>3092</v>
      </c>
      <c r="CD14" t="s">
        <v>3092</v>
      </c>
      <c r="CE14" t="s">
        <v>3092</v>
      </c>
      <c r="CF14" t="s">
        <v>3092</v>
      </c>
      <c r="CG14" t="s">
        <v>3092</v>
      </c>
      <c r="CH14" t="s">
        <v>3092</v>
      </c>
      <c r="CI14" t="s">
        <v>3092</v>
      </c>
      <c r="CJ14" t="s">
        <v>3092</v>
      </c>
      <c r="CK14" t="s">
        <v>3092</v>
      </c>
      <c r="CL14" t="s">
        <v>3092</v>
      </c>
      <c r="CM14" t="s">
        <v>3092</v>
      </c>
      <c r="CN14" t="s">
        <v>3092</v>
      </c>
      <c r="CO14" t="s">
        <v>3092</v>
      </c>
      <c r="CP14" t="s">
        <v>3092</v>
      </c>
      <c r="CQ14" t="s">
        <v>3092</v>
      </c>
      <c r="CR14" t="s">
        <v>3092</v>
      </c>
      <c r="CS14" t="s">
        <v>3092</v>
      </c>
      <c r="CT14" t="s">
        <v>3092</v>
      </c>
      <c r="CU14" t="s">
        <v>3092</v>
      </c>
      <c r="CV14" t="s">
        <v>3092</v>
      </c>
      <c r="CW14" t="s">
        <v>3092</v>
      </c>
      <c r="CX14" t="s">
        <v>3092</v>
      </c>
      <c r="CY14" t="s">
        <v>3092</v>
      </c>
      <c r="CZ14" t="s">
        <v>3092</v>
      </c>
      <c r="DA14" t="s">
        <v>3092</v>
      </c>
    </row>
    <row r="15" spans="2:105" x14ac:dyDescent="0.2">
      <c r="B15" s="103">
        <v>10</v>
      </c>
      <c r="C15" s="135" t="s">
        <v>3032</v>
      </c>
      <c r="D15" s="135" t="s">
        <v>2284</v>
      </c>
      <c r="F15">
        <v>3</v>
      </c>
      <c r="G15">
        <v>3</v>
      </c>
      <c r="H15">
        <v>3</v>
      </c>
      <c r="I15">
        <v>3</v>
      </c>
      <c r="J15">
        <v>3</v>
      </c>
      <c r="K15">
        <v>3</v>
      </c>
      <c r="L15">
        <v>3</v>
      </c>
      <c r="M15">
        <v>3</v>
      </c>
      <c r="N15">
        <v>3</v>
      </c>
      <c r="O15">
        <v>3</v>
      </c>
      <c r="P15">
        <v>3</v>
      </c>
      <c r="Q15">
        <v>3</v>
      </c>
      <c r="R15">
        <v>3</v>
      </c>
      <c r="S15">
        <v>3</v>
      </c>
      <c r="T15">
        <v>3</v>
      </c>
      <c r="U15">
        <v>3</v>
      </c>
      <c r="V15">
        <v>3</v>
      </c>
      <c r="W15">
        <v>3</v>
      </c>
      <c r="X15">
        <v>3</v>
      </c>
      <c r="Y15">
        <v>3</v>
      </c>
      <c r="Z15">
        <v>3</v>
      </c>
      <c r="AA15">
        <v>3</v>
      </c>
      <c r="AB15">
        <v>3</v>
      </c>
      <c r="AC15">
        <v>3</v>
      </c>
      <c r="AD15">
        <v>3</v>
      </c>
      <c r="AE15">
        <v>3</v>
      </c>
      <c r="AF15">
        <v>3</v>
      </c>
      <c r="AG15">
        <v>3</v>
      </c>
      <c r="AH15">
        <v>3</v>
      </c>
      <c r="AI15">
        <v>3</v>
      </c>
      <c r="AJ15">
        <v>3</v>
      </c>
      <c r="AK15">
        <v>3</v>
      </c>
      <c r="AL15">
        <v>3</v>
      </c>
      <c r="AM15">
        <v>3</v>
      </c>
      <c r="AN15">
        <v>3</v>
      </c>
      <c r="AO15">
        <v>3</v>
      </c>
      <c r="AP15">
        <v>3</v>
      </c>
      <c r="AQ15">
        <v>3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 t="s">
        <v>3092</v>
      </c>
      <c r="BP15" t="s">
        <v>3092</v>
      </c>
      <c r="BQ15" t="s">
        <v>3092</v>
      </c>
      <c r="BR15" t="s">
        <v>3092</v>
      </c>
      <c r="BS15" t="s">
        <v>3092</v>
      </c>
      <c r="BT15" t="s">
        <v>3092</v>
      </c>
      <c r="BU15" t="s">
        <v>3092</v>
      </c>
      <c r="BV15" t="s">
        <v>3092</v>
      </c>
      <c r="BW15" t="s">
        <v>3092</v>
      </c>
      <c r="BX15" t="s">
        <v>3092</v>
      </c>
      <c r="BY15" t="s">
        <v>3092</v>
      </c>
      <c r="BZ15" t="s">
        <v>3092</v>
      </c>
      <c r="CA15" t="s">
        <v>3092</v>
      </c>
      <c r="CB15" t="s">
        <v>3092</v>
      </c>
      <c r="CC15" t="s">
        <v>3092</v>
      </c>
      <c r="CD15" t="s">
        <v>3092</v>
      </c>
      <c r="CE15" t="s">
        <v>3092</v>
      </c>
      <c r="CF15" t="s">
        <v>3092</v>
      </c>
      <c r="CG15" t="s">
        <v>3092</v>
      </c>
      <c r="CH15" t="s">
        <v>3092</v>
      </c>
      <c r="CI15" t="s">
        <v>3092</v>
      </c>
      <c r="CJ15" t="s">
        <v>3092</v>
      </c>
      <c r="CK15" t="s">
        <v>3092</v>
      </c>
      <c r="CL15" t="s">
        <v>3092</v>
      </c>
      <c r="CM15" t="s">
        <v>3092</v>
      </c>
      <c r="CN15" t="s">
        <v>3092</v>
      </c>
      <c r="CO15" t="s">
        <v>3092</v>
      </c>
      <c r="CP15" t="s">
        <v>3092</v>
      </c>
      <c r="CQ15" t="s">
        <v>3092</v>
      </c>
      <c r="CR15" t="s">
        <v>3092</v>
      </c>
      <c r="CS15" t="s">
        <v>3092</v>
      </c>
      <c r="CT15" t="s">
        <v>3092</v>
      </c>
      <c r="CU15" t="s">
        <v>3092</v>
      </c>
      <c r="CV15" t="s">
        <v>3092</v>
      </c>
      <c r="CW15" t="s">
        <v>3092</v>
      </c>
      <c r="CX15" t="s">
        <v>3092</v>
      </c>
      <c r="CY15" t="s">
        <v>3092</v>
      </c>
      <c r="CZ15" t="s">
        <v>3092</v>
      </c>
      <c r="DA15" t="s">
        <v>3092</v>
      </c>
    </row>
    <row r="16" spans="2:105" x14ac:dyDescent="0.2">
      <c r="B16" s="103">
        <v>11</v>
      </c>
      <c r="C16" s="135" t="s">
        <v>3033</v>
      </c>
      <c r="D16" s="135" t="s">
        <v>2292</v>
      </c>
      <c r="F16">
        <v>20</v>
      </c>
      <c r="G16">
        <v>20</v>
      </c>
      <c r="H16">
        <v>20</v>
      </c>
      <c r="I16">
        <v>15</v>
      </c>
      <c r="J16">
        <v>15</v>
      </c>
      <c r="K16">
        <v>15</v>
      </c>
      <c r="L16">
        <v>20</v>
      </c>
      <c r="M16">
        <v>20</v>
      </c>
      <c r="N16">
        <v>20</v>
      </c>
      <c r="O16">
        <v>20</v>
      </c>
      <c r="P16">
        <v>20</v>
      </c>
      <c r="Q16">
        <v>20</v>
      </c>
      <c r="R16">
        <v>20</v>
      </c>
      <c r="S16">
        <v>20</v>
      </c>
      <c r="T16">
        <v>20</v>
      </c>
      <c r="U16">
        <v>18</v>
      </c>
      <c r="V16">
        <v>18</v>
      </c>
      <c r="W16">
        <v>18</v>
      </c>
      <c r="X16">
        <v>18</v>
      </c>
      <c r="Y16">
        <v>18</v>
      </c>
      <c r="Z16">
        <v>18</v>
      </c>
      <c r="AA16">
        <v>18</v>
      </c>
      <c r="AB16">
        <v>15</v>
      </c>
      <c r="AC16">
        <v>15</v>
      </c>
      <c r="AD16">
        <v>15</v>
      </c>
      <c r="AE16">
        <v>15</v>
      </c>
      <c r="AF16">
        <v>15</v>
      </c>
      <c r="AG16">
        <v>15</v>
      </c>
      <c r="AH16">
        <v>15</v>
      </c>
      <c r="AI16">
        <v>15</v>
      </c>
      <c r="AJ16">
        <v>15</v>
      </c>
      <c r="AK16">
        <v>15</v>
      </c>
      <c r="AL16">
        <v>15</v>
      </c>
      <c r="AM16">
        <v>15</v>
      </c>
      <c r="AN16">
        <v>15</v>
      </c>
      <c r="AO16">
        <v>18</v>
      </c>
      <c r="AP16">
        <v>10</v>
      </c>
      <c r="AQ16">
        <v>18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 t="s">
        <v>3092</v>
      </c>
      <c r="BP16" t="s">
        <v>3092</v>
      </c>
      <c r="BQ16" t="s">
        <v>3092</v>
      </c>
      <c r="BR16" t="s">
        <v>3092</v>
      </c>
      <c r="BS16" t="s">
        <v>3092</v>
      </c>
      <c r="BT16" t="s">
        <v>3092</v>
      </c>
      <c r="BU16" t="s">
        <v>3092</v>
      </c>
      <c r="BV16" t="s">
        <v>3092</v>
      </c>
      <c r="BW16" t="s">
        <v>3092</v>
      </c>
      <c r="BX16" t="s">
        <v>3092</v>
      </c>
      <c r="BY16" t="s">
        <v>3092</v>
      </c>
      <c r="BZ16" t="s">
        <v>3092</v>
      </c>
      <c r="CA16" t="s">
        <v>3092</v>
      </c>
      <c r="CB16" t="s">
        <v>3092</v>
      </c>
      <c r="CC16" t="s">
        <v>3092</v>
      </c>
      <c r="CD16" t="s">
        <v>3092</v>
      </c>
      <c r="CE16" t="s">
        <v>3092</v>
      </c>
      <c r="CF16" t="s">
        <v>3092</v>
      </c>
      <c r="CG16" t="s">
        <v>3092</v>
      </c>
      <c r="CH16" t="s">
        <v>3092</v>
      </c>
      <c r="CI16" t="s">
        <v>3092</v>
      </c>
      <c r="CJ16" t="s">
        <v>3092</v>
      </c>
      <c r="CK16" t="s">
        <v>3092</v>
      </c>
      <c r="CL16" t="s">
        <v>3092</v>
      </c>
      <c r="CM16" t="s">
        <v>3092</v>
      </c>
      <c r="CN16" t="s">
        <v>3092</v>
      </c>
      <c r="CO16" t="s">
        <v>3092</v>
      </c>
      <c r="CP16" t="s">
        <v>3092</v>
      </c>
      <c r="CQ16" t="s">
        <v>3092</v>
      </c>
      <c r="CR16" t="s">
        <v>3092</v>
      </c>
      <c r="CS16" t="s">
        <v>3092</v>
      </c>
      <c r="CT16" t="s">
        <v>3092</v>
      </c>
      <c r="CU16" t="s">
        <v>3092</v>
      </c>
      <c r="CV16" t="s">
        <v>3092</v>
      </c>
      <c r="CW16" t="s">
        <v>3092</v>
      </c>
      <c r="CX16" t="s">
        <v>3092</v>
      </c>
      <c r="CY16" t="s">
        <v>3092</v>
      </c>
      <c r="CZ16" t="s">
        <v>3092</v>
      </c>
      <c r="DA16" t="s">
        <v>3092</v>
      </c>
    </row>
    <row r="17" spans="2:105" x14ac:dyDescent="0.2">
      <c r="B17" s="103">
        <v>12</v>
      </c>
      <c r="C17" s="135" t="s">
        <v>3034</v>
      </c>
      <c r="D17" s="135" t="s">
        <v>2290</v>
      </c>
      <c r="F17">
        <v>12</v>
      </c>
      <c r="G17">
        <v>12</v>
      </c>
      <c r="H17">
        <v>12</v>
      </c>
      <c r="I17">
        <v>8</v>
      </c>
      <c r="J17">
        <v>8</v>
      </c>
      <c r="K17">
        <v>8</v>
      </c>
      <c r="L17">
        <v>12</v>
      </c>
      <c r="M17">
        <v>12</v>
      </c>
      <c r="N17">
        <v>12</v>
      </c>
      <c r="O17">
        <v>12</v>
      </c>
      <c r="P17">
        <v>12</v>
      </c>
      <c r="Q17">
        <v>12</v>
      </c>
      <c r="R17">
        <v>12</v>
      </c>
      <c r="S17">
        <v>12</v>
      </c>
      <c r="T17">
        <v>12</v>
      </c>
      <c r="U17">
        <v>15</v>
      </c>
      <c r="V17">
        <v>15</v>
      </c>
      <c r="W17">
        <v>15</v>
      </c>
      <c r="X17">
        <v>15</v>
      </c>
      <c r="Y17">
        <v>15</v>
      </c>
      <c r="Z17">
        <v>15</v>
      </c>
      <c r="AA17">
        <v>15</v>
      </c>
      <c r="AB17">
        <v>10</v>
      </c>
      <c r="AC17">
        <v>10</v>
      </c>
      <c r="AD17">
        <v>10</v>
      </c>
      <c r="AE17">
        <v>10</v>
      </c>
      <c r="AF17">
        <v>10</v>
      </c>
      <c r="AG17">
        <v>10</v>
      </c>
      <c r="AH17">
        <v>10</v>
      </c>
      <c r="AI17">
        <v>10</v>
      </c>
      <c r="AJ17">
        <v>10</v>
      </c>
      <c r="AK17">
        <v>10</v>
      </c>
      <c r="AL17">
        <v>10</v>
      </c>
      <c r="AM17">
        <v>10</v>
      </c>
      <c r="AN17">
        <v>10</v>
      </c>
      <c r="AO17">
        <v>15</v>
      </c>
      <c r="AP17">
        <v>7</v>
      </c>
      <c r="AQ17">
        <v>15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 t="s">
        <v>3092</v>
      </c>
      <c r="BP17" t="s">
        <v>3092</v>
      </c>
      <c r="BQ17" t="s">
        <v>3092</v>
      </c>
      <c r="BR17" t="s">
        <v>3092</v>
      </c>
      <c r="BS17" t="s">
        <v>3092</v>
      </c>
      <c r="BT17" t="s">
        <v>3092</v>
      </c>
      <c r="BU17" t="s">
        <v>3092</v>
      </c>
      <c r="BV17" t="s">
        <v>3092</v>
      </c>
      <c r="BW17" t="s">
        <v>3092</v>
      </c>
      <c r="BX17" t="s">
        <v>3092</v>
      </c>
      <c r="BY17" t="s">
        <v>3092</v>
      </c>
      <c r="BZ17" t="s">
        <v>3092</v>
      </c>
      <c r="CA17" t="s">
        <v>3092</v>
      </c>
      <c r="CB17" t="s">
        <v>3092</v>
      </c>
      <c r="CC17" t="s">
        <v>3092</v>
      </c>
      <c r="CD17" t="s">
        <v>3092</v>
      </c>
      <c r="CE17" t="s">
        <v>3092</v>
      </c>
      <c r="CF17" t="s">
        <v>3092</v>
      </c>
      <c r="CG17" t="s">
        <v>3092</v>
      </c>
      <c r="CH17" t="s">
        <v>3092</v>
      </c>
      <c r="CI17" t="s">
        <v>3092</v>
      </c>
      <c r="CJ17" t="s">
        <v>3092</v>
      </c>
      <c r="CK17" t="s">
        <v>3092</v>
      </c>
      <c r="CL17" t="s">
        <v>3092</v>
      </c>
      <c r="CM17" t="s">
        <v>3092</v>
      </c>
      <c r="CN17" t="s">
        <v>3092</v>
      </c>
      <c r="CO17" t="s">
        <v>3092</v>
      </c>
      <c r="CP17" t="s">
        <v>3092</v>
      </c>
      <c r="CQ17" t="s">
        <v>3092</v>
      </c>
      <c r="CR17" t="s">
        <v>3092</v>
      </c>
      <c r="CS17" t="s">
        <v>3092</v>
      </c>
      <c r="CT17" t="s">
        <v>3092</v>
      </c>
      <c r="CU17" t="s">
        <v>3092</v>
      </c>
      <c r="CV17" t="s">
        <v>3092</v>
      </c>
      <c r="CW17" t="s">
        <v>3092</v>
      </c>
      <c r="CX17" t="s">
        <v>3092</v>
      </c>
      <c r="CY17" t="s">
        <v>3092</v>
      </c>
      <c r="CZ17" t="s">
        <v>3092</v>
      </c>
      <c r="DA17" t="s">
        <v>3092</v>
      </c>
    </row>
    <row r="18" spans="2:105" x14ac:dyDescent="0.2">
      <c r="B18" s="103">
        <v>13</v>
      </c>
      <c r="C18" s="135" t="s">
        <v>3035</v>
      </c>
      <c r="D18" s="135" t="s">
        <v>2295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 t="s">
        <v>3092</v>
      </c>
      <c r="BP18" t="s">
        <v>3092</v>
      </c>
      <c r="BQ18" t="s">
        <v>3092</v>
      </c>
      <c r="BR18" t="s">
        <v>3092</v>
      </c>
      <c r="BS18" t="s">
        <v>3092</v>
      </c>
      <c r="BT18" t="s">
        <v>3092</v>
      </c>
      <c r="BU18" t="s">
        <v>3092</v>
      </c>
      <c r="BV18" t="s">
        <v>3092</v>
      </c>
      <c r="BW18" t="s">
        <v>3092</v>
      </c>
      <c r="BX18" t="s">
        <v>3092</v>
      </c>
      <c r="BY18" t="s">
        <v>3092</v>
      </c>
      <c r="BZ18" t="s">
        <v>3092</v>
      </c>
      <c r="CA18" t="s">
        <v>3092</v>
      </c>
      <c r="CB18" t="s">
        <v>3092</v>
      </c>
      <c r="CC18" t="s">
        <v>3092</v>
      </c>
      <c r="CD18" t="s">
        <v>3092</v>
      </c>
      <c r="CE18" t="s">
        <v>3092</v>
      </c>
      <c r="CF18" t="s">
        <v>3092</v>
      </c>
      <c r="CG18" t="s">
        <v>3092</v>
      </c>
      <c r="CH18" t="s">
        <v>3092</v>
      </c>
      <c r="CI18" t="s">
        <v>3092</v>
      </c>
      <c r="CJ18" t="s">
        <v>3092</v>
      </c>
      <c r="CK18" t="s">
        <v>3092</v>
      </c>
      <c r="CL18" t="s">
        <v>3092</v>
      </c>
      <c r="CM18" t="s">
        <v>3092</v>
      </c>
      <c r="CN18" t="s">
        <v>3092</v>
      </c>
      <c r="CO18" t="s">
        <v>3092</v>
      </c>
      <c r="CP18" t="s">
        <v>3092</v>
      </c>
      <c r="CQ18" t="s">
        <v>3092</v>
      </c>
      <c r="CR18" t="s">
        <v>3092</v>
      </c>
      <c r="CS18" t="s">
        <v>3092</v>
      </c>
      <c r="CT18" t="s">
        <v>3092</v>
      </c>
      <c r="CU18" t="s">
        <v>3092</v>
      </c>
      <c r="CV18" t="s">
        <v>3092</v>
      </c>
      <c r="CW18" t="s">
        <v>3092</v>
      </c>
      <c r="CX18" t="s">
        <v>3092</v>
      </c>
      <c r="CY18" t="s">
        <v>3092</v>
      </c>
      <c r="CZ18" t="s">
        <v>3092</v>
      </c>
      <c r="DA18" t="s">
        <v>3092</v>
      </c>
    </row>
    <row r="19" spans="2:105" x14ac:dyDescent="0.2">
      <c r="B19" s="103">
        <v>14</v>
      </c>
      <c r="C19" s="135" t="s">
        <v>3036</v>
      </c>
      <c r="D19" s="135" t="s">
        <v>3710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 t="s">
        <v>3092</v>
      </c>
      <c r="BP19" t="s">
        <v>3092</v>
      </c>
      <c r="BQ19" t="s">
        <v>3092</v>
      </c>
      <c r="BR19" t="s">
        <v>3092</v>
      </c>
      <c r="BS19" t="s">
        <v>3092</v>
      </c>
      <c r="BT19" t="s">
        <v>3092</v>
      </c>
      <c r="BU19" t="s">
        <v>3092</v>
      </c>
      <c r="BV19" t="s">
        <v>3092</v>
      </c>
      <c r="BW19" t="s">
        <v>3092</v>
      </c>
      <c r="BX19" t="s">
        <v>3092</v>
      </c>
      <c r="BY19" t="s">
        <v>3092</v>
      </c>
      <c r="BZ19" t="s">
        <v>3092</v>
      </c>
      <c r="CA19" t="s">
        <v>3092</v>
      </c>
      <c r="CB19" t="s">
        <v>3092</v>
      </c>
      <c r="CC19" t="s">
        <v>3092</v>
      </c>
      <c r="CD19" t="s">
        <v>3092</v>
      </c>
      <c r="CE19" t="s">
        <v>3092</v>
      </c>
      <c r="CF19" t="s">
        <v>3092</v>
      </c>
      <c r="CG19" t="s">
        <v>3092</v>
      </c>
      <c r="CH19" t="s">
        <v>3092</v>
      </c>
      <c r="CI19" t="s">
        <v>3092</v>
      </c>
      <c r="CJ19" t="s">
        <v>3092</v>
      </c>
      <c r="CK19" t="s">
        <v>3092</v>
      </c>
      <c r="CL19" t="s">
        <v>3092</v>
      </c>
      <c r="CM19" t="s">
        <v>3092</v>
      </c>
      <c r="CN19" t="s">
        <v>3092</v>
      </c>
      <c r="CO19" t="s">
        <v>3092</v>
      </c>
      <c r="CP19" t="s">
        <v>3092</v>
      </c>
      <c r="CQ19" t="s">
        <v>3092</v>
      </c>
      <c r="CR19" t="s">
        <v>3092</v>
      </c>
      <c r="CS19" t="s">
        <v>3092</v>
      </c>
      <c r="CT19" t="s">
        <v>3092</v>
      </c>
      <c r="CU19" t="s">
        <v>3092</v>
      </c>
      <c r="CV19" t="s">
        <v>3092</v>
      </c>
      <c r="CW19" t="s">
        <v>3092</v>
      </c>
      <c r="CX19" t="s">
        <v>3092</v>
      </c>
      <c r="CY19" t="s">
        <v>3092</v>
      </c>
      <c r="CZ19" t="s">
        <v>3092</v>
      </c>
      <c r="DA19" t="s">
        <v>3092</v>
      </c>
    </row>
    <row r="20" spans="2:105" x14ac:dyDescent="0.2">
      <c r="B20" s="103">
        <v>15</v>
      </c>
      <c r="C20" s="135" t="s">
        <v>3037</v>
      </c>
      <c r="D20" s="135" t="s">
        <v>2287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 t="s">
        <v>3092</v>
      </c>
      <c r="BP20" t="s">
        <v>3092</v>
      </c>
      <c r="BQ20" t="s">
        <v>3092</v>
      </c>
      <c r="BR20" t="s">
        <v>3092</v>
      </c>
      <c r="BS20" t="s">
        <v>3092</v>
      </c>
      <c r="BT20" t="s">
        <v>3092</v>
      </c>
      <c r="BU20" t="s">
        <v>3092</v>
      </c>
      <c r="BV20" t="s">
        <v>3092</v>
      </c>
      <c r="BW20" t="s">
        <v>3092</v>
      </c>
      <c r="BX20" t="s">
        <v>3092</v>
      </c>
      <c r="BY20" t="s">
        <v>3092</v>
      </c>
      <c r="BZ20" t="s">
        <v>3092</v>
      </c>
      <c r="CA20" t="s">
        <v>3092</v>
      </c>
      <c r="CB20" t="s">
        <v>3092</v>
      </c>
      <c r="CC20" t="s">
        <v>3092</v>
      </c>
      <c r="CD20" t="s">
        <v>3092</v>
      </c>
      <c r="CE20" t="s">
        <v>3092</v>
      </c>
      <c r="CF20" t="s">
        <v>3092</v>
      </c>
      <c r="CG20" t="s">
        <v>3092</v>
      </c>
      <c r="CH20" t="s">
        <v>3092</v>
      </c>
      <c r="CI20" t="s">
        <v>3092</v>
      </c>
      <c r="CJ20" t="s">
        <v>3092</v>
      </c>
      <c r="CK20" t="s">
        <v>3092</v>
      </c>
      <c r="CL20" t="s">
        <v>3092</v>
      </c>
      <c r="CM20" t="s">
        <v>3092</v>
      </c>
      <c r="CN20" t="s">
        <v>3092</v>
      </c>
      <c r="CO20" t="s">
        <v>3092</v>
      </c>
      <c r="CP20" t="s">
        <v>3092</v>
      </c>
      <c r="CQ20" t="s">
        <v>3092</v>
      </c>
      <c r="CR20" t="s">
        <v>3092</v>
      </c>
      <c r="CS20" t="s">
        <v>3092</v>
      </c>
      <c r="CT20" t="s">
        <v>3092</v>
      </c>
      <c r="CU20" t="s">
        <v>3092</v>
      </c>
      <c r="CV20" t="s">
        <v>3092</v>
      </c>
      <c r="CW20" t="s">
        <v>3092</v>
      </c>
      <c r="CX20" t="s">
        <v>3092</v>
      </c>
      <c r="CY20" t="s">
        <v>3092</v>
      </c>
      <c r="CZ20" t="s">
        <v>3092</v>
      </c>
      <c r="DA20" t="s">
        <v>3092</v>
      </c>
    </row>
    <row r="21" spans="2:105" x14ac:dyDescent="0.2">
      <c r="B21" s="103">
        <v>16</v>
      </c>
      <c r="C21" s="135" t="s">
        <v>3038</v>
      </c>
      <c r="D21" s="135" t="s">
        <v>2286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 t="s">
        <v>3092</v>
      </c>
      <c r="BP21" t="s">
        <v>3092</v>
      </c>
      <c r="BQ21" t="s">
        <v>3092</v>
      </c>
      <c r="BR21" t="s">
        <v>3092</v>
      </c>
      <c r="BS21" t="s">
        <v>3092</v>
      </c>
      <c r="BT21" t="s">
        <v>3092</v>
      </c>
      <c r="BU21" t="s">
        <v>3092</v>
      </c>
      <c r="BV21" t="s">
        <v>3092</v>
      </c>
      <c r="BW21" t="s">
        <v>3092</v>
      </c>
      <c r="BX21" t="s">
        <v>3092</v>
      </c>
      <c r="BY21" t="s">
        <v>3092</v>
      </c>
      <c r="BZ21" t="s">
        <v>3092</v>
      </c>
      <c r="CA21" t="s">
        <v>3092</v>
      </c>
      <c r="CB21" t="s">
        <v>3092</v>
      </c>
      <c r="CC21" t="s">
        <v>3092</v>
      </c>
      <c r="CD21" t="s">
        <v>3092</v>
      </c>
      <c r="CE21" t="s">
        <v>3092</v>
      </c>
      <c r="CF21" t="s">
        <v>3092</v>
      </c>
      <c r="CG21" t="s">
        <v>3092</v>
      </c>
      <c r="CH21" t="s">
        <v>3092</v>
      </c>
      <c r="CI21" t="s">
        <v>3092</v>
      </c>
      <c r="CJ21" t="s">
        <v>3092</v>
      </c>
      <c r="CK21" t="s">
        <v>3092</v>
      </c>
      <c r="CL21" t="s">
        <v>3092</v>
      </c>
      <c r="CM21" t="s">
        <v>3092</v>
      </c>
      <c r="CN21" t="s">
        <v>3092</v>
      </c>
      <c r="CO21" t="s">
        <v>3092</v>
      </c>
      <c r="CP21" t="s">
        <v>3092</v>
      </c>
      <c r="CQ21" t="s">
        <v>3092</v>
      </c>
      <c r="CR21" t="s">
        <v>3092</v>
      </c>
      <c r="CS21" t="s">
        <v>3092</v>
      </c>
      <c r="CT21" t="s">
        <v>3092</v>
      </c>
      <c r="CU21" t="s">
        <v>3092</v>
      </c>
      <c r="CV21" t="s">
        <v>3092</v>
      </c>
      <c r="CW21" t="s">
        <v>3092</v>
      </c>
      <c r="CX21" t="s">
        <v>3092</v>
      </c>
      <c r="CY21" t="s">
        <v>3092</v>
      </c>
      <c r="CZ21" t="s">
        <v>3092</v>
      </c>
      <c r="DA21" t="s">
        <v>3092</v>
      </c>
    </row>
    <row r="22" spans="2:105" x14ac:dyDescent="0.2">
      <c r="B22" s="103">
        <v>17</v>
      </c>
      <c r="C22" s="135" t="s">
        <v>3039</v>
      </c>
      <c r="D22" s="135" t="s">
        <v>2285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 t="s">
        <v>3092</v>
      </c>
      <c r="BP22" t="s">
        <v>3092</v>
      </c>
      <c r="BQ22" t="s">
        <v>3092</v>
      </c>
      <c r="BR22" t="s">
        <v>3092</v>
      </c>
      <c r="BS22" t="s">
        <v>3092</v>
      </c>
      <c r="BT22" t="s">
        <v>3092</v>
      </c>
      <c r="BU22" t="s">
        <v>3092</v>
      </c>
      <c r="BV22" t="s">
        <v>3092</v>
      </c>
      <c r="BW22" t="s">
        <v>3092</v>
      </c>
      <c r="BX22" t="s">
        <v>3092</v>
      </c>
      <c r="BY22" t="s">
        <v>3092</v>
      </c>
      <c r="BZ22" t="s">
        <v>3092</v>
      </c>
      <c r="CA22" t="s">
        <v>3092</v>
      </c>
      <c r="CB22" t="s">
        <v>3092</v>
      </c>
      <c r="CC22" t="s">
        <v>3092</v>
      </c>
      <c r="CD22" t="s">
        <v>3092</v>
      </c>
      <c r="CE22" t="s">
        <v>3092</v>
      </c>
      <c r="CF22" t="s">
        <v>3092</v>
      </c>
      <c r="CG22" t="s">
        <v>3092</v>
      </c>
      <c r="CH22" t="s">
        <v>3092</v>
      </c>
      <c r="CI22" t="s">
        <v>3092</v>
      </c>
      <c r="CJ22" t="s">
        <v>3092</v>
      </c>
      <c r="CK22" t="s">
        <v>3092</v>
      </c>
      <c r="CL22" t="s">
        <v>3092</v>
      </c>
      <c r="CM22" t="s">
        <v>3092</v>
      </c>
      <c r="CN22" t="s">
        <v>3092</v>
      </c>
      <c r="CO22" t="s">
        <v>3092</v>
      </c>
      <c r="CP22" t="s">
        <v>3092</v>
      </c>
      <c r="CQ22" t="s">
        <v>3092</v>
      </c>
      <c r="CR22" t="s">
        <v>3092</v>
      </c>
      <c r="CS22" t="s">
        <v>3092</v>
      </c>
      <c r="CT22" t="s">
        <v>3092</v>
      </c>
      <c r="CU22" t="s">
        <v>3092</v>
      </c>
      <c r="CV22" t="s">
        <v>3092</v>
      </c>
      <c r="CW22" t="s">
        <v>3092</v>
      </c>
      <c r="CX22" t="s">
        <v>3092</v>
      </c>
      <c r="CY22" t="s">
        <v>3092</v>
      </c>
      <c r="CZ22" t="s">
        <v>3092</v>
      </c>
      <c r="DA22" t="s">
        <v>3092</v>
      </c>
    </row>
    <row r="23" spans="2:105" x14ac:dyDescent="0.2">
      <c r="B23" s="103">
        <v>18</v>
      </c>
      <c r="C23" s="135" t="s">
        <v>3040</v>
      </c>
      <c r="D23" s="135" t="s">
        <v>1930</v>
      </c>
      <c r="F23">
        <v>0.5</v>
      </c>
      <c r="G23">
        <v>0.5</v>
      </c>
      <c r="H23">
        <v>0.5</v>
      </c>
      <c r="I23">
        <v>0.5</v>
      </c>
      <c r="J23">
        <v>0.5</v>
      </c>
      <c r="K23">
        <v>0.5</v>
      </c>
      <c r="L23">
        <v>0.5</v>
      </c>
      <c r="M23">
        <v>0.5</v>
      </c>
      <c r="N23">
        <v>0.5</v>
      </c>
      <c r="O23">
        <v>0.5</v>
      </c>
      <c r="P23">
        <v>0.5</v>
      </c>
      <c r="Q23">
        <v>0.5</v>
      </c>
      <c r="R23">
        <v>0.5</v>
      </c>
      <c r="S23">
        <v>0.5</v>
      </c>
      <c r="T23">
        <v>0.5</v>
      </c>
      <c r="U23">
        <v>0.5</v>
      </c>
      <c r="V23">
        <v>0.5</v>
      </c>
      <c r="W23">
        <v>0.5</v>
      </c>
      <c r="X23">
        <v>0.5</v>
      </c>
      <c r="Y23">
        <v>0.5</v>
      </c>
      <c r="Z23">
        <v>0.5</v>
      </c>
      <c r="AA23">
        <v>0.5</v>
      </c>
      <c r="AB23">
        <v>0.5</v>
      </c>
      <c r="AC23">
        <v>0.5</v>
      </c>
      <c r="AD23">
        <v>0.5</v>
      </c>
      <c r="AE23">
        <v>0.5</v>
      </c>
      <c r="AF23">
        <v>0.5</v>
      </c>
      <c r="AG23">
        <v>0.5</v>
      </c>
      <c r="AH23">
        <v>0.5</v>
      </c>
      <c r="AI23">
        <v>0.5</v>
      </c>
      <c r="AJ23">
        <v>0.5</v>
      </c>
      <c r="AK23">
        <v>0.5</v>
      </c>
      <c r="AL23">
        <v>0.5</v>
      </c>
      <c r="AM23">
        <v>0.5</v>
      </c>
      <c r="AN23">
        <v>0.5</v>
      </c>
      <c r="AO23">
        <v>0.5</v>
      </c>
      <c r="AP23">
        <v>0.5</v>
      </c>
      <c r="AQ23">
        <v>0.5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 t="s">
        <v>3092</v>
      </c>
      <c r="BP23" t="s">
        <v>3092</v>
      </c>
      <c r="BQ23" t="s">
        <v>3092</v>
      </c>
      <c r="BR23" t="s">
        <v>3092</v>
      </c>
      <c r="BS23" t="s">
        <v>3092</v>
      </c>
      <c r="BT23" t="s">
        <v>3092</v>
      </c>
      <c r="BU23" t="s">
        <v>3092</v>
      </c>
      <c r="BV23" t="s">
        <v>3092</v>
      </c>
      <c r="BW23" t="s">
        <v>3092</v>
      </c>
      <c r="BX23" t="s">
        <v>3092</v>
      </c>
      <c r="BY23" t="s">
        <v>3092</v>
      </c>
      <c r="BZ23" t="s">
        <v>3092</v>
      </c>
      <c r="CA23" t="s">
        <v>3092</v>
      </c>
      <c r="CB23" t="s">
        <v>3092</v>
      </c>
      <c r="CC23" t="s">
        <v>3092</v>
      </c>
      <c r="CD23" t="s">
        <v>3092</v>
      </c>
      <c r="CE23" t="s">
        <v>3092</v>
      </c>
      <c r="CF23" t="s">
        <v>3092</v>
      </c>
      <c r="CG23" t="s">
        <v>3092</v>
      </c>
      <c r="CH23" t="s">
        <v>3092</v>
      </c>
      <c r="CI23" t="s">
        <v>3092</v>
      </c>
      <c r="CJ23" t="s">
        <v>3092</v>
      </c>
      <c r="CK23" t="s">
        <v>3092</v>
      </c>
      <c r="CL23" t="s">
        <v>3092</v>
      </c>
      <c r="CM23" t="s">
        <v>3092</v>
      </c>
      <c r="CN23" t="s">
        <v>3092</v>
      </c>
      <c r="CO23" t="s">
        <v>3092</v>
      </c>
      <c r="CP23" t="s">
        <v>3092</v>
      </c>
      <c r="CQ23" t="s">
        <v>3092</v>
      </c>
      <c r="CR23" t="s">
        <v>3092</v>
      </c>
      <c r="CS23" t="s">
        <v>3092</v>
      </c>
      <c r="CT23" t="s">
        <v>3092</v>
      </c>
      <c r="CU23" t="s">
        <v>3092</v>
      </c>
      <c r="CV23" t="s">
        <v>3092</v>
      </c>
      <c r="CW23" t="s">
        <v>3092</v>
      </c>
      <c r="CX23" t="s">
        <v>3092</v>
      </c>
      <c r="CY23" t="s">
        <v>3092</v>
      </c>
      <c r="CZ23" t="s">
        <v>3092</v>
      </c>
      <c r="DA23" t="s">
        <v>3092</v>
      </c>
    </row>
    <row r="24" spans="2:105" x14ac:dyDescent="0.2">
      <c r="B24" s="103">
        <v>19</v>
      </c>
      <c r="C24" s="135" t="s">
        <v>2891</v>
      </c>
      <c r="D24" s="135" t="s">
        <v>2297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 t="s">
        <v>3092</v>
      </c>
      <c r="BP24" t="s">
        <v>3092</v>
      </c>
      <c r="BQ24" t="s">
        <v>3092</v>
      </c>
      <c r="BR24" t="s">
        <v>3092</v>
      </c>
      <c r="BS24" t="s">
        <v>3092</v>
      </c>
      <c r="BT24" t="s">
        <v>3092</v>
      </c>
      <c r="BU24" t="s">
        <v>3092</v>
      </c>
      <c r="BV24" t="s">
        <v>3092</v>
      </c>
      <c r="BW24" t="s">
        <v>3092</v>
      </c>
      <c r="BX24" t="s">
        <v>3092</v>
      </c>
      <c r="BY24" t="s">
        <v>3092</v>
      </c>
      <c r="BZ24" t="s">
        <v>3092</v>
      </c>
      <c r="CA24" t="s">
        <v>3092</v>
      </c>
      <c r="CB24" t="s">
        <v>3092</v>
      </c>
      <c r="CC24" t="s">
        <v>3092</v>
      </c>
      <c r="CD24" t="s">
        <v>3092</v>
      </c>
      <c r="CE24" t="s">
        <v>3092</v>
      </c>
      <c r="CF24" t="s">
        <v>3092</v>
      </c>
      <c r="CG24" t="s">
        <v>3092</v>
      </c>
      <c r="CH24" t="s">
        <v>3092</v>
      </c>
      <c r="CI24" t="s">
        <v>3092</v>
      </c>
      <c r="CJ24" t="s">
        <v>3092</v>
      </c>
      <c r="CK24" t="s">
        <v>3092</v>
      </c>
      <c r="CL24" t="s">
        <v>3092</v>
      </c>
      <c r="CM24" t="s">
        <v>3092</v>
      </c>
      <c r="CN24" t="s">
        <v>3092</v>
      </c>
      <c r="CO24" t="s">
        <v>3092</v>
      </c>
      <c r="CP24" t="s">
        <v>3092</v>
      </c>
      <c r="CQ24" t="s">
        <v>3092</v>
      </c>
      <c r="CR24" t="s">
        <v>3092</v>
      </c>
      <c r="CS24" t="s">
        <v>3092</v>
      </c>
      <c r="CT24" t="s">
        <v>3092</v>
      </c>
      <c r="CU24" t="s">
        <v>3092</v>
      </c>
      <c r="CV24" t="s">
        <v>3092</v>
      </c>
      <c r="CW24" t="s">
        <v>3092</v>
      </c>
      <c r="CX24" t="s">
        <v>3092</v>
      </c>
      <c r="CY24" t="s">
        <v>3092</v>
      </c>
      <c r="CZ24" t="s">
        <v>3092</v>
      </c>
      <c r="DA24" t="s">
        <v>3092</v>
      </c>
    </row>
    <row r="25" spans="2:105" x14ac:dyDescent="0.2">
      <c r="B25" s="103">
        <v>20</v>
      </c>
      <c r="C25" s="135" t="s">
        <v>3041</v>
      </c>
      <c r="D25" s="135" t="s">
        <v>2293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 t="s">
        <v>3092</v>
      </c>
      <c r="BP25" t="s">
        <v>3092</v>
      </c>
      <c r="BQ25" t="s">
        <v>3092</v>
      </c>
      <c r="BR25" t="s">
        <v>3092</v>
      </c>
      <c r="BS25" t="s">
        <v>3092</v>
      </c>
      <c r="BT25" t="s">
        <v>3092</v>
      </c>
      <c r="BU25" t="s">
        <v>3092</v>
      </c>
      <c r="BV25" t="s">
        <v>3092</v>
      </c>
      <c r="BW25" t="s">
        <v>3092</v>
      </c>
      <c r="BX25" t="s">
        <v>3092</v>
      </c>
      <c r="BY25" t="s">
        <v>3092</v>
      </c>
      <c r="BZ25" t="s">
        <v>3092</v>
      </c>
      <c r="CA25" t="s">
        <v>3092</v>
      </c>
      <c r="CB25" t="s">
        <v>3092</v>
      </c>
      <c r="CC25" t="s">
        <v>3092</v>
      </c>
      <c r="CD25" t="s">
        <v>3092</v>
      </c>
      <c r="CE25" t="s">
        <v>3092</v>
      </c>
      <c r="CF25" t="s">
        <v>3092</v>
      </c>
      <c r="CG25" t="s">
        <v>3092</v>
      </c>
      <c r="CH25" t="s">
        <v>3092</v>
      </c>
      <c r="CI25" t="s">
        <v>3092</v>
      </c>
      <c r="CJ25" t="s">
        <v>3092</v>
      </c>
      <c r="CK25" t="s">
        <v>3092</v>
      </c>
      <c r="CL25" t="s">
        <v>3092</v>
      </c>
      <c r="CM25" t="s">
        <v>3092</v>
      </c>
      <c r="CN25" t="s">
        <v>3092</v>
      </c>
      <c r="CO25" t="s">
        <v>3092</v>
      </c>
      <c r="CP25" t="s">
        <v>3092</v>
      </c>
      <c r="CQ25" t="s">
        <v>3092</v>
      </c>
      <c r="CR25" t="s">
        <v>3092</v>
      </c>
      <c r="CS25" t="s">
        <v>3092</v>
      </c>
      <c r="CT25" t="s">
        <v>3092</v>
      </c>
      <c r="CU25" t="s">
        <v>3092</v>
      </c>
      <c r="CV25" t="s">
        <v>3092</v>
      </c>
      <c r="CW25" t="s">
        <v>3092</v>
      </c>
      <c r="CX25" t="s">
        <v>3092</v>
      </c>
      <c r="CY25" t="s">
        <v>3092</v>
      </c>
      <c r="CZ25" t="s">
        <v>3092</v>
      </c>
      <c r="DA25" t="s">
        <v>3092</v>
      </c>
    </row>
    <row r="26" spans="2:105" x14ac:dyDescent="0.2">
      <c r="B26" s="103">
        <v>21</v>
      </c>
      <c r="C26" s="135">
        <v>0</v>
      </c>
      <c r="D26" s="135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 t="s">
        <v>3092</v>
      </c>
      <c r="BP26" t="s">
        <v>3092</v>
      </c>
      <c r="BQ26" t="s">
        <v>3092</v>
      </c>
      <c r="BR26" t="s">
        <v>3092</v>
      </c>
      <c r="BS26" t="s">
        <v>3092</v>
      </c>
      <c r="BT26" t="s">
        <v>3092</v>
      </c>
      <c r="BU26" t="s">
        <v>3092</v>
      </c>
      <c r="BV26" t="s">
        <v>3092</v>
      </c>
      <c r="BW26" t="s">
        <v>3092</v>
      </c>
      <c r="BX26" t="s">
        <v>3092</v>
      </c>
      <c r="BY26" t="s">
        <v>3092</v>
      </c>
      <c r="BZ26" t="s">
        <v>3092</v>
      </c>
      <c r="CA26" t="s">
        <v>3092</v>
      </c>
      <c r="CB26" t="s">
        <v>3092</v>
      </c>
      <c r="CC26" t="s">
        <v>3092</v>
      </c>
      <c r="CD26" t="s">
        <v>3092</v>
      </c>
      <c r="CE26" t="s">
        <v>3092</v>
      </c>
      <c r="CF26" t="s">
        <v>3092</v>
      </c>
      <c r="CG26" t="s">
        <v>3092</v>
      </c>
      <c r="CH26" t="s">
        <v>3092</v>
      </c>
      <c r="CI26" t="s">
        <v>3092</v>
      </c>
      <c r="CJ26" t="s">
        <v>3092</v>
      </c>
      <c r="CK26" t="s">
        <v>3092</v>
      </c>
      <c r="CL26" t="s">
        <v>3092</v>
      </c>
      <c r="CM26" t="s">
        <v>3092</v>
      </c>
      <c r="CN26" t="s">
        <v>3092</v>
      </c>
      <c r="CO26" t="s">
        <v>3092</v>
      </c>
      <c r="CP26" t="s">
        <v>3092</v>
      </c>
      <c r="CQ26" t="s">
        <v>3092</v>
      </c>
      <c r="CR26" t="s">
        <v>3092</v>
      </c>
      <c r="CS26" t="s">
        <v>3092</v>
      </c>
      <c r="CT26" t="s">
        <v>3092</v>
      </c>
      <c r="CU26" t="s">
        <v>3092</v>
      </c>
      <c r="CV26" t="s">
        <v>3092</v>
      </c>
      <c r="CW26" t="s">
        <v>3092</v>
      </c>
      <c r="CX26" t="s">
        <v>3092</v>
      </c>
      <c r="CY26" t="s">
        <v>3092</v>
      </c>
      <c r="CZ26" t="s">
        <v>3092</v>
      </c>
      <c r="DA26" t="s">
        <v>3092</v>
      </c>
    </row>
    <row r="27" spans="2:105" x14ac:dyDescent="0.2">
      <c r="B27" s="103">
        <v>22</v>
      </c>
      <c r="C27" s="135">
        <v>0</v>
      </c>
      <c r="D27" s="135">
        <v>0</v>
      </c>
      <c r="F27">
        <v>0</v>
      </c>
      <c r="G27">
        <v>0</v>
      </c>
      <c r="H27">
        <v>0</v>
      </c>
      <c r="I27">
        <v>0</v>
      </c>
      <c r="J27">
        <v>0</v>
      </c>
      <c r="K27" t="s">
        <v>3736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 t="s">
        <v>3092</v>
      </c>
      <c r="BP27" t="s">
        <v>3092</v>
      </c>
      <c r="BQ27" t="s">
        <v>3092</v>
      </c>
      <c r="BR27" t="s">
        <v>3092</v>
      </c>
      <c r="BS27" t="s">
        <v>3092</v>
      </c>
      <c r="BT27" t="s">
        <v>3092</v>
      </c>
      <c r="BU27" t="s">
        <v>3092</v>
      </c>
      <c r="BV27" t="s">
        <v>3092</v>
      </c>
      <c r="BW27" t="s">
        <v>3092</v>
      </c>
      <c r="BX27" t="s">
        <v>3092</v>
      </c>
      <c r="BY27" t="s">
        <v>3092</v>
      </c>
      <c r="BZ27" t="s">
        <v>3092</v>
      </c>
      <c r="CA27" t="s">
        <v>3092</v>
      </c>
      <c r="CB27" t="s">
        <v>3092</v>
      </c>
      <c r="CC27" t="s">
        <v>3092</v>
      </c>
      <c r="CD27" t="s">
        <v>3092</v>
      </c>
      <c r="CE27" t="s">
        <v>3092</v>
      </c>
      <c r="CF27" t="s">
        <v>3092</v>
      </c>
      <c r="CG27" t="s">
        <v>3092</v>
      </c>
      <c r="CH27" t="s">
        <v>3092</v>
      </c>
      <c r="CI27" t="s">
        <v>3092</v>
      </c>
      <c r="CJ27" t="s">
        <v>3092</v>
      </c>
      <c r="CK27" t="s">
        <v>3092</v>
      </c>
      <c r="CL27" t="s">
        <v>3092</v>
      </c>
      <c r="CM27" t="s">
        <v>3092</v>
      </c>
      <c r="CN27" t="s">
        <v>3092</v>
      </c>
      <c r="CO27" t="s">
        <v>3092</v>
      </c>
      <c r="CP27" t="s">
        <v>3092</v>
      </c>
      <c r="CQ27" t="s">
        <v>3092</v>
      </c>
      <c r="CR27" t="s">
        <v>3092</v>
      </c>
      <c r="CS27" t="s">
        <v>3092</v>
      </c>
      <c r="CT27" t="s">
        <v>3092</v>
      </c>
      <c r="CU27" t="s">
        <v>3092</v>
      </c>
      <c r="CV27" t="s">
        <v>3092</v>
      </c>
      <c r="CW27" t="s">
        <v>3092</v>
      </c>
      <c r="CX27" t="s">
        <v>3092</v>
      </c>
      <c r="CY27" t="s">
        <v>3092</v>
      </c>
      <c r="CZ27" t="s">
        <v>3092</v>
      </c>
      <c r="DA27" t="s">
        <v>3092</v>
      </c>
    </row>
    <row r="28" spans="2:105" x14ac:dyDescent="0.2">
      <c r="B28" s="103">
        <v>23</v>
      </c>
      <c r="C28" s="135">
        <v>0</v>
      </c>
      <c r="D28" s="135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 t="s">
        <v>3092</v>
      </c>
      <c r="BP28" t="s">
        <v>3092</v>
      </c>
      <c r="BQ28" t="s">
        <v>3092</v>
      </c>
      <c r="BR28" t="s">
        <v>3092</v>
      </c>
      <c r="BS28" t="s">
        <v>3092</v>
      </c>
      <c r="BT28" t="s">
        <v>3092</v>
      </c>
      <c r="BU28" t="s">
        <v>3092</v>
      </c>
      <c r="BV28" t="s">
        <v>3092</v>
      </c>
      <c r="BW28" t="s">
        <v>3092</v>
      </c>
      <c r="BX28" t="s">
        <v>3092</v>
      </c>
      <c r="BY28" t="s">
        <v>3092</v>
      </c>
      <c r="BZ28" t="s">
        <v>3092</v>
      </c>
      <c r="CA28" t="s">
        <v>3092</v>
      </c>
      <c r="CB28" t="s">
        <v>3092</v>
      </c>
      <c r="CC28" t="s">
        <v>3092</v>
      </c>
      <c r="CD28" t="s">
        <v>3092</v>
      </c>
      <c r="CE28" t="s">
        <v>3092</v>
      </c>
      <c r="CF28" t="s">
        <v>3092</v>
      </c>
      <c r="CG28" t="s">
        <v>3092</v>
      </c>
      <c r="CH28" t="s">
        <v>3092</v>
      </c>
      <c r="CI28" t="s">
        <v>3092</v>
      </c>
      <c r="CJ28" t="s">
        <v>3092</v>
      </c>
      <c r="CK28" t="s">
        <v>3092</v>
      </c>
      <c r="CL28" t="s">
        <v>3092</v>
      </c>
      <c r="CM28" t="s">
        <v>3092</v>
      </c>
      <c r="CN28" t="s">
        <v>3092</v>
      </c>
      <c r="CO28" t="s">
        <v>3092</v>
      </c>
      <c r="CP28" t="s">
        <v>3092</v>
      </c>
      <c r="CQ28" t="s">
        <v>3092</v>
      </c>
      <c r="CR28" t="s">
        <v>3092</v>
      </c>
      <c r="CS28" t="s">
        <v>3092</v>
      </c>
      <c r="CT28" t="s">
        <v>3092</v>
      </c>
      <c r="CU28" t="s">
        <v>3092</v>
      </c>
      <c r="CV28" t="s">
        <v>3092</v>
      </c>
      <c r="CW28" t="s">
        <v>3092</v>
      </c>
      <c r="CX28" t="s">
        <v>3092</v>
      </c>
      <c r="CY28" t="s">
        <v>3092</v>
      </c>
      <c r="CZ28" t="s">
        <v>3092</v>
      </c>
      <c r="DA28" t="s">
        <v>3092</v>
      </c>
    </row>
    <row r="29" spans="2:105" x14ac:dyDescent="0.2">
      <c r="B29" s="103">
        <v>24</v>
      </c>
      <c r="C29" s="135">
        <v>0</v>
      </c>
      <c r="D29" s="135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 t="s">
        <v>3092</v>
      </c>
      <c r="BP29" t="s">
        <v>3092</v>
      </c>
      <c r="BQ29" t="s">
        <v>3092</v>
      </c>
      <c r="BR29" t="s">
        <v>3092</v>
      </c>
      <c r="BS29" t="s">
        <v>3092</v>
      </c>
      <c r="BT29" t="s">
        <v>3092</v>
      </c>
      <c r="BU29" t="s">
        <v>3092</v>
      </c>
      <c r="BV29" t="s">
        <v>3092</v>
      </c>
      <c r="BW29" t="s">
        <v>3092</v>
      </c>
      <c r="BX29" t="s">
        <v>3092</v>
      </c>
      <c r="BY29" t="s">
        <v>3092</v>
      </c>
      <c r="BZ29" t="s">
        <v>3092</v>
      </c>
      <c r="CA29" t="s">
        <v>3092</v>
      </c>
      <c r="CB29" t="s">
        <v>3092</v>
      </c>
      <c r="CC29" t="s">
        <v>3092</v>
      </c>
      <c r="CD29" t="s">
        <v>3092</v>
      </c>
      <c r="CE29" t="s">
        <v>3092</v>
      </c>
      <c r="CF29" t="s">
        <v>3092</v>
      </c>
      <c r="CG29" t="s">
        <v>3092</v>
      </c>
      <c r="CH29" t="s">
        <v>3092</v>
      </c>
      <c r="CI29" t="s">
        <v>3092</v>
      </c>
      <c r="CJ29" t="s">
        <v>3092</v>
      </c>
      <c r="CK29" t="s">
        <v>3092</v>
      </c>
      <c r="CL29" t="s">
        <v>3092</v>
      </c>
      <c r="CM29" t="s">
        <v>3092</v>
      </c>
      <c r="CN29" t="s">
        <v>3092</v>
      </c>
      <c r="CO29" t="s">
        <v>3092</v>
      </c>
      <c r="CP29" t="s">
        <v>3092</v>
      </c>
      <c r="CQ29" t="s">
        <v>3092</v>
      </c>
      <c r="CR29" t="s">
        <v>3092</v>
      </c>
      <c r="CS29" t="s">
        <v>3092</v>
      </c>
      <c r="CT29" t="s">
        <v>3092</v>
      </c>
      <c r="CU29" t="s">
        <v>3092</v>
      </c>
      <c r="CV29" t="s">
        <v>3092</v>
      </c>
      <c r="CW29" t="s">
        <v>3092</v>
      </c>
      <c r="CX29" t="s">
        <v>3092</v>
      </c>
      <c r="CY29" t="s">
        <v>3092</v>
      </c>
      <c r="CZ29" t="s">
        <v>3092</v>
      </c>
      <c r="DA29" t="s">
        <v>3092</v>
      </c>
    </row>
    <row r="30" spans="2:105" x14ac:dyDescent="0.2">
      <c r="B30" s="103">
        <v>25</v>
      </c>
      <c r="C30" s="135">
        <v>0</v>
      </c>
      <c r="D30" s="135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 t="s">
        <v>3092</v>
      </c>
      <c r="BP30" t="s">
        <v>3092</v>
      </c>
      <c r="BQ30" t="s">
        <v>3092</v>
      </c>
      <c r="BR30" t="s">
        <v>3092</v>
      </c>
      <c r="BS30" t="s">
        <v>3092</v>
      </c>
      <c r="BT30" t="s">
        <v>3092</v>
      </c>
      <c r="BU30" t="s">
        <v>3092</v>
      </c>
      <c r="BV30" t="s">
        <v>3092</v>
      </c>
      <c r="BW30" t="s">
        <v>3092</v>
      </c>
      <c r="BX30" t="s">
        <v>3092</v>
      </c>
      <c r="BY30" t="s">
        <v>3092</v>
      </c>
      <c r="BZ30" t="s">
        <v>3092</v>
      </c>
      <c r="CA30" t="s">
        <v>3092</v>
      </c>
      <c r="CB30" t="s">
        <v>3092</v>
      </c>
      <c r="CC30" t="s">
        <v>3092</v>
      </c>
      <c r="CD30" t="s">
        <v>3092</v>
      </c>
      <c r="CE30" t="s">
        <v>3092</v>
      </c>
      <c r="CF30" t="s">
        <v>3092</v>
      </c>
      <c r="CG30" t="s">
        <v>3092</v>
      </c>
      <c r="CH30" t="s">
        <v>3092</v>
      </c>
      <c r="CI30" t="s">
        <v>3092</v>
      </c>
      <c r="CJ30" t="s">
        <v>3092</v>
      </c>
      <c r="CK30" t="s">
        <v>3092</v>
      </c>
      <c r="CL30" t="s">
        <v>3092</v>
      </c>
      <c r="CM30" t="s">
        <v>3092</v>
      </c>
      <c r="CN30" t="s">
        <v>3092</v>
      </c>
      <c r="CO30" t="s">
        <v>3092</v>
      </c>
      <c r="CP30" t="s">
        <v>3092</v>
      </c>
      <c r="CQ30" t="s">
        <v>3092</v>
      </c>
      <c r="CR30" t="s">
        <v>3092</v>
      </c>
      <c r="CS30" t="s">
        <v>3092</v>
      </c>
      <c r="CT30" t="s">
        <v>3092</v>
      </c>
      <c r="CU30" t="s">
        <v>3092</v>
      </c>
      <c r="CV30" t="s">
        <v>3092</v>
      </c>
      <c r="CW30" t="s">
        <v>3092</v>
      </c>
      <c r="CX30" t="s">
        <v>3092</v>
      </c>
      <c r="CY30" t="s">
        <v>3092</v>
      </c>
      <c r="CZ30" t="s">
        <v>3092</v>
      </c>
      <c r="DA30" t="s">
        <v>3092</v>
      </c>
    </row>
    <row r="31" spans="2:105" x14ac:dyDescent="0.2">
      <c r="B31" s="1175" t="s">
        <v>3735</v>
      </c>
      <c r="C31" s="1176"/>
      <c r="D31" s="1177"/>
    </row>
    <row r="32" spans="2:105" x14ac:dyDescent="0.2">
      <c r="B32" s="103">
        <v>1</v>
      </c>
      <c r="C32" s="135" t="s">
        <v>3031</v>
      </c>
      <c r="D32" s="135" t="s">
        <v>2283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</row>
    <row r="33" spans="2:66" x14ac:dyDescent="0.2">
      <c r="B33" s="103">
        <v>2</v>
      </c>
      <c r="C33" s="135" t="s">
        <v>3032</v>
      </c>
      <c r="D33" s="135" t="s">
        <v>2284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</row>
    <row r="34" spans="2:66" x14ac:dyDescent="0.2">
      <c r="B34" s="103">
        <v>3</v>
      </c>
      <c r="C34" s="135" t="s">
        <v>3033</v>
      </c>
      <c r="D34" s="135" t="s">
        <v>2292</v>
      </c>
      <c r="F34">
        <v>10</v>
      </c>
      <c r="G34">
        <v>10</v>
      </c>
      <c r="H34">
        <v>10</v>
      </c>
      <c r="I34">
        <v>10</v>
      </c>
      <c r="J34">
        <v>10</v>
      </c>
      <c r="K34">
        <v>10</v>
      </c>
      <c r="L34">
        <v>10</v>
      </c>
      <c r="M34">
        <v>10</v>
      </c>
      <c r="N34">
        <v>10</v>
      </c>
      <c r="O34">
        <v>10</v>
      </c>
      <c r="P34">
        <v>10</v>
      </c>
      <c r="Q34">
        <v>10</v>
      </c>
      <c r="R34">
        <v>10</v>
      </c>
      <c r="S34">
        <v>10</v>
      </c>
      <c r="T34">
        <v>10</v>
      </c>
      <c r="U34">
        <v>10</v>
      </c>
      <c r="V34">
        <v>10</v>
      </c>
      <c r="W34">
        <v>10</v>
      </c>
      <c r="X34">
        <v>10</v>
      </c>
      <c r="Y34">
        <v>10</v>
      </c>
      <c r="Z34">
        <v>10</v>
      </c>
      <c r="AA34">
        <v>10</v>
      </c>
      <c r="AB34">
        <v>10</v>
      </c>
      <c r="AC34">
        <v>10</v>
      </c>
      <c r="AD34">
        <v>10</v>
      </c>
      <c r="AE34">
        <v>10</v>
      </c>
      <c r="AF34">
        <v>10</v>
      </c>
      <c r="AG34">
        <v>10</v>
      </c>
      <c r="AH34">
        <v>10</v>
      </c>
      <c r="AI34">
        <v>10</v>
      </c>
      <c r="AJ34">
        <v>10</v>
      </c>
      <c r="AK34">
        <v>10</v>
      </c>
      <c r="AL34">
        <v>10</v>
      </c>
      <c r="AM34">
        <v>10</v>
      </c>
      <c r="AN34">
        <v>10</v>
      </c>
      <c r="AO34">
        <v>10</v>
      </c>
      <c r="AP34">
        <v>10</v>
      </c>
      <c r="AQ34">
        <v>10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</row>
    <row r="35" spans="2:66" x14ac:dyDescent="0.2">
      <c r="B35" s="103">
        <v>4</v>
      </c>
      <c r="C35" s="135" t="s">
        <v>3034</v>
      </c>
      <c r="D35" s="135" t="s">
        <v>2290</v>
      </c>
      <c r="F35">
        <v>6</v>
      </c>
      <c r="G35">
        <v>6</v>
      </c>
      <c r="H35">
        <v>6</v>
      </c>
      <c r="I35">
        <v>6</v>
      </c>
      <c r="J35">
        <v>6</v>
      </c>
      <c r="K35">
        <v>6</v>
      </c>
      <c r="L35">
        <v>6</v>
      </c>
      <c r="M35">
        <v>6</v>
      </c>
      <c r="N35">
        <v>6</v>
      </c>
      <c r="O35">
        <v>6</v>
      </c>
      <c r="P35">
        <v>6</v>
      </c>
      <c r="Q35">
        <v>6</v>
      </c>
      <c r="R35">
        <v>6</v>
      </c>
      <c r="S35">
        <v>6</v>
      </c>
      <c r="T35">
        <v>6</v>
      </c>
      <c r="U35">
        <v>6</v>
      </c>
      <c r="V35">
        <v>6</v>
      </c>
      <c r="W35">
        <v>6</v>
      </c>
      <c r="X35">
        <v>6</v>
      </c>
      <c r="Y35">
        <v>6</v>
      </c>
      <c r="Z35">
        <v>6</v>
      </c>
      <c r="AA35">
        <v>6</v>
      </c>
      <c r="AB35">
        <v>6</v>
      </c>
      <c r="AC35">
        <v>6</v>
      </c>
      <c r="AD35">
        <v>6</v>
      </c>
      <c r="AE35">
        <v>6</v>
      </c>
      <c r="AF35">
        <v>6</v>
      </c>
      <c r="AG35">
        <v>6</v>
      </c>
      <c r="AH35">
        <v>6</v>
      </c>
      <c r="AI35">
        <v>6</v>
      </c>
      <c r="AJ35">
        <v>6</v>
      </c>
      <c r="AK35">
        <v>6</v>
      </c>
      <c r="AL35">
        <v>6</v>
      </c>
      <c r="AM35">
        <v>6</v>
      </c>
      <c r="AN35">
        <v>6</v>
      </c>
      <c r="AO35">
        <v>6</v>
      </c>
      <c r="AP35">
        <v>6</v>
      </c>
      <c r="AQ35">
        <v>6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</row>
    <row r="36" spans="2:66" x14ac:dyDescent="0.2">
      <c r="B36" s="103">
        <v>5</v>
      </c>
      <c r="C36" s="135" t="s">
        <v>3036</v>
      </c>
      <c r="D36" s="135" t="s">
        <v>3710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</row>
    <row r="37" spans="2:66" x14ac:dyDescent="0.2">
      <c r="B37" s="103">
        <v>6</v>
      </c>
      <c r="C37" s="135" t="s">
        <v>3037</v>
      </c>
      <c r="D37" s="135" t="s">
        <v>2287</v>
      </c>
      <c r="F37">
        <v>2</v>
      </c>
      <c r="G37">
        <v>2</v>
      </c>
      <c r="H37">
        <v>2</v>
      </c>
      <c r="I37">
        <v>2</v>
      </c>
      <c r="J37">
        <v>2</v>
      </c>
      <c r="K37">
        <v>2</v>
      </c>
      <c r="L37">
        <v>2</v>
      </c>
      <c r="M37">
        <v>2</v>
      </c>
      <c r="N37">
        <v>4</v>
      </c>
      <c r="O37">
        <v>4</v>
      </c>
      <c r="P37">
        <v>4</v>
      </c>
      <c r="Q37">
        <v>2</v>
      </c>
      <c r="R37">
        <v>2</v>
      </c>
      <c r="S37">
        <v>2</v>
      </c>
      <c r="T37">
        <v>2</v>
      </c>
      <c r="U37">
        <v>2</v>
      </c>
      <c r="V37">
        <v>2</v>
      </c>
      <c r="W37">
        <v>2</v>
      </c>
      <c r="X37">
        <v>2</v>
      </c>
      <c r="Y37">
        <v>2</v>
      </c>
      <c r="Z37">
        <v>2</v>
      </c>
      <c r="AA37">
        <v>2</v>
      </c>
      <c r="AB37">
        <v>2</v>
      </c>
      <c r="AC37">
        <v>2</v>
      </c>
      <c r="AD37">
        <v>2</v>
      </c>
      <c r="AE37">
        <v>2</v>
      </c>
      <c r="AF37">
        <v>2</v>
      </c>
      <c r="AG37">
        <v>2</v>
      </c>
      <c r="AH37">
        <v>2</v>
      </c>
      <c r="AI37">
        <v>2</v>
      </c>
      <c r="AJ37">
        <v>2</v>
      </c>
      <c r="AK37">
        <v>2</v>
      </c>
      <c r="AL37">
        <v>2</v>
      </c>
      <c r="AM37">
        <v>2</v>
      </c>
      <c r="AN37">
        <v>2</v>
      </c>
      <c r="AO37">
        <v>2</v>
      </c>
      <c r="AP37">
        <v>2</v>
      </c>
      <c r="AQ37">
        <v>2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</row>
    <row r="38" spans="2:66" x14ac:dyDescent="0.2">
      <c r="B38" s="103">
        <v>7</v>
      </c>
      <c r="C38" s="135" t="s">
        <v>3038</v>
      </c>
      <c r="D38" s="135" t="s">
        <v>2286</v>
      </c>
      <c r="F38">
        <v>2</v>
      </c>
      <c r="G38">
        <v>2</v>
      </c>
      <c r="H38">
        <v>2</v>
      </c>
      <c r="I38">
        <v>2</v>
      </c>
      <c r="J38">
        <v>2</v>
      </c>
      <c r="K38">
        <v>2</v>
      </c>
      <c r="L38">
        <v>2</v>
      </c>
      <c r="M38">
        <v>2</v>
      </c>
      <c r="N38">
        <v>2</v>
      </c>
      <c r="O38">
        <v>2</v>
      </c>
      <c r="P38">
        <v>2</v>
      </c>
      <c r="Q38">
        <v>2</v>
      </c>
      <c r="R38">
        <v>2</v>
      </c>
      <c r="S38">
        <v>2</v>
      </c>
      <c r="T38">
        <v>2</v>
      </c>
      <c r="U38">
        <v>2</v>
      </c>
      <c r="V38">
        <v>2</v>
      </c>
      <c r="W38">
        <v>2</v>
      </c>
      <c r="X38">
        <v>2</v>
      </c>
      <c r="Y38">
        <v>2</v>
      </c>
      <c r="Z38">
        <v>2</v>
      </c>
      <c r="AA38">
        <v>2</v>
      </c>
      <c r="AB38">
        <v>2</v>
      </c>
      <c r="AC38">
        <v>2</v>
      </c>
      <c r="AD38">
        <v>2</v>
      </c>
      <c r="AE38">
        <v>2</v>
      </c>
      <c r="AF38">
        <v>2</v>
      </c>
      <c r="AG38">
        <v>2</v>
      </c>
      <c r="AH38">
        <v>2</v>
      </c>
      <c r="AI38">
        <v>2</v>
      </c>
      <c r="AJ38">
        <v>2</v>
      </c>
      <c r="AK38">
        <v>2</v>
      </c>
      <c r="AL38">
        <v>2</v>
      </c>
      <c r="AM38">
        <v>2</v>
      </c>
      <c r="AN38">
        <v>2</v>
      </c>
      <c r="AO38">
        <v>2</v>
      </c>
      <c r="AP38">
        <v>2</v>
      </c>
      <c r="AQ38">
        <v>2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</row>
    <row r="39" spans="2:66" x14ac:dyDescent="0.2">
      <c r="B39" s="103">
        <v>8</v>
      </c>
      <c r="C39" s="135" t="s">
        <v>3039</v>
      </c>
      <c r="D39" s="135" t="s">
        <v>2285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</row>
    <row r="40" spans="2:66" x14ac:dyDescent="0.2">
      <c r="B40" s="103">
        <v>9</v>
      </c>
      <c r="C40" s="135" t="s">
        <v>3040</v>
      </c>
      <c r="D40" s="135" t="s">
        <v>1930</v>
      </c>
      <c r="F40">
        <v>0.5</v>
      </c>
      <c r="G40">
        <v>0.5</v>
      </c>
      <c r="H40">
        <v>0.5</v>
      </c>
      <c r="I40">
        <v>0.5</v>
      </c>
      <c r="J40">
        <v>0.5</v>
      </c>
      <c r="K40">
        <v>0.5</v>
      </c>
      <c r="L40">
        <v>0.5</v>
      </c>
      <c r="M40">
        <v>0.5</v>
      </c>
      <c r="N40">
        <v>0.5</v>
      </c>
      <c r="O40">
        <v>0.5</v>
      </c>
      <c r="P40">
        <v>0.5</v>
      </c>
      <c r="Q40">
        <v>0.5</v>
      </c>
      <c r="R40">
        <v>0.5</v>
      </c>
      <c r="S40">
        <v>0.5</v>
      </c>
      <c r="T40">
        <v>0.5</v>
      </c>
      <c r="U40">
        <v>0.5</v>
      </c>
      <c r="V40">
        <v>0.5</v>
      </c>
      <c r="W40">
        <v>0.5</v>
      </c>
      <c r="X40">
        <v>0.5</v>
      </c>
      <c r="Y40">
        <v>0.5</v>
      </c>
      <c r="Z40">
        <v>0.5</v>
      </c>
      <c r="AA40">
        <v>0.5</v>
      </c>
      <c r="AB40">
        <v>0.5</v>
      </c>
      <c r="AC40">
        <v>0.5</v>
      </c>
      <c r="AD40">
        <v>0.5</v>
      </c>
      <c r="AE40">
        <v>0.5</v>
      </c>
      <c r="AF40">
        <v>0.5</v>
      </c>
      <c r="AG40">
        <v>0.5</v>
      </c>
      <c r="AH40">
        <v>0.5</v>
      </c>
      <c r="AI40">
        <v>0.5</v>
      </c>
      <c r="AJ40">
        <v>0.5</v>
      </c>
      <c r="AK40">
        <v>0.5</v>
      </c>
      <c r="AL40">
        <v>0.5</v>
      </c>
      <c r="AM40">
        <v>0.5</v>
      </c>
      <c r="AN40">
        <v>0.5</v>
      </c>
      <c r="AO40">
        <v>0.5</v>
      </c>
      <c r="AP40">
        <v>0.5</v>
      </c>
      <c r="AQ40">
        <v>0.5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</row>
    <row r="41" spans="2:66" x14ac:dyDescent="0.2">
      <c r="B41" s="103">
        <v>10</v>
      </c>
      <c r="C41" s="135" t="s">
        <v>3041</v>
      </c>
      <c r="D41" s="135" t="s">
        <v>2293</v>
      </c>
      <c r="F41">
        <v>2</v>
      </c>
      <c r="G41">
        <v>2</v>
      </c>
      <c r="H41">
        <v>2</v>
      </c>
      <c r="I41">
        <v>2</v>
      </c>
      <c r="J41">
        <v>2</v>
      </c>
      <c r="K41">
        <v>2</v>
      </c>
      <c r="L41">
        <v>2</v>
      </c>
      <c r="M41">
        <v>2</v>
      </c>
      <c r="N41">
        <v>2</v>
      </c>
      <c r="O41">
        <v>2</v>
      </c>
      <c r="P41">
        <v>2</v>
      </c>
      <c r="Q41">
        <v>2</v>
      </c>
      <c r="R41">
        <v>2</v>
      </c>
      <c r="S41">
        <v>2</v>
      </c>
      <c r="T41">
        <v>2</v>
      </c>
      <c r="U41">
        <v>2</v>
      </c>
      <c r="V41">
        <v>2</v>
      </c>
      <c r="W41">
        <v>2</v>
      </c>
      <c r="X41">
        <v>2</v>
      </c>
      <c r="Y41">
        <v>2</v>
      </c>
      <c r="Z41">
        <v>2</v>
      </c>
      <c r="AA41">
        <v>2</v>
      </c>
      <c r="AB41">
        <v>2</v>
      </c>
      <c r="AC41">
        <v>2</v>
      </c>
      <c r="AD41">
        <v>2</v>
      </c>
      <c r="AE41">
        <v>2</v>
      </c>
      <c r="AF41">
        <v>2</v>
      </c>
      <c r="AG41">
        <v>2</v>
      </c>
      <c r="AH41">
        <v>2</v>
      </c>
      <c r="AI41">
        <v>2</v>
      </c>
      <c r="AJ41">
        <v>2</v>
      </c>
      <c r="AK41">
        <v>2</v>
      </c>
      <c r="AL41">
        <v>2</v>
      </c>
      <c r="AM41">
        <v>2</v>
      </c>
      <c r="AN41">
        <v>2</v>
      </c>
      <c r="AO41">
        <v>2</v>
      </c>
      <c r="AP41">
        <v>2</v>
      </c>
      <c r="AQ41">
        <v>2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</row>
    <row r="42" spans="2:66" x14ac:dyDescent="0.2">
      <c r="B42" s="103">
        <v>11</v>
      </c>
      <c r="C42" s="135" t="s">
        <v>3046</v>
      </c>
      <c r="D42" s="135" t="s">
        <v>2296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</row>
    <row r="43" spans="2:66" x14ac:dyDescent="0.2">
      <c r="B43" s="103">
        <v>12</v>
      </c>
      <c r="C43" s="135" t="s">
        <v>3047</v>
      </c>
      <c r="D43" s="135" t="s">
        <v>2484</v>
      </c>
      <c r="F43">
        <v>3</v>
      </c>
      <c r="G43">
        <v>3</v>
      </c>
      <c r="H43">
        <v>3</v>
      </c>
      <c r="I43">
        <v>3</v>
      </c>
      <c r="J43">
        <v>3</v>
      </c>
      <c r="K43">
        <v>3</v>
      </c>
      <c r="L43">
        <v>3</v>
      </c>
      <c r="M43">
        <v>3</v>
      </c>
      <c r="N43">
        <v>3</v>
      </c>
      <c r="O43">
        <v>3</v>
      </c>
      <c r="P43">
        <v>3</v>
      </c>
      <c r="Q43">
        <v>3</v>
      </c>
      <c r="R43">
        <v>3</v>
      </c>
      <c r="S43">
        <v>3</v>
      </c>
      <c r="T43">
        <v>3</v>
      </c>
      <c r="U43">
        <v>3</v>
      </c>
      <c r="V43">
        <v>3</v>
      </c>
      <c r="W43">
        <v>3</v>
      </c>
      <c r="X43">
        <v>3</v>
      </c>
      <c r="Y43">
        <v>3</v>
      </c>
      <c r="Z43">
        <v>3</v>
      </c>
      <c r="AA43">
        <v>3</v>
      </c>
      <c r="AB43">
        <v>3</v>
      </c>
      <c r="AC43">
        <v>3</v>
      </c>
      <c r="AD43">
        <v>3</v>
      </c>
      <c r="AE43">
        <v>3</v>
      </c>
      <c r="AF43">
        <v>3</v>
      </c>
      <c r="AG43">
        <v>3</v>
      </c>
      <c r="AH43">
        <v>3</v>
      </c>
      <c r="AI43">
        <v>3</v>
      </c>
      <c r="AJ43">
        <v>3</v>
      </c>
      <c r="AK43">
        <v>3</v>
      </c>
      <c r="AL43">
        <v>3</v>
      </c>
      <c r="AM43">
        <v>3</v>
      </c>
      <c r="AN43">
        <v>3</v>
      </c>
      <c r="AO43">
        <v>3</v>
      </c>
      <c r="AP43">
        <v>3</v>
      </c>
      <c r="AQ43">
        <v>3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</row>
    <row r="44" spans="2:66" x14ac:dyDescent="0.2">
      <c r="B44" s="103">
        <v>13</v>
      </c>
      <c r="C44" s="135" t="s">
        <v>3048</v>
      </c>
      <c r="D44" s="135" t="s">
        <v>1987</v>
      </c>
      <c r="F44">
        <v>40</v>
      </c>
      <c r="G44">
        <v>40</v>
      </c>
      <c r="H44">
        <v>40</v>
      </c>
      <c r="I44">
        <v>35</v>
      </c>
      <c r="J44">
        <v>35</v>
      </c>
      <c r="K44">
        <v>28</v>
      </c>
      <c r="L44">
        <v>43</v>
      </c>
      <c r="M44">
        <v>43</v>
      </c>
      <c r="N44">
        <v>25</v>
      </c>
      <c r="O44">
        <v>25</v>
      </c>
      <c r="P44">
        <v>25</v>
      </c>
      <c r="Q44">
        <v>36</v>
      </c>
      <c r="R44">
        <v>36</v>
      </c>
      <c r="S44">
        <v>45</v>
      </c>
      <c r="T44">
        <v>45</v>
      </c>
      <c r="U44">
        <v>24</v>
      </c>
      <c r="V44">
        <v>24</v>
      </c>
      <c r="W44">
        <v>24</v>
      </c>
      <c r="X44">
        <v>24</v>
      </c>
      <c r="Y44">
        <v>24</v>
      </c>
      <c r="Z44">
        <v>24</v>
      </c>
      <c r="AA44">
        <v>24</v>
      </c>
      <c r="AB44">
        <v>22</v>
      </c>
      <c r="AC44">
        <v>22</v>
      </c>
      <c r="AD44">
        <v>22</v>
      </c>
      <c r="AE44">
        <v>22</v>
      </c>
      <c r="AF44">
        <v>22</v>
      </c>
      <c r="AG44">
        <v>22</v>
      </c>
      <c r="AH44">
        <v>22</v>
      </c>
      <c r="AI44">
        <v>22</v>
      </c>
      <c r="AJ44">
        <v>22</v>
      </c>
      <c r="AK44">
        <v>22</v>
      </c>
      <c r="AL44">
        <v>22</v>
      </c>
      <c r="AM44">
        <v>22</v>
      </c>
      <c r="AN44">
        <v>22</v>
      </c>
      <c r="AO44">
        <v>24</v>
      </c>
      <c r="AP44">
        <v>22</v>
      </c>
      <c r="AQ44">
        <v>29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</row>
    <row r="45" spans="2:66" x14ac:dyDescent="0.2">
      <c r="B45" s="103">
        <v>14</v>
      </c>
      <c r="C45" s="135" t="s">
        <v>3049</v>
      </c>
      <c r="D45" s="13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</row>
    <row r="46" spans="2:66" x14ac:dyDescent="0.2">
      <c r="B46" s="103">
        <v>15</v>
      </c>
      <c r="C46" s="135" t="s">
        <v>3725</v>
      </c>
      <c r="D46" s="135" t="s">
        <v>1995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</row>
    <row r="47" spans="2:66" x14ac:dyDescent="0.2">
      <c r="B47" s="103">
        <v>16</v>
      </c>
      <c r="C47" s="135" t="s">
        <v>3724</v>
      </c>
      <c r="D47" s="135" t="s">
        <v>1996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</row>
    <row r="48" spans="2:66" x14ac:dyDescent="0.2">
      <c r="B48" s="103">
        <v>17</v>
      </c>
      <c r="C48" s="135" t="s">
        <v>3035</v>
      </c>
      <c r="D48" s="135" t="s">
        <v>2295</v>
      </c>
      <c r="F48">
        <v>60</v>
      </c>
      <c r="G48">
        <v>60</v>
      </c>
      <c r="H48">
        <v>60</v>
      </c>
      <c r="I48">
        <v>50</v>
      </c>
      <c r="J48">
        <v>50</v>
      </c>
      <c r="K48">
        <v>40</v>
      </c>
      <c r="L48">
        <v>60</v>
      </c>
      <c r="M48">
        <v>60</v>
      </c>
      <c r="N48">
        <v>40</v>
      </c>
      <c r="O48">
        <v>40</v>
      </c>
      <c r="P48">
        <v>40</v>
      </c>
      <c r="Q48">
        <v>50</v>
      </c>
      <c r="R48">
        <v>50</v>
      </c>
      <c r="S48">
        <v>60</v>
      </c>
      <c r="T48">
        <v>60</v>
      </c>
      <c r="U48">
        <v>30</v>
      </c>
      <c r="V48">
        <v>30</v>
      </c>
      <c r="W48">
        <v>30</v>
      </c>
      <c r="X48">
        <v>30</v>
      </c>
      <c r="Y48">
        <v>30</v>
      </c>
      <c r="Z48">
        <v>30</v>
      </c>
      <c r="AA48">
        <v>30</v>
      </c>
      <c r="AB48">
        <v>30</v>
      </c>
      <c r="AC48">
        <v>30</v>
      </c>
      <c r="AD48">
        <v>30</v>
      </c>
      <c r="AE48">
        <v>30</v>
      </c>
      <c r="AF48">
        <v>30</v>
      </c>
      <c r="AG48">
        <v>30</v>
      </c>
      <c r="AH48">
        <v>30</v>
      </c>
      <c r="AI48">
        <v>30</v>
      </c>
      <c r="AJ48">
        <v>30</v>
      </c>
      <c r="AK48">
        <v>30</v>
      </c>
      <c r="AL48">
        <v>30</v>
      </c>
      <c r="AM48">
        <v>30</v>
      </c>
      <c r="AN48">
        <v>30</v>
      </c>
      <c r="AO48">
        <v>30</v>
      </c>
      <c r="AP48">
        <v>30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</row>
    <row r="49" spans="2:66" x14ac:dyDescent="0.2">
      <c r="B49" s="103">
        <v>18</v>
      </c>
      <c r="C49" s="135" t="s">
        <v>3529</v>
      </c>
      <c r="D49" s="135" t="s">
        <v>2291</v>
      </c>
      <c r="F49">
        <v>15</v>
      </c>
      <c r="G49">
        <v>15</v>
      </c>
      <c r="H49">
        <v>15</v>
      </c>
      <c r="I49">
        <v>15</v>
      </c>
      <c r="J49">
        <v>15</v>
      </c>
      <c r="K49">
        <v>12</v>
      </c>
      <c r="L49">
        <v>15</v>
      </c>
      <c r="M49">
        <v>15</v>
      </c>
      <c r="N49">
        <v>10</v>
      </c>
      <c r="O49">
        <v>10</v>
      </c>
      <c r="P49">
        <v>10</v>
      </c>
      <c r="Q49">
        <v>12</v>
      </c>
      <c r="R49">
        <v>12</v>
      </c>
      <c r="S49">
        <v>15</v>
      </c>
      <c r="T49">
        <v>15</v>
      </c>
      <c r="U49">
        <v>8</v>
      </c>
      <c r="V49">
        <v>8</v>
      </c>
      <c r="W49">
        <v>8</v>
      </c>
      <c r="X49">
        <v>8</v>
      </c>
      <c r="Y49">
        <v>8</v>
      </c>
      <c r="Z49">
        <v>8</v>
      </c>
      <c r="AA49">
        <v>8</v>
      </c>
      <c r="AB49">
        <v>5</v>
      </c>
      <c r="AC49">
        <v>5</v>
      </c>
      <c r="AD49">
        <v>5</v>
      </c>
      <c r="AE49">
        <v>5</v>
      </c>
      <c r="AF49">
        <v>5</v>
      </c>
      <c r="AG49">
        <v>5</v>
      </c>
      <c r="AH49">
        <v>5</v>
      </c>
      <c r="AI49">
        <v>5</v>
      </c>
      <c r="AJ49">
        <v>5</v>
      </c>
      <c r="AK49">
        <v>5</v>
      </c>
      <c r="AL49">
        <v>5</v>
      </c>
      <c r="AM49">
        <v>5</v>
      </c>
      <c r="AN49">
        <v>5</v>
      </c>
      <c r="AO49">
        <v>8</v>
      </c>
      <c r="AP49">
        <v>5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</row>
    <row r="50" spans="2:66" x14ac:dyDescent="0.2">
      <c r="B50" s="103">
        <v>19</v>
      </c>
      <c r="C50" s="135" t="s">
        <v>3029</v>
      </c>
      <c r="D50" s="135" t="s">
        <v>1988</v>
      </c>
      <c r="F50">
        <v>5</v>
      </c>
      <c r="G50">
        <v>5</v>
      </c>
      <c r="H50">
        <v>5</v>
      </c>
      <c r="I50">
        <v>5</v>
      </c>
      <c r="J50">
        <v>5</v>
      </c>
      <c r="K50">
        <v>5</v>
      </c>
      <c r="L50">
        <v>5</v>
      </c>
      <c r="M50">
        <v>5</v>
      </c>
      <c r="N50">
        <v>5</v>
      </c>
      <c r="O50">
        <v>5</v>
      </c>
      <c r="P50">
        <v>5</v>
      </c>
      <c r="Q50">
        <v>5</v>
      </c>
      <c r="R50">
        <v>5</v>
      </c>
      <c r="S50">
        <v>5</v>
      </c>
      <c r="T50">
        <v>5</v>
      </c>
      <c r="U50">
        <v>5</v>
      </c>
      <c r="V50">
        <v>5</v>
      </c>
      <c r="W50">
        <v>5</v>
      </c>
      <c r="X50">
        <v>5</v>
      </c>
      <c r="Y50">
        <v>5</v>
      </c>
      <c r="Z50">
        <v>5</v>
      </c>
      <c r="AA50">
        <v>5</v>
      </c>
      <c r="AB50">
        <v>5</v>
      </c>
      <c r="AC50">
        <v>5</v>
      </c>
      <c r="AD50">
        <v>5</v>
      </c>
      <c r="AE50">
        <v>5</v>
      </c>
      <c r="AF50">
        <v>5</v>
      </c>
      <c r="AG50">
        <v>5</v>
      </c>
      <c r="AH50">
        <v>5</v>
      </c>
      <c r="AI50">
        <v>5</v>
      </c>
      <c r="AJ50">
        <v>5</v>
      </c>
      <c r="AK50">
        <v>5</v>
      </c>
      <c r="AL50">
        <v>5</v>
      </c>
      <c r="AM50">
        <v>5</v>
      </c>
      <c r="AN50">
        <v>5</v>
      </c>
      <c r="AO50">
        <v>5</v>
      </c>
      <c r="AP50">
        <v>5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</row>
    <row r="51" spans="2:66" x14ac:dyDescent="0.2">
      <c r="B51" s="103">
        <v>20</v>
      </c>
      <c r="C51" s="135" t="s">
        <v>2885</v>
      </c>
      <c r="D51" s="135" t="s">
        <v>1985</v>
      </c>
      <c r="F51">
        <v>2</v>
      </c>
      <c r="G51">
        <v>2</v>
      </c>
      <c r="H51">
        <v>2</v>
      </c>
      <c r="I51">
        <v>2</v>
      </c>
      <c r="J51">
        <v>2</v>
      </c>
      <c r="K51">
        <v>2</v>
      </c>
      <c r="L51">
        <v>2</v>
      </c>
      <c r="M51">
        <v>2</v>
      </c>
      <c r="N51">
        <v>2</v>
      </c>
      <c r="O51">
        <v>2</v>
      </c>
      <c r="P51">
        <v>2</v>
      </c>
      <c r="Q51">
        <v>2</v>
      </c>
      <c r="R51">
        <v>2</v>
      </c>
      <c r="S51">
        <v>2</v>
      </c>
      <c r="T51">
        <v>2</v>
      </c>
      <c r="U51">
        <v>2</v>
      </c>
      <c r="V51">
        <v>2</v>
      </c>
      <c r="W51">
        <v>2</v>
      </c>
      <c r="X51">
        <v>2</v>
      </c>
      <c r="Y51">
        <v>2</v>
      </c>
      <c r="Z51">
        <v>2</v>
      </c>
      <c r="AA51">
        <v>2</v>
      </c>
      <c r="AB51">
        <v>2</v>
      </c>
      <c r="AC51">
        <v>2</v>
      </c>
      <c r="AD51">
        <v>2</v>
      </c>
      <c r="AE51">
        <v>2</v>
      </c>
      <c r="AF51">
        <v>2</v>
      </c>
      <c r="AG51">
        <v>2</v>
      </c>
      <c r="AH51">
        <v>2</v>
      </c>
      <c r="AI51">
        <v>2</v>
      </c>
      <c r="AJ51">
        <v>2</v>
      </c>
      <c r="AK51">
        <v>2</v>
      </c>
      <c r="AL51">
        <v>2</v>
      </c>
      <c r="AM51">
        <v>2</v>
      </c>
      <c r="AN51">
        <v>2</v>
      </c>
      <c r="AO51">
        <v>2</v>
      </c>
      <c r="AP51">
        <v>2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</row>
    <row r="52" spans="2:66" x14ac:dyDescent="0.2">
      <c r="B52" s="103">
        <v>21</v>
      </c>
      <c r="C52" s="135" t="s">
        <v>3053</v>
      </c>
      <c r="D52" s="135" t="s">
        <v>1918</v>
      </c>
      <c r="F52">
        <v>3</v>
      </c>
      <c r="G52">
        <v>3</v>
      </c>
      <c r="H52">
        <v>3</v>
      </c>
      <c r="I52">
        <v>3</v>
      </c>
      <c r="J52">
        <v>3</v>
      </c>
      <c r="K52">
        <v>3</v>
      </c>
      <c r="L52">
        <v>3</v>
      </c>
      <c r="M52">
        <v>3</v>
      </c>
      <c r="N52">
        <v>3</v>
      </c>
      <c r="O52">
        <v>3</v>
      </c>
      <c r="P52">
        <v>3</v>
      </c>
      <c r="Q52">
        <v>3</v>
      </c>
      <c r="R52">
        <v>3</v>
      </c>
      <c r="S52">
        <v>3</v>
      </c>
      <c r="T52">
        <v>3</v>
      </c>
      <c r="U52">
        <v>3</v>
      </c>
      <c r="V52">
        <v>3</v>
      </c>
      <c r="W52">
        <v>3</v>
      </c>
      <c r="X52">
        <v>3</v>
      </c>
      <c r="Y52">
        <v>3</v>
      </c>
      <c r="Z52">
        <v>3</v>
      </c>
      <c r="AA52">
        <v>3</v>
      </c>
      <c r="AB52">
        <v>3</v>
      </c>
      <c r="AC52">
        <v>3</v>
      </c>
      <c r="AD52">
        <v>3</v>
      </c>
      <c r="AE52">
        <v>3</v>
      </c>
      <c r="AF52">
        <v>3</v>
      </c>
      <c r="AG52">
        <v>3</v>
      </c>
      <c r="AH52">
        <v>3</v>
      </c>
      <c r="AI52">
        <v>3</v>
      </c>
      <c r="AJ52">
        <v>3</v>
      </c>
      <c r="AK52">
        <v>3</v>
      </c>
      <c r="AL52">
        <v>3</v>
      </c>
      <c r="AM52">
        <v>3</v>
      </c>
      <c r="AN52">
        <v>3</v>
      </c>
      <c r="AO52">
        <v>3</v>
      </c>
      <c r="AP52">
        <v>3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</row>
    <row r="53" spans="2:66" x14ac:dyDescent="0.2">
      <c r="B53" s="103">
        <v>22</v>
      </c>
      <c r="C53" s="135" t="s">
        <v>3030</v>
      </c>
      <c r="D53" s="135" t="s">
        <v>2289</v>
      </c>
      <c r="F53">
        <v>2</v>
      </c>
      <c r="G53">
        <v>2</v>
      </c>
      <c r="H53">
        <v>2</v>
      </c>
      <c r="I53">
        <v>2</v>
      </c>
      <c r="J53">
        <v>2</v>
      </c>
      <c r="K53">
        <v>2</v>
      </c>
      <c r="L53">
        <v>2</v>
      </c>
      <c r="M53">
        <v>2</v>
      </c>
      <c r="N53">
        <v>2</v>
      </c>
      <c r="O53">
        <v>2</v>
      </c>
      <c r="P53">
        <v>2</v>
      </c>
      <c r="Q53">
        <v>2</v>
      </c>
      <c r="R53">
        <v>2</v>
      </c>
      <c r="S53">
        <v>2</v>
      </c>
      <c r="T53">
        <v>2</v>
      </c>
      <c r="U53">
        <v>2</v>
      </c>
      <c r="V53">
        <v>2</v>
      </c>
      <c r="W53">
        <v>2</v>
      </c>
      <c r="X53">
        <v>2</v>
      </c>
      <c r="Y53">
        <v>2</v>
      </c>
      <c r="Z53">
        <v>2</v>
      </c>
      <c r="AA53">
        <v>2</v>
      </c>
      <c r="AB53">
        <v>2</v>
      </c>
      <c r="AC53">
        <v>2</v>
      </c>
      <c r="AD53">
        <v>2</v>
      </c>
      <c r="AE53">
        <v>2</v>
      </c>
      <c r="AF53">
        <v>2</v>
      </c>
      <c r="AG53">
        <v>2</v>
      </c>
      <c r="AH53">
        <v>2</v>
      </c>
      <c r="AI53">
        <v>2</v>
      </c>
      <c r="AJ53">
        <v>2</v>
      </c>
      <c r="AK53">
        <v>2</v>
      </c>
      <c r="AL53">
        <v>2</v>
      </c>
      <c r="AM53">
        <v>2</v>
      </c>
      <c r="AN53">
        <v>2</v>
      </c>
      <c r="AO53">
        <v>2</v>
      </c>
      <c r="AP53">
        <v>2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</row>
    <row r="54" spans="2:66" x14ac:dyDescent="0.2">
      <c r="B54" s="103">
        <v>23</v>
      </c>
      <c r="C54" s="135">
        <v>0</v>
      </c>
      <c r="D54" s="135" t="s">
        <v>1993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</row>
    <row r="55" spans="2:66" x14ac:dyDescent="0.2">
      <c r="B55" s="103">
        <v>24</v>
      </c>
      <c r="C55" s="135">
        <v>0</v>
      </c>
      <c r="D55" s="13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</row>
    <row r="56" spans="2:66" x14ac:dyDescent="0.2">
      <c r="B56" s="103">
        <v>25</v>
      </c>
      <c r="C56" s="135">
        <v>0</v>
      </c>
      <c r="D56" s="135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</row>
    <row r="57" spans="2:66" x14ac:dyDescent="0.2">
      <c r="B57" s="1175" t="s">
        <v>3734</v>
      </c>
      <c r="C57" s="1176"/>
      <c r="D57" s="1177"/>
    </row>
    <row r="58" spans="2:66" x14ac:dyDescent="0.2">
      <c r="B58" s="103">
        <v>1</v>
      </c>
      <c r="C58" s="135" t="s">
        <v>3023</v>
      </c>
      <c r="D58" s="135" t="s">
        <v>1993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</row>
    <row r="59" spans="2:66" x14ac:dyDescent="0.2">
      <c r="B59" s="103">
        <v>2</v>
      </c>
      <c r="C59" s="135" t="s">
        <v>3024</v>
      </c>
      <c r="D59" s="135" t="s">
        <v>1994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</row>
    <row r="60" spans="2:66" x14ac:dyDescent="0.2">
      <c r="B60" s="103">
        <v>3</v>
      </c>
      <c r="C60" s="135" t="s">
        <v>3025</v>
      </c>
      <c r="D60" s="135" t="s">
        <v>1992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45</v>
      </c>
      <c r="O60">
        <v>45</v>
      </c>
      <c r="P60">
        <v>45</v>
      </c>
      <c r="Q60">
        <v>0</v>
      </c>
      <c r="R60">
        <v>0</v>
      </c>
      <c r="S60">
        <v>0</v>
      </c>
      <c r="T60">
        <v>0</v>
      </c>
      <c r="U60">
        <v>45</v>
      </c>
      <c r="V60">
        <v>45</v>
      </c>
      <c r="W60">
        <v>45</v>
      </c>
      <c r="X60">
        <v>45</v>
      </c>
      <c r="Y60">
        <v>45</v>
      </c>
      <c r="Z60">
        <v>45</v>
      </c>
      <c r="AA60">
        <v>45</v>
      </c>
      <c r="AB60">
        <v>35</v>
      </c>
      <c r="AC60">
        <v>35</v>
      </c>
      <c r="AD60">
        <v>35</v>
      </c>
      <c r="AE60">
        <v>35</v>
      </c>
      <c r="AF60">
        <v>35</v>
      </c>
      <c r="AG60">
        <v>35</v>
      </c>
      <c r="AH60">
        <v>35</v>
      </c>
      <c r="AI60">
        <v>35</v>
      </c>
      <c r="AJ60">
        <v>35</v>
      </c>
      <c r="AK60">
        <v>35</v>
      </c>
      <c r="AL60">
        <v>35</v>
      </c>
      <c r="AM60">
        <v>35</v>
      </c>
      <c r="AN60">
        <v>35</v>
      </c>
      <c r="AO60">
        <v>45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</row>
    <row r="61" spans="2:66" x14ac:dyDescent="0.2">
      <c r="B61" s="103">
        <v>4</v>
      </c>
      <c r="C61" s="135" t="s">
        <v>3026</v>
      </c>
      <c r="D61" s="135" t="s">
        <v>1998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15</v>
      </c>
      <c r="O61">
        <v>15</v>
      </c>
      <c r="P61">
        <v>15</v>
      </c>
      <c r="Q61">
        <v>0</v>
      </c>
      <c r="R61">
        <v>0</v>
      </c>
      <c r="S61">
        <v>0</v>
      </c>
      <c r="T61">
        <v>0</v>
      </c>
      <c r="U61">
        <v>15</v>
      </c>
      <c r="V61">
        <v>15</v>
      </c>
      <c r="W61">
        <v>15</v>
      </c>
      <c r="X61">
        <v>15</v>
      </c>
      <c r="Y61">
        <v>15</v>
      </c>
      <c r="Z61">
        <v>15</v>
      </c>
      <c r="AA61">
        <v>15</v>
      </c>
      <c r="AB61">
        <v>9</v>
      </c>
      <c r="AC61">
        <v>9</v>
      </c>
      <c r="AD61">
        <v>9</v>
      </c>
      <c r="AE61">
        <v>9</v>
      </c>
      <c r="AF61">
        <v>9</v>
      </c>
      <c r="AG61">
        <v>9</v>
      </c>
      <c r="AH61">
        <v>9</v>
      </c>
      <c r="AI61">
        <v>9</v>
      </c>
      <c r="AJ61">
        <v>9</v>
      </c>
      <c r="AK61">
        <v>9</v>
      </c>
      <c r="AL61">
        <v>0</v>
      </c>
      <c r="AM61">
        <v>9</v>
      </c>
      <c r="AN61">
        <v>9</v>
      </c>
      <c r="AO61">
        <v>15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</row>
    <row r="62" spans="2:66" x14ac:dyDescent="0.2">
      <c r="B62" s="103">
        <v>5</v>
      </c>
      <c r="C62" s="135" t="s">
        <v>3027</v>
      </c>
      <c r="D62" s="135" t="s">
        <v>1997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</row>
    <row r="63" spans="2:66" x14ac:dyDescent="0.2">
      <c r="B63" s="103">
        <v>6</v>
      </c>
      <c r="C63" s="135" t="s">
        <v>3028</v>
      </c>
      <c r="D63" s="135" t="s">
        <v>2282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</row>
    <row r="64" spans="2:66" x14ac:dyDescent="0.2">
      <c r="B64" s="103">
        <v>7</v>
      </c>
      <c r="C64" s="135" t="s">
        <v>3029</v>
      </c>
      <c r="D64" s="135" t="s">
        <v>2288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45</v>
      </c>
      <c r="O64">
        <v>45</v>
      </c>
      <c r="P64">
        <v>45</v>
      </c>
      <c r="Q64">
        <v>0</v>
      </c>
      <c r="R64">
        <v>0</v>
      </c>
      <c r="S64">
        <v>0</v>
      </c>
      <c r="T64">
        <v>0</v>
      </c>
      <c r="U64">
        <v>45</v>
      </c>
      <c r="V64">
        <v>45</v>
      </c>
      <c r="W64">
        <v>45</v>
      </c>
      <c r="X64">
        <v>45</v>
      </c>
      <c r="Y64">
        <v>45</v>
      </c>
      <c r="Z64">
        <v>45</v>
      </c>
      <c r="AA64">
        <v>45</v>
      </c>
      <c r="AB64">
        <v>35</v>
      </c>
      <c r="AC64">
        <v>35</v>
      </c>
      <c r="AD64">
        <v>35</v>
      </c>
      <c r="AE64">
        <v>35</v>
      </c>
      <c r="AF64">
        <v>35</v>
      </c>
      <c r="AG64">
        <v>35</v>
      </c>
      <c r="AH64">
        <v>35</v>
      </c>
      <c r="AI64">
        <v>35</v>
      </c>
      <c r="AJ64">
        <v>35</v>
      </c>
      <c r="AK64">
        <v>35</v>
      </c>
      <c r="AL64">
        <v>35</v>
      </c>
      <c r="AM64">
        <v>35</v>
      </c>
      <c r="AN64">
        <v>35</v>
      </c>
      <c r="AO64">
        <v>40</v>
      </c>
      <c r="AP64">
        <v>35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</row>
    <row r="65" spans="2:66" x14ac:dyDescent="0.2">
      <c r="B65" s="103">
        <v>8</v>
      </c>
      <c r="C65" s="135" t="s">
        <v>3030</v>
      </c>
      <c r="D65" s="135" t="s">
        <v>2289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12</v>
      </c>
      <c r="O65">
        <v>12</v>
      </c>
      <c r="P65">
        <v>12</v>
      </c>
      <c r="Q65">
        <v>0</v>
      </c>
      <c r="R65">
        <v>0</v>
      </c>
      <c r="S65">
        <v>0</v>
      </c>
      <c r="T65">
        <v>0</v>
      </c>
      <c r="U65">
        <v>12</v>
      </c>
      <c r="V65">
        <v>12</v>
      </c>
      <c r="W65">
        <v>12</v>
      </c>
      <c r="X65">
        <v>12</v>
      </c>
      <c r="Y65">
        <v>12</v>
      </c>
      <c r="Z65">
        <v>12</v>
      </c>
      <c r="AA65">
        <v>12</v>
      </c>
      <c r="AB65">
        <v>10</v>
      </c>
      <c r="AC65">
        <v>10</v>
      </c>
      <c r="AD65">
        <v>10</v>
      </c>
      <c r="AE65">
        <v>10</v>
      </c>
      <c r="AF65">
        <v>10</v>
      </c>
      <c r="AG65">
        <v>10</v>
      </c>
      <c r="AH65">
        <v>10</v>
      </c>
      <c r="AI65">
        <v>10</v>
      </c>
      <c r="AJ65">
        <v>10</v>
      </c>
      <c r="AK65">
        <v>10</v>
      </c>
      <c r="AL65">
        <v>0</v>
      </c>
      <c r="AM65">
        <v>10</v>
      </c>
      <c r="AN65">
        <v>10</v>
      </c>
      <c r="AO65">
        <v>12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</row>
    <row r="66" spans="2:66" x14ac:dyDescent="0.2">
      <c r="B66" s="103">
        <v>9</v>
      </c>
      <c r="C66" s="135" t="s">
        <v>3031</v>
      </c>
      <c r="D66" s="135" t="s">
        <v>2283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</row>
    <row r="67" spans="2:66" x14ac:dyDescent="0.2">
      <c r="B67" s="103">
        <v>10</v>
      </c>
      <c r="C67" s="135" t="s">
        <v>3032</v>
      </c>
      <c r="D67" s="135" t="s">
        <v>2284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</row>
    <row r="68" spans="2:66" x14ac:dyDescent="0.2">
      <c r="B68" s="103">
        <v>11</v>
      </c>
      <c r="C68" s="135" t="s">
        <v>3033</v>
      </c>
      <c r="D68" s="135" t="s">
        <v>2292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15</v>
      </c>
      <c r="O68">
        <v>15</v>
      </c>
      <c r="P68">
        <v>15</v>
      </c>
      <c r="Q68">
        <v>0</v>
      </c>
      <c r="R68">
        <v>0</v>
      </c>
      <c r="S68">
        <v>0</v>
      </c>
      <c r="T68">
        <v>0</v>
      </c>
      <c r="U68">
        <v>15</v>
      </c>
      <c r="V68">
        <v>15</v>
      </c>
      <c r="W68">
        <v>15</v>
      </c>
      <c r="X68">
        <v>15</v>
      </c>
      <c r="Y68">
        <v>15</v>
      </c>
      <c r="Z68">
        <v>15</v>
      </c>
      <c r="AA68">
        <v>15</v>
      </c>
      <c r="AB68">
        <v>15</v>
      </c>
      <c r="AC68">
        <v>15</v>
      </c>
      <c r="AD68">
        <v>15</v>
      </c>
      <c r="AE68">
        <v>15</v>
      </c>
      <c r="AF68">
        <v>15</v>
      </c>
      <c r="AG68">
        <v>15</v>
      </c>
      <c r="AH68">
        <v>15</v>
      </c>
      <c r="AI68">
        <v>15</v>
      </c>
      <c r="AJ68">
        <v>15</v>
      </c>
      <c r="AK68">
        <v>15</v>
      </c>
      <c r="AL68">
        <v>0</v>
      </c>
      <c r="AM68">
        <v>15</v>
      </c>
      <c r="AN68">
        <v>15</v>
      </c>
      <c r="AO68">
        <v>15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</row>
    <row r="69" spans="2:66" x14ac:dyDescent="0.2">
      <c r="B69" s="103">
        <v>12</v>
      </c>
      <c r="C69" s="135" t="s">
        <v>3034</v>
      </c>
      <c r="D69" s="135" t="s">
        <v>2290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10</v>
      </c>
      <c r="O69">
        <v>10</v>
      </c>
      <c r="P69">
        <v>10</v>
      </c>
      <c r="Q69">
        <v>0</v>
      </c>
      <c r="R69">
        <v>0</v>
      </c>
      <c r="S69">
        <v>0</v>
      </c>
      <c r="T69">
        <v>0</v>
      </c>
      <c r="U69">
        <v>10</v>
      </c>
      <c r="V69">
        <v>10</v>
      </c>
      <c r="W69">
        <v>10</v>
      </c>
      <c r="X69">
        <v>10</v>
      </c>
      <c r="Y69">
        <v>10</v>
      </c>
      <c r="Z69">
        <v>10</v>
      </c>
      <c r="AA69">
        <v>10</v>
      </c>
      <c r="AB69">
        <v>8</v>
      </c>
      <c r="AC69">
        <v>8</v>
      </c>
      <c r="AD69">
        <v>8</v>
      </c>
      <c r="AE69">
        <v>8</v>
      </c>
      <c r="AF69">
        <v>8</v>
      </c>
      <c r="AG69">
        <v>8</v>
      </c>
      <c r="AH69">
        <v>8</v>
      </c>
      <c r="AI69">
        <v>8</v>
      </c>
      <c r="AJ69">
        <v>8</v>
      </c>
      <c r="AK69">
        <v>8</v>
      </c>
      <c r="AL69">
        <v>8</v>
      </c>
      <c r="AM69">
        <v>8</v>
      </c>
      <c r="AN69">
        <v>8</v>
      </c>
      <c r="AO69">
        <v>10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</row>
    <row r="70" spans="2:66" x14ac:dyDescent="0.2">
      <c r="B70" s="103">
        <v>13</v>
      </c>
      <c r="C70" s="135" t="s">
        <v>3035</v>
      </c>
      <c r="D70" s="135" t="s">
        <v>2295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20</v>
      </c>
      <c r="O70">
        <v>20</v>
      </c>
      <c r="P70">
        <v>20</v>
      </c>
      <c r="Q70">
        <v>0</v>
      </c>
      <c r="R70">
        <v>0</v>
      </c>
      <c r="S70">
        <v>0</v>
      </c>
      <c r="T70">
        <v>0</v>
      </c>
      <c r="U70">
        <v>20</v>
      </c>
      <c r="V70">
        <v>20</v>
      </c>
      <c r="W70">
        <v>20</v>
      </c>
      <c r="X70">
        <v>20</v>
      </c>
      <c r="Y70">
        <v>20</v>
      </c>
      <c r="Z70">
        <v>20</v>
      </c>
      <c r="AA70">
        <v>20</v>
      </c>
      <c r="AB70">
        <v>20</v>
      </c>
      <c r="AC70">
        <v>20</v>
      </c>
      <c r="AD70">
        <v>20</v>
      </c>
      <c r="AE70">
        <v>20</v>
      </c>
      <c r="AF70">
        <v>20</v>
      </c>
      <c r="AG70">
        <v>20</v>
      </c>
      <c r="AH70">
        <v>20</v>
      </c>
      <c r="AI70">
        <v>20</v>
      </c>
      <c r="AJ70">
        <v>20</v>
      </c>
      <c r="AK70">
        <v>20</v>
      </c>
      <c r="AL70">
        <v>0</v>
      </c>
      <c r="AM70">
        <v>20</v>
      </c>
      <c r="AN70">
        <v>20</v>
      </c>
      <c r="AO70">
        <v>20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</row>
    <row r="71" spans="2:66" x14ac:dyDescent="0.2">
      <c r="B71" s="103">
        <v>14</v>
      </c>
      <c r="C71" s="135" t="s">
        <v>3036</v>
      </c>
      <c r="D71" s="135" t="s">
        <v>3710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1</v>
      </c>
      <c r="Q71">
        <v>0</v>
      </c>
      <c r="R71">
        <v>0</v>
      </c>
      <c r="S71">
        <v>0</v>
      </c>
      <c r="T71">
        <v>0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0</v>
      </c>
      <c r="AM71">
        <v>1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</row>
    <row r="72" spans="2:66" x14ac:dyDescent="0.2">
      <c r="B72" s="103">
        <v>15</v>
      </c>
      <c r="C72" s="135" t="s">
        <v>3037</v>
      </c>
      <c r="D72" s="135" t="s">
        <v>2287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2</v>
      </c>
      <c r="O72">
        <v>2</v>
      </c>
      <c r="P72">
        <v>2</v>
      </c>
      <c r="Q72">
        <v>0</v>
      </c>
      <c r="R72">
        <v>0</v>
      </c>
      <c r="S72">
        <v>0</v>
      </c>
      <c r="T72">
        <v>0</v>
      </c>
      <c r="U72">
        <v>2</v>
      </c>
      <c r="V72">
        <v>2</v>
      </c>
      <c r="W72">
        <v>2</v>
      </c>
      <c r="X72">
        <v>2</v>
      </c>
      <c r="Y72">
        <v>2</v>
      </c>
      <c r="Z72">
        <v>2</v>
      </c>
      <c r="AA72">
        <v>2</v>
      </c>
      <c r="AB72">
        <v>2</v>
      </c>
      <c r="AC72">
        <v>2</v>
      </c>
      <c r="AD72">
        <v>2</v>
      </c>
      <c r="AE72">
        <v>2</v>
      </c>
      <c r="AF72">
        <v>2</v>
      </c>
      <c r="AG72">
        <v>2</v>
      </c>
      <c r="AH72">
        <v>2</v>
      </c>
      <c r="AI72">
        <v>2</v>
      </c>
      <c r="AJ72">
        <v>2</v>
      </c>
      <c r="AK72">
        <v>2</v>
      </c>
      <c r="AL72">
        <v>0</v>
      </c>
      <c r="AM72">
        <v>2</v>
      </c>
      <c r="AN72">
        <v>2</v>
      </c>
      <c r="AO72">
        <v>2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</row>
    <row r="73" spans="2:66" x14ac:dyDescent="0.2">
      <c r="B73" s="103">
        <v>16</v>
      </c>
      <c r="C73" s="135" t="s">
        <v>3038</v>
      </c>
      <c r="D73" s="135" t="s">
        <v>2286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1</v>
      </c>
      <c r="O73">
        <v>1</v>
      </c>
      <c r="P73">
        <v>1</v>
      </c>
      <c r="Q73">
        <v>0</v>
      </c>
      <c r="R73">
        <v>0</v>
      </c>
      <c r="S73">
        <v>0</v>
      </c>
      <c r="T73">
        <v>0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0</v>
      </c>
      <c r="AM73">
        <v>1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</row>
    <row r="74" spans="2:66" x14ac:dyDescent="0.2">
      <c r="B74" s="103">
        <v>17</v>
      </c>
      <c r="C74" s="135" t="s">
        <v>3039</v>
      </c>
      <c r="D74" s="135" t="s">
        <v>2285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</v>
      </c>
      <c r="O74">
        <v>1</v>
      </c>
      <c r="P74">
        <v>1</v>
      </c>
      <c r="Q74">
        <v>0</v>
      </c>
      <c r="R74">
        <v>0</v>
      </c>
      <c r="S74">
        <v>0</v>
      </c>
      <c r="T74">
        <v>0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0</v>
      </c>
      <c r="AM74">
        <v>1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</row>
    <row r="75" spans="2:66" x14ac:dyDescent="0.2">
      <c r="B75" s="103">
        <v>18</v>
      </c>
      <c r="C75" s="135" t="s">
        <v>3040</v>
      </c>
      <c r="D75" s="135" t="s">
        <v>1930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0.5</v>
      </c>
      <c r="O75">
        <v>0.5</v>
      </c>
      <c r="P75">
        <v>0.5</v>
      </c>
      <c r="Q75">
        <v>0</v>
      </c>
      <c r="R75">
        <v>0</v>
      </c>
      <c r="S75">
        <v>0</v>
      </c>
      <c r="T75">
        <v>0</v>
      </c>
      <c r="U75">
        <v>0.5</v>
      </c>
      <c r="V75">
        <v>0.5</v>
      </c>
      <c r="W75">
        <v>0.5</v>
      </c>
      <c r="X75">
        <v>0.5</v>
      </c>
      <c r="Y75">
        <v>0.5</v>
      </c>
      <c r="Z75">
        <v>0.5</v>
      </c>
      <c r="AA75">
        <v>0.5</v>
      </c>
      <c r="AB75">
        <v>0.5</v>
      </c>
      <c r="AC75">
        <v>0.5</v>
      </c>
      <c r="AD75">
        <v>0.5</v>
      </c>
      <c r="AE75">
        <v>0.5</v>
      </c>
      <c r="AF75">
        <v>0.5</v>
      </c>
      <c r="AG75">
        <v>0.5</v>
      </c>
      <c r="AH75">
        <v>0.5</v>
      </c>
      <c r="AI75">
        <v>0.5</v>
      </c>
      <c r="AJ75">
        <v>0.5</v>
      </c>
      <c r="AK75">
        <v>0.5</v>
      </c>
      <c r="AL75">
        <v>0</v>
      </c>
      <c r="AM75">
        <v>0.5</v>
      </c>
      <c r="AN75">
        <v>0.5</v>
      </c>
      <c r="AO75">
        <v>0.5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</row>
    <row r="76" spans="2:66" x14ac:dyDescent="0.2">
      <c r="B76" s="103">
        <v>19</v>
      </c>
      <c r="C76" s="135" t="s">
        <v>2891</v>
      </c>
      <c r="D76" s="135" t="s">
        <v>2297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9</v>
      </c>
      <c r="O76">
        <v>9</v>
      </c>
      <c r="P76">
        <v>9</v>
      </c>
      <c r="Q76">
        <v>0</v>
      </c>
      <c r="R76">
        <v>0</v>
      </c>
      <c r="S76">
        <v>0</v>
      </c>
      <c r="T76">
        <v>0</v>
      </c>
      <c r="U76">
        <v>10</v>
      </c>
      <c r="V76">
        <v>10</v>
      </c>
      <c r="W76">
        <v>10</v>
      </c>
      <c r="X76">
        <v>10</v>
      </c>
      <c r="Y76">
        <v>10</v>
      </c>
      <c r="Z76">
        <v>10</v>
      </c>
      <c r="AA76">
        <v>10</v>
      </c>
      <c r="AB76">
        <v>8</v>
      </c>
      <c r="AC76">
        <v>8</v>
      </c>
      <c r="AD76">
        <v>8</v>
      </c>
      <c r="AE76">
        <v>8</v>
      </c>
      <c r="AF76">
        <v>8</v>
      </c>
      <c r="AG76">
        <v>8</v>
      </c>
      <c r="AH76">
        <v>8</v>
      </c>
      <c r="AI76">
        <v>8</v>
      </c>
      <c r="AJ76">
        <v>8</v>
      </c>
      <c r="AK76">
        <v>8</v>
      </c>
      <c r="AL76">
        <v>0</v>
      </c>
      <c r="AM76">
        <v>4</v>
      </c>
      <c r="AN76">
        <v>4</v>
      </c>
      <c r="AO76">
        <v>4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</row>
    <row r="77" spans="2:66" x14ac:dyDescent="0.2">
      <c r="B77" s="103">
        <v>20</v>
      </c>
      <c r="C77" s="135" t="s">
        <v>3041</v>
      </c>
      <c r="D77" s="135" t="s">
        <v>2293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2</v>
      </c>
      <c r="O77">
        <v>2</v>
      </c>
      <c r="P77">
        <v>2</v>
      </c>
      <c r="Q77">
        <v>0</v>
      </c>
      <c r="R77">
        <v>0</v>
      </c>
      <c r="S77">
        <v>0</v>
      </c>
      <c r="T77">
        <v>0</v>
      </c>
      <c r="U77">
        <v>2</v>
      </c>
      <c r="V77">
        <v>2</v>
      </c>
      <c r="W77">
        <v>2</v>
      </c>
      <c r="X77">
        <v>2</v>
      </c>
      <c r="Y77">
        <v>2</v>
      </c>
      <c r="Z77">
        <v>2</v>
      </c>
      <c r="AA77">
        <v>2</v>
      </c>
      <c r="AB77">
        <v>2</v>
      </c>
      <c r="AC77">
        <v>2</v>
      </c>
      <c r="AD77">
        <v>2</v>
      </c>
      <c r="AE77">
        <v>2</v>
      </c>
      <c r="AF77">
        <v>2</v>
      </c>
      <c r="AG77">
        <v>2</v>
      </c>
      <c r="AH77">
        <v>2</v>
      </c>
      <c r="AI77">
        <v>2</v>
      </c>
      <c r="AJ77">
        <v>2</v>
      </c>
      <c r="AK77">
        <v>2</v>
      </c>
      <c r="AL77">
        <v>0</v>
      </c>
      <c r="AM77">
        <v>2</v>
      </c>
      <c r="AN77">
        <v>2</v>
      </c>
      <c r="AO77">
        <v>2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</row>
    <row r="78" spans="2:66" x14ac:dyDescent="0.2">
      <c r="B78" s="103">
        <v>21</v>
      </c>
      <c r="C78" s="135" t="s">
        <v>3047</v>
      </c>
      <c r="D78" s="135" t="s">
        <v>3276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1</v>
      </c>
      <c r="O78">
        <v>1</v>
      </c>
      <c r="P78">
        <v>1</v>
      </c>
      <c r="Q78">
        <v>0</v>
      </c>
      <c r="R78">
        <v>0</v>
      </c>
      <c r="S78">
        <v>0</v>
      </c>
      <c r="T78">
        <v>0</v>
      </c>
      <c r="U78">
        <v>2</v>
      </c>
      <c r="V78">
        <v>2</v>
      </c>
      <c r="W78">
        <v>2</v>
      </c>
      <c r="X78">
        <v>2</v>
      </c>
      <c r="Y78">
        <v>2</v>
      </c>
      <c r="Z78">
        <v>2</v>
      </c>
      <c r="AA78">
        <v>2</v>
      </c>
      <c r="AB78">
        <v>2</v>
      </c>
      <c r="AC78">
        <v>2</v>
      </c>
      <c r="AD78">
        <v>2</v>
      </c>
      <c r="AE78">
        <v>2</v>
      </c>
      <c r="AF78">
        <v>2</v>
      </c>
      <c r="AG78">
        <v>2</v>
      </c>
      <c r="AH78">
        <v>2</v>
      </c>
      <c r="AI78">
        <v>2</v>
      </c>
      <c r="AJ78">
        <v>2</v>
      </c>
      <c r="AK78">
        <v>2</v>
      </c>
      <c r="AL78">
        <v>2</v>
      </c>
      <c r="AM78">
        <v>2</v>
      </c>
      <c r="AN78">
        <v>2</v>
      </c>
      <c r="AO78">
        <v>2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</row>
    <row r="79" spans="2:66" x14ac:dyDescent="0.2">
      <c r="B79" s="103">
        <v>22</v>
      </c>
      <c r="C79" s="135" t="s">
        <v>3529</v>
      </c>
      <c r="D79" s="135" t="s">
        <v>2291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4</v>
      </c>
      <c r="O79">
        <v>4</v>
      </c>
      <c r="P79">
        <v>4</v>
      </c>
      <c r="Q79">
        <v>0</v>
      </c>
      <c r="R79">
        <v>0</v>
      </c>
      <c r="S79">
        <v>0</v>
      </c>
      <c r="T79">
        <v>0</v>
      </c>
      <c r="U79">
        <v>10</v>
      </c>
      <c r="V79">
        <v>10</v>
      </c>
      <c r="W79">
        <v>10</v>
      </c>
      <c r="X79">
        <v>10</v>
      </c>
      <c r="Y79">
        <v>10</v>
      </c>
      <c r="Z79">
        <v>10</v>
      </c>
      <c r="AA79">
        <v>10</v>
      </c>
      <c r="AB79">
        <v>10</v>
      </c>
      <c r="AC79">
        <v>10</v>
      </c>
      <c r="AD79">
        <v>10</v>
      </c>
      <c r="AE79">
        <v>10</v>
      </c>
      <c r="AF79">
        <v>10</v>
      </c>
      <c r="AG79">
        <v>10</v>
      </c>
      <c r="AH79">
        <v>10</v>
      </c>
      <c r="AI79">
        <v>10</v>
      </c>
      <c r="AJ79">
        <v>10</v>
      </c>
      <c r="AK79">
        <v>10</v>
      </c>
      <c r="AL79">
        <v>10</v>
      </c>
      <c r="AM79">
        <v>10</v>
      </c>
      <c r="AN79">
        <v>10</v>
      </c>
      <c r="AO79">
        <v>10</v>
      </c>
      <c r="AP79">
        <v>10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</row>
    <row r="80" spans="2:66" x14ac:dyDescent="0.2">
      <c r="B80" s="103">
        <v>23</v>
      </c>
      <c r="C80" s="135">
        <v>0</v>
      </c>
      <c r="D80" s="135" t="s">
        <v>1993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</row>
    <row r="81" spans="2:66" x14ac:dyDescent="0.2">
      <c r="B81" s="103">
        <v>24</v>
      </c>
      <c r="C81" s="135">
        <v>0</v>
      </c>
      <c r="D81" s="135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</row>
    <row r="82" spans="2:66" x14ac:dyDescent="0.2">
      <c r="B82" s="103">
        <v>25</v>
      </c>
      <c r="C82" s="135">
        <v>0</v>
      </c>
      <c r="D82" s="135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</row>
    <row r="83" spans="2:66" x14ac:dyDescent="0.2">
      <c r="B83" s="1175" t="s">
        <v>3733</v>
      </c>
      <c r="C83" s="1176"/>
      <c r="D83" s="1177"/>
    </row>
    <row r="84" spans="2:66" x14ac:dyDescent="0.2">
      <c r="B84" s="103">
        <v>1</v>
      </c>
      <c r="C84" s="135" t="s">
        <v>3031</v>
      </c>
      <c r="D84" s="135" t="s">
        <v>2283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</row>
    <row r="85" spans="2:66" x14ac:dyDescent="0.2">
      <c r="B85" s="103">
        <v>2</v>
      </c>
      <c r="C85" s="135" t="s">
        <v>3032</v>
      </c>
      <c r="D85" s="135" t="s">
        <v>2284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</row>
    <row r="86" spans="2:66" x14ac:dyDescent="0.2">
      <c r="B86" s="103">
        <v>3</v>
      </c>
      <c r="C86" s="135" t="s">
        <v>3033</v>
      </c>
      <c r="D86" s="135" t="s">
        <v>2292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10</v>
      </c>
      <c r="O86">
        <v>10</v>
      </c>
      <c r="P86">
        <v>10</v>
      </c>
      <c r="Q86">
        <v>0</v>
      </c>
      <c r="R86">
        <v>0</v>
      </c>
      <c r="S86">
        <v>0</v>
      </c>
      <c r="T86">
        <v>0</v>
      </c>
      <c r="U86">
        <v>10</v>
      </c>
      <c r="V86">
        <v>10</v>
      </c>
      <c r="W86">
        <v>10</v>
      </c>
      <c r="X86">
        <v>10</v>
      </c>
      <c r="Y86">
        <v>10</v>
      </c>
      <c r="Z86">
        <v>10</v>
      </c>
      <c r="AA86">
        <v>10</v>
      </c>
      <c r="AB86">
        <v>10</v>
      </c>
      <c r="AC86">
        <v>10</v>
      </c>
      <c r="AD86">
        <v>10</v>
      </c>
      <c r="AE86">
        <v>10</v>
      </c>
      <c r="AF86">
        <v>10</v>
      </c>
      <c r="AG86">
        <v>10</v>
      </c>
      <c r="AH86">
        <v>10</v>
      </c>
      <c r="AI86">
        <v>10</v>
      </c>
      <c r="AJ86">
        <v>10</v>
      </c>
      <c r="AK86">
        <v>10</v>
      </c>
      <c r="AL86">
        <v>10</v>
      </c>
      <c r="AM86">
        <v>10</v>
      </c>
      <c r="AN86">
        <v>10</v>
      </c>
      <c r="AO86">
        <v>10</v>
      </c>
      <c r="AP86">
        <v>10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</row>
    <row r="87" spans="2:66" x14ac:dyDescent="0.2">
      <c r="B87" s="103">
        <v>4</v>
      </c>
      <c r="C87" s="135" t="s">
        <v>3034</v>
      </c>
      <c r="D87" s="135" t="s">
        <v>2290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6</v>
      </c>
      <c r="O87">
        <v>6</v>
      </c>
      <c r="P87">
        <v>6</v>
      </c>
      <c r="Q87">
        <v>0</v>
      </c>
      <c r="R87">
        <v>0</v>
      </c>
      <c r="S87">
        <v>0</v>
      </c>
      <c r="T87">
        <v>0</v>
      </c>
      <c r="U87">
        <v>6</v>
      </c>
      <c r="V87">
        <v>6</v>
      </c>
      <c r="W87">
        <v>6</v>
      </c>
      <c r="X87">
        <v>6</v>
      </c>
      <c r="Y87">
        <v>6</v>
      </c>
      <c r="Z87">
        <v>6</v>
      </c>
      <c r="AA87">
        <v>6</v>
      </c>
      <c r="AB87">
        <v>6</v>
      </c>
      <c r="AC87">
        <v>6</v>
      </c>
      <c r="AD87">
        <v>6</v>
      </c>
      <c r="AE87">
        <v>6</v>
      </c>
      <c r="AF87">
        <v>6</v>
      </c>
      <c r="AG87">
        <v>6</v>
      </c>
      <c r="AH87">
        <v>6</v>
      </c>
      <c r="AI87">
        <v>6</v>
      </c>
      <c r="AJ87">
        <v>6</v>
      </c>
      <c r="AK87">
        <v>6</v>
      </c>
      <c r="AL87">
        <v>6</v>
      </c>
      <c r="AM87">
        <v>6</v>
      </c>
      <c r="AN87">
        <v>6</v>
      </c>
      <c r="AO87">
        <v>6</v>
      </c>
      <c r="AP87">
        <v>6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</row>
    <row r="88" spans="2:66" x14ac:dyDescent="0.2">
      <c r="B88" s="103">
        <v>5</v>
      </c>
      <c r="C88" s="135" t="s">
        <v>3036</v>
      </c>
      <c r="D88" s="135" t="s">
        <v>3710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1</v>
      </c>
      <c r="O88">
        <v>1</v>
      </c>
      <c r="P88">
        <v>1</v>
      </c>
      <c r="Q88">
        <v>0</v>
      </c>
      <c r="R88">
        <v>0</v>
      </c>
      <c r="S88">
        <v>0</v>
      </c>
      <c r="T88">
        <v>0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</row>
    <row r="89" spans="2:66" x14ac:dyDescent="0.2">
      <c r="B89" s="103">
        <v>6</v>
      </c>
      <c r="C89" s="135" t="s">
        <v>3037</v>
      </c>
      <c r="D89" s="135" t="s">
        <v>2287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2</v>
      </c>
      <c r="O89">
        <v>2</v>
      </c>
      <c r="P89">
        <v>2</v>
      </c>
      <c r="Q89">
        <v>0</v>
      </c>
      <c r="R89">
        <v>0</v>
      </c>
      <c r="S89">
        <v>0</v>
      </c>
      <c r="T89">
        <v>0</v>
      </c>
      <c r="U89">
        <v>2</v>
      </c>
      <c r="V89">
        <v>2</v>
      </c>
      <c r="W89">
        <v>2</v>
      </c>
      <c r="X89">
        <v>2</v>
      </c>
      <c r="Y89">
        <v>2</v>
      </c>
      <c r="Z89">
        <v>2</v>
      </c>
      <c r="AA89">
        <v>2</v>
      </c>
      <c r="AB89">
        <v>2</v>
      </c>
      <c r="AC89">
        <v>2</v>
      </c>
      <c r="AD89">
        <v>2</v>
      </c>
      <c r="AE89">
        <v>2</v>
      </c>
      <c r="AF89">
        <v>2</v>
      </c>
      <c r="AG89">
        <v>2</v>
      </c>
      <c r="AH89">
        <v>2</v>
      </c>
      <c r="AI89">
        <v>2</v>
      </c>
      <c r="AJ89">
        <v>2</v>
      </c>
      <c r="AK89">
        <v>2</v>
      </c>
      <c r="AL89">
        <v>2</v>
      </c>
      <c r="AM89">
        <v>2</v>
      </c>
      <c r="AN89">
        <v>2</v>
      </c>
      <c r="AO89">
        <v>2</v>
      </c>
      <c r="AP89">
        <v>2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</row>
    <row r="90" spans="2:66" x14ac:dyDescent="0.2">
      <c r="B90" s="103">
        <v>7</v>
      </c>
      <c r="C90" s="135" t="s">
        <v>3038</v>
      </c>
      <c r="D90" s="135" t="s">
        <v>2286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1</v>
      </c>
      <c r="O90">
        <v>1</v>
      </c>
      <c r="P90">
        <v>1</v>
      </c>
      <c r="Q90">
        <v>0</v>
      </c>
      <c r="R90">
        <v>0</v>
      </c>
      <c r="S90">
        <v>0</v>
      </c>
      <c r="T90">
        <v>0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</row>
    <row r="91" spans="2:66" x14ac:dyDescent="0.2">
      <c r="B91" s="103">
        <v>8</v>
      </c>
      <c r="C91" s="135" t="s">
        <v>3039</v>
      </c>
      <c r="D91" s="135" t="s">
        <v>2285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1</v>
      </c>
      <c r="O91">
        <v>1</v>
      </c>
      <c r="P91">
        <v>1</v>
      </c>
      <c r="Q91">
        <v>0</v>
      </c>
      <c r="R91">
        <v>0</v>
      </c>
      <c r="S91">
        <v>0</v>
      </c>
      <c r="T91">
        <v>0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0</v>
      </c>
      <c r="AP91">
        <v>1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</row>
    <row r="92" spans="2:66" x14ac:dyDescent="0.2">
      <c r="B92" s="103">
        <v>9</v>
      </c>
      <c r="C92" s="135" t="s">
        <v>3040</v>
      </c>
      <c r="D92" s="135" t="s">
        <v>1930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0.5</v>
      </c>
      <c r="O92">
        <v>0.5</v>
      </c>
      <c r="P92">
        <v>0.5</v>
      </c>
      <c r="Q92">
        <v>0</v>
      </c>
      <c r="R92">
        <v>0</v>
      </c>
      <c r="S92">
        <v>0</v>
      </c>
      <c r="T92">
        <v>0</v>
      </c>
      <c r="U92">
        <v>0.5</v>
      </c>
      <c r="V92">
        <v>0.5</v>
      </c>
      <c r="W92">
        <v>0.5</v>
      </c>
      <c r="X92">
        <v>0.5</v>
      </c>
      <c r="Y92">
        <v>0.5</v>
      </c>
      <c r="Z92">
        <v>0.5</v>
      </c>
      <c r="AA92">
        <v>0.5</v>
      </c>
      <c r="AB92">
        <v>0.5</v>
      </c>
      <c r="AC92">
        <v>0.5</v>
      </c>
      <c r="AD92">
        <v>0.5</v>
      </c>
      <c r="AE92">
        <v>0.5</v>
      </c>
      <c r="AF92">
        <v>0.5</v>
      </c>
      <c r="AG92">
        <v>0.5</v>
      </c>
      <c r="AH92">
        <v>0.5</v>
      </c>
      <c r="AI92">
        <v>0.5</v>
      </c>
      <c r="AJ92">
        <v>0.5</v>
      </c>
      <c r="AK92">
        <v>0.5</v>
      </c>
      <c r="AL92">
        <v>0.5</v>
      </c>
      <c r="AM92">
        <v>0.5</v>
      </c>
      <c r="AN92">
        <v>0.5</v>
      </c>
      <c r="AO92">
        <v>0</v>
      </c>
      <c r="AP92">
        <v>0.5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</row>
    <row r="93" spans="2:66" x14ac:dyDescent="0.2">
      <c r="B93" s="103">
        <v>10</v>
      </c>
      <c r="C93" s="135" t="s">
        <v>3041</v>
      </c>
      <c r="D93" s="135" t="s">
        <v>2293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1</v>
      </c>
      <c r="O93">
        <v>1</v>
      </c>
      <c r="P93">
        <v>1</v>
      </c>
      <c r="Q93">
        <v>0</v>
      </c>
      <c r="R93">
        <v>0</v>
      </c>
      <c r="S93">
        <v>0</v>
      </c>
      <c r="T93">
        <v>0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</row>
    <row r="94" spans="2:66" x14ac:dyDescent="0.2">
      <c r="B94" s="103">
        <v>11</v>
      </c>
      <c r="C94" s="135" t="s">
        <v>3046</v>
      </c>
      <c r="D94" s="135" t="s">
        <v>2296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</row>
    <row r="95" spans="2:66" x14ac:dyDescent="0.2">
      <c r="B95" s="103">
        <v>12</v>
      </c>
      <c r="C95" s="135" t="s">
        <v>3047</v>
      </c>
      <c r="D95" s="135" t="s">
        <v>2484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2</v>
      </c>
      <c r="O95">
        <v>2</v>
      </c>
      <c r="P95">
        <v>2</v>
      </c>
      <c r="Q95">
        <v>0</v>
      </c>
      <c r="R95">
        <v>0</v>
      </c>
      <c r="S95">
        <v>0</v>
      </c>
      <c r="T95">
        <v>0</v>
      </c>
      <c r="U95">
        <v>2</v>
      </c>
      <c r="V95">
        <v>2</v>
      </c>
      <c r="W95">
        <v>2</v>
      </c>
      <c r="X95">
        <v>2</v>
      </c>
      <c r="Y95">
        <v>2</v>
      </c>
      <c r="Z95">
        <v>2</v>
      </c>
      <c r="AA95">
        <v>2</v>
      </c>
      <c r="AB95">
        <v>2</v>
      </c>
      <c r="AC95">
        <v>2</v>
      </c>
      <c r="AD95">
        <v>2</v>
      </c>
      <c r="AE95">
        <v>2</v>
      </c>
      <c r="AF95">
        <v>2</v>
      </c>
      <c r="AG95">
        <v>2</v>
      </c>
      <c r="AH95">
        <v>2</v>
      </c>
      <c r="AI95">
        <v>2</v>
      </c>
      <c r="AJ95">
        <v>2</v>
      </c>
      <c r="AK95">
        <v>2</v>
      </c>
      <c r="AL95">
        <v>2</v>
      </c>
      <c r="AM95">
        <v>2</v>
      </c>
      <c r="AN95">
        <v>2</v>
      </c>
      <c r="AO95">
        <v>2</v>
      </c>
      <c r="AP95">
        <v>2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</row>
    <row r="96" spans="2:66" x14ac:dyDescent="0.2">
      <c r="B96" s="103">
        <v>13</v>
      </c>
      <c r="C96" s="135" t="s">
        <v>3048</v>
      </c>
      <c r="D96" s="135" t="s">
        <v>1987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23</v>
      </c>
      <c r="O96">
        <v>23</v>
      </c>
      <c r="P96">
        <v>23</v>
      </c>
      <c r="Q96">
        <v>0</v>
      </c>
      <c r="R96">
        <v>0</v>
      </c>
      <c r="S96">
        <v>0</v>
      </c>
      <c r="T96">
        <v>0</v>
      </c>
      <c r="U96">
        <v>20</v>
      </c>
      <c r="V96">
        <v>20</v>
      </c>
      <c r="W96">
        <v>20</v>
      </c>
      <c r="X96">
        <v>20</v>
      </c>
      <c r="Y96">
        <v>20</v>
      </c>
      <c r="Z96">
        <v>20</v>
      </c>
      <c r="AA96">
        <v>20</v>
      </c>
      <c r="AB96">
        <v>15</v>
      </c>
      <c r="AC96">
        <v>15</v>
      </c>
      <c r="AD96">
        <v>15</v>
      </c>
      <c r="AE96">
        <v>15</v>
      </c>
      <c r="AF96">
        <v>15</v>
      </c>
      <c r="AG96">
        <v>15</v>
      </c>
      <c r="AH96">
        <v>15</v>
      </c>
      <c r="AI96">
        <v>15</v>
      </c>
      <c r="AJ96">
        <v>15</v>
      </c>
      <c r="AK96">
        <v>15</v>
      </c>
      <c r="AL96">
        <v>15</v>
      </c>
      <c r="AM96">
        <v>15</v>
      </c>
      <c r="AN96">
        <v>15</v>
      </c>
      <c r="AO96">
        <v>15</v>
      </c>
      <c r="AP96">
        <v>15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</row>
    <row r="97" spans="2:66" x14ac:dyDescent="0.2">
      <c r="B97" s="103">
        <v>14</v>
      </c>
      <c r="C97" s="135" t="s">
        <v>3049</v>
      </c>
      <c r="D97" s="135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</row>
    <row r="98" spans="2:66" x14ac:dyDescent="0.2">
      <c r="B98" s="103">
        <v>15</v>
      </c>
      <c r="C98" s="135" t="s">
        <v>3725</v>
      </c>
      <c r="D98" s="135" t="s">
        <v>1995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</row>
    <row r="99" spans="2:66" x14ac:dyDescent="0.2">
      <c r="B99" s="103">
        <v>16</v>
      </c>
      <c r="C99" s="135" t="s">
        <v>3724</v>
      </c>
      <c r="D99" s="135" t="s">
        <v>1996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</row>
    <row r="100" spans="2:66" x14ac:dyDescent="0.2">
      <c r="B100" s="103">
        <v>17</v>
      </c>
      <c r="C100" s="135" t="s">
        <v>3035</v>
      </c>
      <c r="D100" s="135" t="s">
        <v>2295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30</v>
      </c>
      <c r="O100">
        <v>30</v>
      </c>
      <c r="P100">
        <v>30</v>
      </c>
      <c r="Q100">
        <v>0</v>
      </c>
      <c r="R100">
        <v>0</v>
      </c>
      <c r="S100">
        <v>0</v>
      </c>
      <c r="T100">
        <v>0</v>
      </c>
      <c r="U100">
        <v>27</v>
      </c>
      <c r="V100">
        <v>27</v>
      </c>
      <c r="W100">
        <v>27</v>
      </c>
      <c r="X100">
        <v>27</v>
      </c>
      <c r="Y100">
        <v>27</v>
      </c>
      <c r="Z100">
        <v>27</v>
      </c>
      <c r="AA100">
        <v>27</v>
      </c>
      <c r="AB100">
        <v>21</v>
      </c>
      <c r="AC100">
        <v>21</v>
      </c>
      <c r="AD100">
        <v>21</v>
      </c>
      <c r="AE100">
        <v>21</v>
      </c>
      <c r="AF100">
        <v>21</v>
      </c>
      <c r="AG100">
        <v>21</v>
      </c>
      <c r="AH100">
        <v>21</v>
      </c>
      <c r="AI100">
        <v>21</v>
      </c>
      <c r="AJ100">
        <v>21</v>
      </c>
      <c r="AK100">
        <v>21</v>
      </c>
      <c r="AL100">
        <v>21</v>
      </c>
      <c r="AM100">
        <v>21</v>
      </c>
      <c r="AN100">
        <v>21</v>
      </c>
      <c r="AO100">
        <v>21</v>
      </c>
      <c r="AP100">
        <v>21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</row>
    <row r="101" spans="2:66" x14ac:dyDescent="0.2">
      <c r="B101" s="103">
        <v>18</v>
      </c>
      <c r="C101" s="135" t="s">
        <v>3529</v>
      </c>
      <c r="D101" s="135" t="s">
        <v>2291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8</v>
      </c>
      <c r="O101">
        <v>8</v>
      </c>
      <c r="P101">
        <v>8</v>
      </c>
      <c r="Q101">
        <v>0</v>
      </c>
      <c r="R101">
        <v>0</v>
      </c>
      <c r="S101">
        <v>0</v>
      </c>
      <c r="T101">
        <v>0</v>
      </c>
      <c r="U101">
        <v>6</v>
      </c>
      <c r="V101">
        <v>6</v>
      </c>
      <c r="W101">
        <v>6</v>
      </c>
      <c r="X101">
        <v>6</v>
      </c>
      <c r="Y101">
        <v>6</v>
      </c>
      <c r="Z101">
        <v>6</v>
      </c>
      <c r="AA101">
        <v>6</v>
      </c>
      <c r="AB101">
        <v>6</v>
      </c>
      <c r="AC101">
        <v>6</v>
      </c>
      <c r="AD101">
        <v>6</v>
      </c>
      <c r="AE101">
        <v>6</v>
      </c>
      <c r="AF101">
        <v>6</v>
      </c>
      <c r="AG101">
        <v>6</v>
      </c>
      <c r="AH101">
        <v>6</v>
      </c>
      <c r="AI101">
        <v>6</v>
      </c>
      <c r="AJ101">
        <v>6</v>
      </c>
      <c r="AK101">
        <v>6</v>
      </c>
      <c r="AL101">
        <v>6</v>
      </c>
      <c r="AM101">
        <v>6</v>
      </c>
      <c r="AN101">
        <v>6</v>
      </c>
      <c r="AO101">
        <v>6</v>
      </c>
      <c r="AP101">
        <v>6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</row>
    <row r="102" spans="2:66" x14ac:dyDescent="0.2">
      <c r="B102" s="103">
        <v>19</v>
      </c>
      <c r="C102" s="135" t="s">
        <v>3029</v>
      </c>
      <c r="D102" s="135" t="s">
        <v>1988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3</v>
      </c>
      <c r="O102">
        <v>3</v>
      </c>
      <c r="P102">
        <v>3</v>
      </c>
      <c r="Q102">
        <v>0</v>
      </c>
      <c r="R102">
        <v>0</v>
      </c>
      <c r="S102">
        <v>0</v>
      </c>
      <c r="T102">
        <v>0</v>
      </c>
      <c r="U102">
        <v>5</v>
      </c>
      <c r="V102">
        <v>5</v>
      </c>
      <c r="W102">
        <v>5</v>
      </c>
      <c r="X102">
        <v>5</v>
      </c>
      <c r="Y102">
        <v>5</v>
      </c>
      <c r="Z102">
        <v>5</v>
      </c>
      <c r="AA102">
        <v>5</v>
      </c>
      <c r="AB102">
        <v>5</v>
      </c>
      <c r="AC102">
        <v>5</v>
      </c>
      <c r="AD102">
        <v>5</v>
      </c>
      <c r="AE102">
        <v>5</v>
      </c>
      <c r="AF102">
        <v>5</v>
      </c>
      <c r="AG102">
        <v>5</v>
      </c>
      <c r="AH102">
        <v>5</v>
      </c>
      <c r="AI102">
        <v>5</v>
      </c>
      <c r="AJ102">
        <v>5</v>
      </c>
      <c r="AK102">
        <v>5</v>
      </c>
      <c r="AL102">
        <v>5</v>
      </c>
      <c r="AM102">
        <v>5</v>
      </c>
      <c r="AN102">
        <v>5</v>
      </c>
      <c r="AO102">
        <v>5</v>
      </c>
      <c r="AP102">
        <v>5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</row>
    <row r="103" spans="2:66" x14ac:dyDescent="0.2">
      <c r="B103" s="103">
        <v>20</v>
      </c>
      <c r="C103" s="135" t="s">
        <v>2885</v>
      </c>
      <c r="D103" s="135" t="s">
        <v>1985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2</v>
      </c>
      <c r="O103">
        <v>2</v>
      </c>
      <c r="P103">
        <v>2</v>
      </c>
      <c r="Q103">
        <v>0</v>
      </c>
      <c r="R103">
        <v>0</v>
      </c>
      <c r="S103">
        <v>0</v>
      </c>
      <c r="T103">
        <v>0</v>
      </c>
      <c r="U103">
        <v>2</v>
      </c>
      <c r="V103">
        <v>2</v>
      </c>
      <c r="W103">
        <v>2</v>
      </c>
      <c r="X103">
        <v>2</v>
      </c>
      <c r="Y103">
        <v>2</v>
      </c>
      <c r="Z103">
        <v>2</v>
      </c>
      <c r="AA103">
        <v>2</v>
      </c>
      <c r="AB103">
        <v>2</v>
      </c>
      <c r="AC103">
        <v>2</v>
      </c>
      <c r="AD103">
        <v>2</v>
      </c>
      <c r="AE103">
        <v>2</v>
      </c>
      <c r="AF103">
        <v>2</v>
      </c>
      <c r="AG103">
        <v>2</v>
      </c>
      <c r="AH103">
        <v>2</v>
      </c>
      <c r="AI103">
        <v>2</v>
      </c>
      <c r="AJ103">
        <v>2</v>
      </c>
      <c r="AK103">
        <v>2</v>
      </c>
      <c r="AL103">
        <v>2</v>
      </c>
      <c r="AM103">
        <v>2</v>
      </c>
      <c r="AN103">
        <v>2</v>
      </c>
      <c r="AO103">
        <v>2</v>
      </c>
      <c r="AP103">
        <v>2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</row>
    <row r="104" spans="2:66" x14ac:dyDescent="0.2">
      <c r="B104" s="103">
        <v>21</v>
      </c>
      <c r="C104" s="135" t="s">
        <v>3053</v>
      </c>
      <c r="D104" s="135" t="s">
        <v>1918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3</v>
      </c>
      <c r="O104">
        <v>3</v>
      </c>
      <c r="P104">
        <v>3</v>
      </c>
      <c r="Q104">
        <v>0</v>
      </c>
      <c r="R104">
        <v>0</v>
      </c>
      <c r="S104">
        <v>0</v>
      </c>
      <c r="T104">
        <v>0</v>
      </c>
      <c r="U104">
        <v>3</v>
      </c>
      <c r="V104">
        <v>3</v>
      </c>
      <c r="W104">
        <v>3</v>
      </c>
      <c r="X104">
        <v>3</v>
      </c>
      <c r="Y104">
        <v>3</v>
      </c>
      <c r="Z104">
        <v>3</v>
      </c>
      <c r="AA104">
        <v>3</v>
      </c>
      <c r="AB104">
        <v>3</v>
      </c>
      <c r="AC104">
        <v>3</v>
      </c>
      <c r="AD104">
        <v>3</v>
      </c>
      <c r="AE104">
        <v>3</v>
      </c>
      <c r="AF104">
        <v>3</v>
      </c>
      <c r="AG104">
        <v>3</v>
      </c>
      <c r="AH104">
        <v>3</v>
      </c>
      <c r="AI104">
        <v>3</v>
      </c>
      <c r="AJ104">
        <v>3</v>
      </c>
      <c r="AK104">
        <v>3</v>
      </c>
      <c r="AL104">
        <v>3</v>
      </c>
      <c r="AM104">
        <v>3</v>
      </c>
      <c r="AN104">
        <v>3</v>
      </c>
      <c r="AO104">
        <v>3</v>
      </c>
      <c r="AP104">
        <v>3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</row>
    <row r="105" spans="2:66" x14ac:dyDescent="0.2">
      <c r="B105" s="103">
        <v>22</v>
      </c>
      <c r="C105" s="135" t="s">
        <v>3030</v>
      </c>
      <c r="D105" s="135" t="s">
        <v>2289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2</v>
      </c>
      <c r="O105">
        <v>2</v>
      </c>
      <c r="P105">
        <v>2</v>
      </c>
      <c r="Q105">
        <v>0</v>
      </c>
      <c r="R105">
        <v>0</v>
      </c>
      <c r="S105">
        <v>0</v>
      </c>
      <c r="T105">
        <v>0</v>
      </c>
      <c r="U105">
        <v>2</v>
      </c>
      <c r="V105">
        <v>2</v>
      </c>
      <c r="W105">
        <v>2</v>
      </c>
      <c r="X105">
        <v>2</v>
      </c>
      <c r="Y105">
        <v>2</v>
      </c>
      <c r="Z105">
        <v>2</v>
      </c>
      <c r="AA105">
        <v>2</v>
      </c>
      <c r="AB105">
        <v>2</v>
      </c>
      <c r="AC105">
        <v>2</v>
      </c>
      <c r="AD105">
        <v>2</v>
      </c>
      <c r="AE105">
        <v>2</v>
      </c>
      <c r="AF105">
        <v>2</v>
      </c>
      <c r="AG105">
        <v>2</v>
      </c>
      <c r="AH105">
        <v>2</v>
      </c>
      <c r="AI105">
        <v>2</v>
      </c>
      <c r="AJ105">
        <v>2</v>
      </c>
      <c r="AK105">
        <v>2</v>
      </c>
      <c r="AL105">
        <v>2</v>
      </c>
      <c r="AM105">
        <v>2</v>
      </c>
      <c r="AN105">
        <v>2</v>
      </c>
      <c r="AO105">
        <v>2</v>
      </c>
      <c r="AP105">
        <v>2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</row>
    <row r="106" spans="2:66" x14ac:dyDescent="0.2">
      <c r="B106" s="103">
        <v>23</v>
      </c>
      <c r="C106" s="135">
        <v>0</v>
      </c>
      <c r="D106" s="135" t="s">
        <v>1993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</row>
    <row r="107" spans="2:66" x14ac:dyDescent="0.2">
      <c r="B107" s="103">
        <v>24</v>
      </c>
      <c r="C107" s="135">
        <v>0</v>
      </c>
      <c r="D107" s="135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</row>
    <row r="108" spans="2:66" x14ac:dyDescent="0.2">
      <c r="B108" s="103">
        <v>25</v>
      </c>
      <c r="C108" s="135">
        <v>0</v>
      </c>
      <c r="D108" s="135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</row>
    <row r="109" spans="2:66" x14ac:dyDescent="0.2">
      <c r="B109" s="1175" t="s">
        <v>3732</v>
      </c>
      <c r="C109" s="1176"/>
      <c r="D109" s="1177"/>
    </row>
    <row r="110" spans="2:66" x14ac:dyDescent="0.2">
      <c r="B110" s="103">
        <v>1</v>
      </c>
      <c r="C110" s="135" t="s">
        <v>3023</v>
      </c>
      <c r="D110" s="135" t="s">
        <v>1993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</row>
    <row r="111" spans="2:66" x14ac:dyDescent="0.2">
      <c r="B111" s="103">
        <v>2</v>
      </c>
      <c r="C111" s="135" t="s">
        <v>3024</v>
      </c>
      <c r="D111" s="135" t="s">
        <v>1994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</row>
    <row r="112" spans="2:66" x14ac:dyDescent="0.2">
      <c r="B112" s="103">
        <v>3</v>
      </c>
      <c r="C112" s="135" t="s">
        <v>3025</v>
      </c>
      <c r="D112" s="135" t="s">
        <v>1992</v>
      </c>
      <c r="F112">
        <v>0</v>
      </c>
      <c r="G112">
        <v>0</v>
      </c>
      <c r="H112">
        <v>15</v>
      </c>
      <c r="I112">
        <v>15</v>
      </c>
      <c r="J112">
        <v>0</v>
      </c>
      <c r="K112">
        <v>0</v>
      </c>
      <c r="L112">
        <v>0</v>
      </c>
      <c r="M112">
        <v>15</v>
      </c>
      <c r="N112">
        <v>30</v>
      </c>
      <c r="O112">
        <v>30</v>
      </c>
      <c r="P112">
        <v>30</v>
      </c>
      <c r="Q112">
        <v>0</v>
      </c>
      <c r="R112">
        <v>15</v>
      </c>
      <c r="S112">
        <v>0</v>
      </c>
      <c r="T112">
        <v>15</v>
      </c>
      <c r="U112">
        <v>0</v>
      </c>
      <c r="V112">
        <v>25</v>
      </c>
      <c r="W112">
        <v>25</v>
      </c>
      <c r="X112">
        <v>25</v>
      </c>
      <c r="Y112">
        <v>0</v>
      </c>
      <c r="Z112">
        <v>25</v>
      </c>
      <c r="AA112">
        <v>25</v>
      </c>
      <c r="AB112">
        <v>0</v>
      </c>
      <c r="AC112">
        <v>25</v>
      </c>
      <c r="AD112">
        <v>0</v>
      </c>
      <c r="AE112">
        <v>25</v>
      </c>
      <c r="AF112">
        <v>25</v>
      </c>
      <c r="AG112">
        <v>25</v>
      </c>
      <c r="AH112">
        <v>25</v>
      </c>
      <c r="AI112">
        <v>25</v>
      </c>
      <c r="AJ112">
        <v>0</v>
      </c>
      <c r="AK112">
        <v>25</v>
      </c>
      <c r="AL112">
        <v>0</v>
      </c>
      <c r="AM112">
        <v>19</v>
      </c>
      <c r="AN112">
        <v>19</v>
      </c>
      <c r="AO112">
        <v>20</v>
      </c>
      <c r="AP112">
        <v>19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</row>
    <row r="113" spans="2:66" x14ac:dyDescent="0.2">
      <c r="B113" s="103">
        <v>4</v>
      </c>
      <c r="C113" s="135" t="s">
        <v>3026</v>
      </c>
      <c r="D113" s="135" t="s">
        <v>1998</v>
      </c>
      <c r="F113">
        <v>0</v>
      </c>
      <c r="G113">
        <v>0</v>
      </c>
      <c r="H113">
        <v>2</v>
      </c>
      <c r="I113">
        <v>2</v>
      </c>
      <c r="J113">
        <v>0</v>
      </c>
      <c r="K113">
        <v>0</v>
      </c>
      <c r="L113">
        <v>0</v>
      </c>
      <c r="M113">
        <v>2</v>
      </c>
      <c r="N113">
        <v>4</v>
      </c>
      <c r="O113">
        <v>4</v>
      </c>
      <c r="P113">
        <v>4</v>
      </c>
      <c r="Q113">
        <v>0</v>
      </c>
      <c r="R113">
        <v>2</v>
      </c>
      <c r="S113">
        <v>0</v>
      </c>
      <c r="T113">
        <v>2</v>
      </c>
      <c r="U113">
        <v>0</v>
      </c>
      <c r="V113">
        <v>7</v>
      </c>
      <c r="W113">
        <v>7</v>
      </c>
      <c r="X113">
        <v>7</v>
      </c>
      <c r="Y113">
        <v>0</v>
      </c>
      <c r="Z113">
        <v>7</v>
      </c>
      <c r="AA113">
        <v>7</v>
      </c>
      <c r="AB113">
        <v>0</v>
      </c>
      <c r="AC113">
        <v>5</v>
      </c>
      <c r="AD113">
        <v>0</v>
      </c>
      <c r="AE113">
        <v>5</v>
      </c>
      <c r="AF113">
        <v>5</v>
      </c>
      <c r="AG113">
        <v>5</v>
      </c>
      <c r="AH113">
        <v>5</v>
      </c>
      <c r="AI113">
        <v>5</v>
      </c>
      <c r="AJ113">
        <v>0</v>
      </c>
      <c r="AK113">
        <v>5</v>
      </c>
      <c r="AL113">
        <v>0</v>
      </c>
      <c r="AM113">
        <v>5</v>
      </c>
      <c r="AN113">
        <v>5</v>
      </c>
      <c r="AO113">
        <v>7</v>
      </c>
      <c r="AP113">
        <v>5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</row>
    <row r="114" spans="2:66" x14ac:dyDescent="0.2">
      <c r="B114" s="103">
        <v>5</v>
      </c>
      <c r="C114" s="135" t="s">
        <v>3027</v>
      </c>
      <c r="D114" s="135" t="s">
        <v>1997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</row>
    <row r="115" spans="2:66" x14ac:dyDescent="0.2">
      <c r="B115" s="103">
        <v>6</v>
      </c>
      <c r="C115" s="135" t="s">
        <v>3028</v>
      </c>
      <c r="D115" s="135" t="s">
        <v>2282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</row>
    <row r="116" spans="2:66" x14ac:dyDescent="0.2">
      <c r="B116" s="103">
        <v>7</v>
      </c>
      <c r="C116" s="135" t="s">
        <v>3029</v>
      </c>
      <c r="D116" s="135" t="s">
        <v>2288</v>
      </c>
      <c r="F116">
        <v>0</v>
      </c>
      <c r="G116">
        <v>0</v>
      </c>
      <c r="H116">
        <v>15</v>
      </c>
      <c r="I116">
        <v>15</v>
      </c>
      <c r="J116">
        <v>0</v>
      </c>
      <c r="K116">
        <v>0</v>
      </c>
      <c r="L116">
        <v>0</v>
      </c>
      <c r="M116">
        <v>15</v>
      </c>
      <c r="N116">
        <v>32</v>
      </c>
      <c r="O116">
        <v>32</v>
      </c>
      <c r="P116">
        <v>32</v>
      </c>
      <c r="Q116">
        <v>0</v>
      </c>
      <c r="R116">
        <v>15</v>
      </c>
      <c r="S116">
        <v>0</v>
      </c>
      <c r="T116">
        <v>15</v>
      </c>
      <c r="U116">
        <v>0</v>
      </c>
      <c r="V116">
        <v>25</v>
      </c>
      <c r="W116">
        <v>25</v>
      </c>
      <c r="X116">
        <v>25</v>
      </c>
      <c r="Y116">
        <v>0</v>
      </c>
      <c r="Z116">
        <v>25</v>
      </c>
      <c r="AA116">
        <v>25</v>
      </c>
      <c r="AB116">
        <v>0</v>
      </c>
      <c r="AC116">
        <v>20</v>
      </c>
      <c r="AD116">
        <v>0</v>
      </c>
      <c r="AE116">
        <v>20</v>
      </c>
      <c r="AF116">
        <v>20</v>
      </c>
      <c r="AG116">
        <v>20</v>
      </c>
      <c r="AH116">
        <v>20</v>
      </c>
      <c r="AI116">
        <v>20</v>
      </c>
      <c r="AJ116">
        <v>0</v>
      </c>
      <c r="AK116">
        <v>20</v>
      </c>
      <c r="AL116">
        <v>0</v>
      </c>
      <c r="AM116">
        <v>20</v>
      </c>
      <c r="AN116">
        <v>20</v>
      </c>
      <c r="AO116">
        <v>25</v>
      </c>
      <c r="AP116">
        <v>20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</row>
    <row r="117" spans="2:66" x14ac:dyDescent="0.2">
      <c r="B117" s="103">
        <v>8</v>
      </c>
      <c r="C117" s="135" t="s">
        <v>3030</v>
      </c>
      <c r="D117" s="135" t="s">
        <v>2289</v>
      </c>
      <c r="F117">
        <v>0</v>
      </c>
      <c r="G117">
        <v>0</v>
      </c>
      <c r="H117">
        <v>2</v>
      </c>
      <c r="I117">
        <v>2</v>
      </c>
      <c r="J117">
        <v>0</v>
      </c>
      <c r="K117">
        <v>0</v>
      </c>
      <c r="L117">
        <v>0</v>
      </c>
      <c r="M117">
        <v>2</v>
      </c>
      <c r="N117">
        <v>4</v>
      </c>
      <c r="O117">
        <v>4</v>
      </c>
      <c r="P117">
        <v>4</v>
      </c>
      <c r="Q117">
        <v>0</v>
      </c>
      <c r="R117">
        <v>2</v>
      </c>
      <c r="S117">
        <v>0</v>
      </c>
      <c r="T117">
        <v>2</v>
      </c>
      <c r="U117">
        <v>0</v>
      </c>
      <c r="V117">
        <v>10</v>
      </c>
      <c r="W117">
        <v>10</v>
      </c>
      <c r="X117">
        <v>10</v>
      </c>
      <c r="Y117">
        <v>0</v>
      </c>
      <c r="Z117">
        <v>10</v>
      </c>
      <c r="AA117">
        <v>10</v>
      </c>
      <c r="AB117">
        <v>0</v>
      </c>
      <c r="AC117">
        <v>4</v>
      </c>
      <c r="AD117">
        <v>0</v>
      </c>
      <c r="AE117">
        <v>4</v>
      </c>
      <c r="AF117">
        <v>4</v>
      </c>
      <c r="AG117">
        <v>4</v>
      </c>
      <c r="AH117">
        <v>4</v>
      </c>
      <c r="AI117">
        <v>4</v>
      </c>
      <c r="AJ117">
        <v>0</v>
      </c>
      <c r="AK117">
        <v>4</v>
      </c>
      <c r="AL117">
        <v>0</v>
      </c>
      <c r="AM117">
        <v>4</v>
      </c>
      <c r="AN117">
        <v>4</v>
      </c>
      <c r="AO117">
        <v>10</v>
      </c>
      <c r="AP117">
        <v>4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</row>
    <row r="118" spans="2:66" x14ac:dyDescent="0.2">
      <c r="B118" s="103">
        <v>9</v>
      </c>
      <c r="C118" s="135" t="s">
        <v>3031</v>
      </c>
      <c r="D118" s="135" t="s">
        <v>2283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</row>
    <row r="119" spans="2:66" x14ac:dyDescent="0.2">
      <c r="B119" s="103">
        <v>10</v>
      </c>
      <c r="C119" s="135" t="s">
        <v>3032</v>
      </c>
      <c r="D119" s="135" t="s">
        <v>2284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</row>
    <row r="120" spans="2:66" x14ac:dyDescent="0.2">
      <c r="B120" s="103">
        <v>11</v>
      </c>
      <c r="C120" s="135" t="s">
        <v>3033</v>
      </c>
      <c r="D120" s="135" t="s">
        <v>2292</v>
      </c>
      <c r="F120">
        <v>0</v>
      </c>
      <c r="G120">
        <v>0</v>
      </c>
      <c r="H120">
        <v>6</v>
      </c>
      <c r="I120">
        <v>6</v>
      </c>
      <c r="J120">
        <v>0</v>
      </c>
      <c r="K120">
        <v>0</v>
      </c>
      <c r="L120">
        <v>0</v>
      </c>
      <c r="M120">
        <v>6</v>
      </c>
      <c r="N120">
        <v>10</v>
      </c>
      <c r="O120">
        <v>10</v>
      </c>
      <c r="P120">
        <v>10</v>
      </c>
      <c r="Q120">
        <v>0</v>
      </c>
      <c r="R120">
        <v>6</v>
      </c>
      <c r="S120">
        <v>0</v>
      </c>
      <c r="T120">
        <v>6</v>
      </c>
      <c r="U120">
        <v>0</v>
      </c>
      <c r="V120">
        <v>10</v>
      </c>
      <c r="W120">
        <v>10</v>
      </c>
      <c r="X120">
        <v>10</v>
      </c>
      <c r="Y120">
        <v>0</v>
      </c>
      <c r="Z120">
        <v>10</v>
      </c>
      <c r="AA120">
        <v>10</v>
      </c>
      <c r="AB120">
        <v>0</v>
      </c>
      <c r="AC120">
        <v>10</v>
      </c>
      <c r="AD120">
        <v>0</v>
      </c>
      <c r="AE120">
        <v>10</v>
      </c>
      <c r="AF120">
        <v>10</v>
      </c>
      <c r="AG120">
        <v>10</v>
      </c>
      <c r="AH120">
        <v>10</v>
      </c>
      <c r="AI120">
        <v>10</v>
      </c>
      <c r="AJ120">
        <v>0</v>
      </c>
      <c r="AK120">
        <v>10</v>
      </c>
      <c r="AL120">
        <v>10</v>
      </c>
      <c r="AM120">
        <v>10</v>
      </c>
      <c r="AN120">
        <v>10</v>
      </c>
      <c r="AO120">
        <v>10</v>
      </c>
      <c r="AP120">
        <v>10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</row>
    <row r="121" spans="2:66" x14ac:dyDescent="0.2">
      <c r="B121" s="103">
        <v>12</v>
      </c>
      <c r="C121" s="135" t="s">
        <v>3034</v>
      </c>
      <c r="D121" s="135" t="s">
        <v>2290</v>
      </c>
      <c r="F121">
        <v>0</v>
      </c>
      <c r="G121">
        <v>0</v>
      </c>
      <c r="H121">
        <v>2</v>
      </c>
      <c r="I121">
        <v>2</v>
      </c>
      <c r="J121">
        <v>0</v>
      </c>
      <c r="K121">
        <v>0</v>
      </c>
      <c r="L121">
        <v>0</v>
      </c>
      <c r="M121">
        <v>2</v>
      </c>
      <c r="N121">
        <v>4</v>
      </c>
      <c r="O121">
        <v>4</v>
      </c>
      <c r="P121">
        <v>4</v>
      </c>
      <c r="Q121">
        <v>0</v>
      </c>
      <c r="R121">
        <v>2</v>
      </c>
      <c r="S121">
        <v>0</v>
      </c>
      <c r="T121">
        <v>2</v>
      </c>
      <c r="U121">
        <v>0</v>
      </c>
      <c r="V121">
        <v>4</v>
      </c>
      <c r="W121">
        <v>4</v>
      </c>
      <c r="X121">
        <v>4</v>
      </c>
      <c r="Y121">
        <v>0</v>
      </c>
      <c r="Z121">
        <v>4</v>
      </c>
      <c r="AA121">
        <v>4</v>
      </c>
      <c r="AB121">
        <v>0</v>
      </c>
      <c r="AC121">
        <v>2</v>
      </c>
      <c r="AD121">
        <v>0</v>
      </c>
      <c r="AE121">
        <v>2</v>
      </c>
      <c r="AF121">
        <v>2</v>
      </c>
      <c r="AG121">
        <v>2</v>
      </c>
      <c r="AH121">
        <v>2</v>
      </c>
      <c r="AI121">
        <v>2</v>
      </c>
      <c r="AJ121">
        <v>0</v>
      </c>
      <c r="AK121">
        <v>2</v>
      </c>
      <c r="AL121">
        <v>0</v>
      </c>
      <c r="AM121">
        <v>2</v>
      </c>
      <c r="AN121">
        <v>2</v>
      </c>
      <c r="AO121">
        <v>4</v>
      </c>
      <c r="AP121">
        <v>2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</row>
    <row r="122" spans="2:66" x14ac:dyDescent="0.2">
      <c r="B122" s="103">
        <v>13</v>
      </c>
      <c r="C122" s="135" t="s">
        <v>3035</v>
      </c>
      <c r="D122" s="135" t="s">
        <v>2295</v>
      </c>
      <c r="F122">
        <v>0</v>
      </c>
      <c r="G122">
        <v>0</v>
      </c>
      <c r="H122">
        <v>10</v>
      </c>
      <c r="I122">
        <v>10</v>
      </c>
      <c r="J122">
        <v>0</v>
      </c>
      <c r="K122">
        <v>0</v>
      </c>
      <c r="L122">
        <v>0</v>
      </c>
      <c r="M122">
        <v>10</v>
      </c>
      <c r="N122">
        <v>30</v>
      </c>
      <c r="O122">
        <v>30</v>
      </c>
      <c r="P122">
        <v>30</v>
      </c>
      <c r="Q122">
        <v>0</v>
      </c>
      <c r="R122">
        <v>10</v>
      </c>
      <c r="S122">
        <v>0</v>
      </c>
      <c r="T122">
        <v>10</v>
      </c>
      <c r="U122">
        <v>0</v>
      </c>
      <c r="V122">
        <v>30</v>
      </c>
      <c r="W122">
        <v>30</v>
      </c>
      <c r="X122">
        <v>30</v>
      </c>
      <c r="Y122">
        <v>0</v>
      </c>
      <c r="Z122">
        <v>30</v>
      </c>
      <c r="AA122">
        <v>30</v>
      </c>
      <c r="AB122">
        <v>0</v>
      </c>
      <c r="AC122">
        <v>30</v>
      </c>
      <c r="AD122">
        <v>0</v>
      </c>
      <c r="AE122">
        <v>30</v>
      </c>
      <c r="AF122">
        <v>30</v>
      </c>
      <c r="AG122">
        <v>30</v>
      </c>
      <c r="AH122">
        <v>30</v>
      </c>
      <c r="AI122">
        <v>30</v>
      </c>
      <c r="AJ122">
        <v>0</v>
      </c>
      <c r="AK122">
        <v>30</v>
      </c>
      <c r="AL122">
        <v>10</v>
      </c>
      <c r="AM122">
        <v>10</v>
      </c>
      <c r="AN122">
        <v>10</v>
      </c>
      <c r="AO122">
        <v>10</v>
      </c>
      <c r="AP122">
        <v>10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</row>
    <row r="123" spans="2:66" x14ac:dyDescent="0.2">
      <c r="B123" s="103">
        <v>14</v>
      </c>
      <c r="C123" s="135" t="s">
        <v>3036</v>
      </c>
      <c r="D123" s="135" t="s">
        <v>3710</v>
      </c>
      <c r="F123">
        <v>0</v>
      </c>
      <c r="G123">
        <v>0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1</v>
      </c>
      <c r="N123">
        <v>1</v>
      </c>
      <c r="O123">
        <v>1</v>
      </c>
      <c r="P123">
        <v>1</v>
      </c>
      <c r="Q123">
        <v>0</v>
      </c>
      <c r="R123">
        <v>1</v>
      </c>
      <c r="S123">
        <v>0</v>
      </c>
      <c r="T123">
        <v>1</v>
      </c>
      <c r="U123">
        <v>0</v>
      </c>
      <c r="V123">
        <v>1</v>
      </c>
      <c r="W123">
        <v>1</v>
      </c>
      <c r="X123">
        <v>1</v>
      </c>
      <c r="Y123">
        <v>0</v>
      </c>
      <c r="Z123">
        <v>1</v>
      </c>
      <c r="AA123">
        <v>1</v>
      </c>
      <c r="AB123">
        <v>0</v>
      </c>
      <c r="AC123">
        <v>1</v>
      </c>
      <c r="AD123">
        <v>0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0</v>
      </c>
      <c r="AK123">
        <v>1</v>
      </c>
      <c r="AL123">
        <v>0</v>
      </c>
      <c r="AM123">
        <v>1</v>
      </c>
      <c r="AN123">
        <v>1</v>
      </c>
      <c r="AO123">
        <v>1</v>
      </c>
      <c r="AP123">
        <v>1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</row>
    <row r="124" spans="2:66" x14ac:dyDescent="0.2">
      <c r="B124" s="103">
        <v>15</v>
      </c>
      <c r="C124" s="135" t="s">
        <v>3037</v>
      </c>
      <c r="D124" s="135" t="s">
        <v>2287</v>
      </c>
      <c r="F124">
        <v>0</v>
      </c>
      <c r="G124">
        <v>0</v>
      </c>
      <c r="H124">
        <v>1</v>
      </c>
      <c r="I124">
        <v>1</v>
      </c>
      <c r="J124">
        <v>0</v>
      </c>
      <c r="K124">
        <v>0</v>
      </c>
      <c r="L124">
        <v>0</v>
      </c>
      <c r="M124">
        <v>1</v>
      </c>
      <c r="N124">
        <v>1</v>
      </c>
      <c r="O124">
        <v>1</v>
      </c>
      <c r="P124">
        <v>1</v>
      </c>
      <c r="Q124">
        <v>0</v>
      </c>
      <c r="R124">
        <v>1</v>
      </c>
      <c r="S124">
        <v>0</v>
      </c>
      <c r="T124">
        <v>1</v>
      </c>
      <c r="U124">
        <v>0</v>
      </c>
      <c r="V124">
        <v>1</v>
      </c>
      <c r="W124">
        <v>1</v>
      </c>
      <c r="X124">
        <v>1</v>
      </c>
      <c r="Y124">
        <v>0</v>
      </c>
      <c r="Z124">
        <v>1</v>
      </c>
      <c r="AA124">
        <v>1</v>
      </c>
      <c r="AB124">
        <v>0</v>
      </c>
      <c r="AC124">
        <v>1</v>
      </c>
      <c r="AD124">
        <v>0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0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</row>
    <row r="125" spans="2:66" x14ac:dyDescent="0.2">
      <c r="B125" s="103">
        <v>16</v>
      </c>
      <c r="C125" s="135" t="s">
        <v>3038</v>
      </c>
      <c r="D125" s="135" t="s">
        <v>2286</v>
      </c>
      <c r="F125">
        <v>0</v>
      </c>
      <c r="G125">
        <v>0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1</v>
      </c>
      <c r="N125">
        <v>1</v>
      </c>
      <c r="O125">
        <v>1</v>
      </c>
      <c r="P125">
        <v>1</v>
      </c>
      <c r="Q125">
        <v>0</v>
      </c>
      <c r="R125">
        <v>1</v>
      </c>
      <c r="S125">
        <v>0</v>
      </c>
      <c r="T125">
        <v>1</v>
      </c>
      <c r="U125">
        <v>0</v>
      </c>
      <c r="V125">
        <v>1</v>
      </c>
      <c r="W125">
        <v>1</v>
      </c>
      <c r="X125">
        <v>1</v>
      </c>
      <c r="Y125">
        <v>0</v>
      </c>
      <c r="Z125">
        <v>1</v>
      </c>
      <c r="AA125">
        <v>1</v>
      </c>
      <c r="AB125">
        <v>0</v>
      </c>
      <c r="AC125">
        <v>1</v>
      </c>
      <c r="AD125">
        <v>0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0</v>
      </c>
      <c r="AK125">
        <v>1</v>
      </c>
      <c r="AL125">
        <v>0</v>
      </c>
      <c r="AM125">
        <v>1</v>
      </c>
      <c r="AN125">
        <v>1</v>
      </c>
      <c r="AO125">
        <v>1</v>
      </c>
      <c r="AP125">
        <v>1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</row>
    <row r="126" spans="2:66" x14ac:dyDescent="0.2">
      <c r="B126" s="103">
        <v>17</v>
      </c>
      <c r="C126" s="135" t="s">
        <v>3039</v>
      </c>
      <c r="D126" s="135" t="s">
        <v>2285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1</v>
      </c>
      <c r="AD126">
        <v>0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0</v>
      </c>
      <c r="AK126">
        <v>1</v>
      </c>
      <c r="AL126">
        <v>0</v>
      </c>
      <c r="AM126">
        <v>1</v>
      </c>
      <c r="AN126">
        <v>1</v>
      </c>
      <c r="AO126">
        <v>0</v>
      </c>
      <c r="AP126">
        <v>1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</row>
    <row r="127" spans="2:66" x14ac:dyDescent="0.2">
      <c r="B127" s="103">
        <v>18</v>
      </c>
      <c r="C127" s="135" t="s">
        <v>3040</v>
      </c>
      <c r="D127" s="135" t="s">
        <v>1930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</row>
    <row r="128" spans="2:66" x14ac:dyDescent="0.2">
      <c r="B128" s="103">
        <v>19</v>
      </c>
      <c r="C128" s="135" t="s">
        <v>2891</v>
      </c>
      <c r="D128" s="135" t="s">
        <v>2297</v>
      </c>
      <c r="F128">
        <v>0</v>
      </c>
      <c r="G128">
        <v>0</v>
      </c>
      <c r="H128">
        <v>2</v>
      </c>
      <c r="I128">
        <v>2</v>
      </c>
      <c r="J128">
        <v>0</v>
      </c>
      <c r="K128">
        <v>0</v>
      </c>
      <c r="L128">
        <v>0</v>
      </c>
      <c r="M128">
        <v>2</v>
      </c>
      <c r="N128">
        <v>5</v>
      </c>
      <c r="O128">
        <v>5</v>
      </c>
      <c r="P128">
        <v>5</v>
      </c>
      <c r="Q128">
        <v>0</v>
      </c>
      <c r="R128">
        <v>2</v>
      </c>
      <c r="S128">
        <v>0</v>
      </c>
      <c r="T128">
        <v>2</v>
      </c>
      <c r="U128">
        <v>0</v>
      </c>
      <c r="V128">
        <v>5</v>
      </c>
      <c r="W128">
        <v>5</v>
      </c>
      <c r="X128">
        <v>5</v>
      </c>
      <c r="Y128">
        <v>0</v>
      </c>
      <c r="Z128">
        <v>5</v>
      </c>
      <c r="AA128">
        <v>5</v>
      </c>
      <c r="AB128">
        <v>0</v>
      </c>
      <c r="AC128">
        <v>4</v>
      </c>
      <c r="AD128">
        <v>0</v>
      </c>
      <c r="AE128">
        <v>4</v>
      </c>
      <c r="AF128">
        <v>4</v>
      </c>
      <c r="AG128">
        <v>4</v>
      </c>
      <c r="AH128">
        <v>4</v>
      </c>
      <c r="AI128">
        <v>4</v>
      </c>
      <c r="AJ128">
        <v>0</v>
      </c>
      <c r="AK128">
        <v>4</v>
      </c>
      <c r="AL128">
        <v>0</v>
      </c>
      <c r="AM128">
        <v>4</v>
      </c>
      <c r="AN128">
        <v>4</v>
      </c>
      <c r="AO128">
        <v>5</v>
      </c>
      <c r="AP128">
        <v>4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</row>
    <row r="129" spans="2:66" x14ac:dyDescent="0.2">
      <c r="B129" s="103">
        <v>20</v>
      </c>
      <c r="C129" s="135" t="s">
        <v>3041</v>
      </c>
      <c r="D129" s="135" t="s">
        <v>2293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</row>
    <row r="130" spans="2:66" x14ac:dyDescent="0.2">
      <c r="B130" s="103">
        <v>21</v>
      </c>
      <c r="C130" s="135" t="s">
        <v>3048</v>
      </c>
      <c r="D130" s="135" t="s">
        <v>1987</v>
      </c>
      <c r="F130">
        <v>0</v>
      </c>
      <c r="G130">
        <v>0</v>
      </c>
      <c r="H130">
        <v>5</v>
      </c>
      <c r="I130">
        <v>5</v>
      </c>
      <c r="J130">
        <v>0</v>
      </c>
      <c r="K130">
        <v>0</v>
      </c>
      <c r="L130">
        <v>0</v>
      </c>
      <c r="M130">
        <v>5</v>
      </c>
      <c r="N130">
        <v>5</v>
      </c>
      <c r="O130">
        <v>5</v>
      </c>
      <c r="P130">
        <v>5</v>
      </c>
      <c r="Q130">
        <v>0</v>
      </c>
      <c r="R130">
        <v>5</v>
      </c>
      <c r="S130">
        <v>0</v>
      </c>
      <c r="T130">
        <v>5</v>
      </c>
      <c r="U130">
        <v>0</v>
      </c>
      <c r="V130">
        <v>5</v>
      </c>
      <c r="W130">
        <v>5</v>
      </c>
      <c r="X130">
        <v>5</v>
      </c>
      <c r="Y130">
        <v>0</v>
      </c>
      <c r="Z130">
        <v>5</v>
      </c>
      <c r="AA130">
        <v>5</v>
      </c>
      <c r="AB130">
        <v>0</v>
      </c>
      <c r="AC130">
        <v>6</v>
      </c>
      <c r="AD130">
        <v>0</v>
      </c>
      <c r="AE130">
        <v>6</v>
      </c>
      <c r="AF130">
        <v>6</v>
      </c>
      <c r="AG130">
        <v>6</v>
      </c>
      <c r="AH130">
        <v>6</v>
      </c>
      <c r="AI130">
        <v>6</v>
      </c>
      <c r="AJ130">
        <v>0</v>
      </c>
      <c r="AK130">
        <v>6</v>
      </c>
      <c r="AL130">
        <v>6</v>
      </c>
      <c r="AM130">
        <v>6</v>
      </c>
      <c r="AN130">
        <v>6</v>
      </c>
      <c r="AO130">
        <v>6</v>
      </c>
      <c r="AP130">
        <v>6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</row>
    <row r="131" spans="2:66" x14ac:dyDescent="0.2">
      <c r="B131" s="103">
        <v>22</v>
      </c>
      <c r="C131" s="135" t="s">
        <v>3047</v>
      </c>
      <c r="D131" s="135" t="s">
        <v>2484</v>
      </c>
      <c r="F131">
        <v>0</v>
      </c>
      <c r="G131">
        <v>0</v>
      </c>
      <c r="H131">
        <v>1</v>
      </c>
      <c r="I131">
        <v>1</v>
      </c>
      <c r="J131">
        <v>0</v>
      </c>
      <c r="K131">
        <v>0</v>
      </c>
      <c r="L131">
        <v>0</v>
      </c>
      <c r="M131">
        <v>1</v>
      </c>
      <c r="N131">
        <v>1</v>
      </c>
      <c r="O131">
        <v>1</v>
      </c>
      <c r="P131">
        <v>1</v>
      </c>
      <c r="Q131">
        <v>0</v>
      </c>
      <c r="R131">
        <v>1</v>
      </c>
      <c r="S131">
        <v>0</v>
      </c>
      <c r="T131">
        <v>1</v>
      </c>
      <c r="U131">
        <v>0</v>
      </c>
      <c r="V131">
        <v>1</v>
      </c>
      <c r="W131">
        <v>1</v>
      </c>
      <c r="X131">
        <v>1</v>
      </c>
      <c r="Y131">
        <v>0</v>
      </c>
      <c r="Z131">
        <v>1</v>
      </c>
      <c r="AA131">
        <v>1</v>
      </c>
      <c r="AB131">
        <v>0</v>
      </c>
      <c r="AC131">
        <v>1</v>
      </c>
      <c r="AD131">
        <v>0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0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</row>
    <row r="132" spans="2:66" x14ac:dyDescent="0.2">
      <c r="B132" s="103">
        <v>23</v>
      </c>
      <c r="C132" s="135" t="s">
        <v>3529</v>
      </c>
      <c r="D132" s="135" t="s">
        <v>2291</v>
      </c>
      <c r="F132">
        <v>0</v>
      </c>
      <c r="G132">
        <v>0</v>
      </c>
      <c r="H132">
        <v>2</v>
      </c>
      <c r="I132">
        <v>2</v>
      </c>
      <c r="J132">
        <v>0</v>
      </c>
      <c r="K132">
        <v>0</v>
      </c>
      <c r="L132">
        <v>0</v>
      </c>
      <c r="M132">
        <v>2</v>
      </c>
      <c r="N132">
        <v>2</v>
      </c>
      <c r="O132">
        <v>2</v>
      </c>
      <c r="P132">
        <v>2</v>
      </c>
      <c r="Q132">
        <v>0</v>
      </c>
      <c r="R132">
        <v>2</v>
      </c>
      <c r="S132">
        <v>0</v>
      </c>
      <c r="T132">
        <v>2</v>
      </c>
      <c r="U132">
        <v>0</v>
      </c>
      <c r="V132">
        <v>2</v>
      </c>
      <c r="W132">
        <v>2</v>
      </c>
      <c r="X132">
        <v>2</v>
      </c>
      <c r="Y132">
        <v>0</v>
      </c>
      <c r="Z132">
        <v>2</v>
      </c>
      <c r="AA132">
        <v>2</v>
      </c>
      <c r="AB132">
        <v>0</v>
      </c>
      <c r="AC132">
        <v>2</v>
      </c>
      <c r="AD132">
        <v>0</v>
      </c>
      <c r="AE132">
        <v>2</v>
      </c>
      <c r="AF132">
        <v>2</v>
      </c>
      <c r="AG132">
        <v>2</v>
      </c>
      <c r="AH132">
        <v>2</v>
      </c>
      <c r="AI132">
        <v>2</v>
      </c>
      <c r="AJ132">
        <v>0</v>
      </c>
      <c r="AK132">
        <v>2</v>
      </c>
      <c r="AL132">
        <v>2</v>
      </c>
      <c r="AM132">
        <v>2</v>
      </c>
      <c r="AN132">
        <v>2</v>
      </c>
      <c r="AO132">
        <v>2</v>
      </c>
      <c r="AP132">
        <v>2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</row>
    <row r="133" spans="2:66" x14ac:dyDescent="0.2">
      <c r="B133" s="103">
        <v>24</v>
      </c>
      <c r="C133" s="135">
        <v>0</v>
      </c>
      <c r="D133" s="135" t="s">
        <v>1993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</row>
    <row r="134" spans="2:66" x14ac:dyDescent="0.2">
      <c r="B134" s="103">
        <v>25</v>
      </c>
      <c r="C134" s="135">
        <v>0</v>
      </c>
      <c r="D134" s="135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</row>
    <row r="135" spans="2:66" x14ac:dyDescent="0.2">
      <c r="B135" s="1175" t="s">
        <v>3731</v>
      </c>
      <c r="C135" s="1176"/>
      <c r="D135" s="1177"/>
    </row>
    <row r="136" spans="2:66" x14ac:dyDescent="0.2">
      <c r="B136" s="103">
        <v>1</v>
      </c>
      <c r="C136" s="135" t="s">
        <v>3025</v>
      </c>
      <c r="D136" s="135" t="s">
        <v>1992</v>
      </c>
      <c r="F136">
        <v>15</v>
      </c>
      <c r="G136">
        <v>15</v>
      </c>
      <c r="H136">
        <v>20</v>
      </c>
      <c r="I136">
        <v>10</v>
      </c>
      <c r="J136">
        <v>12</v>
      </c>
      <c r="K136">
        <v>12</v>
      </c>
      <c r="L136">
        <v>0</v>
      </c>
      <c r="M136">
        <v>0</v>
      </c>
      <c r="N136">
        <v>15</v>
      </c>
      <c r="O136">
        <v>15</v>
      </c>
      <c r="P136">
        <v>15</v>
      </c>
      <c r="Q136">
        <v>20</v>
      </c>
      <c r="R136">
        <v>20</v>
      </c>
      <c r="S136">
        <v>20</v>
      </c>
      <c r="T136">
        <v>20</v>
      </c>
      <c r="U136">
        <v>20</v>
      </c>
      <c r="V136">
        <v>20</v>
      </c>
      <c r="W136">
        <v>0</v>
      </c>
      <c r="X136">
        <v>0</v>
      </c>
      <c r="Y136">
        <v>20</v>
      </c>
      <c r="Z136">
        <v>20</v>
      </c>
      <c r="AA136">
        <v>15</v>
      </c>
      <c r="AB136">
        <v>14</v>
      </c>
      <c r="AC136">
        <v>10</v>
      </c>
      <c r="AD136">
        <v>14</v>
      </c>
      <c r="AE136">
        <v>10</v>
      </c>
      <c r="AF136">
        <v>10</v>
      </c>
      <c r="AG136">
        <v>10</v>
      </c>
      <c r="AH136">
        <v>10</v>
      </c>
      <c r="AI136">
        <v>10</v>
      </c>
      <c r="AJ136">
        <v>14</v>
      </c>
      <c r="AK136">
        <v>10</v>
      </c>
      <c r="AL136">
        <v>0</v>
      </c>
      <c r="AM136">
        <v>10</v>
      </c>
      <c r="AN136">
        <v>10</v>
      </c>
      <c r="AO136">
        <v>15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</row>
    <row r="137" spans="2:66" x14ac:dyDescent="0.2">
      <c r="B137" s="103">
        <v>2</v>
      </c>
      <c r="C137" s="135" t="s">
        <v>3029</v>
      </c>
      <c r="D137" s="135" t="s">
        <v>2288</v>
      </c>
      <c r="F137">
        <v>17</v>
      </c>
      <c r="G137">
        <v>17</v>
      </c>
      <c r="H137">
        <v>15</v>
      </c>
      <c r="I137">
        <v>16</v>
      </c>
      <c r="J137">
        <v>10</v>
      </c>
      <c r="K137">
        <v>10</v>
      </c>
      <c r="L137">
        <v>0</v>
      </c>
      <c r="M137">
        <v>0</v>
      </c>
      <c r="N137">
        <v>10</v>
      </c>
      <c r="O137">
        <v>10</v>
      </c>
      <c r="P137">
        <v>10</v>
      </c>
      <c r="Q137">
        <v>15</v>
      </c>
      <c r="R137">
        <v>15</v>
      </c>
      <c r="S137">
        <v>18</v>
      </c>
      <c r="T137">
        <v>18</v>
      </c>
      <c r="U137">
        <v>9</v>
      </c>
      <c r="V137">
        <v>9</v>
      </c>
      <c r="W137">
        <v>0</v>
      </c>
      <c r="X137">
        <v>0</v>
      </c>
      <c r="Y137">
        <v>9</v>
      </c>
      <c r="Z137">
        <v>9</v>
      </c>
      <c r="AA137">
        <v>10</v>
      </c>
      <c r="AB137">
        <v>14</v>
      </c>
      <c r="AC137">
        <v>10</v>
      </c>
      <c r="AD137">
        <v>14</v>
      </c>
      <c r="AE137">
        <v>10</v>
      </c>
      <c r="AF137">
        <v>10</v>
      </c>
      <c r="AG137">
        <v>10</v>
      </c>
      <c r="AH137">
        <v>10</v>
      </c>
      <c r="AI137">
        <v>10</v>
      </c>
      <c r="AJ137">
        <v>14</v>
      </c>
      <c r="AK137">
        <v>10</v>
      </c>
      <c r="AL137">
        <v>0</v>
      </c>
      <c r="AM137">
        <v>10</v>
      </c>
      <c r="AN137">
        <v>10</v>
      </c>
      <c r="AO137">
        <v>10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</row>
    <row r="138" spans="2:66" x14ac:dyDescent="0.2">
      <c r="B138" s="103">
        <v>3</v>
      </c>
      <c r="C138" s="135" t="s">
        <v>3033</v>
      </c>
      <c r="D138" s="135" t="s">
        <v>2292</v>
      </c>
      <c r="F138">
        <v>10</v>
      </c>
      <c r="G138">
        <v>10</v>
      </c>
      <c r="H138">
        <v>8</v>
      </c>
      <c r="I138">
        <v>7</v>
      </c>
      <c r="J138">
        <v>8</v>
      </c>
      <c r="K138">
        <v>8</v>
      </c>
      <c r="L138">
        <v>0</v>
      </c>
      <c r="M138">
        <v>0</v>
      </c>
      <c r="N138">
        <v>8</v>
      </c>
      <c r="O138">
        <v>8</v>
      </c>
      <c r="P138">
        <v>8</v>
      </c>
      <c r="Q138">
        <v>8</v>
      </c>
      <c r="R138">
        <v>8</v>
      </c>
      <c r="S138">
        <v>8</v>
      </c>
      <c r="T138">
        <v>8</v>
      </c>
      <c r="U138">
        <v>8</v>
      </c>
      <c r="V138">
        <v>8</v>
      </c>
      <c r="W138">
        <v>0</v>
      </c>
      <c r="X138">
        <v>0</v>
      </c>
      <c r="Y138">
        <v>8</v>
      </c>
      <c r="Z138">
        <v>8</v>
      </c>
      <c r="AA138">
        <v>8</v>
      </c>
      <c r="AB138">
        <v>8</v>
      </c>
      <c r="AC138">
        <v>8</v>
      </c>
      <c r="AD138">
        <v>8</v>
      </c>
      <c r="AE138">
        <v>8</v>
      </c>
      <c r="AF138">
        <v>8</v>
      </c>
      <c r="AG138">
        <v>8</v>
      </c>
      <c r="AH138">
        <v>8</v>
      </c>
      <c r="AI138">
        <v>8</v>
      </c>
      <c r="AJ138">
        <v>8</v>
      </c>
      <c r="AK138">
        <v>8</v>
      </c>
      <c r="AL138">
        <v>0</v>
      </c>
      <c r="AM138">
        <v>8</v>
      </c>
      <c r="AN138">
        <v>8</v>
      </c>
      <c r="AO138">
        <v>8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</row>
    <row r="139" spans="2:66" x14ac:dyDescent="0.2">
      <c r="B139" s="103">
        <v>4</v>
      </c>
      <c r="C139" s="135" t="s">
        <v>3035</v>
      </c>
      <c r="D139" s="135" t="s">
        <v>2295</v>
      </c>
      <c r="F139">
        <v>40</v>
      </c>
      <c r="G139">
        <v>40</v>
      </c>
      <c r="H139">
        <v>30</v>
      </c>
      <c r="I139">
        <v>35</v>
      </c>
      <c r="J139">
        <v>28</v>
      </c>
      <c r="K139">
        <v>28</v>
      </c>
      <c r="L139">
        <v>0</v>
      </c>
      <c r="M139">
        <v>0</v>
      </c>
      <c r="N139">
        <v>35</v>
      </c>
      <c r="O139">
        <v>35</v>
      </c>
      <c r="P139">
        <v>35</v>
      </c>
      <c r="Q139">
        <v>30</v>
      </c>
      <c r="R139">
        <v>30</v>
      </c>
      <c r="S139">
        <v>40</v>
      </c>
      <c r="T139">
        <v>40</v>
      </c>
      <c r="U139">
        <v>30</v>
      </c>
      <c r="V139">
        <v>30</v>
      </c>
      <c r="W139">
        <v>0</v>
      </c>
      <c r="X139">
        <v>0</v>
      </c>
      <c r="Y139">
        <v>30</v>
      </c>
      <c r="Z139">
        <v>30</v>
      </c>
      <c r="AA139">
        <v>25</v>
      </c>
      <c r="AB139">
        <v>0</v>
      </c>
      <c r="AC139">
        <v>25</v>
      </c>
      <c r="AD139">
        <v>0</v>
      </c>
      <c r="AE139">
        <v>25</v>
      </c>
      <c r="AF139">
        <v>25</v>
      </c>
      <c r="AG139">
        <v>25</v>
      </c>
      <c r="AH139">
        <v>25</v>
      </c>
      <c r="AI139">
        <v>25</v>
      </c>
      <c r="AJ139">
        <v>0</v>
      </c>
      <c r="AK139">
        <v>25</v>
      </c>
      <c r="AL139">
        <v>0</v>
      </c>
      <c r="AM139">
        <v>25</v>
      </c>
      <c r="AN139">
        <v>25</v>
      </c>
      <c r="AO139">
        <v>25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</row>
    <row r="140" spans="2:66" x14ac:dyDescent="0.2">
      <c r="B140" s="103">
        <v>5</v>
      </c>
      <c r="C140" s="135" t="s">
        <v>2890</v>
      </c>
      <c r="D140" s="135" t="s">
        <v>2314</v>
      </c>
      <c r="F140">
        <v>30</v>
      </c>
      <c r="G140">
        <v>30</v>
      </c>
      <c r="H140">
        <v>28</v>
      </c>
      <c r="I140">
        <v>30</v>
      </c>
      <c r="J140">
        <v>18</v>
      </c>
      <c r="K140">
        <v>18</v>
      </c>
      <c r="L140">
        <v>0</v>
      </c>
      <c r="M140">
        <v>0</v>
      </c>
      <c r="N140">
        <v>25</v>
      </c>
      <c r="O140">
        <v>25</v>
      </c>
      <c r="P140">
        <v>25</v>
      </c>
      <c r="Q140">
        <v>30</v>
      </c>
      <c r="R140">
        <v>30</v>
      </c>
      <c r="S140">
        <v>35</v>
      </c>
      <c r="T140">
        <v>35</v>
      </c>
      <c r="U140">
        <v>25</v>
      </c>
      <c r="V140">
        <v>25</v>
      </c>
      <c r="W140">
        <v>0</v>
      </c>
      <c r="X140">
        <v>0</v>
      </c>
      <c r="Y140">
        <v>25</v>
      </c>
      <c r="Z140">
        <v>25</v>
      </c>
      <c r="AA140">
        <v>30</v>
      </c>
      <c r="AB140">
        <v>20</v>
      </c>
      <c r="AC140">
        <v>20</v>
      </c>
      <c r="AD140">
        <v>20</v>
      </c>
      <c r="AE140">
        <v>20</v>
      </c>
      <c r="AF140">
        <v>20</v>
      </c>
      <c r="AG140">
        <v>20</v>
      </c>
      <c r="AH140">
        <v>20</v>
      </c>
      <c r="AI140">
        <v>20</v>
      </c>
      <c r="AJ140">
        <v>23</v>
      </c>
      <c r="AK140">
        <v>23</v>
      </c>
      <c r="AL140">
        <v>0</v>
      </c>
      <c r="AM140">
        <v>20</v>
      </c>
      <c r="AN140">
        <v>20</v>
      </c>
      <c r="AO140">
        <v>30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</row>
    <row r="141" spans="2:66" x14ac:dyDescent="0.2">
      <c r="B141" s="103">
        <v>6</v>
      </c>
      <c r="C141" s="135" t="s">
        <v>2891</v>
      </c>
      <c r="D141" s="135" t="s">
        <v>2297</v>
      </c>
      <c r="F141">
        <v>9</v>
      </c>
      <c r="G141">
        <v>9</v>
      </c>
      <c r="H141">
        <v>8</v>
      </c>
      <c r="I141">
        <v>6</v>
      </c>
      <c r="J141">
        <v>6</v>
      </c>
      <c r="K141">
        <v>6</v>
      </c>
      <c r="L141">
        <v>0</v>
      </c>
      <c r="M141">
        <v>0</v>
      </c>
      <c r="N141">
        <v>4</v>
      </c>
      <c r="O141">
        <v>4</v>
      </c>
      <c r="P141">
        <v>4</v>
      </c>
      <c r="Q141">
        <v>8</v>
      </c>
      <c r="R141">
        <v>8</v>
      </c>
      <c r="S141">
        <v>9</v>
      </c>
      <c r="T141">
        <v>9</v>
      </c>
      <c r="U141">
        <v>4</v>
      </c>
      <c r="V141">
        <v>4</v>
      </c>
      <c r="W141">
        <v>0</v>
      </c>
      <c r="X141">
        <v>0</v>
      </c>
      <c r="Y141">
        <v>4</v>
      </c>
      <c r="Z141">
        <v>4</v>
      </c>
      <c r="AA141">
        <v>5</v>
      </c>
      <c r="AB141">
        <v>6</v>
      </c>
      <c r="AC141">
        <v>6</v>
      </c>
      <c r="AD141">
        <v>6</v>
      </c>
      <c r="AE141">
        <v>6</v>
      </c>
      <c r="AF141">
        <v>6</v>
      </c>
      <c r="AG141">
        <v>6</v>
      </c>
      <c r="AH141">
        <v>6</v>
      </c>
      <c r="AI141">
        <v>6</v>
      </c>
      <c r="AJ141">
        <v>6</v>
      </c>
      <c r="AK141">
        <v>6</v>
      </c>
      <c r="AL141">
        <v>0</v>
      </c>
      <c r="AM141">
        <v>6</v>
      </c>
      <c r="AN141">
        <v>6</v>
      </c>
      <c r="AO141">
        <v>5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</row>
    <row r="142" spans="2:66" x14ac:dyDescent="0.2">
      <c r="B142" s="103">
        <v>7</v>
      </c>
      <c r="C142" s="135" t="s">
        <v>2892</v>
      </c>
      <c r="D142" s="135" t="s">
        <v>2323</v>
      </c>
      <c r="F142">
        <v>30</v>
      </c>
      <c r="G142">
        <v>30</v>
      </c>
      <c r="H142">
        <v>35</v>
      </c>
      <c r="I142">
        <v>25</v>
      </c>
      <c r="J142">
        <v>27</v>
      </c>
      <c r="K142">
        <v>27</v>
      </c>
      <c r="L142">
        <v>0</v>
      </c>
      <c r="M142">
        <v>0</v>
      </c>
      <c r="N142">
        <v>20</v>
      </c>
      <c r="O142">
        <v>20</v>
      </c>
      <c r="P142">
        <v>20</v>
      </c>
      <c r="Q142">
        <v>30</v>
      </c>
      <c r="R142">
        <v>30</v>
      </c>
      <c r="S142">
        <v>25</v>
      </c>
      <c r="T142">
        <v>25</v>
      </c>
      <c r="U142">
        <v>25</v>
      </c>
      <c r="V142">
        <v>25</v>
      </c>
      <c r="W142">
        <v>0</v>
      </c>
      <c r="X142">
        <v>0</v>
      </c>
      <c r="Y142">
        <v>25</v>
      </c>
      <c r="Z142">
        <v>25</v>
      </c>
      <c r="AA142">
        <v>20</v>
      </c>
      <c r="AB142">
        <v>30</v>
      </c>
      <c r="AC142">
        <v>15</v>
      </c>
      <c r="AD142">
        <v>30</v>
      </c>
      <c r="AE142">
        <v>15</v>
      </c>
      <c r="AF142">
        <v>15</v>
      </c>
      <c r="AG142">
        <v>15</v>
      </c>
      <c r="AH142">
        <v>15</v>
      </c>
      <c r="AI142">
        <v>15</v>
      </c>
      <c r="AJ142">
        <v>30</v>
      </c>
      <c r="AK142">
        <v>15</v>
      </c>
      <c r="AL142">
        <v>0</v>
      </c>
      <c r="AM142">
        <v>15</v>
      </c>
      <c r="AN142">
        <v>15</v>
      </c>
      <c r="AO142">
        <v>20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</row>
    <row r="143" spans="2:66" x14ac:dyDescent="0.2">
      <c r="B143" s="103">
        <v>8</v>
      </c>
      <c r="C143" s="135" t="s">
        <v>2893</v>
      </c>
      <c r="D143" s="135" t="s">
        <v>2294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</row>
    <row r="144" spans="2:66" x14ac:dyDescent="0.2">
      <c r="B144" s="103">
        <v>9</v>
      </c>
      <c r="C144" s="135" t="s">
        <v>2894</v>
      </c>
      <c r="D144" s="135" t="s">
        <v>2317</v>
      </c>
      <c r="F144">
        <v>9</v>
      </c>
      <c r="G144">
        <v>9</v>
      </c>
      <c r="H144">
        <v>8</v>
      </c>
      <c r="I144">
        <v>6</v>
      </c>
      <c r="J144">
        <v>8</v>
      </c>
      <c r="K144">
        <v>8</v>
      </c>
      <c r="L144">
        <v>0</v>
      </c>
      <c r="M144">
        <v>0</v>
      </c>
      <c r="N144">
        <v>4</v>
      </c>
      <c r="O144">
        <v>4</v>
      </c>
      <c r="P144">
        <v>4</v>
      </c>
      <c r="Q144">
        <v>8</v>
      </c>
      <c r="R144">
        <v>8</v>
      </c>
      <c r="S144">
        <v>9</v>
      </c>
      <c r="T144">
        <v>9</v>
      </c>
      <c r="U144">
        <v>9</v>
      </c>
      <c r="V144">
        <v>9</v>
      </c>
      <c r="W144">
        <v>0</v>
      </c>
      <c r="X144">
        <v>0</v>
      </c>
      <c r="Y144">
        <v>9</v>
      </c>
      <c r="Z144">
        <v>9</v>
      </c>
      <c r="AA144">
        <v>5</v>
      </c>
      <c r="AB144">
        <v>6</v>
      </c>
      <c r="AC144">
        <v>6</v>
      </c>
      <c r="AD144">
        <v>6</v>
      </c>
      <c r="AE144">
        <v>6</v>
      </c>
      <c r="AF144">
        <v>6</v>
      </c>
      <c r="AG144">
        <v>6</v>
      </c>
      <c r="AH144">
        <v>6</v>
      </c>
      <c r="AI144">
        <v>6</v>
      </c>
      <c r="AJ144">
        <v>6</v>
      </c>
      <c r="AK144">
        <v>6</v>
      </c>
      <c r="AL144">
        <v>0</v>
      </c>
      <c r="AM144">
        <v>6</v>
      </c>
      <c r="AN144">
        <v>6</v>
      </c>
      <c r="AO144">
        <v>5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</row>
    <row r="145" spans="2:66" x14ac:dyDescent="0.2">
      <c r="B145" s="103">
        <v>10</v>
      </c>
      <c r="C145" s="135" t="s">
        <v>2895</v>
      </c>
      <c r="D145" s="135" t="s">
        <v>2322</v>
      </c>
      <c r="F145">
        <v>3</v>
      </c>
      <c r="G145">
        <v>3</v>
      </c>
      <c r="H145">
        <v>3</v>
      </c>
      <c r="I145">
        <v>3</v>
      </c>
      <c r="J145">
        <v>3</v>
      </c>
      <c r="K145">
        <v>3</v>
      </c>
      <c r="L145">
        <v>3</v>
      </c>
      <c r="M145">
        <v>3</v>
      </c>
      <c r="N145">
        <v>6</v>
      </c>
      <c r="O145">
        <v>6</v>
      </c>
      <c r="P145">
        <v>6</v>
      </c>
      <c r="Q145">
        <v>3</v>
      </c>
      <c r="R145">
        <v>3</v>
      </c>
      <c r="S145">
        <v>3</v>
      </c>
      <c r="T145">
        <v>3</v>
      </c>
      <c r="U145">
        <v>3</v>
      </c>
      <c r="V145">
        <v>3</v>
      </c>
      <c r="W145">
        <v>3</v>
      </c>
      <c r="X145">
        <v>3</v>
      </c>
      <c r="Y145">
        <v>3</v>
      </c>
      <c r="Z145">
        <v>3</v>
      </c>
      <c r="AA145">
        <v>3</v>
      </c>
      <c r="AB145">
        <v>3</v>
      </c>
      <c r="AC145">
        <v>3</v>
      </c>
      <c r="AD145">
        <v>3</v>
      </c>
      <c r="AE145">
        <v>3</v>
      </c>
      <c r="AF145">
        <v>3</v>
      </c>
      <c r="AG145">
        <v>3</v>
      </c>
      <c r="AH145">
        <v>3</v>
      </c>
      <c r="AI145">
        <v>3</v>
      </c>
      <c r="AJ145">
        <v>3</v>
      </c>
      <c r="AK145">
        <v>3</v>
      </c>
      <c r="AL145">
        <v>3</v>
      </c>
      <c r="AM145">
        <v>3</v>
      </c>
      <c r="AN145">
        <v>3</v>
      </c>
      <c r="AO145">
        <v>3</v>
      </c>
      <c r="AP145">
        <v>3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</row>
    <row r="146" spans="2:66" x14ac:dyDescent="0.2">
      <c r="B146" s="103">
        <v>11</v>
      </c>
      <c r="C146" s="135" t="s">
        <v>2896</v>
      </c>
      <c r="D146" s="135" t="s">
        <v>2005</v>
      </c>
      <c r="F146">
        <v>50</v>
      </c>
      <c r="G146">
        <v>50</v>
      </c>
      <c r="H146">
        <v>50</v>
      </c>
      <c r="I146">
        <v>50</v>
      </c>
      <c r="J146">
        <v>50</v>
      </c>
      <c r="K146">
        <v>50</v>
      </c>
      <c r="L146">
        <v>50</v>
      </c>
      <c r="M146">
        <v>50</v>
      </c>
      <c r="N146">
        <v>50</v>
      </c>
      <c r="O146">
        <v>50</v>
      </c>
      <c r="P146">
        <v>50</v>
      </c>
      <c r="Q146">
        <v>50</v>
      </c>
      <c r="R146">
        <v>50</v>
      </c>
      <c r="S146">
        <v>50</v>
      </c>
      <c r="T146">
        <v>50</v>
      </c>
      <c r="U146">
        <v>50</v>
      </c>
      <c r="V146">
        <v>50</v>
      </c>
      <c r="W146">
        <v>50</v>
      </c>
      <c r="X146">
        <v>50</v>
      </c>
      <c r="Y146">
        <v>50</v>
      </c>
      <c r="Z146">
        <v>50</v>
      </c>
      <c r="AA146">
        <v>50</v>
      </c>
      <c r="AB146">
        <v>50</v>
      </c>
      <c r="AC146">
        <v>50</v>
      </c>
      <c r="AD146">
        <v>50</v>
      </c>
      <c r="AE146">
        <v>50</v>
      </c>
      <c r="AF146">
        <v>50</v>
      </c>
      <c r="AG146">
        <v>50</v>
      </c>
      <c r="AH146">
        <v>50</v>
      </c>
      <c r="AI146">
        <v>50</v>
      </c>
      <c r="AJ146">
        <v>50</v>
      </c>
      <c r="AK146">
        <v>50</v>
      </c>
      <c r="AL146">
        <v>50</v>
      </c>
      <c r="AM146">
        <v>50</v>
      </c>
      <c r="AN146">
        <v>50</v>
      </c>
      <c r="AO146">
        <v>50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</row>
    <row r="147" spans="2:66" x14ac:dyDescent="0.2">
      <c r="B147" s="103">
        <v>12</v>
      </c>
      <c r="C147" s="135" t="s">
        <v>2897</v>
      </c>
      <c r="D147" s="135" t="s">
        <v>2318</v>
      </c>
      <c r="F147">
        <v>25</v>
      </c>
      <c r="G147">
        <v>25</v>
      </c>
      <c r="H147">
        <v>25</v>
      </c>
      <c r="I147">
        <v>25</v>
      </c>
      <c r="J147">
        <v>25</v>
      </c>
      <c r="K147">
        <v>25</v>
      </c>
      <c r="L147">
        <v>25</v>
      </c>
      <c r="M147">
        <v>25</v>
      </c>
      <c r="N147">
        <v>25</v>
      </c>
      <c r="O147">
        <v>25</v>
      </c>
      <c r="P147">
        <v>25</v>
      </c>
      <c r="Q147">
        <v>25</v>
      </c>
      <c r="R147">
        <v>25</v>
      </c>
      <c r="S147">
        <v>25</v>
      </c>
      <c r="T147">
        <v>25</v>
      </c>
      <c r="U147">
        <v>25</v>
      </c>
      <c r="V147">
        <v>25</v>
      </c>
      <c r="W147">
        <v>25</v>
      </c>
      <c r="X147">
        <v>25</v>
      </c>
      <c r="Y147">
        <v>25</v>
      </c>
      <c r="Z147">
        <v>25</v>
      </c>
      <c r="AA147">
        <v>25</v>
      </c>
      <c r="AB147">
        <v>25</v>
      </c>
      <c r="AC147">
        <v>25</v>
      </c>
      <c r="AD147">
        <v>25</v>
      </c>
      <c r="AE147">
        <v>25</v>
      </c>
      <c r="AF147">
        <v>25</v>
      </c>
      <c r="AG147">
        <v>25</v>
      </c>
      <c r="AH147">
        <v>25</v>
      </c>
      <c r="AI147">
        <v>25</v>
      </c>
      <c r="AJ147">
        <v>25</v>
      </c>
      <c r="AK147">
        <v>25</v>
      </c>
      <c r="AL147">
        <v>25</v>
      </c>
      <c r="AM147">
        <v>25</v>
      </c>
      <c r="AN147">
        <v>25</v>
      </c>
      <c r="AO147">
        <v>25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</row>
    <row r="148" spans="2:66" x14ac:dyDescent="0.2">
      <c r="B148" s="103">
        <v>13</v>
      </c>
      <c r="C148" s="135" t="s">
        <v>2898</v>
      </c>
      <c r="D148" s="135" t="s">
        <v>2320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</row>
    <row r="149" spans="2:66" x14ac:dyDescent="0.2">
      <c r="B149" s="103">
        <v>14</v>
      </c>
      <c r="C149" s="135" t="s">
        <v>2899</v>
      </c>
      <c r="D149" s="135" t="s">
        <v>2312</v>
      </c>
      <c r="F149">
        <v>130</v>
      </c>
      <c r="G149">
        <v>130</v>
      </c>
      <c r="H149">
        <v>160</v>
      </c>
      <c r="I149">
        <v>120</v>
      </c>
      <c r="J149">
        <v>100</v>
      </c>
      <c r="K149">
        <v>120</v>
      </c>
      <c r="L149">
        <v>0</v>
      </c>
      <c r="M149">
        <v>0</v>
      </c>
      <c r="N149">
        <v>150</v>
      </c>
      <c r="O149">
        <v>150</v>
      </c>
      <c r="P149">
        <v>150</v>
      </c>
      <c r="Q149">
        <v>140</v>
      </c>
      <c r="R149">
        <v>160</v>
      </c>
      <c r="S149">
        <v>150</v>
      </c>
      <c r="T149">
        <v>170</v>
      </c>
      <c r="U149">
        <v>180</v>
      </c>
      <c r="V149">
        <v>200</v>
      </c>
      <c r="W149">
        <v>0</v>
      </c>
      <c r="X149">
        <v>0</v>
      </c>
      <c r="Y149">
        <v>180</v>
      </c>
      <c r="Z149">
        <v>200</v>
      </c>
      <c r="AA149">
        <v>200</v>
      </c>
      <c r="AB149">
        <v>150</v>
      </c>
      <c r="AC149">
        <v>170</v>
      </c>
      <c r="AD149">
        <v>150</v>
      </c>
      <c r="AE149">
        <v>170</v>
      </c>
      <c r="AF149">
        <v>170</v>
      </c>
      <c r="AG149">
        <v>170</v>
      </c>
      <c r="AH149">
        <v>170</v>
      </c>
      <c r="AI149">
        <v>170</v>
      </c>
      <c r="AJ149">
        <v>150</v>
      </c>
      <c r="AK149">
        <v>170</v>
      </c>
      <c r="AL149">
        <v>0</v>
      </c>
      <c r="AM149">
        <v>170</v>
      </c>
      <c r="AN149">
        <v>170</v>
      </c>
      <c r="AO149">
        <v>200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</row>
    <row r="150" spans="2:66" x14ac:dyDescent="0.2">
      <c r="B150" s="103">
        <v>15</v>
      </c>
      <c r="C150" s="135" t="s">
        <v>2900</v>
      </c>
      <c r="D150" s="135" t="s">
        <v>2312</v>
      </c>
      <c r="F150">
        <v>130</v>
      </c>
      <c r="G150">
        <v>130</v>
      </c>
      <c r="H150">
        <v>160</v>
      </c>
      <c r="I150">
        <v>100</v>
      </c>
      <c r="J150">
        <v>100</v>
      </c>
      <c r="K150">
        <v>120</v>
      </c>
      <c r="L150">
        <v>0</v>
      </c>
      <c r="M150">
        <v>0</v>
      </c>
      <c r="N150">
        <v>200</v>
      </c>
      <c r="O150">
        <v>200</v>
      </c>
      <c r="P150">
        <v>200</v>
      </c>
      <c r="Q150">
        <v>140</v>
      </c>
      <c r="R150">
        <v>160</v>
      </c>
      <c r="S150">
        <v>150</v>
      </c>
      <c r="T150">
        <v>170</v>
      </c>
      <c r="U150">
        <v>180</v>
      </c>
      <c r="V150">
        <v>200</v>
      </c>
      <c r="W150">
        <v>0</v>
      </c>
      <c r="X150">
        <v>0</v>
      </c>
      <c r="Y150">
        <v>180</v>
      </c>
      <c r="Z150">
        <v>200</v>
      </c>
      <c r="AA150">
        <v>200</v>
      </c>
      <c r="AB150">
        <v>150</v>
      </c>
      <c r="AC150">
        <v>170</v>
      </c>
      <c r="AD150">
        <v>150</v>
      </c>
      <c r="AE150">
        <v>170</v>
      </c>
      <c r="AF150">
        <v>170</v>
      </c>
      <c r="AG150">
        <v>170</v>
      </c>
      <c r="AH150">
        <v>170</v>
      </c>
      <c r="AI150">
        <v>170</v>
      </c>
      <c r="AJ150">
        <v>150</v>
      </c>
      <c r="AK150">
        <v>170</v>
      </c>
      <c r="AL150">
        <v>0</v>
      </c>
      <c r="AM150">
        <v>170</v>
      </c>
      <c r="AN150">
        <v>170</v>
      </c>
      <c r="AO150">
        <v>200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</row>
    <row r="151" spans="2:66" x14ac:dyDescent="0.2">
      <c r="B151" s="103">
        <v>16</v>
      </c>
      <c r="C151" s="135" t="s">
        <v>2901</v>
      </c>
      <c r="D151" s="135" t="s">
        <v>2312</v>
      </c>
      <c r="F151">
        <v>130</v>
      </c>
      <c r="G151">
        <v>130</v>
      </c>
      <c r="H151">
        <v>180</v>
      </c>
      <c r="I151">
        <v>130</v>
      </c>
      <c r="J151">
        <v>120</v>
      </c>
      <c r="K151">
        <v>120</v>
      </c>
      <c r="L151">
        <v>0</v>
      </c>
      <c r="M151">
        <v>0</v>
      </c>
      <c r="N151">
        <v>200</v>
      </c>
      <c r="O151">
        <v>200</v>
      </c>
      <c r="P151">
        <v>200</v>
      </c>
      <c r="Q151">
        <v>140</v>
      </c>
      <c r="R151">
        <v>160</v>
      </c>
      <c r="S151">
        <v>150</v>
      </c>
      <c r="T151">
        <v>170</v>
      </c>
      <c r="U151">
        <v>180</v>
      </c>
      <c r="V151">
        <v>200</v>
      </c>
      <c r="W151">
        <v>0</v>
      </c>
      <c r="X151">
        <v>0</v>
      </c>
      <c r="Y151">
        <v>180</v>
      </c>
      <c r="Z151">
        <v>200</v>
      </c>
      <c r="AA151">
        <v>200</v>
      </c>
      <c r="AB151">
        <v>150</v>
      </c>
      <c r="AC151">
        <v>170</v>
      </c>
      <c r="AD151">
        <v>150</v>
      </c>
      <c r="AE151">
        <v>170</v>
      </c>
      <c r="AF151">
        <v>170</v>
      </c>
      <c r="AG151">
        <v>170</v>
      </c>
      <c r="AH151">
        <v>170</v>
      </c>
      <c r="AI151">
        <v>170</v>
      </c>
      <c r="AJ151">
        <v>150</v>
      </c>
      <c r="AK151">
        <v>170</v>
      </c>
      <c r="AL151">
        <v>0</v>
      </c>
      <c r="AM151">
        <v>170</v>
      </c>
      <c r="AN151">
        <v>170</v>
      </c>
      <c r="AO151">
        <v>200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</row>
    <row r="152" spans="2:66" x14ac:dyDescent="0.2">
      <c r="B152" s="103">
        <v>17</v>
      </c>
      <c r="C152" s="135" t="s">
        <v>2902</v>
      </c>
      <c r="D152" s="135" t="s">
        <v>2312</v>
      </c>
      <c r="F152">
        <v>150</v>
      </c>
      <c r="G152">
        <v>150</v>
      </c>
      <c r="H152">
        <v>160</v>
      </c>
      <c r="I152">
        <v>150</v>
      </c>
      <c r="J152">
        <v>130</v>
      </c>
      <c r="K152">
        <v>130</v>
      </c>
      <c r="L152">
        <v>0</v>
      </c>
      <c r="M152">
        <v>0</v>
      </c>
      <c r="N152">
        <v>150</v>
      </c>
      <c r="O152">
        <v>150</v>
      </c>
      <c r="P152">
        <v>150</v>
      </c>
      <c r="Q152">
        <v>140</v>
      </c>
      <c r="R152">
        <v>160</v>
      </c>
      <c r="S152">
        <v>150</v>
      </c>
      <c r="T152">
        <v>170</v>
      </c>
      <c r="U152">
        <v>180</v>
      </c>
      <c r="V152">
        <v>200</v>
      </c>
      <c r="W152">
        <v>0</v>
      </c>
      <c r="X152">
        <v>0</v>
      </c>
      <c r="Y152">
        <v>180</v>
      </c>
      <c r="Z152">
        <v>200</v>
      </c>
      <c r="AA152">
        <v>200</v>
      </c>
      <c r="AB152">
        <v>150</v>
      </c>
      <c r="AC152">
        <v>170</v>
      </c>
      <c r="AD152">
        <v>150</v>
      </c>
      <c r="AE152">
        <v>170</v>
      </c>
      <c r="AF152">
        <v>170</v>
      </c>
      <c r="AG152">
        <v>170</v>
      </c>
      <c r="AH152">
        <v>170</v>
      </c>
      <c r="AI152">
        <v>170</v>
      </c>
      <c r="AJ152">
        <v>150</v>
      </c>
      <c r="AK152">
        <v>170</v>
      </c>
      <c r="AL152">
        <v>0</v>
      </c>
      <c r="AM152">
        <v>170</v>
      </c>
      <c r="AN152">
        <v>170</v>
      </c>
      <c r="AO152">
        <v>200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</row>
    <row r="153" spans="2:66" x14ac:dyDescent="0.2">
      <c r="B153" s="103">
        <v>18</v>
      </c>
      <c r="C153" s="135" t="s">
        <v>2903</v>
      </c>
      <c r="D153" s="135" t="s">
        <v>2324</v>
      </c>
      <c r="F153">
        <v>15</v>
      </c>
      <c r="G153">
        <v>15</v>
      </c>
      <c r="H153">
        <v>15</v>
      </c>
      <c r="I153">
        <v>15</v>
      </c>
      <c r="J153">
        <v>15</v>
      </c>
      <c r="K153">
        <v>15</v>
      </c>
      <c r="L153">
        <v>15</v>
      </c>
      <c r="M153">
        <v>15</v>
      </c>
      <c r="N153">
        <v>15</v>
      </c>
      <c r="O153">
        <v>15</v>
      </c>
      <c r="P153">
        <v>15</v>
      </c>
      <c r="Q153">
        <v>15</v>
      </c>
      <c r="R153">
        <v>15</v>
      </c>
      <c r="S153">
        <v>16</v>
      </c>
      <c r="T153">
        <v>16</v>
      </c>
      <c r="U153">
        <v>10</v>
      </c>
      <c r="V153">
        <v>10</v>
      </c>
      <c r="W153">
        <v>10</v>
      </c>
      <c r="X153">
        <v>10</v>
      </c>
      <c r="Y153">
        <v>10</v>
      </c>
      <c r="Z153">
        <v>10</v>
      </c>
      <c r="AA153">
        <v>10</v>
      </c>
      <c r="AB153">
        <v>10</v>
      </c>
      <c r="AC153">
        <v>10</v>
      </c>
      <c r="AD153">
        <v>10</v>
      </c>
      <c r="AE153">
        <v>10</v>
      </c>
      <c r="AF153">
        <v>10</v>
      </c>
      <c r="AG153">
        <v>10</v>
      </c>
      <c r="AH153">
        <v>10</v>
      </c>
      <c r="AI153">
        <v>10</v>
      </c>
      <c r="AJ153">
        <v>10</v>
      </c>
      <c r="AK153">
        <v>10</v>
      </c>
      <c r="AL153">
        <v>10</v>
      </c>
      <c r="AM153">
        <v>10</v>
      </c>
      <c r="AN153">
        <v>10</v>
      </c>
      <c r="AO153">
        <v>10</v>
      </c>
      <c r="AP153">
        <v>10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</row>
    <row r="154" spans="2:66" x14ac:dyDescent="0.2">
      <c r="B154" s="103">
        <v>19</v>
      </c>
      <c r="C154" s="135" t="s">
        <v>2904</v>
      </c>
      <c r="D154" s="135" t="s">
        <v>2319</v>
      </c>
      <c r="F154">
        <v>50</v>
      </c>
      <c r="G154">
        <v>50</v>
      </c>
      <c r="H154">
        <v>50</v>
      </c>
      <c r="I154">
        <v>50</v>
      </c>
      <c r="J154">
        <v>50</v>
      </c>
      <c r="K154">
        <v>50</v>
      </c>
      <c r="L154">
        <v>50</v>
      </c>
      <c r="M154">
        <v>50</v>
      </c>
      <c r="N154">
        <v>50</v>
      </c>
      <c r="O154">
        <v>50</v>
      </c>
      <c r="P154">
        <v>50</v>
      </c>
      <c r="Q154">
        <v>50</v>
      </c>
      <c r="R154">
        <v>50</v>
      </c>
      <c r="S154">
        <v>50</v>
      </c>
      <c r="T154">
        <v>50</v>
      </c>
      <c r="U154">
        <v>50</v>
      </c>
      <c r="V154">
        <v>50</v>
      </c>
      <c r="W154">
        <v>50</v>
      </c>
      <c r="X154">
        <v>50</v>
      </c>
      <c r="Y154">
        <v>50</v>
      </c>
      <c r="Z154">
        <v>50</v>
      </c>
      <c r="AA154">
        <v>50</v>
      </c>
      <c r="AB154">
        <v>50</v>
      </c>
      <c r="AC154">
        <v>50</v>
      </c>
      <c r="AD154">
        <v>50</v>
      </c>
      <c r="AE154">
        <v>50</v>
      </c>
      <c r="AF154">
        <v>50</v>
      </c>
      <c r="AG154">
        <v>50</v>
      </c>
      <c r="AH154">
        <v>50</v>
      </c>
      <c r="AI154">
        <v>50</v>
      </c>
      <c r="AJ154">
        <v>50</v>
      </c>
      <c r="AK154">
        <v>50</v>
      </c>
      <c r="AL154">
        <v>50</v>
      </c>
      <c r="AM154">
        <v>50</v>
      </c>
      <c r="AN154">
        <v>50</v>
      </c>
      <c r="AO154">
        <v>50</v>
      </c>
      <c r="AP154">
        <v>50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</row>
    <row r="155" spans="2:66" x14ac:dyDescent="0.2">
      <c r="B155" s="103">
        <v>20</v>
      </c>
      <c r="C155" s="135" t="s">
        <v>3041</v>
      </c>
      <c r="D155" s="135" t="s">
        <v>2293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</row>
    <row r="156" spans="2:66" x14ac:dyDescent="0.2">
      <c r="B156" s="103">
        <v>21</v>
      </c>
      <c r="C156" s="135" t="s">
        <v>2906</v>
      </c>
      <c r="D156" s="135" t="s">
        <v>2186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</v>
      </c>
      <c r="O156">
        <v>1</v>
      </c>
      <c r="P156">
        <v>1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</row>
    <row r="157" spans="2:66" x14ac:dyDescent="0.2">
      <c r="B157" s="103">
        <v>22</v>
      </c>
      <c r="C157" s="135" t="s">
        <v>2907</v>
      </c>
      <c r="D157" s="135" t="s">
        <v>2535</v>
      </c>
      <c r="F157">
        <v>100</v>
      </c>
      <c r="G157">
        <v>100</v>
      </c>
      <c r="H157">
        <v>100</v>
      </c>
      <c r="I157">
        <v>100</v>
      </c>
      <c r="J157">
        <v>100</v>
      </c>
      <c r="K157">
        <v>100</v>
      </c>
      <c r="L157">
        <v>100</v>
      </c>
      <c r="M157">
        <v>100</v>
      </c>
      <c r="N157">
        <v>100</v>
      </c>
      <c r="O157">
        <v>100</v>
      </c>
      <c r="P157">
        <v>100</v>
      </c>
      <c r="Q157">
        <v>100</v>
      </c>
      <c r="R157">
        <v>100</v>
      </c>
      <c r="S157">
        <v>100</v>
      </c>
      <c r="T157">
        <v>100</v>
      </c>
      <c r="U157">
        <v>100</v>
      </c>
      <c r="V157">
        <v>100</v>
      </c>
      <c r="W157">
        <v>100</v>
      </c>
      <c r="X157">
        <v>100</v>
      </c>
      <c r="Y157">
        <v>100</v>
      </c>
      <c r="Z157">
        <v>100</v>
      </c>
      <c r="AA157">
        <v>100</v>
      </c>
      <c r="AB157">
        <v>100</v>
      </c>
      <c r="AC157">
        <v>100</v>
      </c>
      <c r="AD157">
        <v>100</v>
      </c>
      <c r="AE157">
        <v>100</v>
      </c>
      <c r="AF157">
        <v>100</v>
      </c>
      <c r="AG157">
        <v>100</v>
      </c>
      <c r="AH157">
        <v>100</v>
      </c>
      <c r="AI157">
        <v>100</v>
      </c>
      <c r="AJ157">
        <v>100</v>
      </c>
      <c r="AK157">
        <v>100</v>
      </c>
      <c r="AL157">
        <v>100</v>
      </c>
      <c r="AM157">
        <v>100</v>
      </c>
      <c r="AN157">
        <v>100</v>
      </c>
      <c r="AO157">
        <v>100</v>
      </c>
      <c r="AP157">
        <v>100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</row>
    <row r="158" spans="2:66" x14ac:dyDescent="0.2">
      <c r="B158" s="103">
        <v>23</v>
      </c>
      <c r="C158" s="135" t="s">
        <v>3030</v>
      </c>
      <c r="D158" s="135" t="s">
        <v>2289</v>
      </c>
      <c r="F158">
        <v>2</v>
      </c>
      <c r="G158">
        <v>2</v>
      </c>
      <c r="H158">
        <v>2</v>
      </c>
      <c r="I158">
        <v>2</v>
      </c>
      <c r="J158">
        <v>2</v>
      </c>
      <c r="K158">
        <v>2</v>
      </c>
      <c r="L158">
        <v>2</v>
      </c>
      <c r="M158">
        <v>2</v>
      </c>
      <c r="N158">
        <v>2</v>
      </c>
      <c r="O158">
        <v>2</v>
      </c>
      <c r="P158">
        <v>2</v>
      </c>
      <c r="Q158">
        <v>2</v>
      </c>
      <c r="R158">
        <v>2</v>
      </c>
      <c r="S158">
        <v>2</v>
      </c>
      <c r="T158">
        <v>2</v>
      </c>
      <c r="U158">
        <v>2</v>
      </c>
      <c r="V158">
        <v>2</v>
      </c>
      <c r="W158">
        <v>2</v>
      </c>
      <c r="X158">
        <v>2</v>
      </c>
      <c r="Y158">
        <v>2</v>
      </c>
      <c r="Z158">
        <v>2</v>
      </c>
      <c r="AA158">
        <v>2</v>
      </c>
      <c r="AB158">
        <v>2</v>
      </c>
      <c r="AC158">
        <v>2</v>
      </c>
      <c r="AD158">
        <v>2</v>
      </c>
      <c r="AE158">
        <v>2</v>
      </c>
      <c r="AF158">
        <v>2</v>
      </c>
      <c r="AG158">
        <v>2</v>
      </c>
      <c r="AH158">
        <v>2</v>
      </c>
      <c r="AI158">
        <v>2</v>
      </c>
      <c r="AJ158">
        <v>2</v>
      </c>
      <c r="AK158">
        <v>2</v>
      </c>
      <c r="AL158">
        <v>2</v>
      </c>
      <c r="AM158">
        <v>2</v>
      </c>
      <c r="AN158">
        <v>2</v>
      </c>
      <c r="AO158">
        <v>2</v>
      </c>
      <c r="AP158">
        <v>2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</row>
    <row r="159" spans="2:66" x14ac:dyDescent="0.2">
      <c r="B159" s="103">
        <v>24</v>
      </c>
      <c r="C159" s="135" t="s">
        <v>3529</v>
      </c>
      <c r="D159" s="135" t="s">
        <v>2291</v>
      </c>
      <c r="F159">
        <v>4</v>
      </c>
      <c r="G159">
        <v>4</v>
      </c>
      <c r="H159">
        <v>4</v>
      </c>
      <c r="I159">
        <v>4</v>
      </c>
      <c r="J159">
        <v>4</v>
      </c>
      <c r="K159">
        <v>4</v>
      </c>
      <c r="L159">
        <v>4</v>
      </c>
      <c r="M159">
        <v>4</v>
      </c>
      <c r="N159">
        <v>5</v>
      </c>
      <c r="O159">
        <v>5</v>
      </c>
      <c r="P159">
        <v>5</v>
      </c>
      <c r="Q159">
        <v>4</v>
      </c>
      <c r="R159">
        <v>4</v>
      </c>
      <c r="S159">
        <v>4</v>
      </c>
      <c r="T159">
        <v>4</v>
      </c>
      <c r="U159">
        <v>4</v>
      </c>
      <c r="V159">
        <v>4</v>
      </c>
      <c r="W159">
        <v>4</v>
      </c>
      <c r="X159">
        <v>4</v>
      </c>
      <c r="Y159">
        <v>4</v>
      </c>
      <c r="Z159">
        <v>4</v>
      </c>
      <c r="AA159">
        <v>4</v>
      </c>
      <c r="AB159">
        <v>4</v>
      </c>
      <c r="AC159">
        <v>4</v>
      </c>
      <c r="AD159">
        <v>4</v>
      </c>
      <c r="AE159">
        <v>4</v>
      </c>
      <c r="AF159">
        <v>4</v>
      </c>
      <c r="AG159">
        <v>4</v>
      </c>
      <c r="AH159">
        <v>4</v>
      </c>
      <c r="AI159">
        <v>4</v>
      </c>
      <c r="AJ159">
        <v>4</v>
      </c>
      <c r="AK159">
        <v>4</v>
      </c>
      <c r="AL159">
        <v>4</v>
      </c>
      <c r="AM159">
        <v>4</v>
      </c>
      <c r="AN159">
        <v>4</v>
      </c>
      <c r="AO159">
        <v>4</v>
      </c>
      <c r="AP159">
        <v>4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</row>
    <row r="160" spans="2:66" x14ac:dyDescent="0.2">
      <c r="B160" s="103">
        <v>25</v>
      </c>
      <c r="C160" s="135" t="s">
        <v>3034</v>
      </c>
      <c r="D160" s="135" t="s">
        <v>2290</v>
      </c>
      <c r="F160">
        <v>2</v>
      </c>
      <c r="G160">
        <v>2</v>
      </c>
      <c r="H160">
        <v>2</v>
      </c>
      <c r="I160">
        <v>2</v>
      </c>
      <c r="J160">
        <v>2</v>
      </c>
      <c r="K160">
        <v>2</v>
      </c>
      <c r="L160">
        <v>2</v>
      </c>
      <c r="M160">
        <v>2</v>
      </c>
      <c r="N160">
        <v>2</v>
      </c>
      <c r="O160">
        <v>2</v>
      </c>
      <c r="P160">
        <v>2</v>
      </c>
      <c r="Q160">
        <v>2</v>
      </c>
      <c r="R160">
        <v>2</v>
      </c>
      <c r="S160">
        <v>2</v>
      </c>
      <c r="T160">
        <v>2</v>
      </c>
      <c r="U160">
        <v>2</v>
      </c>
      <c r="V160">
        <v>2</v>
      </c>
      <c r="W160">
        <v>2</v>
      </c>
      <c r="X160">
        <v>2</v>
      </c>
      <c r="Y160">
        <v>2</v>
      </c>
      <c r="Z160">
        <v>2</v>
      </c>
      <c r="AA160">
        <v>2</v>
      </c>
      <c r="AB160">
        <v>2</v>
      </c>
      <c r="AC160">
        <v>2</v>
      </c>
      <c r="AD160">
        <v>2</v>
      </c>
      <c r="AE160">
        <v>2</v>
      </c>
      <c r="AF160">
        <v>2</v>
      </c>
      <c r="AG160">
        <v>2</v>
      </c>
      <c r="AH160">
        <v>2</v>
      </c>
      <c r="AI160">
        <v>2</v>
      </c>
      <c r="AJ160">
        <v>2</v>
      </c>
      <c r="AK160">
        <v>2</v>
      </c>
      <c r="AL160">
        <v>2</v>
      </c>
      <c r="AM160">
        <v>2</v>
      </c>
      <c r="AN160">
        <v>2</v>
      </c>
      <c r="AO160">
        <v>2</v>
      </c>
      <c r="AP160">
        <v>2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</row>
    <row r="161" spans="2:66" x14ac:dyDescent="0.2">
      <c r="B161" s="103">
        <v>26</v>
      </c>
      <c r="C161" s="135" t="s">
        <v>3026</v>
      </c>
      <c r="D161" s="135" t="s">
        <v>1998</v>
      </c>
      <c r="F161">
        <v>4</v>
      </c>
      <c r="G161">
        <v>4</v>
      </c>
      <c r="H161">
        <v>4</v>
      </c>
      <c r="I161">
        <v>4</v>
      </c>
      <c r="J161">
        <v>4</v>
      </c>
      <c r="K161">
        <v>4</v>
      </c>
      <c r="L161">
        <v>4</v>
      </c>
      <c r="M161">
        <v>4</v>
      </c>
      <c r="N161">
        <v>4</v>
      </c>
      <c r="O161">
        <v>4</v>
      </c>
      <c r="P161">
        <v>4</v>
      </c>
      <c r="Q161">
        <v>4</v>
      </c>
      <c r="R161">
        <v>4</v>
      </c>
      <c r="S161">
        <v>4</v>
      </c>
      <c r="T161">
        <v>4</v>
      </c>
      <c r="U161">
        <v>4</v>
      </c>
      <c r="V161">
        <v>4</v>
      </c>
      <c r="W161">
        <v>4</v>
      </c>
      <c r="X161">
        <v>4</v>
      </c>
      <c r="Y161">
        <v>4</v>
      </c>
      <c r="Z161">
        <v>4</v>
      </c>
      <c r="AA161">
        <v>4</v>
      </c>
      <c r="AB161">
        <v>4</v>
      </c>
      <c r="AC161">
        <v>4</v>
      </c>
      <c r="AD161">
        <v>4</v>
      </c>
      <c r="AE161">
        <v>4</v>
      </c>
      <c r="AF161">
        <v>4</v>
      </c>
      <c r="AG161">
        <v>4</v>
      </c>
      <c r="AH161">
        <v>4</v>
      </c>
      <c r="AI161">
        <v>4</v>
      </c>
      <c r="AJ161">
        <v>4</v>
      </c>
      <c r="AK161">
        <v>4</v>
      </c>
      <c r="AL161">
        <v>4</v>
      </c>
      <c r="AM161">
        <v>4</v>
      </c>
      <c r="AN161">
        <v>4</v>
      </c>
      <c r="AO161">
        <v>4</v>
      </c>
      <c r="AP161">
        <v>4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</row>
    <row r="162" spans="2:66" x14ac:dyDescent="0.2">
      <c r="B162" s="103">
        <v>27</v>
      </c>
      <c r="C162" s="135" t="s">
        <v>3047</v>
      </c>
      <c r="D162" s="135" t="s">
        <v>2484</v>
      </c>
      <c r="F162">
        <v>4</v>
      </c>
      <c r="G162">
        <v>4</v>
      </c>
      <c r="H162">
        <v>4</v>
      </c>
      <c r="I162">
        <v>4</v>
      </c>
      <c r="J162">
        <v>4</v>
      </c>
      <c r="K162">
        <v>4</v>
      </c>
      <c r="L162">
        <v>4</v>
      </c>
      <c r="M162">
        <v>4</v>
      </c>
      <c r="N162">
        <v>5</v>
      </c>
      <c r="O162">
        <v>5</v>
      </c>
      <c r="P162">
        <v>5</v>
      </c>
      <c r="Q162">
        <v>4</v>
      </c>
      <c r="R162">
        <v>4</v>
      </c>
      <c r="S162">
        <v>4</v>
      </c>
      <c r="T162">
        <v>4</v>
      </c>
      <c r="U162">
        <v>4</v>
      </c>
      <c r="V162">
        <v>4</v>
      </c>
      <c r="W162">
        <v>4</v>
      </c>
      <c r="X162">
        <v>4</v>
      </c>
      <c r="Y162">
        <v>4</v>
      </c>
      <c r="Z162">
        <v>4</v>
      </c>
      <c r="AA162">
        <v>4</v>
      </c>
      <c r="AB162">
        <v>4</v>
      </c>
      <c r="AC162">
        <v>4</v>
      </c>
      <c r="AD162">
        <v>4</v>
      </c>
      <c r="AE162">
        <v>4</v>
      </c>
      <c r="AF162">
        <v>4</v>
      </c>
      <c r="AG162">
        <v>4</v>
      </c>
      <c r="AH162">
        <v>4</v>
      </c>
      <c r="AI162">
        <v>4</v>
      </c>
      <c r="AJ162">
        <v>4</v>
      </c>
      <c r="AK162">
        <v>4</v>
      </c>
      <c r="AL162">
        <v>4</v>
      </c>
      <c r="AM162">
        <v>4</v>
      </c>
      <c r="AN162">
        <v>4</v>
      </c>
      <c r="AO162">
        <v>4</v>
      </c>
      <c r="AP162">
        <v>4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</row>
    <row r="163" spans="2:66" x14ac:dyDescent="0.2">
      <c r="B163" s="103">
        <v>28</v>
      </c>
      <c r="C163" s="135" t="s">
        <v>2913</v>
      </c>
      <c r="D163" s="135" t="s">
        <v>2215</v>
      </c>
      <c r="F163">
        <v>100</v>
      </c>
      <c r="G163">
        <v>100</v>
      </c>
      <c r="H163">
        <v>100</v>
      </c>
      <c r="I163">
        <v>100</v>
      </c>
      <c r="J163">
        <v>100</v>
      </c>
      <c r="K163">
        <v>100</v>
      </c>
      <c r="L163">
        <v>100</v>
      </c>
      <c r="M163">
        <v>100</v>
      </c>
      <c r="N163">
        <v>100</v>
      </c>
      <c r="O163">
        <v>100</v>
      </c>
      <c r="P163">
        <v>100</v>
      </c>
      <c r="Q163">
        <v>100</v>
      </c>
      <c r="R163">
        <v>100</v>
      </c>
      <c r="S163">
        <v>100</v>
      </c>
      <c r="T163">
        <v>100</v>
      </c>
      <c r="U163">
        <v>100</v>
      </c>
      <c r="V163">
        <v>100</v>
      </c>
      <c r="W163">
        <v>100</v>
      </c>
      <c r="X163">
        <v>100</v>
      </c>
      <c r="Y163">
        <v>100</v>
      </c>
      <c r="Z163">
        <v>100</v>
      </c>
      <c r="AA163">
        <v>100</v>
      </c>
      <c r="AB163">
        <v>100</v>
      </c>
      <c r="AC163">
        <v>100</v>
      </c>
      <c r="AD163">
        <v>100</v>
      </c>
      <c r="AE163">
        <v>100</v>
      </c>
      <c r="AF163">
        <v>100</v>
      </c>
      <c r="AG163">
        <v>100</v>
      </c>
      <c r="AH163">
        <v>100</v>
      </c>
      <c r="AI163">
        <v>100</v>
      </c>
      <c r="AJ163">
        <v>100</v>
      </c>
      <c r="AK163">
        <v>100</v>
      </c>
      <c r="AL163">
        <v>100</v>
      </c>
      <c r="AM163">
        <v>100</v>
      </c>
      <c r="AN163">
        <v>100</v>
      </c>
      <c r="AO163">
        <v>100</v>
      </c>
      <c r="AP163">
        <v>100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</row>
    <row r="164" spans="2:66" x14ac:dyDescent="0.2">
      <c r="B164" s="103">
        <v>29</v>
      </c>
      <c r="C164" s="135" t="s">
        <v>3048</v>
      </c>
      <c r="D164" s="135" t="s">
        <v>1987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7</v>
      </c>
      <c r="O164">
        <v>7</v>
      </c>
      <c r="P164">
        <v>7</v>
      </c>
      <c r="Q164">
        <v>0</v>
      </c>
      <c r="R164">
        <v>0</v>
      </c>
      <c r="S164">
        <v>0</v>
      </c>
      <c r="T164">
        <v>0</v>
      </c>
      <c r="U164">
        <v>6</v>
      </c>
      <c r="V164">
        <v>6</v>
      </c>
      <c r="W164">
        <v>6</v>
      </c>
      <c r="X164">
        <v>6</v>
      </c>
      <c r="Y164">
        <v>6</v>
      </c>
      <c r="Z164">
        <v>6</v>
      </c>
      <c r="AA164">
        <v>6</v>
      </c>
      <c r="AB164">
        <v>4</v>
      </c>
      <c r="AC164">
        <v>4</v>
      </c>
      <c r="AD164">
        <v>4</v>
      </c>
      <c r="AE164">
        <v>4</v>
      </c>
      <c r="AF164">
        <v>4</v>
      </c>
      <c r="AG164">
        <v>4</v>
      </c>
      <c r="AH164">
        <v>4</v>
      </c>
      <c r="AI164">
        <v>4</v>
      </c>
      <c r="AJ164">
        <v>4</v>
      </c>
      <c r="AK164">
        <v>4</v>
      </c>
      <c r="AL164">
        <v>4</v>
      </c>
      <c r="AM164">
        <v>4</v>
      </c>
      <c r="AN164">
        <v>4</v>
      </c>
      <c r="AO164">
        <v>4</v>
      </c>
      <c r="AP164">
        <v>4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</row>
    <row r="165" spans="2:66" x14ac:dyDescent="0.2">
      <c r="B165" s="103">
        <v>30</v>
      </c>
      <c r="C165" s="135" t="s">
        <v>3057</v>
      </c>
      <c r="D165" s="135" t="s">
        <v>2313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35</v>
      </c>
      <c r="O165">
        <v>35</v>
      </c>
      <c r="P165">
        <v>35</v>
      </c>
      <c r="Q165">
        <v>0</v>
      </c>
      <c r="R165">
        <v>0</v>
      </c>
      <c r="S165">
        <v>0</v>
      </c>
      <c r="T165">
        <v>0</v>
      </c>
      <c r="U165">
        <v>35</v>
      </c>
      <c r="V165">
        <v>35</v>
      </c>
      <c r="W165">
        <v>35</v>
      </c>
      <c r="X165">
        <v>35</v>
      </c>
      <c r="Y165">
        <v>35</v>
      </c>
      <c r="Z165">
        <v>35</v>
      </c>
      <c r="AA165">
        <v>35</v>
      </c>
      <c r="AB165">
        <v>35</v>
      </c>
      <c r="AC165">
        <v>35</v>
      </c>
      <c r="AD165">
        <v>35</v>
      </c>
      <c r="AE165">
        <v>35</v>
      </c>
      <c r="AF165">
        <v>35</v>
      </c>
      <c r="AG165">
        <v>35</v>
      </c>
      <c r="AH165">
        <v>35</v>
      </c>
      <c r="AI165">
        <v>35</v>
      </c>
      <c r="AJ165">
        <v>35</v>
      </c>
      <c r="AK165">
        <v>35</v>
      </c>
      <c r="AL165">
        <v>35</v>
      </c>
      <c r="AM165">
        <v>35</v>
      </c>
      <c r="AN165">
        <v>35</v>
      </c>
      <c r="AO165">
        <v>35</v>
      </c>
      <c r="AP165">
        <v>35</v>
      </c>
      <c r="AQ165">
        <v>35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</row>
    <row r="166" spans="2:66" x14ac:dyDescent="0.2">
      <c r="B166" s="1175" t="s">
        <v>3316</v>
      </c>
      <c r="C166" s="1176"/>
      <c r="D166" s="1177"/>
    </row>
    <row r="167" spans="2:66" x14ac:dyDescent="0.2">
      <c r="B167" s="103">
        <v>1</v>
      </c>
      <c r="C167" s="135" t="s">
        <v>3725</v>
      </c>
      <c r="D167" s="135" t="s">
        <v>1995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</row>
    <row r="168" spans="2:66" x14ac:dyDescent="0.2">
      <c r="B168" s="103">
        <v>2</v>
      </c>
      <c r="C168" s="135" t="s">
        <v>3724</v>
      </c>
      <c r="D168" s="135" t="s">
        <v>1996</v>
      </c>
      <c r="F168">
        <v>2</v>
      </c>
      <c r="G168">
        <v>2</v>
      </c>
      <c r="H168">
        <v>2</v>
      </c>
      <c r="I168">
        <v>2</v>
      </c>
      <c r="J168">
        <v>2</v>
      </c>
      <c r="K168">
        <v>2</v>
      </c>
      <c r="L168">
        <v>2</v>
      </c>
      <c r="M168">
        <v>2</v>
      </c>
      <c r="N168">
        <v>2</v>
      </c>
      <c r="O168">
        <v>2</v>
      </c>
      <c r="P168">
        <v>2</v>
      </c>
      <c r="Q168">
        <v>2</v>
      </c>
      <c r="R168">
        <v>2</v>
      </c>
      <c r="S168">
        <v>2</v>
      </c>
      <c r="T168">
        <v>2</v>
      </c>
      <c r="U168">
        <v>2</v>
      </c>
      <c r="V168">
        <v>2</v>
      </c>
      <c r="W168">
        <v>2</v>
      </c>
      <c r="X168">
        <v>2</v>
      </c>
      <c r="Y168">
        <v>2</v>
      </c>
      <c r="Z168">
        <v>2</v>
      </c>
      <c r="AA168">
        <v>2</v>
      </c>
      <c r="AB168">
        <v>2</v>
      </c>
      <c r="AC168">
        <v>2</v>
      </c>
      <c r="AD168">
        <v>2</v>
      </c>
      <c r="AE168">
        <v>2</v>
      </c>
      <c r="AF168">
        <v>2</v>
      </c>
      <c r="AG168">
        <v>2</v>
      </c>
      <c r="AH168">
        <v>2</v>
      </c>
      <c r="AI168">
        <v>2</v>
      </c>
      <c r="AJ168">
        <v>2</v>
      </c>
      <c r="AK168">
        <v>2</v>
      </c>
      <c r="AL168">
        <v>2</v>
      </c>
      <c r="AM168">
        <v>2</v>
      </c>
      <c r="AN168">
        <v>2</v>
      </c>
      <c r="AO168">
        <v>2</v>
      </c>
      <c r="AP168">
        <v>2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</row>
    <row r="169" spans="2:66" x14ac:dyDescent="0.2">
      <c r="B169" s="103">
        <v>3</v>
      </c>
      <c r="C169" s="135" t="s">
        <v>3035</v>
      </c>
      <c r="D169" s="135" t="s">
        <v>2295</v>
      </c>
      <c r="F169">
        <v>20</v>
      </c>
      <c r="G169">
        <v>20</v>
      </c>
      <c r="H169">
        <v>20</v>
      </c>
      <c r="I169">
        <v>20</v>
      </c>
      <c r="J169">
        <v>20</v>
      </c>
      <c r="K169">
        <v>20</v>
      </c>
      <c r="L169">
        <v>20</v>
      </c>
      <c r="M169">
        <v>20</v>
      </c>
      <c r="N169">
        <v>20</v>
      </c>
      <c r="O169">
        <v>20</v>
      </c>
      <c r="P169">
        <v>20</v>
      </c>
      <c r="Q169">
        <v>20</v>
      </c>
      <c r="R169">
        <v>20</v>
      </c>
      <c r="S169">
        <v>20</v>
      </c>
      <c r="T169">
        <v>20</v>
      </c>
      <c r="U169">
        <v>20</v>
      </c>
      <c r="V169">
        <v>20</v>
      </c>
      <c r="W169">
        <v>20</v>
      </c>
      <c r="X169">
        <v>20</v>
      </c>
      <c r="Y169">
        <v>20</v>
      </c>
      <c r="Z169">
        <v>20</v>
      </c>
      <c r="AA169">
        <v>20</v>
      </c>
      <c r="AB169">
        <v>20</v>
      </c>
      <c r="AC169">
        <v>20</v>
      </c>
      <c r="AD169">
        <v>20</v>
      </c>
      <c r="AE169">
        <v>20</v>
      </c>
      <c r="AF169">
        <v>20</v>
      </c>
      <c r="AG169">
        <v>20</v>
      </c>
      <c r="AH169">
        <v>20</v>
      </c>
      <c r="AI169">
        <v>20</v>
      </c>
      <c r="AJ169">
        <v>20</v>
      </c>
      <c r="AK169">
        <v>20</v>
      </c>
      <c r="AL169">
        <v>20</v>
      </c>
      <c r="AM169">
        <v>20</v>
      </c>
      <c r="AN169">
        <v>20</v>
      </c>
      <c r="AO169">
        <v>20</v>
      </c>
      <c r="AP169">
        <v>20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</row>
    <row r="170" spans="2:66" x14ac:dyDescent="0.2">
      <c r="B170" s="103">
        <v>4</v>
      </c>
      <c r="C170" s="135" t="s">
        <v>3529</v>
      </c>
      <c r="D170" s="135" t="s">
        <v>2291</v>
      </c>
      <c r="F170">
        <v>10</v>
      </c>
      <c r="G170">
        <v>10</v>
      </c>
      <c r="H170">
        <v>10</v>
      </c>
      <c r="I170">
        <v>10</v>
      </c>
      <c r="J170">
        <v>10</v>
      </c>
      <c r="K170">
        <v>10</v>
      </c>
      <c r="L170">
        <v>10</v>
      </c>
      <c r="M170">
        <v>10</v>
      </c>
      <c r="N170">
        <v>10</v>
      </c>
      <c r="O170">
        <v>10</v>
      </c>
      <c r="P170">
        <v>10</v>
      </c>
      <c r="Q170">
        <v>10</v>
      </c>
      <c r="R170">
        <v>10</v>
      </c>
      <c r="S170">
        <v>10</v>
      </c>
      <c r="T170">
        <v>10</v>
      </c>
      <c r="U170">
        <v>10</v>
      </c>
      <c r="V170">
        <v>10</v>
      </c>
      <c r="W170">
        <v>10</v>
      </c>
      <c r="X170">
        <v>10</v>
      </c>
      <c r="Y170">
        <v>10</v>
      </c>
      <c r="Z170">
        <v>10</v>
      </c>
      <c r="AA170">
        <v>10</v>
      </c>
      <c r="AB170">
        <v>10</v>
      </c>
      <c r="AC170">
        <v>10</v>
      </c>
      <c r="AD170">
        <v>10</v>
      </c>
      <c r="AE170">
        <v>10</v>
      </c>
      <c r="AF170">
        <v>10</v>
      </c>
      <c r="AG170">
        <v>10</v>
      </c>
      <c r="AH170">
        <v>10</v>
      </c>
      <c r="AI170">
        <v>10</v>
      </c>
      <c r="AJ170">
        <v>10</v>
      </c>
      <c r="AK170">
        <v>10</v>
      </c>
      <c r="AL170">
        <v>10</v>
      </c>
      <c r="AM170">
        <v>10</v>
      </c>
      <c r="AN170">
        <v>10</v>
      </c>
      <c r="AO170">
        <v>10</v>
      </c>
      <c r="AP170">
        <v>10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</row>
    <row r="171" spans="2:66" x14ac:dyDescent="0.2">
      <c r="B171" s="103">
        <v>5</v>
      </c>
      <c r="C171" s="135" t="s">
        <v>3031</v>
      </c>
      <c r="D171" s="135" t="s">
        <v>2283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</row>
    <row r="172" spans="2:66" x14ac:dyDescent="0.2">
      <c r="B172" s="103">
        <v>6</v>
      </c>
      <c r="C172" s="135" t="s">
        <v>3032</v>
      </c>
      <c r="D172" s="135" t="s">
        <v>2284</v>
      </c>
      <c r="F172">
        <v>2</v>
      </c>
      <c r="G172">
        <v>2</v>
      </c>
      <c r="H172">
        <v>2</v>
      </c>
      <c r="I172">
        <v>2</v>
      </c>
      <c r="J172">
        <v>2</v>
      </c>
      <c r="K172">
        <v>2</v>
      </c>
      <c r="L172">
        <v>2</v>
      </c>
      <c r="M172">
        <v>2</v>
      </c>
      <c r="N172">
        <v>2</v>
      </c>
      <c r="O172">
        <v>2</v>
      </c>
      <c r="P172">
        <v>2</v>
      </c>
      <c r="Q172">
        <v>2</v>
      </c>
      <c r="R172">
        <v>2</v>
      </c>
      <c r="S172">
        <v>2</v>
      </c>
      <c r="T172">
        <v>2</v>
      </c>
      <c r="U172">
        <v>2</v>
      </c>
      <c r="V172">
        <v>2</v>
      </c>
      <c r="W172">
        <v>2</v>
      </c>
      <c r="X172">
        <v>2</v>
      </c>
      <c r="Y172">
        <v>2</v>
      </c>
      <c r="Z172">
        <v>2</v>
      </c>
      <c r="AA172">
        <v>2</v>
      </c>
      <c r="AB172">
        <v>2</v>
      </c>
      <c r="AC172">
        <v>2</v>
      </c>
      <c r="AD172">
        <v>2</v>
      </c>
      <c r="AE172">
        <v>2</v>
      </c>
      <c r="AF172">
        <v>2</v>
      </c>
      <c r="AG172">
        <v>2</v>
      </c>
      <c r="AH172">
        <v>2</v>
      </c>
      <c r="AI172">
        <v>2</v>
      </c>
      <c r="AJ172">
        <v>2</v>
      </c>
      <c r="AK172">
        <v>2</v>
      </c>
      <c r="AL172">
        <v>2</v>
      </c>
      <c r="AM172">
        <v>2</v>
      </c>
      <c r="AN172">
        <v>2</v>
      </c>
      <c r="AO172">
        <v>2</v>
      </c>
      <c r="AP172">
        <v>2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</row>
    <row r="173" spans="2:66" x14ac:dyDescent="0.2">
      <c r="B173" s="103">
        <v>7</v>
      </c>
      <c r="C173" s="135" t="s">
        <v>3033</v>
      </c>
      <c r="D173" s="135" t="s">
        <v>2292</v>
      </c>
      <c r="F173">
        <v>10</v>
      </c>
      <c r="G173">
        <v>10</v>
      </c>
      <c r="H173">
        <v>10</v>
      </c>
      <c r="I173">
        <v>10</v>
      </c>
      <c r="J173">
        <v>13</v>
      </c>
      <c r="K173">
        <v>13</v>
      </c>
      <c r="L173">
        <v>13</v>
      </c>
      <c r="M173">
        <v>13</v>
      </c>
      <c r="N173">
        <v>13</v>
      </c>
      <c r="O173">
        <v>13</v>
      </c>
      <c r="P173">
        <v>13</v>
      </c>
      <c r="Q173">
        <v>13</v>
      </c>
      <c r="R173">
        <v>13</v>
      </c>
      <c r="S173">
        <v>13</v>
      </c>
      <c r="T173">
        <v>13</v>
      </c>
      <c r="U173">
        <v>13</v>
      </c>
      <c r="V173">
        <v>13</v>
      </c>
      <c r="W173">
        <v>13</v>
      </c>
      <c r="X173">
        <v>13</v>
      </c>
      <c r="Y173">
        <v>13</v>
      </c>
      <c r="Z173">
        <v>13</v>
      </c>
      <c r="AA173">
        <v>13</v>
      </c>
      <c r="AB173">
        <v>13</v>
      </c>
      <c r="AC173">
        <v>13</v>
      </c>
      <c r="AD173">
        <v>13</v>
      </c>
      <c r="AE173">
        <v>13</v>
      </c>
      <c r="AF173">
        <v>13</v>
      </c>
      <c r="AG173">
        <v>13</v>
      </c>
      <c r="AH173">
        <v>13</v>
      </c>
      <c r="AI173">
        <v>13</v>
      </c>
      <c r="AJ173">
        <v>13</v>
      </c>
      <c r="AK173">
        <v>13</v>
      </c>
      <c r="AL173">
        <v>13</v>
      </c>
      <c r="AM173">
        <v>13</v>
      </c>
      <c r="AN173">
        <v>13</v>
      </c>
      <c r="AO173">
        <v>13</v>
      </c>
      <c r="AP173">
        <v>13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</row>
    <row r="174" spans="2:66" x14ac:dyDescent="0.2">
      <c r="B174" s="103">
        <v>8</v>
      </c>
      <c r="C174" s="135" t="s">
        <v>3034</v>
      </c>
      <c r="D174" s="135" t="s">
        <v>2290</v>
      </c>
      <c r="F174">
        <v>10</v>
      </c>
      <c r="G174">
        <v>10</v>
      </c>
      <c r="H174">
        <v>10</v>
      </c>
      <c r="I174">
        <v>10</v>
      </c>
      <c r="J174">
        <v>10</v>
      </c>
      <c r="K174">
        <v>10</v>
      </c>
      <c r="L174">
        <v>10</v>
      </c>
      <c r="M174">
        <v>10</v>
      </c>
      <c r="N174">
        <v>10</v>
      </c>
      <c r="O174">
        <v>10</v>
      </c>
      <c r="P174">
        <v>10</v>
      </c>
      <c r="Q174">
        <v>10</v>
      </c>
      <c r="R174">
        <v>10</v>
      </c>
      <c r="S174">
        <v>10</v>
      </c>
      <c r="T174">
        <v>10</v>
      </c>
      <c r="U174">
        <v>10</v>
      </c>
      <c r="V174">
        <v>10</v>
      </c>
      <c r="W174">
        <v>10</v>
      </c>
      <c r="X174">
        <v>10</v>
      </c>
      <c r="Y174">
        <v>10</v>
      </c>
      <c r="Z174">
        <v>10</v>
      </c>
      <c r="AA174">
        <v>10</v>
      </c>
      <c r="AB174">
        <v>10</v>
      </c>
      <c r="AC174">
        <v>10</v>
      </c>
      <c r="AD174">
        <v>10</v>
      </c>
      <c r="AE174">
        <v>10</v>
      </c>
      <c r="AF174">
        <v>10</v>
      </c>
      <c r="AG174">
        <v>10</v>
      </c>
      <c r="AH174">
        <v>10</v>
      </c>
      <c r="AI174">
        <v>10</v>
      </c>
      <c r="AJ174">
        <v>10</v>
      </c>
      <c r="AK174">
        <v>10</v>
      </c>
      <c r="AL174">
        <v>10</v>
      </c>
      <c r="AM174">
        <v>10</v>
      </c>
      <c r="AN174">
        <v>10</v>
      </c>
      <c r="AO174">
        <v>10</v>
      </c>
      <c r="AP174">
        <v>10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</row>
    <row r="175" spans="2:66" x14ac:dyDescent="0.2">
      <c r="B175" s="103">
        <v>9</v>
      </c>
      <c r="C175" s="135" t="s">
        <v>2906</v>
      </c>
      <c r="D175" s="135" t="s">
        <v>2186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</row>
    <row r="176" spans="2:66" x14ac:dyDescent="0.2">
      <c r="B176" s="103">
        <v>10</v>
      </c>
      <c r="C176" s="135" t="s">
        <v>3048</v>
      </c>
      <c r="D176" s="135" t="s">
        <v>1987</v>
      </c>
      <c r="F176">
        <v>2</v>
      </c>
      <c r="G176">
        <v>2</v>
      </c>
      <c r="H176">
        <v>2</v>
      </c>
      <c r="I176">
        <v>2</v>
      </c>
      <c r="J176">
        <v>2</v>
      </c>
      <c r="K176">
        <v>2</v>
      </c>
      <c r="L176">
        <v>2</v>
      </c>
      <c r="M176">
        <v>2</v>
      </c>
      <c r="N176">
        <v>1</v>
      </c>
      <c r="O176">
        <v>1</v>
      </c>
      <c r="P176">
        <v>1</v>
      </c>
      <c r="Q176">
        <v>2</v>
      </c>
      <c r="R176">
        <v>2</v>
      </c>
      <c r="S176">
        <v>2</v>
      </c>
      <c r="T176">
        <v>2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</row>
    <row r="177" spans="2:66" x14ac:dyDescent="0.2">
      <c r="B177" s="103">
        <v>11</v>
      </c>
      <c r="C177" s="135" t="s">
        <v>3312</v>
      </c>
      <c r="D177" s="135" t="s">
        <v>2308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0</v>
      </c>
      <c r="O177">
        <v>0</v>
      </c>
      <c r="P177">
        <v>0</v>
      </c>
      <c r="Q177">
        <v>1</v>
      </c>
      <c r="R177">
        <v>1</v>
      </c>
      <c r="S177">
        <v>1</v>
      </c>
      <c r="T177">
        <v>1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</row>
    <row r="178" spans="2:66" x14ac:dyDescent="0.2">
      <c r="B178" s="103">
        <v>12</v>
      </c>
      <c r="C178" s="135" t="s">
        <v>3313</v>
      </c>
      <c r="D178" s="135" t="s">
        <v>2309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1</v>
      </c>
      <c r="AP178">
        <v>1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</row>
    <row r="179" spans="2:66" x14ac:dyDescent="0.2">
      <c r="B179" s="103">
        <v>13</v>
      </c>
      <c r="C179" s="135" t="s">
        <v>3025</v>
      </c>
      <c r="D179" s="135" t="s">
        <v>1992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</row>
    <row r="180" spans="2:66" x14ac:dyDescent="0.2">
      <c r="B180" s="103">
        <v>14</v>
      </c>
      <c r="C180" s="135" t="s">
        <v>3315</v>
      </c>
      <c r="D180" s="135" t="s">
        <v>3317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</v>
      </c>
      <c r="O180">
        <v>1</v>
      </c>
      <c r="P180">
        <v>1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</row>
    <row r="181" spans="2:66" x14ac:dyDescent="0.2">
      <c r="B181" s="103">
        <v>15</v>
      </c>
      <c r="C181" s="135" t="s">
        <v>3047</v>
      </c>
      <c r="D181" s="135" t="s">
        <v>2484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1</v>
      </c>
      <c r="O181">
        <v>1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</row>
    <row r="182" spans="2:66" x14ac:dyDescent="0.2">
      <c r="B182" s="103">
        <v>16</v>
      </c>
      <c r="C182" s="135">
        <v>0</v>
      </c>
      <c r="D182" s="135" t="s">
        <v>1993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</row>
    <row r="183" spans="2:66" x14ac:dyDescent="0.2">
      <c r="B183" s="103">
        <v>17</v>
      </c>
      <c r="C183" s="135">
        <v>0</v>
      </c>
      <c r="D183" s="135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</row>
    <row r="184" spans="2:66" x14ac:dyDescent="0.2">
      <c r="B184" s="103">
        <v>18</v>
      </c>
      <c r="C184" s="135">
        <v>0</v>
      </c>
      <c r="D184" s="135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</row>
    <row r="185" spans="2:66" x14ac:dyDescent="0.2">
      <c r="B185" s="103">
        <v>19</v>
      </c>
      <c r="C185" s="135">
        <v>0</v>
      </c>
      <c r="D185" s="13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</row>
    <row r="186" spans="2:66" x14ac:dyDescent="0.2">
      <c r="B186" s="103">
        <v>20</v>
      </c>
      <c r="C186" s="135">
        <v>0</v>
      </c>
      <c r="D186" s="135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</row>
    <row r="187" spans="2:66" x14ac:dyDescent="0.2">
      <c r="B187" s="1175" t="s">
        <v>3730</v>
      </c>
      <c r="C187" s="1176"/>
      <c r="D187" s="1177"/>
    </row>
    <row r="188" spans="2:66" x14ac:dyDescent="0.2">
      <c r="B188" s="103">
        <v>1</v>
      </c>
      <c r="C188" s="135" t="s">
        <v>3057</v>
      </c>
      <c r="D188" s="135" t="s">
        <v>2312</v>
      </c>
      <c r="F188">
        <v>180</v>
      </c>
      <c r="G188">
        <v>180</v>
      </c>
      <c r="H188">
        <v>200</v>
      </c>
      <c r="I188">
        <v>180</v>
      </c>
      <c r="J188">
        <v>160</v>
      </c>
      <c r="K188">
        <v>160</v>
      </c>
      <c r="L188">
        <v>0</v>
      </c>
      <c r="M188">
        <v>0</v>
      </c>
      <c r="N188">
        <v>250</v>
      </c>
      <c r="O188">
        <v>250</v>
      </c>
      <c r="P188">
        <v>250</v>
      </c>
      <c r="Q188">
        <v>180</v>
      </c>
      <c r="R188">
        <v>170</v>
      </c>
      <c r="S188">
        <v>170</v>
      </c>
      <c r="T188">
        <v>180</v>
      </c>
      <c r="U188">
        <v>210</v>
      </c>
      <c r="V188">
        <v>230</v>
      </c>
      <c r="W188">
        <v>210</v>
      </c>
      <c r="X188">
        <v>230</v>
      </c>
      <c r="Y188">
        <v>210</v>
      </c>
      <c r="Z188">
        <v>230</v>
      </c>
      <c r="AA188">
        <v>260</v>
      </c>
      <c r="AB188">
        <v>180</v>
      </c>
      <c r="AC188">
        <v>180</v>
      </c>
      <c r="AD188">
        <v>180</v>
      </c>
      <c r="AE188">
        <v>180</v>
      </c>
      <c r="AF188">
        <v>170</v>
      </c>
      <c r="AG188">
        <v>180</v>
      </c>
      <c r="AH188">
        <v>180</v>
      </c>
      <c r="AI188">
        <v>180</v>
      </c>
      <c r="AJ188">
        <v>160</v>
      </c>
      <c r="AK188">
        <v>180</v>
      </c>
      <c r="AL188">
        <v>0</v>
      </c>
      <c r="AM188">
        <v>180</v>
      </c>
      <c r="AN188">
        <v>180</v>
      </c>
      <c r="AO188">
        <v>230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</row>
    <row r="189" spans="2:66" x14ac:dyDescent="0.2">
      <c r="B189" s="103">
        <v>2</v>
      </c>
      <c r="C189" s="135" t="s">
        <v>2900</v>
      </c>
      <c r="D189" s="135" t="s">
        <v>2312</v>
      </c>
      <c r="F189">
        <v>180</v>
      </c>
      <c r="G189">
        <v>180</v>
      </c>
      <c r="H189">
        <v>200</v>
      </c>
      <c r="I189">
        <v>180</v>
      </c>
      <c r="J189">
        <v>160</v>
      </c>
      <c r="K189">
        <v>160</v>
      </c>
      <c r="L189">
        <v>0</v>
      </c>
      <c r="M189">
        <v>0</v>
      </c>
      <c r="N189">
        <v>250</v>
      </c>
      <c r="O189">
        <v>250</v>
      </c>
      <c r="P189">
        <v>250</v>
      </c>
      <c r="Q189">
        <v>180</v>
      </c>
      <c r="R189">
        <v>170</v>
      </c>
      <c r="S189">
        <v>170</v>
      </c>
      <c r="T189">
        <v>180</v>
      </c>
      <c r="U189">
        <v>210</v>
      </c>
      <c r="V189">
        <v>230</v>
      </c>
      <c r="W189">
        <v>210</v>
      </c>
      <c r="X189">
        <v>230</v>
      </c>
      <c r="Y189">
        <v>210</v>
      </c>
      <c r="Z189">
        <v>230</v>
      </c>
      <c r="AA189">
        <v>260</v>
      </c>
      <c r="AB189">
        <v>180</v>
      </c>
      <c r="AC189">
        <v>180</v>
      </c>
      <c r="AD189">
        <v>180</v>
      </c>
      <c r="AE189">
        <v>180</v>
      </c>
      <c r="AF189">
        <v>170</v>
      </c>
      <c r="AG189">
        <v>180</v>
      </c>
      <c r="AH189">
        <v>180</v>
      </c>
      <c r="AI189">
        <v>180</v>
      </c>
      <c r="AJ189">
        <v>160</v>
      </c>
      <c r="AK189">
        <v>180</v>
      </c>
      <c r="AL189">
        <v>0</v>
      </c>
      <c r="AM189">
        <v>180</v>
      </c>
      <c r="AN189">
        <v>180</v>
      </c>
      <c r="AO189">
        <v>230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</row>
    <row r="190" spans="2:66" x14ac:dyDescent="0.2">
      <c r="B190" s="103">
        <v>3</v>
      </c>
      <c r="C190" s="135" t="s">
        <v>2902</v>
      </c>
      <c r="D190" s="135" t="s">
        <v>2312</v>
      </c>
      <c r="F190">
        <v>180</v>
      </c>
      <c r="G190">
        <v>180</v>
      </c>
      <c r="H190">
        <v>200</v>
      </c>
      <c r="I190">
        <v>180</v>
      </c>
      <c r="J190">
        <v>160</v>
      </c>
      <c r="K190">
        <v>160</v>
      </c>
      <c r="L190">
        <v>0</v>
      </c>
      <c r="M190">
        <v>0</v>
      </c>
      <c r="N190">
        <v>250</v>
      </c>
      <c r="O190">
        <v>250</v>
      </c>
      <c r="P190">
        <v>250</v>
      </c>
      <c r="Q190">
        <v>180</v>
      </c>
      <c r="R190">
        <v>170</v>
      </c>
      <c r="S190">
        <v>170</v>
      </c>
      <c r="T190">
        <v>180</v>
      </c>
      <c r="U190">
        <v>210</v>
      </c>
      <c r="V190">
        <v>230</v>
      </c>
      <c r="W190">
        <v>210</v>
      </c>
      <c r="X190">
        <v>230</v>
      </c>
      <c r="Y190">
        <v>210</v>
      </c>
      <c r="Z190">
        <v>230</v>
      </c>
      <c r="AA190">
        <v>260</v>
      </c>
      <c r="AB190">
        <v>180</v>
      </c>
      <c r="AC190">
        <v>180</v>
      </c>
      <c r="AD190">
        <v>180</v>
      </c>
      <c r="AE190">
        <v>180</v>
      </c>
      <c r="AF190">
        <v>170</v>
      </c>
      <c r="AG190">
        <v>180</v>
      </c>
      <c r="AH190">
        <v>180</v>
      </c>
      <c r="AI190">
        <v>180</v>
      </c>
      <c r="AJ190">
        <v>160</v>
      </c>
      <c r="AK190">
        <v>180</v>
      </c>
      <c r="AL190">
        <v>0</v>
      </c>
      <c r="AM190">
        <v>180</v>
      </c>
      <c r="AN190">
        <v>180</v>
      </c>
      <c r="AO190">
        <v>230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</row>
    <row r="191" spans="2:66" x14ac:dyDescent="0.2">
      <c r="B191" s="103">
        <v>4</v>
      </c>
      <c r="C191" s="135" t="s">
        <v>2899</v>
      </c>
      <c r="D191" s="135" t="s">
        <v>2312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</row>
    <row r="192" spans="2:66" x14ac:dyDescent="0.2">
      <c r="B192" s="103">
        <v>5</v>
      </c>
      <c r="C192" s="135" t="s">
        <v>2901</v>
      </c>
      <c r="D192" s="135" t="s">
        <v>2312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</row>
    <row r="193" spans="2:66" x14ac:dyDescent="0.2">
      <c r="B193" s="103">
        <v>6</v>
      </c>
      <c r="C193" s="135" t="s">
        <v>3058</v>
      </c>
      <c r="D193" s="135" t="s">
        <v>2313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</row>
    <row r="194" spans="2:66" x14ac:dyDescent="0.2">
      <c r="B194" s="103">
        <v>7</v>
      </c>
      <c r="C194" s="135" t="s">
        <v>3059</v>
      </c>
      <c r="D194" s="135" t="s">
        <v>2313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</row>
    <row r="195" spans="2:66" x14ac:dyDescent="0.2">
      <c r="B195" s="103">
        <v>8</v>
      </c>
      <c r="C195" s="135" t="s">
        <v>3060</v>
      </c>
      <c r="D195" s="135" t="s">
        <v>2300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</row>
    <row r="196" spans="2:66" x14ac:dyDescent="0.2">
      <c r="B196" s="103">
        <v>9</v>
      </c>
      <c r="C196" s="135" t="s">
        <v>3061</v>
      </c>
      <c r="D196" s="135" t="s">
        <v>2300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</row>
    <row r="197" spans="2:66" x14ac:dyDescent="0.2">
      <c r="B197" s="103">
        <v>10</v>
      </c>
      <c r="C197" s="135" t="s">
        <v>3062</v>
      </c>
      <c r="D197" s="135" t="s">
        <v>2300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</row>
    <row r="198" spans="2:66" x14ac:dyDescent="0.2">
      <c r="B198" s="103">
        <v>11</v>
      </c>
      <c r="C198" s="135" t="s">
        <v>3063</v>
      </c>
      <c r="D198" s="135" t="s">
        <v>2299</v>
      </c>
      <c r="F198">
        <v>60</v>
      </c>
      <c r="G198">
        <v>60</v>
      </c>
      <c r="H198">
        <v>60</v>
      </c>
      <c r="I198">
        <v>60</v>
      </c>
      <c r="J198">
        <v>60</v>
      </c>
      <c r="K198">
        <v>60</v>
      </c>
      <c r="L198">
        <v>60</v>
      </c>
      <c r="M198">
        <v>60</v>
      </c>
      <c r="N198">
        <v>60</v>
      </c>
      <c r="O198">
        <v>60</v>
      </c>
      <c r="P198">
        <v>60</v>
      </c>
      <c r="Q198">
        <v>60</v>
      </c>
      <c r="R198">
        <v>60</v>
      </c>
      <c r="S198">
        <v>60</v>
      </c>
      <c r="T198">
        <v>60</v>
      </c>
      <c r="U198">
        <v>60</v>
      </c>
      <c r="V198">
        <v>60</v>
      </c>
      <c r="W198">
        <v>60</v>
      </c>
      <c r="X198">
        <v>60</v>
      </c>
      <c r="Y198">
        <v>60</v>
      </c>
      <c r="Z198">
        <v>60</v>
      </c>
      <c r="AA198">
        <v>60</v>
      </c>
      <c r="AB198">
        <v>60</v>
      </c>
      <c r="AC198">
        <v>60</v>
      </c>
      <c r="AD198">
        <v>60</v>
      </c>
      <c r="AE198">
        <v>60</v>
      </c>
      <c r="AF198">
        <v>60</v>
      </c>
      <c r="AG198">
        <v>60</v>
      </c>
      <c r="AH198">
        <v>60</v>
      </c>
      <c r="AI198">
        <v>60</v>
      </c>
      <c r="AJ198">
        <v>60</v>
      </c>
      <c r="AK198">
        <v>60</v>
      </c>
      <c r="AL198">
        <v>60</v>
      </c>
      <c r="AM198">
        <v>60</v>
      </c>
      <c r="AN198">
        <v>60</v>
      </c>
      <c r="AO198">
        <v>60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</row>
    <row r="199" spans="2:66" x14ac:dyDescent="0.2">
      <c r="B199" s="103">
        <v>12</v>
      </c>
      <c r="C199" s="135" t="s">
        <v>3064</v>
      </c>
      <c r="D199" s="135" t="s">
        <v>2316</v>
      </c>
      <c r="F199">
        <v>20</v>
      </c>
      <c r="G199">
        <v>20</v>
      </c>
      <c r="H199">
        <v>20</v>
      </c>
      <c r="I199">
        <v>20</v>
      </c>
      <c r="J199">
        <v>20</v>
      </c>
      <c r="K199">
        <v>20</v>
      </c>
      <c r="L199">
        <v>20</v>
      </c>
      <c r="M199">
        <v>20</v>
      </c>
      <c r="N199">
        <v>20</v>
      </c>
      <c r="O199">
        <v>20</v>
      </c>
      <c r="P199">
        <v>20</v>
      </c>
      <c r="Q199">
        <v>20</v>
      </c>
      <c r="R199">
        <v>20</v>
      </c>
      <c r="S199">
        <v>20</v>
      </c>
      <c r="T199">
        <v>20</v>
      </c>
      <c r="U199">
        <v>20</v>
      </c>
      <c r="V199">
        <v>20</v>
      </c>
      <c r="W199">
        <v>20</v>
      </c>
      <c r="X199">
        <v>20</v>
      </c>
      <c r="Y199">
        <v>20</v>
      </c>
      <c r="Z199">
        <v>20</v>
      </c>
      <c r="AA199">
        <v>20</v>
      </c>
      <c r="AB199">
        <v>20</v>
      </c>
      <c r="AC199">
        <v>20</v>
      </c>
      <c r="AD199">
        <v>20</v>
      </c>
      <c r="AE199">
        <v>20</v>
      </c>
      <c r="AF199">
        <v>20</v>
      </c>
      <c r="AG199">
        <v>20</v>
      </c>
      <c r="AH199">
        <v>20</v>
      </c>
      <c r="AI199">
        <v>20</v>
      </c>
      <c r="AJ199">
        <v>20</v>
      </c>
      <c r="AK199">
        <v>20</v>
      </c>
      <c r="AL199">
        <v>20</v>
      </c>
      <c r="AM199">
        <v>20</v>
      </c>
      <c r="AN199">
        <v>20</v>
      </c>
      <c r="AO199">
        <v>20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</row>
    <row r="200" spans="2:66" x14ac:dyDescent="0.2">
      <c r="B200" s="103">
        <v>13</v>
      </c>
      <c r="C200" s="135" t="s">
        <v>3065</v>
      </c>
      <c r="D200" s="135" t="s">
        <v>2315</v>
      </c>
      <c r="F200">
        <v>60</v>
      </c>
      <c r="G200">
        <v>60</v>
      </c>
      <c r="H200">
        <v>65</v>
      </c>
      <c r="I200">
        <v>60</v>
      </c>
      <c r="J200">
        <v>60</v>
      </c>
      <c r="K200">
        <v>60</v>
      </c>
      <c r="L200">
        <v>10</v>
      </c>
      <c r="M200">
        <v>10</v>
      </c>
      <c r="N200">
        <v>95</v>
      </c>
      <c r="O200">
        <v>95</v>
      </c>
      <c r="P200">
        <v>95</v>
      </c>
      <c r="Q200">
        <v>60</v>
      </c>
      <c r="R200">
        <v>65</v>
      </c>
      <c r="S200">
        <v>60</v>
      </c>
      <c r="T200">
        <v>60</v>
      </c>
      <c r="U200">
        <v>70</v>
      </c>
      <c r="V200">
        <v>70</v>
      </c>
      <c r="W200">
        <v>70</v>
      </c>
      <c r="X200">
        <v>70</v>
      </c>
      <c r="Y200">
        <v>70</v>
      </c>
      <c r="Z200">
        <v>70</v>
      </c>
      <c r="AA200">
        <v>70</v>
      </c>
      <c r="AB200">
        <v>60</v>
      </c>
      <c r="AC200">
        <v>60</v>
      </c>
      <c r="AD200">
        <v>60</v>
      </c>
      <c r="AE200">
        <v>60</v>
      </c>
      <c r="AF200">
        <v>60</v>
      </c>
      <c r="AG200">
        <v>60</v>
      </c>
      <c r="AH200">
        <v>60</v>
      </c>
      <c r="AI200">
        <v>60</v>
      </c>
      <c r="AJ200">
        <v>60</v>
      </c>
      <c r="AK200">
        <v>60</v>
      </c>
      <c r="AL200">
        <v>10</v>
      </c>
      <c r="AM200">
        <v>60</v>
      </c>
      <c r="AN200">
        <v>60</v>
      </c>
      <c r="AO200">
        <v>70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</row>
    <row r="201" spans="2:66" x14ac:dyDescent="0.2">
      <c r="B201" s="103">
        <v>14</v>
      </c>
      <c r="C201" s="135" t="s">
        <v>3066</v>
      </c>
      <c r="D201" s="135" t="s">
        <v>2278</v>
      </c>
      <c r="F201">
        <v>1</v>
      </c>
      <c r="G201">
        <v>0</v>
      </c>
      <c r="H201">
        <v>1</v>
      </c>
      <c r="I201">
        <v>0</v>
      </c>
      <c r="J201">
        <v>1</v>
      </c>
      <c r="K201">
        <v>0</v>
      </c>
      <c r="L201">
        <v>1</v>
      </c>
      <c r="M201">
        <v>0</v>
      </c>
      <c r="N201">
        <v>1</v>
      </c>
      <c r="O201">
        <v>0</v>
      </c>
      <c r="P201">
        <v>1</v>
      </c>
      <c r="Q201">
        <v>0</v>
      </c>
      <c r="R201">
        <v>1</v>
      </c>
      <c r="S201">
        <v>0</v>
      </c>
      <c r="T201">
        <v>1</v>
      </c>
      <c r="U201">
        <v>0</v>
      </c>
      <c r="V201">
        <v>1</v>
      </c>
      <c r="W201">
        <v>0</v>
      </c>
      <c r="X201">
        <v>1</v>
      </c>
      <c r="Y201">
        <v>0</v>
      </c>
      <c r="Z201">
        <v>1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1</v>
      </c>
      <c r="AG201">
        <v>0</v>
      </c>
      <c r="AH201">
        <v>0</v>
      </c>
      <c r="AI201">
        <v>0</v>
      </c>
      <c r="AJ201">
        <v>1</v>
      </c>
      <c r="AK201">
        <v>0</v>
      </c>
      <c r="AL201">
        <v>1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</row>
    <row r="202" spans="2:66" x14ac:dyDescent="0.2">
      <c r="B202" s="103">
        <v>15</v>
      </c>
      <c r="C202" s="135" t="s">
        <v>3067</v>
      </c>
      <c r="D202" s="135" t="s">
        <v>2279</v>
      </c>
      <c r="F202">
        <v>0</v>
      </c>
      <c r="G202">
        <v>1</v>
      </c>
      <c r="H202">
        <v>0</v>
      </c>
      <c r="I202">
        <v>1</v>
      </c>
      <c r="J202">
        <v>0</v>
      </c>
      <c r="K202">
        <v>1</v>
      </c>
      <c r="L202">
        <v>0</v>
      </c>
      <c r="M202">
        <v>1</v>
      </c>
      <c r="N202">
        <v>0</v>
      </c>
      <c r="O202">
        <v>1</v>
      </c>
      <c r="P202">
        <v>0</v>
      </c>
      <c r="Q202">
        <v>1</v>
      </c>
      <c r="R202">
        <v>0</v>
      </c>
      <c r="S202">
        <v>1</v>
      </c>
      <c r="T202">
        <v>0</v>
      </c>
      <c r="U202">
        <v>1</v>
      </c>
      <c r="V202">
        <v>0</v>
      </c>
      <c r="W202">
        <v>1</v>
      </c>
      <c r="X202">
        <v>0</v>
      </c>
      <c r="Y202">
        <v>1</v>
      </c>
      <c r="Z202">
        <v>0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0</v>
      </c>
      <c r="AG202">
        <v>1</v>
      </c>
      <c r="AH202">
        <v>1</v>
      </c>
      <c r="AI202">
        <v>1</v>
      </c>
      <c r="AJ202">
        <v>0</v>
      </c>
      <c r="AK202">
        <v>1</v>
      </c>
      <c r="AL202">
        <v>0</v>
      </c>
      <c r="AM202">
        <v>1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</row>
    <row r="203" spans="2:66" x14ac:dyDescent="0.2">
      <c r="B203" s="103">
        <v>16</v>
      </c>
      <c r="C203" s="135" t="s">
        <v>3068</v>
      </c>
      <c r="D203" s="135" t="s">
        <v>3320</v>
      </c>
      <c r="F203">
        <v>1</v>
      </c>
      <c r="G203">
        <v>0</v>
      </c>
      <c r="H203">
        <v>1</v>
      </c>
      <c r="I203">
        <v>0</v>
      </c>
      <c r="J203">
        <v>1</v>
      </c>
      <c r="K203">
        <v>0</v>
      </c>
      <c r="L203">
        <v>1</v>
      </c>
      <c r="M203">
        <v>0</v>
      </c>
      <c r="N203">
        <v>1</v>
      </c>
      <c r="O203">
        <v>0</v>
      </c>
      <c r="P203">
        <v>1</v>
      </c>
      <c r="Q203">
        <v>0</v>
      </c>
      <c r="R203">
        <v>1</v>
      </c>
      <c r="S203">
        <v>0</v>
      </c>
      <c r="T203">
        <v>1</v>
      </c>
      <c r="U203">
        <v>0</v>
      </c>
      <c r="V203">
        <v>1</v>
      </c>
      <c r="W203">
        <v>0</v>
      </c>
      <c r="X203">
        <v>1</v>
      </c>
      <c r="Y203">
        <v>0</v>
      </c>
      <c r="Z203">
        <v>1</v>
      </c>
      <c r="AA203">
        <v>0</v>
      </c>
      <c r="AB203">
        <v>1</v>
      </c>
      <c r="AC203">
        <v>0</v>
      </c>
      <c r="AD203">
        <v>1</v>
      </c>
      <c r="AE203">
        <v>0</v>
      </c>
      <c r="AF203">
        <v>1</v>
      </c>
      <c r="AG203">
        <v>0</v>
      </c>
      <c r="AH203">
        <v>1</v>
      </c>
      <c r="AI203">
        <v>0</v>
      </c>
      <c r="AJ203">
        <v>1</v>
      </c>
      <c r="AK203">
        <v>0</v>
      </c>
      <c r="AL203">
        <v>1</v>
      </c>
      <c r="AM203">
        <v>0</v>
      </c>
      <c r="AN203">
        <v>1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</row>
    <row r="204" spans="2:66" x14ac:dyDescent="0.2">
      <c r="B204" s="103">
        <v>17</v>
      </c>
      <c r="C204" s="135" t="s">
        <v>2898</v>
      </c>
      <c r="D204" s="135" t="s">
        <v>2320</v>
      </c>
      <c r="F204">
        <v>0</v>
      </c>
      <c r="G204">
        <v>1</v>
      </c>
      <c r="H204">
        <v>0</v>
      </c>
      <c r="I204">
        <v>1</v>
      </c>
      <c r="J204">
        <v>0</v>
      </c>
      <c r="K204">
        <v>1</v>
      </c>
      <c r="L204">
        <v>0</v>
      </c>
      <c r="M204">
        <v>1</v>
      </c>
      <c r="N204">
        <v>0</v>
      </c>
      <c r="O204">
        <v>1</v>
      </c>
      <c r="P204">
        <v>0</v>
      </c>
      <c r="Q204">
        <v>1</v>
      </c>
      <c r="R204">
        <v>0</v>
      </c>
      <c r="S204">
        <v>1</v>
      </c>
      <c r="T204">
        <v>0</v>
      </c>
      <c r="U204">
        <v>1</v>
      </c>
      <c r="V204">
        <v>0</v>
      </c>
      <c r="W204">
        <v>1</v>
      </c>
      <c r="X204">
        <v>0</v>
      </c>
      <c r="Y204">
        <v>1</v>
      </c>
      <c r="Z204">
        <v>0</v>
      </c>
      <c r="AA204">
        <v>1</v>
      </c>
      <c r="AB204">
        <v>0</v>
      </c>
      <c r="AC204">
        <v>1</v>
      </c>
      <c r="AD204">
        <v>0</v>
      </c>
      <c r="AE204">
        <v>1</v>
      </c>
      <c r="AF204">
        <v>0</v>
      </c>
      <c r="AG204">
        <v>1</v>
      </c>
      <c r="AH204">
        <v>0</v>
      </c>
      <c r="AI204">
        <v>1</v>
      </c>
      <c r="AJ204">
        <v>0</v>
      </c>
      <c r="AK204">
        <v>1</v>
      </c>
      <c r="AL204">
        <v>0</v>
      </c>
      <c r="AM204">
        <v>1</v>
      </c>
      <c r="AN204">
        <v>0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</row>
    <row r="205" spans="2:66" x14ac:dyDescent="0.2">
      <c r="B205" s="103">
        <v>18</v>
      </c>
      <c r="C205" s="135">
        <v>0</v>
      </c>
      <c r="D205" s="135" t="s">
        <v>1993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</row>
    <row r="206" spans="2:66" x14ac:dyDescent="0.2">
      <c r="B206" s="103">
        <v>19</v>
      </c>
      <c r="C206" s="135">
        <v>0</v>
      </c>
      <c r="D206" s="135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</row>
    <row r="207" spans="2:66" x14ac:dyDescent="0.2">
      <c r="B207" s="103">
        <v>20</v>
      </c>
      <c r="C207" s="135">
        <v>0</v>
      </c>
      <c r="D207" s="135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</row>
    <row r="208" spans="2:66" x14ac:dyDescent="0.2">
      <c r="B208" s="1175" t="s">
        <v>3729</v>
      </c>
      <c r="C208" s="1176"/>
      <c r="D208" s="1177"/>
    </row>
    <row r="209" spans="2:66" x14ac:dyDescent="0.2">
      <c r="B209" s="103">
        <v>1</v>
      </c>
      <c r="C209" s="135" t="s">
        <v>2914</v>
      </c>
      <c r="D209" s="135" t="s">
        <v>2011</v>
      </c>
      <c r="F209">
        <v>3</v>
      </c>
      <c r="G209">
        <v>2</v>
      </c>
      <c r="H209">
        <v>2</v>
      </c>
      <c r="I209">
        <v>3</v>
      </c>
      <c r="J209">
        <v>2</v>
      </c>
      <c r="K209">
        <v>0</v>
      </c>
      <c r="L209">
        <v>1</v>
      </c>
      <c r="M209">
        <v>2</v>
      </c>
      <c r="N209">
        <v>5</v>
      </c>
      <c r="O209">
        <v>3</v>
      </c>
      <c r="P209">
        <v>2</v>
      </c>
      <c r="Q209">
        <v>4</v>
      </c>
      <c r="R209">
        <v>5</v>
      </c>
      <c r="S209">
        <v>2</v>
      </c>
      <c r="T209">
        <v>3</v>
      </c>
      <c r="U209">
        <v>3</v>
      </c>
      <c r="V209">
        <v>3</v>
      </c>
      <c r="W209">
        <v>0</v>
      </c>
      <c r="X209">
        <v>0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0</v>
      </c>
      <c r="AE209">
        <v>0</v>
      </c>
      <c r="AF209">
        <v>1</v>
      </c>
      <c r="AG209">
        <v>1</v>
      </c>
      <c r="AH209">
        <v>0</v>
      </c>
      <c r="AI209">
        <v>1</v>
      </c>
      <c r="AJ209">
        <v>1</v>
      </c>
      <c r="AK209">
        <v>1</v>
      </c>
      <c r="AL209">
        <v>2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</row>
    <row r="210" spans="2:66" x14ac:dyDescent="0.2">
      <c r="B210" s="103">
        <v>2</v>
      </c>
      <c r="C210" s="135" t="s">
        <v>2915</v>
      </c>
      <c r="D210" s="135" t="s">
        <v>2321</v>
      </c>
      <c r="F210">
        <v>3</v>
      </c>
      <c r="G210">
        <v>3</v>
      </c>
      <c r="H210">
        <v>3</v>
      </c>
      <c r="I210">
        <v>3</v>
      </c>
      <c r="J210">
        <v>3</v>
      </c>
      <c r="K210">
        <v>2</v>
      </c>
      <c r="L210">
        <v>4</v>
      </c>
      <c r="M210">
        <v>4</v>
      </c>
      <c r="N210">
        <v>6</v>
      </c>
      <c r="O210">
        <v>6</v>
      </c>
      <c r="P210">
        <v>6</v>
      </c>
      <c r="Q210">
        <v>3</v>
      </c>
      <c r="R210">
        <v>3</v>
      </c>
      <c r="S210">
        <v>4</v>
      </c>
      <c r="T210">
        <v>4</v>
      </c>
      <c r="U210">
        <v>4</v>
      </c>
      <c r="V210">
        <v>5</v>
      </c>
      <c r="W210">
        <v>3</v>
      </c>
      <c r="X210">
        <v>4</v>
      </c>
      <c r="Y210">
        <v>5</v>
      </c>
      <c r="Z210">
        <v>6</v>
      </c>
      <c r="AA210">
        <v>6</v>
      </c>
      <c r="AB210">
        <v>4</v>
      </c>
      <c r="AC210">
        <v>5</v>
      </c>
      <c r="AD210">
        <v>3</v>
      </c>
      <c r="AE210">
        <v>4</v>
      </c>
      <c r="AF210">
        <v>3</v>
      </c>
      <c r="AG210">
        <v>3</v>
      </c>
      <c r="AH210">
        <v>5</v>
      </c>
      <c r="AI210">
        <v>5</v>
      </c>
      <c r="AJ210">
        <v>4</v>
      </c>
      <c r="AK210">
        <v>5</v>
      </c>
      <c r="AL210">
        <v>3</v>
      </c>
      <c r="AM210">
        <v>5</v>
      </c>
      <c r="AN210">
        <v>3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</row>
    <row r="211" spans="2:66" x14ac:dyDescent="0.2">
      <c r="B211" s="103">
        <v>3</v>
      </c>
      <c r="C211" s="135" t="s">
        <v>2916</v>
      </c>
      <c r="D211" s="135" t="s">
        <v>2010</v>
      </c>
      <c r="F211">
        <v>2</v>
      </c>
      <c r="G211">
        <v>2</v>
      </c>
      <c r="H211">
        <v>2</v>
      </c>
      <c r="I211">
        <v>2</v>
      </c>
      <c r="J211">
        <v>2</v>
      </c>
      <c r="K211">
        <v>0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2</v>
      </c>
      <c r="S211">
        <v>2</v>
      </c>
      <c r="T211">
        <v>2</v>
      </c>
      <c r="U211">
        <v>2</v>
      </c>
      <c r="V211">
        <v>2</v>
      </c>
      <c r="W211">
        <v>2</v>
      </c>
      <c r="X211">
        <v>2</v>
      </c>
      <c r="Y211">
        <v>1</v>
      </c>
      <c r="Z211">
        <v>0</v>
      </c>
      <c r="AA211">
        <v>1</v>
      </c>
      <c r="AB211">
        <v>1</v>
      </c>
      <c r="AC211">
        <v>1</v>
      </c>
      <c r="AD211">
        <v>2</v>
      </c>
      <c r="AE211">
        <v>2</v>
      </c>
      <c r="AF211">
        <v>1</v>
      </c>
      <c r="AG211">
        <v>1</v>
      </c>
      <c r="AH211">
        <v>2</v>
      </c>
      <c r="AI211">
        <v>1</v>
      </c>
      <c r="AJ211">
        <v>2</v>
      </c>
      <c r="AK211">
        <v>3</v>
      </c>
      <c r="AL211">
        <v>2</v>
      </c>
      <c r="AM211">
        <v>1</v>
      </c>
      <c r="AN211">
        <v>2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</row>
    <row r="212" spans="2:66" x14ac:dyDescent="0.2">
      <c r="B212" s="103">
        <v>4</v>
      </c>
      <c r="C212" s="135" t="s">
        <v>2917</v>
      </c>
      <c r="D212" s="135" t="s">
        <v>2479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2</v>
      </c>
      <c r="O212">
        <v>2</v>
      </c>
      <c r="P212">
        <v>2</v>
      </c>
      <c r="Q212">
        <v>0</v>
      </c>
      <c r="R212">
        <v>0</v>
      </c>
      <c r="S212">
        <v>0</v>
      </c>
      <c r="T212">
        <v>0</v>
      </c>
      <c r="U212">
        <v>2</v>
      </c>
      <c r="V212">
        <v>2</v>
      </c>
      <c r="W212">
        <v>2</v>
      </c>
      <c r="X212">
        <v>2</v>
      </c>
      <c r="Y212">
        <v>0</v>
      </c>
      <c r="Z212">
        <v>2</v>
      </c>
      <c r="AA212">
        <v>2</v>
      </c>
      <c r="AB212">
        <v>0</v>
      </c>
      <c r="AC212">
        <v>2</v>
      </c>
      <c r="AD212">
        <v>0</v>
      </c>
      <c r="AE212">
        <v>2</v>
      </c>
      <c r="AF212">
        <v>2</v>
      </c>
      <c r="AG212">
        <v>2</v>
      </c>
      <c r="AH212">
        <v>2</v>
      </c>
      <c r="AI212">
        <v>2</v>
      </c>
      <c r="AJ212">
        <v>1</v>
      </c>
      <c r="AK212">
        <v>3</v>
      </c>
      <c r="AL212">
        <v>0</v>
      </c>
      <c r="AM212">
        <v>2</v>
      </c>
      <c r="AN212">
        <v>2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</row>
    <row r="213" spans="2:66" x14ac:dyDescent="0.2">
      <c r="B213" s="103">
        <v>5</v>
      </c>
      <c r="C213" s="135" t="s">
        <v>2918</v>
      </c>
      <c r="D213" s="135" t="s">
        <v>2301</v>
      </c>
      <c r="F213">
        <v>5</v>
      </c>
      <c r="G213">
        <v>5</v>
      </c>
      <c r="H213">
        <v>6</v>
      </c>
      <c r="I213">
        <v>4</v>
      </c>
      <c r="J213">
        <v>3</v>
      </c>
      <c r="K213">
        <v>2</v>
      </c>
      <c r="L213">
        <v>7</v>
      </c>
      <c r="M213">
        <v>8</v>
      </c>
      <c r="N213">
        <v>13</v>
      </c>
      <c r="O213">
        <v>13</v>
      </c>
      <c r="P213">
        <v>12</v>
      </c>
      <c r="Q213">
        <v>5</v>
      </c>
      <c r="R213">
        <v>5</v>
      </c>
      <c r="S213">
        <v>5</v>
      </c>
      <c r="T213">
        <v>6</v>
      </c>
      <c r="U213">
        <v>9</v>
      </c>
      <c r="V213">
        <v>10</v>
      </c>
      <c r="W213">
        <v>5</v>
      </c>
      <c r="X213">
        <v>6</v>
      </c>
      <c r="Y213">
        <v>8</v>
      </c>
      <c r="Z213">
        <v>1</v>
      </c>
      <c r="AA213">
        <v>9</v>
      </c>
      <c r="AB213">
        <v>8</v>
      </c>
      <c r="AC213">
        <v>9</v>
      </c>
      <c r="AD213">
        <v>5</v>
      </c>
      <c r="AE213">
        <v>6</v>
      </c>
      <c r="AF213">
        <v>6</v>
      </c>
      <c r="AG213">
        <v>6</v>
      </c>
      <c r="AH213">
        <v>9</v>
      </c>
      <c r="AI213">
        <v>10</v>
      </c>
      <c r="AJ213">
        <v>7</v>
      </c>
      <c r="AK213">
        <v>5</v>
      </c>
      <c r="AL213">
        <v>7</v>
      </c>
      <c r="AM213">
        <v>8</v>
      </c>
      <c r="AN213">
        <v>6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</row>
    <row r="214" spans="2:66" x14ac:dyDescent="0.2">
      <c r="B214" s="103">
        <v>6</v>
      </c>
      <c r="C214" s="135" t="s">
        <v>2919</v>
      </c>
      <c r="D214" s="135" t="s">
        <v>2481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2</v>
      </c>
      <c r="O214">
        <v>2</v>
      </c>
      <c r="P214">
        <v>2</v>
      </c>
      <c r="Q214">
        <v>0</v>
      </c>
      <c r="R214">
        <v>6</v>
      </c>
      <c r="S214">
        <v>0</v>
      </c>
      <c r="T214">
        <v>0</v>
      </c>
      <c r="U214">
        <v>1</v>
      </c>
      <c r="V214">
        <v>2</v>
      </c>
      <c r="W214">
        <v>0</v>
      </c>
      <c r="X214">
        <v>2</v>
      </c>
      <c r="Y214">
        <v>2</v>
      </c>
      <c r="Z214">
        <v>2</v>
      </c>
      <c r="AA214">
        <v>2</v>
      </c>
      <c r="AB214">
        <v>2</v>
      </c>
      <c r="AC214">
        <v>2</v>
      </c>
      <c r="AD214">
        <v>2</v>
      </c>
      <c r="AE214">
        <v>2</v>
      </c>
      <c r="AF214">
        <v>2</v>
      </c>
      <c r="AG214">
        <v>2</v>
      </c>
      <c r="AH214">
        <v>2</v>
      </c>
      <c r="AI214">
        <v>2</v>
      </c>
      <c r="AJ214">
        <v>1</v>
      </c>
      <c r="AK214">
        <v>1</v>
      </c>
      <c r="AL214">
        <v>2</v>
      </c>
      <c r="AM214">
        <v>2</v>
      </c>
      <c r="AN214">
        <v>2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</row>
    <row r="215" spans="2:66" x14ac:dyDescent="0.2">
      <c r="B215" s="103">
        <v>7</v>
      </c>
      <c r="C215" s="135" t="s">
        <v>2920</v>
      </c>
      <c r="D215" s="135" t="s">
        <v>2302</v>
      </c>
      <c r="F215">
        <v>2</v>
      </c>
      <c r="G215">
        <v>2</v>
      </c>
      <c r="H215">
        <v>2</v>
      </c>
      <c r="I215">
        <v>2</v>
      </c>
      <c r="J215">
        <v>2</v>
      </c>
      <c r="K215">
        <v>3</v>
      </c>
      <c r="L215">
        <v>2</v>
      </c>
      <c r="M215">
        <v>2</v>
      </c>
      <c r="N215">
        <v>1</v>
      </c>
      <c r="O215">
        <v>1</v>
      </c>
      <c r="P215">
        <v>2</v>
      </c>
      <c r="Q215">
        <v>1</v>
      </c>
      <c r="R215">
        <v>1</v>
      </c>
      <c r="S215">
        <v>2</v>
      </c>
      <c r="T215">
        <v>2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2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2</v>
      </c>
      <c r="AG215">
        <v>2</v>
      </c>
      <c r="AH215">
        <v>1</v>
      </c>
      <c r="AI215">
        <v>1</v>
      </c>
      <c r="AJ215">
        <v>2</v>
      </c>
      <c r="AK215">
        <v>3</v>
      </c>
      <c r="AL215">
        <v>1</v>
      </c>
      <c r="AM215">
        <v>2</v>
      </c>
      <c r="AN215">
        <v>1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</row>
    <row r="216" spans="2:66" x14ac:dyDescent="0.2">
      <c r="B216" s="103">
        <v>8</v>
      </c>
      <c r="C216" s="135" t="s">
        <v>2921</v>
      </c>
      <c r="D216" s="135" t="s">
        <v>1986</v>
      </c>
      <c r="F216">
        <v>4</v>
      </c>
      <c r="G216">
        <v>4</v>
      </c>
      <c r="H216">
        <v>4</v>
      </c>
      <c r="I216">
        <v>4</v>
      </c>
      <c r="J216">
        <v>4</v>
      </c>
      <c r="K216">
        <v>4</v>
      </c>
      <c r="L216">
        <v>4</v>
      </c>
      <c r="M216">
        <v>4</v>
      </c>
      <c r="N216">
        <v>4</v>
      </c>
      <c r="O216">
        <v>4</v>
      </c>
      <c r="P216">
        <v>4</v>
      </c>
      <c r="Q216">
        <v>4</v>
      </c>
      <c r="R216">
        <v>4</v>
      </c>
      <c r="S216">
        <v>4</v>
      </c>
      <c r="T216">
        <v>4</v>
      </c>
      <c r="U216">
        <v>4</v>
      </c>
      <c r="V216">
        <v>4</v>
      </c>
      <c r="W216">
        <v>4</v>
      </c>
      <c r="X216">
        <v>4</v>
      </c>
      <c r="Y216">
        <v>4</v>
      </c>
      <c r="Z216">
        <v>4</v>
      </c>
      <c r="AA216">
        <v>4</v>
      </c>
      <c r="AB216">
        <v>4</v>
      </c>
      <c r="AC216">
        <v>4</v>
      </c>
      <c r="AD216">
        <v>4</v>
      </c>
      <c r="AE216">
        <v>4</v>
      </c>
      <c r="AF216">
        <v>4</v>
      </c>
      <c r="AG216">
        <v>4</v>
      </c>
      <c r="AH216">
        <v>4</v>
      </c>
      <c r="AI216">
        <v>4</v>
      </c>
      <c r="AJ216">
        <v>4</v>
      </c>
      <c r="AK216">
        <v>4</v>
      </c>
      <c r="AL216">
        <v>4</v>
      </c>
      <c r="AM216">
        <v>4</v>
      </c>
      <c r="AN216">
        <v>4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</row>
    <row r="217" spans="2:66" x14ac:dyDescent="0.2">
      <c r="B217" s="103">
        <v>9</v>
      </c>
      <c r="C217" s="135" t="s">
        <v>2922</v>
      </c>
      <c r="D217" s="135" t="s">
        <v>2303</v>
      </c>
      <c r="F217">
        <v>0</v>
      </c>
      <c r="G217">
        <v>0</v>
      </c>
      <c r="H217">
        <v>2</v>
      </c>
      <c r="I217">
        <v>2</v>
      </c>
      <c r="J217">
        <v>0</v>
      </c>
      <c r="K217">
        <v>0</v>
      </c>
      <c r="L217">
        <v>0</v>
      </c>
      <c r="M217">
        <v>2</v>
      </c>
      <c r="N217">
        <v>5</v>
      </c>
      <c r="O217">
        <v>5</v>
      </c>
      <c r="P217">
        <v>5</v>
      </c>
      <c r="Q217">
        <v>0</v>
      </c>
      <c r="R217">
        <v>3</v>
      </c>
      <c r="S217">
        <v>0</v>
      </c>
      <c r="T217">
        <v>3</v>
      </c>
      <c r="U217">
        <v>2</v>
      </c>
      <c r="V217">
        <v>5</v>
      </c>
      <c r="W217">
        <v>2</v>
      </c>
      <c r="X217">
        <v>5</v>
      </c>
      <c r="Y217">
        <v>2</v>
      </c>
      <c r="Z217">
        <v>5</v>
      </c>
      <c r="AA217">
        <v>5</v>
      </c>
      <c r="AB217">
        <v>2</v>
      </c>
      <c r="AC217">
        <v>5</v>
      </c>
      <c r="AD217">
        <v>2</v>
      </c>
      <c r="AE217">
        <v>5</v>
      </c>
      <c r="AF217">
        <v>5</v>
      </c>
      <c r="AG217">
        <v>5</v>
      </c>
      <c r="AH217">
        <v>5</v>
      </c>
      <c r="AI217">
        <v>5</v>
      </c>
      <c r="AJ217">
        <v>2</v>
      </c>
      <c r="AK217">
        <v>5</v>
      </c>
      <c r="AL217">
        <v>5</v>
      </c>
      <c r="AM217">
        <v>5</v>
      </c>
      <c r="AN217">
        <v>5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</row>
    <row r="218" spans="2:66" x14ac:dyDescent="0.2">
      <c r="B218" s="103">
        <v>10</v>
      </c>
      <c r="C218" s="135" t="s">
        <v>2923</v>
      </c>
      <c r="D218" s="135" t="s">
        <v>2330</v>
      </c>
      <c r="F218">
        <v>2</v>
      </c>
      <c r="G218">
        <v>3</v>
      </c>
      <c r="H218">
        <v>7</v>
      </c>
      <c r="I218">
        <v>7</v>
      </c>
      <c r="J218">
        <v>3</v>
      </c>
      <c r="K218">
        <v>3</v>
      </c>
      <c r="L218">
        <v>3</v>
      </c>
      <c r="M218">
        <v>7</v>
      </c>
      <c r="N218">
        <v>6</v>
      </c>
      <c r="O218">
        <v>6</v>
      </c>
      <c r="P218">
        <v>6</v>
      </c>
      <c r="Q218">
        <v>3</v>
      </c>
      <c r="R218">
        <v>7</v>
      </c>
      <c r="S218">
        <v>3</v>
      </c>
      <c r="T218">
        <v>7</v>
      </c>
      <c r="U218">
        <v>2</v>
      </c>
      <c r="V218">
        <v>6</v>
      </c>
      <c r="W218">
        <v>2</v>
      </c>
      <c r="X218">
        <v>6</v>
      </c>
      <c r="Y218">
        <v>2</v>
      </c>
      <c r="Z218">
        <v>6</v>
      </c>
      <c r="AA218">
        <v>6</v>
      </c>
      <c r="AB218">
        <v>2</v>
      </c>
      <c r="AC218">
        <v>6</v>
      </c>
      <c r="AD218">
        <v>2</v>
      </c>
      <c r="AE218">
        <v>6</v>
      </c>
      <c r="AF218">
        <v>6</v>
      </c>
      <c r="AG218">
        <v>6</v>
      </c>
      <c r="AH218">
        <v>6</v>
      </c>
      <c r="AI218">
        <v>6</v>
      </c>
      <c r="AJ218">
        <v>2</v>
      </c>
      <c r="AK218">
        <v>6</v>
      </c>
      <c r="AL218">
        <v>6</v>
      </c>
      <c r="AM218">
        <v>6</v>
      </c>
      <c r="AN218">
        <v>6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</row>
    <row r="219" spans="2:66" x14ac:dyDescent="0.2">
      <c r="B219" s="103">
        <v>11</v>
      </c>
      <c r="C219" s="135" t="s">
        <v>2924</v>
      </c>
      <c r="D219" s="135" t="s">
        <v>2327</v>
      </c>
      <c r="F219">
        <v>3</v>
      </c>
      <c r="G219">
        <v>3</v>
      </c>
      <c r="H219">
        <v>3</v>
      </c>
      <c r="I219">
        <v>3</v>
      </c>
      <c r="J219">
        <v>3</v>
      </c>
      <c r="K219">
        <v>3</v>
      </c>
      <c r="L219">
        <v>3</v>
      </c>
      <c r="M219">
        <v>3</v>
      </c>
      <c r="N219">
        <v>3</v>
      </c>
      <c r="O219">
        <v>3</v>
      </c>
      <c r="P219">
        <v>3</v>
      </c>
      <c r="Q219">
        <v>3</v>
      </c>
      <c r="R219">
        <v>3</v>
      </c>
      <c r="S219">
        <v>3</v>
      </c>
      <c r="T219">
        <v>3</v>
      </c>
      <c r="U219">
        <v>3</v>
      </c>
      <c r="V219">
        <v>3</v>
      </c>
      <c r="W219">
        <v>3</v>
      </c>
      <c r="X219">
        <v>3</v>
      </c>
      <c r="Y219">
        <v>3</v>
      </c>
      <c r="Z219">
        <v>3</v>
      </c>
      <c r="AA219">
        <v>3</v>
      </c>
      <c r="AB219">
        <v>3</v>
      </c>
      <c r="AC219">
        <v>3</v>
      </c>
      <c r="AD219">
        <v>3</v>
      </c>
      <c r="AE219">
        <v>3</v>
      </c>
      <c r="AF219">
        <v>3</v>
      </c>
      <c r="AG219">
        <v>3</v>
      </c>
      <c r="AH219">
        <v>3</v>
      </c>
      <c r="AI219">
        <v>3</v>
      </c>
      <c r="AJ219">
        <v>3</v>
      </c>
      <c r="AK219">
        <v>3</v>
      </c>
      <c r="AL219">
        <v>3</v>
      </c>
      <c r="AM219">
        <v>3</v>
      </c>
      <c r="AN219">
        <v>3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</row>
    <row r="220" spans="2:66" x14ac:dyDescent="0.2">
      <c r="B220" s="103">
        <v>12</v>
      </c>
      <c r="C220" s="135" t="s">
        <v>2925</v>
      </c>
      <c r="D220" s="135" t="s">
        <v>2331</v>
      </c>
      <c r="F220">
        <v>37</v>
      </c>
      <c r="G220">
        <v>35</v>
      </c>
      <c r="H220">
        <v>37</v>
      </c>
      <c r="I220">
        <v>33</v>
      </c>
      <c r="J220">
        <v>33</v>
      </c>
      <c r="K220">
        <v>24</v>
      </c>
      <c r="L220">
        <v>40</v>
      </c>
      <c r="M220">
        <v>40</v>
      </c>
      <c r="N220">
        <v>64</v>
      </c>
      <c r="O220">
        <v>68</v>
      </c>
      <c r="P220">
        <v>59</v>
      </c>
      <c r="Q220">
        <v>34</v>
      </c>
      <c r="R220">
        <v>34</v>
      </c>
      <c r="S220">
        <v>41</v>
      </c>
      <c r="T220">
        <v>41</v>
      </c>
      <c r="U220">
        <v>51</v>
      </c>
      <c r="V220">
        <v>53</v>
      </c>
      <c r="W220">
        <v>36</v>
      </c>
      <c r="X220">
        <v>43</v>
      </c>
      <c r="Y220">
        <v>45</v>
      </c>
      <c r="Z220">
        <v>48</v>
      </c>
      <c r="AA220">
        <v>48</v>
      </c>
      <c r="AB220">
        <v>39</v>
      </c>
      <c r="AC220">
        <v>42</v>
      </c>
      <c r="AD220">
        <v>35</v>
      </c>
      <c r="AE220">
        <v>39</v>
      </c>
      <c r="AF220">
        <v>34</v>
      </c>
      <c r="AG220">
        <v>34</v>
      </c>
      <c r="AH220">
        <v>43</v>
      </c>
      <c r="AI220">
        <v>46</v>
      </c>
      <c r="AJ220">
        <v>39</v>
      </c>
      <c r="AK220">
        <v>45</v>
      </c>
      <c r="AL220">
        <v>38</v>
      </c>
      <c r="AM220">
        <v>45</v>
      </c>
      <c r="AN220">
        <v>38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</row>
    <row r="221" spans="2:66" x14ac:dyDescent="0.2">
      <c r="B221" s="103">
        <v>13</v>
      </c>
      <c r="C221" s="135" t="s">
        <v>2926</v>
      </c>
      <c r="D221" s="135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</row>
    <row r="222" spans="2:66" x14ac:dyDescent="0.2">
      <c r="B222" s="103">
        <v>14</v>
      </c>
      <c r="C222" s="135" t="s">
        <v>2927</v>
      </c>
      <c r="D222" s="135" t="s">
        <v>2938</v>
      </c>
      <c r="F222">
        <v>25</v>
      </c>
      <c r="G222">
        <v>23</v>
      </c>
      <c r="H222">
        <v>27</v>
      </c>
      <c r="I222">
        <v>23</v>
      </c>
      <c r="J222">
        <v>21</v>
      </c>
      <c r="K222">
        <v>19</v>
      </c>
      <c r="L222">
        <v>25</v>
      </c>
      <c r="M222">
        <v>27</v>
      </c>
      <c r="N222">
        <v>40</v>
      </c>
      <c r="O222">
        <v>36</v>
      </c>
      <c r="P222">
        <v>39</v>
      </c>
      <c r="Q222">
        <v>22</v>
      </c>
      <c r="R222">
        <v>25</v>
      </c>
      <c r="S222">
        <v>27</v>
      </c>
      <c r="T222">
        <v>29</v>
      </c>
      <c r="U222">
        <v>31</v>
      </c>
      <c r="V222">
        <v>35</v>
      </c>
      <c r="W222">
        <v>25</v>
      </c>
      <c r="X222">
        <v>29</v>
      </c>
      <c r="Y222">
        <v>31</v>
      </c>
      <c r="Z222">
        <v>35</v>
      </c>
      <c r="AA222">
        <v>35</v>
      </c>
      <c r="AB222">
        <v>25</v>
      </c>
      <c r="AC222">
        <v>29</v>
      </c>
      <c r="AD222">
        <v>25</v>
      </c>
      <c r="AE222">
        <v>29</v>
      </c>
      <c r="AF222">
        <v>23</v>
      </c>
      <c r="AG222">
        <v>23</v>
      </c>
      <c r="AH222">
        <v>29</v>
      </c>
      <c r="AI222">
        <v>31</v>
      </c>
      <c r="AJ222">
        <v>25</v>
      </c>
      <c r="AK222">
        <v>29</v>
      </c>
      <c r="AL222">
        <v>27</v>
      </c>
      <c r="AM222">
        <v>31</v>
      </c>
      <c r="AN222">
        <v>28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</row>
    <row r="223" spans="2:66" x14ac:dyDescent="0.2">
      <c r="B223" s="103">
        <v>15</v>
      </c>
      <c r="C223" s="135" t="s">
        <v>2928</v>
      </c>
      <c r="D223" s="135" t="s">
        <v>2328</v>
      </c>
      <c r="F223">
        <v>4</v>
      </c>
      <c r="G223">
        <v>4</v>
      </c>
      <c r="H223">
        <v>4</v>
      </c>
      <c r="I223">
        <v>4</v>
      </c>
      <c r="J223">
        <v>4</v>
      </c>
      <c r="K223">
        <v>4</v>
      </c>
      <c r="L223">
        <v>4</v>
      </c>
      <c r="M223">
        <v>4</v>
      </c>
      <c r="N223">
        <v>4</v>
      </c>
      <c r="O223">
        <v>4</v>
      </c>
      <c r="P223">
        <v>4</v>
      </c>
      <c r="Q223">
        <v>4</v>
      </c>
      <c r="R223">
        <v>4</v>
      </c>
      <c r="S223">
        <v>4</v>
      </c>
      <c r="T223">
        <v>4</v>
      </c>
      <c r="U223">
        <v>4</v>
      </c>
      <c r="V223">
        <v>4</v>
      </c>
      <c r="W223">
        <v>4</v>
      </c>
      <c r="X223">
        <v>4</v>
      </c>
      <c r="Y223">
        <v>4</v>
      </c>
      <c r="Z223">
        <v>4</v>
      </c>
      <c r="AA223">
        <v>4</v>
      </c>
      <c r="AB223">
        <v>4</v>
      </c>
      <c r="AC223">
        <v>4</v>
      </c>
      <c r="AD223">
        <v>4</v>
      </c>
      <c r="AE223">
        <v>4</v>
      </c>
      <c r="AF223">
        <v>4</v>
      </c>
      <c r="AG223">
        <v>4</v>
      </c>
      <c r="AH223">
        <v>4</v>
      </c>
      <c r="AI223">
        <v>4</v>
      </c>
      <c r="AJ223">
        <v>4</v>
      </c>
      <c r="AK223">
        <v>4</v>
      </c>
      <c r="AL223">
        <v>4</v>
      </c>
      <c r="AM223">
        <v>4</v>
      </c>
      <c r="AN223">
        <v>4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</row>
    <row r="224" spans="2:66" x14ac:dyDescent="0.2">
      <c r="B224" s="103">
        <v>16</v>
      </c>
      <c r="C224" s="135" t="s">
        <v>2929</v>
      </c>
      <c r="D224" s="135" t="s">
        <v>3322</v>
      </c>
      <c r="F224">
        <v>15</v>
      </c>
      <c r="G224">
        <v>13</v>
      </c>
      <c r="H224">
        <v>15</v>
      </c>
      <c r="I224">
        <v>12</v>
      </c>
      <c r="J224">
        <v>12</v>
      </c>
      <c r="K224">
        <v>9</v>
      </c>
      <c r="L224">
        <v>18</v>
      </c>
      <c r="M224">
        <v>18</v>
      </c>
      <c r="N224">
        <v>18</v>
      </c>
      <c r="O224">
        <v>21</v>
      </c>
      <c r="P224">
        <v>19</v>
      </c>
      <c r="Q224">
        <v>15</v>
      </c>
      <c r="R224">
        <v>15</v>
      </c>
      <c r="S224">
        <v>15</v>
      </c>
      <c r="T224">
        <v>15</v>
      </c>
      <c r="U224">
        <v>17</v>
      </c>
      <c r="V224">
        <v>18</v>
      </c>
      <c r="W224">
        <v>16</v>
      </c>
      <c r="X224">
        <v>17</v>
      </c>
      <c r="Y224">
        <v>17</v>
      </c>
      <c r="Z224">
        <v>19</v>
      </c>
      <c r="AA224">
        <v>19</v>
      </c>
      <c r="AB224">
        <v>16</v>
      </c>
      <c r="AC224">
        <v>17</v>
      </c>
      <c r="AD224">
        <v>14</v>
      </c>
      <c r="AE224">
        <v>15</v>
      </c>
      <c r="AF224">
        <v>14</v>
      </c>
      <c r="AG224">
        <v>14</v>
      </c>
      <c r="AH224">
        <v>16</v>
      </c>
      <c r="AI224">
        <v>16</v>
      </c>
      <c r="AJ224">
        <v>21</v>
      </c>
      <c r="AK224">
        <v>22</v>
      </c>
      <c r="AL224">
        <v>17</v>
      </c>
      <c r="AM224">
        <v>16</v>
      </c>
      <c r="AN224">
        <v>16</v>
      </c>
      <c r="AO224">
        <v>21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</row>
    <row r="225" spans="2:66" x14ac:dyDescent="0.2">
      <c r="B225" s="103">
        <v>17</v>
      </c>
      <c r="C225" s="135" t="s">
        <v>2930</v>
      </c>
      <c r="D225" s="135" t="s">
        <v>1989</v>
      </c>
      <c r="F225">
        <v>3</v>
      </c>
      <c r="G225">
        <v>3</v>
      </c>
      <c r="H225">
        <v>3</v>
      </c>
      <c r="I225">
        <v>4</v>
      </c>
      <c r="J225">
        <v>3</v>
      </c>
      <c r="K225">
        <v>2</v>
      </c>
      <c r="L225">
        <v>4</v>
      </c>
      <c r="M225">
        <v>5</v>
      </c>
      <c r="N225">
        <v>6</v>
      </c>
      <c r="O225">
        <v>6</v>
      </c>
      <c r="P225">
        <v>2</v>
      </c>
      <c r="Q225">
        <v>3</v>
      </c>
      <c r="R225">
        <v>4</v>
      </c>
      <c r="S225">
        <v>4</v>
      </c>
      <c r="T225">
        <v>5</v>
      </c>
      <c r="U225">
        <v>5</v>
      </c>
      <c r="V225">
        <v>6</v>
      </c>
      <c r="W225">
        <v>3</v>
      </c>
      <c r="X225">
        <v>4</v>
      </c>
      <c r="Y225">
        <v>5</v>
      </c>
      <c r="Z225">
        <v>6</v>
      </c>
      <c r="AA225">
        <v>6</v>
      </c>
      <c r="AB225">
        <v>4</v>
      </c>
      <c r="AC225">
        <v>5</v>
      </c>
      <c r="AD225">
        <v>3</v>
      </c>
      <c r="AE225">
        <v>4</v>
      </c>
      <c r="AF225">
        <v>4</v>
      </c>
      <c r="AG225">
        <v>4</v>
      </c>
      <c r="AH225">
        <v>5</v>
      </c>
      <c r="AI225">
        <v>5</v>
      </c>
      <c r="AJ225">
        <v>4</v>
      </c>
      <c r="AK225">
        <v>5</v>
      </c>
      <c r="AL225">
        <v>3</v>
      </c>
      <c r="AM225">
        <v>5</v>
      </c>
      <c r="AN225">
        <v>3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</row>
    <row r="226" spans="2:66" x14ac:dyDescent="0.2">
      <c r="B226" s="103">
        <v>18</v>
      </c>
      <c r="C226" s="135" t="s">
        <v>2931</v>
      </c>
      <c r="D226" s="135" t="s">
        <v>2001</v>
      </c>
      <c r="F226">
        <v>7</v>
      </c>
      <c r="G226">
        <v>7</v>
      </c>
      <c r="H226">
        <v>6</v>
      </c>
      <c r="I226">
        <v>5</v>
      </c>
      <c r="J226">
        <v>5</v>
      </c>
      <c r="K226">
        <v>2</v>
      </c>
      <c r="L226">
        <v>5</v>
      </c>
      <c r="M226">
        <v>5</v>
      </c>
      <c r="N226">
        <v>9</v>
      </c>
      <c r="O226">
        <v>9</v>
      </c>
      <c r="P226">
        <v>8</v>
      </c>
      <c r="Q226">
        <v>7</v>
      </c>
      <c r="R226">
        <v>7</v>
      </c>
      <c r="S226">
        <v>6</v>
      </c>
      <c r="T226">
        <v>6</v>
      </c>
      <c r="U226">
        <v>7</v>
      </c>
      <c r="V226">
        <v>8</v>
      </c>
      <c r="W226">
        <v>3</v>
      </c>
      <c r="X226">
        <v>4</v>
      </c>
      <c r="Y226">
        <v>6</v>
      </c>
      <c r="Z226">
        <v>7</v>
      </c>
      <c r="AA226">
        <v>7</v>
      </c>
      <c r="AB226">
        <v>5</v>
      </c>
      <c r="AC226">
        <v>6</v>
      </c>
      <c r="AD226">
        <v>3</v>
      </c>
      <c r="AE226">
        <v>4</v>
      </c>
      <c r="AF226">
        <v>3</v>
      </c>
      <c r="AG226">
        <v>3</v>
      </c>
      <c r="AH226">
        <v>5</v>
      </c>
      <c r="AI226">
        <v>6</v>
      </c>
      <c r="AJ226">
        <v>5</v>
      </c>
      <c r="AK226">
        <v>6</v>
      </c>
      <c r="AL226">
        <v>5</v>
      </c>
      <c r="AM226">
        <v>5</v>
      </c>
      <c r="AN226">
        <v>3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</row>
    <row r="227" spans="2:66" x14ac:dyDescent="0.2">
      <c r="B227" s="103">
        <v>19</v>
      </c>
      <c r="C227" s="135" t="s">
        <v>2898</v>
      </c>
      <c r="D227" s="135" t="s">
        <v>2320</v>
      </c>
      <c r="F227">
        <v>2</v>
      </c>
      <c r="G227">
        <v>2</v>
      </c>
      <c r="H227">
        <v>2</v>
      </c>
      <c r="I227">
        <v>2</v>
      </c>
      <c r="J227">
        <v>2</v>
      </c>
      <c r="K227">
        <v>2</v>
      </c>
      <c r="L227">
        <v>2</v>
      </c>
      <c r="M227">
        <v>2</v>
      </c>
      <c r="N227">
        <v>2</v>
      </c>
      <c r="O227">
        <v>2</v>
      </c>
      <c r="P227">
        <v>2</v>
      </c>
      <c r="Q227">
        <v>2</v>
      </c>
      <c r="R227">
        <v>2</v>
      </c>
      <c r="S227">
        <v>2</v>
      </c>
      <c r="T227">
        <v>2</v>
      </c>
      <c r="U227">
        <v>2</v>
      </c>
      <c r="V227">
        <v>2</v>
      </c>
      <c r="W227">
        <v>2</v>
      </c>
      <c r="X227">
        <v>2</v>
      </c>
      <c r="Y227">
        <v>2</v>
      </c>
      <c r="Z227">
        <v>2</v>
      </c>
      <c r="AA227">
        <v>2</v>
      </c>
      <c r="AB227">
        <v>2</v>
      </c>
      <c r="AC227">
        <v>2</v>
      </c>
      <c r="AD227">
        <v>2</v>
      </c>
      <c r="AE227">
        <v>2</v>
      </c>
      <c r="AF227">
        <v>2</v>
      </c>
      <c r="AG227">
        <v>2</v>
      </c>
      <c r="AH227">
        <v>2</v>
      </c>
      <c r="AI227">
        <v>2</v>
      </c>
      <c r="AJ227">
        <v>2</v>
      </c>
      <c r="AK227">
        <v>2</v>
      </c>
      <c r="AL227">
        <v>2</v>
      </c>
      <c r="AM227">
        <v>2</v>
      </c>
      <c r="AN227">
        <v>2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</row>
    <row r="228" spans="2:66" x14ac:dyDescent="0.2">
      <c r="B228" s="103">
        <v>20</v>
      </c>
      <c r="C228" s="135" t="s">
        <v>2913</v>
      </c>
      <c r="D228" s="135" t="s">
        <v>2215</v>
      </c>
      <c r="F228">
        <v>100</v>
      </c>
      <c r="G228">
        <v>100</v>
      </c>
      <c r="H228">
        <v>100</v>
      </c>
      <c r="I228">
        <v>100</v>
      </c>
      <c r="J228">
        <v>100</v>
      </c>
      <c r="K228">
        <v>100</v>
      </c>
      <c r="L228">
        <v>100</v>
      </c>
      <c r="M228">
        <v>100</v>
      </c>
      <c r="N228">
        <v>100</v>
      </c>
      <c r="O228">
        <v>100</v>
      </c>
      <c r="P228">
        <v>100</v>
      </c>
      <c r="Q228">
        <v>100</v>
      </c>
      <c r="R228">
        <v>100</v>
      </c>
      <c r="S228">
        <v>100</v>
      </c>
      <c r="T228">
        <v>100</v>
      </c>
      <c r="U228">
        <v>100</v>
      </c>
      <c r="V228">
        <v>100</v>
      </c>
      <c r="W228">
        <v>100</v>
      </c>
      <c r="X228">
        <v>100</v>
      </c>
      <c r="Y228">
        <v>100</v>
      </c>
      <c r="Z228">
        <v>100</v>
      </c>
      <c r="AA228">
        <v>100</v>
      </c>
      <c r="AB228">
        <v>100</v>
      </c>
      <c r="AC228">
        <v>100</v>
      </c>
      <c r="AD228">
        <v>100</v>
      </c>
      <c r="AE228">
        <v>100</v>
      </c>
      <c r="AF228">
        <v>100</v>
      </c>
      <c r="AG228">
        <v>100</v>
      </c>
      <c r="AH228">
        <v>100</v>
      </c>
      <c r="AI228">
        <v>100</v>
      </c>
      <c r="AJ228">
        <v>100</v>
      </c>
      <c r="AK228">
        <v>100</v>
      </c>
      <c r="AL228">
        <v>100</v>
      </c>
      <c r="AM228">
        <v>100</v>
      </c>
      <c r="AN228">
        <v>100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</row>
    <row r="229" spans="2:66" x14ac:dyDescent="0.2">
      <c r="B229" s="103">
        <v>21</v>
      </c>
      <c r="C229" s="135" t="s">
        <v>2896</v>
      </c>
      <c r="D229" s="135" t="s">
        <v>2005</v>
      </c>
      <c r="F229">
        <v>50</v>
      </c>
      <c r="G229">
        <v>50</v>
      </c>
      <c r="H229">
        <v>50</v>
      </c>
      <c r="I229">
        <v>50</v>
      </c>
      <c r="J229">
        <v>50</v>
      </c>
      <c r="K229">
        <v>50</v>
      </c>
      <c r="L229">
        <v>50</v>
      </c>
      <c r="M229">
        <v>50</v>
      </c>
      <c r="N229">
        <v>50</v>
      </c>
      <c r="O229">
        <v>50</v>
      </c>
      <c r="P229">
        <v>50</v>
      </c>
      <c r="Q229">
        <v>50</v>
      </c>
      <c r="R229">
        <v>50</v>
      </c>
      <c r="S229">
        <v>50</v>
      </c>
      <c r="T229">
        <v>50</v>
      </c>
      <c r="U229">
        <v>50</v>
      </c>
      <c r="V229">
        <v>50</v>
      </c>
      <c r="W229">
        <v>50</v>
      </c>
      <c r="X229">
        <v>50</v>
      </c>
      <c r="Y229">
        <v>50</v>
      </c>
      <c r="Z229">
        <v>50</v>
      </c>
      <c r="AA229">
        <v>50</v>
      </c>
      <c r="AB229">
        <v>50</v>
      </c>
      <c r="AC229">
        <v>50</v>
      </c>
      <c r="AD229">
        <v>50</v>
      </c>
      <c r="AE229">
        <v>50</v>
      </c>
      <c r="AF229">
        <v>50</v>
      </c>
      <c r="AG229">
        <v>50</v>
      </c>
      <c r="AH229">
        <v>50</v>
      </c>
      <c r="AI229">
        <v>50</v>
      </c>
      <c r="AJ229">
        <v>50</v>
      </c>
      <c r="AK229">
        <v>50</v>
      </c>
      <c r="AL229">
        <v>50</v>
      </c>
      <c r="AM229">
        <v>50</v>
      </c>
      <c r="AN229">
        <v>50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</row>
    <row r="230" spans="2:66" x14ac:dyDescent="0.2">
      <c r="B230" s="103">
        <v>22</v>
      </c>
      <c r="C230" s="135" t="s">
        <v>2933</v>
      </c>
      <c r="D230" s="135" t="s">
        <v>2332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2</v>
      </c>
      <c r="O230">
        <v>2</v>
      </c>
      <c r="P230">
        <v>2</v>
      </c>
      <c r="Q230">
        <v>1</v>
      </c>
      <c r="R230">
        <v>1</v>
      </c>
      <c r="S230">
        <v>1</v>
      </c>
      <c r="T230">
        <v>1</v>
      </c>
      <c r="U230">
        <v>2</v>
      </c>
      <c r="V230">
        <v>2</v>
      </c>
      <c r="W230">
        <v>2</v>
      </c>
      <c r="X230">
        <v>2</v>
      </c>
      <c r="Y230">
        <v>2</v>
      </c>
      <c r="Z230">
        <v>2</v>
      </c>
      <c r="AA230">
        <v>2</v>
      </c>
      <c r="AB230">
        <v>2</v>
      </c>
      <c r="AC230">
        <v>2</v>
      </c>
      <c r="AD230">
        <v>2</v>
      </c>
      <c r="AE230">
        <v>2</v>
      </c>
      <c r="AF230">
        <v>2</v>
      </c>
      <c r="AG230">
        <v>2</v>
      </c>
      <c r="AH230">
        <v>2</v>
      </c>
      <c r="AI230">
        <v>2</v>
      </c>
      <c r="AJ230">
        <v>3</v>
      </c>
      <c r="AK230">
        <v>3</v>
      </c>
      <c r="AL230">
        <v>2</v>
      </c>
      <c r="AM230">
        <v>2</v>
      </c>
      <c r="AN230">
        <v>2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</row>
    <row r="231" spans="2:66" x14ac:dyDescent="0.2">
      <c r="B231" s="103">
        <v>23</v>
      </c>
      <c r="C231" s="135" t="s">
        <v>2934</v>
      </c>
      <c r="D231" s="135" t="s">
        <v>2938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</row>
    <row r="232" spans="2:66" x14ac:dyDescent="0.2">
      <c r="B232" s="103">
        <v>24</v>
      </c>
      <c r="C232" s="135" t="s">
        <v>2904</v>
      </c>
      <c r="D232" s="135" t="s">
        <v>2319</v>
      </c>
      <c r="F232">
        <v>50</v>
      </c>
      <c r="G232">
        <v>50</v>
      </c>
      <c r="H232">
        <v>50</v>
      </c>
      <c r="I232">
        <v>50</v>
      </c>
      <c r="J232">
        <v>50</v>
      </c>
      <c r="K232">
        <v>50</v>
      </c>
      <c r="L232">
        <v>50</v>
      </c>
      <c r="M232">
        <v>50</v>
      </c>
      <c r="N232">
        <v>50</v>
      </c>
      <c r="O232">
        <v>50</v>
      </c>
      <c r="P232">
        <v>50</v>
      </c>
      <c r="Q232">
        <v>50</v>
      </c>
      <c r="R232">
        <v>50</v>
      </c>
      <c r="S232">
        <v>50</v>
      </c>
      <c r="T232">
        <v>50</v>
      </c>
      <c r="U232">
        <v>50</v>
      </c>
      <c r="V232">
        <v>50</v>
      </c>
      <c r="W232">
        <v>50</v>
      </c>
      <c r="X232">
        <v>50</v>
      </c>
      <c r="Y232">
        <v>50</v>
      </c>
      <c r="Z232">
        <v>50</v>
      </c>
      <c r="AA232">
        <v>50</v>
      </c>
      <c r="AB232">
        <v>50</v>
      </c>
      <c r="AC232">
        <v>50</v>
      </c>
      <c r="AD232">
        <v>50</v>
      </c>
      <c r="AE232">
        <v>50</v>
      </c>
      <c r="AF232">
        <v>50</v>
      </c>
      <c r="AG232">
        <v>50</v>
      </c>
      <c r="AH232">
        <v>50</v>
      </c>
      <c r="AI232">
        <v>50</v>
      </c>
      <c r="AJ232">
        <v>50</v>
      </c>
      <c r="AK232">
        <v>50</v>
      </c>
      <c r="AL232">
        <v>50</v>
      </c>
      <c r="AM232">
        <v>50</v>
      </c>
      <c r="AN232">
        <v>50</v>
      </c>
      <c r="AO232">
        <v>50</v>
      </c>
      <c r="AP232">
        <v>50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</row>
    <row r="233" spans="2:66" x14ac:dyDescent="0.2">
      <c r="B233" s="103">
        <v>25</v>
      </c>
      <c r="C233" s="135" t="s">
        <v>2935</v>
      </c>
      <c r="D233" s="135" t="s">
        <v>2310</v>
      </c>
      <c r="F233">
        <v>10</v>
      </c>
      <c r="G233">
        <v>10</v>
      </c>
      <c r="H233">
        <v>10</v>
      </c>
      <c r="I233">
        <v>10</v>
      </c>
      <c r="J233">
        <v>10</v>
      </c>
      <c r="K233">
        <v>10</v>
      </c>
      <c r="L233">
        <v>10</v>
      </c>
      <c r="M233">
        <v>10</v>
      </c>
      <c r="N233">
        <v>10</v>
      </c>
      <c r="O233">
        <v>10</v>
      </c>
      <c r="P233">
        <v>10</v>
      </c>
      <c r="Q233">
        <v>10</v>
      </c>
      <c r="R233">
        <v>10</v>
      </c>
      <c r="S233">
        <v>10</v>
      </c>
      <c r="T233">
        <v>10</v>
      </c>
      <c r="U233">
        <v>10</v>
      </c>
      <c r="V233">
        <v>10</v>
      </c>
      <c r="W233">
        <v>10</v>
      </c>
      <c r="X233">
        <v>10</v>
      </c>
      <c r="Y233">
        <v>10</v>
      </c>
      <c r="Z233">
        <v>10</v>
      </c>
      <c r="AA233">
        <v>10</v>
      </c>
      <c r="AB233">
        <v>10</v>
      </c>
      <c r="AC233">
        <v>10</v>
      </c>
      <c r="AD233">
        <v>10</v>
      </c>
      <c r="AE233">
        <v>10</v>
      </c>
      <c r="AF233">
        <v>10</v>
      </c>
      <c r="AG233">
        <v>10</v>
      </c>
      <c r="AH233">
        <v>10</v>
      </c>
      <c r="AI233">
        <v>10</v>
      </c>
      <c r="AJ233">
        <v>10</v>
      </c>
      <c r="AK233">
        <v>10</v>
      </c>
      <c r="AL233">
        <v>10</v>
      </c>
      <c r="AM233">
        <v>10</v>
      </c>
      <c r="AN233">
        <v>10</v>
      </c>
      <c r="AO233">
        <v>10</v>
      </c>
      <c r="AP233">
        <v>10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</row>
    <row r="234" spans="2:66" x14ac:dyDescent="0.2">
      <c r="B234" s="103">
        <v>26</v>
      </c>
      <c r="C234" s="135" t="s">
        <v>2936</v>
      </c>
      <c r="D234" s="135" t="s">
        <v>2656</v>
      </c>
      <c r="F234">
        <v>30</v>
      </c>
      <c r="G234">
        <v>30</v>
      </c>
      <c r="H234">
        <v>30</v>
      </c>
      <c r="I234">
        <v>30</v>
      </c>
      <c r="J234">
        <v>30</v>
      </c>
      <c r="K234">
        <v>30</v>
      </c>
      <c r="L234">
        <v>30</v>
      </c>
      <c r="M234">
        <v>30</v>
      </c>
      <c r="N234">
        <v>30</v>
      </c>
      <c r="O234">
        <v>30</v>
      </c>
      <c r="P234">
        <v>30</v>
      </c>
      <c r="Q234">
        <v>30</v>
      </c>
      <c r="R234">
        <v>30</v>
      </c>
      <c r="S234">
        <v>30</v>
      </c>
      <c r="T234">
        <v>30</v>
      </c>
      <c r="U234">
        <v>30</v>
      </c>
      <c r="V234">
        <v>30</v>
      </c>
      <c r="W234">
        <v>30</v>
      </c>
      <c r="X234">
        <v>30</v>
      </c>
      <c r="Y234">
        <v>30</v>
      </c>
      <c r="Z234">
        <v>30</v>
      </c>
      <c r="AA234">
        <v>30</v>
      </c>
      <c r="AB234">
        <v>30</v>
      </c>
      <c r="AC234">
        <v>30</v>
      </c>
      <c r="AD234">
        <v>30</v>
      </c>
      <c r="AE234">
        <v>30</v>
      </c>
      <c r="AF234">
        <v>30</v>
      </c>
      <c r="AG234">
        <v>30</v>
      </c>
      <c r="AH234">
        <v>30</v>
      </c>
      <c r="AI234">
        <v>30</v>
      </c>
      <c r="AJ234">
        <v>30</v>
      </c>
      <c r="AK234">
        <v>30</v>
      </c>
      <c r="AL234">
        <v>30</v>
      </c>
      <c r="AM234">
        <v>30</v>
      </c>
      <c r="AN234">
        <v>30</v>
      </c>
      <c r="AO234">
        <v>30</v>
      </c>
      <c r="AP234">
        <v>30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</row>
    <row r="235" spans="2:66" x14ac:dyDescent="0.2">
      <c r="B235" s="103">
        <v>27</v>
      </c>
      <c r="C235" s="135" t="s">
        <v>2937</v>
      </c>
      <c r="D235" s="135" t="s">
        <v>3728</v>
      </c>
      <c r="F235">
        <v>30</v>
      </c>
      <c r="G235">
        <v>30</v>
      </c>
      <c r="H235">
        <v>30</v>
      </c>
      <c r="I235">
        <v>30</v>
      </c>
      <c r="J235">
        <v>30</v>
      </c>
      <c r="K235">
        <v>30</v>
      </c>
      <c r="L235">
        <v>30</v>
      </c>
      <c r="M235">
        <v>30</v>
      </c>
      <c r="N235">
        <v>30</v>
      </c>
      <c r="O235">
        <v>30</v>
      </c>
      <c r="P235">
        <v>30</v>
      </c>
      <c r="Q235">
        <v>30</v>
      </c>
      <c r="R235">
        <v>30</v>
      </c>
      <c r="S235">
        <v>30</v>
      </c>
      <c r="T235">
        <v>30</v>
      </c>
      <c r="U235">
        <v>30</v>
      </c>
      <c r="V235">
        <v>30</v>
      </c>
      <c r="W235">
        <v>30</v>
      </c>
      <c r="X235">
        <v>30</v>
      </c>
      <c r="Y235">
        <v>30</v>
      </c>
      <c r="Z235">
        <v>30</v>
      </c>
      <c r="AA235">
        <v>30</v>
      </c>
      <c r="AB235">
        <v>30</v>
      </c>
      <c r="AC235">
        <v>30</v>
      </c>
      <c r="AD235">
        <v>30</v>
      </c>
      <c r="AE235">
        <v>30</v>
      </c>
      <c r="AF235">
        <v>30</v>
      </c>
      <c r="AG235">
        <v>30</v>
      </c>
      <c r="AH235">
        <v>30</v>
      </c>
      <c r="AI235">
        <v>30</v>
      </c>
      <c r="AJ235">
        <v>30</v>
      </c>
      <c r="AK235">
        <v>30</v>
      </c>
      <c r="AL235">
        <v>30</v>
      </c>
      <c r="AM235">
        <v>30</v>
      </c>
      <c r="AN235">
        <v>30</v>
      </c>
      <c r="AO235">
        <v>30</v>
      </c>
      <c r="AP235">
        <v>30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</row>
    <row r="236" spans="2:66" x14ac:dyDescent="0.2">
      <c r="B236" s="103">
        <v>28</v>
      </c>
      <c r="C236" s="135">
        <v>0</v>
      </c>
      <c r="D236" s="135" t="s">
        <v>1993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</row>
    <row r="237" spans="2:66" x14ac:dyDescent="0.2">
      <c r="B237" s="103">
        <v>29</v>
      </c>
      <c r="C237" s="135">
        <v>0</v>
      </c>
      <c r="D237" s="135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</row>
    <row r="238" spans="2:66" x14ac:dyDescent="0.2">
      <c r="B238" s="103">
        <v>30</v>
      </c>
      <c r="C238" s="135">
        <v>0</v>
      </c>
      <c r="D238" s="135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</row>
    <row r="239" spans="2:66" x14ac:dyDescent="0.2">
      <c r="B239" s="1175" t="s">
        <v>3727</v>
      </c>
      <c r="C239" s="1176"/>
      <c r="D239" s="1177"/>
    </row>
    <row r="240" spans="2:66" x14ac:dyDescent="0.2">
      <c r="B240" s="103">
        <v>1</v>
      </c>
      <c r="C240" s="135" t="s">
        <v>2939</v>
      </c>
      <c r="D240" s="135" t="s">
        <v>2000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0</v>
      </c>
      <c r="O240">
        <v>0</v>
      </c>
      <c r="P240">
        <v>0</v>
      </c>
      <c r="Q240">
        <v>1</v>
      </c>
      <c r="R240">
        <v>1</v>
      </c>
      <c r="S240">
        <v>1</v>
      </c>
      <c r="T240">
        <v>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</row>
    <row r="241" spans="2:66" x14ac:dyDescent="0.2">
      <c r="B241" s="103">
        <v>2</v>
      </c>
      <c r="C241" s="135" t="s">
        <v>2940</v>
      </c>
      <c r="D241" s="135" t="s">
        <v>2954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1</v>
      </c>
      <c r="O241">
        <v>1</v>
      </c>
      <c r="P241">
        <v>1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</row>
    <row r="242" spans="2:66" x14ac:dyDescent="0.2">
      <c r="B242" s="103">
        <v>3</v>
      </c>
      <c r="C242" s="135" t="s">
        <v>2941</v>
      </c>
      <c r="D242" s="135" t="s">
        <v>2955</v>
      </c>
      <c r="F242">
        <v>10</v>
      </c>
      <c r="G242">
        <v>10</v>
      </c>
      <c r="H242">
        <v>12</v>
      </c>
      <c r="I242">
        <v>12</v>
      </c>
      <c r="J242">
        <v>10</v>
      </c>
      <c r="K242">
        <v>10</v>
      </c>
      <c r="L242">
        <v>10</v>
      </c>
      <c r="M242">
        <v>12</v>
      </c>
      <c r="N242">
        <v>14</v>
      </c>
      <c r="O242">
        <v>14</v>
      </c>
      <c r="P242">
        <v>14</v>
      </c>
      <c r="Q242">
        <v>10</v>
      </c>
      <c r="R242">
        <v>12</v>
      </c>
      <c r="S242">
        <v>10</v>
      </c>
      <c r="T242">
        <v>12</v>
      </c>
      <c r="U242">
        <v>12</v>
      </c>
      <c r="V242">
        <v>13</v>
      </c>
      <c r="W242">
        <v>11</v>
      </c>
      <c r="X242">
        <v>13</v>
      </c>
      <c r="Y242">
        <v>12</v>
      </c>
      <c r="Z242">
        <v>13</v>
      </c>
      <c r="AA242">
        <v>13</v>
      </c>
      <c r="AB242">
        <v>10</v>
      </c>
      <c r="AC242">
        <v>12</v>
      </c>
      <c r="AD242">
        <v>10</v>
      </c>
      <c r="AE242">
        <v>12</v>
      </c>
      <c r="AF242">
        <v>12</v>
      </c>
      <c r="AG242">
        <v>12</v>
      </c>
      <c r="AH242">
        <v>13</v>
      </c>
      <c r="AI242">
        <v>12</v>
      </c>
      <c r="AJ242">
        <v>11</v>
      </c>
      <c r="AK242">
        <v>12</v>
      </c>
      <c r="AL242">
        <v>10</v>
      </c>
      <c r="AM242">
        <v>12</v>
      </c>
      <c r="AN242">
        <v>12</v>
      </c>
      <c r="AO242">
        <v>13</v>
      </c>
      <c r="AP242">
        <v>13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</row>
    <row r="243" spans="2:66" x14ac:dyDescent="0.2">
      <c r="B243" s="103">
        <v>4</v>
      </c>
      <c r="C243" s="135" t="s">
        <v>2942</v>
      </c>
      <c r="D243" s="135" t="s">
        <v>2482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1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</row>
    <row r="244" spans="2:66" x14ac:dyDescent="0.2">
      <c r="B244" s="103">
        <v>5</v>
      </c>
      <c r="C244" s="135" t="s">
        <v>2943</v>
      </c>
      <c r="D244" s="135" t="s">
        <v>2955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</row>
    <row r="245" spans="2:66" x14ac:dyDescent="0.2">
      <c r="B245" s="103">
        <v>6</v>
      </c>
      <c r="C245" s="135" t="s">
        <v>2944</v>
      </c>
      <c r="D245" s="135" t="s">
        <v>2956</v>
      </c>
      <c r="F245">
        <v>3</v>
      </c>
      <c r="G245">
        <v>3</v>
      </c>
      <c r="H245">
        <v>3</v>
      </c>
      <c r="I245">
        <v>3</v>
      </c>
      <c r="J245">
        <v>3</v>
      </c>
      <c r="K245">
        <v>3</v>
      </c>
      <c r="L245">
        <v>3</v>
      </c>
      <c r="M245">
        <v>3</v>
      </c>
      <c r="N245">
        <v>3</v>
      </c>
      <c r="O245">
        <v>3</v>
      </c>
      <c r="P245">
        <v>3</v>
      </c>
      <c r="Q245">
        <v>3</v>
      </c>
      <c r="R245">
        <v>3</v>
      </c>
      <c r="S245">
        <v>3</v>
      </c>
      <c r="T245">
        <v>3</v>
      </c>
      <c r="U245">
        <v>3</v>
      </c>
      <c r="V245">
        <v>3</v>
      </c>
      <c r="W245">
        <v>3</v>
      </c>
      <c r="X245">
        <v>3</v>
      </c>
      <c r="Y245">
        <v>3</v>
      </c>
      <c r="Z245">
        <v>3</v>
      </c>
      <c r="AA245">
        <v>3</v>
      </c>
      <c r="AB245">
        <v>3</v>
      </c>
      <c r="AC245">
        <v>3</v>
      </c>
      <c r="AD245">
        <v>3</v>
      </c>
      <c r="AE245">
        <v>3</v>
      </c>
      <c r="AF245">
        <v>3</v>
      </c>
      <c r="AG245">
        <v>3</v>
      </c>
      <c r="AH245">
        <v>3</v>
      </c>
      <c r="AI245">
        <v>3</v>
      </c>
      <c r="AJ245">
        <v>3</v>
      </c>
      <c r="AK245">
        <v>3</v>
      </c>
      <c r="AL245">
        <v>3</v>
      </c>
      <c r="AM245">
        <v>3</v>
      </c>
      <c r="AN245">
        <v>3</v>
      </c>
      <c r="AO245">
        <v>3</v>
      </c>
      <c r="AP245">
        <v>3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</row>
    <row r="246" spans="2:66" x14ac:dyDescent="0.2">
      <c r="B246" s="103">
        <v>7</v>
      </c>
      <c r="C246" s="135" t="s">
        <v>2945</v>
      </c>
      <c r="D246" s="135" t="s">
        <v>2957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1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</row>
    <row r="247" spans="2:66" x14ac:dyDescent="0.2">
      <c r="B247" s="103">
        <v>8</v>
      </c>
      <c r="C247" s="135" t="s">
        <v>2946</v>
      </c>
      <c r="D247" s="135" t="s">
        <v>2496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0</v>
      </c>
      <c r="O247">
        <v>0</v>
      </c>
      <c r="P247">
        <v>0</v>
      </c>
      <c r="Q247">
        <v>1</v>
      </c>
      <c r="R247">
        <v>1</v>
      </c>
      <c r="S247">
        <v>1</v>
      </c>
      <c r="T247">
        <v>1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</row>
    <row r="248" spans="2:66" x14ac:dyDescent="0.2">
      <c r="B248" s="103">
        <v>9</v>
      </c>
      <c r="C248" s="135" t="s">
        <v>2947</v>
      </c>
      <c r="D248" s="135" t="s">
        <v>2964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1</v>
      </c>
      <c r="O248">
        <v>1</v>
      </c>
      <c r="P248">
        <v>1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1</v>
      </c>
      <c r="AO248">
        <v>1</v>
      </c>
      <c r="AP248">
        <v>1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</row>
    <row r="249" spans="2:66" x14ac:dyDescent="0.2">
      <c r="B249" s="103">
        <v>10</v>
      </c>
      <c r="C249" s="135" t="s">
        <v>2948</v>
      </c>
      <c r="D249" s="135" t="s">
        <v>3708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1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</row>
    <row r="250" spans="2:66" x14ac:dyDescent="0.2">
      <c r="B250" s="103">
        <v>11</v>
      </c>
      <c r="C250" s="135" t="s">
        <v>2935</v>
      </c>
      <c r="D250" s="135" t="s">
        <v>2310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</row>
    <row r="251" spans="2:66" x14ac:dyDescent="0.2">
      <c r="B251" s="103">
        <v>12</v>
      </c>
      <c r="C251" s="135" t="s">
        <v>2949</v>
      </c>
      <c r="D251" s="135" t="s">
        <v>2958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1</v>
      </c>
      <c r="AN251">
        <v>1</v>
      </c>
      <c r="AO251">
        <v>1</v>
      </c>
      <c r="AP251">
        <v>1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</row>
    <row r="252" spans="2:66" x14ac:dyDescent="0.2">
      <c r="B252" s="103">
        <v>13</v>
      </c>
      <c r="C252" s="135" t="s">
        <v>2950</v>
      </c>
      <c r="D252" s="135" t="s">
        <v>3320</v>
      </c>
      <c r="F252">
        <v>1</v>
      </c>
      <c r="G252">
        <v>1</v>
      </c>
      <c r="H252">
        <v>0</v>
      </c>
      <c r="I252">
        <v>1</v>
      </c>
      <c r="J252">
        <v>1</v>
      </c>
      <c r="K252">
        <v>0</v>
      </c>
      <c r="L252">
        <v>1</v>
      </c>
      <c r="M252">
        <v>1</v>
      </c>
      <c r="N252">
        <v>0</v>
      </c>
      <c r="O252">
        <v>1</v>
      </c>
      <c r="P252">
        <v>1</v>
      </c>
      <c r="Q252">
        <v>0</v>
      </c>
      <c r="R252">
        <v>1</v>
      </c>
      <c r="S252">
        <v>1</v>
      </c>
      <c r="T252">
        <v>0</v>
      </c>
      <c r="U252">
        <v>1</v>
      </c>
      <c r="V252">
        <v>1</v>
      </c>
      <c r="W252">
        <v>0</v>
      </c>
      <c r="X252">
        <v>1</v>
      </c>
      <c r="Y252">
        <v>1</v>
      </c>
      <c r="Z252">
        <v>0</v>
      </c>
      <c r="AA252">
        <v>1</v>
      </c>
      <c r="AB252">
        <v>1</v>
      </c>
      <c r="AC252">
        <v>0</v>
      </c>
      <c r="AD252">
        <v>1</v>
      </c>
      <c r="AE252">
        <v>1</v>
      </c>
      <c r="AF252">
        <v>0</v>
      </c>
      <c r="AG252">
        <v>1</v>
      </c>
      <c r="AH252">
        <v>1</v>
      </c>
      <c r="AI252">
        <v>0</v>
      </c>
      <c r="AJ252">
        <v>1</v>
      </c>
      <c r="AK252">
        <v>1</v>
      </c>
      <c r="AL252">
        <v>0</v>
      </c>
      <c r="AM252">
        <v>1</v>
      </c>
      <c r="AN252">
        <v>1</v>
      </c>
      <c r="AO252">
        <v>0</v>
      </c>
      <c r="AP252">
        <v>1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</row>
    <row r="253" spans="2:66" x14ac:dyDescent="0.2">
      <c r="B253" s="103">
        <v>14</v>
      </c>
      <c r="C253" s="135" t="s">
        <v>2951</v>
      </c>
      <c r="D253" s="135" t="s">
        <v>2278</v>
      </c>
      <c r="F253">
        <v>0</v>
      </c>
      <c r="G253">
        <v>1</v>
      </c>
      <c r="H253">
        <v>1</v>
      </c>
      <c r="I253">
        <v>0</v>
      </c>
      <c r="J253">
        <v>1</v>
      </c>
      <c r="K253">
        <v>1</v>
      </c>
      <c r="L253">
        <v>0</v>
      </c>
      <c r="M253">
        <v>1</v>
      </c>
      <c r="N253">
        <v>1</v>
      </c>
      <c r="O253">
        <v>0</v>
      </c>
      <c r="P253">
        <v>1</v>
      </c>
      <c r="Q253">
        <v>1</v>
      </c>
      <c r="R253">
        <v>0</v>
      </c>
      <c r="S253">
        <v>1</v>
      </c>
      <c r="T253">
        <v>1</v>
      </c>
      <c r="U253">
        <v>0</v>
      </c>
      <c r="V253">
        <v>1</v>
      </c>
      <c r="W253">
        <v>1</v>
      </c>
      <c r="X253">
        <v>0</v>
      </c>
      <c r="Y253">
        <v>1</v>
      </c>
      <c r="Z253">
        <v>1</v>
      </c>
      <c r="AA253">
        <v>0</v>
      </c>
      <c r="AB253">
        <v>1</v>
      </c>
      <c r="AC253">
        <v>1</v>
      </c>
      <c r="AD253">
        <v>0</v>
      </c>
      <c r="AE253">
        <v>1</v>
      </c>
      <c r="AF253">
        <v>1</v>
      </c>
      <c r="AG253">
        <v>0</v>
      </c>
      <c r="AH253">
        <v>1</v>
      </c>
      <c r="AI253">
        <v>1</v>
      </c>
      <c r="AJ253">
        <v>0</v>
      </c>
      <c r="AK253">
        <v>1</v>
      </c>
      <c r="AL253">
        <v>1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</row>
    <row r="254" spans="2:66" x14ac:dyDescent="0.2">
      <c r="B254" s="103">
        <v>15</v>
      </c>
      <c r="C254" s="135" t="s">
        <v>2952</v>
      </c>
      <c r="D254" s="135" t="s">
        <v>2279</v>
      </c>
      <c r="F254">
        <v>1</v>
      </c>
      <c r="G254">
        <v>0</v>
      </c>
      <c r="H254">
        <v>1</v>
      </c>
      <c r="I254">
        <v>1</v>
      </c>
      <c r="J254">
        <v>0</v>
      </c>
      <c r="K254">
        <v>1</v>
      </c>
      <c r="L254">
        <v>1</v>
      </c>
      <c r="M254">
        <v>0</v>
      </c>
      <c r="N254">
        <v>1</v>
      </c>
      <c r="O254">
        <v>1</v>
      </c>
      <c r="P254">
        <v>0</v>
      </c>
      <c r="Q254">
        <v>1</v>
      </c>
      <c r="R254">
        <v>1</v>
      </c>
      <c r="S254">
        <v>0</v>
      </c>
      <c r="T254">
        <v>1</v>
      </c>
      <c r="U254">
        <v>1</v>
      </c>
      <c r="V254">
        <v>0</v>
      </c>
      <c r="W254">
        <v>1</v>
      </c>
      <c r="X254">
        <v>1</v>
      </c>
      <c r="Y254">
        <v>0</v>
      </c>
      <c r="Z254">
        <v>1</v>
      </c>
      <c r="AA254">
        <v>1</v>
      </c>
      <c r="AB254">
        <v>0</v>
      </c>
      <c r="AC254">
        <v>1</v>
      </c>
      <c r="AD254">
        <v>1</v>
      </c>
      <c r="AE254">
        <v>0</v>
      </c>
      <c r="AF254">
        <v>1</v>
      </c>
      <c r="AG254">
        <v>1</v>
      </c>
      <c r="AH254">
        <v>0</v>
      </c>
      <c r="AI254">
        <v>1</v>
      </c>
      <c r="AJ254">
        <v>1</v>
      </c>
      <c r="AK254">
        <v>0</v>
      </c>
      <c r="AL254">
        <v>1</v>
      </c>
      <c r="AM254">
        <v>1</v>
      </c>
      <c r="AN254">
        <v>0</v>
      </c>
      <c r="AO254">
        <v>1</v>
      </c>
      <c r="AP254">
        <v>1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</row>
    <row r="255" spans="2:66" x14ac:dyDescent="0.2">
      <c r="B255" s="103">
        <v>16</v>
      </c>
      <c r="C255" s="135">
        <v>0</v>
      </c>
      <c r="D255" s="135" t="s">
        <v>1993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</row>
    <row r="256" spans="2:66" x14ac:dyDescent="0.2">
      <c r="B256" s="103">
        <v>17</v>
      </c>
      <c r="C256" s="135">
        <v>0</v>
      </c>
      <c r="D256" s="135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</row>
    <row r="257" spans="2:66" x14ac:dyDescent="0.2">
      <c r="B257" s="103">
        <v>18</v>
      </c>
      <c r="C257" s="135">
        <v>0</v>
      </c>
      <c r="D257" s="135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</row>
    <row r="258" spans="2:66" x14ac:dyDescent="0.2">
      <c r="B258" s="103">
        <v>19</v>
      </c>
      <c r="C258" s="135">
        <v>0</v>
      </c>
      <c r="D258" s="135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</row>
    <row r="259" spans="2:66" x14ac:dyDescent="0.2">
      <c r="B259" s="103">
        <v>20</v>
      </c>
      <c r="C259" s="135">
        <v>0</v>
      </c>
      <c r="D259" s="135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</row>
    <row r="260" spans="2:66" x14ac:dyDescent="0.2">
      <c r="B260" s="1175" t="s">
        <v>3321</v>
      </c>
      <c r="C260" s="1176"/>
      <c r="D260" s="1177"/>
    </row>
    <row r="261" spans="2:66" x14ac:dyDescent="0.2">
      <c r="B261" s="103">
        <v>1</v>
      </c>
      <c r="C261" s="135" t="s">
        <v>3057</v>
      </c>
      <c r="D261" s="135" t="s">
        <v>2312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</row>
    <row r="262" spans="2:66" x14ac:dyDescent="0.2">
      <c r="B262" s="103">
        <v>2</v>
      </c>
      <c r="C262" s="135" t="s">
        <v>2900</v>
      </c>
      <c r="D262" s="135" t="s">
        <v>2312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</row>
    <row r="263" spans="2:66" x14ac:dyDescent="0.2">
      <c r="B263" s="103">
        <v>3</v>
      </c>
      <c r="C263" s="135" t="s">
        <v>2902</v>
      </c>
      <c r="D263" s="135" t="s">
        <v>2312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</row>
    <row r="264" spans="2:66" x14ac:dyDescent="0.2">
      <c r="B264" s="103">
        <v>4</v>
      </c>
      <c r="C264" s="135" t="s">
        <v>2899</v>
      </c>
      <c r="D264" s="135" t="s">
        <v>2312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</row>
    <row r="265" spans="2:66" x14ac:dyDescent="0.2">
      <c r="B265" s="103">
        <v>5</v>
      </c>
      <c r="C265" s="135" t="s">
        <v>2901</v>
      </c>
      <c r="D265" s="135" t="s">
        <v>2312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</row>
    <row r="266" spans="2:66" x14ac:dyDescent="0.2">
      <c r="B266" s="103">
        <v>6</v>
      </c>
      <c r="C266" s="135" t="s">
        <v>3058</v>
      </c>
      <c r="D266" s="135" t="s">
        <v>2313</v>
      </c>
      <c r="F266">
        <v>36</v>
      </c>
      <c r="G266">
        <v>36</v>
      </c>
      <c r="H266">
        <v>36</v>
      </c>
      <c r="I266">
        <v>30</v>
      </c>
      <c r="J266">
        <v>30</v>
      </c>
      <c r="K266">
        <v>30</v>
      </c>
      <c r="L266">
        <v>36</v>
      </c>
      <c r="M266">
        <v>36</v>
      </c>
      <c r="N266">
        <v>36</v>
      </c>
      <c r="O266">
        <v>36</v>
      </c>
      <c r="P266">
        <v>36</v>
      </c>
      <c r="Q266">
        <v>30</v>
      </c>
      <c r="R266">
        <v>30</v>
      </c>
      <c r="S266">
        <v>55</v>
      </c>
      <c r="T266">
        <v>55</v>
      </c>
      <c r="U266">
        <v>50</v>
      </c>
      <c r="V266">
        <v>50</v>
      </c>
      <c r="W266">
        <v>50</v>
      </c>
      <c r="X266">
        <v>50</v>
      </c>
      <c r="Y266">
        <v>50</v>
      </c>
      <c r="Z266">
        <v>50</v>
      </c>
      <c r="AA266">
        <v>50</v>
      </c>
      <c r="AB266">
        <v>30</v>
      </c>
      <c r="AC266">
        <v>30</v>
      </c>
      <c r="AD266">
        <v>30</v>
      </c>
      <c r="AE266">
        <v>30</v>
      </c>
      <c r="AF266">
        <v>30</v>
      </c>
      <c r="AG266">
        <v>30</v>
      </c>
      <c r="AH266">
        <v>30</v>
      </c>
      <c r="AI266">
        <v>30</v>
      </c>
      <c r="AJ266">
        <v>30</v>
      </c>
      <c r="AK266">
        <v>30</v>
      </c>
      <c r="AL266">
        <v>30</v>
      </c>
      <c r="AM266">
        <v>30</v>
      </c>
      <c r="AN266">
        <v>30</v>
      </c>
      <c r="AO266">
        <v>50</v>
      </c>
      <c r="AP266">
        <v>30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</row>
    <row r="267" spans="2:66" x14ac:dyDescent="0.2">
      <c r="B267" s="103">
        <v>7</v>
      </c>
      <c r="C267" s="135" t="s">
        <v>3059</v>
      </c>
      <c r="D267" s="135" t="s">
        <v>2313</v>
      </c>
      <c r="F267">
        <v>20</v>
      </c>
      <c r="G267">
        <v>20</v>
      </c>
      <c r="H267">
        <v>20</v>
      </c>
      <c r="I267">
        <v>15</v>
      </c>
      <c r="J267">
        <v>15</v>
      </c>
      <c r="K267">
        <v>15</v>
      </c>
      <c r="L267">
        <v>20</v>
      </c>
      <c r="M267">
        <v>20</v>
      </c>
      <c r="N267">
        <v>20</v>
      </c>
      <c r="O267">
        <v>20</v>
      </c>
      <c r="P267">
        <v>20</v>
      </c>
      <c r="Q267">
        <v>20</v>
      </c>
      <c r="R267">
        <v>20</v>
      </c>
      <c r="S267">
        <v>32</v>
      </c>
      <c r="T267">
        <v>32</v>
      </c>
      <c r="U267">
        <v>25</v>
      </c>
      <c r="V267">
        <v>25</v>
      </c>
      <c r="W267">
        <v>25</v>
      </c>
      <c r="X267">
        <v>25</v>
      </c>
      <c r="Y267">
        <v>25</v>
      </c>
      <c r="Z267">
        <v>25</v>
      </c>
      <c r="AA267">
        <v>25</v>
      </c>
      <c r="AB267">
        <v>20</v>
      </c>
      <c r="AC267">
        <v>20</v>
      </c>
      <c r="AD267">
        <v>20</v>
      </c>
      <c r="AE267">
        <v>20</v>
      </c>
      <c r="AF267">
        <v>20</v>
      </c>
      <c r="AG267">
        <v>20</v>
      </c>
      <c r="AH267">
        <v>20</v>
      </c>
      <c r="AI267">
        <v>20</v>
      </c>
      <c r="AJ267">
        <v>20</v>
      </c>
      <c r="AK267">
        <v>20</v>
      </c>
      <c r="AL267">
        <v>20</v>
      </c>
      <c r="AM267">
        <v>20</v>
      </c>
      <c r="AN267">
        <v>20</v>
      </c>
      <c r="AO267">
        <v>25</v>
      </c>
      <c r="AP267">
        <v>20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</row>
    <row r="268" spans="2:66" x14ac:dyDescent="0.2">
      <c r="B268" s="103">
        <v>8</v>
      </c>
      <c r="C268" s="135" t="s">
        <v>3069</v>
      </c>
      <c r="D268" s="135" t="s">
        <v>2313</v>
      </c>
      <c r="F268">
        <v>40</v>
      </c>
      <c r="G268">
        <v>40</v>
      </c>
      <c r="H268">
        <v>40</v>
      </c>
      <c r="I268">
        <v>25</v>
      </c>
      <c r="J268">
        <v>25</v>
      </c>
      <c r="K268">
        <v>25</v>
      </c>
      <c r="L268">
        <v>40</v>
      </c>
      <c r="M268">
        <v>40</v>
      </c>
      <c r="N268">
        <v>40</v>
      </c>
      <c r="O268">
        <v>40</v>
      </c>
      <c r="P268">
        <v>40</v>
      </c>
      <c r="Q268">
        <v>40</v>
      </c>
      <c r="R268">
        <v>40</v>
      </c>
      <c r="S268">
        <v>40</v>
      </c>
      <c r="T268">
        <v>40</v>
      </c>
      <c r="U268">
        <v>40</v>
      </c>
      <c r="V268">
        <v>40</v>
      </c>
      <c r="W268">
        <v>40</v>
      </c>
      <c r="X268">
        <v>40</v>
      </c>
      <c r="Y268">
        <v>40</v>
      </c>
      <c r="Z268">
        <v>40</v>
      </c>
      <c r="AA268">
        <v>40</v>
      </c>
      <c r="AB268">
        <v>30</v>
      </c>
      <c r="AC268">
        <v>30</v>
      </c>
      <c r="AD268">
        <v>30</v>
      </c>
      <c r="AE268">
        <v>30</v>
      </c>
      <c r="AF268">
        <v>30</v>
      </c>
      <c r="AG268">
        <v>30</v>
      </c>
      <c r="AH268">
        <v>30</v>
      </c>
      <c r="AI268">
        <v>30</v>
      </c>
      <c r="AJ268">
        <v>30</v>
      </c>
      <c r="AK268">
        <v>30</v>
      </c>
      <c r="AL268">
        <v>30</v>
      </c>
      <c r="AM268">
        <v>30</v>
      </c>
      <c r="AN268">
        <v>30</v>
      </c>
      <c r="AO268">
        <v>40</v>
      </c>
      <c r="AP268">
        <v>30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</row>
    <row r="269" spans="2:66" x14ac:dyDescent="0.2">
      <c r="B269" s="103">
        <v>9</v>
      </c>
      <c r="C269" s="135" t="s">
        <v>3060</v>
      </c>
      <c r="D269" s="135" t="s">
        <v>2300</v>
      </c>
      <c r="F269">
        <v>20</v>
      </c>
      <c r="G269">
        <v>20</v>
      </c>
      <c r="H269">
        <v>20</v>
      </c>
      <c r="I269">
        <v>20</v>
      </c>
      <c r="J269">
        <v>20</v>
      </c>
      <c r="K269">
        <v>20</v>
      </c>
      <c r="L269">
        <v>30</v>
      </c>
      <c r="M269">
        <v>30</v>
      </c>
      <c r="N269">
        <v>30</v>
      </c>
      <c r="O269">
        <v>30</v>
      </c>
      <c r="P269">
        <v>30</v>
      </c>
      <c r="Q269">
        <v>30</v>
      </c>
      <c r="R269">
        <v>30</v>
      </c>
      <c r="S269">
        <v>28</v>
      </c>
      <c r="T269">
        <v>28</v>
      </c>
      <c r="U269">
        <v>27</v>
      </c>
      <c r="V269">
        <v>27</v>
      </c>
      <c r="W269">
        <v>27</v>
      </c>
      <c r="X269">
        <v>27</v>
      </c>
      <c r="Y269">
        <v>27</v>
      </c>
      <c r="Z269">
        <v>27</v>
      </c>
      <c r="AA269">
        <v>27</v>
      </c>
      <c r="AB269">
        <v>15</v>
      </c>
      <c r="AC269">
        <v>15</v>
      </c>
      <c r="AD269">
        <v>15</v>
      </c>
      <c r="AE269">
        <v>15</v>
      </c>
      <c r="AF269">
        <v>15</v>
      </c>
      <c r="AG269">
        <v>15</v>
      </c>
      <c r="AH269">
        <v>15</v>
      </c>
      <c r="AI269">
        <v>15</v>
      </c>
      <c r="AJ269">
        <v>15</v>
      </c>
      <c r="AK269">
        <v>15</v>
      </c>
      <c r="AL269">
        <v>15</v>
      </c>
      <c r="AM269">
        <v>15</v>
      </c>
      <c r="AN269">
        <v>15</v>
      </c>
      <c r="AO269">
        <v>27</v>
      </c>
      <c r="AP269">
        <v>15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</row>
    <row r="270" spans="2:66" x14ac:dyDescent="0.2">
      <c r="B270" s="103">
        <v>10</v>
      </c>
      <c r="C270" s="135" t="s">
        <v>3061</v>
      </c>
      <c r="D270" s="135" t="s">
        <v>2300</v>
      </c>
      <c r="F270">
        <v>60</v>
      </c>
      <c r="G270">
        <v>60</v>
      </c>
      <c r="H270">
        <v>60</v>
      </c>
      <c r="I270">
        <v>60</v>
      </c>
      <c r="J270">
        <v>60</v>
      </c>
      <c r="K270">
        <v>60</v>
      </c>
      <c r="L270">
        <v>60</v>
      </c>
      <c r="M270">
        <v>60</v>
      </c>
      <c r="N270">
        <v>60</v>
      </c>
      <c r="O270">
        <v>60</v>
      </c>
      <c r="P270">
        <v>60</v>
      </c>
      <c r="Q270">
        <v>60</v>
      </c>
      <c r="R270">
        <v>60</v>
      </c>
      <c r="S270">
        <v>60</v>
      </c>
      <c r="T270">
        <v>60</v>
      </c>
      <c r="U270">
        <v>60</v>
      </c>
      <c r="V270">
        <v>60</v>
      </c>
      <c r="W270">
        <v>60</v>
      </c>
      <c r="X270">
        <v>60</v>
      </c>
      <c r="Y270">
        <v>60</v>
      </c>
      <c r="Z270">
        <v>60</v>
      </c>
      <c r="AA270">
        <v>60</v>
      </c>
      <c r="AB270">
        <v>60</v>
      </c>
      <c r="AC270">
        <v>60</v>
      </c>
      <c r="AD270">
        <v>60</v>
      </c>
      <c r="AE270">
        <v>60</v>
      </c>
      <c r="AF270">
        <v>60</v>
      </c>
      <c r="AG270">
        <v>60</v>
      </c>
      <c r="AH270">
        <v>60</v>
      </c>
      <c r="AI270">
        <v>60</v>
      </c>
      <c r="AJ270">
        <v>60</v>
      </c>
      <c r="AK270">
        <v>60</v>
      </c>
      <c r="AL270">
        <v>60</v>
      </c>
      <c r="AM270">
        <v>60</v>
      </c>
      <c r="AN270">
        <v>60</v>
      </c>
      <c r="AO270">
        <v>60</v>
      </c>
      <c r="AP270">
        <v>60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</row>
    <row r="271" spans="2:66" x14ac:dyDescent="0.2">
      <c r="B271" s="103">
        <v>11</v>
      </c>
      <c r="C271" s="135" t="s">
        <v>3062</v>
      </c>
      <c r="D271" s="135" t="s">
        <v>2300</v>
      </c>
      <c r="F271">
        <v>30</v>
      </c>
      <c r="G271">
        <v>30</v>
      </c>
      <c r="H271">
        <v>30</v>
      </c>
      <c r="I271">
        <v>30</v>
      </c>
      <c r="J271">
        <v>30</v>
      </c>
      <c r="K271">
        <v>30</v>
      </c>
      <c r="L271">
        <v>30</v>
      </c>
      <c r="M271">
        <v>30</v>
      </c>
      <c r="N271">
        <v>30</v>
      </c>
      <c r="O271">
        <v>30</v>
      </c>
      <c r="P271">
        <v>30</v>
      </c>
      <c r="Q271">
        <v>20</v>
      </c>
      <c r="R271">
        <v>20</v>
      </c>
      <c r="S271">
        <v>24</v>
      </c>
      <c r="T271">
        <v>24</v>
      </c>
      <c r="U271">
        <v>22</v>
      </c>
      <c r="V271">
        <v>22</v>
      </c>
      <c r="W271">
        <v>22</v>
      </c>
      <c r="X271">
        <v>22</v>
      </c>
      <c r="Y271">
        <v>22</v>
      </c>
      <c r="Z271">
        <v>22</v>
      </c>
      <c r="AA271">
        <v>22</v>
      </c>
      <c r="AB271">
        <v>15</v>
      </c>
      <c r="AC271">
        <v>15</v>
      </c>
      <c r="AD271">
        <v>15</v>
      </c>
      <c r="AE271">
        <v>15</v>
      </c>
      <c r="AF271">
        <v>15</v>
      </c>
      <c r="AG271">
        <v>15</v>
      </c>
      <c r="AH271">
        <v>15</v>
      </c>
      <c r="AI271">
        <v>15</v>
      </c>
      <c r="AJ271">
        <v>15</v>
      </c>
      <c r="AK271">
        <v>15</v>
      </c>
      <c r="AL271">
        <v>15</v>
      </c>
      <c r="AM271">
        <v>15</v>
      </c>
      <c r="AN271">
        <v>15</v>
      </c>
      <c r="AO271">
        <v>22</v>
      </c>
      <c r="AP271">
        <v>15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</row>
    <row r="272" spans="2:66" x14ac:dyDescent="0.2">
      <c r="B272" s="103">
        <v>12</v>
      </c>
      <c r="C272" s="135" t="s">
        <v>3063</v>
      </c>
      <c r="D272" s="135" t="s">
        <v>2299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</row>
    <row r="273" spans="2:66" x14ac:dyDescent="0.2">
      <c r="B273" s="103">
        <v>13</v>
      </c>
      <c r="C273" s="135" t="s">
        <v>3064</v>
      </c>
      <c r="D273" s="135" t="s">
        <v>2316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</row>
    <row r="274" spans="2:66" x14ac:dyDescent="0.2">
      <c r="B274" s="103">
        <v>14</v>
      </c>
      <c r="C274" s="135" t="s">
        <v>3065</v>
      </c>
      <c r="D274" s="135" t="s">
        <v>2315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</row>
    <row r="275" spans="2:66" x14ac:dyDescent="0.2">
      <c r="B275" s="103">
        <v>15</v>
      </c>
      <c r="C275" s="135" t="s">
        <v>3066</v>
      </c>
      <c r="D275" s="135" t="s">
        <v>2278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</row>
    <row r="276" spans="2:66" x14ac:dyDescent="0.2">
      <c r="B276" s="103">
        <v>16</v>
      </c>
      <c r="C276" s="135" t="s">
        <v>3067</v>
      </c>
      <c r="D276" s="135" t="s">
        <v>2279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</row>
    <row r="277" spans="2:66" x14ac:dyDescent="0.2">
      <c r="B277" s="103">
        <v>17</v>
      </c>
      <c r="C277" s="135" t="s">
        <v>3068</v>
      </c>
      <c r="D277" s="135" t="s">
        <v>3320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</row>
    <row r="278" spans="2:66" x14ac:dyDescent="0.2">
      <c r="B278" s="103">
        <v>18</v>
      </c>
      <c r="C278" s="135" t="s">
        <v>2898</v>
      </c>
      <c r="D278" s="135" t="s">
        <v>2320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</row>
    <row r="279" spans="2:66" x14ac:dyDescent="0.2">
      <c r="B279" s="103">
        <v>19</v>
      </c>
      <c r="C279" s="135">
        <v>0</v>
      </c>
      <c r="D279" s="135" t="s">
        <v>1993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</row>
    <row r="280" spans="2:66" x14ac:dyDescent="0.2">
      <c r="B280" s="103">
        <v>20</v>
      </c>
      <c r="C280" s="135">
        <v>0</v>
      </c>
      <c r="D280" s="135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</row>
    <row r="281" spans="2:66" x14ac:dyDescent="0.2">
      <c r="B281" s="1175" t="s">
        <v>3726</v>
      </c>
      <c r="C281" s="1176"/>
      <c r="D281" s="1177"/>
    </row>
    <row r="282" spans="2:66" x14ac:dyDescent="0.2">
      <c r="B282" s="103">
        <v>1</v>
      </c>
      <c r="C282" s="135" t="s">
        <v>3023</v>
      </c>
      <c r="D282" s="135" t="s">
        <v>1993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1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</row>
    <row r="283" spans="2:66" x14ac:dyDescent="0.2">
      <c r="B283" s="103">
        <v>2</v>
      </c>
      <c r="C283" s="135" t="s">
        <v>3024</v>
      </c>
      <c r="D283" s="135" t="s">
        <v>1994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1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</row>
    <row r="284" spans="2:66" x14ac:dyDescent="0.2">
      <c r="B284" s="103">
        <v>3</v>
      </c>
      <c r="C284" s="135" t="s">
        <v>3025</v>
      </c>
      <c r="D284" s="135" t="s">
        <v>1992</v>
      </c>
      <c r="F284">
        <v>2</v>
      </c>
      <c r="G284">
        <v>2</v>
      </c>
      <c r="H284">
        <v>2</v>
      </c>
      <c r="I284">
        <v>2</v>
      </c>
      <c r="J284">
        <v>2</v>
      </c>
      <c r="K284">
        <v>2</v>
      </c>
      <c r="L284">
        <v>2</v>
      </c>
      <c r="M284">
        <v>2</v>
      </c>
      <c r="N284">
        <v>2</v>
      </c>
      <c r="O284">
        <v>2</v>
      </c>
      <c r="P284">
        <v>2</v>
      </c>
      <c r="Q284">
        <v>2</v>
      </c>
      <c r="R284">
        <v>2</v>
      </c>
      <c r="S284">
        <v>2</v>
      </c>
      <c r="T284">
        <v>2</v>
      </c>
      <c r="U284">
        <v>2</v>
      </c>
      <c r="V284">
        <v>2</v>
      </c>
      <c r="W284">
        <v>2</v>
      </c>
      <c r="X284">
        <v>2</v>
      </c>
      <c r="Y284">
        <v>2</v>
      </c>
      <c r="Z284">
        <v>2</v>
      </c>
      <c r="AA284">
        <v>2</v>
      </c>
      <c r="AB284">
        <v>2</v>
      </c>
      <c r="AC284">
        <v>2</v>
      </c>
      <c r="AD284">
        <v>2</v>
      </c>
      <c r="AE284">
        <v>2</v>
      </c>
      <c r="AF284">
        <v>2</v>
      </c>
      <c r="AG284">
        <v>2</v>
      </c>
      <c r="AH284">
        <v>2</v>
      </c>
      <c r="AI284">
        <v>2</v>
      </c>
      <c r="AJ284">
        <v>2</v>
      </c>
      <c r="AK284">
        <v>2</v>
      </c>
      <c r="AL284">
        <v>2</v>
      </c>
      <c r="AM284">
        <v>2</v>
      </c>
      <c r="AN284">
        <v>2</v>
      </c>
      <c r="AO284">
        <v>2</v>
      </c>
      <c r="AP284">
        <v>2</v>
      </c>
      <c r="AQ284">
        <v>2</v>
      </c>
      <c r="AR284">
        <v>2</v>
      </c>
      <c r="AS284">
        <v>2</v>
      </c>
      <c r="AT284">
        <v>2</v>
      </c>
      <c r="AU284">
        <v>2</v>
      </c>
      <c r="AV284">
        <v>2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</row>
    <row r="285" spans="2:66" x14ac:dyDescent="0.2">
      <c r="B285" s="103">
        <v>4</v>
      </c>
      <c r="C285" s="135" t="s">
        <v>3026</v>
      </c>
      <c r="D285" s="135" t="s">
        <v>1998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</row>
    <row r="286" spans="2:66" x14ac:dyDescent="0.2">
      <c r="B286" s="103">
        <v>5</v>
      </c>
      <c r="C286" s="135" t="s">
        <v>3027</v>
      </c>
      <c r="D286" s="135" t="s">
        <v>1997</v>
      </c>
      <c r="F286">
        <v>2</v>
      </c>
      <c r="G286">
        <v>2</v>
      </c>
      <c r="H286">
        <v>2</v>
      </c>
      <c r="I286">
        <v>2</v>
      </c>
      <c r="J286">
        <v>2</v>
      </c>
      <c r="K286">
        <v>2</v>
      </c>
      <c r="L286">
        <v>2</v>
      </c>
      <c r="M286">
        <v>2</v>
      </c>
      <c r="N286">
        <v>2</v>
      </c>
      <c r="O286">
        <v>2</v>
      </c>
      <c r="P286">
        <v>2</v>
      </c>
      <c r="Q286">
        <v>2</v>
      </c>
      <c r="R286">
        <v>2</v>
      </c>
      <c r="S286">
        <v>2</v>
      </c>
      <c r="T286">
        <v>2</v>
      </c>
      <c r="U286">
        <v>2</v>
      </c>
      <c r="V286">
        <v>2</v>
      </c>
      <c r="W286">
        <v>2</v>
      </c>
      <c r="X286">
        <v>2</v>
      </c>
      <c r="Y286">
        <v>2</v>
      </c>
      <c r="Z286">
        <v>2</v>
      </c>
      <c r="AA286">
        <v>2</v>
      </c>
      <c r="AB286">
        <v>2</v>
      </c>
      <c r="AC286">
        <v>2</v>
      </c>
      <c r="AD286">
        <v>2</v>
      </c>
      <c r="AE286">
        <v>2</v>
      </c>
      <c r="AF286">
        <v>2</v>
      </c>
      <c r="AG286">
        <v>2</v>
      </c>
      <c r="AH286">
        <v>2</v>
      </c>
      <c r="AI286">
        <v>2</v>
      </c>
      <c r="AJ286">
        <v>2</v>
      </c>
      <c r="AK286">
        <v>2</v>
      </c>
      <c r="AL286">
        <v>2</v>
      </c>
      <c r="AM286">
        <v>2</v>
      </c>
      <c r="AN286">
        <v>2</v>
      </c>
      <c r="AO286">
        <v>2</v>
      </c>
      <c r="AP286">
        <v>2</v>
      </c>
      <c r="AQ286">
        <v>2</v>
      </c>
      <c r="AR286">
        <v>2</v>
      </c>
      <c r="AS286">
        <v>2</v>
      </c>
      <c r="AT286">
        <v>2</v>
      </c>
      <c r="AU286">
        <v>2</v>
      </c>
      <c r="AV286">
        <v>2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</row>
    <row r="287" spans="2:66" x14ac:dyDescent="0.2">
      <c r="B287" s="103">
        <v>6</v>
      </c>
      <c r="C287" s="135" t="s">
        <v>3028</v>
      </c>
      <c r="D287" s="135" t="s">
        <v>2282</v>
      </c>
      <c r="F287">
        <v>2</v>
      </c>
      <c r="G287">
        <v>2</v>
      </c>
      <c r="H287">
        <v>2</v>
      </c>
      <c r="I287">
        <v>2</v>
      </c>
      <c r="J287">
        <v>2</v>
      </c>
      <c r="K287">
        <v>2</v>
      </c>
      <c r="L287">
        <v>2</v>
      </c>
      <c r="M287">
        <v>2</v>
      </c>
      <c r="N287">
        <v>2</v>
      </c>
      <c r="O287">
        <v>2</v>
      </c>
      <c r="P287">
        <v>2</v>
      </c>
      <c r="Q287">
        <v>2</v>
      </c>
      <c r="R287">
        <v>2</v>
      </c>
      <c r="S287">
        <v>2</v>
      </c>
      <c r="T287">
        <v>2</v>
      </c>
      <c r="U287">
        <v>2</v>
      </c>
      <c r="V287">
        <v>2</v>
      </c>
      <c r="W287">
        <v>2</v>
      </c>
      <c r="X287">
        <v>2</v>
      </c>
      <c r="Y287">
        <v>2</v>
      </c>
      <c r="Z287">
        <v>2</v>
      </c>
      <c r="AA287">
        <v>2</v>
      </c>
      <c r="AB287">
        <v>2</v>
      </c>
      <c r="AC287">
        <v>2</v>
      </c>
      <c r="AD287">
        <v>2</v>
      </c>
      <c r="AE287">
        <v>2</v>
      </c>
      <c r="AF287">
        <v>2</v>
      </c>
      <c r="AG287">
        <v>2</v>
      </c>
      <c r="AH287">
        <v>2</v>
      </c>
      <c r="AI287">
        <v>2</v>
      </c>
      <c r="AJ287">
        <v>2</v>
      </c>
      <c r="AK287">
        <v>2</v>
      </c>
      <c r="AL287">
        <v>2</v>
      </c>
      <c r="AM287">
        <v>2</v>
      </c>
      <c r="AN287">
        <v>2</v>
      </c>
      <c r="AO287">
        <v>2</v>
      </c>
      <c r="AP287">
        <v>2</v>
      </c>
      <c r="AQ287">
        <v>2</v>
      </c>
      <c r="AR287">
        <v>2</v>
      </c>
      <c r="AS287">
        <v>2</v>
      </c>
      <c r="AT287">
        <v>2</v>
      </c>
      <c r="AU287">
        <v>2</v>
      </c>
      <c r="AV287">
        <v>2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</row>
    <row r="288" spans="2:66" x14ac:dyDescent="0.2">
      <c r="B288" s="103">
        <v>7</v>
      </c>
      <c r="C288" s="135" t="s">
        <v>3029</v>
      </c>
      <c r="D288" s="135" t="s">
        <v>2288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</row>
    <row r="289" spans="2:66" x14ac:dyDescent="0.2">
      <c r="B289" s="103">
        <v>8</v>
      </c>
      <c r="C289" s="135" t="s">
        <v>3031</v>
      </c>
      <c r="D289" s="135" t="s">
        <v>2283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1</v>
      </c>
      <c r="AP289">
        <v>1</v>
      </c>
      <c r="AQ289">
        <v>1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</row>
    <row r="290" spans="2:66" x14ac:dyDescent="0.2">
      <c r="B290" s="103">
        <v>9</v>
      </c>
      <c r="C290" s="135" t="s">
        <v>3032</v>
      </c>
      <c r="D290" s="135" t="s">
        <v>2284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N290">
        <v>1</v>
      </c>
      <c r="AO290">
        <v>1</v>
      </c>
      <c r="AP290">
        <v>1</v>
      </c>
      <c r="AQ290">
        <v>1</v>
      </c>
      <c r="AR290">
        <v>1</v>
      </c>
      <c r="AS290">
        <v>1</v>
      </c>
      <c r="AT290">
        <v>1</v>
      </c>
      <c r="AU290">
        <v>1</v>
      </c>
      <c r="AV290">
        <v>1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</row>
    <row r="291" spans="2:66" x14ac:dyDescent="0.2">
      <c r="B291" s="103">
        <v>10</v>
      </c>
      <c r="C291" s="135" t="s">
        <v>3033</v>
      </c>
      <c r="D291" s="135" t="s">
        <v>2292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</row>
    <row r="292" spans="2:66" x14ac:dyDescent="0.2">
      <c r="B292" s="103">
        <v>11</v>
      </c>
      <c r="C292" s="135" t="s">
        <v>3725</v>
      </c>
      <c r="D292" s="135" t="s">
        <v>1995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</row>
    <row r="293" spans="2:66" x14ac:dyDescent="0.2">
      <c r="B293" s="103">
        <v>12</v>
      </c>
      <c r="C293" s="135" t="s">
        <v>3724</v>
      </c>
      <c r="D293" s="135" t="s">
        <v>1996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</row>
    <row r="294" spans="2:66" x14ac:dyDescent="0.2">
      <c r="B294" s="103">
        <v>13</v>
      </c>
      <c r="C294" s="135" t="s">
        <v>3035</v>
      </c>
      <c r="D294" s="135" t="s">
        <v>2295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1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</row>
    <row r="295" spans="2:66" x14ac:dyDescent="0.2">
      <c r="B295" s="103">
        <v>14</v>
      </c>
      <c r="C295" s="135" t="s">
        <v>3723</v>
      </c>
      <c r="D295" s="135" t="s">
        <v>2274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  <c r="AM295">
        <v>1</v>
      </c>
      <c r="AN295">
        <v>1</v>
      </c>
      <c r="AO295">
        <v>1</v>
      </c>
      <c r="AP295">
        <v>1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</row>
    <row r="296" spans="2:66" x14ac:dyDescent="0.2">
      <c r="B296" s="103">
        <v>15</v>
      </c>
      <c r="C296" s="135" t="s">
        <v>3722</v>
      </c>
      <c r="D296" s="135" t="s">
        <v>2009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1</v>
      </c>
      <c r="AT296">
        <v>1</v>
      </c>
      <c r="AU296">
        <v>1</v>
      </c>
      <c r="AV296">
        <v>1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</row>
    <row r="297" spans="2:66" x14ac:dyDescent="0.2">
      <c r="B297" s="103">
        <v>16</v>
      </c>
      <c r="C297" s="135" t="s">
        <v>2949</v>
      </c>
      <c r="D297" s="135" t="s">
        <v>2958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</row>
    <row r="298" spans="2:66" x14ac:dyDescent="0.2">
      <c r="B298" s="103">
        <v>17</v>
      </c>
      <c r="C298" s="135" t="s">
        <v>3721</v>
      </c>
      <c r="D298" s="135" t="s">
        <v>2118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1</v>
      </c>
      <c r="AT298">
        <v>1</v>
      </c>
      <c r="AU298">
        <v>1</v>
      </c>
      <c r="AV298">
        <v>1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</row>
    <row r="299" spans="2:66" x14ac:dyDescent="0.2">
      <c r="B299" s="103">
        <v>18</v>
      </c>
      <c r="C299" s="135" t="s">
        <v>3720</v>
      </c>
      <c r="D299" s="135" t="s">
        <v>2273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1</v>
      </c>
      <c r="AQ299">
        <v>1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</row>
    <row r="300" spans="2:66" x14ac:dyDescent="0.2">
      <c r="B300" s="103">
        <v>19</v>
      </c>
      <c r="C300" s="135" t="s">
        <v>3719</v>
      </c>
      <c r="D300" s="135" t="s">
        <v>2276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1</v>
      </c>
      <c r="AO300">
        <v>1</v>
      </c>
      <c r="AP300">
        <v>1</v>
      </c>
      <c r="AQ300">
        <v>1</v>
      </c>
      <c r="AR300">
        <v>1</v>
      </c>
      <c r="AS300">
        <v>1</v>
      </c>
      <c r="AT300">
        <v>1</v>
      </c>
      <c r="AU300">
        <v>1</v>
      </c>
      <c r="AV300">
        <v>1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</row>
    <row r="301" spans="2:66" x14ac:dyDescent="0.2">
      <c r="B301" s="103">
        <v>20</v>
      </c>
      <c r="C301" s="135" t="s">
        <v>3718</v>
      </c>
      <c r="D301" s="135" t="s">
        <v>2280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1</v>
      </c>
      <c r="AO301">
        <v>1</v>
      </c>
      <c r="AP301">
        <v>1</v>
      </c>
      <c r="AQ301">
        <v>1</v>
      </c>
      <c r="AR301">
        <v>1</v>
      </c>
      <c r="AS301">
        <v>1</v>
      </c>
      <c r="AT301">
        <v>1</v>
      </c>
      <c r="AU301">
        <v>1</v>
      </c>
      <c r="AV301">
        <v>1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</row>
    <row r="302" spans="2:66" x14ac:dyDescent="0.2">
      <c r="B302" s="103">
        <v>21</v>
      </c>
      <c r="C302" s="135" t="s">
        <v>3717</v>
      </c>
      <c r="D302" s="135" t="s">
        <v>2275</v>
      </c>
      <c r="F302">
        <v>2</v>
      </c>
      <c r="G302">
        <v>2</v>
      </c>
      <c r="H302">
        <v>2</v>
      </c>
      <c r="I302">
        <v>2</v>
      </c>
      <c r="J302">
        <v>2</v>
      </c>
      <c r="K302">
        <v>2</v>
      </c>
      <c r="L302">
        <v>2</v>
      </c>
      <c r="M302">
        <v>2</v>
      </c>
      <c r="N302">
        <v>2</v>
      </c>
      <c r="O302">
        <v>2</v>
      </c>
      <c r="P302">
        <v>2</v>
      </c>
      <c r="Q302">
        <v>2</v>
      </c>
      <c r="R302">
        <v>2</v>
      </c>
      <c r="S302">
        <v>2</v>
      </c>
      <c r="T302">
        <v>2</v>
      </c>
      <c r="U302">
        <v>2</v>
      </c>
      <c r="V302">
        <v>2</v>
      </c>
      <c r="W302">
        <v>2</v>
      </c>
      <c r="X302">
        <v>2</v>
      </c>
      <c r="Y302">
        <v>2</v>
      </c>
      <c r="Z302">
        <v>2</v>
      </c>
      <c r="AA302">
        <v>2</v>
      </c>
      <c r="AB302">
        <v>2</v>
      </c>
      <c r="AC302">
        <v>2</v>
      </c>
      <c r="AD302">
        <v>2</v>
      </c>
      <c r="AE302">
        <v>2</v>
      </c>
      <c r="AF302">
        <v>2</v>
      </c>
      <c r="AG302">
        <v>2</v>
      </c>
      <c r="AH302">
        <v>2</v>
      </c>
      <c r="AI302">
        <v>2</v>
      </c>
      <c r="AJ302">
        <v>2</v>
      </c>
      <c r="AK302">
        <v>2</v>
      </c>
      <c r="AL302">
        <v>2</v>
      </c>
      <c r="AM302">
        <v>2</v>
      </c>
      <c r="AN302">
        <v>2</v>
      </c>
      <c r="AO302">
        <v>2</v>
      </c>
      <c r="AP302">
        <v>2</v>
      </c>
      <c r="AQ302">
        <v>2</v>
      </c>
      <c r="AR302">
        <v>2</v>
      </c>
      <c r="AS302">
        <v>2</v>
      </c>
      <c r="AT302">
        <v>2</v>
      </c>
      <c r="AU302">
        <v>2</v>
      </c>
      <c r="AV302">
        <v>2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</row>
    <row r="303" spans="2:66" x14ac:dyDescent="0.2">
      <c r="B303" s="103">
        <v>22</v>
      </c>
      <c r="C303" s="135" t="s">
        <v>3716</v>
      </c>
      <c r="D303" s="135" t="s">
        <v>2277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1</v>
      </c>
      <c r="AO303">
        <v>1</v>
      </c>
      <c r="AP303">
        <v>1</v>
      </c>
      <c r="AQ303">
        <v>1</v>
      </c>
      <c r="AR303">
        <v>1</v>
      </c>
      <c r="AS303">
        <v>1</v>
      </c>
      <c r="AT303">
        <v>1</v>
      </c>
      <c r="AU303">
        <v>1</v>
      </c>
      <c r="AV303">
        <v>1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</row>
    <row r="304" spans="2:66" x14ac:dyDescent="0.2">
      <c r="B304" s="103">
        <v>23</v>
      </c>
      <c r="C304" s="135" t="s">
        <v>3715</v>
      </c>
      <c r="D304" s="135" t="s">
        <v>2298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1</v>
      </c>
      <c r="AS304">
        <v>1</v>
      </c>
      <c r="AT304">
        <v>1</v>
      </c>
      <c r="AU304">
        <v>1</v>
      </c>
      <c r="AV304">
        <v>1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</row>
    <row r="305" spans="2:66" x14ac:dyDescent="0.2">
      <c r="B305" s="103">
        <v>24</v>
      </c>
      <c r="C305" s="135" t="s">
        <v>3062</v>
      </c>
      <c r="D305" s="135" t="s">
        <v>2300</v>
      </c>
      <c r="F305">
        <v>4</v>
      </c>
      <c r="G305">
        <v>4</v>
      </c>
      <c r="H305">
        <v>4</v>
      </c>
      <c r="I305">
        <v>4</v>
      </c>
      <c r="J305">
        <v>4</v>
      </c>
      <c r="K305">
        <v>4</v>
      </c>
      <c r="L305">
        <v>4</v>
      </c>
      <c r="M305">
        <v>4</v>
      </c>
      <c r="N305">
        <v>4</v>
      </c>
      <c r="O305">
        <v>4</v>
      </c>
      <c r="P305">
        <v>4</v>
      </c>
      <c r="Q305">
        <v>4</v>
      </c>
      <c r="R305">
        <v>4</v>
      </c>
      <c r="S305">
        <v>4</v>
      </c>
      <c r="T305">
        <v>4</v>
      </c>
      <c r="U305">
        <v>4</v>
      </c>
      <c r="V305">
        <v>4</v>
      </c>
      <c r="W305">
        <v>4</v>
      </c>
      <c r="X305">
        <v>4</v>
      </c>
      <c r="Y305">
        <v>4</v>
      </c>
      <c r="Z305">
        <v>4</v>
      </c>
      <c r="AA305">
        <v>4</v>
      </c>
      <c r="AB305">
        <v>4</v>
      </c>
      <c r="AC305">
        <v>4</v>
      </c>
      <c r="AD305">
        <v>4</v>
      </c>
      <c r="AE305">
        <v>4</v>
      </c>
      <c r="AF305">
        <v>4</v>
      </c>
      <c r="AG305">
        <v>4</v>
      </c>
      <c r="AH305">
        <v>4</v>
      </c>
      <c r="AI305">
        <v>4</v>
      </c>
      <c r="AJ305">
        <v>4</v>
      </c>
      <c r="AK305">
        <v>4</v>
      </c>
      <c r="AL305">
        <v>4</v>
      </c>
      <c r="AM305">
        <v>4</v>
      </c>
      <c r="AN305">
        <v>4</v>
      </c>
      <c r="AO305">
        <v>4</v>
      </c>
      <c r="AP305">
        <v>4</v>
      </c>
      <c r="AQ305">
        <v>4</v>
      </c>
      <c r="AR305">
        <v>4</v>
      </c>
      <c r="AS305">
        <v>4</v>
      </c>
      <c r="AT305">
        <v>4</v>
      </c>
      <c r="AU305">
        <v>4</v>
      </c>
      <c r="AV305">
        <v>4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</row>
    <row r="306" spans="2:66" x14ac:dyDescent="0.2">
      <c r="B306" s="103">
        <v>25</v>
      </c>
      <c r="C306" s="135" t="s">
        <v>3063</v>
      </c>
      <c r="D306" s="135" t="s">
        <v>2299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</row>
    <row r="307" spans="2:66" x14ac:dyDescent="0.2">
      <c r="B307" s="103">
        <v>26</v>
      </c>
      <c r="C307" s="135" t="s">
        <v>3714</v>
      </c>
      <c r="D307" s="135" t="s">
        <v>3328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1</v>
      </c>
      <c r="AM307">
        <v>1</v>
      </c>
      <c r="AN307">
        <v>1</v>
      </c>
      <c r="AO307">
        <v>1</v>
      </c>
      <c r="AP307">
        <v>1</v>
      </c>
      <c r="AQ307">
        <v>1</v>
      </c>
      <c r="AR307">
        <v>1</v>
      </c>
      <c r="AS307">
        <v>1</v>
      </c>
      <c r="AT307">
        <v>1</v>
      </c>
      <c r="AU307">
        <v>1</v>
      </c>
      <c r="AV307">
        <v>1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</row>
    <row r="308" spans="2:66" x14ac:dyDescent="0.2">
      <c r="B308" s="103">
        <v>27</v>
      </c>
      <c r="C308" s="135">
        <v>0</v>
      </c>
      <c r="D308" s="135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</row>
    <row r="309" spans="2:66" x14ac:dyDescent="0.2">
      <c r="B309" s="103">
        <v>28</v>
      </c>
      <c r="C309" s="135">
        <v>0</v>
      </c>
      <c r="D309" s="135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</row>
  </sheetData>
  <mergeCells count="12">
    <mergeCell ref="B281:D281"/>
    <mergeCell ref="B135:D135"/>
    <mergeCell ref="B166:D166"/>
    <mergeCell ref="B187:D187"/>
    <mergeCell ref="B208:D208"/>
    <mergeCell ref="B239:D239"/>
    <mergeCell ref="B260:D260"/>
    <mergeCell ref="B5:D5"/>
    <mergeCell ref="B31:D31"/>
    <mergeCell ref="B57:D57"/>
    <mergeCell ref="B83:D83"/>
    <mergeCell ref="B109:D109"/>
  </mergeCells>
  <dataValidations disablePrompts="1" count="1">
    <dataValidation type="list" allowBlank="1" showInputMessage="1" showErrorMessage="1" sqref="C3" xr:uid="{B6747498-49FE-483B-9EAD-DA048D5D31CC}">
      <formula1>#REF!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601C3-63C7-4D01-A766-BF76750198B8}">
  <dimension ref="A1:BX35"/>
  <sheetViews>
    <sheetView showGridLines="0" zoomScaleNormal="100" workbookViewId="0">
      <pane xSplit="9" ySplit="3" topLeftCell="J7" activePane="bottomRight" state="frozen"/>
      <selection pane="bottomLeft" activeCell="A4" sqref="A4"/>
      <selection pane="topRight" activeCell="J1" sqref="J1"/>
      <selection pane="bottomRight" activeCell="I35" sqref="I35"/>
    </sheetView>
  </sheetViews>
  <sheetFormatPr defaultColWidth="11.43359375" defaultRowHeight="15" x14ac:dyDescent="0.2"/>
  <cols>
    <col min="1" max="2" width="7.12890625" hidden="1" customWidth="1"/>
    <col min="3" max="3" width="0" hidden="1" customWidth="1"/>
    <col min="4" max="4" width="8.47265625" style="120" customWidth="1"/>
    <col min="5" max="5" width="32.1484375" style="965" customWidth="1"/>
    <col min="6" max="7" width="13.44921875" style="963" customWidth="1"/>
    <col min="8" max="8" width="6.05078125" style="963" customWidth="1"/>
    <col min="9" max="9" width="18.5625" style="963" customWidth="1"/>
    <col min="10" max="10" width="12.10546875" style="964" customWidth="1"/>
    <col min="11" max="11" width="13.44921875" style="1026" customWidth="1"/>
    <col min="12" max="13" width="13.44921875" style="120" customWidth="1"/>
    <col min="14" max="14" width="13.44921875" style="1026" customWidth="1"/>
    <col min="15" max="16" width="13.44921875" style="120" customWidth="1"/>
    <col min="17" max="17" width="13.44921875" style="1026" customWidth="1"/>
    <col min="18" max="19" width="13.44921875" style="120" customWidth="1"/>
    <col min="20" max="20" width="13.44921875" style="1026" customWidth="1"/>
    <col min="21" max="22" width="13.44921875" style="120" customWidth="1"/>
    <col min="23" max="23" width="13.44921875" style="1026" customWidth="1"/>
    <col min="24" max="25" width="13.44921875" style="120" customWidth="1"/>
    <col min="26" max="26" width="13.44921875" style="1026" customWidth="1"/>
    <col min="27" max="28" width="13.44921875" style="120" customWidth="1"/>
    <col min="29" max="29" width="13.44921875" style="1026" customWidth="1"/>
    <col min="30" max="30" width="13.44921875" style="120" customWidth="1"/>
    <col min="31" max="31" width="12.5078125" bestFit="1" customWidth="1"/>
    <col min="32" max="32" width="13.44921875" style="1026" customWidth="1"/>
    <col min="33" max="34" width="13.44921875" style="120" customWidth="1"/>
    <col min="35" max="35" width="13.44921875" style="1026" customWidth="1"/>
    <col min="36" max="37" width="13.44921875" style="120" customWidth="1"/>
    <col min="38" max="38" width="13.44921875" style="1026" customWidth="1"/>
    <col min="39" max="40" width="13.44921875" style="120" customWidth="1"/>
    <col min="41" max="41" width="13.44921875" style="1026" customWidth="1"/>
    <col min="42" max="42" width="18.16015625" style="120" customWidth="1"/>
    <col min="43" max="43" width="13.44921875" style="120" customWidth="1"/>
    <col min="44" max="44" width="13.44921875" style="1026" customWidth="1"/>
    <col min="45" max="46" width="13.44921875" style="120" customWidth="1"/>
    <col min="47" max="47" width="13.44921875" style="1026" customWidth="1"/>
    <col min="48" max="49" width="13.44921875" style="120" customWidth="1"/>
    <col min="50" max="50" width="13.44921875" style="1026" customWidth="1"/>
    <col min="51" max="52" width="13.44921875" style="120" customWidth="1"/>
    <col min="53" max="53" width="13.44921875" style="1026" customWidth="1"/>
    <col min="54" max="55" width="13.44921875" style="120" customWidth="1"/>
    <col min="56" max="56" width="13.44921875" style="1026" customWidth="1"/>
    <col min="57" max="58" width="13.44921875" style="120" customWidth="1"/>
    <col min="59" max="59" width="13.44921875" style="1026" customWidth="1"/>
    <col min="60" max="61" width="13.44921875" style="120" customWidth="1"/>
    <col min="62" max="62" width="13.44921875" style="1026" customWidth="1"/>
    <col min="63" max="64" width="13.44921875" style="120" customWidth="1"/>
  </cols>
  <sheetData>
    <row r="1" spans="4:76" x14ac:dyDescent="0.2">
      <c r="E1" s="965">
        <v>1</v>
      </c>
      <c r="F1" s="120">
        <v>2</v>
      </c>
      <c r="G1" s="120">
        <v>3</v>
      </c>
      <c r="H1" s="120">
        <v>4</v>
      </c>
      <c r="I1" s="120">
        <v>5</v>
      </c>
      <c r="J1" s="120">
        <v>6</v>
      </c>
      <c r="L1" s="120">
        <v>8</v>
      </c>
      <c r="M1" s="120">
        <v>9</v>
      </c>
      <c r="O1" s="120">
        <v>10</v>
      </c>
      <c r="P1" s="120">
        <v>11</v>
      </c>
      <c r="Q1" s="1026">
        <v>12</v>
      </c>
      <c r="R1" s="120">
        <v>13</v>
      </c>
      <c r="S1" s="120">
        <v>14</v>
      </c>
      <c r="T1" s="1026">
        <v>15</v>
      </c>
      <c r="U1" s="120">
        <v>16</v>
      </c>
      <c r="V1" s="120">
        <v>17</v>
      </c>
      <c r="X1" s="120">
        <v>18</v>
      </c>
      <c r="Y1" s="120">
        <v>19</v>
      </c>
      <c r="Z1" s="1026">
        <v>20</v>
      </c>
      <c r="AA1" s="120">
        <v>21</v>
      </c>
      <c r="AB1" s="120">
        <v>22</v>
      </c>
      <c r="AD1" s="120">
        <v>23</v>
      </c>
      <c r="AE1" s="120">
        <v>24</v>
      </c>
      <c r="AF1" s="1026">
        <v>25</v>
      </c>
      <c r="AG1" s="120">
        <v>26</v>
      </c>
      <c r="AH1" s="120">
        <v>27</v>
      </c>
      <c r="AI1" s="1026">
        <v>28</v>
      </c>
      <c r="AJ1" s="120">
        <v>29</v>
      </c>
      <c r="AK1" s="120">
        <v>30</v>
      </c>
      <c r="AL1" s="1026">
        <v>31</v>
      </c>
      <c r="AM1" s="120">
        <v>32</v>
      </c>
      <c r="AN1" s="120">
        <v>33</v>
      </c>
      <c r="AO1" s="1026">
        <v>34</v>
      </c>
      <c r="AP1" s="120">
        <v>35</v>
      </c>
      <c r="AQ1" s="120">
        <v>36</v>
      </c>
      <c r="AR1" s="1026">
        <v>37</v>
      </c>
      <c r="AS1" s="120">
        <v>38</v>
      </c>
      <c r="AT1" s="120">
        <v>39</v>
      </c>
      <c r="AU1" s="1026">
        <v>40</v>
      </c>
      <c r="AV1" s="120">
        <v>41</v>
      </c>
      <c r="AW1" s="120">
        <v>42</v>
      </c>
      <c r="AX1" s="1026">
        <v>43</v>
      </c>
      <c r="AY1" s="120">
        <v>44</v>
      </c>
      <c r="AZ1" s="120">
        <v>45</v>
      </c>
      <c r="BA1" s="1026">
        <v>46</v>
      </c>
      <c r="BB1" s="120">
        <v>47</v>
      </c>
      <c r="BC1" s="120">
        <v>48</v>
      </c>
      <c r="BD1" s="1026">
        <v>49</v>
      </c>
      <c r="BE1" s="120">
        <v>50</v>
      </c>
      <c r="BF1" s="120">
        <v>51</v>
      </c>
      <c r="BG1" s="1026">
        <v>52</v>
      </c>
      <c r="BH1" s="120">
        <v>53</v>
      </c>
      <c r="BI1" s="120">
        <v>54</v>
      </c>
      <c r="BK1" s="120">
        <v>55</v>
      </c>
      <c r="BL1" s="120">
        <v>56</v>
      </c>
      <c r="BM1" s="120">
        <v>57</v>
      </c>
    </row>
    <row r="3" spans="4:76" x14ac:dyDescent="0.2">
      <c r="D3" s="120" t="s">
        <v>3704</v>
      </c>
      <c r="E3" s="1013">
        <v>1.1000000000000001</v>
      </c>
      <c r="I3" s="1012" t="s">
        <v>3703</v>
      </c>
      <c r="L3" s="120" t="s">
        <v>13</v>
      </c>
      <c r="M3" s="120">
        <f>'1_OG y 2_ACA'!D1682</f>
        <v>1</v>
      </c>
      <c r="O3" s="120" t="s">
        <v>13</v>
      </c>
      <c r="P3" s="120">
        <f>'1_OG y 2_ACA'!D1683</f>
        <v>0</v>
      </c>
      <c r="R3" s="120" t="s">
        <v>13</v>
      </c>
      <c r="S3" s="120">
        <f>'1_OG y 2_ACA'!D1684</f>
        <v>1</v>
      </c>
      <c r="U3" s="120" t="s">
        <v>13</v>
      </c>
      <c r="V3" s="120">
        <f>'1_OG y 2_ACA'!D1685</f>
        <v>2</v>
      </c>
      <c r="X3" s="120" t="s">
        <v>13</v>
      </c>
      <c r="Y3" s="120">
        <f>'1_OG y 2_ACA'!D1686</f>
        <v>0</v>
      </c>
      <c r="AA3" s="120" t="s">
        <v>13</v>
      </c>
      <c r="AB3" s="120">
        <f>'1_OG y 2_ACA'!D1687</f>
        <v>1</v>
      </c>
      <c r="AD3" s="120" t="s">
        <v>13</v>
      </c>
      <c r="AE3">
        <f>'1_OG y 2_ACA'!D1688</f>
        <v>1</v>
      </c>
      <c r="AG3" s="120" t="s">
        <v>13</v>
      </c>
      <c r="AH3" s="1011">
        <f>'1_OG y 2_ACA'!D1695</f>
        <v>3</v>
      </c>
      <c r="AJ3" s="120" t="s">
        <v>13</v>
      </c>
      <c r="AK3" s="1011">
        <f>'1_OG y 2_ACA'!D1696</f>
        <v>0</v>
      </c>
      <c r="AM3" s="120" t="s">
        <v>13</v>
      </c>
      <c r="AN3" s="120">
        <f>'1_OG y 2_ACA'!D1697</f>
        <v>2</v>
      </c>
      <c r="AP3" s="120" t="s">
        <v>13</v>
      </c>
      <c r="AQ3" s="120">
        <f>'1_OG y 2_ACA'!D1693</f>
        <v>0</v>
      </c>
      <c r="AS3" s="120" t="s">
        <v>13</v>
      </c>
      <c r="AT3" s="120">
        <f>'1_OG y 2_ACA'!D1694</f>
        <v>1</v>
      </c>
      <c r="AV3" s="120" t="s">
        <v>13</v>
      </c>
      <c r="AW3" s="120">
        <f>'1_OG y 2_ACA'!D1698</f>
        <v>0</v>
      </c>
      <c r="AY3" s="120" t="s">
        <v>13</v>
      </c>
      <c r="AZ3" s="1011">
        <f>'1_OG y 2_ACA'!D1699</f>
        <v>1</v>
      </c>
      <c r="BB3" s="120" t="s">
        <v>13</v>
      </c>
      <c r="BC3" s="120">
        <f>'1_OG y 2_ACA'!D1691</f>
        <v>0</v>
      </c>
      <c r="BE3" s="120" t="s">
        <v>13</v>
      </c>
      <c r="BF3" s="120">
        <f>'1_OG y 2_ACA'!D1692</f>
        <v>0</v>
      </c>
      <c r="BH3" s="120" t="s">
        <v>13</v>
      </c>
      <c r="BI3" s="120">
        <f>'1_OG y 2_ACA'!D1689</f>
        <v>0</v>
      </c>
      <c r="BK3" s="120" t="s">
        <v>13</v>
      </c>
      <c r="BL3" s="120">
        <f>'1_OG y 2_ACA'!D1690</f>
        <v>2</v>
      </c>
    </row>
    <row r="4" spans="4:76" ht="15.75" thickBot="1" x14ac:dyDescent="0.25">
      <c r="D4" s="1010" t="s">
        <v>6</v>
      </c>
      <c r="E4" s="1009">
        <v>520</v>
      </c>
      <c r="I4" s="1008">
        <f>SUM(L4:CC4)/100</f>
        <v>16.2</v>
      </c>
      <c r="J4" s="1007"/>
      <c r="K4" s="1027"/>
      <c r="L4" s="1178">
        <v>70</v>
      </c>
      <c r="M4" s="1178"/>
      <c r="N4" s="1027"/>
      <c r="O4" s="1178">
        <v>70</v>
      </c>
      <c r="P4" s="1178"/>
      <c r="Q4" s="1027"/>
      <c r="R4" s="1178">
        <v>80</v>
      </c>
      <c r="S4" s="1178"/>
      <c r="T4" s="1027"/>
      <c r="U4" s="1178">
        <v>45</v>
      </c>
      <c r="V4" s="1178"/>
      <c r="W4" s="1027"/>
      <c r="X4" s="1178">
        <v>45</v>
      </c>
      <c r="Y4" s="1178"/>
      <c r="Z4" s="1027"/>
      <c r="AA4" s="1178">
        <v>65</v>
      </c>
      <c r="AB4" s="1178"/>
      <c r="AC4" s="1027"/>
      <c r="AD4" s="1178">
        <v>65</v>
      </c>
      <c r="AE4" s="1178"/>
      <c r="AF4" s="1027"/>
      <c r="AG4" s="1178">
        <f>150*AH3</f>
        <v>450</v>
      </c>
      <c r="AH4" s="1178"/>
      <c r="AI4" s="1027"/>
      <c r="AJ4" s="1178">
        <f>150*AK3</f>
        <v>0</v>
      </c>
      <c r="AK4" s="1178"/>
      <c r="AL4" s="1027"/>
      <c r="AM4" s="1178">
        <v>50</v>
      </c>
      <c r="AN4" s="1178"/>
      <c r="AO4" s="1027"/>
      <c r="AP4" s="1178">
        <v>70</v>
      </c>
      <c r="AQ4" s="1178"/>
      <c r="AR4" s="1027"/>
      <c r="AS4" s="1178">
        <v>60</v>
      </c>
      <c r="AT4" s="1178"/>
      <c r="AU4" s="1027"/>
      <c r="AV4" s="1178">
        <v>120</v>
      </c>
      <c r="AW4" s="1178"/>
      <c r="AX4" s="1027"/>
      <c r="AY4" s="1178">
        <f>120*AZ3</f>
        <v>120</v>
      </c>
      <c r="AZ4" s="1178"/>
      <c r="BA4" s="1027"/>
      <c r="BB4" s="1178">
        <v>110</v>
      </c>
      <c r="BC4" s="1178"/>
      <c r="BD4" s="1027"/>
      <c r="BE4" s="1178">
        <v>110</v>
      </c>
      <c r="BF4" s="1178"/>
      <c r="BG4" s="1027"/>
      <c r="BH4" s="1178">
        <v>45</v>
      </c>
      <c r="BI4" s="1178"/>
      <c r="BJ4" s="1027"/>
      <c r="BK4" s="1178">
        <v>45</v>
      </c>
      <c r="BL4" s="1178"/>
    </row>
    <row r="5" spans="4:76" ht="35.450000000000003" customHeight="1" thickBot="1" x14ac:dyDescent="0.25">
      <c r="D5" s="1003" t="s">
        <v>3702</v>
      </c>
      <c r="E5" s="1003">
        <v>1.1299999999999999</v>
      </c>
      <c r="I5" s="1005">
        <f>+I31/I4</f>
        <v>104605.44033897096</v>
      </c>
      <c r="J5" s="1004"/>
      <c r="K5" s="1028"/>
      <c r="L5" s="1185" t="s">
        <v>3659</v>
      </c>
      <c r="M5" s="1186"/>
      <c r="N5" s="1028"/>
      <c r="O5" s="1185" t="s">
        <v>3660</v>
      </c>
      <c r="P5" s="1186"/>
      <c r="Q5" s="1028"/>
      <c r="R5" s="1185" t="s">
        <v>3701</v>
      </c>
      <c r="S5" s="1186"/>
      <c r="T5" s="1028"/>
      <c r="U5" s="1185" t="s">
        <v>3700</v>
      </c>
      <c r="V5" s="1186"/>
      <c r="W5" s="1028"/>
      <c r="X5" s="1185" t="s">
        <v>3699</v>
      </c>
      <c r="Y5" s="1186"/>
      <c r="Z5" s="1028"/>
      <c r="AA5" s="1185" t="s">
        <v>3698</v>
      </c>
      <c r="AB5" s="1186"/>
      <c r="AC5" s="1028"/>
      <c r="AD5" s="1185" t="s">
        <v>3697</v>
      </c>
      <c r="AE5" s="1186"/>
      <c r="AF5" s="1028"/>
      <c r="AG5" s="1185" t="s">
        <v>3655</v>
      </c>
      <c r="AH5" s="1186"/>
      <c r="AI5" s="1028"/>
      <c r="AJ5" s="1185" t="s">
        <v>3656</v>
      </c>
      <c r="AK5" s="1186"/>
      <c r="AL5" s="1028"/>
      <c r="AM5" s="1185" t="s">
        <v>3696</v>
      </c>
      <c r="AN5" s="1186"/>
      <c r="AO5" s="1028"/>
      <c r="AP5" s="1185" t="s">
        <v>3695</v>
      </c>
      <c r="AQ5" s="1186"/>
      <c r="AR5" s="1028"/>
      <c r="AS5" s="1185" t="s">
        <v>3694</v>
      </c>
      <c r="AT5" s="1186"/>
      <c r="AU5" s="1028"/>
      <c r="AV5" s="1185" t="s">
        <v>3693</v>
      </c>
      <c r="AW5" s="1186"/>
      <c r="AX5" s="1028"/>
      <c r="AY5" s="1185" t="s">
        <v>3692</v>
      </c>
      <c r="AZ5" s="1186"/>
      <c r="BA5" s="1028"/>
      <c r="BB5" s="1185" t="s">
        <v>3691</v>
      </c>
      <c r="BC5" s="1186"/>
      <c r="BD5" s="1028"/>
      <c r="BE5" s="1185" t="s">
        <v>3690</v>
      </c>
      <c r="BF5" s="1186"/>
      <c r="BG5" s="1028"/>
      <c r="BH5" s="1185" t="s">
        <v>3689</v>
      </c>
      <c r="BI5" s="1186"/>
      <c r="BJ5" s="1028"/>
      <c r="BK5" s="1185" t="s">
        <v>3688</v>
      </c>
      <c r="BL5" s="1186"/>
    </row>
    <row r="6" spans="4:76" ht="31.5" customHeight="1" thickBot="1" x14ac:dyDescent="0.25">
      <c r="D6" s="1003"/>
      <c r="E6" s="1002"/>
      <c r="K6" s="1029"/>
      <c r="L6" s="1020" t="s">
        <v>3661</v>
      </c>
      <c r="M6" s="1019">
        <f>+M9+M26</f>
        <v>42539.745828588471</v>
      </c>
      <c r="N6" s="1029"/>
      <c r="O6" s="1020" t="s">
        <v>3661</v>
      </c>
      <c r="P6" s="1019">
        <f>+P9+P26</f>
        <v>25035.616398791975</v>
      </c>
      <c r="Q6" s="1029"/>
      <c r="R6" s="1181" t="s">
        <v>3661</v>
      </c>
      <c r="S6" s="1183">
        <f>+S9+S26</f>
        <v>26887.951033677549</v>
      </c>
      <c r="T6" s="1029"/>
      <c r="U6" s="1017" t="s">
        <v>3661</v>
      </c>
      <c r="V6" s="1021">
        <f>+V9+V26</f>
        <v>64944.546296335087</v>
      </c>
      <c r="W6" s="1029"/>
      <c r="X6" s="1017" t="s">
        <v>3661</v>
      </c>
      <c r="Y6" s="1021">
        <f>+Y9+Y26</f>
        <v>21115.912991982525</v>
      </c>
      <c r="Z6" s="1029"/>
      <c r="AA6" s="1017" t="s">
        <v>3661</v>
      </c>
      <c r="AB6" s="1021">
        <f>+AB9+AB26</f>
        <v>40238.740264611872</v>
      </c>
      <c r="AC6" s="1029"/>
      <c r="AD6" s="1017" t="s">
        <v>3661</v>
      </c>
      <c r="AE6" s="1021">
        <f>+AE9+AE26</f>
        <v>25819.557080153856</v>
      </c>
      <c r="AF6" s="1029"/>
      <c r="AG6" s="1181" t="s">
        <v>3661</v>
      </c>
      <c r="AH6" s="1183">
        <f>+AH9+AH26</f>
        <v>606325.99626210518</v>
      </c>
      <c r="AI6" s="1029"/>
      <c r="AJ6" s="1181" t="s">
        <v>3661</v>
      </c>
      <c r="AK6" s="1183">
        <f>+AK9+AK26</f>
        <v>19915.966717488856</v>
      </c>
      <c r="AL6" s="1029"/>
      <c r="AM6" s="1181" t="s">
        <v>3661</v>
      </c>
      <c r="AN6" s="1183">
        <f>+AN9+AN26</f>
        <v>26346.093818682057</v>
      </c>
      <c r="AO6" s="1029"/>
      <c r="AP6" s="1181" t="s">
        <v>3661</v>
      </c>
      <c r="AQ6" s="1183">
        <f>+AQ9+AQ26</f>
        <v>13483.779719424487</v>
      </c>
      <c r="AR6" s="1029"/>
      <c r="AS6" s="1181" t="s">
        <v>3661</v>
      </c>
      <c r="AT6" s="1183">
        <f>+AT9+AT26</f>
        <v>65250.98777616096</v>
      </c>
      <c r="AU6" s="1029"/>
      <c r="AV6" s="1181" t="s">
        <v>3661</v>
      </c>
      <c r="AW6" s="1183">
        <f>+AW9+AW26</f>
        <v>265426.03426167025</v>
      </c>
      <c r="AX6" s="1029"/>
      <c r="AY6" s="1181" t="s">
        <v>3661</v>
      </c>
      <c r="AZ6" s="1183">
        <f>+AZ9+AZ26</f>
        <v>283648.99038694904</v>
      </c>
      <c r="BA6" s="1029"/>
      <c r="BB6" s="1181" t="s">
        <v>3661</v>
      </c>
      <c r="BC6" s="1183">
        <f>+BC9+BC26</f>
        <v>67543.595536044173</v>
      </c>
      <c r="BD6" s="1029"/>
      <c r="BE6" s="1181" t="s">
        <v>3661</v>
      </c>
      <c r="BF6" s="1183">
        <f>+BF9+BF26</f>
        <v>64807.612963392734</v>
      </c>
      <c r="BG6" s="1029"/>
      <c r="BH6" s="1020" t="s">
        <v>3661</v>
      </c>
      <c r="BI6" s="1019">
        <f>+BI9+BI26</f>
        <v>24352.322020992655</v>
      </c>
      <c r="BJ6" s="1029"/>
      <c r="BK6" s="1020" t="s">
        <v>3661</v>
      </c>
      <c r="BL6" s="1019">
        <f>+BL9+BL26</f>
        <v>10924.684134277973</v>
      </c>
    </row>
    <row r="7" spans="4:76" ht="21" thickBot="1" x14ac:dyDescent="0.25">
      <c r="D7" s="1187" t="s">
        <v>3705</v>
      </c>
      <c r="E7" s="1188"/>
      <c r="F7" s="1188"/>
      <c r="G7" s="1188"/>
      <c r="H7" s="1188"/>
      <c r="I7" s="1189"/>
      <c r="K7" s="1030"/>
      <c r="L7" s="1179"/>
      <c r="M7" s="1180"/>
      <c r="N7" s="1030"/>
      <c r="O7" s="1179"/>
      <c r="P7" s="1180"/>
      <c r="Q7" s="1030"/>
      <c r="R7" s="1182"/>
      <c r="S7" s="1184"/>
      <c r="T7" s="1030"/>
      <c r="U7" s="1022" t="s">
        <v>3662</v>
      </c>
      <c r="V7" s="1023"/>
      <c r="W7" s="1030"/>
      <c r="X7" s="1024"/>
      <c r="Y7" s="1018">
        <f>+V6+Y6</f>
        <v>86060.459288317608</v>
      </c>
      <c r="Z7" s="1030"/>
      <c r="AA7" s="1022" t="s">
        <v>3662</v>
      </c>
      <c r="AB7" s="1023"/>
      <c r="AC7" s="1030"/>
      <c r="AD7" s="1024"/>
      <c r="AE7" s="1018">
        <f>+AB6+AE6</f>
        <v>66058.297344765728</v>
      </c>
      <c r="AF7" s="1030"/>
      <c r="AG7" s="1182"/>
      <c r="AH7" s="1184"/>
      <c r="AI7" s="1030"/>
      <c r="AJ7" s="1182"/>
      <c r="AK7" s="1184"/>
      <c r="AL7" s="1030"/>
      <c r="AM7" s="1182"/>
      <c r="AN7" s="1184"/>
      <c r="AO7" s="1030"/>
      <c r="AP7" s="1182"/>
      <c r="AQ7" s="1184"/>
      <c r="AR7" s="1030"/>
      <c r="AS7" s="1182"/>
      <c r="AT7" s="1184"/>
      <c r="AU7" s="1030"/>
      <c r="AV7" s="1182"/>
      <c r="AW7" s="1184"/>
      <c r="AX7" s="1030"/>
      <c r="AY7" s="1182"/>
      <c r="AZ7" s="1184"/>
      <c r="BA7" s="1030"/>
      <c r="BB7" s="1182"/>
      <c r="BC7" s="1184"/>
      <c r="BD7" s="1030"/>
      <c r="BE7" s="1182"/>
      <c r="BF7" s="1184"/>
      <c r="BG7" s="1030"/>
      <c r="BH7" s="1022" t="s">
        <v>3662</v>
      </c>
      <c r="BI7" s="1023"/>
      <c r="BJ7" s="1030"/>
      <c r="BK7" s="1024"/>
      <c r="BL7" s="1016">
        <f>+BI6+BL6</f>
        <v>35277.006155270632</v>
      </c>
    </row>
    <row r="8" spans="4:76" x14ac:dyDescent="0.2">
      <c r="F8" s="1192" t="s">
        <v>3687</v>
      </c>
      <c r="G8" s="1192" t="s">
        <v>3522</v>
      </c>
      <c r="H8" s="1194"/>
      <c r="I8" s="1196" t="s">
        <v>3686</v>
      </c>
      <c r="K8" s="1031"/>
      <c r="L8" s="1190" t="s">
        <v>13</v>
      </c>
      <c r="M8" s="980" t="s">
        <v>3663</v>
      </c>
      <c r="N8" s="1031"/>
      <c r="O8" s="1190" t="s">
        <v>13</v>
      </c>
      <c r="P8" s="980" t="s">
        <v>3663</v>
      </c>
      <c r="Q8" s="1031"/>
      <c r="R8" s="1190" t="s">
        <v>13</v>
      </c>
      <c r="S8" s="980" t="s">
        <v>3663</v>
      </c>
      <c r="T8" s="1031"/>
      <c r="U8" s="1190" t="s">
        <v>13</v>
      </c>
      <c r="V8" s="980" t="s">
        <v>3663</v>
      </c>
      <c r="W8" s="1031"/>
      <c r="X8" s="1190" t="s">
        <v>13</v>
      </c>
      <c r="Y8" s="980" t="s">
        <v>3663</v>
      </c>
      <c r="Z8" s="1031"/>
      <c r="AA8" s="1190" t="s">
        <v>13</v>
      </c>
      <c r="AB8" s="980" t="s">
        <v>3663</v>
      </c>
      <c r="AC8" s="1031"/>
      <c r="AD8" s="1190" t="s">
        <v>13</v>
      </c>
      <c r="AE8" s="980" t="s">
        <v>3663</v>
      </c>
      <c r="AF8" s="1031"/>
      <c r="AG8" s="1190" t="s">
        <v>13</v>
      </c>
      <c r="AH8" s="980" t="s">
        <v>3663</v>
      </c>
      <c r="AI8" s="1031"/>
      <c r="AJ8" s="1190" t="s">
        <v>13</v>
      </c>
      <c r="AK8" s="980" t="s">
        <v>3663</v>
      </c>
      <c r="AL8" s="1031"/>
      <c r="AM8" s="1190" t="s">
        <v>13</v>
      </c>
      <c r="AN8" s="980" t="s">
        <v>3663</v>
      </c>
      <c r="AO8" s="1031"/>
      <c r="AP8" s="1190" t="s">
        <v>13</v>
      </c>
      <c r="AQ8" s="980" t="s">
        <v>3663</v>
      </c>
      <c r="AR8" s="1031"/>
      <c r="AS8" s="1190" t="s">
        <v>13</v>
      </c>
      <c r="AT8" s="980" t="s">
        <v>3663</v>
      </c>
      <c r="AU8" s="1031"/>
      <c r="AV8" s="1190" t="s">
        <v>13</v>
      </c>
      <c r="AW8" s="980" t="s">
        <v>3663</v>
      </c>
      <c r="AX8" s="1031"/>
      <c r="AY8" s="1190" t="s">
        <v>13</v>
      </c>
      <c r="AZ8" s="980" t="s">
        <v>3663</v>
      </c>
      <c r="BA8" s="1031"/>
      <c r="BB8" s="1190" t="s">
        <v>13</v>
      </c>
      <c r="BC8" s="980" t="s">
        <v>3663</v>
      </c>
      <c r="BD8" s="1031"/>
      <c r="BE8" s="1190" t="s">
        <v>13</v>
      </c>
      <c r="BF8" s="980" t="s">
        <v>3663</v>
      </c>
      <c r="BG8" s="1031"/>
      <c r="BH8" s="1190" t="s">
        <v>13</v>
      </c>
      <c r="BI8" s="980" t="s">
        <v>3663</v>
      </c>
      <c r="BJ8" s="1031"/>
      <c r="BK8" s="1190" t="s">
        <v>13</v>
      </c>
      <c r="BL8" s="980" t="s">
        <v>3663</v>
      </c>
    </row>
    <row r="9" spans="4:76" ht="15.75" thickBot="1" x14ac:dyDescent="0.25">
      <c r="E9" s="1001"/>
      <c r="F9" s="1193"/>
      <c r="G9" s="1193"/>
      <c r="H9" s="1195"/>
      <c r="I9" s="1197"/>
      <c r="K9" s="1032"/>
      <c r="L9" s="1198"/>
      <c r="M9" s="976">
        <f>SUM(M10:M22)</f>
        <v>42018.116309198536</v>
      </c>
      <c r="N9" s="1032"/>
      <c r="O9" s="1198"/>
      <c r="P9" s="976">
        <f>SUM(P10:P22)</f>
        <v>24728.625459016395</v>
      </c>
      <c r="Q9" s="1032"/>
      <c r="R9" s="1198"/>
      <c r="S9" s="976">
        <f>SUM(S10:S22)</f>
        <v>26558.246455009106</v>
      </c>
      <c r="T9" s="1032"/>
      <c r="U9" s="1198"/>
      <c r="V9" s="976">
        <f>SUM(V10:V22)</f>
        <v>64148.185344672136</v>
      </c>
      <c r="W9" s="1032"/>
      <c r="X9" s="1198"/>
      <c r="Y9" s="976">
        <f>SUM(Y10:Y22)</f>
        <v>20856.986114754094</v>
      </c>
      <c r="Z9" s="1032"/>
      <c r="AA9" s="1191"/>
      <c r="AB9" s="989">
        <f>SUM(AB10:AB22)</f>
        <v>39745.32606252277</v>
      </c>
      <c r="AC9" s="1032"/>
      <c r="AD9" s="1191"/>
      <c r="AE9" s="989">
        <f>SUM(AE10:AE22)</f>
        <v>25502.953327868847</v>
      </c>
      <c r="AF9" s="1032"/>
      <c r="AG9" s="1191"/>
      <c r="AH9" s="989">
        <f>SUM(AH10:AH22)</f>
        <v>598891.12489972683</v>
      </c>
      <c r="AI9" s="1032"/>
      <c r="AJ9" s="1191"/>
      <c r="AK9" s="989">
        <f>SUM(AK10:AK22)</f>
        <v>19671.753783333334</v>
      </c>
      <c r="AL9" s="1032"/>
      <c r="AM9" s="1191"/>
      <c r="AN9" s="989">
        <f>SUM(AN10:AN22)</f>
        <v>26023.033584335157</v>
      </c>
      <c r="AO9" s="1032"/>
      <c r="AP9" s="1191"/>
      <c r="AQ9" s="989">
        <f>SUM(AQ10:AQ22)</f>
        <v>13318.439344262293</v>
      </c>
      <c r="AR9" s="1032"/>
      <c r="AS9" s="1191"/>
      <c r="AT9" s="989">
        <f>SUM(AT10:AT22)</f>
        <v>64450.869187522767</v>
      </c>
      <c r="AU9" s="1032"/>
      <c r="AV9" s="1191"/>
      <c r="AW9" s="989">
        <f>SUM(AW10:AW22)</f>
        <v>262171.33557956282</v>
      </c>
      <c r="AX9" s="1032"/>
      <c r="AY9" s="1191"/>
      <c r="AZ9" s="989">
        <f>SUM(AZ10:AZ22)</f>
        <v>280170.83875136613</v>
      </c>
      <c r="BA9" s="1032"/>
      <c r="BB9" s="1191"/>
      <c r="BC9" s="989">
        <f>SUM(BC10:BC22)</f>
        <v>66715.364605391616</v>
      </c>
      <c r="BD9" s="1032"/>
      <c r="BE9" s="1191"/>
      <c r="BF9" s="989">
        <f>SUM(BF10:BF22)</f>
        <v>64012.931111293256</v>
      </c>
      <c r="BG9" s="1032"/>
      <c r="BH9" s="1198"/>
      <c r="BI9" s="976">
        <f>SUM(BI10:BI22)</f>
        <v>24053.70975182149</v>
      </c>
      <c r="BJ9" s="1032"/>
      <c r="BK9" s="1198"/>
      <c r="BL9" s="976">
        <f>SUM(BL10:BL22)</f>
        <v>10790.72381967213</v>
      </c>
    </row>
    <row r="10" spans="4:76" x14ac:dyDescent="0.2">
      <c r="D10" s="975">
        <v>1</v>
      </c>
      <c r="E10" s="965" t="s">
        <v>3685</v>
      </c>
      <c r="F10" s="985">
        <f>463.77*E5</f>
        <v>524.06009999999992</v>
      </c>
      <c r="G10" s="974">
        <f>K10+N10+Q10+T10+W10+Z10+AC10+AF10+AI10+AL10+AO10+AR10+AU10+AX10+BA10+BD10+BG10+BJ10</f>
        <v>44</v>
      </c>
      <c r="H10" s="974" t="s">
        <v>1826</v>
      </c>
      <c r="I10" s="963">
        <f t="shared" ref="I10:I22" si="0">+M10+P10+S10+V10+Y10+AB10+AE10+AH10+AN10+AQ10+AT10+AW10+AZ10+BC10+BF10+AK10+BI10+BL10</f>
        <v>33539.846399999988</v>
      </c>
      <c r="K10" s="1035">
        <f>$M$3*L10</f>
        <v>4</v>
      </c>
      <c r="L10" s="961">
        <v>4</v>
      </c>
      <c r="M10" s="986">
        <f>+L10*$F$10</f>
        <v>2096.2403999999997</v>
      </c>
      <c r="N10" s="1035">
        <f>$P$3*O10</f>
        <v>0</v>
      </c>
      <c r="O10" s="961">
        <v>4</v>
      </c>
      <c r="P10" s="986">
        <f>+O10*$F$10</f>
        <v>2096.2403999999997</v>
      </c>
      <c r="Q10" s="1035">
        <f>$S$3*R10</f>
        <v>4</v>
      </c>
      <c r="R10" s="961">
        <v>4</v>
      </c>
      <c r="S10" s="986">
        <f>+R10*$F$10</f>
        <v>2096.2403999999997</v>
      </c>
      <c r="T10" s="1035">
        <f>$V$3*U10</f>
        <v>0</v>
      </c>
      <c r="U10" s="961">
        <v>0</v>
      </c>
      <c r="V10" s="986">
        <f>+U10*$F$10</f>
        <v>0</v>
      </c>
      <c r="W10" s="1035">
        <f>$Y$3*X10</f>
        <v>0</v>
      </c>
      <c r="X10" s="961">
        <v>4</v>
      </c>
      <c r="Y10" s="986">
        <f>+X10*$F$10</f>
        <v>2096.2403999999997</v>
      </c>
      <c r="Z10" s="1035">
        <f>$AB$3*AA10</f>
        <v>4</v>
      </c>
      <c r="AA10" s="961">
        <v>4</v>
      </c>
      <c r="AB10" s="986">
        <f>+AA10*$F$10</f>
        <v>2096.2403999999997</v>
      </c>
      <c r="AC10" s="1035">
        <f>$AE$3*AD10</f>
        <v>4</v>
      </c>
      <c r="AD10" s="961">
        <v>4</v>
      </c>
      <c r="AE10" s="986">
        <f>+AD10*$F$10</f>
        <v>2096.2403999999997</v>
      </c>
      <c r="AF10" s="1035">
        <f>$AH$3*AG10</f>
        <v>0</v>
      </c>
      <c r="AG10" s="961">
        <f>0*AH3</f>
        <v>0</v>
      </c>
      <c r="AH10" s="986">
        <f>+AG10*$F$10</f>
        <v>0</v>
      </c>
      <c r="AI10" s="1035">
        <f>$AK$3*AJ10</f>
        <v>0</v>
      </c>
      <c r="AJ10" s="961">
        <f>0*AK3</f>
        <v>0</v>
      </c>
      <c r="AK10" s="986">
        <f>+AJ10*$F$10</f>
        <v>0</v>
      </c>
      <c r="AL10" s="1035">
        <f>$AN$3*AM10</f>
        <v>4</v>
      </c>
      <c r="AM10" s="961">
        <v>2</v>
      </c>
      <c r="AN10" s="986">
        <f>+AM10*$F$10</f>
        <v>1048.1201999999998</v>
      </c>
      <c r="AO10" s="1035">
        <f>$AQ$3*AP10</f>
        <v>0</v>
      </c>
      <c r="AP10" s="961">
        <v>0</v>
      </c>
      <c r="AQ10" s="986">
        <f>+AP10*$F$10</f>
        <v>0</v>
      </c>
      <c r="AR10" s="1035">
        <f>$AT$3*AS10</f>
        <v>10</v>
      </c>
      <c r="AS10" s="961">
        <v>10</v>
      </c>
      <c r="AT10" s="986">
        <f>+AS10*$F$10</f>
        <v>5240.6009999999987</v>
      </c>
      <c r="AU10" s="1035">
        <f>$AW$3*AV10</f>
        <v>0</v>
      </c>
      <c r="AV10" s="961">
        <v>6</v>
      </c>
      <c r="AW10" s="986">
        <f>+AV10*$F$10</f>
        <v>3144.3605999999995</v>
      </c>
      <c r="AX10" s="1035">
        <f>$AZ$3*AY10</f>
        <v>6</v>
      </c>
      <c r="AY10" s="961">
        <f>6*AZ3</f>
        <v>6</v>
      </c>
      <c r="AZ10" s="986">
        <f>+AY10*$F$10</f>
        <v>3144.3605999999995</v>
      </c>
      <c r="BA10" s="1035">
        <f>$BC$3*BB10</f>
        <v>0</v>
      </c>
      <c r="BB10" s="961">
        <v>4</v>
      </c>
      <c r="BC10" s="986">
        <f>+BB10*$F$10</f>
        <v>2096.2403999999997</v>
      </c>
      <c r="BD10" s="1035">
        <f>$BF$3*BE10</f>
        <v>0</v>
      </c>
      <c r="BE10" s="961">
        <v>4</v>
      </c>
      <c r="BF10" s="986">
        <f>+BE10*$F$10</f>
        <v>2096.2403999999997</v>
      </c>
      <c r="BG10" s="1035">
        <f>$BI$3*BH10</f>
        <v>0</v>
      </c>
      <c r="BH10" s="961">
        <v>4</v>
      </c>
      <c r="BI10" s="986">
        <f>+BH10*$F$10</f>
        <v>2096.2403999999997</v>
      </c>
      <c r="BJ10" s="1035">
        <f>$BL$3*BK10</f>
        <v>8</v>
      </c>
      <c r="BK10" s="961">
        <v>4</v>
      </c>
      <c r="BL10" s="986">
        <f>+BK10*$F$10</f>
        <v>2096.2403999999997</v>
      </c>
      <c r="BN10" s="961">
        <v>4</v>
      </c>
      <c r="BO10" s="961">
        <v>4</v>
      </c>
      <c r="BP10">
        <f t="shared" ref="BP10:BP22" si="1">SUM(BN10+BO10)</f>
        <v>8</v>
      </c>
      <c r="BR10" s="961">
        <v>0</v>
      </c>
      <c r="BS10" s="961">
        <v>4</v>
      </c>
      <c r="BU10">
        <f t="shared" ref="BU10:BU22" si="2">SUM(BR10+BS10)</f>
        <v>4</v>
      </c>
      <c r="BW10" s="961">
        <v>0</v>
      </c>
      <c r="BX10">
        <f t="shared" ref="BX10:BX22" si="3">BW10*3</f>
        <v>0</v>
      </c>
    </row>
    <row r="11" spans="4:76" x14ac:dyDescent="0.2">
      <c r="D11" s="975">
        <v>2</v>
      </c>
      <c r="E11" s="965" t="s">
        <v>3684</v>
      </c>
      <c r="F11" s="985">
        <f>177.46*E5</f>
        <v>200.52979999999999</v>
      </c>
      <c r="G11" s="974">
        <f t="shared" ref="G11:G22" si="4">K11+N11+Q11+T11+W11+Z11+AC11+AF11+AI11+AL11+AO11+AR11+AU11+AX11+BA11+BD11+BG11+BJ11</f>
        <v>94</v>
      </c>
      <c r="H11" s="974" t="s">
        <v>1826</v>
      </c>
      <c r="I11" s="963">
        <f t="shared" si="0"/>
        <v>19250.860799999999</v>
      </c>
      <c r="K11" s="1035">
        <f t="shared" ref="K11:K22" si="5">$M$3*L11</f>
        <v>4</v>
      </c>
      <c r="L11" s="961">
        <v>4</v>
      </c>
      <c r="M11" s="986">
        <f>+L11*$F$11</f>
        <v>802.11919999999998</v>
      </c>
      <c r="N11" s="1035">
        <f t="shared" ref="N11:N22" si="6">$P$3*O11</f>
        <v>0</v>
      </c>
      <c r="O11" s="961">
        <v>0</v>
      </c>
      <c r="P11" s="986">
        <f>+O11*$F$11</f>
        <v>0</v>
      </c>
      <c r="Q11" s="1035">
        <f t="shared" ref="Q11:Q22" si="7">$S$3*R11</f>
        <v>0</v>
      </c>
      <c r="R11" s="961">
        <v>0</v>
      </c>
      <c r="S11" s="986">
        <f>+R11*$F$11</f>
        <v>0</v>
      </c>
      <c r="T11" s="1035">
        <f t="shared" ref="T11:T22" si="8">$V$3*U11</f>
        <v>8</v>
      </c>
      <c r="U11" s="961">
        <v>4</v>
      </c>
      <c r="V11" s="986">
        <f>+U11*$F$11</f>
        <v>802.11919999999998</v>
      </c>
      <c r="W11" s="1035">
        <f t="shared" ref="W11:W22" si="9">$Y$3*X11</f>
        <v>0</v>
      </c>
      <c r="X11" s="961">
        <v>0</v>
      </c>
      <c r="Y11" s="986">
        <f>+X11*$F$11</f>
        <v>0</v>
      </c>
      <c r="Z11" s="1035">
        <f t="shared" ref="Z11:Z22" si="10">$AB$3*AA11</f>
        <v>4</v>
      </c>
      <c r="AA11" s="961">
        <v>4</v>
      </c>
      <c r="AB11" s="986">
        <f>+AA11*$F$11</f>
        <v>802.11919999999998</v>
      </c>
      <c r="AC11" s="1035">
        <f t="shared" ref="AC11:AC22" si="11">$AE$3*AD11</f>
        <v>0</v>
      </c>
      <c r="AD11" s="961">
        <v>0</v>
      </c>
      <c r="AE11" s="986">
        <f>+AD11*$F$11</f>
        <v>0</v>
      </c>
      <c r="AF11" s="1035">
        <f t="shared" ref="AF11:AF22" si="12">$AH$3*AG11</f>
        <v>54</v>
      </c>
      <c r="AG11" s="961">
        <f>6*$AH$3</f>
        <v>18</v>
      </c>
      <c r="AH11" s="986">
        <f>+AG11*$F$11</f>
        <v>3609.5364</v>
      </c>
      <c r="AI11" s="1035">
        <f t="shared" ref="AI11:AI22" si="13">$AK$3*AJ11</f>
        <v>0</v>
      </c>
      <c r="AJ11" s="961">
        <f>6*$AH$3</f>
        <v>18</v>
      </c>
      <c r="AK11" s="986">
        <f>+AJ11*$F$11</f>
        <v>3609.5364</v>
      </c>
      <c r="AL11" s="1035">
        <f t="shared" ref="AL11:AL22" si="14">$AN$3*AM11</f>
        <v>8</v>
      </c>
      <c r="AM11" s="961">
        <v>4</v>
      </c>
      <c r="AN11" s="986">
        <f>+AM11*$F$11</f>
        <v>802.11919999999998</v>
      </c>
      <c r="AO11" s="1035">
        <f t="shared" ref="AO11:AO22" si="15">$AQ$3*AP11</f>
        <v>0</v>
      </c>
      <c r="AP11" s="961">
        <v>0</v>
      </c>
      <c r="AQ11" s="986">
        <f>+AP11*$F$11</f>
        <v>0</v>
      </c>
      <c r="AR11" s="1035">
        <f t="shared" ref="AR11:AR22" si="16">$AT$3*AS11</f>
        <v>4</v>
      </c>
      <c r="AS11" s="961">
        <v>4</v>
      </c>
      <c r="AT11" s="986">
        <f>+AS11*$F$11</f>
        <v>802.11919999999998</v>
      </c>
      <c r="AU11" s="1035">
        <f t="shared" ref="AU11:AU22" si="17">$AW$3*AV11</f>
        <v>0</v>
      </c>
      <c r="AV11" s="961">
        <v>12</v>
      </c>
      <c r="AW11" s="986">
        <f>+AV11*$F$11</f>
        <v>2406.3575999999998</v>
      </c>
      <c r="AX11" s="1035">
        <f t="shared" ref="AX11:AX22" si="18">$AZ$3*AY11</f>
        <v>12</v>
      </c>
      <c r="AY11" s="961">
        <f>12*AZ3</f>
        <v>12</v>
      </c>
      <c r="AZ11" s="986">
        <f>+AY11*$F$11</f>
        <v>2406.3575999999998</v>
      </c>
      <c r="BA11" s="1035">
        <f t="shared" ref="BA11:BA22" si="19">$BC$3*BB11</f>
        <v>0</v>
      </c>
      <c r="BB11" s="961">
        <v>6</v>
      </c>
      <c r="BC11" s="986">
        <f>+BB11*$F$11</f>
        <v>1203.1787999999999</v>
      </c>
      <c r="BD11" s="1035">
        <f t="shared" ref="BD11:BD22" si="20">$BF$3*BE11</f>
        <v>0</v>
      </c>
      <c r="BE11" s="961">
        <v>6</v>
      </c>
      <c r="BF11" s="986">
        <f>+BE11*$F$11</f>
        <v>1203.1787999999999</v>
      </c>
      <c r="BG11" s="1035">
        <f t="shared" ref="BG11:BG22" si="21">$BI$3*BH11</f>
        <v>0</v>
      </c>
      <c r="BH11" s="961">
        <v>4</v>
      </c>
      <c r="BI11" s="986">
        <f>+BH11*$F$11</f>
        <v>802.11919999999998</v>
      </c>
      <c r="BJ11" s="1035">
        <f t="shared" ref="BJ11:BJ22" si="22">$BL$3*BK11</f>
        <v>0</v>
      </c>
      <c r="BK11" s="961">
        <v>0</v>
      </c>
      <c r="BL11" s="986">
        <f>+BK11*$F$11</f>
        <v>0</v>
      </c>
      <c r="BN11" s="961">
        <v>0</v>
      </c>
      <c r="BO11" s="961">
        <v>4</v>
      </c>
      <c r="BP11">
        <f t="shared" si="1"/>
        <v>4</v>
      </c>
      <c r="BR11" s="961">
        <v>4</v>
      </c>
      <c r="BS11" s="961">
        <v>0</v>
      </c>
      <c r="BU11">
        <f t="shared" si="2"/>
        <v>4</v>
      </c>
      <c r="BW11" s="961">
        <v>4</v>
      </c>
      <c r="BX11">
        <f t="shared" si="3"/>
        <v>12</v>
      </c>
    </row>
    <row r="12" spans="4:76" x14ac:dyDescent="0.2">
      <c r="D12" s="975">
        <v>3</v>
      </c>
      <c r="E12" s="965" t="s">
        <v>3683</v>
      </c>
      <c r="F12" s="985">
        <f>763.51*E5</f>
        <v>862.76629999999989</v>
      </c>
      <c r="G12" s="974">
        <f t="shared" si="4"/>
        <v>48</v>
      </c>
      <c r="H12" s="974" t="s">
        <v>1826</v>
      </c>
      <c r="I12" s="963">
        <f t="shared" si="0"/>
        <v>39687.249799999991</v>
      </c>
      <c r="K12" s="1035">
        <f t="shared" si="5"/>
        <v>2</v>
      </c>
      <c r="L12" s="961">
        <v>2</v>
      </c>
      <c r="M12" s="986">
        <f>+L12*$F$12</f>
        <v>1725.5325999999998</v>
      </c>
      <c r="N12" s="1035">
        <f t="shared" si="6"/>
        <v>0</v>
      </c>
      <c r="O12" s="961">
        <v>2</v>
      </c>
      <c r="P12" s="986">
        <f>+O12*$F$12</f>
        <v>1725.5325999999998</v>
      </c>
      <c r="Q12" s="1035">
        <f t="shared" si="7"/>
        <v>2</v>
      </c>
      <c r="R12" s="961">
        <v>2</v>
      </c>
      <c r="S12" s="986">
        <f>+R12*$F$12</f>
        <v>1725.5325999999998</v>
      </c>
      <c r="T12" s="1035">
        <f t="shared" si="8"/>
        <v>6</v>
      </c>
      <c r="U12" s="961">
        <v>3</v>
      </c>
      <c r="V12" s="986">
        <f>+U12*$F$12</f>
        <v>2588.2988999999998</v>
      </c>
      <c r="W12" s="1035">
        <f t="shared" si="9"/>
        <v>0</v>
      </c>
      <c r="X12" s="961">
        <v>2</v>
      </c>
      <c r="Y12" s="986">
        <f>+X12*$F$12</f>
        <v>1725.5325999999998</v>
      </c>
      <c r="Z12" s="1035">
        <f t="shared" si="10"/>
        <v>2</v>
      </c>
      <c r="AA12" s="961">
        <v>2</v>
      </c>
      <c r="AB12" s="986">
        <f>+AA12*$F$12</f>
        <v>1725.5325999999998</v>
      </c>
      <c r="AC12" s="1035">
        <f t="shared" si="11"/>
        <v>2</v>
      </c>
      <c r="AD12" s="961">
        <v>2</v>
      </c>
      <c r="AE12" s="986">
        <f>+AD12*$F$12</f>
        <v>1725.5325999999998</v>
      </c>
      <c r="AF12" s="1035">
        <f t="shared" si="12"/>
        <v>18</v>
      </c>
      <c r="AG12" s="961">
        <f>2*AH3</f>
        <v>6</v>
      </c>
      <c r="AH12" s="986">
        <f>+AG12*$F$12</f>
        <v>5176.5977999999996</v>
      </c>
      <c r="AI12" s="1035">
        <f t="shared" si="13"/>
        <v>0</v>
      </c>
      <c r="AJ12" s="961">
        <f>2*AK3</f>
        <v>0</v>
      </c>
      <c r="AK12" s="986">
        <f>+AJ12*$F$12</f>
        <v>0</v>
      </c>
      <c r="AL12" s="1035">
        <f t="shared" si="14"/>
        <v>2</v>
      </c>
      <c r="AM12" s="961">
        <v>1</v>
      </c>
      <c r="AN12" s="986">
        <f>+AM12*$F$12</f>
        <v>862.76629999999989</v>
      </c>
      <c r="AO12" s="1035">
        <f t="shared" si="15"/>
        <v>0</v>
      </c>
      <c r="AP12" s="961">
        <v>0</v>
      </c>
      <c r="AQ12" s="986">
        <f>+AP12*$F$12</f>
        <v>0</v>
      </c>
      <c r="AR12" s="1035">
        <f t="shared" si="16"/>
        <v>4</v>
      </c>
      <c r="AS12" s="961">
        <v>4</v>
      </c>
      <c r="AT12" s="986">
        <f>+AS12*$F$12</f>
        <v>3451.0651999999995</v>
      </c>
      <c r="AU12" s="1035">
        <f t="shared" si="17"/>
        <v>0</v>
      </c>
      <c r="AV12" s="961">
        <v>6</v>
      </c>
      <c r="AW12" s="986">
        <f>+AV12*$F$12</f>
        <v>5176.5977999999996</v>
      </c>
      <c r="AX12" s="1035">
        <f t="shared" si="18"/>
        <v>6</v>
      </c>
      <c r="AY12" s="961">
        <f>6*AZ3</f>
        <v>6</v>
      </c>
      <c r="AZ12" s="986">
        <f>+AY12*$F$12</f>
        <v>5176.5977999999996</v>
      </c>
      <c r="BA12" s="1035">
        <f t="shared" si="19"/>
        <v>0</v>
      </c>
      <c r="BB12" s="961">
        <v>2</v>
      </c>
      <c r="BC12" s="986">
        <f>+BB12*$F$12</f>
        <v>1725.5325999999998</v>
      </c>
      <c r="BD12" s="1035">
        <f t="shared" si="20"/>
        <v>0</v>
      </c>
      <c r="BE12" s="961">
        <v>2</v>
      </c>
      <c r="BF12" s="986">
        <f>+BE12*$F$12</f>
        <v>1725.5325999999998</v>
      </c>
      <c r="BG12" s="1035">
        <f t="shared" si="21"/>
        <v>0</v>
      </c>
      <c r="BH12" s="961">
        <v>2</v>
      </c>
      <c r="BI12" s="986">
        <f>+BH12*$F$12</f>
        <v>1725.5325999999998</v>
      </c>
      <c r="BJ12" s="1035">
        <f t="shared" si="22"/>
        <v>4</v>
      </c>
      <c r="BK12" s="961">
        <v>2</v>
      </c>
      <c r="BL12" s="986">
        <f>+BK12*$F$12</f>
        <v>1725.5325999999998</v>
      </c>
      <c r="BN12" s="961">
        <v>2</v>
      </c>
      <c r="BO12" s="961">
        <v>2</v>
      </c>
      <c r="BP12">
        <f t="shared" si="1"/>
        <v>4</v>
      </c>
      <c r="BR12" s="961">
        <v>3</v>
      </c>
      <c r="BS12" s="961">
        <v>2</v>
      </c>
      <c r="BU12">
        <f t="shared" si="2"/>
        <v>5</v>
      </c>
      <c r="BW12" s="961">
        <v>3</v>
      </c>
      <c r="BX12">
        <f t="shared" si="3"/>
        <v>9</v>
      </c>
    </row>
    <row r="13" spans="4:76" x14ac:dyDescent="0.2">
      <c r="D13" s="975">
        <v>4</v>
      </c>
      <c r="E13" s="965" t="s">
        <v>3682</v>
      </c>
      <c r="F13" s="985">
        <f>202.56*E5</f>
        <v>228.89279999999999</v>
      </c>
      <c r="G13" s="974">
        <f t="shared" si="4"/>
        <v>44</v>
      </c>
      <c r="H13" s="974" t="s">
        <v>1826</v>
      </c>
      <c r="I13" s="963">
        <f t="shared" si="0"/>
        <v>5493.4272000000001</v>
      </c>
      <c r="K13" s="1035">
        <f t="shared" si="5"/>
        <v>0</v>
      </c>
      <c r="L13" s="961">
        <v>0</v>
      </c>
      <c r="M13" s="986">
        <f>+L13*$F$13</f>
        <v>0</v>
      </c>
      <c r="N13" s="1035">
        <f t="shared" si="6"/>
        <v>0</v>
      </c>
      <c r="O13" s="961">
        <v>0</v>
      </c>
      <c r="P13" s="986">
        <f>+O13*$F$13</f>
        <v>0</v>
      </c>
      <c r="Q13" s="1035">
        <f t="shared" si="7"/>
        <v>0</v>
      </c>
      <c r="R13" s="961">
        <v>0</v>
      </c>
      <c r="S13" s="986">
        <f>+R13*$F$13</f>
        <v>0</v>
      </c>
      <c r="T13" s="1035">
        <f t="shared" si="8"/>
        <v>0</v>
      </c>
      <c r="U13" s="961">
        <v>0</v>
      </c>
      <c r="V13" s="986">
        <f>+U13*$F$13</f>
        <v>0</v>
      </c>
      <c r="W13" s="1035">
        <f t="shared" si="9"/>
        <v>0</v>
      </c>
      <c r="X13" s="961">
        <v>0</v>
      </c>
      <c r="Y13" s="986">
        <f>+X13*$F$13</f>
        <v>0</v>
      </c>
      <c r="Z13" s="1035">
        <f t="shared" si="10"/>
        <v>0</v>
      </c>
      <c r="AA13" s="961">
        <v>0</v>
      </c>
      <c r="AB13" s="986">
        <f>+AA13*$F$13</f>
        <v>0</v>
      </c>
      <c r="AC13" s="1035">
        <f t="shared" si="11"/>
        <v>0</v>
      </c>
      <c r="AD13" s="961">
        <v>0</v>
      </c>
      <c r="AE13" s="986">
        <f>+AD13*$F$13</f>
        <v>0</v>
      </c>
      <c r="AF13" s="1035">
        <f t="shared" si="12"/>
        <v>36</v>
      </c>
      <c r="AG13" s="961">
        <f>4*AH3</f>
        <v>12</v>
      </c>
      <c r="AH13" s="986">
        <f>+AG13*$F$13</f>
        <v>2746.7136</v>
      </c>
      <c r="AI13" s="1035">
        <f t="shared" si="13"/>
        <v>0</v>
      </c>
      <c r="AJ13" s="961">
        <f>4*AK3</f>
        <v>0</v>
      </c>
      <c r="AK13" s="986">
        <f>+AJ13*$F$13</f>
        <v>0</v>
      </c>
      <c r="AL13" s="1035">
        <f t="shared" si="14"/>
        <v>0</v>
      </c>
      <c r="AM13" s="961">
        <v>0</v>
      </c>
      <c r="AN13" s="986">
        <f>+AM13*$F$13</f>
        <v>0</v>
      </c>
      <c r="AO13" s="1035">
        <f t="shared" si="15"/>
        <v>0</v>
      </c>
      <c r="AP13" s="961">
        <v>0</v>
      </c>
      <c r="AQ13" s="986">
        <f>+AP13*$F$13</f>
        <v>0</v>
      </c>
      <c r="AR13" s="1035">
        <f t="shared" si="16"/>
        <v>0</v>
      </c>
      <c r="AS13" s="961">
        <v>0</v>
      </c>
      <c r="AT13" s="986">
        <f>+AS13*$F$13</f>
        <v>0</v>
      </c>
      <c r="AU13" s="1035">
        <f t="shared" si="17"/>
        <v>0</v>
      </c>
      <c r="AV13" s="961">
        <v>4</v>
      </c>
      <c r="AW13" s="986">
        <f>+AV13*$F$13</f>
        <v>915.57119999999998</v>
      </c>
      <c r="AX13" s="1035">
        <f t="shared" si="18"/>
        <v>8</v>
      </c>
      <c r="AY13" s="961">
        <f>8*AZ3</f>
        <v>8</v>
      </c>
      <c r="AZ13" s="986">
        <f>+AY13*$F$13</f>
        <v>1831.1424</v>
      </c>
      <c r="BA13" s="1035">
        <f t="shared" si="19"/>
        <v>0</v>
      </c>
      <c r="BB13" s="961">
        <v>0</v>
      </c>
      <c r="BC13" s="986">
        <f>+BB13*$F$13</f>
        <v>0</v>
      </c>
      <c r="BD13" s="1035">
        <f t="shared" si="20"/>
        <v>0</v>
      </c>
      <c r="BE13" s="961">
        <v>0</v>
      </c>
      <c r="BF13" s="986">
        <f>+BE13*$F$13</f>
        <v>0</v>
      </c>
      <c r="BG13" s="1035">
        <f t="shared" si="21"/>
        <v>0</v>
      </c>
      <c r="BH13" s="961">
        <v>0</v>
      </c>
      <c r="BI13" s="986">
        <f>+BH13*$F$13</f>
        <v>0</v>
      </c>
      <c r="BJ13" s="1035">
        <f t="shared" si="22"/>
        <v>0</v>
      </c>
      <c r="BK13" s="961">
        <v>0</v>
      </c>
      <c r="BL13" s="986">
        <f>+BK13*$F$13</f>
        <v>0</v>
      </c>
      <c r="BN13" s="961">
        <v>0</v>
      </c>
      <c r="BO13" s="961">
        <v>0</v>
      </c>
      <c r="BP13">
        <f t="shared" si="1"/>
        <v>0</v>
      </c>
      <c r="BR13" s="961">
        <v>0</v>
      </c>
      <c r="BS13" s="961">
        <v>0</v>
      </c>
      <c r="BU13">
        <f t="shared" si="2"/>
        <v>0</v>
      </c>
      <c r="BW13" s="961">
        <v>0</v>
      </c>
      <c r="BX13">
        <f t="shared" si="3"/>
        <v>0</v>
      </c>
    </row>
    <row r="14" spans="4:76" x14ac:dyDescent="0.2">
      <c r="D14" s="975">
        <v>5</v>
      </c>
      <c r="E14" s="965" t="s">
        <v>3681</v>
      </c>
      <c r="F14" s="985">
        <f>3184.53*E5</f>
        <v>3598.5189</v>
      </c>
      <c r="G14" s="974">
        <f t="shared" si="4"/>
        <v>11</v>
      </c>
      <c r="H14" s="974" t="s">
        <v>1826</v>
      </c>
      <c r="I14" s="963">
        <f t="shared" si="0"/>
        <v>21591.113400000002</v>
      </c>
      <c r="K14" s="1035">
        <f t="shared" si="5"/>
        <v>0</v>
      </c>
      <c r="L14" s="961">
        <v>0</v>
      </c>
      <c r="M14" s="986">
        <f>+L14*$F$14</f>
        <v>0</v>
      </c>
      <c r="N14" s="1035">
        <f t="shared" si="6"/>
        <v>0</v>
      </c>
      <c r="O14" s="961">
        <v>0</v>
      </c>
      <c r="P14" s="986">
        <f>+O14*$F$14</f>
        <v>0</v>
      </c>
      <c r="Q14" s="1035">
        <f t="shared" si="7"/>
        <v>0</v>
      </c>
      <c r="R14" s="961">
        <v>0</v>
      </c>
      <c r="S14" s="986">
        <f>+R14*$F$14</f>
        <v>0</v>
      </c>
      <c r="T14" s="1035">
        <f t="shared" si="8"/>
        <v>0</v>
      </c>
      <c r="U14" s="961">
        <v>0</v>
      </c>
      <c r="V14" s="986">
        <f>+U14*$F$14</f>
        <v>0</v>
      </c>
      <c r="W14" s="1035">
        <f t="shared" si="9"/>
        <v>0</v>
      </c>
      <c r="X14" s="961">
        <v>0</v>
      </c>
      <c r="Y14" s="986">
        <f>+X14*$F$14</f>
        <v>0</v>
      </c>
      <c r="Z14" s="1035">
        <f t="shared" si="10"/>
        <v>0</v>
      </c>
      <c r="AA14" s="961">
        <v>0</v>
      </c>
      <c r="AB14" s="986">
        <f>+AA14*$F$14</f>
        <v>0</v>
      </c>
      <c r="AC14" s="1035">
        <f t="shared" si="11"/>
        <v>0</v>
      </c>
      <c r="AD14" s="961">
        <v>0</v>
      </c>
      <c r="AE14" s="986">
        <f>+AD14*$F$14</f>
        <v>0</v>
      </c>
      <c r="AF14" s="1035">
        <f t="shared" si="12"/>
        <v>9</v>
      </c>
      <c r="AG14" s="961">
        <f>1*AH3</f>
        <v>3</v>
      </c>
      <c r="AH14" s="986">
        <f>+AG14*$F$14</f>
        <v>10795.556700000001</v>
      </c>
      <c r="AI14" s="1035">
        <f t="shared" si="13"/>
        <v>0</v>
      </c>
      <c r="AJ14" s="961">
        <f>1*AK3</f>
        <v>0</v>
      </c>
      <c r="AK14" s="986">
        <f>+AJ14*$F$14</f>
        <v>0</v>
      </c>
      <c r="AL14" s="1035">
        <f t="shared" si="14"/>
        <v>0</v>
      </c>
      <c r="AM14" s="961">
        <v>0</v>
      </c>
      <c r="AN14" s="986">
        <f>+AM14*$F$14</f>
        <v>0</v>
      </c>
      <c r="AO14" s="1035">
        <f t="shared" si="15"/>
        <v>0</v>
      </c>
      <c r="AP14" s="961">
        <v>0</v>
      </c>
      <c r="AQ14" s="986">
        <f>+AP14*$F$14</f>
        <v>0</v>
      </c>
      <c r="AR14" s="1035">
        <f t="shared" si="16"/>
        <v>0</v>
      </c>
      <c r="AS14" s="961">
        <v>0</v>
      </c>
      <c r="AT14" s="986">
        <f>+AS14*$F$14</f>
        <v>0</v>
      </c>
      <c r="AU14" s="1035">
        <f t="shared" si="17"/>
        <v>0</v>
      </c>
      <c r="AV14" s="961">
        <v>1</v>
      </c>
      <c r="AW14" s="986">
        <f>+AV14*$F$14</f>
        <v>3598.5189</v>
      </c>
      <c r="AX14" s="1035">
        <f t="shared" si="18"/>
        <v>2</v>
      </c>
      <c r="AY14" s="961">
        <f>2*AZ3</f>
        <v>2</v>
      </c>
      <c r="AZ14" s="986">
        <f>+AY14*$F$14</f>
        <v>7197.0378000000001</v>
      </c>
      <c r="BA14" s="1035">
        <f t="shared" si="19"/>
        <v>0</v>
      </c>
      <c r="BB14" s="961">
        <v>0</v>
      </c>
      <c r="BC14" s="986">
        <f>+BB14*$F$14</f>
        <v>0</v>
      </c>
      <c r="BD14" s="1035">
        <f t="shared" si="20"/>
        <v>0</v>
      </c>
      <c r="BE14" s="961">
        <v>0</v>
      </c>
      <c r="BF14" s="986">
        <f>+BE14*$F$14</f>
        <v>0</v>
      </c>
      <c r="BG14" s="1035">
        <f t="shared" si="21"/>
        <v>0</v>
      </c>
      <c r="BH14" s="961">
        <v>0</v>
      </c>
      <c r="BI14" s="986">
        <f>+BH14*$F$14</f>
        <v>0</v>
      </c>
      <c r="BJ14" s="1035">
        <f t="shared" si="22"/>
        <v>0</v>
      </c>
      <c r="BK14" s="961">
        <v>0</v>
      </c>
      <c r="BL14" s="986">
        <f>+BK14*$F$14</f>
        <v>0</v>
      </c>
      <c r="BN14" s="961">
        <v>0</v>
      </c>
      <c r="BO14" s="961">
        <v>0</v>
      </c>
      <c r="BP14">
        <f t="shared" si="1"/>
        <v>0</v>
      </c>
      <c r="BR14" s="961">
        <v>0</v>
      </c>
      <c r="BS14" s="961">
        <v>0</v>
      </c>
      <c r="BU14">
        <f t="shared" si="2"/>
        <v>0</v>
      </c>
      <c r="BW14" s="961">
        <v>0</v>
      </c>
      <c r="BX14">
        <f t="shared" si="3"/>
        <v>0</v>
      </c>
    </row>
    <row r="15" spans="4:76" x14ac:dyDescent="0.2">
      <c r="D15" s="975">
        <v>6</v>
      </c>
      <c r="E15" s="965" t="s">
        <v>3680</v>
      </c>
      <c r="F15" s="985">
        <f>2580.97*E5</f>
        <v>2916.4960999999994</v>
      </c>
      <c r="G15" s="974">
        <f t="shared" si="4"/>
        <v>22</v>
      </c>
      <c r="H15" s="974" t="s">
        <v>1826</v>
      </c>
      <c r="I15" s="963">
        <f t="shared" si="0"/>
        <v>52496.929799999984</v>
      </c>
      <c r="K15" s="1035">
        <f t="shared" si="5"/>
        <v>0</v>
      </c>
      <c r="L15" s="1015">
        <v>0</v>
      </c>
      <c r="M15" s="986">
        <f>+L15*$F$15</f>
        <v>0</v>
      </c>
      <c r="N15" s="1035">
        <f t="shared" si="6"/>
        <v>0</v>
      </c>
      <c r="O15" s="961">
        <v>0</v>
      </c>
      <c r="P15" s="986">
        <f>+O15*$F$15</f>
        <v>0</v>
      </c>
      <c r="Q15" s="1035">
        <f t="shared" si="7"/>
        <v>0</v>
      </c>
      <c r="R15" s="961">
        <v>0</v>
      </c>
      <c r="S15" s="986">
        <f>+R15*$F$15</f>
        <v>0</v>
      </c>
      <c r="T15" s="1035">
        <f t="shared" si="8"/>
        <v>0</v>
      </c>
      <c r="U15" s="961">
        <v>0</v>
      </c>
      <c r="V15" s="986">
        <f>+U15*$F$15</f>
        <v>0</v>
      </c>
      <c r="W15" s="1035">
        <f t="shared" si="9"/>
        <v>0</v>
      </c>
      <c r="X15" s="961">
        <v>0</v>
      </c>
      <c r="Y15" s="986">
        <f>+X15*$F$15</f>
        <v>0</v>
      </c>
      <c r="Z15" s="1035">
        <f t="shared" si="10"/>
        <v>0</v>
      </c>
      <c r="AA15" s="961">
        <v>0</v>
      </c>
      <c r="AB15" s="986">
        <f>+AA15*$F$15</f>
        <v>0</v>
      </c>
      <c r="AC15" s="1035">
        <f t="shared" si="11"/>
        <v>0</v>
      </c>
      <c r="AD15" s="961">
        <v>0</v>
      </c>
      <c r="AE15" s="986">
        <f>+AD15*$F$15</f>
        <v>0</v>
      </c>
      <c r="AF15" s="1035">
        <f t="shared" si="12"/>
        <v>18</v>
      </c>
      <c r="AG15" s="961">
        <f>2*AH3</f>
        <v>6</v>
      </c>
      <c r="AH15" s="986">
        <f>+AG15*$F$15</f>
        <v>17498.976599999995</v>
      </c>
      <c r="AI15" s="1035">
        <f t="shared" si="13"/>
        <v>0</v>
      </c>
      <c r="AJ15" s="961">
        <v>4</v>
      </c>
      <c r="AK15" s="986">
        <f>+AJ15*$F$15</f>
        <v>11665.984399999998</v>
      </c>
      <c r="AL15" s="1035">
        <f t="shared" si="14"/>
        <v>0</v>
      </c>
      <c r="AM15" s="961">
        <v>0</v>
      </c>
      <c r="AN15" s="986">
        <f>+AM15*$F$15</f>
        <v>0</v>
      </c>
      <c r="AO15" s="1035">
        <f t="shared" si="15"/>
        <v>0</v>
      </c>
      <c r="AP15" s="961">
        <v>0</v>
      </c>
      <c r="AQ15" s="986">
        <f>+AP15*$F$15</f>
        <v>0</v>
      </c>
      <c r="AR15" s="1035">
        <f t="shared" si="16"/>
        <v>0</v>
      </c>
      <c r="AS15" s="961">
        <v>0</v>
      </c>
      <c r="AT15" s="986">
        <f>+AS15*$F$15</f>
        <v>0</v>
      </c>
      <c r="AU15" s="1035">
        <f t="shared" si="17"/>
        <v>0</v>
      </c>
      <c r="AV15" s="961">
        <v>4</v>
      </c>
      <c r="AW15" s="986">
        <f>+AV15*$F$15</f>
        <v>11665.984399999998</v>
      </c>
      <c r="AX15" s="1035">
        <f t="shared" si="18"/>
        <v>4</v>
      </c>
      <c r="AY15" s="961">
        <f>4*AZ3</f>
        <v>4</v>
      </c>
      <c r="AZ15" s="986">
        <f>+AY15*$F$15</f>
        <v>11665.984399999998</v>
      </c>
      <c r="BA15" s="1035">
        <f t="shared" si="19"/>
        <v>0</v>
      </c>
      <c r="BB15" s="961">
        <v>0</v>
      </c>
      <c r="BC15" s="986">
        <f>+BB15*$F$15</f>
        <v>0</v>
      </c>
      <c r="BD15" s="1035">
        <f t="shared" si="20"/>
        <v>0</v>
      </c>
      <c r="BE15" s="961">
        <v>0</v>
      </c>
      <c r="BF15" s="986">
        <f>+BE15*$F$15</f>
        <v>0</v>
      </c>
      <c r="BG15" s="1035">
        <f t="shared" si="21"/>
        <v>0</v>
      </c>
      <c r="BH15" s="961">
        <v>0</v>
      </c>
      <c r="BI15" s="986">
        <f>+BH15*$F$15</f>
        <v>0</v>
      </c>
      <c r="BJ15" s="1035">
        <f t="shared" si="22"/>
        <v>0</v>
      </c>
      <c r="BK15" s="961">
        <v>0</v>
      </c>
      <c r="BL15" s="986">
        <f>+BK15*$F$15</f>
        <v>0</v>
      </c>
      <c r="BN15" s="961">
        <v>0</v>
      </c>
      <c r="BO15" s="961">
        <v>0</v>
      </c>
      <c r="BP15">
        <f t="shared" si="1"/>
        <v>0</v>
      </c>
      <c r="BR15" s="961">
        <v>0</v>
      </c>
      <c r="BS15" s="961">
        <v>0</v>
      </c>
      <c r="BU15">
        <f t="shared" si="2"/>
        <v>0</v>
      </c>
      <c r="BW15" s="961">
        <v>0</v>
      </c>
      <c r="BX15">
        <f t="shared" si="3"/>
        <v>0</v>
      </c>
    </row>
    <row r="16" spans="4:76" x14ac:dyDescent="0.2">
      <c r="D16" s="975">
        <v>7</v>
      </c>
      <c r="E16" s="965" t="s">
        <v>3679</v>
      </c>
      <c r="F16" s="985">
        <f>4442.35*E5</f>
        <v>5019.8554999999997</v>
      </c>
      <c r="G16" s="974">
        <f t="shared" si="4"/>
        <v>6</v>
      </c>
      <c r="H16" s="974" t="s">
        <v>1826</v>
      </c>
      <c r="I16" s="963">
        <f t="shared" si="0"/>
        <v>15059.566499999999</v>
      </c>
      <c r="K16" s="1035">
        <f t="shared" si="5"/>
        <v>0</v>
      </c>
      <c r="L16" s="961">
        <v>0</v>
      </c>
      <c r="M16" s="986">
        <f>+L16*$F$16</f>
        <v>0</v>
      </c>
      <c r="N16" s="1035">
        <f t="shared" si="6"/>
        <v>0</v>
      </c>
      <c r="O16" s="961">
        <v>0</v>
      </c>
      <c r="P16" s="986">
        <f>+O16*$F$16</f>
        <v>0</v>
      </c>
      <c r="Q16" s="1035">
        <f t="shared" si="7"/>
        <v>0</v>
      </c>
      <c r="R16" s="961">
        <v>0</v>
      </c>
      <c r="S16" s="986">
        <f>+R16*$F$16</f>
        <v>0</v>
      </c>
      <c r="T16" s="1035">
        <f t="shared" si="8"/>
        <v>6</v>
      </c>
      <c r="U16" s="961">
        <v>3</v>
      </c>
      <c r="V16" s="986">
        <f>+U16*$F$16</f>
        <v>15059.566499999999</v>
      </c>
      <c r="W16" s="1035">
        <f t="shared" si="9"/>
        <v>0</v>
      </c>
      <c r="X16" s="961">
        <v>0</v>
      </c>
      <c r="Y16" s="986">
        <f>+X16*$F$16</f>
        <v>0</v>
      </c>
      <c r="Z16" s="1035">
        <f t="shared" si="10"/>
        <v>0</v>
      </c>
      <c r="AA16" s="961">
        <v>0</v>
      </c>
      <c r="AB16" s="986">
        <f>+AA16*$F$16</f>
        <v>0</v>
      </c>
      <c r="AC16" s="1035">
        <f t="shared" si="11"/>
        <v>0</v>
      </c>
      <c r="AD16" s="961">
        <v>0</v>
      </c>
      <c r="AE16" s="986">
        <f>+AD16*$F$16</f>
        <v>0</v>
      </c>
      <c r="AF16" s="1035">
        <f t="shared" si="12"/>
        <v>0</v>
      </c>
      <c r="AG16" s="961">
        <f>0*AH3</f>
        <v>0</v>
      </c>
      <c r="AH16" s="986">
        <f>+AG16*$F$16</f>
        <v>0</v>
      </c>
      <c r="AI16" s="1035">
        <f t="shared" si="13"/>
        <v>0</v>
      </c>
      <c r="AJ16" s="961">
        <f>0*AK3</f>
        <v>0</v>
      </c>
      <c r="AK16" s="986">
        <f>+AJ16*$F$16</f>
        <v>0</v>
      </c>
      <c r="AL16" s="1035">
        <f t="shared" si="14"/>
        <v>0</v>
      </c>
      <c r="AM16" s="961">
        <v>0</v>
      </c>
      <c r="AN16" s="986">
        <f>+AM16*$F$16</f>
        <v>0</v>
      </c>
      <c r="AO16" s="1035">
        <f t="shared" si="15"/>
        <v>0</v>
      </c>
      <c r="AP16" s="961">
        <v>0</v>
      </c>
      <c r="AQ16" s="986">
        <f>+AP16*$F$16</f>
        <v>0</v>
      </c>
      <c r="AR16" s="1035">
        <f t="shared" si="16"/>
        <v>0</v>
      </c>
      <c r="AS16" s="961">
        <v>0</v>
      </c>
      <c r="AT16" s="986">
        <f>+AS16*$F$16</f>
        <v>0</v>
      </c>
      <c r="AU16" s="1035">
        <f t="shared" si="17"/>
        <v>0</v>
      </c>
      <c r="AV16" s="961">
        <v>0</v>
      </c>
      <c r="AW16" s="986">
        <f>+AV16*$F$16</f>
        <v>0</v>
      </c>
      <c r="AX16" s="1035">
        <f t="shared" si="18"/>
        <v>0</v>
      </c>
      <c r="AY16" s="961">
        <f>0*AZ3</f>
        <v>0</v>
      </c>
      <c r="AZ16" s="986">
        <f>+AY16*$F$16</f>
        <v>0</v>
      </c>
      <c r="BA16" s="1035">
        <f t="shared" si="19"/>
        <v>0</v>
      </c>
      <c r="BB16" s="961">
        <v>0</v>
      </c>
      <c r="BC16" s="986">
        <f>+BB16*$F$16</f>
        <v>0</v>
      </c>
      <c r="BD16" s="1035">
        <f t="shared" si="20"/>
        <v>0</v>
      </c>
      <c r="BE16" s="961">
        <v>0</v>
      </c>
      <c r="BF16" s="986">
        <f>+BE16*$F$16</f>
        <v>0</v>
      </c>
      <c r="BG16" s="1035">
        <f t="shared" si="21"/>
        <v>0</v>
      </c>
      <c r="BH16" s="961">
        <v>0</v>
      </c>
      <c r="BI16" s="986">
        <f>+BH16*$F$16</f>
        <v>0</v>
      </c>
      <c r="BJ16" s="1035">
        <f t="shared" si="22"/>
        <v>0</v>
      </c>
      <c r="BK16" s="961">
        <v>0</v>
      </c>
      <c r="BL16" s="986">
        <f>+BK16*$F$16</f>
        <v>0</v>
      </c>
      <c r="BN16" s="961">
        <v>0</v>
      </c>
      <c r="BO16" s="961">
        <v>0</v>
      </c>
      <c r="BP16">
        <f t="shared" si="1"/>
        <v>0</v>
      </c>
      <c r="BR16" s="961">
        <v>3</v>
      </c>
      <c r="BS16" s="961">
        <v>0</v>
      </c>
      <c r="BU16">
        <f t="shared" si="2"/>
        <v>3</v>
      </c>
      <c r="BW16" s="961">
        <v>3</v>
      </c>
      <c r="BX16">
        <f t="shared" si="3"/>
        <v>9</v>
      </c>
    </row>
    <row r="17" spans="1:76" x14ac:dyDescent="0.2">
      <c r="A17" s="998" t="s">
        <v>3678</v>
      </c>
      <c r="B17" s="999">
        <f>+ROUNDUP((G17*E3)/10,0)</f>
        <v>2</v>
      </c>
      <c r="D17" s="975">
        <v>8</v>
      </c>
      <c r="E17" s="965" t="s">
        <v>3677</v>
      </c>
      <c r="F17" s="985">
        <f>+(6669.38*E5)/3.6</f>
        <v>2093.4442777777776</v>
      </c>
      <c r="G17" s="974">
        <f t="shared" si="4"/>
        <v>13.65</v>
      </c>
      <c r="H17" s="974" t="s">
        <v>3676</v>
      </c>
      <c r="I17" s="963">
        <f t="shared" si="0"/>
        <v>29726.908744444438</v>
      </c>
      <c r="K17" s="1035">
        <f t="shared" si="5"/>
        <v>0.7</v>
      </c>
      <c r="L17" s="961">
        <v>0.7</v>
      </c>
      <c r="M17" s="986">
        <f>+L17*$F$17</f>
        <v>1465.4109944444442</v>
      </c>
      <c r="N17" s="1035">
        <f t="shared" si="6"/>
        <v>0</v>
      </c>
      <c r="O17" s="961">
        <v>0</v>
      </c>
      <c r="P17" s="986">
        <f>+O17*$F$17</f>
        <v>0</v>
      </c>
      <c r="Q17" s="1035">
        <f t="shared" si="7"/>
        <v>0.8</v>
      </c>
      <c r="R17" s="961">
        <v>0.8</v>
      </c>
      <c r="S17" s="986">
        <f>+R17*$F$17</f>
        <v>1674.7554222222223</v>
      </c>
      <c r="T17" s="1035">
        <f t="shared" si="8"/>
        <v>0.9</v>
      </c>
      <c r="U17" s="961">
        <v>0.45</v>
      </c>
      <c r="V17" s="986">
        <f>+U17*$F$17</f>
        <v>942.04992499999992</v>
      </c>
      <c r="W17" s="1035">
        <f t="shared" si="9"/>
        <v>0</v>
      </c>
      <c r="X17" s="961">
        <v>0</v>
      </c>
      <c r="Y17" s="986">
        <f>+X17*$F$17</f>
        <v>0</v>
      </c>
      <c r="Z17" s="1035">
        <f t="shared" si="10"/>
        <v>0.65</v>
      </c>
      <c r="AA17" s="961">
        <v>0.65</v>
      </c>
      <c r="AB17" s="986">
        <f>+AA17*$F$17</f>
        <v>1360.7387805555554</v>
      </c>
      <c r="AC17" s="1035">
        <f t="shared" si="11"/>
        <v>0</v>
      </c>
      <c r="AD17" s="961">
        <v>0</v>
      </c>
      <c r="AE17" s="986">
        <f>+AD17*$F$17</f>
        <v>0</v>
      </c>
      <c r="AF17" s="1035">
        <f t="shared" si="12"/>
        <v>6.3000000000000007</v>
      </c>
      <c r="AG17" s="961">
        <f>1.5+0.6</f>
        <v>2.1</v>
      </c>
      <c r="AH17" s="986">
        <f>+AG17*$F$17</f>
        <v>4396.2329833333333</v>
      </c>
      <c r="AI17" s="1035">
        <f t="shared" si="13"/>
        <v>0</v>
      </c>
      <c r="AJ17" s="961">
        <f>1.5+0.6</f>
        <v>2.1</v>
      </c>
      <c r="AK17" s="986">
        <f>+AJ17*$F$17</f>
        <v>4396.2329833333333</v>
      </c>
      <c r="AL17" s="1035">
        <f t="shared" si="14"/>
        <v>2</v>
      </c>
      <c r="AM17" s="961">
        <v>1</v>
      </c>
      <c r="AN17" s="986">
        <f>+AM17*$F$17</f>
        <v>2093.4442777777776</v>
      </c>
      <c r="AO17" s="1035">
        <f t="shared" si="15"/>
        <v>0</v>
      </c>
      <c r="AP17" s="961">
        <v>0</v>
      </c>
      <c r="AQ17" s="986">
        <f>+AP17*$F$17</f>
        <v>0</v>
      </c>
      <c r="AR17" s="1035">
        <f t="shared" si="16"/>
        <v>1.1000000000000001</v>
      </c>
      <c r="AS17" s="961">
        <v>1.1000000000000001</v>
      </c>
      <c r="AT17" s="986">
        <f>+AS17*$F$17</f>
        <v>2302.7887055555557</v>
      </c>
      <c r="AU17" s="1035">
        <f t="shared" si="17"/>
        <v>0</v>
      </c>
      <c r="AV17" s="961">
        <v>1.2</v>
      </c>
      <c r="AW17" s="986">
        <f>+AV17*$F$17</f>
        <v>2512.1331333333333</v>
      </c>
      <c r="AX17" s="1035">
        <f t="shared" si="18"/>
        <v>1.2</v>
      </c>
      <c r="AY17" s="961">
        <f>1.2*AZ3</f>
        <v>1.2</v>
      </c>
      <c r="AZ17" s="986">
        <f>+AY17*$F$17</f>
        <v>2512.1331333333333</v>
      </c>
      <c r="BA17" s="1035">
        <f t="shared" si="19"/>
        <v>0</v>
      </c>
      <c r="BB17" s="961">
        <v>1.1000000000000001</v>
      </c>
      <c r="BC17" s="986">
        <f>+BB17*$F$17</f>
        <v>2302.7887055555557</v>
      </c>
      <c r="BD17" s="1035">
        <f t="shared" si="20"/>
        <v>0</v>
      </c>
      <c r="BE17" s="961">
        <v>1.1000000000000001</v>
      </c>
      <c r="BF17" s="986">
        <f>+BE17*$F$17</f>
        <v>2302.7887055555557</v>
      </c>
      <c r="BG17" s="1035">
        <f t="shared" si="21"/>
        <v>0</v>
      </c>
      <c r="BH17" s="961">
        <v>0.7</v>
      </c>
      <c r="BI17" s="986">
        <f>+BH17*$F$17</f>
        <v>1465.4109944444442</v>
      </c>
      <c r="BJ17" s="1035">
        <f t="shared" si="22"/>
        <v>0</v>
      </c>
      <c r="BK17" s="961">
        <v>0</v>
      </c>
      <c r="BL17" s="986">
        <f>+BK17*$F$17</f>
        <v>0</v>
      </c>
      <c r="BN17" s="961">
        <v>0</v>
      </c>
      <c r="BO17" s="961">
        <v>0.7</v>
      </c>
      <c r="BP17">
        <f t="shared" si="1"/>
        <v>0.7</v>
      </c>
      <c r="BR17" s="961">
        <v>45</v>
      </c>
      <c r="BS17" s="961">
        <v>0</v>
      </c>
      <c r="BU17">
        <f t="shared" si="2"/>
        <v>45</v>
      </c>
      <c r="BW17" s="961">
        <v>45</v>
      </c>
      <c r="BX17">
        <f t="shared" si="3"/>
        <v>135</v>
      </c>
    </row>
    <row r="18" spans="1:76" x14ac:dyDescent="0.2">
      <c r="D18" s="975">
        <v>9</v>
      </c>
      <c r="E18" s="965" t="s">
        <v>3675</v>
      </c>
      <c r="F18" s="985">
        <f>4006.66*E5</f>
        <v>4527.5257999999994</v>
      </c>
      <c r="G18" s="974">
        <f t="shared" si="4"/>
        <v>18</v>
      </c>
      <c r="H18" s="974" t="s">
        <v>1826</v>
      </c>
      <c r="I18" s="963">
        <f t="shared" si="0"/>
        <v>27165.154799999997</v>
      </c>
      <c r="K18" s="1035">
        <f t="shared" si="5"/>
        <v>0</v>
      </c>
      <c r="L18" s="961">
        <v>0</v>
      </c>
      <c r="M18" s="986">
        <f>+L18*$F$18</f>
        <v>0</v>
      </c>
      <c r="N18" s="1035">
        <f t="shared" si="6"/>
        <v>0</v>
      </c>
      <c r="O18" s="961">
        <v>0</v>
      </c>
      <c r="P18" s="986">
        <f>+O18*$F$18</f>
        <v>0</v>
      </c>
      <c r="Q18" s="1035">
        <f t="shared" si="7"/>
        <v>0</v>
      </c>
      <c r="R18" s="961">
        <v>0</v>
      </c>
      <c r="S18" s="986">
        <f>+R18*$F$18</f>
        <v>0</v>
      </c>
      <c r="T18" s="1035">
        <f t="shared" si="8"/>
        <v>0</v>
      </c>
      <c r="U18" s="961">
        <v>0</v>
      </c>
      <c r="V18" s="986">
        <f>+U18*$F$18</f>
        <v>0</v>
      </c>
      <c r="W18" s="1035">
        <f t="shared" si="9"/>
        <v>0</v>
      </c>
      <c r="X18" s="961">
        <v>0</v>
      </c>
      <c r="Y18" s="986">
        <f>+X18*$F$18</f>
        <v>0</v>
      </c>
      <c r="Z18" s="1035">
        <f t="shared" si="10"/>
        <v>0</v>
      </c>
      <c r="AA18" s="961">
        <v>0</v>
      </c>
      <c r="AB18" s="986">
        <f>+AA18*$F$18</f>
        <v>0</v>
      </c>
      <c r="AC18" s="1035">
        <f t="shared" si="11"/>
        <v>0</v>
      </c>
      <c r="AD18" s="961">
        <v>0</v>
      </c>
      <c r="AE18" s="986">
        <f>+AD18*$F$18</f>
        <v>0</v>
      </c>
      <c r="AF18" s="1035">
        <f t="shared" si="12"/>
        <v>18</v>
      </c>
      <c r="AG18" s="961">
        <f>2*AH3</f>
        <v>6</v>
      </c>
      <c r="AH18" s="986">
        <f>+AG18*$F$18</f>
        <v>27165.154799999997</v>
      </c>
      <c r="AI18" s="1035">
        <f t="shared" si="13"/>
        <v>0</v>
      </c>
      <c r="AJ18" s="961">
        <f>2*AK3</f>
        <v>0</v>
      </c>
      <c r="AK18" s="986">
        <f>+AJ18*$F$18</f>
        <v>0</v>
      </c>
      <c r="AL18" s="1035">
        <f t="shared" si="14"/>
        <v>0</v>
      </c>
      <c r="AM18" s="961">
        <v>0</v>
      </c>
      <c r="AN18" s="986">
        <f>+AM18*$F$18</f>
        <v>0</v>
      </c>
      <c r="AO18" s="1035">
        <f t="shared" si="15"/>
        <v>0</v>
      </c>
      <c r="AP18" s="961">
        <v>0</v>
      </c>
      <c r="AQ18" s="986">
        <f>+AP18*$F$18</f>
        <v>0</v>
      </c>
      <c r="AR18" s="1035">
        <f t="shared" si="16"/>
        <v>0</v>
      </c>
      <c r="AS18" s="961">
        <v>0</v>
      </c>
      <c r="AT18" s="986">
        <f>+AS18*$F$18</f>
        <v>0</v>
      </c>
      <c r="AU18" s="1035">
        <f t="shared" si="17"/>
        <v>0</v>
      </c>
      <c r="AV18" s="961">
        <v>0</v>
      </c>
      <c r="AW18" s="986">
        <f>+AV18*$F$18</f>
        <v>0</v>
      </c>
      <c r="AX18" s="1035">
        <f t="shared" si="18"/>
        <v>0</v>
      </c>
      <c r="AY18" s="961">
        <f>0*AZ3</f>
        <v>0</v>
      </c>
      <c r="AZ18" s="986">
        <f>+AY18*$F$18</f>
        <v>0</v>
      </c>
      <c r="BA18" s="1035">
        <f t="shared" si="19"/>
        <v>0</v>
      </c>
      <c r="BB18" s="961">
        <v>0</v>
      </c>
      <c r="BC18" s="986">
        <f>+BB18*$F$18</f>
        <v>0</v>
      </c>
      <c r="BD18" s="1035">
        <f t="shared" si="20"/>
        <v>0</v>
      </c>
      <c r="BE18" s="961">
        <v>0</v>
      </c>
      <c r="BF18" s="986">
        <f>+BE18*$F$18</f>
        <v>0</v>
      </c>
      <c r="BG18" s="1035">
        <f t="shared" si="21"/>
        <v>0</v>
      </c>
      <c r="BH18" s="961">
        <v>0</v>
      </c>
      <c r="BI18" s="986">
        <f>+BH18*$F$18</f>
        <v>0</v>
      </c>
      <c r="BJ18" s="1035">
        <f t="shared" si="22"/>
        <v>0</v>
      </c>
      <c r="BK18" s="961">
        <v>0</v>
      </c>
      <c r="BL18" s="986">
        <f>+BK18*$F$18</f>
        <v>0</v>
      </c>
      <c r="BN18" s="961">
        <v>0</v>
      </c>
      <c r="BO18" s="961">
        <v>0</v>
      </c>
      <c r="BP18">
        <f t="shared" si="1"/>
        <v>0</v>
      </c>
      <c r="BR18" s="961">
        <v>0</v>
      </c>
      <c r="BS18" s="961">
        <v>0</v>
      </c>
      <c r="BU18">
        <f t="shared" si="2"/>
        <v>0</v>
      </c>
      <c r="BW18" s="961">
        <v>0</v>
      </c>
      <c r="BX18">
        <f t="shared" si="3"/>
        <v>0</v>
      </c>
    </row>
    <row r="19" spans="1:76" x14ac:dyDescent="0.2">
      <c r="D19" s="975">
        <v>10</v>
      </c>
      <c r="E19" s="965" t="s">
        <v>3674</v>
      </c>
      <c r="F19" s="985">
        <f>+(1.42*540)*E5</f>
        <v>866.48399999999992</v>
      </c>
      <c r="G19" s="974">
        <f t="shared" si="4"/>
        <v>18</v>
      </c>
      <c r="H19" s="974" t="s">
        <v>1826</v>
      </c>
      <c r="I19" s="963">
        <f t="shared" si="0"/>
        <v>5198.9039999999995</v>
      </c>
      <c r="J19" s="964" t="s">
        <v>3673</v>
      </c>
      <c r="K19" s="1035">
        <f t="shared" si="5"/>
        <v>0</v>
      </c>
      <c r="L19" s="961">
        <v>0</v>
      </c>
      <c r="M19" s="986">
        <f>+L19*$F$19</f>
        <v>0</v>
      </c>
      <c r="N19" s="1035">
        <f t="shared" si="6"/>
        <v>0</v>
      </c>
      <c r="O19" s="961">
        <v>0</v>
      </c>
      <c r="P19" s="986">
        <f>+O19*$F$19</f>
        <v>0</v>
      </c>
      <c r="Q19" s="1035">
        <f t="shared" si="7"/>
        <v>0</v>
      </c>
      <c r="R19" s="961">
        <v>0</v>
      </c>
      <c r="S19" s="986">
        <f>+R19*$F$19</f>
        <v>0</v>
      </c>
      <c r="T19" s="1035">
        <f t="shared" si="8"/>
        <v>0</v>
      </c>
      <c r="U19" s="961">
        <v>0</v>
      </c>
      <c r="V19" s="986">
        <f>+U19*$F$19</f>
        <v>0</v>
      </c>
      <c r="W19" s="1035">
        <f t="shared" si="9"/>
        <v>0</v>
      </c>
      <c r="X19" s="961">
        <v>0</v>
      </c>
      <c r="Y19" s="986">
        <f>+X19*$F$19</f>
        <v>0</v>
      </c>
      <c r="Z19" s="1035">
        <f t="shared" si="10"/>
        <v>0</v>
      </c>
      <c r="AA19" s="961">
        <v>0</v>
      </c>
      <c r="AB19" s="986">
        <f>+AA19*$F$19</f>
        <v>0</v>
      </c>
      <c r="AC19" s="1035">
        <f t="shared" si="11"/>
        <v>0</v>
      </c>
      <c r="AD19" s="961">
        <v>0</v>
      </c>
      <c r="AE19" s="986">
        <f>+AD19*$F$19</f>
        <v>0</v>
      </c>
      <c r="AF19" s="1035">
        <f t="shared" si="12"/>
        <v>18</v>
      </c>
      <c r="AG19" s="961">
        <f>2*AH3</f>
        <v>6</v>
      </c>
      <c r="AH19" s="986">
        <f>+AG19*$F$19</f>
        <v>5198.9039999999995</v>
      </c>
      <c r="AI19" s="1035">
        <f t="shared" si="13"/>
        <v>0</v>
      </c>
      <c r="AJ19" s="961">
        <f>2*AK3</f>
        <v>0</v>
      </c>
      <c r="AK19" s="986">
        <f>+AJ19*$F$19</f>
        <v>0</v>
      </c>
      <c r="AL19" s="1035">
        <f t="shared" si="14"/>
        <v>0</v>
      </c>
      <c r="AM19" s="961">
        <v>0</v>
      </c>
      <c r="AN19" s="986">
        <f>+AM19*$F$19</f>
        <v>0</v>
      </c>
      <c r="AO19" s="1035">
        <f t="shared" si="15"/>
        <v>0</v>
      </c>
      <c r="AP19" s="961">
        <v>0</v>
      </c>
      <c r="AQ19" s="986">
        <f>+AP19*$F$19</f>
        <v>0</v>
      </c>
      <c r="AR19" s="1035">
        <f t="shared" si="16"/>
        <v>0</v>
      </c>
      <c r="AS19" s="961">
        <v>0</v>
      </c>
      <c r="AT19" s="986">
        <f>+AS19*$F$19</f>
        <v>0</v>
      </c>
      <c r="AU19" s="1035">
        <f t="shared" si="17"/>
        <v>0</v>
      </c>
      <c r="AV19" s="961">
        <v>0</v>
      </c>
      <c r="AW19" s="986">
        <f>+AV19*$F$19</f>
        <v>0</v>
      </c>
      <c r="AX19" s="1035">
        <f t="shared" si="18"/>
        <v>0</v>
      </c>
      <c r="AY19" s="961">
        <f>0*AZ3</f>
        <v>0</v>
      </c>
      <c r="AZ19" s="986">
        <f>+AY19*$F$19</f>
        <v>0</v>
      </c>
      <c r="BA19" s="1035">
        <f t="shared" si="19"/>
        <v>0</v>
      </c>
      <c r="BB19" s="961">
        <v>0</v>
      </c>
      <c r="BC19" s="986">
        <f>+BB19*$F$19</f>
        <v>0</v>
      </c>
      <c r="BD19" s="1035">
        <f t="shared" si="20"/>
        <v>0</v>
      </c>
      <c r="BE19" s="961">
        <v>0</v>
      </c>
      <c r="BF19" s="986">
        <f>+BE19*$F$19</f>
        <v>0</v>
      </c>
      <c r="BG19" s="1035">
        <f t="shared" si="21"/>
        <v>0</v>
      </c>
      <c r="BH19" s="961">
        <v>0</v>
      </c>
      <c r="BI19" s="986">
        <f>+BH19*$F$19</f>
        <v>0</v>
      </c>
      <c r="BJ19" s="1035">
        <f t="shared" si="22"/>
        <v>0</v>
      </c>
      <c r="BK19" s="961">
        <v>0</v>
      </c>
      <c r="BL19" s="986">
        <f>+BK19*$F$19</f>
        <v>0</v>
      </c>
      <c r="BN19" s="961">
        <v>0</v>
      </c>
      <c r="BO19" s="961">
        <v>0</v>
      </c>
      <c r="BP19">
        <f t="shared" si="1"/>
        <v>0</v>
      </c>
      <c r="BR19" s="961">
        <v>0</v>
      </c>
      <c r="BS19" s="961">
        <v>0</v>
      </c>
      <c r="BU19">
        <f t="shared" si="2"/>
        <v>0</v>
      </c>
      <c r="BW19" s="961">
        <v>0</v>
      </c>
      <c r="BX19">
        <f t="shared" si="3"/>
        <v>0</v>
      </c>
    </row>
    <row r="20" spans="1:76" x14ac:dyDescent="0.2">
      <c r="A20" s="998" t="s">
        <v>3672</v>
      </c>
      <c r="B20" s="997">
        <f>ROUNDUP(+(G20/J20)*E3,0)</f>
        <v>32</v>
      </c>
      <c r="C20" s="985">
        <f>57000*E5</f>
        <v>64409.999999999993</v>
      </c>
      <c r="D20" s="975">
        <v>11</v>
      </c>
      <c r="E20" s="965" t="s">
        <v>3671</v>
      </c>
      <c r="F20" s="985">
        <f>+(C20/J20)*1.1</f>
        <v>15486.557377049179</v>
      </c>
      <c r="G20" s="974">
        <f t="shared" si="4"/>
        <v>132.18000000000004</v>
      </c>
      <c r="H20" s="974" t="s">
        <v>137</v>
      </c>
      <c r="I20" s="963">
        <f t="shared" si="0"/>
        <v>1365140.032786885</v>
      </c>
      <c r="J20" s="995">
        <f>2.5*1.83</f>
        <v>4.5750000000000002</v>
      </c>
      <c r="K20" s="1035">
        <f t="shared" si="5"/>
        <v>2.3199999999999998</v>
      </c>
      <c r="L20" s="994">
        <v>2.3199999999999998</v>
      </c>
      <c r="M20" s="993">
        <f>+L20*$F$20</f>
        <v>35928.813114754092</v>
      </c>
      <c r="N20" s="1035">
        <f t="shared" si="6"/>
        <v>0</v>
      </c>
      <c r="O20" s="994">
        <v>1.35</v>
      </c>
      <c r="P20" s="993">
        <f>+O20*$F$20</f>
        <v>20906.852459016394</v>
      </c>
      <c r="Q20" s="1035">
        <f t="shared" si="7"/>
        <v>1.36</v>
      </c>
      <c r="R20" s="961">
        <v>1.36</v>
      </c>
      <c r="S20" s="993">
        <f>+R20*$F$20</f>
        <v>21061.718032786885</v>
      </c>
      <c r="T20" s="1035">
        <f t="shared" si="8"/>
        <v>5.78</v>
      </c>
      <c r="U20" s="961">
        <v>2.89</v>
      </c>
      <c r="V20" s="993">
        <f>+U20*$F$20</f>
        <v>44756.150819672133</v>
      </c>
      <c r="W20" s="1035">
        <f t="shared" si="9"/>
        <v>0</v>
      </c>
      <c r="X20" s="961">
        <v>1.1000000000000001</v>
      </c>
      <c r="Y20" s="993">
        <f>+X20*$F$20</f>
        <v>17035.213114754097</v>
      </c>
      <c r="Z20" s="1035">
        <f t="shared" si="10"/>
        <v>2.1800000000000002</v>
      </c>
      <c r="AA20" s="961">
        <v>2.1800000000000002</v>
      </c>
      <c r="AB20" s="993">
        <f>+AA20*$F$20</f>
        <v>33760.695081967213</v>
      </c>
      <c r="AC20" s="1035">
        <f t="shared" si="11"/>
        <v>1.4</v>
      </c>
      <c r="AD20" s="961">
        <v>1.4</v>
      </c>
      <c r="AE20" s="993">
        <f>+AD20*$F$20</f>
        <v>21681.180327868849</v>
      </c>
      <c r="AF20" s="1035">
        <f t="shared" si="12"/>
        <v>97.200000000000017</v>
      </c>
      <c r="AG20" s="961">
        <f>10.8*AH3</f>
        <v>32.400000000000006</v>
      </c>
      <c r="AH20" s="993">
        <f>+AG20*$F$20</f>
        <v>501764.45901639352</v>
      </c>
      <c r="AI20" s="1035">
        <f t="shared" si="13"/>
        <v>0</v>
      </c>
      <c r="AJ20" s="961">
        <f>10.8*AK3</f>
        <v>0</v>
      </c>
      <c r="AK20" s="993">
        <f>+AJ20*$F$20</f>
        <v>0</v>
      </c>
      <c r="AL20" s="1035">
        <f t="shared" si="14"/>
        <v>2.74</v>
      </c>
      <c r="AM20" s="961">
        <v>1.37</v>
      </c>
      <c r="AN20" s="993">
        <f>+AM20*$F$20</f>
        <v>21216.583606557379</v>
      </c>
      <c r="AO20" s="1035">
        <f t="shared" si="15"/>
        <v>0</v>
      </c>
      <c r="AP20" s="961">
        <v>0.86</v>
      </c>
      <c r="AQ20" s="993">
        <f>+AP20*$F$20</f>
        <v>13318.439344262293</v>
      </c>
      <c r="AR20" s="1035">
        <f t="shared" si="16"/>
        <v>3.4</v>
      </c>
      <c r="AS20" s="961">
        <v>3.4</v>
      </c>
      <c r="AT20" s="993">
        <f>+AS20*$F$20</f>
        <v>52654.295081967211</v>
      </c>
      <c r="AU20" s="1035">
        <f t="shared" si="17"/>
        <v>0</v>
      </c>
      <c r="AV20" s="961">
        <v>14.02</v>
      </c>
      <c r="AW20" s="993">
        <f>+AV20*$F$20</f>
        <v>217121.53442622948</v>
      </c>
      <c r="AX20" s="1035">
        <f t="shared" si="18"/>
        <v>14.9</v>
      </c>
      <c r="AY20" s="961">
        <f>14.9*AZ3</f>
        <v>14.9</v>
      </c>
      <c r="AZ20" s="993">
        <f>+AY20*$F$20</f>
        <v>230749.70491803277</v>
      </c>
      <c r="BA20" s="1035">
        <f t="shared" si="19"/>
        <v>0</v>
      </c>
      <c r="BB20" s="961">
        <v>3.58</v>
      </c>
      <c r="BC20" s="993">
        <f>+BB20*$F$20</f>
        <v>55441.875409836066</v>
      </c>
      <c r="BD20" s="1035">
        <f t="shared" si="20"/>
        <v>0</v>
      </c>
      <c r="BE20" s="961">
        <v>3.41</v>
      </c>
      <c r="BF20" s="993">
        <f>+BE20*$F$20</f>
        <v>52809.160655737702</v>
      </c>
      <c r="BG20" s="1035">
        <f t="shared" si="21"/>
        <v>0</v>
      </c>
      <c r="BH20" s="1014">
        <f>2.32/2</f>
        <v>1.1599999999999999</v>
      </c>
      <c r="BI20" s="993">
        <f>+BH20*$F$20</f>
        <v>17964.406557377046</v>
      </c>
      <c r="BJ20" s="1035">
        <f t="shared" si="22"/>
        <v>0.9</v>
      </c>
      <c r="BK20" s="1014">
        <f>1.35/3</f>
        <v>0.45</v>
      </c>
      <c r="BL20" s="993">
        <f>+BK20*$F$20</f>
        <v>6968.9508196721308</v>
      </c>
      <c r="BN20" s="961">
        <v>1.4</v>
      </c>
      <c r="BO20" s="1014">
        <f>2.32/2</f>
        <v>1.1599999999999999</v>
      </c>
      <c r="BP20">
        <f t="shared" si="1"/>
        <v>2.5599999999999996</v>
      </c>
      <c r="BR20" s="961">
        <v>2.89</v>
      </c>
      <c r="BS20" s="961">
        <v>1.4</v>
      </c>
      <c r="BU20">
        <f t="shared" si="2"/>
        <v>4.29</v>
      </c>
      <c r="BW20" s="961">
        <v>2.89</v>
      </c>
      <c r="BX20">
        <f t="shared" si="3"/>
        <v>8.67</v>
      </c>
    </row>
    <row r="21" spans="1:76" x14ac:dyDescent="0.2">
      <c r="B21" s="996"/>
      <c r="C21" s="985"/>
      <c r="D21" s="975">
        <v>12</v>
      </c>
      <c r="E21" s="965" t="s">
        <v>3670</v>
      </c>
      <c r="F21" s="985">
        <f>+((26000*1.13)/200)*E5</f>
        <v>165.99699999999996</v>
      </c>
      <c r="G21" s="974">
        <f t="shared" si="4"/>
        <v>93.3</v>
      </c>
      <c r="H21" s="974" t="s">
        <v>3403</v>
      </c>
      <c r="I21" s="963">
        <f t="shared" si="0"/>
        <v>38939.576259999987</v>
      </c>
      <c r="J21" s="995"/>
      <c r="K21" s="1035">
        <f t="shared" si="5"/>
        <v>0</v>
      </c>
      <c r="L21" s="994"/>
      <c r="M21" s="986">
        <f>+L21*$F$21</f>
        <v>0</v>
      </c>
      <c r="N21" s="1035">
        <f t="shared" si="6"/>
        <v>0</v>
      </c>
      <c r="O21" s="994"/>
      <c r="P21" s="986">
        <f>+O21*$F$21</f>
        <v>0</v>
      </c>
      <c r="Q21" s="1035">
        <f t="shared" si="7"/>
        <v>0</v>
      </c>
      <c r="R21" s="961"/>
      <c r="S21" s="986">
        <f>+R21*$F$21</f>
        <v>0</v>
      </c>
      <c r="T21" s="1035">
        <f t="shared" si="8"/>
        <v>0</v>
      </c>
      <c r="U21" s="961"/>
      <c r="V21" s="986">
        <f>+U21*$F$21</f>
        <v>0</v>
      </c>
      <c r="W21" s="1035">
        <f t="shared" si="9"/>
        <v>0</v>
      </c>
      <c r="X21" s="961"/>
      <c r="Y21" s="986">
        <f>+X21*$F$21</f>
        <v>0</v>
      </c>
      <c r="Z21" s="1035">
        <f t="shared" si="10"/>
        <v>0</v>
      </c>
      <c r="AA21" s="961"/>
      <c r="AB21" s="986">
        <f>+AA21*$F$21</f>
        <v>0</v>
      </c>
      <c r="AC21" s="1035">
        <f t="shared" si="11"/>
        <v>0</v>
      </c>
      <c r="AD21" s="961"/>
      <c r="AE21" s="986">
        <f>+AD21*$F$21</f>
        <v>0</v>
      </c>
      <c r="AF21" s="1035">
        <f t="shared" si="12"/>
        <v>0</v>
      </c>
      <c r="AG21" s="961"/>
      <c r="AH21" s="986">
        <f>+AG21*$F$21</f>
        <v>0</v>
      </c>
      <c r="AI21" s="1035">
        <f t="shared" si="13"/>
        <v>0</v>
      </c>
      <c r="AJ21" s="961"/>
      <c r="AK21" s="986">
        <f>+AJ21*$F$21</f>
        <v>0</v>
      </c>
      <c r="AL21" s="1035">
        <f t="shared" si="14"/>
        <v>0</v>
      </c>
      <c r="AM21" s="961"/>
      <c r="AN21" s="986">
        <f>+AM21*$F$21</f>
        <v>0</v>
      </c>
      <c r="AO21" s="1035">
        <f t="shared" si="15"/>
        <v>0</v>
      </c>
      <c r="AP21" s="961"/>
      <c r="AQ21" s="986">
        <f>+AP21*$F$21</f>
        <v>0</v>
      </c>
      <c r="AR21" s="1035">
        <f t="shared" si="16"/>
        <v>0</v>
      </c>
      <c r="AS21" s="961"/>
      <c r="AT21" s="986">
        <f>+AS21*$F$21</f>
        <v>0</v>
      </c>
      <c r="AU21" s="1035">
        <f t="shared" si="17"/>
        <v>0</v>
      </c>
      <c r="AV21" s="961">
        <v>94.16</v>
      </c>
      <c r="AW21" s="986">
        <f>+AV21*$F$21</f>
        <v>15630.277519999996</v>
      </c>
      <c r="AX21" s="1035">
        <f t="shared" si="18"/>
        <v>93.3</v>
      </c>
      <c r="AY21" s="961">
        <f>93.3*AZ3</f>
        <v>93.3</v>
      </c>
      <c r="AZ21" s="986">
        <f>+AY21*$F$21</f>
        <v>15487.520099999996</v>
      </c>
      <c r="BA21" s="1035">
        <f t="shared" si="19"/>
        <v>0</v>
      </c>
      <c r="BB21" s="961">
        <v>23.77</v>
      </c>
      <c r="BC21" s="986">
        <f>+BB21*$F$21</f>
        <v>3945.748689999999</v>
      </c>
      <c r="BD21" s="1035">
        <f t="shared" si="20"/>
        <v>0</v>
      </c>
      <c r="BE21" s="961">
        <v>23.35</v>
      </c>
      <c r="BF21" s="986">
        <f>+BE21*$F$21</f>
        <v>3876.0299499999992</v>
      </c>
      <c r="BG21" s="1035">
        <f t="shared" si="21"/>
        <v>0</v>
      </c>
      <c r="BH21" s="994"/>
      <c r="BI21" s="986">
        <f>+BH21*$F$21</f>
        <v>0</v>
      </c>
      <c r="BJ21" s="1035">
        <f t="shared" si="22"/>
        <v>0</v>
      </c>
      <c r="BK21" s="994"/>
      <c r="BL21" s="986">
        <f>+BK21*$F$21</f>
        <v>0</v>
      </c>
      <c r="BN21" s="961"/>
      <c r="BO21" s="994"/>
      <c r="BP21">
        <f t="shared" si="1"/>
        <v>0</v>
      </c>
      <c r="BR21" s="961"/>
      <c r="BS21" s="961"/>
      <c r="BU21">
        <f t="shared" si="2"/>
        <v>0</v>
      </c>
      <c r="BW21" s="961"/>
      <c r="BX21">
        <f t="shared" si="3"/>
        <v>0</v>
      </c>
    </row>
    <row r="22" spans="1:76" ht="15.75" thickBot="1" x14ac:dyDescent="0.25">
      <c r="D22" s="975">
        <v>13</v>
      </c>
      <c r="E22" s="965" t="s">
        <v>3669</v>
      </c>
      <c r="F22" s="985">
        <f>6058.7*E5</f>
        <v>6846.3309999999992</v>
      </c>
      <c r="G22" s="974">
        <f t="shared" si="4"/>
        <v>9</v>
      </c>
      <c r="H22" s="974" t="s">
        <v>1826</v>
      </c>
      <c r="I22" s="984">
        <f t="shared" si="0"/>
        <v>20538.992999999999</v>
      </c>
      <c r="K22" s="1035">
        <f t="shared" si="5"/>
        <v>0</v>
      </c>
      <c r="L22" s="962">
        <v>0</v>
      </c>
      <c r="M22" s="983">
        <f>+L22*$F$22</f>
        <v>0</v>
      </c>
      <c r="N22" s="1035">
        <f t="shared" si="6"/>
        <v>0</v>
      </c>
      <c r="O22" s="962">
        <v>0</v>
      </c>
      <c r="P22" s="983">
        <f>+O22*$F$22</f>
        <v>0</v>
      </c>
      <c r="Q22" s="1035">
        <f t="shared" si="7"/>
        <v>0</v>
      </c>
      <c r="R22" s="962">
        <v>0</v>
      </c>
      <c r="S22" s="983">
        <f>+R22*$F$22</f>
        <v>0</v>
      </c>
      <c r="T22" s="1035">
        <f t="shared" si="8"/>
        <v>0</v>
      </c>
      <c r="U22" s="962">
        <v>0</v>
      </c>
      <c r="V22" s="983">
        <f>+U22*$F$22</f>
        <v>0</v>
      </c>
      <c r="W22" s="1035">
        <f t="shared" si="9"/>
        <v>0</v>
      </c>
      <c r="X22" s="962">
        <v>0</v>
      </c>
      <c r="Y22" s="983">
        <f>+X22*$F$22</f>
        <v>0</v>
      </c>
      <c r="Z22" s="1035">
        <f t="shared" si="10"/>
        <v>0</v>
      </c>
      <c r="AA22" s="962">
        <v>0</v>
      </c>
      <c r="AB22" s="983">
        <f>+AA22*$F$22</f>
        <v>0</v>
      </c>
      <c r="AC22" s="1035">
        <f t="shared" si="11"/>
        <v>0</v>
      </c>
      <c r="AD22" s="962">
        <v>0</v>
      </c>
      <c r="AE22" s="983">
        <f>+AD22*$F$22</f>
        <v>0</v>
      </c>
      <c r="AF22" s="1035">
        <f t="shared" si="12"/>
        <v>9</v>
      </c>
      <c r="AG22" s="962">
        <f>1*AH3</f>
        <v>3</v>
      </c>
      <c r="AH22" s="983">
        <f>+AG22*$F$22</f>
        <v>20538.992999999999</v>
      </c>
      <c r="AI22" s="1035">
        <f t="shared" si="13"/>
        <v>0</v>
      </c>
      <c r="AJ22" s="962">
        <f>1*AK3</f>
        <v>0</v>
      </c>
      <c r="AK22" s="983">
        <f>+AJ22*$F$22</f>
        <v>0</v>
      </c>
      <c r="AL22" s="1035">
        <f t="shared" si="14"/>
        <v>0</v>
      </c>
      <c r="AM22" s="962">
        <v>0</v>
      </c>
      <c r="AN22" s="983">
        <f>+AM22*$F$22</f>
        <v>0</v>
      </c>
      <c r="AO22" s="1035">
        <f t="shared" si="15"/>
        <v>0</v>
      </c>
      <c r="AP22" s="962">
        <v>0</v>
      </c>
      <c r="AQ22" s="983">
        <f>+AP22*$F$22</f>
        <v>0</v>
      </c>
      <c r="AR22" s="1035">
        <f t="shared" si="16"/>
        <v>0</v>
      </c>
      <c r="AS22" s="962">
        <v>0</v>
      </c>
      <c r="AT22" s="983">
        <f>+AS22*$F$22</f>
        <v>0</v>
      </c>
      <c r="AU22" s="1035">
        <f t="shared" si="17"/>
        <v>0</v>
      </c>
      <c r="AV22" s="962">
        <v>0</v>
      </c>
      <c r="AW22" s="983">
        <f>+AV22*$F$22</f>
        <v>0</v>
      </c>
      <c r="AX22" s="1035">
        <f t="shared" si="18"/>
        <v>0</v>
      </c>
      <c r="AY22" s="962">
        <f>0*AZ3</f>
        <v>0</v>
      </c>
      <c r="AZ22" s="983">
        <f>+AY22*$F$22</f>
        <v>0</v>
      </c>
      <c r="BA22" s="1035">
        <f t="shared" si="19"/>
        <v>0</v>
      </c>
      <c r="BB22" s="962">
        <v>0</v>
      </c>
      <c r="BC22" s="983">
        <f>+BB22*$F$22</f>
        <v>0</v>
      </c>
      <c r="BD22" s="1035">
        <f t="shared" si="20"/>
        <v>0</v>
      </c>
      <c r="BE22" s="962">
        <v>0</v>
      </c>
      <c r="BF22" s="983">
        <f>+BE22*$F$22</f>
        <v>0</v>
      </c>
      <c r="BG22" s="1035">
        <f t="shared" si="21"/>
        <v>0</v>
      </c>
      <c r="BH22" s="962">
        <v>0</v>
      </c>
      <c r="BI22" s="983">
        <f>+BH22*$F$22</f>
        <v>0</v>
      </c>
      <c r="BJ22" s="1035">
        <f t="shared" si="22"/>
        <v>0</v>
      </c>
      <c r="BK22" s="962">
        <v>0</v>
      </c>
      <c r="BL22" s="983">
        <f>+BK22*$F$22</f>
        <v>0</v>
      </c>
      <c r="BN22" s="962">
        <v>0</v>
      </c>
      <c r="BO22" s="962">
        <v>0</v>
      </c>
      <c r="BP22">
        <f t="shared" si="1"/>
        <v>0</v>
      </c>
      <c r="BR22" s="962">
        <v>0</v>
      </c>
      <c r="BS22" s="962">
        <v>0</v>
      </c>
      <c r="BU22">
        <f t="shared" si="2"/>
        <v>0</v>
      </c>
      <c r="BW22" s="962">
        <v>0</v>
      </c>
      <c r="BX22">
        <f t="shared" si="3"/>
        <v>0</v>
      </c>
    </row>
    <row r="23" spans="1:76" x14ac:dyDescent="0.2">
      <c r="D23" s="969"/>
      <c r="F23" s="985"/>
      <c r="G23" s="974"/>
      <c r="H23" s="974"/>
      <c r="I23" s="979">
        <f>SUM(I10:I22)</f>
        <v>1673828.5634913296</v>
      </c>
      <c r="K23" s="1034"/>
      <c r="M23" s="991">
        <f>+M9/$I$23</f>
        <v>2.5102998733368305E-2</v>
      </c>
      <c r="N23" s="1034"/>
      <c r="O23" s="990"/>
      <c r="P23" s="991">
        <f>+P9/$I$23</f>
        <v>1.4773690686360717E-2</v>
      </c>
      <c r="Q23" s="1034"/>
      <c r="R23" s="990"/>
      <c r="S23" s="991">
        <f>+S9/$I$23</f>
        <v>1.5866766187579567E-2</v>
      </c>
      <c r="T23" s="1034"/>
      <c r="U23" s="990"/>
      <c r="V23" s="991">
        <f>+V9/$I$23</f>
        <v>3.8324226712244433E-2</v>
      </c>
      <c r="W23" s="1034"/>
      <c r="X23" s="990"/>
      <c r="Y23" s="991">
        <f>+Y9/$I$23</f>
        <v>1.2460646549877169E-2</v>
      </c>
      <c r="Z23" s="1034"/>
      <c r="AA23" s="990"/>
      <c r="AB23" s="991">
        <f>+AB9/$I$23</f>
        <v>2.3745159408452555E-2</v>
      </c>
      <c r="AC23" s="1034"/>
      <c r="AD23" s="990"/>
      <c r="AE23" s="991">
        <f>+AE9/$I$23</f>
        <v>1.5236299513657422E-2</v>
      </c>
      <c r="AF23" s="1034"/>
      <c r="AG23" s="990"/>
      <c r="AH23" s="991">
        <f>+AH9/$I$23</f>
        <v>0.35779717108575265</v>
      </c>
      <c r="AI23" s="1034"/>
      <c r="AJ23" s="990"/>
      <c r="AK23" s="991">
        <f>+AK9/$I$23</f>
        <v>1.1752549939942063E-2</v>
      </c>
      <c r="AL23" s="1034"/>
      <c r="AM23" s="990"/>
      <c r="AN23" s="991">
        <f>+AN9/$I$23</f>
        <v>1.5547012490965869E-2</v>
      </c>
      <c r="AO23" s="1034"/>
      <c r="AP23" s="990"/>
      <c r="AQ23" s="991">
        <f>+AQ9/$I$23</f>
        <v>7.9568718295033938E-3</v>
      </c>
      <c r="AR23" s="1034"/>
      <c r="AS23" s="990"/>
      <c r="AT23" s="991">
        <f>+AT9/$I$23</f>
        <v>3.8505059952549089E-2</v>
      </c>
      <c r="AU23" s="1034"/>
      <c r="AV23" s="990"/>
      <c r="AW23" s="991">
        <f>+AW9/$I$23</f>
        <v>0.15662974171782371</v>
      </c>
      <c r="AX23" s="1034"/>
      <c r="AY23" s="990"/>
      <c r="AZ23" s="991">
        <f>+AZ9/$I$23</f>
        <v>0.16738323437794375</v>
      </c>
      <c r="BA23" s="1034"/>
      <c r="BB23" s="990"/>
      <c r="BC23" s="991">
        <f>+BC9/$I$23</f>
        <v>3.9857943675088443E-2</v>
      </c>
      <c r="BD23" s="1034"/>
      <c r="BE23" s="990"/>
      <c r="BF23" s="991">
        <f>+BF9/$I$23</f>
        <v>3.8243421403786337E-2</v>
      </c>
      <c r="BG23" s="1034"/>
      <c r="BI23" s="991">
        <f>+BI9/$I$23</f>
        <v>1.4370473940084658E-2</v>
      </c>
      <c r="BJ23" s="1034"/>
      <c r="BK23" s="990"/>
      <c r="BL23" s="991">
        <f>+BL9/$I$23</f>
        <v>6.4467317950199542E-3</v>
      </c>
    </row>
    <row r="24" spans="1:76" ht="15.75" thickBot="1" x14ac:dyDescent="0.25">
      <c r="D24" s="969"/>
      <c r="F24" s="985"/>
      <c r="G24" s="974"/>
      <c r="H24" s="974"/>
      <c r="K24" s="1034"/>
      <c r="M24" s="991"/>
      <c r="N24" s="1034"/>
      <c r="O24" s="990"/>
      <c r="P24" s="963"/>
      <c r="Q24" s="1034"/>
      <c r="R24" s="990"/>
      <c r="S24" s="963"/>
      <c r="T24" s="1034"/>
      <c r="U24" s="990"/>
      <c r="V24" s="963"/>
      <c r="W24" s="1034"/>
      <c r="X24" s="990"/>
      <c r="Y24" s="963"/>
      <c r="Z24" s="1034"/>
      <c r="AA24" s="990"/>
      <c r="AB24" s="963"/>
      <c r="AC24" s="1034"/>
      <c r="AD24" s="990"/>
      <c r="AE24" s="963"/>
      <c r="AF24" s="1034"/>
      <c r="AG24" s="990"/>
      <c r="AH24" s="963"/>
      <c r="AI24" s="1034"/>
      <c r="AJ24" s="990"/>
      <c r="AK24" s="963"/>
      <c r="AL24" s="1034"/>
      <c r="AM24" s="990"/>
      <c r="AN24" s="963"/>
      <c r="AO24" s="1034"/>
      <c r="AP24" s="990"/>
      <c r="AQ24" s="963"/>
      <c r="AR24" s="1034"/>
      <c r="AS24" s="990"/>
      <c r="AT24" s="963"/>
      <c r="AU24" s="1034"/>
      <c r="AV24" s="990"/>
      <c r="AW24" s="963"/>
      <c r="AX24" s="1034"/>
      <c r="AY24" s="990"/>
      <c r="AZ24" s="963"/>
      <c r="BA24" s="1034"/>
      <c r="BB24" s="990"/>
      <c r="BC24" s="963"/>
      <c r="BD24" s="1034"/>
      <c r="BE24" s="990"/>
      <c r="BF24" s="963"/>
      <c r="BG24" s="1034"/>
      <c r="BI24" s="991"/>
      <c r="BJ24" s="1034"/>
      <c r="BK24" s="990"/>
      <c r="BL24" s="963"/>
    </row>
    <row r="25" spans="1:76" x14ac:dyDescent="0.2">
      <c r="D25" s="969"/>
      <c r="K25" s="1031"/>
      <c r="L25" s="1199" t="s">
        <v>13</v>
      </c>
      <c r="M25" s="981" t="s">
        <v>257</v>
      </c>
      <c r="N25" s="1031"/>
      <c r="O25" s="1199" t="s">
        <v>13</v>
      </c>
      <c r="P25" s="980" t="s">
        <v>257</v>
      </c>
      <c r="Q25" s="1031"/>
      <c r="R25" s="1190" t="s">
        <v>13</v>
      </c>
      <c r="S25" s="980" t="s">
        <v>257</v>
      </c>
      <c r="T25" s="1031"/>
      <c r="U25" s="1190" t="s">
        <v>13</v>
      </c>
      <c r="V25" s="980" t="s">
        <v>257</v>
      </c>
      <c r="W25" s="1031"/>
      <c r="X25" s="1190" t="s">
        <v>13</v>
      </c>
      <c r="Y25" s="980" t="s">
        <v>257</v>
      </c>
      <c r="Z25" s="1031"/>
      <c r="AA25" s="1190" t="s">
        <v>13</v>
      </c>
      <c r="AB25" s="980" t="s">
        <v>257</v>
      </c>
      <c r="AC25" s="1031"/>
      <c r="AD25" s="1190" t="s">
        <v>13</v>
      </c>
      <c r="AE25" s="980" t="s">
        <v>257</v>
      </c>
      <c r="AF25" s="1031"/>
      <c r="AG25" s="1190" t="s">
        <v>13</v>
      </c>
      <c r="AH25" s="980" t="s">
        <v>257</v>
      </c>
      <c r="AI25" s="1031"/>
      <c r="AJ25" s="1190" t="s">
        <v>13</v>
      </c>
      <c r="AK25" s="980" t="s">
        <v>257</v>
      </c>
      <c r="AL25" s="1031"/>
      <c r="AM25" s="1190" t="s">
        <v>13</v>
      </c>
      <c r="AN25" s="980" t="s">
        <v>257</v>
      </c>
      <c r="AO25" s="1031"/>
      <c r="AP25" s="1190" t="s">
        <v>13</v>
      </c>
      <c r="AQ25" s="980" t="s">
        <v>257</v>
      </c>
      <c r="AR25" s="1031"/>
      <c r="AS25" s="1190" t="s">
        <v>13</v>
      </c>
      <c r="AT25" s="980" t="s">
        <v>257</v>
      </c>
      <c r="AU25" s="1031"/>
      <c r="AV25" s="1190" t="s">
        <v>13</v>
      </c>
      <c r="AW25" s="980" t="s">
        <v>257</v>
      </c>
      <c r="AX25" s="1031"/>
      <c r="AY25" s="1190" t="s">
        <v>13</v>
      </c>
      <c r="AZ25" s="980" t="s">
        <v>257</v>
      </c>
      <c r="BA25" s="1031"/>
      <c r="BB25" s="1190" t="s">
        <v>13</v>
      </c>
      <c r="BC25" s="980" t="s">
        <v>257</v>
      </c>
      <c r="BD25" s="1031"/>
      <c r="BE25" s="1190" t="s">
        <v>13</v>
      </c>
      <c r="BF25" s="980" t="s">
        <v>257</v>
      </c>
      <c r="BG25" s="1031"/>
      <c r="BH25" s="1190" t="s">
        <v>13</v>
      </c>
      <c r="BI25" s="980" t="s">
        <v>257</v>
      </c>
      <c r="BJ25" s="1031"/>
      <c r="BK25" s="1190" t="s">
        <v>13</v>
      </c>
      <c r="BL25" s="980" t="s">
        <v>257</v>
      </c>
    </row>
    <row r="26" spans="1:76" ht="15.75" thickBot="1" x14ac:dyDescent="0.25">
      <c r="D26" s="969"/>
      <c r="K26" s="1032"/>
      <c r="L26" s="1200"/>
      <c r="M26" s="977">
        <f>SUM(M27:M29)</f>
        <v>521.62951938993797</v>
      </c>
      <c r="N26" s="1032"/>
      <c r="O26" s="1201"/>
      <c r="P26" s="989">
        <f>SUM(P27:P29)</f>
        <v>306.9909397755805</v>
      </c>
      <c r="Q26" s="1032"/>
      <c r="R26" s="1191"/>
      <c r="S26" s="989">
        <f>SUM(S27:S29)</f>
        <v>329.70457866844265</v>
      </c>
      <c r="T26" s="1032"/>
      <c r="U26" s="1198"/>
      <c r="V26" s="989">
        <f>SUM(V27:V29)</f>
        <v>796.36095166295286</v>
      </c>
      <c r="W26" s="1032"/>
      <c r="X26" s="1191"/>
      <c r="Y26" s="989">
        <f>SUM(Y27:Y29)</f>
        <v>258.92687722843107</v>
      </c>
      <c r="Z26" s="1032"/>
      <c r="AA26" s="1198"/>
      <c r="AB26" s="989">
        <f>SUM(AB27:AB29)</f>
        <v>493.41420208909841</v>
      </c>
      <c r="AC26" s="1032"/>
      <c r="AD26" s="1191"/>
      <c r="AE26" s="989">
        <f>SUM(AE27:AE29)</f>
        <v>316.60375228501033</v>
      </c>
      <c r="AF26" s="1032"/>
      <c r="AG26" s="1191"/>
      <c r="AH26" s="989">
        <f>SUM(AH27:AH29)</f>
        <v>7434.8713623783715</v>
      </c>
      <c r="AI26" s="1032"/>
      <c r="AJ26" s="1191"/>
      <c r="AK26" s="989">
        <f>SUM(AK27:AK29)</f>
        <v>244.21293415552185</v>
      </c>
      <c r="AL26" s="1032"/>
      <c r="AM26" s="1191"/>
      <c r="AN26" s="989">
        <f>SUM(AN27:AN29)</f>
        <v>323.06023434689956</v>
      </c>
      <c r="AO26" s="1032"/>
      <c r="AP26" s="1191"/>
      <c r="AQ26" s="989">
        <f>SUM(AQ27:AQ29)</f>
        <v>165.34037516219379</v>
      </c>
      <c r="AR26" s="1032"/>
      <c r="AS26" s="1191"/>
      <c r="AT26" s="989">
        <f>SUM(AT27:AT29)</f>
        <v>800.11858863819032</v>
      </c>
      <c r="AU26" s="1032"/>
      <c r="AV26" s="1191"/>
      <c r="AW26" s="989">
        <f>SUM(AW27:AW29)</f>
        <v>3254.6986821074374</v>
      </c>
      <c r="AX26" s="1032"/>
      <c r="AY26" s="1191"/>
      <c r="AZ26" s="989">
        <f>SUM(AZ27:AZ29)</f>
        <v>3478.151635582888</v>
      </c>
      <c r="BA26" s="1032"/>
      <c r="BB26" s="1191"/>
      <c r="BC26" s="989">
        <f>SUM(BC27:BC29)</f>
        <v>828.23093065255739</v>
      </c>
      <c r="BD26" s="1032"/>
      <c r="BE26" s="1191"/>
      <c r="BF26" s="989">
        <f>SUM(BF27:BF29)</f>
        <v>794.68185209947637</v>
      </c>
      <c r="BG26" s="1032"/>
      <c r="BH26" s="1198"/>
      <c r="BI26" s="989">
        <f>SUM(BI27:BI29)</f>
        <v>298.61226917116488</v>
      </c>
      <c r="BJ26" s="1032"/>
      <c r="BK26" s="1191"/>
      <c r="BL26" s="989">
        <f>SUM(BL27:BL29)</f>
        <v>133.96031460584277</v>
      </c>
    </row>
    <row r="27" spans="1:76" x14ac:dyDescent="0.2">
      <c r="D27" s="975">
        <v>12</v>
      </c>
      <c r="E27" s="965" t="s">
        <v>3668</v>
      </c>
      <c r="F27" s="985">
        <f>3100*E5</f>
        <v>3502.9999999999995</v>
      </c>
      <c r="G27" s="974">
        <v>3</v>
      </c>
      <c r="H27" s="974" t="s">
        <v>1778</v>
      </c>
      <c r="I27" s="963">
        <f>+G27*F27</f>
        <v>10508.999999999998</v>
      </c>
      <c r="J27" s="964">
        <f>SUM(L27:BN27)-I27</f>
        <v>0</v>
      </c>
      <c r="K27" s="1033"/>
      <c r="M27" s="963">
        <f>+$I$27*M23</f>
        <v>263.80741368896747</v>
      </c>
      <c r="N27" s="1033"/>
      <c r="O27" s="1000"/>
      <c r="P27" s="987">
        <f>+$I$27*P23</f>
        <v>155.25671542296476</v>
      </c>
      <c r="Q27" s="1033"/>
      <c r="R27" s="988"/>
      <c r="S27" s="987">
        <f>+$I$27*S23</f>
        <v>166.74384586527364</v>
      </c>
      <c r="T27" s="1033"/>
      <c r="U27" s="961"/>
      <c r="V27" s="963">
        <f>+$I$27*V23</f>
        <v>402.74929851897667</v>
      </c>
      <c r="W27" s="1033"/>
      <c r="X27" s="988"/>
      <c r="Y27" s="987">
        <f>+$I$27*Y23</f>
        <v>130.94893459265916</v>
      </c>
      <c r="Z27" s="1033"/>
      <c r="AA27" s="961"/>
      <c r="AB27" s="963">
        <f>+$I$27*AB23</f>
        <v>249.53788022342786</v>
      </c>
      <c r="AC27" s="1033"/>
      <c r="AD27" s="988"/>
      <c r="AE27" s="987">
        <f>+$I$27*AE23</f>
        <v>160.11827158902582</v>
      </c>
      <c r="AF27" s="1033"/>
      <c r="AG27" s="988"/>
      <c r="AH27" s="987">
        <f>+$I$27*AH23</f>
        <v>3760.0904709401739</v>
      </c>
      <c r="AI27" s="1033"/>
      <c r="AJ27" s="988"/>
      <c r="AK27" s="987">
        <f>+$I$27*AK23</f>
        <v>123.50754731885111</v>
      </c>
      <c r="AL27" s="1033"/>
      <c r="AM27" s="988"/>
      <c r="AN27" s="987">
        <f>+$I$27*AN23</f>
        <v>163.3835542675603</v>
      </c>
      <c r="AO27" s="1033"/>
      <c r="AP27" s="988"/>
      <c r="AQ27" s="987">
        <f>+$I$27*AQ23</f>
        <v>83.618766056251147</v>
      </c>
      <c r="AR27" s="1033"/>
      <c r="AS27" s="988"/>
      <c r="AT27" s="987">
        <f>+$I$27*AT23</f>
        <v>404.6496750413383</v>
      </c>
      <c r="AU27" s="1033"/>
      <c r="AV27" s="988"/>
      <c r="AW27" s="987">
        <f>+$I$27*AW23</f>
        <v>1646.021955712609</v>
      </c>
      <c r="AX27" s="1033"/>
      <c r="AY27" s="988"/>
      <c r="AZ27" s="987">
        <f>+$I$27*AZ23</f>
        <v>1759.0304100778105</v>
      </c>
      <c r="BA27" s="1033"/>
      <c r="BB27" s="988"/>
      <c r="BC27" s="987">
        <f>+$I$27*BC23</f>
        <v>418.8671300815044</v>
      </c>
      <c r="BD27" s="1033"/>
      <c r="BE27" s="988"/>
      <c r="BF27" s="987">
        <f>+$I$27*BF23</f>
        <v>401.90011553239054</v>
      </c>
      <c r="BG27" s="1033"/>
      <c r="BH27" s="961"/>
      <c r="BI27" s="986">
        <f>+$I$27*BI23</f>
        <v>151.01931063634964</v>
      </c>
      <c r="BJ27" s="1033"/>
      <c r="BK27" s="988"/>
      <c r="BL27" s="987">
        <f>+$I$27*BL23</f>
        <v>67.748704433864688</v>
      </c>
    </row>
    <row r="28" spans="1:76" x14ac:dyDescent="0.2">
      <c r="D28" s="975">
        <v>15</v>
      </c>
      <c r="E28" s="965" t="s">
        <v>3667</v>
      </c>
      <c r="F28" s="985">
        <f>600*E5</f>
        <v>677.99999999999989</v>
      </c>
      <c r="G28" s="974">
        <v>12</v>
      </c>
      <c r="H28" s="974" t="s">
        <v>1826</v>
      </c>
      <c r="I28" s="963">
        <f>+G28*F28</f>
        <v>8135.9999999999982</v>
      </c>
      <c r="J28" s="964">
        <f>SUM(L28:BN28)-I28</f>
        <v>0</v>
      </c>
      <c r="K28" s="1033"/>
      <c r="M28" s="963">
        <f>+$I$28*M23</f>
        <v>204.23799769468448</v>
      </c>
      <c r="N28" s="1033"/>
      <c r="P28" s="986">
        <f>+$I$28*P23</f>
        <v>120.19874742423077</v>
      </c>
      <c r="Q28" s="1033"/>
      <c r="R28" s="961"/>
      <c r="S28" s="986">
        <f>+$I$28*S23</f>
        <v>129.09200970214732</v>
      </c>
      <c r="T28" s="1033"/>
      <c r="U28" s="961"/>
      <c r="V28" s="963">
        <f>+$I$28*V23</f>
        <v>311.80590853082066</v>
      </c>
      <c r="W28" s="1033"/>
      <c r="X28" s="961"/>
      <c r="Y28" s="986">
        <f>+$I$28*Y23</f>
        <v>101.37982032980062</v>
      </c>
      <c r="Z28" s="1033"/>
      <c r="AA28" s="961"/>
      <c r="AB28" s="963">
        <f>+$I$28*AB23</f>
        <v>193.19061694716996</v>
      </c>
      <c r="AC28" s="1033"/>
      <c r="AD28" s="961"/>
      <c r="AE28" s="986">
        <f>+$I$28*AE23</f>
        <v>123.96253284311676</v>
      </c>
      <c r="AF28" s="1033"/>
      <c r="AG28" s="961"/>
      <c r="AH28" s="986">
        <f>+$I$28*AH23</f>
        <v>2911.0377839536827</v>
      </c>
      <c r="AI28" s="1033"/>
      <c r="AJ28" s="961"/>
      <c r="AK28" s="986">
        <f>+$I$28*AK23</f>
        <v>95.618746311368596</v>
      </c>
      <c r="AL28" s="1033"/>
      <c r="AM28" s="961"/>
      <c r="AN28" s="986">
        <f>+$I$28*AN23</f>
        <v>126.49049362649828</v>
      </c>
      <c r="AO28" s="1033"/>
      <c r="AP28" s="961"/>
      <c r="AQ28" s="986">
        <f>+$I$28*AQ23</f>
        <v>64.737109204839598</v>
      </c>
      <c r="AR28" s="1033"/>
      <c r="AS28" s="961"/>
      <c r="AT28" s="986">
        <f>+$I$28*AT23</f>
        <v>313.27716777393931</v>
      </c>
      <c r="AU28" s="1033"/>
      <c r="AV28" s="961"/>
      <c r="AW28" s="986">
        <f>+$I$28*AW23</f>
        <v>1274.3395786162134</v>
      </c>
      <c r="AX28" s="1033"/>
      <c r="AY28" s="961"/>
      <c r="AZ28" s="986">
        <f>+$I$28*AZ23</f>
        <v>1361.82999489895</v>
      </c>
      <c r="BA28" s="1033"/>
      <c r="BB28" s="961"/>
      <c r="BC28" s="986">
        <f>+$I$28*BC23</f>
        <v>324.28422974051949</v>
      </c>
      <c r="BD28" s="1033"/>
      <c r="BE28" s="961"/>
      <c r="BF28" s="986">
        <f>+$I$28*BF23</f>
        <v>311.14847654120558</v>
      </c>
      <c r="BG28" s="1033"/>
      <c r="BH28" s="961"/>
      <c r="BI28" s="963">
        <f>+$I$28*BI23</f>
        <v>116.91817597652874</v>
      </c>
      <c r="BJ28" s="1033"/>
      <c r="BK28" s="961"/>
      <c r="BL28" s="986">
        <f>+$I$28*BL23</f>
        <v>52.450609884282336</v>
      </c>
    </row>
    <row r="29" spans="1:76" ht="15.75" thickBot="1" x14ac:dyDescent="0.25">
      <c r="D29" s="975">
        <v>16</v>
      </c>
      <c r="E29" s="965" t="s">
        <v>3666</v>
      </c>
      <c r="F29" s="985">
        <f>(18.89*1.13)*100</f>
        <v>2134.5699999999997</v>
      </c>
      <c r="G29" s="974">
        <v>1</v>
      </c>
      <c r="H29" s="974" t="s">
        <v>1778</v>
      </c>
      <c r="I29" s="984">
        <f>+G29*F29</f>
        <v>2134.5699999999997</v>
      </c>
      <c r="J29" s="964">
        <f>SUM(L29:BN29)-I29</f>
        <v>0</v>
      </c>
      <c r="K29" s="1033"/>
      <c r="L29" s="992"/>
      <c r="M29" s="984">
        <f>+$I$29*M23</f>
        <v>53.584108006285973</v>
      </c>
      <c r="N29" s="1033"/>
      <c r="O29" s="992"/>
      <c r="P29" s="983">
        <f>+$I$29*P23</f>
        <v>31.535476928384991</v>
      </c>
      <c r="Q29" s="1033"/>
      <c r="R29" s="962"/>
      <c r="S29" s="983">
        <f>+$I$29*S23</f>
        <v>33.868723101021715</v>
      </c>
      <c r="T29" s="1033"/>
      <c r="U29" s="962"/>
      <c r="V29" s="984">
        <f>+$I$29*V23</f>
        <v>81.805744613155582</v>
      </c>
      <c r="W29" s="1033"/>
      <c r="X29" s="962"/>
      <c r="Y29" s="983">
        <f>+$I$29*Y23</f>
        <v>26.598122305971305</v>
      </c>
      <c r="Z29" s="1033"/>
      <c r="AA29" s="962"/>
      <c r="AB29" s="984">
        <f>+$I$29*AB23</f>
        <v>50.685704918500562</v>
      </c>
      <c r="AC29" s="1033"/>
      <c r="AD29" s="962"/>
      <c r="AE29" s="983">
        <f>+$I$29*AE23</f>
        <v>32.522947852867716</v>
      </c>
      <c r="AF29" s="1033"/>
      <c r="AG29" s="962"/>
      <c r="AH29" s="983">
        <f>+$I$29*AH23</f>
        <v>763.74310748451489</v>
      </c>
      <c r="AI29" s="1033"/>
      <c r="AJ29" s="962"/>
      <c r="AK29" s="983">
        <f>+$I$29*AK23</f>
        <v>25.086640525302126</v>
      </c>
      <c r="AL29" s="1033"/>
      <c r="AM29" s="962"/>
      <c r="AN29" s="983">
        <f>+$I$29*AN23</f>
        <v>33.186186452841014</v>
      </c>
      <c r="AO29" s="1033"/>
      <c r="AP29" s="962"/>
      <c r="AQ29" s="983">
        <f>+$I$29*AQ23</f>
        <v>16.984499901103057</v>
      </c>
      <c r="AR29" s="1033"/>
      <c r="AS29" s="962"/>
      <c r="AT29" s="983">
        <f>+$I$29*AT23</f>
        <v>82.191745822912694</v>
      </c>
      <c r="AU29" s="1033"/>
      <c r="AV29" s="962"/>
      <c r="AW29" s="983">
        <f>+$I$29*AW23</f>
        <v>334.33714777861491</v>
      </c>
      <c r="AX29" s="1033"/>
      <c r="AY29" s="962"/>
      <c r="AZ29" s="983">
        <f>+$I$29*AZ23</f>
        <v>357.29123060612733</v>
      </c>
      <c r="BA29" s="1033"/>
      <c r="BB29" s="962"/>
      <c r="BC29" s="983">
        <f>+$I$29*BC23</f>
        <v>85.079570830533527</v>
      </c>
      <c r="BD29" s="1033"/>
      <c r="BE29" s="962"/>
      <c r="BF29" s="983">
        <f>+$I$29*BF23</f>
        <v>81.63326002588019</v>
      </c>
      <c r="BG29" s="1033"/>
      <c r="BH29" s="962"/>
      <c r="BI29" s="983">
        <f>+$I$29*BI23</f>
        <v>30.674782558286502</v>
      </c>
      <c r="BJ29" s="1033"/>
      <c r="BK29" s="962"/>
      <c r="BL29" s="983">
        <f>+$I$29*BL23</f>
        <v>13.761000287695742</v>
      </c>
    </row>
    <row r="30" spans="1:76" ht="15.75" thickBot="1" x14ac:dyDescent="0.25">
      <c r="D30" s="969"/>
      <c r="I30" s="979">
        <f>SUM(I27:I29)</f>
        <v>20779.569999999996</v>
      </c>
    </row>
    <row r="31" spans="1:76" ht="19.5" thickBot="1" x14ac:dyDescent="0.25">
      <c r="D31" s="969"/>
      <c r="I31" s="982">
        <f>+I30+I23</f>
        <v>1694608.1334913296</v>
      </c>
      <c r="K31" s="1031"/>
      <c r="L31" s="1199" t="s">
        <v>13</v>
      </c>
      <c r="M31" s="981" t="s">
        <v>257</v>
      </c>
      <c r="N31" s="1031"/>
      <c r="O31" s="1199" t="s">
        <v>13</v>
      </c>
      <c r="P31" s="980" t="s">
        <v>257</v>
      </c>
      <c r="Q31" s="1031"/>
      <c r="R31" s="1190" t="s">
        <v>13</v>
      </c>
      <c r="S31" s="980" t="s">
        <v>257</v>
      </c>
      <c r="T31" s="1031"/>
      <c r="U31" s="1190" t="s">
        <v>13</v>
      </c>
      <c r="V31" s="980" t="s">
        <v>257</v>
      </c>
      <c r="W31" s="1031"/>
      <c r="X31" s="1190" t="s">
        <v>13</v>
      </c>
      <c r="Y31" s="980" t="s">
        <v>257</v>
      </c>
      <c r="Z31" s="1031"/>
      <c r="AA31" s="1190" t="s">
        <v>13</v>
      </c>
      <c r="AB31" s="980" t="s">
        <v>257</v>
      </c>
      <c r="AC31" s="1031"/>
      <c r="AD31" s="1190" t="s">
        <v>13</v>
      </c>
      <c r="AE31" s="980" t="s">
        <v>257</v>
      </c>
      <c r="AF31" s="1031"/>
      <c r="AG31" s="1190" t="s">
        <v>13</v>
      </c>
      <c r="AH31" s="980" t="s">
        <v>257</v>
      </c>
      <c r="AI31" s="1031"/>
      <c r="AJ31" s="1190" t="s">
        <v>13</v>
      </c>
      <c r="AK31" s="980" t="s">
        <v>257</v>
      </c>
      <c r="AL31" s="1031"/>
      <c r="AM31" s="1190" t="s">
        <v>13</v>
      </c>
      <c r="AN31" s="980" t="s">
        <v>257</v>
      </c>
      <c r="AO31" s="1031"/>
      <c r="AP31" s="1190" t="s">
        <v>13</v>
      </c>
      <c r="AQ31" s="980" t="s">
        <v>257</v>
      </c>
      <c r="AR31" s="1031"/>
      <c r="AS31" s="1190" t="s">
        <v>13</v>
      </c>
      <c r="AT31" s="980" t="s">
        <v>257</v>
      </c>
      <c r="AU31" s="1031"/>
      <c r="AV31" s="1190" t="s">
        <v>13</v>
      </c>
      <c r="AW31" s="980" t="s">
        <v>257</v>
      </c>
      <c r="AX31" s="1031"/>
      <c r="AY31" s="1190" t="s">
        <v>13</v>
      </c>
      <c r="AZ31" s="980" t="s">
        <v>257</v>
      </c>
      <c r="BA31" s="1031"/>
      <c r="BB31" s="1190" t="s">
        <v>13</v>
      </c>
      <c r="BC31" s="980" t="s">
        <v>257</v>
      </c>
      <c r="BD31" s="1031"/>
      <c r="BE31" s="1190" t="s">
        <v>13</v>
      </c>
      <c r="BF31" s="980" t="s">
        <v>257</v>
      </c>
      <c r="BG31" s="1031"/>
      <c r="BH31" s="1190" t="s">
        <v>13</v>
      </c>
      <c r="BI31" s="981" t="s">
        <v>257</v>
      </c>
      <c r="BJ31" s="1031"/>
      <c r="BK31" s="1190" t="s">
        <v>13</v>
      </c>
      <c r="BL31" s="980" t="s">
        <v>257</v>
      </c>
    </row>
    <row r="32" spans="1:76" ht="15.75" thickBot="1" x14ac:dyDescent="0.25">
      <c r="I32" s="979"/>
      <c r="K32" s="1032"/>
      <c r="L32" s="1200"/>
      <c r="M32" s="977">
        <f>+M33</f>
        <v>54600</v>
      </c>
      <c r="N32" s="1032"/>
      <c r="O32" s="1200"/>
      <c r="P32" s="976">
        <f>+P33</f>
        <v>0</v>
      </c>
      <c r="Q32" s="1032"/>
      <c r="R32" s="1198"/>
      <c r="S32" s="976">
        <f>+S33</f>
        <v>0</v>
      </c>
      <c r="T32" s="1032"/>
      <c r="U32" s="1198"/>
      <c r="V32" s="978">
        <f>+V33</f>
        <v>35100</v>
      </c>
      <c r="W32" s="1032"/>
      <c r="X32" s="1198"/>
      <c r="Y32" s="978">
        <f>+Y33</f>
        <v>0</v>
      </c>
      <c r="Z32" s="1032"/>
      <c r="AA32" s="1198"/>
      <c r="AB32" s="978">
        <f>+AB33</f>
        <v>50700</v>
      </c>
      <c r="AC32" s="1032"/>
      <c r="AD32" s="1191"/>
      <c r="AE32" s="978">
        <f>+AE33</f>
        <v>0</v>
      </c>
      <c r="AF32" s="1032"/>
      <c r="AG32" s="1191"/>
      <c r="AH32" s="978">
        <f>+AH33</f>
        <v>0</v>
      </c>
      <c r="AI32" s="1032"/>
      <c r="AJ32" s="1191"/>
      <c r="AK32" s="978">
        <f>+AK33</f>
        <v>0</v>
      </c>
      <c r="AL32" s="1032"/>
      <c r="AM32" s="1198"/>
      <c r="AN32" s="978">
        <f>+AN33</f>
        <v>39000</v>
      </c>
      <c r="AO32" s="1032"/>
      <c r="AP32" s="1198"/>
      <c r="AQ32" s="978">
        <f>+AQ33</f>
        <v>93600</v>
      </c>
      <c r="AR32" s="1032"/>
      <c r="AS32" s="1191"/>
      <c r="AT32" s="978">
        <f>+AT33</f>
        <v>0</v>
      </c>
      <c r="AU32" s="1032"/>
      <c r="AV32" s="1191"/>
      <c r="AW32" s="978">
        <f>+AW33</f>
        <v>0</v>
      </c>
      <c r="AX32" s="1032"/>
      <c r="AY32" s="1191"/>
      <c r="AZ32" s="978">
        <f>+AZ33</f>
        <v>0</v>
      </c>
      <c r="BA32" s="1032"/>
      <c r="BB32" s="1198"/>
      <c r="BC32" s="978">
        <f>+BC33</f>
        <v>124800</v>
      </c>
      <c r="BD32" s="1032"/>
      <c r="BE32" s="1198"/>
      <c r="BF32" s="978">
        <f>+BF33</f>
        <v>124800</v>
      </c>
      <c r="BG32" s="1032"/>
      <c r="BH32" s="1198"/>
      <c r="BI32" s="977">
        <f>+BI33</f>
        <v>35100</v>
      </c>
      <c r="BJ32" s="1032"/>
      <c r="BK32" s="1198"/>
      <c r="BL32" s="976">
        <f>+BL33</f>
        <v>0</v>
      </c>
    </row>
    <row r="33" spans="4:64" ht="15.75" thickBot="1" x14ac:dyDescent="0.25">
      <c r="D33" s="975">
        <v>17</v>
      </c>
      <c r="E33" s="965" t="s">
        <v>3665</v>
      </c>
      <c r="F33" s="963">
        <f>150*E4</f>
        <v>78000</v>
      </c>
      <c r="G33" s="974">
        <f t="shared" ref="G33" si="23">K33+N33+Q33+T33+W33+Z33+AC33+AF33+AI33+AL33+AO33+AR33+AU33+AX33+BA33+BD33+BG33+BJ33</f>
        <v>3.25</v>
      </c>
      <c r="H33" s="974" t="s">
        <v>3403</v>
      </c>
      <c r="I33" s="963">
        <f>+M33+P33+S33+V33+Y33+AB33+AE33+AH33+AN33+AQ33+AT33+AW33+AZ33+BC33+BF33</f>
        <v>522600</v>
      </c>
      <c r="K33" s="1035">
        <f t="shared" ref="K33" si="24">$M$3*L33</f>
        <v>0.7</v>
      </c>
      <c r="L33" s="1006">
        <f>+L4/100</f>
        <v>0.7</v>
      </c>
      <c r="M33" s="984">
        <f>+$F$33*L33</f>
        <v>54600</v>
      </c>
      <c r="N33" s="1035">
        <f t="shared" ref="N33" si="25">$P$3*O33</f>
        <v>0</v>
      </c>
      <c r="O33" s="1037">
        <v>0</v>
      </c>
      <c r="P33" s="970">
        <f>+$F$33*O33</f>
        <v>0</v>
      </c>
      <c r="Q33" s="1035">
        <f t="shared" ref="Q33" si="26">$S$3*R33</f>
        <v>0</v>
      </c>
      <c r="R33" s="971">
        <v>0</v>
      </c>
      <c r="S33" s="970">
        <f>+$F$33*R33</f>
        <v>0</v>
      </c>
      <c r="T33" s="1035">
        <f t="shared" ref="T33" si="27">$V$3*U33</f>
        <v>0.9</v>
      </c>
      <c r="U33" s="972">
        <f>+U4/100</f>
        <v>0.45</v>
      </c>
      <c r="V33" s="970">
        <f>+$F$33*U33</f>
        <v>35100</v>
      </c>
      <c r="W33" s="1035">
        <f t="shared" ref="W33" si="28">$Y$3*X33</f>
        <v>0</v>
      </c>
      <c r="X33" s="971">
        <v>0</v>
      </c>
      <c r="Y33" s="970">
        <f>+$F$33*X33</f>
        <v>0</v>
      </c>
      <c r="Z33" s="1035">
        <f t="shared" ref="Z33" si="29">$AB$3*AA33</f>
        <v>0.65</v>
      </c>
      <c r="AA33" s="972">
        <f>+AA4/100</f>
        <v>0.65</v>
      </c>
      <c r="AB33" s="970">
        <f>+$F$33*AA33</f>
        <v>50700</v>
      </c>
      <c r="AC33" s="1035">
        <f t="shared" ref="AC33" si="30">$AE$3*AD33</f>
        <v>0</v>
      </c>
      <c r="AD33" s="971">
        <v>0</v>
      </c>
      <c r="AE33" s="970">
        <f>+$F$33*AD33</f>
        <v>0</v>
      </c>
      <c r="AF33" s="1035">
        <f t="shared" ref="AF33" si="31">$AH$3*AG33</f>
        <v>0</v>
      </c>
      <c r="AG33" s="971">
        <v>0</v>
      </c>
      <c r="AH33" s="970">
        <f>+$F$33*AG33</f>
        <v>0</v>
      </c>
      <c r="AI33" s="1035">
        <f t="shared" ref="AI33" si="32">$AK$3*AJ33</f>
        <v>0</v>
      </c>
      <c r="AJ33" s="971">
        <v>0</v>
      </c>
      <c r="AK33" s="970">
        <f>+$F$33*AJ33</f>
        <v>0</v>
      </c>
      <c r="AL33" s="1035">
        <f t="shared" ref="AL33" si="33">$AN$3*AM33</f>
        <v>1</v>
      </c>
      <c r="AM33" s="972">
        <f>+AM4/100</f>
        <v>0.5</v>
      </c>
      <c r="AN33" s="970">
        <f>+$F$33*AM33</f>
        <v>39000</v>
      </c>
      <c r="AO33" s="1035">
        <f t="shared" ref="AO33" si="34">$AQ$3*AP33</f>
        <v>0</v>
      </c>
      <c r="AP33" s="972">
        <f>+(AP4/100)+0.5</f>
        <v>1.2</v>
      </c>
      <c r="AQ33" s="970">
        <f>+$F$33*AP33</f>
        <v>93600</v>
      </c>
      <c r="AR33" s="1035">
        <f t="shared" ref="AR33" si="35">$AT$3*AS33</f>
        <v>0</v>
      </c>
      <c r="AS33" s="971">
        <v>0</v>
      </c>
      <c r="AT33" s="970">
        <f>+$F$33*AS33</f>
        <v>0</v>
      </c>
      <c r="AU33" s="1035">
        <f t="shared" ref="AU33" si="36">$AW$3*AV33</f>
        <v>0</v>
      </c>
      <c r="AV33" s="971">
        <v>0</v>
      </c>
      <c r="AW33" s="970">
        <f>+$F$33*AV33</f>
        <v>0</v>
      </c>
      <c r="AX33" s="1035">
        <f t="shared" ref="AX33" si="37">$AZ$3*AY33</f>
        <v>0</v>
      </c>
      <c r="AY33" s="971">
        <v>0</v>
      </c>
      <c r="AZ33" s="970">
        <f>+$F$33*AY33</f>
        <v>0</v>
      </c>
      <c r="BA33" s="1035">
        <f t="shared" ref="BA33" si="38">$BC$3*BB33</f>
        <v>0</v>
      </c>
      <c r="BB33" s="973">
        <f>+(BB4/100)+0.5</f>
        <v>1.6</v>
      </c>
      <c r="BC33" s="970">
        <f>+$F$33*BB33</f>
        <v>124800</v>
      </c>
      <c r="BD33" s="1035">
        <f t="shared" ref="BD33" si="39">$BF$3*BE33</f>
        <v>0</v>
      </c>
      <c r="BE33" s="973">
        <f>+(BE4/100)+0.5</f>
        <v>1.6</v>
      </c>
      <c r="BF33" s="970">
        <f>+$F$33*BE33</f>
        <v>124800</v>
      </c>
      <c r="BG33" s="1035">
        <f t="shared" ref="BG33" si="40">$BI$3*BH33</f>
        <v>0</v>
      </c>
      <c r="BH33" s="972">
        <f>+BH4/100</f>
        <v>0.45</v>
      </c>
      <c r="BI33" s="970">
        <f>+$F$33*BH33</f>
        <v>35100</v>
      </c>
      <c r="BJ33" s="1035">
        <f t="shared" ref="BJ33" si="41">$BL$3*BK33</f>
        <v>0</v>
      </c>
      <c r="BK33" s="971">
        <v>0</v>
      </c>
      <c r="BL33" s="970">
        <f>+$F$33*BK33</f>
        <v>0</v>
      </c>
    </row>
    <row r="34" spans="4:64" ht="26.25" thickBot="1" x14ac:dyDescent="0.25">
      <c r="D34" s="969"/>
      <c r="I34" s="968">
        <f>+I33+I31</f>
        <v>2217208.1334913298</v>
      </c>
      <c r="K34" s="1032"/>
      <c r="L34" s="1025" t="s">
        <v>3664</v>
      </c>
      <c r="M34" s="1036">
        <f>+M6+M32</f>
        <v>97139.745828588464</v>
      </c>
      <c r="N34" s="1032"/>
      <c r="O34" s="963"/>
      <c r="P34" s="963"/>
      <c r="Q34" s="1032"/>
      <c r="S34" s="963"/>
      <c r="T34" s="1032"/>
      <c r="U34" s="967" t="s">
        <v>3664</v>
      </c>
      <c r="V34" s="966">
        <f>+V6+V32</f>
        <v>100044.54629633509</v>
      </c>
      <c r="W34" s="1032"/>
      <c r="Y34" s="963"/>
      <c r="Z34" s="1032"/>
      <c r="AA34" s="967" t="s">
        <v>3664</v>
      </c>
      <c r="AB34" s="966">
        <f>+AB6+AB32</f>
        <v>90938.740264611872</v>
      </c>
      <c r="AC34" s="1032"/>
      <c r="AE34" s="963"/>
      <c r="AF34" s="1032"/>
      <c r="AH34" s="963"/>
      <c r="AI34" s="1032"/>
      <c r="AK34" s="963"/>
      <c r="AL34" s="1032"/>
      <c r="AM34" s="967" t="s">
        <v>3664</v>
      </c>
      <c r="AN34" s="966">
        <f>+AN6+AN32</f>
        <v>65346.093818682057</v>
      </c>
      <c r="AO34" s="1032"/>
      <c r="AP34" s="967" t="s">
        <v>3664</v>
      </c>
      <c r="AQ34" s="966">
        <f>+AQ6+AQ32</f>
        <v>107083.77971942449</v>
      </c>
      <c r="AR34" s="1032"/>
      <c r="AT34" s="963"/>
      <c r="AU34" s="1032"/>
      <c r="AW34" s="963"/>
      <c r="AX34" s="1032"/>
      <c r="AZ34" s="963"/>
      <c r="BA34" s="1032"/>
      <c r="BB34" s="967" t="s">
        <v>3664</v>
      </c>
      <c r="BC34" s="966">
        <f>+BC6+BC32</f>
        <v>192343.59553604416</v>
      </c>
      <c r="BD34" s="1032"/>
      <c r="BE34" s="967" t="s">
        <v>3664</v>
      </c>
      <c r="BF34" s="966">
        <f>+BF6+BF32</f>
        <v>189607.61296339275</v>
      </c>
      <c r="BG34" s="1032"/>
      <c r="BH34" s="967" t="s">
        <v>3664</v>
      </c>
      <c r="BI34" s="966">
        <f>+BI6+BI32</f>
        <v>59452.322020992651</v>
      </c>
      <c r="BJ34" s="1032"/>
      <c r="BL34" s="963"/>
    </row>
    <row r="35" spans="4:64" x14ac:dyDescent="0.2">
      <c r="D35" s="969"/>
    </row>
  </sheetData>
  <mergeCells count="116">
    <mergeCell ref="AM31:AM32"/>
    <mergeCell ref="AP31:AP32"/>
    <mergeCell ref="AS31:AS32"/>
    <mergeCell ref="AV31:AV32"/>
    <mergeCell ref="AY31:AY32"/>
    <mergeCell ref="BB31:BB32"/>
    <mergeCell ref="BE31:BE32"/>
    <mergeCell ref="BH31:BH32"/>
    <mergeCell ref="BK31:BK32"/>
    <mergeCell ref="L31:L32"/>
    <mergeCell ref="O31:O32"/>
    <mergeCell ref="R31:R32"/>
    <mergeCell ref="U31:U32"/>
    <mergeCell ref="X31:X32"/>
    <mergeCell ref="AA31:AA32"/>
    <mergeCell ref="AD31:AD32"/>
    <mergeCell ref="AG31:AG32"/>
    <mergeCell ref="AJ31:AJ32"/>
    <mergeCell ref="BE8:BE9"/>
    <mergeCell ref="BH8:BH9"/>
    <mergeCell ref="BK8:BK9"/>
    <mergeCell ref="L25:L26"/>
    <mergeCell ref="O25:O26"/>
    <mergeCell ref="R25:R26"/>
    <mergeCell ref="U25:U26"/>
    <mergeCell ref="X25:X26"/>
    <mergeCell ref="AA25:AA26"/>
    <mergeCell ref="AD25:AD26"/>
    <mergeCell ref="AG25:AG26"/>
    <mergeCell ref="AJ25:AJ26"/>
    <mergeCell ref="AM25:AM26"/>
    <mergeCell ref="AP25:AP26"/>
    <mergeCell ref="AS25:AS26"/>
    <mergeCell ref="AV25:AV26"/>
    <mergeCell ref="AY25:AY26"/>
    <mergeCell ref="BB25:BB26"/>
    <mergeCell ref="BE25:BE26"/>
    <mergeCell ref="BH25:BH26"/>
    <mergeCell ref="BK25:BK26"/>
    <mergeCell ref="AD8:AD9"/>
    <mergeCell ref="AG8:AG9"/>
    <mergeCell ref="AJ8:AJ9"/>
    <mergeCell ref="AM8:AM9"/>
    <mergeCell ref="AP8:AP9"/>
    <mergeCell ref="AS8:AS9"/>
    <mergeCell ref="AV8:AV9"/>
    <mergeCell ref="AY8:AY9"/>
    <mergeCell ref="BB8:BB9"/>
    <mergeCell ref="F8:F9"/>
    <mergeCell ref="G8:H9"/>
    <mergeCell ref="I8:I9"/>
    <mergeCell ref="L8:L9"/>
    <mergeCell ref="O8:O9"/>
    <mergeCell ref="R8:R9"/>
    <mergeCell ref="U8:U9"/>
    <mergeCell ref="X8:X9"/>
    <mergeCell ref="AA8:AA9"/>
    <mergeCell ref="AP6:AP7"/>
    <mergeCell ref="AQ6:AQ7"/>
    <mergeCell ref="AS6:AS7"/>
    <mergeCell ref="AT6:AT7"/>
    <mergeCell ref="BE6:BE7"/>
    <mergeCell ref="BF6:BF7"/>
    <mergeCell ref="D7:I7"/>
    <mergeCell ref="AV6:AV7"/>
    <mergeCell ref="AW6:AW7"/>
    <mergeCell ref="AY6:AY7"/>
    <mergeCell ref="AZ6:AZ7"/>
    <mergeCell ref="BH4:BI4"/>
    <mergeCell ref="BK4:BL4"/>
    <mergeCell ref="L5:M5"/>
    <mergeCell ref="O5:P5"/>
    <mergeCell ref="R5:S5"/>
    <mergeCell ref="U5:V5"/>
    <mergeCell ref="X5:Y5"/>
    <mergeCell ref="AA5:AB5"/>
    <mergeCell ref="AD5:AE5"/>
    <mergeCell ref="AG5:AH5"/>
    <mergeCell ref="AJ5:AK5"/>
    <mergeCell ref="AM5:AN5"/>
    <mergeCell ref="AP5:AQ5"/>
    <mergeCell ref="AS5:AT5"/>
    <mergeCell ref="AV5:AW5"/>
    <mergeCell ref="AY5:AZ5"/>
    <mergeCell ref="BB5:BC5"/>
    <mergeCell ref="BE5:BF5"/>
    <mergeCell ref="BH5:BI5"/>
    <mergeCell ref="BK5:BL5"/>
    <mergeCell ref="AG4:AH4"/>
    <mergeCell ref="AJ4:AK4"/>
    <mergeCell ref="AM4:AN4"/>
    <mergeCell ref="AP4:AQ4"/>
    <mergeCell ref="AS4:AT4"/>
    <mergeCell ref="AV4:AW4"/>
    <mergeCell ref="AY4:AZ4"/>
    <mergeCell ref="BB4:BC4"/>
    <mergeCell ref="BE4:BF4"/>
    <mergeCell ref="L7:M7"/>
    <mergeCell ref="O7:P7"/>
    <mergeCell ref="L4:M4"/>
    <mergeCell ref="O4:P4"/>
    <mergeCell ref="R4:S4"/>
    <mergeCell ref="U4:V4"/>
    <mergeCell ref="X4:Y4"/>
    <mergeCell ref="AA4:AB4"/>
    <mergeCell ref="AD4:AE4"/>
    <mergeCell ref="R6:R7"/>
    <mergeCell ref="S6:S7"/>
    <mergeCell ref="AG6:AG7"/>
    <mergeCell ref="AH6:AH7"/>
    <mergeCell ref="AJ6:AJ7"/>
    <mergeCell ref="AK6:AK7"/>
    <mergeCell ref="BB6:BB7"/>
    <mergeCell ref="BC6:BC7"/>
    <mergeCell ref="AM6:AM7"/>
    <mergeCell ref="AN6:AN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9C971-8789-4C3B-AF4F-E70ECB1CD576}">
  <dimension ref="A1:F37"/>
  <sheetViews>
    <sheetView showGridLines="0" workbookViewId="0">
      <selection activeCell="F10" sqref="F10"/>
    </sheetView>
  </sheetViews>
  <sheetFormatPr defaultColWidth="10.76171875" defaultRowHeight="15" x14ac:dyDescent="0.2"/>
  <cols>
    <col min="2" max="2" width="18.0234375" bestFit="1" customWidth="1"/>
    <col min="3" max="3" width="16.0078125" customWidth="1"/>
    <col min="4" max="4" width="14.9296875" style="956" bestFit="1" customWidth="1"/>
    <col min="5" max="5" width="12.5078125" bestFit="1" customWidth="1"/>
    <col min="6" max="6" width="13.98828125" bestFit="1" customWidth="1"/>
  </cols>
  <sheetData>
    <row r="1" spans="1:6" x14ac:dyDescent="0.2">
      <c r="A1" s="50" t="s">
        <v>3599</v>
      </c>
      <c r="B1" s="50" t="s">
        <v>2137</v>
      </c>
      <c r="C1" s="50" t="s">
        <v>3595</v>
      </c>
      <c r="D1" s="50" t="s">
        <v>3597</v>
      </c>
      <c r="E1" s="50" t="s">
        <v>3598</v>
      </c>
      <c r="F1" s="50" t="s">
        <v>3596</v>
      </c>
    </row>
    <row r="2" spans="1:6" x14ac:dyDescent="0.2">
      <c r="A2" s="832">
        <v>1.01</v>
      </c>
      <c r="B2" t="s">
        <v>3600</v>
      </c>
      <c r="D2" s="956">
        <v>1626000</v>
      </c>
      <c r="E2" s="956">
        <f>D2*0.13</f>
        <v>211380</v>
      </c>
      <c r="F2" s="956">
        <f>E2+D2</f>
        <v>1837380</v>
      </c>
    </row>
    <row r="3" spans="1:6" x14ac:dyDescent="0.2">
      <c r="A3" s="832">
        <v>6.07</v>
      </c>
      <c r="B3" t="s">
        <v>3601</v>
      </c>
      <c r="D3" s="956">
        <f>929154.87</f>
        <v>929154.87</v>
      </c>
      <c r="E3" s="956">
        <f>D3*0.13</f>
        <v>120790.13310000001</v>
      </c>
      <c r="F3" s="956">
        <f>E3+D3</f>
        <v>1049945.0031000001</v>
      </c>
    </row>
    <row r="4" spans="1:6" x14ac:dyDescent="0.2">
      <c r="A4" s="832">
        <v>6.08</v>
      </c>
      <c r="B4" t="s">
        <v>3638</v>
      </c>
      <c r="D4" s="956">
        <v>1163117.43</v>
      </c>
      <c r="E4" s="956">
        <f t="shared" ref="E4:E37" si="0">D4*0.13</f>
        <v>151205.2659</v>
      </c>
      <c r="F4" s="956">
        <f t="shared" ref="F4:F37" si="1">E4+D4</f>
        <v>1314322.6958999999</v>
      </c>
    </row>
    <row r="5" spans="1:6" x14ac:dyDescent="0.2">
      <c r="A5" s="832" t="s">
        <v>3602</v>
      </c>
      <c r="B5" t="s">
        <v>3603</v>
      </c>
      <c r="D5" s="956">
        <v>745800</v>
      </c>
      <c r="E5" s="956">
        <f t="shared" si="0"/>
        <v>96954</v>
      </c>
      <c r="F5" s="956">
        <f t="shared" si="1"/>
        <v>842754</v>
      </c>
    </row>
    <row r="6" spans="1:6" x14ac:dyDescent="0.2">
      <c r="A6" t="s">
        <v>3604</v>
      </c>
      <c r="B6" t="s">
        <v>3610</v>
      </c>
      <c r="D6" s="956">
        <v>1364280</v>
      </c>
      <c r="E6" s="956">
        <f t="shared" si="0"/>
        <v>177356.4</v>
      </c>
      <c r="F6" s="956">
        <f t="shared" si="1"/>
        <v>1541636.4</v>
      </c>
    </row>
    <row r="7" spans="1:6" x14ac:dyDescent="0.2">
      <c r="A7" t="s">
        <v>3605</v>
      </c>
      <c r="B7" t="s">
        <v>3600</v>
      </c>
      <c r="D7" s="956">
        <v>1326340</v>
      </c>
      <c r="E7" s="956">
        <f t="shared" si="0"/>
        <v>172424.2</v>
      </c>
      <c r="F7" s="956">
        <f t="shared" si="1"/>
        <v>1498764.2</v>
      </c>
    </row>
    <row r="8" spans="1:6" x14ac:dyDescent="0.2">
      <c r="A8" s="832" t="s">
        <v>3606</v>
      </c>
      <c r="B8" t="s">
        <v>3600</v>
      </c>
      <c r="D8" s="956">
        <v>1046820</v>
      </c>
      <c r="E8" s="956">
        <f t="shared" si="0"/>
        <v>136086.6</v>
      </c>
      <c r="F8" s="956">
        <f t="shared" si="1"/>
        <v>1182906.6000000001</v>
      </c>
    </row>
    <row r="9" spans="1:6" x14ac:dyDescent="0.2">
      <c r="A9" s="832" t="s">
        <v>3607</v>
      </c>
      <c r="B9" t="s">
        <v>3600</v>
      </c>
      <c r="D9" s="956">
        <v>1205390</v>
      </c>
      <c r="E9" s="956">
        <f t="shared" si="0"/>
        <v>156700.70000000001</v>
      </c>
      <c r="F9" s="956">
        <f t="shared" si="1"/>
        <v>1362090.7</v>
      </c>
    </row>
    <row r="10" spans="1:6" x14ac:dyDescent="0.2">
      <c r="A10" s="832" t="s">
        <v>3608</v>
      </c>
      <c r="B10" t="s">
        <v>3600</v>
      </c>
      <c r="D10" s="956">
        <v>1200735</v>
      </c>
      <c r="E10" s="956">
        <f t="shared" si="0"/>
        <v>156095.55000000002</v>
      </c>
      <c r="F10" s="956">
        <f t="shared" si="1"/>
        <v>1356830.55</v>
      </c>
    </row>
    <row r="11" spans="1:6" x14ac:dyDescent="0.2">
      <c r="A11" s="832" t="s">
        <v>3609</v>
      </c>
      <c r="B11" t="s">
        <v>3610</v>
      </c>
      <c r="D11" s="956">
        <v>1377970</v>
      </c>
      <c r="E11" s="956">
        <f t="shared" si="0"/>
        <v>179136.1</v>
      </c>
      <c r="F11" s="956">
        <f t="shared" si="1"/>
        <v>1557106.1</v>
      </c>
    </row>
    <row r="12" spans="1:6" x14ac:dyDescent="0.2">
      <c r="A12" s="832" t="s">
        <v>3611</v>
      </c>
      <c r="B12" t="s">
        <v>3615</v>
      </c>
      <c r="D12" s="956">
        <v>688200</v>
      </c>
      <c r="E12" s="956">
        <f t="shared" si="0"/>
        <v>89466</v>
      </c>
      <c r="F12" s="956">
        <f t="shared" si="1"/>
        <v>777666</v>
      </c>
    </row>
    <row r="13" spans="1:6" x14ac:dyDescent="0.2">
      <c r="A13" s="832" t="s">
        <v>3612</v>
      </c>
      <c r="B13" t="s">
        <v>3613</v>
      </c>
      <c r="D13" s="956">
        <v>1172850</v>
      </c>
      <c r="E13" s="956">
        <f t="shared" si="0"/>
        <v>152470.5</v>
      </c>
      <c r="F13" s="956">
        <f t="shared" si="1"/>
        <v>1325320.5</v>
      </c>
    </row>
    <row r="14" spans="1:6" x14ac:dyDescent="0.2">
      <c r="A14" s="832" t="s">
        <v>3614</v>
      </c>
      <c r="B14" t="s">
        <v>3615</v>
      </c>
      <c r="D14" s="956">
        <v>673700</v>
      </c>
      <c r="E14" s="956">
        <f t="shared" si="0"/>
        <v>87581</v>
      </c>
      <c r="F14" s="956">
        <f t="shared" si="1"/>
        <v>761281</v>
      </c>
    </row>
    <row r="15" spans="1:6" x14ac:dyDescent="0.2">
      <c r="A15" s="832" t="s">
        <v>3616</v>
      </c>
      <c r="B15" t="s">
        <v>3610</v>
      </c>
      <c r="D15" s="956">
        <v>1136240</v>
      </c>
      <c r="E15" s="956">
        <f t="shared" si="0"/>
        <v>147711.20000000001</v>
      </c>
      <c r="F15" s="956">
        <f t="shared" si="1"/>
        <v>1283951.2</v>
      </c>
    </row>
    <row r="16" spans="1:6" x14ac:dyDescent="0.2">
      <c r="A16" s="832" t="s">
        <v>3617</v>
      </c>
      <c r="B16" t="s">
        <v>3615</v>
      </c>
      <c r="D16" s="956">
        <v>699850</v>
      </c>
      <c r="E16" s="956">
        <f t="shared" si="0"/>
        <v>90980.5</v>
      </c>
      <c r="F16" s="956">
        <f t="shared" si="1"/>
        <v>790830.5</v>
      </c>
    </row>
    <row r="17" spans="1:6" x14ac:dyDescent="0.2">
      <c r="A17" s="832" t="s">
        <v>3618</v>
      </c>
      <c r="B17" t="s">
        <v>3610</v>
      </c>
      <c r="D17" s="956">
        <v>1392690</v>
      </c>
      <c r="E17" s="956">
        <f t="shared" si="0"/>
        <v>181049.7</v>
      </c>
      <c r="F17" s="956">
        <f t="shared" si="1"/>
        <v>1573739.7</v>
      </c>
    </row>
    <row r="18" spans="1:6" x14ac:dyDescent="0.2">
      <c r="A18" s="832" t="s">
        <v>3619</v>
      </c>
      <c r="B18" t="s">
        <v>3610</v>
      </c>
      <c r="D18" s="956">
        <v>1290135</v>
      </c>
      <c r="E18" s="956">
        <f t="shared" si="0"/>
        <v>167717.55000000002</v>
      </c>
      <c r="F18" s="956">
        <f t="shared" si="1"/>
        <v>1457852.55</v>
      </c>
    </row>
    <row r="19" spans="1:6" x14ac:dyDescent="0.2">
      <c r="A19" s="832" t="s">
        <v>3620</v>
      </c>
      <c r="B19" t="s">
        <v>3610</v>
      </c>
      <c r="D19" s="956">
        <v>988955</v>
      </c>
      <c r="E19" s="956">
        <f t="shared" si="0"/>
        <v>128564.15000000001</v>
      </c>
      <c r="F19" s="956">
        <f t="shared" si="1"/>
        <v>1117519.1499999999</v>
      </c>
    </row>
    <row r="20" spans="1:6" x14ac:dyDescent="0.2">
      <c r="A20" s="832" t="s">
        <v>3621</v>
      </c>
      <c r="B20" t="s">
        <v>3633</v>
      </c>
      <c r="D20" s="956">
        <v>855421.3</v>
      </c>
      <c r="E20" s="956">
        <f t="shared" si="0"/>
        <v>111204.76900000001</v>
      </c>
      <c r="F20" s="956">
        <f t="shared" si="1"/>
        <v>966626.06900000002</v>
      </c>
    </row>
    <row r="21" spans="1:6" x14ac:dyDescent="0.2">
      <c r="A21" s="832" t="s">
        <v>3622</v>
      </c>
      <c r="B21" t="s">
        <v>3610</v>
      </c>
      <c r="D21" s="956">
        <v>1355090</v>
      </c>
      <c r="E21" s="956">
        <f t="shared" si="0"/>
        <v>176161.7</v>
      </c>
      <c r="F21" s="956">
        <f t="shared" si="1"/>
        <v>1531251.7</v>
      </c>
    </row>
    <row r="22" spans="1:6" x14ac:dyDescent="0.2">
      <c r="A22" s="832" t="s">
        <v>3623</v>
      </c>
      <c r="B22" t="s">
        <v>3610</v>
      </c>
      <c r="D22" s="956">
        <v>1243545</v>
      </c>
      <c r="E22" s="956">
        <f t="shared" si="0"/>
        <v>161660.85</v>
      </c>
      <c r="F22" s="956">
        <f t="shared" si="1"/>
        <v>1405205.85</v>
      </c>
    </row>
    <row r="23" spans="1:6" x14ac:dyDescent="0.2">
      <c r="A23" s="832" t="s">
        <v>3624</v>
      </c>
      <c r="B23" t="s">
        <v>3639</v>
      </c>
      <c r="D23" s="956">
        <v>671530</v>
      </c>
      <c r="E23" s="956">
        <f t="shared" si="0"/>
        <v>87298.900000000009</v>
      </c>
      <c r="F23" s="956">
        <f t="shared" si="1"/>
        <v>758828.9</v>
      </c>
    </row>
    <row r="24" spans="1:6" x14ac:dyDescent="0.2">
      <c r="A24" s="832" t="s">
        <v>3625</v>
      </c>
      <c r="B24" t="s">
        <v>3613</v>
      </c>
      <c r="D24" s="956">
        <v>1049500</v>
      </c>
      <c r="E24" s="956">
        <f t="shared" si="0"/>
        <v>136435</v>
      </c>
      <c r="F24" s="956">
        <f t="shared" si="1"/>
        <v>1185935</v>
      </c>
    </row>
    <row r="25" spans="1:6" x14ac:dyDescent="0.2">
      <c r="A25" s="832" t="s">
        <v>3626</v>
      </c>
      <c r="B25" t="s">
        <v>3600</v>
      </c>
      <c r="D25" s="956">
        <v>1219490</v>
      </c>
      <c r="E25" s="956">
        <f t="shared" si="0"/>
        <v>158533.70000000001</v>
      </c>
      <c r="F25" s="956">
        <f t="shared" si="1"/>
        <v>1378023.7</v>
      </c>
    </row>
    <row r="26" spans="1:6" x14ac:dyDescent="0.2">
      <c r="A26" s="832" t="s">
        <v>3627</v>
      </c>
      <c r="B26" t="s">
        <v>3600</v>
      </c>
      <c r="D26" s="956">
        <v>1200850</v>
      </c>
      <c r="E26" s="956">
        <f t="shared" si="0"/>
        <v>156110.5</v>
      </c>
      <c r="F26" s="956">
        <f t="shared" si="1"/>
        <v>1356960.5</v>
      </c>
    </row>
    <row r="27" spans="1:6" x14ac:dyDescent="0.2">
      <c r="A27" s="832" t="s">
        <v>3628</v>
      </c>
      <c r="B27" t="s">
        <v>3613</v>
      </c>
      <c r="D27" s="956">
        <v>948460</v>
      </c>
      <c r="E27" s="956">
        <f t="shared" si="0"/>
        <v>123299.8</v>
      </c>
      <c r="F27" s="956">
        <f t="shared" si="1"/>
        <v>1071759.8</v>
      </c>
    </row>
    <row r="28" spans="1:6" x14ac:dyDescent="0.2">
      <c r="A28" s="832" t="s">
        <v>3629</v>
      </c>
      <c r="B28" t="s">
        <v>3613</v>
      </c>
      <c r="D28" s="956">
        <v>903580</v>
      </c>
      <c r="E28" s="956">
        <f t="shared" si="0"/>
        <v>117465.40000000001</v>
      </c>
      <c r="F28" s="956">
        <f t="shared" si="1"/>
        <v>1021045.4</v>
      </c>
    </row>
    <row r="29" spans="1:6" x14ac:dyDescent="0.2">
      <c r="A29" s="832" t="s">
        <v>3630</v>
      </c>
      <c r="B29" t="s">
        <v>3631</v>
      </c>
      <c r="D29" s="956">
        <v>1218725</v>
      </c>
      <c r="E29" s="956">
        <f t="shared" si="0"/>
        <v>158434.25</v>
      </c>
      <c r="F29" s="956">
        <f t="shared" si="1"/>
        <v>1377159.25</v>
      </c>
    </row>
    <row r="30" spans="1:6" x14ac:dyDescent="0.2">
      <c r="A30" s="832" t="s">
        <v>3632</v>
      </c>
      <c r="B30" t="s">
        <v>3633</v>
      </c>
      <c r="D30" s="956">
        <v>738410</v>
      </c>
      <c r="E30" s="956">
        <f t="shared" si="0"/>
        <v>95993.3</v>
      </c>
      <c r="F30" s="956">
        <f t="shared" si="1"/>
        <v>834403.3</v>
      </c>
    </row>
    <row r="31" spans="1:6" x14ac:dyDescent="0.2">
      <c r="A31" s="832" t="s">
        <v>3634</v>
      </c>
      <c r="B31" t="s">
        <v>3633</v>
      </c>
      <c r="D31" s="956">
        <v>731475</v>
      </c>
      <c r="E31" s="956">
        <f t="shared" si="0"/>
        <v>95091.75</v>
      </c>
      <c r="F31" s="956">
        <f t="shared" si="1"/>
        <v>826566.75</v>
      </c>
    </row>
    <row r="32" spans="1:6" x14ac:dyDescent="0.2">
      <c r="A32" s="832" t="s">
        <v>3635</v>
      </c>
      <c r="B32" t="s">
        <v>3603</v>
      </c>
      <c r="D32" s="956">
        <v>722520</v>
      </c>
      <c r="E32" s="956">
        <f t="shared" si="0"/>
        <v>93927.6</v>
      </c>
      <c r="F32" s="956">
        <f t="shared" si="1"/>
        <v>816447.6</v>
      </c>
    </row>
    <row r="33" spans="1:6" x14ac:dyDescent="0.2">
      <c r="A33" s="832" t="s">
        <v>3636</v>
      </c>
      <c r="B33" t="s">
        <v>3637</v>
      </c>
      <c r="D33" s="956">
        <v>668540</v>
      </c>
      <c r="E33" s="956">
        <f t="shared" si="0"/>
        <v>86910.2</v>
      </c>
      <c r="F33" s="956">
        <f t="shared" si="1"/>
        <v>755450.2</v>
      </c>
    </row>
    <row r="34" spans="1:6" x14ac:dyDescent="0.2">
      <c r="A34" s="832" t="s">
        <v>3640</v>
      </c>
      <c r="B34" t="s">
        <v>3603</v>
      </c>
      <c r="D34" s="956">
        <v>738410</v>
      </c>
      <c r="E34" s="956">
        <f t="shared" si="0"/>
        <v>95993.3</v>
      </c>
      <c r="F34" s="956">
        <f t="shared" si="1"/>
        <v>834403.3</v>
      </c>
    </row>
    <row r="35" spans="1:6" x14ac:dyDescent="0.2">
      <c r="A35" s="832" t="s">
        <v>3641</v>
      </c>
      <c r="B35" t="s">
        <v>3603</v>
      </c>
      <c r="D35" s="956">
        <v>702010</v>
      </c>
      <c r="E35" s="956">
        <f t="shared" si="0"/>
        <v>91261.3</v>
      </c>
      <c r="F35" s="956">
        <f t="shared" si="1"/>
        <v>793271.3</v>
      </c>
    </row>
    <row r="36" spans="1:6" x14ac:dyDescent="0.2">
      <c r="A36" s="832" t="s">
        <v>3642</v>
      </c>
      <c r="B36" t="s">
        <v>3601</v>
      </c>
      <c r="D36" s="956">
        <v>887740</v>
      </c>
      <c r="E36" s="956">
        <f t="shared" si="0"/>
        <v>115406.2</v>
      </c>
      <c r="F36" s="956">
        <f t="shared" si="1"/>
        <v>1003146.2</v>
      </c>
    </row>
    <row r="37" spans="1:6" x14ac:dyDescent="0.2">
      <c r="A37" s="832" t="s">
        <v>3643</v>
      </c>
      <c r="B37" t="s">
        <v>3639</v>
      </c>
      <c r="D37" s="956">
        <v>831710</v>
      </c>
      <c r="E37" s="956">
        <f t="shared" si="0"/>
        <v>108122.3</v>
      </c>
      <c r="F37" s="956">
        <f t="shared" si="1"/>
        <v>939832.3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DF9BD-B1F6-4870-88BA-017645908417}">
  <sheetPr>
    <tabColor theme="9" tint="-0.249977111117893"/>
  </sheetPr>
  <dimension ref="A1:N680"/>
  <sheetViews>
    <sheetView workbookViewId="0"/>
  </sheetViews>
  <sheetFormatPr defaultColWidth="11.43359375" defaultRowHeight="15" x14ac:dyDescent="0.2"/>
  <cols>
    <col min="1" max="1" width="15.46875" style="103" customWidth="1"/>
    <col min="2" max="2" width="65.51171875" style="117" bestFit="1" customWidth="1"/>
    <col min="3" max="3" width="11.43359375" style="107"/>
    <col min="4" max="4" width="12.5078125" bestFit="1" customWidth="1"/>
    <col min="5" max="5" width="20.4453125" bestFit="1" customWidth="1"/>
    <col min="6" max="6" width="22.05859375" bestFit="1" customWidth="1"/>
    <col min="7" max="7" width="16.54296875" bestFit="1" customWidth="1"/>
    <col min="8" max="8" width="20.984375" bestFit="1" customWidth="1"/>
    <col min="9" max="9" width="15.46875" style="117" bestFit="1" customWidth="1"/>
    <col min="10" max="10" width="34.4375" style="118" bestFit="1" customWidth="1"/>
  </cols>
  <sheetData>
    <row r="1" spans="1:14" ht="41.25" x14ac:dyDescent="0.2">
      <c r="A1" s="109" t="s">
        <v>10</v>
      </c>
      <c r="B1" s="111" t="s">
        <v>261</v>
      </c>
      <c r="C1" s="132" t="s">
        <v>262</v>
      </c>
      <c r="D1" s="626" t="s">
        <v>263</v>
      </c>
      <c r="E1" s="110" t="s">
        <v>264</v>
      </c>
      <c r="F1" s="109" t="s">
        <v>265</v>
      </c>
      <c r="G1" s="111" t="s">
        <v>266</v>
      </c>
      <c r="H1" s="111" t="s">
        <v>267</v>
      </c>
      <c r="I1" s="112" t="s">
        <v>268</v>
      </c>
      <c r="J1" s="109" t="s">
        <v>269</v>
      </c>
    </row>
    <row r="2" spans="1:14" ht="20.85" customHeight="1" x14ac:dyDescent="0.2">
      <c r="A2" s="106" t="s">
        <v>34</v>
      </c>
      <c r="B2" s="127" t="s">
        <v>34</v>
      </c>
      <c r="C2" s="108" t="s">
        <v>989</v>
      </c>
      <c r="D2" s="130">
        <v>15000</v>
      </c>
      <c r="E2" s="122">
        <f>D2</f>
        <v>15000</v>
      </c>
      <c r="F2" s="113"/>
      <c r="G2" s="114"/>
      <c r="H2" s="115"/>
      <c r="I2" s="116"/>
      <c r="J2" s="108"/>
      <c r="L2" s="126" t="s">
        <v>272</v>
      </c>
      <c r="M2" s="126">
        <v>1.1299999999999999</v>
      </c>
      <c r="N2" t="s">
        <v>273</v>
      </c>
    </row>
    <row r="3" spans="1:14" x14ac:dyDescent="0.2">
      <c r="A3" s="106" t="s">
        <v>35</v>
      </c>
      <c r="B3" s="127" t="s">
        <v>35</v>
      </c>
      <c r="C3" s="108" t="s">
        <v>989</v>
      </c>
      <c r="D3" s="130">
        <v>13000</v>
      </c>
      <c r="E3" s="122">
        <f>D3</f>
        <v>13000</v>
      </c>
      <c r="F3" s="113"/>
      <c r="G3" s="114"/>
      <c r="H3" s="115"/>
      <c r="I3" s="116"/>
      <c r="J3" s="108"/>
      <c r="L3" s="105" t="s">
        <v>272</v>
      </c>
      <c r="M3" s="105">
        <v>1.1000000000000001</v>
      </c>
      <c r="N3" s="119" t="s">
        <v>277</v>
      </c>
    </row>
    <row r="4" spans="1:14" x14ac:dyDescent="0.2">
      <c r="A4" s="106" t="s">
        <v>3367</v>
      </c>
      <c r="B4" s="121" t="s">
        <v>3367</v>
      </c>
      <c r="C4" s="108" t="s">
        <v>989</v>
      </c>
      <c r="D4" s="121">
        <v>24000</v>
      </c>
      <c r="E4" s="122">
        <f t="shared" ref="E4:E6" si="0">D4</f>
        <v>24000</v>
      </c>
      <c r="F4" s="113"/>
      <c r="G4" s="114"/>
      <c r="H4" s="115"/>
      <c r="I4" s="116"/>
      <c r="J4" s="108"/>
      <c r="N4" s="119"/>
    </row>
    <row r="5" spans="1:14" x14ac:dyDescent="0.2">
      <c r="A5" s="106" t="s">
        <v>3471</v>
      </c>
      <c r="B5" s="106" t="s">
        <v>3471</v>
      </c>
      <c r="C5" s="108" t="s">
        <v>584</v>
      </c>
      <c r="D5" s="121">
        <v>15000</v>
      </c>
      <c r="E5" s="122">
        <f t="shared" si="0"/>
        <v>15000</v>
      </c>
      <c r="F5" s="113"/>
      <c r="G5" s="114"/>
      <c r="H5" s="115"/>
      <c r="I5" s="116"/>
      <c r="J5" s="108"/>
      <c r="N5" s="119"/>
    </row>
    <row r="6" spans="1:14" x14ac:dyDescent="0.2">
      <c r="A6" s="106" t="s">
        <v>3472</v>
      </c>
      <c r="B6" s="121" t="s">
        <v>3473</v>
      </c>
      <c r="C6" s="108" t="s">
        <v>584</v>
      </c>
      <c r="D6" s="121">
        <v>15000</v>
      </c>
      <c r="E6" s="108">
        <f t="shared" si="0"/>
        <v>15000</v>
      </c>
      <c r="F6" s="113"/>
      <c r="G6" s="114"/>
      <c r="H6" s="115"/>
      <c r="I6" s="116"/>
      <c r="J6" s="108"/>
      <c r="N6" s="119"/>
    </row>
    <row r="7" spans="1:14" x14ac:dyDescent="0.2">
      <c r="A7" s="106"/>
      <c r="B7" s="121"/>
      <c r="C7" s="108"/>
      <c r="D7" s="121"/>
      <c r="E7" s="108"/>
      <c r="F7" s="113"/>
      <c r="G7" s="114"/>
      <c r="H7" s="115"/>
      <c r="I7" s="116"/>
      <c r="J7" s="108"/>
      <c r="N7" s="119"/>
    </row>
    <row r="8" spans="1:14" x14ac:dyDescent="0.2">
      <c r="A8" s="106"/>
      <c r="B8" s="121"/>
      <c r="C8" s="108"/>
      <c r="D8" s="121"/>
      <c r="E8" s="108"/>
      <c r="F8" s="113"/>
      <c r="G8" s="114"/>
      <c r="H8" s="115"/>
      <c r="I8" s="116"/>
      <c r="J8" s="108"/>
      <c r="N8" s="119"/>
    </row>
    <row r="9" spans="1:14" x14ac:dyDescent="0.2">
      <c r="A9" s="106"/>
      <c r="B9" s="121"/>
      <c r="C9" s="108"/>
      <c r="D9" s="121"/>
      <c r="E9" s="108"/>
      <c r="F9" s="113"/>
      <c r="G9" s="114"/>
      <c r="H9" s="115"/>
      <c r="I9" s="116"/>
      <c r="J9" s="108"/>
      <c r="N9" s="119"/>
    </row>
    <row r="10" spans="1:14" x14ac:dyDescent="0.2">
      <c r="A10" s="138"/>
      <c r="B10" s="145" t="s">
        <v>990</v>
      </c>
      <c r="C10" s="140"/>
      <c r="D10" s="139"/>
      <c r="E10" s="140"/>
      <c r="F10" s="141"/>
      <c r="G10" s="142"/>
      <c r="H10" s="143"/>
      <c r="I10" s="144"/>
      <c r="J10" s="140"/>
      <c r="N10" s="119"/>
    </row>
    <row r="11" spans="1:14" x14ac:dyDescent="0.2">
      <c r="A11" s="106"/>
      <c r="B11" s="121"/>
      <c r="C11" s="108"/>
      <c r="D11" s="121"/>
      <c r="E11" s="108"/>
      <c r="F11" s="113"/>
      <c r="G11" s="114"/>
      <c r="H11" s="115"/>
      <c r="I11" s="116"/>
      <c r="J11" s="108"/>
      <c r="N11" s="119"/>
    </row>
    <row r="12" spans="1:14" x14ac:dyDescent="0.2">
      <c r="A12" s="106" t="s">
        <v>1423</v>
      </c>
      <c r="B12" s="127" t="s">
        <v>1428</v>
      </c>
      <c r="C12" s="108" t="s">
        <v>991</v>
      </c>
      <c r="D12" s="130"/>
      <c r="E12" s="123">
        <v>25000</v>
      </c>
      <c r="F12" s="113"/>
      <c r="G12" s="114"/>
      <c r="H12" s="115"/>
      <c r="I12" s="116"/>
      <c r="J12" s="108"/>
      <c r="N12" s="119"/>
    </row>
    <row r="13" spans="1:14" ht="27.75" x14ac:dyDescent="0.2">
      <c r="A13" s="106" t="s">
        <v>229</v>
      </c>
      <c r="B13" s="127" t="s">
        <v>993</v>
      </c>
      <c r="C13" s="108" t="s">
        <v>991</v>
      </c>
      <c r="D13" s="130"/>
      <c r="E13" s="123">
        <v>105000</v>
      </c>
      <c r="F13" s="113"/>
      <c r="G13" s="114"/>
      <c r="H13" s="115"/>
      <c r="I13" s="116"/>
      <c r="J13" s="108"/>
      <c r="N13" s="119"/>
    </row>
    <row r="14" spans="1:14" ht="27.75" x14ac:dyDescent="0.2">
      <c r="A14" s="106" t="s">
        <v>231</v>
      </c>
      <c r="B14" s="127" t="s">
        <v>994</v>
      </c>
      <c r="C14" s="108" t="s">
        <v>991</v>
      </c>
      <c r="D14" s="130"/>
      <c r="E14" s="123">
        <v>48000</v>
      </c>
      <c r="F14" s="113"/>
      <c r="G14" s="114"/>
      <c r="H14" s="115"/>
      <c r="I14" s="116"/>
      <c r="J14" s="108"/>
      <c r="N14" s="119"/>
    </row>
    <row r="15" spans="1:14" ht="27.75" x14ac:dyDescent="0.2">
      <c r="A15" s="106" t="s">
        <v>234</v>
      </c>
      <c r="B15" s="127" t="s">
        <v>1429</v>
      </c>
      <c r="C15" s="108" t="s">
        <v>991</v>
      </c>
      <c r="D15" s="130"/>
      <c r="E15" s="123">
        <v>15000</v>
      </c>
      <c r="F15" s="113"/>
      <c r="G15" s="114"/>
      <c r="H15" s="115"/>
      <c r="I15" s="116"/>
      <c r="J15" s="108"/>
      <c r="N15" s="119"/>
    </row>
    <row r="16" spans="1:14" ht="27.75" x14ac:dyDescent="0.2">
      <c r="A16" s="106" t="s">
        <v>232</v>
      </c>
      <c r="B16" s="127" t="s">
        <v>995</v>
      </c>
      <c r="C16" s="108" t="s">
        <v>991</v>
      </c>
      <c r="D16" s="130"/>
      <c r="E16" s="123">
        <v>64000</v>
      </c>
      <c r="F16" s="113"/>
      <c r="G16" s="114"/>
      <c r="H16" s="115"/>
      <c r="I16" s="116"/>
      <c r="J16" s="108"/>
      <c r="N16" s="119"/>
    </row>
    <row r="17" spans="1:5" x14ac:dyDescent="0.2">
      <c r="A17" s="106" t="s">
        <v>1424</v>
      </c>
      <c r="B17" s="127" t="s">
        <v>1430</v>
      </c>
      <c r="C17" s="108" t="s">
        <v>991</v>
      </c>
      <c r="D17" s="130"/>
      <c r="E17" s="123">
        <v>27500</v>
      </c>
    </row>
    <row r="18" spans="1:5" x14ac:dyDescent="0.2">
      <c r="A18" s="106" t="s">
        <v>1425</v>
      </c>
      <c r="B18" s="127" t="s">
        <v>1431</v>
      </c>
      <c r="C18" s="108" t="s">
        <v>991</v>
      </c>
      <c r="D18" s="130"/>
      <c r="E18" s="123">
        <v>140000</v>
      </c>
    </row>
    <row r="19" spans="1:5" x14ac:dyDescent="0.2">
      <c r="A19" s="106" t="s">
        <v>1426</v>
      </c>
      <c r="B19" s="127" t="s">
        <v>1432</v>
      </c>
      <c r="C19" s="108" t="s">
        <v>991</v>
      </c>
      <c r="D19" s="130"/>
      <c r="E19" s="123">
        <v>76500</v>
      </c>
    </row>
    <row r="20" spans="1:5" ht="27.75" x14ac:dyDescent="0.2">
      <c r="A20" s="106" t="s">
        <v>1427</v>
      </c>
      <c r="B20" s="127" t="s">
        <v>1433</v>
      </c>
      <c r="C20" s="108" t="s">
        <v>991</v>
      </c>
      <c r="D20" s="130"/>
      <c r="E20" s="123">
        <v>104000</v>
      </c>
    </row>
    <row r="21" spans="1:5" x14ac:dyDescent="0.2">
      <c r="A21" s="106"/>
      <c r="B21" s="127"/>
      <c r="C21" s="108"/>
      <c r="D21" s="130"/>
      <c r="E21" s="274">
        <f>SUM(E12:E20)</f>
        <v>605000</v>
      </c>
    </row>
    <row r="22" spans="1:5" x14ac:dyDescent="0.2">
      <c r="A22" s="106"/>
      <c r="B22" s="127"/>
      <c r="C22" s="108"/>
      <c r="D22" s="130"/>
      <c r="E22" s="122"/>
    </row>
    <row r="23" spans="1:5" x14ac:dyDescent="0.2">
      <c r="A23" s="106"/>
      <c r="B23" s="127"/>
      <c r="C23" s="108"/>
      <c r="D23" s="130"/>
      <c r="E23" s="123"/>
    </row>
    <row r="24" spans="1:5" x14ac:dyDescent="0.2">
      <c r="A24" s="106"/>
      <c r="B24" s="127"/>
      <c r="C24" s="108"/>
      <c r="D24" s="130"/>
      <c r="E24" s="123"/>
    </row>
    <row r="25" spans="1:5" x14ac:dyDescent="0.2">
      <c r="A25" s="106"/>
      <c r="B25" s="127"/>
      <c r="C25" s="108"/>
      <c r="D25" s="130"/>
      <c r="E25" s="123"/>
    </row>
    <row r="26" spans="1:5" x14ac:dyDescent="0.2">
      <c r="A26" s="106"/>
      <c r="B26" s="127"/>
      <c r="C26" s="108"/>
      <c r="D26" s="130"/>
      <c r="E26" s="123"/>
    </row>
    <row r="27" spans="1:5" x14ac:dyDescent="0.2">
      <c r="A27" s="106"/>
      <c r="B27" s="127"/>
      <c r="C27" s="108"/>
      <c r="D27" s="130"/>
      <c r="E27" s="123"/>
    </row>
    <row r="28" spans="1:5" x14ac:dyDescent="0.2">
      <c r="A28" s="106"/>
      <c r="B28" s="127"/>
      <c r="C28" s="108"/>
      <c r="D28" s="130"/>
      <c r="E28" s="123"/>
    </row>
    <row r="29" spans="1:5" x14ac:dyDescent="0.2">
      <c r="A29" s="138"/>
      <c r="B29" s="145" t="s">
        <v>996</v>
      </c>
      <c r="C29" s="140"/>
      <c r="D29" s="139"/>
      <c r="E29" s="140"/>
    </row>
    <row r="30" spans="1:5" x14ac:dyDescent="0.2">
      <c r="A30" s="106"/>
      <c r="B30" s="146"/>
      <c r="C30" s="108"/>
      <c r="D30" s="130"/>
      <c r="E30" s="122"/>
    </row>
    <row r="31" spans="1:5" x14ac:dyDescent="0.2">
      <c r="A31" s="106" t="s">
        <v>108</v>
      </c>
      <c r="B31" s="106" t="s">
        <v>997</v>
      </c>
      <c r="C31" s="108" t="s">
        <v>991</v>
      </c>
      <c r="D31" s="130"/>
      <c r="E31" s="123"/>
    </row>
    <row r="32" spans="1:5" ht="27.75" x14ac:dyDescent="0.2">
      <c r="A32" s="106" t="s">
        <v>124</v>
      </c>
      <c r="B32" s="106" t="s">
        <v>124</v>
      </c>
      <c r="C32" s="108" t="s">
        <v>991</v>
      </c>
      <c r="D32" s="130"/>
      <c r="E32" s="123">
        <v>0</v>
      </c>
    </row>
    <row r="33" spans="1:7" ht="28.5" customHeight="1" x14ac:dyDescent="0.2">
      <c r="A33" s="106" t="s">
        <v>135</v>
      </c>
      <c r="B33" s="106" t="s">
        <v>998</v>
      </c>
      <c r="C33" s="108" t="s">
        <v>991</v>
      </c>
      <c r="D33" s="130"/>
      <c r="E33" s="123">
        <v>0</v>
      </c>
      <c r="F33" s="113"/>
      <c r="G33" s="114"/>
    </row>
    <row r="34" spans="1:7" ht="20.100000000000001" customHeight="1" x14ac:dyDescent="0.2">
      <c r="A34" s="106"/>
      <c r="B34" s="127"/>
      <c r="C34" s="108"/>
      <c r="D34" s="130"/>
      <c r="E34" s="123"/>
      <c r="F34" s="113"/>
      <c r="G34" s="114"/>
    </row>
    <row r="35" spans="1:7" ht="20.100000000000001" customHeight="1" x14ac:dyDescent="0.2">
      <c r="A35" s="106"/>
      <c r="B35" s="127"/>
      <c r="C35" s="108"/>
      <c r="D35" s="130"/>
      <c r="E35" s="123"/>
      <c r="F35" s="113"/>
      <c r="G35" s="114"/>
    </row>
    <row r="36" spans="1:7" ht="20.100000000000001" customHeight="1" x14ac:dyDescent="0.2">
      <c r="A36" s="106"/>
      <c r="B36" s="127"/>
      <c r="C36" s="108"/>
      <c r="D36" s="130"/>
      <c r="E36" s="123"/>
      <c r="F36" s="113"/>
      <c r="G36" s="114"/>
    </row>
    <row r="37" spans="1:7" ht="20.100000000000001" customHeight="1" x14ac:dyDescent="0.2">
      <c r="A37" s="106"/>
      <c r="B37" s="127"/>
      <c r="C37" s="108"/>
      <c r="D37" s="130"/>
      <c r="E37" s="123"/>
      <c r="F37" s="113"/>
      <c r="G37" s="114"/>
    </row>
    <row r="38" spans="1:7" ht="20.100000000000001" customHeight="1" x14ac:dyDescent="0.2">
      <c r="A38" s="138"/>
      <c r="B38" s="145" t="s">
        <v>1397</v>
      </c>
      <c r="C38" s="140"/>
      <c r="D38" s="139"/>
      <c r="E38" s="140"/>
      <c r="F38" s="141"/>
      <c r="G38" s="142"/>
    </row>
    <row r="39" spans="1:7" ht="20.100000000000001" customHeight="1" x14ac:dyDescent="0.2">
      <c r="A39" s="151" t="s">
        <v>1349</v>
      </c>
      <c r="B39" s="255" t="s">
        <v>1351</v>
      </c>
      <c r="C39" s="256" t="s">
        <v>1350</v>
      </c>
      <c r="D39" s="257">
        <f>85250*1.03</f>
        <v>87807.5</v>
      </c>
      <c r="E39" s="258">
        <f>D39*'BASE DATOS PRECIOS '!$K$4</f>
        <v>87807.5</v>
      </c>
      <c r="F39" s="113">
        <v>0</v>
      </c>
      <c r="G39" s="114">
        <f>E39-F39</f>
        <v>87807.5</v>
      </c>
    </row>
    <row r="40" spans="1:7" ht="27.75" x14ac:dyDescent="0.2">
      <c r="A40" s="151" t="s">
        <v>1398</v>
      </c>
      <c r="B40" s="255" t="s">
        <v>1402</v>
      </c>
      <c r="C40" s="256" t="s">
        <v>991</v>
      </c>
      <c r="D40" s="257">
        <f>896000*1.03</f>
        <v>922880</v>
      </c>
      <c r="E40" s="258">
        <f>D40*'BASE DATOS PRECIOS '!$K$4</f>
        <v>922880</v>
      </c>
      <c r="F40" s="113">
        <v>0</v>
      </c>
      <c r="G40" s="114">
        <f>E40-F40</f>
        <v>922880</v>
      </c>
    </row>
    <row r="41" spans="1:7" ht="28.5" customHeight="1" x14ac:dyDescent="0.2">
      <c r="A41" s="151" t="s">
        <v>1422</v>
      </c>
      <c r="B41" s="255" t="s">
        <v>1402</v>
      </c>
      <c r="C41" s="256" t="s">
        <v>991</v>
      </c>
      <c r="D41" s="257">
        <f>947511.36*1.03</f>
        <v>975936.70079999999</v>
      </c>
      <c r="E41" s="258">
        <f>D41*'BASE DATOS PRECIOS '!$K$4</f>
        <v>975936.70079999999</v>
      </c>
      <c r="F41" s="113">
        <v>0</v>
      </c>
      <c r="G41" s="114">
        <f>E41-F41</f>
        <v>975936.70079999999</v>
      </c>
    </row>
    <row r="42" spans="1:7" ht="27" customHeight="1" x14ac:dyDescent="0.2">
      <c r="A42" s="151" t="s">
        <v>1458</v>
      </c>
      <c r="B42" s="255" t="s">
        <v>1402</v>
      </c>
      <c r="C42" s="256" t="s">
        <v>991</v>
      </c>
      <c r="D42" s="257">
        <f>1022314.9*1.03</f>
        <v>1052984.3470000001</v>
      </c>
      <c r="E42" s="258">
        <f>D42*'BASE DATOS PRECIOS '!$K$4</f>
        <v>1052984.3470000001</v>
      </c>
      <c r="F42" s="113">
        <v>0</v>
      </c>
      <c r="G42" s="114">
        <f>E42-F42</f>
        <v>1052984.3470000001</v>
      </c>
    </row>
    <row r="43" spans="1:7" ht="20.100000000000001" customHeight="1" x14ac:dyDescent="0.2">
      <c r="A43" s="151" t="s">
        <v>1473</v>
      </c>
      <c r="B43" s="255" t="s">
        <v>1402</v>
      </c>
      <c r="C43" s="256" t="s">
        <v>991</v>
      </c>
      <c r="D43" s="257">
        <v>969600</v>
      </c>
      <c r="E43" s="258">
        <f>D43*'BASE DATOS PRECIOS '!$K$4</f>
        <v>969600</v>
      </c>
      <c r="F43" s="113">
        <v>0</v>
      </c>
      <c r="G43" s="114">
        <f>E43-F43</f>
        <v>969600</v>
      </c>
    </row>
    <row r="44" spans="1:7" ht="20.100000000000001" customHeight="1" x14ac:dyDescent="0.2">
      <c r="A44" s="106"/>
      <c r="B44" s="127"/>
      <c r="C44" s="108"/>
      <c r="D44" s="130"/>
      <c r="E44" s="123"/>
      <c r="F44" s="113"/>
      <c r="G44" s="114"/>
    </row>
    <row r="45" spans="1:7" ht="41.25" x14ac:dyDescent="0.2">
      <c r="A45" s="151" t="s">
        <v>1467</v>
      </c>
      <c r="B45" s="255" t="s">
        <v>1468</v>
      </c>
      <c r="C45" s="256" t="s">
        <v>1350</v>
      </c>
      <c r="D45" s="257">
        <f>36111.11*1.08</f>
        <v>38999.998800000001</v>
      </c>
      <c r="E45" s="258">
        <v>38999.998800000001</v>
      </c>
      <c r="F45" s="113">
        <v>0</v>
      </c>
      <c r="G45" s="114">
        <f t="shared" ref="G45:G46" si="1">E45-F45</f>
        <v>38999.998800000001</v>
      </c>
    </row>
    <row r="46" spans="1:7" ht="41.25" x14ac:dyDescent="0.2">
      <c r="A46" s="151" t="s">
        <v>1469</v>
      </c>
      <c r="B46" s="255" t="s">
        <v>1470</v>
      </c>
      <c r="C46" s="256" t="s">
        <v>1350</v>
      </c>
      <c r="D46" s="257">
        <f>29166.67*1.08</f>
        <v>31500.0036</v>
      </c>
      <c r="E46" s="258">
        <v>31500.0036</v>
      </c>
      <c r="F46" s="113">
        <v>0</v>
      </c>
      <c r="G46" s="114">
        <f t="shared" si="1"/>
        <v>31500.0036</v>
      </c>
    </row>
    <row r="680" spans="11:11" x14ac:dyDescent="0.2">
      <c r="K680">
        <f>+(37168.41*1.13)/(0.93*5.45)</f>
        <v>8286.5351287363119</v>
      </c>
    </row>
  </sheetData>
  <autoFilter ref="A1:J552" xr:uid="{C91DF9BD-B1F6-4870-88BA-017645908417}"/>
  <conditionalFormatting sqref="A39:A40">
    <cfRule type="duplicateValues" dxfId="15" priority="11"/>
  </conditionalFormatting>
  <conditionalFormatting sqref="A41:A43">
    <cfRule type="duplicateValues" dxfId="14" priority="8"/>
  </conditionalFormatting>
  <conditionalFormatting sqref="A45:A46">
    <cfRule type="duplicateValues" dxfId="13" priority="4"/>
  </conditionalFormatting>
  <conditionalFormatting sqref="B5">
    <cfRule type="duplicateValues" dxfId="12" priority="1"/>
  </conditionalFormatting>
  <conditionalFormatting sqref="B31:B32 A377:A735 A33:B33 A34:A38 A44 A2:A32 A47:A290">
    <cfRule type="duplicateValues" dxfId="11" priority="18"/>
  </conditionalFormatting>
  <conditionalFormatting sqref="B2:D4 C5:D5 B6:D45 B46:B735">
    <cfRule type="cellIs" dxfId="10" priority="3" operator="equal">
      <formula>"ERROR"</formula>
    </cfRule>
  </conditionalFormatting>
  <conditionalFormatting sqref="C46:D46">
    <cfRule type="cellIs" dxfId="9" priority="2" operator="equal">
      <formula>"ERROR"</formula>
    </cfRule>
  </conditionalFormatting>
  <conditionalFormatting sqref="D47:D735 C47:C756">
    <cfRule type="cellIs" dxfId="8" priority="17" operator="equal">
      <formula>"ERROR"</formula>
    </cfRule>
  </conditionalFormatting>
  <conditionalFormatting sqref="I2:J735">
    <cfRule type="cellIs" dxfId="7" priority="5" operator="equal">
      <formula>"ERROR"</formula>
    </cfRule>
  </conditionalFormatting>
  <conditionalFormatting sqref="J1">
    <cfRule type="cellIs" dxfId="6" priority="12" operator="equal">
      <formula>"ERROR"</formula>
    </cfRule>
  </conditionalFormatting>
  <pageMargins left="0.7" right="0.7" top="0.75" bottom="0.75" header="0.3" footer="0.3"/>
  <pageSetup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B1E78-D69A-4A72-8CBC-2E000D218CD4}">
  <sheetPr>
    <tabColor theme="5" tint="-0.249977111117893"/>
  </sheetPr>
  <dimension ref="A1:N659"/>
  <sheetViews>
    <sheetView workbookViewId="0"/>
  </sheetViews>
  <sheetFormatPr defaultColWidth="11.43359375" defaultRowHeight="15" x14ac:dyDescent="0.2"/>
  <cols>
    <col min="1" max="1" width="15.46875" style="103" customWidth="1"/>
    <col min="2" max="2" width="65.51171875" style="117" bestFit="1" customWidth="1"/>
    <col min="3" max="3" width="11.43359375" style="107"/>
    <col min="5" max="5" width="20.4453125" bestFit="1" customWidth="1"/>
    <col min="6" max="6" width="22.05859375" bestFit="1" customWidth="1"/>
    <col min="8" max="8" width="20.984375" bestFit="1" customWidth="1"/>
    <col min="9" max="9" width="15.46875" style="117" bestFit="1" customWidth="1"/>
    <col min="10" max="10" width="34.4375" style="118" bestFit="1" customWidth="1"/>
  </cols>
  <sheetData>
    <row r="1" spans="1:14" ht="27.75" x14ac:dyDescent="0.2">
      <c r="A1" s="109" t="s">
        <v>10</v>
      </c>
      <c r="B1" s="111" t="s">
        <v>261</v>
      </c>
      <c r="C1" s="132" t="s">
        <v>262</v>
      </c>
      <c r="D1" s="124" t="s">
        <v>263</v>
      </c>
      <c r="E1" s="133" t="s">
        <v>999</v>
      </c>
      <c r="F1" s="109" t="s">
        <v>265</v>
      </c>
      <c r="G1" s="111" t="s">
        <v>266</v>
      </c>
      <c r="H1" s="111" t="s">
        <v>267</v>
      </c>
      <c r="I1" s="112" t="s">
        <v>268</v>
      </c>
      <c r="J1" s="109" t="s">
        <v>269</v>
      </c>
    </row>
    <row r="2" spans="1:14" ht="20.85" customHeight="1" x14ac:dyDescent="0.2">
      <c r="A2" s="131" t="s">
        <v>1000</v>
      </c>
      <c r="B2" s="127" t="s">
        <v>1001</v>
      </c>
      <c r="C2" s="108" t="s">
        <v>1002</v>
      </c>
      <c r="D2" s="130">
        <v>2000</v>
      </c>
      <c r="E2" s="134">
        <v>3450</v>
      </c>
      <c r="F2" s="113"/>
      <c r="G2" s="114">
        <f>E2-F2</f>
        <v>3450</v>
      </c>
      <c r="H2" s="115"/>
      <c r="I2" s="116"/>
      <c r="J2" s="108"/>
      <c r="L2" s="126" t="s">
        <v>272</v>
      </c>
      <c r="M2" s="126">
        <v>1.1299999999999999</v>
      </c>
      <c r="N2" t="s">
        <v>273</v>
      </c>
    </row>
    <row r="3" spans="1:14" x14ac:dyDescent="0.2">
      <c r="A3" s="131" t="s">
        <v>1404</v>
      </c>
      <c r="B3" s="127" t="s">
        <v>1003</v>
      </c>
      <c r="C3" s="108" t="s">
        <v>1002</v>
      </c>
      <c r="D3" s="130">
        <v>2000</v>
      </c>
      <c r="E3" s="134">
        <f t="shared" ref="E3" si="0">D3*1.5</f>
        <v>3000</v>
      </c>
      <c r="F3" s="113"/>
      <c r="G3" s="114">
        <f t="shared" ref="G3:G5" si="1">E3-F3</f>
        <v>3000</v>
      </c>
      <c r="H3" s="115"/>
      <c r="I3" s="116"/>
      <c r="J3" s="108"/>
      <c r="L3" s="105" t="s">
        <v>272</v>
      </c>
      <c r="M3" s="105">
        <v>1.1000000000000001</v>
      </c>
      <c r="N3" s="119" t="s">
        <v>277</v>
      </c>
    </row>
    <row r="4" spans="1:14" ht="20.100000000000001" customHeight="1" x14ac:dyDescent="0.2">
      <c r="A4" s="131" t="s">
        <v>36</v>
      </c>
      <c r="B4" s="127" t="s">
        <v>1004</v>
      </c>
      <c r="C4" s="108" t="s">
        <v>1002</v>
      </c>
      <c r="D4" s="130">
        <v>1900</v>
      </c>
      <c r="E4" s="134">
        <f>D4*1.5</f>
        <v>2850</v>
      </c>
      <c r="F4" s="113"/>
      <c r="G4" s="114">
        <f t="shared" si="1"/>
        <v>2850</v>
      </c>
      <c r="H4" s="115"/>
      <c r="I4" s="116"/>
      <c r="J4" s="108"/>
      <c r="L4" s="105" t="s">
        <v>272</v>
      </c>
      <c r="M4" s="105">
        <v>1</v>
      </c>
      <c r="N4" s="119" t="s">
        <v>280</v>
      </c>
    </row>
    <row r="5" spans="1:14" ht="20.100000000000001" customHeight="1" x14ac:dyDescent="0.2">
      <c r="A5" s="131" t="s">
        <v>37</v>
      </c>
      <c r="B5" s="127" t="s">
        <v>1005</v>
      </c>
      <c r="C5" s="108" t="s">
        <v>1002</v>
      </c>
      <c r="D5" s="130">
        <v>1550</v>
      </c>
      <c r="E5" s="134">
        <f>D5*1.5</f>
        <v>2325</v>
      </c>
      <c r="F5" s="113"/>
      <c r="G5" s="114">
        <f t="shared" si="1"/>
        <v>2325</v>
      </c>
      <c r="H5" s="115"/>
      <c r="I5" s="116"/>
      <c r="J5" s="108"/>
    </row>
    <row r="6" spans="1:14" x14ac:dyDescent="0.2">
      <c r="A6" s="106"/>
      <c r="B6" s="127"/>
      <c r="C6" s="108"/>
      <c r="D6" s="130"/>
      <c r="E6" s="123"/>
      <c r="F6" s="113"/>
      <c r="G6" s="114"/>
      <c r="H6" s="115"/>
      <c r="I6" s="116"/>
      <c r="J6" s="108"/>
    </row>
    <row r="7" spans="1:14" ht="20.100000000000001" customHeight="1" x14ac:dyDescent="0.2">
      <c r="A7" s="106"/>
      <c r="B7" s="127"/>
      <c r="C7" s="108"/>
      <c r="D7" s="130"/>
      <c r="E7" s="123"/>
      <c r="F7" s="113"/>
      <c r="G7" s="114"/>
      <c r="H7" s="115"/>
      <c r="I7" s="116"/>
      <c r="J7" s="108"/>
    </row>
    <row r="8" spans="1:14" x14ac:dyDescent="0.2">
      <c r="A8" s="106"/>
      <c r="B8" s="127"/>
      <c r="C8" s="108"/>
      <c r="D8" s="130"/>
      <c r="E8" s="123"/>
      <c r="F8" s="113"/>
      <c r="G8" s="114"/>
      <c r="H8" s="115"/>
      <c r="I8" s="116"/>
      <c r="J8" s="108"/>
    </row>
    <row r="9" spans="1:14" x14ac:dyDescent="0.2">
      <c r="A9" s="106"/>
      <c r="B9" s="127"/>
      <c r="C9" s="108"/>
      <c r="D9" s="130"/>
      <c r="E9" s="123"/>
      <c r="F9" s="113"/>
      <c r="G9" s="114"/>
      <c r="H9" s="115"/>
      <c r="I9" s="116"/>
      <c r="J9" s="108"/>
    </row>
    <row r="10" spans="1:14" ht="20.100000000000001" customHeight="1" x14ac:dyDescent="0.2">
      <c r="A10" s="106"/>
      <c r="B10" s="127"/>
      <c r="C10" s="108"/>
      <c r="D10" s="130"/>
      <c r="E10" s="123"/>
      <c r="F10" s="113"/>
      <c r="G10" s="114"/>
      <c r="H10" s="115"/>
      <c r="I10" s="116"/>
      <c r="J10" s="108"/>
    </row>
    <row r="11" spans="1:14" ht="20.100000000000001" customHeight="1" x14ac:dyDescent="0.2">
      <c r="A11" s="106"/>
      <c r="B11" s="127"/>
      <c r="C11" s="108"/>
      <c r="D11" s="130"/>
      <c r="E11" s="123"/>
      <c r="F11" s="113"/>
      <c r="G11" s="114"/>
      <c r="H11" s="115"/>
      <c r="I11" s="116"/>
      <c r="J11" s="108"/>
    </row>
    <row r="12" spans="1:14" ht="20.100000000000001" customHeight="1" x14ac:dyDescent="0.2">
      <c r="A12" s="106"/>
      <c r="B12" s="127"/>
      <c r="C12" s="108"/>
      <c r="D12" s="130"/>
      <c r="E12" s="123"/>
      <c r="F12" s="113"/>
      <c r="G12" s="114"/>
      <c r="H12" s="115"/>
      <c r="I12" s="116"/>
      <c r="J12" s="108"/>
    </row>
    <row r="13" spans="1:14" ht="20.100000000000001" customHeight="1" x14ac:dyDescent="0.2">
      <c r="A13" s="106"/>
      <c r="B13" s="127"/>
      <c r="C13" s="108"/>
      <c r="D13" s="130"/>
      <c r="E13" s="123"/>
      <c r="F13" s="113"/>
      <c r="G13" s="114"/>
      <c r="H13" s="115"/>
      <c r="I13" s="116"/>
      <c r="J13" s="108"/>
    </row>
    <row r="14" spans="1:14" ht="20.100000000000001" customHeight="1" x14ac:dyDescent="0.2">
      <c r="A14" s="106"/>
      <c r="B14" s="127"/>
      <c r="C14" s="108"/>
      <c r="D14" s="130"/>
      <c r="E14" s="123"/>
      <c r="F14" s="113"/>
      <c r="G14" s="114"/>
      <c r="H14" s="115"/>
      <c r="I14" s="116"/>
      <c r="J14" s="108"/>
    </row>
    <row r="15" spans="1:14" ht="20.100000000000001" customHeight="1" x14ac:dyDescent="0.2">
      <c r="A15" s="106"/>
      <c r="B15" s="127"/>
      <c r="C15" s="108"/>
      <c r="D15" s="130"/>
      <c r="E15" s="123"/>
      <c r="F15" s="113"/>
      <c r="G15" s="114"/>
      <c r="H15" s="115"/>
      <c r="I15" s="116"/>
      <c r="J15" s="108"/>
    </row>
    <row r="16" spans="1:14" ht="20.100000000000001" customHeight="1" x14ac:dyDescent="0.2">
      <c r="A16" s="106"/>
      <c r="B16" s="127" t="s">
        <v>1352</v>
      </c>
      <c r="C16" s="108"/>
      <c r="D16" s="130"/>
      <c r="E16" s="123"/>
      <c r="F16" s="113"/>
      <c r="G16" s="114"/>
      <c r="H16" s="115"/>
      <c r="I16" s="116"/>
      <c r="J16" s="108"/>
    </row>
    <row r="659" spans="11:11" x14ac:dyDescent="0.2">
      <c r="K659">
        <f>+(37168.41*1.13)/(0.93*5.45)</f>
        <v>8286.5351287363119</v>
      </c>
    </row>
  </sheetData>
  <conditionalFormatting sqref="A356:A714 A2:A269">
    <cfRule type="duplicateValues" dxfId="5" priority="7"/>
  </conditionalFormatting>
  <conditionalFormatting sqref="B2:B714">
    <cfRule type="cellIs" dxfId="4" priority="6" operator="equal">
      <formula>"ERROR"</formula>
    </cfRule>
  </conditionalFormatting>
  <conditionalFormatting sqref="C2:C735">
    <cfRule type="cellIs" dxfId="3" priority="2" operator="equal">
      <formula>"ERROR"</formula>
    </cfRule>
  </conditionalFormatting>
  <conditionalFormatting sqref="D2:D714">
    <cfRule type="cellIs" dxfId="2" priority="3" operator="equal">
      <formula>"ERROR"</formula>
    </cfRule>
  </conditionalFormatting>
  <conditionalFormatting sqref="I2:I714">
    <cfRule type="cellIs" dxfId="1" priority="5" operator="equal">
      <formula>"ERROR"</formula>
    </cfRule>
  </conditionalFormatting>
  <conditionalFormatting sqref="J1:J714">
    <cfRule type="cellIs" dxfId="0" priority="1" operator="equal">
      <formula>"ERROR"</formula>
    </cfRule>
  </conditionalFormatting>
  <pageMargins left="0.7" right="0.7" top="0.75" bottom="0.75" header="0.3" footer="0.3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350FE-7E7A-4DCF-A7FC-06D03E7EF19A}">
  <sheetPr>
    <tabColor theme="7" tint="-0.249977111117893"/>
  </sheetPr>
  <dimension ref="A1:L77"/>
  <sheetViews>
    <sheetView workbookViewId="0">
      <selection sqref="A1:D1"/>
    </sheetView>
  </sheetViews>
  <sheetFormatPr defaultColWidth="10.76171875" defaultRowHeight="15" x14ac:dyDescent="0.2"/>
  <cols>
    <col min="1" max="1" width="20.4453125" customWidth="1"/>
    <col min="2" max="2" width="11.43359375" style="63" customWidth="1"/>
    <col min="3" max="3" width="22.328125" bestFit="1" customWidth="1"/>
    <col min="4" max="4" width="11.43359375" bestFit="1" customWidth="1"/>
    <col min="10" max="10" width="48.5625" customWidth="1"/>
    <col min="11" max="11" width="13.44921875" style="479" bestFit="1" customWidth="1"/>
    <col min="12" max="12" width="19.50390625" style="479" customWidth="1"/>
  </cols>
  <sheetData>
    <row r="1" spans="1:12" ht="18.75" x14ac:dyDescent="0.25">
      <c r="A1" s="1210" t="s">
        <v>3424</v>
      </c>
      <c r="B1" s="1210"/>
      <c r="C1" s="1210"/>
      <c r="D1" s="1210"/>
      <c r="I1" s="1206" t="s">
        <v>11</v>
      </c>
      <c r="J1" s="1208" t="s">
        <v>250</v>
      </c>
      <c r="K1" s="1208" t="s">
        <v>3425</v>
      </c>
    </row>
    <row r="2" spans="1:12" ht="15.75" thickBot="1" x14ac:dyDescent="0.25">
      <c r="A2" s="657" t="s">
        <v>3404</v>
      </c>
      <c r="B2" s="658" t="s">
        <v>3405</v>
      </c>
      <c r="C2" s="657" t="s">
        <v>3406</v>
      </c>
      <c r="D2" s="657" t="s">
        <v>3407</v>
      </c>
      <c r="I2" s="1207"/>
      <c r="J2" s="1209"/>
      <c r="K2" s="1209"/>
    </row>
    <row r="3" spans="1:12" ht="17.25" x14ac:dyDescent="0.25">
      <c r="A3" s="688" t="s">
        <v>3408</v>
      </c>
      <c r="B3" s="689">
        <v>6</v>
      </c>
      <c r="C3" s="687">
        <v>16350</v>
      </c>
      <c r="D3" s="687">
        <f>+C3/B3</f>
        <v>2725</v>
      </c>
      <c r="I3" s="639">
        <v>1</v>
      </c>
      <c r="J3" s="640" t="s">
        <v>2037</v>
      </c>
      <c r="K3" s="1204" t="s">
        <v>2037</v>
      </c>
      <c r="L3" s="1204"/>
    </row>
    <row r="4" spans="1:12" ht="17.25" x14ac:dyDescent="0.25">
      <c r="A4" s="696" t="s">
        <v>3409</v>
      </c>
      <c r="B4" s="697">
        <v>5</v>
      </c>
      <c r="C4" s="698">
        <v>12525</v>
      </c>
      <c r="D4" s="698">
        <f t="shared" ref="D4:D27" si="0">+C4/B4</f>
        <v>2505</v>
      </c>
      <c r="I4" s="616">
        <v>1.1000000000000001</v>
      </c>
      <c r="J4" s="638" t="s">
        <v>3137</v>
      </c>
      <c r="K4" s="1202" t="s">
        <v>3137</v>
      </c>
      <c r="L4" s="1203"/>
    </row>
    <row r="5" spans="1:12" x14ac:dyDescent="0.2">
      <c r="A5" s="694" t="s">
        <v>3410</v>
      </c>
      <c r="B5" s="695">
        <v>11</v>
      </c>
      <c r="C5" s="693">
        <v>30750</v>
      </c>
      <c r="D5" s="693">
        <f t="shared" si="0"/>
        <v>2795.4545454545455</v>
      </c>
      <c r="I5" s="135" t="s">
        <v>2038</v>
      </c>
      <c r="J5" s="103" t="s">
        <v>1885</v>
      </c>
      <c r="K5" s="642">
        <f>+$D$17</f>
        <v>2850</v>
      </c>
      <c r="L5" s="642" t="str">
        <f>+$A$17</f>
        <v>Losa</v>
      </c>
    </row>
    <row r="6" spans="1:12" x14ac:dyDescent="0.2">
      <c r="A6" s="479" t="s">
        <v>3411</v>
      </c>
      <c r="B6" s="480">
        <v>2</v>
      </c>
      <c r="C6" s="648">
        <v>5850</v>
      </c>
      <c r="D6" s="648">
        <f t="shared" si="0"/>
        <v>2925</v>
      </c>
      <c r="I6" s="135" t="s">
        <v>2039</v>
      </c>
      <c r="J6" s="228" t="s">
        <v>1886</v>
      </c>
      <c r="K6" s="642">
        <f>+$D$17</f>
        <v>2850</v>
      </c>
      <c r="L6" s="642" t="str">
        <f>+$A$17</f>
        <v>Losa</v>
      </c>
    </row>
    <row r="7" spans="1:12" x14ac:dyDescent="0.2">
      <c r="A7" s="479" t="s">
        <v>3412</v>
      </c>
      <c r="B7" s="480">
        <v>7</v>
      </c>
      <c r="C7" s="648">
        <v>21150</v>
      </c>
      <c r="D7" s="648">
        <f t="shared" si="0"/>
        <v>3021.4285714285716</v>
      </c>
      <c r="I7" s="135" t="s">
        <v>2040</v>
      </c>
      <c r="J7" s="103" t="s">
        <v>69</v>
      </c>
      <c r="K7" s="643">
        <f>+$D$18</f>
        <v>2800</v>
      </c>
      <c r="L7" s="643" t="str">
        <f>+$A$18</f>
        <v>Losa 2</v>
      </c>
    </row>
    <row r="8" spans="1:12" x14ac:dyDescent="0.2">
      <c r="A8" s="691" t="s">
        <v>3413</v>
      </c>
      <c r="B8" s="692">
        <v>1</v>
      </c>
      <c r="C8" s="690">
        <v>3600</v>
      </c>
      <c r="D8" s="690">
        <f t="shared" si="0"/>
        <v>3600</v>
      </c>
      <c r="I8" s="135" t="s">
        <v>2041</v>
      </c>
      <c r="J8" s="228" t="s">
        <v>1887</v>
      </c>
      <c r="K8" s="643">
        <f>+$D$18</f>
        <v>2800</v>
      </c>
      <c r="L8" s="643" t="str">
        <f>+$A$18</f>
        <v>Losa 2</v>
      </c>
    </row>
    <row r="9" spans="1:12" ht="17.25" x14ac:dyDescent="0.25">
      <c r="A9" s="659" t="s">
        <v>1644</v>
      </c>
      <c r="B9" s="660">
        <v>2</v>
      </c>
      <c r="C9" s="650">
        <v>6600</v>
      </c>
      <c r="D9" s="650">
        <f t="shared" si="0"/>
        <v>3300</v>
      </c>
      <c r="I9" s="465">
        <v>1.2</v>
      </c>
      <c r="J9" s="638" t="s">
        <v>1888</v>
      </c>
      <c r="K9" s="1202" t="s">
        <v>1888</v>
      </c>
      <c r="L9" s="1203" t="s">
        <v>1888</v>
      </c>
    </row>
    <row r="10" spans="1:12" x14ac:dyDescent="0.2">
      <c r="A10" s="661" t="s">
        <v>3414</v>
      </c>
      <c r="B10" s="662">
        <v>7</v>
      </c>
      <c r="C10" s="651">
        <v>21150</v>
      </c>
      <c r="D10" s="651">
        <f t="shared" si="0"/>
        <v>3021.4285714285716</v>
      </c>
      <c r="I10" s="135" t="s">
        <v>2042</v>
      </c>
      <c r="J10" s="285" t="s">
        <v>1889</v>
      </c>
      <c r="K10" s="687">
        <f>+$D$3</f>
        <v>2725</v>
      </c>
      <c r="L10" s="687" t="str">
        <f>+$A$3</f>
        <v>Aceros</v>
      </c>
    </row>
    <row r="11" spans="1:12" x14ac:dyDescent="0.2">
      <c r="A11" s="700" t="s">
        <v>3415</v>
      </c>
      <c r="B11" s="701">
        <v>7</v>
      </c>
      <c r="C11" s="699">
        <v>19800</v>
      </c>
      <c r="D11" s="699">
        <f t="shared" si="0"/>
        <v>2828.5714285714284</v>
      </c>
      <c r="I11" s="135" t="s">
        <v>2043</v>
      </c>
      <c r="J11" s="285" t="s">
        <v>1890</v>
      </c>
      <c r="K11" s="702">
        <f>+$D$12</f>
        <v>2809.090909090909</v>
      </c>
      <c r="L11" s="702" t="str">
        <f>+$A$12</f>
        <v>Formaleta</v>
      </c>
    </row>
    <row r="12" spans="1:12" x14ac:dyDescent="0.2">
      <c r="A12" s="703" t="s">
        <v>1728</v>
      </c>
      <c r="B12" s="704">
        <v>22</v>
      </c>
      <c r="C12" s="702">
        <v>61800</v>
      </c>
      <c r="D12" s="702">
        <f t="shared" si="0"/>
        <v>2809.090909090909</v>
      </c>
      <c r="I12" s="135" t="s">
        <v>2044</v>
      </c>
      <c r="J12" s="286" t="s">
        <v>125</v>
      </c>
    </row>
    <row r="13" spans="1:12" x14ac:dyDescent="0.2">
      <c r="A13" s="663" t="s">
        <v>3416</v>
      </c>
      <c r="B13" s="664">
        <v>8</v>
      </c>
      <c r="C13" s="647">
        <v>22350</v>
      </c>
      <c r="D13" s="647">
        <f t="shared" si="0"/>
        <v>2793.75</v>
      </c>
      <c r="I13" s="135" t="s">
        <v>2045</v>
      </c>
      <c r="J13" s="228" t="s">
        <v>1891</v>
      </c>
      <c r="K13" s="687">
        <f>+$D$3</f>
        <v>2725</v>
      </c>
      <c r="L13" s="687" t="str">
        <f>+$A$3</f>
        <v>Aceros</v>
      </c>
    </row>
    <row r="14" spans="1:12" x14ac:dyDescent="0.2">
      <c r="A14" s="665" t="s">
        <v>3417</v>
      </c>
      <c r="B14" s="666">
        <v>4</v>
      </c>
      <c r="C14" s="645">
        <v>11700</v>
      </c>
      <c r="D14" s="645">
        <f t="shared" si="0"/>
        <v>2925</v>
      </c>
      <c r="I14" s="135" t="s">
        <v>2046</v>
      </c>
      <c r="J14" s="228" t="s">
        <v>1892</v>
      </c>
      <c r="K14" s="702">
        <f>+$D$12</f>
        <v>2809.090909090909</v>
      </c>
      <c r="L14" s="702" t="str">
        <f>+$A$12</f>
        <v>Formaleta</v>
      </c>
    </row>
    <row r="15" spans="1:12" ht="17.25" x14ac:dyDescent="0.25">
      <c r="A15" s="479" t="s">
        <v>3418</v>
      </c>
      <c r="B15" s="480">
        <v>23</v>
      </c>
      <c r="C15" s="648">
        <v>63900</v>
      </c>
      <c r="D15" s="648">
        <f t="shared" si="0"/>
        <v>2778.2608695652175</v>
      </c>
      <c r="I15" s="616">
        <v>1.3</v>
      </c>
      <c r="J15" s="638" t="s">
        <v>141</v>
      </c>
      <c r="K15" s="1202" t="s">
        <v>141</v>
      </c>
      <c r="L15" s="1203" t="s">
        <v>141</v>
      </c>
    </row>
    <row r="16" spans="1:12" x14ac:dyDescent="0.2">
      <c r="A16" s="667" t="s">
        <v>3419</v>
      </c>
      <c r="B16" s="668">
        <v>2</v>
      </c>
      <c r="C16" s="653">
        <v>5250</v>
      </c>
      <c r="D16" s="653">
        <f t="shared" si="0"/>
        <v>2625</v>
      </c>
      <c r="I16" s="135" t="s">
        <v>2047</v>
      </c>
      <c r="J16" s="103" t="s">
        <v>142</v>
      </c>
      <c r="K16" s="644">
        <f>+$D$27</f>
        <v>2942.3076923076924</v>
      </c>
      <c r="L16" s="644" t="str">
        <f>+$A$27</f>
        <v>Soldadura</v>
      </c>
    </row>
    <row r="17" spans="1:12" x14ac:dyDescent="0.2">
      <c r="A17" s="669" t="s">
        <v>3018</v>
      </c>
      <c r="B17" s="670">
        <v>8</v>
      </c>
      <c r="C17" s="642">
        <v>22800</v>
      </c>
      <c r="D17" s="642">
        <f t="shared" si="0"/>
        <v>2850</v>
      </c>
      <c r="I17" s="135" t="s">
        <v>2048</v>
      </c>
      <c r="J17" s="103" t="s">
        <v>1364</v>
      </c>
      <c r="K17" s="644">
        <f t="shared" ref="K17:K22" si="1">+$D$27</f>
        <v>2942.3076923076924</v>
      </c>
      <c r="L17" s="644" t="str">
        <f t="shared" ref="L17:L22" si="2">+$A$27</f>
        <v>Soldadura</v>
      </c>
    </row>
    <row r="18" spans="1:12" x14ac:dyDescent="0.2">
      <c r="A18" s="671" t="s">
        <v>3420</v>
      </c>
      <c r="B18" s="672">
        <v>3</v>
      </c>
      <c r="C18" s="643">
        <v>8400</v>
      </c>
      <c r="D18" s="643">
        <f t="shared" si="0"/>
        <v>2800</v>
      </c>
      <c r="I18" s="135" t="s">
        <v>2049</v>
      </c>
      <c r="J18" s="103" t="s">
        <v>162</v>
      </c>
      <c r="K18" s="690">
        <f>+$D$8</f>
        <v>3600</v>
      </c>
      <c r="L18" s="690" t="str">
        <f>+$A$8</f>
        <v>Cubierta Techos</v>
      </c>
    </row>
    <row r="19" spans="1:12" x14ac:dyDescent="0.2">
      <c r="A19" s="673" t="s">
        <v>2173</v>
      </c>
      <c r="B19" s="674">
        <v>1</v>
      </c>
      <c r="C19" s="656">
        <v>3300</v>
      </c>
      <c r="D19" s="656">
        <f t="shared" si="0"/>
        <v>3300</v>
      </c>
      <c r="I19" s="135" t="s">
        <v>2050</v>
      </c>
      <c r="J19" s="103" t="s">
        <v>167</v>
      </c>
      <c r="K19" s="690">
        <f>+$D$8</f>
        <v>3600</v>
      </c>
      <c r="L19" s="690" t="str">
        <f>+$A$8</f>
        <v>Cubierta Techos</v>
      </c>
    </row>
    <row r="20" spans="1:12" x14ac:dyDescent="0.2">
      <c r="A20" s="479" t="s">
        <v>3426</v>
      </c>
      <c r="B20" s="480">
        <v>9</v>
      </c>
      <c r="C20" s="648">
        <v>26700</v>
      </c>
      <c r="D20" s="648">
        <f t="shared" si="0"/>
        <v>2966.6666666666665</v>
      </c>
      <c r="I20" s="135" t="s">
        <v>2051</v>
      </c>
      <c r="J20" s="228" t="s">
        <v>181</v>
      </c>
      <c r="K20" s="644">
        <f t="shared" si="1"/>
        <v>2942.3076923076924</v>
      </c>
      <c r="L20" s="644" t="str">
        <f t="shared" si="2"/>
        <v>Soldadura</v>
      </c>
    </row>
    <row r="21" spans="1:12" x14ac:dyDescent="0.2">
      <c r="A21" s="479" t="s">
        <v>3421</v>
      </c>
      <c r="B21" s="480">
        <v>3</v>
      </c>
      <c r="C21" s="648">
        <v>9600</v>
      </c>
      <c r="D21" s="648">
        <f t="shared" si="0"/>
        <v>3200</v>
      </c>
      <c r="I21" s="135" t="s">
        <v>2052</v>
      </c>
      <c r="J21" s="103" t="s">
        <v>183</v>
      </c>
      <c r="K21" s="644">
        <f t="shared" si="1"/>
        <v>2942.3076923076924</v>
      </c>
      <c r="L21" s="644" t="str">
        <f t="shared" si="2"/>
        <v>Soldadura</v>
      </c>
    </row>
    <row r="22" spans="1:12" x14ac:dyDescent="0.2">
      <c r="A22" s="675" t="s">
        <v>3422</v>
      </c>
      <c r="B22" s="676">
        <v>13</v>
      </c>
      <c r="C22" s="654">
        <v>39600</v>
      </c>
      <c r="D22" s="654">
        <f t="shared" si="0"/>
        <v>3046.1538461538462</v>
      </c>
      <c r="I22" s="135" t="s">
        <v>2053</v>
      </c>
      <c r="J22" s="103" t="s">
        <v>1369</v>
      </c>
      <c r="K22" s="644">
        <f t="shared" si="1"/>
        <v>2942.3076923076924</v>
      </c>
      <c r="L22" s="644" t="str">
        <f t="shared" si="2"/>
        <v>Soldadura</v>
      </c>
    </row>
    <row r="23" spans="1:12" ht="17.25" x14ac:dyDescent="0.25">
      <c r="A23" s="677" t="s">
        <v>1646</v>
      </c>
      <c r="B23" s="678">
        <v>8</v>
      </c>
      <c r="C23" s="652">
        <v>25500</v>
      </c>
      <c r="D23" s="652">
        <f t="shared" si="0"/>
        <v>3187.5</v>
      </c>
      <c r="I23" s="465">
        <v>1.4</v>
      </c>
      <c r="J23" s="638" t="s">
        <v>1895</v>
      </c>
      <c r="K23" s="1202" t="s">
        <v>1895</v>
      </c>
      <c r="L23" s="1203" t="s">
        <v>1895</v>
      </c>
    </row>
    <row r="24" spans="1:12" x14ac:dyDescent="0.2">
      <c r="A24" s="679" t="s">
        <v>3423</v>
      </c>
      <c r="B24" s="680">
        <v>2</v>
      </c>
      <c r="C24" s="646">
        <v>5700</v>
      </c>
      <c r="D24" s="646">
        <f t="shared" si="0"/>
        <v>2850</v>
      </c>
      <c r="I24" s="135" t="s">
        <v>2054</v>
      </c>
      <c r="J24" s="103" t="s">
        <v>1896</v>
      </c>
      <c r="K24" s="645">
        <f>+$D$14</f>
        <v>2925</v>
      </c>
      <c r="L24" s="645" t="str">
        <f>+$A$14</f>
        <v>Hojalateria</v>
      </c>
    </row>
    <row r="25" spans="1:12" x14ac:dyDescent="0.2">
      <c r="A25" s="681" t="s">
        <v>1107</v>
      </c>
      <c r="B25" s="682">
        <v>4</v>
      </c>
      <c r="C25" s="655">
        <v>13050</v>
      </c>
      <c r="D25" s="655">
        <f t="shared" si="0"/>
        <v>3262.5</v>
      </c>
      <c r="I25" s="135" t="s">
        <v>2055</v>
      </c>
      <c r="J25" s="103" t="s">
        <v>244</v>
      </c>
      <c r="K25" s="645">
        <f>+$D$14</f>
        <v>2925</v>
      </c>
      <c r="L25" s="645" t="str">
        <f>+$A$14</f>
        <v>Hojalateria</v>
      </c>
    </row>
    <row r="26" spans="1:12" ht="17.25" x14ac:dyDescent="0.25">
      <c r="A26" s="683" t="s">
        <v>1643</v>
      </c>
      <c r="B26" s="684">
        <v>13</v>
      </c>
      <c r="C26" s="649">
        <v>39300</v>
      </c>
      <c r="D26" s="649">
        <f t="shared" si="0"/>
        <v>3023.0769230769229</v>
      </c>
      <c r="I26" s="465">
        <v>1.5</v>
      </c>
      <c r="J26" s="638" t="s">
        <v>1898</v>
      </c>
      <c r="K26" s="1202" t="s">
        <v>1898</v>
      </c>
      <c r="L26" s="1203" t="s">
        <v>1898</v>
      </c>
    </row>
    <row r="27" spans="1:12" x14ac:dyDescent="0.2">
      <c r="A27" s="685" t="s">
        <v>1511</v>
      </c>
      <c r="B27" s="686">
        <v>13</v>
      </c>
      <c r="C27" s="644">
        <v>38250</v>
      </c>
      <c r="D27" s="644">
        <f t="shared" si="0"/>
        <v>2942.3076923076924</v>
      </c>
      <c r="I27" s="135" t="s">
        <v>2056</v>
      </c>
      <c r="J27" s="103" t="s">
        <v>133</v>
      </c>
      <c r="K27" s="693">
        <f>+$D$5</f>
        <v>2795.4545454545455</v>
      </c>
      <c r="L27" s="693" t="str">
        <f>+$A$5</f>
        <v>Complementarias</v>
      </c>
    </row>
    <row r="28" spans="1:12" x14ac:dyDescent="0.2">
      <c r="A28" s="657"/>
      <c r="B28" s="658"/>
      <c r="C28" s="657"/>
      <c r="D28" s="657"/>
      <c r="I28" s="135" t="s">
        <v>2057</v>
      </c>
      <c r="J28" s="103" t="s">
        <v>134</v>
      </c>
      <c r="K28" s="693">
        <f>+$D$5</f>
        <v>2795.4545454545455</v>
      </c>
      <c r="L28" s="693" t="str">
        <f>+$A$5</f>
        <v>Complementarias</v>
      </c>
    </row>
    <row r="29" spans="1:12" x14ac:dyDescent="0.2">
      <c r="I29" s="135" t="s">
        <v>2058</v>
      </c>
      <c r="J29" s="103" t="s">
        <v>136</v>
      </c>
      <c r="K29" s="693">
        <f>+$D$5</f>
        <v>2795.4545454545455</v>
      </c>
      <c r="L29" s="693" t="str">
        <f>+$A$5</f>
        <v>Complementarias</v>
      </c>
    </row>
    <row r="30" spans="1:12" x14ac:dyDescent="0.2">
      <c r="I30" s="135" t="s">
        <v>2059</v>
      </c>
      <c r="J30" s="103" t="s">
        <v>217</v>
      </c>
      <c r="K30" s="693">
        <f>+D24</f>
        <v>2850</v>
      </c>
      <c r="L30" s="693" t="str">
        <f>+A24</f>
        <v>Prefabricados</v>
      </c>
    </row>
    <row r="31" spans="1:12" x14ac:dyDescent="0.2">
      <c r="I31" s="135" t="s">
        <v>2060</v>
      </c>
      <c r="J31" s="103" t="s">
        <v>218</v>
      </c>
      <c r="K31" s="693">
        <f>+$D$5</f>
        <v>2795.4545454545455</v>
      </c>
      <c r="L31" s="693" t="str">
        <f>+$A$5</f>
        <v>Complementarias</v>
      </c>
    </row>
    <row r="32" spans="1:12" ht="17.25" x14ac:dyDescent="0.25">
      <c r="I32" s="617">
        <v>1.6</v>
      </c>
      <c r="J32" s="638" t="s">
        <v>187</v>
      </c>
      <c r="K32" s="1202" t="s">
        <v>187</v>
      </c>
      <c r="L32" s="1203" t="s">
        <v>187</v>
      </c>
    </row>
    <row r="33" spans="9:12" x14ac:dyDescent="0.2">
      <c r="I33" s="62" t="s">
        <v>2124</v>
      </c>
      <c r="J33" s="228" t="s">
        <v>1900</v>
      </c>
      <c r="K33" s="647">
        <f>+$D$13</f>
        <v>2793.75</v>
      </c>
      <c r="L33" s="647" t="str">
        <f>+$A$13</f>
        <v>Gypsum</v>
      </c>
    </row>
    <row r="34" spans="9:12" ht="15.75" thickBot="1" x14ac:dyDescent="0.25">
      <c r="I34" s="62" t="s">
        <v>2125</v>
      </c>
      <c r="J34" s="228" t="s">
        <v>189</v>
      </c>
      <c r="K34" s="647">
        <f t="shared" ref="K34" si="3">+$D$13</f>
        <v>2793.75</v>
      </c>
      <c r="L34" s="647" t="str">
        <f>+$A$13</f>
        <v>Gypsum</v>
      </c>
    </row>
    <row r="35" spans="9:12" ht="18" thickBot="1" x14ac:dyDescent="0.3">
      <c r="I35" s="641">
        <v>2</v>
      </c>
      <c r="J35" s="640" t="s">
        <v>373</v>
      </c>
      <c r="K35" s="1204" t="s">
        <v>373</v>
      </c>
      <c r="L35" s="1204"/>
    </row>
    <row r="36" spans="9:12" ht="17.25" x14ac:dyDescent="0.25">
      <c r="I36" s="465">
        <v>2.1</v>
      </c>
      <c r="J36" s="638" t="s">
        <v>1901</v>
      </c>
      <c r="K36" s="1202" t="s">
        <v>1901</v>
      </c>
      <c r="L36" s="1203" t="s">
        <v>1901</v>
      </c>
    </row>
    <row r="37" spans="9:12" x14ac:dyDescent="0.2">
      <c r="I37" s="135" t="s">
        <v>2061</v>
      </c>
      <c r="J37" s="103" t="s">
        <v>193</v>
      </c>
      <c r="K37" s="649">
        <f>+$D$26</f>
        <v>3023.0769230769229</v>
      </c>
      <c r="L37" s="649" t="str">
        <f>+$A$26</f>
        <v>Repello</v>
      </c>
    </row>
    <row r="38" spans="9:12" x14ac:dyDescent="0.2">
      <c r="I38" s="135" t="s">
        <v>2062</v>
      </c>
      <c r="J38" s="103" t="s">
        <v>195</v>
      </c>
      <c r="K38" s="650">
        <f>+$D$9</f>
        <v>3300</v>
      </c>
      <c r="L38" s="650" t="str">
        <f>+$A$9</f>
        <v>Empaste</v>
      </c>
    </row>
    <row r="39" spans="9:12" ht="17.25" x14ac:dyDescent="0.25">
      <c r="I39" s="616">
        <v>2.2000000000000002</v>
      </c>
      <c r="J39" s="638" t="s">
        <v>1437</v>
      </c>
      <c r="K39" s="638" t="s">
        <v>1437</v>
      </c>
      <c r="L39" s="638" t="s">
        <v>1437</v>
      </c>
    </row>
    <row r="40" spans="9:12" x14ac:dyDescent="0.2">
      <c r="I40" s="135" t="s">
        <v>2063</v>
      </c>
      <c r="J40" s="103" t="s">
        <v>1902</v>
      </c>
      <c r="K40" s="651">
        <f>+$D$10</f>
        <v>3021.4285714285716</v>
      </c>
      <c r="L40" s="651" t="str">
        <f>+$A$10</f>
        <v>Enchape</v>
      </c>
    </row>
    <row r="41" spans="9:12" ht="17.25" x14ac:dyDescent="0.25">
      <c r="I41" s="616">
        <v>2.2999999999999998</v>
      </c>
      <c r="J41" s="638" t="s">
        <v>1903</v>
      </c>
      <c r="K41" s="1202" t="s">
        <v>1903</v>
      </c>
      <c r="L41" s="1203" t="s">
        <v>1903</v>
      </c>
    </row>
    <row r="42" spans="9:12" x14ac:dyDescent="0.2">
      <c r="I42" s="135" t="s">
        <v>2064</v>
      </c>
      <c r="J42" s="103" t="s">
        <v>1904</v>
      </c>
      <c r="K42" s="652">
        <f>+$D$23</f>
        <v>3187.5</v>
      </c>
      <c r="L42" s="652" t="str">
        <f>+$A$23</f>
        <v>Pintura</v>
      </c>
    </row>
    <row r="43" spans="9:12" x14ac:dyDescent="0.2">
      <c r="I43" s="135" t="s">
        <v>2126</v>
      </c>
      <c r="J43" s="103" t="s">
        <v>222</v>
      </c>
      <c r="K43" s="652">
        <f>+$D$23</f>
        <v>3187.5</v>
      </c>
      <c r="L43" s="652" t="str">
        <f>+$A$23</f>
        <v>Pintura</v>
      </c>
    </row>
    <row r="44" spans="9:12" x14ac:dyDescent="0.2">
      <c r="I44" s="135" t="s">
        <v>2127</v>
      </c>
      <c r="J44" s="103" t="s">
        <v>224</v>
      </c>
      <c r="K44" s="653">
        <f>+$D$16</f>
        <v>2625</v>
      </c>
      <c r="L44" s="653" t="str">
        <f>+$A$16</f>
        <v>Limpieza Casas</v>
      </c>
    </row>
    <row r="45" spans="9:12" ht="17.25" x14ac:dyDescent="0.25">
      <c r="I45" s="616">
        <v>2.4</v>
      </c>
      <c r="J45" s="638" t="s">
        <v>1905</v>
      </c>
      <c r="K45" s="1202" t="s">
        <v>1905</v>
      </c>
      <c r="L45" s="1203" t="s">
        <v>1905</v>
      </c>
    </row>
    <row r="46" spans="9:12" hidden="1" x14ac:dyDescent="0.2">
      <c r="I46" s="135" t="s">
        <v>2065</v>
      </c>
      <c r="J46" s="103" t="s">
        <v>1906</v>
      </c>
      <c r="K46" s="512" t="s">
        <v>3427</v>
      </c>
      <c r="L46" s="512" t="s">
        <v>3427</v>
      </c>
    </row>
    <row r="47" spans="9:12" hidden="1" x14ac:dyDescent="0.2">
      <c r="I47" s="135" t="s">
        <v>2066</v>
      </c>
      <c r="J47" s="103" t="s">
        <v>1907</v>
      </c>
      <c r="K47" s="512" t="s">
        <v>3427</v>
      </c>
      <c r="L47" s="512" t="s">
        <v>3427</v>
      </c>
    </row>
    <row r="48" spans="9:12" ht="17.25" x14ac:dyDescent="0.25">
      <c r="I48" s="616">
        <v>2.5</v>
      </c>
      <c r="J48" s="638" t="s">
        <v>225</v>
      </c>
      <c r="K48" s="1202" t="s">
        <v>225</v>
      </c>
      <c r="L48" s="1203" t="s">
        <v>225</v>
      </c>
    </row>
    <row r="49" spans="9:12" hidden="1" x14ac:dyDescent="0.2">
      <c r="I49" s="135" t="s">
        <v>2067</v>
      </c>
      <c r="J49" s="103" t="s">
        <v>225</v>
      </c>
      <c r="K49" s="512" t="s">
        <v>3427</v>
      </c>
      <c r="L49" s="512" t="s">
        <v>3427</v>
      </c>
    </row>
    <row r="50" spans="9:12" ht="17.25" x14ac:dyDescent="0.25">
      <c r="I50" s="616">
        <v>2.6</v>
      </c>
      <c r="J50" s="638" t="s">
        <v>207</v>
      </c>
      <c r="K50" s="1202" t="s">
        <v>207</v>
      </c>
      <c r="L50" s="1203" t="s">
        <v>207</v>
      </c>
    </row>
    <row r="51" spans="9:12" x14ac:dyDescent="0.2">
      <c r="I51" s="135" t="s">
        <v>2068</v>
      </c>
      <c r="J51" s="103" t="s">
        <v>208</v>
      </c>
      <c r="K51" s="654">
        <f>+D22</f>
        <v>3046.1538461538462</v>
      </c>
      <c r="L51" s="654" t="str">
        <f>+A22</f>
        <v>Muebles</v>
      </c>
    </row>
    <row r="52" spans="9:12" x14ac:dyDescent="0.2">
      <c r="I52" s="135" t="s">
        <v>2128</v>
      </c>
      <c r="J52" s="103" t="s">
        <v>209</v>
      </c>
      <c r="K52" s="655">
        <f>+$D$25</f>
        <v>3262.5</v>
      </c>
      <c r="L52" s="655" t="str">
        <f>+$A$25</f>
        <v>Puertas</v>
      </c>
    </row>
    <row r="53" spans="9:12" ht="17.25" x14ac:dyDescent="0.25">
      <c r="I53" s="616">
        <v>2.7</v>
      </c>
      <c r="J53" s="638" t="s">
        <v>1909</v>
      </c>
      <c r="K53" s="1202" t="s">
        <v>1909</v>
      </c>
      <c r="L53" s="1203" t="s">
        <v>1909</v>
      </c>
    </row>
    <row r="54" spans="9:12" x14ac:dyDescent="0.2">
      <c r="I54" s="135" t="s">
        <v>2069</v>
      </c>
      <c r="J54" s="103" t="s">
        <v>221</v>
      </c>
      <c r="K54" s="656">
        <f>+D19</f>
        <v>3300</v>
      </c>
      <c r="L54" s="656" t="str">
        <f>+A19</f>
        <v>Losa Sanitaria</v>
      </c>
    </row>
    <row r="55" spans="9:12" ht="17.25" x14ac:dyDescent="0.25">
      <c r="I55" s="616">
        <v>2.8</v>
      </c>
      <c r="J55" s="638" t="s">
        <v>215</v>
      </c>
      <c r="K55" s="1202" t="s">
        <v>215</v>
      </c>
      <c r="L55" s="1203" t="s">
        <v>215</v>
      </c>
    </row>
    <row r="56" spans="9:12" ht="15.75" thickBot="1" x14ac:dyDescent="0.25">
      <c r="I56" s="135" t="s">
        <v>2070</v>
      </c>
      <c r="J56" s="103" t="s">
        <v>215</v>
      </c>
      <c r="K56" s="698">
        <f>+$D$4</f>
        <v>2505</v>
      </c>
      <c r="L56" s="698" t="str">
        <f>+$A$4</f>
        <v>Apoyo</v>
      </c>
    </row>
    <row r="57" spans="9:12" ht="20.100000000000001" customHeight="1" thickBot="1" x14ac:dyDescent="0.25">
      <c r="I57" s="459">
        <v>3</v>
      </c>
      <c r="J57" s="458" t="s">
        <v>2071</v>
      </c>
      <c r="K57" s="1205" t="s">
        <v>2071</v>
      </c>
      <c r="L57" s="1205"/>
    </row>
    <row r="58" spans="9:12" ht="17.25" hidden="1" x14ac:dyDescent="0.25">
      <c r="I58" s="465">
        <v>3.1</v>
      </c>
      <c r="J58" s="638" t="s">
        <v>227</v>
      </c>
      <c r="K58" s="1202" t="s">
        <v>227</v>
      </c>
      <c r="L58" s="1203" t="s">
        <v>227</v>
      </c>
    </row>
    <row r="59" spans="9:12" hidden="1" x14ac:dyDescent="0.2">
      <c r="I59" s="135" t="s">
        <v>2072</v>
      </c>
      <c r="J59" s="103" t="s">
        <v>228</v>
      </c>
      <c r="K59" s="512" t="s">
        <v>3427</v>
      </c>
      <c r="L59" s="512" t="s">
        <v>3427</v>
      </c>
    </row>
    <row r="60" spans="9:12" hidden="1" x14ac:dyDescent="0.2">
      <c r="I60" s="135" t="s">
        <v>2073</v>
      </c>
      <c r="J60" s="103" t="s">
        <v>230</v>
      </c>
      <c r="K60" s="512" t="s">
        <v>3427</v>
      </c>
      <c r="L60" s="512" t="s">
        <v>3427</v>
      </c>
    </row>
    <row r="61" spans="9:12" hidden="1" x14ac:dyDescent="0.2">
      <c r="I61" s="135" t="s">
        <v>2074</v>
      </c>
      <c r="J61" s="103" t="s">
        <v>3275</v>
      </c>
      <c r="K61" s="512" t="s">
        <v>3427</v>
      </c>
      <c r="L61" s="512" t="s">
        <v>3427</v>
      </c>
    </row>
    <row r="62" spans="9:12" hidden="1" x14ac:dyDescent="0.2">
      <c r="I62" s="135" t="s">
        <v>2075</v>
      </c>
      <c r="J62" s="103" t="s">
        <v>3278</v>
      </c>
      <c r="K62" s="512" t="s">
        <v>3427</v>
      </c>
      <c r="L62" s="512" t="s">
        <v>3427</v>
      </c>
    </row>
    <row r="63" spans="9:12" hidden="1" x14ac:dyDescent="0.2">
      <c r="I63" s="135" t="s">
        <v>2076</v>
      </c>
      <c r="J63" s="103" t="s">
        <v>235</v>
      </c>
      <c r="K63" s="512" t="s">
        <v>3427</v>
      </c>
      <c r="L63" s="512" t="s">
        <v>3427</v>
      </c>
    </row>
    <row r="64" spans="9:12" hidden="1" x14ac:dyDescent="0.2">
      <c r="I64" s="135" t="s">
        <v>2077</v>
      </c>
      <c r="J64" s="103" t="s">
        <v>233</v>
      </c>
      <c r="K64" s="512" t="s">
        <v>3427</v>
      </c>
      <c r="L64" s="512" t="s">
        <v>3427</v>
      </c>
    </row>
    <row r="65" spans="9:12" hidden="1" x14ac:dyDescent="0.2">
      <c r="I65" s="135" t="s">
        <v>2078</v>
      </c>
      <c r="J65" s="103" t="s">
        <v>236</v>
      </c>
      <c r="K65" s="512" t="s">
        <v>3427</v>
      </c>
      <c r="L65" s="512" t="s">
        <v>3427</v>
      </c>
    </row>
    <row r="66" spans="9:12" hidden="1" x14ac:dyDescent="0.2">
      <c r="I66" s="135" t="s">
        <v>2079</v>
      </c>
      <c r="J66" s="103" t="s">
        <v>237</v>
      </c>
      <c r="K66" s="512" t="s">
        <v>3427</v>
      </c>
      <c r="L66" s="512" t="s">
        <v>3427</v>
      </c>
    </row>
    <row r="67" spans="9:12" hidden="1" x14ac:dyDescent="0.2">
      <c r="I67" s="135" t="s">
        <v>2080</v>
      </c>
      <c r="J67" s="103" t="s">
        <v>238</v>
      </c>
      <c r="K67" s="512" t="s">
        <v>3427</v>
      </c>
      <c r="L67" s="512" t="s">
        <v>3427</v>
      </c>
    </row>
    <row r="68" spans="9:12" hidden="1" x14ac:dyDescent="0.2">
      <c r="I68" s="135" t="s">
        <v>3338</v>
      </c>
      <c r="J68" s="103" t="s">
        <v>239</v>
      </c>
      <c r="K68" s="512" t="s">
        <v>3427</v>
      </c>
      <c r="L68" s="512" t="s">
        <v>3427</v>
      </c>
    </row>
    <row r="69" spans="9:12" ht="17.25" x14ac:dyDescent="0.25">
      <c r="I69" s="616">
        <v>3.2</v>
      </c>
      <c r="J69" s="638" t="s">
        <v>240</v>
      </c>
      <c r="K69" s="1202" t="s">
        <v>240</v>
      </c>
      <c r="L69" s="1203" t="s">
        <v>240</v>
      </c>
    </row>
    <row r="70" spans="9:12" x14ac:dyDescent="0.2">
      <c r="I70" s="135" t="s">
        <v>2081</v>
      </c>
      <c r="J70" s="103" t="s">
        <v>3359</v>
      </c>
      <c r="K70" s="699">
        <f>+$D$11</f>
        <v>2828.5714285714284</v>
      </c>
      <c r="L70" s="699" t="str">
        <f>+$A$11</f>
        <v>Fontaneria</v>
      </c>
    </row>
    <row r="71" spans="9:12" x14ac:dyDescent="0.2">
      <c r="I71" s="135" t="s">
        <v>2082</v>
      </c>
      <c r="J71" s="103" t="s">
        <v>3370</v>
      </c>
      <c r="K71" s="699">
        <f t="shared" ref="K71:K77" si="4">+$D$11</f>
        <v>2828.5714285714284</v>
      </c>
      <c r="L71" s="699" t="str">
        <f t="shared" ref="L71:L77" si="5">+$A$11</f>
        <v>Fontaneria</v>
      </c>
    </row>
    <row r="72" spans="9:12" x14ac:dyDescent="0.2">
      <c r="I72" s="135" t="s">
        <v>3371</v>
      </c>
      <c r="J72" s="228" t="s">
        <v>3372</v>
      </c>
      <c r="K72" s="699">
        <f t="shared" si="4"/>
        <v>2828.5714285714284</v>
      </c>
      <c r="L72" s="699" t="str">
        <f t="shared" si="5"/>
        <v>Fontaneria</v>
      </c>
    </row>
    <row r="73" spans="9:12" x14ac:dyDescent="0.2">
      <c r="I73" s="135" t="s">
        <v>3373</v>
      </c>
      <c r="J73" s="103" t="s">
        <v>3374</v>
      </c>
      <c r="K73" s="699">
        <f t="shared" si="4"/>
        <v>2828.5714285714284</v>
      </c>
      <c r="L73" s="699" t="str">
        <f t="shared" si="5"/>
        <v>Fontaneria</v>
      </c>
    </row>
    <row r="74" spans="9:12" x14ac:dyDescent="0.2">
      <c r="I74" s="135" t="s">
        <v>2083</v>
      </c>
      <c r="J74" s="103" t="s">
        <v>1915</v>
      </c>
      <c r="K74" s="699">
        <f t="shared" si="4"/>
        <v>2828.5714285714284</v>
      </c>
      <c r="L74" s="699" t="str">
        <f t="shared" si="5"/>
        <v>Fontaneria</v>
      </c>
    </row>
    <row r="75" spans="9:12" x14ac:dyDescent="0.2">
      <c r="I75" s="135" t="s">
        <v>2084</v>
      </c>
      <c r="J75" s="228" t="s">
        <v>242</v>
      </c>
      <c r="K75" s="699">
        <f t="shared" si="4"/>
        <v>2828.5714285714284</v>
      </c>
      <c r="L75" s="699" t="str">
        <f t="shared" si="5"/>
        <v>Fontaneria</v>
      </c>
    </row>
    <row r="76" spans="9:12" x14ac:dyDescent="0.2">
      <c r="I76" s="135" t="s">
        <v>3389</v>
      </c>
      <c r="J76" s="228" t="s">
        <v>246</v>
      </c>
      <c r="K76" s="699">
        <f t="shared" si="4"/>
        <v>2828.5714285714284</v>
      </c>
      <c r="L76" s="699" t="str">
        <f t="shared" si="5"/>
        <v>Fontaneria</v>
      </c>
    </row>
    <row r="77" spans="9:12" x14ac:dyDescent="0.2">
      <c r="I77" s="135" t="s">
        <v>3390</v>
      </c>
      <c r="J77" s="228" t="s">
        <v>3386</v>
      </c>
      <c r="K77" s="699">
        <f t="shared" si="4"/>
        <v>2828.5714285714284</v>
      </c>
      <c r="L77" s="699" t="str">
        <f t="shared" si="5"/>
        <v>Fontaneria</v>
      </c>
    </row>
  </sheetData>
  <mergeCells count="22">
    <mergeCell ref="I1:I2"/>
    <mergeCell ref="J1:J2"/>
    <mergeCell ref="A1:D1"/>
    <mergeCell ref="K3:L3"/>
    <mergeCell ref="K1:K2"/>
    <mergeCell ref="K4:L4"/>
    <mergeCell ref="K35:L35"/>
    <mergeCell ref="K57:L57"/>
    <mergeCell ref="K9:L9"/>
    <mergeCell ref="K15:L15"/>
    <mergeCell ref="K23:L23"/>
    <mergeCell ref="K26:L26"/>
    <mergeCell ref="K32:L32"/>
    <mergeCell ref="K55:L55"/>
    <mergeCell ref="K58:L58"/>
    <mergeCell ref="K69:L69"/>
    <mergeCell ref="K36:L36"/>
    <mergeCell ref="K41:L41"/>
    <mergeCell ref="K45:L45"/>
    <mergeCell ref="K48:L48"/>
    <mergeCell ref="K50:L50"/>
    <mergeCell ref="K53:L5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:N104"/>
  <sheetViews>
    <sheetView workbookViewId="0"/>
  </sheetViews>
  <sheetFormatPr defaultColWidth="9.55078125" defaultRowHeight="10.5" x14ac:dyDescent="0.1"/>
  <cols>
    <col min="1" max="1" width="1.4765625" style="1" customWidth="1"/>
    <col min="2" max="2" width="31.4765625" style="1" customWidth="1"/>
    <col min="3" max="3" width="8.47265625" style="1" bestFit="1" customWidth="1"/>
    <col min="4" max="5" width="6.45703125" style="1" bestFit="1" customWidth="1"/>
    <col min="6" max="6" width="7.53125" style="1" customWidth="1"/>
    <col min="7" max="8" width="11.43359375" style="1" customWidth="1"/>
    <col min="9" max="9" width="12.5078125" style="1" customWidth="1"/>
    <col min="10" max="11" width="14.52734375" style="1" customWidth="1"/>
    <col min="12" max="12" width="17.484375" style="1" bestFit="1" customWidth="1"/>
    <col min="13" max="13" width="15.46875" style="1" customWidth="1"/>
    <col min="14" max="14" width="14.52734375" style="1" customWidth="1"/>
    <col min="15" max="15" width="13.046875" style="1" customWidth="1"/>
    <col min="16" max="256" width="9.55078125" style="1"/>
    <col min="257" max="257" width="1.4765625" style="1" customWidth="1"/>
    <col min="258" max="258" width="31.4765625" style="1" customWidth="1"/>
    <col min="259" max="259" width="8.47265625" style="1" bestFit="1" customWidth="1"/>
    <col min="260" max="261" width="6.45703125" style="1" bestFit="1" customWidth="1"/>
    <col min="262" max="262" width="7.53125" style="1" customWidth="1"/>
    <col min="263" max="264" width="11.43359375" style="1" customWidth="1"/>
    <col min="265" max="265" width="12.5078125" style="1" customWidth="1"/>
    <col min="266" max="267" width="14.52734375" style="1" customWidth="1"/>
    <col min="268" max="268" width="16.54296875" style="1" customWidth="1"/>
    <col min="269" max="269" width="15.46875" style="1" customWidth="1"/>
    <col min="270" max="270" width="14.52734375" style="1" customWidth="1"/>
    <col min="271" max="271" width="13.046875" style="1" customWidth="1"/>
    <col min="272" max="512" width="9.55078125" style="1"/>
    <col min="513" max="513" width="1.4765625" style="1" customWidth="1"/>
    <col min="514" max="514" width="31.4765625" style="1" customWidth="1"/>
    <col min="515" max="515" width="8.47265625" style="1" bestFit="1" customWidth="1"/>
    <col min="516" max="517" width="6.45703125" style="1" bestFit="1" customWidth="1"/>
    <col min="518" max="518" width="7.53125" style="1" customWidth="1"/>
    <col min="519" max="520" width="11.43359375" style="1" customWidth="1"/>
    <col min="521" max="521" width="12.5078125" style="1" customWidth="1"/>
    <col min="522" max="523" width="14.52734375" style="1" customWidth="1"/>
    <col min="524" max="524" width="16.54296875" style="1" customWidth="1"/>
    <col min="525" max="525" width="15.46875" style="1" customWidth="1"/>
    <col min="526" max="526" width="14.52734375" style="1" customWidth="1"/>
    <col min="527" max="527" width="13.046875" style="1" customWidth="1"/>
    <col min="528" max="768" width="9.55078125" style="1"/>
    <col min="769" max="769" width="1.4765625" style="1" customWidth="1"/>
    <col min="770" max="770" width="31.4765625" style="1" customWidth="1"/>
    <col min="771" max="771" width="8.47265625" style="1" bestFit="1" customWidth="1"/>
    <col min="772" max="773" width="6.45703125" style="1" bestFit="1" customWidth="1"/>
    <col min="774" max="774" width="7.53125" style="1" customWidth="1"/>
    <col min="775" max="776" width="11.43359375" style="1" customWidth="1"/>
    <col min="777" max="777" width="12.5078125" style="1" customWidth="1"/>
    <col min="778" max="779" width="14.52734375" style="1" customWidth="1"/>
    <col min="780" max="780" width="16.54296875" style="1" customWidth="1"/>
    <col min="781" max="781" width="15.46875" style="1" customWidth="1"/>
    <col min="782" max="782" width="14.52734375" style="1" customWidth="1"/>
    <col min="783" max="783" width="13.046875" style="1" customWidth="1"/>
    <col min="784" max="1024" width="9.55078125" style="1"/>
    <col min="1025" max="1025" width="1.4765625" style="1" customWidth="1"/>
    <col min="1026" max="1026" width="31.4765625" style="1" customWidth="1"/>
    <col min="1027" max="1027" width="8.47265625" style="1" bestFit="1" customWidth="1"/>
    <col min="1028" max="1029" width="6.45703125" style="1" bestFit="1" customWidth="1"/>
    <col min="1030" max="1030" width="7.53125" style="1" customWidth="1"/>
    <col min="1031" max="1032" width="11.43359375" style="1" customWidth="1"/>
    <col min="1033" max="1033" width="12.5078125" style="1" customWidth="1"/>
    <col min="1034" max="1035" width="14.52734375" style="1" customWidth="1"/>
    <col min="1036" max="1036" width="16.54296875" style="1" customWidth="1"/>
    <col min="1037" max="1037" width="15.46875" style="1" customWidth="1"/>
    <col min="1038" max="1038" width="14.52734375" style="1" customWidth="1"/>
    <col min="1039" max="1039" width="13.046875" style="1" customWidth="1"/>
    <col min="1040" max="1280" width="9.55078125" style="1"/>
    <col min="1281" max="1281" width="1.4765625" style="1" customWidth="1"/>
    <col min="1282" max="1282" width="31.4765625" style="1" customWidth="1"/>
    <col min="1283" max="1283" width="8.47265625" style="1" bestFit="1" customWidth="1"/>
    <col min="1284" max="1285" width="6.45703125" style="1" bestFit="1" customWidth="1"/>
    <col min="1286" max="1286" width="7.53125" style="1" customWidth="1"/>
    <col min="1287" max="1288" width="11.43359375" style="1" customWidth="1"/>
    <col min="1289" max="1289" width="12.5078125" style="1" customWidth="1"/>
    <col min="1290" max="1291" width="14.52734375" style="1" customWidth="1"/>
    <col min="1292" max="1292" width="16.54296875" style="1" customWidth="1"/>
    <col min="1293" max="1293" width="15.46875" style="1" customWidth="1"/>
    <col min="1294" max="1294" width="14.52734375" style="1" customWidth="1"/>
    <col min="1295" max="1295" width="13.046875" style="1" customWidth="1"/>
    <col min="1296" max="1536" width="9.55078125" style="1"/>
    <col min="1537" max="1537" width="1.4765625" style="1" customWidth="1"/>
    <col min="1538" max="1538" width="31.4765625" style="1" customWidth="1"/>
    <col min="1539" max="1539" width="8.47265625" style="1" bestFit="1" customWidth="1"/>
    <col min="1540" max="1541" width="6.45703125" style="1" bestFit="1" customWidth="1"/>
    <col min="1542" max="1542" width="7.53125" style="1" customWidth="1"/>
    <col min="1543" max="1544" width="11.43359375" style="1" customWidth="1"/>
    <col min="1545" max="1545" width="12.5078125" style="1" customWidth="1"/>
    <col min="1546" max="1547" width="14.52734375" style="1" customWidth="1"/>
    <col min="1548" max="1548" width="16.54296875" style="1" customWidth="1"/>
    <col min="1549" max="1549" width="15.46875" style="1" customWidth="1"/>
    <col min="1550" max="1550" width="14.52734375" style="1" customWidth="1"/>
    <col min="1551" max="1551" width="13.046875" style="1" customWidth="1"/>
    <col min="1552" max="1792" width="9.55078125" style="1"/>
    <col min="1793" max="1793" width="1.4765625" style="1" customWidth="1"/>
    <col min="1794" max="1794" width="31.4765625" style="1" customWidth="1"/>
    <col min="1795" max="1795" width="8.47265625" style="1" bestFit="1" customWidth="1"/>
    <col min="1796" max="1797" width="6.45703125" style="1" bestFit="1" customWidth="1"/>
    <col min="1798" max="1798" width="7.53125" style="1" customWidth="1"/>
    <col min="1799" max="1800" width="11.43359375" style="1" customWidth="1"/>
    <col min="1801" max="1801" width="12.5078125" style="1" customWidth="1"/>
    <col min="1802" max="1803" width="14.52734375" style="1" customWidth="1"/>
    <col min="1804" max="1804" width="16.54296875" style="1" customWidth="1"/>
    <col min="1805" max="1805" width="15.46875" style="1" customWidth="1"/>
    <col min="1806" max="1806" width="14.52734375" style="1" customWidth="1"/>
    <col min="1807" max="1807" width="13.046875" style="1" customWidth="1"/>
    <col min="1808" max="2048" width="9.55078125" style="1"/>
    <col min="2049" max="2049" width="1.4765625" style="1" customWidth="1"/>
    <col min="2050" max="2050" width="31.4765625" style="1" customWidth="1"/>
    <col min="2051" max="2051" width="8.47265625" style="1" bestFit="1" customWidth="1"/>
    <col min="2052" max="2053" width="6.45703125" style="1" bestFit="1" customWidth="1"/>
    <col min="2054" max="2054" width="7.53125" style="1" customWidth="1"/>
    <col min="2055" max="2056" width="11.43359375" style="1" customWidth="1"/>
    <col min="2057" max="2057" width="12.5078125" style="1" customWidth="1"/>
    <col min="2058" max="2059" width="14.52734375" style="1" customWidth="1"/>
    <col min="2060" max="2060" width="16.54296875" style="1" customWidth="1"/>
    <col min="2061" max="2061" width="15.46875" style="1" customWidth="1"/>
    <col min="2062" max="2062" width="14.52734375" style="1" customWidth="1"/>
    <col min="2063" max="2063" width="13.046875" style="1" customWidth="1"/>
    <col min="2064" max="2304" width="9.55078125" style="1"/>
    <col min="2305" max="2305" width="1.4765625" style="1" customWidth="1"/>
    <col min="2306" max="2306" width="31.4765625" style="1" customWidth="1"/>
    <col min="2307" max="2307" width="8.47265625" style="1" bestFit="1" customWidth="1"/>
    <col min="2308" max="2309" width="6.45703125" style="1" bestFit="1" customWidth="1"/>
    <col min="2310" max="2310" width="7.53125" style="1" customWidth="1"/>
    <col min="2311" max="2312" width="11.43359375" style="1" customWidth="1"/>
    <col min="2313" max="2313" width="12.5078125" style="1" customWidth="1"/>
    <col min="2314" max="2315" width="14.52734375" style="1" customWidth="1"/>
    <col min="2316" max="2316" width="16.54296875" style="1" customWidth="1"/>
    <col min="2317" max="2317" width="15.46875" style="1" customWidth="1"/>
    <col min="2318" max="2318" width="14.52734375" style="1" customWidth="1"/>
    <col min="2319" max="2319" width="13.046875" style="1" customWidth="1"/>
    <col min="2320" max="2560" width="9.55078125" style="1"/>
    <col min="2561" max="2561" width="1.4765625" style="1" customWidth="1"/>
    <col min="2562" max="2562" width="31.4765625" style="1" customWidth="1"/>
    <col min="2563" max="2563" width="8.47265625" style="1" bestFit="1" customWidth="1"/>
    <col min="2564" max="2565" width="6.45703125" style="1" bestFit="1" customWidth="1"/>
    <col min="2566" max="2566" width="7.53125" style="1" customWidth="1"/>
    <col min="2567" max="2568" width="11.43359375" style="1" customWidth="1"/>
    <col min="2569" max="2569" width="12.5078125" style="1" customWidth="1"/>
    <col min="2570" max="2571" width="14.52734375" style="1" customWidth="1"/>
    <col min="2572" max="2572" width="16.54296875" style="1" customWidth="1"/>
    <col min="2573" max="2573" width="15.46875" style="1" customWidth="1"/>
    <col min="2574" max="2574" width="14.52734375" style="1" customWidth="1"/>
    <col min="2575" max="2575" width="13.046875" style="1" customWidth="1"/>
    <col min="2576" max="2816" width="9.55078125" style="1"/>
    <col min="2817" max="2817" width="1.4765625" style="1" customWidth="1"/>
    <col min="2818" max="2818" width="31.4765625" style="1" customWidth="1"/>
    <col min="2819" max="2819" width="8.47265625" style="1" bestFit="1" customWidth="1"/>
    <col min="2820" max="2821" width="6.45703125" style="1" bestFit="1" customWidth="1"/>
    <col min="2822" max="2822" width="7.53125" style="1" customWidth="1"/>
    <col min="2823" max="2824" width="11.43359375" style="1" customWidth="1"/>
    <col min="2825" max="2825" width="12.5078125" style="1" customWidth="1"/>
    <col min="2826" max="2827" width="14.52734375" style="1" customWidth="1"/>
    <col min="2828" max="2828" width="16.54296875" style="1" customWidth="1"/>
    <col min="2829" max="2829" width="15.46875" style="1" customWidth="1"/>
    <col min="2830" max="2830" width="14.52734375" style="1" customWidth="1"/>
    <col min="2831" max="2831" width="13.046875" style="1" customWidth="1"/>
    <col min="2832" max="3072" width="9.55078125" style="1"/>
    <col min="3073" max="3073" width="1.4765625" style="1" customWidth="1"/>
    <col min="3074" max="3074" width="31.4765625" style="1" customWidth="1"/>
    <col min="3075" max="3075" width="8.47265625" style="1" bestFit="1" customWidth="1"/>
    <col min="3076" max="3077" width="6.45703125" style="1" bestFit="1" customWidth="1"/>
    <col min="3078" max="3078" width="7.53125" style="1" customWidth="1"/>
    <col min="3079" max="3080" width="11.43359375" style="1" customWidth="1"/>
    <col min="3081" max="3081" width="12.5078125" style="1" customWidth="1"/>
    <col min="3082" max="3083" width="14.52734375" style="1" customWidth="1"/>
    <col min="3084" max="3084" width="16.54296875" style="1" customWidth="1"/>
    <col min="3085" max="3085" width="15.46875" style="1" customWidth="1"/>
    <col min="3086" max="3086" width="14.52734375" style="1" customWidth="1"/>
    <col min="3087" max="3087" width="13.046875" style="1" customWidth="1"/>
    <col min="3088" max="3328" width="9.55078125" style="1"/>
    <col min="3329" max="3329" width="1.4765625" style="1" customWidth="1"/>
    <col min="3330" max="3330" width="31.4765625" style="1" customWidth="1"/>
    <col min="3331" max="3331" width="8.47265625" style="1" bestFit="1" customWidth="1"/>
    <col min="3332" max="3333" width="6.45703125" style="1" bestFit="1" customWidth="1"/>
    <col min="3334" max="3334" width="7.53125" style="1" customWidth="1"/>
    <col min="3335" max="3336" width="11.43359375" style="1" customWidth="1"/>
    <col min="3337" max="3337" width="12.5078125" style="1" customWidth="1"/>
    <col min="3338" max="3339" width="14.52734375" style="1" customWidth="1"/>
    <col min="3340" max="3340" width="16.54296875" style="1" customWidth="1"/>
    <col min="3341" max="3341" width="15.46875" style="1" customWidth="1"/>
    <col min="3342" max="3342" width="14.52734375" style="1" customWidth="1"/>
    <col min="3343" max="3343" width="13.046875" style="1" customWidth="1"/>
    <col min="3344" max="3584" width="9.55078125" style="1"/>
    <col min="3585" max="3585" width="1.4765625" style="1" customWidth="1"/>
    <col min="3586" max="3586" width="31.4765625" style="1" customWidth="1"/>
    <col min="3587" max="3587" width="8.47265625" style="1" bestFit="1" customWidth="1"/>
    <col min="3588" max="3589" width="6.45703125" style="1" bestFit="1" customWidth="1"/>
    <col min="3590" max="3590" width="7.53125" style="1" customWidth="1"/>
    <col min="3591" max="3592" width="11.43359375" style="1" customWidth="1"/>
    <col min="3593" max="3593" width="12.5078125" style="1" customWidth="1"/>
    <col min="3594" max="3595" width="14.52734375" style="1" customWidth="1"/>
    <col min="3596" max="3596" width="16.54296875" style="1" customWidth="1"/>
    <col min="3597" max="3597" width="15.46875" style="1" customWidth="1"/>
    <col min="3598" max="3598" width="14.52734375" style="1" customWidth="1"/>
    <col min="3599" max="3599" width="13.046875" style="1" customWidth="1"/>
    <col min="3600" max="3840" width="9.55078125" style="1"/>
    <col min="3841" max="3841" width="1.4765625" style="1" customWidth="1"/>
    <col min="3842" max="3842" width="31.4765625" style="1" customWidth="1"/>
    <col min="3843" max="3843" width="8.47265625" style="1" bestFit="1" customWidth="1"/>
    <col min="3844" max="3845" width="6.45703125" style="1" bestFit="1" customWidth="1"/>
    <col min="3846" max="3846" width="7.53125" style="1" customWidth="1"/>
    <col min="3847" max="3848" width="11.43359375" style="1" customWidth="1"/>
    <col min="3849" max="3849" width="12.5078125" style="1" customWidth="1"/>
    <col min="3850" max="3851" width="14.52734375" style="1" customWidth="1"/>
    <col min="3852" max="3852" width="16.54296875" style="1" customWidth="1"/>
    <col min="3853" max="3853" width="15.46875" style="1" customWidth="1"/>
    <col min="3854" max="3854" width="14.52734375" style="1" customWidth="1"/>
    <col min="3855" max="3855" width="13.046875" style="1" customWidth="1"/>
    <col min="3856" max="4096" width="9.55078125" style="1"/>
    <col min="4097" max="4097" width="1.4765625" style="1" customWidth="1"/>
    <col min="4098" max="4098" width="31.4765625" style="1" customWidth="1"/>
    <col min="4099" max="4099" width="8.47265625" style="1" bestFit="1" customWidth="1"/>
    <col min="4100" max="4101" width="6.45703125" style="1" bestFit="1" customWidth="1"/>
    <col min="4102" max="4102" width="7.53125" style="1" customWidth="1"/>
    <col min="4103" max="4104" width="11.43359375" style="1" customWidth="1"/>
    <col min="4105" max="4105" width="12.5078125" style="1" customWidth="1"/>
    <col min="4106" max="4107" width="14.52734375" style="1" customWidth="1"/>
    <col min="4108" max="4108" width="16.54296875" style="1" customWidth="1"/>
    <col min="4109" max="4109" width="15.46875" style="1" customWidth="1"/>
    <col min="4110" max="4110" width="14.52734375" style="1" customWidth="1"/>
    <col min="4111" max="4111" width="13.046875" style="1" customWidth="1"/>
    <col min="4112" max="4352" width="9.55078125" style="1"/>
    <col min="4353" max="4353" width="1.4765625" style="1" customWidth="1"/>
    <col min="4354" max="4354" width="31.4765625" style="1" customWidth="1"/>
    <col min="4355" max="4355" width="8.47265625" style="1" bestFit="1" customWidth="1"/>
    <col min="4356" max="4357" width="6.45703125" style="1" bestFit="1" customWidth="1"/>
    <col min="4358" max="4358" width="7.53125" style="1" customWidth="1"/>
    <col min="4359" max="4360" width="11.43359375" style="1" customWidth="1"/>
    <col min="4361" max="4361" width="12.5078125" style="1" customWidth="1"/>
    <col min="4362" max="4363" width="14.52734375" style="1" customWidth="1"/>
    <col min="4364" max="4364" width="16.54296875" style="1" customWidth="1"/>
    <col min="4365" max="4365" width="15.46875" style="1" customWidth="1"/>
    <col min="4366" max="4366" width="14.52734375" style="1" customWidth="1"/>
    <col min="4367" max="4367" width="13.046875" style="1" customWidth="1"/>
    <col min="4368" max="4608" width="9.55078125" style="1"/>
    <col min="4609" max="4609" width="1.4765625" style="1" customWidth="1"/>
    <col min="4610" max="4610" width="31.4765625" style="1" customWidth="1"/>
    <col min="4611" max="4611" width="8.47265625" style="1" bestFit="1" customWidth="1"/>
    <col min="4612" max="4613" width="6.45703125" style="1" bestFit="1" customWidth="1"/>
    <col min="4614" max="4614" width="7.53125" style="1" customWidth="1"/>
    <col min="4615" max="4616" width="11.43359375" style="1" customWidth="1"/>
    <col min="4617" max="4617" width="12.5078125" style="1" customWidth="1"/>
    <col min="4618" max="4619" width="14.52734375" style="1" customWidth="1"/>
    <col min="4620" max="4620" width="16.54296875" style="1" customWidth="1"/>
    <col min="4621" max="4621" width="15.46875" style="1" customWidth="1"/>
    <col min="4622" max="4622" width="14.52734375" style="1" customWidth="1"/>
    <col min="4623" max="4623" width="13.046875" style="1" customWidth="1"/>
    <col min="4624" max="4864" width="9.55078125" style="1"/>
    <col min="4865" max="4865" width="1.4765625" style="1" customWidth="1"/>
    <col min="4866" max="4866" width="31.4765625" style="1" customWidth="1"/>
    <col min="4867" max="4867" width="8.47265625" style="1" bestFit="1" customWidth="1"/>
    <col min="4868" max="4869" width="6.45703125" style="1" bestFit="1" customWidth="1"/>
    <col min="4870" max="4870" width="7.53125" style="1" customWidth="1"/>
    <col min="4871" max="4872" width="11.43359375" style="1" customWidth="1"/>
    <col min="4873" max="4873" width="12.5078125" style="1" customWidth="1"/>
    <col min="4874" max="4875" width="14.52734375" style="1" customWidth="1"/>
    <col min="4876" max="4876" width="16.54296875" style="1" customWidth="1"/>
    <col min="4877" max="4877" width="15.46875" style="1" customWidth="1"/>
    <col min="4878" max="4878" width="14.52734375" style="1" customWidth="1"/>
    <col min="4879" max="4879" width="13.046875" style="1" customWidth="1"/>
    <col min="4880" max="5120" width="9.55078125" style="1"/>
    <col min="5121" max="5121" width="1.4765625" style="1" customWidth="1"/>
    <col min="5122" max="5122" width="31.4765625" style="1" customWidth="1"/>
    <col min="5123" max="5123" width="8.47265625" style="1" bestFit="1" customWidth="1"/>
    <col min="5124" max="5125" width="6.45703125" style="1" bestFit="1" customWidth="1"/>
    <col min="5126" max="5126" width="7.53125" style="1" customWidth="1"/>
    <col min="5127" max="5128" width="11.43359375" style="1" customWidth="1"/>
    <col min="5129" max="5129" width="12.5078125" style="1" customWidth="1"/>
    <col min="5130" max="5131" width="14.52734375" style="1" customWidth="1"/>
    <col min="5132" max="5132" width="16.54296875" style="1" customWidth="1"/>
    <col min="5133" max="5133" width="15.46875" style="1" customWidth="1"/>
    <col min="5134" max="5134" width="14.52734375" style="1" customWidth="1"/>
    <col min="5135" max="5135" width="13.046875" style="1" customWidth="1"/>
    <col min="5136" max="5376" width="9.55078125" style="1"/>
    <col min="5377" max="5377" width="1.4765625" style="1" customWidth="1"/>
    <col min="5378" max="5378" width="31.4765625" style="1" customWidth="1"/>
    <col min="5379" max="5379" width="8.47265625" style="1" bestFit="1" customWidth="1"/>
    <col min="5380" max="5381" width="6.45703125" style="1" bestFit="1" customWidth="1"/>
    <col min="5382" max="5382" width="7.53125" style="1" customWidth="1"/>
    <col min="5383" max="5384" width="11.43359375" style="1" customWidth="1"/>
    <col min="5385" max="5385" width="12.5078125" style="1" customWidth="1"/>
    <col min="5386" max="5387" width="14.52734375" style="1" customWidth="1"/>
    <col min="5388" max="5388" width="16.54296875" style="1" customWidth="1"/>
    <col min="5389" max="5389" width="15.46875" style="1" customWidth="1"/>
    <col min="5390" max="5390" width="14.52734375" style="1" customWidth="1"/>
    <col min="5391" max="5391" width="13.046875" style="1" customWidth="1"/>
    <col min="5392" max="5632" width="9.55078125" style="1"/>
    <col min="5633" max="5633" width="1.4765625" style="1" customWidth="1"/>
    <col min="5634" max="5634" width="31.4765625" style="1" customWidth="1"/>
    <col min="5635" max="5635" width="8.47265625" style="1" bestFit="1" customWidth="1"/>
    <col min="5636" max="5637" width="6.45703125" style="1" bestFit="1" customWidth="1"/>
    <col min="5638" max="5638" width="7.53125" style="1" customWidth="1"/>
    <col min="5639" max="5640" width="11.43359375" style="1" customWidth="1"/>
    <col min="5641" max="5641" width="12.5078125" style="1" customWidth="1"/>
    <col min="5642" max="5643" width="14.52734375" style="1" customWidth="1"/>
    <col min="5644" max="5644" width="16.54296875" style="1" customWidth="1"/>
    <col min="5645" max="5645" width="15.46875" style="1" customWidth="1"/>
    <col min="5646" max="5646" width="14.52734375" style="1" customWidth="1"/>
    <col min="5647" max="5647" width="13.046875" style="1" customWidth="1"/>
    <col min="5648" max="5888" width="9.55078125" style="1"/>
    <col min="5889" max="5889" width="1.4765625" style="1" customWidth="1"/>
    <col min="5890" max="5890" width="31.4765625" style="1" customWidth="1"/>
    <col min="5891" max="5891" width="8.47265625" style="1" bestFit="1" customWidth="1"/>
    <col min="5892" max="5893" width="6.45703125" style="1" bestFit="1" customWidth="1"/>
    <col min="5894" max="5894" width="7.53125" style="1" customWidth="1"/>
    <col min="5895" max="5896" width="11.43359375" style="1" customWidth="1"/>
    <col min="5897" max="5897" width="12.5078125" style="1" customWidth="1"/>
    <col min="5898" max="5899" width="14.52734375" style="1" customWidth="1"/>
    <col min="5900" max="5900" width="16.54296875" style="1" customWidth="1"/>
    <col min="5901" max="5901" width="15.46875" style="1" customWidth="1"/>
    <col min="5902" max="5902" width="14.52734375" style="1" customWidth="1"/>
    <col min="5903" max="5903" width="13.046875" style="1" customWidth="1"/>
    <col min="5904" max="6144" width="9.55078125" style="1"/>
    <col min="6145" max="6145" width="1.4765625" style="1" customWidth="1"/>
    <col min="6146" max="6146" width="31.4765625" style="1" customWidth="1"/>
    <col min="6147" max="6147" width="8.47265625" style="1" bestFit="1" customWidth="1"/>
    <col min="6148" max="6149" width="6.45703125" style="1" bestFit="1" customWidth="1"/>
    <col min="6150" max="6150" width="7.53125" style="1" customWidth="1"/>
    <col min="6151" max="6152" width="11.43359375" style="1" customWidth="1"/>
    <col min="6153" max="6153" width="12.5078125" style="1" customWidth="1"/>
    <col min="6154" max="6155" width="14.52734375" style="1" customWidth="1"/>
    <col min="6156" max="6156" width="16.54296875" style="1" customWidth="1"/>
    <col min="6157" max="6157" width="15.46875" style="1" customWidth="1"/>
    <col min="6158" max="6158" width="14.52734375" style="1" customWidth="1"/>
    <col min="6159" max="6159" width="13.046875" style="1" customWidth="1"/>
    <col min="6160" max="6400" width="9.55078125" style="1"/>
    <col min="6401" max="6401" width="1.4765625" style="1" customWidth="1"/>
    <col min="6402" max="6402" width="31.4765625" style="1" customWidth="1"/>
    <col min="6403" max="6403" width="8.47265625" style="1" bestFit="1" customWidth="1"/>
    <col min="6404" max="6405" width="6.45703125" style="1" bestFit="1" customWidth="1"/>
    <col min="6406" max="6406" width="7.53125" style="1" customWidth="1"/>
    <col min="6407" max="6408" width="11.43359375" style="1" customWidth="1"/>
    <col min="6409" max="6409" width="12.5078125" style="1" customWidth="1"/>
    <col min="6410" max="6411" width="14.52734375" style="1" customWidth="1"/>
    <col min="6412" max="6412" width="16.54296875" style="1" customWidth="1"/>
    <col min="6413" max="6413" width="15.46875" style="1" customWidth="1"/>
    <col min="6414" max="6414" width="14.52734375" style="1" customWidth="1"/>
    <col min="6415" max="6415" width="13.046875" style="1" customWidth="1"/>
    <col min="6416" max="6656" width="9.55078125" style="1"/>
    <col min="6657" max="6657" width="1.4765625" style="1" customWidth="1"/>
    <col min="6658" max="6658" width="31.4765625" style="1" customWidth="1"/>
    <col min="6659" max="6659" width="8.47265625" style="1" bestFit="1" customWidth="1"/>
    <col min="6660" max="6661" width="6.45703125" style="1" bestFit="1" customWidth="1"/>
    <col min="6662" max="6662" width="7.53125" style="1" customWidth="1"/>
    <col min="6663" max="6664" width="11.43359375" style="1" customWidth="1"/>
    <col min="6665" max="6665" width="12.5078125" style="1" customWidth="1"/>
    <col min="6666" max="6667" width="14.52734375" style="1" customWidth="1"/>
    <col min="6668" max="6668" width="16.54296875" style="1" customWidth="1"/>
    <col min="6669" max="6669" width="15.46875" style="1" customWidth="1"/>
    <col min="6670" max="6670" width="14.52734375" style="1" customWidth="1"/>
    <col min="6671" max="6671" width="13.046875" style="1" customWidth="1"/>
    <col min="6672" max="6912" width="9.55078125" style="1"/>
    <col min="6913" max="6913" width="1.4765625" style="1" customWidth="1"/>
    <col min="6914" max="6914" width="31.4765625" style="1" customWidth="1"/>
    <col min="6915" max="6915" width="8.47265625" style="1" bestFit="1" customWidth="1"/>
    <col min="6916" max="6917" width="6.45703125" style="1" bestFit="1" customWidth="1"/>
    <col min="6918" max="6918" width="7.53125" style="1" customWidth="1"/>
    <col min="6919" max="6920" width="11.43359375" style="1" customWidth="1"/>
    <col min="6921" max="6921" width="12.5078125" style="1" customWidth="1"/>
    <col min="6922" max="6923" width="14.52734375" style="1" customWidth="1"/>
    <col min="6924" max="6924" width="16.54296875" style="1" customWidth="1"/>
    <col min="6925" max="6925" width="15.46875" style="1" customWidth="1"/>
    <col min="6926" max="6926" width="14.52734375" style="1" customWidth="1"/>
    <col min="6927" max="6927" width="13.046875" style="1" customWidth="1"/>
    <col min="6928" max="7168" width="9.55078125" style="1"/>
    <col min="7169" max="7169" width="1.4765625" style="1" customWidth="1"/>
    <col min="7170" max="7170" width="31.4765625" style="1" customWidth="1"/>
    <col min="7171" max="7171" width="8.47265625" style="1" bestFit="1" customWidth="1"/>
    <col min="7172" max="7173" width="6.45703125" style="1" bestFit="1" customWidth="1"/>
    <col min="7174" max="7174" width="7.53125" style="1" customWidth="1"/>
    <col min="7175" max="7176" width="11.43359375" style="1" customWidth="1"/>
    <col min="7177" max="7177" width="12.5078125" style="1" customWidth="1"/>
    <col min="7178" max="7179" width="14.52734375" style="1" customWidth="1"/>
    <col min="7180" max="7180" width="16.54296875" style="1" customWidth="1"/>
    <col min="7181" max="7181" width="15.46875" style="1" customWidth="1"/>
    <col min="7182" max="7182" width="14.52734375" style="1" customWidth="1"/>
    <col min="7183" max="7183" width="13.046875" style="1" customWidth="1"/>
    <col min="7184" max="7424" width="9.55078125" style="1"/>
    <col min="7425" max="7425" width="1.4765625" style="1" customWidth="1"/>
    <col min="7426" max="7426" width="31.4765625" style="1" customWidth="1"/>
    <col min="7427" max="7427" width="8.47265625" style="1" bestFit="1" customWidth="1"/>
    <col min="7428" max="7429" width="6.45703125" style="1" bestFit="1" customWidth="1"/>
    <col min="7430" max="7430" width="7.53125" style="1" customWidth="1"/>
    <col min="7431" max="7432" width="11.43359375" style="1" customWidth="1"/>
    <col min="7433" max="7433" width="12.5078125" style="1" customWidth="1"/>
    <col min="7434" max="7435" width="14.52734375" style="1" customWidth="1"/>
    <col min="7436" max="7436" width="16.54296875" style="1" customWidth="1"/>
    <col min="7437" max="7437" width="15.46875" style="1" customWidth="1"/>
    <col min="7438" max="7438" width="14.52734375" style="1" customWidth="1"/>
    <col min="7439" max="7439" width="13.046875" style="1" customWidth="1"/>
    <col min="7440" max="7680" width="9.55078125" style="1"/>
    <col min="7681" max="7681" width="1.4765625" style="1" customWidth="1"/>
    <col min="7682" max="7682" width="31.4765625" style="1" customWidth="1"/>
    <col min="7683" max="7683" width="8.47265625" style="1" bestFit="1" customWidth="1"/>
    <col min="7684" max="7685" width="6.45703125" style="1" bestFit="1" customWidth="1"/>
    <col min="7686" max="7686" width="7.53125" style="1" customWidth="1"/>
    <col min="7687" max="7688" width="11.43359375" style="1" customWidth="1"/>
    <col min="7689" max="7689" width="12.5078125" style="1" customWidth="1"/>
    <col min="7690" max="7691" width="14.52734375" style="1" customWidth="1"/>
    <col min="7692" max="7692" width="16.54296875" style="1" customWidth="1"/>
    <col min="7693" max="7693" width="15.46875" style="1" customWidth="1"/>
    <col min="7694" max="7694" width="14.52734375" style="1" customWidth="1"/>
    <col min="7695" max="7695" width="13.046875" style="1" customWidth="1"/>
    <col min="7696" max="7936" width="9.55078125" style="1"/>
    <col min="7937" max="7937" width="1.4765625" style="1" customWidth="1"/>
    <col min="7938" max="7938" width="31.4765625" style="1" customWidth="1"/>
    <col min="7939" max="7939" width="8.47265625" style="1" bestFit="1" customWidth="1"/>
    <col min="7940" max="7941" width="6.45703125" style="1" bestFit="1" customWidth="1"/>
    <col min="7942" max="7942" width="7.53125" style="1" customWidth="1"/>
    <col min="7943" max="7944" width="11.43359375" style="1" customWidth="1"/>
    <col min="7945" max="7945" width="12.5078125" style="1" customWidth="1"/>
    <col min="7946" max="7947" width="14.52734375" style="1" customWidth="1"/>
    <col min="7948" max="7948" width="16.54296875" style="1" customWidth="1"/>
    <col min="7949" max="7949" width="15.46875" style="1" customWidth="1"/>
    <col min="7950" max="7950" width="14.52734375" style="1" customWidth="1"/>
    <col min="7951" max="7951" width="13.046875" style="1" customWidth="1"/>
    <col min="7952" max="8192" width="9.55078125" style="1"/>
    <col min="8193" max="8193" width="1.4765625" style="1" customWidth="1"/>
    <col min="8194" max="8194" width="31.4765625" style="1" customWidth="1"/>
    <col min="8195" max="8195" width="8.47265625" style="1" bestFit="1" customWidth="1"/>
    <col min="8196" max="8197" width="6.45703125" style="1" bestFit="1" customWidth="1"/>
    <col min="8198" max="8198" width="7.53125" style="1" customWidth="1"/>
    <col min="8199" max="8200" width="11.43359375" style="1" customWidth="1"/>
    <col min="8201" max="8201" width="12.5078125" style="1" customWidth="1"/>
    <col min="8202" max="8203" width="14.52734375" style="1" customWidth="1"/>
    <col min="8204" max="8204" width="16.54296875" style="1" customWidth="1"/>
    <col min="8205" max="8205" width="15.46875" style="1" customWidth="1"/>
    <col min="8206" max="8206" width="14.52734375" style="1" customWidth="1"/>
    <col min="8207" max="8207" width="13.046875" style="1" customWidth="1"/>
    <col min="8208" max="8448" width="9.55078125" style="1"/>
    <col min="8449" max="8449" width="1.4765625" style="1" customWidth="1"/>
    <col min="8450" max="8450" width="31.4765625" style="1" customWidth="1"/>
    <col min="8451" max="8451" width="8.47265625" style="1" bestFit="1" customWidth="1"/>
    <col min="8452" max="8453" width="6.45703125" style="1" bestFit="1" customWidth="1"/>
    <col min="8454" max="8454" width="7.53125" style="1" customWidth="1"/>
    <col min="8455" max="8456" width="11.43359375" style="1" customWidth="1"/>
    <col min="8457" max="8457" width="12.5078125" style="1" customWidth="1"/>
    <col min="8458" max="8459" width="14.52734375" style="1" customWidth="1"/>
    <col min="8460" max="8460" width="16.54296875" style="1" customWidth="1"/>
    <col min="8461" max="8461" width="15.46875" style="1" customWidth="1"/>
    <col min="8462" max="8462" width="14.52734375" style="1" customWidth="1"/>
    <col min="8463" max="8463" width="13.046875" style="1" customWidth="1"/>
    <col min="8464" max="8704" width="9.55078125" style="1"/>
    <col min="8705" max="8705" width="1.4765625" style="1" customWidth="1"/>
    <col min="8706" max="8706" width="31.4765625" style="1" customWidth="1"/>
    <col min="8707" max="8707" width="8.47265625" style="1" bestFit="1" customWidth="1"/>
    <col min="8708" max="8709" width="6.45703125" style="1" bestFit="1" customWidth="1"/>
    <col min="8710" max="8710" width="7.53125" style="1" customWidth="1"/>
    <col min="8711" max="8712" width="11.43359375" style="1" customWidth="1"/>
    <col min="8713" max="8713" width="12.5078125" style="1" customWidth="1"/>
    <col min="8714" max="8715" width="14.52734375" style="1" customWidth="1"/>
    <col min="8716" max="8716" width="16.54296875" style="1" customWidth="1"/>
    <col min="8717" max="8717" width="15.46875" style="1" customWidth="1"/>
    <col min="8718" max="8718" width="14.52734375" style="1" customWidth="1"/>
    <col min="8719" max="8719" width="13.046875" style="1" customWidth="1"/>
    <col min="8720" max="8960" width="9.55078125" style="1"/>
    <col min="8961" max="8961" width="1.4765625" style="1" customWidth="1"/>
    <col min="8962" max="8962" width="31.4765625" style="1" customWidth="1"/>
    <col min="8963" max="8963" width="8.47265625" style="1" bestFit="1" customWidth="1"/>
    <col min="8964" max="8965" width="6.45703125" style="1" bestFit="1" customWidth="1"/>
    <col min="8966" max="8966" width="7.53125" style="1" customWidth="1"/>
    <col min="8967" max="8968" width="11.43359375" style="1" customWidth="1"/>
    <col min="8969" max="8969" width="12.5078125" style="1" customWidth="1"/>
    <col min="8970" max="8971" width="14.52734375" style="1" customWidth="1"/>
    <col min="8972" max="8972" width="16.54296875" style="1" customWidth="1"/>
    <col min="8973" max="8973" width="15.46875" style="1" customWidth="1"/>
    <col min="8974" max="8974" width="14.52734375" style="1" customWidth="1"/>
    <col min="8975" max="8975" width="13.046875" style="1" customWidth="1"/>
    <col min="8976" max="9216" width="9.55078125" style="1"/>
    <col min="9217" max="9217" width="1.4765625" style="1" customWidth="1"/>
    <col min="9218" max="9218" width="31.4765625" style="1" customWidth="1"/>
    <col min="9219" max="9219" width="8.47265625" style="1" bestFit="1" customWidth="1"/>
    <col min="9220" max="9221" width="6.45703125" style="1" bestFit="1" customWidth="1"/>
    <col min="9222" max="9222" width="7.53125" style="1" customWidth="1"/>
    <col min="9223" max="9224" width="11.43359375" style="1" customWidth="1"/>
    <col min="9225" max="9225" width="12.5078125" style="1" customWidth="1"/>
    <col min="9226" max="9227" width="14.52734375" style="1" customWidth="1"/>
    <col min="9228" max="9228" width="16.54296875" style="1" customWidth="1"/>
    <col min="9229" max="9229" width="15.46875" style="1" customWidth="1"/>
    <col min="9230" max="9230" width="14.52734375" style="1" customWidth="1"/>
    <col min="9231" max="9231" width="13.046875" style="1" customWidth="1"/>
    <col min="9232" max="9472" width="9.55078125" style="1"/>
    <col min="9473" max="9473" width="1.4765625" style="1" customWidth="1"/>
    <col min="9474" max="9474" width="31.4765625" style="1" customWidth="1"/>
    <col min="9475" max="9475" width="8.47265625" style="1" bestFit="1" customWidth="1"/>
    <col min="9476" max="9477" width="6.45703125" style="1" bestFit="1" customWidth="1"/>
    <col min="9478" max="9478" width="7.53125" style="1" customWidth="1"/>
    <col min="9479" max="9480" width="11.43359375" style="1" customWidth="1"/>
    <col min="9481" max="9481" width="12.5078125" style="1" customWidth="1"/>
    <col min="9482" max="9483" width="14.52734375" style="1" customWidth="1"/>
    <col min="9484" max="9484" width="16.54296875" style="1" customWidth="1"/>
    <col min="9485" max="9485" width="15.46875" style="1" customWidth="1"/>
    <col min="9486" max="9486" width="14.52734375" style="1" customWidth="1"/>
    <col min="9487" max="9487" width="13.046875" style="1" customWidth="1"/>
    <col min="9488" max="9728" width="9.55078125" style="1"/>
    <col min="9729" max="9729" width="1.4765625" style="1" customWidth="1"/>
    <col min="9730" max="9730" width="31.4765625" style="1" customWidth="1"/>
    <col min="9731" max="9731" width="8.47265625" style="1" bestFit="1" customWidth="1"/>
    <col min="9732" max="9733" width="6.45703125" style="1" bestFit="1" customWidth="1"/>
    <col min="9734" max="9734" width="7.53125" style="1" customWidth="1"/>
    <col min="9735" max="9736" width="11.43359375" style="1" customWidth="1"/>
    <col min="9737" max="9737" width="12.5078125" style="1" customWidth="1"/>
    <col min="9738" max="9739" width="14.52734375" style="1" customWidth="1"/>
    <col min="9740" max="9740" width="16.54296875" style="1" customWidth="1"/>
    <col min="9741" max="9741" width="15.46875" style="1" customWidth="1"/>
    <col min="9742" max="9742" width="14.52734375" style="1" customWidth="1"/>
    <col min="9743" max="9743" width="13.046875" style="1" customWidth="1"/>
    <col min="9744" max="9984" width="9.55078125" style="1"/>
    <col min="9985" max="9985" width="1.4765625" style="1" customWidth="1"/>
    <col min="9986" max="9986" width="31.4765625" style="1" customWidth="1"/>
    <col min="9987" max="9987" width="8.47265625" style="1" bestFit="1" customWidth="1"/>
    <col min="9988" max="9989" width="6.45703125" style="1" bestFit="1" customWidth="1"/>
    <col min="9990" max="9990" width="7.53125" style="1" customWidth="1"/>
    <col min="9991" max="9992" width="11.43359375" style="1" customWidth="1"/>
    <col min="9993" max="9993" width="12.5078125" style="1" customWidth="1"/>
    <col min="9994" max="9995" width="14.52734375" style="1" customWidth="1"/>
    <col min="9996" max="9996" width="16.54296875" style="1" customWidth="1"/>
    <col min="9997" max="9997" width="15.46875" style="1" customWidth="1"/>
    <col min="9998" max="9998" width="14.52734375" style="1" customWidth="1"/>
    <col min="9999" max="9999" width="13.046875" style="1" customWidth="1"/>
    <col min="10000" max="10240" width="9.55078125" style="1"/>
    <col min="10241" max="10241" width="1.4765625" style="1" customWidth="1"/>
    <col min="10242" max="10242" width="31.4765625" style="1" customWidth="1"/>
    <col min="10243" max="10243" width="8.47265625" style="1" bestFit="1" customWidth="1"/>
    <col min="10244" max="10245" width="6.45703125" style="1" bestFit="1" customWidth="1"/>
    <col min="10246" max="10246" width="7.53125" style="1" customWidth="1"/>
    <col min="10247" max="10248" width="11.43359375" style="1" customWidth="1"/>
    <col min="10249" max="10249" width="12.5078125" style="1" customWidth="1"/>
    <col min="10250" max="10251" width="14.52734375" style="1" customWidth="1"/>
    <col min="10252" max="10252" width="16.54296875" style="1" customWidth="1"/>
    <col min="10253" max="10253" width="15.46875" style="1" customWidth="1"/>
    <col min="10254" max="10254" width="14.52734375" style="1" customWidth="1"/>
    <col min="10255" max="10255" width="13.046875" style="1" customWidth="1"/>
    <col min="10256" max="10496" width="9.55078125" style="1"/>
    <col min="10497" max="10497" width="1.4765625" style="1" customWidth="1"/>
    <col min="10498" max="10498" width="31.4765625" style="1" customWidth="1"/>
    <col min="10499" max="10499" width="8.47265625" style="1" bestFit="1" customWidth="1"/>
    <col min="10500" max="10501" width="6.45703125" style="1" bestFit="1" customWidth="1"/>
    <col min="10502" max="10502" width="7.53125" style="1" customWidth="1"/>
    <col min="10503" max="10504" width="11.43359375" style="1" customWidth="1"/>
    <col min="10505" max="10505" width="12.5078125" style="1" customWidth="1"/>
    <col min="10506" max="10507" width="14.52734375" style="1" customWidth="1"/>
    <col min="10508" max="10508" width="16.54296875" style="1" customWidth="1"/>
    <col min="10509" max="10509" width="15.46875" style="1" customWidth="1"/>
    <col min="10510" max="10510" width="14.52734375" style="1" customWidth="1"/>
    <col min="10511" max="10511" width="13.046875" style="1" customWidth="1"/>
    <col min="10512" max="10752" width="9.55078125" style="1"/>
    <col min="10753" max="10753" width="1.4765625" style="1" customWidth="1"/>
    <col min="10754" max="10754" width="31.4765625" style="1" customWidth="1"/>
    <col min="10755" max="10755" width="8.47265625" style="1" bestFit="1" customWidth="1"/>
    <col min="10756" max="10757" width="6.45703125" style="1" bestFit="1" customWidth="1"/>
    <col min="10758" max="10758" width="7.53125" style="1" customWidth="1"/>
    <col min="10759" max="10760" width="11.43359375" style="1" customWidth="1"/>
    <col min="10761" max="10761" width="12.5078125" style="1" customWidth="1"/>
    <col min="10762" max="10763" width="14.52734375" style="1" customWidth="1"/>
    <col min="10764" max="10764" width="16.54296875" style="1" customWidth="1"/>
    <col min="10765" max="10765" width="15.46875" style="1" customWidth="1"/>
    <col min="10766" max="10766" width="14.52734375" style="1" customWidth="1"/>
    <col min="10767" max="10767" width="13.046875" style="1" customWidth="1"/>
    <col min="10768" max="11008" width="9.55078125" style="1"/>
    <col min="11009" max="11009" width="1.4765625" style="1" customWidth="1"/>
    <col min="11010" max="11010" width="31.4765625" style="1" customWidth="1"/>
    <col min="11011" max="11011" width="8.47265625" style="1" bestFit="1" customWidth="1"/>
    <col min="11012" max="11013" width="6.45703125" style="1" bestFit="1" customWidth="1"/>
    <col min="11014" max="11014" width="7.53125" style="1" customWidth="1"/>
    <col min="11015" max="11016" width="11.43359375" style="1" customWidth="1"/>
    <col min="11017" max="11017" width="12.5078125" style="1" customWidth="1"/>
    <col min="11018" max="11019" width="14.52734375" style="1" customWidth="1"/>
    <col min="11020" max="11020" width="16.54296875" style="1" customWidth="1"/>
    <col min="11021" max="11021" width="15.46875" style="1" customWidth="1"/>
    <col min="11022" max="11022" width="14.52734375" style="1" customWidth="1"/>
    <col min="11023" max="11023" width="13.046875" style="1" customWidth="1"/>
    <col min="11024" max="11264" width="9.55078125" style="1"/>
    <col min="11265" max="11265" width="1.4765625" style="1" customWidth="1"/>
    <col min="11266" max="11266" width="31.4765625" style="1" customWidth="1"/>
    <col min="11267" max="11267" width="8.47265625" style="1" bestFit="1" customWidth="1"/>
    <col min="11268" max="11269" width="6.45703125" style="1" bestFit="1" customWidth="1"/>
    <col min="11270" max="11270" width="7.53125" style="1" customWidth="1"/>
    <col min="11271" max="11272" width="11.43359375" style="1" customWidth="1"/>
    <col min="11273" max="11273" width="12.5078125" style="1" customWidth="1"/>
    <col min="11274" max="11275" width="14.52734375" style="1" customWidth="1"/>
    <col min="11276" max="11276" width="16.54296875" style="1" customWidth="1"/>
    <col min="11277" max="11277" width="15.46875" style="1" customWidth="1"/>
    <col min="11278" max="11278" width="14.52734375" style="1" customWidth="1"/>
    <col min="11279" max="11279" width="13.046875" style="1" customWidth="1"/>
    <col min="11280" max="11520" width="9.55078125" style="1"/>
    <col min="11521" max="11521" width="1.4765625" style="1" customWidth="1"/>
    <col min="11522" max="11522" width="31.4765625" style="1" customWidth="1"/>
    <col min="11523" max="11523" width="8.47265625" style="1" bestFit="1" customWidth="1"/>
    <col min="11524" max="11525" width="6.45703125" style="1" bestFit="1" customWidth="1"/>
    <col min="11526" max="11526" width="7.53125" style="1" customWidth="1"/>
    <col min="11527" max="11528" width="11.43359375" style="1" customWidth="1"/>
    <col min="11529" max="11529" width="12.5078125" style="1" customWidth="1"/>
    <col min="11530" max="11531" width="14.52734375" style="1" customWidth="1"/>
    <col min="11532" max="11532" width="16.54296875" style="1" customWidth="1"/>
    <col min="11533" max="11533" width="15.46875" style="1" customWidth="1"/>
    <col min="11534" max="11534" width="14.52734375" style="1" customWidth="1"/>
    <col min="11535" max="11535" width="13.046875" style="1" customWidth="1"/>
    <col min="11536" max="11776" width="9.55078125" style="1"/>
    <col min="11777" max="11777" width="1.4765625" style="1" customWidth="1"/>
    <col min="11778" max="11778" width="31.4765625" style="1" customWidth="1"/>
    <col min="11779" max="11779" width="8.47265625" style="1" bestFit="1" customWidth="1"/>
    <col min="11780" max="11781" width="6.45703125" style="1" bestFit="1" customWidth="1"/>
    <col min="11782" max="11782" width="7.53125" style="1" customWidth="1"/>
    <col min="11783" max="11784" width="11.43359375" style="1" customWidth="1"/>
    <col min="11785" max="11785" width="12.5078125" style="1" customWidth="1"/>
    <col min="11786" max="11787" width="14.52734375" style="1" customWidth="1"/>
    <col min="11788" max="11788" width="16.54296875" style="1" customWidth="1"/>
    <col min="11789" max="11789" width="15.46875" style="1" customWidth="1"/>
    <col min="11790" max="11790" width="14.52734375" style="1" customWidth="1"/>
    <col min="11791" max="11791" width="13.046875" style="1" customWidth="1"/>
    <col min="11792" max="12032" width="9.55078125" style="1"/>
    <col min="12033" max="12033" width="1.4765625" style="1" customWidth="1"/>
    <col min="12034" max="12034" width="31.4765625" style="1" customWidth="1"/>
    <col min="12035" max="12035" width="8.47265625" style="1" bestFit="1" customWidth="1"/>
    <col min="12036" max="12037" width="6.45703125" style="1" bestFit="1" customWidth="1"/>
    <col min="12038" max="12038" width="7.53125" style="1" customWidth="1"/>
    <col min="12039" max="12040" width="11.43359375" style="1" customWidth="1"/>
    <col min="12041" max="12041" width="12.5078125" style="1" customWidth="1"/>
    <col min="12042" max="12043" width="14.52734375" style="1" customWidth="1"/>
    <col min="12044" max="12044" width="16.54296875" style="1" customWidth="1"/>
    <col min="12045" max="12045" width="15.46875" style="1" customWidth="1"/>
    <col min="12046" max="12046" width="14.52734375" style="1" customWidth="1"/>
    <col min="12047" max="12047" width="13.046875" style="1" customWidth="1"/>
    <col min="12048" max="12288" width="9.55078125" style="1"/>
    <col min="12289" max="12289" width="1.4765625" style="1" customWidth="1"/>
    <col min="12290" max="12290" width="31.4765625" style="1" customWidth="1"/>
    <col min="12291" max="12291" width="8.47265625" style="1" bestFit="1" customWidth="1"/>
    <col min="12292" max="12293" width="6.45703125" style="1" bestFit="1" customWidth="1"/>
    <col min="12294" max="12294" width="7.53125" style="1" customWidth="1"/>
    <col min="12295" max="12296" width="11.43359375" style="1" customWidth="1"/>
    <col min="12297" max="12297" width="12.5078125" style="1" customWidth="1"/>
    <col min="12298" max="12299" width="14.52734375" style="1" customWidth="1"/>
    <col min="12300" max="12300" width="16.54296875" style="1" customWidth="1"/>
    <col min="12301" max="12301" width="15.46875" style="1" customWidth="1"/>
    <col min="12302" max="12302" width="14.52734375" style="1" customWidth="1"/>
    <col min="12303" max="12303" width="13.046875" style="1" customWidth="1"/>
    <col min="12304" max="12544" width="9.55078125" style="1"/>
    <col min="12545" max="12545" width="1.4765625" style="1" customWidth="1"/>
    <col min="12546" max="12546" width="31.4765625" style="1" customWidth="1"/>
    <col min="12547" max="12547" width="8.47265625" style="1" bestFit="1" customWidth="1"/>
    <col min="12548" max="12549" width="6.45703125" style="1" bestFit="1" customWidth="1"/>
    <col min="12550" max="12550" width="7.53125" style="1" customWidth="1"/>
    <col min="12551" max="12552" width="11.43359375" style="1" customWidth="1"/>
    <col min="12553" max="12553" width="12.5078125" style="1" customWidth="1"/>
    <col min="12554" max="12555" width="14.52734375" style="1" customWidth="1"/>
    <col min="12556" max="12556" width="16.54296875" style="1" customWidth="1"/>
    <col min="12557" max="12557" width="15.46875" style="1" customWidth="1"/>
    <col min="12558" max="12558" width="14.52734375" style="1" customWidth="1"/>
    <col min="12559" max="12559" width="13.046875" style="1" customWidth="1"/>
    <col min="12560" max="12800" width="9.55078125" style="1"/>
    <col min="12801" max="12801" width="1.4765625" style="1" customWidth="1"/>
    <col min="12802" max="12802" width="31.4765625" style="1" customWidth="1"/>
    <col min="12803" max="12803" width="8.47265625" style="1" bestFit="1" customWidth="1"/>
    <col min="12804" max="12805" width="6.45703125" style="1" bestFit="1" customWidth="1"/>
    <col min="12806" max="12806" width="7.53125" style="1" customWidth="1"/>
    <col min="12807" max="12808" width="11.43359375" style="1" customWidth="1"/>
    <col min="12809" max="12809" width="12.5078125" style="1" customWidth="1"/>
    <col min="12810" max="12811" width="14.52734375" style="1" customWidth="1"/>
    <col min="12812" max="12812" width="16.54296875" style="1" customWidth="1"/>
    <col min="12813" max="12813" width="15.46875" style="1" customWidth="1"/>
    <col min="12814" max="12814" width="14.52734375" style="1" customWidth="1"/>
    <col min="12815" max="12815" width="13.046875" style="1" customWidth="1"/>
    <col min="12816" max="13056" width="9.55078125" style="1"/>
    <col min="13057" max="13057" width="1.4765625" style="1" customWidth="1"/>
    <col min="13058" max="13058" width="31.4765625" style="1" customWidth="1"/>
    <col min="13059" max="13059" width="8.47265625" style="1" bestFit="1" customWidth="1"/>
    <col min="13060" max="13061" width="6.45703125" style="1" bestFit="1" customWidth="1"/>
    <col min="13062" max="13062" width="7.53125" style="1" customWidth="1"/>
    <col min="13063" max="13064" width="11.43359375" style="1" customWidth="1"/>
    <col min="13065" max="13065" width="12.5078125" style="1" customWidth="1"/>
    <col min="13066" max="13067" width="14.52734375" style="1" customWidth="1"/>
    <col min="13068" max="13068" width="16.54296875" style="1" customWidth="1"/>
    <col min="13069" max="13069" width="15.46875" style="1" customWidth="1"/>
    <col min="13070" max="13070" width="14.52734375" style="1" customWidth="1"/>
    <col min="13071" max="13071" width="13.046875" style="1" customWidth="1"/>
    <col min="13072" max="13312" width="9.55078125" style="1"/>
    <col min="13313" max="13313" width="1.4765625" style="1" customWidth="1"/>
    <col min="13314" max="13314" width="31.4765625" style="1" customWidth="1"/>
    <col min="13315" max="13315" width="8.47265625" style="1" bestFit="1" customWidth="1"/>
    <col min="13316" max="13317" width="6.45703125" style="1" bestFit="1" customWidth="1"/>
    <col min="13318" max="13318" width="7.53125" style="1" customWidth="1"/>
    <col min="13319" max="13320" width="11.43359375" style="1" customWidth="1"/>
    <col min="13321" max="13321" width="12.5078125" style="1" customWidth="1"/>
    <col min="13322" max="13323" width="14.52734375" style="1" customWidth="1"/>
    <col min="13324" max="13324" width="16.54296875" style="1" customWidth="1"/>
    <col min="13325" max="13325" width="15.46875" style="1" customWidth="1"/>
    <col min="13326" max="13326" width="14.52734375" style="1" customWidth="1"/>
    <col min="13327" max="13327" width="13.046875" style="1" customWidth="1"/>
    <col min="13328" max="13568" width="9.55078125" style="1"/>
    <col min="13569" max="13569" width="1.4765625" style="1" customWidth="1"/>
    <col min="13570" max="13570" width="31.4765625" style="1" customWidth="1"/>
    <col min="13571" max="13571" width="8.47265625" style="1" bestFit="1" customWidth="1"/>
    <col min="13572" max="13573" width="6.45703125" style="1" bestFit="1" customWidth="1"/>
    <col min="13574" max="13574" width="7.53125" style="1" customWidth="1"/>
    <col min="13575" max="13576" width="11.43359375" style="1" customWidth="1"/>
    <col min="13577" max="13577" width="12.5078125" style="1" customWidth="1"/>
    <col min="13578" max="13579" width="14.52734375" style="1" customWidth="1"/>
    <col min="13580" max="13580" width="16.54296875" style="1" customWidth="1"/>
    <col min="13581" max="13581" width="15.46875" style="1" customWidth="1"/>
    <col min="13582" max="13582" width="14.52734375" style="1" customWidth="1"/>
    <col min="13583" max="13583" width="13.046875" style="1" customWidth="1"/>
    <col min="13584" max="13824" width="9.55078125" style="1"/>
    <col min="13825" max="13825" width="1.4765625" style="1" customWidth="1"/>
    <col min="13826" max="13826" width="31.4765625" style="1" customWidth="1"/>
    <col min="13827" max="13827" width="8.47265625" style="1" bestFit="1" customWidth="1"/>
    <col min="13828" max="13829" width="6.45703125" style="1" bestFit="1" customWidth="1"/>
    <col min="13830" max="13830" width="7.53125" style="1" customWidth="1"/>
    <col min="13831" max="13832" width="11.43359375" style="1" customWidth="1"/>
    <col min="13833" max="13833" width="12.5078125" style="1" customWidth="1"/>
    <col min="13834" max="13835" width="14.52734375" style="1" customWidth="1"/>
    <col min="13836" max="13836" width="16.54296875" style="1" customWidth="1"/>
    <col min="13837" max="13837" width="15.46875" style="1" customWidth="1"/>
    <col min="13838" max="13838" width="14.52734375" style="1" customWidth="1"/>
    <col min="13839" max="13839" width="13.046875" style="1" customWidth="1"/>
    <col min="13840" max="14080" width="9.55078125" style="1"/>
    <col min="14081" max="14081" width="1.4765625" style="1" customWidth="1"/>
    <col min="14082" max="14082" width="31.4765625" style="1" customWidth="1"/>
    <col min="14083" max="14083" width="8.47265625" style="1" bestFit="1" customWidth="1"/>
    <col min="14084" max="14085" width="6.45703125" style="1" bestFit="1" customWidth="1"/>
    <col min="14086" max="14086" width="7.53125" style="1" customWidth="1"/>
    <col min="14087" max="14088" width="11.43359375" style="1" customWidth="1"/>
    <col min="14089" max="14089" width="12.5078125" style="1" customWidth="1"/>
    <col min="14090" max="14091" width="14.52734375" style="1" customWidth="1"/>
    <col min="14092" max="14092" width="16.54296875" style="1" customWidth="1"/>
    <col min="14093" max="14093" width="15.46875" style="1" customWidth="1"/>
    <col min="14094" max="14094" width="14.52734375" style="1" customWidth="1"/>
    <col min="14095" max="14095" width="13.046875" style="1" customWidth="1"/>
    <col min="14096" max="14336" width="9.55078125" style="1"/>
    <col min="14337" max="14337" width="1.4765625" style="1" customWidth="1"/>
    <col min="14338" max="14338" width="31.4765625" style="1" customWidth="1"/>
    <col min="14339" max="14339" width="8.47265625" style="1" bestFit="1" customWidth="1"/>
    <col min="14340" max="14341" width="6.45703125" style="1" bestFit="1" customWidth="1"/>
    <col min="14342" max="14342" width="7.53125" style="1" customWidth="1"/>
    <col min="14343" max="14344" width="11.43359375" style="1" customWidth="1"/>
    <col min="14345" max="14345" width="12.5078125" style="1" customWidth="1"/>
    <col min="14346" max="14347" width="14.52734375" style="1" customWidth="1"/>
    <col min="14348" max="14348" width="16.54296875" style="1" customWidth="1"/>
    <col min="14349" max="14349" width="15.46875" style="1" customWidth="1"/>
    <col min="14350" max="14350" width="14.52734375" style="1" customWidth="1"/>
    <col min="14351" max="14351" width="13.046875" style="1" customWidth="1"/>
    <col min="14352" max="14592" width="9.55078125" style="1"/>
    <col min="14593" max="14593" width="1.4765625" style="1" customWidth="1"/>
    <col min="14594" max="14594" width="31.4765625" style="1" customWidth="1"/>
    <col min="14595" max="14595" width="8.47265625" style="1" bestFit="1" customWidth="1"/>
    <col min="14596" max="14597" width="6.45703125" style="1" bestFit="1" customWidth="1"/>
    <col min="14598" max="14598" width="7.53125" style="1" customWidth="1"/>
    <col min="14599" max="14600" width="11.43359375" style="1" customWidth="1"/>
    <col min="14601" max="14601" width="12.5078125" style="1" customWidth="1"/>
    <col min="14602" max="14603" width="14.52734375" style="1" customWidth="1"/>
    <col min="14604" max="14604" width="16.54296875" style="1" customWidth="1"/>
    <col min="14605" max="14605" width="15.46875" style="1" customWidth="1"/>
    <col min="14606" max="14606" width="14.52734375" style="1" customWidth="1"/>
    <col min="14607" max="14607" width="13.046875" style="1" customWidth="1"/>
    <col min="14608" max="14848" width="9.55078125" style="1"/>
    <col min="14849" max="14849" width="1.4765625" style="1" customWidth="1"/>
    <col min="14850" max="14850" width="31.4765625" style="1" customWidth="1"/>
    <col min="14851" max="14851" width="8.47265625" style="1" bestFit="1" customWidth="1"/>
    <col min="14852" max="14853" width="6.45703125" style="1" bestFit="1" customWidth="1"/>
    <col min="14854" max="14854" width="7.53125" style="1" customWidth="1"/>
    <col min="14855" max="14856" width="11.43359375" style="1" customWidth="1"/>
    <col min="14857" max="14857" width="12.5078125" style="1" customWidth="1"/>
    <col min="14858" max="14859" width="14.52734375" style="1" customWidth="1"/>
    <col min="14860" max="14860" width="16.54296875" style="1" customWidth="1"/>
    <col min="14861" max="14861" width="15.46875" style="1" customWidth="1"/>
    <col min="14862" max="14862" width="14.52734375" style="1" customWidth="1"/>
    <col min="14863" max="14863" width="13.046875" style="1" customWidth="1"/>
    <col min="14864" max="15104" width="9.55078125" style="1"/>
    <col min="15105" max="15105" width="1.4765625" style="1" customWidth="1"/>
    <col min="15106" max="15106" width="31.4765625" style="1" customWidth="1"/>
    <col min="15107" max="15107" width="8.47265625" style="1" bestFit="1" customWidth="1"/>
    <col min="15108" max="15109" width="6.45703125" style="1" bestFit="1" customWidth="1"/>
    <col min="15110" max="15110" width="7.53125" style="1" customWidth="1"/>
    <col min="15111" max="15112" width="11.43359375" style="1" customWidth="1"/>
    <col min="15113" max="15113" width="12.5078125" style="1" customWidth="1"/>
    <col min="15114" max="15115" width="14.52734375" style="1" customWidth="1"/>
    <col min="15116" max="15116" width="16.54296875" style="1" customWidth="1"/>
    <col min="15117" max="15117" width="15.46875" style="1" customWidth="1"/>
    <col min="15118" max="15118" width="14.52734375" style="1" customWidth="1"/>
    <col min="15119" max="15119" width="13.046875" style="1" customWidth="1"/>
    <col min="15120" max="15360" width="9.55078125" style="1"/>
    <col min="15361" max="15361" width="1.4765625" style="1" customWidth="1"/>
    <col min="15362" max="15362" width="31.4765625" style="1" customWidth="1"/>
    <col min="15363" max="15363" width="8.47265625" style="1" bestFit="1" customWidth="1"/>
    <col min="15364" max="15365" width="6.45703125" style="1" bestFit="1" customWidth="1"/>
    <col min="15366" max="15366" width="7.53125" style="1" customWidth="1"/>
    <col min="15367" max="15368" width="11.43359375" style="1" customWidth="1"/>
    <col min="15369" max="15369" width="12.5078125" style="1" customWidth="1"/>
    <col min="15370" max="15371" width="14.52734375" style="1" customWidth="1"/>
    <col min="15372" max="15372" width="16.54296875" style="1" customWidth="1"/>
    <col min="15373" max="15373" width="15.46875" style="1" customWidth="1"/>
    <col min="15374" max="15374" width="14.52734375" style="1" customWidth="1"/>
    <col min="15375" max="15375" width="13.046875" style="1" customWidth="1"/>
    <col min="15376" max="15616" width="9.55078125" style="1"/>
    <col min="15617" max="15617" width="1.4765625" style="1" customWidth="1"/>
    <col min="15618" max="15618" width="31.4765625" style="1" customWidth="1"/>
    <col min="15619" max="15619" width="8.47265625" style="1" bestFit="1" customWidth="1"/>
    <col min="15620" max="15621" width="6.45703125" style="1" bestFit="1" customWidth="1"/>
    <col min="15622" max="15622" width="7.53125" style="1" customWidth="1"/>
    <col min="15623" max="15624" width="11.43359375" style="1" customWidth="1"/>
    <col min="15625" max="15625" width="12.5078125" style="1" customWidth="1"/>
    <col min="15626" max="15627" width="14.52734375" style="1" customWidth="1"/>
    <col min="15628" max="15628" width="16.54296875" style="1" customWidth="1"/>
    <col min="15629" max="15629" width="15.46875" style="1" customWidth="1"/>
    <col min="15630" max="15630" width="14.52734375" style="1" customWidth="1"/>
    <col min="15631" max="15631" width="13.046875" style="1" customWidth="1"/>
    <col min="15632" max="15872" width="9.55078125" style="1"/>
    <col min="15873" max="15873" width="1.4765625" style="1" customWidth="1"/>
    <col min="15874" max="15874" width="31.4765625" style="1" customWidth="1"/>
    <col min="15875" max="15875" width="8.47265625" style="1" bestFit="1" customWidth="1"/>
    <col min="15876" max="15877" width="6.45703125" style="1" bestFit="1" customWidth="1"/>
    <col min="15878" max="15878" width="7.53125" style="1" customWidth="1"/>
    <col min="15879" max="15880" width="11.43359375" style="1" customWidth="1"/>
    <col min="15881" max="15881" width="12.5078125" style="1" customWidth="1"/>
    <col min="15882" max="15883" width="14.52734375" style="1" customWidth="1"/>
    <col min="15884" max="15884" width="16.54296875" style="1" customWidth="1"/>
    <col min="15885" max="15885" width="15.46875" style="1" customWidth="1"/>
    <col min="15886" max="15886" width="14.52734375" style="1" customWidth="1"/>
    <col min="15887" max="15887" width="13.046875" style="1" customWidth="1"/>
    <col min="15888" max="16128" width="9.55078125" style="1"/>
    <col min="16129" max="16129" width="1.4765625" style="1" customWidth="1"/>
    <col min="16130" max="16130" width="31.4765625" style="1" customWidth="1"/>
    <col min="16131" max="16131" width="8.47265625" style="1" bestFit="1" customWidth="1"/>
    <col min="16132" max="16133" width="6.45703125" style="1" bestFit="1" customWidth="1"/>
    <col min="16134" max="16134" width="7.53125" style="1" customWidth="1"/>
    <col min="16135" max="16136" width="11.43359375" style="1" customWidth="1"/>
    <col min="16137" max="16137" width="12.5078125" style="1" customWidth="1"/>
    <col min="16138" max="16139" width="14.52734375" style="1" customWidth="1"/>
    <col min="16140" max="16140" width="16.54296875" style="1" customWidth="1"/>
    <col min="16141" max="16141" width="15.46875" style="1" customWidth="1"/>
    <col min="16142" max="16142" width="14.52734375" style="1" customWidth="1"/>
    <col min="16143" max="16143" width="13.046875" style="1" customWidth="1"/>
    <col min="16144" max="16384" width="9.55078125" style="1"/>
  </cols>
  <sheetData>
    <row r="1" spans="2:14" ht="15" x14ac:dyDescent="0.15">
      <c r="B1" s="2" t="s">
        <v>1148</v>
      </c>
    </row>
    <row r="2" spans="2:14" x14ac:dyDescent="0.1">
      <c r="B2" s="3"/>
    </row>
    <row r="3" spans="2:14" ht="15" x14ac:dyDescent="0.15">
      <c r="B3" s="2" t="s">
        <v>1149</v>
      </c>
    </row>
    <row r="4" spans="2:14" ht="15" x14ac:dyDescent="0.15">
      <c r="B4" s="2" t="s">
        <v>1150</v>
      </c>
      <c r="C4" s="4"/>
      <c r="D4" s="5" t="s">
        <v>137</v>
      </c>
      <c r="J4" s="5" t="s">
        <v>1151</v>
      </c>
    </row>
    <row r="5" spans="2:14" x14ac:dyDescent="0.1">
      <c r="B5" s="4" t="s">
        <v>6</v>
      </c>
      <c r="C5" s="4"/>
      <c r="D5" s="5"/>
      <c r="E5" s="6" t="s">
        <v>1152</v>
      </c>
      <c r="F5" s="6" t="s">
        <v>1153</v>
      </c>
      <c r="G5" s="6" t="s">
        <v>1154</v>
      </c>
      <c r="J5" s="6" t="s">
        <v>1155</v>
      </c>
      <c r="K5" s="6" t="s">
        <v>1156</v>
      </c>
      <c r="L5" s="6" t="s">
        <v>1103</v>
      </c>
    </row>
    <row r="6" spans="2:14" x14ac:dyDescent="0.1">
      <c r="B6" s="1" t="s">
        <v>1157</v>
      </c>
      <c r="D6" s="5"/>
      <c r="E6" s="7">
        <v>0</v>
      </c>
      <c r="F6" s="6">
        <f>+E6/30</f>
        <v>0</v>
      </c>
      <c r="G6" s="8">
        <f>+F6*4.33</f>
        <v>0</v>
      </c>
      <c r="J6" s="1">
        <f>SUM(J15:J89)</f>
        <v>0</v>
      </c>
      <c r="K6" s="1">
        <f>SUM(K15:K75)</f>
        <v>0</v>
      </c>
      <c r="L6" s="1">
        <f>SUM(L15:L89)</f>
        <v>0</v>
      </c>
    </row>
    <row r="7" spans="2:14" ht="15" x14ac:dyDescent="0.15">
      <c r="B7" s="9"/>
      <c r="C7" s="4"/>
      <c r="D7" s="5"/>
    </row>
    <row r="8" spans="2:14" x14ac:dyDescent="0.1">
      <c r="B8" s="10"/>
      <c r="C8" s="10"/>
      <c r="D8" s="11"/>
      <c r="E8" s="11"/>
      <c r="F8" s="12"/>
      <c r="G8" s="13" t="s">
        <v>1158</v>
      </c>
      <c r="H8" s="11" t="s">
        <v>1159</v>
      </c>
      <c r="I8" s="14" t="s">
        <v>1160</v>
      </c>
      <c r="J8" s="15" t="s">
        <v>1158</v>
      </c>
      <c r="K8" s="15" t="s">
        <v>1159</v>
      </c>
      <c r="L8" s="15" t="s">
        <v>1160</v>
      </c>
      <c r="M8" s="16"/>
    </row>
    <row r="9" spans="2:14" x14ac:dyDescent="0.1">
      <c r="B9" s="17" t="s">
        <v>1161</v>
      </c>
      <c r="C9" s="17" t="s">
        <v>1162</v>
      </c>
      <c r="D9" s="18" t="s">
        <v>1163</v>
      </c>
      <c r="E9" s="18" t="s">
        <v>1137</v>
      </c>
      <c r="F9" s="19" t="s">
        <v>1138</v>
      </c>
      <c r="G9" s="17" t="s">
        <v>1164</v>
      </c>
      <c r="H9" s="18" t="s">
        <v>1164</v>
      </c>
      <c r="I9" s="19" t="s">
        <v>1164</v>
      </c>
      <c r="J9" s="20" t="s">
        <v>1138</v>
      </c>
      <c r="K9" s="20" t="s">
        <v>1138</v>
      </c>
      <c r="L9" s="20" t="s">
        <v>1138</v>
      </c>
      <c r="M9" s="16"/>
    </row>
    <row r="10" spans="2:14" x14ac:dyDescent="0.1"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16"/>
    </row>
    <row r="11" spans="2:14" x14ac:dyDescent="0.1">
      <c r="B11" s="22" t="s">
        <v>1165</v>
      </c>
      <c r="C11" s="23"/>
      <c r="D11" s="24"/>
      <c r="E11" s="23"/>
      <c r="F11" s="23"/>
      <c r="G11" s="23"/>
      <c r="H11" s="23"/>
      <c r="I11" s="23"/>
      <c r="J11" s="25"/>
      <c r="K11" s="25"/>
      <c r="L11" s="25"/>
      <c r="M11" s="16"/>
    </row>
    <row r="12" spans="2:14" x14ac:dyDescent="0.1">
      <c r="B12" s="26" t="s">
        <v>1166</v>
      </c>
      <c r="C12" s="27">
        <v>0</v>
      </c>
      <c r="D12" s="28" t="s">
        <v>1167</v>
      </c>
      <c r="E12" s="27">
        <v>0</v>
      </c>
      <c r="F12" s="27">
        <f>(C12*E12/100)+C12</f>
        <v>0</v>
      </c>
      <c r="G12" s="27">
        <v>0</v>
      </c>
      <c r="H12" s="27">
        <v>0</v>
      </c>
      <c r="I12" s="27">
        <v>0</v>
      </c>
      <c r="J12" s="27" t="e">
        <f>+#REF!</f>
        <v>#REF!</v>
      </c>
      <c r="K12" s="27" t="e">
        <f>+#REF!</f>
        <v>#REF!</v>
      </c>
      <c r="L12" s="27" t="e">
        <f>+#REF!</f>
        <v>#REF!</v>
      </c>
      <c r="M12" s="29" t="e">
        <f>+J12+K12+L12</f>
        <v>#REF!</v>
      </c>
      <c r="N12" s="1" t="e">
        <f>+M12*L104</f>
        <v>#REF!</v>
      </c>
    </row>
    <row r="13" spans="2:14" x14ac:dyDescent="0.1">
      <c r="B13" s="30"/>
      <c r="C13" s="23"/>
      <c r="D13" s="24"/>
      <c r="E13" s="23"/>
      <c r="F13" s="23"/>
      <c r="G13" s="23"/>
      <c r="H13" s="23"/>
      <c r="I13" s="23"/>
      <c r="J13" s="23"/>
      <c r="K13" s="23"/>
      <c r="L13" s="23"/>
      <c r="M13" s="31"/>
      <c r="N13" s="32"/>
    </row>
    <row r="14" spans="2:14" x14ac:dyDescent="0.1">
      <c r="B14" s="22" t="s">
        <v>1168</v>
      </c>
      <c r="C14" s="23">
        <v>0</v>
      </c>
      <c r="D14" s="24" t="s">
        <v>1169</v>
      </c>
      <c r="E14" s="23"/>
      <c r="F14" s="23"/>
      <c r="G14" s="23"/>
      <c r="H14" s="23"/>
      <c r="I14" s="23"/>
      <c r="J14" s="23"/>
      <c r="K14" s="23"/>
      <c r="L14" s="23"/>
      <c r="M14" s="16"/>
    </row>
    <row r="15" spans="2:14" x14ac:dyDescent="0.1">
      <c r="B15" s="26" t="s">
        <v>1170</v>
      </c>
      <c r="C15" s="27">
        <v>0</v>
      </c>
      <c r="D15" s="28" t="s">
        <v>1171</v>
      </c>
      <c r="E15" s="27">
        <v>0</v>
      </c>
      <c r="F15" s="27">
        <f t="shared" ref="F15:F25" si="0">(C15*E15/100)+C15</f>
        <v>0</v>
      </c>
      <c r="G15" s="27"/>
      <c r="H15" s="27">
        <v>0</v>
      </c>
      <c r="I15" s="27">
        <v>30000</v>
      </c>
      <c r="J15" s="27">
        <f>+C15*G15</f>
        <v>0</v>
      </c>
      <c r="K15" s="27">
        <f>+C15*H15</f>
        <v>0</v>
      </c>
      <c r="L15" s="27">
        <f>+C15*I15</f>
        <v>0</v>
      </c>
      <c r="M15" s="33">
        <f t="shared" ref="M15:M36" si="1">+SUM(J15:L15)</f>
        <v>0</v>
      </c>
    </row>
    <row r="16" spans="2:14" x14ac:dyDescent="0.1">
      <c r="B16" s="26" t="s">
        <v>1172</v>
      </c>
      <c r="C16" s="27">
        <v>0</v>
      </c>
      <c r="D16" s="28" t="s">
        <v>1010</v>
      </c>
      <c r="E16" s="27">
        <v>0</v>
      </c>
      <c r="F16" s="27">
        <f>(C16*E16/100)+C16</f>
        <v>0</v>
      </c>
      <c r="G16" s="27"/>
      <c r="H16" s="27">
        <v>0</v>
      </c>
      <c r="I16" s="27">
        <v>4750</v>
      </c>
      <c r="J16" s="27">
        <f t="shared" ref="J16:J37" si="2">+C16*G16</f>
        <v>0</v>
      </c>
      <c r="K16" s="27">
        <f t="shared" ref="K16:K37" si="3">+C16*H16</f>
        <v>0</v>
      </c>
      <c r="L16" s="27">
        <f t="shared" ref="L16:L37" si="4">+C16*I16</f>
        <v>0</v>
      </c>
      <c r="M16" s="33">
        <f t="shared" si="1"/>
        <v>0</v>
      </c>
    </row>
    <row r="17" spans="2:14" x14ac:dyDescent="0.1">
      <c r="B17" s="26" t="s">
        <v>1173</v>
      </c>
      <c r="C17" s="34">
        <v>0</v>
      </c>
      <c r="D17" s="28" t="s">
        <v>1145</v>
      </c>
      <c r="E17" s="27">
        <v>0</v>
      </c>
      <c r="F17" s="27">
        <f t="shared" si="0"/>
        <v>0</v>
      </c>
      <c r="G17" s="27"/>
      <c r="H17" s="27">
        <v>0</v>
      </c>
      <c r="I17" s="27">
        <v>450</v>
      </c>
      <c r="J17" s="27">
        <f t="shared" si="2"/>
        <v>0</v>
      </c>
      <c r="K17" s="27">
        <f t="shared" si="3"/>
        <v>0</v>
      </c>
      <c r="L17" s="27">
        <f t="shared" si="4"/>
        <v>0</v>
      </c>
      <c r="M17" s="33">
        <f t="shared" si="1"/>
        <v>0</v>
      </c>
    </row>
    <row r="18" spans="2:14" x14ac:dyDescent="0.1">
      <c r="B18" s="26" t="s">
        <v>1174</v>
      </c>
      <c r="C18" s="34">
        <v>0</v>
      </c>
      <c r="D18" s="28" t="s">
        <v>1175</v>
      </c>
      <c r="E18" s="27">
        <v>0</v>
      </c>
      <c r="F18" s="27">
        <f t="shared" si="0"/>
        <v>0</v>
      </c>
      <c r="G18" s="27"/>
      <c r="H18" s="27">
        <v>0</v>
      </c>
      <c r="I18" s="27">
        <v>30</v>
      </c>
      <c r="J18" s="27">
        <f t="shared" si="2"/>
        <v>0</v>
      </c>
      <c r="K18" s="27">
        <f t="shared" si="3"/>
        <v>0</v>
      </c>
      <c r="L18" s="27">
        <f t="shared" si="4"/>
        <v>0</v>
      </c>
      <c r="M18" s="33">
        <f t="shared" si="1"/>
        <v>0</v>
      </c>
    </row>
    <row r="19" spans="2:14" x14ac:dyDescent="0.1">
      <c r="B19" s="26" t="s">
        <v>1176</v>
      </c>
      <c r="C19" s="34">
        <v>0</v>
      </c>
      <c r="D19" s="28" t="s">
        <v>1175</v>
      </c>
      <c r="E19" s="27">
        <v>0</v>
      </c>
      <c r="F19" s="27">
        <f t="shared" si="0"/>
        <v>0</v>
      </c>
      <c r="G19" s="27"/>
      <c r="H19" s="27">
        <v>0</v>
      </c>
      <c r="I19" s="27">
        <v>40</v>
      </c>
      <c r="J19" s="27">
        <f t="shared" si="2"/>
        <v>0</v>
      </c>
      <c r="K19" s="27">
        <f t="shared" si="3"/>
        <v>0</v>
      </c>
      <c r="L19" s="27">
        <f t="shared" si="4"/>
        <v>0</v>
      </c>
      <c r="M19" s="33">
        <f t="shared" si="1"/>
        <v>0</v>
      </c>
    </row>
    <row r="20" spans="2:14" x14ac:dyDescent="0.1">
      <c r="B20" s="26" t="s">
        <v>1177</v>
      </c>
      <c r="C20" s="34">
        <v>0</v>
      </c>
      <c r="D20" s="28" t="s">
        <v>1175</v>
      </c>
      <c r="E20" s="27">
        <v>0</v>
      </c>
      <c r="F20" s="27">
        <f t="shared" si="0"/>
        <v>0</v>
      </c>
      <c r="G20" s="27"/>
      <c r="H20" s="27">
        <v>0</v>
      </c>
      <c r="I20" s="27">
        <v>50</v>
      </c>
      <c r="J20" s="27">
        <f t="shared" si="2"/>
        <v>0</v>
      </c>
      <c r="K20" s="27">
        <f t="shared" si="3"/>
        <v>0</v>
      </c>
      <c r="L20" s="27">
        <f t="shared" si="4"/>
        <v>0</v>
      </c>
      <c r="M20" s="33">
        <f t="shared" si="1"/>
        <v>0</v>
      </c>
    </row>
    <row r="21" spans="2:14" x14ac:dyDescent="0.1">
      <c r="B21" s="26" t="s">
        <v>1178</v>
      </c>
      <c r="C21" s="27">
        <v>0</v>
      </c>
      <c r="D21" s="28" t="s">
        <v>1179</v>
      </c>
      <c r="E21" s="27">
        <v>0</v>
      </c>
      <c r="F21" s="27">
        <f t="shared" si="0"/>
        <v>0</v>
      </c>
      <c r="G21" s="27"/>
      <c r="H21" s="27">
        <v>0</v>
      </c>
      <c r="I21" s="27">
        <v>30</v>
      </c>
      <c r="J21" s="27">
        <f t="shared" si="2"/>
        <v>0</v>
      </c>
      <c r="K21" s="27">
        <f t="shared" si="3"/>
        <v>0</v>
      </c>
      <c r="L21" s="27">
        <f t="shared" si="4"/>
        <v>0</v>
      </c>
      <c r="M21" s="33">
        <f t="shared" si="1"/>
        <v>0</v>
      </c>
    </row>
    <row r="22" spans="2:14" x14ac:dyDescent="0.1">
      <c r="B22" s="26" t="s">
        <v>1180</v>
      </c>
      <c r="C22" s="27">
        <v>0</v>
      </c>
      <c r="D22" s="28" t="s">
        <v>1181</v>
      </c>
      <c r="E22" s="27">
        <v>0</v>
      </c>
      <c r="F22" s="27">
        <f t="shared" si="0"/>
        <v>0</v>
      </c>
      <c r="G22" s="27"/>
      <c r="H22" s="27">
        <v>0</v>
      </c>
      <c r="I22" s="27">
        <v>25000</v>
      </c>
      <c r="J22" s="27">
        <f t="shared" si="2"/>
        <v>0</v>
      </c>
      <c r="K22" s="27">
        <f t="shared" si="3"/>
        <v>0</v>
      </c>
      <c r="L22" s="27">
        <f t="shared" si="4"/>
        <v>0</v>
      </c>
      <c r="M22" s="33">
        <f t="shared" si="1"/>
        <v>0</v>
      </c>
    </row>
    <row r="23" spans="2:14" x14ac:dyDescent="0.1">
      <c r="B23" s="26" t="s">
        <v>1182</v>
      </c>
      <c r="C23" s="27">
        <v>0</v>
      </c>
      <c r="D23" s="28" t="s">
        <v>29</v>
      </c>
      <c r="E23" s="27">
        <v>1</v>
      </c>
      <c r="F23" s="27">
        <f>+C23*E23</f>
        <v>0</v>
      </c>
      <c r="G23" s="27"/>
      <c r="H23" s="27"/>
      <c r="I23" s="27">
        <v>3600000</v>
      </c>
      <c r="J23" s="27">
        <f t="shared" si="2"/>
        <v>0</v>
      </c>
      <c r="K23" s="27">
        <f t="shared" si="3"/>
        <v>0</v>
      </c>
      <c r="L23" s="27">
        <f t="shared" si="4"/>
        <v>0</v>
      </c>
      <c r="M23" s="33">
        <f t="shared" si="1"/>
        <v>0</v>
      </c>
    </row>
    <row r="24" spans="2:14" x14ac:dyDescent="0.1">
      <c r="B24" s="26" t="s">
        <v>1183</v>
      </c>
      <c r="C24" s="27">
        <v>0</v>
      </c>
      <c r="D24" s="28" t="s">
        <v>29</v>
      </c>
      <c r="E24" s="27">
        <v>0</v>
      </c>
      <c r="F24" s="27">
        <f t="shared" si="0"/>
        <v>0</v>
      </c>
      <c r="G24" s="27">
        <v>0</v>
      </c>
      <c r="H24" s="27"/>
      <c r="I24" s="27">
        <v>900000</v>
      </c>
      <c r="J24" s="27">
        <f t="shared" si="2"/>
        <v>0</v>
      </c>
      <c r="K24" s="27">
        <f t="shared" si="3"/>
        <v>0</v>
      </c>
      <c r="L24" s="27">
        <f t="shared" si="4"/>
        <v>0</v>
      </c>
      <c r="M24" s="33">
        <f t="shared" si="1"/>
        <v>0</v>
      </c>
    </row>
    <row r="25" spans="2:14" x14ac:dyDescent="0.1">
      <c r="B25" s="26" t="s">
        <v>1184</v>
      </c>
      <c r="C25" s="27">
        <v>0</v>
      </c>
      <c r="D25" s="28" t="s">
        <v>1185</v>
      </c>
      <c r="E25" s="27">
        <v>0</v>
      </c>
      <c r="F25" s="27">
        <f t="shared" si="0"/>
        <v>0</v>
      </c>
      <c r="G25" s="27">
        <v>0</v>
      </c>
      <c r="H25" s="27"/>
      <c r="I25" s="27">
        <v>0</v>
      </c>
      <c r="J25" s="27">
        <f t="shared" si="2"/>
        <v>0</v>
      </c>
      <c r="K25" s="27">
        <f t="shared" si="3"/>
        <v>0</v>
      </c>
      <c r="L25" s="27">
        <f t="shared" si="4"/>
        <v>0</v>
      </c>
      <c r="M25" s="33">
        <f t="shared" si="1"/>
        <v>0</v>
      </c>
    </row>
    <row r="26" spans="2:14" x14ac:dyDescent="0.1">
      <c r="B26" s="26" t="s">
        <v>1186</v>
      </c>
      <c r="C26" s="27">
        <v>0</v>
      </c>
      <c r="D26" s="28" t="s">
        <v>1187</v>
      </c>
      <c r="E26" s="27">
        <v>0</v>
      </c>
      <c r="F26" s="27">
        <f>+C26</f>
        <v>0</v>
      </c>
      <c r="G26" s="27">
        <v>0</v>
      </c>
      <c r="H26" s="27"/>
      <c r="I26" s="27">
        <v>500000</v>
      </c>
      <c r="J26" s="27">
        <f t="shared" si="2"/>
        <v>0</v>
      </c>
      <c r="K26" s="27">
        <f t="shared" si="3"/>
        <v>0</v>
      </c>
      <c r="L26" s="27">
        <f t="shared" si="4"/>
        <v>0</v>
      </c>
      <c r="M26" s="33">
        <f t="shared" si="1"/>
        <v>0</v>
      </c>
    </row>
    <row r="27" spans="2:14" x14ac:dyDescent="0.1">
      <c r="B27" s="26" t="s">
        <v>1188</v>
      </c>
      <c r="C27" s="27">
        <v>0</v>
      </c>
      <c r="D27" s="28" t="s">
        <v>1187</v>
      </c>
      <c r="E27" s="27">
        <v>0</v>
      </c>
      <c r="F27" s="27">
        <f>+C27</f>
        <v>0</v>
      </c>
      <c r="G27" s="27"/>
      <c r="H27" s="27"/>
      <c r="I27" s="27">
        <v>5830</v>
      </c>
      <c r="J27" s="27">
        <f t="shared" si="2"/>
        <v>0</v>
      </c>
      <c r="K27" s="27">
        <f t="shared" si="3"/>
        <v>0</v>
      </c>
      <c r="L27" s="27">
        <f t="shared" si="4"/>
        <v>0</v>
      </c>
      <c r="M27" s="33">
        <f t="shared" si="1"/>
        <v>0</v>
      </c>
    </row>
    <row r="28" spans="2:14" x14ac:dyDescent="0.1">
      <c r="B28" s="26" t="s">
        <v>1189</v>
      </c>
      <c r="C28" s="27">
        <v>0</v>
      </c>
      <c r="D28" s="28" t="s">
        <v>1187</v>
      </c>
      <c r="E28" s="27">
        <v>0</v>
      </c>
      <c r="F28" s="27">
        <f>+C28</f>
        <v>0</v>
      </c>
      <c r="G28" s="27"/>
      <c r="H28" s="27"/>
      <c r="I28" s="27">
        <v>2450</v>
      </c>
      <c r="J28" s="27">
        <f t="shared" si="2"/>
        <v>0</v>
      </c>
      <c r="K28" s="27">
        <f t="shared" si="3"/>
        <v>0</v>
      </c>
      <c r="L28" s="27">
        <f t="shared" si="4"/>
        <v>0</v>
      </c>
      <c r="M28" s="33">
        <f t="shared" si="1"/>
        <v>0</v>
      </c>
    </row>
    <row r="29" spans="2:14" x14ac:dyDescent="0.1">
      <c r="B29" s="26" t="s">
        <v>1190</v>
      </c>
      <c r="C29" s="27">
        <v>0</v>
      </c>
      <c r="D29" s="28" t="s">
        <v>1185</v>
      </c>
      <c r="E29" s="27">
        <v>1</v>
      </c>
      <c r="F29" s="27">
        <f t="shared" ref="F29:F34" si="5">+C29*E29</f>
        <v>0</v>
      </c>
      <c r="G29" s="27"/>
      <c r="H29" s="27">
        <f>1500*58*4.33</f>
        <v>376710</v>
      </c>
      <c r="I29" s="27">
        <v>0</v>
      </c>
      <c r="J29" s="27">
        <f t="shared" si="2"/>
        <v>0</v>
      </c>
      <c r="K29" s="27">
        <f t="shared" si="3"/>
        <v>0</v>
      </c>
      <c r="L29" s="27">
        <f t="shared" si="4"/>
        <v>0</v>
      </c>
      <c r="M29" s="33">
        <f>+SUM(J29:L29)</f>
        <v>0</v>
      </c>
    </row>
    <row r="30" spans="2:14" x14ac:dyDescent="0.1">
      <c r="B30" s="35" t="s">
        <v>1191</v>
      </c>
      <c r="C30" s="27">
        <v>0</v>
      </c>
      <c r="D30" s="28" t="s">
        <v>1185</v>
      </c>
      <c r="E30" s="27">
        <v>1</v>
      </c>
      <c r="F30" s="27">
        <f t="shared" si="5"/>
        <v>0</v>
      </c>
      <c r="G30" s="27">
        <v>0</v>
      </c>
      <c r="H30" s="27">
        <v>0</v>
      </c>
      <c r="I30" s="27">
        <v>2350000</v>
      </c>
      <c r="J30" s="27">
        <f t="shared" si="2"/>
        <v>0</v>
      </c>
      <c r="K30" s="27">
        <f t="shared" si="3"/>
        <v>0</v>
      </c>
      <c r="L30" s="27">
        <f t="shared" si="4"/>
        <v>0</v>
      </c>
      <c r="M30" s="33">
        <f t="shared" si="1"/>
        <v>0</v>
      </c>
      <c r="N30" s="1" t="s">
        <v>1192</v>
      </c>
    </row>
    <row r="31" spans="2:14" x14ac:dyDescent="0.1">
      <c r="B31" s="35" t="s">
        <v>1193</v>
      </c>
      <c r="C31" s="27">
        <v>0</v>
      </c>
      <c r="D31" s="28" t="s">
        <v>1185</v>
      </c>
      <c r="E31" s="27">
        <v>1</v>
      </c>
      <c r="F31" s="27">
        <f t="shared" si="5"/>
        <v>0</v>
      </c>
      <c r="G31" s="27"/>
      <c r="H31" s="27">
        <v>800000</v>
      </c>
      <c r="I31" s="27">
        <v>0</v>
      </c>
      <c r="J31" s="27">
        <f t="shared" si="2"/>
        <v>0</v>
      </c>
      <c r="K31" s="27">
        <f t="shared" si="3"/>
        <v>0</v>
      </c>
      <c r="L31" s="27">
        <f t="shared" si="4"/>
        <v>0</v>
      </c>
      <c r="M31" s="33">
        <f>+SUM(J31:L31)</f>
        <v>0</v>
      </c>
    </row>
    <row r="32" spans="2:14" x14ac:dyDescent="0.1">
      <c r="B32" s="35" t="s">
        <v>1194</v>
      </c>
      <c r="C32" s="27">
        <v>0</v>
      </c>
      <c r="D32" s="28" t="s">
        <v>1185</v>
      </c>
      <c r="E32" s="27">
        <v>1</v>
      </c>
      <c r="F32" s="27">
        <f t="shared" si="5"/>
        <v>0</v>
      </c>
      <c r="G32" s="27"/>
      <c r="H32" s="27">
        <v>95000</v>
      </c>
      <c r="I32" s="27">
        <v>0</v>
      </c>
      <c r="J32" s="27">
        <f t="shared" si="2"/>
        <v>0</v>
      </c>
      <c r="K32" s="27">
        <f t="shared" si="3"/>
        <v>0</v>
      </c>
      <c r="L32" s="27">
        <f t="shared" si="4"/>
        <v>0</v>
      </c>
      <c r="M32" s="33">
        <f>+SUM(J32:L32)</f>
        <v>0</v>
      </c>
    </row>
    <row r="33" spans="2:13" x14ac:dyDescent="0.1">
      <c r="B33" s="35" t="s">
        <v>1194</v>
      </c>
      <c r="C33" s="27">
        <v>0</v>
      </c>
      <c r="D33" s="28" t="s">
        <v>1185</v>
      </c>
      <c r="E33" s="27">
        <v>1</v>
      </c>
      <c r="F33" s="27">
        <f t="shared" si="5"/>
        <v>0</v>
      </c>
      <c r="G33" s="27"/>
      <c r="H33" s="27">
        <v>95000</v>
      </c>
      <c r="I33" s="27">
        <v>0</v>
      </c>
      <c r="J33" s="27">
        <f t="shared" si="2"/>
        <v>0</v>
      </c>
      <c r="K33" s="27">
        <f t="shared" si="3"/>
        <v>0</v>
      </c>
      <c r="L33" s="27">
        <f t="shared" si="4"/>
        <v>0</v>
      </c>
      <c r="M33" s="33">
        <f>+SUM(J33:L33)</f>
        <v>0</v>
      </c>
    </row>
    <row r="34" spans="2:13" x14ac:dyDescent="0.1">
      <c r="B34" s="35" t="s">
        <v>1195</v>
      </c>
      <c r="C34" s="27">
        <v>0</v>
      </c>
      <c r="D34" s="28" t="s">
        <v>1185</v>
      </c>
      <c r="E34" s="27">
        <v>1</v>
      </c>
      <c r="F34" s="27">
        <f t="shared" si="5"/>
        <v>0</v>
      </c>
      <c r="G34" s="27"/>
      <c r="H34" s="27">
        <f>+(1500*tc)</f>
        <v>0</v>
      </c>
      <c r="I34" s="27">
        <v>0</v>
      </c>
      <c r="J34" s="27">
        <f t="shared" si="2"/>
        <v>0</v>
      </c>
      <c r="K34" s="27">
        <f t="shared" si="3"/>
        <v>0</v>
      </c>
      <c r="L34" s="27">
        <f t="shared" si="4"/>
        <v>0</v>
      </c>
      <c r="M34" s="33">
        <f>+SUM(J34:L34)</f>
        <v>0</v>
      </c>
    </row>
    <row r="35" spans="2:13" x14ac:dyDescent="0.1">
      <c r="B35" s="26" t="s">
        <v>1196</v>
      </c>
      <c r="C35" s="27">
        <v>0</v>
      </c>
      <c r="D35" s="28" t="s">
        <v>1185</v>
      </c>
      <c r="E35" s="27">
        <v>0</v>
      </c>
      <c r="F35" s="27">
        <f>(C35*E35/100)+C35</f>
        <v>0</v>
      </c>
      <c r="G35" s="27"/>
      <c r="H35" s="27"/>
      <c r="I35" s="27">
        <v>45000</v>
      </c>
      <c r="J35" s="27">
        <f t="shared" si="2"/>
        <v>0</v>
      </c>
      <c r="K35" s="27">
        <f t="shared" si="3"/>
        <v>0</v>
      </c>
      <c r="L35" s="27">
        <f t="shared" si="4"/>
        <v>0</v>
      </c>
      <c r="M35" s="33">
        <f t="shared" si="1"/>
        <v>0</v>
      </c>
    </row>
    <row r="36" spans="2:13" x14ac:dyDescent="0.1">
      <c r="B36" s="26" t="s">
        <v>1197</v>
      </c>
      <c r="C36" s="27">
        <v>0</v>
      </c>
      <c r="D36" s="28" t="s">
        <v>1185</v>
      </c>
      <c r="E36" s="27">
        <v>0</v>
      </c>
      <c r="F36" s="27">
        <f>(C36*E36/100)+C36</f>
        <v>0</v>
      </c>
      <c r="G36" s="27"/>
      <c r="H36" s="27"/>
      <c r="I36" s="27">
        <v>45000</v>
      </c>
      <c r="J36" s="27">
        <f t="shared" si="2"/>
        <v>0</v>
      </c>
      <c r="K36" s="27">
        <f t="shared" si="3"/>
        <v>0</v>
      </c>
      <c r="L36" s="27">
        <f t="shared" si="4"/>
        <v>0</v>
      </c>
      <c r="M36" s="33">
        <f t="shared" si="1"/>
        <v>0</v>
      </c>
    </row>
    <row r="37" spans="2:13" x14ac:dyDescent="0.1">
      <c r="B37" s="26" t="s">
        <v>1198</v>
      </c>
      <c r="C37" s="27">
        <v>0</v>
      </c>
      <c r="D37" s="28" t="s">
        <v>1142</v>
      </c>
      <c r="E37" s="27">
        <v>0</v>
      </c>
      <c r="F37" s="27">
        <f>(C37*E37/100)+C37</f>
        <v>0</v>
      </c>
      <c r="G37" s="27"/>
      <c r="H37" s="27"/>
      <c r="I37" s="27">
        <v>150000</v>
      </c>
      <c r="J37" s="27">
        <f t="shared" si="2"/>
        <v>0</v>
      </c>
      <c r="K37" s="27">
        <f t="shared" si="3"/>
        <v>0</v>
      </c>
      <c r="L37" s="27">
        <f t="shared" si="4"/>
        <v>0</v>
      </c>
      <c r="M37" s="33">
        <f>+SUM(J37:L37)</f>
        <v>0</v>
      </c>
    </row>
    <row r="38" spans="2:13" x14ac:dyDescent="0.1">
      <c r="B38" s="22" t="s">
        <v>1199</v>
      </c>
      <c r="C38" s="23"/>
      <c r="D38" s="24"/>
      <c r="E38" s="23"/>
      <c r="F38" s="23"/>
      <c r="G38" s="23"/>
      <c r="H38" s="23"/>
      <c r="I38" s="23"/>
      <c r="J38" s="23"/>
      <c r="K38" s="23"/>
      <c r="L38" s="23"/>
      <c r="M38" s="16"/>
    </row>
    <row r="39" spans="2:13" x14ac:dyDescent="0.1">
      <c r="B39" s="26" t="s">
        <v>1200</v>
      </c>
      <c r="C39" s="27">
        <v>0</v>
      </c>
      <c r="D39" s="28" t="s">
        <v>1143</v>
      </c>
      <c r="E39" s="27">
        <v>0</v>
      </c>
      <c r="F39" s="27">
        <v>1</v>
      </c>
      <c r="G39" s="27"/>
      <c r="H39" s="27"/>
      <c r="I39" s="27">
        <v>1000</v>
      </c>
      <c r="J39" s="27">
        <f t="shared" ref="J39:J44" si="6">+C39*G39</f>
        <v>0</v>
      </c>
      <c r="K39" s="27">
        <f t="shared" ref="K39:K44" si="7">+C39*H39</f>
        <v>0</v>
      </c>
      <c r="L39" s="27">
        <f t="shared" ref="L39:L44" si="8">+C39*I39</f>
        <v>0</v>
      </c>
      <c r="M39" s="33">
        <f t="shared" ref="M39:M44" si="9">+SUM(J39:L39)</f>
        <v>0</v>
      </c>
    </row>
    <row r="40" spans="2:13" x14ac:dyDescent="0.1">
      <c r="B40" s="26" t="s">
        <v>1201</v>
      </c>
      <c r="C40" s="27">
        <v>0</v>
      </c>
      <c r="D40" s="28" t="s">
        <v>1185</v>
      </c>
      <c r="E40" s="27">
        <v>0</v>
      </c>
      <c r="F40" s="27">
        <f>(C40*E40/100)+C40</f>
        <v>0</v>
      </c>
      <c r="G40" s="27"/>
      <c r="H40" s="27"/>
      <c r="I40" s="27">
        <v>350000</v>
      </c>
      <c r="J40" s="27">
        <f t="shared" si="6"/>
        <v>0</v>
      </c>
      <c r="K40" s="27">
        <f t="shared" si="7"/>
        <v>0</v>
      </c>
      <c r="L40" s="27">
        <f t="shared" si="8"/>
        <v>0</v>
      </c>
      <c r="M40" s="33">
        <f t="shared" si="9"/>
        <v>0</v>
      </c>
    </row>
    <row r="41" spans="2:13" x14ac:dyDescent="0.1">
      <c r="B41" s="26" t="s">
        <v>1202</v>
      </c>
      <c r="C41" s="27">
        <v>0</v>
      </c>
      <c r="D41" s="28" t="s">
        <v>1185</v>
      </c>
      <c r="E41" s="27">
        <v>0</v>
      </c>
      <c r="F41" s="27">
        <f>(C41*E41/100)+C41</f>
        <v>0</v>
      </c>
      <c r="G41" s="27"/>
      <c r="H41" s="27"/>
      <c r="I41" s="27">
        <v>85000</v>
      </c>
      <c r="J41" s="27">
        <f t="shared" si="6"/>
        <v>0</v>
      </c>
      <c r="K41" s="27">
        <f t="shared" si="7"/>
        <v>0</v>
      </c>
      <c r="L41" s="27">
        <f t="shared" si="8"/>
        <v>0</v>
      </c>
      <c r="M41" s="33">
        <f t="shared" si="9"/>
        <v>0</v>
      </c>
    </row>
    <row r="42" spans="2:13" x14ac:dyDescent="0.1">
      <c r="B42" s="26" t="s">
        <v>1203</v>
      </c>
      <c r="C42" s="27">
        <v>0</v>
      </c>
      <c r="D42" s="28" t="s">
        <v>1204</v>
      </c>
      <c r="E42" s="27">
        <v>0</v>
      </c>
      <c r="F42" s="27">
        <f>(C42*E42/100)+C42</f>
        <v>0</v>
      </c>
      <c r="G42" s="27"/>
      <c r="H42" s="27"/>
      <c r="I42" s="27">
        <v>100000</v>
      </c>
      <c r="J42" s="27">
        <f t="shared" si="6"/>
        <v>0</v>
      </c>
      <c r="K42" s="27">
        <f t="shared" si="7"/>
        <v>0</v>
      </c>
      <c r="L42" s="27">
        <f t="shared" si="8"/>
        <v>0</v>
      </c>
      <c r="M42" s="33">
        <f t="shared" si="9"/>
        <v>0</v>
      </c>
    </row>
    <row r="43" spans="2:13" x14ac:dyDescent="0.1">
      <c r="B43" s="26" t="s">
        <v>1205</v>
      </c>
      <c r="C43" s="27">
        <v>0</v>
      </c>
      <c r="D43" s="28" t="s">
        <v>1206</v>
      </c>
      <c r="E43" s="27">
        <v>0</v>
      </c>
      <c r="F43" s="27">
        <f>(C43*E43/100)+C43</f>
        <v>0</v>
      </c>
      <c r="G43" s="27"/>
      <c r="H43" s="27"/>
      <c r="I43" s="27">
        <v>0</v>
      </c>
      <c r="J43" s="27">
        <f t="shared" si="6"/>
        <v>0</v>
      </c>
      <c r="K43" s="27">
        <f t="shared" si="7"/>
        <v>0</v>
      </c>
      <c r="L43" s="27">
        <f t="shared" si="8"/>
        <v>0</v>
      </c>
      <c r="M43" s="33">
        <f t="shared" si="9"/>
        <v>0</v>
      </c>
    </row>
    <row r="44" spans="2:13" x14ac:dyDescent="0.1">
      <c r="B44" s="26" t="s">
        <v>1207</v>
      </c>
      <c r="C44" s="27">
        <v>0</v>
      </c>
      <c r="D44" s="28" t="s">
        <v>1143</v>
      </c>
      <c r="E44" s="27">
        <v>0</v>
      </c>
      <c r="F44" s="27">
        <f>(C44*E44/100)+C44</f>
        <v>0</v>
      </c>
      <c r="G44" s="27"/>
      <c r="H44" s="27"/>
      <c r="I44" s="27">
        <v>25000</v>
      </c>
      <c r="J44" s="27">
        <f t="shared" si="6"/>
        <v>0</v>
      </c>
      <c r="K44" s="27">
        <f t="shared" si="7"/>
        <v>0</v>
      </c>
      <c r="L44" s="27">
        <f t="shared" si="8"/>
        <v>0</v>
      </c>
      <c r="M44" s="33">
        <f t="shared" si="9"/>
        <v>0</v>
      </c>
    </row>
    <row r="45" spans="2:13" x14ac:dyDescent="0.1">
      <c r="B45" s="22" t="s">
        <v>1208</v>
      </c>
      <c r="C45" s="23"/>
      <c r="D45" s="24"/>
      <c r="E45" s="23"/>
      <c r="F45" s="23"/>
      <c r="G45" s="23"/>
      <c r="H45" s="23"/>
      <c r="I45" s="23"/>
      <c r="J45" s="23"/>
      <c r="K45" s="23"/>
      <c r="L45" s="23"/>
      <c r="M45" s="16"/>
    </row>
    <row r="46" spans="2:13" x14ac:dyDescent="0.1">
      <c r="B46" s="26" t="s">
        <v>1209</v>
      </c>
      <c r="C46" s="27">
        <v>0</v>
      </c>
      <c r="D46" s="28" t="s">
        <v>1204</v>
      </c>
      <c r="E46" s="27">
        <v>0</v>
      </c>
      <c r="F46" s="27">
        <f t="shared" ref="F46:F51" si="10">(C46*E46/100)+C46</f>
        <v>0</v>
      </c>
      <c r="G46" s="27">
        <v>10000</v>
      </c>
      <c r="H46" s="27">
        <v>25000</v>
      </c>
      <c r="I46" s="27"/>
      <c r="J46" s="27">
        <f t="shared" ref="J46:J52" si="11">+C46*G46</f>
        <v>0</v>
      </c>
      <c r="K46" s="27">
        <f t="shared" ref="K46:K52" si="12">+C46*H46</f>
        <v>0</v>
      </c>
      <c r="L46" s="27">
        <f t="shared" ref="L46:L52" si="13">+C46*I46</f>
        <v>0</v>
      </c>
      <c r="M46" s="33">
        <f t="shared" ref="M46:M51" si="14">+SUM(J46:L46)</f>
        <v>0</v>
      </c>
    </row>
    <row r="47" spans="2:13" x14ac:dyDescent="0.1">
      <c r="B47" s="26" t="s">
        <v>1210</v>
      </c>
      <c r="C47" s="27">
        <v>0</v>
      </c>
      <c r="D47" s="28" t="s">
        <v>1204</v>
      </c>
      <c r="E47" s="27">
        <v>0</v>
      </c>
      <c r="F47" s="27">
        <f t="shared" si="10"/>
        <v>0</v>
      </c>
      <c r="G47" s="27">
        <v>30000</v>
      </c>
      <c r="H47" s="27">
        <v>20000</v>
      </c>
      <c r="I47" s="27"/>
      <c r="J47" s="27">
        <f t="shared" si="11"/>
        <v>0</v>
      </c>
      <c r="K47" s="27">
        <f t="shared" si="12"/>
        <v>0</v>
      </c>
      <c r="L47" s="27">
        <f t="shared" si="13"/>
        <v>0</v>
      </c>
      <c r="M47" s="33">
        <f t="shared" si="14"/>
        <v>0</v>
      </c>
    </row>
    <row r="48" spans="2:13" x14ac:dyDescent="0.1">
      <c r="B48" s="26" t="s">
        <v>1211</v>
      </c>
      <c r="C48" s="27">
        <v>0</v>
      </c>
      <c r="D48" s="28" t="s">
        <v>1204</v>
      </c>
      <c r="E48" s="27">
        <v>0</v>
      </c>
      <c r="F48" s="27">
        <f t="shared" si="10"/>
        <v>0</v>
      </c>
      <c r="G48" s="27">
        <v>70000</v>
      </c>
      <c r="H48" s="27">
        <v>30000</v>
      </c>
      <c r="I48" s="27"/>
      <c r="J48" s="27">
        <f t="shared" si="11"/>
        <v>0</v>
      </c>
      <c r="K48" s="27">
        <f t="shared" si="12"/>
        <v>0</v>
      </c>
      <c r="L48" s="27">
        <f t="shared" si="13"/>
        <v>0</v>
      </c>
      <c r="M48" s="33">
        <f t="shared" si="14"/>
        <v>0</v>
      </c>
    </row>
    <row r="49" spans="2:13" x14ac:dyDescent="0.1">
      <c r="B49" s="26" t="s">
        <v>1212</v>
      </c>
      <c r="C49" s="27">
        <v>0</v>
      </c>
      <c r="D49" s="28" t="s">
        <v>1204</v>
      </c>
      <c r="E49" s="27">
        <v>0</v>
      </c>
      <c r="F49" s="27">
        <f t="shared" si="10"/>
        <v>0</v>
      </c>
      <c r="G49" s="27">
        <v>100000</v>
      </c>
      <c r="H49" s="27">
        <v>50000</v>
      </c>
      <c r="I49" s="27"/>
      <c r="J49" s="27">
        <f t="shared" si="11"/>
        <v>0</v>
      </c>
      <c r="K49" s="27">
        <f t="shared" si="12"/>
        <v>0</v>
      </c>
      <c r="L49" s="27">
        <f t="shared" si="13"/>
        <v>0</v>
      </c>
      <c r="M49" s="33">
        <f t="shared" si="14"/>
        <v>0</v>
      </c>
    </row>
    <row r="50" spans="2:13" x14ac:dyDescent="0.1">
      <c r="B50" s="26" t="s">
        <v>1213</v>
      </c>
      <c r="C50" s="27">
        <v>0</v>
      </c>
      <c r="D50" s="28" t="s">
        <v>1204</v>
      </c>
      <c r="E50" s="27">
        <v>0</v>
      </c>
      <c r="F50" s="27">
        <f t="shared" si="10"/>
        <v>0</v>
      </c>
      <c r="G50" s="27">
        <v>400000</v>
      </c>
      <c r="H50" s="27">
        <v>25000</v>
      </c>
      <c r="I50" s="27"/>
      <c r="J50" s="27">
        <f t="shared" si="11"/>
        <v>0</v>
      </c>
      <c r="K50" s="27">
        <f t="shared" si="12"/>
        <v>0</v>
      </c>
      <c r="L50" s="27">
        <f t="shared" si="13"/>
        <v>0</v>
      </c>
      <c r="M50" s="33">
        <f t="shared" si="14"/>
        <v>0</v>
      </c>
    </row>
    <row r="51" spans="2:13" x14ac:dyDescent="0.1">
      <c r="B51" s="26" t="s">
        <v>1214</v>
      </c>
      <c r="C51" s="27">
        <v>0</v>
      </c>
      <c r="D51" s="28" t="s">
        <v>1204</v>
      </c>
      <c r="E51" s="27">
        <v>0</v>
      </c>
      <c r="F51" s="27">
        <f t="shared" si="10"/>
        <v>0</v>
      </c>
      <c r="G51" s="27">
        <v>0</v>
      </c>
      <c r="H51" s="27">
        <v>0</v>
      </c>
      <c r="I51" s="27">
        <v>175000</v>
      </c>
      <c r="J51" s="27">
        <f t="shared" si="11"/>
        <v>0</v>
      </c>
      <c r="K51" s="27">
        <f t="shared" si="12"/>
        <v>0</v>
      </c>
      <c r="L51" s="27">
        <f t="shared" si="13"/>
        <v>0</v>
      </c>
      <c r="M51" s="33">
        <f t="shared" si="14"/>
        <v>0</v>
      </c>
    </row>
    <row r="52" spans="2:13" x14ac:dyDescent="0.1">
      <c r="B52" s="26" t="s">
        <v>1215</v>
      </c>
      <c r="C52" s="27">
        <v>0</v>
      </c>
      <c r="D52" s="28" t="s">
        <v>1185</v>
      </c>
      <c r="E52" s="27">
        <v>0</v>
      </c>
      <c r="F52" s="27">
        <f>(C52*E52/100)+C52</f>
        <v>0</v>
      </c>
      <c r="G52" s="27">
        <v>0</v>
      </c>
      <c r="H52" s="27">
        <v>0</v>
      </c>
      <c r="I52" s="27">
        <v>175000</v>
      </c>
      <c r="J52" s="27">
        <f t="shared" si="11"/>
        <v>0</v>
      </c>
      <c r="K52" s="27">
        <f t="shared" si="12"/>
        <v>0</v>
      </c>
      <c r="L52" s="27">
        <f t="shared" si="13"/>
        <v>0</v>
      </c>
      <c r="M52" s="33">
        <f>+SUM(J52:L52)</f>
        <v>0</v>
      </c>
    </row>
    <row r="53" spans="2:13" x14ac:dyDescent="0.1">
      <c r="B53" s="22" t="s">
        <v>1216</v>
      </c>
      <c r="C53" s="23"/>
      <c r="D53" s="24"/>
      <c r="E53" s="23"/>
      <c r="F53" s="23"/>
      <c r="G53" s="23"/>
      <c r="H53" s="23"/>
      <c r="I53" s="23"/>
      <c r="J53" s="23"/>
      <c r="K53" s="23"/>
      <c r="L53" s="23"/>
      <c r="M53" s="16"/>
    </row>
    <row r="54" spans="2:13" x14ac:dyDescent="0.1">
      <c r="B54" s="26" t="s">
        <v>1217</v>
      </c>
      <c r="C54" s="27">
        <v>0</v>
      </c>
      <c r="D54" s="28" t="s">
        <v>1185</v>
      </c>
      <c r="E54" s="27">
        <v>0</v>
      </c>
      <c r="F54" s="27">
        <v>1</v>
      </c>
      <c r="G54" s="27">
        <f>30*10*610</f>
        <v>183000</v>
      </c>
      <c r="H54" s="27"/>
      <c r="I54" s="27"/>
      <c r="J54" s="27">
        <f t="shared" ref="J54:J75" si="15">+C54*G54</f>
        <v>0</v>
      </c>
      <c r="K54" s="27">
        <f t="shared" ref="K54:K75" si="16">+C54*H54</f>
        <v>0</v>
      </c>
      <c r="L54" s="27">
        <f t="shared" ref="L54:L75" si="17">+C54*I54</f>
        <v>0</v>
      </c>
      <c r="M54" s="33">
        <f>+SUM(J54:L54)</f>
        <v>0</v>
      </c>
    </row>
    <row r="55" spans="2:13" x14ac:dyDescent="0.1">
      <c r="B55" s="26" t="s">
        <v>1218</v>
      </c>
      <c r="C55" s="27">
        <v>0</v>
      </c>
      <c r="D55" s="28" t="s">
        <v>1185</v>
      </c>
      <c r="E55" s="27">
        <v>0</v>
      </c>
      <c r="F55" s="27">
        <v>1</v>
      </c>
      <c r="G55" s="27">
        <v>250000</v>
      </c>
      <c r="H55" s="27"/>
      <c r="I55" s="27"/>
      <c r="J55" s="27">
        <f t="shared" si="15"/>
        <v>0</v>
      </c>
      <c r="K55" s="27">
        <f t="shared" si="16"/>
        <v>0</v>
      </c>
      <c r="L55" s="27">
        <f t="shared" si="17"/>
        <v>0</v>
      </c>
      <c r="M55" s="33">
        <f>+SUM(J55:L55)</f>
        <v>0</v>
      </c>
    </row>
    <row r="56" spans="2:13" x14ac:dyDescent="0.1">
      <c r="B56" s="26" t="s">
        <v>1219</v>
      </c>
      <c r="C56" s="27">
        <v>0</v>
      </c>
      <c r="D56" s="28" t="s">
        <v>1220</v>
      </c>
      <c r="E56" s="27">
        <v>0</v>
      </c>
      <c r="F56" s="27">
        <v>1</v>
      </c>
      <c r="G56" s="27">
        <v>300000</v>
      </c>
      <c r="H56" s="27"/>
      <c r="I56" s="27"/>
      <c r="J56" s="27">
        <f t="shared" si="15"/>
        <v>0</v>
      </c>
      <c r="K56" s="27">
        <f t="shared" si="16"/>
        <v>0</v>
      </c>
      <c r="L56" s="27">
        <f t="shared" si="17"/>
        <v>0</v>
      </c>
      <c r="M56" s="33">
        <f>+SUM(J56:L56)</f>
        <v>0</v>
      </c>
    </row>
    <row r="57" spans="2:13" x14ac:dyDescent="0.1">
      <c r="B57" s="26" t="s">
        <v>1221</v>
      </c>
      <c r="C57" s="27">
        <v>0</v>
      </c>
      <c r="D57" s="28" t="s">
        <v>1185</v>
      </c>
      <c r="E57" s="27">
        <v>0</v>
      </c>
      <c r="F57" s="27">
        <v>1</v>
      </c>
      <c r="G57" s="27">
        <v>150000</v>
      </c>
      <c r="H57" s="27"/>
      <c r="I57" s="27"/>
      <c r="J57" s="27">
        <f t="shared" si="15"/>
        <v>0</v>
      </c>
      <c r="K57" s="27">
        <f t="shared" si="16"/>
        <v>0</v>
      </c>
      <c r="L57" s="27">
        <f t="shared" si="17"/>
        <v>0</v>
      </c>
      <c r="M57" s="33">
        <f t="shared" ref="M57:M75" si="18">+SUM(J57:L57)</f>
        <v>0</v>
      </c>
    </row>
    <row r="58" spans="2:13" x14ac:dyDescent="0.1">
      <c r="B58" s="26" t="s">
        <v>1222</v>
      </c>
      <c r="C58" s="27">
        <v>0</v>
      </c>
      <c r="D58" s="28" t="s">
        <v>1167</v>
      </c>
      <c r="E58" s="27">
        <v>0</v>
      </c>
      <c r="F58" s="27">
        <f>+C58</f>
        <v>0</v>
      </c>
      <c r="G58" s="27">
        <v>1800</v>
      </c>
      <c r="H58" s="27"/>
      <c r="I58" s="27"/>
      <c r="J58" s="27">
        <f t="shared" si="15"/>
        <v>0</v>
      </c>
      <c r="K58" s="27">
        <f t="shared" si="16"/>
        <v>0</v>
      </c>
      <c r="L58" s="27">
        <f t="shared" si="17"/>
        <v>0</v>
      </c>
      <c r="M58" s="33">
        <f t="shared" si="18"/>
        <v>0</v>
      </c>
    </row>
    <row r="59" spans="2:13" x14ac:dyDescent="0.1">
      <c r="B59" s="26" t="s">
        <v>1223</v>
      </c>
      <c r="C59" s="27">
        <v>0</v>
      </c>
      <c r="D59" s="28" t="s">
        <v>1167</v>
      </c>
      <c r="E59" s="27">
        <v>0</v>
      </c>
      <c r="F59" s="27">
        <f t="shared" ref="F59:F64" si="19">+C59</f>
        <v>0</v>
      </c>
      <c r="G59" s="27">
        <v>1650</v>
      </c>
      <c r="H59" s="27"/>
      <c r="I59" s="27"/>
      <c r="J59" s="27">
        <f t="shared" si="15"/>
        <v>0</v>
      </c>
      <c r="K59" s="27">
        <f t="shared" si="16"/>
        <v>0</v>
      </c>
      <c r="L59" s="27">
        <f t="shared" si="17"/>
        <v>0</v>
      </c>
      <c r="M59" s="33">
        <f>+SUM(J59:L59)</f>
        <v>0</v>
      </c>
    </row>
    <row r="60" spans="2:13" x14ac:dyDescent="0.1">
      <c r="B60" s="26" t="s">
        <v>1224</v>
      </c>
      <c r="C60" s="27">
        <v>0</v>
      </c>
      <c r="D60" s="28" t="s">
        <v>1167</v>
      </c>
      <c r="E60" s="27">
        <v>0</v>
      </c>
      <c r="F60" s="27">
        <f t="shared" si="19"/>
        <v>0</v>
      </c>
      <c r="G60" s="27">
        <v>526</v>
      </c>
      <c r="H60" s="27"/>
      <c r="I60" s="27"/>
      <c r="J60" s="27">
        <f t="shared" si="15"/>
        <v>0</v>
      </c>
      <c r="K60" s="27">
        <f t="shared" si="16"/>
        <v>0</v>
      </c>
      <c r="L60" s="27">
        <f t="shared" si="17"/>
        <v>0</v>
      </c>
      <c r="M60" s="33">
        <f>+SUM(J60:L60)</f>
        <v>0</v>
      </c>
    </row>
    <row r="61" spans="2:13" x14ac:dyDescent="0.1">
      <c r="B61" s="26" t="s">
        <v>1225</v>
      </c>
      <c r="C61" s="27">
        <v>0</v>
      </c>
      <c r="D61" s="28" t="s">
        <v>1167</v>
      </c>
      <c r="E61" s="27">
        <v>0</v>
      </c>
      <c r="F61" s="27">
        <f t="shared" si="19"/>
        <v>0</v>
      </c>
      <c r="G61" s="27">
        <v>330</v>
      </c>
      <c r="H61" s="27"/>
      <c r="I61" s="27"/>
      <c r="J61" s="27">
        <f t="shared" si="15"/>
        <v>0</v>
      </c>
      <c r="K61" s="27">
        <f t="shared" si="16"/>
        <v>0</v>
      </c>
      <c r="L61" s="27">
        <f t="shared" si="17"/>
        <v>0</v>
      </c>
      <c r="M61" s="33">
        <f t="shared" si="18"/>
        <v>0</v>
      </c>
    </row>
    <row r="62" spans="2:13" x14ac:dyDescent="0.1">
      <c r="B62" s="27" t="s">
        <v>1226</v>
      </c>
      <c r="C62" s="27">
        <v>0</v>
      </c>
      <c r="D62" s="28" t="s">
        <v>1167</v>
      </c>
      <c r="E62" s="27">
        <v>0</v>
      </c>
      <c r="F62" s="27">
        <f t="shared" si="19"/>
        <v>0</v>
      </c>
      <c r="G62" s="27">
        <v>2250</v>
      </c>
      <c r="H62" s="27"/>
      <c r="I62" s="27"/>
      <c r="J62" s="27">
        <f t="shared" si="15"/>
        <v>0</v>
      </c>
      <c r="K62" s="27">
        <f t="shared" si="16"/>
        <v>0</v>
      </c>
      <c r="L62" s="27">
        <f t="shared" si="17"/>
        <v>0</v>
      </c>
      <c r="M62" s="33">
        <f t="shared" si="18"/>
        <v>0</v>
      </c>
    </row>
    <row r="63" spans="2:13" x14ac:dyDescent="0.1">
      <c r="B63" s="27" t="s">
        <v>1227</v>
      </c>
      <c r="C63" s="27">
        <v>0</v>
      </c>
      <c r="D63" s="28" t="s">
        <v>1228</v>
      </c>
      <c r="E63" s="27">
        <v>0</v>
      </c>
      <c r="F63" s="27">
        <f t="shared" si="19"/>
        <v>0</v>
      </c>
      <c r="G63" s="27">
        <v>5378</v>
      </c>
      <c r="H63" s="27"/>
      <c r="I63" s="27"/>
      <c r="J63" s="27">
        <f t="shared" si="15"/>
        <v>0</v>
      </c>
      <c r="K63" s="27">
        <f t="shared" si="16"/>
        <v>0</v>
      </c>
      <c r="L63" s="27">
        <f t="shared" si="17"/>
        <v>0</v>
      </c>
      <c r="M63" s="33">
        <f t="shared" si="18"/>
        <v>0</v>
      </c>
    </row>
    <row r="64" spans="2:13" x14ac:dyDescent="0.1">
      <c r="B64" s="27" t="s">
        <v>1229</v>
      </c>
      <c r="C64" s="27">
        <f>+C59</f>
        <v>0</v>
      </c>
      <c r="D64" s="28" t="s">
        <v>1167</v>
      </c>
      <c r="E64" s="27">
        <v>0</v>
      </c>
      <c r="F64" s="27">
        <f t="shared" si="19"/>
        <v>0</v>
      </c>
      <c r="G64" s="27">
        <v>8500</v>
      </c>
      <c r="H64" s="27"/>
      <c r="I64" s="27"/>
      <c r="J64" s="27">
        <f t="shared" si="15"/>
        <v>0</v>
      </c>
      <c r="K64" s="27">
        <f t="shared" si="16"/>
        <v>0</v>
      </c>
      <c r="L64" s="27">
        <f t="shared" si="17"/>
        <v>0</v>
      </c>
      <c r="M64" s="33">
        <f>+SUM(J64:L64)</f>
        <v>0</v>
      </c>
    </row>
    <row r="65" spans="2:13" x14ac:dyDescent="0.1">
      <c r="B65" s="27" t="s">
        <v>1230</v>
      </c>
      <c r="C65" s="27">
        <v>0</v>
      </c>
      <c r="D65" s="28" t="s">
        <v>1167</v>
      </c>
      <c r="E65" s="27">
        <v>0</v>
      </c>
      <c r="F65" s="27">
        <f t="shared" ref="F65:F75" si="20">(C65*E65/100)+C65</f>
        <v>0</v>
      </c>
      <c r="G65" s="27">
        <v>5000</v>
      </c>
      <c r="H65" s="27"/>
      <c r="I65" s="27"/>
      <c r="J65" s="27">
        <f t="shared" si="15"/>
        <v>0</v>
      </c>
      <c r="K65" s="27">
        <f t="shared" si="16"/>
        <v>0</v>
      </c>
      <c r="L65" s="27">
        <f t="shared" si="17"/>
        <v>0</v>
      </c>
      <c r="M65" s="33">
        <f t="shared" si="18"/>
        <v>0</v>
      </c>
    </row>
    <row r="66" spans="2:13" x14ac:dyDescent="0.1">
      <c r="B66" s="26" t="s">
        <v>1231</v>
      </c>
      <c r="C66" s="27">
        <v>0</v>
      </c>
      <c r="D66" s="28" t="s">
        <v>1167</v>
      </c>
      <c r="E66" s="27">
        <v>0</v>
      </c>
      <c r="F66" s="27">
        <f t="shared" si="20"/>
        <v>0</v>
      </c>
      <c r="G66" s="27">
        <v>29500</v>
      </c>
      <c r="H66" s="27"/>
      <c r="I66" s="27"/>
      <c r="J66" s="27">
        <f t="shared" si="15"/>
        <v>0</v>
      </c>
      <c r="K66" s="27">
        <f t="shared" si="16"/>
        <v>0</v>
      </c>
      <c r="L66" s="27">
        <f t="shared" si="17"/>
        <v>0</v>
      </c>
      <c r="M66" s="33">
        <f t="shared" si="18"/>
        <v>0</v>
      </c>
    </row>
    <row r="67" spans="2:13" x14ac:dyDescent="0.1">
      <c r="B67" s="26" t="s">
        <v>1232</v>
      </c>
      <c r="C67" s="27">
        <v>0</v>
      </c>
      <c r="D67" s="28" t="s">
        <v>1167</v>
      </c>
      <c r="E67" s="27">
        <v>0</v>
      </c>
      <c r="F67" s="27">
        <f t="shared" si="20"/>
        <v>0</v>
      </c>
      <c r="G67" s="27">
        <v>2100</v>
      </c>
      <c r="H67" s="27"/>
      <c r="I67" s="27"/>
      <c r="J67" s="27">
        <f t="shared" si="15"/>
        <v>0</v>
      </c>
      <c r="K67" s="27">
        <f t="shared" si="16"/>
        <v>0</v>
      </c>
      <c r="L67" s="27">
        <f t="shared" si="17"/>
        <v>0</v>
      </c>
      <c r="M67" s="33">
        <f t="shared" si="18"/>
        <v>0</v>
      </c>
    </row>
    <row r="68" spans="2:13" x14ac:dyDescent="0.1">
      <c r="B68" s="26" t="s">
        <v>1233</v>
      </c>
      <c r="C68" s="27">
        <v>0</v>
      </c>
      <c r="D68" s="28" t="s">
        <v>1167</v>
      </c>
      <c r="E68" s="27">
        <v>0</v>
      </c>
      <c r="F68" s="27">
        <f t="shared" si="20"/>
        <v>0</v>
      </c>
      <c r="G68" s="27">
        <v>4827</v>
      </c>
      <c r="H68" s="27"/>
      <c r="I68" s="27"/>
      <c r="J68" s="27">
        <f t="shared" si="15"/>
        <v>0</v>
      </c>
      <c r="K68" s="27">
        <f t="shared" si="16"/>
        <v>0</v>
      </c>
      <c r="L68" s="27">
        <f t="shared" si="17"/>
        <v>0</v>
      </c>
      <c r="M68" s="33">
        <f t="shared" si="18"/>
        <v>0</v>
      </c>
    </row>
    <row r="69" spans="2:13" x14ac:dyDescent="0.1">
      <c r="B69" s="26" t="s">
        <v>1234</v>
      </c>
      <c r="C69" s="27">
        <v>0</v>
      </c>
      <c r="D69" s="28" t="s">
        <v>1167</v>
      </c>
      <c r="E69" s="27">
        <v>0</v>
      </c>
      <c r="F69" s="27">
        <f t="shared" si="20"/>
        <v>0</v>
      </c>
      <c r="G69" s="27">
        <v>9930</v>
      </c>
      <c r="H69" s="27"/>
      <c r="I69" s="27"/>
      <c r="J69" s="27">
        <f t="shared" si="15"/>
        <v>0</v>
      </c>
      <c r="K69" s="27">
        <f t="shared" si="16"/>
        <v>0</v>
      </c>
      <c r="L69" s="27">
        <f t="shared" si="17"/>
        <v>0</v>
      </c>
      <c r="M69" s="33">
        <f t="shared" si="18"/>
        <v>0</v>
      </c>
    </row>
    <row r="70" spans="2:13" x14ac:dyDescent="0.1">
      <c r="B70" s="26" t="s">
        <v>1235</v>
      </c>
      <c r="C70" s="27">
        <v>0</v>
      </c>
      <c r="D70" s="28" t="s">
        <v>1167</v>
      </c>
      <c r="E70" s="27">
        <v>0</v>
      </c>
      <c r="F70" s="27">
        <v>0</v>
      </c>
      <c r="G70" s="27">
        <v>9380</v>
      </c>
      <c r="H70" s="27"/>
      <c r="I70" s="27"/>
      <c r="J70" s="27">
        <f t="shared" si="15"/>
        <v>0</v>
      </c>
      <c r="K70" s="27">
        <f t="shared" si="16"/>
        <v>0</v>
      </c>
      <c r="L70" s="27">
        <f t="shared" si="17"/>
        <v>0</v>
      </c>
      <c r="M70" s="33">
        <f t="shared" si="18"/>
        <v>0</v>
      </c>
    </row>
    <row r="71" spans="2:13" x14ac:dyDescent="0.1">
      <c r="B71" s="26" t="s">
        <v>1236</v>
      </c>
      <c r="C71" s="27">
        <v>0</v>
      </c>
      <c r="D71" s="28" t="s">
        <v>1167</v>
      </c>
      <c r="E71" s="27">
        <v>0</v>
      </c>
      <c r="F71" s="27">
        <v>0</v>
      </c>
      <c r="G71" s="27">
        <v>6891</v>
      </c>
      <c r="H71" s="27"/>
      <c r="I71" s="27"/>
      <c r="J71" s="27">
        <f t="shared" si="15"/>
        <v>0</v>
      </c>
      <c r="K71" s="27">
        <f t="shared" si="16"/>
        <v>0</v>
      </c>
      <c r="L71" s="27">
        <f t="shared" si="17"/>
        <v>0</v>
      </c>
      <c r="M71" s="33">
        <f t="shared" si="18"/>
        <v>0</v>
      </c>
    </row>
    <row r="72" spans="2:13" x14ac:dyDescent="0.1">
      <c r="B72" s="26" t="s">
        <v>1237</v>
      </c>
      <c r="C72" s="27">
        <v>0</v>
      </c>
      <c r="D72" s="28" t="s">
        <v>1167</v>
      </c>
      <c r="E72" s="27">
        <v>0</v>
      </c>
      <c r="F72" s="27">
        <v>0</v>
      </c>
      <c r="G72" s="27">
        <v>15400</v>
      </c>
      <c r="H72" s="27"/>
      <c r="I72" s="27"/>
      <c r="J72" s="27">
        <f t="shared" si="15"/>
        <v>0</v>
      </c>
      <c r="K72" s="27">
        <f t="shared" si="16"/>
        <v>0</v>
      </c>
      <c r="L72" s="27">
        <f t="shared" si="17"/>
        <v>0</v>
      </c>
      <c r="M72" s="33">
        <f t="shared" si="18"/>
        <v>0</v>
      </c>
    </row>
    <row r="73" spans="2:13" x14ac:dyDescent="0.1">
      <c r="B73" s="26" t="s">
        <v>1238</v>
      </c>
      <c r="C73" s="27">
        <v>0</v>
      </c>
      <c r="D73" s="28" t="s">
        <v>1185</v>
      </c>
      <c r="E73" s="27">
        <v>0</v>
      </c>
      <c r="F73" s="27">
        <v>0</v>
      </c>
      <c r="G73" s="27">
        <v>76650</v>
      </c>
      <c r="H73" s="27"/>
      <c r="I73" s="27"/>
      <c r="J73" s="27">
        <f t="shared" si="15"/>
        <v>0</v>
      </c>
      <c r="K73" s="27">
        <f t="shared" si="16"/>
        <v>0</v>
      </c>
      <c r="L73" s="27">
        <f t="shared" si="17"/>
        <v>0</v>
      </c>
      <c r="M73" s="33">
        <f t="shared" si="18"/>
        <v>0</v>
      </c>
    </row>
    <row r="74" spans="2:13" x14ac:dyDescent="0.1">
      <c r="B74" s="26" t="s">
        <v>1239</v>
      </c>
      <c r="C74" s="27">
        <v>0</v>
      </c>
      <c r="D74" s="28" t="str">
        <f>+D73</f>
        <v>mes</v>
      </c>
      <c r="E74" s="27">
        <v>0</v>
      </c>
      <c r="F74" s="27">
        <v>0</v>
      </c>
      <c r="G74" s="27">
        <v>65000</v>
      </c>
      <c r="H74" s="27"/>
      <c r="I74" s="27"/>
      <c r="J74" s="27">
        <f t="shared" si="15"/>
        <v>0</v>
      </c>
      <c r="K74" s="27">
        <f t="shared" si="16"/>
        <v>0</v>
      </c>
      <c r="L74" s="27">
        <f t="shared" si="17"/>
        <v>0</v>
      </c>
      <c r="M74" s="33">
        <f t="shared" si="18"/>
        <v>0</v>
      </c>
    </row>
    <row r="75" spans="2:13" x14ac:dyDescent="0.1">
      <c r="B75" s="26" t="s">
        <v>1240</v>
      </c>
      <c r="C75" s="27">
        <v>0</v>
      </c>
      <c r="D75" s="28" t="str">
        <f>+D74</f>
        <v>mes</v>
      </c>
      <c r="E75" s="27">
        <v>0</v>
      </c>
      <c r="F75" s="27">
        <f t="shared" si="20"/>
        <v>0</v>
      </c>
      <c r="G75" s="27">
        <v>160000</v>
      </c>
      <c r="H75" s="27"/>
      <c r="I75" s="27"/>
      <c r="J75" s="27">
        <f t="shared" si="15"/>
        <v>0</v>
      </c>
      <c r="K75" s="27">
        <f t="shared" si="16"/>
        <v>0</v>
      </c>
      <c r="L75" s="27">
        <f t="shared" si="17"/>
        <v>0</v>
      </c>
      <c r="M75" s="33">
        <f t="shared" si="18"/>
        <v>0</v>
      </c>
    </row>
    <row r="76" spans="2:13" x14ac:dyDescent="0.1">
      <c r="B76" s="22" t="s">
        <v>1241</v>
      </c>
      <c r="C76" s="23"/>
      <c r="D76" s="24"/>
      <c r="E76" s="23"/>
      <c r="F76" s="23"/>
      <c r="G76" s="23"/>
      <c r="H76" s="23"/>
      <c r="I76" s="23"/>
      <c r="J76" s="23"/>
      <c r="K76" s="23"/>
      <c r="L76" s="23"/>
      <c r="M76" s="16"/>
    </row>
    <row r="77" spans="2:13" x14ac:dyDescent="0.1">
      <c r="B77" s="26" t="s">
        <v>1242</v>
      </c>
      <c r="C77" s="27">
        <v>0</v>
      </c>
      <c r="D77" s="28" t="s">
        <v>1204</v>
      </c>
      <c r="E77" s="27">
        <v>0</v>
      </c>
      <c r="F77" s="27">
        <v>0</v>
      </c>
      <c r="G77" s="27"/>
      <c r="H77" s="27" t="e">
        <f>SUM(K12:K37)</f>
        <v>#REF!</v>
      </c>
      <c r="I77" s="27">
        <v>0</v>
      </c>
      <c r="J77" s="27">
        <f>+C77*G77</f>
        <v>0</v>
      </c>
      <c r="K77" s="27" t="e">
        <f>+C77*H77</f>
        <v>#REF!</v>
      </c>
      <c r="L77" s="27">
        <f>+C77*I77</f>
        <v>0</v>
      </c>
      <c r="M77" s="33" t="e">
        <f>+SUM(J77:L77)</f>
        <v>#REF!</v>
      </c>
    </row>
    <row r="78" spans="2:13" ht="56.25" x14ac:dyDescent="0.1">
      <c r="B78" s="36" t="s">
        <v>1243</v>
      </c>
      <c r="C78" s="27"/>
      <c r="D78" s="28"/>
      <c r="E78" s="27"/>
      <c r="F78" s="27"/>
      <c r="G78" s="27"/>
      <c r="H78" s="27"/>
      <c r="I78" s="27"/>
      <c r="J78" s="27"/>
      <c r="K78" s="27"/>
      <c r="L78" s="27"/>
      <c r="M78" s="33"/>
    </row>
    <row r="79" spans="2:13" ht="37.5" x14ac:dyDescent="0.1">
      <c r="B79" s="36" t="s">
        <v>1244</v>
      </c>
      <c r="C79" s="27"/>
      <c r="D79" s="28"/>
      <c r="E79" s="27"/>
      <c r="F79" s="27"/>
      <c r="G79" s="27"/>
      <c r="H79" s="27"/>
      <c r="I79" s="27"/>
      <c r="J79" s="27"/>
      <c r="K79" s="27"/>
      <c r="L79" s="27"/>
      <c r="M79" s="33"/>
    </row>
    <row r="80" spans="2:13" ht="28.5" x14ac:dyDescent="0.1">
      <c r="B80" s="36" t="s">
        <v>1245</v>
      </c>
      <c r="C80" s="27"/>
      <c r="D80" s="28"/>
      <c r="E80" s="27"/>
      <c r="F80" s="27"/>
      <c r="G80" s="27"/>
      <c r="H80" s="27"/>
      <c r="I80" s="27"/>
      <c r="J80" s="27"/>
      <c r="K80" s="27"/>
      <c r="L80" s="27"/>
      <c r="M80" s="33"/>
    </row>
    <row r="81" spans="2:13" ht="28.5" x14ac:dyDescent="0.1">
      <c r="B81" s="36" t="s">
        <v>1246</v>
      </c>
      <c r="C81" s="27"/>
      <c r="D81" s="28"/>
      <c r="E81" s="27"/>
      <c r="F81" s="27"/>
      <c r="G81" s="27"/>
      <c r="H81" s="27"/>
      <c r="I81" s="27"/>
      <c r="J81" s="27"/>
      <c r="K81" s="27"/>
      <c r="L81" s="27"/>
      <c r="M81" s="33"/>
    </row>
    <row r="82" spans="2:13" x14ac:dyDescent="0.1">
      <c r="B82" s="26" t="s">
        <v>1247</v>
      </c>
      <c r="C82" s="27">
        <v>0</v>
      </c>
      <c r="D82" s="28" t="s">
        <v>1204</v>
      </c>
      <c r="E82" s="27">
        <v>0</v>
      </c>
      <c r="F82" s="27">
        <v>1</v>
      </c>
      <c r="G82" s="27"/>
      <c r="H82" s="27"/>
      <c r="I82" s="27">
        <f>2160*C5</f>
        <v>0</v>
      </c>
      <c r="J82" s="27">
        <f>+C82*G82</f>
        <v>0</v>
      </c>
      <c r="K82" s="27">
        <f>+C82*H82</f>
        <v>0</v>
      </c>
      <c r="L82" s="27">
        <f>+C82*I82</f>
        <v>0</v>
      </c>
      <c r="M82" s="33">
        <f t="shared" ref="M82:M89" si="21">+SUM(J82:L82)</f>
        <v>0</v>
      </c>
    </row>
    <row r="83" spans="2:13" x14ac:dyDescent="0.1">
      <c r="B83" s="26" t="s">
        <v>1248</v>
      </c>
      <c r="C83" s="27">
        <v>0</v>
      </c>
      <c r="D83" s="28" t="s">
        <v>1204</v>
      </c>
      <c r="E83" s="27">
        <v>0</v>
      </c>
      <c r="F83" s="27">
        <v>1</v>
      </c>
      <c r="G83" s="27"/>
      <c r="H83" s="27"/>
      <c r="I83" s="27">
        <f>1645606094*0.25%</f>
        <v>4114015.2349999999</v>
      </c>
      <c r="J83" s="27">
        <f t="shared" ref="J83:J88" si="22">+C83*G83</f>
        <v>0</v>
      </c>
      <c r="K83" s="27">
        <f t="shared" ref="K83:K88" si="23">+C83*H83</f>
        <v>0</v>
      </c>
      <c r="L83" s="27">
        <f t="shared" ref="L83:L88" si="24">+C83*I83</f>
        <v>0</v>
      </c>
      <c r="M83" s="33">
        <f t="shared" si="21"/>
        <v>0</v>
      </c>
    </row>
    <row r="84" spans="2:13" x14ac:dyDescent="0.1">
      <c r="B84" s="26" t="s">
        <v>1249</v>
      </c>
      <c r="C84" s="27">
        <v>0</v>
      </c>
      <c r="D84" s="28" t="s">
        <v>1204</v>
      </c>
      <c r="E84" s="27">
        <v>0</v>
      </c>
      <c r="F84" s="37">
        <v>1</v>
      </c>
      <c r="G84" s="27"/>
      <c r="H84" s="27"/>
      <c r="I84" s="27">
        <v>250000</v>
      </c>
      <c r="J84" s="27">
        <f t="shared" si="22"/>
        <v>0</v>
      </c>
      <c r="K84" s="27">
        <f t="shared" si="23"/>
        <v>0</v>
      </c>
      <c r="L84" s="27">
        <f t="shared" si="24"/>
        <v>0</v>
      </c>
      <c r="M84" s="33">
        <f t="shared" si="21"/>
        <v>0</v>
      </c>
    </row>
    <row r="85" spans="2:13" x14ac:dyDescent="0.1">
      <c r="B85" s="26" t="s">
        <v>1250</v>
      </c>
      <c r="C85" s="27">
        <v>0</v>
      </c>
      <c r="D85" s="28" t="s">
        <v>1204</v>
      </c>
      <c r="E85" s="27">
        <v>0</v>
      </c>
      <c r="F85" s="37">
        <v>1</v>
      </c>
      <c r="G85" s="27"/>
      <c r="H85" s="27"/>
      <c r="I85" s="27">
        <f>133*1000*2</f>
        <v>266000</v>
      </c>
      <c r="J85" s="27">
        <f t="shared" si="22"/>
        <v>0</v>
      </c>
      <c r="K85" s="27">
        <f t="shared" si="23"/>
        <v>0</v>
      </c>
      <c r="L85" s="27">
        <f t="shared" si="24"/>
        <v>0</v>
      </c>
      <c r="M85" s="33">
        <f t="shared" si="21"/>
        <v>0</v>
      </c>
    </row>
    <row r="86" spans="2:13" x14ac:dyDescent="0.1">
      <c r="B86" s="26" t="s">
        <v>1251</v>
      </c>
      <c r="C86" s="27">
        <v>0</v>
      </c>
      <c r="D86" s="28" t="s">
        <v>1204</v>
      </c>
      <c r="E86" s="27">
        <v>0</v>
      </c>
      <c r="F86" s="27">
        <v>0.03</v>
      </c>
      <c r="G86" s="27"/>
      <c r="H86" s="27"/>
      <c r="I86" s="27">
        <f>+I85</f>
        <v>266000</v>
      </c>
      <c r="J86" s="27">
        <f t="shared" si="22"/>
        <v>0</v>
      </c>
      <c r="K86" s="27">
        <f t="shared" si="23"/>
        <v>0</v>
      </c>
      <c r="L86" s="27">
        <f t="shared" si="24"/>
        <v>0</v>
      </c>
      <c r="M86" s="33">
        <f t="shared" si="21"/>
        <v>0</v>
      </c>
    </row>
    <row r="87" spans="2:13" x14ac:dyDescent="0.1">
      <c r="B87" s="26" t="s">
        <v>1251</v>
      </c>
      <c r="C87" s="27">
        <v>0</v>
      </c>
      <c r="D87" s="28" t="s">
        <v>1204</v>
      </c>
      <c r="E87" s="27">
        <v>0</v>
      </c>
      <c r="F87" s="27">
        <v>0.03</v>
      </c>
      <c r="G87" s="27"/>
      <c r="H87" s="27"/>
      <c r="I87" s="27">
        <f>+I86</f>
        <v>266000</v>
      </c>
      <c r="J87" s="27">
        <f t="shared" si="22"/>
        <v>0</v>
      </c>
      <c r="K87" s="27">
        <f t="shared" si="23"/>
        <v>0</v>
      </c>
      <c r="L87" s="27">
        <f t="shared" si="24"/>
        <v>0</v>
      </c>
      <c r="M87" s="33">
        <f t="shared" si="21"/>
        <v>0</v>
      </c>
    </row>
    <row r="88" spans="2:13" x14ac:dyDescent="0.1">
      <c r="B88" s="26" t="s">
        <v>1252</v>
      </c>
      <c r="C88" s="27">
        <v>0</v>
      </c>
      <c r="D88" s="28" t="s">
        <v>1204</v>
      </c>
      <c r="E88" s="27">
        <v>0</v>
      </c>
      <c r="F88" s="38">
        <v>1.2500000000000001E-2</v>
      </c>
      <c r="G88" s="27"/>
      <c r="H88" s="27"/>
      <c r="I88" s="27">
        <f>+I87</f>
        <v>266000</v>
      </c>
      <c r="J88" s="27">
        <f t="shared" si="22"/>
        <v>0</v>
      </c>
      <c r="K88" s="27">
        <f t="shared" si="23"/>
        <v>0</v>
      </c>
      <c r="L88" s="27">
        <f t="shared" si="24"/>
        <v>0</v>
      </c>
      <c r="M88" s="33">
        <f t="shared" si="21"/>
        <v>0</v>
      </c>
    </row>
    <row r="89" spans="2:13" x14ac:dyDescent="0.1">
      <c r="B89" s="26" t="s">
        <v>1253</v>
      </c>
      <c r="C89" s="27">
        <v>0</v>
      </c>
      <c r="D89" s="28" t="s">
        <v>1204</v>
      </c>
      <c r="E89" s="27">
        <v>0</v>
      </c>
      <c r="F89" s="27">
        <f>0.37+0.08+0.08</f>
        <v>0.53</v>
      </c>
      <c r="G89" s="27"/>
      <c r="H89" s="27" t="e">
        <f>SUM(K12:K44)</f>
        <v>#REF!</v>
      </c>
      <c r="I89" s="27"/>
      <c r="J89" s="27">
        <f>+F89*G89</f>
        <v>0</v>
      </c>
      <c r="K89" s="27" t="e">
        <f>+F89*H89*C89</f>
        <v>#REF!</v>
      </c>
      <c r="L89" s="27">
        <f>+F89*I89</f>
        <v>0</v>
      </c>
      <c r="M89" s="33" t="e">
        <f t="shared" si="21"/>
        <v>#REF!</v>
      </c>
    </row>
    <row r="90" spans="2:13" x14ac:dyDescent="0.1">
      <c r="B90" s="30"/>
      <c r="C90" s="39"/>
      <c r="D90" s="24"/>
      <c r="E90" s="23"/>
      <c r="F90" s="23"/>
      <c r="G90" s="23"/>
      <c r="H90" s="23"/>
      <c r="I90" s="23"/>
      <c r="J90" s="23"/>
      <c r="K90" s="23"/>
      <c r="L90" s="23"/>
      <c r="M90" s="16"/>
    </row>
    <row r="91" spans="2:13" x14ac:dyDescent="0.1">
      <c r="B91" s="25"/>
      <c r="C91" s="23"/>
      <c r="D91" s="24"/>
      <c r="E91" s="23"/>
      <c r="F91" s="23"/>
      <c r="G91" s="25" t="s">
        <v>1254</v>
      </c>
      <c r="H91" s="23"/>
      <c r="I91" s="23"/>
      <c r="J91" s="232" t="e">
        <f>SUM(J10:J90)</f>
        <v>#REF!</v>
      </c>
      <c r="K91" s="232" t="e">
        <f>SUM(K10:K90)</f>
        <v>#REF!</v>
      </c>
      <c r="L91" s="232" t="e">
        <f>SUM(L10:L90)</f>
        <v>#REF!</v>
      </c>
      <c r="M91" s="232" t="e">
        <f>SUM(M11:M90)</f>
        <v>#REF!</v>
      </c>
    </row>
    <row r="92" spans="2:13" x14ac:dyDescent="0.1">
      <c r="B92" s="25"/>
      <c r="C92" s="23"/>
      <c r="D92" s="24"/>
      <c r="E92" s="23"/>
      <c r="F92" s="23"/>
      <c r="G92" s="25"/>
      <c r="H92" s="23"/>
      <c r="I92" s="23"/>
      <c r="J92" s="25"/>
      <c r="K92" s="25"/>
      <c r="L92" s="233" t="e">
        <f>+L91+K91+J91</f>
        <v>#REF!</v>
      </c>
      <c r="M92" s="234" t="e">
        <f>+L92/$C$5</f>
        <v>#REF!</v>
      </c>
    </row>
    <row r="93" spans="2:13" x14ac:dyDescent="0.1">
      <c r="B93" s="25"/>
      <c r="C93" s="23"/>
      <c r="D93" s="24"/>
      <c r="E93" s="23"/>
      <c r="F93" s="23"/>
      <c r="G93" s="25"/>
      <c r="H93" s="23"/>
      <c r="I93" s="23"/>
      <c r="J93" s="25"/>
      <c r="K93" s="25"/>
      <c r="L93" s="25"/>
      <c r="M93" s="16"/>
    </row>
    <row r="94" spans="2:13" x14ac:dyDescent="0.1">
      <c r="B94" s="25"/>
      <c r="C94" s="23"/>
      <c r="D94" s="24"/>
      <c r="E94" s="23"/>
      <c r="F94" s="24"/>
      <c r="G94" s="25" t="s">
        <v>1255</v>
      </c>
      <c r="H94" s="23"/>
      <c r="I94" s="23"/>
      <c r="J94" s="25"/>
      <c r="K94" s="40">
        <v>0</v>
      </c>
      <c r="L94" s="233" t="e">
        <f>+$L$92*K94</f>
        <v>#REF!</v>
      </c>
      <c r="M94" s="234" t="e">
        <f>+L94/$C$5</f>
        <v>#REF!</v>
      </c>
    </row>
    <row r="95" spans="2:13" x14ac:dyDescent="0.1">
      <c r="B95" s="25"/>
      <c r="C95" s="23"/>
      <c r="D95" s="24"/>
      <c r="E95" s="23"/>
      <c r="F95" s="23"/>
      <c r="G95" s="25" t="s">
        <v>1256</v>
      </c>
      <c r="H95" s="23"/>
      <c r="I95" s="23"/>
      <c r="J95" s="23"/>
      <c r="K95" s="40">
        <v>0</v>
      </c>
      <c r="L95" s="233" t="e">
        <f>+$L$92*K95</f>
        <v>#REF!</v>
      </c>
      <c r="M95" s="234" t="e">
        <f>+L95/$C$5</f>
        <v>#REF!</v>
      </c>
    </row>
    <row r="96" spans="2:13" x14ac:dyDescent="0.1">
      <c r="B96" s="25"/>
      <c r="C96" s="23"/>
      <c r="D96" s="24"/>
      <c r="E96" s="23"/>
      <c r="F96" s="23"/>
      <c r="G96" s="25" t="s">
        <v>1257</v>
      </c>
      <c r="H96" s="23"/>
      <c r="I96" s="23"/>
      <c r="J96" s="23"/>
      <c r="K96" s="40">
        <v>0</v>
      </c>
      <c r="L96" s="233" t="e">
        <f>+$L$92*K96</f>
        <v>#REF!</v>
      </c>
      <c r="M96" s="234" t="e">
        <f>+L96/$C$5</f>
        <v>#REF!</v>
      </c>
    </row>
    <row r="97" spans="7:14" x14ac:dyDescent="0.1">
      <c r="G97" s="25" t="s">
        <v>1258</v>
      </c>
      <c r="H97" s="23"/>
      <c r="I97" s="41"/>
      <c r="J97" s="23"/>
      <c r="K97" s="40">
        <v>0</v>
      </c>
      <c r="L97" s="233" t="e">
        <f>+$L$92*K97</f>
        <v>#REF!</v>
      </c>
      <c r="M97" s="234" t="e">
        <f>+L97/$C$5</f>
        <v>#REF!</v>
      </c>
      <c r="N97" s="1" t="e">
        <f>+L97/plazo</f>
        <v>#REF!</v>
      </c>
    </row>
    <row r="98" spans="7:14" x14ac:dyDescent="0.1">
      <c r="G98" s="25" t="s">
        <v>1259</v>
      </c>
      <c r="H98" s="23"/>
      <c r="I98" s="23"/>
      <c r="J98" s="23"/>
      <c r="K98" s="42">
        <v>0</v>
      </c>
      <c r="L98" s="233" t="e">
        <f>+$L$92*K98</f>
        <v>#REF!</v>
      </c>
      <c r="M98" s="234" t="e">
        <f>+L98/$C$5</f>
        <v>#REF!</v>
      </c>
    </row>
    <row r="99" spans="7:14" x14ac:dyDescent="0.1">
      <c r="G99" s="25"/>
      <c r="H99" s="23"/>
      <c r="I99" s="23"/>
      <c r="J99" s="23"/>
      <c r="K99" s="16"/>
      <c r="L99" s="43"/>
      <c r="M99" s="44"/>
    </row>
    <row r="100" spans="7:14" x14ac:dyDescent="0.1">
      <c r="G100" s="25" t="s">
        <v>1138</v>
      </c>
      <c r="H100" s="23"/>
      <c r="I100" s="23"/>
      <c r="J100" s="23"/>
      <c r="K100" s="23"/>
      <c r="L100" s="45" t="e">
        <f>+L94+L97+L92+L98+L96</f>
        <v>#REF!</v>
      </c>
      <c r="M100" s="46" t="e">
        <f>+L100/$C$5</f>
        <v>#REF!</v>
      </c>
      <c r="N100" s="47"/>
    </row>
    <row r="102" spans="7:14" x14ac:dyDescent="0.1">
      <c r="G102" s="25" t="s">
        <v>1260</v>
      </c>
      <c r="L102" s="45">
        <v>0</v>
      </c>
      <c r="M102" s="46" t="e">
        <f>+L102/$C$5</f>
        <v>#DIV/0!</v>
      </c>
    </row>
    <row r="104" spans="7:14" x14ac:dyDescent="0.1">
      <c r="G104" s="25" t="s">
        <v>1101</v>
      </c>
      <c r="L104" s="1" t="e">
        <f>+L100/M12</f>
        <v>#REF!</v>
      </c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B2:D19"/>
  <sheetViews>
    <sheetView workbookViewId="0"/>
  </sheetViews>
  <sheetFormatPr defaultColWidth="10.4921875" defaultRowHeight="15" x14ac:dyDescent="0.2"/>
  <cols>
    <col min="2" max="2" width="24.48046875" bestFit="1" customWidth="1"/>
    <col min="3" max="3" width="14.52734375" bestFit="1" customWidth="1"/>
  </cols>
  <sheetData>
    <row r="2" spans="2:4" x14ac:dyDescent="0.2">
      <c r="B2" s="50" t="s">
        <v>1261</v>
      </c>
    </row>
    <row r="3" spans="2:4" x14ac:dyDescent="0.2">
      <c r="B3" s="50"/>
    </row>
    <row r="4" spans="2:4" x14ac:dyDescent="0.2">
      <c r="B4" s="235" t="s">
        <v>1136</v>
      </c>
      <c r="C4" s="235" t="s">
        <v>1262</v>
      </c>
      <c r="D4" s="236" t="s">
        <v>1144</v>
      </c>
    </row>
    <row r="5" spans="2:4" x14ac:dyDescent="0.2">
      <c r="B5" s="223" t="s">
        <v>1263</v>
      </c>
      <c r="C5" s="221"/>
      <c r="D5" s="220"/>
    </row>
    <row r="6" spans="2:4" x14ac:dyDescent="0.2">
      <c r="B6" s="222" t="s">
        <v>1264</v>
      </c>
      <c r="C6" s="237">
        <v>808</v>
      </c>
      <c r="D6" s="220" t="s">
        <v>1265</v>
      </c>
    </row>
    <row r="7" spans="2:4" x14ac:dyDescent="0.2">
      <c r="B7" s="222" t="s">
        <v>1266</v>
      </c>
      <c r="C7" s="237">
        <v>2175.61</v>
      </c>
      <c r="D7" s="220" t="s">
        <v>1265</v>
      </c>
    </row>
    <row r="8" spans="2:4" x14ac:dyDescent="0.2">
      <c r="B8" s="222" t="s">
        <v>1267</v>
      </c>
      <c r="C8" s="237">
        <v>3859.12</v>
      </c>
      <c r="D8" s="220" t="s">
        <v>1265</v>
      </c>
    </row>
    <row r="9" spans="2:4" x14ac:dyDescent="0.2">
      <c r="B9" s="222" t="s">
        <v>1268</v>
      </c>
      <c r="C9" s="238">
        <v>6670</v>
      </c>
      <c r="D9" s="220" t="s">
        <v>1265</v>
      </c>
    </row>
    <row r="10" spans="2:4" x14ac:dyDescent="0.2">
      <c r="B10" s="223" t="s">
        <v>1269</v>
      </c>
      <c r="C10" s="238"/>
      <c r="D10" s="220"/>
    </row>
    <row r="11" spans="2:4" x14ac:dyDescent="0.2">
      <c r="B11" s="222" t="s">
        <v>1270</v>
      </c>
      <c r="C11" s="238">
        <f>+C6</f>
        <v>808</v>
      </c>
      <c r="D11" s="220" t="s">
        <v>1265</v>
      </c>
    </row>
    <row r="12" spans="2:4" x14ac:dyDescent="0.2">
      <c r="B12" s="222" t="s">
        <v>1271</v>
      </c>
      <c r="C12" s="237">
        <v>2175.61</v>
      </c>
      <c r="D12" s="220" t="s">
        <v>1265</v>
      </c>
    </row>
    <row r="13" spans="2:4" x14ac:dyDescent="0.2">
      <c r="B13" s="222" t="s">
        <v>1272</v>
      </c>
      <c r="C13" s="237">
        <v>3859.12</v>
      </c>
      <c r="D13" s="220" t="s">
        <v>1265</v>
      </c>
    </row>
    <row r="14" spans="2:4" x14ac:dyDescent="0.2">
      <c r="B14" s="222" t="s">
        <v>1273</v>
      </c>
      <c r="C14" s="238">
        <v>6740</v>
      </c>
      <c r="D14" s="220" t="s">
        <v>1265</v>
      </c>
    </row>
    <row r="15" spans="2:4" x14ac:dyDescent="0.2">
      <c r="B15" s="222" t="s">
        <v>1274</v>
      </c>
      <c r="C15" s="238">
        <v>9700</v>
      </c>
      <c r="D15" s="220" t="s">
        <v>1265</v>
      </c>
    </row>
    <row r="16" spans="2:4" x14ac:dyDescent="0.2">
      <c r="B16" s="222" t="s">
        <v>1275</v>
      </c>
      <c r="C16" s="238">
        <v>14100</v>
      </c>
      <c r="D16" s="220" t="s">
        <v>1265</v>
      </c>
    </row>
    <row r="17" spans="2:4" x14ac:dyDescent="0.2">
      <c r="B17" s="222" t="s">
        <v>1276</v>
      </c>
      <c r="C17" s="238">
        <v>18400</v>
      </c>
      <c r="D17" s="220" t="s">
        <v>1265</v>
      </c>
    </row>
    <row r="18" spans="2:4" x14ac:dyDescent="0.2">
      <c r="B18" s="222" t="s">
        <v>1277</v>
      </c>
      <c r="C18" s="238">
        <v>22000</v>
      </c>
      <c r="D18" s="220" t="s">
        <v>1265</v>
      </c>
    </row>
    <row r="19" spans="2:4" x14ac:dyDescent="0.2">
      <c r="B19" s="222" t="s">
        <v>1278</v>
      </c>
      <c r="C19" s="238">
        <v>0</v>
      </c>
      <c r="D19" s="220" t="s">
        <v>1265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49C6A-EE59-4FBA-AA6B-C21C0DA9C623}">
  <sheetPr codeName="Sheet5"/>
  <dimension ref="C2:P161"/>
  <sheetViews>
    <sheetView workbookViewId="0"/>
  </sheetViews>
  <sheetFormatPr defaultColWidth="9.55078125" defaultRowHeight="15" x14ac:dyDescent="0.2"/>
  <cols>
    <col min="3" max="3" width="54.48046875" bestFit="1" customWidth="1"/>
    <col min="4" max="4" width="6.45703125" customWidth="1"/>
    <col min="5" max="5" width="5.51171875" bestFit="1" customWidth="1"/>
    <col min="6" max="7" width="12.5078125" bestFit="1" customWidth="1"/>
    <col min="9" max="9" width="12.5078125" bestFit="1" customWidth="1"/>
    <col min="10" max="10" width="13.44921875" bestFit="1" customWidth="1"/>
    <col min="11" max="11" width="5.51171875" bestFit="1" customWidth="1"/>
    <col min="12" max="12" width="13.44921875" bestFit="1" customWidth="1"/>
    <col min="15" max="16" width="13.44921875" bestFit="1" customWidth="1"/>
  </cols>
  <sheetData>
    <row r="2" spans="3:16" x14ac:dyDescent="0.2">
      <c r="C2" s="51" t="s">
        <v>1279</v>
      </c>
      <c r="D2" s="52"/>
      <c r="E2" s="52"/>
      <c r="F2" s="53"/>
      <c r="G2" s="53"/>
      <c r="H2" s="53"/>
      <c r="I2" s="54"/>
      <c r="J2" s="55"/>
      <c r="K2" s="53"/>
      <c r="L2" s="53"/>
    </row>
    <row r="3" spans="3:16" x14ac:dyDescent="0.2">
      <c r="C3" s="56"/>
      <c r="D3" s="57"/>
      <c r="E3" s="57"/>
      <c r="F3" s="58"/>
      <c r="G3" s="58"/>
      <c r="H3" s="58"/>
      <c r="I3" s="59"/>
      <c r="J3" s="60"/>
      <c r="K3" s="58"/>
      <c r="L3" s="58"/>
    </row>
    <row r="4" spans="3:16" x14ac:dyDescent="0.2">
      <c r="C4" s="103" t="s">
        <v>863</v>
      </c>
      <c r="D4" s="225">
        <v>14</v>
      </c>
      <c r="E4" s="135" t="s">
        <v>1280</v>
      </c>
      <c r="F4" s="226"/>
      <c r="G4" s="239">
        <v>3985</v>
      </c>
      <c r="H4" s="226"/>
      <c r="I4" s="61">
        <f>F4*D4</f>
        <v>0</v>
      </c>
      <c r="J4" s="230">
        <f t="shared" ref="J4:J75" si="0">G4*D4</f>
        <v>55790</v>
      </c>
      <c r="K4" s="226">
        <f t="shared" ref="K4:K75" si="1">H4*D4</f>
        <v>0</v>
      </c>
      <c r="L4" s="226">
        <f t="shared" ref="L4:L75" si="2">K4+J4+I4</f>
        <v>55790</v>
      </c>
    </row>
    <row r="5" spans="3:16" x14ac:dyDescent="0.2">
      <c r="C5" s="103" t="s">
        <v>1123</v>
      </c>
      <c r="D5" s="225">
        <v>51</v>
      </c>
      <c r="E5" s="62" t="s">
        <v>1280</v>
      </c>
      <c r="F5" s="226"/>
      <c r="G5" s="226">
        <v>220</v>
      </c>
      <c r="H5" s="226"/>
      <c r="I5" s="230">
        <f t="shared" ref="I5:I63" si="3">F5*D5</f>
        <v>0</v>
      </c>
      <c r="J5" s="230">
        <f t="shared" si="0"/>
        <v>11220</v>
      </c>
      <c r="K5" s="226">
        <f t="shared" si="1"/>
        <v>0</v>
      </c>
      <c r="L5" s="226">
        <f t="shared" si="2"/>
        <v>11220</v>
      </c>
    </row>
    <row r="6" spans="3:16" x14ac:dyDescent="0.2">
      <c r="C6" s="103" t="s">
        <v>1121</v>
      </c>
      <c r="D6" s="225">
        <v>8</v>
      </c>
      <c r="E6" s="62" t="s">
        <v>1280</v>
      </c>
      <c r="F6" s="226"/>
      <c r="G6" s="226">
        <v>410</v>
      </c>
      <c r="H6" s="226"/>
      <c r="I6" s="230">
        <f t="shared" si="3"/>
        <v>0</v>
      </c>
      <c r="J6" s="230">
        <f t="shared" si="0"/>
        <v>3280</v>
      </c>
      <c r="K6" s="226">
        <f t="shared" si="1"/>
        <v>0</v>
      </c>
      <c r="L6" s="226">
        <f t="shared" si="2"/>
        <v>3280</v>
      </c>
    </row>
    <row r="7" spans="3:16" x14ac:dyDescent="0.2">
      <c r="C7" s="103" t="s">
        <v>1130</v>
      </c>
      <c r="D7" s="225">
        <v>20</v>
      </c>
      <c r="E7" s="62" t="s">
        <v>1280</v>
      </c>
      <c r="F7" s="226"/>
      <c r="G7" s="226">
        <v>230</v>
      </c>
      <c r="H7" s="226"/>
      <c r="I7" s="230">
        <f t="shared" si="3"/>
        <v>0</v>
      </c>
      <c r="J7" s="230">
        <f t="shared" si="0"/>
        <v>4600</v>
      </c>
      <c r="K7" s="226">
        <f t="shared" si="1"/>
        <v>0</v>
      </c>
      <c r="L7" s="226">
        <f t="shared" si="2"/>
        <v>4600</v>
      </c>
    </row>
    <row r="8" spans="3:16" x14ac:dyDescent="0.2">
      <c r="C8" s="103" t="s">
        <v>1281</v>
      </c>
      <c r="D8" s="225">
        <v>10</v>
      </c>
      <c r="E8" s="62" t="s">
        <v>1282</v>
      </c>
      <c r="F8" s="226"/>
      <c r="G8" s="226">
        <v>770</v>
      </c>
      <c r="H8" s="226"/>
      <c r="I8" s="230">
        <f t="shared" si="3"/>
        <v>0</v>
      </c>
      <c r="J8" s="230">
        <f t="shared" si="0"/>
        <v>7700</v>
      </c>
      <c r="K8" s="226">
        <f t="shared" si="1"/>
        <v>0</v>
      </c>
      <c r="L8" s="226">
        <f t="shared" si="2"/>
        <v>7700</v>
      </c>
    </row>
    <row r="9" spans="3:16" x14ac:dyDescent="0.2">
      <c r="C9" s="103" t="s">
        <v>1283</v>
      </c>
      <c r="D9" s="225">
        <v>10</v>
      </c>
      <c r="E9" s="62" t="s">
        <v>1280</v>
      </c>
      <c r="F9" s="226"/>
      <c r="G9" s="226">
        <v>140</v>
      </c>
      <c r="H9" s="226"/>
      <c r="I9" s="230">
        <f t="shared" si="3"/>
        <v>0</v>
      </c>
      <c r="J9" s="230">
        <f t="shared" si="0"/>
        <v>1400</v>
      </c>
      <c r="K9" s="226">
        <f t="shared" si="1"/>
        <v>0</v>
      </c>
      <c r="L9" s="226">
        <f t="shared" si="2"/>
        <v>1400</v>
      </c>
    </row>
    <row r="10" spans="3:16" x14ac:dyDescent="0.2">
      <c r="C10" s="103" t="s">
        <v>786</v>
      </c>
      <c r="D10" s="225">
        <v>30</v>
      </c>
      <c r="E10" s="62" t="s">
        <v>1280</v>
      </c>
      <c r="F10" s="226"/>
      <c r="G10" s="226">
        <v>160</v>
      </c>
      <c r="H10" s="226"/>
      <c r="I10" s="230">
        <f t="shared" si="3"/>
        <v>0</v>
      </c>
      <c r="J10" s="230">
        <f t="shared" si="0"/>
        <v>4800</v>
      </c>
      <c r="K10" s="226">
        <f t="shared" si="1"/>
        <v>0</v>
      </c>
      <c r="L10" s="226">
        <f t="shared" si="2"/>
        <v>4800</v>
      </c>
    </row>
    <row r="11" spans="3:16" x14ac:dyDescent="0.2">
      <c r="C11" s="103" t="s">
        <v>295</v>
      </c>
      <c r="D11" s="225">
        <v>39</v>
      </c>
      <c r="E11" s="62" t="s">
        <v>1280</v>
      </c>
      <c r="F11" s="226"/>
      <c r="G11" s="240">
        <v>1140</v>
      </c>
      <c r="H11" s="226"/>
      <c r="I11" s="230">
        <f t="shared" si="3"/>
        <v>0</v>
      </c>
      <c r="J11" s="230">
        <f t="shared" si="0"/>
        <v>44460</v>
      </c>
      <c r="K11" s="226">
        <f t="shared" si="1"/>
        <v>0</v>
      </c>
      <c r="L11" s="226">
        <f t="shared" si="2"/>
        <v>44460</v>
      </c>
    </row>
    <row r="12" spans="3:16" x14ac:dyDescent="0.2">
      <c r="C12" s="103" t="s">
        <v>874</v>
      </c>
      <c r="D12" s="225">
        <v>8</v>
      </c>
      <c r="E12" s="62" t="s">
        <v>1280</v>
      </c>
      <c r="F12" s="226"/>
      <c r="G12" s="240">
        <v>254</v>
      </c>
      <c r="H12" s="226"/>
      <c r="I12" s="230">
        <f t="shared" si="3"/>
        <v>0</v>
      </c>
      <c r="J12" s="230">
        <f t="shared" si="0"/>
        <v>2032</v>
      </c>
      <c r="K12" s="226">
        <f t="shared" si="1"/>
        <v>0</v>
      </c>
      <c r="L12" s="226">
        <f t="shared" si="2"/>
        <v>2032</v>
      </c>
    </row>
    <row r="13" spans="3:16" x14ac:dyDescent="0.2">
      <c r="C13" s="103" t="s">
        <v>860</v>
      </c>
      <c r="D13" s="225">
        <v>10</v>
      </c>
      <c r="E13" s="62" t="s">
        <v>1280</v>
      </c>
      <c r="F13" s="226"/>
      <c r="G13" s="240">
        <v>196</v>
      </c>
      <c r="H13" s="226"/>
      <c r="I13" s="230">
        <f t="shared" si="3"/>
        <v>0</v>
      </c>
      <c r="J13" s="230">
        <f t="shared" si="0"/>
        <v>1960</v>
      </c>
      <c r="K13" s="226">
        <f t="shared" si="1"/>
        <v>0</v>
      </c>
      <c r="L13" s="226">
        <f t="shared" si="2"/>
        <v>1960</v>
      </c>
    </row>
    <row r="14" spans="3:16" x14ac:dyDescent="0.2">
      <c r="C14" s="103" t="s">
        <v>896</v>
      </c>
      <c r="D14" s="225">
        <v>41</v>
      </c>
      <c r="E14" s="62" t="s">
        <v>1280</v>
      </c>
      <c r="F14" s="226"/>
      <c r="G14" s="239">
        <v>357.75</v>
      </c>
      <c r="H14" s="226"/>
      <c r="I14" s="230">
        <f t="shared" si="3"/>
        <v>0</v>
      </c>
      <c r="J14" s="230">
        <f t="shared" si="0"/>
        <v>14667.75</v>
      </c>
      <c r="K14" s="226">
        <f t="shared" si="1"/>
        <v>0</v>
      </c>
      <c r="L14" s="226">
        <f t="shared" si="2"/>
        <v>14667.75</v>
      </c>
    </row>
    <row r="15" spans="3:16" x14ac:dyDescent="0.2">
      <c r="C15" s="103" t="s">
        <v>1120</v>
      </c>
      <c r="D15" s="225">
        <v>18</v>
      </c>
      <c r="E15" s="62" t="s">
        <v>1280</v>
      </c>
      <c r="F15" s="226"/>
      <c r="G15" s="240">
        <v>824</v>
      </c>
      <c r="H15" s="226"/>
      <c r="I15" s="230">
        <f t="shared" si="3"/>
        <v>0</v>
      </c>
      <c r="J15" s="230">
        <f t="shared" si="0"/>
        <v>14832</v>
      </c>
      <c r="K15" s="226">
        <f t="shared" si="1"/>
        <v>0</v>
      </c>
      <c r="L15" s="226">
        <f t="shared" si="2"/>
        <v>14832</v>
      </c>
    </row>
    <row r="16" spans="3:16" x14ac:dyDescent="0.2">
      <c r="C16" s="103" t="s">
        <v>1129</v>
      </c>
      <c r="D16" s="225">
        <v>15</v>
      </c>
      <c r="E16" s="62" t="s">
        <v>1280</v>
      </c>
      <c r="F16" s="226"/>
      <c r="G16" s="240">
        <v>1350</v>
      </c>
      <c r="H16" s="226"/>
      <c r="I16" s="230">
        <f t="shared" si="3"/>
        <v>0</v>
      </c>
      <c r="J16" s="230">
        <f t="shared" si="0"/>
        <v>20250</v>
      </c>
      <c r="K16" s="226">
        <f t="shared" si="1"/>
        <v>0</v>
      </c>
      <c r="L16" s="226">
        <f t="shared" si="2"/>
        <v>20250</v>
      </c>
      <c r="O16" s="50" t="s">
        <v>1111</v>
      </c>
      <c r="P16" s="50" t="s">
        <v>1284</v>
      </c>
    </row>
    <row r="17" spans="3:16" x14ac:dyDescent="0.2">
      <c r="C17" s="103" t="s">
        <v>788</v>
      </c>
      <c r="D17" s="225">
        <v>24</v>
      </c>
      <c r="E17" s="62" t="s">
        <v>1280</v>
      </c>
      <c r="F17" s="226"/>
      <c r="G17" s="240">
        <v>1090</v>
      </c>
      <c r="H17" s="226"/>
      <c r="I17" s="230">
        <f t="shared" si="3"/>
        <v>0</v>
      </c>
      <c r="J17" s="230">
        <f t="shared" si="0"/>
        <v>26160</v>
      </c>
      <c r="K17" s="226">
        <f t="shared" si="1"/>
        <v>0</v>
      </c>
      <c r="L17" s="226">
        <f t="shared" si="2"/>
        <v>26160</v>
      </c>
      <c r="N17" t="s">
        <v>1102</v>
      </c>
      <c r="O17" s="81">
        <f>+J35+J64+J77</f>
        <v>1397182.9000000001</v>
      </c>
      <c r="P17" s="81">
        <f>+J115+J161</f>
        <v>1965430.3900000001</v>
      </c>
    </row>
    <row r="18" spans="3:16" x14ac:dyDescent="0.2">
      <c r="C18" s="103" t="s">
        <v>294</v>
      </c>
      <c r="D18" s="225">
        <v>24</v>
      </c>
      <c r="E18" s="62" t="s">
        <v>1280</v>
      </c>
      <c r="F18" s="226"/>
      <c r="G18" s="240">
        <v>809</v>
      </c>
      <c r="H18" s="226"/>
      <c r="I18" s="230">
        <f t="shared" si="3"/>
        <v>0</v>
      </c>
      <c r="J18" s="230">
        <f t="shared" si="0"/>
        <v>19416</v>
      </c>
      <c r="K18" s="226">
        <f t="shared" si="1"/>
        <v>0</v>
      </c>
      <c r="L18" s="226">
        <f t="shared" si="2"/>
        <v>19416</v>
      </c>
      <c r="N18" t="s">
        <v>1147</v>
      </c>
      <c r="O18" s="81">
        <f>+I35+I64+I77</f>
        <v>895000</v>
      </c>
      <c r="P18" s="81">
        <f>+I115+I161</f>
        <v>471000</v>
      </c>
    </row>
    <row r="19" spans="3:16" x14ac:dyDescent="0.2">
      <c r="C19" s="103" t="s">
        <v>1119</v>
      </c>
      <c r="D19" s="225">
        <v>5</v>
      </c>
      <c r="E19" s="62" t="s">
        <v>1280</v>
      </c>
      <c r="F19" s="226"/>
      <c r="G19" s="240">
        <v>880</v>
      </c>
      <c r="H19" s="226"/>
      <c r="I19" s="230">
        <f t="shared" si="3"/>
        <v>0</v>
      </c>
      <c r="J19" s="230">
        <f t="shared" si="0"/>
        <v>4400</v>
      </c>
      <c r="K19" s="226">
        <f t="shared" si="1"/>
        <v>0</v>
      </c>
      <c r="L19" s="226">
        <f t="shared" si="2"/>
        <v>4400</v>
      </c>
      <c r="O19" s="90">
        <f>SUM(O17:O18)</f>
        <v>2292182.9000000004</v>
      </c>
      <c r="P19" s="90">
        <f>SUM(P17:P18)</f>
        <v>2436430.39</v>
      </c>
    </row>
    <row r="20" spans="3:16" x14ac:dyDescent="0.2">
      <c r="C20" s="103" t="s">
        <v>873</v>
      </c>
      <c r="D20" s="225">
        <v>6</v>
      </c>
      <c r="E20" s="62" t="s">
        <v>1280</v>
      </c>
      <c r="F20" s="226"/>
      <c r="G20" s="240">
        <v>3534</v>
      </c>
      <c r="H20" s="226"/>
      <c r="I20" s="230">
        <f t="shared" si="3"/>
        <v>0</v>
      </c>
      <c r="J20" s="230">
        <f t="shared" si="0"/>
        <v>21204</v>
      </c>
      <c r="K20" s="226">
        <f t="shared" si="1"/>
        <v>0</v>
      </c>
      <c r="L20" s="226">
        <f t="shared" si="2"/>
        <v>21204</v>
      </c>
    </row>
    <row r="21" spans="3:16" x14ac:dyDescent="0.2">
      <c r="C21" s="103" t="s">
        <v>620</v>
      </c>
      <c r="D21" s="225">
        <v>6</v>
      </c>
      <c r="E21" s="62" t="s">
        <v>1280</v>
      </c>
      <c r="F21" s="226"/>
      <c r="G21" s="240">
        <v>595</v>
      </c>
      <c r="H21" s="226"/>
      <c r="I21" s="230">
        <f t="shared" si="3"/>
        <v>0</v>
      </c>
      <c r="J21" s="230">
        <f t="shared" si="0"/>
        <v>3570</v>
      </c>
      <c r="K21" s="226">
        <f t="shared" si="1"/>
        <v>0</v>
      </c>
      <c r="L21" s="226">
        <f t="shared" si="2"/>
        <v>3570</v>
      </c>
    </row>
    <row r="22" spans="3:16" x14ac:dyDescent="0.2">
      <c r="C22" s="103" t="s">
        <v>618</v>
      </c>
      <c r="D22" s="225">
        <v>2</v>
      </c>
      <c r="E22" s="62" t="s">
        <v>1280</v>
      </c>
      <c r="F22" s="226"/>
      <c r="G22" s="240">
        <v>2850.29</v>
      </c>
      <c r="H22" s="226"/>
      <c r="I22" s="230">
        <f t="shared" si="3"/>
        <v>0</v>
      </c>
      <c r="J22" s="230">
        <f t="shared" si="0"/>
        <v>5700.58</v>
      </c>
      <c r="K22" s="226">
        <f t="shared" si="1"/>
        <v>0</v>
      </c>
      <c r="L22" s="226">
        <f t="shared" si="2"/>
        <v>5700.58</v>
      </c>
    </row>
    <row r="23" spans="3:16" x14ac:dyDescent="0.2">
      <c r="C23" s="103" t="s">
        <v>538</v>
      </c>
      <c r="D23" s="225">
        <v>2</v>
      </c>
      <c r="E23" s="62" t="s">
        <v>1280</v>
      </c>
      <c r="F23" s="226"/>
      <c r="G23" s="240">
        <v>4656.7299999999996</v>
      </c>
      <c r="H23" s="226"/>
      <c r="I23" s="230">
        <f t="shared" si="3"/>
        <v>0</v>
      </c>
      <c r="J23" s="230">
        <f t="shared" si="0"/>
        <v>9313.4599999999991</v>
      </c>
      <c r="K23" s="226">
        <f t="shared" si="1"/>
        <v>0</v>
      </c>
      <c r="L23" s="226">
        <f t="shared" si="2"/>
        <v>9313.4599999999991</v>
      </c>
    </row>
    <row r="24" spans="3:16" x14ac:dyDescent="0.2">
      <c r="C24" s="103" t="s">
        <v>550</v>
      </c>
      <c r="D24" s="225">
        <v>1</v>
      </c>
      <c r="E24" s="62" t="s">
        <v>1280</v>
      </c>
      <c r="F24" s="226"/>
      <c r="G24" s="240">
        <v>34182.5</v>
      </c>
      <c r="H24" s="226"/>
      <c r="I24" s="230">
        <f t="shared" si="3"/>
        <v>0</v>
      </c>
      <c r="J24" s="230">
        <f t="shared" si="0"/>
        <v>34182.5</v>
      </c>
      <c r="K24" s="226">
        <f t="shared" si="1"/>
        <v>0</v>
      </c>
      <c r="L24" s="226">
        <f t="shared" si="2"/>
        <v>34182.5</v>
      </c>
    </row>
    <row r="25" spans="3:16" x14ac:dyDescent="0.2">
      <c r="C25" s="103" t="s">
        <v>662</v>
      </c>
      <c r="D25" s="225">
        <v>1</v>
      </c>
      <c r="E25" s="62" t="s">
        <v>1280</v>
      </c>
      <c r="F25" s="226"/>
      <c r="G25" s="240">
        <v>18180.150000000001</v>
      </c>
      <c r="H25" s="226"/>
      <c r="I25" s="230">
        <f t="shared" si="3"/>
        <v>0</v>
      </c>
      <c r="J25" s="230">
        <f t="shared" si="0"/>
        <v>18180.150000000001</v>
      </c>
      <c r="K25" s="226">
        <f t="shared" si="1"/>
        <v>0</v>
      </c>
      <c r="L25" s="226">
        <f t="shared" si="2"/>
        <v>18180.150000000001</v>
      </c>
    </row>
    <row r="26" spans="3:16" x14ac:dyDescent="0.2">
      <c r="C26" s="103" t="s">
        <v>417</v>
      </c>
      <c r="D26" s="225">
        <v>3</v>
      </c>
      <c r="E26" s="62" t="s">
        <v>1280</v>
      </c>
      <c r="F26" s="226"/>
      <c r="G26" s="240">
        <v>13601</v>
      </c>
      <c r="H26" s="226"/>
      <c r="I26" s="230">
        <f t="shared" si="3"/>
        <v>0</v>
      </c>
      <c r="J26" s="230">
        <f t="shared" si="0"/>
        <v>40803</v>
      </c>
      <c r="K26" s="226">
        <f t="shared" si="1"/>
        <v>0</v>
      </c>
      <c r="L26" s="226">
        <f t="shared" si="2"/>
        <v>40803</v>
      </c>
    </row>
    <row r="27" spans="3:16" x14ac:dyDescent="0.2">
      <c r="C27" s="103" t="s">
        <v>872</v>
      </c>
      <c r="D27" s="225">
        <v>6</v>
      </c>
      <c r="E27" s="62" t="s">
        <v>1280</v>
      </c>
      <c r="F27" s="226"/>
      <c r="G27" s="240">
        <v>383.57</v>
      </c>
      <c r="H27" s="226"/>
      <c r="I27" s="230">
        <f t="shared" si="3"/>
        <v>0</v>
      </c>
      <c r="J27" s="230">
        <f t="shared" si="0"/>
        <v>2301.42</v>
      </c>
      <c r="K27" s="226">
        <f t="shared" si="1"/>
        <v>0</v>
      </c>
      <c r="L27" s="226">
        <f t="shared" si="2"/>
        <v>2301.42</v>
      </c>
    </row>
    <row r="28" spans="3:16" x14ac:dyDescent="0.2">
      <c r="C28" s="103" t="s">
        <v>651</v>
      </c>
      <c r="D28" s="225">
        <v>5</v>
      </c>
      <c r="E28" s="62" t="s">
        <v>1280</v>
      </c>
      <c r="F28" s="226"/>
      <c r="G28" s="240">
        <v>481.26</v>
      </c>
      <c r="H28" s="226"/>
      <c r="I28" s="230">
        <f t="shared" si="3"/>
        <v>0</v>
      </c>
      <c r="J28" s="230">
        <f t="shared" si="0"/>
        <v>2406.3000000000002</v>
      </c>
      <c r="K28" s="226">
        <f t="shared" si="1"/>
        <v>0</v>
      </c>
      <c r="L28" s="226">
        <f t="shared" si="2"/>
        <v>2406.3000000000002</v>
      </c>
    </row>
    <row r="29" spans="3:16" x14ac:dyDescent="0.2">
      <c r="C29" s="103" t="s">
        <v>652</v>
      </c>
      <c r="D29" s="225">
        <v>15</v>
      </c>
      <c r="E29" s="62" t="s">
        <v>1280</v>
      </c>
      <c r="F29" s="226"/>
      <c r="G29" s="240">
        <v>282.26</v>
      </c>
      <c r="H29" s="226"/>
      <c r="I29" s="230">
        <f t="shared" si="3"/>
        <v>0</v>
      </c>
      <c r="J29" s="230">
        <f t="shared" si="0"/>
        <v>4233.8999999999996</v>
      </c>
      <c r="K29" s="226">
        <f t="shared" si="1"/>
        <v>0</v>
      </c>
      <c r="L29" s="226">
        <f t="shared" si="2"/>
        <v>4233.8999999999996</v>
      </c>
    </row>
    <row r="30" spans="3:16" x14ac:dyDescent="0.2">
      <c r="C30" s="103" t="s">
        <v>800</v>
      </c>
      <c r="D30" s="225">
        <v>2</v>
      </c>
      <c r="E30" s="62" t="s">
        <v>1280</v>
      </c>
      <c r="F30" s="226"/>
      <c r="G30" s="240">
        <v>302.20999999999998</v>
      </c>
      <c r="H30" s="226"/>
      <c r="I30" s="230">
        <f t="shared" si="3"/>
        <v>0</v>
      </c>
      <c r="J30" s="230">
        <f t="shared" si="0"/>
        <v>604.41999999999996</v>
      </c>
      <c r="K30" s="226">
        <f t="shared" si="1"/>
        <v>0</v>
      </c>
      <c r="L30" s="226">
        <f t="shared" si="2"/>
        <v>604.41999999999996</v>
      </c>
    </row>
    <row r="31" spans="3:16" x14ac:dyDescent="0.2">
      <c r="C31" s="103" t="s">
        <v>1112</v>
      </c>
      <c r="D31" s="135">
        <v>1</v>
      </c>
      <c r="E31" s="62" t="s">
        <v>1280</v>
      </c>
      <c r="F31" s="226">
        <v>25000</v>
      </c>
      <c r="G31" s="226"/>
      <c r="H31" s="226"/>
      <c r="I31" s="230">
        <f t="shared" si="3"/>
        <v>25000</v>
      </c>
      <c r="J31" s="230">
        <f t="shared" si="0"/>
        <v>0</v>
      </c>
      <c r="K31" s="226">
        <f t="shared" si="1"/>
        <v>0</v>
      </c>
      <c r="L31" s="226">
        <f t="shared" si="2"/>
        <v>25000</v>
      </c>
    </row>
    <row r="32" spans="3:16" x14ac:dyDescent="0.2">
      <c r="C32" s="103" t="s">
        <v>1285</v>
      </c>
      <c r="D32" s="135">
        <v>1</v>
      </c>
      <c r="E32" s="62" t="s">
        <v>1280</v>
      </c>
      <c r="F32" s="226">
        <v>198000</v>
      </c>
      <c r="G32" s="226"/>
      <c r="H32" s="226"/>
      <c r="I32" s="230">
        <f t="shared" si="3"/>
        <v>198000</v>
      </c>
      <c r="J32" s="230">
        <f t="shared" si="0"/>
        <v>0</v>
      </c>
      <c r="K32" s="226">
        <f t="shared" si="1"/>
        <v>0</v>
      </c>
      <c r="L32" s="226">
        <f t="shared" si="2"/>
        <v>198000</v>
      </c>
    </row>
    <row r="33" spans="3:12" x14ac:dyDescent="0.2">
      <c r="C33" s="103" t="s">
        <v>1286</v>
      </c>
      <c r="D33" s="135">
        <v>1</v>
      </c>
      <c r="E33" s="62" t="s">
        <v>1280</v>
      </c>
      <c r="F33" s="226">
        <v>27000</v>
      </c>
      <c r="G33" s="226"/>
      <c r="H33" s="226"/>
      <c r="I33" s="230">
        <f t="shared" si="3"/>
        <v>27000</v>
      </c>
      <c r="J33" s="230">
        <f t="shared" si="0"/>
        <v>0</v>
      </c>
      <c r="K33" s="226">
        <f t="shared" si="1"/>
        <v>0</v>
      </c>
      <c r="L33" s="226">
        <f t="shared" si="2"/>
        <v>27000</v>
      </c>
    </row>
    <row r="34" spans="3:12" ht="15.75" thickBot="1" x14ac:dyDescent="0.25">
      <c r="D34" s="63"/>
      <c r="E34" s="63"/>
      <c r="F34" s="64"/>
      <c r="G34" s="64"/>
      <c r="H34" s="64"/>
      <c r="I34" s="65">
        <f t="shared" si="3"/>
        <v>0</v>
      </c>
      <c r="J34" s="65">
        <f t="shared" si="0"/>
        <v>0</v>
      </c>
      <c r="K34" s="64">
        <f t="shared" si="1"/>
        <v>0</v>
      </c>
      <c r="L34" s="64">
        <f t="shared" si="2"/>
        <v>0</v>
      </c>
    </row>
    <row r="35" spans="3:12" ht="15.75" thickBot="1" x14ac:dyDescent="0.25">
      <c r="C35" s="66" t="s">
        <v>1287</v>
      </c>
      <c r="D35" s="67"/>
      <c r="E35" s="67"/>
      <c r="F35" s="68"/>
      <c r="G35" s="68"/>
      <c r="H35" s="68"/>
      <c r="I35" s="69">
        <f>SUM(I13:I34)</f>
        <v>250000</v>
      </c>
      <c r="J35" s="69">
        <f>SUM(J4:J30)</f>
        <v>379467.48000000004</v>
      </c>
      <c r="K35" s="68">
        <f t="shared" si="1"/>
        <v>0</v>
      </c>
      <c r="L35" s="68">
        <f>SUM(I35:K35)</f>
        <v>629467.48</v>
      </c>
    </row>
    <row r="36" spans="3:12" ht="15.75" thickBot="1" x14ac:dyDescent="0.25">
      <c r="D36" s="63"/>
      <c r="E36" s="63"/>
      <c r="F36" s="70"/>
      <c r="G36" s="70"/>
      <c r="H36" s="70"/>
      <c r="I36" s="71"/>
      <c r="J36" s="71"/>
      <c r="K36" s="70"/>
      <c r="L36" s="70"/>
    </row>
    <row r="37" spans="3:12" ht="15.75" thickBot="1" x14ac:dyDescent="0.25">
      <c r="C37" s="72" t="s">
        <v>1288</v>
      </c>
      <c r="D37" s="73"/>
      <c r="E37" s="73"/>
      <c r="F37" s="74"/>
      <c r="G37" s="74"/>
      <c r="H37" s="74"/>
      <c r="I37" s="75">
        <f t="shared" si="3"/>
        <v>0</v>
      </c>
      <c r="J37" s="75">
        <f t="shared" si="0"/>
        <v>0</v>
      </c>
      <c r="K37" s="74">
        <f t="shared" si="1"/>
        <v>0</v>
      </c>
      <c r="L37" s="74">
        <f t="shared" si="2"/>
        <v>0</v>
      </c>
    </row>
    <row r="38" spans="3:12" x14ac:dyDescent="0.2">
      <c r="D38" s="63"/>
      <c r="E38" s="63"/>
      <c r="F38" s="76"/>
      <c r="G38" s="76"/>
      <c r="H38" s="76"/>
      <c r="I38" s="77">
        <f t="shared" si="3"/>
        <v>0</v>
      </c>
      <c r="J38" s="77">
        <f t="shared" si="0"/>
        <v>0</v>
      </c>
      <c r="K38" s="76">
        <f t="shared" si="1"/>
        <v>0</v>
      </c>
      <c r="L38" s="76">
        <f t="shared" si="2"/>
        <v>0</v>
      </c>
    </row>
    <row r="39" spans="3:12" x14ac:dyDescent="0.2">
      <c r="C39" s="78" t="s">
        <v>919</v>
      </c>
      <c r="D39" s="79">
        <v>6</v>
      </c>
      <c r="E39" s="135" t="s">
        <v>1280</v>
      </c>
      <c r="F39" s="80"/>
      <c r="G39" s="76">
        <v>23000</v>
      </c>
      <c r="H39" s="226"/>
      <c r="I39" s="230">
        <f t="shared" si="3"/>
        <v>0</v>
      </c>
      <c r="J39" s="230">
        <f t="shared" si="0"/>
        <v>138000</v>
      </c>
      <c r="K39" s="226">
        <f t="shared" si="1"/>
        <v>0</v>
      </c>
      <c r="L39" s="226">
        <f t="shared" si="2"/>
        <v>138000</v>
      </c>
    </row>
    <row r="40" spans="3:12" x14ac:dyDescent="0.2">
      <c r="C40" s="103" t="s">
        <v>1125</v>
      </c>
      <c r="D40" s="135">
        <v>12</v>
      </c>
      <c r="E40" s="135" t="s">
        <v>1280</v>
      </c>
      <c r="F40" s="80"/>
      <c r="G40" s="226">
        <v>2780</v>
      </c>
      <c r="H40" s="226"/>
      <c r="I40" s="230">
        <f t="shared" si="3"/>
        <v>0</v>
      </c>
      <c r="J40" s="230">
        <f t="shared" si="0"/>
        <v>33360</v>
      </c>
      <c r="K40" s="226">
        <f t="shared" si="1"/>
        <v>0</v>
      </c>
      <c r="L40" s="226">
        <f t="shared" si="2"/>
        <v>33360</v>
      </c>
    </row>
    <row r="41" spans="3:12" x14ac:dyDescent="0.2">
      <c r="C41" s="103" t="s">
        <v>1122</v>
      </c>
      <c r="D41" s="225">
        <v>17</v>
      </c>
      <c r="E41" s="135" t="s">
        <v>1280</v>
      </c>
      <c r="F41" s="80"/>
      <c r="G41" s="240">
        <v>4501.05</v>
      </c>
      <c r="H41" s="226"/>
      <c r="I41" s="230">
        <f t="shared" si="3"/>
        <v>0</v>
      </c>
      <c r="J41" s="230">
        <f t="shared" si="0"/>
        <v>76517.850000000006</v>
      </c>
      <c r="K41" s="226">
        <f t="shared" si="1"/>
        <v>0</v>
      </c>
      <c r="L41" s="226">
        <f t="shared" si="2"/>
        <v>76517.850000000006</v>
      </c>
    </row>
    <row r="42" spans="3:12" x14ac:dyDescent="0.2">
      <c r="C42" s="103" t="s">
        <v>939</v>
      </c>
      <c r="D42" s="225">
        <v>7</v>
      </c>
      <c r="E42" s="135" t="s">
        <v>1280</v>
      </c>
      <c r="F42" s="80"/>
      <c r="G42" s="240">
        <v>3730</v>
      </c>
      <c r="H42" s="226"/>
      <c r="I42" s="230">
        <f t="shared" si="3"/>
        <v>0</v>
      </c>
      <c r="J42" s="230">
        <f t="shared" si="0"/>
        <v>26110</v>
      </c>
      <c r="K42" s="226">
        <f t="shared" si="1"/>
        <v>0</v>
      </c>
      <c r="L42" s="226">
        <f t="shared" si="2"/>
        <v>26110</v>
      </c>
    </row>
    <row r="43" spans="3:12" x14ac:dyDescent="0.2">
      <c r="C43" s="103" t="s">
        <v>787</v>
      </c>
      <c r="D43" s="225">
        <v>12</v>
      </c>
      <c r="E43" s="135" t="s">
        <v>1280</v>
      </c>
      <c r="F43" s="80"/>
      <c r="G43" s="240">
        <v>1881.75</v>
      </c>
      <c r="H43" s="226"/>
      <c r="I43" s="230">
        <f t="shared" si="3"/>
        <v>0</v>
      </c>
      <c r="J43" s="230">
        <f t="shared" si="0"/>
        <v>22581</v>
      </c>
      <c r="K43" s="226">
        <f t="shared" si="1"/>
        <v>0</v>
      </c>
      <c r="L43" s="226">
        <f t="shared" si="2"/>
        <v>22581</v>
      </c>
    </row>
    <row r="44" spans="3:12" x14ac:dyDescent="0.2">
      <c r="C44" s="103" t="s">
        <v>1133</v>
      </c>
      <c r="D44" s="225">
        <v>12</v>
      </c>
      <c r="E44" s="135" t="s">
        <v>1280</v>
      </c>
      <c r="F44" s="80"/>
      <c r="G44" s="240">
        <v>6962.48</v>
      </c>
      <c r="H44" s="226"/>
      <c r="I44" s="230">
        <f t="shared" si="3"/>
        <v>0</v>
      </c>
      <c r="J44" s="230">
        <f t="shared" si="0"/>
        <v>83549.759999999995</v>
      </c>
      <c r="K44" s="226">
        <f t="shared" si="1"/>
        <v>0</v>
      </c>
      <c r="L44" s="226">
        <f t="shared" si="2"/>
        <v>83549.759999999995</v>
      </c>
    </row>
    <row r="45" spans="3:12" x14ac:dyDescent="0.2">
      <c r="C45" s="103" t="s">
        <v>875</v>
      </c>
      <c r="D45" s="225">
        <v>12</v>
      </c>
      <c r="E45" s="135" t="s">
        <v>1280</v>
      </c>
      <c r="F45" s="80"/>
      <c r="G45" s="240">
        <v>3924</v>
      </c>
      <c r="H45" s="226"/>
      <c r="I45" s="230">
        <f t="shared" si="3"/>
        <v>0</v>
      </c>
      <c r="J45" s="230">
        <f t="shared" si="0"/>
        <v>47088</v>
      </c>
      <c r="K45" s="226">
        <f t="shared" si="1"/>
        <v>0</v>
      </c>
      <c r="L45" s="226">
        <f t="shared" si="2"/>
        <v>47088</v>
      </c>
    </row>
    <row r="46" spans="3:12" x14ac:dyDescent="0.2">
      <c r="C46" s="103" t="s">
        <v>1132</v>
      </c>
      <c r="D46" s="225">
        <v>9</v>
      </c>
      <c r="E46" s="135" t="s">
        <v>1280</v>
      </c>
      <c r="F46" s="80"/>
      <c r="G46" s="240">
        <v>5020</v>
      </c>
      <c r="H46" s="226"/>
      <c r="I46" s="230">
        <f t="shared" si="3"/>
        <v>0</v>
      </c>
      <c r="J46" s="230">
        <f t="shared" si="0"/>
        <v>45180</v>
      </c>
      <c r="K46" s="226">
        <f t="shared" si="1"/>
        <v>0</v>
      </c>
      <c r="L46" s="226">
        <f t="shared" si="2"/>
        <v>45180</v>
      </c>
    </row>
    <row r="47" spans="3:12" x14ac:dyDescent="0.2">
      <c r="C47" s="103" t="s">
        <v>1128</v>
      </c>
      <c r="D47" s="225">
        <v>9</v>
      </c>
      <c r="E47" s="135" t="s">
        <v>1280</v>
      </c>
      <c r="F47" s="80"/>
      <c r="G47" s="240">
        <v>6921</v>
      </c>
      <c r="H47" s="226"/>
      <c r="I47" s="230">
        <f t="shared" si="3"/>
        <v>0</v>
      </c>
      <c r="J47" s="230">
        <f t="shared" si="0"/>
        <v>62289</v>
      </c>
      <c r="K47" s="226">
        <f t="shared" si="1"/>
        <v>0</v>
      </c>
      <c r="L47" s="226">
        <f t="shared" si="2"/>
        <v>62289</v>
      </c>
    </row>
    <row r="48" spans="3:12" x14ac:dyDescent="0.2">
      <c r="C48" s="103" t="s">
        <v>1127</v>
      </c>
      <c r="D48" s="225">
        <v>7</v>
      </c>
      <c r="E48" s="135" t="s">
        <v>1280</v>
      </c>
      <c r="F48" s="80"/>
      <c r="G48" s="240">
        <v>6958</v>
      </c>
      <c r="H48" s="226"/>
      <c r="I48" s="230">
        <f t="shared" si="3"/>
        <v>0</v>
      </c>
      <c r="J48" s="230">
        <f t="shared" si="0"/>
        <v>48706</v>
      </c>
      <c r="K48" s="226">
        <f t="shared" si="1"/>
        <v>0</v>
      </c>
      <c r="L48" s="226">
        <f t="shared" si="2"/>
        <v>48706</v>
      </c>
    </row>
    <row r="49" spans="3:12" x14ac:dyDescent="0.2">
      <c r="C49" s="103" t="s">
        <v>1135</v>
      </c>
      <c r="D49" s="225">
        <v>6</v>
      </c>
      <c r="E49" s="135" t="s">
        <v>1280</v>
      </c>
      <c r="F49" s="80"/>
      <c r="G49" s="240">
        <v>4700</v>
      </c>
      <c r="H49" s="226"/>
      <c r="I49" s="230">
        <f t="shared" si="3"/>
        <v>0</v>
      </c>
      <c r="J49" s="230">
        <f t="shared" si="0"/>
        <v>28200</v>
      </c>
      <c r="K49" s="226">
        <f t="shared" si="1"/>
        <v>0</v>
      </c>
      <c r="L49" s="226">
        <f t="shared" si="2"/>
        <v>28200</v>
      </c>
    </row>
    <row r="50" spans="3:12" x14ac:dyDescent="0.2">
      <c r="C50" s="103" t="s">
        <v>1124</v>
      </c>
      <c r="D50" s="225">
        <v>14</v>
      </c>
      <c r="E50" s="135" t="s">
        <v>1280</v>
      </c>
      <c r="F50" s="80"/>
      <c r="G50" s="240">
        <v>1861</v>
      </c>
      <c r="H50" s="226"/>
      <c r="I50" s="230">
        <f t="shared" si="3"/>
        <v>0</v>
      </c>
      <c r="J50" s="230">
        <f t="shared" si="0"/>
        <v>26054</v>
      </c>
      <c r="K50" s="226">
        <f t="shared" si="1"/>
        <v>0</v>
      </c>
      <c r="L50" s="226">
        <f t="shared" si="2"/>
        <v>26054</v>
      </c>
    </row>
    <row r="51" spans="3:12" x14ac:dyDescent="0.2">
      <c r="C51" s="103" t="s">
        <v>895</v>
      </c>
      <c r="D51" s="225">
        <v>12</v>
      </c>
      <c r="E51" s="135" t="s">
        <v>1280</v>
      </c>
      <c r="F51" s="80"/>
      <c r="G51" s="240">
        <v>1703</v>
      </c>
      <c r="H51" s="226"/>
      <c r="I51" s="230">
        <f t="shared" si="3"/>
        <v>0</v>
      </c>
      <c r="J51" s="230">
        <f t="shared" si="0"/>
        <v>20436</v>
      </c>
      <c r="K51" s="226">
        <f t="shared" si="1"/>
        <v>0</v>
      </c>
      <c r="L51" s="226">
        <f t="shared" si="2"/>
        <v>20436</v>
      </c>
    </row>
    <row r="52" spans="3:12" x14ac:dyDescent="0.2">
      <c r="C52" s="103" t="s">
        <v>936</v>
      </c>
      <c r="D52" s="225">
        <v>3</v>
      </c>
      <c r="E52" s="135" t="s">
        <v>1280</v>
      </c>
      <c r="F52" s="80"/>
      <c r="G52" s="240">
        <v>1301</v>
      </c>
      <c r="H52" s="226"/>
      <c r="I52" s="230">
        <f t="shared" si="3"/>
        <v>0</v>
      </c>
      <c r="J52" s="230">
        <f t="shared" si="0"/>
        <v>3903</v>
      </c>
      <c r="K52" s="226">
        <f t="shared" si="1"/>
        <v>0</v>
      </c>
      <c r="L52" s="226">
        <f t="shared" si="2"/>
        <v>3903</v>
      </c>
    </row>
    <row r="53" spans="3:12" x14ac:dyDescent="0.2">
      <c r="C53" s="103" t="s">
        <v>1131</v>
      </c>
      <c r="D53" s="225">
        <v>3</v>
      </c>
      <c r="E53" s="135" t="s">
        <v>1280</v>
      </c>
      <c r="F53" s="80"/>
      <c r="G53" s="240">
        <v>6158</v>
      </c>
      <c r="H53" s="226"/>
      <c r="I53" s="230">
        <f t="shared" si="3"/>
        <v>0</v>
      </c>
      <c r="J53" s="230">
        <f t="shared" si="0"/>
        <v>18474</v>
      </c>
      <c r="K53" s="226">
        <f t="shared" si="1"/>
        <v>0</v>
      </c>
      <c r="L53" s="226">
        <f t="shared" si="2"/>
        <v>18474</v>
      </c>
    </row>
    <row r="54" spans="3:12" x14ac:dyDescent="0.2">
      <c r="C54" s="103" t="s">
        <v>1126</v>
      </c>
      <c r="D54" s="225">
        <v>6</v>
      </c>
      <c r="E54" s="135" t="s">
        <v>1280</v>
      </c>
      <c r="F54" s="80"/>
      <c r="G54" s="240">
        <v>3058</v>
      </c>
      <c r="H54" s="226"/>
      <c r="I54" s="230">
        <f t="shared" si="3"/>
        <v>0</v>
      </c>
      <c r="J54" s="230">
        <f t="shared" si="0"/>
        <v>18348</v>
      </c>
      <c r="K54" s="226">
        <f t="shared" si="1"/>
        <v>0</v>
      </c>
      <c r="L54" s="226">
        <f t="shared" si="2"/>
        <v>18348</v>
      </c>
    </row>
    <row r="55" spans="3:12" x14ac:dyDescent="0.2">
      <c r="C55" s="103" t="s">
        <v>1134</v>
      </c>
      <c r="D55" s="225">
        <v>3</v>
      </c>
      <c r="E55" s="135" t="s">
        <v>1280</v>
      </c>
      <c r="F55" s="80"/>
      <c r="G55" s="240">
        <v>5124</v>
      </c>
      <c r="H55" s="226"/>
      <c r="I55" s="230">
        <f t="shared" si="3"/>
        <v>0</v>
      </c>
      <c r="J55" s="230">
        <f t="shared" si="0"/>
        <v>15372</v>
      </c>
      <c r="K55" s="226">
        <f t="shared" si="1"/>
        <v>0</v>
      </c>
      <c r="L55" s="226">
        <f t="shared" si="2"/>
        <v>15372</v>
      </c>
    </row>
    <row r="56" spans="3:12" x14ac:dyDescent="0.2">
      <c r="C56" s="103" t="s">
        <v>785</v>
      </c>
      <c r="D56" s="225">
        <v>10</v>
      </c>
      <c r="E56" s="135" t="s">
        <v>1280</v>
      </c>
      <c r="F56" s="80"/>
      <c r="G56" s="240">
        <v>1273</v>
      </c>
      <c r="H56" s="226"/>
      <c r="I56" s="230">
        <f t="shared" si="3"/>
        <v>0</v>
      </c>
      <c r="J56" s="230">
        <f t="shared" si="0"/>
        <v>12730</v>
      </c>
      <c r="K56" s="226">
        <f t="shared" si="1"/>
        <v>0</v>
      </c>
      <c r="L56" s="226">
        <f t="shared" si="2"/>
        <v>12730</v>
      </c>
    </row>
    <row r="57" spans="3:12" x14ac:dyDescent="0.2">
      <c r="C57" s="103" t="s">
        <v>835</v>
      </c>
      <c r="D57" s="225">
        <v>1</v>
      </c>
      <c r="E57" s="135" t="s">
        <v>1280</v>
      </c>
      <c r="F57" s="80"/>
      <c r="G57" s="240">
        <v>10000</v>
      </c>
      <c r="H57" s="226"/>
      <c r="I57" s="230">
        <f t="shared" si="3"/>
        <v>0</v>
      </c>
      <c r="J57" s="230">
        <f t="shared" si="0"/>
        <v>10000</v>
      </c>
      <c r="K57" s="226">
        <f t="shared" si="1"/>
        <v>0</v>
      </c>
      <c r="L57" s="226">
        <f t="shared" si="2"/>
        <v>10000</v>
      </c>
    </row>
    <row r="58" spans="3:12" x14ac:dyDescent="0.2">
      <c r="C58" s="103" t="s">
        <v>742</v>
      </c>
      <c r="D58" s="225">
        <v>3</v>
      </c>
      <c r="E58" s="135" t="s">
        <v>1280</v>
      </c>
      <c r="F58" s="80"/>
      <c r="G58" s="240">
        <v>5500</v>
      </c>
      <c r="H58" s="226"/>
      <c r="I58" s="230">
        <f t="shared" si="3"/>
        <v>0</v>
      </c>
      <c r="J58" s="230">
        <f t="shared" si="0"/>
        <v>16500</v>
      </c>
      <c r="K58" s="226">
        <f t="shared" si="1"/>
        <v>0</v>
      </c>
      <c r="L58" s="226">
        <f t="shared" si="2"/>
        <v>16500</v>
      </c>
    </row>
    <row r="59" spans="3:12" x14ac:dyDescent="0.2">
      <c r="C59" s="103" t="s">
        <v>662</v>
      </c>
      <c r="D59" s="225">
        <v>1</v>
      </c>
      <c r="E59" s="135" t="s">
        <v>1280</v>
      </c>
      <c r="F59" s="80"/>
      <c r="G59" s="240">
        <v>13716.81</v>
      </c>
      <c r="H59" s="226"/>
      <c r="I59" s="230">
        <f t="shared" si="3"/>
        <v>0</v>
      </c>
      <c r="J59" s="230">
        <f t="shared" si="0"/>
        <v>13716.81</v>
      </c>
      <c r="K59" s="226">
        <f t="shared" si="1"/>
        <v>0</v>
      </c>
      <c r="L59" s="226">
        <f t="shared" si="2"/>
        <v>13716.81</v>
      </c>
    </row>
    <row r="60" spans="3:12" x14ac:dyDescent="0.2">
      <c r="C60" s="103" t="s">
        <v>1289</v>
      </c>
      <c r="D60" s="135">
        <v>1</v>
      </c>
      <c r="E60" s="135" t="s">
        <v>1290</v>
      </c>
      <c r="F60" s="80">
        <v>90000</v>
      </c>
      <c r="G60" s="226"/>
      <c r="H60" s="226"/>
      <c r="I60" s="230">
        <f t="shared" si="3"/>
        <v>90000</v>
      </c>
      <c r="J60" s="230">
        <f t="shared" si="0"/>
        <v>0</v>
      </c>
      <c r="K60" s="226">
        <f t="shared" si="1"/>
        <v>0</v>
      </c>
      <c r="L60" s="226">
        <f t="shared" si="2"/>
        <v>90000</v>
      </c>
    </row>
    <row r="61" spans="3:12" x14ac:dyDescent="0.2">
      <c r="C61" s="103" t="s">
        <v>1291</v>
      </c>
      <c r="D61" s="135">
        <v>1</v>
      </c>
      <c r="E61" s="135" t="s">
        <v>1290</v>
      </c>
      <c r="F61" s="80">
        <v>80600</v>
      </c>
      <c r="G61" s="226"/>
      <c r="H61" s="226"/>
      <c r="I61" s="230">
        <f t="shared" si="3"/>
        <v>80600</v>
      </c>
      <c r="J61" s="230">
        <f t="shared" si="0"/>
        <v>0</v>
      </c>
      <c r="K61" s="226">
        <f t="shared" si="1"/>
        <v>0</v>
      </c>
      <c r="L61" s="226">
        <f t="shared" si="2"/>
        <v>80600</v>
      </c>
    </row>
    <row r="62" spans="3:12" x14ac:dyDescent="0.2">
      <c r="C62" s="103" t="s">
        <v>1113</v>
      </c>
      <c r="D62" s="135">
        <v>1</v>
      </c>
      <c r="E62" s="135" t="s">
        <v>1290</v>
      </c>
      <c r="F62" s="226">
        <v>286250</v>
      </c>
      <c r="G62" s="226"/>
      <c r="H62" s="226"/>
      <c r="I62" s="230">
        <f t="shared" si="3"/>
        <v>286250</v>
      </c>
      <c r="J62" s="230">
        <f t="shared" si="0"/>
        <v>0</v>
      </c>
      <c r="K62" s="226">
        <f t="shared" si="1"/>
        <v>0</v>
      </c>
      <c r="L62" s="226">
        <f t="shared" si="2"/>
        <v>286250</v>
      </c>
    </row>
    <row r="63" spans="3:12" ht="15.75" thickBot="1" x14ac:dyDescent="0.25">
      <c r="D63" s="63"/>
      <c r="E63" s="63"/>
      <c r="F63" s="81"/>
      <c r="G63" s="81"/>
      <c r="H63" s="81"/>
      <c r="I63" s="65">
        <f t="shared" si="3"/>
        <v>0</v>
      </c>
      <c r="J63" s="65">
        <f t="shared" si="0"/>
        <v>0</v>
      </c>
      <c r="K63" s="64">
        <f t="shared" si="1"/>
        <v>0</v>
      </c>
      <c r="L63" s="64">
        <f t="shared" si="2"/>
        <v>0</v>
      </c>
    </row>
    <row r="64" spans="3:12" ht="15.75" thickBot="1" x14ac:dyDescent="0.25">
      <c r="C64" s="66" t="s">
        <v>1287</v>
      </c>
      <c r="D64" s="67"/>
      <c r="E64" s="67"/>
      <c r="F64" s="82"/>
      <c r="G64" s="82"/>
      <c r="H64" s="82"/>
      <c r="I64" s="69">
        <f>SUM(I39:I63)</f>
        <v>456850</v>
      </c>
      <c r="J64" s="69">
        <f>SUM(J39:J63)</f>
        <v>767115.42</v>
      </c>
      <c r="K64" s="69">
        <f>SUM(K39:K63)</f>
        <v>0</v>
      </c>
      <c r="L64" s="68">
        <f>SUM(I64:K64)</f>
        <v>1223965.42</v>
      </c>
    </row>
    <row r="66" spans="3:12" ht="15.75" thickBot="1" x14ac:dyDescent="0.25">
      <c r="C66" s="83" t="s">
        <v>1292</v>
      </c>
      <c r="D66" s="84"/>
      <c r="E66" s="84"/>
      <c r="F66" s="85"/>
      <c r="G66" s="85"/>
      <c r="H66" s="85"/>
      <c r="I66" s="86">
        <f t="shared" ref="I66:I131" si="4">F66*D66</f>
        <v>0</v>
      </c>
      <c r="J66" s="86">
        <f t="shared" si="0"/>
        <v>0</v>
      </c>
      <c r="K66" s="87">
        <f t="shared" si="1"/>
        <v>0</v>
      </c>
      <c r="L66" s="87">
        <f t="shared" si="2"/>
        <v>0</v>
      </c>
    </row>
    <row r="67" spans="3:12" x14ac:dyDescent="0.2">
      <c r="D67" s="63"/>
      <c r="E67" s="63"/>
      <c r="F67" s="81"/>
      <c r="G67" s="81"/>
      <c r="H67" s="81"/>
      <c r="I67" s="77"/>
      <c r="J67" s="77"/>
      <c r="K67" s="76"/>
      <c r="L67" s="76"/>
    </row>
    <row r="68" spans="3:12" x14ac:dyDescent="0.2">
      <c r="C68" s="103" t="s">
        <v>662</v>
      </c>
      <c r="D68" s="135">
        <v>1</v>
      </c>
      <c r="E68" s="135" t="s">
        <v>1280</v>
      </c>
      <c r="F68" s="226"/>
      <c r="G68" s="226">
        <v>8500</v>
      </c>
      <c r="H68" s="226"/>
      <c r="I68" s="230">
        <f t="shared" si="4"/>
        <v>0</v>
      </c>
      <c r="J68" s="230">
        <f t="shared" si="0"/>
        <v>8500</v>
      </c>
      <c r="K68" s="226">
        <f t="shared" si="1"/>
        <v>0</v>
      </c>
      <c r="L68" s="226">
        <f t="shared" si="2"/>
        <v>8500</v>
      </c>
    </row>
    <row r="69" spans="3:12" x14ac:dyDescent="0.2">
      <c r="C69" s="103" t="s">
        <v>919</v>
      </c>
      <c r="D69" s="135">
        <v>2</v>
      </c>
      <c r="E69" s="135" t="s">
        <v>1280</v>
      </c>
      <c r="F69" s="226"/>
      <c r="G69" s="226">
        <v>20100</v>
      </c>
      <c r="H69" s="226"/>
      <c r="I69" s="230">
        <f t="shared" si="4"/>
        <v>0</v>
      </c>
      <c r="J69" s="230">
        <f t="shared" si="0"/>
        <v>40200</v>
      </c>
      <c r="K69" s="226">
        <f t="shared" si="1"/>
        <v>0</v>
      </c>
      <c r="L69" s="226">
        <f t="shared" si="2"/>
        <v>40200</v>
      </c>
    </row>
    <row r="70" spans="3:12" x14ac:dyDescent="0.2">
      <c r="C70" s="103" t="s">
        <v>1122</v>
      </c>
      <c r="D70" s="135">
        <v>6</v>
      </c>
      <c r="E70" s="135" t="s">
        <v>1280</v>
      </c>
      <c r="F70" s="226"/>
      <c r="G70" s="226">
        <v>5500</v>
      </c>
      <c r="H70" s="226"/>
      <c r="I70" s="230">
        <f t="shared" si="4"/>
        <v>0</v>
      </c>
      <c r="J70" s="230">
        <f t="shared" si="0"/>
        <v>33000</v>
      </c>
      <c r="K70" s="226">
        <f t="shared" si="1"/>
        <v>0</v>
      </c>
      <c r="L70" s="226">
        <f t="shared" si="2"/>
        <v>33000</v>
      </c>
    </row>
    <row r="71" spans="3:12" x14ac:dyDescent="0.2">
      <c r="C71" s="103" t="s">
        <v>1127</v>
      </c>
      <c r="D71" s="135">
        <v>7</v>
      </c>
      <c r="E71" s="135" t="s">
        <v>1280</v>
      </c>
      <c r="F71" s="226"/>
      <c r="G71" s="226">
        <v>5000</v>
      </c>
      <c r="H71" s="226"/>
      <c r="I71" s="230">
        <f t="shared" si="4"/>
        <v>0</v>
      </c>
      <c r="J71" s="230">
        <f t="shared" si="0"/>
        <v>35000</v>
      </c>
      <c r="K71" s="226">
        <f t="shared" si="1"/>
        <v>0</v>
      </c>
      <c r="L71" s="226">
        <f t="shared" si="2"/>
        <v>35000</v>
      </c>
    </row>
    <row r="72" spans="3:12" x14ac:dyDescent="0.2">
      <c r="C72" s="103" t="s">
        <v>866</v>
      </c>
      <c r="D72" s="135">
        <v>7</v>
      </c>
      <c r="E72" s="135" t="s">
        <v>1280</v>
      </c>
      <c r="F72" s="226"/>
      <c r="G72" s="226">
        <v>17700</v>
      </c>
      <c r="H72" s="226"/>
      <c r="I72" s="230">
        <f t="shared" si="4"/>
        <v>0</v>
      </c>
      <c r="J72" s="230">
        <f t="shared" si="0"/>
        <v>123900</v>
      </c>
      <c r="K72" s="226">
        <f t="shared" si="1"/>
        <v>0</v>
      </c>
      <c r="L72" s="226">
        <f t="shared" si="2"/>
        <v>123900</v>
      </c>
    </row>
    <row r="73" spans="3:12" x14ac:dyDescent="0.2">
      <c r="C73" s="103" t="s">
        <v>1293</v>
      </c>
      <c r="D73" s="135">
        <v>1</v>
      </c>
      <c r="E73" s="135" t="s">
        <v>1280</v>
      </c>
      <c r="F73" s="226"/>
      <c r="G73" s="226">
        <v>10000</v>
      </c>
      <c r="H73" s="226"/>
      <c r="I73" s="230">
        <f t="shared" si="4"/>
        <v>0</v>
      </c>
      <c r="J73" s="230">
        <f t="shared" si="0"/>
        <v>10000</v>
      </c>
      <c r="K73" s="226">
        <f t="shared" si="1"/>
        <v>0</v>
      </c>
      <c r="L73" s="226">
        <f t="shared" si="2"/>
        <v>10000</v>
      </c>
    </row>
    <row r="74" spans="3:12" x14ac:dyDescent="0.2">
      <c r="C74" s="103" t="s">
        <v>1113</v>
      </c>
      <c r="D74" s="135">
        <v>1</v>
      </c>
      <c r="E74" s="135" t="s">
        <v>1290</v>
      </c>
      <c r="F74" s="226">
        <v>125000</v>
      </c>
      <c r="G74" s="226"/>
      <c r="H74" s="226"/>
      <c r="I74" s="230">
        <f t="shared" si="4"/>
        <v>125000</v>
      </c>
      <c r="J74" s="230">
        <f t="shared" si="0"/>
        <v>0</v>
      </c>
      <c r="K74" s="226">
        <f t="shared" si="1"/>
        <v>0</v>
      </c>
      <c r="L74" s="226">
        <f t="shared" si="2"/>
        <v>125000</v>
      </c>
    </row>
    <row r="75" spans="3:12" x14ac:dyDescent="0.2">
      <c r="C75" s="103" t="s">
        <v>1294</v>
      </c>
      <c r="D75" s="135">
        <v>5</v>
      </c>
      <c r="E75" s="135" t="s">
        <v>1280</v>
      </c>
      <c r="F75" s="226">
        <v>12630</v>
      </c>
      <c r="G75" s="226"/>
      <c r="H75" s="226"/>
      <c r="I75" s="230">
        <f t="shared" si="4"/>
        <v>63150</v>
      </c>
      <c r="J75" s="230">
        <f t="shared" si="0"/>
        <v>0</v>
      </c>
      <c r="K75" s="226">
        <f t="shared" si="1"/>
        <v>0</v>
      </c>
      <c r="L75" s="226">
        <f t="shared" si="2"/>
        <v>63150</v>
      </c>
    </row>
    <row r="76" spans="3:12" ht="15.75" thickBot="1" x14ac:dyDescent="0.25">
      <c r="D76" s="63"/>
      <c r="E76" s="63"/>
      <c r="F76" s="81"/>
      <c r="G76" s="81"/>
      <c r="H76" s="81"/>
      <c r="I76" s="77"/>
      <c r="J76" s="230"/>
      <c r="K76" s="226"/>
      <c r="L76" s="226"/>
    </row>
    <row r="77" spans="3:12" ht="15.75" thickBot="1" x14ac:dyDescent="0.25">
      <c r="C77" s="66" t="s">
        <v>1287</v>
      </c>
      <c r="D77" s="67"/>
      <c r="E77" s="67"/>
      <c r="F77" s="82"/>
      <c r="G77" s="82"/>
      <c r="H77" s="82"/>
      <c r="I77" s="69">
        <f>SUM(I68:I76)</f>
        <v>188150</v>
      </c>
      <c r="J77" s="69">
        <f>SUM(J68:J76)</f>
        <v>250600</v>
      </c>
      <c r="K77" s="69">
        <f>SUM(K52:K76)</f>
        <v>0</v>
      </c>
      <c r="L77" s="68">
        <f>SUM(I77:K77)</f>
        <v>438750</v>
      </c>
    </row>
    <row r="78" spans="3:12" ht="15.75" thickBot="1" x14ac:dyDescent="0.25">
      <c r="D78" s="63"/>
      <c r="E78" s="63"/>
      <c r="F78" s="81"/>
      <c r="G78" s="81"/>
      <c r="H78" s="81"/>
      <c r="I78" s="65"/>
      <c r="J78" s="65"/>
      <c r="K78" s="64"/>
      <c r="L78" s="64"/>
    </row>
    <row r="79" spans="3:12" ht="15.75" thickBot="1" x14ac:dyDescent="0.25">
      <c r="C79" s="72" t="s">
        <v>1295</v>
      </c>
      <c r="D79" s="73"/>
      <c r="E79" s="73"/>
      <c r="F79" s="88"/>
      <c r="G79" s="88"/>
      <c r="H79" s="88"/>
      <c r="I79" s="75"/>
      <c r="J79" s="75"/>
      <c r="K79" s="74"/>
      <c r="L79" s="74"/>
    </row>
    <row r="81" spans="3:12" x14ac:dyDescent="0.2">
      <c r="C81" s="103" t="s">
        <v>395</v>
      </c>
      <c r="D81" s="135">
        <v>1</v>
      </c>
      <c r="E81" s="135" t="s">
        <v>1280</v>
      </c>
      <c r="F81" s="226"/>
      <c r="G81" s="240">
        <v>56402.44</v>
      </c>
      <c r="H81" s="226"/>
      <c r="I81" s="230">
        <f t="shared" si="4"/>
        <v>0</v>
      </c>
      <c r="J81" s="231">
        <f t="shared" ref="J81:J146" si="5">G81*D81</f>
        <v>56402.44</v>
      </c>
      <c r="K81" s="226">
        <f t="shared" ref="K81:K146" si="6">H81*D81</f>
        <v>0</v>
      </c>
      <c r="L81" s="226">
        <f t="shared" ref="L81:L146" si="7">K81+J81+I81</f>
        <v>56402.44</v>
      </c>
    </row>
    <row r="82" spans="3:12" x14ac:dyDescent="0.2">
      <c r="C82" s="103" t="s">
        <v>328</v>
      </c>
      <c r="D82" s="135">
        <v>1</v>
      </c>
      <c r="E82" s="135" t="s">
        <v>1280</v>
      </c>
      <c r="F82" s="226"/>
      <c r="G82" s="240">
        <v>23521.88</v>
      </c>
      <c r="H82" s="226"/>
      <c r="I82" s="230">
        <f t="shared" si="4"/>
        <v>0</v>
      </c>
      <c r="J82" s="231">
        <f t="shared" si="5"/>
        <v>23521.88</v>
      </c>
      <c r="K82" s="226">
        <f t="shared" si="6"/>
        <v>0</v>
      </c>
      <c r="L82" s="226">
        <f t="shared" si="7"/>
        <v>23521.88</v>
      </c>
    </row>
    <row r="83" spans="3:12" x14ac:dyDescent="0.2">
      <c r="C83" s="103" t="s">
        <v>330</v>
      </c>
      <c r="D83" s="135">
        <v>8</v>
      </c>
      <c r="E83" s="135" t="s">
        <v>1280</v>
      </c>
      <c r="F83" s="226"/>
      <c r="G83" s="240">
        <v>21800</v>
      </c>
      <c r="H83" s="226"/>
      <c r="I83" s="230">
        <f t="shared" si="4"/>
        <v>0</v>
      </c>
      <c r="J83" s="231">
        <f t="shared" si="5"/>
        <v>174400</v>
      </c>
      <c r="K83" s="226">
        <f t="shared" si="6"/>
        <v>0</v>
      </c>
      <c r="L83" s="226">
        <f t="shared" si="7"/>
        <v>174400</v>
      </c>
    </row>
    <row r="84" spans="3:12" x14ac:dyDescent="0.2">
      <c r="C84" s="103" t="s">
        <v>333</v>
      </c>
      <c r="D84" s="135">
        <v>2</v>
      </c>
      <c r="E84" s="135" t="s">
        <v>1280</v>
      </c>
      <c r="F84" s="226"/>
      <c r="G84" s="240">
        <v>11290.5</v>
      </c>
      <c r="H84" s="226"/>
      <c r="I84" s="230">
        <f t="shared" si="4"/>
        <v>0</v>
      </c>
      <c r="J84" s="231">
        <f t="shared" si="5"/>
        <v>22581</v>
      </c>
      <c r="K84" s="226">
        <f t="shared" si="6"/>
        <v>0</v>
      </c>
      <c r="L84" s="226">
        <f t="shared" si="7"/>
        <v>22581</v>
      </c>
    </row>
    <row r="85" spans="3:12" x14ac:dyDescent="0.2">
      <c r="C85" s="103" t="s">
        <v>335</v>
      </c>
      <c r="D85" s="135">
        <v>1</v>
      </c>
      <c r="E85" s="135" t="s">
        <v>1280</v>
      </c>
      <c r="F85" s="226"/>
      <c r="G85" s="240">
        <v>15054</v>
      </c>
      <c r="H85" s="226"/>
      <c r="I85" s="230">
        <f t="shared" si="4"/>
        <v>0</v>
      </c>
      <c r="J85" s="231">
        <f t="shared" si="5"/>
        <v>15054</v>
      </c>
      <c r="K85" s="226">
        <f t="shared" si="6"/>
        <v>0</v>
      </c>
      <c r="L85" s="226">
        <f t="shared" si="7"/>
        <v>15054</v>
      </c>
    </row>
    <row r="86" spans="3:12" x14ac:dyDescent="0.2">
      <c r="C86" s="103" t="s">
        <v>1296</v>
      </c>
      <c r="D86" s="135">
        <v>1</v>
      </c>
      <c r="E86" s="135" t="s">
        <v>1280</v>
      </c>
      <c r="F86" s="226"/>
      <c r="G86" s="240">
        <f>160000+30000</f>
        <v>190000</v>
      </c>
      <c r="H86" s="226"/>
      <c r="I86" s="230">
        <f t="shared" si="4"/>
        <v>0</v>
      </c>
      <c r="J86" s="231">
        <f>G86*D86</f>
        <v>190000</v>
      </c>
      <c r="K86" s="226">
        <f>H86*D86</f>
        <v>0</v>
      </c>
      <c r="L86" s="226">
        <f>K86+J86+I86</f>
        <v>190000</v>
      </c>
    </row>
    <row r="87" spans="3:12" x14ac:dyDescent="0.2">
      <c r="C87" s="103" t="s">
        <v>1297</v>
      </c>
      <c r="D87" s="135">
        <v>1</v>
      </c>
      <c r="E87" s="135" t="s">
        <v>1280</v>
      </c>
      <c r="F87" s="226">
        <v>65000</v>
      </c>
      <c r="G87" s="240"/>
      <c r="H87" s="226"/>
      <c r="I87" s="230">
        <f t="shared" si="4"/>
        <v>65000</v>
      </c>
      <c r="J87" s="230">
        <f>G87*D87</f>
        <v>0</v>
      </c>
      <c r="K87" s="226">
        <f>H87*D87</f>
        <v>0</v>
      </c>
      <c r="L87" s="226">
        <f>K87+J87+I87</f>
        <v>65000</v>
      </c>
    </row>
    <row r="88" spans="3:12" x14ac:dyDescent="0.2">
      <c r="C88" s="103" t="s">
        <v>856</v>
      </c>
      <c r="D88" s="135">
        <v>10</v>
      </c>
      <c r="E88" s="135" t="s">
        <v>1280</v>
      </c>
      <c r="F88" s="226"/>
      <c r="G88" s="240">
        <v>5043</v>
      </c>
      <c r="H88" s="226"/>
      <c r="I88" s="230">
        <f t="shared" si="4"/>
        <v>0</v>
      </c>
      <c r="J88" s="230">
        <f t="shared" si="5"/>
        <v>50430</v>
      </c>
      <c r="K88" s="226">
        <f t="shared" si="6"/>
        <v>0</v>
      </c>
      <c r="L88" s="226">
        <f t="shared" si="7"/>
        <v>50430</v>
      </c>
    </row>
    <row r="89" spans="3:12" x14ac:dyDescent="0.2">
      <c r="C89" s="103" t="s">
        <v>451</v>
      </c>
      <c r="D89" s="135">
        <v>4</v>
      </c>
      <c r="E89" s="135" t="s">
        <v>1280</v>
      </c>
      <c r="F89" s="226"/>
      <c r="G89" s="240">
        <v>1327</v>
      </c>
      <c r="H89" s="226"/>
      <c r="I89" s="230">
        <f t="shared" si="4"/>
        <v>0</v>
      </c>
      <c r="J89" s="230">
        <f t="shared" si="5"/>
        <v>5308</v>
      </c>
      <c r="K89" s="226">
        <f t="shared" si="6"/>
        <v>0</v>
      </c>
      <c r="L89" s="226">
        <f t="shared" si="7"/>
        <v>5308</v>
      </c>
    </row>
    <row r="90" spans="3:12" x14ac:dyDescent="0.2">
      <c r="C90" s="103" t="s">
        <v>469</v>
      </c>
      <c r="D90" s="135">
        <v>6</v>
      </c>
      <c r="E90" s="135" t="s">
        <v>1280</v>
      </c>
      <c r="F90" s="226"/>
      <c r="G90" s="240">
        <v>5103</v>
      </c>
      <c r="H90" s="226"/>
      <c r="I90" s="230">
        <f t="shared" si="4"/>
        <v>0</v>
      </c>
      <c r="J90" s="230">
        <f t="shared" si="5"/>
        <v>30618</v>
      </c>
      <c r="K90" s="226">
        <f t="shared" si="6"/>
        <v>0</v>
      </c>
      <c r="L90" s="226">
        <f t="shared" si="7"/>
        <v>30618</v>
      </c>
    </row>
    <row r="91" spans="3:12" x14ac:dyDescent="0.2">
      <c r="C91" s="103" t="s">
        <v>867</v>
      </c>
      <c r="D91" s="135">
        <v>6</v>
      </c>
      <c r="E91" s="135" t="s">
        <v>1280</v>
      </c>
      <c r="F91" s="226"/>
      <c r="G91" s="240">
        <v>1122</v>
      </c>
      <c r="H91" s="226"/>
      <c r="I91" s="230">
        <f t="shared" si="4"/>
        <v>0</v>
      </c>
      <c r="J91" s="230">
        <f t="shared" si="5"/>
        <v>6732</v>
      </c>
      <c r="K91" s="226">
        <f t="shared" si="6"/>
        <v>0</v>
      </c>
      <c r="L91" s="226">
        <f t="shared" si="7"/>
        <v>6732</v>
      </c>
    </row>
    <row r="92" spans="3:12" x14ac:dyDescent="0.2">
      <c r="C92" s="103" t="s">
        <v>365</v>
      </c>
      <c r="D92" s="135">
        <v>60</v>
      </c>
      <c r="E92" s="135" t="s">
        <v>1298</v>
      </c>
      <c r="F92" s="226"/>
      <c r="G92" s="240">
        <v>893.83</v>
      </c>
      <c r="H92" s="226"/>
      <c r="I92" s="230">
        <f t="shared" si="4"/>
        <v>0</v>
      </c>
      <c r="J92" s="230">
        <f t="shared" si="5"/>
        <v>53629.8</v>
      </c>
      <c r="K92" s="226">
        <f t="shared" si="6"/>
        <v>0</v>
      </c>
      <c r="L92" s="226">
        <f t="shared" si="7"/>
        <v>53629.8</v>
      </c>
    </row>
    <row r="93" spans="3:12" x14ac:dyDescent="0.2">
      <c r="C93" s="103" t="s">
        <v>366</v>
      </c>
      <c r="D93" s="135">
        <v>20</v>
      </c>
      <c r="E93" s="135" t="s">
        <v>1298</v>
      </c>
      <c r="F93" s="226"/>
      <c r="G93" s="240">
        <v>470.44</v>
      </c>
      <c r="H93" s="226"/>
      <c r="I93" s="230">
        <f t="shared" si="4"/>
        <v>0</v>
      </c>
      <c r="J93" s="230">
        <f t="shared" si="5"/>
        <v>9408.7999999999993</v>
      </c>
      <c r="K93" s="226">
        <f t="shared" si="6"/>
        <v>0</v>
      </c>
      <c r="L93" s="226">
        <f t="shared" si="7"/>
        <v>9408.7999999999993</v>
      </c>
    </row>
    <row r="94" spans="3:12" x14ac:dyDescent="0.2">
      <c r="C94" s="103" t="s">
        <v>1299</v>
      </c>
      <c r="D94" s="135">
        <v>1</v>
      </c>
      <c r="E94" s="135" t="s">
        <v>1280</v>
      </c>
      <c r="F94" s="226"/>
      <c r="G94" s="240">
        <v>2100</v>
      </c>
      <c r="H94" s="226"/>
      <c r="I94" s="230">
        <f t="shared" si="4"/>
        <v>0</v>
      </c>
      <c r="J94" s="230">
        <f t="shared" si="5"/>
        <v>2100</v>
      </c>
      <c r="K94" s="226">
        <f t="shared" si="6"/>
        <v>0</v>
      </c>
      <c r="L94" s="226">
        <f t="shared" si="7"/>
        <v>2100</v>
      </c>
    </row>
    <row r="95" spans="3:12" x14ac:dyDescent="0.2">
      <c r="C95" s="103" t="s">
        <v>319</v>
      </c>
      <c r="D95" s="135">
        <v>1</v>
      </c>
      <c r="E95" s="135" t="s">
        <v>1280</v>
      </c>
      <c r="F95" s="226"/>
      <c r="G95" s="240">
        <v>61156.88</v>
      </c>
      <c r="H95" s="226"/>
      <c r="I95" s="230">
        <f t="shared" si="4"/>
        <v>0</v>
      </c>
      <c r="J95" s="230">
        <f t="shared" si="5"/>
        <v>61156.88</v>
      </c>
      <c r="K95" s="226">
        <f t="shared" si="6"/>
        <v>0</v>
      </c>
      <c r="L95" s="226">
        <f t="shared" si="7"/>
        <v>61156.88</v>
      </c>
    </row>
    <row r="96" spans="3:12" x14ac:dyDescent="0.2">
      <c r="C96" s="103" t="s">
        <v>877</v>
      </c>
      <c r="D96" s="135">
        <v>1</v>
      </c>
      <c r="E96" s="135" t="s">
        <v>1280</v>
      </c>
      <c r="F96" s="226"/>
      <c r="G96" s="240">
        <v>11760.94</v>
      </c>
      <c r="H96" s="226"/>
      <c r="I96" s="230">
        <f t="shared" si="4"/>
        <v>0</v>
      </c>
      <c r="J96" s="230">
        <f t="shared" si="5"/>
        <v>11760.94</v>
      </c>
      <c r="K96" s="226">
        <f t="shared" si="6"/>
        <v>0</v>
      </c>
      <c r="L96" s="226">
        <f t="shared" si="7"/>
        <v>11760.94</v>
      </c>
    </row>
    <row r="97" spans="3:12" x14ac:dyDescent="0.2">
      <c r="C97" s="103" t="s">
        <v>382</v>
      </c>
      <c r="D97" s="135">
        <v>1</v>
      </c>
      <c r="E97" s="135" t="s">
        <v>1280</v>
      </c>
      <c r="F97" s="226"/>
      <c r="G97" s="240">
        <v>4233.9399999999996</v>
      </c>
      <c r="H97" s="226"/>
      <c r="I97" s="230">
        <f t="shared" si="4"/>
        <v>0</v>
      </c>
      <c r="J97" s="230">
        <f t="shared" si="5"/>
        <v>4233.9399999999996</v>
      </c>
      <c r="K97" s="226">
        <f t="shared" si="6"/>
        <v>0</v>
      </c>
      <c r="L97" s="226">
        <f t="shared" si="7"/>
        <v>4233.9399999999996</v>
      </c>
    </row>
    <row r="98" spans="3:12" x14ac:dyDescent="0.2">
      <c r="C98" s="103" t="s">
        <v>429</v>
      </c>
      <c r="D98" s="135">
        <v>1</v>
      </c>
      <c r="E98" s="135" t="s">
        <v>1280</v>
      </c>
      <c r="F98" s="226"/>
      <c r="G98" s="240">
        <v>1411.31</v>
      </c>
      <c r="H98" s="226"/>
      <c r="I98" s="230">
        <f t="shared" si="4"/>
        <v>0</v>
      </c>
      <c r="J98" s="230">
        <f t="shared" si="5"/>
        <v>1411.31</v>
      </c>
      <c r="K98" s="226">
        <f t="shared" si="6"/>
        <v>0</v>
      </c>
      <c r="L98" s="226">
        <f t="shared" si="7"/>
        <v>1411.31</v>
      </c>
    </row>
    <row r="99" spans="3:12" x14ac:dyDescent="0.2">
      <c r="C99" s="103" t="s">
        <v>838</v>
      </c>
      <c r="D99" s="135">
        <v>1</v>
      </c>
      <c r="E99" s="135" t="s">
        <v>1280</v>
      </c>
      <c r="F99" s="226"/>
      <c r="G99" s="240">
        <v>12000</v>
      </c>
      <c r="H99" s="226"/>
      <c r="I99" s="230">
        <f t="shared" si="4"/>
        <v>0</v>
      </c>
      <c r="J99" s="230">
        <f t="shared" si="5"/>
        <v>12000</v>
      </c>
      <c r="K99" s="226">
        <f t="shared" si="6"/>
        <v>0</v>
      </c>
      <c r="L99" s="226">
        <f t="shared" si="7"/>
        <v>12000</v>
      </c>
    </row>
    <row r="100" spans="3:12" x14ac:dyDescent="0.2">
      <c r="C100" s="103" t="s">
        <v>447</v>
      </c>
      <c r="D100" s="135">
        <v>2</v>
      </c>
      <c r="E100" s="135" t="s">
        <v>1280</v>
      </c>
      <c r="F100" s="226"/>
      <c r="G100" s="240">
        <v>658.61</v>
      </c>
      <c r="H100" s="226"/>
      <c r="I100" s="230">
        <f t="shared" si="4"/>
        <v>0</v>
      </c>
      <c r="J100" s="230">
        <f t="shared" si="5"/>
        <v>1317.22</v>
      </c>
      <c r="K100" s="226">
        <f t="shared" si="6"/>
        <v>0</v>
      </c>
      <c r="L100" s="226">
        <f t="shared" si="7"/>
        <v>1317.22</v>
      </c>
    </row>
    <row r="101" spans="3:12" x14ac:dyDescent="0.2">
      <c r="C101" s="103" t="s">
        <v>431</v>
      </c>
      <c r="D101" s="135">
        <v>1</v>
      </c>
      <c r="E101" s="135" t="s">
        <v>1280</v>
      </c>
      <c r="F101" s="226"/>
      <c r="G101" s="240">
        <v>1034.96</v>
      </c>
      <c r="H101" s="226"/>
      <c r="I101" s="230">
        <f t="shared" si="4"/>
        <v>0</v>
      </c>
      <c r="J101" s="230">
        <f t="shared" si="5"/>
        <v>1034.96</v>
      </c>
      <c r="K101" s="226">
        <f t="shared" si="6"/>
        <v>0</v>
      </c>
      <c r="L101" s="226">
        <f t="shared" si="7"/>
        <v>1034.96</v>
      </c>
    </row>
    <row r="102" spans="3:12" x14ac:dyDescent="0.2">
      <c r="C102" s="103" t="s">
        <v>862</v>
      </c>
      <c r="D102" s="135">
        <v>1</v>
      </c>
      <c r="E102" s="135" t="s">
        <v>1280</v>
      </c>
      <c r="F102" s="226"/>
      <c r="G102" s="240">
        <v>5457.08</v>
      </c>
      <c r="H102" s="226"/>
      <c r="I102" s="230">
        <f t="shared" si="4"/>
        <v>0</v>
      </c>
      <c r="J102" s="230">
        <f t="shared" si="5"/>
        <v>5457.08</v>
      </c>
      <c r="K102" s="226">
        <f t="shared" si="6"/>
        <v>0</v>
      </c>
      <c r="L102" s="226">
        <f t="shared" si="7"/>
        <v>5457.08</v>
      </c>
    </row>
    <row r="103" spans="3:12" x14ac:dyDescent="0.2">
      <c r="C103" s="103" t="s">
        <v>460</v>
      </c>
      <c r="D103" s="135">
        <v>2</v>
      </c>
      <c r="E103" s="135" t="s">
        <v>1280</v>
      </c>
      <c r="F103" s="226"/>
      <c r="G103" s="240">
        <v>423.39</v>
      </c>
      <c r="H103" s="226"/>
      <c r="I103" s="230">
        <f t="shared" si="4"/>
        <v>0</v>
      </c>
      <c r="J103" s="230">
        <f t="shared" si="5"/>
        <v>846.78</v>
      </c>
      <c r="K103" s="226">
        <f t="shared" si="6"/>
        <v>0</v>
      </c>
      <c r="L103" s="226">
        <f t="shared" si="7"/>
        <v>846.78</v>
      </c>
    </row>
    <row r="104" spans="3:12" x14ac:dyDescent="0.2">
      <c r="C104" s="103" t="s">
        <v>1300</v>
      </c>
      <c r="D104" s="135">
        <v>1</v>
      </c>
      <c r="E104" s="135" t="s">
        <v>1280</v>
      </c>
      <c r="F104" s="226"/>
      <c r="G104" s="226">
        <v>1100</v>
      </c>
      <c r="H104" s="226"/>
      <c r="I104" s="230">
        <f t="shared" si="4"/>
        <v>0</v>
      </c>
      <c r="J104" s="230">
        <f t="shared" si="5"/>
        <v>1100</v>
      </c>
      <c r="K104" s="226">
        <f t="shared" si="6"/>
        <v>0</v>
      </c>
      <c r="L104" s="226">
        <f t="shared" si="7"/>
        <v>1100</v>
      </c>
    </row>
    <row r="105" spans="3:12" x14ac:dyDescent="0.2">
      <c r="C105" s="103" t="s">
        <v>1301</v>
      </c>
      <c r="D105" s="135">
        <v>1</v>
      </c>
      <c r="E105" s="135" t="s">
        <v>1280</v>
      </c>
      <c r="F105" s="226"/>
      <c r="G105" s="226">
        <v>1800</v>
      </c>
      <c r="H105" s="226"/>
      <c r="I105" s="230">
        <f t="shared" si="4"/>
        <v>0</v>
      </c>
      <c r="J105" s="230">
        <f t="shared" si="5"/>
        <v>1800</v>
      </c>
      <c r="K105" s="226">
        <f t="shared" si="6"/>
        <v>0</v>
      </c>
      <c r="L105" s="226">
        <f t="shared" si="7"/>
        <v>1800</v>
      </c>
    </row>
    <row r="106" spans="3:12" x14ac:dyDescent="0.2">
      <c r="C106" s="103" t="s">
        <v>1302</v>
      </c>
      <c r="D106" s="135">
        <v>6</v>
      </c>
      <c r="E106" s="135" t="s">
        <v>1298</v>
      </c>
      <c r="F106" s="226"/>
      <c r="G106" s="226">
        <v>1200</v>
      </c>
      <c r="H106" s="226"/>
      <c r="I106" s="230">
        <f t="shared" si="4"/>
        <v>0</v>
      </c>
      <c r="J106" s="230">
        <f t="shared" si="5"/>
        <v>7200</v>
      </c>
      <c r="K106" s="226">
        <f t="shared" si="6"/>
        <v>0</v>
      </c>
      <c r="L106" s="226">
        <f t="shared" si="7"/>
        <v>7200</v>
      </c>
    </row>
    <row r="107" spans="3:12" x14ac:dyDescent="0.2">
      <c r="C107" s="103" t="s">
        <v>1285</v>
      </c>
      <c r="D107" s="135">
        <v>1</v>
      </c>
      <c r="E107" s="135" t="s">
        <v>1290</v>
      </c>
      <c r="F107" s="226">
        <v>55000</v>
      </c>
      <c r="G107" s="226"/>
      <c r="H107" s="226"/>
      <c r="I107" s="230">
        <f t="shared" si="4"/>
        <v>55000</v>
      </c>
      <c r="J107" s="230">
        <f t="shared" si="5"/>
        <v>0</v>
      </c>
      <c r="K107" s="226">
        <f t="shared" si="6"/>
        <v>0</v>
      </c>
      <c r="L107" s="226">
        <f t="shared" si="7"/>
        <v>55000</v>
      </c>
    </row>
    <row r="108" spans="3:12" x14ac:dyDescent="0.2">
      <c r="C108" s="78" t="s">
        <v>1303</v>
      </c>
      <c r="D108" s="89">
        <v>1</v>
      </c>
      <c r="E108" s="135" t="s">
        <v>1280</v>
      </c>
      <c r="F108" s="226"/>
      <c r="G108" s="76">
        <v>41600</v>
      </c>
      <c r="H108" s="226"/>
      <c r="I108" s="230">
        <f t="shared" si="4"/>
        <v>0</v>
      </c>
      <c r="J108" s="230">
        <f t="shared" si="5"/>
        <v>41600</v>
      </c>
      <c r="K108" s="226">
        <f t="shared" si="6"/>
        <v>0</v>
      </c>
      <c r="L108" s="226">
        <f t="shared" si="7"/>
        <v>41600</v>
      </c>
    </row>
    <row r="109" spans="3:12" x14ac:dyDescent="0.2">
      <c r="C109" s="103" t="s">
        <v>857</v>
      </c>
      <c r="D109" s="118">
        <v>8</v>
      </c>
      <c r="E109" s="135" t="s">
        <v>1280</v>
      </c>
      <c r="F109" s="226"/>
      <c r="G109" s="226">
        <v>3392.9</v>
      </c>
      <c r="H109" s="226"/>
      <c r="I109" s="230">
        <f t="shared" si="4"/>
        <v>0</v>
      </c>
      <c r="J109" s="230">
        <f t="shared" si="5"/>
        <v>27143.200000000001</v>
      </c>
      <c r="K109" s="226">
        <f t="shared" si="6"/>
        <v>0</v>
      </c>
      <c r="L109" s="226">
        <f t="shared" si="7"/>
        <v>27143.200000000001</v>
      </c>
    </row>
    <row r="110" spans="3:12" x14ac:dyDescent="0.2">
      <c r="C110" s="103" t="s">
        <v>453</v>
      </c>
      <c r="D110" s="118">
        <v>6</v>
      </c>
      <c r="E110" s="135" t="s">
        <v>1280</v>
      </c>
      <c r="F110" s="226"/>
      <c r="G110" s="226">
        <v>1194</v>
      </c>
      <c r="H110" s="226"/>
      <c r="I110" s="230">
        <f t="shared" si="4"/>
        <v>0</v>
      </c>
      <c r="J110" s="230">
        <f t="shared" si="5"/>
        <v>7164</v>
      </c>
      <c r="K110" s="226">
        <f t="shared" si="6"/>
        <v>0</v>
      </c>
      <c r="L110" s="226">
        <f t="shared" si="7"/>
        <v>7164</v>
      </c>
    </row>
    <row r="111" spans="3:12" x14ac:dyDescent="0.2">
      <c r="C111" s="103" t="s">
        <v>470</v>
      </c>
      <c r="D111" s="118">
        <v>2</v>
      </c>
      <c r="E111" s="135" t="s">
        <v>1280</v>
      </c>
      <c r="F111" s="226"/>
      <c r="G111" s="226">
        <v>1757</v>
      </c>
      <c r="H111" s="226"/>
      <c r="I111" s="230">
        <f t="shared" si="4"/>
        <v>0</v>
      </c>
      <c r="J111" s="230">
        <f t="shared" si="5"/>
        <v>3514</v>
      </c>
      <c r="K111" s="226">
        <f t="shared" si="6"/>
        <v>0</v>
      </c>
      <c r="L111" s="226">
        <f t="shared" si="7"/>
        <v>3514</v>
      </c>
    </row>
    <row r="112" spans="3:12" x14ac:dyDescent="0.2">
      <c r="C112" s="103" t="s">
        <v>868</v>
      </c>
      <c r="D112" s="118">
        <v>1</v>
      </c>
      <c r="E112" s="135" t="s">
        <v>1280</v>
      </c>
      <c r="F112" s="226"/>
      <c r="G112" s="226">
        <v>612</v>
      </c>
      <c r="H112" s="226"/>
      <c r="I112" s="230">
        <f t="shared" si="4"/>
        <v>0</v>
      </c>
      <c r="J112" s="230">
        <f t="shared" si="5"/>
        <v>612</v>
      </c>
      <c r="K112" s="226">
        <f t="shared" si="6"/>
        <v>0</v>
      </c>
      <c r="L112" s="226">
        <f t="shared" si="7"/>
        <v>612</v>
      </c>
    </row>
    <row r="113" spans="3:12" x14ac:dyDescent="0.2">
      <c r="C113" s="103" t="s">
        <v>992</v>
      </c>
      <c r="D113" s="118">
        <v>1</v>
      </c>
      <c r="E113" s="135" t="s">
        <v>1290</v>
      </c>
      <c r="F113" s="226">
        <v>26000</v>
      </c>
      <c r="G113" s="226"/>
      <c r="H113" s="226"/>
      <c r="I113" s="230">
        <f t="shared" si="4"/>
        <v>26000</v>
      </c>
      <c r="J113" s="230">
        <f t="shared" si="5"/>
        <v>0</v>
      </c>
      <c r="K113" s="226">
        <f t="shared" si="6"/>
        <v>0</v>
      </c>
      <c r="L113" s="226">
        <f t="shared" si="7"/>
        <v>26000</v>
      </c>
    </row>
    <row r="114" spans="3:12" ht="15.75" thickBot="1" x14ac:dyDescent="0.25">
      <c r="C114" s="103"/>
      <c r="D114" s="135"/>
      <c r="E114" s="135"/>
      <c r="F114" s="226"/>
      <c r="G114" s="226"/>
      <c r="H114" s="226"/>
      <c r="I114" s="230"/>
      <c r="J114" s="230"/>
      <c r="K114" s="226"/>
      <c r="L114" s="226"/>
    </row>
    <row r="115" spans="3:12" ht="15.75" thickBot="1" x14ac:dyDescent="0.25">
      <c r="C115" s="66" t="s">
        <v>1287</v>
      </c>
      <c r="D115" s="67"/>
      <c r="E115" s="67"/>
      <c r="F115" s="82"/>
      <c r="G115" s="82"/>
      <c r="H115" s="82"/>
      <c r="I115" s="69">
        <f>SUM(I106:I114)</f>
        <v>81000</v>
      </c>
      <c r="J115" s="69">
        <f>SUM(J81:J114)</f>
        <v>829538.23</v>
      </c>
      <c r="K115" s="69">
        <f>SUM(K90:K114)</f>
        <v>0</v>
      </c>
      <c r="L115" s="68">
        <f>SUM(I115:K115)</f>
        <v>910538.23</v>
      </c>
    </row>
    <row r="116" spans="3:12" x14ac:dyDescent="0.2">
      <c r="C116" s="103"/>
      <c r="D116" s="135"/>
      <c r="E116" s="135"/>
      <c r="F116" s="226"/>
      <c r="G116" s="226"/>
      <c r="H116" s="226"/>
      <c r="I116" s="230"/>
      <c r="J116" s="230"/>
      <c r="K116" s="226"/>
      <c r="L116" s="226"/>
    </row>
    <row r="117" spans="3:12" x14ac:dyDescent="0.2">
      <c r="C117" s="241" t="s">
        <v>1304</v>
      </c>
      <c r="D117" s="242"/>
      <c r="E117" s="242"/>
      <c r="F117" s="243"/>
      <c r="G117" s="243"/>
      <c r="H117" s="243"/>
      <c r="I117" s="244">
        <f t="shared" si="4"/>
        <v>0</v>
      </c>
      <c r="J117" s="244">
        <f t="shared" si="5"/>
        <v>0</v>
      </c>
      <c r="K117" s="243">
        <f t="shared" si="6"/>
        <v>0</v>
      </c>
      <c r="L117" s="243">
        <f t="shared" si="7"/>
        <v>0</v>
      </c>
    </row>
    <row r="118" spans="3:12" x14ac:dyDescent="0.2">
      <c r="C118" s="103"/>
      <c r="D118" s="135"/>
      <c r="E118" s="135"/>
      <c r="F118" s="226"/>
      <c r="G118" s="226"/>
      <c r="H118" s="226"/>
      <c r="I118" s="230">
        <f t="shared" si="4"/>
        <v>0</v>
      </c>
      <c r="J118" s="230">
        <f t="shared" si="5"/>
        <v>0</v>
      </c>
      <c r="K118" s="226">
        <f t="shared" si="6"/>
        <v>0</v>
      </c>
      <c r="L118" s="226">
        <f t="shared" si="7"/>
        <v>0</v>
      </c>
    </row>
    <row r="119" spans="3:12" x14ac:dyDescent="0.2">
      <c r="C119" s="78" t="s">
        <v>384</v>
      </c>
      <c r="D119" s="79">
        <v>24</v>
      </c>
      <c r="E119" s="135" t="s">
        <v>1280</v>
      </c>
      <c r="F119" s="226"/>
      <c r="G119" s="58">
        <v>535.91999999999996</v>
      </c>
      <c r="H119" s="226"/>
      <c r="I119" s="230">
        <f t="shared" si="4"/>
        <v>0</v>
      </c>
      <c r="J119" s="230">
        <f t="shared" si="5"/>
        <v>12862.079999999998</v>
      </c>
      <c r="K119" s="226">
        <f t="shared" si="6"/>
        <v>0</v>
      </c>
      <c r="L119" s="226">
        <f t="shared" si="7"/>
        <v>12862.079999999998</v>
      </c>
    </row>
    <row r="120" spans="3:12" x14ac:dyDescent="0.2">
      <c r="C120" s="103" t="s">
        <v>374</v>
      </c>
      <c r="D120" s="135">
        <v>5</v>
      </c>
      <c r="E120" s="135" t="s">
        <v>1280</v>
      </c>
      <c r="F120" s="226"/>
      <c r="G120" s="240">
        <v>752.7</v>
      </c>
      <c r="H120" s="226"/>
      <c r="I120" s="230">
        <f t="shared" si="4"/>
        <v>0</v>
      </c>
      <c r="J120" s="230">
        <f t="shared" si="5"/>
        <v>3763.5</v>
      </c>
      <c r="K120" s="226">
        <f t="shared" si="6"/>
        <v>0</v>
      </c>
      <c r="L120" s="226">
        <f t="shared" si="7"/>
        <v>3763.5</v>
      </c>
    </row>
    <row r="121" spans="3:12" x14ac:dyDescent="0.2">
      <c r="C121" s="103" t="s">
        <v>379</v>
      </c>
      <c r="D121" s="135">
        <v>2</v>
      </c>
      <c r="E121" s="135" t="s">
        <v>1280</v>
      </c>
      <c r="F121" s="226"/>
      <c r="G121" s="240">
        <v>613.79999999999995</v>
      </c>
      <c r="H121" s="226"/>
      <c r="I121" s="230">
        <f t="shared" si="4"/>
        <v>0</v>
      </c>
      <c r="J121" s="230">
        <f t="shared" si="5"/>
        <v>1227.5999999999999</v>
      </c>
      <c r="K121" s="226">
        <f t="shared" si="6"/>
        <v>0</v>
      </c>
      <c r="L121" s="226">
        <f t="shared" si="7"/>
        <v>1227.5999999999999</v>
      </c>
    </row>
    <row r="122" spans="3:12" x14ac:dyDescent="0.2">
      <c r="C122" s="103" t="s">
        <v>380</v>
      </c>
      <c r="D122" s="135">
        <v>1</v>
      </c>
      <c r="E122" s="135" t="s">
        <v>1280</v>
      </c>
      <c r="F122" s="226"/>
      <c r="G122" s="240">
        <v>613.79999999999995</v>
      </c>
      <c r="H122" s="226"/>
      <c r="I122" s="230">
        <f t="shared" si="4"/>
        <v>0</v>
      </c>
      <c r="J122" s="230">
        <f t="shared" si="5"/>
        <v>613.79999999999995</v>
      </c>
      <c r="K122" s="226">
        <f t="shared" si="6"/>
        <v>0</v>
      </c>
      <c r="L122" s="226">
        <f t="shared" si="7"/>
        <v>613.79999999999995</v>
      </c>
    </row>
    <row r="123" spans="3:12" x14ac:dyDescent="0.2">
      <c r="C123" s="103" t="s">
        <v>773</v>
      </c>
      <c r="D123" s="135">
        <v>24</v>
      </c>
      <c r="E123" s="135" t="s">
        <v>1280</v>
      </c>
      <c r="F123" s="226"/>
      <c r="G123" s="240">
        <v>216.4</v>
      </c>
      <c r="H123" s="226"/>
      <c r="I123" s="230">
        <f t="shared" si="4"/>
        <v>0</v>
      </c>
      <c r="J123" s="230">
        <f t="shared" si="5"/>
        <v>5193.6000000000004</v>
      </c>
      <c r="K123" s="226">
        <f t="shared" si="6"/>
        <v>0</v>
      </c>
      <c r="L123" s="226">
        <f t="shared" si="7"/>
        <v>5193.6000000000004</v>
      </c>
    </row>
    <row r="124" spans="3:12" x14ac:dyDescent="0.2">
      <c r="C124" s="103" t="s">
        <v>771</v>
      </c>
      <c r="D124" s="135">
        <v>3</v>
      </c>
      <c r="E124" s="135" t="s">
        <v>1280</v>
      </c>
      <c r="F124" s="226"/>
      <c r="G124" s="240">
        <v>216.4</v>
      </c>
      <c r="H124" s="226"/>
      <c r="I124" s="230">
        <f t="shared" si="4"/>
        <v>0</v>
      </c>
      <c r="J124" s="230">
        <f t="shared" si="5"/>
        <v>649.20000000000005</v>
      </c>
      <c r="K124" s="226">
        <f t="shared" si="6"/>
        <v>0</v>
      </c>
      <c r="L124" s="226">
        <f t="shared" si="7"/>
        <v>649.20000000000005</v>
      </c>
    </row>
    <row r="125" spans="3:12" x14ac:dyDescent="0.2">
      <c r="C125" s="103" t="s">
        <v>575</v>
      </c>
      <c r="D125" s="135">
        <v>36</v>
      </c>
      <c r="E125" s="135" t="s">
        <v>1280</v>
      </c>
      <c r="F125" s="226"/>
      <c r="G125" s="240">
        <v>423.39</v>
      </c>
      <c r="H125" s="226"/>
      <c r="I125" s="230">
        <f t="shared" si="4"/>
        <v>0</v>
      </c>
      <c r="J125" s="230">
        <f t="shared" si="5"/>
        <v>15242.039999999999</v>
      </c>
      <c r="K125" s="226">
        <f t="shared" si="6"/>
        <v>0</v>
      </c>
      <c r="L125" s="226">
        <f t="shared" si="7"/>
        <v>15242.039999999999</v>
      </c>
    </row>
    <row r="126" spans="3:12" x14ac:dyDescent="0.2">
      <c r="C126" s="103" t="s">
        <v>858</v>
      </c>
      <c r="D126" s="135">
        <v>86</v>
      </c>
      <c r="E126" s="135" t="s">
        <v>1280</v>
      </c>
      <c r="F126" s="226"/>
      <c r="G126" s="239">
        <v>1132</v>
      </c>
      <c r="H126" s="226"/>
      <c r="I126" s="230">
        <f t="shared" si="4"/>
        <v>0</v>
      </c>
      <c r="J126" s="230">
        <f t="shared" si="5"/>
        <v>97352</v>
      </c>
      <c r="K126" s="226">
        <f t="shared" si="6"/>
        <v>0</v>
      </c>
      <c r="L126" s="226">
        <f t="shared" si="7"/>
        <v>97352</v>
      </c>
    </row>
    <row r="127" spans="3:12" x14ac:dyDescent="0.2">
      <c r="C127" s="103" t="s">
        <v>857</v>
      </c>
      <c r="D127" s="135">
        <v>3</v>
      </c>
      <c r="E127" s="135" t="s">
        <v>1280</v>
      </c>
      <c r="F127" s="226"/>
      <c r="G127" s="239">
        <v>3635</v>
      </c>
      <c r="H127" s="226"/>
      <c r="I127" s="230">
        <f t="shared" si="4"/>
        <v>0</v>
      </c>
      <c r="J127" s="230">
        <f t="shared" si="5"/>
        <v>10905</v>
      </c>
      <c r="K127" s="226">
        <f t="shared" si="6"/>
        <v>0</v>
      </c>
      <c r="L127" s="226">
        <f t="shared" si="7"/>
        <v>10905</v>
      </c>
    </row>
    <row r="128" spans="3:12" x14ac:dyDescent="0.2">
      <c r="C128" s="103" t="s">
        <v>859</v>
      </c>
      <c r="D128" s="135">
        <v>10</v>
      </c>
      <c r="E128" s="135" t="s">
        <v>1280</v>
      </c>
      <c r="F128" s="226"/>
      <c r="G128" s="239">
        <v>1685</v>
      </c>
      <c r="H128" s="226"/>
      <c r="I128" s="230">
        <f t="shared" si="4"/>
        <v>0</v>
      </c>
      <c r="J128" s="230">
        <f t="shared" si="5"/>
        <v>16850</v>
      </c>
      <c r="K128" s="226">
        <f t="shared" si="6"/>
        <v>0</v>
      </c>
      <c r="L128" s="226">
        <f t="shared" si="7"/>
        <v>16850</v>
      </c>
    </row>
    <row r="129" spans="3:12" x14ac:dyDescent="0.2">
      <c r="C129" s="103" t="s">
        <v>453</v>
      </c>
      <c r="D129" s="135">
        <v>2</v>
      </c>
      <c r="E129" s="135" t="s">
        <v>1280</v>
      </c>
      <c r="F129" s="226"/>
      <c r="G129" s="240">
        <v>1194</v>
      </c>
      <c r="H129" s="226"/>
      <c r="I129" s="230">
        <f t="shared" si="4"/>
        <v>0</v>
      </c>
      <c r="J129" s="230">
        <f t="shared" si="5"/>
        <v>2388</v>
      </c>
      <c r="K129" s="226">
        <f t="shared" si="6"/>
        <v>0</v>
      </c>
      <c r="L129" s="226">
        <f t="shared" si="7"/>
        <v>2388</v>
      </c>
    </row>
    <row r="130" spans="3:12" x14ac:dyDescent="0.2">
      <c r="C130" s="103" t="s">
        <v>455</v>
      </c>
      <c r="D130" s="135">
        <v>4</v>
      </c>
      <c r="E130" s="135" t="s">
        <v>1280</v>
      </c>
      <c r="F130" s="226"/>
      <c r="G130" s="240">
        <v>253.57</v>
      </c>
      <c r="H130" s="226"/>
      <c r="I130" s="230">
        <f t="shared" si="4"/>
        <v>0</v>
      </c>
      <c r="J130" s="230">
        <f t="shared" si="5"/>
        <v>1014.28</v>
      </c>
      <c r="K130" s="226">
        <f t="shared" si="6"/>
        <v>0</v>
      </c>
      <c r="L130" s="226">
        <f t="shared" si="7"/>
        <v>1014.28</v>
      </c>
    </row>
    <row r="131" spans="3:12" x14ac:dyDescent="0.2">
      <c r="C131" s="103" t="s">
        <v>524</v>
      </c>
      <c r="D131" s="135">
        <v>60</v>
      </c>
      <c r="E131" s="135" t="s">
        <v>1280</v>
      </c>
      <c r="F131" s="226"/>
      <c r="G131" s="240">
        <v>65.86</v>
      </c>
      <c r="H131" s="226"/>
      <c r="I131" s="230">
        <f t="shared" si="4"/>
        <v>0</v>
      </c>
      <c r="J131" s="230">
        <f t="shared" si="5"/>
        <v>3951.6</v>
      </c>
      <c r="K131" s="226">
        <f t="shared" si="6"/>
        <v>0</v>
      </c>
      <c r="L131" s="226">
        <f t="shared" si="7"/>
        <v>3951.6</v>
      </c>
    </row>
    <row r="132" spans="3:12" x14ac:dyDescent="0.2">
      <c r="C132" s="103" t="s">
        <v>454</v>
      </c>
      <c r="D132" s="135">
        <v>100</v>
      </c>
      <c r="E132" s="135" t="s">
        <v>1280</v>
      </c>
      <c r="F132" s="226"/>
      <c r="G132" s="240">
        <v>250</v>
      </c>
      <c r="H132" s="226"/>
      <c r="I132" s="230">
        <f t="shared" ref="I132:I159" si="8">F132*D132</f>
        <v>0</v>
      </c>
      <c r="J132" s="230">
        <f t="shared" si="5"/>
        <v>25000</v>
      </c>
      <c r="K132" s="226">
        <f t="shared" si="6"/>
        <v>0</v>
      </c>
      <c r="L132" s="226">
        <f t="shared" si="7"/>
        <v>25000</v>
      </c>
    </row>
    <row r="133" spans="3:12" x14ac:dyDescent="0.2">
      <c r="C133" s="103" t="s">
        <v>471</v>
      </c>
      <c r="D133" s="135">
        <v>62</v>
      </c>
      <c r="E133" s="135" t="s">
        <v>1280</v>
      </c>
      <c r="F133" s="226"/>
      <c r="G133" s="240">
        <v>1180</v>
      </c>
      <c r="H133" s="226"/>
      <c r="I133" s="230">
        <f t="shared" si="8"/>
        <v>0</v>
      </c>
      <c r="J133" s="230">
        <f t="shared" si="5"/>
        <v>73160</v>
      </c>
      <c r="K133" s="226">
        <f t="shared" si="6"/>
        <v>0</v>
      </c>
      <c r="L133" s="226">
        <f t="shared" si="7"/>
        <v>73160</v>
      </c>
    </row>
    <row r="134" spans="3:12" x14ac:dyDescent="0.2">
      <c r="C134" s="103" t="s">
        <v>470</v>
      </c>
      <c r="D134" s="135">
        <v>2</v>
      </c>
      <c r="E134" s="135" t="s">
        <v>1280</v>
      </c>
      <c r="F134" s="226"/>
      <c r="G134" s="240">
        <v>1757</v>
      </c>
      <c r="H134" s="226"/>
      <c r="I134" s="230">
        <f t="shared" si="8"/>
        <v>0</v>
      </c>
      <c r="J134" s="230">
        <f t="shared" si="5"/>
        <v>3514</v>
      </c>
      <c r="K134" s="226">
        <f t="shared" si="6"/>
        <v>0</v>
      </c>
      <c r="L134" s="226">
        <f t="shared" si="7"/>
        <v>3514</v>
      </c>
    </row>
    <row r="135" spans="3:12" x14ac:dyDescent="0.2">
      <c r="C135" s="103" t="s">
        <v>473</v>
      </c>
      <c r="D135" s="135">
        <v>6</v>
      </c>
      <c r="E135" s="135" t="s">
        <v>1280</v>
      </c>
      <c r="F135" s="226"/>
      <c r="G135" s="240">
        <v>1447</v>
      </c>
      <c r="H135" s="226"/>
      <c r="I135" s="230">
        <f t="shared" si="8"/>
        <v>0</v>
      </c>
      <c r="J135" s="230">
        <f t="shared" si="5"/>
        <v>8682</v>
      </c>
      <c r="K135" s="226">
        <f t="shared" si="6"/>
        <v>0</v>
      </c>
      <c r="L135" s="226">
        <f t="shared" si="7"/>
        <v>8682</v>
      </c>
    </row>
    <row r="136" spans="3:12" x14ac:dyDescent="0.2">
      <c r="C136" s="103" t="s">
        <v>869</v>
      </c>
      <c r="D136" s="135">
        <v>30</v>
      </c>
      <c r="E136" s="135" t="s">
        <v>1280</v>
      </c>
      <c r="F136" s="226"/>
      <c r="G136" s="240">
        <v>270</v>
      </c>
      <c r="H136" s="226"/>
      <c r="I136" s="230">
        <f t="shared" si="8"/>
        <v>0</v>
      </c>
      <c r="J136" s="230">
        <f t="shared" si="5"/>
        <v>8100</v>
      </c>
      <c r="K136" s="226">
        <f t="shared" si="6"/>
        <v>0</v>
      </c>
      <c r="L136" s="226">
        <f t="shared" si="7"/>
        <v>8100</v>
      </c>
    </row>
    <row r="137" spans="3:12" x14ac:dyDescent="0.2">
      <c r="C137" s="103" t="s">
        <v>868</v>
      </c>
      <c r="D137" s="135">
        <v>1</v>
      </c>
      <c r="E137" s="135" t="s">
        <v>1280</v>
      </c>
      <c r="F137" s="226"/>
      <c r="G137" s="240">
        <v>612</v>
      </c>
      <c r="H137" s="226"/>
      <c r="I137" s="230">
        <f t="shared" si="8"/>
        <v>0</v>
      </c>
      <c r="J137" s="230">
        <f t="shared" si="5"/>
        <v>612</v>
      </c>
      <c r="K137" s="226">
        <f t="shared" si="6"/>
        <v>0</v>
      </c>
      <c r="L137" s="226">
        <f t="shared" si="7"/>
        <v>612</v>
      </c>
    </row>
    <row r="138" spans="3:12" x14ac:dyDescent="0.2">
      <c r="C138" s="103" t="s">
        <v>871</v>
      </c>
      <c r="D138" s="135">
        <v>4</v>
      </c>
      <c r="E138" s="135" t="s">
        <v>1280</v>
      </c>
      <c r="F138" s="226"/>
      <c r="G138" s="240">
        <v>386</v>
      </c>
      <c r="H138" s="226"/>
      <c r="I138" s="230">
        <f t="shared" si="8"/>
        <v>0</v>
      </c>
      <c r="J138" s="230">
        <f t="shared" si="5"/>
        <v>1544</v>
      </c>
      <c r="K138" s="226">
        <f t="shared" si="6"/>
        <v>0</v>
      </c>
      <c r="L138" s="226">
        <f t="shared" si="7"/>
        <v>1544</v>
      </c>
    </row>
    <row r="139" spans="3:12" x14ac:dyDescent="0.2">
      <c r="C139" s="103" t="s">
        <v>361</v>
      </c>
      <c r="D139" s="135">
        <v>60</v>
      </c>
      <c r="E139" s="135" t="s">
        <v>1298</v>
      </c>
      <c r="F139" s="226"/>
      <c r="G139" s="240">
        <v>893.83</v>
      </c>
      <c r="H139" s="226"/>
      <c r="I139" s="230">
        <f t="shared" si="8"/>
        <v>0</v>
      </c>
      <c r="J139" s="230">
        <f t="shared" si="5"/>
        <v>53629.8</v>
      </c>
      <c r="K139" s="226">
        <f t="shared" si="6"/>
        <v>0</v>
      </c>
      <c r="L139" s="226">
        <f t="shared" si="7"/>
        <v>53629.8</v>
      </c>
    </row>
    <row r="140" spans="3:12" x14ac:dyDescent="0.2">
      <c r="C140" s="103" t="s">
        <v>359</v>
      </c>
      <c r="D140" s="135">
        <v>30</v>
      </c>
      <c r="E140" s="135" t="s">
        <v>1298</v>
      </c>
      <c r="F140" s="226"/>
      <c r="G140" s="240">
        <v>893.83</v>
      </c>
      <c r="H140" s="226"/>
      <c r="I140" s="230">
        <f t="shared" si="8"/>
        <v>0</v>
      </c>
      <c r="J140" s="230">
        <f t="shared" si="5"/>
        <v>26814.9</v>
      </c>
      <c r="K140" s="226">
        <f t="shared" si="6"/>
        <v>0</v>
      </c>
      <c r="L140" s="226">
        <f t="shared" si="7"/>
        <v>26814.9</v>
      </c>
    </row>
    <row r="141" spans="3:12" x14ac:dyDescent="0.2">
      <c r="C141" s="103" t="s">
        <v>363</v>
      </c>
      <c r="D141" s="135">
        <v>30</v>
      </c>
      <c r="E141" s="135" t="s">
        <v>1298</v>
      </c>
      <c r="F141" s="226"/>
      <c r="G141" s="240">
        <v>893.83</v>
      </c>
      <c r="H141" s="226"/>
      <c r="I141" s="230">
        <f t="shared" si="8"/>
        <v>0</v>
      </c>
      <c r="J141" s="230">
        <f t="shared" si="5"/>
        <v>26814.9</v>
      </c>
      <c r="K141" s="226">
        <f t="shared" si="6"/>
        <v>0</v>
      </c>
      <c r="L141" s="226">
        <f t="shared" si="7"/>
        <v>26814.9</v>
      </c>
    </row>
    <row r="142" spans="3:12" x14ac:dyDescent="0.2">
      <c r="C142" s="103" t="s">
        <v>345</v>
      </c>
      <c r="D142" s="135">
        <v>180</v>
      </c>
      <c r="E142" s="135" t="s">
        <v>1298</v>
      </c>
      <c r="F142" s="226"/>
      <c r="G142" s="240">
        <v>526.89</v>
      </c>
      <c r="H142" s="226"/>
      <c r="I142" s="230">
        <f t="shared" si="8"/>
        <v>0</v>
      </c>
      <c r="J142" s="230">
        <f t="shared" si="5"/>
        <v>94840.2</v>
      </c>
      <c r="K142" s="226">
        <f t="shared" si="6"/>
        <v>0</v>
      </c>
      <c r="L142" s="226">
        <f t="shared" si="7"/>
        <v>94840.2</v>
      </c>
    </row>
    <row r="143" spans="3:12" x14ac:dyDescent="0.2">
      <c r="C143" s="103" t="s">
        <v>347</v>
      </c>
      <c r="D143" s="135">
        <v>75</v>
      </c>
      <c r="E143" s="135" t="s">
        <v>1298</v>
      </c>
      <c r="F143" s="226"/>
      <c r="G143" s="240">
        <v>526.89</v>
      </c>
      <c r="H143" s="226"/>
      <c r="I143" s="230">
        <f t="shared" si="8"/>
        <v>0</v>
      </c>
      <c r="J143" s="230">
        <f t="shared" si="5"/>
        <v>39516.75</v>
      </c>
      <c r="K143" s="226">
        <f t="shared" si="6"/>
        <v>0</v>
      </c>
      <c r="L143" s="226">
        <f t="shared" si="7"/>
        <v>39516.75</v>
      </c>
    </row>
    <row r="144" spans="3:12" x14ac:dyDescent="0.2">
      <c r="C144" s="103" t="s">
        <v>349</v>
      </c>
      <c r="D144" s="135">
        <v>150</v>
      </c>
      <c r="E144" s="135" t="s">
        <v>1298</v>
      </c>
      <c r="F144" s="226"/>
      <c r="G144" s="240">
        <v>282.26</v>
      </c>
      <c r="H144" s="226"/>
      <c r="I144" s="230">
        <f t="shared" si="8"/>
        <v>0</v>
      </c>
      <c r="J144" s="230">
        <f t="shared" si="5"/>
        <v>42339</v>
      </c>
      <c r="K144" s="226">
        <f t="shared" si="6"/>
        <v>0</v>
      </c>
      <c r="L144" s="226">
        <f t="shared" si="7"/>
        <v>42339</v>
      </c>
    </row>
    <row r="145" spans="3:12" x14ac:dyDescent="0.2">
      <c r="C145" s="103" t="s">
        <v>354</v>
      </c>
      <c r="D145" s="135">
        <v>270</v>
      </c>
      <c r="E145" s="135" t="s">
        <v>1298</v>
      </c>
      <c r="F145" s="226"/>
      <c r="G145" s="240">
        <v>282.26</v>
      </c>
      <c r="H145" s="226"/>
      <c r="I145" s="230">
        <f t="shared" si="8"/>
        <v>0</v>
      </c>
      <c r="J145" s="230">
        <f t="shared" si="5"/>
        <v>76210.2</v>
      </c>
      <c r="K145" s="226">
        <f t="shared" si="6"/>
        <v>0</v>
      </c>
      <c r="L145" s="226">
        <f t="shared" si="7"/>
        <v>76210.2</v>
      </c>
    </row>
    <row r="146" spans="3:12" x14ac:dyDescent="0.2">
      <c r="C146" s="103" t="s">
        <v>353</v>
      </c>
      <c r="D146" s="135">
        <v>350</v>
      </c>
      <c r="E146" s="135" t="s">
        <v>1298</v>
      </c>
      <c r="F146" s="226"/>
      <c r="G146" s="240">
        <v>282.26</v>
      </c>
      <c r="H146" s="226"/>
      <c r="I146" s="230">
        <f t="shared" si="8"/>
        <v>0</v>
      </c>
      <c r="J146" s="230">
        <f t="shared" si="5"/>
        <v>98791</v>
      </c>
      <c r="K146" s="226">
        <f t="shared" si="6"/>
        <v>0</v>
      </c>
      <c r="L146" s="226">
        <f t="shared" si="7"/>
        <v>98791</v>
      </c>
    </row>
    <row r="147" spans="3:12" x14ac:dyDescent="0.2">
      <c r="C147" s="103" t="s">
        <v>351</v>
      </c>
      <c r="D147" s="135">
        <v>350</v>
      </c>
      <c r="E147" s="135" t="s">
        <v>1298</v>
      </c>
      <c r="F147" s="226"/>
      <c r="G147" s="240">
        <v>282.26</v>
      </c>
      <c r="H147" s="226"/>
      <c r="I147" s="230">
        <f t="shared" si="8"/>
        <v>0</v>
      </c>
      <c r="J147" s="230">
        <f t="shared" ref="J147:J159" si="9">G147*D147</f>
        <v>98791</v>
      </c>
      <c r="K147" s="226">
        <f t="shared" ref="K147:K159" si="10">H147*D147</f>
        <v>0</v>
      </c>
      <c r="L147" s="226">
        <f t="shared" ref="L147:L159" si="11">K147+J147+I147</f>
        <v>98791</v>
      </c>
    </row>
    <row r="148" spans="3:12" x14ac:dyDescent="0.2">
      <c r="C148" s="103" t="s">
        <v>357</v>
      </c>
      <c r="D148" s="135">
        <v>350</v>
      </c>
      <c r="E148" s="135" t="s">
        <v>1298</v>
      </c>
      <c r="F148" s="226"/>
      <c r="G148" s="240">
        <v>282.26</v>
      </c>
      <c r="H148" s="226"/>
      <c r="I148" s="230">
        <f t="shared" si="8"/>
        <v>0</v>
      </c>
      <c r="J148" s="230">
        <f t="shared" si="9"/>
        <v>98791</v>
      </c>
      <c r="K148" s="226">
        <f t="shared" si="10"/>
        <v>0</v>
      </c>
      <c r="L148" s="226">
        <f t="shared" si="11"/>
        <v>98791</v>
      </c>
    </row>
    <row r="149" spans="3:12" x14ac:dyDescent="0.2">
      <c r="C149" s="103" t="s">
        <v>445</v>
      </c>
      <c r="D149" s="135">
        <v>200</v>
      </c>
      <c r="E149" s="135" t="s">
        <v>1298</v>
      </c>
      <c r="F149" s="226"/>
      <c r="G149" s="240">
        <v>122.31</v>
      </c>
      <c r="H149" s="226"/>
      <c r="I149" s="230">
        <f t="shared" si="8"/>
        <v>0</v>
      </c>
      <c r="J149" s="230">
        <f t="shared" si="9"/>
        <v>24462</v>
      </c>
      <c r="K149" s="226">
        <f t="shared" si="10"/>
        <v>0</v>
      </c>
      <c r="L149" s="226">
        <f t="shared" si="11"/>
        <v>24462</v>
      </c>
    </row>
    <row r="150" spans="3:12" x14ac:dyDescent="0.2">
      <c r="C150" s="103" t="s">
        <v>370</v>
      </c>
      <c r="D150" s="135">
        <v>42</v>
      </c>
      <c r="E150" s="135" t="s">
        <v>1298</v>
      </c>
      <c r="F150" s="226"/>
      <c r="G150" s="240">
        <v>1348.53</v>
      </c>
      <c r="H150" s="226"/>
      <c r="I150" s="230">
        <f t="shared" si="8"/>
        <v>0</v>
      </c>
      <c r="J150" s="230">
        <f t="shared" si="9"/>
        <v>56638.26</v>
      </c>
      <c r="K150" s="226">
        <f t="shared" si="10"/>
        <v>0</v>
      </c>
      <c r="L150" s="226">
        <f t="shared" si="11"/>
        <v>56638.26</v>
      </c>
    </row>
    <row r="151" spans="3:12" x14ac:dyDescent="0.2">
      <c r="C151" s="103" t="s">
        <v>703</v>
      </c>
      <c r="D151" s="135">
        <v>16</v>
      </c>
      <c r="E151" s="135" t="s">
        <v>1280</v>
      </c>
      <c r="F151" s="226"/>
      <c r="G151" s="240">
        <v>658.61</v>
      </c>
      <c r="H151" s="226"/>
      <c r="I151" s="230">
        <f t="shared" si="8"/>
        <v>0</v>
      </c>
      <c r="J151" s="230">
        <f t="shared" si="9"/>
        <v>10537.76</v>
      </c>
      <c r="K151" s="226">
        <f t="shared" si="10"/>
        <v>0</v>
      </c>
      <c r="L151" s="226">
        <f t="shared" si="11"/>
        <v>10537.76</v>
      </c>
    </row>
    <row r="152" spans="3:12" x14ac:dyDescent="0.2">
      <c r="C152" s="103" t="s">
        <v>310</v>
      </c>
      <c r="D152" s="135">
        <v>7</v>
      </c>
      <c r="E152" s="135" t="s">
        <v>1280</v>
      </c>
      <c r="F152" s="226"/>
      <c r="G152" s="240">
        <v>2352.19</v>
      </c>
      <c r="H152" s="226"/>
      <c r="I152" s="230">
        <f t="shared" si="8"/>
        <v>0</v>
      </c>
      <c r="J152" s="230">
        <f t="shared" si="9"/>
        <v>16465.330000000002</v>
      </c>
      <c r="K152" s="226">
        <f t="shared" si="10"/>
        <v>0</v>
      </c>
      <c r="L152" s="226">
        <f t="shared" si="11"/>
        <v>16465.330000000002</v>
      </c>
    </row>
    <row r="153" spans="3:12" x14ac:dyDescent="0.2">
      <c r="C153" s="103" t="s">
        <v>308</v>
      </c>
      <c r="D153" s="135">
        <v>2</v>
      </c>
      <c r="E153" s="135" t="s">
        <v>1280</v>
      </c>
      <c r="F153" s="226"/>
      <c r="G153" s="240">
        <v>2822.63</v>
      </c>
      <c r="H153" s="226"/>
      <c r="I153" s="230">
        <f t="shared" si="8"/>
        <v>0</v>
      </c>
      <c r="J153" s="230">
        <f t="shared" si="9"/>
        <v>5645.26</v>
      </c>
      <c r="K153" s="226">
        <f t="shared" si="10"/>
        <v>0</v>
      </c>
      <c r="L153" s="226">
        <f t="shared" si="11"/>
        <v>5645.26</v>
      </c>
    </row>
    <row r="154" spans="3:12" x14ac:dyDescent="0.2">
      <c r="C154" s="103" t="s">
        <v>313</v>
      </c>
      <c r="D154" s="135">
        <v>1</v>
      </c>
      <c r="E154" s="135" t="s">
        <v>1280</v>
      </c>
      <c r="F154" s="226"/>
      <c r="G154" s="240">
        <v>5050.49</v>
      </c>
      <c r="H154" s="226"/>
      <c r="I154" s="230">
        <f t="shared" si="8"/>
        <v>0</v>
      </c>
      <c r="J154" s="230">
        <f t="shared" si="9"/>
        <v>5050.49</v>
      </c>
      <c r="K154" s="226">
        <f t="shared" si="10"/>
        <v>0</v>
      </c>
      <c r="L154" s="226">
        <f t="shared" si="11"/>
        <v>5050.49</v>
      </c>
    </row>
    <row r="155" spans="3:12" x14ac:dyDescent="0.2">
      <c r="C155" s="103" t="s">
        <v>807</v>
      </c>
      <c r="D155" s="135">
        <v>22</v>
      </c>
      <c r="E155" s="135" t="s">
        <v>1280</v>
      </c>
      <c r="F155" s="226"/>
      <c r="G155" s="240">
        <v>2446.2800000000002</v>
      </c>
      <c r="H155" s="226"/>
      <c r="I155" s="230">
        <f t="shared" si="8"/>
        <v>0</v>
      </c>
      <c r="J155" s="230">
        <f t="shared" si="9"/>
        <v>53818.16</v>
      </c>
      <c r="K155" s="226">
        <f t="shared" si="10"/>
        <v>0</v>
      </c>
      <c r="L155" s="226">
        <f t="shared" si="11"/>
        <v>53818.16</v>
      </c>
    </row>
    <row r="156" spans="3:12" x14ac:dyDescent="0.2">
      <c r="C156" s="103" t="s">
        <v>316</v>
      </c>
      <c r="D156" s="135">
        <v>2</v>
      </c>
      <c r="E156" s="135" t="s">
        <v>1280</v>
      </c>
      <c r="F156" s="226"/>
      <c r="G156" s="240">
        <v>291.67</v>
      </c>
      <c r="H156" s="226"/>
      <c r="I156" s="230">
        <f t="shared" si="8"/>
        <v>0</v>
      </c>
      <c r="J156" s="230">
        <f t="shared" si="9"/>
        <v>583.34</v>
      </c>
      <c r="K156" s="226">
        <f t="shared" si="10"/>
        <v>0</v>
      </c>
      <c r="L156" s="226">
        <f t="shared" si="11"/>
        <v>583.34</v>
      </c>
    </row>
    <row r="157" spans="3:12" x14ac:dyDescent="0.2">
      <c r="C157" s="103" t="s">
        <v>699</v>
      </c>
      <c r="D157" s="135">
        <v>3</v>
      </c>
      <c r="E157" s="135" t="s">
        <v>1280</v>
      </c>
      <c r="F157" s="226"/>
      <c r="G157" s="240">
        <v>850.78</v>
      </c>
      <c r="H157" s="226"/>
      <c r="I157" s="230">
        <f t="shared" si="8"/>
        <v>0</v>
      </c>
      <c r="J157" s="230">
        <f t="shared" si="9"/>
        <v>2552.34</v>
      </c>
      <c r="K157" s="226">
        <f t="shared" si="10"/>
        <v>0</v>
      </c>
      <c r="L157" s="226">
        <f t="shared" si="11"/>
        <v>2552.34</v>
      </c>
    </row>
    <row r="158" spans="3:12" x14ac:dyDescent="0.2">
      <c r="C158" s="103" t="s">
        <v>1115</v>
      </c>
      <c r="D158" s="135">
        <v>3</v>
      </c>
      <c r="E158" s="135" t="s">
        <v>1280</v>
      </c>
      <c r="F158" s="226"/>
      <c r="G158" s="240">
        <v>3658.59</v>
      </c>
      <c r="H158" s="226"/>
      <c r="I158" s="230">
        <f t="shared" si="8"/>
        <v>0</v>
      </c>
      <c r="J158" s="230">
        <f t="shared" si="9"/>
        <v>10975.77</v>
      </c>
      <c r="K158" s="226">
        <f t="shared" si="10"/>
        <v>0</v>
      </c>
      <c r="L158" s="226">
        <f t="shared" si="11"/>
        <v>10975.77</v>
      </c>
    </row>
    <row r="159" spans="3:12" x14ac:dyDescent="0.2">
      <c r="C159" s="103" t="s">
        <v>1285</v>
      </c>
      <c r="D159" s="135">
        <v>1</v>
      </c>
      <c r="E159" s="135" t="s">
        <v>1290</v>
      </c>
      <c r="F159" s="226">
        <v>390000</v>
      </c>
      <c r="G159" s="226"/>
      <c r="H159" s="226"/>
      <c r="I159" s="230">
        <f t="shared" si="8"/>
        <v>390000</v>
      </c>
      <c r="J159" s="230">
        <f t="shared" si="9"/>
        <v>0</v>
      </c>
      <c r="K159" s="226">
        <f t="shared" si="10"/>
        <v>0</v>
      </c>
      <c r="L159" s="226">
        <f t="shared" si="11"/>
        <v>390000</v>
      </c>
    </row>
    <row r="161" spans="3:12" ht="15.75" thickBot="1" x14ac:dyDescent="0.25">
      <c r="C161" s="66" t="s">
        <v>1287</v>
      </c>
      <c r="D161" s="67"/>
      <c r="E161" s="67"/>
      <c r="F161" s="82"/>
      <c r="G161" s="82"/>
      <c r="H161" s="82"/>
      <c r="I161" s="69">
        <f>SUM(I152:I160)</f>
        <v>390000</v>
      </c>
      <c r="J161" s="245">
        <f>SUM(J119:J160)</f>
        <v>1135892.1600000001</v>
      </c>
      <c r="K161" s="69">
        <f>SUM(K136:K160)</f>
        <v>0</v>
      </c>
      <c r="L161" s="68">
        <f>SUM(I161:K161)</f>
        <v>1525892.1600000001</v>
      </c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B0A69-1C5B-4073-BE81-17D0C1C9EF99}">
  <sheetPr codeName="Sheet6"/>
  <dimension ref="B2:K24"/>
  <sheetViews>
    <sheetView workbookViewId="0"/>
  </sheetViews>
  <sheetFormatPr defaultColWidth="9.55078125" defaultRowHeight="14.25" x14ac:dyDescent="0.15"/>
  <cols>
    <col min="1" max="5" width="9.55078125" style="92"/>
    <col min="6" max="6" width="14.52734375" style="92" bestFit="1" customWidth="1"/>
    <col min="7" max="7" width="16.54296875" style="92" bestFit="1" customWidth="1"/>
    <col min="8" max="16384" width="9.55078125" style="92"/>
  </cols>
  <sheetData>
    <row r="2" spans="2:11" x14ac:dyDescent="0.15">
      <c r="B2" s="91" t="s">
        <v>259</v>
      </c>
    </row>
    <row r="3" spans="2:11" x14ac:dyDescent="0.15">
      <c r="B3" s="246" t="s">
        <v>1141</v>
      </c>
      <c r="C3" s="246" t="s">
        <v>1140</v>
      </c>
      <c r="D3" s="246" t="s">
        <v>1146</v>
      </c>
      <c r="E3" s="246" t="s">
        <v>1139</v>
      </c>
    </row>
    <row r="4" spans="2:11" x14ac:dyDescent="0.15">
      <c r="B4" s="247" t="s">
        <v>1305</v>
      </c>
      <c r="C4" s="247">
        <v>1.4</v>
      </c>
      <c r="D4" s="247">
        <v>1.85</v>
      </c>
      <c r="E4" s="247">
        <f>+C4*D4</f>
        <v>2.59</v>
      </c>
    </row>
    <row r="5" spans="2:11" x14ac:dyDescent="0.15">
      <c r="B5" s="247" t="s">
        <v>1306</v>
      </c>
      <c r="C5" s="247">
        <v>1.4</v>
      </c>
      <c r="D5" s="247">
        <v>1.85</v>
      </c>
      <c r="E5" s="247">
        <f>+C5*D5</f>
        <v>2.59</v>
      </c>
    </row>
    <row r="6" spans="2:11" x14ac:dyDescent="0.15">
      <c r="B6" s="247" t="s">
        <v>1307</v>
      </c>
      <c r="C6" s="247">
        <v>0.65</v>
      </c>
      <c r="D6" s="247">
        <v>0.55000000000000004</v>
      </c>
      <c r="E6" s="247">
        <f>+C6*D6</f>
        <v>0.35750000000000004</v>
      </c>
    </row>
    <row r="7" spans="2:11" x14ac:dyDescent="0.15">
      <c r="B7" s="247" t="s">
        <v>1308</v>
      </c>
      <c r="C7" s="247">
        <v>0.65</v>
      </c>
      <c r="D7" s="247">
        <v>0.55000000000000004</v>
      </c>
      <c r="E7" s="247">
        <f>+C7*D7</f>
        <v>0.35750000000000004</v>
      </c>
    </row>
    <row r="8" spans="2:11" x14ac:dyDescent="0.15">
      <c r="B8" s="247" t="s">
        <v>1308</v>
      </c>
      <c r="C8" s="247">
        <v>1.25</v>
      </c>
      <c r="D8" s="247">
        <v>0.45</v>
      </c>
      <c r="E8" s="247">
        <f>+C8*D8</f>
        <v>0.5625</v>
      </c>
    </row>
    <row r="9" spans="2:11" x14ac:dyDescent="0.15">
      <c r="D9" s="91" t="s">
        <v>1139</v>
      </c>
      <c r="E9" s="91">
        <f>SUM(E4:E8)</f>
        <v>6.4574999999999996</v>
      </c>
      <c r="F9" s="93">
        <f>+K14</f>
        <v>58099.831987426151</v>
      </c>
      <c r="G9" s="94">
        <f>+E9*F9</f>
        <v>375179.66505880433</v>
      </c>
    </row>
    <row r="11" spans="2:11" x14ac:dyDescent="0.15">
      <c r="B11" s="91" t="s">
        <v>1107</v>
      </c>
    </row>
    <row r="12" spans="2:11" x14ac:dyDescent="0.15">
      <c r="B12" s="246" t="s">
        <v>1141</v>
      </c>
      <c r="C12" s="246" t="s">
        <v>1140</v>
      </c>
      <c r="D12" s="246" t="s">
        <v>1146</v>
      </c>
      <c r="E12" s="246" t="s">
        <v>1139</v>
      </c>
    </row>
    <row r="13" spans="2:11" x14ac:dyDescent="0.15">
      <c r="B13" s="247" t="s">
        <v>1309</v>
      </c>
      <c r="C13" s="247">
        <v>1.7</v>
      </c>
      <c r="D13" s="247">
        <v>2.15</v>
      </c>
      <c r="E13" s="247">
        <f>+C13*D13</f>
        <v>3.6549999999999998</v>
      </c>
    </row>
    <row r="14" spans="2:11" x14ac:dyDescent="0.15">
      <c r="B14" s="247" t="s">
        <v>1310</v>
      </c>
      <c r="C14" s="247">
        <v>1.7</v>
      </c>
      <c r="D14" s="247">
        <v>2.1</v>
      </c>
      <c r="E14" s="247">
        <f>+C14*D14</f>
        <v>3.57</v>
      </c>
      <c r="K14" s="92">
        <f>1072000/(E9+E17)</f>
        <v>58099.831987426151</v>
      </c>
    </row>
    <row r="15" spans="2:11" x14ac:dyDescent="0.15">
      <c r="B15" s="247" t="s">
        <v>1311</v>
      </c>
      <c r="C15" s="247">
        <v>0.8</v>
      </c>
      <c r="D15" s="247">
        <v>2.1</v>
      </c>
      <c r="E15" s="247">
        <f>+C15*D15</f>
        <v>1.6800000000000002</v>
      </c>
    </row>
    <row r="16" spans="2:11" x14ac:dyDescent="0.15">
      <c r="B16" s="247" t="s">
        <v>1311</v>
      </c>
      <c r="C16" s="247">
        <v>1.45</v>
      </c>
      <c r="D16" s="247">
        <v>2.13</v>
      </c>
      <c r="E16" s="247">
        <f>+C16*D16</f>
        <v>3.0884999999999998</v>
      </c>
    </row>
    <row r="17" spans="4:7" x14ac:dyDescent="0.15">
      <c r="D17" s="91" t="s">
        <v>1139</v>
      </c>
      <c r="E17" s="91">
        <f>SUM(E12:E16)</f>
        <v>11.993499999999999</v>
      </c>
      <c r="F17" s="93">
        <f>+K14</f>
        <v>58099.831987426151</v>
      </c>
      <c r="G17" s="94">
        <f>+E17*F17</f>
        <v>696820.33494119544</v>
      </c>
    </row>
    <row r="19" spans="4:7" x14ac:dyDescent="0.15">
      <c r="F19" s="248" t="s">
        <v>1312</v>
      </c>
      <c r="G19" s="249">
        <f>+G9+G17</f>
        <v>1071999.9999999998</v>
      </c>
    </row>
    <row r="21" spans="4:7" x14ac:dyDescent="0.15">
      <c r="F21" s="248" t="s">
        <v>1313</v>
      </c>
      <c r="G21" s="249">
        <v>696000</v>
      </c>
    </row>
    <row r="23" spans="4:7" x14ac:dyDescent="0.15">
      <c r="F23" s="248" t="s">
        <v>1011</v>
      </c>
      <c r="G23" s="249">
        <f>+G19-G21</f>
        <v>375999.99999999977</v>
      </c>
    </row>
    <row r="24" spans="4:7" x14ac:dyDescent="0.15">
      <c r="G24" s="95">
        <f>+G23/G21</f>
        <v>0.54022988505747094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FF269-1846-4766-98C1-35D97FE502F6}">
  <sheetPr codeName="Sheet7"/>
  <dimension ref="B2:E18"/>
  <sheetViews>
    <sheetView workbookViewId="0"/>
  </sheetViews>
  <sheetFormatPr defaultColWidth="9.55078125" defaultRowHeight="14.25" x14ac:dyDescent="0.15"/>
  <cols>
    <col min="1" max="1" width="9.55078125" style="92"/>
    <col min="2" max="2" width="19.50390625" style="92" customWidth="1"/>
    <col min="3" max="3" width="9.55078125" style="92"/>
    <col min="4" max="4" width="12.5078125" style="92" bestFit="1" customWidth="1"/>
    <col min="5" max="5" width="14.52734375" style="92" bestFit="1" customWidth="1"/>
    <col min="6" max="16384" width="9.55078125" style="92"/>
  </cols>
  <sheetData>
    <row r="2" spans="2:5" x14ac:dyDescent="0.15">
      <c r="B2" s="91" t="s">
        <v>1107</v>
      </c>
    </row>
    <row r="3" spans="2:5" x14ac:dyDescent="0.15">
      <c r="B3" s="91">
        <v>2021</v>
      </c>
    </row>
    <row r="4" spans="2:5" x14ac:dyDescent="0.15">
      <c r="B4" s="246" t="s">
        <v>1136</v>
      </c>
      <c r="C4" s="246" t="s">
        <v>13</v>
      </c>
      <c r="D4" s="246" t="s">
        <v>1012</v>
      </c>
      <c r="E4" s="246" t="s">
        <v>257</v>
      </c>
    </row>
    <row r="5" spans="2:5" x14ac:dyDescent="0.15">
      <c r="B5" s="247" t="s">
        <v>1107</v>
      </c>
      <c r="C5" s="247">
        <v>7</v>
      </c>
      <c r="D5" s="250">
        <v>97000</v>
      </c>
      <c r="E5" s="250">
        <f>+C5*D5</f>
        <v>679000</v>
      </c>
    </row>
    <row r="6" spans="2:5" x14ac:dyDescent="0.15">
      <c r="D6" s="91" t="s">
        <v>260</v>
      </c>
      <c r="E6" s="94">
        <f>SUM(E5)</f>
        <v>679000</v>
      </c>
    </row>
    <row r="8" spans="2:5" x14ac:dyDescent="0.15">
      <c r="B8" s="96">
        <v>44574</v>
      </c>
    </row>
    <row r="9" spans="2:5" x14ac:dyDescent="0.15">
      <c r="B9" s="246" t="s">
        <v>1136</v>
      </c>
      <c r="C9" s="246" t="s">
        <v>13</v>
      </c>
      <c r="D9" s="246" t="s">
        <v>1012</v>
      </c>
      <c r="E9" s="246" t="s">
        <v>257</v>
      </c>
    </row>
    <row r="10" spans="2:5" x14ac:dyDescent="0.15">
      <c r="B10" s="247" t="s">
        <v>1107</v>
      </c>
      <c r="C10" s="247">
        <v>7</v>
      </c>
      <c r="D10" s="250">
        <v>116000</v>
      </c>
      <c r="E10" s="250">
        <f>+C10*D10</f>
        <v>812000</v>
      </c>
    </row>
    <row r="11" spans="2:5" x14ac:dyDescent="0.15">
      <c r="D11" s="91" t="s">
        <v>260</v>
      </c>
      <c r="E11" s="94">
        <f>SUM(E10)</f>
        <v>812000</v>
      </c>
    </row>
    <row r="13" spans="2:5" x14ac:dyDescent="0.15">
      <c r="D13" s="251">
        <v>44574</v>
      </c>
      <c r="E13" s="249">
        <f>+E11</f>
        <v>812000</v>
      </c>
    </row>
    <row r="15" spans="2:5" x14ac:dyDescent="0.15">
      <c r="D15" s="248" t="s">
        <v>1313</v>
      </c>
      <c r="E15" s="249">
        <f>+E6</f>
        <v>679000</v>
      </c>
    </row>
    <row r="17" spans="4:5" x14ac:dyDescent="0.15">
      <c r="D17" s="248" t="s">
        <v>1011</v>
      </c>
      <c r="E17" s="249">
        <f>+E13-E15</f>
        <v>133000</v>
      </c>
    </row>
    <row r="18" spans="4:5" x14ac:dyDescent="0.15">
      <c r="E18" s="95">
        <f>+E17/E15</f>
        <v>0.19587628865979381</v>
      </c>
    </row>
  </sheetData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1BAFC-742C-4BC6-9F14-ACD54A83626F}">
  <dimension ref="B2:E8"/>
  <sheetViews>
    <sheetView workbookViewId="0"/>
  </sheetViews>
  <sheetFormatPr defaultColWidth="9.55078125" defaultRowHeight="15" x14ac:dyDescent="0.2"/>
  <cols>
    <col min="2" max="2" width="18.5625" bestFit="1" customWidth="1"/>
    <col min="3" max="5" width="12.5078125" bestFit="1" customWidth="1"/>
  </cols>
  <sheetData>
    <row r="2" spans="2:5" x14ac:dyDescent="0.2">
      <c r="B2" s="50" t="s">
        <v>1314</v>
      </c>
    </row>
    <row r="4" spans="2:5" x14ac:dyDescent="0.2">
      <c r="B4" s="252" t="s">
        <v>1136</v>
      </c>
      <c r="C4" s="253" t="s">
        <v>1315</v>
      </c>
      <c r="D4" s="253" t="s">
        <v>1316</v>
      </c>
      <c r="E4" s="252" t="s">
        <v>1011</v>
      </c>
    </row>
    <row r="5" spans="2:5" x14ac:dyDescent="0.2">
      <c r="B5" s="103" t="s">
        <v>1317</v>
      </c>
      <c r="C5" s="226">
        <v>403000</v>
      </c>
      <c r="D5" s="226" t="e">
        <f>+#REF!</f>
        <v>#REF!</v>
      </c>
      <c r="E5" s="226" t="e">
        <f>+C5-D5</f>
        <v>#REF!</v>
      </c>
    </row>
    <row r="6" spans="2:5" x14ac:dyDescent="0.2">
      <c r="B6" s="103" t="s">
        <v>1318</v>
      </c>
      <c r="C6" s="226">
        <v>175500</v>
      </c>
      <c r="D6" s="226" t="e">
        <f>+#REF!</f>
        <v>#REF!</v>
      </c>
      <c r="E6" s="226" t="e">
        <f>+C6-D6</f>
        <v>#REF!</v>
      </c>
    </row>
    <row r="7" spans="2:5" x14ac:dyDescent="0.2">
      <c r="B7" s="103" t="s">
        <v>1319</v>
      </c>
      <c r="C7" s="226">
        <v>65000</v>
      </c>
      <c r="D7" s="226" t="e">
        <f>+#REF!</f>
        <v>#REF!</v>
      </c>
      <c r="E7" s="226" t="e">
        <f>+C7-D7</f>
        <v>#REF!</v>
      </c>
    </row>
    <row r="8" spans="2:5" x14ac:dyDescent="0.2">
      <c r="E8" s="81" t="e">
        <f>SUM(E5:E7)</f>
        <v>#REF!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93CC1-A0A5-4C6C-8E3B-58FC97FA0DBC}">
  <dimension ref="B2:E4"/>
  <sheetViews>
    <sheetView workbookViewId="0"/>
  </sheetViews>
  <sheetFormatPr defaultColWidth="9.55078125" defaultRowHeight="15" x14ac:dyDescent="0.2"/>
  <sheetData>
    <row r="2" spans="2:5" x14ac:dyDescent="0.2">
      <c r="B2" t="s">
        <v>1320</v>
      </c>
      <c r="C2">
        <f>1.15+5.45+2.7+0.91</f>
        <v>10.210000000000001</v>
      </c>
      <c r="D2">
        <v>12000</v>
      </c>
      <c r="E2">
        <f>+C2*D2</f>
        <v>122520.00000000001</v>
      </c>
    </row>
    <row r="3" spans="2:5" x14ac:dyDescent="0.2">
      <c r="B3" t="s">
        <v>1321</v>
      </c>
      <c r="C3">
        <f>6.55+0.5+5.3+3.7+2.05+2.85+6.45+14.9</f>
        <v>42.300000000000004</v>
      </c>
      <c r="D3">
        <v>8000</v>
      </c>
      <c r="E3">
        <f>+C3*D3</f>
        <v>338400.00000000006</v>
      </c>
    </row>
    <row r="4" spans="2:5" x14ac:dyDescent="0.2">
      <c r="E4">
        <f>SUM(E2:E3)</f>
        <v>460920.00000000006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 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 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820E6E4C080384D84BD2646BDB686C4" ma:contentTypeVersion="20" ma:contentTypeDescription="Crear nuevo documento." ma:contentTypeScope="" ma:versionID="8e8ab1b645f2e7881e311dc19f783e54">
  <xsd:schema xmlns:xsd="http://www.w3.org/2001/XMLSchema" xmlns:xs="http://www.w3.org/2001/XMLSchema" xmlns:p="http://schemas.microsoft.com/office/2006/metadata/properties" xmlns:ns2="d5715ea1-f926-4c67-a300-2bd7e8c20b85" xmlns:ns3="bf0c0fd1-ec22-402a-853c-33743f9bccd6" targetNamespace="http://schemas.microsoft.com/office/2006/metadata/properties" ma:root="true" ma:fieldsID="e1aa075ef5151d05b5d0775fc2e86695" ns2:_="" ns3:_="">
    <xsd:import namespace="d5715ea1-f926-4c67-a300-2bd7e8c20b85"/>
    <xsd:import namespace="bf0c0fd1-ec22-402a-853c-33743f9bccd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Bloque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715ea1-f926-4c67-a300-2bd7e8c20b8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95d055d8-42e1-48f9-a359-b16b34cab9b5}" ma:internalName="TaxCatchAll" ma:showField="CatchAllData" ma:web="d5715ea1-f926-4c67-a300-2bd7e8c20b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0c0fd1-ec22-402a-853c-33743f9bcc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Bloque" ma:index="12" nillable="true" ma:displayName="Bloque" ma:default="Bloque 1" ma:format="Dropdown" ma:internalName="Bloque">
      <xsd:simpleType>
        <xsd:restriction base="dms:Choice">
          <xsd:enumeration value="Bloque 1"/>
          <xsd:enumeration value="Bloque 2"/>
          <xsd:enumeration value="Bloque 4"/>
          <xsd:enumeration value="Bloque 5"/>
          <xsd:enumeration value="Bloque 7"/>
          <xsd:enumeration value="Bloque 9"/>
          <xsd:enumeration value="Bloque 10"/>
          <xsd:enumeration value="Bloque 11"/>
          <xsd:enumeration value="Bloque 12"/>
        </xsd:restriction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Etiquetas de imagen" ma:readOnly="false" ma:fieldId="{5cf76f15-5ced-4ddc-b409-7134ff3c332f}" ma:taxonomyMulti="true" ma:sspId="1705aaf4-19e0-4336-9f5d-1bb5361518c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f0c0fd1-ec22-402a-853c-33743f9bccd6">
      <Terms xmlns="http://schemas.microsoft.com/office/infopath/2007/PartnerControls"/>
    </lcf76f155ced4ddcb4097134ff3c332f>
    <TaxCatchAll xmlns="d5715ea1-f926-4c67-a300-2bd7e8c20b85" xsi:nil="true"/>
    <Bloque xmlns="bf0c0fd1-ec22-402a-853c-33743f9bccd6">Bloque 1</Bloque>
  </documentManagement>
</p:properties>
</file>

<file path=customXml/item4.xml>��
</file>

<file path=customXml/itemProps1.xml><?xml version="1.0" encoding="utf-8"?>
<ds:datastoreItem xmlns:ds="http://schemas.openxmlformats.org/officeDocument/2006/customXml" ds:itemID="{7260AB2B-2C4E-4F57-8B4D-49DC66BF3D8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CAF8F61-E241-46C2-AF0C-1648083830E4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d5715ea1-f926-4c67-a300-2bd7e8c20b85"/>
    <ds:schemaRef ds:uri="bf0c0fd1-ec22-402a-853c-33743f9bccd6"/>
  </ds:schemaRefs>
</ds:datastoreItem>
</file>

<file path=customXml/itemProps3.xml><?xml version="1.0" encoding="utf-8"?>
<ds:datastoreItem xmlns:ds="http://schemas.openxmlformats.org/officeDocument/2006/customXml" ds:itemID="{EA03F6D8-DC3D-409F-9017-B4B8B2CEF7B7}">
  <ds:schemaRefs>
    <ds:schemaRef ds:uri="http://schemas.microsoft.com/office/2006/metadata/properties"/>
    <ds:schemaRef ds:uri="http://www.w3.org/2000/xmlns/"/>
    <ds:schemaRef ds:uri="bf0c0fd1-ec22-402a-853c-33743f9bccd6"/>
    <ds:schemaRef ds:uri="http://schemas.microsoft.com/office/infopath/2007/PartnerControls"/>
    <ds:schemaRef ds:uri="d5715ea1-f926-4c67-a300-2bd7e8c20b85"/>
    <ds:schemaRef ds:uri="http://www.w3.org/2001/XMLSchema-instance"/>
  </ds:schemaRefs>
</ds:datastoreItem>
</file>

<file path=customXml/itemProps4.xml><?xml version="1.0" encoding="utf-8"?>
<ds:datastoreItem xmlns:ds="http://schemas.openxmlformats.org/officeDocument/2006/customXml" ds:itemID="{4DF8C333-3D72-441E-9C35-ED5109093B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Hojas de cálculo</vt:lpstr>
      </vt:variant>
      <vt:variant>
        <vt:i4>23</vt:i4>
      </vt:variant>
      <vt:variant>
        <vt:lpstr>Rangos con nombre</vt:lpstr>
      </vt:variant>
      <vt:variant>
        <vt:i4>25</vt:i4>
      </vt:variant>
    </vt:vector>
  </HeadingPairs>
  <TitlesOfParts>
    <vt:vector size="48" baseType="lpstr">
      <vt:lpstr>ANALISIS</vt:lpstr>
      <vt:lpstr>DESGLOSE</vt:lpstr>
      <vt:lpstr>Resumen Presupuesto</vt:lpstr>
      <vt:lpstr>Descompuesto</vt:lpstr>
      <vt:lpstr>Detallado</vt:lpstr>
      <vt:lpstr>1_OG y 2_ACA</vt:lpstr>
      <vt:lpstr>3.2_MEC</vt:lpstr>
      <vt:lpstr>3.1_ELEC</vt:lpstr>
      <vt:lpstr>BASE DATOS PRECIOS </vt:lpstr>
      <vt:lpstr>HORAS MANO DE OBRA</vt:lpstr>
      <vt:lpstr>ELEC</vt:lpstr>
      <vt:lpstr>BaseDatosMuebles</vt:lpstr>
      <vt:lpstr>Subc. Vent.</vt:lpstr>
      <vt:lpstr>BASE DATOS EQUIPOS Y SUBCONTRAT</vt:lpstr>
      <vt:lpstr>BASE DATOS MANO DE OBRA</vt:lpstr>
      <vt:lpstr>COSTOS MO CUADRILLA</vt:lpstr>
      <vt:lpstr>Gastos generales</vt:lpstr>
      <vt:lpstr>Unitarios</vt:lpstr>
      <vt:lpstr>Electromecanico</vt:lpstr>
      <vt:lpstr>Ventaneria</vt:lpstr>
      <vt:lpstr>Puertas</vt:lpstr>
      <vt:lpstr>Enchapes</vt:lpstr>
      <vt:lpstr>Hojalateria</vt:lpstr>
      <vt:lpstr>Detallado!Área_de_impresión</vt:lpstr>
      <vt:lpstr>CodigoProyecto</vt:lpstr>
      <vt:lpstr>ds</vt:lpstr>
      <vt:lpstr>FAN</vt:lpstr>
      <vt:lpstr>FCL</vt:lpstr>
      <vt:lpstr>FDG</vt:lpstr>
      <vt:lpstr>KH</vt:lpstr>
      <vt:lpstr>losaa</vt:lpstr>
      <vt:lpstr>losaac</vt:lpstr>
      <vt:lpstr>losaad</vt:lpstr>
      <vt:lpstr>losac</vt:lpstr>
      <vt:lpstr>losap</vt:lpstr>
      <vt:lpstr>muroa</vt:lpstr>
      <vt:lpstr>muroad</vt:lpstr>
      <vt:lpstr>muroc</vt:lpstr>
      <vt:lpstr>murof</vt:lpstr>
      <vt:lpstr>murop</vt:lpstr>
      <vt:lpstr>Gastos generales!plazo</vt:lpstr>
      <vt:lpstr>selloa</vt:lpstr>
      <vt:lpstr>selloc</vt:lpstr>
      <vt:lpstr>sellop</vt:lpstr>
      <vt:lpstr>SOL</vt:lpstr>
      <vt:lpstr>Detallado!tc</vt:lpstr>
      <vt:lpstr>Gastos generales!tc</vt:lpstr>
      <vt:lpstr>tc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UsuarioMCI</dc:creator>
  <cp:keywords/>
  <dc:description/>
  <cp:lastModifiedBy>Hilda Villanueva</cp:lastModifiedBy>
  <cp:revision/>
  <cp:lastPrinted>2023-06-06T21:50:21Z</cp:lastPrinted>
  <dcterms:created xsi:type="dcterms:W3CDTF">2019-02-27T16:05:13Z</dcterms:created>
  <dcterms:modified xsi:type="dcterms:W3CDTF">2026-04-08T21:34:36Z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0x010100D820E6E4C080384D84BD2646BDB686C4</vt:lpwstr>
  </property>
  <property fmtid="{D5CDD505-2E9C-101B-9397-08002B2CF9AE}" pid="3" name="MediaServiceImageTags">
    <vt:lpwstr/>
  </property>
  <property fmtid="{D5CDD505-2E9C-101B-9397-08002B2CF9AE}" pid="4" name="BimCT.Renderer.Visible">
    <vt:lpwstr>false</vt:lpwstr>
  </property>
  <property fmtid="{D5CDD505-2E9C-101B-9397-08002B2CF9AE}" pid="5" name="BimCT.ModelTree.Visible">
    <vt:lpwstr>false</vt:lpwstr>
  </property>
  <property fmtid="{D5CDD505-2E9C-101B-9397-08002B2CF9AE}" pid="6" name="BimCT.Renderer.XRay">
    <vt:lpwstr>true</vt:lpwstr>
  </property>
  <property fmtid="{D5CDD505-2E9C-101B-9397-08002B2CF9AE}" pid="7" name="BimCT.Renderer.Width">
    <vt:lpwstr>600</vt:lpwstr>
  </property>
  <property fmtid="{D5CDD505-2E9C-101B-9397-08002B2CF9AE}" pid="8" name="BimCT.Renderer.DockPosition">
    <vt:lpwstr>2</vt:lpwstr>
  </property>
  <property fmtid="{D5CDD505-2E9C-101B-9397-08002B2CF9AE}" pid="9" name="BimCT.Renderer.ShadingMode">
    <vt:lpwstr>5</vt:lpwstr>
  </property>
  <property fmtid="{D5CDD505-2E9C-101B-9397-08002B2CF9AE}" pid="10" name="BimCT.ModelTree.Height">
    <vt:lpwstr>771</vt:lpwstr>
  </property>
  <property fmtid="{D5CDD505-2E9C-101B-9397-08002B2CF9AE}" pid="11" name="BimCT.Renderer.Enhanced.Silhouettes">
    <vt:lpwstr>true</vt:lpwstr>
  </property>
  <property fmtid="{D5CDD505-2E9C-101B-9397-08002B2CF9AE}" pid="12" name="BimCT.Renderer.Height">
    <vt:lpwstr>771</vt:lpwstr>
  </property>
  <property fmtid="{D5CDD505-2E9C-101B-9397-08002B2CF9AE}" pid="13" name="BimCT.Schema.Version">
    <vt:lpwstr>1.0</vt:lpwstr>
  </property>
  <property fmtid="{D5CDD505-2E9C-101B-9397-08002B2CF9AE}" pid="14" name="BimCT.ShowFPS">
    <vt:lpwstr>false</vt:lpwstr>
  </property>
  <property fmtid="{D5CDD505-2E9C-101B-9397-08002B2CF9AE}" pid="15" name="BimCT.ModelTree.Width">
    <vt:lpwstr>500</vt:lpwstr>
  </property>
  <property fmtid="{D5CDD505-2E9C-101B-9397-08002B2CF9AE}" pid="16" name="BimCT.Database.Id">
    <vt:lpwstr>94fec5e0-cf70-4232-93b6-8e13e3a0ef3f</vt:lpwstr>
  </property>
  <property fmtid="{D5CDD505-2E9C-101B-9397-08002B2CF9AE}" pid="17" name="BimCT.ModelTree.DockPosition">
    <vt:lpwstr>0</vt:lpwstr>
  </property>
</Properties>
</file>