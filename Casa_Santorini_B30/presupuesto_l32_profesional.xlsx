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Gastos generales" sheetId="4" state="visible" r:id="rId4"/>
    <sheet xmlns:r="http://schemas.openxmlformats.org/officeDocument/2006/relationships" name="1_OG y 2_ACA" sheetId="5" state="visible" r:id="rId5"/>
    <sheet xmlns:r="http://schemas.openxmlformats.org/officeDocument/2006/relationships" name="3.2_MEC" sheetId="6" state="visible" r:id="rId6"/>
    <sheet xmlns:r="http://schemas.openxmlformats.org/officeDocument/2006/relationships" name="3.1_ELEC" sheetId="7" state="visible" r:id="rId7"/>
    <sheet xmlns:r="http://schemas.openxmlformats.org/officeDocument/2006/relationships" name="Descompuesto" sheetId="8" state="visible" r:id="rId8"/>
    <sheet xmlns:r="http://schemas.openxmlformats.org/officeDocument/2006/relationships" name="Detallado" sheetId="9" state="visible" r:id="rId9"/>
    <sheet xmlns:r="http://schemas.openxmlformats.org/officeDocument/2006/relationships" name="HORAS MANO DE OBRA" sheetId="10" state="visible" r:id="rId10"/>
    <sheet xmlns:r="http://schemas.openxmlformats.org/officeDocument/2006/relationships" name="ELEC" sheetId="11" state="visible" r:id="rId11"/>
    <sheet xmlns:r="http://schemas.openxmlformats.org/officeDocument/2006/relationships" name="BaseDatosMuebles" sheetId="12" state="visible" r:id="rId12"/>
    <sheet xmlns:r="http://schemas.openxmlformats.org/officeDocument/2006/relationships" name="Subc. Vent." sheetId="13" state="visible" r:id="rId13"/>
    <sheet xmlns:r="http://schemas.openxmlformats.org/officeDocument/2006/relationships" name="BASE DATOS EQUIPOS Y SUBCONTRAT" sheetId="14" state="visible" r:id="rId14"/>
    <sheet xmlns:r="http://schemas.openxmlformats.org/officeDocument/2006/relationships" name="BASE DATOS MANO DE OBRA" sheetId="15" state="visible" r:id="rId15"/>
    <sheet xmlns:r="http://schemas.openxmlformats.org/officeDocument/2006/relationships" name="Unitarios" sheetId="16" state="visible" r:id="rId16"/>
    <sheet xmlns:r="http://schemas.openxmlformats.org/officeDocument/2006/relationships" name="Electromecanico" sheetId="17" state="visible" r:id="rId17"/>
    <sheet xmlns:r="http://schemas.openxmlformats.org/officeDocument/2006/relationships" name="Ventaneria" sheetId="18" state="visible" r:id="rId18"/>
    <sheet xmlns:r="http://schemas.openxmlformats.org/officeDocument/2006/relationships" name="Puertas" sheetId="19" state="visible" r:id="rId19"/>
    <sheet xmlns:r="http://schemas.openxmlformats.org/officeDocument/2006/relationships" name="Enchapes" sheetId="20" state="visible" r:id="rId20"/>
    <sheet xmlns:r="http://schemas.openxmlformats.org/officeDocument/2006/relationships" name="Hojalateria" sheetId="21" state="visible" r:id="rId21"/>
    <sheet xmlns:r="http://schemas.openxmlformats.org/officeDocument/2006/relationships" name="BASE DATOS PRECIOS " sheetId="22" state="visible" r:id="rId22"/>
    <sheet xmlns:r="http://schemas.openxmlformats.org/officeDocument/2006/relationships" name="COSTOS MO CUADRILL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₡#,##0.00"/>
    <numFmt numFmtId="165" formatCode="$#,##0.00"/>
    <numFmt numFmtId="166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5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PRECIO UNITARIO</t>
        </is>
      </c>
      <c r="F1" s="1" t="inlineStr">
        <is>
          <t>PRECIO TOTAL</t>
        </is>
      </c>
    </row>
    <row r="2">
      <c r="A2" s="2" t="inlineStr">
        <is>
          <t>MAT01-0001</t>
        </is>
      </c>
      <c r="B2" s="2" t="inlineStr">
        <is>
          <t>Concreto f'c 200 kg/cm2</t>
        </is>
      </c>
      <c r="C2" s="3" t="n">
        <v>25.5</v>
      </c>
      <c r="D2" s="2" t="inlineStr">
        <is>
          <t>m³</t>
        </is>
      </c>
      <c r="E2" s="4" t="n">
        <v>45000</v>
      </c>
      <c r="F2" s="4">
        <f>C2*E2</f>
        <v/>
      </c>
    </row>
    <row r="3">
      <c r="A3" s="2" t="inlineStr">
        <is>
          <t>MAT01-0002</t>
        </is>
      </c>
      <c r="B3" s="2" t="inlineStr">
        <is>
          <t>Acero de refuerzo #4</t>
        </is>
      </c>
      <c r="C3" s="3" t="n">
        <v>1500</v>
      </c>
      <c r="D3" s="2" t="inlineStr">
        <is>
          <t>kg</t>
        </is>
      </c>
      <c r="E3" s="4" t="n">
        <v>35</v>
      </c>
      <c r="F3" s="4">
        <f>C3*E3</f>
        <v/>
      </c>
    </row>
    <row r="4">
      <c r="A4" s="2" t="inlineStr">
        <is>
          <t>MAT01-0003</t>
        </is>
      </c>
      <c r="B4" s="2" t="inlineStr">
        <is>
          <t>Bloque concreto 6"</t>
        </is>
      </c>
      <c r="C4" s="3" t="n">
        <v>3000</v>
      </c>
      <c r="D4" s="2" t="inlineStr">
        <is>
          <t>pza</t>
        </is>
      </c>
      <c r="E4" s="4" t="n">
        <v>12</v>
      </c>
      <c r="F4" s="4">
        <f>C4*E4</f>
        <v/>
      </c>
    </row>
    <row r="5">
      <c r="A5" s="2" t="inlineStr">
        <is>
          <t>MAT01-0004</t>
        </is>
      </c>
      <c r="B5" s="2" t="inlineStr">
        <is>
          <t>Arena lavada</t>
        </is>
      </c>
      <c r="C5" s="3" t="n">
        <v>50</v>
      </c>
      <c r="D5" s="2" t="inlineStr">
        <is>
          <t>m³</t>
        </is>
      </c>
      <c r="E5" s="4" t="n">
        <v>8500</v>
      </c>
      <c r="F5" s="4">
        <f>C5*E5</f>
        <v/>
      </c>
    </row>
    <row r="6">
      <c r="A6" s="2" t="inlineStr">
        <is>
          <t>MAT01-0005</t>
        </is>
      </c>
      <c r="B6" s="2" t="inlineStr">
        <is>
          <t>Grava</t>
        </is>
      </c>
      <c r="C6" s="3" t="n">
        <v>40</v>
      </c>
      <c r="D6" s="2" t="inlineStr">
        <is>
          <t>m³</t>
        </is>
      </c>
      <c r="E6" s="4" t="n">
        <v>9500</v>
      </c>
      <c r="F6" s="4">
        <f>C6*E6</f>
        <v/>
      </c>
    </row>
    <row r="7">
      <c r="A7" s="2" t="inlineStr">
        <is>
          <t>MAT01-0006</t>
        </is>
      </c>
      <c r="B7" s="2" t="inlineStr">
        <is>
          <t>Acero #3</t>
        </is>
      </c>
      <c r="C7" s="3" t="n">
        <v>800</v>
      </c>
      <c r="D7" s="2" t="inlineStr">
        <is>
          <t>kg</t>
        </is>
      </c>
      <c r="E7" s="4" t="n">
        <v>32</v>
      </c>
      <c r="F7" s="4">
        <f>C7*E7</f>
        <v/>
      </c>
    </row>
    <row r="8">
      <c r="A8" s="2" t="inlineStr">
        <is>
          <t>MAT01-0007</t>
        </is>
      </c>
      <c r="B8" s="2" t="inlineStr">
        <is>
          <t>Ladrillo block 12cm</t>
        </is>
      </c>
      <c r="C8" s="3" t="n">
        <v>2500</v>
      </c>
      <c r="D8" s="2" t="inlineStr">
        <is>
          <t>pza</t>
        </is>
      </c>
      <c r="E8" s="4" t="n">
        <v>15</v>
      </c>
      <c r="F8" s="4">
        <f>C8*E8</f>
        <v/>
      </c>
    </row>
    <row r="9">
      <c r="A9" s="2" t="inlineStr">
        <is>
          <t>MAT01-0008</t>
        </is>
      </c>
      <c r="B9" s="2" t="inlineStr">
        <is>
          <t>Cemento Portland</t>
        </is>
      </c>
      <c r="C9" s="3" t="n">
        <v>200</v>
      </c>
      <c r="D9" s="2" t="inlineStr">
        <is>
          <t>bolsa</t>
        </is>
      </c>
      <c r="E9" s="4" t="n">
        <v>2800</v>
      </c>
      <c r="F9" s="4">
        <f>C9*E9</f>
        <v/>
      </c>
    </row>
    <row r="10">
      <c r="A10" s="2" t="inlineStr">
        <is>
          <t>MO01-0001</t>
        </is>
      </c>
      <c r="B10" s="2" t="inlineStr">
        <is>
          <t>Albañilería</t>
        </is>
      </c>
      <c r="C10" s="3" t="n">
        <v>60</v>
      </c>
      <c r="D10" s="2" t="inlineStr">
        <is>
          <t>jornada</t>
        </is>
      </c>
      <c r="E10" s="4" t="n">
        <v>15000</v>
      </c>
      <c r="F10" s="4">
        <f>C10*E10</f>
        <v/>
      </c>
    </row>
    <row r="11">
      <c r="A11" s="2" t="inlineStr">
        <is>
          <t>MO01-0002</t>
        </is>
      </c>
      <c r="B11" s="2" t="inlineStr">
        <is>
          <t>Enfierrado</t>
        </is>
      </c>
      <c r="C11" s="3" t="n">
        <v>30</v>
      </c>
      <c r="D11" s="2" t="inlineStr">
        <is>
          <t>jornada</t>
        </is>
      </c>
      <c r="E11" s="4" t="n">
        <v>18000</v>
      </c>
      <c r="F11" s="4">
        <f>C11*E11</f>
        <v/>
      </c>
    </row>
    <row r="12">
      <c r="A12" s="2" t="inlineStr">
        <is>
          <t>MO01-0003</t>
        </is>
      </c>
      <c r="B12" s="2" t="inlineStr">
        <is>
          <t>Formaleta</t>
        </is>
      </c>
      <c r="C12" s="3" t="n">
        <v>25</v>
      </c>
      <c r="D12" s="2" t="inlineStr">
        <is>
          <t>jornada</t>
        </is>
      </c>
      <c r="E12" s="4" t="n">
        <v>16000</v>
      </c>
      <c r="F12" s="4">
        <f>C12*E12</f>
        <v/>
      </c>
    </row>
    <row r="13">
      <c r="A13" s="2" t="inlineStr">
        <is>
          <t>MO01-0004</t>
        </is>
      </c>
      <c r="B13" s="2" t="inlineStr">
        <is>
          <t>Fundición</t>
        </is>
      </c>
      <c r="C13" s="3" t="n">
        <v>20</v>
      </c>
      <c r="D13" s="2" t="inlineStr">
        <is>
          <t>jornada</t>
        </is>
      </c>
      <c r="E13" s="4" t="n">
        <v>17000</v>
      </c>
      <c r="F13" s="4">
        <f>C13*E13</f>
        <v/>
      </c>
    </row>
    <row r="14">
      <c r="A14" s="2" t="inlineStr">
        <is>
          <t>EQ01-0001</t>
        </is>
      </c>
      <c r="B14" s="2" t="inlineStr">
        <is>
          <t>Mezcladora</t>
        </is>
      </c>
      <c r="C14" s="3" t="n">
        <v>15</v>
      </c>
      <c r="D14" s="2" t="inlineStr">
        <is>
          <t>día</t>
        </is>
      </c>
      <c r="E14" s="4" t="n">
        <v>8500</v>
      </c>
      <c r="F14" s="4">
        <f>C14*E14</f>
        <v/>
      </c>
    </row>
    <row r="15">
      <c r="A15" s="2" t="inlineStr">
        <is>
          <t>EQ01-0002</t>
        </is>
      </c>
      <c r="B15" s="2" t="inlineStr">
        <is>
          <t>Vibrador</t>
        </is>
      </c>
      <c r="C15" s="3" t="n">
        <v>10</v>
      </c>
      <c r="D15" s="2" t="inlineStr">
        <is>
          <t>día</t>
        </is>
      </c>
      <c r="E15" s="4" t="n">
        <v>5000</v>
      </c>
      <c r="F15" s="4">
        <f>C15*E15</f>
        <v/>
      </c>
    </row>
    <row r="16">
      <c r="A16" s="2" t="inlineStr">
        <is>
          <t>FIX01</t>
        </is>
      </c>
      <c r="B16" s="2" t="inlineStr">
        <is>
          <t>Pago Brenes</t>
        </is>
      </c>
      <c r="C16" s="3" t="n">
        <v>85000</v>
      </c>
      <c r="D16" s="2" t="inlineStr">
        <is>
          <t>global</t>
        </is>
      </c>
      <c r="E16" s="4" t="n">
        <v>1</v>
      </c>
      <c r="F16" s="4">
        <f>C16*E16</f>
        <v/>
      </c>
    </row>
    <row r="18">
      <c r="E18" s="5" t="inlineStr">
        <is>
          <t>TOTAL COSTO DIRECTO:</t>
        </is>
      </c>
      <c r="F18" s="6">
        <f>SUM(F2:F16)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2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N°</t>
        </is>
      </c>
      <c r="B3" s="1" t="inlineStr">
        <is>
          <t>DESCRIPCION</t>
        </is>
      </c>
      <c r="C3" s="1" t="inlineStr">
        <is>
          <t>CANTIDAD</t>
        </is>
      </c>
      <c r="D3" s="1" t="inlineStr">
        <is>
          <t>UNIDAD</t>
        </is>
      </c>
      <c r="E3" s="1" t="inlineStr">
        <is>
          <t>TOTAL MATERIAL</t>
        </is>
      </c>
      <c r="F3" s="1" t="inlineStr">
        <is>
          <t>TOTAL MANO OBRA</t>
        </is>
      </c>
      <c r="G3" s="1" t="inlineStr">
        <is>
          <t>TOTAL SUB/EQUIPOS</t>
        </is>
      </c>
      <c r="H3" s="1" t="inlineStr">
        <is>
          <t>TOTAL DIRECTO</t>
        </is>
      </c>
      <c r="I3" s="1" t="inlineStr">
        <is>
          <t>TOTAL DOLARES</t>
        </is>
      </c>
    </row>
    <row r="4">
      <c r="A4" s="2" t="n">
        <v>1</v>
      </c>
      <c r="B4" s="2" t="inlineStr">
        <is>
          <t>Concreto f'c 200 kg/cm2</t>
        </is>
      </c>
      <c r="C4" s="3" t="n">
        <v>25.5</v>
      </c>
      <c r="D4" s="2" t="inlineStr">
        <is>
          <t>m³</t>
        </is>
      </c>
      <c r="E4" s="4">
        <f>25.5*45000*0.6</f>
        <v/>
      </c>
      <c r="F4" s="4">
        <f>25.5*45000*0.35</f>
        <v/>
      </c>
      <c r="G4" s="4">
        <f>25.5*45000*0.05</f>
        <v/>
      </c>
      <c r="H4" s="4">
        <f>E4+F4+G4</f>
        <v/>
      </c>
      <c r="I4" s="7">
        <f>H4/505</f>
        <v/>
      </c>
    </row>
    <row r="5">
      <c r="A5" s="2" t="n">
        <v>2</v>
      </c>
      <c r="B5" s="2" t="inlineStr">
        <is>
          <t>Acero de refuerzo #4</t>
        </is>
      </c>
      <c r="C5" s="3" t="n">
        <v>1500</v>
      </c>
      <c r="D5" s="2" t="inlineStr">
        <is>
          <t>kg</t>
        </is>
      </c>
      <c r="E5" s="4">
        <f>1500*35*0.6</f>
        <v/>
      </c>
      <c r="F5" s="4">
        <f>1500*35*0.35</f>
        <v/>
      </c>
      <c r="G5" s="4">
        <f>1500*35*0.05</f>
        <v/>
      </c>
      <c r="H5" s="4">
        <f>E5+F5+G5</f>
        <v/>
      </c>
      <c r="I5" s="7">
        <f>H5/505</f>
        <v/>
      </c>
    </row>
    <row r="6">
      <c r="A6" s="2" t="n">
        <v>3</v>
      </c>
      <c r="B6" s="2" t="inlineStr">
        <is>
          <t>Bloque concreto 6"</t>
        </is>
      </c>
      <c r="C6" s="3" t="n">
        <v>3000</v>
      </c>
      <c r="D6" s="2" t="inlineStr">
        <is>
          <t>pza</t>
        </is>
      </c>
      <c r="E6" s="4">
        <f>3000*12*0.6</f>
        <v/>
      </c>
      <c r="F6" s="4">
        <f>3000*12*0.35</f>
        <v/>
      </c>
      <c r="G6" s="4">
        <f>3000*12*0.05</f>
        <v/>
      </c>
      <c r="H6" s="4">
        <f>E6+F6+G6</f>
        <v/>
      </c>
      <c r="I6" s="7">
        <f>H6/505</f>
        <v/>
      </c>
    </row>
    <row r="7">
      <c r="A7" s="2" t="n">
        <v>4</v>
      </c>
      <c r="B7" s="2" t="inlineStr">
        <is>
          <t>Arena lavada</t>
        </is>
      </c>
      <c r="C7" s="3" t="n">
        <v>50</v>
      </c>
      <c r="D7" s="2" t="inlineStr">
        <is>
          <t>m³</t>
        </is>
      </c>
      <c r="E7" s="4">
        <f>50*8500*0.6</f>
        <v/>
      </c>
      <c r="F7" s="4">
        <f>50*8500*0.35</f>
        <v/>
      </c>
      <c r="G7" s="4">
        <f>50*8500*0.05</f>
        <v/>
      </c>
      <c r="H7" s="4">
        <f>E7+F7+G7</f>
        <v/>
      </c>
      <c r="I7" s="7">
        <f>H7/505</f>
        <v/>
      </c>
    </row>
    <row r="8">
      <c r="A8" s="2" t="n">
        <v>5</v>
      </c>
      <c r="B8" s="2" t="inlineStr">
        <is>
          <t>Grava</t>
        </is>
      </c>
      <c r="C8" s="3" t="n">
        <v>40</v>
      </c>
      <c r="D8" s="2" t="inlineStr">
        <is>
          <t>m³</t>
        </is>
      </c>
      <c r="E8" s="4">
        <f>40*9500*0.6</f>
        <v/>
      </c>
      <c r="F8" s="4">
        <f>40*9500*0.35</f>
        <v/>
      </c>
      <c r="G8" s="4">
        <f>40*9500*0.05</f>
        <v/>
      </c>
      <c r="H8" s="4">
        <f>E8+F8+G8</f>
        <v/>
      </c>
      <c r="I8" s="7">
        <f>H8/505</f>
        <v/>
      </c>
    </row>
    <row r="9">
      <c r="A9" s="2" t="n">
        <v>6</v>
      </c>
      <c r="B9" s="2" t="inlineStr">
        <is>
          <t>Acero #3</t>
        </is>
      </c>
      <c r="C9" s="3" t="n">
        <v>800</v>
      </c>
      <c r="D9" s="2" t="inlineStr">
        <is>
          <t>kg</t>
        </is>
      </c>
      <c r="E9" s="4">
        <f>800*32*0.6</f>
        <v/>
      </c>
      <c r="F9" s="4">
        <f>800*32*0.35</f>
        <v/>
      </c>
      <c r="G9" s="4">
        <f>800*32*0.05</f>
        <v/>
      </c>
      <c r="H9" s="4">
        <f>E9+F9+G9</f>
        <v/>
      </c>
      <c r="I9" s="7">
        <f>H9/505</f>
        <v/>
      </c>
    </row>
    <row r="10">
      <c r="A10" s="2" t="n">
        <v>7</v>
      </c>
      <c r="B10" s="2" t="inlineStr">
        <is>
          <t>Ladrillo block 12cm</t>
        </is>
      </c>
      <c r="C10" s="3" t="n">
        <v>2500</v>
      </c>
      <c r="D10" s="2" t="inlineStr">
        <is>
          <t>pza</t>
        </is>
      </c>
      <c r="E10" s="4">
        <f>2500*15*0.6</f>
        <v/>
      </c>
      <c r="F10" s="4">
        <f>2500*15*0.35</f>
        <v/>
      </c>
      <c r="G10" s="4">
        <f>2500*15*0.05</f>
        <v/>
      </c>
      <c r="H10" s="4">
        <f>E10+F10+G10</f>
        <v/>
      </c>
      <c r="I10" s="7">
        <f>H10/505</f>
        <v/>
      </c>
    </row>
    <row r="11">
      <c r="A11" s="2" t="n">
        <v>8</v>
      </c>
      <c r="B11" s="2" t="inlineStr">
        <is>
          <t>Cemento Portland</t>
        </is>
      </c>
      <c r="C11" s="3" t="n">
        <v>200</v>
      </c>
      <c r="D11" s="2" t="inlineStr">
        <is>
          <t>bolsa</t>
        </is>
      </c>
      <c r="E11" s="4">
        <f>200*2800*0.6</f>
        <v/>
      </c>
      <c r="F11" s="4">
        <f>200*2800*0.35</f>
        <v/>
      </c>
      <c r="G11" s="4">
        <f>200*2800*0.05</f>
        <v/>
      </c>
      <c r="H11" s="4">
        <f>E11+F11+G11</f>
        <v/>
      </c>
      <c r="I11" s="7">
        <f>H11/505</f>
        <v/>
      </c>
    </row>
    <row r="12">
      <c r="A12" s="2" t="n">
        <v>9</v>
      </c>
      <c r="B12" s="2" t="inlineStr">
        <is>
          <t>Albañilería</t>
        </is>
      </c>
      <c r="C12" s="3" t="n">
        <v>60</v>
      </c>
      <c r="D12" s="2" t="inlineStr">
        <is>
          <t>jornada</t>
        </is>
      </c>
      <c r="E12" s="4">
        <f>60*15000*0.6</f>
        <v/>
      </c>
      <c r="F12" s="4">
        <f>60*15000*0.35</f>
        <v/>
      </c>
      <c r="G12" s="4">
        <f>60*15000*0.05</f>
        <v/>
      </c>
      <c r="H12" s="4">
        <f>E12+F12+G12</f>
        <v/>
      </c>
      <c r="I12" s="7">
        <f>H12/505</f>
        <v/>
      </c>
    </row>
    <row r="13">
      <c r="A13" s="2" t="n">
        <v>10</v>
      </c>
      <c r="B13" s="2" t="inlineStr">
        <is>
          <t>Enfierrado</t>
        </is>
      </c>
      <c r="C13" s="3" t="n">
        <v>30</v>
      </c>
      <c r="D13" s="2" t="inlineStr">
        <is>
          <t>jornada</t>
        </is>
      </c>
      <c r="E13" s="4">
        <f>30*18000*0.6</f>
        <v/>
      </c>
      <c r="F13" s="4">
        <f>30*18000*0.35</f>
        <v/>
      </c>
      <c r="G13" s="4">
        <f>30*18000*0.05</f>
        <v/>
      </c>
      <c r="H13" s="4">
        <f>E13+F13+G13</f>
        <v/>
      </c>
      <c r="I13" s="7">
        <f>H13/505</f>
        <v/>
      </c>
    </row>
    <row r="14">
      <c r="A14" s="2" t="n">
        <v>11</v>
      </c>
      <c r="B14" s="2" t="inlineStr">
        <is>
          <t>Formaleta</t>
        </is>
      </c>
      <c r="C14" s="3" t="n">
        <v>25</v>
      </c>
      <c r="D14" s="2" t="inlineStr">
        <is>
          <t>jornada</t>
        </is>
      </c>
      <c r="E14" s="4">
        <f>25*16000*0.6</f>
        <v/>
      </c>
      <c r="F14" s="4">
        <f>25*16000*0.35</f>
        <v/>
      </c>
      <c r="G14" s="4">
        <f>25*16000*0.05</f>
        <v/>
      </c>
      <c r="H14" s="4">
        <f>E14+F14+G14</f>
        <v/>
      </c>
      <c r="I14" s="7">
        <f>H14/505</f>
        <v/>
      </c>
    </row>
    <row r="15">
      <c r="A15" s="2" t="n">
        <v>12</v>
      </c>
      <c r="B15" s="2" t="inlineStr">
        <is>
          <t>Fundición</t>
        </is>
      </c>
      <c r="C15" s="3" t="n">
        <v>20</v>
      </c>
      <c r="D15" s="2" t="inlineStr">
        <is>
          <t>jornada</t>
        </is>
      </c>
      <c r="E15" s="4">
        <f>20*17000*0.6</f>
        <v/>
      </c>
      <c r="F15" s="4">
        <f>20*17000*0.35</f>
        <v/>
      </c>
      <c r="G15" s="4">
        <f>20*17000*0.05</f>
        <v/>
      </c>
      <c r="H15" s="4">
        <f>E15+F15+G15</f>
        <v/>
      </c>
      <c r="I15" s="7">
        <f>H15/505</f>
        <v/>
      </c>
    </row>
    <row r="16">
      <c r="A16" s="2" t="n">
        <v>13</v>
      </c>
      <c r="B16" s="2" t="inlineStr">
        <is>
          <t>Mezcladora</t>
        </is>
      </c>
      <c r="C16" s="3" t="n">
        <v>15</v>
      </c>
      <c r="D16" s="2" t="inlineStr">
        <is>
          <t>día</t>
        </is>
      </c>
      <c r="E16" s="4">
        <f>15*8500*0.6</f>
        <v/>
      </c>
      <c r="F16" s="4">
        <f>15*8500*0.35</f>
        <v/>
      </c>
      <c r="G16" s="4">
        <f>15*8500*0.05</f>
        <v/>
      </c>
      <c r="H16" s="4">
        <f>E16+F16+G16</f>
        <v/>
      </c>
      <c r="I16" s="7">
        <f>H16/505</f>
        <v/>
      </c>
    </row>
    <row r="17">
      <c r="A17" s="2" t="n">
        <v>14</v>
      </c>
      <c r="B17" s="2" t="inlineStr">
        <is>
          <t>Vibrador</t>
        </is>
      </c>
      <c r="C17" s="3" t="n">
        <v>10</v>
      </c>
      <c r="D17" s="2" t="inlineStr">
        <is>
          <t>día</t>
        </is>
      </c>
      <c r="E17" s="4">
        <f>10*5000*0.6</f>
        <v/>
      </c>
      <c r="F17" s="4">
        <f>10*5000*0.35</f>
        <v/>
      </c>
      <c r="G17" s="4">
        <f>10*5000*0.05</f>
        <v/>
      </c>
      <c r="H17" s="4">
        <f>E17+F17+G17</f>
        <v/>
      </c>
      <c r="I17" s="7">
        <f>H17/505</f>
        <v/>
      </c>
    </row>
    <row r="18">
      <c r="A18" s="2" t="n">
        <v>15</v>
      </c>
      <c r="B18" s="2" t="inlineStr">
        <is>
          <t>Pago Brenes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4">
        <f>85000</f>
        <v/>
      </c>
    </row>
    <row r="20">
      <c r="B20" s="8" t="inlineStr">
        <is>
          <t>TOTALES:</t>
        </is>
      </c>
      <c r="E20" s="6">
        <f>SUM(E4:E18)</f>
        <v/>
      </c>
      <c r="F20" s="6">
        <f>SUM(F4:F18)</f>
        <v/>
      </c>
      <c r="G20" s="6">
        <f>SUM(G4:G18)</f>
        <v/>
      </c>
      <c r="H20" s="6">
        <f>SUM(H4:H18)</f>
        <v/>
      </c>
      <c r="I20" s="9">
        <f>SUM(I4:I18)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PRESUPUESTO INMOBILIARIO L.32</t>
        </is>
      </c>
      <c r="F1" t="inlineStr">
        <is>
          <t>TIPO CAMBIO:</t>
        </is>
      </c>
      <c r="G1" t="n">
        <v>505</v>
      </c>
    </row>
    <row r="2">
      <c r="F2" t="inlineStr">
        <is>
          <t>AREA BASE (m²):</t>
        </is>
      </c>
      <c r="G2" t="n">
        <v>73.7</v>
      </c>
    </row>
    <row r="3">
      <c r="F3" t="inlineStr">
        <is>
          <t>AREA ACTUAL (m²):</t>
        </is>
      </c>
      <c r="G3" t="n">
        <v>204</v>
      </c>
    </row>
    <row r="4">
      <c r="F4" t="inlineStr">
        <is>
          <t>FACTOR ESCALA:</t>
        </is>
      </c>
      <c r="G4" s="11">
        <f>204.0/73.7</f>
        <v/>
      </c>
    </row>
    <row r="6">
      <c r="A6" s="12" t="inlineStr">
        <is>
          <t>N°</t>
        </is>
      </c>
      <c r="B6" s="12" t="inlineStr">
        <is>
          <t>DESCRIPCION</t>
        </is>
      </c>
      <c r="C6" s="12" t="inlineStr">
        <is>
          <t>MONTO</t>
        </is>
      </c>
    </row>
    <row r="7">
      <c r="A7" s="2" t="inlineStr">
        <is>
          <t>1</t>
        </is>
      </c>
      <c r="B7" s="13" t="inlineStr">
        <is>
          <t>COSTO DIRECTO</t>
        </is>
      </c>
      <c r="C7" s="14">
        <f>DESGLOSE!H20</f>
        <v/>
      </c>
    </row>
    <row r="8">
      <c r="A8" s="2" t="inlineStr">
        <is>
          <t>2</t>
        </is>
      </c>
      <c r="B8" s="13" t="inlineStr">
        <is>
          <t>COSTOS INDIRECTOS</t>
        </is>
      </c>
    </row>
    <row r="9">
      <c r="A9" s="2" t="inlineStr">
        <is>
          <t>2.1</t>
        </is>
      </c>
      <c r="B9" s="2" t="inlineStr">
        <is>
          <t>Administración (10.0%)</t>
        </is>
      </c>
      <c r="C9" s="4">
        <f>DESGLOSE!H20*0.1</f>
        <v/>
      </c>
    </row>
    <row r="10">
      <c r="A10" s="2" t="inlineStr">
        <is>
          <t>2.2</t>
        </is>
      </c>
      <c r="B10" s="2" t="inlineStr">
        <is>
          <t>Imprevistos (5.0%)</t>
        </is>
      </c>
      <c r="C10" s="4">
        <f>DESGLOSE!H20*0.05</f>
        <v/>
      </c>
    </row>
    <row r="11">
      <c r="A11" s="2" t="inlineStr">
        <is>
          <t>2.3</t>
        </is>
      </c>
      <c r="B11" s="2" t="inlineStr">
        <is>
          <t>Utilidad (15.0%)</t>
        </is>
      </c>
      <c r="C11" s="4">
        <f>DESGLOSE!H20*0.15</f>
        <v/>
      </c>
    </row>
    <row r="12">
      <c r="B12" s="13" t="inlineStr">
        <is>
          <t>TOTAL INDIRECTOS:</t>
        </is>
      </c>
      <c r="C12" s="14">
        <f>SUM(C9:C11)</f>
        <v/>
      </c>
    </row>
    <row r="13">
      <c r="B13" s="13" t="inlineStr">
        <is>
          <t>SUBTOTAL (Directo + Indirectos):</t>
        </is>
      </c>
      <c r="C13" s="14">
        <f>C7+C12</f>
        <v/>
      </c>
    </row>
    <row r="14">
      <c r="A14" s="2" t="inlineStr">
        <is>
          <t>3</t>
        </is>
      </c>
      <c r="B14" s="2" t="inlineStr">
        <is>
          <t>Costo de Venta (10.0%)</t>
        </is>
      </c>
      <c r="C14" s="4">
        <f>C13*0.1</f>
        <v/>
      </c>
    </row>
    <row r="15">
      <c r="B15" s="15" t="inlineStr">
        <is>
          <t>TOTAL PRESUPUESTO:</t>
        </is>
      </c>
      <c r="C15" s="16">
        <f>C13+C14</f>
        <v/>
      </c>
    </row>
    <row r="16">
      <c r="A16" s="2" t="inlineStr">
        <is>
          <t>4</t>
        </is>
      </c>
      <c r="B16" s="2" t="inlineStr">
        <is>
          <t>Pago Brenes (FIJO)</t>
        </is>
      </c>
      <c r="C16" s="4" t="n">
        <v>85000</v>
      </c>
    </row>
    <row r="17">
      <c r="B17" s="17" t="inlineStr">
        <is>
          <t>GRAN TOTAL:</t>
        </is>
      </c>
      <c r="C17" s="18">
        <f>C15+C16</f>
        <v/>
      </c>
    </row>
    <row r="19">
      <c r="B19" s="8" t="inlineStr">
        <is>
          <t>COSTO POR M²:</t>
        </is>
      </c>
      <c r="C19" s="6">
        <f>C17/204.0</f>
        <v/>
      </c>
      <c r="D19" s="8" t="inlineStr">
        <is>
          <t>colones/m²</t>
        </is>
      </c>
    </row>
    <row r="20">
      <c r="B20" s="8" t="inlineStr">
        <is>
          <t>TOTAL EN DÓLARES:</t>
        </is>
      </c>
      <c r="C20" s="9">
        <f>C17/505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5"/>
  <sheetData>
    <row r="1">
      <c r="B1" s="19" t="inlineStr">
        <is>
          <t>COSTOS INDIRECTOS</t>
        </is>
      </c>
    </row>
    <row r="3">
      <c r="B3" s="12" t="inlineStr">
        <is>
          <t>Descripción</t>
        </is>
      </c>
      <c r="C3" s="12" t="inlineStr">
        <is>
          <t>%</t>
        </is>
      </c>
      <c r="D3" s="12" t="inlineStr">
        <is>
          <t>Base (Directo)</t>
        </is>
      </c>
      <c r="E3" s="12" t="inlineStr">
        <is>
          <t>Total</t>
        </is>
      </c>
    </row>
    <row r="4">
      <c r="B4" s="2" t="inlineStr">
        <is>
          <t>Administración</t>
        </is>
      </c>
      <c r="C4" s="2" t="inlineStr">
        <is>
          <t>10.0%</t>
        </is>
      </c>
      <c r="D4" s="4">
        <f>DESGLOSE!H20</f>
        <v/>
      </c>
      <c r="E4" s="4">
        <f>D4*C4/100</f>
        <v/>
      </c>
    </row>
    <row r="5">
      <c r="B5" s="2" t="inlineStr">
        <is>
          <t>Imprevistos</t>
        </is>
      </c>
      <c r="C5" s="2" t="inlineStr">
        <is>
          <t>5.0%</t>
        </is>
      </c>
      <c r="D5" s="4">
        <f>DESGLOSE!H20</f>
        <v/>
      </c>
      <c r="E5" s="4">
        <f>D5*C5/100</f>
        <v/>
      </c>
    </row>
    <row r="6">
      <c r="B6" s="2" t="inlineStr">
        <is>
          <t>Utilidad</t>
        </is>
      </c>
      <c r="C6" s="2" t="inlineStr">
        <is>
          <t>15.0%</t>
        </is>
      </c>
      <c r="D6" s="4">
        <f>DESGLOSE!H20</f>
        <v/>
      </c>
      <c r="E6" s="4">
        <f>D6*C6/100</f>
        <v/>
      </c>
    </row>
    <row r="7">
      <c r="D7" s="8" t="inlineStr">
        <is>
          <t>TOTAL:</t>
        </is>
      </c>
      <c r="E7" s="6">
        <f>SUM(E4:E6)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1_OG y 2_ACA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3.2_MEC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3.1_ELEC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Descompuesto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Detallado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HORAS MANO DE OBRA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ELEC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BaseDatosMuebles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Subc. Vent.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 DATOS EQUIPOS Y SUBCONTRAT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 DATOS MANO DE OBRA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Unitarios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Electromecanico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Ventaneria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Puertas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Enchapes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Hojalateria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 xml:space="preserve">BASE DATOS PRECIOS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COSTOS MO CUADRILLA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2026-04-12T21:48:28Z</dcterms:created>
  <dcterms:modified xmlns:dcterms="http://purl.org/dc/terms/" xmlns:xsi="http://www.w3.org/2001/XMLSchema-instance" xsi:type="dcterms:W3CDTF">2026-04-12T21:48:28Z</dcterms:modified>
</cp:coreProperties>
</file>