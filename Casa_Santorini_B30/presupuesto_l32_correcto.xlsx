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  <sheet xmlns:r="http://schemas.openxmlformats.org/officeDocument/2006/relationships" name="DESGLOSE" sheetId="2" state="visible" r:id="rId2"/>
    <sheet xmlns:r="http://schemas.openxmlformats.org/officeDocument/2006/relationships" name="Resumen Presupuesto" sheetId="3" state="visible" r:id="rId3"/>
    <sheet xmlns:r="http://schemas.openxmlformats.org/officeDocument/2006/relationships" name="1_OG y 2_ACA" sheetId="4" state="visible" r:id="rId4"/>
    <sheet xmlns:r="http://schemas.openxmlformats.org/officeDocument/2006/relationships" name="3.2_MEC" sheetId="5" state="visible" r:id="rId5"/>
    <sheet xmlns:r="http://schemas.openxmlformats.org/officeDocument/2006/relationships" name="3.1_ELEC" sheetId="6" state="visible" r:id="rId6"/>
    <sheet xmlns:r="http://schemas.openxmlformats.org/officeDocument/2006/relationships" name="Descompuesto" sheetId="7" state="visible" r:id="rId7"/>
    <sheet xmlns:r="http://schemas.openxmlformats.org/officeDocument/2006/relationships" name="Detallado" sheetId="8" state="visible" r:id="rId8"/>
    <sheet xmlns:r="http://schemas.openxmlformats.org/officeDocument/2006/relationships" name="HORAS MANO DE OBRA" sheetId="9" state="visible" r:id="rId9"/>
    <sheet xmlns:r="http://schemas.openxmlformats.org/officeDocument/2006/relationships" name="ELEC" sheetId="10" state="visible" r:id="rId10"/>
    <sheet xmlns:r="http://schemas.openxmlformats.org/officeDocument/2006/relationships" name="BaseDatosMuebles" sheetId="11" state="visible" r:id="rId11"/>
    <sheet xmlns:r="http://schemas.openxmlformats.org/officeDocument/2006/relationships" name="Subc. Vent." sheetId="12" state="visible" r:id="rId12"/>
    <sheet xmlns:r="http://schemas.openxmlformats.org/officeDocument/2006/relationships" name="BASE DATOS EQUIPOS Y SUBCONTRAT" sheetId="13" state="visible" r:id="rId13"/>
    <sheet xmlns:r="http://schemas.openxmlformats.org/officeDocument/2006/relationships" name="BASE DATOS MANO DE OBRA" sheetId="14" state="visible" r:id="rId14"/>
    <sheet xmlns:r="http://schemas.openxmlformats.org/officeDocument/2006/relationships" name="Unitarios" sheetId="15" state="visible" r:id="rId15"/>
    <sheet xmlns:r="http://schemas.openxmlformats.org/officeDocument/2006/relationships" name="Electromecanico" sheetId="16" state="visible" r:id="rId16"/>
    <sheet xmlns:r="http://schemas.openxmlformats.org/officeDocument/2006/relationships" name="Ventaneria" sheetId="17" state="visible" r:id="rId17"/>
    <sheet xmlns:r="http://schemas.openxmlformats.org/officeDocument/2006/relationships" name="Puertas" sheetId="18" state="visible" r:id="rId18"/>
    <sheet xmlns:r="http://schemas.openxmlformats.org/officeDocument/2006/relationships" name="Enchapes" sheetId="19" state="visible" r:id="rId19"/>
    <sheet xmlns:r="http://schemas.openxmlformats.org/officeDocument/2006/relationships" name="Hojalateria" sheetId="20" state="visible" r:id="rId20"/>
    <sheet xmlns:r="http://schemas.openxmlformats.org/officeDocument/2006/relationships" name="BASE DATOS PRECIOS " sheetId="21" state="visible" r:id="rId21"/>
    <sheet xmlns:r="http://schemas.openxmlformats.org/officeDocument/2006/relationships" name="COSTOS MO CUADRILL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₡#,##0.00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E59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5" fontId="0" fillId="0" borderId="1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PRECIO UNITARIO</t>
        </is>
      </c>
      <c r="F1" s="1" t="inlineStr">
        <is>
          <t>PRECIO TOTAL</t>
        </is>
      </c>
    </row>
    <row r="2">
      <c r="A2" s="2" t="inlineStr">
        <is>
          <t>MAT01</t>
        </is>
      </c>
      <c r="B2" s="2" t="inlineStr">
        <is>
          <t>Concreto f'c 200</t>
        </is>
      </c>
      <c r="C2" s="3" t="n">
        <v>25.5</v>
      </c>
      <c r="D2" s="2" t="inlineStr">
        <is>
          <t>m³</t>
        </is>
      </c>
      <c r="E2" s="4" t="n">
        <v>45000</v>
      </c>
      <c r="F2" s="4">
        <f>C2*E2</f>
        <v/>
      </c>
    </row>
    <row r="3">
      <c r="A3" s="2" t="inlineStr">
        <is>
          <t>MAT02</t>
        </is>
      </c>
      <c r="B3" s="2" t="inlineStr">
        <is>
          <t>Acero #4</t>
        </is>
      </c>
      <c r="C3" s="3" t="n">
        <v>1500</v>
      </c>
      <c r="D3" s="2" t="inlineStr">
        <is>
          <t>kg</t>
        </is>
      </c>
      <c r="E3" s="4" t="n">
        <v>35</v>
      </c>
      <c r="F3" s="4">
        <f>C3*E3</f>
        <v/>
      </c>
    </row>
    <row r="4">
      <c r="A4" s="2" t="inlineStr">
        <is>
          <t>MAT03</t>
        </is>
      </c>
      <c r="B4" s="2" t="inlineStr">
        <is>
          <t>Bloque 6"</t>
        </is>
      </c>
      <c r="C4" s="3" t="n">
        <v>3000</v>
      </c>
      <c r="D4" s="2" t="inlineStr">
        <is>
          <t>pza</t>
        </is>
      </c>
      <c r="E4" s="4" t="n">
        <v>12</v>
      </c>
      <c r="F4" s="4">
        <f>C4*E4</f>
        <v/>
      </c>
    </row>
    <row r="5">
      <c r="A5" s="2" t="inlineStr">
        <is>
          <t>MAT04</t>
        </is>
      </c>
      <c r="B5" s="2" t="inlineStr">
        <is>
          <t>Arena</t>
        </is>
      </c>
      <c r="C5" s="3" t="n">
        <v>50</v>
      </c>
      <c r="D5" s="2" t="inlineStr">
        <is>
          <t>m³</t>
        </is>
      </c>
      <c r="E5" s="4" t="n">
        <v>8500</v>
      </c>
      <c r="F5" s="4">
        <f>C5*E5</f>
        <v/>
      </c>
    </row>
    <row r="6">
      <c r="A6" s="2" t="inlineStr">
        <is>
          <t>MAT05</t>
        </is>
      </c>
      <c r="B6" s="2" t="inlineStr">
        <is>
          <t>Grava</t>
        </is>
      </c>
      <c r="C6" s="3" t="n">
        <v>40</v>
      </c>
      <c r="D6" s="2" t="inlineStr">
        <is>
          <t>m³</t>
        </is>
      </c>
      <c r="E6" s="4" t="n">
        <v>9500</v>
      </c>
      <c r="F6" s="4">
        <f>C6*E6</f>
        <v/>
      </c>
    </row>
    <row r="7">
      <c r="A7" s="2" t="inlineStr">
        <is>
          <t>MAT06</t>
        </is>
      </c>
      <c r="B7" s="2" t="inlineStr">
        <is>
          <t>Cemento</t>
        </is>
      </c>
      <c r="C7" s="3" t="n">
        <v>200</v>
      </c>
      <c r="D7" s="2" t="inlineStr">
        <is>
          <t>bolsa</t>
        </is>
      </c>
      <c r="E7" s="4" t="n">
        <v>2800</v>
      </c>
      <c r="F7" s="4">
        <f>C7*E7</f>
        <v/>
      </c>
    </row>
    <row r="8">
      <c r="A8" s="2" t="inlineStr">
        <is>
          <t>MO01</t>
        </is>
      </c>
      <c r="B8" s="2" t="inlineStr">
        <is>
          <t>Albañilería</t>
        </is>
      </c>
      <c r="C8" s="3" t="n">
        <v>60</v>
      </c>
      <c r="D8" s="2" t="inlineStr">
        <is>
          <t>jornada</t>
        </is>
      </c>
      <c r="E8" s="4" t="n">
        <v>15000</v>
      </c>
      <c r="F8" s="4">
        <f>C8*E8</f>
        <v/>
      </c>
    </row>
    <row r="9">
      <c r="A9" s="2" t="inlineStr">
        <is>
          <t>MO02</t>
        </is>
      </c>
      <c r="B9" s="2" t="inlineStr">
        <is>
          <t>Enfierrado</t>
        </is>
      </c>
      <c r="C9" s="3" t="n">
        <v>30</v>
      </c>
      <c r="D9" s="2" t="inlineStr">
        <is>
          <t>jornada</t>
        </is>
      </c>
      <c r="E9" s="4" t="n">
        <v>18000</v>
      </c>
      <c r="F9" s="4">
        <f>C9*E9</f>
        <v/>
      </c>
    </row>
    <row r="10">
      <c r="A10" s="2" t="inlineStr">
        <is>
          <t>MO03</t>
        </is>
      </c>
      <c r="B10" s="2" t="inlineStr">
        <is>
          <t>Fundición</t>
        </is>
      </c>
      <c r="C10" s="3" t="n">
        <v>20</v>
      </c>
      <c r="D10" s="2" t="inlineStr">
        <is>
          <t>jornada</t>
        </is>
      </c>
      <c r="E10" s="4" t="n">
        <v>17000</v>
      </c>
      <c r="F10" s="4">
        <f>C10*E10</f>
        <v/>
      </c>
    </row>
    <row r="11">
      <c r="A11" s="2" t="inlineStr">
        <is>
          <t>FIX01</t>
        </is>
      </c>
      <c r="B11" s="2" t="inlineStr">
        <is>
          <t>Pago Brenes</t>
        </is>
      </c>
      <c r="C11" s="3" t="n">
        <v>1</v>
      </c>
      <c r="D11" s="2" t="inlineStr">
        <is>
          <t>FIJO</t>
        </is>
      </c>
      <c r="E11" s="4" t="n">
        <v>2400000</v>
      </c>
      <c r="F11" s="4">
        <f>C11*E11</f>
        <v/>
      </c>
    </row>
    <row r="12">
      <c r="A12" s="2" t="inlineStr">
        <is>
          <t>GLOB01</t>
        </is>
      </c>
      <c r="B12" s="2" t="inlineStr">
        <is>
          <t>Instalaciones provisionales (GLOBAL)</t>
        </is>
      </c>
      <c r="C12" s="3">
        <f>1*172.0/73.7</f>
        <v/>
      </c>
      <c r="D12" s="2" t="inlineStr">
        <is>
          <t>GLOBAL</t>
        </is>
      </c>
      <c r="E12" s="4" t="n">
        <v>150000</v>
      </c>
      <c r="F12" s="4">
        <f>C12*E12</f>
        <v/>
      </c>
    </row>
    <row r="13">
      <c r="A13" s="2" t="inlineStr">
        <is>
          <t>GLOB02</t>
        </is>
      </c>
      <c r="B13" s="2" t="inlineStr">
        <is>
          <t>Trazo y replanteo (GLOBAL)</t>
        </is>
      </c>
      <c r="C13" s="3">
        <f>1*172.0/73.7</f>
        <v/>
      </c>
      <c r="D13" s="2" t="inlineStr">
        <is>
          <t>GLOBAL</t>
        </is>
      </c>
      <c r="E13" s="4" t="n">
        <v>85000</v>
      </c>
      <c r="F13" s="4">
        <f>C13*E13</f>
        <v/>
      </c>
    </row>
    <row r="15">
      <c r="E15" s="5" t="inlineStr">
        <is>
          <t>TOTAL COSTO DIRECTO:</t>
        </is>
      </c>
      <c r="F15" s="6">
        <f>SUM(F2:F13)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1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N°</t>
        </is>
      </c>
      <c r="B3" s="1" t="inlineStr">
        <is>
          <t>DESCRIPCION</t>
        </is>
      </c>
      <c r="C3" s="1" t="inlineStr">
        <is>
          <t>CANTIDAD</t>
        </is>
      </c>
      <c r="D3" s="1" t="inlineStr">
        <is>
          <t>UNIDAD</t>
        </is>
      </c>
      <c r="E3" s="1" t="inlineStr">
        <is>
          <t>TOTAL MATERIAL</t>
        </is>
      </c>
      <c r="F3" s="1" t="inlineStr">
        <is>
          <t>TOTAL MANO OBRA</t>
        </is>
      </c>
      <c r="G3" s="1" t="inlineStr">
        <is>
          <t>TOTAL SUB/EQUIPOS</t>
        </is>
      </c>
      <c r="H3" s="1" t="inlineStr">
        <is>
          <t>TOTAL DIRECTO</t>
        </is>
      </c>
      <c r="I3" s="1" t="inlineStr">
        <is>
          <t>TOTAL DOLARES</t>
        </is>
      </c>
    </row>
    <row r="4">
      <c r="A4" s="2" t="n">
        <v>1</v>
      </c>
      <c r="B4" s="2" t="inlineStr">
        <is>
          <t>Concreto f'c 200</t>
        </is>
      </c>
      <c r="C4" s="3" t="n">
        <v>25.5</v>
      </c>
      <c r="D4" s="2" t="inlineStr">
        <is>
          <t>m³</t>
        </is>
      </c>
      <c r="E4" s="4">
        <f>25.5*45000*0.6</f>
        <v/>
      </c>
      <c r="F4" s="4">
        <f>25.5*45000*0.35</f>
        <v/>
      </c>
      <c r="G4" s="4">
        <f>25.5*45000*0.05</f>
        <v/>
      </c>
      <c r="H4" s="4">
        <f>E4+F4+G4</f>
        <v/>
      </c>
      <c r="I4" s="7">
        <f>H4/505</f>
        <v/>
      </c>
    </row>
    <row r="5">
      <c r="A5" s="2" t="n">
        <v>2</v>
      </c>
      <c r="B5" s="2" t="inlineStr">
        <is>
          <t>Acero #4</t>
        </is>
      </c>
      <c r="C5" s="3" t="n">
        <v>1500</v>
      </c>
      <c r="D5" s="2" t="inlineStr">
        <is>
          <t>kg</t>
        </is>
      </c>
      <c r="E5" s="4">
        <f>1500*35*0.6</f>
        <v/>
      </c>
      <c r="F5" s="4">
        <f>1500*35*0.35</f>
        <v/>
      </c>
      <c r="G5" s="4">
        <f>1500*35*0.05</f>
        <v/>
      </c>
      <c r="H5" s="4">
        <f>E5+F5+G5</f>
        <v/>
      </c>
      <c r="I5" s="7">
        <f>H5/505</f>
        <v/>
      </c>
    </row>
    <row r="6">
      <c r="A6" s="2" t="n">
        <v>3</v>
      </c>
      <c r="B6" s="2" t="inlineStr">
        <is>
          <t>Bloque 6"</t>
        </is>
      </c>
      <c r="C6" s="3" t="n">
        <v>3000</v>
      </c>
      <c r="D6" s="2" t="inlineStr">
        <is>
          <t>pza</t>
        </is>
      </c>
      <c r="E6" s="4">
        <f>3000*12*0.6</f>
        <v/>
      </c>
      <c r="F6" s="4">
        <f>3000*12*0.35</f>
        <v/>
      </c>
      <c r="G6" s="4">
        <f>3000*12*0.05</f>
        <v/>
      </c>
      <c r="H6" s="4">
        <f>E6+F6+G6</f>
        <v/>
      </c>
      <c r="I6" s="7">
        <f>H6/505</f>
        <v/>
      </c>
    </row>
    <row r="7">
      <c r="A7" s="2" t="n">
        <v>4</v>
      </c>
      <c r="B7" s="2" t="inlineStr">
        <is>
          <t>Arena</t>
        </is>
      </c>
      <c r="C7" s="3" t="n">
        <v>50</v>
      </c>
      <c r="D7" s="2" t="inlineStr">
        <is>
          <t>m³</t>
        </is>
      </c>
      <c r="E7" s="4">
        <f>50*8500*0.6</f>
        <v/>
      </c>
      <c r="F7" s="4">
        <f>50*8500*0.35</f>
        <v/>
      </c>
      <c r="G7" s="4">
        <f>50*8500*0.05</f>
        <v/>
      </c>
      <c r="H7" s="4">
        <f>E7+F7+G7</f>
        <v/>
      </c>
      <c r="I7" s="7">
        <f>H7/505</f>
        <v/>
      </c>
    </row>
    <row r="8">
      <c r="A8" s="2" t="n">
        <v>5</v>
      </c>
      <c r="B8" s="2" t="inlineStr">
        <is>
          <t>Grava</t>
        </is>
      </c>
      <c r="C8" s="3" t="n">
        <v>40</v>
      </c>
      <c r="D8" s="2" t="inlineStr">
        <is>
          <t>m³</t>
        </is>
      </c>
      <c r="E8" s="4">
        <f>40*9500*0.6</f>
        <v/>
      </c>
      <c r="F8" s="4">
        <f>40*9500*0.35</f>
        <v/>
      </c>
      <c r="G8" s="4">
        <f>40*9500*0.05</f>
        <v/>
      </c>
      <c r="H8" s="4">
        <f>E8+F8+G8</f>
        <v/>
      </c>
      <c r="I8" s="7">
        <f>H8/505</f>
        <v/>
      </c>
    </row>
    <row r="9">
      <c r="A9" s="2" t="n">
        <v>6</v>
      </c>
      <c r="B9" s="2" t="inlineStr">
        <is>
          <t>Cemento</t>
        </is>
      </c>
      <c r="C9" s="3" t="n">
        <v>200</v>
      </c>
      <c r="D9" s="2" t="inlineStr">
        <is>
          <t>bolsa</t>
        </is>
      </c>
      <c r="E9" s="4">
        <f>200*2800*0.6</f>
        <v/>
      </c>
      <c r="F9" s="4">
        <f>200*2800*0.35</f>
        <v/>
      </c>
      <c r="G9" s="4">
        <f>200*2800*0.05</f>
        <v/>
      </c>
      <c r="H9" s="4">
        <f>E9+F9+G9</f>
        <v/>
      </c>
      <c r="I9" s="7">
        <f>H9/505</f>
        <v/>
      </c>
    </row>
    <row r="10">
      <c r="A10" s="2" t="n">
        <v>7</v>
      </c>
      <c r="B10" s="2" t="inlineStr">
        <is>
          <t>Albañilería</t>
        </is>
      </c>
      <c r="C10" s="3" t="n">
        <v>60</v>
      </c>
      <c r="D10" s="2" t="inlineStr">
        <is>
          <t>jornada</t>
        </is>
      </c>
      <c r="E10" s="4">
        <f>60*15000*0.6</f>
        <v/>
      </c>
      <c r="F10" s="4">
        <f>60*15000*0.35</f>
        <v/>
      </c>
      <c r="G10" s="4">
        <f>60*15000*0.05</f>
        <v/>
      </c>
      <c r="H10" s="4">
        <f>E10+F10+G10</f>
        <v/>
      </c>
      <c r="I10" s="7">
        <f>H10/505</f>
        <v/>
      </c>
    </row>
    <row r="11">
      <c r="A11" s="2" t="n">
        <v>8</v>
      </c>
      <c r="B11" s="2" t="inlineStr">
        <is>
          <t>Enfierrado</t>
        </is>
      </c>
      <c r="C11" s="3" t="n">
        <v>30</v>
      </c>
      <c r="D11" s="2" t="inlineStr">
        <is>
          <t>jornada</t>
        </is>
      </c>
      <c r="E11" s="4">
        <f>30*18000*0.6</f>
        <v/>
      </c>
      <c r="F11" s="4">
        <f>30*18000*0.35</f>
        <v/>
      </c>
      <c r="G11" s="4">
        <f>30*18000*0.05</f>
        <v/>
      </c>
      <c r="H11" s="4">
        <f>E11+F11+G11</f>
        <v/>
      </c>
      <c r="I11" s="7">
        <f>H11/505</f>
        <v/>
      </c>
    </row>
    <row r="12">
      <c r="A12" s="2" t="n">
        <v>9</v>
      </c>
      <c r="B12" s="2" t="inlineStr">
        <is>
          <t>Fundición</t>
        </is>
      </c>
      <c r="C12" s="3" t="n">
        <v>20</v>
      </c>
      <c r="D12" s="2" t="inlineStr">
        <is>
          <t>jornada</t>
        </is>
      </c>
      <c r="E12" s="4">
        <f>20*17000*0.6</f>
        <v/>
      </c>
      <c r="F12" s="4">
        <f>20*17000*0.35</f>
        <v/>
      </c>
      <c r="G12" s="4">
        <f>20*17000*0.05</f>
        <v/>
      </c>
      <c r="H12" s="4">
        <f>E12+F12+G12</f>
        <v/>
      </c>
      <c r="I12" s="7">
        <f>H12/505</f>
        <v/>
      </c>
    </row>
    <row r="13">
      <c r="A13" s="2" t="n">
        <v>10</v>
      </c>
      <c r="B13" s="2" t="inlineStr">
        <is>
          <t>Pago Brenes</t>
        </is>
      </c>
      <c r="C13" s="3" t="n">
        <v>1</v>
      </c>
      <c r="D13" s="2" t="inlineStr">
        <is>
          <t>FIJO</t>
        </is>
      </c>
      <c r="E13" s="4">
        <f>1*2400000*0.6</f>
        <v/>
      </c>
      <c r="F13" s="4">
        <f>1*2400000*0.35</f>
        <v/>
      </c>
      <c r="G13" s="4">
        <f>1*2400000*0.05</f>
        <v/>
      </c>
      <c r="H13" s="4">
        <f>E13+F13+G13</f>
        <v/>
      </c>
      <c r="I13" s="7">
        <f>H13/505</f>
        <v/>
      </c>
    </row>
    <row r="14">
      <c r="A14" s="2" t="n">
        <v>11</v>
      </c>
      <c r="B14" s="2" t="inlineStr">
        <is>
          <t>Instalaciones provisionales (GLOBAL)</t>
        </is>
      </c>
      <c r="C14" s="3">
        <f>1*172.0/73.7</f>
        <v/>
      </c>
      <c r="D14" s="2" t="inlineStr">
        <is>
          <t>GLOBAL</t>
        </is>
      </c>
      <c r="E14" s="4">
        <f>1*172.0/73.7*150000*0.6</f>
        <v/>
      </c>
      <c r="F14" s="4">
        <f>1*172.0/73.7*150000*0.35</f>
        <v/>
      </c>
      <c r="G14" s="4">
        <f>1*172.0/73.7*150000*0.05</f>
        <v/>
      </c>
      <c r="H14" s="4">
        <f>E14+F14+G14</f>
        <v/>
      </c>
      <c r="I14" s="7">
        <f>H14/505</f>
        <v/>
      </c>
    </row>
    <row r="15">
      <c r="A15" s="2" t="n">
        <v>12</v>
      </c>
      <c r="B15" s="2" t="inlineStr">
        <is>
          <t>Trazo y replanteo (GLOBAL)</t>
        </is>
      </c>
      <c r="C15" s="3">
        <f>1*172.0/73.7</f>
        <v/>
      </c>
      <c r="D15" s="2" t="inlineStr">
        <is>
          <t>GLOBAL</t>
        </is>
      </c>
      <c r="E15" s="4">
        <f>1*172.0/73.7*85000*0.6</f>
        <v/>
      </c>
      <c r="F15" s="4">
        <f>1*172.0/73.7*85000*0.35</f>
        <v/>
      </c>
      <c r="G15" s="4">
        <f>1*172.0/73.7*85000*0.05</f>
        <v/>
      </c>
      <c r="H15" s="4">
        <f>E15+F15+G15</f>
        <v/>
      </c>
      <c r="I15" s="7">
        <f>H15/505</f>
        <v/>
      </c>
    </row>
    <row r="17">
      <c r="B17" s="8" t="inlineStr">
        <is>
          <t>TOTALES:</t>
        </is>
      </c>
      <c r="E17" s="6">
        <f>SUM(E4:E15)</f>
        <v/>
      </c>
      <c r="F17" s="6">
        <f>SUM(F4:F15)</f>
        <v/>
      </c>
      <c r="G17" s="6">
        <f>SUM(G4:G15)</f>
        <v/>
      </c>
      <c r="H17" s="6">
        <f>SUM(H4:H15)</f>
        <v/>
      </c>
      <c r="I17" s="9">
        <f>SUM(I4:I15)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PRESUPUESTO INMOBILIARIO L.32</t>
        </is>
      </c>
      <c r="F1" t="inlineStr">
        <is>
          <t>TIPO CAMBIO:</t>
        </is>
      </c>
      <c r="G1" t="n">
        <v>505</v>
      </c>
    </row>
    <row r="2">
      <c r="F2" t="inlineStr">
        <is>
          <t>ÁREA ACTUAL (m²):</t>
        </is>
      </c>
      <c r="G2" t="n">
        <v>172</v>
      </c>
    </row>
    <row r="5">
      <c r="A5" s="11" t="inlineStr">
        <is>
          <t>N°</t>
        </is>
      </c>
      <c r="B5" s="11" t="inlineStr">
        <is>
          <t>DESCRIPCION</t>
        </is>
      </c>
      <c r="C5" s="11" t="inlineStr">
        <is>
          <t>MONTO</t>
        </is>
      </c>
    </row>
    <row r="6">
      <c r="A6" s="2" t="inlineStr">
        <is>
          <t>1</t>
        </is>
      </c>
      <c r="B6" s="12" t="inlineStr">
        <is>
          <t>COSTO DIRECTO</t>
        </is>
      </c>
      <c r="C6" s="13">
        <f>DESGLOSE!H17</f>
        <v/>
      </c>
    </row>
    <row r="7">
      <c r="A7" s="2" t="inlineStr">
        <is>
          <t>2</t>
        </is>
      </c>
      <c r="B7" s="12" t="inlineStr">
        <is>
          <t>COSTOS INDIRECTOS</t>
        </is>
      </c>
    </row>
    <row r="8">
      <c r="A8" s="2" t="inlineStr">
        <is>
          <t>2.1</t>
        </is>
      </c>
      <c r="B8" s="2" t="inlineStr">
        <is>
          <t>Administración (10.0%)</t>
        </is>
      </c>
      <c r="C8" s="4">
        <f>DESGLOSE!H17*0.1</f>
        <v/>
      </c>
    </row>
    <row r="9">
      <c r="A9" s="2" t="inlineStr">
        <is>
          <t>2.2</t>
        </is>
      </c>
      <c r="B9" s="2" t="inlineStr">
        <is>
          <t>Imprevistos (5.0%)</t>
        </is>
      </c>
      <c r="C9" s="4">
        <f>DESGLOSE!H17*0.05</f>
        <v/>
      </c>
    </row>
    <row r="10">
      <c r="A10" s="2" t="inlineStr">
        <is>
          <t>2.3</t>
        </is>
      </c>
      <c r="B10" s="2" t="inlineStr">
        <is>
          <t>Utilidad (15.0%)</t>
        </is>
      </c>
      <c r="C10" s="4">
        <f>DESGLOSE!H17*0.15</f>
        <v/>
      </c>
    </row>
    <row r="11">
      <c r="B11" s="12" t="inlineStr">
        <is>
          <t>TOTAL INDIRECTOS:</t>
        </is>
      </c>
      <c r="C11" s="13">
        <f>SUM(C8:C10)</f>
        <v/>
      </c>
    </row>
    <row r="12">
      <c r="B12" s="12" t="inlineStr">
        <is>
          <t>SUBTOTAL:</t>
        </is>
      </c>
      <c r="C12" s="13">
        <f>C6+C11</f>
        <v/>
      </c>
    </row>
    <row r="13">
      <c r="A13" s="2" t="inlineStr">
        <is>
          <t>3</t>
        </is>
      </c>
      <c r="B13" s="2" t="inlineStr">
        <is>
          <t>Costo de Venta (10.0%)</t>
        </is>
      </c>
      <c r="C13" s="4">
        <f>C12*0.1</f>
        <v/>
      </c>
    </row>
    <row r="14">
      <c r="B14" s="14" t="inlineStr">
        <is>
          <t>TOTAL PRESUPUESTO:</t>
        </is>
      </c>
      <c r="C14" s="15">
        <f>C12+C13</f>
        <v/>
      </c>
    </row>
    <row r="15">
      <c r="A15" s="2" t="inlineStr">
        <is>
          <t>4</t>
        </is>
      </c>
      <c r="B15" s="2" t="inlineStr">
        <is>
          <t>Pago Brenes (FIJO)</t>
        </is>
      </c>
      <c r="C15" s="4" t="n">
        <v>2400000</v>
      </c>
    </row>
    <row r="16">
      <c r="B16" s="16" t="inlineStr">
        <is>
          <t>GRAN TOTAL:</t>
        </is>
      </c>
      <c r="C16" s="17">
        <f>C14+C15</f>
        <v/>
      </c>
    </row>
    <row r="18">
      <c r="B18" s="8" t="inlineStr">
        <is>
          <t>COSTO POR M²:</t>
        </is>
      </c>
      <c r="C18" s="6">
        <f>C15/172.0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1_OG y 2_ACA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3.2_MEC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3.1_ELEC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Descompuesto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Detallado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HORAS MANO DE OBRA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ELEC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BaseDatosMuebles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Subc. Vent.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BASE DATOS EQUIPOS Y SUBCONTRAT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BASE DATOS MANO DE OBRA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Unitarios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Electromecanico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Ventaneria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Puertas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Enchapes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Hojalateria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 xml:space="preserve">BASE DATOS PRECIOS 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COSTOS MO CUADRILLA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2026-04-12T22:07:41Z</dcterms:created>
  <dcterms:modified xmlns:dcterms="http://purl.org/dc/terms/" xmlns:xsi="http://www.w3.org/2001/XMLSchema-instance" xsi:type="dcterms:W3CDTF">2026-04-12T22:07:41Z</dcterms:modified>
</cp:coreProperties>
</file>