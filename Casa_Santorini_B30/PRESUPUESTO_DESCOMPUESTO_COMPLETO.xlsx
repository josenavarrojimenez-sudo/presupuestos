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Descompuesto" sheetId="4" state="visible" r:id="rId4"/>
    <sheet xmlns:r="http://schemas.openxmlformats.org/officeDocument/2006/relationships" name="Detallado" sheetId="5" state="visible" r:id="rId5"/>
    <sheet xmlns:r="http://schemas.openxmlformats.org/officeDocument/2006/relationships" name="1_OG y 2_ACA" sheetId="6" state="visible" r:id="rId6"/>
    <sheet xmlns:r="http://schemas.openxmlformats.org/officeDocument/2006/relationships" name="3.2_MEC" sheetId="7" state="visible" r:id="rId7"/>
    <sheet xmlns:r="http://schemas.openxmlformats.org/officeDocument/2006/relationships" name="3.1_ELEC" sheetId="8" state="visible" r:id="rId8"/>
    <sheet xmlns:r="http://schemas.openxmlformats.org/officeDocument/2006/relationships" name="BASE DATOS PRECIOS 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COSTOS MO CUADRILLA" sheetId="16" state="visible" r:id="rId16"/>
    <sheet xmlns:r="http://schemas.openxmlformats.org/officeDocument/2006/relationships" name="Gastos generales" sheetId="17" state="visible" r:id="rId17"/>
    <sheet xmlns:r="http://schemas.openxmlformats.org/officeDocument/2006/relationships" name="Unitarios" sheetId="18" state="visible" r:id="rId18"/>
    <sheet xmlns:r="http://schemas.openxmlformats.org/officeDocument/2006/relationships" name="Electromecanico" sheetId="19" state="visible" r:id="rId19"/>
    <sheet xmlns:r="http://schemas.openxmlformats.org/officeDocument/2006/relationships" name="Ventaneria" sheetId="20" state="visible" r:id="rId20"/>
    <sheet xmlns:r="http://schemas.openxmlformats.org/officeDocument/2006/relationships" name="Puertas" sheetId="21" state="visible" r:id="rId21"/>
    <sheet xmlns:r="http://schemas.openxmlformats.org/officeDocument/2006/relationships" name="Enchapes" sheetId="22" state="visible" r:id="rId22"/>
    <sheet xmlns:r="http://schemas.openxmlformats.org/officeDocument/2006/relationships" name="Hojalater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0">
    <numFmt numFmtId="164" formatCode="&quot;₡&quot;#,##0.00"/>
    <numFmt numFmtId="165" formatCode="_-* #,##0.00_-;\-* #,##0.00_-;_-* &quot;-&quot;??_-;_-@_-"/>
    <numFmt numFmtId="166" formatCode="[$$-540A]#,##0.00"/>
    <numFmt numFmtId="167" formatCode="_(* #,##0_);_(* \(#,##0\);_(* &quot;-&quot;??_);_(@_)"/>
    <numFmt numFmtId="168" formatCode="&quot;₡&quot;#,##0"/>
    <numFmt numFmtId="169" formatCode="[$₡-140A]#,##0.00"/>
    <numFmt numFmtId="170" formatCode="_-* #,##0_-;\-* #,##0_-;_-* &quot;-&quot;_-;_-@_-"/>
    <numFmt numFmtId="171" formatCode="_-&quot;₡&quot;* #,##0.00_-;\-&quot;₡&quot;* #,##0.00_-;_-&quot;₡&quot;* &quot;-&quot;??_-;_-@_-"/>
    <numFmt numFmtId="172" formatCode="_-&quot;₡&quot;* #,##0_-;\-&quot;₡&quot;* #,##0_-;_-&quot;₡&quot;* &quot;-&quot;_-;_-@_-"/>
    <numFmt numFmtId="173" formatCode="_-[$₡-140A]* #,##0.00_-;\-[$₡-140A]* #,##0.00_-;_-[$₡-140A]* &quot;-&quot;??_-;_-@_-"/>
    <numFmt numFmtId="174" formatCode="_(&quot;$&quot;* #,##0.00_);_(&quot;$&quot;* \(#,##0.00\);_(&quot;$&quot;* &quot;-&quot;??_);_(@_)"/>
    <numFmt numFmtId="175" formatCode="0.0"/>
    <numFmt numFmtId="176" formatCode="_-[$$-409]* #,##0.00_ ;_-[$$-409]* \-#,##0.00\ ;_-[$$-409]* &quot;-&quot;??_ ;_-@_ "/>
    <numFmt numFmtId="177" formatCode="&quot;₡&quot;#,##0.00;[Red]\-&quot;₡&quot;#,##0.00"/>
    <numFmt numFmtId="178" formatCode="0.0%"/>
    <numFmt numFmtId="179" formatCode="0.000"/>
    <numFmt numFmtId="180" formatCode="0.00&quot; ml&quot;"/>
    <numFmt numFmtId="181" formatCode="0.00&quot; m&quot;"/>
    <numFmt numFmtId="182" formatCode="0.00&quot; cm&quot;"/>
    <numFmt numFmtId="183" formatCode="0&quot; ml&quot;"/>
    <numFmt numFmtId="184" formatCode="0&quot; ud&quot;"/>
    <numFmt numFmtId="185" formatCode="0.00&quot; m2&quot;"/>
    <numFmt numFmtId="186" formatCode="0.00&quot; ud&quot;"/>
    <numFmt numFmtId="187" formatCode="[$-F800]dddd\,\ mmmm\ dd\,\ yyyy"/>
    <numFmt numFmtId="188" formatCode="#,##0.000"/>
    <numFmt numFmtId="189" formatCode="#,##0.0000"/>
    <numFmt numFmtId="190" formatCode="_-[$₡-140A]* #,##0.00_ ;_-[$₡-140A]* \-#,##0.00\ ;_-[$₡-140A]* &quot;-&quot;??_ ;_-@_ "/>
    <numFmt numFmtId="191" formatCode="_([$$-409]* #,##0.00_);_([$$-409]* \(#,##0.00\);_([$$-409]* &quot;-&quot;??_);_(@_)"/>
    <numFmt numFmtId="192" formatCode="[$$-409]#,##0.00"/>
    <numFmt numFmtId="193" formatCode="#,##0.0000000"/>
  </numFmts>
  <fonts count="1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</font>
    <font>
      <name val="Roboto"/>
      <b val="1"/>
      <color theme="0"/>
      <sz val="16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6"/>
      <scheme val="minor"/>
    </font>
    <font>
      <name val="Roboto"/>
      <b val="1"/>
      <color theme="1"/>
      <sz val="12"/>
    </font>
    <font>
      <name val="Roboto"/>
      <b val="1"/>
      <sz val="12"/>
    </font>
    <font>
      <name val="Roboto"/>
      <b val="1"/>
      <color theme="1"/>
      <sz val="11"/>
    </font>
    <font>
      <name val="Roboto"/>
      <b val="1"/>
      <sz val="11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1"/>
    </font>
    <font>
      <name val="Roboto"/>
      <b val="1"/>
      <sz val="16"/>
    </font>
    <font>
      <name val="Roboto"/>
      <b val="1"/>
      <color rgb="FFFF0000"/>
      <sz val="16"/>
    </font>
    <font>
      <name val="Calibri"/>
      <family val="2"/>
      <b val="1"/>
      <color rgb="FFFF0000"/>
      <sz val="14"/>
    </font>
    <font>
      <name val="Calibri"/>
      <family val="2"/>
      <b val="1"/>
      <color rgb="FF000000"/>
      <sz val="12"/>
    </font>
    <font>
      <name val="Calibri"/>
      <family val="2"/>
      <color rgb="FFFF0000"/>
      <sz val="11"/>
    </font>
    <font>
      <name val="Calibri"/>
      <family val="2"/>
      <b val="1"/>
      <color rgb="FFFF0000"/>
      <sz val="12"/>
    </font>
    <font>
      <name val="Calibri"/>
      <family val="2"/>
      <b val="1"/>
      <color rgb="FFFF0000"/>
      <sz val="11"/>
    </font>
    <font>
      <name val="Calibri"/>
      <family val="2"/>
      <color rgb="FF3F3F76"/>
      <sz val="11"/>
      <scheme val="minor"/>
    </font>
    <font>
      <name val="Calibri"/>
      <family val="2"/>
      <b val="1"/>
      <sz val="12"/>
    </font>
    <font>
      <name val="Calibri"/>
      <family val="2"/>
      <b val="1"/>
      <color theme="0"/>
      <sz val="14"/>
    </font>
    <font>
      <name val="Calibri"/>
      <family val="2"/>
      <color theme="1"/>
      <sz val="12"/>
    </font>
    <font>
      <name val="Calibri"/>
      <family val="2"/>
      <b val="1"/>
      <color theme="1"/>
      <sz val="9"/>
    </font>
    <font>
      <name val="Calibri"/>
      <family val="2"/>
      <b val="1"/>
      <color theme="1"/>
      <sz val="12"/>
    </font>
    <font>
      <name val="Tahoma"/>
      <family val="2"/>
      <b val="1"/>
      <color theme="1"/>
      <sz val="12"/>
    </font>
    <font>
      <name val="Tahoma"/>
      <family val="2"/>
      <b val="1"/>
      <color rgb="FFFF33CC"/>
      <sz val="12"/>
    </font>
    <font>
      <name val="Tahoma"/>
      <family val="2"/>
      <color theme="1"/>
      <sz val="12"/>
    </font>
    <font>
      <name val="Calibri"/>
      <family val="2"/>
      <b val="1"/>
      <color theme="0"/>
      <sz val="12"/>
    </font>
    <font>
      <name val="Aptos Narrow"/>
      <family val="2"/>
      <b val="1"/>
      <color rgb="FFFF0066"/>
      <sz val="14"/>
    </font>
    <font>
      <name val="Calibri"/>
      <family val="2"/>
      <b val="1"/>
      <color theme="7" tint="-0.249977111117893"/>
      <sz val="12"/>
    </font>
    <font>
      <name val="Aptos Narrow"/>
      <family val="2"/>
      <b val="1"/>
      <color rgb="FF00B050"/>
      <sz val="12"/>
    </font>
    <font>
      <name val="Calibri"/>
      <family val="2"/>
      <b val="1"/>
      <color rgb="FFFF33CC"/>
      <sz val="12"/>
    </font>
    <font>
      <name val="Calibri"/>
      <family val="2"/>
      <color rgb="FF0070C0"/>
      <sz val="11"/>
    </font>
    <font>
      <name val="Calibri"/>
      <family val="2"/>
      <b val="1"/>
      <color theme="1"/>
      <sz val="16"/>
    </font>
    <font>
      <name val="Calibri"/>
      <family val="2"/>
      <b val="1"/>
      <color theme="0"/>
      <sz val="26"/>
      <scheme val="minor"/>
    </font>
    <font>
      <name val="Calibri"/>
      <family val="2"/>
      <b val="1"/>
      <sz val="16"/>
      <scheme val="minor"/>
    </font>
    <font>
      <name val="Calibri"/>
      <family val="2"/>
      <color theme="1"/>
      <sz val="12"/>
      <scheme val="minor"/>
    </font>
    <font>
      <name val="Aptos Narrow"/>
      <family val="2"/>
      <sz val="12"/>
    </font>
    <font>
      <name val="Aptos Narrow"/>
      <family val="2"/>
      <b val="1"/>
      <color rgb="FFFF0066"/>
      <sz val="12"/>
    </font>
    <font>
      <name val="Calibri"/>
      <family val="2"/>
      <sz val="12"/>
      <scheme val="minor"/>
    </font>
    <font>
      <name val="Aptos Narrow"/>
      <family val="2"/>
      <b val="1"/>
      <color rgb="FFFF0000"/>
      <sz val="12"/>
    </font>
    <font>
      <name val="Calibri"/>
      <family val="2"/>
      <b val="1"/>
      <color rgb="FF3F3F76"/>
      <sz val="11"/>
      <scheme val="minor"/>
    </font>
    <font>
      <name val="Calibri"/>
      <family val="2"/>
      <b val="1"/>
      <color rgb="FFFF33CC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0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7030A0"/>
      <sz val="12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4"/>
      <scheme val="minor"/>
    </font>
    <font>
      <name val="Aptos Narrow"/>
      <family val="2"/>
      <b val="1"/>
      <sz val="12"/>
    </font>
    <font>
      <name val="Calibri"/>
      <family val="2"/>
      <color rgb="FF9966FF"/>
      <sz val="12"/>
      <scheme val="minor"/>
    </font>
    <font>
      <name val="Calibri"/>
      <family val="2"/>
      <b val="1"/>
      <color rgb="FF9966FF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b val="1"/>
      <color rgb="FFFF0066"/>
      <sz val="12"/>
      <scheme val="minor"/>
    </font>
    <font>
      <name val="Calibri"/>
      <family val="2"/>
      <color rgb="FFFF0066"/>
      <sz val="11"/>
      <scheme val="minor"/>
    </font>
    <font>
      <name val="Calibri"/>
      <family val="2"/>
      <color rgb="FFFF0066"/>
      <sz val="12"/>
      <scheme val="minor"/>
    </font>
    <font>
      <name val="Calibri"/>
      <family val="2"/>
      <color theme="1"/>
      <sz val="22"/>
      <scheme val="minor"/>
    </font>
    <font>
      <name val="Aptos Narrow"/>
      <family val="2"/>
      <b val="1"/>
      <color rgb="FF9966FF"/>
      <sz val="12"/>
    </font>
    <font>
      <name val="Aptos Narrow"/>
      <family val="2"/>
      <color rgb="FFFF0066"/>
      <sz val="12"/>
    </font>
    <font>
      <name val="Calibri"/>
      <family val="2"/>
      <b val="1"/>
      <color rgb="FF009999"/>
      <sz val="12"/>
      <scheme val="minor"/>
    </font>
    <font>
      <name val="Calibri"/>
      <family val="2"/>
      <b val="1"/>
      <color theme="8"/>
      <sz val="12"/>
      <scheme val="minor"/>
    </font>
    <font>
      <name val="Calibri"/>
      <family val="2"/>
      <color rgb="FF9966FF"/>
      <sz val="11"/>
      <scheme val="minor"/>
    </font>
    <font>
      <name val="Calibri"/>
      <family val="2"/>
      <b val="1"/>
      <color theme="5"/>
      <sz val="12"/>
      <scheme val="minor"/>
    </font>
    <font>
      <name val="Calibri"/>
      <family val="2"/>
      <b val="1"/>
      <color rgb="FFFF0066"/>
      <sz val="11"/>
      <scheme val="minor"/>
    </font>
    <font>
      <name val="Calibri"/>
      <family val="2"/>
      <b val="1"/>
      <color rgb="FF9966FF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3"/>
      <scheme val="minor"/>
    </font>
    <font>
      <name val="Aptos Narrow"/>
      <family val="2"/>
      <b val="1"/>
      <color rgb="FF7030A0"/>
      <sz val="12"/>
    </font>
    <font>
      <name val="Calibri"/>
      <family val="2"/>
      <color rgb="FF0070C0"/>
      <sz val="11"/>
      <scheme val="minor"/>
    </font>
    <font>
      <name val="Calibri"/>
      <family val="2"/>
      <color rgb="FF0070C0"/>
      <sz val="12"/>
      <scheme val="minor"/>
    </font>
    <font>
      <name val="Calibri"/>
      <family val="2"/>
      <b val="1"/>
      <color theme="5"/>
      <sz val="14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9"/>
      <sz val="10"/>
    </font>
    <font>
      <name val="Calibri"/>
      <family val="2"/>
      <b val="1"/>
      <color theme="8" tint="-0.249977111117893"/>
      <sz val="11"/>
      <scheme val="minor"/>
    </font>
    <font>
      <name val="Calibri"/>
      <family val="2"/>
      <b val="1"/>
      <color theme="5"/>
      <sz val="11"/>
      <scheme val="minor"/>
    </font>
    <font>
      <name val="Calibri"/>
      <family val="2"/>
      <b val="1"/>
      <color theme="9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Arial"/>
      <family val="2"/>
      <b val="1"/>
      <color rgb="FFFF0000"/>
      <sz val="10"/>
    </font>
    <font>
      <name val="Calibri"/>
      <family val="2"/>
      <color theme="5"/>
      <sz val="11"/>
      <scheme val="minor"/>
    </font>
    <font>
      <name val="Arial"/>
      <family val="2"/>
      <b val="1"/>
      <sz val="10"/>
    </font>
    <font>
      <name val="Calibri"/>
      <family val="2"/>
      <color theme="5"/>
      <sz val="12"/>
      <scheme val="minor"/>
    </font>
    <font>
      <name val="Arial"/>
      <family val="2"/>
      <b val="1"/>
      <i val="1"/>
      <sz val="11"/>
    </font>
    <font>
      <name val="Arial"/>
      <family val="2"/>
      <b val="1"/>
      <i val="1"/>
      <color theme="0"/>
      <sz val="11"/>
    </font>
    <font>
      <name val="Arial"/>
      <family val="2"/>
      <b val="1"/>
      <color theme="0"/>
      <sz val="16"/>
    </font>
    <font>
      <name val="Calibri"/>
      <family val="2"/>
      <b val="1"/>
      <color theme="0"/>
      <sz val="12"/>
      <scheme val="minor"/>
    </font>
    <font>
      <name val="Arial"/>
      <family val="2"/>
      <b val="1"/>
      <sz val="11"/>
    </font>
    <font>
      <name val="Arial"/>
      <family val="2"/>
      <b val="1"/>
      <color theme="0"/>
      <sz val="11"/>
    </font>
    <font>
      <name val="Calibri"/>
      <family val="2"/>
      <i val="1"/>
      <sz val="9"/>
      <scheme val="minor"/>
    </font>
    <font>
      <name val="Calibri"/>
      <family val="2"/>
      <color theme="8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i val="1"/>
      <color rgb="FFFF0000"/>
      <sz val="9"/>
      <scheme val="minor"/>
    </font>
    <font>
      <name val="Arial"/>
      <family val="2"/>
      <i val="1"/>
      <color theme="0" tint="-0.3499862666707358"/>
      <sz val="10"/>
    </font>
    <font>
      <name val="Calibri"/>
      <family val="2"/>
      <b val="1"/>
      <color theme="0"/>
      <sz val="14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2"/>
      <sz val="11"/>
    </font>
    <font>
      <name val="Roboto"/>
      <b val="1"/>
      <color theme="2"/>
      <sz val="12"/>
    </font>
    <font>
      <name val="Arial Narrow"/>
      <family val="2"/>
      <b val="1"/>
      <sz val="12"/>
    </font>
    <font>
      <name val="Arial Narrow"/>
      <family val="2"/>
      <b val="1"/>
      <sz val="8"/>
    </font>
    <font>
      <name val="Arial Narrow"/>
      <family val="2"/>
      <sz val="8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2"/>
    </font>
    <font>
      <name val="Tahoma"/>
      <family val="2"/>
      <color theme="1"/>
      <sz val="10"/>
    </font>
  </fonts>
  <fills count="6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rgb="FFA2A397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FFCC99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"/>
        <bgColor rgb="FF000000"/>
      </patternFill>
    </fill>
    <fill>
      <patternFill patternType="solid">
        <fgColor rgb="FFFFAFCF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0B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29FF8A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71A0FF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rgb="FF00FAB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rgb="FFFFE5F0"/>
        <bgColor indexed="64"/>
      </patternFill>
    </fill>
    <fill>
      <patternFill patternType="solid">
        <fgColor rgb="FFE3D5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164" fontId="0" fillId="0" borderId="2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/>
    </xf>
    <xf numFmtId="165" fontId="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9" fontId="0" fillId="0" borderId="3" pivotButton="0" quotePrefix="0" xfId="0"/>
    <xf numFmtId="165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2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wrapText="1"/>
    </xf>
    <xf numFmtId="2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0" fillId="2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1" fillId="5" borderId="0" applyAlignment="1" pivotButton="0" quotePrefix="0" xfId="0">
      <alignment horizontal="right"/>
    </xf>
    <xf numFmtId="0" fontId="0" fillId="6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/>
    </xf>
    <xf numFmtId="164" fontId="6" fillId="7" borderId="1" applyAlignment="1" pivotButton="0" quotePrefix="0" xfId="0">
      <alignment horizontal="center"/>
    </xf>
    <xf numFmtId="164" fontId="0" fillId="2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7" fontId="3" fillId="9" borderId="1" applyAlignment="1" pivotButton="0" quotePrefix="0" xfId="0">
      <alignment vertical="center"/>
    </xf>
    <xf numFmtId="168" fontId="1" fillId="7" borderId="0" pivotButton="0" quotePrefix="0" xfId="0"/>
    <xf numFmtId="0" fontId="8" fillId="10" borderId="0" pivotButton="0" quotePrefix="0" xfId="0"/>
    <xf numFmtId="0" fontId="9" fillId="11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/>
    </xf>
    <xf numFmtId="164" fontId="10" fillId="12" borderId="1" pivotButton="0" quotePrefix="0" xfId="0"/>
    <xf numFmtId="0" fontId="11" fillId="10" borderId="0" pivotButton="0" quotePrefix="0" xfId="0"/>
    <xf numFmtId="0" fontId="12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4" fillId="13" borderId="1" applyAlignment="1" pivotButton="0" quotePrefix="0" xfId="0">
      <alignment horizontal="center" vertical="center"/>
    </xf>
    <xf numFmtId="169" fontId="13" fillId="13" borderId="7" applyAlignment="1" pivotButton="0" quotePrefix="0" xfId="0">
      <alignment horizontal="center" vertical="center" wrapText="1"/>
    </xf>
    <xf numFmtId="169" fontId="14" fillId="13" borderId="8" applyAlignment="1" pivotButton="0" quotePrefix="0" xfId="0">
      <alignment horizontal="center" vertical="center" wrapText="1"/>
    </xf>
    <xf numFmtId="169" fontId="13" fillId="13" borderId="8" applyAlignment="1" pivotButton="0" quotePrefix="0" xfId="0">
      <alignment horizontal="center" vertical="center" wrapText="1"/>
    </xf>
    <xf numFmtId="169" fontId="15" fillId="1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4" borderId="11" applyAlignment="1" pivotButton="0" quotePrefix="0" xfId="0">
      <alignment horizontal="center" vertical="center"/>
    </xf>
    <xf numFmtId="169" fontId="14" fillId="14" borderId="12" applyAlignment="1" pivotButton="0" quotePrefix="0" xfId="0">
      <alignment horizontal="center" vertical="center" wrapText="1"/>
    </xf>
    <xf numFmtId="169" fontId="16" fillId="14" borderId="12" applyAlignment="1" pivotButton="0" quotePrefix="0" xfId="0">
      <alignment horizontal="center" vertical="center" wrapText="1"/>
    </xf>
    <xf numFmtId="169" fontId="16" fillId="14" borderId="13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/>
    </xf>
    <xf numFmtId="1" fontId="14" fillId="12" borderId="1" applyAlignment="1" pivotButton="0" quotePrefix="0" xfId="0">
      <alignment horizontal="left"/>
    </xf>
    <xf numFmtId="2" fontId="3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vertical="center"/>
    </xf>
    <xf numFmtId="164" fontId="0" fillId="10" borderId="1" applyAlignment="1" pivotButton="0" quotePrefix="0" xfId="0">
      <alignment horizontal="right" vertical="center"/>
    </xf>
    <xf numFmtId="170" fontId="0" fillId="10" borderId="0" pivotButton="0" quotePrefix="0" xfId="0"/>
    <xf numFmtId="170" fontId="0" fillId="10" borderId="0" applyAlignment="1" pivotButton="0" quotePrefix="0" xfId="0">
      <alignment vertical="center"/>
    </xf>
    <xf numFmtId="0" fontId="1" fillId="10" borderId="14" pivotButton="0" quotePrefix="0" xfId="0"/>
    <xf numFmtId="0" fontId="17" fillId="10" borderId="15" applyAlignment="1" pivotButton="0" quotePrefix="0" xfId="0">
      <alignment vertical="center"/>
    </xf>
    <xf numFmtId="0" fontId="1" fillId="10" borderId="15" applyAlignment="1" pivotButton="0" quotePrefix="0" xfId="0">
      <alignment vertical="center"/>
    </xf>
    <xf numFmtId="0" fontId="1" fillId="10" borderId="16" pivotButton="0" quotePrefix="0" xfId="0"/>
    <xf numFmtId="4" fontId="17" fillId="10" borderId="16" applyAlignment="1" pivotButton="0" quotePrefix="0" xfId="0">
      <alignment horizontal="center" vertical="center"/>
    </xf>
    <xf numFmtId="0" fontId="1" fillId="10" borderId="16" applyAlignment="1" pivotButton="0" quotePrefix="0" xfId="0">
      <alignment horizontal="center" vertical="center"/>
    </xf>
    <xf numFmtId="171" fontId="1" fillId="10" borderId="16" applyAlignment="1" pivotButton="0" quotePrefix="0" xfId="0">
      <alignment vertical="center"/>
    </xf>
    <xf numFmtId="164" fontId="1" fillId="10" borderId="16" applyAlignment="1" pivotButton="0" quotePrefix="0" xfId="0">
      <alignment vertical="center"/>
    </xf>
    <xf numFmtId="0" fontId="1" fillId="10" borderId="0" pivotButton="0" quotePrefix="0" xfId="0"/>
    <xf numFmtId="0" fontId="7" fillId="1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172" fontId="0" fillId="10" borderId="0" applyAlignment="1" pivotButton="0" quotePrefix="0" xfId="0">
      <alignment vertical="center"/>
    </xf>
    <xf numFmtId="0" fontId="5" fillId="12" borderId="17" applyAlignment="1" pivotButton="0" quotePrefix="0" xfId="0">
      <alignment horizontal="center"/>
    </xf>
    <xf numFmtId="0" fontId="8" fillId="10" borderId="1" applyAlignment="1" pivotButton="0" quotePrefix="0" xfId="0">
      <alignment wrapText="1"/>
    </xf>
    <xf numFmtId="4" fontId="3" fillId="10" borderId="1" applyAlignment="1" pivotButton="0" quotePrefix="0" xfId="0">
      <alignment horizontal="center" vertical="center"/>
    </xf>
    <xf numFmtId="165" fontId="8" fillId="10" borderId="0" pivotButton="0" quotePrefix="0" xfId="0"/>
    <xf numFmtId="0" fontId="8" fillId="10" borderId="1" pivotButton="0" quotePrefix="0" xfId="0"/>
    <xf numFmtId="0" fontId="18" fillId="10" borderId="15" applyAlignment="1" pivotButton="0" quotePrefix="0" xfId="0">
      <alignment vertical="center"/>
    </xf>
    <xf numFmtId="0" fontId="1" fillId="10" borderId="18" pivotButton="0" quotePrefix="0" xfId="0"/>
    <xf numFmtId="4" fontId="17" fillId="10" borderId="18" applyAlignment="1" pivotButton="0" quotePrefix="0" xfId="0">
      <alignment horizontal="center" vertical="center"/>
    </xf>
    <xf numFmtId="0" fontId="1" fillId="10" borderId="18" applyAlignment="1" pivotButton="0" quotePrefix="0" xfId="0">
      <alignment horizontal="center" vertical="center"/>
    </xf>
    <xf numFmtId="171" fontId="1" fillId="10" borderId="18" applyAlignment="1" pivotButton="0" quotePrefix="0" xfId="0">
      <alignment vertical="center"/>
    </xf>
    <xf numFmtId="0" fontId="5" fillId="12" borderId="19" applyAlignment="1" pivotButton="0" quotePrefix="0" xfId="0">
      <alignment horizontal="center"/>
    </xf>
    <xf numFmtId="1" fontId="14" fillId="12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17" fillId="10" borderId="15" pivotButton="0" quotePrefix="0" xfId="0"/>
    <xf numFmtId="0" fontId="5" fillId="14" borderId="20" applyAlignment="1" pivotButton="0" quotePrefix="0" xfId="0">
      <alignment horizontal="center" vertical="center"/>
    </xf>
    <xf numFmtId="0" fontId="1" fillId="10" borderId="14" applyAlignment="1" pivotButton="0" quotePrefix="0" xfId="0">
      <alignment vertical="center"/>
    </xf>
    <xf numFmtId="169" fontId="14" fillId="14" borderId="21" applyAlignment="1" pivotButton="0" quotePrefix="0" xfId="0">
      <alignment horizontal="center" vertical="center" wrapText="1"/>
    </xf>
    <xf numFmtId="169" fontId="16" fillId="14" borderId="21" applyAlignment="1" pivotButton="0" quotePrefix="0" xfId="0">
      <alignment horizontal="center" vertical="center" wrapText="1"/>
    </xf>
    <xf numFmtId="169" fontId="16" fillId="14" borderId="22" applyAlignment="1" pivotButton="0" quotePrefix="0" xfId="0">
      <alignment horizontal="center" vertical="center" wrapText="1"/>
    </xf>
    <xf numFmtId="1" fontId="14" fillId="12" borderId="23" applyAlignment="1" pivotButton="0" quotePrefix="0" xfId="0">
      <alignment horizontal="left"/>
    </xf>
    <xf numFmtId="0" fontId="0" fillId="0" borderId="23" pivotButton="0" quotePrefix="0" xfId="0"/>
    <xf numFmtId="0" fontId="19" fillId="10" borderId="0" applyAlignment="1" pivotButton="0" quotePrefix="0" xfId="0">
      <alignment horizontal="center"/>
    </xf>
    <xf numFmtId="164" fontId="8" fillId="10" borderId="1" pivotButton="0" quotePrefix="0" xfId="0"/>
    <xf numFmtId="164" fontId="8" fillId="10" borderId="1" applyAlignment="1" pivotButton="0" quotePrefix="0" xfId="0">
      <alignment vertical="center"/>
    </xf>
    <xf numFmtId="0" fontId="19" fillId="12" borderId="1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20" fillId="15" borderId="0" applyAlignment="1" pivotButton="0" quotePrefix="0" xfId="0">
      <alignment vertical="center"/>
    </xf>
    <xf numFmtId="0" fontId="21" fillId="15" borderId="0" applyAlignment="1" pivotButton="0" quotePrefix="0" xfId="0">
      <alignment vertical="center"/>
    </xf>
    <xf numFmtId="171" fontId="20" fillId="15" borderId="1" applyAlignment="1" pivotButton="0" quotePrefix="0" xfId="0">
      <alignment vertical="center"/>
    </xf>
    <xf numFmtId="171" fontId="8" fillId="10" borderId="0" pivotButton="0" quotePrefix="0" xfId="0"/>
    <xf numFmtId="172" fontId="0" fillId="0" borderId="0" applyAlignment="1" pivotButton="0" quotePrefix="0" xfId="0">
      <alignment vertical="center"/>
    </xf>
    <xf numFmtId="171" fontId="8" fillId="0" borderId="0" pivotButton="0" quotePrefix="0" xfId="0"/>
    <xf numFmtId="0" fontId="20" fillId="16" borderId="24" applyAlignment="1" pivotButton="0" quotePrefix="0" xfId="0">
      <alignment horizontal="center" vertical="center"/>
    </xf>
    <xf numFmtId="0" fontId="0" fillId="0" borderId="24" pivotButton="0" quotePrefix="0" xfId="0"/>
    <xf numFmtId="171" fontId="20" fillId="16" borderId="1" applyAlignment="1" pivotButton="0" quotePrefix="0" xfId="0">
      <alignment vertical="center"/>
    </xf>
    <xf numFmtId="0" fontId="19" fillId="10" borderId="0" applyAlignment="1" pivotButton="0" quotePrefix="0" xfId="0">
      <alignment vertical="center"/>
    </xf>
    <xf numFmtId="173" fontId="19" fillId="10" borderId="0" applyAlignment="1" pivotButton="0" quotePrefix="0" xfId="0">
      <alignment vertical="center"/>
    </xf>
    <xf numFmtId="173" fontId="19" fillId="10" borderId="0" pivotButton="0" quotePrefix="0" xfId="0"/>
    <xf numFmtId="173" fontId="8" fillId="10" borderId="0" pivotButton="0" quotePrefix="0" xfId="0"/>
    <xf numFmtId="0" fontId="22" fillId="10" borderId="0" applyAlignment="1" pivotButton="0" quotePrefix="0" xfId="0">
      <alignment vertical="center"/>
    </xf>
    <xf numFmtId="171" fontId="8" fillId="10" borderId="0" applyAlignment="1" pivotButton="0" quotePrefix="0" xfId="0">
      <alignment vertical="center"/>
    </xf>
    <xf numFmtId="0" fontId="20" fillId="17" borderId="24" applyAlignment="1" pivotButton="0" quotePrefix="0" xfId="0">
      <alignment horizontal="center" vertical="center"/>
    </xf>
    <xf numFmtId="171" fontId="20" fillId="17" borderId="1" applyAlignment="1" pivotButton="0" quotePrefix="0" xfId="0">
      <alignment vertical="center"/>
    </xf>
    <xf numFmtId="0" fontId="23" fillId="10" borderId="0" applyAlignment="1" pivotButton="0" quotePrefix="0" xfId="0">
      <alignment horizontal="right" vertical="center"/>
    </xf>
    <xf numFmtId="173" fontId="23" fillId="10" borderId="0" applyAlignment="1" pivotButton="0" quotePrefix="0" xfId="0">
      <alignment vertical="center"/>
    </xf>
    <xf numFmtId="0" fontId="24" fillId="10" borderId="25" applyAlignment="1" pivotButton="0" quotePrefix="0" xfId="0">
      <alignment vertical="center"/>
    </xf>
    <xf numFmtId="0" fontId="8" fillId="10" borderId="25" applyAlignment="1" pivotButton="0" quotePrefix="0" xfId="0">
      <alignment vertical="center"/>
    </xf>
    <xf numFmtId="0" fontId="23" fillId="10" borderId="25" applyAlignment="1" pivotButton="0" quotePrefix="0" xfId="0">
      <alignment horizontal="right" vertical="center"/>
    </xf>
    <xf numFmtId="173" fontId="23" fillId="10" borderId="25" applyAlignment="1" pivotButton="0" quotePrefix="0" xfId="0">
      <alignment vertical="center"/>
    </xf>
    <xf numFmtId="0" fontId="8" fillId="10" borderId="25" pivotButton="0" quotePrefix="0" xfId="0"/>
    <xf numFmtId="0" fontId="8" fillId="10" borderId="0" applyAlignment="1" pivotButton="0" quotePrefix="0" xfId="0">
      <alignment vertical="center"/>
    </xf>
    <xf numFmtId="173" fontId="8" fillId="10" borderId="0" applyAlignment="1" pivotButton="0" quotePrefix="0" xfId="0">
      <alignment vertical="center"/>
    </xf>
    <xf numFmtId="0" fontId="25" fillId="10" borderId="0" applyAlignment="1" pivotButton="0" quotePrefix="0" xfId="0">
      <alignment vertical="center"/>
    </xf>
    <xf numFmtId="9" fontId="8" fillId="10" borderId="0" applyAlignment="1" pivotButton="0" quotePrefix="0" xfId="0">
      <alignment vertical="center"/>
    </xf>
    <xf numFmtId="9" fontId="8" fillId="10" borderId="0" pivotButton="0" quotePrefix="0" xfId="0"/>
    <xf numFmtId="0" fontId="26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right" vertical="center"/>
    </xf>
    <xf numFmtId="173" fontId="26" fillId="10" borderId="0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164" fontId="27" fillId="18" borderId="26" applyAlignment="1" pivotButton="0" quotePrefix="0" xfId="0">
      <alignment vertical="center"/>
    </xf>
    <xf numFmtId="0" fontId="10" fillId="9" borderId="0" pivotButton="0" quotePrefix="0" xfId="0"/>
    <xf numFmtId="0" fontId="7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10" fontId="17" fillId="10" borderId="0" applyAlignment="1" pivotButton="0" quotePrefix="0" xfId="0">
      <alignment horizontal="center" vertical="center"/>
    </xf>
    <xf numFmtId="173" fontId="0" fillId="10" borderId="0" applyAlignment="1" pivotButton="0" quotePrefix="0" xfId="0">
      <alignment vertical="center"/>
    </xf>
    <xf numFmtId="0" fontId="1" fillId="19" borderId="0" pivotButton="0" quotePrefix="0" xfId="0"/>
    <xf numFmtId="9" fontId="17" fillId="19" borderId="0" applyAlignment="1" pivotButton="0" quotePrefix="0" xfId="0">
      <alignment horizontal="center" vertical="center"/>
    </xf>
    <xf numFmtId="173" fontId="17" fillId="19" borderId="0" applyAlignment="1" pivotButton="0" quotePrefix="0" xfId="0">
      <alignment vertical="center"/>
    </xf>
    <xf numFmtId="173" fontId="6" fillId="10" borderId="0" applyAlignment="1" pivotButton="0" quotePrefix="0" xfId="0">
      <alignment vertical="center"/>
    </xf>
    <xf numFmtId="166" fontId="17" fillId="10" borderId="0" applyAlignment="1" pivotButton="0" quotePrefix="0" xfId="0">
      <alignment horizontal="center" vertical="center"/>
    </xf>
    <xf numFmtId="164" fontId="17" fillId="10" borderId="0" applyAlignment="1" pivotButton="0" quotePrefix="0" xfId="0">
      <alignment horizontal="center" vertical="center"/>
    </xf>
    <xf numFmtId="173" fontId="3" fillId="10" borderId="0" applyAlignment="1" pivotButton="0" quotePrefix="0" xfId="0">
      <alignment vertical="center"/>
    </xf>
    <xf numFmtId="0" fontId="19" fillId="10" borderId="0" pivotButton="0" quotePrefix="0" xfId="0"/>
    <xf numFmtId="10" fontId="5" fillId="10" borderId="0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4" fontId="3" fillId="10" borderId="0" applyAlignment="1" pivotButton="0" quotePrefix="0" xfId="0">
      <alignment horizontal="center" vertical="center"/>
    </xf>
    <xf numFmtId="0" fontId="23" fillId="20" borderId="0" applyAlignment="1" pivotButton="0" quotePrefix="0" xfId="0">
      <alignment vertical="center"/>
    </xf>
    <xf numFmtId="10" fontId="28" fillId="20" borderId="0" applyAlignment="1" pivotButton="0" quotePrefix="0" xfId="0">
      <alignment horizontal="center" vertical="center"/>
    </xf>
    <xf numFmtId="173" fontId="28" fillId="20" borderId="0" applyAlignment="1" pivotButton="0" quotePrefix="0" xfId="0">
      <alignment vertical="center"/>
    </xf>
    <xf numFmtId="0" fontId="4" fillId="0" borderId="0" pivotButton="0" quotePrefix="0" xfId="0"/>
    <xf numFmtId="2" fontId="4" fillId="0" borderId="0" pivotButton="0" quotePrefix="0" xfId="0"/>
    <xf numFmtId="0" fontId="29" fillId="2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26" fillId="0" borderId="1" pivotButton="0" quotePrefix="0" xfId="0"/>
    <xf numFmtId="0" fontId="4" fillId="0" borderId="0" applyAlignment="1" pivotButton="0" quotePrefix="0" xfId="0">
      <alignment horizontal="center"/>
    </xf>
    <xf numFmtId="0" fontId="30" fillId="9" borderId="1" applyAlignment="1" pivotButton="0" quotePrefix="0" xfId="0">
      <alignment horizontal="center"/>
    </xf>
    <xf numFmtId="14" fontId="26" fillId="0" borderId="1" applyAlignment="1" pivotButton="0" quotePrefix="0" xfId="0">
      <alignment horizontal="left"/>
    </xf>
    <xf numFmtId="0" fontId="30" fillId="22" borderId="1" pivotButton="0" quotePrefix="0" xfId="0"/>
    <xf numFmtId="14" fontId="30" fillId="9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0" fontId="31" fillId="20" borderId="24" applyAlignment="1" pivotButton="0" quotePrefix="0" xfId="0">
      <alignment vertical="center" wrapText="1"/>
    </xf>
    <xf numFmtId="2" fontId="31" fillId="20" borderId="27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/>
    </xf>
    <xf numFmtId="49" fontId="4" fillId="20" borderId="3" applyAlignment="1" pivotButton="0" quotePrefix="0" xfId="0">
      <alignment horizontal="center" vertical="center"/>
    </xf>
    <xf numFmtId="0" fontId="4" fillId="20" borderId="3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174" fontId="32" fillId="0" borderId="0" applyAlignment="1" pivotButton="0" quotePrefix="0" xfId="0">
      <alignment vertical="center"/>
    </xf>
    <xf numFmtId="1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173" fontId="34" fillId="0" borderId="0" applyAlignment="1" pivotButton="0" quotePrefix="0" xfId="0">
      <alignment vertical="center"/>
    </xf>
    <xf numFmtId="0" fontId="31" fillId="20" borderId="5" applyAlignment="1" pivotButton="0" quotePrefix="0" xfId="0">
      <alignment vertical="center" wrapText="1"/>
    </xf>
    <xf numFmtId="2" fontId="31" fillId="20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/>
    </xf>
    <xf numFmtId="0" fontId="32" fillId="20" borderId="1" applyAlignment="1" pivotButton="0" quotePrefix="0" xfId="0">
      <alignment vertical="center"/>
    </xf>
    <xf numFmtId="2" fontId="32" fillId="20" borderId="1" applyAlignment="1" pivotButton="0" quotePrefix="0" xfId="0">
      <alignment horizontal="center" vertical="center"/>
    </xf>
    <xf numFmtId="164" fontId="32" fillId="20" borderId="1" applyAlignment="1" pivotButton="0" quotePrefix="0" xfId="0">
      <alignment horizontal="right" vertical="center"/>
    </xf>
    <xf numFmtId="164" fontId="32" fillId="20" borderId="2" applyAlignment="1" pivotButton="0" quotePrefix="0" xfId="0">
      <alignment horizontal="right" vertical="center"/>
    </xf>
    <xf numFmtId="10" fontId="32" fillId="0" borderId="0" pivotButton="0" quotePrefix="0" xfId="0"/>
    <xf numFmtId="171" fontId="32" fillId="0" borderId="0" pivotButton="0" quotePrefix="0" xfId="0"/>
    <xf numFmtId="10" fontId="32" fillId="0" borderId="0" applyAlignment="1" pivotButton="0" quotePrefix="0" xfId="0">
      <alignment horizontal="center"/>
    </xf>
    <xf numFmtId="0" fontId="35" fillId="0" borderId="0" pivotButton="0" quotePrefix="0" xfId="0"/>
    <xf numFmtId="2" fontId="2" fillId="0" borderId="1" applyAlignment="1" pivotButton="0" quotePrefix="0" xfId="0">
      <alignment horizontal="center"/>
    </xf>
    <xf numFmtId="0" fontId="36" fillId="21" borderId="1" applyAlignment="1" pivotButton="0" quotePrefix="0" xfId="0">
      <alignment horizontal="center"/>
    </xf>
    <xf numFmtId="167" fontId="36" fillId="21" borderId="1" applyAlignment="1" pivotButton="0" quotePrefix="0" xfId="0">
      <alignment vertical="center"/>
    </xf>
    <xf numFmtId="2" fontId="36" fillId="21" borderId="1" applyAlignment="1" pivotButton="0" quotePrefix="0" xfId="0">
      <alignment horizontal="center"/>
    </xf>
    <xf numFmtId="167" fontId="36" fillId="21" borderId="1" applyAlignment="1" pivotButton="0" quotePrefix="0" xfId="0">
      <alignment horizontal="center" vertical="center"/>
    </xf>
    <xf numFmtId="173" fontId="36" fillId="21" borderId="1" applyAlignment="1" pivotButton="0" quotePrefix="0" xfId="0">
      <alignment horizontal="right" vertical="center"/>
    </xf>
    <xf numFmtId="166" fontId="36" fillId="21" borderId="2" applyAlignment="1" pivotButton="0" quotePrefix="0" xfId="0">
      <alignment horizontal="right" vertical="center"/>
    </xf>
    <xf numFmtId="174" fontId="30" fillId="0" borderId="0" pivotButton="0" quotePrefix="0" xfId="0"/>
    <xf numFmtId="175" fontId="2" fillId="0" borderId="1" applyAlignment="1" pivotButton="0" quotePrefix="0" xfId="0">
      <alignment horizontal="center"/>
    </xf>
    <xf numFmtId="0" fontId="36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vertical="center"/>
    </xf>
    <xf numFmtId="2" fontId="36" fillId="13" borderId="1" applyAlignment="1" pivotButton="0" quotePrefix="0" xfId="0">
      <alignment horizontal="center" vertical="center"/>
    </xf>
    <xf numFmtId="171" fontId="36" fillId="13" borderId="1" applyAlignment="1" pivotButton="0" quotePrefix="0" xfId="0">
      <alignment horizontal="right" vertical="center"/>
    </xf>
    <xf numFmtId="176" fontId="36" fillId="13" borderId="2" applyAlignment="1" pivotButton="0" quotePrefix="0" xfId="0">
      <alignment horizontal="right" vertical="center"/>
    </xf>
    <xf numFmtId="0" fontId="35" fillId="0" borderId="0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4" fillId="23" borderId="5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vertical="center"/>
    </xf>
    <xf numFmtId="2" fontId="4" fillId="23" borderId="1" applyAlignment="1" pivotButton="0" quotePrefix="0" xfId="0">
      <alignment horizontal="center" vertical="center"/>
    </xf>
    <xf numFmtId="171" fontId="4" fillId="23" borderId="1" applyAlignment="1" pivotButton="0" quotePrefix="0" xfId="0">
      <alignment horizontal="right" vertical="center"/>
    </xf>
    <xf numFmtId="176" fontId="4" fillId="23" borderId="2" applyAlignment="1" pivotButton="0" quotePrefix="0" xfId="0">
      <alignment horizontal="right" vertical="center"/>
    </xf>
    <xf numFmtId="174" fontId="37" fillId="0" borderId="0" applyAlignment="1" pivotButton="0" quotePrefix="0" xfId="0">
      <alignment vertical="center"/>
    </xf>
    <xf numFmtId="10" fontId="32" fillId="0" borderId="25" pivotButton="0" quotePrefix="0" xfId="0"/>
    <xf numFmtId="171" fontId="32" fillId="0" borderId="25" pivotButton="0" quotePrefix="0" xfId="0"/>
    <xf numFmtId="10" fontId="32" fillId="0" borderId="25" applyAlignment="1" pivotButton="0" quotePrefix="0" xfId="0">
      <alignment horizontal="center"/>
    </xf>
    <xf numFmtId="171" fontId="38" fillId="0" borderId="25" pivotButton="0" quotePrefix="0" xfId="0"/>
    <xf numFmtId="0" fontId="2" fillId="0" borderId="5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vertical="center"/>
    </xf>
    <xf numFmtId="173" fontId="2" fillId="0" borderId="1" applyAlignment="1" pivotButton="0" quotePrefix="0" xfId="0">
      <alignment horizontal="center" vertical="center"/>
    </xf>
    <xf numFmtId="173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center" vertical="center"/>
    </xf>
    <xf numFmtId="166" fontId="2" fillId="0" borderId="2" applyAlignment="1" pivotButton="0" quotePrefix="0" xfId="0">
      <alignment horizontal="right" vertical="center"/>
    </xf>
    <xf numFmtId="167" fontId="3" fillId="0" borderId="1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73" fontId="3" fillId="0" borderId="1" applyAlignment="1" pivotButton="0" quotePrefix="0" xfId="0">
      <alignment horizontal="center" vertical="center"/>
    </xf>
    <xf numFmtId="173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/>
    </xf>
    <xf numFmtId="0" fontId="3" fillId="24" borderId="5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167" fontId="3" fillId="24" borderId="1" applyAlignment="1" pivotButton="0" quotePrefix="0" xfId="0">
      <alignment vertical="center"/>
    </xf>
    <xf numFmtId="2" fontId="2" fillId="24" borderId="1" applyAlignment="1" pivotButton="0" quotePrefix="0" xfId="0">
      <alignment horizontal="center"/>
    </xf>
    <xf numFmtId="167" fontId="2" fillId="24" borderId="1" applyAlignment="1" pivotButton="0" quotePrefix="0" xfId="0">
      <alignment horizontal="center" vertical="center"/>
    </xf>
    <xf numFmtId="173" fontId="2" fillId="24" borderId="1" applyAlignment="1" pivotButton="0" quotePrefix="0" xfId="0">
      <alignment horizontal="right" vertical="center"/>
    </xf>
    <xf numFmtId="166" fontId="2" fillId="24" borderId="2" applyAlignment="1" pivotButton="0" quotePrefix="0" xfId="0">
      <alignment horizontal="right" vertical="center"/>
    </xf>
    <xf numFmtId="0" fontId="32" fillId="25" borderId="5" applyAlignment="1" pivotButton="0" quotePrefix="0" xfId="0">
      <alignment horizontal="left" vertical="center"/>
    </xf>
    <xf numFmtId="0" fontId="3" fillId="26" borderId="5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167" fontId="3" fillId="26" borderId="1" applyAlignment="1" pivotButton="0" quotePrefix="0" xfId="0">
      <alignment vertical="center"/>
    </xf>
    <xf numFmtId="2" fontId="3" fillId="26" borderId="1" applyAlignment="1" pivotButton="0" quotePrefix="0" xfId="0">
      <alignment horizontal="center"/>
    </xf>
    <xf numFmtId="167" fontId="3" fillId="26" borderId="1" applyAlignment="1" pivotButton="0" quotePrefix="0" xfId="0">
      <alignment horizontal="center" vertical="center"/>
    </xf>
    <xf numFmtId="173" fontId="3" fillId="26" borderId="1" applyAlignment="1" pivotButton="0" quotePrefix="0" xfId="0">
      <alignment horizontal="right" vertical="center"/>
    </xf>
    <xf numFmtId="166" fontId="3" fillId="26" borderId="2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2" fontId="2" fillId="10" borderId="1" applyAlignment="1" pivotButton="0" quotePrefix="0" xfId="0">
      <alignment horizontal="center"/>
    </xf>
    <xf numFmtId="173" fontId="30" fillId="0" borderId="0" pivotButton="0" quotePrefix="0" xfId="0"/>
    <xf numFmtId="167" fontId="32" fillId="0" borderId="25" applyAlignment="1" pivotButton="0" quotePrefix="0" xfId="0">
      <alignment horizontal="left"/>
    </xf>
    <xf numFmtId="167" fontId="32" fillId="0" borderId="25" pivotButton="0" quotePrefix="0" xfId="0"/>
    <xf numFmtId="10" fontId="32" fillId="0" borderId="12" pivotButton="0" quotePrefix="0" xfId="0"/>
    <xf numFmtId="171" fontId="32" fillId="0" borderId="12" pivotButton="0" quotePrefix="0" xfId="0"/>
    <xf numFmtId="10" fontId="32" fillId="0" borderId="12" applyAlignment="1" pivotButton="0" quotePrefix="0" xfId="0">
      <alignment horizontal="center"/>
    </xf>
    <xf numFmtId="0" fontId="35" fillId="0" borderId="12" pivotButton="0" quotePrefix="0" xfId="0"/>
    <xf numFmtId="0" fontId="39" fillId="0" borderId="5" applyAlignment="1" pivotButton="0" quotePrefix="0" xfId="0">
      <alignment horizontal="center"/>
    </xf>
    <xf numFmtId="0" fontId="4" fillId="27" borderId="5" applyAlignment="1" pivotButton="0" quotePrefix="0" xfId="0">
      <alignment horizontal="center"/>
    </xf>
    <xf numFmtId="0" fontId="4" fillId="27" borderId="1" applyAlignment="1" pivotButton="0" quotePrefix="0" xfId="0">
      <alignment horizontal="center"/>
    </xf>
    <xf numFmtId="0" fontId="4" fillId="27" borderId="1" pivotButton="0" quotePrefix="0" xfId="0"/>
    <xf numFmtId="2" fontId="2" fillId="27" borderId="1" applyAlignment="1" pivotButton="0" quotePrefix="0" xfId="0">
      <alignment horizontal="center"/>
    </xf>
    <xf numFmtId="0" fontId="2" fillId="27" borderId="1" applyAlignment="1" pivotButton="0" quotePrefix="0" xfId="0">
      <alignment horizontal="center"/>
    </xf>
    <xf numFmtId="173" fontId="2" fillId="27" borderId="1" applyAlignment="1" pivotButton="0" quotePrefix="0" xfId="0">
      <alignment horizontal="right"/>
    </xf>
    <xf numFmtId="166" fontId="2" fillId="27" borderId="2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10" fontId="32" fillId="0" borderId="21" pivotButton="0" quotePrefix="0" xfId="0"/>
    <xf numFmtId="171" fontId="32" fillId="0" borderId="21" pivotButton="0" quotePrefix="0" xfId="0"/>
    <xf numFmtId="10" fontId="32" fillId="0" borderId="21" applyAlignment="1" pivotButton="0" quotePrefix="0" xfId="0">
      <alignment horizontal="center"/>
    </xf>
    <xf numFmtId="0" fontId="35" fillId="0" borderId="21" pivotButton="0" quotePrefix="0" xfId="0"/>
    <xf numFmtId="0" fontId="2" fillId="10" borderId="5" applyAlignment="1" pivotButton="0" quotePrefix="0" xfId="0">
      <alignment horizontal="center"/>
    </xf>
    <xf numFmtId="49" fontId="2" fillId="10" borderId="1" applyAlignment="1" pivotButton="0" quotePrefix="0" xfId="0">
      <alignment horizontal="center"/>
    </xf>
    <xf numFmtId="2" fontId="3" fillId="10" borderId="1" applyAlignment="1" pivotButton="0" quotePrefix="0" xfId="0">
      <alignment horizontal="center"/>
    </xf>
    <xf numFmtId="167" fontId="32" fillId="0" borderId="21" pivotButton="0" quotePrefix="0" xfId="0"/>
    <xf numFmtId="0" fontId="3" fillId="10" borderId="5" applyAlignment="1" pivotButton="0" quotePrefix="0" xfId="0">
      <alignment horizontal="center"/>
    </xf>
    <xf numFmtId="49" fontId="3" fillId="10" borderId="1" applyAlignment="1" pivotButton="0" quotePrefix="0" xfId="0">
      <alignment horizontal="center"/>
    </xf>
    <xf numFmtId="9" fontId="32" fillId="0" borderId="0" applyAlignment="1" pivotButton="0" quotePrefix="0" xfId="0">
      <alignment horizontal="center"/>
    </xf>
    <xf numFmtId="173" fontId="40" fillId="0" borderId="0" pivotButton="0" quotePrefix="0" xfId="0"/>
    <xf numFmtId="0" fontId="30" fillId="0" borderId="0" pivotButton="0" quotePrefix="0" xfId="0"/>
    <xf numFmtId="0" fontId="36" fillId="13" borderId="5" applyAlignment="1" pivotButton="0" quotePrefix="0" xfId="0">
      <alignment horizontal="center" vertical="center"/>
    </xf>
    <xf numFmtId="174" fontId="30" fillId="0" borderId="0" applyAlignment="1" pivotButton="0" quotePrefix="0" xfId="0">
      <alignment vertical="center"/>
    </xf>
    <xf numFmtId="2" fontId="3" fillId="0" borderId="1" applyAlignment="1" pivotButton="0" quotePrefix="0" xfId="0">
      <alignment horizontal="center"/>
    </xf>
    <xf numFmtId="0" fontId="4" fillId="10" borderId="5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167" fontId="3" fillId="10" borderId="1" applyAlignment="1" pivotButton="0" quotePrefix="0" xfId="0">
      <alignment vertical="center"/>
    </xf>
    <xf numFmtId="167" fontId="2" fillId="10" borderId="1" applyAlignment="1" pivotButton="0" quotePrefix="0" xfId="0">
      <alignment horizontal="center" vertical="center"/>
    </xf>
    <xf numFmtId="173" fontId="2" fillId="10" borderId="1" applyAlignment="1" pivotButton="0" quotePrefix="0" xfId="0">
      <alignment horizontal="right" vertical="center"/>
    </xf>
    <xf numFmtId="166" fontId="2" fillId="10" borderId="2" applyAlignment="1" pivotButton="0" quotePrefix="0" xfId="0">
      <alignment horizontal="right" vertical="center"/>
    </xf>
    <xf numFmtId="167" fontId="41" fillId="10" borderId="1" applyAlignment="1" pivotButton="0" quotePrefix="0" xfId="0">
      <alignment horizontal="center" vertical="center"/>
    </xf>
    <xf numFmtId="0" fontId="32" fillId="25" borderId="5" applyAlignment="1" pivotButton="0" quotePrefix="0" xfId="0">
      <alignment horizontal="left"/>
    </xf>
    <xf numFmtId="0" fontId="0" fillId="0" borderId="5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167" fontId="3" fillId="10" borderId="1" applyAlignment="1" pivotButton="0" quotePrefix="0" xfId="0">
      <alignment horizontal="center" vertical="center"/>
    </xf>
    <xf numFmtId="173" fontId="3" fillId="10" borderId="1" applyAlignment="1" pivotButton="0" quotePrefix="0" xfId="0">
      <alignment horizontal="right" vertical="center"/>
    </xf>
    <xf numFmtId="166" fontId="3" fillId="1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35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71" fontId="4" fillId="23" borderId="2" applyAlignment="1" pivotButton="0" quotePrefix="0" xfId="0">
      <alignment horizontal="right" vertical="center"/>
    </xf>
    <xf numFmtId="0" fontId="5" fillId="27" borderId="1" pivotButton="0" quotePrefix="0" xfId="0"/>
    <xf numFmtId="0" fontId="0" fillId="10" borderId="5" applyAlignment="1" pivotButton="0" quotePrefix="0" xfId="0">
      <alignment horizontal="center" vertical="center" wrapText="1"/>
    </xf>
    <xf numFmtId="49" fontId="0" fillId="10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/>
    </xf>
    <xf numFmtId="0" fontId="4" fillId="28" borderId="5" applyAlignment="1" pivotButton="0" quotePrefix="0" xfId="0">
      <alignment horizontal="center"/>
    </xf>
    <xf numFmtId="0" fontId="4" fillId="28" borderId="1" applyAlignment="1" pivotButton="0" quotePrefix="0" xfId="0">
      <alignment horizontal="center"/>
    </xf>
    <xf numFmtId="167" fontId="5" fillId="28" borderId="1" applyAlignment="1" pivotButton="0" quotePrefix="0" xfId="0">
      <alignment vertical="center"/>
    </xf>
    <xf numFmtId="2" fontId="2" fillId="28" borderId="1" applyAlignment="1" pivotButton="0" quotePrefix="0" xfId="0">
      <alignment horizontal="center"/>
    </xf>
    <xf numFmtId="0" fontId="2" fillId="28" borderId="1" applyAlignment="1" pivotButton="0" quotePrefix="0" xfId="0">
      <alignment horizontal="center"/>
    </xf>
    <xf numFmtId="173" fontId="2" fillId="28" borderId="1" applyAlignment="1" pivotButton="0" quotePrefix="0" xfId="0">
      <alignment horizontal="right"/>
    </xf>
    <xf numFmtId="166" fontId="2" fillId="28" borderId="2" applyAlignment="1" pivotButton="0" quotePrefix="0" xfId="0">
      <alignment horizontal="right"/>
    </xf>
    <xf numFmtId="43" fontId="2" fillId="0" borderId="1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9" borderId="5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2" fontId="2" fillId="9" borderId="1" applyAlignment="1" pivotButton="0" quotePrefix="0" xfId="0">
      <alignment horizontal="center"/>
    </xf>
    <xf numFmtId="167" fontId="2" fillId="9" borderId="1" applyAlignment="1" pivotButton="0" quotePrefix="0" xfId="0">
      <alignment horizontal="center" vertical="center"/>
    </xf>
    <xf numFmtId="173" fontId="2" fillId="9" borderId="1" applyAlignment="1" pivotButton="0" quotePrefix="0" xfId="0">
      <alignment horizontal="right" vertical="center"/>
    </xf>
    <xf numFmtId="166" fontId="2" fillId="9" borderId="2" applyAlignment="1" pivotButton="0" quotePrefix="0" xfId="0">
      <alignment horizontal="right" vertical="center"/>
    </xf>
    <xf numFmtId="166" fontId="2" fillId="0" borderId="2" applyAlignment="1" pivotButton="0" quotePrefix="0" xfId="0">
      <alignment vertical="center"/>
    </xf>
    <xf numFmtId="0" fontId="0" fillId="0" borderId="28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2" fontId="2" fillId="26" borderId="1" applyAlignment="1" pivotButton="0" quotePrefix="0" xfId="0">
      <alignment horizontal="center"/>
    </xf>
    <xf numFmtId="167" fontId="2" fillId="26" borderId="1" applyAlignment="1" pivotButton="0" quotePrefix="0" xfId="0">
      <alignment horizontal="center" vertical="center"/>
    </xf>
    <xf numFmtId="173" fontId="2" fillId="26" borderId="1" applyAlignment="1" pivotButton="0" quotePrefix="0" xfId="0">
      <alignment horizontal="right" vertical="center"/>
    </xf>
    <xf numFmtId="166" fontId="2" fillId="26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/>
    </xf>
    <xf numFmtId="0" fontId="2" fillId="26" borderId="5" applyAlignment="1" pivotButton="0" quotePrefix="0" xfId="0">
      <alignment horizontal="center"/>
    </xf>
    <xf numFmtId="0" fontId="2" fillId="26" borderId="1" applyAlignment="1" pivotButton="0" quotePrefix="0" xfId="0">
      <alignment horizontal="center"/>
    </xf>
    <xf numFmtId="49" fontId="4" fillId="23" borderId="1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49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2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71" fontId="4" fillId="9" borderId="1" applyAlignment="1" pivotButton="0" quotePrefix="0" xfId="0">
      <alignment horizontal="right" vertical="center"/>
    </xf>
    <xf numFmtId="176" fontId="4" fillId="9" borderId="2" applyAlignment="1" pivotButton="0" quotePrefix="0" xfId="0">
      <alignment horizontal="right" vertical="center"/>
    </xf>
    <xf numFmtId="49" fontId="3" fillId="26" borderId="1" applyAlignment="1" pivotButton="0" quotePrefix="0" xfId="0">
      <alignment horizontal="center"/>
    </xf>
    <xf numFmtId="0" fontId="5" fillId="27" borderId="5" applyAlignment="1" pivotButton="0" quotePrefix="0" xfId="0">
      <alignment horizontal="center"/>
    </xf>
    <xf numFmtId="0" fontId="5" fillId="27" borderId="1" applyAlignment="1" pivotButton="0" quotePrefix="0" xfId="0">
      <alignment horizontal="center"/>
    </xf>
    <xf numFmtId="167" fontId="5" fillId="27" borderId="1" applyAlignment="1" pivotButton="0" quotePrefix="0" xfId="0">
      <alignment vertical="center"/>
    </xf>
    <xf numFmtId="2" fontId="5" fillId="27" borderId="1" applyAlignment="1" pivotButton="0" quotePrefix="0" xfId="0">
      <alignment horizontal="center"/>
    </xf>
    <xf numFmtId="167" fontId="4" fillId="27" borderId="1" applyAlignment="1" pivotButton="0" quotePrefix="0" xfId="0">
      <alignment horizontal="center" vertical="center"/>
    </xf>
    <xf numFmtId="173" fontId="4" fillId="27" borderId="1" applyAlignment="1" pivotButton="0" quotePrefix="0" xfId="0">
      <alignment horizontal="right" vertical="center"/>
    </xf>
    <xf numFmtId="166" fontId="4" fillId="27" borderId="2" applyAlignment="1" pivotButton="0" quotePrefix="0" xfId="0">
      <alignment horizontal="right" vertical="center"/>
    </xf>
    <xf numFmtId="2" fontId="4" fillId="27" borderId="1" applyAlignment="1" pivotButton="0" quotePrefix="0" xfId="0">
      <alignment horizontal="center"/>
    </xf>
    <xf numFmtId="164" fontId="30" fillId="0" borderId="0" pivotButton="0" quotePrefix="0" xfId="0"/>
    <xf numFmtId="0" fontId="32" fillId="25" borderId="29" applyAlignment="1" pivotButton="0" quotePrefix="0" xfId="0">
      <alignment horizontal="left" vertical="center"/>
    </xf>
    <xf numFmtId="175" fontId="2" fillId="0" borderId="17" applyAlignment="1" pivotButton="0" quotePrefix="0" xfId="0">
      <alignment horizontal="center"/>
    </xf>
    <xf numFmtId="0" fontId="3" fillId="26" borderId="29" applyAlignment="1" pivotButton="0" quotePrefix="0" xfId="0">
      <alignment horizontal="center"/>
    </xf>
    <xf numFmtId="0" fontId="3" fillId="26" borderId="17" applyAlignment="1" pivotButton="0" quotePrefix="0" xfId="0">
      <alignment horizontal="center"/>
    </xf>
    <xf numFmtId="167" fontId="3" fillId="26" borderId="17" applyAlignment="1" pivotButton="0" quotePrefix="0" xfId="0">
      <alignment vertical="center"/>
    </xf>
    <xf numFmtId="2" fontId="3" fillId="26" borderId="17" applyAlignment="1" pivotButton="0" quotePrefix="0" xfId="0">
      <alignment horizontal="center"/>
    </xf>
    <xf numFmtId="167" fontId="3" fillId="26" borderId="17" applyAlignment="1" pivotButton="0" quotePrefix="0" xfId="0">
      <alignment horizontal="center" vertical="center"/>
    </xf>
    <xf numFmtId="173" fontId="3" fillId="26" borderId="17" applyAlignment="1" pivotButton="0" quotePrefix="0" xfId="0">
      <alignment horizontal="right" vertical="center"/>
    </xf>
    <xf numFmtId="166" fontId="3" fillId="26" borderId="19" applyAlignment="1" pivotButton="0" quotePrefix="0" xfId="0">
      <alignment horizontal="right" vertical="center"/>
    </xf>
    <xf numFmtId="0" fontId="4" fillId="0" borderId="5" applyAlignment="1" pivotButton="0" quotePrefix="0" xfId="0">
      <alignment horizontal="center"/>
    </xf>
    <xf numFmtId="174" fontId="2" fillId="0" borderId="1" applyAlignment="1" pivotButton="0" quotePrefix="0" xfId="0">
      <alignment horizontal="right" vertical="center"/>
    </xf>
    <xf numFmtId="173" fontId="2" fillId="0" borderId="0" pivotButton="0" quotePrefix="0" xfId="0"/>
    <xf numFmtId="176" fontId="2" fillId="0" borderId="0" pivotButton="0" quotePrefix="0" xfId="0"/>
    <xf numFmtId="9" fontId="2" fillId="0" borderId="0" pivotButton="0" quotePrefix="0" xfId="0"/>
    <xf numFmtId="0" fontId="32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73" fontId="2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right"/>
    </xf>
    <xf numFmtId="173" fontId="4" fillId="0" borderId="0" applyAlignment="1" pivotButton="0" quotePrefix="0" xfId="0">
      <alignment horizontal="center"/>
    </xf>
    <xf numFmtId="173" fontId="4" fillId="0" borderId="0" pivotButton="0" quotePrefix="0" xfId="0"/>
    <xf numFmtId="171" fontId="2" fillId="0" borderId="0" pivotButton="0" quotePrefix="0" xfId="0"/>
    <xf numFmtId="0" fontId="42" fillId="25" borderId="0" applyAlignment="1" pivotButton="0" quotePrefix="0" xfId="0">
      <alignment horizontal="right"/>
    </xf>
    <xf numFmtId="2" fontId="42" fillId="25" borderId="0" applyAlignment="1" pivotButton="0" quotePrefix="0" xfId="0">
      <alignment horizontal="center"/>
    </xf>
    <xf numFmtId="173" fontId="2" fillId="0" borderId="1" applyAlignment="1" pivotButton="0" quotePrefix="0" xfId="0">
      <alignment horizontal="center"/>
    </xf>
    <xf numFmtId="0" fontId="2" fillId="0" borderId="0" pivotButton="0" quotePrefix="0" xfId="0"/>
    <xf numFmtId="177" fontId="2" fillId="0" borderId="0" pivotButton="0" quotePrefix="0" xfId="0"/>
    <xf numFmtId="0" fontId="43" fillId="1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/>
    </xf>
    <xf numFmtId="0" fontId="44" fillId="23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45" fillId="0" borderId="1" pivotButton="0" quotePrefix="0" xfId="0"/>
    <xf numFmtId="0" fontId="27" fillId="18" borderId="26" applyAlignment="1" pivotButton="0" quotePrefix="0" xfId="0">
      <alignment horizontal="center"/>
    </xf>
    <xf numFmtId="0" fontId="45" fillId="0" borderId="1" applyAlignment="1" pivotButton="0" quotePrefix="0" xfId="0">
      <alignment horizontal="center"/>
    </xf>
    <xf numFmtId="0" fontId="46" fillId="0" borderId="0" pivotButton="0" quotePrefix="0" xfId="0"/>
    <xf numFmtId="0" fontId="45" fillId="29" borderId="30" applyAlignment="1" pivotButton="0" quotePrefix="0" xfId="0">
      <alignment horizontal="center"/>
    </xf>
    <xf numFmtId="0" fontId="47" fillId="0" borderId="0" pivotButton="0" quotePrefix="0" xfId="0"/>
    <xf numFmtId="0" fontId="48" fillId="0" borderId="0" pivotButton="0" quotePrefix="0" xfId="0"/>
    <xf numFmtId="2" fontId="27" fillId="18" borderId="26" applyAlignment="1" pivotButton="0" quotePrefix="0" xfId="0">
      <alignment horizontal="center"/>
    </xf>
    <xf numFmtId="0" fontId="45" fillId="0" borderId="0" pivotButton="0" quotePrefix="0" xfId="0"/>
    <xf numFmtId="2" fontId="45" fillId="29" borderId="30" applyAlignment="1" pivotButton="0" quotePrefix="0" xfId="0">
      <alignment horizontal="center"/>
    </xf>
    <xf numFmtId="0" fontId="49" fillId="0" borderId="0" pivotButton="0" quotePrefix="0" xfId="0"/>
    <xf numFmtId="2" fontId="27" fillId="0" borderId="26" applyAlignment="1" pivotButton="0" quotePrefix="0" xfId="0">
      <alignment horizontal="center"/>
    </xf>
    <xf numFmtId="0" fontId="27" fillId="0" borderId="26" applyAlignment="1" pivotButton="0" quotePrefix="0" xfId="0">
      <alignment horizontal="center"/>
    </xf>
    <xf numFmtId="0" fontId="45" fillId="0" borderId="2" pivotButton="0" quotePrefix="0" xfId="0"/>
    <xf numFmtId="0" fontId="45" fillId="0" borderId="5" applyAlignment="1" pivotButton="0" quotePrefix="0" xfId="0">
      <alignment horizontal="center"/>
    </xf>
    <xf numFmtId="0" fontId="45" fillId="0" borderId="17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50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27" fillId="18" borderId="34" applyAlignment="1" pivotButton="0" quotePrefix="0" xfId="0">
      <alignment horizontal="center" vertical="center"/>
    </xf>
    <xf numFmtId="0" fontId="27" fillId="18" borderId="35" applyAlignment="1" pivotButton="0" quotePrefix="0" xfId="0">
      <alignment horizontal="center" vertical="center"/>
    </xf>
    <xf numFmtId="0" fontId="27" fillId="18" borderId="36" applyAlignment="1" pivotButton="0" quotePrefix="0" xfId="0">
      <alignment horizontal="center" vertical="center"/>
    </xf>
    <xf numFmtId="0" fontId="27" fillId="18" borderId="37" applyAlignment="1" pivotButton="0" quotePrefix="0" xfId="0">
      <alignment horizontal="center" vertical="center"/>
    </xf>
    <xf numFmtId="0" fontId="27" fillId="18" borderId="26" applyAlignment="1" pivotButton="0" quotePrefix="0" xfId="0">
      <alignment horizontal="center" vertical="center"/>
    </xf>
    <xf numFmtId="0" fontId="27" fillId="18" borderId="38" applyAlignment="1" pivotButton="0" quotePrefix="0" xfId="0">
      <alignment horizontal="center" vertical="center"/>
    </xf>
    <xf numFmtId="0" fontId="27" fillId="18" borderId="37" pivotButton="0" quotePrefix="0" xfId="0"/>
    <xf numFmtId="0" fontId="27" fillId="18" borderId="26" pivotButton="0" quotePrefix="0" xfId="0"/>
    <xf numFmtId="0" fontId="27" fillId="18" borderId="38" pivotButton="0" quotePrefix="0" xfId="0"/>
    <xf numFmtId="0" fontId="27" fillId="18" borderId="39" pivotButton="0" quotePrefix="0" xfId="0"/>
    <xf numFmtId="0" fontId="27" fillId="18" borderId="40" pivotButton="0" quotePrefix="0" xfId="0"/>
    <xf numFmtId="0" fontId="27" fillId="18" borderId="41" pivotButton="0" quotePrefix="0" xfId="0"/>
    <xf numFmtId="0" fontId="27" fillId="0" borderId="32" pivotButton="0" quotePrefix="0" xfId="0"/>
    <xf numFmtId="0" fontId="27" fillId="0" borderId="33" pivotButton="0" quotePrefix="0" xfId="0"/>
    <xf numFmtId="0" fontId="27" fillId="18" borderId="39" applyAlignment="1" pivotButton="0" quotePrefix="0" xfId="0">
      <alignment horizontal="center" vertical="center"/>
    </xf>
    <xf numFmtId="0" fontId="27" fillId="18" borderId="40" applyAlignment="1" pivotButton="0" quotePrefix="0" xfId="0">
      <alignment horizontal="center" vertical="center"/>
    </xf>
    <xf numFmtId="0" fontId="27" fillId="18" borderId="41" applyAlignment="1" pivotButton="0" quotePrefix="0" xfId="0">
      <alignment horizontal="center" vertical="center"/>
    </xf>
    <xf numFmtId="0" fontId="27" fillId="18" borderId="34" pivotButton="0" quotePrefix="0" xfId="0"/>
    <xf numFmtId="0" fontId="27" fillId="18" borderId="42" pivotButton="0" quotePrefix="0" xfId="0"/>
    <xf numFmtId="0" fontId="27" fillId="18" borderId="43" pivotButton="0" quotePrefix="0" xfId="0"/>
    <xf numFmtId="0" fontId="27" fillId="18" borderId="44" pivotButton="0" quotePrefix="0" xfId="0"/>
    <xf numFmtId="9" fontId="45" fillId="0" borderId="1" applyAlignment="1" pivotButton="0" quotePrefix="0" xfId="0">
      <alignment horizontal="center"/>
    </xf>
    <xf numFmtId="0" fontId="45" fillId="0" borderId="6" applyAlignment="1" pivotButton="0" quotePrefix="0" xfId="0">
      <alignment horizontal="center"/>
    </xf>
    <xf numFmtId="178" fontId="45" fillId="0" borderId="1" applyAlignment="1" pivotButton="0" quotePrefix="0" xfId="0">
      <alignment horizontal="center"/>
    </xf>
    <xf numFmtId="2" fontId="45" fillId="0" borderId="1" applyAlignment="1" pivotButton="0" quotePrefix="0" xfId="0">
      <alignment horizontal="center"/>
    </xf>
    <xf numFmtId="173" fontId="51" fillId="0" borderId="0" pivotButton="0" quotePrefix="0" xfId="0"/>
    <xf numFmtId="0" fontId="52" fillId="0" borderId="0" pivotButton="0" quotePrefix="0" xfId="0"/>
    <xf numFmtId="164" fontId="45" fillId="0" borderId="0" applyAlignment="1" pivotButton="0" quotePrefix="0" xfId="0">
      <alignment horizontal="right"/>
    </xf>
    <xf numFmtId="171" fontId="45" fillId="0" borderId="1" applyAlignment="1" pivotButton="0" quotePrefix="0" xfId="0">
      <alignment horizontal="center"/>
    </xf>
    <xf numFmtId="0" fontId="10" fillId="0" borderId="1" pivotButton="0" quotePrefix="0" xfId="0"/>
    <xf numFmtId="173" fontId="45" fillId="0" borderId="0" pivotButton="0" quotePrefix="0" xfId="0"/>
    <xf numFmtId="0" fontId="45" fillId="0" borderId="17" pivotButton="0" quotePrefix="0" xfId="0"/>
    <xf numFmtId="171" fontId="45" fillId="0" borderId="17" applyAlignment="1" pivotButton="0" quotePrefix="0" xfId="0">
      <alignment horizontal="center"/>
    </xf>
    <xf numFmtId="0" fontId="45" fillId="0" borderId="17" applyAlignment="1" pivotButton="0" quotePrefix="0" xfId="0">
      <alignment horizontal="center"/>
    </xf>
    <xf numFmtId="0" fontId="53" fillId="21" borderId="1" applyAlignment="1" pivotButton="0" quotePrefix="0" xfId="0">
      <alignment horizontal="center" vertical="center"/>
    </xf>
    <xf numFmtId="0" fontId="53" fillId="13" borderId="1" applyAlignment="1" pivotButton="0" quotePrefix="0" xfId="0">
      <alignment horizontal="center" vertical="center"/>
    </xf>
    <xf numFmtId="0" fontId="54" fillId="0" borderId="0" applyAlignment="1" pivotButton="0" quotePrefix="0" xfId="0">
      <alignment horizontal="right"/>
    </xf>
    <xf numFmtId="0" fontId="42" fillId="23" borderId="1" applyAlignment="1" pivotButton="0" quotePrefix="0" xfId="0">
      <alignment horizontal="center" vertical="center"/>
    </xf>
    <xf numFmtId="0" fontId="55" fillId="0" borderId="0" applyAlignment="1" pivotButton="0" quotePrefix="0" xfId="0">
      <alignment horizontal="right"/>
    </xf>
    <xf numFmtId="0" fontId="45" fillId="0" borderId="1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 wrapText="1"/>
    </xf>
    <xf numFmtId="2" fontId="45" fillId="0" borderId="1" applyAlignment="1" pivotButton="0" quotePrefix="0" xfId="0">
      <alignment horizontal="center" vertical="center"/>
    </xf>
    <xf numFmtId="0" fontId="45" fillId="0" borderId="0" applyAlignment="1" pivotButton="0" quotePrefix="0" xfId="0">
      <alignment wrapText="1"/>
    </xf>
    <xf numFmtId="2" fontId="45" fillId="0" borderId="0" applyAlignment="1" pivotButton="0" quotePrefix="0" xfId="0">
      <alignment horizontal="center" vertical="center"/>
    </xf>
    <xf numFmtId="0" fontId="56" fillId="30" borderId="45" applyAlignment="1" pivotButton="0" quotePrefix="0" xfId="0">
      <alignment horizontal="center" vertical="center"/>
    </xf>
    <xf numFmtId="0" fontId="57" fillId="0" borderId="0" applyAlignment="1" pivotButton="0" quotePrefix="0" xfId="0">
      <alignment horizontal="right"/>
    </xf>
    <xf numFmtId="2" fontId="56" fillId="30" borderId="45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/>
    </xf>
    <xf numFmtId="164" fontId="56" fillId="30" borderId="45" applyAlignment="1" pivotButton="0" quotePrefix="0" xfId="0">
      <alignment horizontal="center" vertical="center"/>
    </xf>
    <xf numFmtId="1" fontId="56" fillId="30" borderId="45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/>
    </xf>
    <xf numFmtId="0" fontId="57" fillId="0" borderId="0" pivotButton="0" quotePrefix="0" xfId="0"/>
    <xf numFmtId="0" fontId="42" fillId="23" borderId="1" applyAlignment="1" pivotButton="0" quotePrefix="0" xfId="0">
      <alignment vertical="center"/>
    </xf>
    <xf numFmtId="0" fontId="45" fillId="0" borderId="0" applyAlignment="1" pivotButton="0" quotePrefix="0" xfId="0">
      <alignment horizontal="right"/>
    </xf>
    <xf numFmtId="0" fontId="45" fillId="0" borderId="1" applyAlignment="1" pivotButton="0" quotePrefix="0" xfId="0">
      <alignment wrapText="1"/>
    </xf>
    <xf numFmtId="0" fontId="56" fillId="30" borderId="45" pivotButton="0" quotePrefix="0" xfId="0"/>
    <xf numFmtId="2" fontId="56" fillId="30" borderId="45" applyAlignment="1" pivotButton="0" quotePrefix="0" xfId="0">
      <alignment horizontal="center"/>
    </xf>
    <xf numFmtId="0" fontId="56" fillId="30" borderId="45" applyAlignment="1" pivotButton="0" quotePrefix="0" xfId="0">
      <alignment horizontal="center"/>
    </xf>
    <xf numFmtId="164" fontId="56" fillId="30" borderId="45" applyAlignment="1" pivotButton="0" quotePrefix="0" xfId="0">
      <alignment horizontal="center"/>
    </xf>
    <xf numFmtId="1" fontId="56" fillId="30" borderId="45" applyAlignment="1" pivotButton="0" quotePrefix="0" xfId="0">
      <alignment horizontal="center"/>
    </xf>
    <xf numFmtId="0" fontId="58" fillId="23" borderId="1" pivotButton="0" quotePrefix="0" xfId="0"/>
    <xf numFmtId="0" fontId="59" fillId="0" borderId="0" pivotButton="0" quotePrefix="0" xfId="0"/>
    <xf numFmtId="0" fontId="60" fillId="0" borderId="0" pivotButton="0" quotePrefix="0" xfId="0"/>
    <xf numFmtId="2" fontId="27" fillId="0" borderId="26" applyAlignment="1" pivotButton="0" quotePrefix="0" xfId="0">
      <alignment horizontal="center" vertical="center"/>
    </xf>
    <xf numFmtId="1" fontId="45" fillId="0" borderId="1" applyAlignment="1" pivotButton="0" quotePrefix="0" xfId="0">
      <alignment horizontal="center" vertical="center"/>
    </xf>
    <xf numFmtId="2" fontId="10" fillId="20" borderId="0" applyAlignment="1" pivotButton="0" quotePrefix="0" xfId="0">
      <alignment horizontal="center"/>
    </xf>
    <xf numFmtId="0" fontId="56" fillId="30" borderId="45" applyAlignment="1" pivotButton="0" quotePrefix="0" xfId="0">
      <alignment horizontal="left"/>
    </xf>
    <xf numFmtId="164" fontId="45" fillId="0" borderId="0" pivotButton="0" quotePrefix="0" xfId="0"/>
    <xf numFmtId="164" fontId="45" fillId="0" borderId="0" applyAlignment="1" pivotButton="0" quotePrefix="0" xfId="0">
      <alignment horizontal="center"/>
    </xf>
    <xf numFmtId="175" fontId="0" fillId="0" borderId="0" applyAlignment="1" pivotButton="0" quotePrefix="0" xfId="0">
      <alignment horizontal="center"/>
    </xf>
    <xf numFmtId="0" fontId="58" fillId="23" borderId="1" applyAlignment="1" pivotButton="0" quotePrefix="0" xfId="0">
      <alignment horizontal="center" vertical="center"/>
    </xf>
    <xf numFmtId="175" fontId="4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75" fontId="0" fillId="0" borderId="0" applyAlignment="1" pivotButton="0" quotePrefix="0" xfId="0">
      <alignment horizontal="center" vertical="center"/>
    </xf>
    <xf numFmtId="175" fontId="61" fillId="0" borderId="0" applyAlignment="1" pivotButton="0" quotePrefix="0" xfId="0">
      <alignment horizontal="left" vertical="center"/>
    </xf>
    <xf numFmtId="175" fontId="27" fillId="18" borderId="26" applyAlignment="1" pivotButton="0" quotePrefix="0" xfId="0">
      <alignment horizontal="center" vertical="center"/>
    </xf>
    <xf numFmtId="0" fontId="57" fillId="0" borderId="1" applyAlignment="1" pivotButton="0" quotePrefix="0" xfId="0">
      <alignment horizontal="center" vertical="center" textRotation="90"/>
    </xf>
    <xf numFmtId="2" fontId="45" fillId="29" borderId="30" applyAlignment="1" pivotButton="0" quotePrefix="0" xfId="0">
      <alignment horizontal="center" vertical="center"/>
    </xf>
    <xf numFmtId="0" fontId="0" fillId="0" borderId="27" pivotButton="0" quotePrefix="0" xfId="0"/>
    <xf numFmtId="2" fontId="1" fillId="0" borderId="1" applyAlignment="1" pivotButton="0" quotePrefix="0" xfId="0">
      <alignment horizontal="center" vertical="center"/>
    </xf>
    <xf numFmtId="175" fontId="18" fillId="0" borderId="0" applyAlignment="1" pivotButton="0" quotePrefix="0" xfId="0">
      <alignment horizontal="left" vertical="center"/>
    </xf>
    <xf numFmtId="0" fontId="45" fillId="0" borderId="19" applyAlignment="1" pivotButton="0" quotePrefix="0" xfId="0">
      <alignment horizontal="center" vertical="center"/>
    </xf>
    <xf numFmtId="0" fontId="45" fillId="0" borderId="29" applyAlignment="1" pivotButton="0" quotePrefix="0" xfId="0">
      <alignment horizontal="center"/>
    </xf>
    <xf numFmtId="0" fontId="0" fillId="0" borderId="46" pivotButton="0" quotePrefix="0" xfId="0"/>
    <xf numFmtId="0" fontId="0" fillId="0" borderId="29" pivotButton="0" quotePrefix="0" xfId="0"/>
    <xf numFmtId="0" fontId="27" fillId="18" borderId="47" applyAlignment="1" pivotButton="0" quotePrefix="0" xfId="0">
      <alignment horizontal="center" vertical="center"/>
    </xf>
    <xf numFmtId="2" fontId="45" fillId="0" borderId="46" applyAlignment="1" pivotButton="0" quotePrefix="0" xfId="0">
      <alignment horizontal="center"/>
    </xf>
    <xf numFmtId="2" fontId="45" fillId="0" borderId="17" applyAlignment="1" pivotButton="0" quotePrefix="0" xfId="0">
      <alignment horizontal="center"/>
    </xf>
    <xf numFmtId="0" fontId="45" fillId="0" borderId="29" applyAlignment="1" pivotButton="0" quotePrefix="0" xfId="0">
      <alignment horizontal="center" vertical="center"/>
    </xf>
    <xf numFmtId="0" fontId="45" fillId="0" borderId="46" applyAlignment="1" pivotButton="0" quotePrefix="0" xfId="0">
      <alignment horizontal="center" vertical="center"/>
    </xf>
    <xf numFmtId="0" fontId="0" fillId="0" borderId="48" pivotButton="0" quotePrefix="0" xfId="0"/>
    <xf numFmtId="0" fontId="45" fillId="0" borderId="4" applyAlignment="1" pivotButton="0" quotePrefix="0" xfId="0">
      <alignment horizontal="center" vertical="center"/>
    </xf>
    <xf numFmtId="0" fontId="45" fillId="0" borderId="3" applyAlignment="1" pivotButton="0" quotePrefix="0" xfId="0">
      <alignment horizontal="center"/>
    </xf>
    <xf numFmtId="2" fontId="45" fillId="0" borderId="49" applyAlignment="1" pivotButton="0" quotePrefix="0" xfId="0">
      <alignment horizontal="center"/>
    </xf>
    <xf numFmtId="2" fontId="45" fillId="0" borderId="3" applyAlignment="1" pivotButton="0" quotePrefix="0" xfId="0">
      <alignment horizontal="center"/>
    </xf>
    <xf numFmtId="0" fontId="45" fillId="0" borderId="28" applyAlignment="1" pivotButton="0" quotePrefix="0" xfId="0">
      <alignment horizontal="center" vertical="center"/>
    </xf>
    <xf numFmtId="0" fontId="45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45" fillId="0" borderId="51" applyAlignment="1" pivotButton="0" quotePrefix="0" xfId="0">
      <alignment horizontal="center" vertical="center"/>
    </xf>
    <xf numFmtId="0" fontId="45" fillId="0" borderId="27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2" fontId="45" fillId="0" borderId="27" applyAlignment="1" pivotButton="0" quotePrefix="0" xfId="0">
      <alignment horizontal="center"/>
    </xf>
    <xf numFmtId="0" fontId="45" fillId="0" borderId="24" applyAlignment="1" pivotButton="0" quotePrefix="0" xfId="0">
      <alignment horizontal="center" vertical="center"/>
    </xf>
    <xf numFmtId="2" fontId="27" fillId="18" borderId="47" applyAlignment="1" pivotButton="0" quotePrefix="0" xfId="0">
      <alignment horizontal="center" vertical="center"/>
    </xf>
    <xf numFmtId="2" fontId="1" fillId="5" borderId="3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 wrapText="1"/>
    </xf>
    <xf numFmtId="0" fontId="48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62" fillId="0" borderId="0" applyAlignment="1" pivotButton="0" quotePrefix="0" xfId="0">
      <alignment horizontal="right"/>
    </xf>
    <xf numFmtId="0" fontId="62" fillId="0" borderId="0" applyAlignment="1" pivotButton="0" quotePrefix="0" xfId="0">
      <alignment horizontal="center"/>
    </xf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1" applyAlignment="1" pivotButton="0" quotePrefix="0" xfId="0">
      <alignment horizontal="center" vertical="center" textRotation="90"/>
    </xf>
    <xf numFmtId="175" fontId="45" fillId="0" borderId="0" applyAlignment="1" pivotButton="0" quotePrefix="0" xfId="0">
      <alignment horizontal="center" vertical="center"/>
    </xf>
    <xf numFmtId="2" fontId="45" fillId="5" borderId="1" applyAlignment="1" pivotButton="0" quotePrefix="0" xfId="0">
      <alignment horizontal="center" vertical="center"/>
    </xf>
    <xf numFmtId="0" fontId="67" fillId="0" borderId="0" pivotButton="0" quotePrefix="0" xfId="0"/>
    <xf numFmtId="0" fontId="45" fillId="0" borderId="3" applyAlignment="1" pivotButton="0" quotePrefix="0" xfId="0">
      <alignment horizontal="center" vertical="center"/>
    </xf>
    <xf numFmtId="0" fontId="45" fillId="0" borderId="27" applyAlignment="1" pivotButton="0" quotePrefix="0" xfId="0">
      <alignment horizontal="center" vertical="center"/>
    </xf>
    <xf numFmtId="0" fontId="68" fillId="0" borderId="0" pivotButton="0" quotePrefix="0" xfId="0"/>
    <xf numFmtId="0" fontId="56" fillId="30" borderId="45" applyAlignment="1" pivotButton="0" quotePrefix="0" xfId="0">
      <alignment horizontal="left" vertical="center"/>
    </xf>
    <xf numFmtId="0" fontId="10" fillId="0" borderId="0" pivotButton="0" quotePrefix="0" xfId="0"/>
    <xf numFmtId="0" fontId="69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" fillId="0" borderId="0" pivotButton="0" quotePrefix="0" xfId="0"/>
    <xf numFmtId="0" fontId="48" fillId="0" borderId="1" pivotButton="0" quotePrefix="0" xfId="0"/>
    <xf numFmtId="0" fontId="64" fillId="0" borderId="0" applyAlignment="1" pivotButton="0" quotePrefix="0" xfId="0">
      <alignment horizontal="right"/>
    </xf>
    <xf numFmtId="0" fontId="64" fillId="0" borderId="0" applyAlignment="1" pivotButton="0" quotePrefix="0" xfId="0">
      <alignment horizontal="center"/>
    </xf>
    <xf numFmtId="0" fontId="18" fillId="30" borderId="45" applyAlignment="1" pivotButton="0" quotePrefix="0" xfId="0">
      <alignment horizontal="center"/>
    </xf>
    <xf numFmtId="0" fontId="45" fillId="0" borderId="1" applyAlignment="1" pivotButton="0" quotePrefix="0" xfId="0">
      <alignment horizontal="left" vertical="center"/>
    </xf>
    <xf numFmtId="0" fontId="48" fillId="0" borderId="0" applyAlignment="1" pivotButton="0" quotePrefix="0" xfId="0">
      <alignment horizontal="right"/>
    </xf>
    <xf numFmtId="2" fontId="18" fillId="30" borderId="45" applyAlignment="1" pivotButton="0" quotePrefix="0" xfId="0">
      <alignment horizontal="center"/>
    </xf>
    <xf numFmtId="164" fontId="18" fillId="30" borderId="45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45" fillId="0" borderId="1" applyAlignment="1" pivotButton="0" quotePrefix="0" xfId="0">
      <alignment horizontal="center" wrapText="1"/>
    </xf>
    <xf numFmtId="0" fontId="45" fillId="29" borderId="30" applyAlignment="1" pivotButton="0" quotePrefix="0" xfId="0">
      <alignment horizontal="center" vertical="center"/>
    </xf>
    <xf numFmtId="2" fontId="48" fillId="0" borderId="1" applyAlignment="1" pivotButton="0" quotePrefix="0" xfId="0">
      <alignment horizontal="center"/>
    </xf>
    <xf numFmtId="0" fontId="57" fillId="0" borderId="0" applyAlignment="1" pivotButton="0" quotePrefix="0" xfId="0">
      <alignment horizontal="right" vertical="center"/>
    </xf>
    <xf numFmtId="0" fontId="56" fillId="30" borderId="45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3" fillId="13" borderId="1" applyAlignment="1" pivotButton="0" quotePrefix="0" xfId="0">
      <alignment vertical="center"/>
    </xf>
    <xf numFmtId="164" fontId="56" fillId="30" borderId="45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2" fontId="45" fillId="0" borderId="0" pivotButton="0" quotePrefix="0" xfId="0"/>
    <xf numFmtId="0" fontId="71" fillId="0" borderId="0" pivotButton="0" quotePrefix="0" xfId="0"/>
    <xf numFmtId="0" fontId="6" fillId="0" borderId="0" applyAlignment="1" pivotButton="0" quotePrefix="0" xfId="0">
      <alignment horizontal="center" wrapText="1"/>
    </xf>
    <xf numFmtId="179" fontId="56" fillId="30" borderId="45" applyAlignment="1" pivotButton="0" quotePrefix="0" xfId="0">
      <alignment horizontal="center"/>
    </xf>
    <xf numFmtId="0" fontId="56" fillId="30" borderId="45" applyAlignment="1" pivotButton="0" quotePrefix="0" xfId="0">
      <alignment wrapText="1"/>
    </xf>
    <xf numFmtId="179" fontId="0" fillId="0" borderId="0" pivotButton="0" quotePrefix="0" xfId="0"/>
    <xf numFmtId="0" fontId="45" fillId="0" borderId="3" applyAlignment="1" pivotButton="0" quotePrefix="0" xfId="0">
      <alignment wrapText="1"/>
    </xf>
    <xf numFmtId="0" fontId="72" fillId="0" borderId="0" pivotButton="0" quotePrefix="0" xfId="0"/>
    <xf numFmtId="0" fontId="56" fillId="30" borderId="45" applyAlignment="1" pivotButton="0" quotePrefix="0" xfId="0">
      <alignment horizontal="right"/>
    </xf>
    <xf numFmtId="0" fontId="73" fillId="0" borderId="0" pivotButton="0" quotePrefix="0" xfId="0"/>
    <xf numFmtId="0" fontId="73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right"/>
    </xf>
    <xf numFmtId="0" fontId="74" fillId="0" borderId="0" applyAlignment="1" pivotButton="0" quotePrefix="0" xfId="0">
      <alignment horizontal="right"/>
    </xf>
    <xf numFmtId="0" fontId="74" fillId="0" borderId="0" pivotButton="0" quotePrefix="0" xfId="0"/>
    <xf numFmtId="174" fontId="45" fillId="0" borderId="0" pivotButton="0" quotePrefix="0" xfId="0"/>
    <xf numFmtId="0" fontId="65" fillId="0" borderId="0" applyAlignment="1" pivotButton="0" quotePrefix="0" xfId="0">
      <alignment horizontal="center"/>
    </xf>
    <xf numFmtId="0" fontId="63" fillId="0" borderId="17" applyAlignment="1" pivotButton="0" quotePrefix="0" xfId="0">
      <alignment horizontal="center"/>
    </xf>
    <xf numFmtId="2" fontId="63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/>
    </xf>
    <xf numFmtId="0" fontId="74" fillId="0" borderId="0" applyAlignment="1" pivotButton="0" quotePrefix="0" xfId="0">
      <alignment horizontal="center"/>
    </xf>
    <xf numFmtId="0" fontId="10" fillId="0" borderId="4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45" fillId="0" borderId="1" applyAlignment="1" pivotButton="0" quotePrefix="0" xfId="0">
      <alignment horizontal="left"/>
    </xf>
    <xf numFmtId="2" fontId="56" fillId="30" borderId="45" applyAlignment="1" pivotButton="0" quotePrefix="0" xfId="0">
      <alignment horizontal="left"/>
    </xf>
    <xf numFmtId="0" fontId="55" fillId="0" borderId="0" applyAlignment="1" pivotButton="0" quotePrefix="0" xfId="0">
      <alignment horizontal="right" vertical="center" textRotation="90"/>
    </xf>
    <xf numFmtId="0" fontId="57" fillId="0" borderId="0" applyAlignment="1" pivotButton="0" quotePrefix="0" xfId="0">
      <alignment horizontal="right" vertical="center" textRotation="90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/>
    </xf>
    <xf numFmtId="0" fontId="75" fillId="0" borderId="0" pivotButton="0" quotePrefix="0" xfId="0"/>
    <xf numFmtId="0" fontId="10" fillId="0" borderId="0" applyAlignment="1" pivotButton="0" quotePrefix="0" xfId="0">
      <alignment horizontal="right"/>
    </xf>
    <xf numFmtId="175" fontId="56" fillId="30" borderId="45" applyAlignment="1" pivotButton="0" quotePrefix="0" xfId="0">
      <alignment horizontal="center"/>
    </xf>
    <xf numFmtId="2" fontId="45" fillId="31" borderId="1" applyAlignment="1" pivotButton="0" quotePrefix="0" xfId="0">
      <alignment horizontal="center"/>
    </xf>
    <xf numFmtId="0" fontId="45" fillId="31" borderId="1" applyAlignment="1" pivotButton="0" quotePrefix="0" xfId="0">
      <alignment horizontal="center"/>
    </xf>
    <xf numFmtId="2" fontId="45" fillId="0" borderId="1" applyAlignment="1" pivotButton="0" quotePrefix="0" xfId="0">
      <alignment vertical="center"/>
    </xf>
    <xf numFmtId="164" fontId="45" fillId="0" borderId="1" applyAlignment="1" pivotButton="0" quotePrefix="0" xfId="0">
      <alignment vertical="center"/>
    </xf>
    <xf numFmtId="0" fontId="45" fillId="0" borderId="1" applyAlignment="1" pivotButton="0" quotePrefix="0" xfId="0">
      <alignment vertical="center"/>
    </xf>
    <xf numFmtId="2" fontId="45" fillId="31" borderId="17" applyAlignment="1" pivotButton="0" quotePrefix="0" xfId="0">
      <alignment horizontal="center"/>
    </xf>
    <xf numFmtId="2" fontId="45" fillId="5" borderId="1" applyAlignment="1" pivotButton="0" quotePrefix="0" xfId="0">
      <alignment horizontal="center"/>
    </xf>
    <xf numFmtId="164" fontId="45" fillId="0" borderId="29" pivotButton="0" quotePrefix="0" xfId="0"/>
    <xf numFmtId="164" fontId="45" fillId="0" borderId="5" applyAlignment="1" pivotButton="0" quotePrefix="0" xfId="0">
      <alignment horizontal="center"/>
    </xf>
    <xf numFmtId="0" fontId="63" fillId="0" borderId="25" applyAlignment="1" pivotButton="0" quotePrefix="0" xfId="0">
      <alignment horizontal="center" wrapText="1"/>
    </xf>
    <xf numFmtId="173" fontId="63" fillId="0" borderId="0" pivotButton="0" quotePrefix="0" xfId="0"/>
    <xf numFmtId="173" fontId="63" fillId="0" borderId="0" applyAlignment="1" pivotButton="0" quotePrefix="0" xfId="0">
      <alignment horizontal="center"/>
    </xf>
    <xf numFmtId="0" fontId="0" fillId="0" borderId="25" pivotButton="0" quotePrefix="0" xfId="0"/>
    <xf numFmtId="0" fontId="63" fillId="0" borderId="25" pivotButton="0" quotePrefix="0" xfId="0"/>
    <xf numFmtId="173" fontId="63" fillId="0" borderId="25" pivotButton="0" quotePrefix="0" xfId="0"/>
    <xf numFmtId="173" fontId="63" fillId="0" borderId="25" applyAlignment="1" pivotButton="0" quotePrefix="0" xfId="0">
      <alignment horizontal="center"/>
    </xf>
    <xf numFmtId="164" fontId="45" fillId="0" borderId="1" applyAlignment="1" pivotButton="0" quotePrefix="0" xfId="0">
      <alignment horizontal="center" vertical="center"/>
    </xf>
    <xf numFmtId="173" fontId="73" fillId="0" borderId="0" pivotButton="0" quotePrefix="0" xfId="0"/>
    <xf numFmtId="173" fontId="73" fillId="0" borderId="0" applyAlignment="1" pivotButton="0" quotePrefix="0" xfId="0">
      <alignment horizontal="center"/>
    </xf>
    <xf numFmtId="4" fontId="56" fillId="30" borderId="45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2" fontId="43" fillId="13" borderId="1" applyAlignment="1" pivotButton="0" quotePrefix="0" xfId="0">
      <alignment horizontal="center" vertical="center"/>
    </xf>
    <xf numFmtId="2" fontId="53" fillId="21" borderId="1" applyAlignment="1" pivotButton="0" quotePrefix="0" xfId="0">
      <alignment horizontal="left" vertical="center"/>
    </xf>
    <xf numFmtId="2" fontId="53" fillId="13" borderId="1" applyAlignment="1" pivotButton="0" quotePrefix="0" xfId="0">
      <alignment vertical="center"/>
    </xf>
    <xf numFmtId="2" fontId="54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42" fillId="23" borderId="1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/>
    </xf>
    <xf numFmtId="2" fontId="58" fillId="23" borderId="1" pivotButton="0" quotePrefix="0" xfId="0"/>
    <xf numFmtId="0" fontId="76" fillId="0" borderId="0" applyAlignment="1" pivotButton="0" quotePrefix="0" xfId="0">
      <alignment horizontal="center"/>
    </xf>
    <xf numFmtId="2" fontId="27" fillId="18" borderId="1" applyAlignment="1" pivotButton="0" quotePrefix="0" xfId="0">
      <alignment horizontal="center"/>
    </xf>
    <xf numFmtId="0" fontId="77" fillId="0" borderId="0" pivotButton="0" quotePrefix="0" xfId="0"/>
    <xf numFmtId="164" fontId="56" fillId="30" borderId="45" pivotButton="0" quotePrefix="0" xfId="0"/>
    <xf numFmtId="2" fontId="77" fillId="0" borderId="0" pivotButton="0" quotePrefix="0" xfId="0"/>
    <xf numFmtId="0" fontId="63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center" vertical="center"/>
    </xf>
    <xf numFmtId="0" fontId="45" fillId="0" borderId="3" pivotButton="0" quotePrefix="0" xfId="0"/>
    <xf numFmtId="0" fontId="28" fillId="0" borderId="0" applyAlignment="1" pivotButton="0" quotePrefix="0" xfId="0">
      <alignment horizontal="right"/>
    </xf>
    <xf numFmtId="2" fontId="55" fillId="0" borderId="0" applyAlignment="1" pivotButton="0" quotePrefix="0" xfId="0">
      <alignment horizontal="right"/>
    </xf>
    <xf numFmtId="175" fontId="0" fillId="0" borderId="0" pivotButton="0" quotePrefix="0" xfId="0"/>
    <xf numFmtId="0" fontId="78" fillId="0" borderId="0" applyAlignment="1" pivotButton="0" quotePrefix="0" xfId="0">
      <alignment horizontal="center"/>
    </xf>
    <xf numFmtId="0" fontId="79" fillId="0" borderId="0" applyAlignment="1" pivotButton="0" quotePrefix="0" xfId="0">
      <alignment horizontal="center"/>
    </xf>
    <xf numFmtId="0" fontId="75" fillId="0" borderId="0" applyAlignment="1" pivotButton="0" quotePrefix="0" xfId="0">
      <alignment horizontal="center"/>
    </xf>
    <xf numFmtId="0" fontId="6" fillId="0" borderId="0" pivotButton="0" quotePrefix="0" xfId="0"/>
    <xf numFmtId="2" fontId="62" fillId="0" borderId="0" applyAlignment="1" pivotButton="0" quotePrefix="0" xfId="0">
      <alignment horizontal="right"/>
    </xf>
    <xf numFmtId="0" fontId="55" fillId="0" borderId="0" applyAlignment="1" pivotButton="0" quotePrefix="0" xfId="0">
      <alignment horizontal="right" vertical="center"/>
    </xf>
    <xf numFmtId="0" fontId="80" fillId="0" borderId="0" pivotButton="0" quotePrefix="0" xfId="0"/>
    <xf numFmtId="0" fontId="76" fillId="0" borderId="6" applyAlignment="1" pivotButton="0" quotePrefix="0" xfId="0">
      <alignment horizontal="center"/>
    </xf>
    <xf numFmtId="2" fontId="62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56" fillId="30" borderId="45" applyAlignment="1" pivotButton="0" quotePrefix="0" xfId="0">
      <alignment vertical="center" wrapText="1"/>
    </xf>
    <xf numFmtId="0" fontId="43" fillId="13" borderId="1" pivotButton="0" quotePrefix="0" xfId="0"/>
    <xf numFmtId="0" fontId="43" fillId="13" borderId="1" applyAlignment="1" pivotButton="0" quotePrefix="0" xfId="0">
      <alignment vertical="center"/>
    </xf>
    <xf numFmtId="0" fontId="58" fillId="32" borderId="1" pivotButton="0" quotePrefix="0" xfId="0"/>
    <xf numFmtId="2" fontId="6" fillId="0" borderId="26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58" fillId="26" borderId="1" applyAlignment="1" pivotButton="0" quotePrefix="0" xfId="0">
      <alignment horizontal="center" vertical="center"/>
    </xf>
    <xf numFmtId="164" fontId="58" fillId="26" borderId="1" applyAlignment="1" pivotButton="0" quotePrefix="0" xfId="0">
      <alignment horizontal="center" vertical="center"/>
    </xf>
    <xf numFmtId="0" fontId="45" fillId="32" borderId="1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/>
    </xf>
    <xf numFmtId="0" fontId="81" fillId="33" borderId="52" applyAlignment="1" pivotButton="0" quotePrefix="0" xfId="0">
      <alignment horizontal="right"/>
    </xf>
    <xf numFmtId="0" fontId="82" fillId="34" borderId="53" applyAlignment="1" pivotButton="0" quotePrefix="0" xfId="0">
      <alignment horizontal="center"/>
    </xf>
    <xf numFmtId="0" fontId="81" fillId="33" borderId="53" applyAlignment="1" pivotButton="0" quotePrefix="0" xfId="0">
      <alignment horizontal="center"/>
    </xf>
    <xf numFmtId="0" fontId="81" fillId="35" borderId="54" applyAlignment="1" pivotButton="0" quotePrefix="0" xfId="0">
      <alignment horizontal="center"/>
    </xf>
    <xf numFmtId="0" fontId="81" fillId="33" borderId="55" pivotButton="0" quotePrefix="0" xfId="0"/>
    <xf numFmtId="0" fontId="81" fillId="33" borderId="1" applyAlignment="1" pivotButton="0" quotePrefix="0" xfId="0">
      <alignment horizontal="left"/>
    </xf>
    <xf numFmtId="0" fontId="81" fillId="33" borderId="1" applyAlignment="1" pivotButton="0" quotePrefix="0" xfId="0">
      <alignment horizontal="center"/>
    </xf>
    <xf numFmtId="0" fontId="81" fillId="33" borderId="56" applyAlignment="1" pivotButton="0" quotePrefix="0" xfId="0">
      <alignment horizontal="center"/>
    </xf>
    <xf numFmtId="0" fontId="81" fillId="36" borderId="55" applyAlignment="1" pivotButton="0" quotePrefix="0" xfId="0">
      <alignment horizontal="center"/>
    </xf>
    <xf numFmtId="0" fontId="81" fillId="36" borderId="1" applyAlignment="1" pivotButton="0" quotePrefix="0" xfId="0">
      <alignment horizontal="left"/>
    </xf>
    <xf numFmtId="173" fontId="81" fillId="36" borderId="1" applyAlignment="1" pivotButton="0" quotePrefix="0" xfId="0">
      <alignment horizontal="center"/>
    </xf>
    <xf numFmtId="0" fontId="81" fillId="36" borderId="56" applyAlignment="1" pivotButton="0" quotePrefix="0" xfId="0">
      <alignment horizontal="center"/>
    </xf>
    <xf numFmtId="0" fontId="81" fillId="36" borderId="57" applyAlignment="1" pivotButton="0" quotePrefix="0" xfId="0">
      <alignment horizontal="center"/>
    </xf>
    <xf numFmtId="0" fontId="81" fillId="36" borderId="58" applyAlignment="1" pivotButton="0" quotePrefix="0" xfId="0">
      <alignment horizontal="left"/>
    </xf>
    <xf numFmtId="173" fontId="81" fillId="36" borderId="58" applyAlignment="1" pivotButton="0" quotePrefix="0" xfId="0">
      <alignment horizontal="center"/>
    </xf>
    <xf numFmtId="0" fontId="81" fillId="36" borderId="59" applyAlignment="1" pivotButton="0" quotePrefix="0" xfId="0">
      <alignment horizontal="center"/>
    </xf>
    <xf numFmtId="0" fontId="81" fillId="0" borderId="60" applyAlignment="1" pivotButton="0" quotePrefix="0" xfId="0">
      <alignment horizontal="center"/>
    </xf>
    <xf numFmtId="0" fontId="81" fillId="0" borderId="61" applyAlignment="1" pivotButton="0" quotePrefix="0" xfId="0">
      <alignment horizontal="center"/>
    </xf>
    <xf numFmtId="173" fontId="81" fillId="0" borderId="61" applyAlignment="1" pivotButton="0" quotePrefix="0" xfId="0">
      <alignment horizontal="center"/>
    </xf>
    <xf numFmtId="0" fontId="81" fillId="0" borderId="62" applyAlignment="1" pivotButton="0" quotePrefix="0" xfId="0">
      <alignment horizontal="center"/>
    </xf>
    <xf numFmtId="0" fontId="58" fillId="26" borderId="1" applyAlignment="1" pivotButton="0" quotePrefix="0" xfId="0">
      <alignment horizontal="right" vertical="center"/>
    </xf>
    <xf numFmtId="0" fontId="83" fillId="37" borderId="1" applyAlignment="1" pivotButton="0" quotePrefix="0" xfId="0">
      <alignment horizontal="left" vertical="center" wrapText="1"/>
    </xf>
    <xf numFmtId="0" fontId="83" fillId="37" borderId="1" applyAlignment="1" pivotButton="0" quotePrefix="0" xfId="0">
      <alignment horizontal="center" vertical="center" wrapText="1"/>
    </xf>
    <xf numFmtId="49" fontId="83" fillId="37" borderId="1" applyAlignment="1" pivotButton="0" quotePrefix="0" xfId="0">
      <alignment horizontal="center" vertical="center" wrapText="1"/>
    </xf>
    <xf numFmtId="164" fontId="83" fillId="37" borderId="1" applyAlignment="1" pivotButton="0" quotePrefix="0" xfId="0">
      <alignment horizontal="center" vertical="center" wrapText="1"/>
    </xf>
    <xf numFmtId="0" fontId="83" fillId="14" borderId="0" applyAlignment="1" pivotButton="0" quotePrefix="0" xfId="0">
      <alignment vertical="center" wrapText="1"/>
    </xf>
    <xf numFmtId="173" fontId="83" fillId="14" borderId="0" applyAlignment="1" pivotButton="0" quotePrefix="0" xfId="0">
      <alignment vertical="center" wrapText="1"/>
    </xf>
    <xf numFmtId="0" fontId="84" fillId="0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 wrapText="1"/>
    </xf>
    <xf numFmtId="49" fontId="0" fillId="10" borderId="3" applyAlignment="1" pivotButton="0" quotePrefix="0" xfId="0">
      <alignment horizontal="center" vertical="center"/>
    </xf>
    <xf numFmtId="49" fontId="0" fillId="1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vertical="center"/>
    </xf>
    <xf numFmtId="164" fontId="0" fillId="0" borderId="3" applyAlignment="1" pivotButton="0" quotePrefix="0" xfId="0">
      <alignment horizontal="center" vertical="center"/>
    </xf>
    <xf numFmtId="164" fontId="0" fillId="0" borderId="28" applyAlignment="1" pivotButton="0" quotePrefix="0" xfId="0">
      <alignment vertical="center"/>
    </xf>
    <xf numFmtId="164" fontId="0" fillId="0" borderId="28" applyAlignment="1" pivotButton="0" quotePrefix="0" xfId="0">
      <alignment horizontal="right" vertical="center"/>
    </xf>
    <xf numFmtId="0" fontId="0" fillId="1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49" fontId="0" fillId="10" borderId="1" applyAlignment="1" pivotButton="0" quotePrefix="0" xfId="0">
      <alignment horizontal="center" vertical="center"/>
    </xf>
    <xf numFmtId="49" fontId="0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horizontal="right" vertical="center"/>
    </xf>
    <xf numFmtId="0" fontId="0" fillId="26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10" borderId="1" applyAlignment="1" pivotButton="0" quotePrefix="0" xfId="0">
      <alignment horizontal="center"/>
    </xf>
    <xf numFmtId="0" fontId="0" fillId="24" borderId="1" applyAlignment="1" pivotButton="0" quotePrefix="0" xfId="0">
      <alignment vertical="center" wrapText="1"/>
    </xf>
    <xf numFmtId="164" fontId="0" fillId="24" borderId="2" applyAlignment="1" pivotButton="0" quotePrefix="0" xfId="0">
      <alignment vertical="center"/>
    </xf>
    <xf numFmtId="164" fontId="0" fillId="24" borderId="1" applyAlignment="1" pivotButton="0" quotePrefix="0" xfId="0">
      <alignment horizontal="center" vertical="center"/>
    </xf>
    <xf numFmtId="164" fontId="0" fillId="24" borderId="5" applyAlignment="1" pivotButton="0" quotePrefix="0" xfId="0">
      <alignment vertical="center"/>
    </xf>
    <xf numFmtId="164" fontId="0" fillId="24" borderId="5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164" fontId="0" fillId="7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164" fontId="6" fillId="0" borderId="5" applyAlignment="1" pivotButton="0" quotePrefix="0" xfId="0">
      <alignment vertical="center"/>
    </xf>
    <xf numFmtId="164" fontId="6" fillId="0" borderId="5" applyAlignment="1" pivotButton="0" quotePrefix="0" xfId="0">
      <alignment horizontal="right" vertical="center"/>
    </xf>
    <xf numFmtId="164" fontId="0" fillId="26" borderId="2" applyAlignment="1" pivotButton="0" quotePrefix="0" xfId="0">
      <alignment vertical="center"/>
    </xf>
    <xf numFmtId="0" fontId="0" fillId="39" borderId="1" pivotButton="0" quotePrefix="0" xfId="0"/>
    <xf numFmtId="49" fontId="0" fillId="39" borderId="1" pivotButton="0" quotePrefix="0" xfId="0"/>
    <xf numFmtId="49" fontId="0" fillId="39" borderId="2" pivotButton="0" quotePrefix="0" xfId="0"/>
    <xf numFmtId="0" fontId="0" fillId="39" borderId="2" applyAlignment="1" pivotButton="0" quotePrefix="0" xfId="0">
      <alignment vertical="center"/>
    </xf>
    <xf numFmtId="0" fontId="0" fillId="39" borderId="1" applyAlignment="1" pivotButton="0" quotePrefix="0" xfId="0">
      <alignment horizontal="center" vertical="center"/>
    </xf>
    <xf numFmtId="171" fontId="0" fillId="39" borderId="5" applyAlignment="1" pivotButton="0" quotePrefix="0" xfId="0">
      <alignment horizontal="center" vertical="center"/>
    </xf>
    <xf numFmtId="164" fontId="0" fillId="39" borderId="5" applyAlignment="1" pivotButton="0" quotePrefix="0" xfId="0">
      <alignment horizontal="right" vertical="center"/>
    </xf>
    <xf numFmtId="0" fontId="0" fillId="24" borderId="1" applyAlignment="1" pivotButton="0" quotePrefix="0" xfId="0">
      <alignment horizontal="center"/>
    </xf>
    <xf numFmtId="0" fontId="0" fillId="24" borderId="1" applyAlignment="1" pivotButton="0" quotePrefix="0" xfId="0">
      <alignment horizontal="left" vertical="center"/>
    </xf>
    <xf numFmtId="0" fontId="0" fillId="10" borderId="1" applyAlignment="1" pivotButton="0" quotePrefix="0" xfId="0">
      <alignment vertical="center" wrapText="1"/>
    </xf>
    <xf numFmtId="49" fontId="0" fillId="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vertical="center"/>
    </xf>
    <xf numFmtId="164" fontId="0" fillId="10" borderId="1" applyAlignment="1" pivotButton="0" quotePrefix="0" xfId="0">
      <alignment horizontal="center" vertical="center"/>
    </xf>
    <xf numFmtId="164" fontId="0" fillId="40" borderId="5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12" borderId="1" applyAlignment="1" pivotButton="0" quotePrefix="0" xfId="0">
      <alignment horizontal="center"/>
    </xf>
    <xf numFmtId="0" fontId="84" fillId="12" borderId="0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49" fontId="0" fillId="12" borderId="1" applyAlignment="1" pivotButton="0" quotePrefix="0" xfId="0">
      <alignment horizontal="center" vertical="center"/>
    </xf>
    <xf numFmtId="49" fontId="0" fillId="12" borderId="2" applyAlignment="1" pivotButton="0" quotePrefix="0" xfId="0">
      <alignment horizontal="center" vertical="center"/>
    </xf>
    <xf numFmtId="164" fontId="0" fillId="12" borderId="2" applyAlignment="1" pivotButton="0" quotePrefix="0" xfId="0">
      <alignment vertical="center"/>
    </xf>
    <xf numFmtId="164" fontId="0" fillId="12" borderId="1" applyAlignment="1" pivotButton="0" quotePrefix="0" xfId="0">
      <alignment horizontal="center" vertical="center"/>
    </xf>
    <xf numFmtId="164" fontId="0" fillId="12" borderId="5" applyAlignment="1" pivotButton="0" quotePrefix="0" xfId="0">
      <alignment vertical="center"/>
    </xf>
    <xf numFmtId="164" fontId="0" fillId="12" borderId="5" applyAlignment="1" pivotButton="0" quotePrefix="0" xfId="0">
      <alignment horizontal="right" vertical="center"/>
    </xf>
    <xf numFmtId="164" fontId="0" fillId="23" borderId="2" applyAlignment="1" pivotButton="0" quotePrefix="0" xfId="0">
      <alignment vertical="center"/>
    </xf>
    <xf numFmtId="0" fontId="0" fillId="39" borderId="1" applyAlignment="1" pivotButton="0" quotePrefix="0" xfId="0">
      <alignment vertical="center" wrapText="1"/>
    </xf>
    <xf numFmtId="49" fontId="0" fillId="39" borderId="1" applyAlignment="1" pivotButton="0" quotePrefix="0" xfId="0">
      <alignment vertical="center" wrapText="1"/>
    </xf>
    <xf numFmtId="49" fontId="0" fillId="39" borderId="2" applyAlignment="1" pivotButton="0" quotePrefix="0" xfId="0">
      <alignment vertical="center" wrapText="1"/>
    </xf>
    <xf numFmtId="0" fontId="0" fillId="39" borderId="2" applyAlignment="1" pivotButton="0" quotePrefix="0" xfId="0">
      <alignment vertical="center" wrapText="1"/>
    </xf>
    <xf numFmtId="164" fontId="0" fillId="39" borderId="1" applyAlignment="1" pivotButton="0" quotePrefix="0" xfId="0">
      <alignment horizontal="center" vertical="center"/>
    </xf>
    <xf numFmtId="164" fontId="0" fillId="39" borderId="5" applyAlignment="1" pivotButton="0" quotePrefix="0" xfId="0">
      <alignment vertical="center"/>
    </xf>
    <xf numFmtId="0" fontId="84" fillId="27" borderId="0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173" fontId="0" fillId="0" borderId="0" pivotButton="0" quotePrefix="0" xfId="0"/>
    <xf numFmtId="0" fontId="0" fillId="2" borderId="1" applyAlignment="1" pivotButton="0" quotePrefix="0" xfId="0">
      <alignment vertical="center" wrapText="1"/>
    </xf>
    <xf numFmtId="164" fontId="0" fillId="2" borderId="2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2" borderId="5" applyAlignment="1" pivotButton="0" quotePrefix="0" xfId="0">
      <alignment vertical="center"/>
    </xf>
    <xf numFmtId="164" fontId="0" fillId="2" borderId="5" applyAlignment="1" pivotButton="0" quotePrefix="0" xfId="0">
      <alignment horizontal="right" vertical="center"/>
    </xf>
    <xf numFmtId="0" fontId="84" fillId="2" borderId="0" applyAlignment="1" pivotButton="0" quotePrefix="0" xfId="0">
      <alignment horizontal="center" vertical="center"/>
    </xf>
    <xf numFmtId="0" fontId="0" fillId="32" borderId="1" applyAlignment="1" pivotButton="0" quotePrefix="0" xfId="0">
      <alignment horizontal="left" vertical="center" wrapText="1"/>
    </xf>
    <xf numFmtId="49" fontId="0" fillId="32" borderId="1" applyAlignment="1" pivotButton="0" quotePrefix="0" xfId="0">
      <alignment horizontal="left" vertical="center" wrapText="1"/>
    </xf>
    <xf numFmtId="49" fontId="0" fillId="32" borderId="2" applyAlignment="1" pivotButton="0" quotePrefix="0" xfId="0">
      <alignment horizontal="left" vertical="center" wrapText="1"/>
    </xf>
    <xf numFmtId="0" fontId="0" fillId="32" borderId="2" applyAlignment="1" pivotButton="0" quotePrefix="0" xfId="0">
      <alignment horizontal="left" vertical="center"/>
    </xf>
    <xf numFmtId="0" fontId="0" fillId="32" borderId="1" applyAlignment="1" pivotButton="0" quotePrefix="0" xfId="0">
      <alignment horizontal="left" vertical="center"/>
    </xf>
    <xf numFmtId="0" fontId="0" fillId="32" borderId="5" applyAlignment="1" pivotButton="0" quotePrefix="0" xfId="0">
      <alignment horizontal="left"/>
    </xf>
    <xf numFmtId="0" fontId="0" fillId="24" borderId="17" applyAlignment="1" pivotButton="0" quotePrefix="0" xfId="0">
      <alignment vertical="center" wrapText="1"/>
    </xf>
    <xf numFmtId="49" fontId="0" fillId="10" borderId="17" applyAlignment="1" pivotButton="0" quotePrefix="0" xfId="0">
      <alignment horizontal="center" vertical="center"/>
    </xf>
    <xf numFmtId="164" fontId="0" fillId="24" borderId="17" applyAlignment="1" pivotButton="0" quotePrefix="0" xfId="0">
      <alignment vertical="center"/>
    </xf>
    <xf numFmtId="164" fontId="0" fillId="24" borderId="17" applyAlignment="1" pivotButton="0" quotePrefix="0" xfId="0">
      <alignment horizontal="center" vertical="center"/>
    </xf>
    <xf numFmtId="164" fontId="0" fillId="24" borderId="1" applyAlignment="1" pivotButton="0" quotePrefix="0" xfId="0">
      <alignment vertical="center"/>
    </xf>
    <xf numFmtId="164" fontId="0" fillId="10" borderId="17" applyAlignment="1" pivotButton="0" quotePrefix="0" xfId="0">
      <alignment horizontal="center" vertical="center"/>
    </xf>
    <xf numFmtId="0" fontId="0" fillId="27" borderId="1" applyAlignment="1" pivotButton="0" quotePrefix="0" xfId="0">
      <alignment vertical="center" wrapText="1"/>
    </xf>
    <xf numFmtId="49" fontId="0" fillId="27" borderId="1" applyAlignment="1" pivotButton="0" quotePrefix="0" xfId="0">
      <alignment vertical="center" wrapText="1"/>
    </xf>
    <xf numFmtId="49" fontId="0" fillId="27" borderId="2" applyAlignment="1" pivotButton="0" quotePrefix="0" xfId="0">
      <alignment vertical="center" wrapText="1"/>
    </xf>
    <xf numFmtId="164" fontId="0" fillId="27" borderId="2" applyAlignment="1" pivotButton="0" quotePrefix="0" xfId="0">
      <alignment vertical="center"/>
    </xf>
    <xf numFmtId="164" fontId="0" fillId="27" borderId="17" applyAlignment="1" pivotButton="0" quotePrefix="0" xfId="0">
      <alignment horizontal="center" vertical="center"/>
    </xf>
    <xf numFmtId="164" fontId="0" fillId="27" borderId="5" applyAlignment="1" pivotButton="0" quotePrefix="0" xfId="0">
      <alignment vertical="center"/>
    </xf>
    <xf numFmtId="164" fontId="0" fillId="27" borderId="5" applyAlignment="1" pivotButton="0" quotePrefix="0" xfId="0">
      <alignment horizontal="right" vertical="center"/>
    </xf>
    <xf numFmtId="49" fontId="0" fillId="27" borderId="1" applyAlignment="1" pivotButton="0" quotePrefix="0" xfId="0">
      <alignment horizontal="center" vertical="center"/>
    </xf>
    <xf numFmtId="49" fontId="0" fillId="27" borderId="2" applyAlignment="1" pivotButton="0" quotePrefix="0" xfId="0">
      <alignment horizontal="center" vertical="center"/>
    </xf>
    <xf numFmtId="164" fontId="1" fillId="27" borderId="17" applyAlignment="1" pivotButton="0" quotePrefix="0" xfId="0">
      <alignment horizontal="center" vertical="center"/>
    </xf>
    <xf numFmtId="0" fontId="0" fillId="27" borderId="2" applyAlignment="1" pivotButton="0" quotePrefix="0" xfId="0">
      <alignment vertical="center" wrapText="1"/>
    </xf>
    <xf numFmtId="0" fontId="0" fillId="27" borderId="1" applyAlignment="1" pivotButton="0" quotePrefix="0" xfId="0">
      <alignment horizontal="left" vertical="center" wrapText="1"/>
    </xf>
    <xf numFmtId="49" fontId="0" fillId="27" borderId="1" applyAlignment="1" pivotButton="0" quotePrefix="0" xfId="0">
      <alignment horizontal="left" vertical="center"/>
    </xf>
    <xf numFmtId="49" fontId="0" fillId="27" borderId="2" applyAlignment="1" pivotButton="0" quotePrefix="0" xfId="0">
      <alignment horizontal="left" vertical="center"/>
    </xf>
    <xf numFmtId="0" fontId="0" fillId="27" borderId="2" applyAlignment="1" pivotButton="0" quotePrefix="0" xfId="0">
      <alignment horizontal="left" vertical="center" wrapText="1"/>
    </xf>
    <xf numFmtId="164" fontId="0" fillId="27" borderId="5" applyAlignment="1" pivotButton="0" quotePrefix="0" xfId="0">
      <alignment horizontal="left" vertical="center"/>
    </xf>
    <xf numFmtId="164" fontId="0" fillId="27" borderId="1" applyAlignment="1" pivotButton="0" quotePrefix="0" xfId="0">
      <alignment horizontal="center" vertical="center"/>
    </xf>
    <xf numFmtId="0" fontId="0" fillId="27" borderId="3" applyAlignment="1" pivotButton="0" quotePrefix="0" xfId="0">
      <alignment vertical="center" wrapText="1"/>
    </xf>
    <xf numFmtId="49" fontId="0" fillId="27" borderId="3" applyAlignment="1" pivotButton="0" quotePrefix="0" xfId="0">
      <alignment horizontal="center" vertical="center"/>
    </xf>
    <xf numFmtId="164" fontId="0" fillId="27" borderId="3" applyAlignment="1" pivotButton="0" quotePrefix="0" xfId="0">
      <alignment vertical="center"/>
    </xf>
    <xf numFmtId="164" fontId="0" fillId="27" borderId="3" applyAlignment="1" pivotButton="0" quotePrefix="0" xfId="0">
      <alignment horizontal="center" vertical="center"/>
    </xf>
    <xf numFmtId="164" fontId="0" fillId="27" borderId="1" applyAlignment="1" pivotButton="0" quotePrefix="0" xfId="0">
      <alignment vertical="center"/>
    </xf>
    <xf numFmtId="164" fontId="1" fillId="27" borderId="1" applyAlignment="1" pivotButton="0" quotePrefix="0" xfId="0">
      <alignment horizontal="center" vertical="center"/>
    </xf>
    <xf numFmtId="164" fontId="0" fillId="27" borderId="0" applyAlignment="1" pivotButton="0" quotePrefix="0" xfId="0">
      <alignment vertical="center"/>
    </xf>
    <xf numFmtId="164" fontId="0" fillId="27" borderId="0" applyAlignment="1" pivotButton="0" quotePrefix="0" xfId="0">
      <alignment horizontal="right" vertical="center"/>
    </xf>
    <xf numFmtId="49" fontId="0" fillId="10" borderId="1" pivotButton="0" quotePrefix="0" xfId="0"/>
    <xf numFmtId="0" fontId="0" fillId="0" borderId="1" applyAlignment="1" pivotButton="0" quotePrefix="0" xfId="0">
      <alignment vertical="center"/>
    </xf>
    <xf numFmtId="49" fontId="0" fillId="10" borderId="4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41" borderId="0" applyAlignment="1" pivotButton="0" quotePrefix="0" xfId="0">
      <alignment horizontal="center"/>
    </xf>
    <xf numFmtId="0" fontId="0" fillId="41" borderId="0" pivotButton="0" quotePrefix="0" xfId="0"/>
    <xf numFmtId="2" fontId="85" fillId="0" borderId="0" applyAlignment="1" pivotButton="0" quotePrefix="0" xfId="0">
      <alignment horizontal="center"/>
    </xf>
    <xf numFmtId="2" fontId="86" fillId="0" borderId="0" applyAlignment="1" pivotButton="0" quotePrefix="0" xfId="0">
      <alignment horizontal="center"/>
    </xf>
    <xf numFmtId="0" fontId="86" fillId="0" borderId="0" pivotButton="0" quotePrefix="0" xfId="0"/>
    <xf numFmtId="2" fontId="87" fillId="0" borderId="0" applyAlignment="1" pivotButton="0" quotePrefix="0" xfId="0">
      <alignment horizontal="center"/>
    </xf>
    <xf numFmtId="0" fontId="88" fillId="0" borderId="0" pivotButton="0" quotePrefix="0" xfId="0"/>
    <xf numFmtId="2" fontId="0" fillId="0" borderId="0" pivotButton="0" quotePrefix="0" xfId="0"/>
    <xf numFmtId="0" fontId="0" fillId="9" borderId="1" pivotButton="0" quotePrefix="0" xfId="0"/>
    <xf numFmtId="0" fontId="0" fillId="27" borderId="17" applyAlignment="1" pivotButton="0" quotePrefix="0" xfId="0">
      <alignment horizontal="center"/>
    </xf>
    <xf numFmtId="0" fontId="0" fillId="9" borderId="49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42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8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9" fillId="0" borderId="0" applyAlignment="1" pivotButton="0" quotePrefix="0" xfId="0">
      <alignment horizontal="center" vertical="center"/>
    </xf>
    <xf numFmtId="164" fontId="89" fillId="0" borderId="0" applyAlignment="1" pivotButton="0" quotePrefix="0" xfId="0">
      <alignment horizontal="center" vertical="center"/>
    </xf>
    <xf numFmtId="180" fontId="90" fillId="0" borderId="0" applyAlignment="1" pivotButton="0" quotePrefix="0" xfId="0">
      <alignment horizontal="center" vertical="top"/>
    </xf>
    <xf numFmtId="181" fontId="0" fillId="0" borderId="0" applyAlignment="1" pivotButton="0" quotePrefix="0" xfId="0">
      <alignment vertical="center"/>
    </xf>
    <xf numFmtId="182" fontId="0" fillId="42" borderId="0" applyAlignment="1" pivotButton="0" quotePrefix="0" xfId="0">
      <alignment horizontal="center" vertical="center"/>
    </xf>
    <xf numFmtId="182" fontId="0" fillId="0" borderId="25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164" fontId="92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vertical="center"/>
    </xf>
    <xf numFmtId="0" fontId="93" fillId="42" borderId="0" applyAlignment="1" pivotButton="0" quotePrefix="0" xfId="0">
      <alignment horizontal="center" vertical="center" wrapText="1"/>
    </xf>
    <xf numFmtId="0" fontId="93" fillId="27" borderId="63" applyAlignment="1" pivotButton="0" quotePrefix="0" xfId="0">
      <alignment horizontal="center" vertical="center" wrapText="1"/>
    </xf>
    <xf numFmtId="0" fontId="0" fillId="0" borderId="22" pivotButton="0" quotePrefix="0" xfId="0"/>
    <xf numFmtId="0" fontId="91" fillId="0" borderId="0" applyAlignment="1" pivotButton="0" quotePrefix="0" xfId="0">
      <alignment horizontal="left" vertical="center"/>
    </xf>
    <xf numFmtId="164" fontId="94" fillId="42" borderId="0" applyAlignment="1" pivotButton="0" quotePrefix="0" xfId="0">
      <alignment horizontal="center" vertical="center" wrapText="1"/>
    </xf>
    <xf numFmtId="0" fontId="93" fillId="27" borderId="64" applyAlignment="1" pivotButton="0" quotePrefix="0" xfId="0">
      <alignment horizontal="center" vertical="center" wrapText="1"/>
    </xf>
    <xf numFmtId="164" fontId="94" fillId="13" borderId="65" applyAlignment="1" pivotButton="0" quotePrefix="0" xfId="0">
      <alignment horizontal="center" vertical="center" wrapText="1"/>
    </xf>
    <xf numFmtId="0" fontId="93" fillId="27" borderId="66" applyAlignment="1" pivotButton="0" quotePrefix="0" xfId="0">
      <alignment horizontal="center" vertical="center" wrapText="1"/>
    </xf>
    <xf numFmtId="164" fontId="94" fillId="13" borderId="22" applyAlignment="1" pivotButton="0" quotePrefix="0" xfId="0">
      <alignment horizontal="center" vertical="center" wrapText="1"/>
    </xf>
    <xf numFmtId="0" fontId="93" fillId="27" borderId="67" applyAlignment="1" pivotButton="0" quotePrefix="0" xfId="0">
      <alignment horizontal="center" vertical="center" wrapText="1"/>
    </xf>
    <xf numFmtId="164" fontId="94" fillId="13" borderId="63" applyAlignment="1" pivotButton="0" quotePrefix="0" xfId="0">
      <alignment horizontal="center" vertical="center" wrapText="1"/>
    </xf>
    <xf numFmtId="0" fontId="95" fillId="43" borderId="63" applyAlignment="1" pivotButton="0" quotePrefix="0" xfId="0">
      <alignment horizontal="center" vertical="center"/>
    </xf>
    <xf numFmtId="0" fontId="0" fillId="0" borderId="21" pivotButton="0" quotePrefix="0" xfId="0"/>
    <xf numFmtId="0" fontId="96" fillId="42" borderId="0" applyAlignment="1" pivotButton="0" quotePrefix="0" xfId="0">
      <alignment horizontal="center" vertical="center"/>
    </xf>
    <xf numFmtId="0" fontId="96" fillId="21" borderId="63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96" fillId="21" borderId="66" applyAlignment="1" pivotButton="0" quotePrefix="0" xfId="0">
      <alignment vertical="center"/>
    </xf>
    <xf numFmtId="0" fontId="96" fillId="21" borderId="21" applyAlignment="1" pivotButton="0" quotePrefix="0" xfId="0">
      <alignment vertical="center"/>
    </xf>
    <xf numFmtId="0" fontId="96" fillId="21" borderId="22" applyAlignment="1" pivotButton="0" quotePrefix="0" xfId="0">
      <alignment vertical="center"/>
    </xf>
    <xf numFmtId="164" fontId="94" fillId="21" borderId="63" applyAlignment="1" pivotButton="0" quotePrefix="0" xfId="0">
      <alignment vertical="center" wrapText="1"/>
    </xf>
    <xf numFmtId="164" fontId="94" fillId="21" borderId="22" applyAlignment="1" pivotButton="0" quotePrefix="0" xfId="0">
      <alignment vertical="center" wrapText="1"/>
    </xf>
    <xf numFmtId="164" fontId="97" fillId="44" borderId="67" applyAlignment="1" pivotButton="0" quotePrefix="0" xfId="0">
      <alignment horizontal="center" vertical="center" wrapText="1"/>
    </xf>
    <xf numFmtId="164" fontId="97" fillId="44" borderId="69" applyAlignment="1" pivotButton="0" quotePrefix="0" xfId="0">
      <alignment horizontal="center" vertical="center" wrapText="1"/>
    </xf>
    <xf numFmtId="0" fontId="0" fillId="0" borderId="70" pivotButton="0" quotePrefix="0" xfId="0"/>
    <xf numFmtId="0" fontId="97" fillId="42" borderId="0" applyAlignment="1" pivotButton="0" quotePrefix="0" xfId="0">
      <alignment horizontal="center" vertical="center"/>
    </xf>
    <xf numFmtId="0" fontId="97" fillId="45" borderId="66" applyAlignment="1" pivotButton="0" quotePrefix="0" xfId="0">
      <alignment horizontal="center" vertical="center"/>
    </xf>
    <xf numFmtId="0" fontId="97" fillId="45" borderId="13" applyAlignment="1" pivotButton="0" quotePrefix="0" xfId="0">
      <alignment horizontal="center" vertical="center"/>
    </xf>
    <xf numFmtId="0" fontId="97" fillId="45" borderId="71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0" fontId="0" fillId="0" borderId="69" pivotButton="0" quotePrefix="0" xfId="0"/>
    <xf numFmtId="164" fontId="98" fillId="42" borderId="0" applyAlignment="1" pivotButton="0" quotePrefix="0" xfId="0">
      <alignment horizontal="center" vertical="center"/>
    </xf>
    <xf numFmtId="164" fontId="98" fillId="46" borderId="68" applyAlignment="1" pivotButton="0" quotePrefix="0" xfId="0">
      <alignment horizontal="center" vertical="center"/>
    </xf>
    <xf numFmtId="0" fontId="0" fillId="0" borderId="64" pivotButton="0" quotePrefix="0" xfId="0"/>
    <xf numFmtId="164" fontId="98" fillId="46" borderId="70" applyAlignment="1" pivotButton="0" quotePrefix="0" xfId="0">
      <alignment horizontal="center" vertical="center"/>
    </xf>
    <xf numFmtId="0" fontId="99" fillId="45" borderId="0" applyAlignment="1" pivotButton="0" quotePrefix="0" xfId="0">
      <alignment horizontal="center" vertical="center"/>
    </xf>
    <xf numFmtId="164" fontId="10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42" borderId="0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164" fontId="0" fillId="0" borderId="70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/>
    </xf>
    <xf numFmtId="0" fontId="101" fillId="0" borderId="0" applyAlignment="1" pivotButton="0" quotePrefix="0" xfId="0">
      <alignment horizontal="center" vertical="center"/>
    </xf>
    <xf numFmtId="183" fontId="0" fillId="0" borderId="0" applyAlignment="1" pivotButton="0" quotePrefix="0" xfId="0">
      <alignment horizontal="center" vertical="center"/>
    </xf>
    <xf numFmtId="164" fontId="102" fillId="0" borderId="0" applyAlignment="1" pivotButton="0" quotePrefix="0" xfId="0">
      <alignment horizontal="center" vertical="center"/>
    </xf>
    <xf numFmtId="184" fontId="0" fillId="0" borderId="0" applyAlignment="1" pivotButton="0" quotePrefix="0" xfId="0">
      <alignment horizontal="center"/>
    </xf>
    <xf numFmtId="185" fontId="102" fillId="0" borderId="0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/>
    </xf>
    <xf numFmtId="164" fontId="6" fillId="0" borderId="70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186" fontId="0" fillId="0" borderId="0" applyAlignment="1" pivotButton="0" quotePrefix="0" xfId="0">
      <alignment horizontal="center"/>
    </xf>
    <xf numFmtId="164" fontId="0" fillId="0" borderId="25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164" fontId="0" fillId="0" borderId="68" applyAlignment="1" pivotButton="0" quotePrefix="0" xfId="0">
      <alignment horizontal="center" vertical="center"/>
    </xf>
    <xf numFmtId="0" fontId="9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0" fillId="42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horizontal="center" vertical="center"/>
    </xf>
    <xf numFmtId="0" fontId="97" fillId="45" borderId="21" applyAlignment="1" pivotButton="0" quotePrefix="0" xfId="0">
      <alignment horizontal="center" vertical="center"/>
    </xf>
    <xf numFmtId="0" fontId="97" fillId="45" borderId="12" applyAlignment="1" pivotButton="0" quotePrefix="0" xfId="0">
      <alignment horizontal="center" vertical="center"/>
    </xf>
    <xf numFmtId="164" fontId="98" fillId="46" borderId="0" applyAlignment="1" pivotButton="0" quotePrefix="0" xfId="0">
      <alignment horizontal="center" vertical="center"/>
    </xf>
    <xf numFmtId="164" fontId="0" fillId="42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4" fontId="104" fillId="13" borderId="63" applyAlignment="1" pivotButton="0" quotePrefix="0" xfId="0">
      <alignment horizontal="center" vertical="center"/>
    </xf>
    <xf numFmtId="164" fontId="98" fillId="46" borderId="24" applyAlignment="1" pivotButton="0" quotePrefix="0" xfId="0">
      <alignment horizontal="center" vertical="center"/>
    </xf>
    <xf numFmtId="182" fontId="7" fillId="0" borderId="25" applyAlignment="1" pivotButton="0" quotePrefix="0" xfId="0">
      <alignment horizontal="center" vertical="center"/>
    </xf>
    <xf numFmtId="164" fontId="0" fillId="0" borderId="72" applyAlignment="1" pivotButton="0" quotePrefix="0" xfId="0">
      <alignment horizontal="center" vertical="center"/>
    </xf>
    <xf numFmtId="182" fontId="7" fillId="0" borderId="67" applyAlignment="1" pivotButton="0" quotePrefix="0" xfId="0">
      <alignment horizontal="center" vertical="center"/>
    </xf>
    <xf numFmtId="182" fontId="0" fillId="0" borderId="67" applyAlignment="1" pivotButton="0" quotePrefix="0" xfId="0">
      <alignment horizontal="center" vertical="center"/>
    </xf>
    <xf numFmtId="182" fontId="0" fillId="39" borderId="67" applyAlignment="1" pivotButton="0" quotePrefix="0" xfId="0">
      <alignment horizontal="center" vertical="center"/>
    </xf>
    <xf numFmtId="164" fontId="104" fillId="21" borderId="63" applyAlignment="1" pivotButton="0" quotePrefix="0" xfId="0">
      <alignment horizontal="center" vertical="center"/>
    </xf>
    <xf numFmtId="0" fontId="105" fillId="47" borderId="21" applyAlignment="1" pivotButton="0" quotePrefix="0" xfId="0">
      <alignment horizontal="center" vertical="center" wrapText="1"/>
    </xf>
    <xf numFmtId="164" fontId="98" fillId="47" borderId="21" applyAlignment="1" pivotButton="0" quotePrefix="0" xfId="0">
      <alignment horizontal="center" vertical="center"/>
    </xf>
    <xf numFmtId="0" fontId="105" fillId="47" borderId="66" applyAlignment="1" pivotButton="0" quotePrefix="0" xfId="0">
      <alignment horizontal="center" vertical="center" wrapText="1"/>
    </xf>
    <xf numFmtId="164" fontId="98" fillId="47" borderId="22" applyAlignment="1" pivotButton="0" quotePrefix="0" xfId="0">
      <alignment horizontal="center" vertical="center"/>
    </xf>
    <xf numFmtId="49" fontId="0" fillId="0" borderId="0" pivotButton="0" quotePrefix="0" xfId="0"/>
    <xf numFmtId="171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164" fontId="0" fillId="0" borderId="2" applyAlignment="1" pivotButton="0" quotePrefix="0" xfId="0">
      <alignment horizontal="right" vertical="center" wrapText="1"/>
    </xf>
    <xf numFmtId="0" fontId="0" fillId="0" borderId="2" pivotButton="0" quotePrefix="0" xfId="0"/>
    <xf numFmtId="14" fontId="0" fillId="0" borderId="2" applyAlignment="1" pivotButton="0" quotePrefix="0" xfId="0">
      <alignment vertical="center"/>
    </xf>
    <xf numFmtId="0" fontId="0" fillId="48" borderId="1" applyAlignment="1" pivotButton="0" quotePrefix="0" xfId="0">
      <alignment vertical="center" wrapText="1"/>
    </xf>
    <xf numFmtId="164" fontId="1" fillId="48" borderId="1" applyAlignment="1" pivotButton="0" quotePrefix="0" xfId="0">
      <alignment vertical="center"/>
    </xf>
    <xf numFmtId="164" fontId="0" fillId="48" borderId="1" applyAlignment="1" pivotButton="0" quotePrefix="0" xfId="0">
      <alignment horizontal="center" vertical="center"/>
    </xf>
    <xf numFmtId="164" fontId="0" fillId="48" borderId="1" applyAlignment="1" pivotButton="0" quotePrefix="0" xfId="0">
      <alignment vertical="center"/>
    </xf>
    <xf numFmtId="164" fontId="0" fillId="48" borderId="1" applyAlignment="1" pivotButton="0" quotePrefix="0" xfId="0">
      <alignment horizontal="right" vertical="center" wrapText="1"/>
    </xf>
    <xf numFmtId="164" fontId="0" fillId="48" borderId="2" applyAlignment="1" pivotButton="0" quotePrefix="0" xfId="0">
      <alignment horizontal="right" vertical="center" wrapText="1"/>
    </xf>
    <xf numFmtId="0" fontId="0" fillId="48" borderId="2" pivotButton="0" quotePrefix="0" xfId="0"/>
    <xf numFmtId="14" fontId="0" fillId="48" borderId="2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0" fillId="7" borderId="2" applyAlignment="1" pivotButton="0" quotePrefix="0" xfId="0">
      <alignment vertical="center"/>
    </xf>
    <xf numFmtId="164" fontId="0" fillId="7" borderId="5" applyAlignment="1" pivotButton="0" quotePrefix="0" xfId="0">
      <alignment vertical="center"/>
    </xf>
    <xf numFmtId="164" fontId="0" fillId="7" borderId="5" applyAlignment="1" pivotButton="0" quotePrefix="0" xfId="0">
      <alignment horizontal="right" vertical="center"/>
    </xf>
    <xf numFmtId="164" fontId="1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06" fillId="49" borderId="0" applyAlignment="1" pivotButton="0" quotePrefix="0" xfId="0">
      <alignment horizontal="center"/>
    </xf>
    <xf numFmtId="0" fontId="107" fillId="13" borderId="1" applyAlignment="1" pivotButton="0" quotePrefix="0" xfId="0">
      <alignment horizontal="center" vertical="center"/>
    </xf>
    <xf numFmtId="169" fontId="108" fillId="13" borderId="7" applyAlignment="1" pivotButton="0" quotePrefix="0" xfId="0">
      <alignment horizontal="center" vertical="center" wrapText="1"/>
    </xf>
    <xf numFmtId="0" fontId="10" fillId="50" borderId="0" pivotButton="0" quotePrefix="0" xfId="0"/>
    <xf numFmtId="0" fontId="10" fillId="50" borderId="0" applyAlignment="1" pivotButton="0" quotePrefix="0" xfId="0">
      <alignment horizontal="center"/>
    </xf>
    <xf numFmtId="0" fontId="10" fillId="51" borderId="0" pivotButton="0" quotePrefix="0" xfId="0"/>
    <xf numFmtId="0" fontId="10" fillId="51" borderId="0" applyAlignment="1" pivotButton="0" quotePrefix="0" xfId="0">
      <alignment horizontal="center"/>
    </xf>
    <xf numFmtId="171" fontId="10" fillId="51" borderId="0" pivotButton="0" quotePrefix="0" xfId="0"/>
    <xf numFmtId="0" fontId="5" fillId="14" borderId="11" applyAlignment="1" pivotButton="0" quotePrefix="0" xfId="0">
      <alignment horizontal="center"/>
    </xf>
    <xf numFmtId="169" fontId="14" fillId="14" borderId="12" applyAlignment="1" pivotButton="0" quotePrefix="0" xfId="0">
      <alignment horizontal="center" wrapText="1"/>
    </xf>
    <xf numFmtId="169" fontId="14" fillId="14" borderId="73" applyAlignment="1" pivotButton="0" quotePrefix="0" xfId="0">
      <alignment horizontal="center" wrapText="1"/>
    </xf>
    <xf numFmtId="0" fontId="0" fillId="0" borderId="73" pivotButton="0" quotePrefix="0" xfId="0"/>
    <xf numFmtId="0" fontId="10" fillId="52" borderId="0" pivotButton="0" quotePrefix="0" xfId="0"/>
    <xf numFmtId="0" fontId="10" fillId="52" borderId="0" applyAlignment="1" pivotButton="0" quotePrefix="0" xfId="0">
      <alignment horizontal="center"/>
    </xf>
    <xf numFmtId="171" fontId="10" fillId="52" borderId="0" pivotButton="0" quotePrefix="0" xfId="0"/>
    <xf numFmtId="1" fontId="14" fillId="12" borderId="1" pivotButton="0" quotePrefix="0" xfId="0"/>
    <xf numFmtId="1" fontId="14" fillId="12" borderId="1" applyAlignment="1" pivotButton="0" quotePrefix="0" xfId="0">
      <alignment horizontal="center"/>
    </xf>
    <xf numFmtId="0" fontId="10" fillId="53" borderId="0" pivotButton="0" quotePrefix="0" xfId="0"/>
    <xf numFmtId="0" fontId="10" fillId="53" borderId="0" applyAlignment="1" pivotButton="0" quotePrefix="0" xfId="0">
      <alignment horizontal="center"/>
    </xf>
    <xf numFmtId="171" fontId="10" fillId="53" borderId="0" pivotButton="0" quotePrefix="0" xfId="0"/>
    <xf numFmtId="171" fontId="10" fillId="54" borderId="0" pivotButton="0" quotePrefix="0" xfId="0"/>
    <xf numFmtId="171" fontId="45" fillId="0" borderId="0" pivotButton="0" quotePrefix="0" xfId="0"/>
    <xf numFmtId="171" fontId="10" fillId="55" borderId="0" pivotButton="0" quotePrefix="0" xfId="0"/>
    <xf numFmtId="0" fontId="10" fillId="56" borderId="0" pivotButton="0" quotePrefix="0" xfId="0"/>
    <xf numFmtId="0" fontId="10" fillId="56" borderId="0" applyAlignment="1" pivotButton="0" quotePrefix="0" xfId="0">
      <alignment horizontal="center"/>
    </xf>
    <xf numFmtId="171" fontId="10" fillId="56" borderId="0" pivotButton="0" quotePrefix="0" xfId="0"/>
    <xf numFmtId="0" fontId="10" fillId="57" borderId="0" pivotButton="0" quotePrefix="0" xfId="0"/>
    <xf numFmtId="0" fontId="10" fillId="57" borderId="0" applyAlignment="1" pivotButton="0" quotePrefix="0" xfId="0">
      <alignment horizontal="center"/>
    </xf>
    <xf numFmtId="171" fontId="10" fillId="57" borderId="0" pivotButton="0" quotePrefix="0" xfId="0"/>
    <xf numFmtId="0" fontId="10" fillId="5" borderId="0" pivotButton="0" quotePrefix="0" xfId="0"/>
    <xf numFmtId="0" fontId="10" fillId="5" borderId="0" applyAlignment="1" pivotButton="0" quotePrefix="0" xfId="0">
      <alignment horizontal="center"/>
    </xf>
    <xf numFmtId="171" fontId="10" fillId="5" borderId="0" pivotButton="0" quotePrefix="0" xfId="0"/>
    <xf numFmtId="0" fontId="10" fillId="58" borderId="0" pivotButton="0" quotePrefix="0" xfId="0"/>
    <xf numFmtId="0" fontId="10" fillId="58" borderId="0" applyAlignment="1" pivotButton="0" quotePrefix="0" xfId="0">
      <alignment horizontal="center"/>
    </xf>
    <xf numFmtId="171" fontId="10" fillId="58" borderId="0" pivotButton="0" quotePrefix="0" xfId="0"/>
    <xf numFmtId="171" fontId="10" fillId="59" borderId="0" pivotButton="0" quotePrefix="0" xfId="0"/>
    <xf numFmtId="0" fontId="10" fillId="59" borderId="0" pivotButton="0" quotePrefix="0" xfId="0"/>
    <xf numFmtId="0" fontId="10" fillId="59" borderId="0" applyAlignment="1" pivotButton="0" quotePrefix="0" xfId="0">
      <alignment horizontal="center"/>
    </xf>
    <xf numFmtId="0" fontId="10" fillId="36" borderId="0" pivotButton="0" quotePrefix="0" xfId="0"/>
    <xf numFmtId="0" fontId="10" fillId="36" borderId="0" applyAlignment="1" pivotButton="0" quotePrefix="0" xfId="0">
      <alignment horizontal="center"/>
    </xf>
    <xf numFmtId="171" fontId="10" fillId="36" borderId="0" pivotButton="0" quotePrefix="0" xfId="0"/>
    <xf numFmtId="0" fontId="10" fillId="39" borderId="0" pivotButton="0" quotePrefix="0" xfId="0"/>
    <xf numFmtId="0" fontId="10" fillId="39" borderId="0" applyAlignment="1" pivotButton="0" quotePrefix="0" xfId="0">
      <alignment horizontal="center"/>
    </xf>
    <xf numFmtId="171" fontId="10" fillId="39" borderId="0" pivotButton="0" quotePrefix="0" xfId="0"/>
    <xf numFmtId="0" fontId="10" fillId="27" borderId="0" pivotButton="0" quotePrefix="0" xfId="0"/>
    <xf numFmtId="0" fontId="10" fillId="27" borderId="0" applyAlignment="1" pivotButton="0" quotePrefix="0" xfId="0">
      <alignment horizontal="center"/>
    </xf>
    <xf numFmtId="171" fontId="10" fillId="27" borderId="0" pivotButton="0" quotePrefix="0" xfId="0"/>
    <xf numFmtId="171" fontId="10" fillId="4" borderId="0" pivotButton="0" quotePrefix="0" xfId="0"/>
    <xf numFmtId="0" fontId="10" fillId="54" borderId="0" pivotButton="0" quotePrefix="0" xfId="0"/>
    <xf numFmtId="0" fontId="10" fillId="54" borderId="0" applyAlignment="1" pivotButton="0" quotePrefix="0" xfId="0">
      <alignment horizontal="center"/>
    </xf>
    <xf numFmtId="0" fontId="10" fillId="55" borderId="0" pivotButton="0" quotePrefix="0" xfId="0"/>
    <xf numFmtId="0" fontId="10" fillId="55" borderId="0" applyAlignment="1" pivotButton="0" quotePrefix="0" xfId="0">
      <alignment horizontal="center"/>
    </xf>
    <xf numFmtId="0" fontId="10" fillId="60" borderId="0" pivotButton="0" quotePrefix="0" xfId="0"/>
    <xf numFmtId="0" fontId="10" fillId="60" borderId="0" applyAlignment="1" pivotButton="0" quotePrefix="0" xfId="0">
      <alignment horizontal="center"/>
    </xf>
    <xf numFmtId="171" fontId="10" fillId="60" borderId="0" pivotButton="0" quotePrefix="0" xfId="0"/>
    <xf numFmtId="0" fontId="10" fillId="61" borderId="0" pivotButton="0" quotePrefix="0" xfId="0"/>
    <xf numFmtId="0" fontId="10" fillId="61" borderId="0" applyAlignment="1" pivotButton="0" quotePrefix="0" xfId="0">
      <alignment horizontal="center"/>
    </xf>
    <xf numFmtId="171" fontId="10" fillId="61" borderId="0" pivotButton="0" quotePrefix="0" xfId="0"/>
    <xf numFmtId="0" fontId="10" fillId="49" borderId="0" pivotButton="0" quotePrefix="0" xfId="0"/>
    <xf numFmtId="0" fontId="10" fillId="49" borderId="0" applyAlignment="1" pivotButton="0" quotePrefix="0" xfId="0">
      <alignment horizontal="center"/>
    </xf>
    <xf numFmtId="171" fontId="10" fillId="49" borderId="0" pivotButton="0" quotePrefix="0" xfId="0"/>
    <xf numFmtId="0" fontId="10" fillId="40" borderId="0" pivotButton="0" quotePrefix="0" xfId="0"/>
    <xf numFmtId="0" fontId="10" fillId="40" borderId="0" applyAlignment="1" pivotButton="0" quotePrefix="0" xfId="0">
      <alignment horizontal="center"/>
    </xf>
    <xf numFmtId="171" fontId="10" fillId="40" borderId="0" pivotButton="0" quotePrefix="0" xfId="0"/>
    <xf numFmtId="0" fontId="10" fillId="62" borderId="0" pivotButton="0" quotePrefix="0" xfId="0"/>
    <xf numFmtId="0" fontId="10" fillId="62" borderId="0" applyAlignment="1" pivotButton="0" quotePrefix="0" xfId="0">
      <alignment horizontal="center"/>
    </xf>
    <xf numFmtId="171" fontId="10" fillId="62" borderId="0" pivotButton="0" quotePrefix="0" xfId="0"/>
    <xf numFmtId="0" fontId="10" fillId="20" borderId="0" pivotButton="0" quotePrefix="0" xfId="0"/>
    <xf numFmtId="0" fontId="10" fillId="20" borderId="0" applyAlignment="1" pivotButton="0" quotePrefix="0" xfId="0">
      <alignment horizontal="center"/>
    </xf>
    <xf numFmtId="171" fontId="10" fillId="20" borderId="0" pivotButton="0" quotePrefix="0" xfId="0"/>
    <xf numFmtId="0" fontId="10" fillId="4" borderId="0" pivotButton="0" quotePrefix="0" xfId="0"/>
    <xf numFmtId="0" fontId="10" fillId="4" borderId="0" applyAlignment="1" pivotButton="0" quotePrefix="0" xfId="0">
      <alignment horizontal="center"/>
    </xf>
    <xf numFmtId="0" fontId="5" fillId="14" borderId="20" applyAlignment="1" pivotButton="0" quotePrefix="0" xfId="0">
      <alignment horizontal="center"/>
    </xf>
    <xf numFmtId="4" fontId="109" fillId="63" borderId="0" pivotButton="0" quotePrefix="0" xfId="0"/>
    <xf numFmtId="187" fontId="110" fillId="63" borderId="0" applyAlignment="1" pivotButton="0" quotePrefix="0" xfId="0">
      <alignment horizontal="left"/>
    </xf>
    <xf numFmtId="4" fontId="110" fillId="63" borderId="0" applyAlignment="1" pivotButton="0" quotePrefix="0" xfId="0">
      <alignment horizontal="right"/>
    </xf>
    <xf numFmtId="4" fontId="110" fillId="63" borderId="0" pivotButton="0" quotePrefix="0" xfId="0"/>
    <xf numFmtId="4" fontId="111" fillId="63" borderId="0" applyAlignment="1" pivotButton="0" quotePrefix="0" xfId="0">
      <alignment horizontal="center"/>
    </xf>
    <xf numFmtId="4" fontId="111" fillId="63" borderId="0" pivotButton="0" quotePrefix="0" xfId="0"/>
    <xf numFmtId="4" fontId="110" fillId="63" borderId="0" applyAlignment="1" pivotButton="0" quotePrefix="0" xfId="0">
      <alignment horizontal="center"/>
    </xf>
    <xf numFmtId="3" fontId="111" fillId="63" borderId="0" applyAlignment="1" pivotButton="0" quotePrefix="0" xfId="0">
      <alignment horizontal="center"/>
    </xf>
    <xf numFmtId="4" fontId="109" fillId="63" borderId="0" applyAlignment="1" pivotButton="0" quotePrefix="0" xfId="0">
      <alignment horizontal="left"/>
    </xf>
    <xf numFmtId="4" fontId="112" fillId="63" borderId="19" pivotButton="0" quotePrefix="0" xfId="0"/>
    <xf numFmtId="4" fontId="112" fillId="63" borderId="46" applyAlignment="1" pivotButton="0" quotePrefix="0" xfId="0">
      <alignment horizontal="center"/>
    </xf>
    <xf numFmtId="4" fontId="112" fillId="63" borderId="29" pivotButton="0" quotePrefix="0" xfId="0"/>
    <xf numFmtId="4" fontId="112" fillId="63" borderId="19" applyAlignment="1" pivotButton="0" quotePrefix="0" xfId="0">
      <alignment horizontal="center"/>
    </xf>
    <xf numFmtId="4" fontId="112" fillId="63" borderId="29" applyAlignment="1" pivotButton="0" quotePrefix="0" xfId="0">
      <alignment horizontal="center"/>
    </xf>
    <xf numFmtId="4" fontId="112" fillId="63" borderId="17" applyAlignment="1" pivotButton="0" quotePrefix="0" xfId="0">
      <alignment horizontal="center"/>
    </xf>
    <xf numFmtId="4" fontId="112" fillId="63" borderId="0" applyAlignment="1" pivotButton="0" quotePrefix="0" xfId="0">
      <alignment horizontal="right"/>
    </xf>
    <xf numFmtId="4" fontId="112" fillId="63" borderId="4" applyAlignment="1" pivotButton="0" quotePrefix="0" xfId="0">
      <alignment horizontal="center"/>
    </xf>
    <xf numFmtId="4" fontId="112" fillId="63" borderId="49" applyAlignment="1" pivotButton="0" quotePrefix="0" xfId="0">
      <alignment horizontal="center"/>
    </xf>
    <xf numFmtId="4" fontId="112" fillId="63" borderId="28" applyAlignment="1" pivotButton="0" quotePrefix="0" xfId="0">
      <alignment horizontal="center"/>
    </xf>
    <xf numFmtId="4" fontId="112" fillId="63" borderId="3" applyAlignment="1" pivotButton="0" quotePrefix="0" xfId="0">
      <alignment horizontal="center"/>
    </xf>
    <xf numFmtId="4" fontId="112" fillId="63" borderId="0" applyAlignment="1" pivotButton="0" quotePrefix="0" xfId="0">
      <alignment horizontal="center"/>
    </xf>
    <xf numFmtId="4" fontId="112" fillId="63" borderId="0" applyAlignment="1" pivotButton="0" quotePrefix="0" xfId="0">
      <alignment horizontal="left"/>
    </xf>
    <xf numFmtId="4" fontId="113" fillId="63" borderId="0" pivotButton="0" quotePrefix="0" xfId="0"/>
    <xf numFmtId="4" fontId="113" fillId="63" borderId="0" applyAlignment="1" pivotButton="0" quotePrefix="0" xfId="0">
      <alignment horizontal="center"/>
    </xf>
    <xf numFmtId="4" fontId="112" fillId="63" borderId="0" pivotButton="0" quotePrefix="0" xfId="0"/>
    <xf numFmtId="4" fontId="113" fillId="63" borderId="74" applyAlignment="1" pivotButton="0" quotePrefix="0" xfId="0">
      <alignment horizontal="left"/>
    </xf>
    <xf numFmtId="4" fontId="113" fillId="63" borderId="74" pivotButton="0" quotePrefix="0" xfId="0"/>
    <xf numFmtId="4" fontId="113" fillId="63" borderId="74" applyAlignment="1" pivotButton="0" quotePrefix="0" xfId="0">
      <alignment horizontal="center"/>
    </xf>
    <xf numFmtId="4" fontId="112" fillId="64" borderId="74" applyAlignment="1" pivotButton="0" quotePrefix="0" xfId="0">
      <alignment horizontal="right"/>
    </xf>
    <xf numFmtId="4" fontId="113" fillId="63" borderId="0" applyAlignment="1" pivotButton="0" quotePrefix="0" xfId="0">
      <alignment horizontal="left"/>
    </xf>
    <xf numFmtId="4" fontId="112" fillId="0" borderId="0" applyAlignment="1" pivotButton="0" quotePrefix="0" xfId="0">
      <alignment horizontal="right"/>
    </xf>
    <xf numFmtId="4" fontId="110" fillId="64" borderId="74" applyAlignment="1" pivotButton="0" quotePrefix="0" xfId="0">
      <alignment horizontal="right"/>
    </xf>
    <xf numFmtId="3" fontId="113" fillId="63" borderId="74" pivotButton="0" quotePrefix="0" xfId="0"/>
    <xf numFmtId="4" fontId="113" fillId="39" borderId="74" applyAlignment="1" pivotButton="0" quotePrefix="0" xfId="0">
      <alignment horizontal="left"/>
    </xf>
    <xf numFmtId="4" fontId="113" fillId="63" borderId="74" applyAlignment="1" pivotButton="0" quotePrefix="0" xfId="0">
      <alignment horizontal="left" wrapText="1"/>
    </xf>
    <xf numFmtId="188" fontId="113" fillId="63" borderId="74" pivotButton="0" quotePrefix="0" xfId="0"/>
    <xf numFmtId="189" fontId="113" fillId="63" borderId="74" pivotButton="0" quotePrefix="0" xfId="0"/>
    <xf numFmtId="4" fontId="112" fillId="63" borderId="1" pivotButton="0" quotePrefix="0" xfId="0"/>
    <xf numFmtId="190" fontId="112" fillId="63" borderId="1" pivotButton="0" quotePrefix="0" xfId="0"/>
    <xf numFmtId="191" fontId="112" fillId="63" borderId="1" pivotButton="0" quotePrefix="0" xfId="0"/>
    <xf numFmtId="10" fontId="112" fillId="63" borderId="0" pivotButton="0" quotePrefix="0" xfId="0"/>
    <xf numFmtId="10" fontId="112" fillId="63" borderId="0" applyAlignment="1" pivotButton="0" quotePrefix="0" xfId="0">
      <alignment horizontal="right"/>
    </xf>
    <xf numFmtId="190" fontId="112" fillId="63" borderId="0" pivotButton="0" quotePrefix="0" xfId="0"/>
    <xf numFmtId="191" fontId="112" fillId="63" borderId="0" pivotButton="0" quotePrefix="0" xfId="0"/>
    <xf numFmtId="169" fontId="110" fillId="64" borderId="74" applyAlignment="1" pivotButton="0" quotePrefix="0" xfId="0">
      <alignment horizontal="right"/>
    </xf>
    <xf numFmtId="192" fontId="110" fillId="64" borderId="74" applyAlignment="1" pivotButton="0" quotePrefix="0" xfId="0">
      <alignment horizontal="right"/>
    </xf>
    <xf numFmtId="193" fontId="111" fillId="63" borderId="0" pivotButton="0" quotePrefix="0" xfId="0"/>
    <xf numFmtId="43" fontId="33" fillId="8" borderId="1" applyAlignment="1" pivotButton="0" quotePrefix="0" xfId="0">
      <alignment horizontal="center" vertical="center"/>
    </xf>
    <xf numFmtId="167" fontId="33" fillId="8" borderId="1" applyAlignment="1" pivotButton="0" quotePrefix="0" xfId="0">
      <alignment horizontal="center" vertical="center"/>
    </xf>
    <xf numFmtId="167" fontId="33" fillId="10" borderId="1" applyAlignment="1" pivotButton="0" quotePrefix="0" xfId="0">
      <alignment horizontal="right" vertical="center"/>
    </xf>
    <xf numFmtId="43" fontId="35" fillId="10" borderId="1" applyAlignment="1" pivotButton="0" quotePrefix="0" xfId="0">
      <alignment horizontal="center" vertical="center"/>
    </xf>
    <xf numFmtId="167" fontId="35" fillId="10" borderId="1" applyAlignment="1" pivotButton="0" quotePrefix="0" xfId="0">
      <alignment horizontal="center" vertical="center"/>
    </xf>
    <xf numFmtId="167" fontId="35" fillId="10" borderId="1" applyAlignment="1" pivotButton="0" quotePrefix="0" xfId="0">
      <alignment horizontal="right" vertical="center"/>
    </xf>
    <xf numFmtId="173" fontId="35" fillId="2" borderId="1" applyAlignment="1" pivotButton="0" quotePrefix="0" xfId="0">
      <alignment horizontal="center" vertical="center"/>
    </xf>
    <xf numFmtId="173" fontId="35" fillId="10" borderId="1" applyAlignment="1" pivotButton="0" quotePrefix="0" xfId="0">
      <alignment horizontal="center" vertical="center"/>
    </xf>
    <xf numFmtId="0" fontId="1" fillId="40" borderId="3" pivotButton="0" quotePrefix="0" xfId="0"/>
    <xf numFmtId="0" fontId="1" fillId="40" borderId="3" applyAlignment="1" pivotButton="0" quotePrefix="0" xfId="0">
      <alignment horizontal="center"/>
    </xf>
    <xf numFmtId="173" fontId="1" fillId="40" borderId="3" pivotButton="0" quotePrefix="0" xfId="0"/>
    <xf numFmtId="173" fontId="1" fillId="40" borderId="28" pivotButton="0" quotePrefix="0" xfId="0"/>
    <xf numFmtId="0" fontId="0" fillId="10" borderId="3" pivotButton="0" quotePrefix="0" xfId="0"/>
    <xf numFmtId="0" fontId="0" fillId="10" borderId="3" applyAlignment="1" pivotButton="0" quotePrefix="0" xfId="0">
      <alignment horizontal="center"/>
    </xf>
    <xf numFmtId="173" fontId="0" fillId="10" borderId="3" pivotButton="0" quotePrefix="0" xfId="0"/>
    <xf numFmtId="173" fontId="0" fillId="10" borderId="28" pivotButton="0" quotePrefix="0" xfId="0"/>
    <xf numFmtId="173" fontId="0" fillId="0" borderId="1" pivotButton="0" quotePrefix="0" xfId="0"/>
    <xf numFmtId="173" fontId="0" fillId="2" borderId="1" pivotButton="0" quotePrefix="0" xfId="0"/>
    <xf numFmtId="173" fontId="0" fillId="0" borderId="5" pivotButton="0" quotePrefix="0" xfId="0"/>
    <xf numFmtId="173" fontId="0" fillId="10" borderId="1" pivotButton="0" quotePrefix="0" xfId="0"/>
    <xf numFmtId="173" fontId="1" fillId="0" borderId="0" pivotButton="0" quotePrefix="0" xfId="0"/>
    <xf numFmtId="173" fontId="0" fillId="0" borderId="17" pivotButton="0" quotePrefix="0" xfId="0"/>
    <xf numFmtId="0" fontId="1" fillId="41" borderId="21" pivotButton="0" quotePrefix="0" xfId="0"/>
    <xf numFmtId="0" fontId="1" fillId="41" borderId="21" applyAlignment="1" pivotButton="0" quotePrefix="0" xfId="0">
      <alignment horizontal="center"/>
    </xf>
    <xf numFmtId="173" fontId="1" fillId="41" borderId="75" pivotButton="0" quotePrefix="0" xfId="0"/>
    <xf numFmtId="173" fontId="0" fillId="0" borderId="27" pivotButton="0" quotePrefix="0" xfId="0"/>
    <xf numFmtId="0" fontId="0" fillId="40" borderId="21" pivotButton="0" quotePrefix="0" xfId="0"/>
    <xf numFmtId="0" fontId="0" fillId="40" borderId="21" applyAlignment="1" pivotButton="0" quotePrefix="0" xfId="0">
      <alignment horizontal="center"/>
    </xf>
    <xf numFmtId="173" fontId="0" fillId="40" borderId="75" pivotButton="0" quotePrefix="0" xfId="0"/>
    <xf numFmtId="173" fontId="0" fillId="0" borderId="3" pivotButton="0" quotePrefix="0" xfId="0"/>
    <xf numFmtId="0" fontId="0" fillId="0" borderId="3" applyAlignment="1" pivotButton="0" quotePrefix="0" xfId="0">
      <alignment horizontal="center"/>
    </xf>
    <xf numFmtId="173" fontId="1" fillId="41" borderId="21" pivotButton="0" quotePrefix="0" xfId="0"/>
    <xf numFmtId="0" fontId="1" fillId="40" borderId="21" pivotButton="0" quotePrefix="0" xfId="0"/>
    <xf numFmtId="0" fontId="1" fillId="40" borderId="21" applyAlignment="1" pivotButton="0" quotePrefix="0" xfId="0">
      <alignment horizontal="center"/>
    </xf>
    <xf numFmtId="173" fontId="1" fillId="40" borderId="21" pivotButton="0" quotePrefix="0" xfId="0"/>
    <xf numFmtId="173" fontId="1" fillId="40" borderId="75" pivotButton="0" quotePrefix="0" xfId="0"/>
    <xf numFmtId="173" fontId="0" fillId="40" borderId="21" pivotButton="0" quotePrefix="0" xfId="0"/>
    <xf numFmtId="0" fontId="0" fillId="0" borderId="3" applyAlignment="1" pivotButton="0" quotePrefix="0" xfId="0">
      <alignment horizontal="center" vertical="center"/>
    </xf>
    <xf numFmtId="0" fontId="0" fillId="40" borderId="1" pivotButton="0" quotePrefix="0" xfId="0"/>
    <xf numFmtId="0" fontId="0" fillId="40" borderId="1" applyAlignment="1" pivotButton="0" quotePrefix="0" xfId="0">
      <alignment horizontal="center"/>
    </xf>
    <xf numFmtId="173" fontId="0" fillId="40" borderId="1" pivotButton="0" quotePrefix="0" xfId="0"/>
    <xf numFmtId="173" fontId="1" fillId="41" borderId="1" pivotButton="0" quotePrefix="0" xfId="0"/>
    <xf numFmtId="0" fontId="114" fillId="0" borderId="0" pivotButton="0" quotePrefix="0" xfId="0"/>
    <xf numFmtId="0" fontId="114" fillId="19" borderId="1" applyAlignment="1" pivotButton="0" quotePrefix="0" xfId="0">
      <alignment horizontal="center"/>
    </xf>
    <xf numFmtId="0" fontId="115" fillId="0" borderId="1" pivotButton="0" quotePrefix="0" xfId="0"/>
    <xf numFmtId="173" fontId="114" fillId="0" borderId="0" pivotButton="0" quotePrefix="0" xfId="0"/>
    <xf numFmtId="0" fontId="115" fillId="0" borderId="0" pivotButton="0" quotePrefix="0" xfId="0"/>
    <xf numFmtId="0" fontId="114" fillId="0" borderId="1" pivotButton="0" quotePrefix="0" xfId="0"/>
    <xf numFmtId="173" fontId="114" fillId="0" borderId="1" pivotButton="0" quotePrefix="0" xfId="0"/>
    <xf numFmtId="9" fontId="114" fillId="0" borderId="0" pivotButton="0" quotePrefix="0" xfId="0"/>
    <xf numFmtId="173" fontId="116" fillId="0" borderId="1" applyAlignment="1" pivotButton="0" quotePrefix="0" xfId="0">
      <alignment horizontal="center"/>
    </xf>
    <xf numFmtId="14" fontId="114" fillId="0" borderId="0" pivotButton="0" quotePrefix="0" xfId="0"/>
    <xf numFmtId="14" fontId="114" fillId="0" borderId="1" pivotButton="0" quotePrefix="0" xfId="0"/>
    <xf numFmtId="0" fontId="1" fillId="8" borderId="1" pivotButton="0" quotePrefix="0" xfId="0"/>
    <xf numFmtId="0" fontId="1" fillId="8" borderId="1" applyAlignment="1" pivotButton="0" quotePrefix="0" xfId="0">
      <alignment horizontal="center"/>
    </xf>
    <xf numFmtId="174" fontId="32" fillId="0" borderId="0" applyAlignment="1" pivotButton="0" quotePrefix="0" xfId="0">
      <alignment vertical="center"/>
    </xf>
    <xf numFmtId="174" fontId="30" fillId="0" borderId="0" pivotButton="0" quotePrefix="0" xfId="0"/>
    <xf numFmtId="175" fontId="2" fillId="0" borderId="1" applyAlignment="1" pivotButton="0" quotePrefix="0" xfId="0">
      <alignment horizontal="center"/>
    </xf>
    <xf numFmtId="176" fontId="36" fillId="13" borderId="2" applyAlignment="1" pivotButton="0" quotePrefix="0" xfId="0">
      <alignment horizontal="right" vertical="center"/>
    </xf>
    <xf numFmtId="176" fontId="4" fillId="23" borderId="2" applyAlignment="1" pivotButton="0" quotePrefix="0" xfId="0">
      <alignment horizontal="right" vertical="center"/>
    </xf>
    <xf numFmtId="174" fontId="37" fillId="0" borderId="0" applyAlignment="1" pivotButton="0" quotePrefix="0" xfId="0">
      <alignment vertical="center"/>
    </xf>
    <xf numFmtId="174" fontId="30" fillId="0" borderId="0" applyAlignment="1" pivotButton="0" quotePrefix="0" xfId="0">
      <alignment vertical="center"/>
    </xf>
    <xf numFmtId="176" fontId="4" fillId="9" borderId="2" applyAlignment="1" pivotButton="0" quotePrefix="0" xfId="0">
      <alignment horizontal="right" vertical="center"/>
    </xf>
    <xf numFmtId="175" fontId="2" fillId="0" borderId="17" applyAlignment="1" pivotButton="0" quotePrefix="0" xfId="0">
      <alignment horizontal="center"/>
    </xf>
    <xf numFmtId="174" fontId="2" fillId="0" borderId="1" applyAlignment="1" pivotButton="0" quotePrefix="0" xfId="0">
      <alignment horizontal="right" vertical="center"/>
    </xf>
    <xf numFmtId="176" fontId="2" fillId="0" borderId="0" pivotButton="0" quotePrefix="0" xfId="0"/>
    <xf numFmtId="177" fontId="2" fillId="0" borderId="0" pivotButton="0" quotePrefix="0" xfId="0"/>
    <xf numFmtId="178" fontId="45" fillId="0" borderId="1" applyAlignment="1" pivotButton="0" quotePrefix="0" xfId="0">
      <alignment horizontal="center"/>
    </xf>
    <xf numFmtId="175" fontId="0" fillId="0" borderId="0" applyAlignment="1" pivotButton="0" quotePrefix="0" xfId="0">
      <alignment horizontal="center"/>
    </xf>
    <xf numFmtId="175" fontId="45" fillId="0" borderId="1" applyAlignment="1" pivotButton="0" quotePrefix="0" xfId="0">
      <alignment horizontal="center" vertical="center"/>
    </xf>
    <xf numFmtId="175" fontId="0" fillId="0" borderId="0" applyAlignment="1" pivotButton="0" quotePrefix="0" xfId="0">
      <alignment horizontal="center" vertical="center"/>
    </xf>
    <xf numFmtId="175" fontId="61" fillId="0" borderId="0" applyAlignment="1" pivotButton="0" quotePrefix="0" xfId="0">
      <alignment horizontal="left" vertical="center"/>
    </xf>
    <xf numFmtId="175" fontId="27" fillId="18" borderId="26" applyAlignment="1" pivotButton="0" quotePrefix="0" xfId="0">
      <alignment horizontal="center" vertical="center"/>
    </xf>
    <xf numFmtId="175" fontId="18" fillId="0" borderId="0" applyAlignment="1" pivotButton="0" quotePrefix="0" xfId="0">
      <alignment horizontal="left" vertical="center"/>
    </xf>
    <xf numFmtId="175" fontId="45" fillId="0" borderId="0" applyAlignment="1" pivotButton="0" quotePrefix="0" xfId="0">
      <alignment horizontal="center" vertical="center"/>
    </xf>
    <xf numFmtId="179" fontId="56" fillId="30" borderId="45" applyAlignment="1" pivotButton="0" quotePrefix="0" xfId="0">
      <alignment horizontal="center"/>
    </xf>
    <xf numFmtId="179" fontId="0" fillId="0" borderId="0" pivotButton="0" quotePrefix="0" xfId="0"/>
    <xf numFmtId="174" fontId="45" fillId="0" borderId="0" pivotButton="0" quotePrefix="0" xfId="0"/>
    <xf numFmtId="175" fontId="56" fillId="30" borderId="45" applyAlignment="1" pivotButton="0" quotePrefix="0" xfId="0">
      <alignment horizontal="center"/>
    </xf>
    <xf numFmtId="175" fontId="0" fillId="0" borderId="0" pivotButton="0" quotePrefix="0" xfId="0"/>
    <xf numFmtId="180" fontId="90" fillId="0" borderId="0" applyAlignment="1" pivotButton="0" quotePrefix="0" xfId="0">
      <alignment horizontal="center" vertical="top"/>
    </xf>
    <xf numFmtId="181" fontId="0" fillId="0" borderId="0" applyAlignment="1" pivotButton="0" quotePrefix="0" xfId="0">
      <alignment vertical="center"/>
    </xf>
    <xf numFmtId="182" fontId="0" fillId="42" borderId="0" applyAlignment="1" pivotButton="0" quotePrefix="0" xfId="0">
      <alignment horizontal="center" vertical="center"/>
    </xf>
    <xf numFmtId="182" fontId="0" fillId="0" borderId="25" applyAlignment="1" pivotButton="0" quotePrefix="0" xfId="0">
      <alignment horizontal="center" vertical="center"/>
    </xf>
    <xf numFmtId="183" fontId="0" fillId="0" borderId="0" applyAlignment="1" pivotButton="0" quotePrefix="0" xfId="0">
      <alignment horizontal="center" vertical="center"/>
    </xf>
    <xf numFmtId="184" fontId="0" fillId="0" borderId="0" applyAlignment="1" pivotButton="0" quotePrefix="0" xfId="0">
      <alignment horizontal="center"/>
    </xf>
    <xf numFmtId="185" fontId="102" fillId="0" borderId="0" applyAlignment="1" pivotButton="0" quotePrefix="0" xfId="0">
      <alignment horizontal="center" vertical="center"/>
    </xf>
    <xf numFmtId="186" fontId="0" fillId="0" borderId="0" applyAlignment="1" pivotButton="0" quotePrefix="0" xfId="0">
      <alignment horizontal="center"/>
    </xf>
    <xf numFmtId="182" fontId="7" fillId="0" borderId="25" applyAlignment="1" pivotButton="0" quotePrefix="0" xfId="0">
      <alignment horizontal="center" vertical="center"/>
    </xf>
    <xf numFmtId="182" fontId="7" fillId="0" borderId="67" applyAlignment="1" pivotButton="0" quotePrefix="0" xfId="0">
      <alignment horizontal="center" vertical="center"/>
    </xf>
    <xf numFmtId="182" fontId="0" fillId="0" borderId="67" applyAlignment="1" pivotButton="0" quotePrefix="0" xfId="0">
      <alignment horizontal="center" vertical="center"/>
    </xf>
    <xf numFmtId="182" fontId="0" fillId="39" borderId="67" applyAlignment="1" pivotButton="0" quotePrefix="0" xfId="0">
      <alignment horizontal="center" vertical="center"/>
    </xf>
    <xf numFmtId="187" fontId="110" fillId="63" borderId="0" applyAlignment="1" pivotButton="0" quotePrefix="0" xfId="0">
      <alignment horizontal="left"/>
    </xf>
    <xf numFmtId="188" fontId="113" fillId="63" borderId="74" pivotButton="0" quotePrefix="0" xfId="0"/>
    <xf numFmtId="189" fontId="113" fillId="63" borderId="74" pivotButton="0" quotePrefix="0" xfId="0"/>
    <xf numFmtId="190" fontId="112" fillId="63" borderId="1" pivotButton="0" quotePrefix="0" xfId="0"/>
    <xf numFmtId="191" fontId="112" fillId="63" borderId="1" pivotButton="0" quotePrefix="0" xfId="0"/>
    <xf numFmtId="190" fontId="112" fillId="63" borderId="0" pivotButton="0" quotePrefix="0" xfId="0"/>
    <xf numFmtId="191" fontId="112" fillId="63" borderId="0" pivotButton="0" quotePrefix="0" xfId="0"/>
    <xf numFmtId="192" fontId="110" fillId="64" borderId="74" applyAlignment="1" pivotButton="0" quotePrefix="0" xfId="0">
      <alignment horizontal="right"/>
    </xf>
    <xf numFmtId="193" fontId="111" fillId="6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31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 xml:space="preserve">CODIGO </t>
        </is>
      </c>
      <c r="D1" s="2" t="inlineStr">
        <is>
          <t xml:space="preserve">DESCRIPCION </t>
        </is>
      </c>
      <c r="E1" s="3" t="inlineStr">
        <is>
          <t xml:space="preserve">CANTIDAD </t>
        </is>
      </c>
      <c r="F1" s="3" t="inlineStr">
        <is>
          <t xml:space="preserve">PRECIO UNITARIO </t>
        </is>
      </c>
      <c r="G1" s="2" t="inlineStr">
        <is>
          <t xml:space="preserve">PRECIO TOTAL </t>
        </is>
      </c>
      <c r="H1" s="2" t="inlineStr">
        <is>
          <t>% PORCENTAJE</t>
        </is>
      </c>
    </row>
    <row r="2">
      <c r="C2" s="4" t="inlineStr">
        <is>
          <t>MAT01-0001</t>
        </is>
      </c>
      <c r="D2" s="5">
        <f>_xlfn.XLOOKUP(C2,Detallado!C:C,Detallado!E:E,"ERROR",0)</f>
        <v/>
      </c>
      <c r="E2" s="6">
        <f>SUMIF(Detallado!C:C,ANALISIS!C2,Detallado!F:F)</f>
        <v/>
      </c>
      <c r="F2" s="7">
        <f>_xlfn.XLOOKUP(C2,Detallado!C:C,Detallado!H:H,"ERROR",0)</f>
        <v/>
      </c>
      <c r="G2" s="8">
        <f>E2*F2</f>
        <v/>
      </c>
      <c r="H2" s="9">
        <f>G2/$G$313</f>
        <v/>
      </c>
      <c r="J2" s="7" t="n">
        <v>35867.2</v>
      </c>
      <c r="K2" s="7" t="n">
        <v>35867.2</v>
      </c>
      <c r="M2" s="10">
        <f>+K2-G2</f>
        <v/>
      </c>
    </row>
    <row r="3">
      <c r="C3" s="4" t="inlineStr">
        <is>
          <t>MAT01-0002</t>
        </is>
      </c>
      <c r="D3" s="11">
        <f>_xlfn.XLOOKUP(C3,Detallado!C:C,Detallado!E:E,"ERROR",0)</f>
        <v/>
      </c>
      <c r="E3" s="6">
        <f>SUMIF(Detallado!C:C,ANALISIS!C3,Detallado!F:F)</f>
        <v/>
      </c>
      <c r="F3" s="7">
        <f>_xlfn.XLOOKUP(C3,Detallado!C:C,Detallado!H:H,"ERROR",0)</f>
        <v/>
      </c>
      <c r="G3" s="8">
        <f>E3*F3</f>
        <v/>
      </c>
      <c r="H3" s="9">
        <f>G3/$G$313</f>
        <v/>
      </c>
      <c r="J3" s="7" t="n">
        <v>42456</v>
      </c>
      <c r="K3" s="7" t="n">
        <v>42456</v>
      </c>
      <c r="M3" s="10">
        <f>+K3-G3</f>
        <v/>
      </c>
    </row>
    <row r="4">
      <c r="C4" s="12" t="inlineStr">
        <is>
          <t>MAT01-0005</t>
        </is>
      </c>
      <c r="D4" s="11">
        <f>_xlfn.XLOOKUP(C4,Detallado!C:C,Detallado!E:E,"ERROR",0)</f>
        <v/>
      </c>
      <c r="E4" s="6">
        <f>SUMIF(Detallado!C:C,ANALISIS!C4,Detallado!F:F)</f>
        <v/>
      </c>
      <c r="F4" s="7">
        <f>_xlfn.XLOOKUP(C4,Detallado!C:C,Detallado!H:H,"ERROR",0)</f>
        <v/>
      </c>
      <c r="G4" s="8">
        <f>E4*F4</f>
        <v/>
      </c>
      <c r="H4" s="9">
        <f>G4/$G$313</f>
        <v/>
      </c>
      <c r="J4" s="7" t="n">
        <v>25198.68</v>
      </c>
      <c r="K4" s="7" t="n">
        <v>0</v>
      </c>
      <c r="M4" s="10">
        <f>+K4-G4</f>
        <v/>
      </c>
    </row>
    <row r="5">
      <c r="C5" s="13" t="inlineStr">
        <is>
          <t>MAT01-0006</t>
        </is>
      </c>
      <c r="D5" s="11">
        <f>_xlfn.XLOOKUP(C5,Detallado!C:C,Detallado!E:E,"ERROR",0)</f>
        <v/>
      </c>
      <c r="E5" s="6">
        <f>SUMIF(Detallado!C:C,ANALISIS!C5,Detallado!F:F)</f>
        <v/>
      </c>
      <c r="F5" s="7">
        <f>_xlfn.XLOOKUP(C5,Detallado!C:C,Detallado!H:H,"ERROR",0)</f>
        <v/>
      </c>
      <c r="G5" s="8">
        <f>E5*F5</f>
        <v/>
      </c>
      <c r="H5" s="9">
        <f>G5/$G$313</f>
        <v/>
      </c>
      <c r="J5" s="7" t="n">
        <v>64593.33454545444</v>
      </c>
      <c r="K5" s="7" t="n">
        <v>64593.33454545444</v>
      </c>
      <c r="M5" s="10">
        <f>+K5-G5</f>
        <v/>
      </c>
    </row>
    <row r="6">
      <c r="C6" s="13" t="inlineStr">
        <is>
          <t>MAT01-0007</t>
        </is>
      </c>
      <c r="D6" s="11">
        <f>_xlfn.XLOOKUP(C6,Detallado!C:C,Detallado!E:E,"ERROR",0)</f>
        <v/>
      </c>
      <c r="E6" s="6">
        <f>SUMIF(Detallado!C:C,ANALISIS!C6,Detallado!F:F)</f>
        <v/>
      </c>
      <c r="F6" s="7">
        <f>_xlfn.XLOOKUP(C6,Detallado!C:C,Detallado!H:H,"ERROR",0)</f>
        <v/>
      </c>
      <c r="G6" s="8">
        <f>E6*F6</f>
        <v/>
      </c>
      <c r="H6" s="9">
        <f>G6/$G$313</f>
        <v/>
      </c>
      <c r="J6" s="7" t="n">
        <v>33640</v>
      </c>
      <c r="K6" s="7" t="n">
        <v>0</v>
      </c>
      <c r="M6" s="10">
        <f>+K6-G6</f>
        <v/>
      </c>
    </row>
    <row r="7">
      <c r="C7" s="13" t="inlineStr">
        <is>
          <t>MAT01-0008</t>
        </is>
      </c>
      <c r="D7" s="11">
        <f>_xlfn.XLOOKUP(C7,Detallado!C:C,Detallado!E:E,"ERROR",0)</f>
        <v/>
      </c>
      <c r="E7" s="6">
        <f>SUMIF(Detallado!C:C,ANALISIS!C7,Detallado!F:F)</f>
        <v/>
      </c>
      <c r="F7" s="7">
        <f>_xlfn.XLOOKUP(C7,Detallado!C:C,Detallado!H:H,"ERROR",0)</f>
        <v/>
      </c>
      <c r="G7" s="8">
        <f>E7*F7</f>
        <v/>
      </c>
      <c r="H7" s="9">
        <f>G7/$G$313</f>
        <v/>
      </c>
      <c r="J7" s="7" t="n">
        <v>83520</v>
      </c>
      <c r="K7" s="7" t="n">
        <v>83520</v>
      </c>
      <c r="M7" s="10">
        <f>+K7-G7</f>
        <v/>
      </c>
    </row>
    <row r="8">
      <c r="C8" s="13" t="inlineStr">
        <is>
          <t>MAT01-0010</t>
        </is>
      </c>
      <c r="D8" s="11">
        <f>_xlfn.XLOOKUP(C8,Detallado!C:C,Detallado!E:E,"ERROR",0)</f>
        <v/>
      </c>
      <c r="E8" s="6">
        <f>SUMIF(Detallado!C:C,ANALISIS!C8,Detallado!F:F)</f>
        <v/>
      </c>
      <c r="F8" s="7">
        <f>_xlfn.XLOOKUP(C8,Detallado!C:C,Detallado!H:H,"ERROR",0)</f>
        <v/>
      </c>
      <c r="G8" s="8">
        <f>E8*F8</f>
        <v/>
      </c>
      <c r="H8" s="9">
        <f>G8/$G$313</f>
        <v/>
      </c>
      <c r="J8" s="7" t="n">
        <v>25520</v>
      </c>
      <c r="K8" s="7" t="n">
        <v>25520</v>
      </c>
      <c r="M8" s="10">
        <f>+K8-G8</f>
        <v/>
      </c>
    </row>
    <row r="9">
      <c r="C9" s="13" t="inlineStr">
        <is>
          <t>MAT01-0011</t>
        </is>
      </c>
      <c r="D9" s="11">
        <f>_xlfn.XLOOKUP(C9,Detallado!C:C,Detallado!E:E,"ERROR",0)</f>
        <v/>
      </c>
      <c r="E9" s="6">
        <f>SUMIF(Detallado!C:C,ANALISIS!C9,Detallado!F:F)</f>
        <v/>
      </c>
      <c r="F9" s="7">
        <f>_xlfn.XLOOKUP(C9,Detallado!C:C,Detallado!H:H,"ERROR",0)</f>
        <v/>
      </c>
      <c r="G9" s="8">
        <f>E9*F9</f>
        <v/>
      </c>
      <c r="H9" s="9">
        <f>G9/$G$313</f>
        <v/>
      </c>
      <c r="J9" s="7" t="n">
        <v>26100</v>
      </c>
      <c r="K9" s="7" t="n">
        <v>0</v>
      </c>
      <c r="M9" s="10">
        <f>+K9-G9</f>
        <v/>
      </c>
    </row>
    <row r="10">
      <c r="C10" s="13" t="inlineStr">
        <is>
          <t>MAT01-0012</t>
        </is>
      </c>
      <c r="D10" s="11">
        <f>_xlfn.XLOOKUP(C10,Detallado!C:C,Detallado!E:E,"ERROR",0)</f>
        <v/>
      </c>
      <c r="E10" s="6">
        <f>SUMIF(Detallado!C:C,ANALISIS!C10,Detallado!F:F)</f>
        <v/>
      </c>
      <c r="F10" s="7">
        <f>_xlfn.XLOOKUP(C10,Detallado!C:C,Detallado!H:H,"ERROR",0)</f>
        <v/>
      </c>
      <c r="G10" s="8">
        <f>E10*F10</f>
        <v/>
      </c>
      <c r="H10" s="9">
        <f>G10/$G$313</f>
        <v/>
      </c>
      <c r="J10" s="7" t="n">
        <v>40426</v>
      </c>
      <c r="K10" s="7" t="n">
        <v>0</v>
      </c>
      <c r="M10" s="10">
        <f>+K10-G10</f>
        <v/>
      </c>
    </row>
    <row r="11">
      <c r="C11" s="13" t="inlineStr">
        <is>
          <t>MAT01-0025</t>
        </is>
      </c>
      <c r="D11" s="11">
        <f>_xlfn.XLOOKUP(C11,Detallado!C:C,Detallado!E:E,"ERROR",0)</f>
        <v/>
      </c>
      <c r="E11" s="6">
        <f>SUMIF(Detallado!C:C,ANALISIS!C11,Detallado!F:F)</f>
        <v/>
      </c>
      <c r="F11" s="7">
        <f>_xlfn.XLOOKUP(C11,Detallado!C:C,Detallado!H:H,"ERROR",0)</f>
        <v/>
      </c>
      <c r="G11" s="8">
        <f>E11*F11</f>
        <v/>
      </c>
      <c r="H11" s="9">
        <f>G11/$G$313</f>
        <v/>
      </c>
      <c r="J11" s="7" t="n">
        <v>102654.8728</v>
      </c>
      <c r="K11" s="7" t="n">
        <v>102654.8728</v>
      </c>
      <c r="M11" s="10">
        <f>+K11-G11</f>
        <v/>
      </c>
    </row>
    <row r="12">
      <c r="C12" s="13" t="inlineStr">
        <is>
          <t>MAT02-0001</t>
        </is>
      </c>
      <c r="D12" s="11">
        <f>_xlfn.XLOOKUP(C12,Detallado!C:C,Detallado!E:E,"ERROR",0)</f>
        <v/>
      </c>
      <c r="E12" s="6">
        <f>SUMIF(Detallado!C:C,ANALISIS!C12,Detallado!F:F)</f>
        <v/>
      </c>
      <c r="F12" s="7">
        <f>_xlfn.XLOOKUP(C12,Detallado!C:C,Detallado!H:H,"ERROR",0)</f>
        <v/>
      </c>
      <c r="G12" s="8">
        <f>E12*F12</f>
        <v/>
      </c>
      <c r="H12" s="9">
        <f>G12/$G$313</f>
        <v/>
      </c>
      <c r="J12" s="7" t="n">
        <v>866.0280787999999</v>
      </c>
      <c r="K12" s="7" t="n">
        <v>54559.76896439999</v>
      </c>
      <c r="M12" s="10">
        <f>+K12-G12</f>
        <v/>
      </c>
    </row>
    <row r="13">
      <c r="C13" s="13" t="inlineStr">
        <is>
          <t>MAT02-0010</t>
        </is>
      </c>
      <c r="D13" s="11">
        <f>_xlfn.XLOOKUP(C13,Detallado!C:C,Detallado!E:E,"ERROR",0)</f>
        <v/>
      </c>
      <c r="E13" s="6">
        <f>SUMIF(Detallado!C:C,ANALISIS!C13,Detallado!F:F)</f>
        <v/>
      </c>
      <c r="F13" s="7">
        <f>_xlfn.XLOOKUP(C13,Detallado!C:C,Detallado!H:H,"ERROR",0)</f>
        <v/>
      </c>
      <c r="G13" s="8">
        <f>E13*F13</f>
        <v/>
      </c>
      <c r="H13" s="9">
        <f>G13/$G$313</f>
        <v/>
      </c>
      <c r="J13" s="7" t="n">
        <v>27221.952</v>
      </c>
      <c r="K13" s="7" t="n">
        <v>299441.472</v>
      </c>
      <c r="M13" s="10">
        <f>+K13-G13</f>
        <v/>
      </c>
    </row>
    <row r="14">
      <c r="C14" s="13" t="inlineStr">
        <is>
          <t>MAT02-0015</t>
        </is>
      </c>
      <c r="D14" s="11">
        <f>_xlfn.XLOOKUP(C14,Detallado!C:C,Detallado!E:E,"ERROR",0)</f>
        <v/>
      </c>
      <c r="E14" s="6">
        <f>SUMIF(Detallado!C:C,ANALISIS!C14,Detallado!F:F)</f>
        <v/>
      </c>
      <c r="F14" s="7">
        <f>_xlfn.XLOOKUP(C14,Detallado!C:C,Detallado!H:H,"ERROR",0)</f>
        <v/>
      </c>
      <c r="G14" s="8">
        <f>E14*F14</f>
        <v/>
      </c>
      <c r="H14" s="9">
        <f>G14/$G$313</f>
        <v/>
      </c>
      <c r="J14" s="7" t="n">
        <v>15866.48</v>
      </c>
      <c r="K14" s="7" t="n">
        <v>0</v>
      </c>
      <c r="M14" s="10">
        <f>+K14-G14</f>
        <v/>
      </c>
    </row>
    <row r="15">
      <c r="C15" s="13" t="inlineStr">
        <is>
          <t>MAT02-0017</t>
        </is>
      </c>
      <c r="D15" s="11">
        <f>_xlfn.XLOOKUP(C15,Detallado!C:C,Detallado!E:E,"ERROR",0)</f>
        <v/>
      </c>
      <c r="E15" s="6">
        <f>SUMIF(Detallado!C:C,ANALISIS!C15,Detallado!F:F)</f>
        <v/>
      </c>
      <c r="F15" s="7">
        <f>_xlfn.XLOOKUP(C15,Detallado!C:C,Detallado!H:H,"ERROR",0)</f>
        <v/>
      </c>
      <c r="G15" s="8">
        <f>E15*F15</f>
        <v/>
      </c>
      <c r="H15" s="9">
        <f>G15/$G$313</f>
        <v/>
      </c>
      <c r="J15" s="7" t="n">
        <v>14616</v>
      </c>
      <c r="K15" s="7" t="n">
        <v>14616</v>
      </c>
      <c r="M15" s="10">
        <f>+K15-G15</f>
        <v/>
      </c>
    </row>
    <row r="16">
      <c r="C16" s="13" t="inlineStr">
        <is>
          <t>MAT02-0019</t>
        </is>
      </c>
      <c r="D16" s="11">
        <f>_xlfn.XLOOKUP(C16,Detallado!C:C,Detallado!E:E,"ERROR",0)</f>
        <v/>
      </c>
      <c r="E16" s="6">
        <f>SUMIF(Detallado!C:C,ANALISIS!C16,Detallado!F:F)</f>
        <v/>
      </c>
      <c r="F16" s="7">
        <f>_xlfn.XLOOKUP(C16,Detallado!C:C,Detallado!H:H,"ERROR",0)</f>
        <v/>
      </c>
      <c r="G16" s="8">
        <f>E16*F16</f>
        <v/>
      </c>
      <c r="H16" s="9">
        <f>G16/$G$313</f>
        <v/>
      </c>
      <c r="J16" s="7" t="n">
        <v>12127.35919999994</v>
      </c>
      <c r="K16" s="7" t="n">
        <v>0</v>
      </c>
      <c r="M16" s="10">
        <f>+K16-G16</f>
        <v/>
      </c>
    </row>
    <row r="17">
      <c r="C17" s="13" t="inlineStr">
        <is>
          <t>MAT02-0021</t>
        </is>
      </c>
      <c r="D17" s="11">
        <f>_xlfn.XLOOKUP(C17,Detallado!C:C,Detallado!E:E,"ERROR",0)</f>
        <v/>
      </c>
      <c r="E17" s="6">
        <f>SUMIF(Detallado!C:C,ANALISIS!C17,Detallado!F:F)</f>
        <v/>
      </c>
      <c r="F17" s="7">
        <f>_xlfn.XLOOKUP(C17,Detallado!C:C,Detallado!H:H,"ERROR",0)</f>
        <v/>
      </c>
      <c r="G17" s="8">
        <f>E17*F17</f>
        <v/>
      </c>
      <c r="H17" s="9">
        <f>G17/$G$313</f>
        <v/>
      </c>
      <c r="J17" s="7" t="n">
        <v>27479.008</v>
      </c>
      <c r="K17" s="7" t="n">
        <v>247311.072</v>
      </c>
      <c r="M17" s="10">
        <f>+K17-G17</f>
        <v/>
      </c>
    </row>
    <row r="18">
      <c r="C18" s="13" t="inlineStr">
        <is>
          <t>MAT02-0023</t>
        </is>
      </c>
      <c r="D18" s="11">
        <f>_xlfn.XLOOKUP(C18,Detallado!C:C,Detallado!E:E,"ERROR",0)</f>
        <v/>
      </c>
      <c r="E18" s="6">
        <f>SUMIF(Detallado!C:C,ANALISIS!C18,Detallado!F:F)</f>
        <v/>
      </c>
      <c r="F18" s="7">
        <f>_xlfn.XLOOKUP(C18,Detallado!C:C,Detallado!H:H,"ERROR",0)</f>
        <v/>
      </c>
      <c r="G18" s="8">
        <f>E18*F18</f>
        <v/>
      </c>
      <c r="H18" s="9">
        <f>G18/$G$313</f>
        <v/>
      </c>
      <c r="J18" s="7" t="n">
        <v>15060.67</v>
      </c>
      <c r="K18" s="7" t="n">
        <v>15060.67</v>
      </c>
      <c r="M18" s="10">
        <f>+K18-G18</f>
        <v/>
      </c>
    </row>
    <row r="19">
      <c r="C19" s="13" t="inlineStr">
        <is>
          <t>MAT02-0024</t>
        </is>
      </c>
      <c r="D19" s="11">
        <f>_xlfn.XLOOKUP(C19,Detallado!C:C,Detallado!E:E,"ERROR",0)</f>
        <v/>
      </c>
      <c r="E19" s="6">
        <f>SUMIF(Detallado!C:C,ANALISIS!C19,Detallado!F:F)</f>
        <v/>
      </c>
      <c r="F19" s="7">
        <f>_xlfn.XLOOKUP(C19,Detallado!C:C,Detallado!H:H,"ERROR",0)</f>
        <v/>
      </c>
      <c r="G19" s="8">
        <f>E19*F19</f>
        <v/>
      </c>
      <c r="H19" s="9">
        <f>G19/$G$313</f>
        <v/>
      </c>
      <c r="J19" s="7" t="n">
        <v>32369.8</v>
      </c>
      <c r="K19" s="7" t="n">
        <v>0</v>
      </c>
      <c r="M19" s="10">
        <f>+K19-G19</f>
        <v/>
      </c>
    </row>
    <row r="20">
      <c r="C20" s="13" t="inlineStr">
        <is>
          <t>MAT02-0025</t>
        </is>
      </c>
      <c r="D20" s="11">
        <f>_xlfn.XLOOKUP(C20,Detallado!C:C,Detallado!E:E,"ERROR",0)</f>
        <v/>
      </c>
      <c r="E20" s="6">
        <f>SUMIF(Detallado!C:C,ANALISIS!C20,Detallado!F:F)</f>
        <v/>
      </c>
      <c r="F20" s="7">
        <f>_xlfn.XLOOKUP(C20,Detallado!C:C,Detallado!H:H,"ERROR",0)</f>
        <v/>
      </c>
      <c r="G20" s="8">
        <f>E20*F20</f>
        <v/>
      </c>
      <c r="H20" s="9">
        <f>G20/$G$313</f>
        <v/>
      </c>
      <c r="J20" s="7" t="n">
        <v>929.9874666666663</v>
      </c>
      <c r="K20" s="7" t="n">
        <v>37199.49866666665</v>
      </c>
      <c r="M20" s="10">
        <f>+K20-G20</f>
        <v/>
      </c>
    </row>
    <row r="21">
      <c r="C21" s="13" t="inlineStr">
        <is>
          <t>MAT02-0027</t>
        </is>
      </c>
      <c r="D21" s="11">
        <f>_xlfn.XLOOKUP(C21,Detallado!C:C,Detallado!E:E,"ERROR",0)</f>
        <v/>
      </c>
      <c r="E21" s="6">
        <f>SUMIF(Detallado!C:C,ANALISIS!C21,Detallado!F:F)</f>
        <v/>
      </c>
      <c r="F21" s="7">
        <f>_xlfn.XLOOKUP(C21,Detallado!C:C,Detallado!H:H,"ERROR",0)</f>
        <v/>
      </c>
      <c r="G21" s="8">
        <f>E21*F21</f>
        <v/>
      </c>
      <c r="H21" s="9">
        <f>G21/$G$313</f>
        <v/>
      </c>
      <c r="J21" s="7" t="n">
        <v>2071.323839999988</v>
      </c>
      <c r="K21" s="7" t="n">
        <v>559257.4367999968</v>
      </c>
      <c r="M21" s="10">
        <f>+K21-G21</f>
        <v/>
      </c>
    </row>
    <row r="22">
      <c r="C22" s="13" t="inlineStr">
        <is>
          <t>MAT02-0029</t>
        </is>
      </c>
      <c r="D22" s="11">
        <f>_xlfn.XLOOKUP(C22,Detallado!C:C,Detallado!E:E,"ERROR",0)</f>
        <v/>
      </c>
      <c r="E22" s="6">
        <f>SUMIF(Detallado!C:C,ANALISIS!C22,Detallado!F:F)</f>
        <v/>
      </c>
      <c r="F22" s="7">
        <f>_xlfn.XLOOKUP(C22,Detallado!C:C,Detallado!H:H,"ERROR",0)</f>
        <v/>
      </c>
      <c r="G22" s="8">
        <f>E22*F22</f>
        <v/>
      </c>
      <c r="H22" s="9">
        <f>G22/$G$313</f>
        <v/>
      </c>
      <c r="J22" s="7" t="n">
        <v>3612.356</v>
      </c>
      <c r="K22" s="7" t="n">
        <v>90308.89999999999</v>
      </c>
      <c r="M22" s="10">
        <f>+K22-G22</f>
        <v/>
      </c>
    </row>
    <row r="23">
      <c r="C23" s="13" t="inlineStr">
        <is>
          <t>MAT02-0033</t>
        </is>
      </c>
      <c r="D23" s="11">
        <f>_xlfn.XLOOKUP(C23,Detallado!C:C,Detallado!E:E,"ERROR",0)</f>
        <v/>
      </c>
      <c r="E23" s="6">
        <f>SUMIF(Detallado!C:C,ANALISIS!C23,Detallado!F:F)</f>
        <v/>
      </c>
      <c r="F23" s="7">
        <f>_xlfn.XLOOKUP(C23,Detallado!C:C,Detallado!H:H,"ERROR",0)</f>
        <v/>
      </c>
      <c r="G23" s="8">
        <f>E23*F23</f>
        <v/>
      </c>
      <c r="H23" s="9">
        <f>G23/$G$313</f>
        <v/>
      </c>
      <c r="J23" s="7" t="n">
        <v>7069.454699999937</v>
      </c>
      <c r="K23" s="7" t="n">
        <v>0</v>
      </c>
      <c r="M23" s="10">
        <f>+K23-G23</f>
        <v/>
      </c>
    </row>
    <row r="24">
      <c r="C24" s="13" t="inlineStr">
        <is>
          <t>MAT02-0038</t>
        </is>
      </c>
      <c r="D24" s="11">
        <f>_xlfn.XLOOKUP(C24,Detallado!C:C,Detallado!E:E,"ERROR",0)</f>
        <v/>
      </c>
      <c r="E24" s="6">
        <f>SUMIF(Detallado!C:C,ANALISIS!C24,Detallado!F:F)</f>
        <v/>
      </c>
      <c r="F24" s="7">
        <f>_xlfn.XLOOKUP(C24,Detallado!C:C,Detallado!H:H,"ERROR",0)</f>
        <v/>
      </c>
      <c r="G24" s="8">
        <f>E24*F24</f>
        <v/>
      </c>
      <c r="H24" s="9">
        <f>G24/$G$313</f>
        <v/>
      </c>
      <c r="J24" s="7" t="n">
        <v>9592.039999999999</v>
      </c>
      <c r="K24" s="7" t="n">
        <v>19184.08</v>
      </c>
      <c r="M24" s="10">
        <f>+K24-G24</f>
        <v/>
      </c>
    </row>
    <row r="25">
      <c r="C25" s="13" t="inlineStr">
        <is>
          <t>MAT02-0043</t>
        </is>
      </c>
      <c r="D25" s="11">
        <f>_xlfn.XLOOKUP(C25,Detallado!C:C,Detallado!E:E,"ERROR",0)</f>
        <v/>
      </c>
      <c r="E25" s="6">
        <f>SUMIF(Detallado!C:C,ANALISIS!C25,Detallado!F:F)</f>
        <v/>
      </c>
      <c r="F25" s="7">
        <f>_xlfn.XLOOKUP(C25,Detallado!C:C,Detallado!H:H,"ERROR",0)</f>
        <v/>
      </c>
      <c r="G25" s="8">
        <f>E25*F25</f>
        <v/>
      </c>
      <c r="H25" s="9">
        <f>G25/$G$313</f>
        <v/>
      </c>
      <c r="J25" s="7" t="n">
        <v>31041.6</v>
      </c>
      <c r="K25" s="7" t="n">
        <v>31041.6</v>
      </c>
      <c r="M25" s="10">
        <f>+K25-G25</f>
        <v/>
      </c>
    </row>
    <row r="26">
      <c r="C26" s="13" t="inlineStr">
        <is>
          <t>MAT02-0044</t>
        </is>
      </c>
      <c r="D26" s="11">
        <f>_xlfn.XLOOKUP(C26,Detallado!C:C,Detallado!E:E,"ERROR",0)</f>
        <v/>
      </c>
      <c r="E26" s="6">
        <f>SUMIF(Detallado!C:C,ANALISIS!C26,Detallado!F:F)</f>
        <v/>
      </c>
      <c r="F26" s="7">
        <f>_xlfn.XLOOKUP(C26,Detallado!C:C,Detallado!H:H,"ERROR",0)</f>
        <v/>
      </c>
      <c r="G26" s="8">
        <f>E26*F26</f>
        <v/>
      </c>
      <c r="H26" s="9">
        <f>G26/$G$313</f>
        <v/>
      </c>
      <c r="J26" s="7" t="n">
        <v>18154</v>
      </c>
      <c r="K26" s="7" t="n">
        <v>0</v>
      </c>
      <c r="M26" s="10">
        <f>+K26-G26</f>
        <v/>
      </c>
    </row>
    <row r="27">
      <c r="C27" s="13" t="inlineStr">
        <is>
          <t>MAT02-0123</t>
        </is>
      </c>
      <c r="D27" s="11">
        <f>_xlfn.XLOOKUP(C27,Detallado!C:C,Detallado!E:E,"ERROR",0)</f>
        <v/>
      </c>
      <c r="E27" s="6">
        <f>SUMIF(Detallado!C:C,ANALISIS!C27,Detallado!F:F)</f>
        <v/>
      </c>
      <c r="F27" s="7">
        <f>_xlfn.XLOOKUP(C27,Detallado!C:C,Detallado!H:H,"ERROR",0)</f>
        <v/>
      </c>
      <c r="G27" s="8">
        <f>E27*F27</f>
        <v/>
      </c>
      <c r="H27" s="9">
        <f>G27/$G$313</f>
        <v/>
      </c>
      <c r="J27" s="7" t="n">
        <v>21338.2</v>
      </c>
      <c r="K27" s="7" t="n">
        <v>85352.79999999999</v>
      </c>
      <c r="M27" s="10">
        <f>+K27-G27</f>
        <v/>
      </c>
    </row>
    <row r="28">
      <c r="C28" s="13" t="inlineStr">
        <is>
          <t>MAT02-0124</t>
        </is>
      </c>
      <c r="D28" s="11">
        <f>_xlfn.XLOOKUP(C28,Detallado!C:C,Detallado!E:E,"ERROR",0)</f>
        <v/>
      </c>
      <c r="E28" s="6">
        <f>SUMIF(Detallado!C:C,ANALISIS!C28,Detallado!F:F)</f>
        <v/>
      </c>
      <c r="F28" s="7">
        <f>_xlfn.XLOOKUP(C28,Detallado!C:C,Detallado!H:H,"ERROR",0)</f>
        <v/>
      </c>
      <c r="G28" s="8">
        <f>E28*F28</f>
        <v/>
      </c>
      <c r="H28" s="9">
        <f>G28/$G$313</f>
        <v/>
      </c>
      <c r="J28" s="7" t="n">
        <v>12760</v>
      </c>
      <c r="K28" s="7" t="n">
        <v>204160</v>
      </c>
      <c r="M28" s="10">
        <f>+K28-G28</f>
        <v/>
      </c>
    </row>
    <row r="29">
      <c r="C29" s="13" t="inlineStr">
        <is>
          <t>MAT02-0125</t>
        </is>
      </c>
      <c r="D29" s="11">
        <f>_xlfn.XLOOKUP(C29,Detallado!C:C,Detallado!E:E,"ERROR",0)</f>
        <v/>
      </c>
      <c r="E29" s="6">
        <f>SUMIF(Detallado!C:C,ANALISIS!C29,Detallado!F:F)</f>
        <v/>
      </c>
      <c r="F29" s="7">
        <f>_xlfn.XLOOKUP(C29,Detallado!C:C,Detallado!H:H,"ERROR",0)</f>
        <v/>
      </c>
      <c r="G29" s="8">
        <f>E29*F29</f>
        <v/>
      </c>
      <c r="H29" s="9">
        <f>G29/$G$313</f>
        <v/>
      </c>
      <c r="J29" s="7" t="n">
        <v>24146.9892</v>
      </c>
      <c r="K29" s="7" t="n">
        <v>193175.9136</v>
      </c>
      <c r="M29" s="10">
        <f>+K29-G29</f>
        <v/>
      </c>
    </row>
    <row r="30">
      <c r="C30" s="13" t="inlineStr">
        <is>
          <t>MAT03-0001</t>
        </is>
      </c>
      <c r="D30" s="11">
        <f>_xlfn.XLOOKUP(C30,Detallado!C:C,Detallado!E:E,"ERROR",0)</f>
        <v/>
      </c>
      <c r="E30" s="6">
        <f>SUMIF(Detallado!C:C,ANALISIS!C30,Detallado!F:F)</f>
        <v/>
      </c>
      <c r="F30" s="7">
        <f>_xlfn.XLOOKUP(C30,Detallado!C:C,Detallado!H:H,"ERROR",0)</f>
        <v/>
      </c>
      <c r="G30" s="8">
        <f>E30*F30</f>
        <v/>
      </c>
      <c r="H30" s="9">
        <f>G30/$G$313</f>
        <v/>
      </c>
      <c r="J30" s="7" t="n">
        <v>4060</v>
      </c>
      <c r="K30" s="7" t="n">
        <v>0</v>
      </c>
      <c r="M30" s="10">
        <f>+K30-G30</f>
        <v/>
      </c>
    </row>
    <row r="31">
      <c r="C31" s="14" t="inlineStr">
        <is>
          <t>MAT03-0002</t>
        </is>
      </c>
      <c r="D31" s="11">
        <f>_xlfn.XLOOKUP(C31,Detallado!C:C,Detallado!E:E,"ERROR",0)</f>
        <v/>
      </c>
      <c r="E31" s="6">
        <f>SUMIF(Detallado!C:C,ANALISIS!C31,Detallado!F:F)</f>
        <v/>
      </c>
      <c r="F31" s="7">
        <f>_xlfn.XLOOKUP(C31,Detallado!C:C,Detallado!H:H,"ERROR",0)</f>
        <v/>
      </c>
      <c r="G31" s="8">
        <f>E31*F31</f>
        <v/>
      </c>
      <c r="H31" s="9">
        <f>G31/$G$313</f>
        <v/>
      </c>
      <c r="J31" s="7" t="n">
        <v>16474.76842547367</v>
      </c>
      <c r="K31" s="7" t="n">
        <v>295063.1025002334</v>
      </c>
      <c r="M31" s="10">
        <f>+K31-G31</f>
        <v/>
      </c>
    </row>
    <row r="32">
      <c r="C32" s="14" t="inlineStr">
        <is>
          <t>MAT03-0006</t>
        </is>
      </c>
      <c r="D32" s="11">
        <f>_xlfn.XLOOKUP(C32,Detallado!C:C,Detallado!E:E,"ERROR",0)</f>
        <v/>
      </c>
      <c r="E32" s="6">
        <f>SUMIF(Detallado!C:C,ANALISIS!C32,Detallado!F:F)</f>
        <v/>
      </c>
      <c r="F32" s="7">
        <f>_xlfn.XLOOKUP(C32,Detallado!C:C,Detallado!H:H,"ERROR",0)</f>
        <v/>
      </c>
      <c r="G32" s="8">
        <f>E32*F32</f>
        <v/>
      </c>
      <c r="H32" s="9">
        <f>G32/$G$313</f>
        <v/>
      </c>
      <c r="J32" s="7" t="n">
        <v>14281.577626</v>
      </c>
      <c r="K32" s="7" t="n">
        <v>207511.32290578</v>
      </c>
      <c r="M32" s="10">
        <f>+K32-G32</f>
        <v/>
      </c>
    </row>
    <row r="33">
      <c r="C33" s="14" t="inlineStr">
        <is>
          <t>MAT03-0007</t>
        </is>
      </c>
      <c r="D33" s="11">
        <f>_xlfn.XLOOKUP(C33,Detallado!C:C,Detallado!E:E,"ERROR",0)</f>
        <v/>
      </c>
      <c r="E33" s="6">
        <f>SUMIF(Detallado!C:C,ANALISIS!C33,Detallado!F:F)</f>
        <v/>
      </c>
      <c r="F33" s="7">
        <f>_xlfn.XLOOKUP(C33,Detallado!C:C,Detallado!H:H,"ERROR",0)</f>
        <v/>
      </c>
      <c r="G33" s="8">
        <f>E33*F33</f>
        <v/>
      </c>
      <c r="H33" s="9">
        <f>G33/$G$313</f>
        <v/>
      </c>
      <c r="J33" s="7" t="n">
        <v>17083.60940066663</v>
      </c>
      <c r="K33" s="7" t="n">
        <v>99121.66428407788</v>
      </c>
      <c r="M33" s="10">
        <f>+K33-G33</f>
        <v/>
      </c>
    </row>
    <row r="34">
      <c r="C34" s="14" t="inlineStr">
        <is>
          <t>MAT03-0012</t>
        </is>
      </c>
      <c r="D34" s="11">
        <f>_xlfn.XLOOKUP(C34,Detallado!C:C,Detallado!E:E,"ERROR",0)</f>
        <v/>
      </c>
      <c r="E34" s="6">
        <f>SUMIF(Detallado!C:C,ANALISIS!C34,Detallado!F:F)</f>
        <v/>
      </c>
      <c r="F34" s="7">
        <f>_xlfn.XLOOKUP(C34,Detallado!C:C,Detallado!H:H,"ERROR",0)</f>
        <v/>
      </c>
      <c r="G34" s="8">
        <f>E34*F34</f>
        <v/>
      </c>
      <c r="H34" s="9">
        <f>G34/$G$313</f>
        <v/>
      </c>
      <c r="J34" s="7" t="n">
        <v>4060</v>
      </c>
      <c r="K34" s="7" t="n">
        <v>40599.99999999999</v>
      </c>
      <c r="M34" s="10">
        <f>+K34-G34</f>
        <v/>
      </c>
    </row>
    <row r="35">
      <c r="C35" s="14" t="inlineStr">
        <is>
          <t>MAT03-0014</t>
        </is>
      </c>
      <c r="D35" s="11">
        <f>_xlfn.XLOOKUP(C35,Detallado!C:C,Detallado!E:E,"ERROR",0)</f>
        <v/>
      </c>
      <c r="E35" s="6">
        <f>SUMIF(Detallado!C:C,ANALISIS!C35,Detallado!F:F)</f>
        <v/>
      </c>
      <c r="F35" s="7">
        <f>_xlfn.XLOOKUP(C35,Detallado!C:C,Detallado!H:H,"ERROR",0)</f>
        <v/>
      </c>
      <c r="G35" s="8">
        <f>E35*F35</f>
        <v/>
      </c>
      <c r="H35" s="9">
        <f>G35/$G$313</f>
        <v/>
      </c>
      <c r="J35" s="7" t="n">
        <v>4832.559999999999</v>
      </c>
      <c r="K35" s="7" t="n">
        <v>65239.55999999999</v>
      </c>
      <c r="M35" s="10">
        <f>+K35-G35</f>
        <v/>
      </c>
    </row>
    <row r="36">
      <c r="C36" s="14" t="inlineStr">
        <is>
          <t>MAT04-0002</t>
        </is>
      </c>
      <c r="D36" s="11">
        <f>_xlfn.XLOOKUP(C36,Detallado!C:C,Detallado!E:E,"ERROR",0)</f>
        <v/>
      </c>
      <c r="E36" s="6">
        <f>SUMIF(Detallado!C:C,ANALISIS!C36,Detallado!F:F)</f>
        <v/>
      </c>
      <c r="F36" s="7">
        <f>_xlfn.XLOOKUP(C36,Detallado!C:C,Detallado!H:H,"ERROR",0)</f>
        <v/>
      </c>
      <c r="G36" s="8">
        <f>E36*F36</f>
        <v/>
      </c>
      <c r="H36" s="9">
        <f>G36/$G$313</f>
        <v/>
      </c>
      <c r="J36" s="7" t="n">
        <v>3551.8272</v>
      </c>
      <c r="K36" s="7" t="n">
        <v>7103.654399999999</v>
      </c>
      <c r="M36" s="10">
        <f>+K36-G36</f>
        <v/>
      </c>
    </row>
    <row r="37">
      <c r="C37" s="13" t="inlineStr">
        <is>
          <t>MAT04-0012</t>
        </is>
      </c>
      <c r="D37" s="11">
        <f>_xlfn.XLOOKUP(C37,Detallado!C:C,Detallado!E:E,"ERROR",0)</f>
        <v/>
      </c>
      <c r="E37" s="6">
        <f>SUMIF(Detallado!C:C,ANALISIS!C37,Detallado!F:F)</f>
        <v/>
      </c>
      <c r="F37" s="7">
        <f>_xlfn.XLOOKUP(C37,Detallado!C:C,Detallado!H:H,"ERROR",0)</f>
        <v/>
      </c>
      <c r="G37" s="8">
        <f>E37*F37</f>
        <v/>
      </c>
      <c r="H37" s="9">
        <f>G37/$G$313</f>
        <v/>
      </c>
      <c r="J37" s="7" t="n">
        <v>2253.2768</v>
      </c>
      <c r="K37" s="7" t="n">
        <v>22532.768</v>
      </c>
      <c r="M37" s="10">
        <f>+K37-G37</f>
        <v/>
      </c>
    </row>
    <row r="38">
      <c r="C38" s="13" t="inlineStr">
        <is>
          <t>MAT04-0016</t>
        </is>
      </c>
      <c r="D38" s="11">
        <f>_xlfn.XLOOKUP(C38,Detallado!C:C,Detallado!E:E,"ERROR",0)</f>
        <v/>
      </c>
      <c r="E38" s="6">
        <f>SUMIF(Detallado!C:C,ANALISIS!C38,Detallado!F:F)</f>
        <v/>
      </c>
      <c r="F38" s="7">
        <f>_xlfn.XLOOKUP(C38,Detallado!C:C,Detallado!H:H,"ERROR",0)</f>
        <v/>
      </c>
      <c r="G38" s="8">
        <f>E38*F38</f>
        <v/>
      </c>
      <c r="H38" s="9">
        <f>G38/$G$313</f>
        <v/>
      </c>
      <c r="J38" s="7" t="n">
        <v>3024.12</v>
      </c>
      <c r="K38" s="7" t="n">
        <v>87699.48</v>
      </c>
      <c r="M38" s="10">
        <f>+K38-G38</f>
        <v/>
      </c>
    </row>
    <row r="39">
      <c r="C39" s="13" t="inlineStr">
        <is>
          <t>MAT04-0019</t>
        </is>
      </c>
      <c r="D39" s="11">
        <f>_xlfn.XLOOKUP(C39,Detallado!C:C,Detallado!E:E,"ERROR",0)</f>
        <v/>
      </c>
      <c r="E39" s="6">
        <f>SUMIF(Detallado!C:C,ANALISIS!C39,Detallado!F:F)</f>
        <v/>
      </c>
      <c r="F39" s="7">
        <f>_xlfn.XLOOKUP(C39,Detallado!C:C,Detallado!H:H,"ERROR",0)</f>
        <v/>
      </c>
      <c r="G39" s="8">
        <f>E39*F39</f>
        <v/>
      </c>
      <c r="H39" s="9">
        <f>G39/$G$313</f>
        <v/>
      </c>
      <c r="J39" s="7" t="n">
        <v>4118</v>
      </c>
      <c r="K39" s="7" t="n">
        <v>8236</v>
      </c>
      <c r="M39" s="10">
        <f>+K39-G39</f>
        <v/>
      </c>
    </row>
    <row r="40">
      <c r="C40" s="13" t="inlineStr">
        <is>
          <t>MAT04-0020</t>
        </is>
      </c>
      <c r="D40" s="11">
        <f>_xlfn.XLOOKUP(C40,Detallado!C:C,Detallado!E:E,"ERROR",0)</f>
        <v/>
      </c>
      <c r="E40" s="6">
        <f>SUMIF(Detallado!C:C,ANALISIS!C40,Detallado!F:F)</f>
        <v/>
      </c>
      <c r="F40" s="7">
        <f>_xlfn.XLOOKUP(C40,Detallado!C:C,Detallado!H:H,"ERROR",0)</f>
        <v/>
      </c>
      <c r="G40" s="8">
        <f>E40*F40</f>
        <v/>
      </c>
      <c r="H40" s="9">
        <f>G40/$G$313</f>
        <v/>
      </c>
      <c r="J40" s="7" t="n">
        <v>33833.33719999988</v>
      </c>
      <c r="K40" s="7" t="n">
        <v>338333.3719999988</v>
      </c>
      <c r="M40" s="10">
        <f>+K40-G40</f>
        <v/>
      </c>
    </row>
    <row r="41">
      <c r="C41" s="13" t="inlineStr">
        <is>
          <t>MAT04-0021</t>
        </is>
      </c>
      <c r="D41" s="11">
        <f>_xlfn.XLOOKUP(C41,Detallado!C:C,Detallado!E:E,"ERROR",0)</f>
        <v/>
      </c>
      <c r="E41" s="6">
        <f>SUMIF(Detallado!C:C,ANALISIS!C41,Detallado!F:F)</f>
        <v/>
      </c>
      <c r="F41" s="7">
        <f>_xlfn.XLOOKUP(C41,Detallado!C:C,Detallado!H:H,"ERROR",0)</f>
        <v/>
      </c>
      <c r="G41" s="8">
        <f>E41*F41</f>
        <v/>
      </c>
      <c r="H41" s="9">
        <f>G41/$G$313</f>
        <v/>
      </c>
      <c r="J41" s="7" t="n">
        <v>7273.2</v>
      </c>
      <c r="K41" s="7" t="n">
        <v>14546.4</v>
      </c>
      <c r="M41" s="10">
        <f>+K41-G41</f>
        <v/>
      </c>
    </row>
    <row r="42">
      <c r="C42" s="13" t="inlineStr">
        <is>
          <t>MAT04-0047</t>
        </is>
      </c>
      <c r="D42" s="11">
        <f>_xlfn.XLOOKUP(C42,Detallado!C:C,Detallado!E:E,"ERROR",0)</f>
        <v/>
      </c>
      <c r="E42" s="6">
        <f>SUMIF(Detallado!C:C,ANALISIS!C42,Detallado!F:F)</f>
        <v/>
      </c>
      <c r="F42" s="7">
        <f>_xlfn.XLOOKUP(C42,Detallado!C:C,Detallado!H:H,"ERROR",0)</f>
        <v/>
      </c>
      <c r="G42" s="8">
        <f>E42*F42</f>
        <v/>
      </c>
      <c r="H42" s="9">
        <f>G42/$G$313</f>
        <v/>
      </c>
      <c r="J42" s="7" t="n">
        <v>9952.393999999998</v>
      </c>
      <c r="K42" s="7" t="n">
        <v>109476.334</v>
      </c>
      <c r="M42" s="10">
        <f>+K42-G42</f>
        <v/>
      </c>
    </row>
    <row r="43">
      <c r="C43" s="13" t="inlineStr">
        <is>
          <t>MAT04-0061</t>
        </is>
      </c>
      <c r="D43" s="11">
        <f>_xlfn.XLOOKUP(C43,Detallado!C:C,Detallado!E:E,"ERROR",0)</f>
        <v/>
      </c>
      <c r="E43" s="6">
        <f>SUMIF(Detallado!C:C,ANALISIS!C43,Detallado!F:F)</f>
        <v/>
      </c>
      <c r="F43" s="7">
        <f>_xlfn.XLOOKUP(C43,Detallado!C:C,Detallado!H:H,"ERROR",0)</f>
        <v/>
      </c>
      <c r="G43" s="8">
        <f>E43*F43</f>
        <v/>
      </c>
      <c r="H43" s="9">
        <f>G43/$G$313</f>
        <v/>
      </c>
      <c r="J43" s="7" t="n">
        <v>5782.518684</v>
      </c>
      <c r="K43" s="7" t="n">
        <v>57825.18683999999</v>
      </c>
      <c r="M43" s="10">
        <f>+K43-G43</f>
        <v/>
      </c>
    </row>
    <row r="44">
      <c r="C44" s="13" t="inlineStr">
        <is>
          <t>MAT04-0062</t>
        </is>
      </c>
      <c r="D44" s="11">
        <f>_xlfn.XLOOKUP(C44,Detallado!C:C,Detallado!E:E,"ERROR",0)</f>
        <v/>
      </c>
      <c r="E44" s="6">
        <f>SUMIF(Detallado!C:C,ANALISIS!C44,Detallado!F:F)</f>
        <v/>
      </c>
      <c r="F44" s="7">
        <f>_xlfn.XLOOKUP(C44,Detallado!C:C,Detallado!H:H,"ERROR",0)</f>
        <v/>
      </c>
      <c r="G44" s="8">
        <f>E44*F44</f>
        <v/>
      </c>
      <c r="H44" s="9">
        <f>G44/$G$313</f>
        <v/>
      </c>
      <c r="J44" s="7" t="n">
        <v>117.2475272727266</v>
      </c>
      <c r="K44" s="7" t="n">
        <v>1002818.100763631</v>
      </c>
      <c r="M44" s="10">
        <f>+K44-G44</f>
        <v/>
      </c>
    </row>
    <row r="45">
      <c r="C45" s="13" t="inlineStr">
        <is>
          <t>MAT04-0081</t>
        </is>
      </c>
      <c r="D45" s="11">
        <f>_xlfn.XLOOKUP(C45,Detallado!C:C,Detallado!E:E,"ERROR",0)</f>
        <v/>
      </c>
      <c r="E45" s="6">
        <f>SUMIF(Detallado!C:C,ANALISIS!C45,Detallado!F:F)</f>
        <v/>
      </c>
      <c r="F45" s="7">
        <f>_xlfn.XLOOKUP(C45,Detallado!C:C,Detallado!H:H,"ERROR",0)</f>
        <v/>
      </c>
      <c r="G45" s="8">
        <f>E45*F45</f>
        <v/>
      </c>
      <c r="H45" s="9">
        <f>G45/$G$313</f>
        <v/>
      </c>
      <c r="J45" s="7" t="n">
        <v>4836.851999999988</v>
      </c>
      <c r="K45" s="7" t="n">
        <v>372437.6039999991</v>
      </c>
      <c r="M45" s="10">
        <f>+K45-G45</f>
        <v/>
      </c>
    </row>
    <row r="46">
      <c r="C46" s="13" t="inlineStr">
        <is>
          <t>MAT05-0001</t>
        </is>
      </c>
      <c r="D46" s="11">
        <f>_xlfn.XLOOKUP(C46,Detallado!C:C,Detallado!E:E,"ERROR",0)</f>
        <v/>
      </c>
      <c r="E46" s="6">
        <f>SUMIF(Detallado!C:C,ANALISIS!C46,Detallado!F:F)</f>
        <v/>
      </c>
      <c r="F46" s="7">
        <f>_xlfn.XLOOKUP(C46,Detallado!C:C,Detallado!H:H,"ERROR",0)</f>
        <v/>
      </c>
      <c r="G46" s="8">
        <f>E46*F46</f>
        <v/>
      </c>
      <c r="H46" s="9">
        <f>G46/$G$313</f>
        <v/>
      </c>
      <c r="J46" s="7" t="n">
        <v>179916</v>
      </c>
      <c r="K46" s="7" t="n">
        <v>0</v>
      </c>
      <c r="M46" s="10">
        <f>+K46-G46</f>
        <v/>
      </c>
    </row>
    <row r="47">
      <c r="C47" s="13" t="inlineStr">
        <is>
          <t>MAT05-0002</t>
        </is>
      </c>
      <c r="D47" s="11">
        <f>_xlfn.XLOOKUP(C47,Detallado!C:C,Detallado!E:E,"ERROR",0)</f>
        <v/>
      </c>
      <c r="E47" s="6">
        <f>SUMIF(Detallado!C:C,ANALISIS!C47,Detallado!F:F)</f>
        <v/>
      </c>
      <c r="F47" s="7">
        <f>_xlfn.XLOOKUP(C47,Detallado!C:C,Detallado!H:H,"ERROR",0)</f>
        <v/>
      </c>
      <c r="G47" s="8">
        <f>E47*F47</f>
        <v/>
      </c>
      <c r="H47" s="9">
        <f>G47/$G$313</f>
        <v/>
      </c>
      <c r="J47" s="7" t="n">
        <v>271150</v>
      </c>
      <c r="K47" s="7" t="n">
        <v>0</v>
      </c>
      <c r="M47" s="10">
        <f>+K47-G47</f>
        <v/>
      </c>
    </row>
    <row r="48">
      <c r="C48" s="13" t="inlineStr">
        <is>
          <t>MAT05-0032</t>
        </is>
      </c>
      <c r="D48" s="11">
        <f>_xlfn.XLOOKUP(C48,Detallado!C:C,Detallado!E:E,"ERROR",0)</f>
        <v/>
      </c>
      <c r="E48" s="6">
        <f>SUMIF(Detallado!C:C,ANALISIS!C48,Detallado!F:F)</f>
        <v/>
      </c>
      <c r="F48" s="7">
        <f>_xlfn.XLOOKUP(C48,Detallado!C:C,Detallado!H:H,"ERROR",0)</f>
        <v/>
      </c>
      <c r="G48" s="8">
        <f>E48*F48</f>
        <v/>
      </c>
      <c r="H48" s="9">
        <f>G48/$G$313</f>
        <v/>
      </c>
      <c r="J48" s="7" t="n">
        <v>16186.97142857138</v>
      </c>
      <c r="K48" s="7" t="n">
        <v>16186.97142857138</v>
      </c>
      <c r="M48" s="10">
        <f>+K48-G48</f>
        <v/>
      </c>
    </row>
    <row r="49">
      <c r="C49" s="13" t="inlineStr">
        <is>
          <t>MAT05-0046</t>
        </is>
      </c>
      <c r="D49" s="11">
        <f>_xlfn.XLOOKUP(C49,Detallado!C:C,Detallado!E:E,"ERROR",0)</f>
        <v/>
      </c>
      <c r="E49" s="6">
        <f>SUMIF(Detallado!C:C,ANALISIS!C49,Detallado!F:F)</f>
        <v/>
      </c>
      <c r="F49" s="7">
        <f>_xlfn.XLOOKUP(C49,Detallado!C:C,Detallado!H:H,"ERROR",0)</f>
        <v/>
      </c>
      <c r="G49" s="8">
        <f>E49*F49</f>
        <v/>
      </c>
      <c r="H49" s="9">
        <f>G49/$G$313</f>
        <v/>
      </c>
      <c r="J49" s="7" t="n">
        <v>97450.43999999999</v>
      </c>
      <c r="K49" s="7" t="n">
        <v>155920.704</v>
      </c>
      <c r="M49" s="10">
        <f>+K49-G49</f>
        <v/>
      </c>
    </row>
    <row r="50">
      <c r="C50" s="13" t="inlineStr">
        <is>
          <t>MAT05-0063</t>
        </is>
      </c>
      <c r="D50" s="11">
        <f>_xlfn.XLOOKUP(C50,Detallado!C:C,Detallado!E:E,"ERROR",0)</f>
        <v/>
      </c>
      <c r="E50" s="6">
        <f>SUMIF(Detallado!C:C,ANALISIS!C50,Detallado!F:F)</f>
        <v/>
      </c>
      <c r="F50" s="7">
        <f>_xlfn.XLOOKUP(C50,Detallado!C:C,Detallado!H:H,"ERROR",0)</f>
        <v/>
      </c>
      <c r="G50" s="8">
        <f>E50*F50</f>
        <v/>
      </c>
      <c r="H50" s="9">
        <f>G50/$G$313</f>
        <v/>
      </c>
      <c r="J50" s="7" t="n">
        <v>878.6999999999999</v>
      </c>
      <c r="K50" s="7" t="n">
        <v>204737.1</v>
      </c>
      <c r="M50" s="10">
        <f>+K50-G50</f>
        <v/>
      </c>
    </row>
    <row r="51">
      <c r="C51" s="13" t="inlineStr">
        <is>
          <t>MAT05-0068</t>
        </is>
      </c>
      <c r="D51" s="11">
        <f>_xlfn.XLOOKUP(C51,Detallado!C:C,Detallado!E:E,"ERROR",0)</f>
        <v/>
      </c>
      <c r="E51" s="6">
        <f>SUMIF(Detallado!C:C,ANALISIS!C51,Detallado!F:F)</f>
        <v/>
      </c>
      <c r="F51" s="7">
        <f>_xlfn.XLOOKUP(C51,Detallado!C:C,Detallado!H:H,"ERROR",0)</f>
        <v/>
      </c>
      <c r="G51" s="8">
        <f>E51*F51</f>
        <v/>
      </c>
      <c r="H51" s="9">
        <f>G51/$G$313</f>
        <v/>
      </c>
      <c r="J51" s="7" t="n">
        <v>13729.76</v>
      </c>
      <c r="K51" s="7" t="n">
        <v>13729.76</v>
      </c>
      <c r="M51" s="10">
        <f>+K51-G51</f>
        <v/>
      </c>
    </row>
    <row r="52">
      <c r="C52" s="13" t="inlineStr">
        <is>
          <t>MAT05-0069</t>
        </is>
      </c>
      <c r="D52" s="11">
        <f>_xlfn.XLOOKUP(C52,Detallado!C:C,Detallado!E:E,"ERROR",0)</f>
        <v/>
      </c>
      <c r="E52" s="6">
        <f>SUMIF(Detallado!C:C,ANALISIS!C52,Detallado!F:F)</f>
        <v/>
      </c>
      <c r="F52" s="7">
        <f>_xlfn.XLOOKUP(C52,Detallado!C:C,Detallado!H:H,"ERROR",0)</f>
        <v/>
      </c>
      <c r="G52" s="8">
        <f>E52*F52</f>
        <v/>
      </c>
      <c r="H52" s="9">
        <f>G52/$G$313</f>
        <v/>
      </c>
      <c r="J52" s="7" t="n">
        <v>94424</v>
      </c>
      <c r="K52" s="7" t="n">
        <v>94424</v>
      </c>
      <c r="M52" s="10">
        <f>+K52-G52</f>
        <v/>
      </c>
    </row>
    <row r="53">
      <c r="C53" s="13" t="inlineStr">
        <is>
          <t>MAT05-0072</t>
        </is>
      </c>
      <c r="D53" s="11">
        <f>_xlfn.XLOOKUP(C53,Detallado!C:C,Detallado!E:E,"ERROR",0)</f>
        <v/>
      </c>
      <c r="E53" s="6">
        <f>SUMIF(Detallado!C:C,ANALISIS!C53,Detallado!F:F)</f>
        <v/>
      </c>
      <c r="F53" s="7">
        <f>_xlfn.XLOOKUP(C53,Detallado!C:C,Detallado!H:H,"ERROR",0)</f>
        <v/>
      </c>
      <c r="G53" s="8">
        <f>E53*F53</f>
        <v/>
      </c>
      <c r="H53" s="9">
        <f>G53/$G$313</f>
        <v/>
      </c>
      <c r="J53" s="7" t="n">
        <v>50.12857142857138</v>
      </c>
      <c r="K53" s="7" t="n">
        <v>1754.499999999998</v>
      </c>
      <c r="M53" s="10">
        <f>+K53-G53</f>
        <v/>
      </c>
    </row>
    <row r="54">
      <c r="C54" s="13" t="inlineStr">
        <is>
          <t>MAT05-0075</t>
        </is>
      </c>
      <c r="D54" s="11">
        <f>_xlfn.XLOOKUP(C54,Detallado!C:C,Detallado!E:E,"ERROR",0)</f>
        <v/>
      </c>
      <c r="E54" s="6">
        <f>SUMIF(Detallado!C:C,ANALISIS!C54,Detallado!F:F)</f>
        <v/>
      </c>
      <c r="F54" s="7">
        <f>_xlfn.XLOOKUP(C54,Detallado!C:C,Detallado!H:H,"ERROR",0)</f>
        <v/>
      </c>
      <c r="G54" s="8">
        <f>E54*F54</f>
        <v/>
      </c>
      <c r="H54" s="9">
        <f>G54/$G$313</f>
        <v/>
      </c>
      <c r="J54" s="7" t="n">
        <v>187.7542857142855</v>
      </c>
      <c r="K54" s="7" t="n">
        <v>563.2628571428565</v>
      </c>
      <c r="M54" s="10">
        <f>+K54-G54</f>
        <v/>
      </c>
    </row>
    <row r="55">
      <c r="C55" s="14" t="inlineStr">
        <is>
          <t>MAT05-0076</t>
        </is>
      </c>
      <c r="D55" s="11">
        <f>_xlfn.XLOOKUP(C55,Detallado!C:C,Detallado!E:E,"ERROR",0)</f>
        <v/>
      </c>
      <c r="E55" s="6">
        <f>SUMIF(Detallado!C:C,ANALISIS!C55,Detallado!F:F)</f>
        <v/>
      </c>
      <c r="F55" s="7">
        <f>_xlfn.XLOOKUP(C55,Detallado!C:C,Detallado!H:H,"ERROR",0)</f>
        <v/>
      </c>
      <c r="G55" s="8">
        <f>E55*F55</f>
        <v/>
      </c>
      <c r="H55" s="9">
        <f>G55/$G$313</f>
        <v/>
      </c>
      <c r="J55" s="7" t="n">
        <v>407.408571428571</v>
      </c>
      <c r="K55" s="7" t="n">
        <v>1222.225714285713</v>
      </c>
      <c r="M55" s="10">
        <f>+K55-G55</f>
        <v/>
      </c>
    </row>
    <row r="56">
      <c r="C56" s="14" t="inlineStr">
        <is>
          <t>MAT05-0077</t>
        </is>
      </c>
      <c r="D56" s="11">
        <f>_xlfn.XLOOKUP(C56,Detallado!C:C,Detallado!E:E,"ERROR",0)</f>
        <v/>
      </c>
      <c r="E56" s="6">
        <f>SUMIF(Detallado!C:C,ANALISIS!C56,Detallado!F:F)</f>
        <v/>
      </c>
      <c r="F56" s="7">
        <f>_xlfn.XLOOKUP(C56,Detallado!C:C,Detallado!H:H,"ERROR",0)</f>
        <v/>
      </c>
      <c r="G56" s="8">
        <f>E56*F56</f>
        <v/>
      </c>
      <c r="H56" s="9">
        <f>G56/$G$313</f>
        <v/>
      </c>
      <c r="J56" s="7" t="n">
        <v>5322.742857142855</v>
      </c>
      <c r="K56" s="7" t="n">
        <v>5322.742857142855</v>
      </c>
      <c r="M56" s="10">
        <f>+K56-G56</f>
        <v/>
      </c>
    </row>
    <row r="57">
      <c r="C57" s="14" t="inlineStr">
        <is>
          <t>MAT05-0079</t>
        </is>
      </c>
      <c r="D57" s="11">
        <f>_xlfn.XLOOKUP(C57,Detallado!C:C,Detallado!E:E,"ERROR",0)</f>
        <v/>
      </c>
      <c r="E57" s="6">
        <f>SUMIF(Detallado!C:C,ANALISIS!C57,Detallado!F:F)</f>
        <v/>
      </c>
      <c r="F57" s="7">
        <f>_xlfn.XLOOKUP(C57,Detallado!C:C,Detallado!H:H,"ERROR",0)</f>
        <v/>
      </c>
      <c r="G57" s="8">
        <f>E57*F57</f>
        <v/>
      </c>
      <c r="H57" s="9">
        <f>G57/$G$313</f>
        <v/>
      </c>
      <c r="J57" s="7" t="n">
        <v>6.38</v>
      </c>
      <c r="K57" s="7" t="n">
        <v>6380</v>
      </c>
      <c r="M57" s="10">
        <f>+K57-G57</f>
        <v/>
      </c>
    </row>
    <row r="58">
      <c r="C58" s="14" t="inlineStr">
        <is>
          <t>MAT05-0080</t>
        </is>
      </c>
      <c r="D58" s="11">
        <f>_xlfn.XLOOKUP(C58,Detallado!C:C,Detallado!E:E,"ERROR",0)</f>
        <v/>
      </c>
      <c r="E58" s="6">
        <f>SUMIF(Detallado!C:C,ANALISIS!C58,Detallado!F:F)</f>
        <v/>
      </c>
      <c r="F58" s="7">
        <f>_xlfn.XLOOKUP(C58,Detallado!C:C,Detallado!H:H,"ERROR",0)</f>
        <v/>
      </c>
      <c r="G58" s="8">
        <f>E58*F58</f>
        <v/>
      </c>
      <c r="H58" s="9">
        <f>G58/$G$313</f>
        <v/>
      </c>
      <c r="J58" s="7" t="n">
        <v>214.6</v>
      </c>
      <c r="K58" s="7" t="n">
        <v>32190</v>
      </c>
      <c r="M58" s="10">
        <f>+K58-G58</f>
        <v/>
      </c>
    </row>
    <row r="59">
      <c r="C59" s="14" t="inlineStr">
        <is>
          <t>MAT06-0004</t>
        </is>
      </c>
      <c r="D59" s="11">
        <f>_xlfn.XLOOKUP(C59,Detallado!C:C,Detallado!E:E,"ERROR",0)</f>
        <v/>
      </c>
      <c r="E59" s="6">
        <f>SUMIF(Detallado!C:C,ANALISIS!C59,Detallado!F:F)</f>
        <v/>
      </c>
      <c r="F59" s="7">
        <f>_xlfn.XLOOKUP(C59,Detallado!C:C,Detallado!H:H,"ERROR",0)</f>
        <v/>
      </c>
      <c r="G59" s="8">
        <f>E59*F59</f>
        <v/>
      </c>
      <c r="H59" s="9">
        <f>G59/$G$313</f>
        <v/>
      </c>
      <c r="J59" s="7" t="n">
        <v>1251.4892</v>
      </c>
      <c r="K59" s="7" t="n">
        <v>1251.4892</v>
      </c>
      <c r="M59" s="10">
        <f>+K59-G59</f>
        <v/>
      </c>
    </row>
    <row r="60">
      <c r="C60" s="14" t="inlineStr">
        <is>
          <t>MAT06-0005</t>
        </is>
      </c>
      <c r="D60" s="11">
        <f>_xlfn.XLOOKUP(C60,Detallado!C:C,Detallado!E:E,"ERROR",0)</f>
        <v/>
      </c>
      <c r="E60" s="6">
        <f>SUMIF(Detallado!C:C,ANALISIS!C60,Detallado!F:F)</f>
        <v/>
      </c>
      <c r="F60" s="7">
        <f>_xlfn.XLOOKUP(C60,Detallado!C:C,Detallado!H:H,"ERROR",0)</f>
        <v/>
      </c>
      <c r="G60" s="8">
        <f>E60*F60</f>
        <v/>
      </c>
      <c r="H60" s="9">
        <f>G60/$G$313</f>
        <v/>
      </c>
      <c r="J60" s="7" t="n">
        <v>1251.4892</v>
      </c>
      <c r="K60" s="7" t="n">
        <v>3754.467599999999</v>
      </c>
      <c r="M60" s="10">
        <f>+K60-G60</f>
        <v/>
      </c>
    </row>
    <row r="61">
      <c r="C61" s="14" t="inlineStr">
        <is>
          <t>MAT06-0006</t>
        </is>
      </c>
      <c r="D61" s="11">
        <f>_xlfn.XLOOKUP(C61,Detallado!C:C,Detallado!E:E,"ERROR",0)</f>
        <v/>
      </c>
      <c r="E61" s="6">
        <f>SUMIF(Detallado!C:C,ANALISIS!C61,Detallado!F:F)</f>
        <v/>
      </c>
      <c r="F61" s="7">
        <f>_xlfn.XLOOKUP(C61,Detallado!C:C,Detallado!H:H,"ERROR",0)</f>
        <v/>
      </c>
      <c r="G61" s="8">
        <f>E61*F61</f>
        <v/>
      </c>
      <c r="H61" s="9">
        <f>G61/$G$313</f>
        <v/>
      </c>
      <c r="J61" s="7" t="n">
        <v>3081.0644</v>
      </c>
      <c r="K61" s="7" t="n">
        <v>6162.1288</v>
      </c>
      <c r="M61" s="10">
        <f>+K61-G61</f>
        <v/>
      </c>
    </row>
    <row r="62">
      <c r="C62" s="13" t="inlineStr">
        <is>
          <t>MAT06-0009</t>
        </is>
      </c>
      <c r="D62" s="11">
        <f>_xlfn.XLOOKUP(C62,Detallado!C:C,Detallado!E:E,"ERROR",0)</f>
        <v/>
      </c>
      <c r="E62" s="6">
        <f>SUMIF(Detallado!C:C,ANALISIS!C62,Detallado!F:F)</f>
        <v/>
      </c>
      <c r="F62" s="7">
        <f>_xlfn.XLOOKUP(C62,Detallado!C:C,Detallado!H:H,"ERROR",0)</f>
        <v/>
      </c>
      <c r="G62" s="8">
        <f>E62*F62</f>
        <v/>
      </c>
      <c r="H62" s="9">
        <f>G62/$G$313</f>
        <v/>
      </c>
      <c r="J62" s="7" t="n">
        <v>1577.6</v>
      </c>
      <c r="K62" s="7" t="n">
        <v>6310.4</v>
      </c>
      <c r="M62" s="10">
        <f>+K62-G62</f>
        <v/>
      </c>
    </row>
    <row r="63">
      <c r="C63" s="13" t="inlineStr">
        <is>
          <t>MAT06-0012</t>
        </is>
      </c>
      <c r="D63" s="11">
        <f>_xlfn.XLOOKUP(C63,Detallado!C:C,Detallado!E:E,"ERROR",0)</f>
        <v/>
      </c>
      <c r="E63" s="6">
        <f>SUMIF(Detallado!C:C,ANALISIS!C63,Detallado!F:F)</f>
        <v/>
      </c>
      <c r="F63" s="7">
        <f>_xlfn.XLOOKUP(C63,Detallado!C:C,Detallado!H:H,"ERROR",0)</f>
        <v/>
      </c>
      <c r="G63" s="8">
        <f>E63*F63</f>
        <v/>
      </c>
      <c r="H63" s="9">
        <f>G63/$G$313</f>
        <v/>
      </c>
      <c r="J63" s="7" t="n">
        <v>5512.148551999989</v>
      </c>
      <c r="K63" s="7" t="n">
        <v>5512.148551999989</v>
      </c>
      <c r="M63" s="10">
        <f>+K63-G63</f>
        <v/>
      </c>
    </row>
    <row r="64">
      <c r="C64" s="13" t="inlineStr">
        <is>
          <t>MAT06-0016</t>
        </is>
      </c>
      <c r="D64" s="11">
        <f>_xlfn.XLOOKUP(C64,Detallado!C:C,Detallado!E:E,"ERROR",0)</f>
        <v/>
      </c>
      <c r="E64" s="6">
        <f>SUMIF(Detallado!C:C,ANALISIS!C64,Detallado!F:F)</f>
        <v/>
      </c>
      <c r="F64" s="7">
        <f>_xlfn.XLOOKUP(C64,Detallado!C:C,Detallado!H:H,"ERROR",0)</f>
        <v/>
      </c>
      <c r="G64" s="8">
        <f>E64*F64</f>
        <v/>
      </c>
      <c r="H64" s="9">
        <f>G64/$G$313</f>
        <v/>
      </c>
      <c r="J64" s="7" t="n">
        <v>243.31</v>
      </c>
      <c r="K64" s="7" t="n">
        <v>729.9299999999999</v>
      </c>
      <c r="M64" s="10">
        <f>+K64-G64</f>
        <v/>
      </c>
    </row>
    <row r="65">
      <c r="C65" s="14" t="inlineStr">
        <is>
          <t>MAT06-0017</t>
        </is>
      </c>
      <c r="D65" s="11">
        <f>_xlfn.XLOOKUP(C65,Detallado!C:C,Detallado!E:E,"ERROR",0)</f>
        <v/>
      </c>
      <c r="E65" s="6">
        <f>SUMIF(Detallado!C:C,ANALISIS!C65,Detallado!F:F)</f>
        <v/>
      </c>
      <c r="F65" s="7">
        <f>_xlfn.XLOOKUP(C65,Detallado!C:C,Detallado!H:H,"ERROR",0)</f>
        <v/>
      </c>
      <c r="G65" s="8">
        <f>E65*F65</f>
        <v/>
      </c>
      <c r="H65" s="9">
        <f>G65/$G$313</f>
        <v/>
      </c>
      <c r="J65" s="7" t="n">
        <v>88911.67999999999</v>
      </c>
      <c r="K65" s="7" t="n">
        <v>177823.36</v>
      </c>
      <c r="M65" s="10">
        <f>+K65-G65</f>
        <v/>
      </c>
    </row>
    <row r="66">
      <c r="C66" s="14" t="inlineStr">
        <is>
          <t>MAT06-0020</t>
        </is>
      </c>
      <c r="D66" s="11">
        <f>_xlfn.XLOOKUP(C66,Detallado!C:C,Detallado!E:E,"ERROR",0)</f>
        <v/>
      </c>
      <c r="E66" s="6">
        <f>SUMIF(Detallado!C:C,ANALISIS!C66,Detallado!F:F)</f>
        <v/>
      </c>
      <c r="F66" s="7">
        <f>_xlfn.XLOOKUP(C66,Detallado!C:C,Detallado!H:H,"ERROR",0)</f>
        <v/>
      </c>
      <c r="G66" s="8">
        <f>E66*F66</f>
        <v/>
      </c>
      <c r="H66" s="9">
        <f>G66/$G$313</f>
        <v/>
      </c>
      <c r="J66" s="7" t="n">
        <v>34470.2236</v>
      </c>
      <c r="K66" s="7" t="n">
        <v>34470.2236</v>
      </c>
      <c r="M66" s="10">
        <f>+K66-G66</f>
        <v/>
      </c>
    </row>
    <row r="67">
      <c r="C67" s="14" t="inlineStr">
        <is>
          <t>MAT06-0022</t>
        </is>
      </c>
      <c r="D67" s="11">
        <f>_xlfn.XLOOKUP(C67,Detallado!C:C,Detallado!E:E,"ERROR",0)</f>
        <v/>
      </c>
      <c r="E67" s="6">
        <f>SUMIF(Detallado!C:C,ANALISIS!C67,Detallado!F:F)</f>
        <v/>
      </c>
      <c r="F67" s="7">
        <f>_xlfn.XLOOKUP(C67,Detallado!C:C,Detallado!H:H,"ERROR",0)</f>
        <v/>
      </c>
      <c r="G67" s="8">
        <f>E67*F67</f>
        <v/>
      </c>
      <c r="H67" s="9">
        <f>G67/$G$313</f>
        <v/>
      </c>
      <c r="J67" s="7" t="n">
        <v>37178</v>
      </c>
      <c r="K67" s="7" t="n">
        <v>297424</v>
      </c>
      <c r="M67" s="10">
        <f>+K67-G67</f>
        <v/>
      </c>
    </row>
    <row r="68">
      <c r="C68" s="14" t="inlineStr">
        <is>
          <t>MAT06-0024</t>
        </is>
      </c>
      <c r="D68" s="11">
        <f>_xlfn.XLOOKUP(C68,Detallado!C:C,Detallado!E:E,"ERROR",0)</f>
        <v/>
      </c>
      <c r="E68" s="6">
        <f>SUMIF(Detallado!C:C,ANALISIS!C68,Detallado!F:F)</f>
        <v/>
      </c>
      <c r="F68" s="7">
        <f>_xlfn.XLOOKUP(C68,Detallado!C:C,Detallado!H:H,"ERROR",0)</f>
        <v/>
      </c>
      <c r="G68" s="8">
        <f>E68*F68</f>
        <v/>
      </c>
      <c r="H68" s="9">
        <f>G68/$G$313</f>
        <v/>
      </c>
      <c r="J68" s="7" t="n">
        <v>14666.692</v>
      </c>
      <c r="K68" s="7" t="n">
        <v>14666.692</v>
      </c>
      <c r="M68" s="10">
        <f>+K68-G68</f>
        <v/>
      </c>
    </row>
    <row r="69">
      <c r="C69" s="14" t="inlineStr">
        <is>
          <t>MAT06-0025</t>
        </is>
      </c>
      <c r="D69" s="11">
        <f>_xlfn.XLOOKUP(C69,Detallado!C:C,Detallado!E:E,"ERROR",0)</f>
        <v/>
      </c>
      <c r="E69" s="6">
        <f>SUMIF(Detallado!C:C,ANALISIS!C69,Detallado!F:F)</f>
        <v/>
      </c>
      <c r="F69" s="7">
        <f>_xlfn.XLOOKUP(C69,Detallado!C:C,Detallado!H:H,"ERROR",0)</f>
        <v/>
      </c>
      <c r="G69" s="8">
        <f>E69*F69</f>
        <v/>
      </c>
      <c r="H69" s="9">
        <f>G69/$G$313</f>
        <v/>
      </c>
      <c r="J69" s="7" t="n">
        <v>11588.4</v>
      </c>
      <c r="K69" s="7" t="n">
        <v>23176.8</v>
      </c>
      <c r="M69" s="10">
        <f>+K69-G69</f>
        <v/>
      </c>
    </row>
    <row r="70">
      <c r="C70" s="14" t="inlineStr">
        <is>
          <t>MAT06-0028</t>
        </is>
      </c>
      <c r="D70" s="11">
        <f>_xlfn.XLOOKUP(C70,Detallado!C:C,Detallado!E:E,"ERROR",0)</f>
        <v/>
      </c>
      <c r="E70" s="6">
        <f>SUMIF(Detallado!C:C,ANALISIS!C70,Detallado!F:F)</f>
        <v/>
      </c>
      <c r="F70" s="7">
        <f>_xlfn.XLOOKUP(C70,Detallado!C:C,Detallado!H:H,"ERROR",0)</f>
        <v/>
      </c>
      <c r="G70" s="8">
        <f>E70*F70</f>
        <v/>
      </c>
      <c r="H70" s="9">
        <f>G70/$G$313</f>
        <v/>
      </c>
      <c r="J70" s="7" t="n">
        <v>484.8799999999999</v>
      </c>
      <c r="K70" s="7" t="n">
        <v>17455.68</v>
      </c>
      <c r="M70" s="10">
        <f>+K70-G70</f>
        <v/>
      </c>
    </row>
    <row r="71">
      <c r="C71" s="14" t="inlineStr">
        <is>
          <t>MAT06-0029</t>
        </is>
      </c>
      <c r="D71" s="11">
        <f>_xlfn.XLOOKUP(C71,Detallado!C:C,Detallado!E:E,"ERROR",0)</f>
        <v/>
      </c>
      <c r="E71" s="6">
        <f>SUMIF(Detallado!C:C,ANALISIS!C71,Detallado!F:F)</f>
        <v/>
      </c>
      <c r="F71" s="7">
        <f>_xlfn.XLOOKUP(C71,Detallado!C:C,Detallado!H:H,"ERROR",0)</f>
        <v/>
      </c>
      <c r="G71" s="8">
        <f>E71*F71</f>
        <v/>
      </c>
      <c r="H71" s="9">
        <f>G71/$G$313</f>
        <v/>
      </c>
      <c r="J71" s="7" t="n">
        <v>504.02</v>
      </c>
      <c r="K71" s="7" t="n">
        <v>9072.360000000001</v>
      </c>
      <c r="M71" s="10">
        <f>+K71-G71</f>
        <v/>
      </c>
    </row>
    <row r="72">
      <c r="C72" s="14" t="inlineStr">
        <is>
          <t>MAT06-0030</t>
        </is>
      </c>
      <c r="D72" s="11">
        <f>_xlfn.XLOOKUP(C72,Detallado!C:C,Detallado!E:E,"ERROR",0)</f>
        <v/>
      </c>
      <c r="E72" s="6">
        <f>SUMIF(Detallado!C:C,ANALISIS!C72,Detallado!F:F)</f>
        <v/>
      </c>
      <c r="F72" s="7">
        <f>_xlfn.XLOOKUP(C72,Detallado!C:C,Detallado!H:H,"ERROR",0)</f>
        <v/>
      </c>
      <c r="G72" s="8">
        <f>E72*F72</f>
        <v/>
      </c>
      <c r="H72" s="9">
        <f>G72/$G$313</f>
        <v/>
      </c>
      <c r="J72" s="7" t="n">
        <v>282.634</v>
      </c>
      <c r="K72" s="7" t="n">
        <v>28263.4</v>
      </c>
      <c r="M72" s="10">
        <f>+K72-G72</f>
        <v/>
      </c>
    </row>
    <row r="73">
      <c r="C73" s="14" t="inlineStr">
        <is>
          <t>MAT06-0031</t>
        </is>
      </c>
      <c r="D73" s="11">
        <f>_xlfn.XLOOKUP(C73,Detallado!C:C,Detallado!E:E,"ERROR",0)</f>
        <v/>
      </c>
      <c r="E73" s="6">
        <f>SUMIF(Detallado!C:C,ANALISIS!C73,Detallado!F:F)</f>
        <v/>
      </c>
      <c r="F73" s="7">
        <f>_xlfn.XLOOKUP(C73,Detallado!C:C,Detallado!H:H,"ERROR",0)</f>
        <v/>
      </c>
      <c r="G73" s="8">
        <f>E73*F73</f>
        <v/>
      </c>
      <c r="H73" s="9">
        <f>G73/$G$313</f>
        <v/>
      </c>
      <c r="J73" s="7" t="n">
        <v>280.72</v>
      </c>
      <c r="K73" s="7" t="n">
        <v>56143.99999999999</v>
      </c>
      <c r="M73" s="10">
        <f>+K73-G73</f>
        <v/>
      </c>
    </row>
    <row r="74">
      <c r="C74" s="14" t="inlineStr">
        <is>
          <t>MAT06-0032</t>
        </is>
      </c>
      <c r="D74" s="11">
        <f>_xlfn.XLOOKUP(C74,Detallado!C:C,Detallado!E:E,"ERROR",0)</f>
        <v/>
      </c>
      <c r="E74" s="6">
        <f>SUMIF(Detallado!C:C,ANALISIS!C74,Detallado!F:F)</f>
        <v/>
      </c>
      <c r="F74" s="7">
        <f>_xlfn.XLOOKUP(C74,Detallado!C:C,Detallado!H:H,"ERROR",0)</f>
        <v/>
      </c>
      <c r="G74" s="8">
        <f>E74*F74</f>
        <v/>
      </c>
      <c r="H74" s="9">
        <f>G74/$G$313</f>
        <v/>
      </c>
      <c r="J74" s="7" t="n">
        <v>280.72</v>
      </c>
      <c r="K74" s="7" t="n">
        <v>28072</v>
      </c>
      <c r="M74" s="10">
        <f>+K74-G74</f>
        <v/>
      </c>
    </row>
    <row r="75">
      <c r="C75" s="14" t="inlineStr">
        <is>
          <t>MAT06-0033</t>
        </is>
      </c>
      <c r="D75" s="11">
        <f>_xlfn.XLOOKUP(C75,Detallado!C:C,Detallado!E:E,"ERROR",0)</f>
        <v/>
      </c>
      <c r="E75" s="6">
        <f>SUMIF(Detallado!C:C,ANALISIS!C75,Detallado!F:F)</f>
        <v/>
      </c>
      <c r="F75" s="7">
        <f>_xlfn.XLOOKUP(C75,Detallado!C:C,Detallado!H:H,"ERROR",0)</f>
        <v/>
      </c>
      <c r="G75" s="8">
        <f>E75*F75</f>
        <v/>
      </c>
      <c r="H75" s="9">
        <f>G75/$G$313</f>
        <v/>
      </c>
      <c r="J75" s="7" t="n">
        <v>281.677</v>
      </c>
      <c r="K75" s="7" t="n">
        <v>42251.55</v>
      </c>
      <c r="M75" s="10">
        <f>+K75-G75</f>
        <v/>
      </c>
    </row>
    <row r="76">
      <c r="C76" s="14" t="inlineStr">
        <is>
          <t>MAT06-0034</t>
        </is>
      </c>
      <c r="D76" s="11">
        <f>_xlfn.XLOOKUP(C76,Detallado!C:C,Detallado!E:E,"ERROR",0)</f>
        <v/>
      </c>
      <c r="E76" s="6">
        <f>SUMIF(Detallado!C:C,ANALISIS!C76,Detallado!F:F)</f>
        <v/>
      </c>
      <c r="F76" s="7">
        <f>_xlfn.XLOOKUP(C76,Detallado!C:C,Detallado!H:H,"ERROR",0)</f>
        <v/>
      </c>
      <c r="G76" s="8">
        <f>E76*F76</f>
        <v/>
      </c>
      <c r="H76" s="9">
        <f>G76/$G$313</f>
        <v/>
      </c>
      <c r="J76" s="7" t="n">
        <v>281.43775</v>
      </c>
      <c r="K76" s="7" t="n">
        <v>56287.55</v>
      </c>
      <c r="M76" s="10">
        <f>+K76-G76</f>
        <v/>
      </c>
    </row>
    <row r="77">
      <c r="C77" s="14" t="inlineStr">
        <is>
          <t>MAT06-0037</t>
        </is>
      </c>
      <c r="D77" s="11">
        <f>_xlfn.XLOOKUP(C77,Detallado!C:C,Detallado!E:E,"ERROR",0)</f>
        <v/>
      </c>
      <c r="E77" s="6">
        <f>SUMIF(Detallado!C:C,ANALISIS!C77,Detallado!F:F)</f>
        <v/>
      </c>
      <c r="F77" s="7">
        <f>_xlfn.XLOOKUP(C77,Detallado!C:C,Detallado!H:H,"ERROR",0)</f>
        <v/>
      </c>
      <c r="G77" s="8">
        <f>E77*F77</f>
        <v/>
      </c>
      <c r="H77" s="9">
        <f>G77/$G$313</f>
        <v/>
      </c>
      <c r="J77" s="7" t="n">
        <v>848.54</v>
      </c>
      <c r="K77" s="7" t="n">
        <v>16970.8</v>
      </c>
      <c r="M77" s="10">
        <f>+K77-G77</f>
        <v/>
      </c>
    </row>
    <row r="78">
      <c r="C78" s="14" t="inlineStr">
        <is>
          <t>MAT06-0038</t>
        </is>
      </c>
      <c r="D78" s="11">
        <f>_xlfn.XLOOKUP(C78,Detallado!C:C,Detallado!E:E,"ERROR",0)</f>
        <v/>
      </c>
      <c r="E78" s="6">
        <f>SUMIF(Detallado!C:C,ANALISIS!C78,Detallado!F:F)</f>
        <v/>
      </c>
      <c r="F78" s="7">
        <f>_xlfn.XLOOKUP(C78,Detallado!C:C,Detallado!H:H,"ERROR",0)</f>
        <v/>
      </c>
      <c r="G78" s="8">
        <f>E78*F78</f>
        <v/>
      </c>
      <c r="H78" s="9">
        <f>G78/$G$313</f>
        <v/>
      </c>
      <c r="J78" s="7" t="n">
        <v>810.26</v>
      </c>
      <c r="K78" s="7" t="n">
        <v>48615.6</v>
      </c>
      <c r="M78" s="10">
        <f>+K78-G78</f>
        <v/>
      </c>
    </row>
    <row r="79">
      <c r="C79" s="14" t="inlineStr">
        <is>
          <t>MAT06-0039</t>
        </is>
      </c>
      <c r="D79" s="11">
        <f>_xlfn.XLOOKUP(C79,Detallado!C:C,Detallado!E:E,"ERROR",0)</f>
        <v/>
      </c>
      <c r="E79" s="6">
        <f>SUMIF(Detallado!C:C,ANALISIS!C79,Detallado!F:F)</f>
        <v/>
      </c>
      <c r="F79" s="7">
        <f>_xlfn.XLOOKUP(C79,Detallado!C:C,Detallado!H:H,"ERROR",0)</f>
        <v/>
      </c>
      <c r="G79" s="8">
        <f>E79*F79</f>
        <v/>
      </c>
      <c r="H79" s="9">
        <f>G79/$G$313</f>
        <v/>
      </c>
      <c r="J79" s="7" t="n">
        <v>810.26</v>
      </c>
      <c r="K79" s="7" t="n">
        <v>16205.2</v>
      </c>
      <c r="M79" s="10">
        <f>+K79-G79</f>
        <v/>
      </c>
    </row>
    <row r="80">
      <c r="C80" s="14" t="inlineStr">
        <is>
          <t>MAT06-0040</t>
        </is>
      </c>
      <c r="D80" s="11">
        <f>_xlfn.XLOOKUP(C80,Detallado!C:C,Detallado!E:E,"ERROR",0)</f>
        <v/>
      </c>
      <c r="E80" s="6">
        <f>SUMIF(Detallado!C:C,ANALISIS!C80,Detallado!F:F)</f>
        <v/>
      </c>
      <c r="F80" s="7">
        <f>_xlfn.XLOOKUP(C80,Detallado!C:C,Detallado!H:H,"ERROR",0)</f>
        <v/>
      </c>
      <c r="G80" s="8">
        <f>E80*F80</f>
        <v/>
      </c>
      <c r="H80" s="9">
        <f>G80/$G$313</f>
        <v/>
      </c>
      <c r="J80" s="7" t="n">
        <v>883.8504</v>
      </c>
      <c r="K80" s="7" t="n">
        <v>132577.56</v>
      </c>
      <c r="M80" s="10">
        <f>+K80-G80</f>
        <v/>
      </c>
    </row>
    <row r="81">
      <c r="C81" s="13" t="inlineStr">
        <is>
          <t>MAT06-0041</t>
        </is>
      </c>
      <c r="D81" s="11">
        <f>_xlfn.XLOOKUP(C81,Detallado!C:C,Detallado!E:E,"ERROR",0)</f>
        <v/>
      </c>
      <c r="E81" s="6">
        <f>SUMIF(Detallado!C:C,ANALISIS!C81,Detallado!F:F)</f>
        <v/>
      </c>
      <c r="F81" s="7">
        <f>_xlfn.XLOOKUP(C81,Detallado!C:C,Detallado!H:H,"ERROR",0)</f>
        <v/>
      </c>
      <c r="G81" s="8">
        <f>E81*F81</f>
        <v/>
      </c>
      <c r="H81" s="9">
        <f>G81/$G$313</f>
        <v/>
      </c>
      <c r="J81" s="7" t="n">
        <v>349.7052</v>
      </c>
      <c r="K81" s="7" t="n">
        <v>6994.103999999999</v>
      </c>
      <c r="M81" s="10">
        <f>+K81-G81</f>
        <v/>
      </c>
    </row>
    <row r="82">
      <c r="C82" s="13" t="inlineStr">
        <is>
          <t>MAT06-0042</t>
        </is>
      </c>
      <c r="D82" s="11">
        <f>_xlfn.XLOOKUP(C82,Detallado!C:C,Detallado!E:E,"ERROR",0)</f>
        <v/>
      </c>
      <c r="E82" s="6">
        <f>SUMIF(Detallado!C:C,ANALISIS!C82,Detallado!F:F)</f>
        <v/>
      </c>
      <c r="F82" s="7">
        <f>_xlfn.XLOOKUP(C82,Detallado!C:C,Detallado!H:H,"ERROR",0)</f>
        <v/>
      </c>
      <c r="G82" s="8">
        <f>E82*F82</f>
        <v/>
      </c>
      <c r="H82" s="9">
        <f>G82/$G$313</f>
        <v/>
      </c>
      <c r="J82" s="7" t="n">
        <v>1461.02</v>
      </c>
      <c r="K82" s="7" t="n">
        <v>43830.6</v>
      </c>
      <c r="M82" s="10">
        <f>+K82-G82</f>
        <v/>
      </c>
    </row>
    <row r="83">
      <c r="C83" s="13" t="inlineStr">
        <is>
          <t>MAT06-0045</t>
        </is>
      </c>
      <c r="D83" s="11">
        <f>_xlfn.XLOOKUP(C83,Detallado!C:C,Detallado!E:E,"ERROR",0)</f>
        <v/>
      </c>
      <c r="E83" s="6">
        <f>SUMIF(Detallado!C:C,ANALISIS!C83,Detallado!F:F)</f>
        <v/>
      </c>
      <c r="F83" s="7">
        <f>_xlfn.XLOOKUP(C83,Detallado!C:C,Detallado!H:H,"ERROR",0)</f>
        <v/>
      </c>
      <c r="G83" s="8">
        <f>E83*F83</f>
        <v/>
      </c>
      <c r="H83" s="9">
        <f>G83/$G$313</f>
        <v/>
      </c>
      <c r="J83" s="7" t="n">
        <v>698.2387999999999</v>
      </c>
      <c r="K83" s="7" t="n">
        <v>698.2387999999999</v>
      </c>
      <c r="M83" s="10">
        <f>+K83-G83</f>
        <v/>
      </c>
    </row>
    <row r="84">
      <c r="C84" s="13" t="inlineStr">
        <is>
          <t>MAT06-0048</t>
        </is>
      </c>
      <c r="D84" s="11">
        <f>_xlfn.XLOOKUP(C84,Detallado!C:C,Detallado!E:E,"ERROR",0)</f>
        <v/>
      </c>
      <c r="E84" s="6">
        <f>SUMIF(Detallado!C:C,ANALISIS!C84,Detallado!F:F)</f>
        <v/>
      </c>
      <c r="F84" s="7">
        <f>_xlfn.XLOOKUP(C84,Detallado!C:C,Detallado!H:H,"ERROR",0)</f>
        <v/>
      </c>
      <c r="G84" s="8">
        <f>E84*F84</f>
        <v/>
      </c>
      <c r="H84" s="9">
        <f>G84/$G$313</f>
        <v/>
      </c>
      <c r="J84" s="7" t="n">
        <v>669.4417999999999</v>
      </c>
      <c r="K84" s="7" t="n">
        <v>8033.301599999999</v>
      </c>
      <c r="M84" s="10">
        <f>+K84-G84</f>
        <v/>
      </c>
    </row>
    <row r="85">
      <c r="C85" s="13" t="inlineStr">
        <is>
          <t>MAT06-0050</t>
        </is>
      </c>
      <c r="D85" s="11">
        <f>_xlfn.XLOOKUP(C85,Detallado!C:C,Detallado!E:E,"ERROR",0)</f>
        <v/>
      </c>
      <c r="E85" s="6">
        <f>SUMIF(Detallado!C:C,ANALISIS!C85,Detallado!F:F)</f>
        <v/>
      </c>
      <c r="F85" s="7">
        <f>_xlfn.XLOOKUP(C85,Detallado!C:C,Detallado!H:H,"ERROR",0)</f>
        <v/>
      </c>
      <c r="G85" s="8">
        <f>E85*F85</f>
        <v/>
      </c>
      <c r="H85" s="9">
        <f>G85/$G$313</f>
        <v/>
      </c>
      <c r="J85" s="7" t="n">
        <v>594.12416</v>
      </c>
      <c r="K85" s="7" t="n">
        <v>19011.97312</v>
      </c>
      <c r="M85" s="10">
        <f>+K85-G85</f>
        <v/>
      </c>
    </row>
    <row r="86">
      <c r="C86" s="13" t="inlineStr">
        <is>
          <t>MAT06-0052</t>
        </is>
      </c>
      <c r="D86" s="11">
        <f>_xlfn.XLOOKUP(C86,Detallado!C:C,Detallado!E:E,"ERROR",0)</f>
        <v/>
      </c>
      <c r="E86" s="6">
        <f>SUMIF(Detallado!C:C,ANALISIS!C86,Detallado!F:F)</f>
        <v/>
      </c>
      <c r="F86" s="7">
        <f>_xlfn.XLOOKUP(C86,Detallado!C:C,Detallado!H:H,"ERROR",0)</f>
        <v/>
      </c>
      <c r="G86" s="8">
        <f>E86*F86</f>
        <v/>
      </c>
      <c r="H86" s="9">
        <f>G86/$G$313</f>
        <v/>
      </c>
      <c r="J86" s="7" t="n">
        <v>200796</v>
      </c>
      <c r="K86" s="7" t="n">
        <v>200796</v>
      </c>
      <c r="M86" s="10">
        <f>+K86-G86</f>
        <v/>
      </c>
    </row>
    <row r="87">
      <c r="C87" s="13" t="inlineStr">
        <is>
          <t>MAT06-0054</t>
        </is>
      </c>
      <c r="D87" s="11">
        <f>_xlfn.XLOOKUP(C87,Detallado!C:C,Detallado!E:E,"ERROR",0)</f>
        <v/>
      </c>
      <c r="E87" s="6">
        <f>SUMIF(Detallado!C:C,ANALISIS!C87,Detallado!F:F)</f>
        <v/>
      </c>
      <c r="F87" s="7">
        <f>_xlfn.XLOOKUP(C87,Detallado!C:C,Detallado!H:H,"ERROR",0)</f>
        <v/>
      </c>
      <c r="G87" s="8">
        <f>E87*F87</f>
        <v/>
      </c>
      <c r="H87" s="9">
        <f>G87/$G$313</f>
        <v/>
      </c>
      <c r="J87" s="7" t="n">
        <v>86738.84919999998</v>
      </c>
      <c r="K87" s="7" t="n">
        <v>86738.84919999998</v>
      </c>
      <c r="M87" s="10">
        <f>+K87-G87</f>
        <v/>
      </c>
    </row>
    <row r="88">
      <c r="C88" s="13" t="inlineStr">
        <is>
          <t>MAT06-0055</t>
        </is>
      </c>
      <c r="D88" s="11">
        <f>_xlfn.XLOOKUP(C88,Detallado!C:C,Detallado!E:E,"ERROR",0)</f>
        <v/>
      </c>
      <c r="E88" s="6">
        <f>SUMIF(Detallado!C:C,ANALISIS!C88,Detallado!F:F)</f>
        <v/>
      </c>
      <c r="F88" s="7">
        <f>_xlfn.XLOOKUP(C88,Detallado!C:C,Detallado!H:H,"ERROR",0)</f>
        <v/>
      </c>
      <c r="G88" s="8">
        <f>E88*F88</f>
        <v/>
      </c>
      <c r="H88" s="9">
        <f>G88/$G$313</f>
        <v/>
      </c>
      <c r="J88" s="7" t="n">
        <v>2077.8384</v>
      </c>
      <c r="K88" s="7" t="n">
        <v>4155.6768</v>
      </c>
      <c r="M88" s="10">
        <f>+K88-G88</f>
        <v/>
      </c>
    </row>
    <row r="89">
      <c r="C89" s="13" t="inlineStr">
        <is>
          <t>MAT06-0056</t>
        </is>
      </c>
      <c r="D89" s="11">
        <f>_xlfn.XLOOKUP(C89,Detallado!C:C,Detallado!E:E,"ERROR",0)</f>
        <v/>
      </c>
      <c r="E89" s="6">
        <f>SUMIF(Detallado!C:C,ANALISIS!C89,Detallado!F:F)</f>
        <v/>
      </c>
      <c r="F89" s="7">
        <f>_xlfn.XLOOKUP(C89,Detallado!C:C,Detallado!H:H,"ERROR",0)</f>
        <v/>
      </c>
      <c r="G89" s="8">
        <f>E89*F89</f>
        <v/>
      </c>
      <c r="H89" s="9">
        <f>G89/$G$313</f>
        <v/>
      </c>
      <c r="J89" s="7" t="n">
        <v>1809.6</v>
      </c>
      <c r="K89" s="7" t="n">
        <v>3619.2</v>
      </c>
      <c r="M89" s="10">
        <f>+K89-G89</f>
        <v/>
      </c>
    </row>
    <row r="90">
      <c r="C90" s="13" t="inlineStr">
        <is>
          <t>MAT06-0060</t>
        </is>
      </c>
      <c r="D90" s="11">
        <f>_xlfn.XLOOKUP(C90,Detallado!C:C,Detallado!E:E,"ERROR",0)</f>
        <v/>
      </c>
      <c r="E90" s="6">
        <f>SUMIF(Detallado!C:C,ANALISIS!C90,Detallado!F:F)</f>
        <v/>
      </c>
      <c r="F90" s="7">
        <f>_xlfn.XLOOKUP(C90,Detallado!C:C,Detallado!H:H,"ERROR",0)</f>
        <v/>
      </c>
      <c r="G90" s="8">
        <f>E90*F90</f>
        <v/>
      </c>
      <c r="H90" s="9">
        <f>G90/$G$313</f>
        <v/>
      </c>
      <c r="J90" s="7" t="n">
        <v>2399.976199999988</v>
      </c>
      <c r="K90" s="7" t="n">
        <v>2399.976199999988</v>
      </c>
      <c r="M90" s="10">
        <f>+K90-G90</f>
        <v/>
      </c>
    </row>
    <row r="91">
      <c r="C91" s="13" t="inlineStr">
        <is>
          <t>MAT06-0061</t>
        </is>
      </c>
      <c r="D91" s="11">
        <f>_xlfn.XLOOKUP(C91,Detallado!C:C,Detallado!E:E,"ERROR",0)</f>
        <v/>
      </c>
      <c r="E91" s="6">
        <f>SUMIF(Detallado!C:C,ANALISIS!C91,Detallado!F:F)</f>
        <v/>
      </c>
      <c r="F91" s="7">
        <f>_xlfn.XLOOKUP(C91,Detallado!C:C,Detallado!H:H,"ERROR",0)</f>
        <v/>
      </c>
      <c r="G91" s="8">
        <f>E91*F91</f>
        <v/>
      </c>
      <c r="H91" s="9">
        <f>G91/$G$313</f>
        <v/>
      </c>
      <c r="J91" s="7" t="n">
        <v>247.6484</v>
      </c>
      <c r="K91" s="7" t="n">
        <v>12382.42</v>
      </c>
      <c r="M91" s="10">
        <f>+K91-G91</f>
        <v/>
      </c>
    </row>
    <row r="92">
      <c r="C92" s="13" t="inlineStr">
        <is>
          <t>MAT06-0062</t>
        </is>
      </c>
      <c r="D92" s="11">
        <f>_xlfn.XLOOKUP(C92,Detallado!C:C,Detallado!E:E,"ERROR",0)</f>
        <v/>
      </c>
      <c r="E92" s="6">
        <f>SUMIF(Detallado!C:C,ANALISIS!C92,Detallado!F:F)</f>
        <v/>
      </c>
      <c r="F92" s="7">
        <f>_xlfn.XLOOKUP(C92,Detallado!C:C,Detallado!H:H,"ERROR",0)</f>
        <v/>
      </c>
      <c r="G92" s="8">
        <f>E92*F92</f>
        <v/>
      </c>
      <c r="H92" s="9">
        <f>G92/$G$313</f>
        <v/>
      </c>
      <c r="J92" s="7" t="n">
        <v>120.64</v>
      </c>
      <c r="K92" s="7" t="n">
        <v>6031.999999999999</v>
      </c>
      <c r="M92" s="10">
        <f>+K92-G92</f>
        <v/>
      </c>
    </row>
    <row r="93">
      <c r="C93" s="13" t="inlineStr">
        <is>
          <t>MAT06-0063</t>
        </is>
      </c>
      <c r="D93" s="11">
        <f>_xlfn.XLOOKUP(C93,Detallado!C:C,Detallado!E:E,"ERROR",0)</f>
        <v/>
      </c>
      <c r="E93" s="6">
        <f>SUMIF(Detallado!C:C,ANALISIS!C93,Detallado!F:F)</f>
        <v/>
      </c>
      <c r="F93" s="7">
        <f>_xlfn.XLOOKUP(C93,Detallado!C:C,Detallado!H:H,"ERROR",0)</f>
        <v/>
      </c>
      <c r="G93" s="8">
        <f>E93*F93</f>
        <v/>
      </c>
      <c r="H93" s="9">
        <f>G93/$G$313</f>
        <v/>
      </c>
      <c r="J93" s="7" t="n">
        <v>1290.6624</v>
      </c>
      <c r="K93" s="7" t="n">
        <v>3871.9872</v>
      </c>
      <c r="M93" s="10">
        <f>+K93-G93</f>
        <v/>
      </c>
    </row>
    <row r="94">
      <c r="C94" s="13" t="inlineStr">
        <is>
          <t>MAT06-0065</t>
        </is>
      </c>
      <c r="D94" s="11">
        <f>_xlfn.XLOOKUP(C94,Detallado!C:C,Detallado!E:E,"ERROR",0)</f>
        <v/>
      </c>
      <c r="E94" s="6">
        <f>SUMIF(Detallado!C:C,ANALISIS!C94,Detallado!F:F)</f>
        <v/>
      </c>
      <c r="F94" s="7">
        <f>_xlfn.XLOOKUP(C94,Detallado!C:C,Detallado!H:H,"ERROR",0)</f>
        <v/>
      </c>
      <c r="G94" s="8">
        <f>E94*F94</f>
        <v/>
      </c>
      <c r="H94" s="9">
        <f>G94/$G$313</f>
        <v/>
      </c>
      <c r="J94" s="7" t="n">
        <v>510.4</v>
      </c>
      <c r="K94" s="7" t="n">
        <v>0</v>
      </c>
      <c r="M94" s="10">
        <f>+K94-G94</f>
        <v/>
      </c>
    </row>
    <row r="95">
      <c r="C95" s="13" t="inlineStr">
        <is>
          <t>MAT06-0066</t>
        </is>
      </c>
      <c r="D95" s="11">
        <f>_xlfn.XLOOKUP(C95,Detallado!C:C,Detallado!E:E,"ERROR",0)</f>
        <v/>
      </c>
      <c r="E95" s="6">
        <f>SUMIF(Detallado!C:C,ANALISIS!C95,Detallado!F:F)</f>
        <v/>
      </c>
      <c r="F95" s="7">
        <f>_xlfn.XLOOKUP(C95,Detallado!C:C,Detallado!H:H,"ERROR",0)</f>
        <v/>
      </c>
      <c r="G95" s="8">
        <f>E95*F95</f>
        <v/>
      </c>
      <c r="H95" s="9">
        <f>G95/$G$313</f>
        <v/>
      </c>
      <c r="J95" s="7" t="n">
        <v>114.405</v>
      </c>
      <c r="K95" s="7" t="n">
        <v>5720.249999999999</v>
      </c>
      <c r="M95" s="10">
        <f>+K95-G95</f>
        <v/>
      </c>
    </row>
    <row r="96">
      <c r="C96" s="13" t="inlineStr">
        <is>
          <t>MAT06-0068</t>
        </is>
      </c>
      <c r="D96" s="11">
        <f>_xlfn.XLOOKUP(C96,Detallado!C:C,Detallado!E:E,"ERROR",0)</f>
        <v/>
      </c>
      <c r="E96" s="6">
        <f>SUMIF(Detallado!C:C,ANALISIS!C96,Detallado!F:F)</f>
        <v/>
      </c>
      <c r="F96" s="7">
        <f>_xlfn.XLOOKUP(C96,Detallado!C:C,Detallado!H:H,"ERROR",0)</f>
        <v/>
      </c>
      <c r="G96" s="8">
        <f>E96*F96</f>
        <v/>
      </c>
      <c r="H96" s="9">
        <f>G96/$G$313</f>
        <v/>
      </c>
      <c r="J96" s="7" t="n">
        <v>2384.3336</v>
      </c>
      <c r="K96" s="7" t="n">
        <v>9537.3344</v>
      </c>
      <c r="M96" s="10">
        <f>+K96-G96</f>
        <v/>
      </c>
    </row>
    <row r="97">
      <c r="C97" s="13" t="inlineStr">
        <is>
          <t>MAT06-0069</t>
        </is>
      </c>
      <c r="D97" s="11">
        <f>_xlfn.XLOOKUP(C97,Detallado!C:C,Detallado!E:E,"ERROR",0)</f>
        <v/>
      </c>
      <c r="E97" s="6">
        <f>SUMIF(Detallado!C:C,ANALISIS!C97,Detallado!F:F)</f>
        <v/>
      </c>
      <c r="F97" s="7">
        <f>_xlfn.XLOOKUP(C97,Detallado!C:C,Detallado!H:H,"ERROR",0)</f>
        <v/>
      </c>
      <c r="G97" s="8">
        <f>E97*F97</f>
        <v/>
      </c>
      <c r="H97" s="9">
        <f>G97/$G$313</f>
        <v/>
      </c>
      <c r="J97" s="7" t="n">
        <v>174.8236</v>
      </c>
      <c r="K97" s="7" t="n">
        <v>699.2944</v>
      </c>
      <c r="M97" s="10">
        <f>+K97-G97</f>
        <v/>
      </c>
    </row>
    <row r="98">
      <c r="C98" s="13" t="inlineStr">
        <is>
          <t>MAT06-0072</t>
        </is>
      </c>
      <c r="D98" s="11">
        <f>_xlfn.XLOOKUP(C98,Detallado!C:C,Detallado!E:E,"ERROR",0)</f>
        <v/>
      </c>
      <c r="E98" s="6">
        <f>SUMIF(Detallado!C:C,ANALISIS!C98,Detallado!F:F)</f>
        <v/>
      </c>
      <c r="F98" s="7">
        <f>_xlfn.XLOOKUP(C98,Detallado!C:C,Detallado!H:H,"ERROR",0)</f>
        <v/>
      </c>
      <c r="G98" s="8">
        <f>E98*F98</f>
        <v/>
      </c>
      <c r="H98" s="9">
        <f>G98/$G$313</f>
        <v/>
      </c>
      <c r="J98" s="7" t="n">
        <v>157.4874</v>
      </c>
      <c r="K98" s="7" t="n">
        <v>1889.8488</v>
      </c>
      <c r="M98" s="10">
        <f>+K98-G98</f>
        <v/>
      </c>
    </row>
    <row r="99">
      <c r="C99" s="13" t="inlineStr">
        <is>
          <t>MAT06-0074</t>
        </is>
      </c>
      <c r="D99" s="11">
        <f>_xlfn.XLOOKUP(C99,Detallado!C:C,Detallado!E:E,"ERROR",0)</f>
        <v/>
      </c>
      <c r="E99" s="6">
        <f>SUMIF(Detallado!C:C,ANALISIS!C99,Detallado!F:F)</f>
        <v/>
      </c>
      <c r="F99" s="7">
        <f>_xlfn.XLOOKUP(C99,Detallado!C:C,Detallado!H:H,"ERROR",0)</f>
        <v/>
      </c>
      <c r="G99" s="8">
        <f>E99*F99</f>
        <v/>
      </c>
      <c r="H99" s="9">
        <f>G99/$G$313</f>
        <v/>
      </c>
      <c r="J99" s="7" t="n">
        <v>51968</v>
      </c>
      <c r="K99" s="7" t="n">
        <v>51968</v>
      </c>
      <c r="M99" s="10">
        <f>+K99-G99</f>
        <v/>
      </c>
    </row>
    <row r="100">
      <c r="C100" s="13" t="inlineStr">
        <is>
          <t>MAT06-0076</t>
        </is>
      </c>
      <c r="D100" s="11">
        <f>_xlfn.XLOOKUP(C100,Detallado!C:C,Detallado!E:E,"ERROR",0)</f>
        <v/>
      </c>
      <c r="E100" s="6">
        <f>SUMIF(Detallado!C:C,ANALISIS!C100,Detallado!F:F)</f>
        <v/>
      </c>
      <c r="F100" s="7">
        <f>_xlfn.XLOOKUP(C100,Detallado!C:C,Detallado!H:H,"ERROR",0)</f>
        <v/>
      </c>
      <c r="G100" s="8">
        <f>E100*F100</f>
        <v/>
      </c>
      <c r="H100" s="9">
        <f>G100/$G$313</f>
        <v/>
      </c>
      <c r="J100" s="7" t="n">
        <v>22.2949</v>
      </c>
      <c r="K100" s="7" t="n">
        <v>668.847</v>
      </c>
      <c r="M100" s="10">
        <f>+K100-G100</f>
        <v/>
      </c>
    </row>
    <row r="101">
      <c r="C101" s="13" t="inlineStr">
        <is>
          <t>MAT06-0077</t>
        </is>
      </c>
      <c r="D101" s="11">
        <f>_xlfn.XLOOKUP(C101,Detallado!C:C,Detallado!E:E,"ERROR",0)</f>
        <v/>
      </c>
      <c r="E101" s="6">
        <f>SUMIF(Detallado!C:C,ANALISIS!C101,Detallado!F:F)</f>
        <v/>
      </c>
      <c r="F101" s="7">
        <f>_xlfn.XLOOKUP(C101,Detallado!C:C,Detallado!H:H,"ERROR",0)</f>
        <v/>
      </c>
      <c r="G101" s="8">
        <f>E101*F101</f>
        <v/>
      </c>
      <c r="H101" s="9">
        <f>G101/$G$313</f>
        <v/>
      </c>
      <c r="J101" s="7" t="n">
        <v>1059.0104</v>
      </c>
      <c r="K101" s="7" t="n">
        <v>2118.0208</v>
      </c>
      <c r="M101" s="10">
        <f>+K101-G101</f>
        <v/>
      </c>
    </row>
    <row r="102">
      <c r="C102" s="13" t="inlineStr">
        <is>
          <t>MAT06-0079</t>
        </is>
      </c>
      <c r="D102" s="11">
        <f>_xlfn.XLOOKUP(C102,Detallado!C:C,Detallado!E:E,"ERROR",0)</f>
        <v/>
      </c>
      <c r="E102" s="6">
        <f>SUMIF(Detallado!C:C,ANALISIS!C102,Detallado!F:F)</f>
        <v/>
      </c>
      <c r="F102" s="7">
        <f>_xlfn.XLOOKUP(C102,Detallado!C:C,Detallado!H:H,"ERROR",0)</f>
        <v/>
      </c>
      <c r="G102" s="8">
        <f>E102*F102</f>
        <v/>
      </c>
      <c r="H102" s="9">
        <f>G102/$G$313</f>
        <v/>
      </c>
      <c r="J102" s="7" t="n">
        <v>4434.807599999988</v>
      </c>
      <c r="K102" s="7" t="n">
        <v>0</v>
      </c>
      <c r="M102" s="10">
        <f>+K102-G102</f>
        <v/>
      </c>
    </row>
    <row r="103">
      <c r="C103" s="13" t="inlineStr">
        <is>
          <t>MAT06-0083</t>
        </is>
      </c>
      <c r="D103" s="11">
        <f>_xlfn.XLOOKUP(C103,Detallado!C:C,Detallado!E:E,"ERROR",0)</f>
        <v/>
      </c>
      <c r="E103" s="6">
        <f>SUMIF(Detallado!C:C,ANALISIS!C103,Detallado!F:F)</f>
        <v/>
      </c>
      <c r="F103" s="7">
        <f>_xlfn.XLOOKUP(C103,Detallado!C:C,Detallado!H:H,"ERROR",0)</f>
        <v/>
      </c>
      <c r="G103" s="8">
        <f>E103*F103</f>
        <v/>
      </c>
      <c r="H103" s="9">
        <f>G103/$G$313</f>
        <v/>
      </c>
      <c r="J103" s="7" t="n">
        <v>4128.6372</v>
      </c>
      <c r="K103" s="7" t="n">
        <v>8257.2744</v>
      </c>
      <c r="M103" s="10">
        <f>+K103-G103</f>
        <v/>
      </c>
    </row>
    <row r="104">
      <c r="C104" s="13" t="inlineStr">
        <is>
          <t>MAT06-0084</t>
        </is>
      </c>
      <c r="D104" s="11">
        <f>_xlfn.XLOOKUP(C104,Detallado!C:C,Detallado!E:E,"ERROR",0)</f>
        <v/>
      </c>
      <c r="E104" s="6">
        <f>SUMIF(Detallado!C:C,ANALISIS!C104,Detallado!F:F)</f>
        <v/>
      </c>
      <c r="F104" s="7">
        <f>_xlfn.XLOOKUP(C104,Detallado!C:C,Detallado!H:H,"ERROR",0)</f>
        <v/>
      </c>
      <c r="G104" s="8">
        <f>E104*F104</f>
        <v/>
      </c>
      <c r="H104" s="9">
        <f>G104/$G$313</f>
        <v/>
      </c>
      <c r="J104" s="7" t="n">
        <v>932.64</v>
      </c>
      <c r="K104" s="7" t="n">
        <v>2797.92</v>
      </c>
      <c r="M104" s="10">
        <f>+K104-G104</f>
        <v/>
      </c>
    </row>
    <row r="105">
      <c r="C105" s="13" t="inlineStr">
        <is>
          <t>MAT06-0086</t>
        </is>
      </c>
      <c r="D105" s="11">
        <f>_xlfn.XLOOKUP(C105,Detallado!C:C,Detallado!E:E,"ERROR",0)</f>
        <v/>
      </c>
      <c r="E105" s="6">
        <f>SUMIF(Detallado!C:C,ANALISIS!C105,Detallado!F:F)</f>
        <v/>
      </c>
      <c r="F105" s="7">
        <f>_xlfn.XLOOKUP(C105,Detallado!C:C,Detallado!H:H,"ERROR",0)</f>
        <v/>
      </c>
      <c r="G105" s="8">
        <f>E105*F105</f>
        <v/>
      </c>
      <c r="H105" s="9">
        <f>G105/$G$313</f>
        <v/>
      </c>
      <c r="J105" s="7" t="n">
        <v>709.6068</v>
      </c>
      <c r="K105" s="7" t="n">
        <v>24836.238</v>
      </c>
      <c r="M105" s="10">
        <f>+K105-G105</f>
        <v/>
      </c>
    </row>
    <row r="106">
      <c r="C106" s="13" t="inlineStr">
        <is>
          <t>MAT06-0087</t>
        </is>
      </c>
      <c r="D106" s="11">
        <f>_xlfn.XLOOKUP(C106,Detallado!C:C,Detallado!E:E,"ERROR",0)</f>
        <v/>
      </c>
      <c r="E106" s="6">
        <f>SUMIF(Detallado!C:C,ANALISIS!C106,Detallado!F:F)</f>
        <v/>
      </c>
      <c r="F106" s="7">
        <f>_xlfn.XLOOKUP(C106,Detallado!C:C,Detallado!H:H,"ERROR",0)</f>
        <v/>
      </c>
      <c r="G106" s="8">
        <f>E106*F106</f>
        <v/>
      </c>
      <c r="H106" s="9">
        <f>G106/$G$313</f>
        <v/>
      </c>
      <c r="J106" s="7" t="n">
        <v>721.1371999999999</v>
      </c>
      <c r="K106" s="7" t="n">
        <v>8653.646399999998</v>
      </c>
      <c r="M106" s="10">
        <f>+K106-G106</f>
        <v/>
      </c>
    </row>
    <row r="107">
      <c r="C107" s="13" t="inlineStr">
        <is>
          <t>MAT06-0088</t>
        </is>
      </c>
      <c r="D107" s="11">
        <f>_xlfn.XLOOKUP(C107,Detallado!C:C,Detallado!E:E,"ERROR",0)</f>
        <v/>
      </c>
      <c r="E107" s="6">
        <f>SUMIF(Detallado!C:C,ANALISIS!C107,Detallado!F:F)</f>
        <v/>
      </c>
      <c r="F107" s="7">
        <f>_xlfn.XLOOKUP(C107,Detallado!C:C,Detallado!H:H,"ERROR",0)</f>
        <v/>
      </c>
      <c r="G107" s="8">
        <f>E107*F107</f>
        <v/>
      </c>
      <c r="H107" s="9">
        <f>G107/$G$313</f>
        <v/>
      </c>
      <c r="J107" s="7" t="n">
        <v>284.4088</v>
      </c>
      <c r="K107" s="7" t="n">
        <v>3412.9056</v>
      </c>
      <c r="M107" s="10">
        <f>+K107-G107</f>
        <v/>
      </c>
    </row>
    <row r="108">
      <c r="C108" s="13" t="inlineStr">
        <is>
          <t>MAT06-0089</t>
        </is>
      </c>
      <c r="D108" s="11">
        <f>_xlfn.XLOOKUP(C108,Detallado!C:C,Detallado!E:E,"ERROR",0)</f>
        <v/>
      </c>
      <c r="E108" s="6">
        <f>SUMIF(Detallado!C:C,ANALISIS!C108,Detallado!F:F)</f>
        <v/>
      </c>
      <c r="F108" s="7">
        <f>_xlfn.XLOOKUP(C108,Detallado!C:C,Detallado!H:H,"ERROR",0)</f>
        <v/>
      </c>
      <c r="G108" s="8">
        <f>E108*F108</f>
        <v/>
      </c>
      <c r="H108" s="9">
        <f>G108/$G$313</f>
        <v/>
      </c>
      <c r="J108" s="7" t="n">
        <v>556.8</v>
      </c>
      <c r="K108" s="7" t="n">
        <v>556.8</v>
      </c>
      <c r="M108" s="10">
        <f>+K108-G108</f>
        <v/>
      </c>
    </row>
    <row r="109">
      <c r="C109" s="13" t="inlineStr">
        <is>
          <t>MAT06-0090</t>
        </is>
      </c>
      <c r="D109" s="11">
        <f>_xlfn.XLOOKUP(C109,Detallado!C:C,Detallado!E:E,"ERROR",0)</f>
        <v/>
      </c>
      <c r="E109" s="6">
        <f>SUMIF(Detallado!C:C,ANALISIS!C109,Detallado!F:F)</f>
        <v/>
      </c>
      <c r="F109" s="7">
        <f>_xlfn.XLOOKUP(C109,Detallado!C:C,Detallado!H:H,"ERROR",0)</f>
        <v/>
      </c>
      <c r="G109" s="8">
        <f>E109*F109</f>
        <v/>
      </c>
      <c r="H109" s="9">
        <f>G109/$G$313</f>
        <v/>
      </c>
      <c r="J109" s="7" t="n">
        <v>706.0629999999999</v>
      </c>
      <c r="K109" s="7" t="n">
        <v>1412.126</v>
      </c>
      <c r="M109" s="10">
        <f>+K109-G109</f>
        <v/>
      </c>
    </row>
    <row r="110">
      <c r="C110" s="13" t="inlineStr">
        <is>
          <t>MAT06-0091</t>
        </is>
      </c>
      <c r="D110" s="11">
        <f>_xlfn.XLOOKUP(C110,Detallado!C:C,Detallado!E:E,"ERROR",0)</f>
        <v/>
      </c>
      <c r="E110" s="6">
        <f>SUMIF(Detallado!C:C,ANALISIS!C110,Detallado!F:F)</f>
        <v/>
      </c>
      <c r="F110" s="7">
        <f>_xlfn.XLOOKUP(C110,Detallado!C:C,Detallado!H:H,"ERROR",0)</f>
        <v/>
      </c>
      <c r="G110" s="8">
        <f>E110*F110</f>
        <v/>
      </c>
      <c r="H110" s="9">
        <f>G110/$G$313</f>
        <v/>
      </c>
      <c r="J110" s="7" t="n">
        <v>647.28</v>
      </c>
      <c r="K110" s="7" t="n">
        <v>1294.56</v>
      </c>
      <c r="M110" s="10">
        <f>+K110-G110</f>
        <v/>
      </c>
    </row>
    <row r="111">
      <c r="C111" s="13" t="inlineStr">
        <is>
          <t>MAT06-0092</t>
        </is>
      </c>
      <c r="D111" s="11">
        <f>_xlfn.XLOOKUP(C111,Detallado!C:C,Detallado!E:E,"ERROR",0)</f>
        <v/>
      </c>
      <c r="E111" s="6">
        <f>SUMIF(Detallado!C:C,ANALISIS!C111,Detallado!F:F)</f>
        <v/>
      </c>
      <c r="F111" s="7">
        <f>_xlfn.XLOOKUP(C111,Detallado!C:C,Detallado!H:H,"ERROR",0)</f>
        <v/>
      </c>
      <c r="G111" s="8">
        <f>E111*F111</f>
        <v/>
      </c>
      <c r="H111" s="9">
        <f>G111/$G$313</f>
        <v/>
      </c>
      <c r="J111" s="7" t="n">
        <v>3412.294666666663</v>
      </c>
      <c r="K111" s="7" t="n">
        <v>6824.589333333325</v>
      </c>
      <c r="M111" s="10">
        <f>+K111-G111</f>
        <v/>
      </c>
    </row>
    <row r="112">
      <c r="C112" s="13" t="inlineStr">
        <is>
          <t>MAT06-0096</t>
        </is>
      </c>
      <c r="D112" s="11">
        <f>_xlfn.XLOOKUP(C112,Detallado!C:C,Detallado!E:E,"ERROR",0)</f>
        <v/>
      </c>
      <c r="E112" s="6">
        <f>SUMIF(Detallado!C:C,ANALISIS!C112,Detallado!F:F)</f>
        <v/>
      </c>
      <c r="F112" s="7">
        <f>_xlfn.XLOOKUP(C112,Detallado!C:C,Detallado!H:H,"ERROR",0)</f>
        <v/>
      </c>
      <c r="G112" s="8">
        <f>E112*F112</f>
        <v/>
      </c>
      <c r="H112" s="9">
        <f>G112/$G$313</f>
        <v/>
      </c>
      <c r="J112" s="7" t="n">
        <v>1160</v>
      </c>
      <c r="K112" s="7" t="n">
        <v>25520</v>
      </c>
      <c r="M112" s="10">
        <f>+K112-G112</f>
        <v/>
      </c>
    </row>
    <row r="113">
      <c r="C113" s="15" t="inlineStr">
        <is>
          <t>MAT06-0097</t>
        </is>
      </c>
      <c r="D113" s="11">
        <f>_xlfn.XLOOKUP(C113,Detallado!C:C,Detallado!E:E,"ERROR",0)</f>
        <v/>
      </c>
      <c r="E113" s="6">
        <f>SUMIF(Detallado!C:C,ANALISIS!C113,Detallado!F:F)</f>
        <v/>
      </c>
      <c r="F113" s="7">
        <f>_xlfn.XLOOKUP(C113,Detallado!C:C,Detallado!H:H,"ERROR",0)</f>
        <v/>
      </c>
      <c r="G113" s="8">
        <f>E113*F113</f>
        <v/>
      </c>
      <c r="H113" s="9">
        <f>G113/$G$313</f>
        <v/>
      </c>
      <c r="J113" s="7" t="n">
        <v>1981.28</v>
      </c>
      <c r="K113" s="7" t="n">
        <v>5943.84</v>
      </c>
      <c r="M113" s="10">
        <f>+K113-G113</f>
        <v/>
      </c>
    </row>
    <row r="114">
      <c r="C114" s="15" t="inlineStr">
        <is>
          <t>MAT06-0098</t>
        </is>
      </c>
      <c r="D114" s="11">
        <f>_xlfn.XLOOKUP(C114,Detallado!C:C,Detallado!E:E,"ERROR",0)</f>
        <v/>
      </c>
      <c r="E114" s="6">
        <f>SUMIF(Detallado!C:C,ANALISIS!C114,Detallado!F:F)</f>
        <v/>
      </c>
      <c r="F114" s="7">
        <f>_xlfn.XLOOKUP(C114,Detallado!C:C,Detallado!H:H,"ERROR",0)</f>
        <v/>
      </c>
      <c r="G114" s="8">
        <f>E114*F114</f>
        <v/>
      </c>
      <c r="H114" s="9">
        <f>G114/$G$313</f>
        <v/>
      </c>
      <c r="J114" s="7" t="n">
        <v>6310.4</v>
      </c>
      <c r="K114" s="7" t="n">
        <v>12620.8</v>
      </c>
      <c r="M114" s="10">
        <f>+K114-G114</f>
        <v/>
      </c>
    </row>
    <row r="115">
      <c r="C115" s="15" t="inlineStr">
        <is>
          <t>MAT06-0104</t>
        </is>
      </c>
      <c r="D115" s="11">
        <f>_xlfn.XLOOKUP(C115,Detallado!C:C,Detallado!E:E,"ERROR",0)</f>
        <v/>
      </c>
      <c r="E115" s="6">
        <f>SUMIF(Detallado!C:C,ANALISIS!C115,Detallado!F:F)</f>
        <v/>
      </c>
      <c r="F115" s="7">
        <f>_xlfn.XLOOKUP(C115,Detallado!C:C,Detallado!H:H,"ERROR",0)</f>
        <v/>
      </c>
      <c r="G115" s="8">
        <f>E115*F115</f>
        <v/>
      </c>
      <c r="H115" s="9">
        <f>G115/$G$313</f>
        <v/>
      </c>
      <c r="J115" s="7" t="n">
        <v>13657.5036</v>
      </c>
      <c r="K115" s="7" t="n">
        <v>27315.0072</v>
      </c>
      <c r="M115" s="10">
        <f>+K115-G115</f>
        <v/>
      </c>
    </row>
    <row r="116">
      <c r="C116" s="15" t="inlineStr">
        <is>
          <t>MAT06-0108</t>
        </is>
      </c>
      <c r="D116" s="11">
        <f>_xlfn.XLOOKUP(C116,Detallado!C:C,Detallado!E:E,"ERROR",0)</f>
        <v/>
      </c>
      <c r="E116" s="6">
        <f>SUMIF(Detallado!C:C,ANALISIS!C116,Detallado!F:F)</f>
        <v/>
      </c>
      <c r="F116" s="7">
        <f>_xlfn.XLOOKUP(C116,Detallado!C:C,Detallado!H:H,"ERROR",0)</f>
        <v/>
      </c>
      <c r="G116" s="8">
        <f>E116*F116</f>
        <v/>
      </c>
      <c r="H116" s="9">
        <f>G116/$G$313</f>
        <v/>
      </c>
      <c r="J116" s="7" t="n">
        <v>41.85279999999999</v>
      </c>
      <c r="K116" s="7" t="n">
        <v>1046.32</v>
      </c>
      <c r="M116" s="10">
        <f>+K116-G116</f>
        <v/>
      </c>
    </row>
    <row r="117">
      <c r="C117" s="15" t="inlineStr">
        <is>
          <t>MAT06-0110</t>
        </is>
      </c>
      <c r="D117" s="11">
        <f>_xlfn.XLOOKUP(C117,Detallado!C:C,Detallado!E:E,"ERROR",0)</f>
        <v/>
      </c>
      <c r="E117" s="6">
        <f>SUMIF(Detallado!C:C,ANALISIS!C117,Detallado!F:F)</f>
        <v/>
      </c>
      <c r="F117" s="7">
        <f>_xlfn.XLOOKUP(C117,Detallado!C:C,Detallado!H:H,"ERROR",0)</f>
        <v/>
      </c>
      <c r="G117" s="8">
        <f>E117*F117</f>
        <v/>
      </c>
      <c r="H117" s="9">
        <f>G117/$G$313</f>
        <v/>
      </c>
      <c r="J117" s="7" t="n">
        <v>630.9994</v>
      </c>
      <c r="K117" s="7" t="n">
        <v>2523.9976</v>
      </c>
      <c r="M117" s="10">
        <f>+K117-G117</f>
        <v/>
      </c>
    </row>
    <row r="118">
      <c r="C118" s="15" t="inlineStr">
        <is>
          <t>MAT06-0114</t>
        </is>
      </c>
      <c r="D118" s="11">
        <f>_xlfn.XLOOKUP(C118,Detallado!C:C,Detallado!E:E,"ERROR",0)</f>
        <v/>
      </c>
      <c r="E118" s="6">
        <f>SUMIF(Detallado!C:C,ANALISIS!C118,Detallado!F:F)</f>
        <v/>
      </c>
      <c r="F118" s="7">
        <f>_xlfn.XLOOKUP(C118,Detallado!C:C,Detallado!H:H,"ERROR",0)</f>
        <v/>
      </c>
      <c r="G118" s="8">
        <f>E118*F118</f>
        <v/>
      </c>
      <c r="H118" s="9">
        <f>G118/$G$313</f>
        <v/>
      </c>
      <c r="J118" s="7" t="n">
        <v>346.1246666666663</v>
      </c>
      <c r="K118" s="7" t="n">
        <v>692.2493333333325</v>
      </c>
      <c r="M118" s="10">
        <f>+K118-G118</f>
        <v/>
      </c>
    </row>
    <row r="119">
      <c r="C119" s="15" t="inlineStr">
        <is>
          <t>MAT06-0119</t>
        </is>
      </c>
      <c r="D119" s="11">
        <f>_xlfn.XLOOKUP(C119,Detallado!C:C,Detallado!E:E,"ERROR",0)</f>
        <v/>
      </c>
      <c r="E119" s="6">
        <f>SUMIF(Detallado!C:C,ANALISIS!C119,Detallado!F:F)</f>
        <v/>
      </c>
      <c r="F119" s="7">
        <f>_xlfn.XLOOKUP(C119,Detallado!C:C,Detallado!H:H,"ERROR",0)</f>
        <v/>
      </c>
      <c r="G119" s="8">
        <f>E119*F119</f>
        <v/>
      </c>
      <c r="H119" s="9">
        <f>G119/$G$313</f>
        <v/>
      </c>
      <c r="J119" s="7" t="n">
        <v>755.566</v>
      </c>
      <c r="K119" s="7" t="n">
        <v>3022.264</v>
      </c>
      <c r="M119" s="10">
        <f>+K119-G119</f>
        <v/>
      </c>
    </row>
    <row r="120">
      <c r="C120" s="15" t="inlineStr">
        <is>
          <t>MAT06-0120</t>
        </is>
      </c>
      <c r="D120" s="11">
        <f>_xlfn.XLOOKUP(C120,Detallado!C:C,Detallado!E:E,"ERROR",0)</f>
        <v/>
      </c>
      <c r="E120" s="6">
        <f>SUMIF(Detallado!C:C,ANALISIS!C120,Detallado!F:F)</f>
        <v/>
      </c>
      <c r="F120" s="7">
        <f>_xlfn.XLOOKUP(C120,Detallado!C:C,Detallado!H:H,"ERROR",0)</f>
        <v/>
      </c>
      <c r="G120" s="8">
        <f>E120*F120</f>
        <v/>
      </c>
      <c r="H120" s="9">
        <f>G120/$G$313</f>
        <v/>
      </c>
      <c r="J120" s="7" t="n">
        <v>11136</v>
      </c>
      <c r="K120" s="7" t="n">
        <v>22272</v>
      </c>
      <c r="M120" s="10">
        <f>+K120-G120</f>
        <v/>
      </c>
    </row>
    <row r="121">
      <c r="C121" s="15" t="inlineStr">
        <is>
          <t>MAT06-0121</t>
        </is>
      </c>
      <c r="D121" s="11">
        <f>_xlfn.XLOOKUP(C121,Detallado!C:C,Detallado!E:E,"ERROR",0)</f>
        <v/>
      </c>
      <c r="E121" s="6">
        <f>SUMIF(Detallado!C:C,ANALISIS!C121,Detallado!F:F)</f>
        <v/>
      </c>
      <c r="F121" s="7">
        <f>_xlfn.XLOOKUP(C121,Detallado!C:C,Detallado!H:H,"ERROR",0)</f>
        <v/>
      </c>
      <c r="G121" s="8">
        <f>E121*F121</f>
        <v/>
      </c>
      <c r="H121" s="9">
        <f>G121/$G$313</f>
        <v/>
      </c>
      <c r="J121" s="7" t="n">
        <v>78.1144</v>
      </c>
      <c r="K121" s="7" t="n">
        <v>312.4576</v>
      </c>
      <c r="M121" s="10">
        <f>+K121-G121</f>
        <v/>
      </c>
    </row>
    <row r="122">
      <c r="C122" s="15" t="inlineStr">
        <is>
          <t>MAT06-0135</t>
        </is>
      </c>
      <c r="D122" s="11">
        <f>_xlfn.XLOOKUP(C122,Detallado!C:C,Detallado!E:E,"ERROR",0)</f>
        <v/>
      </c>
      <c r="E122" s="6">
        <f>SUMIF(Detallado!C:C,ANALISIS!C122,Detallado!F:F)</f>
        <v/>
      </c>
      <c r="F122" s="7">
        <f>_xlfn.XLOOKUP(C122,Detallado!C:C,Detallado!H:H,"ERROR",0)</f>
        <v/>
      </c>
      <c r="G122" s="8">
        <f>E122*F122</f>
        <v/>
      </c>
      <c r="H122" s="9">
        <f>G122/$G$313</f>
        <v/>
      </c>
      <c r="J122" s="7" t="n">
        <v>621.3501333333325</v>
      </c>
      <c r="K122" s="7" t="n">
        <v>7456.201599999989</v>
      </c>
      <c r="M122" s="10">
        <f>+K122-G122</f>
        <v/>
      </c>
    </row>
    <row r="123">
      <c r="C123" s="15" t="inlineStr">
        <is>
          <t>MAT06-0136</t>
        </is>
      </c>
      <c r="D123" s="11">
        <f>_xlfn.XLOOKUP(C123,Detallado!C:C,Detallado!E:E,"ERROR",0)</f>
        <v/>
      </c>
      <c r="E123" s="6">
        <f>SUMIF(Detallado!C:C,ANALISIS!C123,Detallado!F:F)</f>
        <v/>
      </c>
      <c r="F123" s="7">
        <f>_xlfn.XLOOKUP(C123,Detallado!C:C,Detallado!H:H,"ERROR",0)</f>
        <v/>
      </c>
      <c r="G123" s="8">
        <f>E123*F123</f>
        <v/>
      </c>
      <c r="H123" s="9">
        <f>G123/$G$313</f>
        <v/>
      </c>
      <c r="J123" s="7" t="n">
        <v>338.8746666666663</v>
      </c>
      <c r="K123" s="7" t="n">
        <v>20332.47999999997</v>
      </c>
      <c r="M123" s="10">
        <f>+K123-G123</f>
        <v/>
      </c>
    </row>
    <row r="124">
      <c r="C124" s="15" t="inlineStr">
        <is>
          <t>MAT06-0309</t>
        </is>
      </c>
      <c r="D124" s="11">
        <f>_xlfn.XLOOKUP(C124,Detallado!C:C,Detallado!E:E,"ERROR",0)</f>
        <v/>
      </c>
      <c r="E124" s="6">
        <f>SUMIF(Detallado!C:C,ANALISIS!C124,Detallado!F:F)</f>
        <v/>
      </c>
      <c r="F124" s="7">
        <f>_xlfn.XLOOKUP(C124,Detallado!C:C,Detallado!H:H,"ERROR",0)</f>
        <v/>
      </c>
      <c r="G124" s="8">
        <f>E124*F124</f>
        <v/>
      </c>
      <c r="H124" s="9">
        <f>G124/$G$313</f>
        <v/>
      </c>
      <c r="J124" s="7" t="n">
        <v>4640</v>
      </c>
      <c r="K124" s="7" t="n">
        <v>9280</v>
      </c>
      <c r="M124" s="10">
        <f>+K124-G124</f>
        <v/>
      </c>
    </row>
    <row r="125">
      <c r="C125" s="15" t="inlineStr">
        <is>
          <t>MAT07-0001</t>
        </is>
      </c>
      <c r="D125" s="11">
        <f>_xlfn.XLOOKUP(C125,Detallado!C:C,Detallado!E:E,"ERROR",0)</f>
        <v/>
      </c>
      <c r="E125" s="6">
        <f>SUMIF(Detallado!C:C,ANALISIS!C125,Detallado!F:F)</f>
        <v/>
      </c>
      <c r="F125" s="7">
        <f>_xlfn.XLOOKUP(C125,Detallado!C:C,Detallado!H:H,"ERROR",0)</f>
        <v/>
      </c>
      <c r="G125" s="8">
        <f>E125*F125</f>
        <v/>
      </c>
      <c r="H125" s="9">
        <f>G125/$G$313</f>
        <v/>
      </c>
      <c r="J125" s="7" t="n">
        <v>451.704</v>
      </c>
      <c r="K125" s="7" t="n">
        <v>8582.375999999998</v>
      </c>
      <c r="M125" s="10">
        <f>+K125-G125</f>
        <v/>
      </c>
    </row>
    <row r="126">
      <c r="C126" s="15" t="inlineStr">
        <is>
          <t>MAT07-0003</t>
        </is>
      </c>
      <c r="D126" s="11">
        <f>_xlfn.XLOOKUP(C126,Detallado!C:C,Detallado!E:E,"ERROR",0)</f>
        <v/>
      </c>
      <c r="E126" s="6">
        <f>SUMIF(Detallado!C:C,ANALISIS!C126,Detallado!F:F)</f>
        <v/>
      </c>
      <c r="F126" s="7">
        <f>_xlfn.XLOOKUP(C126,Detallado!C:C,Detallado!H:H,"ERROR",0)</f>
        <v/>
      </c>
      <c r="G126" s="8">
        <f>E126*F126</f>
        <v/>
      </c>
      <c r="H126" s="9">
        <f>G126/$G$313</f>
        <v/>
      </c>
      <c r="J126" s="7" t="n">
        <v>1834.0528</v>
      </c>
      <c r="K126" s="7" t="n">
        <v>22008.6336</v>
      </c>
      <c r="M126" s="10">
        <f>+K126-G126</f>
        <v/>
      </c>
    </row>
    <row r="127">
      <c r="C127" s="15" t="inlineStr">
        <is>
          <t>MAT07-0004</t>
        </is>
      </c>
      <c r="D127" s="11">
        <f>_xlfn.XLOOKUP(C127,Detallado!C:C,Detallado!E:E,"ERROR",0)</f>
        <v/>
      </c>
      <c r="E127" s="6">
        <f>SUMIF(Detallado!C:C,ANALISIS!C127,Detallado!F:F)</f>
        <v/>
      </c>
      <c r="F127" s="7">
        <f>_xlfn.XLOOKUP(C127,Detallado!C:C,Detallado!H:H,"ERROR",0)</f>
        <v/>
      </c>
      <c r="G127" s="8">
        <f>E127*F127</f>
        <v/>
      </c>
      <c r="H127" s="9">
        <f>G127/$G$313</f>
        <v/>
      </c>
      <c r="J127" s="7" t="n">
        <v>1074.45</v>
      </c>
      <c r="K127" s="7" t="n">
        <v>1074.45</v>
      </c>
      <c r="M127" s="10">
        <f>+K127-G127</f>
        <v/>
      </c>
    </row>
    <row r="128">
      <c r="C128" s="15" t="inlineStr">
        <is>
          <t>MAT07-0005</t>
        </is>
      </c>
      <c r="D128" s="11">
        <f>_xlfn.XLOOKUP(C128,Detallado!C:C,Detallado!E:E,"ERROR",0)</f>
        <v/>
      </c>
      <c r="E128" s="6">
        <f>SUMIF(Detallado!C:C,ANALISIS!C128,Detallado!F:F)</f>
        <v/>
      </c>
      <c r="F128" s="7">
        <f>_xlfn.XLOOKUP(C128,Detallado!C:C,Detallado!H:H,"ERROR",0)</f>
        <v/>
      </c>
      <c r="G128" s="8">
        <f>E128*F128</f>
        <v/>
      </c>
      <c r="H128" s="9">
        <f>G128/$G$313</f>
        <v/>
      </c>
      <c r="J128" s="7" t="n">
        <v>1692.0456</v>
      </c>
      <c r="K128" s="7" t="n">
        <v>5076.1368</v>
      </c>
      <c r="M128" s="10">
        <f>+K128-G128</f>
        <v/>
      </c>
    </row>
    <row r="129">
      <c r="C129" s="15" t="inlineStr">
        <is>
          <t>MAT07-0007</t>
        </is>
      </c>
      <c r="D129" s="11">
        <f>_xlfn.XLOOKUP(C129,Detallado!C:C,Detallado!E:E,"ERROR",0)</f>
        <v/>
      </c>
      <c r="E129" s="6">
        <f>SUMIF(Detallado!C:C,ANALISIS!C129,Detallado!F:F)</f>
        <v/>
      </c>
      <c r="F129" s="7">
        <f>_xlfn.XLOOKUP(C129,Detallado!C:C,Detallado!H:H,"ERROR",0)</f>
        <v/>
      </c>
      <c r="G129" s="8">
        <f>E129*F129</f>
        <v/>
      </c>
      <c r="H129" s="9">
        <f>G129/$G$313</f>
        <v/>
      </c>
      <c r="J129" s="7" t="n">
        <v>3739.84</v>
      </c>
      <c r="K129" s="7" t="n">
        <v>14959.36</v>
      </c>
      <c r="M129" s="10">
        <f>+K129-G129</f>
        <v/>
      </c>
    </row>
    <row r="130">
      <c r="C130" s="15" t="inlineStr">
        <is>
          <t>MAT07-0009</t>
        </is>
      </c>
      <c r="D130" s="11">
        <f>_xlfn.XLOOKUP(C130,Detallado!C:C,Detallado!E:E,"ERROR",0)</f>
        <v/>
      </c>
      <c r="E130" s="6">
        <f>SUMIF(Detallado!C:C,ANALISIS!C130,Detallado!F:F)</f>
        <v/>
      </c>
      <c r="F130" s="7">
        <f>_xlfn.XLOOKUP(C130,Detallado!C:C,Detallado!H:H,"ERROR",0)</f>
        <v/>
      </c>
      <c r="G130" s="8">
        <f>E130*F130</f>
        <v/>
      </c>
      <c r="H130" s="9">
        <f>G130/$G$313</f>
        <v/>
      </c>
      <c r="J130" s="7" t="n">
        <v>827.5903999999988</v>
      </c>
      <c r="K130" s="7" t="n">
        <v>11586.26559999998</v>
      </c>
      <c r="M130" s="10">
        <f>+K130-G130</f>
        <v/>
      </c>
    </row>
    <row r="131">
      <c r="C131" s="15" t="inlineStr">
        <is>
          <t>MAT07-0010</t>
        </is>
      </c>
      <c r="D131" s="11">
        <f>_xlfn.XLOOKUP(C131,Detallado!C:C,Detallado!E:E,"ERROR",0)</f>
        <v/>
      </c>
      <c r="E131" s="6">
        <f>SUMIF(Detallado!C:C,ANALISIS!C131,Detallado!F:F)</f>
        <v/>
      </c>
      <c r="F131" s="7">
        <f>_xlfn.XLOOKUP(C131,Detallado!C:C,Detallado!H:H,"ERROR",0)</f>
        <v/>
      </c>
      <c r="G131" s="8">
        <f>E131*F131</f>
        <v/>
      </c>
      <c r="H131" s="9">
        <f>G131/$G$313</f>
        <v/>
      </c>
      <c r="J131" s="7" t="n">
        <v>1030.37</v>
      </c>
      <c r="K131" s="7" t="n">
        <v>44305.91</v>
      </c>
      <c r="M131" s="10">
        <f>+K131-G131</f>
        <v/>
      </c>
    </row>
    <row r="132">
      <c r="C132" s="15" t="inlineStr">
        <is>
          <t>MAT07-0011</t>
        </is>
      </c>
      <c r="D132" s="11">
        <f>_xlfn.XLOOKUP(C132,Detallado!C:C,Detallado!E:E,"ERROR",0)</f>
        <v/>
      </c>
      <c r="E132" s="6">
        <f>SUMIF(Detallado!C:C,ANALISIS!C132,Detallado!F:F)</f>
        <v/>
      </c>
      <c r="F132" s="7">
        <f>_xlfn.XLOOKUP(C132,Detallado!C:C,Detallado!H:H,"ERROR",0)</f>
        <v/>
      </c>
      <c r="G132" s="8">
        <f>E132*F132</f>
        <v/>
      </c>
      <c r="H132" s="9">
        <f>G132/$G$313</f>
        <v/>
      </c>
      <c r="J132" s="7" t="n">
        <v>19766.12581818178</v>
      </c>
      <c r="K132" s="7" t="n">
        <v>296491.8872727266</v>
      </c>
      <c r="M132" s="10">
        <f>+K132-G132</f>
        <v/>
      </c>
    </row>
    <row r="133">
      <c r="C133" s="15" t="inlineStr">
        <is>
          <t>MAT07-0012</t>
        </is>
      </c>
      <c r="D133" s="11">
        <f>_xlfn.XLOOKUP(C133,Detallado!C:C,Detallado!E:E,"ERROR",0)</f>
        <v/>
      </c>
      <c r="E133" s="6">
        <f>SUMIF(Detallado!C:C,ANALISIS!C133,Detallado!F:F)</f>
        <v/>
      </c>
      <c r="F133" s="7">
        <f>_xlfn.XLOOKUP(C133,Detallado!C:C,Detallado!H:H,"ERROR",0)</f>
        <v/>
      </c>
      <c r="G133" s="8">
        <f>E133*F133</f>
        <v/>
      </c>
      <c r="H133" s="9">
        <f>G133/$G$313</f>
        <v/>
      </c>
      <c r="J133" s="7" t="n">
        <v>10117.52</v>
      </c>
      <c r="K133" s="7" t="n">
        <v>20235.04</v>
      </c>
      <c r="M133" s="10">
        <f>+K133-G133</f>
        <v/>
      </c>
    </row>
    <row r="134">
      <c r="C134" s="15" t="inlineStr">
        <is>
          <t>MAT07-0013</t>
        </is>
      </c>
      <c r="D134" s="11">
        <f>_xlfn.XLOOKUP(C134,Detallado!C:C,Detallado!E:E,"ERROR",0)</f>
        <v/>
      </c>
      <c r="E134" s="6">
        <f>SUMIF(Detallado!C:C,ANALISIS!C134,Detallado!F:F)</f>
        <v/>
      </c>
      <c r="F134" s="7">
        <f>_xlfn.XLOOKUP(C134,Detallado!C:C,Detallado!H:H,"ERROR",0)</f>
        <v/>
      </c>
      <c r="G134" s="8">
        <f>E134*F134</f>
        <v/>
      </c>
      <c r="H134" s="9">
        <f>G134/$G$313</f>
        <v/>
      </c>
      <c r="J134" s="7" t="n">
        <v>6603.299999999999</v>
      </c>
      <c r="K134" s="7" t="n">
        <v>138669.3</v>
      </c>
      <c r="M134" s="10">
        <f>+K134-G134</f>
        <v/>
      </c>
    </row>
    <row r="135">
      <c r="C135" s="15" t="inlineStr">
        <is>
          <t>MAT07-0018</t>
        </is>
      </c>
      <c r="D135" s="11">
        <f>_xlfn.XLOOKUP(C135,Detallado!C:C,Detallado!E:E,"ERROR",0)</f>
        <v/>
      </c>
      <c r="E135" s="6">
        <f>SUMIF(Detallado!C:C,ANALISIS!C135,Detallado!F:F)</f>
        <v/>
      </c>
      <c r="F135" s="7">
        <f>_xlfn.XLOOKUP(C135,Detallado!C:C,Detallado!H:H,"ERROR",0)</f>
        <v/>
      </c>
      <c r="G135" s="8">
        <f>E135*F135</f>
        <v/>
      </c>
      <c r="H135" s="9">
        <f>G135/$G$313</f>
        <v/>
      </c>
      <c r="J135" s="7" t="n">
        <v>1265.792</v>
      </c>
      <c r="K135" s="7" t="n">
        <v>44302.71999999999</v>
      </c>
      <c r="M135" s="10">
        <f>+K135-G135</f>
        <v/>
      </c>
    </row>
    <row r="136">
      <c r="C136" s="13" t="inlineStr">
        <is>
          <t>MAT07-0020</t>
        </is>
      </c>
      <c r="D136" s="11">
        <f>_xlfn.XLOOKUP(C136,Detallado!C:C,Detallado!E:E,"ERROR",0)</f>
        <v/>
      </c>
      <c r="E136" s="6">
        <f>SUMIF(Detallado!C:C,ANALISIS!C136,Detallado!F:F)</f>
        <v/>
      </c>
      <c r="F136" s="7">
        <f>_xlfn.XLOOKUP(C136,Detallado!C:C,Detallado!H:H,"ERROR",0)</f>
        <v/>
      </c>
      <c r="G136" s="8">
        <f>E136*F136</f>
        <v/>
      </c>
      <c r="H136" s="9">
        <f>G136/$G$313</f>
        <v/>
      </c>
      <c r="J136" s="7" t="n">
        <v>7114.2336</v>
      </c>
      <c r="K136" s="7" t="n">
        <v>56913.8688</v>
      </c>
      <c r="M136" s="10">
        <f>+K136-G136</f>
        <v/>
      </c>
    </row>
    <row r="137">
      <c r="C137" s="13" t="inlineStr">
        <is>
          <t>MAT07-0024</t>
        </is>
      </c>
      <c r="D137" s="11">
        <f>_xlfn.XLOOKUP(C137,Detallado!C:C,Detallado!E:E,"ERROR",0)</f>
        <v/>
      </c>
      <c r="E137" s="6">
        <f>SUMIF(Detallado!C:C,ANALISIS!C137,Detallado!F:F)</f>
        <v/>
      </c>
      <c r="F137" s="7">
        <f>_xlfn.XLOOKUP(C137,Detallado!C:C,Detallado!H:H,"ERROR",0)</f>
        <v/>
      </c>
      <c r="G137" s="8">
        <f>E137*F137</f>
        <v/>
      </c>
      <c r="H137" s="9">
        <f>G137/$G$313</f>
        <v/>
      </c>
      <c r="J137" s="7" t="n">
        <v>66.50776222222213</v>
      </c>
      <c r="K137" s="7" t="n">
        <v>11572.35062666665</v>
      </c>
      <c r="M137" s="10">
        <f>+K137-G137</f>
        <v/>
      </c>
    </row>
    <row r="138">
      <c r="C138" s="13" t="inlineStr">
        <is>
          <t>MAT07-0025</t>
        </is>
      </c>
      <c r="D138" s="11">
        <f>_xlfn.XLOOKUP(C138,Detallado!C:C,Detallado!E:E,"ERROR",0)</f>
        <v/>
      </c>
      <c r="E138" s="6">
        <f>SUMIF(Detallado!C:C,ANALISIS!C138,Detallado!F:F)</f>
        <v/>
      </c>
      <c r="F138" s="7">
        <f>_xlfn.XLOOKUP(C138,Detallado!C:C,Detallado!H:H,"ERROR",0)</f>
        <v/>
      </c>
      <c r="G138" s="8">
        <f>E138*F138</f>
        <v/>
      </c>
      <c r="H138" s="9">
        <f>G138/$G$313</f>
        <v/>
      </c>
      <c r="J138" s="7" t="n">
        <v>6.542399999999999</v>
      </c>
      <c r="K138" s="7" t="n">
        <v>11743.608</v>
      </c>
      <c r="M138" s="10">
        <f>+K138-G138</f>
        <v/>
      </c>
    </row>
    <row r="139">
      <c r="C139" s="13" t="inlineStr">
        <is>
          <t>MAT07-0027</t>
        </is>
      </c>
      <c r="D139" s="11">
        <f>_xlfn.XLOOKUP(C139,Detallado!C:C,Detallado!E:E,"ERROR",0)</f>
        <v/>
      </c>
      <c r="E139" s="6">
        <f>SUMIF(Detallado!C:C,ANALISIS!C139,Detallado!F:F)</f>
        <v/>
      </c>
      <c r="F139" s="7">
        <f>_xlfn.XLOOKUP(C139,Detallado!C:C,Detallado!H:H,"ERROR",0)</f>
        <v/>
      </c>
      <c r="G139" s="8">
        <f>E139*F139</f>
        <v/>
      </c>
      <c r="H139" s="9">
        <f>G139/$G$313</f>
        <v/>
      </c>
      <c r="J139" s="7" t="n">
        <v>657.7199999999999</v>
      </c>
      <c r="K139" s="7" t="n">
        <v>16443</v>
      </c>
      <c r="M139" s="10">
        <f>+K139-G139</f>
        <v/>
      </c>
    </row>
    <row r="140">
      <c r="C140" s="13" t="inlineStr">
        <is>
          <t>MAT07-0029</t>
        </is>
      </c>
      <c r="D140" s="11">
        <f>_xlfn.XLOOKUP(C140,Detallado!C:C,Detallado!E:E,"ERROR",0)</f>
        <v/>
      </c>
      <c r="E140" s="6">
        <f>SUMIF(Detallado!C:C,ANALISIS!C140,Detallado!F:F)</f>
        <v/>
      </c>
      <c r="F140" s="7">
        <f>_xlfn.XLOOKUP(C140,Detallado!C:C,Detallado!H:H,"ERROR",0)</f>
        <v/>
      </c>
      <c r="G140" s="8">
        <f>E140*F140</f>
        <v/>
      </c>
      <c r="H140" s="9">
        <f>G140/$G$313</f>
        <v/>
      </c>
      <c r="J140" s="7" t="n">
        <v>1113.31</v>
      </c>
      <c r="K140" s="7" t="n">
        <v>13359.72</v>
      </c>
      <c r="M140" s="10">
        <f>+K140-G140</f>
        <v/>
      </c>
    </row>
    <row r="141">
      <c r="C141" s="13" t="inlineStr">
        <is>
          <t>MAT07-0031</t>
        </is>
      </c>
      <c r="D141" s="11">
        <f>_xlfn.XLOOKUP(C141,Detallado!C:C,Detallado!E:E,"ERROR",0)</f>
        <v/>
      </c>
      <c r="E141" s="6">
        <f>SUMIF(Detallado!C:C,ANALISIS!C141,Detallado!F:F)</f>
        <v/>
      </c>
      <c r="F141" s="7">
        <f>_xlfn.XLOOKUP(C141,Detallado!C:C,Detallado!H:H,"ERROR",0)</f>
        <v/>
      </c>
      <c r="G141" s="8">
        <f>E141*F141</f>
        <v/>
      </c>
      <c r="H141" s="9">
        <f>G141/$G$313</f>
        <v/>
      </c>
      <c r="J141" s="7" t="n">
        <v>14.12532</v>
      </c>
      <c r="K141" s="7" t="n">
        <v>35313.3</v>
      </c>
      <c r="M141" s="10">
        <f>+K141-G141</f>
        <v/>
      </c>
    </row>
    <row r="142">
      <c r="C142" s="13" t="inlineStr">
        <is>
          <t>MAT07-0039</t>
        </is>
      </c>
      <c r="D142" s="11">
        <f>_xlfn.XLOOKUP(C142,Detallado!C:C,Detallado!E:E,"ERROR",0)</f>
        <v/>
      </c>
      <c r="E142" s="6">
        <f>SUMIF(Detallado!C:C,ANALISIS!C142,Detallado!F:F)</f>
        <v/>
      </c>
      <c r="F142" s="7">
        <f>_xlfn.XLOOKUP(C142,Detallado!C:C,Detallado!H:H,"ERROR",0)</f>
        <v/>
      </c>
      <c r="G142" s="8">
        <f>E142*F142</f>
        <v/>
      </c>
      <c r="H142" s="9">
        <f>G142/$G$313</f>
        <v/>
      </c>
      <c r="J142" s="7" t="n">
        <v>35.55399999999999</v>
      </c>
      <c r="K142" s="7" t="n">
        <v>8888.499999999998</v>
      </c>
      <c r="M142" s="10">
        <f>+K142-G142</f>
        <v/>
      </c>
    </row>
    <row r="143">
      <c r="C143" s="13" t="inlineStr">
        <is>
          <t>MAT07-0043</t>
        </is>
      </c>
      <c r="D143" s="11">
        <f>_xlfn.XLOOKUP(C143,Detallado!C:C,Detallado!E:E,"ERROR",0)</f>
        <v/>
      </c>
      <c r="E143" s="6">
        <f>SUMIF(Detallado!C:C,ANALISIS!C143,Detallado!F:F)</f>
        <v/>
      </c>
      <c r="F143" s="7">
        <f>_xlfn.XLOOKUP(C143,Detallado!C:C,Detallado!H:H,"ERROR",0)</f>
        <v/>
      </c>
      <c r="G143" s="8">
        <f>E143*F143</f>
        <v/>
      </c>
      <c r="H143" s="9">
        <f>G143/$G$313</f>
        <v/>
      </c>
      <c r="J143" s="7" t="n">
        <v>1200</v>
      </c>
      <c r="K143" s="7" t="n">
        <v>16800</v>
      </c>
      <c r="M143" s="10">
        <f>+K143-G143</f>
        <v/>
      </c>
    </row>
    <row r="144">
      <c r="C144" s="13" t="inlineStr">
        <is>
          <t>MAT08-0003</t>
        </is>
      </c>
      <c r="D144" s="11">
        <f>_xlfn.XLOOKUP(C144,Detallado!C:C,Detallado!E:E,"ERROR",0)</f>
        <v/>
      </c>
      <c r="E144" s="6">
        <f>SUMIF(Detallado!C:C,ANALISIS!C144,Detallado!F:F)</f>
        <v/>
      </c>
      <c r="F144" s="7">
        <f>_xlfn.XLOOKUP(C144,Detallado!C:C,Detallado!H:H,"ERROR",0)</f>
        <v/>
      </c>
      <c r="G144" s="8">
        <f>E144*F144</f>
        <v/>
      </c>
      <c r="H144" s="9">
        <f>G144/$G$313</f>
        <v/>
      </c>
      <c r="J144" s="7" t="n">
        <v>6298.7072</v>
      </c>
      <c r="K144" s="7" t="n">
        <v>6298.7072</v>
      </c>
      <c r="M144" s="10">
        <f>+K144-G144</f>
        <v/>
      </c>
    </row>
    <row r="145">
      <c r="C145" s="15" t="inlineStr">
        <is>
          <t>MAT08-0009</t>
        </is>
      </c>
      <c r="D145" s="11">
        <f>_xlfn.XLOOKUP(C145,Detallado!C:C,Detallado!E:E,"ERROR",0)</f>
        <v/>
      </c>
      <c r="E145" s="6">
        <f>SUMIF(Detallado!C:C,ANALISIS!C145,Detallado!F:F)</f>
        <v/>
      </c>
      <c r="F145" s="7">
        <f>_xlfn.XLOOKUP(C145,Detallado!C:C,Detallado!H:H,"ERROR",0)</f>
        <v/>
      </c>
      <c r="G145" s="8">
        <f>E145*F145</f>
        <v/>
      </c>
      <c r="H145" s="9">
        <f>G145/$G$313</f>
        <v/>
      </c>
      <c r="J145" s="7" t="n">
        <v>4353.3524</v>
      </c>
      <c r="K145" s="7" t="n">
        <v>4353.3524</v>
      </c>
      <c r="M145" s="10">
        <f>+K145-G145</f>
        <v/>
      </c>
    </row>
    <row r="146">
      <c r="C146" s="15" t="inlineStr">
        <is>
          <t>MAT08-0012</t>
        </is>
      </c>
      <c r="D146" s="11">
        <f>_xlfn.XLOOKUP(C146,Detallado!C:C,Detallado!E:E,"ERROR",0)</f>
        <v/>
      </c>
      <c r="E146" s="6">
        <f>SUMIF(Detallado!C:C,ANALISIS!C146,Detallado!F:F)</f>
        <v/>
      </c>
      <c r="F146" s="7">
        <f>_xlfn.XLOOKUP(C146,Detallado!C:C,Detallado!H:H,"ERROR",0)</f>
        <v/>
      </c>
      <c r="G146" s="8">
        <f>E146*F146</f>
        <v/>
      </c>
      <c r="H146" s="9">
        <f>G146/$G$313</f>
        <v/>
      </c>
      <c r="J146" s="7" t="n">
        <v>1462.840025499988</v>
      </c>
      <c r="K146" s="7" t="n">
        <v>1462.840025499988</v>
      </c>
      <c r="M146" s="10">
        <f>+K146-G146</f>
        <v/>
      </c>
    </row>
    <row r="147">
      <c r="C147" s="15" t="inlineStr">
        <is>
          <t>MAT08-0013</t>
        </is>
      </c>
      <c r="D147" s="11">
        <f>_xlfn.XLOOKUP(C147,Detallado!C:C,Detallado!E:E,"ERROR",0)</f>
        <v/>
      </c>
      <c r="E147" s="6">
        <f>SUMIF(Detallado!C:C,ANALISIS!C147,Detallado!F:F)</f>
        <v/>
      </c>
      <c r="F147" s="7">
        <f>_xlfn.XLOOKUP(C147,Detallado!C:C,Detallado!H:H,"ERROR",0)</f>
        <v/>
      </c>
      <c r="G147" s="8">
        <f>E147*F147</f>
        <v/>
      </c>
      <c r="H147" s="9">
        <f>G147/$G$313</f>
        <v/>
      </c>
      <c r="J147" s="7" t="n">
        <v>2084.48172</v>
      </c>
      <c r="K147" s="7" t="n">
        <v>8337.926879999999</v>
      </c>
      <c r="M147" s="10">
        <f>+K147-G147</f>
        <v/>
      </c>
    </row>
    <row r="148">
      <c r="C148" s="15" t="inlineStr">
        <is>
          <t>MAT08-0015</t>
        </is>
      </c>
      <c r="D148" s="11">
        <f>_xlfn.XLOOKUP(C148,Detallado!C:C,Detallado!E:E,"ERROR",0)</f>
        <v/>
      </c>
      <c r="E148" s="6">
        <f>SUMIF(Detallado!C:C,ANALISIS!C148,Detallado!F:F)</f>
        <v/>
      </c>
      <c r="F148" s="7">
        <f>_xlfn.XLOOKUP(C148,Detallado!C:C,Detallado!H:H,"ERROR",0)</f>
        <v/>
      </c>
      <c r="G148" s="8">
        <f>E148*F148</f>
        <v/>
      </c>
      <c r="H148" s="9">
        <f>G148/$G$313</f>
        <v/>
      </c>
      <c r="J148" s="7" t="n">
        <v>17284</v>
      </c>
      <c r="K148" s="7" t="n">
        <v>17284</v>
      </c>
      <c r="M148" s="10">
        <f>+K148-G148</f>
        <v/>
      </c>
    </row>
    <row r="149">
      <c r="C149" s="15" t="inlineStr">
        <is>
          <t>MAT08-0016</t>
        </is>
      </c>
      <c r="D149" s="11">
        <f>_xlfn.XLOOKUP(C149,Detallado!C:C,Detallado!E:E,"ERROR",0)</f>
        <v/>
      </c>
      <c r="E149" s="6">
        <f>SUMIF(Detallado!C:C,ANALISIS!C149,Detallado!F:F)</f>
        <v/>
      </c>
      <c r="F149" s="7">
        <f>_xlfn.XLOOKUP(C149,Detallado!C:C,Detallado!H:H,"ERROR",0)</f>
        <v/>
      </c>
      <c r="G149" s="8">
        <f>E149*F149</f>
        <v/>
      </c>
      <c r="H149" s="9">
        <f>G149/$G$313</f>
        <v/>
      </c>
      <c r="J149" s="7" t="n">
        <v>24567.91066666663</v>
      </c>
      <c r="K149" s="7" t="n">
        <v>24567.91066666663</v>
      </c>
      <c r="M149" s="10">
        <f>+K149-G149</f>
        <v/>
      </c>
    </row>
    <row r="150">
      <c r="C150" s="15" t="inlineStr">
        <is>
          <t>MAT08-0017</t>
        </is>
      </c>
      <c r="D150" s="11">
        <f>_xlfn.XLOOKUP(C150,Detallado!C:C,Detallado!E:E,"ERROR",0)</f>
        <v/>
      </c>
      <c r="E150" s="6">
        <f>SUMIF(Detallado!C:C,ANALISIS!C150,Detallado!F:F)</f>
        <v/>
      </c>
      <c r="F150" s="7">
        <f>_xlfn.XLOOKUP(C150,Detallado!C:C,Detallado!H:H,"ERROR",0)</f>
        <v/>
      </c>
      <c r="G150" s="8">
        <f>E150*F150</f>
        <v/>
      </c>
      <c r="H150" s="9">
        <f>G150/$G$313</f>
        <v/>
      </c>
      <c r="J150" s="7" t="n">
        <v>1670.4</v>
      </c>
      <c r="K150" s="7" t="n">
        <v>3340.8</v>
      </c>
      <c r="M150" s="10">
        <f>+K150-G150</f>
        <v/>
      </c>
    </row>
    <row r="151">
      <c r="C151" s="15" t="inlineStr">
        <is>
          <t>MAT08-0018</t>
        </is>
      </c>
      <c r="D151" s="11">
        <f>_xlfn.XLOOKUP(C151,Detallado!C:C,Detallado!E:E,"ERROR",0)</f>
        <v/>
      </c>
      <c r="E151" s="6">
        <f>SUMIF(Detallado!C:C,ANALISIS!C151,Detallado!F:F)</f>
        <v/>
      </c>
      <c r="F151" s="7">
        <f>_xlfn.XLOOKUP(C151,Detallado!C:C,Detallado!H:H,"ERROR",0)</f>
        <v/>
      </c>
      <c r="G151" s="8">
        <f>E151*F151</f>
        <v/>
      </c>
      <c r="H151" s="9">
        <f>G151/$G$313</f>
        <v/>
      </c>
      <c r="J151" s="7" t="n">
        <v>2949.915873</v>
      </c>
      <c r="K151" s="7" t="n">
        <v>14749.579365</v>
      </c>
      <c r="M151" s="10">
        <f>+K151-G151</f>
        <v/>
      </c>
    </row>
    <row r="152">
      <c r="C152" s="15" t="inlineStr">
        <is>
          <t>MAT08-0026</t>
        </is>
      </c>
      <c r="D152" s="11">
        <f>_xlfn.XLOOKUP(C152,Detallado!C:C,Detallado!E:E,"ERROR",0)</f>
        <v/>
      </c>
      <c r="E152" s="6">
        <f>SUMIF(Detallado!C:C,ANALISIS!C152,Detallado!F:F)</f>
        <v/>
      </c>
      <c r="F152" s="7">
        <f>_xlfn.XLOOKUP(C152,Detallado!C:C,Detallado!H:H,"ERROR",0)</f>
        <v/>
      </c>
      <c r="G152" s="8">
        <f>E152*F152</f>
        <v/>
      </c>
      <c r="H152" s="9">
        <f>G152/$G$313</f>
        <v/>
      </c>
      <c r="J152" s="7" t="n">
        <v>2155.03872</v>
      </c>
      <c r="K152" s="7" t="n">
        <v>6465.116159999999</v>
      </c>
      <c r="M152" s="10">
        <f>+K152-G152</f>
        <v/>
      </c>
    </row>
    <row r="153">
      <c r="C153" s="15" t="inlineStr">
        <is>
          <t>MAT08-0029</t>
        </is>
      </c>
      <c r="D153" s="11">
        <f>_xlfn.XLOOKUP(C153,Detallado!C:C,Detallado!E:E,"ERROR",0)</f>
        <v/>
      </c>
      <c r="E153" s="6">
        <f>SUMIF(Detallado!C:C,ANALISIS!C153,Detallado!F:F)</f>
        <v/>
      </c>
      <c r="F153" s="7">
        <f>_xlfn.XLOOKUP(C153,Detallado!C:C,Detallado!H:H,"ERROR",0)</f>
        <v/>
      </c>
      <c r="G153" s="8">
        <f>E153*F153</f>
        <v/>
      </c>
      <c r="H153" s="9">
        <f>G153/$G$313</f>
        <v/>
      </c>
      <c r="J153" s="7" t="n">
        <v>366.71544</v>
      </c>
      <c r="K153" s="7" t="n">
        <v>2200.29264</v>
      </c>
      <c r="M153" s="10">
        <f>+K153-G153</f>
        <v/>
      </c>
    </row>
    <row r="154">
      <c r="C154" s="15" t="inlineStr">
        <is>
          <t>MAT08-0031</t>
        </is>
      </c>
      <c r="D154" s="11">
        <f>_xlfn.XLOOKUP(C154,Detallado!C:C,Detallado!E:E,"ERROR",0)</f>
        <v/>
      </c>
      <c r="E154" s="6">
        <f>SUMIF(Detallado!C:C,ANALISIS!C154,Detallado!F:F)</f>
        <v/>
      </c>
      <c r="F154" s="7">
        <f>_xlfn.XLOOKUP(C154,Detallado!C:C,Detallado!H:H,"ERROR",0)</f>
        <v/>
      </c>
      <c r="G154" s="8">
        <f>E154*F154</f>
        <v/>
      </c>
      <c r="H154" s="9">
        <f>G154/$G$313</f>
        <v/>
      </c>
      <c r="J154" s="7" t="n">
        <v>792.5689454545443</v>
      </c>
      <c r="K154" s="7" t="n">
        <v>5547.98261818181</v>
      </c>
      <c r="M154" s="10">
        <f>+K154-G154</f>
        <v/>
      </c>
    </row>
    <row r="155">
      <c r="C155" s="15" t="inlineStr">
        <is>
          <t>MAT08-0034</t>
        </is>
      </c>
      <c r="D155" s="11">
        <f>_xlfn.XLOOKUP(C155,Detallado!C:C,Detallado!E:E,"ERROR",0)</f>
        <v/>
      </c>
      <c r="E155" s="6">
        <f>SUMIF(Detallado!C:C,ANALISIS!C155,Detallado!F:F)</f>
        <v/>
      </c>
      <c r="F155" s="7">
        <f>_xlfn.XLOOKUP(C155,Detallado!C:C,Detallado!H:H,"ERROR",0)</f>
        <v/>
      </c>
      <c r="G155" s="8">
        <f>E155*F155</f>
        <v/>
      </c>
      <c r="H155" s="9">
        <f>G155/$G$313</f>
        <v/>
      </c>
      <c r="J155" s="7" t="n">
        <v>897.8469599999999</v>
      </c>
      <c r="K155" s="7" t="n">
        <v>897.8469599999999</v>
      </c>
      <c r="M155" s="10">
        <f>+K155-G155</f>
        <v/>
      </c>
    </row>
    <row r="156">
      <c r="C156" s="15" t="inlineStr">
        <is>
          <t>MAT08-0038</t>
        </is>
      </c>
      <c r="D156" s="11">
        <f>_xlfn.XLOOKUP(C156,Detallado!C:C,Detallado!E:E,"ERROR",0)</f>
        <v/>
      </c>
      <c r="E156" s="6">
        <f>SUMIF(Detallado!C:C,ANALISIS!C156,Detallado!F:F)</f>
        <v/>
      </c>
      <c r="F156" s="7">
        <f>_xlfn.XLOOKUP(C156,Detallado!C:C,Detallado!H:H,"ERROR",0)</f>
        <v/>
      </c>
      <c r="G156" s="8">
        <f>E156*F156</f>
        <v/>
      </c>
      <c r="H156" s="9">
        <f>G156/$G$313</f>
        <v/>
      </c>
      <c r="J156" s="7" t="n">
        <v>2779.640977777775</v>
      </c>
      <c r="K156" s="7" t="n">
        <v>27796.40977777775</v>
      </c>
      <c r="M156" s="10">
        <f>+K156-G156</f>
        <v/>
      </c>
    </row>
    <row r="157">
      <c r="C157" s="15" t="inlineStr">
        <is>
          <t>MAT08-0039</t>
        </is>
      </c>
      <c r="D157" s="11">
        <f>_xlfn.XLOOKUP(C157,Detallado!C:C,Detallado!E:E,"ERROR",0)</f>
        <v/>
      </c>
      <c r="E157" s="6">
        <f>SUMIF(Detallado!C:C,ANALISIS!C157,Detallado!F:F)</f>
        <v/>
      </c>
      <c r="F157" s="7">
        <f>_xlfn.XLOOKUP(C157,Detallado!C:C,Detallado!H:H,"ERROR",0)</f>
        <v/>
      </c>
      <c r="G157" s="8">
        <f>E157*F157</f>
        <v/>
      </c>
      <c r="H157" s="9">
        <f>G157/$G$313</f>
        <v/>
      </c>
      <c r="J157" s="7" t="n">
        <v>5542.48</v>
      </c>
      <c r="K157" s="7" t="n">
        <v>0</v>
      </c>
      <c r="M157" s="10">
        <f>+K157-G157</f>
        <v/>
      </c>
    </row>
    <row r="158">
      <c r="C158" s="15" t="inlineStr">
        <is>
          <t>MAT08-0040</t>
        </is>
      </c>
      <c r="D158" s="11">
        <f>_xlfn.XLOOKUP(C158,Detallado!C:C,Detallado!E:E,"ERROR",0)</f>
        <v/>
      </c>
      <c r="E158" s="6">
        <f>SUMIF(Detallado!C:C,ANALISIS!C158,Detallado!F:F)</f>
        <v/>
      </c>
      <c r="F158" s="7">
        <f>_xlfn.XLOOKUP(C158,Detallado!C:C,Detallado!H:H,"ERROR",0)</f>
        <v/>
      </c>
      <c r="G158" s="8">
        <f>E158*F158</f>
        <v/>
      </c>
      <c r="H158" s="9">
        <f>G158/$G$313</f>
        <v/>
      </c>
      <c r="J158" s="7" t="n">
        <v>927.9999999999999</v>
      </c>
      <c r="K158" s="7" t="n">
        <v>3712</v>
      </c>
      <c r="M158" s="10">
        <f>+K158-G158</f>
        <v/>
      </c>
    </row>
    <row r="159">
      <c r="C159" s="15" t="inlineStr">
        <is>
          <t>MAT08-0042</t>
        </is>
      </c>
      <c r="D159" s="11">
        <f>_xlfn.XLOOKUP(C159,Detallado!C:C,Detallado!E:E,"ERROR",0)</f>
        <v/>
      </c>
      <c r="E159" s="6">
        <f>SUMIF(Detallado!C:C,ANALISIS!C159,Detallado!F:F)</f>
        <v/>
      </c>
      <c r="F159" s="7">
        <f>_xlfn.XLOOKUP(C159,Detallado!C:C,Detallado!H:H,"ERROR",0)</f>
        <v/>
      </c>
      <c r="G159" s="8">
        <f>E159*F159</f>
        <v/>
      </c>
      <c r="H159" s="9">
        <f>G159/$G$313</f>
        <v/>
      </c>
      <c r="J159" s="7" t="n">
        <v>1295.952</v>
      </c>
      <c r="K159" s="7" t="n">
        <v>5183.808</v>
      </c>
      <c r="M159" s="10">
        <f>+K159-G159</f>
        <v/>
      </c>
    </row>
    <row r="160">
      <c r="C160" s="15" t="inlineStr">
        <is>
          <t>MAT08-0046</t>
        </is>
      </c>
      <c r="D160" s="11">
        <f>_xlfn.XLOOKUP(C160,Detallado!C:C,Detallado!E:E,"ERROR",0)</f>
        <v/>
      </c>
      <c r="E160" s="6">
        <f>SUMIF(Detallado!C:C,ANALISIS!C160,Detallado!F:F)</f>
        <v/>
      </c>
      <c r="F160" s="7">
        <f>_xlfn.XLOOKUP(C160,Detallado!C:C,Detallado!H:H,"ERROR",0)</f>
        <v/>
      </c>
      <c r="G160" s="8">
        <f>E160*F160</f>
        <v/>
      </c>
      <c r="H160" s="9">
        <f>G160/$G$313</f>
        <v/>
      </c>
      <c r="J160" s="7" t="n">
        <v>6380</v>
      </c>
      <c r="K160" s="7" t="n">
        <v>38280</v>
      </c>
      <c r="M160" s="10">
        <f>+K160-G160</f>
        <v/>
      </c>
    </row>
    <row r="161">
      <c r="C161" s="15" t="inlineStr">
        <is>
          <t>MAT08-0047</t>
        </is>
      </c>
      <c r="D161" s="11">
        <f>_xlfn.XLOOKUP(C161,Detallado!C:C,Detallado!E:E,"ERROR",0)</f>
        <v/>
      </c>
      <c r="E161" s="6">
        <f>SUMIF(Detallado!C:C,ANALISIS!C161,Detallado!F:F)</f>
        <v/>
      </c>
      <c r="F161" s="7">
        <f>_xlfn.XLOOKUP(C161,Detallado!C:C,Detallado!H:H,"ERROR",0)</f>
        <v/>
      </c>
      <c r="G161" s="8">
        <f>E161*F161</f>
        <v/>
      </c>
      <c r="H161" s="9">
        <f>G161/$G$313</f>
        <v/>
      </c>
      <c r="J161" s="7" t="n">
        <v>1393.711</v>
      </c>
      <c r="K161" s="7" t="n">
        <v>1393.711</v>
      </c>
      <c r="M161" s="10">
        <f>+K161-G161</f>
        <v/>
      </c>
    </row>
    <row r="162">
      <c r="C162" s="15" t="inlineStr">
        <is>
          <t>MAT08-0049</t>
        </is>
      </c>
      <c r="D162" s="11">
        <f>_xlfn.XLOOKUP(C162,Detallado!C:C,Detallado!E:E,"ERROR",0)</f>
        <v/>
      </c>
      <c r="E162" s="6">
        <f>SUMIF(Detallado!C:C,ANALISIS!C162,Detallado!F:F)</f>
        <v/>
      </c>
      <c r="F162" s="7">
        <f>_xlfn.XLOOKUP(C162,Detallado!C:C,Detallado!H:H,"ERROR",0)</f>
        <v/>
      </c>
      <c r="G162" s="8">
        <f>E162*F162</f>
        <v/>
      </c>
      <c r="H162" s="9">
        <f>G162/$G$313</f>
        <v/>
      </c>
      <c r="J162" s="7" t="n">
        <v>1775.92926</v>
      </c>
      <c r="K162" s="7" t="n">
        <v>3551.85852</v>
      </c>
      <c r="M162" s="10">
        <f>+K162-G162</f>
        <v/>
      </c>
    </row>
    <row r="163">
      <c r="C163" s="15" t="inlineStr">
        <is>
          <t>MAT08-0052</t>
        </is>
      </c>
      <c r="D163" s="11">
        <f>_xlfn.XLOOKUP(C163,Detallado!C:C,Detallado!E:E,"ERROR",0)</f>
        <v/>
      </c>
      <c r="E163" s="6">
        <f>SUMIF(Detallado!C:C,ANALISIS!C163,Detallado!F:F)</f>
        <v/>
      </c>
      <c r="F163" s="7">
        <f>_xlfn.XLOOKUP(C163,Detallado!C:C,Detallado!H:H,"ERROR",0)</f>
        <v/>
      </c>
      <c r="G163" s="8">
        <f>E163*F163</f>
        <v/>
      </c>
      <c r="H163" s="9">
        <f>G163/$G$313</f>
        <v/>
      </c>
      <c r="J163" s="7" t="n">
        <v>5235.08</v>
      </c>
      <c r="K163" s="7" t="n">
        <v>5235.08</v>
      </c>
      <c r="M163" s="10">
        <f>+K163-G163</f>
        <v/>
      </c>
    </row>
    <row r="164">
      <c r="C164" s="15" t="inlineStr">
        <is>
          <t>MAT08-0062</t>
        </is>
      </c>
      <c r="D164" s="11">
        <f>_xlfn.XLOOKUP(C164,Detallado!C:C,Detallado!E:E,"ERROR",0)</f>
        <v/>
      </c>
      <c r="E164" s="6">
        <f>SUMIF(Detallado!C:C,ANALISIS!C164,Detallado!F:F)</f>
        <v/>
      </c>
      <c r="F164" s="7">
        <f>_xlfn.XLOOKUP(C164,Detallado!C:C,Detallado!H:H,"ERROR",0)</f>
        <v/>
      </c>
      <c r="G164" s="8">
        <f>E164*F164</f>
        <v/>
      </c>
      <c r="H164" s="9">
        <f>G164/$G$313</f>
        <v/>
      </c>
      <c r="J164" s="7" t="n">
        <v>17980</v>
      </c>
      <c r="K164" s="7" t="n">
        <v>17980</v>
      </c>
      <c r="M164" s="10">
        <f>+K164-G164</f>
        <v/>
      </c>
    </row>
    <row r="165">
      <c r="C165" s="15" t="inlineStr">
        <is>
          <t>MAT08-0063</t>
        </is>
      </c>
      <c r="D165" s="11">
        <f>_xlfn.XLOOKUP(C165,Detallado!C:C,Detallado!E:E,"ERROR",0)</f>
        <v/>
      </c>
      <c r="E165" s="6">
        <f>SUMIF(Detallado!C:C,ANALISIS!C165,Detallado!F:F)</f>
        <v/>
      </c>
      <c r="F165" s="7">
        <f>_xlfn.XLOOKUP(C165,Detallado!C:C,Detallado!H:H,"ERROR",0)</f>
        <v/>
      </c>
      <c r="G165" s="8">
        <f>E165*F165</f>
        <v/>
      </c>
      <c r="H165" s="9">
        <f>G165/$G$313</f>
        <v/>
      </c>
      <c r="J165" s="7" t="n">
        <v>12594.2824</v>
      </c>
      <c r="K165" s="7" t="n">
        <v>12594.2824</v>
      </c>
      <c r="M165" s="10">
        <f>+K165-G165</f>
        <v/>
      </c>
    </row>
    <row r="166">
      <c r="C166" s="15" t="inlineStr">
        <is>
          <t>MAT08-0065</t>
        </is>
      </c>
      <c r="D166" s="11">
        <f>_xlfn.XLOOKUP(C166,Detallado!C:C,Detallado!E:E,"ERROR",0)</f>
        <v/>
      </c>
      <c r="E166" s="6">
        <f>SUMIF(Detallado!C:C,ANALISIS!C166,Detallado!F:F)</f>
        <v/>
      </c>
      <c r="F166" s="7">
        <f>_xlfn.XLOOKUP(C166,Detallado!C:C,Detallado!H:H,"ERROR",0)</f>
        <v/>
      </c>
      <c r="G166" s="8">
        <f>E166*F166</f>
        <v/>
      </c>
      <c r="H166" s="9">
        <f>G166/$G$313</f>
        <v/>
      </c>
      <c r="J166" s="7" t="n">
        <v>7239.559999999999</v>
      </c>
      <c r="K166" s="7" t="n">
        <v>7239.559999999999</v>
      </c>
      <c r="M166" s="10">
        <f>+K166-G166</f>
        <v/>
      </c>
    </row>
    <row r="167">
      <c r="C167" s="15" t="inlineStr">
        <is>
          <t>MAT08-0067</t>
        </is>
      </c>
      <c r="D167" s="11">
        <f>_xlfn.XLOOKUP(C167,Detallado!C:C,Detallado!E:E,"ERROR",0)</f>
        <v/>
      </c>
      <c r="E167" s="6">
        <f>SUMIF(Detallado!C:C,ANALISIS!C167,Detallado!F:F)</f>
        <v/>
      </c>
      <c r="F167" s="7">
        <f>_xlfn.XLOOKUP(C167,Detallado!C:C,Detallado!H:H,"ERROR",0)</f>
        <v/>
      </c>
      <c r="G167" s="8">
        <f>E167*F167</f>
        <v/>
      </c>
      <c r="H167" s="9">
        <f>G167/$G$313</f>
        <v/>
      </c>
      <c r="J167" s="7" t="n">
        <v>377.482096</v>
      </c>
      <c r="K167" s="7" t="n">
        <v>8304.606111999999</v>
      </c>
      <c r="M167" s="10">
        <f>+K167-G167</f>
        <v/>
      </c>
    </row>
    <row r="168">
      <c r="C168" s="13" t="inlineStr">
        <is>
          <t>MAT08-0069</t>
        </is>
      </c>
      <c r="D168" s="11">
        <f>_xlfn.XLOOKUP(C168,Detallado!C:C,Detallado!E:E,"ERROR",0)</f>
        <v/>
      </c>
      <c r="E168" s="6">
        <f>SUMIF(Detallado!C:C,ANALISIS!C168,Detallado!F:F)</f>
        <v/>
      </c>
      <c r="F168" s="7">
        <f>_xlfn.XLOOKUP(C168,Detallado!C:C,Detallado!H:H,"ERROR",0)</f>
        <v/>
      </c>
      <c r="G168" s="8">
        <f>E168*F168</f>
        <v/>
      </c>
      <c r="H168" s="9">
        <f>G168/$G$313</f>
        <v/>
      </c>
      <c r="J168" s="7" t="n">
        <v>323.362876</v>
      </c>
      <c r="K168" s="7" t="n">
        <v>1616.81438</v>
      </c>
      <c r="M168" s="10">
        <f>+K168-G168</f>
        <v/>
      </c>
    </row>
    <row r="169">
      <c r="C169" s="13" t="inlineStr">
        <is>
          <t>MAT08-0072</t>
        </is>
      </c>
      <c r="D169" s="11">
        <f>_xlfn.XLOOKUP(C169,Detallado!C:C,Detallado!E:E,"ERROR",0)</f>
        <v/>
      </c>
      <c r="E169" s="6">
        <f>SUMIF(Detallado!C:C,ANALISIS!C169,Detallado!F:F)</f>
        <v/>
      </c>
      <c r="F169" s="7">
        <f>_xlfn.XLOOKUP(C169,Detallado!C:C,Detallado!H:H,"ERROR",0)</f>
        <v/>
      </c>
      <c r="G169" s="8">
        <f>E169*F169</f>
        <v/>
      </c>
      <c r="H169" s="9">
        <f>G169/$G$313</f>
        <v/>
      </c>
      <c r="J169" s="7" t="n">
        <v>1818.183999999988</v>
      </c>
      <c r="K169" s="7" t="n">
        <v>5454.551999999965</v>
      </c>
      <c r="M169" s="10">
        <f>+K169-G169</f>
        <v/>
      </c>
    </row>
    <row r="170">
      <c r="C170" s="13" t="inlineStr">
        <is>
          <t>MAT08-0073</t>
        </is>
      </c>
      <c r="D170" s="11">
        <f>_xlfn.XLOOKUP(C170,Detallado!C:C,Detallado!E:E,"ERROR",0)</f>
        <v/>
      </c>
      <c r="E170" s="6">
        <f>SUMIF(Detallado!C:C,ANALISIS!C170,Detallado!F:F)</f>
        <v/>
      </c>
      <c r="F170" s="7">
        <f>_xlfn.XLOOKUP(C170,Detallado!C:C,Detallado!H:H,"ERROR",0)</f>
        <v/>
      </c>
      <c r="G170" s="8">
        <f>E170*F170</f>
        <v/>
      </c>
      <c r="H170" s="9">
        <f>G170/$G$313</f>
        <v/>
      </c>
      <c r="J170" s="7" t="n">
        <v>2896.288</v>
      </c>
      <c r="K170" s="7" t="n">
        <v>8688.864</v>
      </c>
      <c r="M170" s="10">
        <f>+K170-G170</f>
        <v/>
      </c>
    </row>
    <row r="171">
      <c r="C171" s="13" t="inlineStr">
        <is>
          <t>MAT08-0075</t>
        </is>
      </c>
      <c r="D171" s="11">
        <f>_xlfn.XLOOKUP(C171,Detallado!C:C,Detallado!E:E,"ERROR",0)</f>
        <v/>
      </c>
      <c r="E171" s="6">
        <f>SUMIF(Detallado!C:C,ANALISIS!C171,Detallado!F:F)</f>
        <v/>
      </c>
      <c r="F171" s="7">
        <f>_xlfn.XLOOKUP(C171,Detallado!C:C,Detallado!H:H,"ERROR",0)</f>
        <v/>
      </c>
      <c r="G171" s="8">
        <f>E171*F171</f>
        <v/>
      </c>
      <c r="H171" s="9">
        <f>G171/$G$313</f>
        <v/>
      </c>
      <c r="J171" s="7" t="n">
        <v>3827.667466666663</v>
      </c>
      <c r="K171" s="7" t="n">
        <v>7655.334933333325</v>
      </c>
      <c r="M171" s="10">
        <f>+K171-G171</f>
        <v/>
      </c>
    </row>
    <row r="172">
      <c r="C172" s="13" t="inlineStr">
        <is>
          <t>MAT08-0079</t>
        </is>
      </c>
      <c r="D172" s="11">
        <f>_xlfn.XLOOKUP(C172,Detallado!C:C,Detallado!E:E,"ERROR",0)</f>
        <v/>
      </c>
      <c r="E172" s="6">
        <f>SUMIF(Detallado!C:C,ANALISIS!C172,Detallado!F:F)</f>
        <v/>
      </c>
      <c r="F172" s="7">
        <f>_xlfn.XLOOKUP(C172,Detallado!C:C,Detallado!H:H,"ERROR",0)</f>
        <v/>
      </c>
      <c r="G172" s="8">
        <f>E172*F172</f>
        <v/>
      </c>
      <c r="H172" s="9">
        <f>G172/$G$313</f>
        <v/>
      </c>
      <c r="J172" s="7" t="n">
        <v>1632.0504</v>
      </c>
      <c r="K172" s="7" t="n">
        <v>3264.1008</v>
      </c>
      <c r="M172" s="10">
        <f>+K172-G172</f>
        <v/>
      </c>
    </row>
    <row r="173">
      <c r="C173" s="13" t="inlineStr">
        <is>
          <t>MAT08-0081</t>
        </is>
      </c>
      <c r="D173" s="11">
        <f>_xlfn.XLOOKUP(C173,Detallado!C:C,Detallado!E:E,"ERROR",0)</f>
        <v/>
      </c>
      <c r="E173" s="6">
        <f>SUMIF(Detallado!C:C,ANALISIS!C173,Detallado!F:F)</f>
        <v/>
      </c>
      <c r="F173" s="7">
        <f>_xlfn.XLOOKUP(C173,Detallado!C:C,Detallado!H:H,"ERROR",0)</f>
        <v/>
      </c>
      <c r="G173" s="8">
        <f>E173*F173</f>
        <v/>
      </c>
      <c r="H173" s="9">
        <f>G173/$G$313</f>
        <v/>
      </c>
      <c r="J173" s="7" t="n">
        <v>2086.8052</v>
      </c>
      <c r="K173" s="7" t="n">
        <v>2086.8052</v>
      </c>
      <c r="M173" s="10">
        <f>+K173-G173</f>
        <v/>
      </c>
    </row>
    <row r="174">
      <c r="C174" s="15" t="inlineStr">
        <is>
          <t>MAT08-0085</t>
        </is>
      </c>
      <c r="D174" s="11">
        <f>_xlfn.XLOOKUP(C174,Detallado!C:C,Detallado!E:E,"ERROR",0)</f>
        <v/>
      </c>
      <c r="E174" s="6">
        <f>SUMIF(Detallado!C:C,ANALISIS!C174,Detallado!F:F)</f>
        <v/>
      </c>
      <c r="F174" s="7">
        <f>_xlfn.XLOOKUP(C174,Detallado!C:C,Detallado!H:H,"ERROR",0)</f>
        <v/>
      </c>
      <c r="G174" s="8">
        <f>E174*F174</f>
        <v/>
      </c>
      <c r="H174" s="9">
        <f>G174/$G$313</f>
        <v/>
      </c>
      <c r="J174" s="7" t="n">
        <v>2912.232973333325</v>
      </c>
      <c r="K174" s="7" t="n">
        <v>2912.232973333325</v>
      </c>
      <c r="M174" s="10">
        <f>+K174-G174</f>
        <v/>
      </c>
    </row>
    <row r="175">
      <c r="C175" s="13" t="inlineStr">
        <is>
          <t>MAT08-0087</t>
        </is>
      </c>
      <c r="D175" s="11">
        <f>_xlfn.XLOOKUP(C175,Detallado!C:C,Detallado!E:E,"ERROR",0)</f>
        <v/>
      </c>
      <c r="E175" s="6">
        <f>SUMIF(Detallado!C:C,ANALISIS!C175,Detallado!F:F)</f>
        <v/>
      </c>
      <c r="F175" s="7">
        <f>_xlfn.XLOOKUP(C175,Detallado!C:C,Detallado!H:H,"ERROR",0)</f>
        <v/>
      </c>
      <c r="G175" s="8">
        <f>E175*F175</f>
        <v/>
      </c>
      <c r="H175" s="9">
        <f>G175/$G$313</f>
        <v/>
      </c>
      <c r="J175" s="7" t="n">
        <v>6855.517507428564</v>
      </c>
      <c r="K175" s="7" t="n">
        <v>34277.58753714282</v>
      </c>
      <c r="M175" s="10">
        <f>+K175-G175</f>
        <v/>
      </c>
    </row>
    <row r="176">
      <c r="C176" s="13" t="inlineStr">
        <is>
          <t>MAT08-0089</t>
        </is>
      </c>
      <c r="D176" s="11">
        <f>_xlfn.XLOOKUP(C176,Detallado!C:C,Detallado!E:E,"ERROR",0)</f>
        <v/>
      </c>
      <c r="E176" s="6">
        <f>SUMIF(Detallado!C:C,ANALISIS!C176,Detallado!F:F)</f>
        <v/>
      </c>
      <c r="F176" s="7">
        <f>_xlfn.XLOOKUP(C176,Detallado!C:C,Detallado!H:H,"ERROR",0)</f>
        <v/>
      </c>
      <c r="G176" s="8">
        <f>E176*F176</f>
        <v/>
      </c>
      <c r="H176" s="9">
        <f>G176/$G$313</f>
        <v/>
      </c>
      <c r="J176" s="7" t="n">
        <v>12779.72</v>
      </c>
      <c r="K176" s="7" t="n">
        <v>12779.72</v>
      </c>
      <c r="M176" s="10">
        <f>+K176-G176</f>
        <v/>
      </c>
    </row>
    <row r="177">
      <c r="C177" s="13" t="inlineStr">
        <is>
          <t>MAT08-0091</t>
        </is>
      </c>
      <c r="D177" s="11">
        <f>_xlfn.XLOOKUP(C177,Detallado!C:C,Detallado!E:E,"ERROR",0)</f>
        <v/>
      </c>
      <c r="E177" s="6">
        <f>SUMIF(Detallado!C:C,ANALISIS!C177,Detallado!F:F)</f>
        <v/>
      </c>
      <c r="F177" s="7">
        <f>_xlfn.XLOOKUP(C177,Detallado!C:C,Detallado!H:H,"ERROR",0)</f>
        <v/>
      </c>
      <c r="G177" s="8">
        <f>E177*F177</f>
        <v/>
      </c>
      <c r="H177" s="9">
        <f>G177/$G$313</f>
        <v/>
      </c>
      <c r="J177" s="7" t="n">
        <v>3903.61924</v>
      </c>
      <c r="K177" s="7" t="n">
        <v>23421.71544</v>
      </c>
      <c r="M177" s="10">
        <f>+K177-G177</f>
        <v/>
      </c>
    </row>
    <row r="178">
      <c r="C178" s="13" t="inlineStr">
        <is>
          <t>MAT08-0092</t>
        </is>
      </c>
      <c r="D178" s="11">
        <f>_xlfn.XLOOKUP(C178,Detallado!C:C,Detallado!E:E,"ERROR",0)</f>
        <v/>
      </c>
      <c r="E178" s="6">
        <f>SUMIF(Detallado!C:C,ANALISIS!C178,Detallado!F:F)</f>
        <v/>
      </c>
      <c r="F178" s="7">
        <f>_xlfn.XLOOKUP(C178,Detallado!C:C,Detallado!H:H,"ERROR",0)</f>
        <v/>
      </c>
      <c r="G178" s="8">
        <f>E178*F178</f>
        <v/>
      </c>
      <c r="H178" s="9">
        <f>G178/$G$313</f>
        <v/>
      </c>
      <c r="J178" s="7" t="n">
        <v>4882.44</v>
      </c>
      <c r="K178" s="7" t="n">
        <v>4882.44</v>
      </c>
      <c r="M178" s="10">
        <f>+K178-G178</f>
        <v/>
      </c>
    </row>
    <row r="179">
      <c r="C179" s="13" t="inlineStr">
        <is>
          <t>MAT08-0099</t>
        </is>
      </c>
      <c r="D179" s="11">
        <f>_xlfn.XLOOKUP(C179,Detallado!C:C,Detallado!E:E,"ERROR",0)</f>
        <v/>
      </c>
      <c r="E179" s="6">
        <f>SUMIF(Detallado!C:C,ANALISIS!C179,Detallado!F:F)</f>
        <v/>
      </c>
      <c r="F179" s="7">
        <f>_xlfn.XLOOKUP(C179,Detallado!C:C,Detallado!H:H,"ERROR",0)</f>
        <v/>
      </c>
      <c r="G179" s="8">
        <f>E179*F179</f>
        <v/>
      </c>
      <c r="H179" s="9">
        <f>G179/$G$313</f>
        <v/>
      </c>
      <c r="J179" s="7" t="n">
        <v>71858.51999999999</v>
      </c>
      <c r="K179" s="7" t="n">
        <v>25618.85583336</v>
      </c>
      <c r="M179" s="10">
        <f>+K179-G179</f>
        <v/>
      </c>
    </row>
    <row r="180">
      <c r="C180" s="13" t="inlineStr">
        <is>
          <t>MAT08-0105</t>
        </is>
      </c>
      <c r="D180" s="11">
        <f>_xlfn.XLOOKUP(C180,Detallado!C:C,Detallado!E:E,"ERROR",0)</f>
        <v/>
      </c>
      <c r="E180" s="6">
        <f>SUMIF(Detallado!C:C,ANALISIS!C180,Detallado!F:F)</f>
        <v/>
      </c>
      <c r="F180" s="7">
        <f>_xlfn.XLOOKUP(C180,Detallado!C:C,Detallado!H:H,"ERROR",0)</f>
        <v/>
      </c>
      <c r="G180" s="8">
        <f>E180*F180</f>
        <v/>
      </c>
      <c r="H180" s="9">
        <f>G180/$G$313</f>
        <v/>
      </c>
      <c r="J180" s="7" t="n">
        <v>2062.04065</v>
      </c>
      <c r="K180" s="7" t="n">
        <v>4124.0813</v>
      </c>
      <c r="M180" s="10">
        <f>+K180-G180</f>
        <v/>
      </c>
    </row>
    <row r="181">
      <c r="C181" s="13" t="inlineStr">
        <is>
          <t>MAT08-0108</t>
        </is>
      </c>
      <c r="D181" s="11">
        <f>_xlfn.XLOOKUP(C181,Detallado!C:C,Detallado!E:E,"ERROR",0)</f>
        <v/>
      </c>
      <c r="E181" s="6">
        <f>SUMIF(Detallado!C:C,ANALISIS!C181,Detallado!F:F)</f>
        <v/>
      </c>
      <c r="F181" s="7">
        <f>_xlfn.XLOOKUP(C181,Detallado!C:C,Detallado!H:H,"ERROR",0)</f>
        <v/>
      </c>
      <c r="G181" s="8">
        <f>E181*F181</f>
        <v/>
      </c>
      <c r="H181" s="9">
        <f>G181/$G$313</f>
        <v/>
      </c>
      <c r="J181" s="7" t="n">
        <v>74.23999999999999</v>
      </c>
      <c r="K181" s="7" t="n">
        <v>3489.28</v>
      </c>
      <c r="M181" s="10">
        <f>+K181-G181</f>
        <v/>
      </c>
    </row>
    <row r="182">
      <c r="C182" s="13" t="inlineStr">
        <is>
          <t>MAT08-0113</t>
        </is>
      </c>
      <c r="D182" s="11">
        <f>_xlfn.XLOOKUP(C182,Detallado!C:C,Detallado!E:E,"ERROR",0)</f>
        <v/>
      </c>
      <c r="E182" s="6">
        <f>SUMIF(Detallado!C:C,ANALISIS!C182,Detallado!F:F)</f>
        <v/>
      </c>
      <c r="F182" s="7">
        <f>_xlfn.XLOOKUP(C182,Detallado!C:C,Detallado!H:H,"ERROR",0)</f>
        <v/>
      </c>
      <c r="G182" s="8">
        <f>E182*F182</f>
        <v/>
      </c>
      <c r="H182" s="9">
        <f>G182/$G$313</f>
        <v/>
      </c>
      <c r="J182" s="7" t="n">
        <v>5007.438285714282</v>
      </c>
      <c r="K182" s="7" t="n">
        <v>5007.438285714282</v>
      </c>
      <c r="M182" s="10">
        <f>+K182-G182</f>
        <v/>
      </c>
    </row>
    <row r="183">
      <c r="C183" s="13" t="inlineStr">
        <is>
          <t>MAT08-0116</t>
        </is>
      </c>
      <c r="D183" s="11">
        <f>_xlfn.XLOOKUP(C183,Detallado!C:C,Detallado!E:E,"ERROR",0)</f>
        <v/>
      </c>
      <c r="E183" s="6">
        <f>SUMIF(Detallado!C:C,ANALISIS!C183,Detallado!F:F)</f>
        <v/>
      </c>
      <c r="F183" s="7">
        <f>_xlfn.XLOOKUP(C183,Detallado!C:C,Detallado!H:H,"ERROR",0)</f>
        <v/>
      </c>
      <c r="G183" s="8">
        <f>E183*F183</f>
        <v/>
      </c>
      <c r="H183" s="9">
        <f>G183/$G$313</f>
        <v/>
      </c>
      <c r="J183" s="7" t="n">
        <v>3284.974999999988</v>
      </c>
      <c r="K183" s="7" t="n">
        <v>13471.81387399995</v>
      </c>
      <c r="M183" s="10">
        <f>+K183-G183</f>
        <v/>
      </c>
    </row>
    <row r="184">
      <c r="C184" s="13" t="inlineStr">
        <is>
          <t>MAT08-0118</t>
        </is>
      </c>
      <c r="D184" s="11">
        <f>_xlfn.XLOOKUP(C184,Detallado!C:C,Detallado!E:E,"ERROR",0)</f>
        <v/>
      </c>
      <c r="E184" s="6">
        <f>SUMIF(Detallado!C:C,ANALISIS!C184,Detallado!F:F)</f>
        <v/>
      </c>
      <c r="F184" s="7">
        <f>_xlfn.XLOOKUP(C184,Detallado!C:C,Detallado!H:H,"ERROR",0)</f>
        <v/>
      </c>
      <c r="G184" s="8">
        <f>E184*F184</f>
        <v/>
      </c>
      <c r="H184" s="9">
        <f>G184/$G$313</f>
        <v/>
      </c>
      <c r="J184" s="7" t="n">
        <v>3851.2</v>
      </c>
      <c r="K184" s="7" t="n">
        <v>3851.2</v>
      </c>
      <c r="M184" s="10">
        <f>+K184-G184</f>
        <v/>
      </c>
    </row>
    <row r="185">
      <c r="C185" s="13" t="inlineStr">
        <is>
          <t>MAT08-0119</t>
        </is>
      </c>
      <c r="D185" s="11">
        <f>_xlfn.XLOOKUP(C185,Detallado!C:C,Detallado!E:E,"ERROR",0)</f>
        <v/>
      </c>
      <c r="E185" s="6">
        <f>SUMIF(Detallado!C:C,ANALISIS!C185,Detallado!F:F)</f>
        <v/>
      </c>
      <c r="F185" s="7">
        <f>_xlfn.XLOOKUP(C185,Detallado!C:C,Detallado!H:H,"ERROR",0)</f>
        <v/>
      </c>
      <c r="G185" s="8">
        <f>E185*F185</f>
        <v/>
      </c>
      <c r="H185" s="9">
        <f>G185/$G$313</f>
        <v/>
      </c>
      <c r="J185" s="7" t="n">
        <v>172.42472</v>
      </c>
      <c r="K185" s="7" t="n">
        <v>172.42472</v>
      </c>
      <c r="M185" s="10">
        <f>+K185-G185</f>
        <v/>
      </c>
    </row>
    <row r="186">
      <c r="C186" s="13" t="inlineStr">
        <is>
          <t>MAT08-0120</t>
        </is>
      </c>
      <c r="D186" s="11">
        <f>_xlfn.XLOOKUP(C186,Detallado!C:C,Detallado!E:E,"ERROR",0)</f>
        <v/>
      </c>
      <c r="E186" s="6">
        <f>SUMIF(Detallado!C:C,ANALISIS!C186,Detallado!F:F)</f>
        <v/>
      </c>
      <c r="F186" s="7">
        <f>_xlfn.XLOOKUP(C186,Detallado!C:C,Detallado!H:H,"ERROR",0)</f>
        <v/>
      </c>
      <c r="G186" s="8">
        <f>E186*F186</f>
        <v/>
      </c>
      <c r="H186" s="9">
        <f>G186/$G$313</f>
        <v/>
      </c>
      <c r="J186" s="7" t="n">
        <v>3969.7056</v>
      </c>
      <c r="K186" s="7" t="n">
        <v>11909.1168</v>
      </c>
      <c r="M186" s="10">
        <f>+K186-G186</f>
        <v/>
      </c>
    </row>
    <row r="187">
      <c r="C187" s="13" t="inlineStr">
        <is>
          <t>MAT08-0130</t>
        </is>
      </c>
      <c r="D187" s="11">
        <f>_xlfn.XLOOKUP(C187,Detallado!C:C,Detallado!E:E,"ERROR",0)</f>
        <v/>
      </c>
      <c r="E187" s="6">
        <f>SUMIF(Detallado!C:C,ANALISIS!C187,Detallado!F:F)</f>
        <v/>
      </c>
      <c r="F187" s="7">
        <f>_xlfn.XLOOKUP(C187,Detallado!C:C,Detallado!H:H,"ERROR",0)</f>
        <v/>
      </c>
      <c r="G187" s="8">
        <f>E187*F187</f>
        <v/>
      </c>
      <c r="H187" s="9">
        <f>G187/$G$313</f>
        <v/>
      </c>
      <c r="J187" s="7" t="n">
        <v>470.612</v>
      </c>
      <c r="K187" s="7" t="n">
        <v>470.612</v>
      </c>
      <c r="M187" s="10">
        <f>+K187-G187</f>
        <v/>
      </c>
    </row>
    <row r="188">
      <c r="C188" s="13" t="inlineStr">
        <is>
          <t>MAT08-0137</t>
        </is>
      </c>
      <c r="D188" s="11">
        <f>_xlfn.XLOOKUP(C188,Detallado!C:C,Detallado!E:E,"ERROR",0)</f>
        <v/>
      </c>
      <c r="E188" s="6">
        <f>SUMIF(Detallado!C:C,ANALISIS!C188,Detallado!F:F)</f>
        <v/>
      </c>
      <c r="F188" s="7">
        <f>_xlfn.XLOOKUP(C188,Detallado!C:C,Detallado!H:H,"ERROR",0)</f>
        <v/>
      </c>
      <c r="G188" s="8">
        <f>E188*F188</f>
        <v/>
      </c>
      <c r="H188" s="9">
        <f>G188/$G$313</f>
        <v/>
      </c>
      <c r="J188" s="7" t="n">
        <v>2704.955744</v>
      </c>
      <c r="K188" s="7" t="n">
        <v>2704.955744</v>
      </c>
      <c r="M188" s="10">
        <f>+K188-G188</f>
        <v/>
      </c>
    </row>
    <row r="189">
      <c r="C189" s="13" t="inlineStr">
        <is>
          <t>MAT08-0141</t>
        </is>
      </c>
      <c r="D189" s="11">
        <f>_xlfn.XLOOKUP(C189,Detallado!C:C,Detallado!E:E,"ERROR",0)</f>
        <v/>
      </c>
      <c r="E189" s="6">
        <f>SUMIF(Detallado!C:C,ANALISIS!C189,Detallado!F:F)</f>
        <v/>
      </c>
      <c r="F189" s="7">
        <f>_xlfn.XLOOKUP(C189,Detallado!C:C,Detallado!H:H,"ERROR",0)</f>
        <v/>
      </c>
      <c r="G189" s="8">
        <f>E189*F189</f>
        <v/>
      </c>
      <c r="H189" s="9">
        <f>G189/$G$313</f>
        <v/>
      </c>
      <c r="J189" s="7" t="n">
        <v>569.5599999999999</v>
      </c>
      <c r="K189" s="7" t="n">
        <v>26769.32</v>
      </c>
      <c r="M189" s="10">
        <f>+K189-G189</f>
        <v/>
      </c>
    </row>
    <row r="190">
      <c r="C190" s="13" t="inlineStr">
        <is>
          <t>MAT08-0179</t>
        </is>
      </c>
      <c r="D190" s="11">
        <f>_xlfn.XLOOKUP(C190,Detallado!C:C,Detallado!E:E,"ERROR",0)</f>
        <v/>
      </c>
      <c r="E190" s="6">
        <f>SUMIF(Detallado!C:C,ANALISIS!C190,Detallado!F:F)</f>
        <v/>
      </c>
      <c r="F190" s="7">
        <f>_xlfn.XLOOKUP(C190,Detallado!C:C,Detallado!H:H,"ERROR",0)</f>
        <v/>
      </c>
      <c r="G190" s="8">
        <f>E190*F190</f>
        <v/>
      </c>
      <c r="H190" s="9">
        <f>G190/$G$313</f>
        <v/>
      </c>
      <c r="J190" s="7" t="n">
        <v>10122.16</v>
      </c>
      <c r="K190" s="7" t="n">
        <v>10122.16</v>
      </c>
      <c r="M190" s="10">
        <f>+K190-G190</f>
        <v/>
      </c>
    </row>
    <row r="191">
      <c r="C191" s="13" t="inlineStr">
        <is>
          <t>MAT08-0197</t>
        </is>
      </c>
      <c r="D191" s="11">
        <f>_xlfn.XLOOKUP(C191,Detallado!C:C,Detallado!E:E,"ERROR",0)</f>
        <v/>
      </c>
      <c r="E191" s="6">
        <f>SUMIF(Detallado!C:C,ANALISIS!C191,Detallado!F:F)</f>
        <v/>
      </c>
      <c r="F191" s="7">
        <f>_xlfn.XLOOKUP(C191,Detallado!C:C,Detallado!H:H,"ERROR",0)</f>
        <v/>
      </c>
      <c r="G191" s="8">
        <f>E191*F191</f>
        <v/>
      </c>
      <c r="H191" s="9">
        <f>G191/$G$313</f>
        <v/>
      </c>
      <c r="J191" s="7" t="n">
        <v>30.796376</v>
      </c>
      <c r="K191" s="7" t="n">
        <v>7083.16648</v>
      </c>
      <c r="M191" s="10">
        <f>+K191-G191</f>
        <v/>
      </c>
    </row>
    <row r="192">
      <c r="C192" s="13" t="inlineStr">
        <is>
          <t>MAT08-0212</t>
        </is>
      </c>
      <c r="D192" s="11">
        <f>_xlfn.XLOOKUP(C192,Detallado!C:C,Detallado!E:E,"ERROR",0)</f>
        <v/>
      </c>
      <c r="E192" s="6">
        <f>SUMIF(Detallado!C:C,ANALISIS!C192,Detallado!F:F)</f>
        <v/>
      </c>
      <c r="F192" s="7">
        <f>_xlfn.XLOOKUP(C192,Detallado!C:C,Detallado!H:H,"ERROR",0)</f>
        <v/>
      </c>
      <c r="G192" s="8">
        <f>E192*F192</f>
        <v/>
      </c>
      <c r="H192" s="9">
        <f>G192/$G$313</f>
        <v/>
      </c>
      <c r="J192" s="7" t="n">
        <v>3335.7192</v>
      </c>
      <c r="K192" s="7" t="n">
        <v>3335.7192</v>
      </c>
      <c r="M192" s="10">
        <f>+K192-G192</f>
        <v/>
      </c>
    </row>
    <row r="193">
      <c r="C193" s="13" t="inlineStr">
        <is>
          <t>MAT08-0216</t>
        </is>
      </c>
      <c r="D193" s="11">
        <f>_xlfn.XLOOKUP(C193,Detallado!C:C,Detallado!E:E,"ERROR",0)</f>
        <v/>
      </c>
      <c r="E193" s="6">
        <f>SUMIF(Detallado!C:C,ANALISIS!C193,Detallado!F:F)</f>
        <v/>
      </c>
      <c r="F193" s="7">
        <f>_xlfn.XLOOKUP(C193,Detallado!C:C,Detallado!H:H,"ERROR",0)</f>
        <v/>
      </c>
      <c r="G193" s="8">
        <f>E193*F193</f>
        <v/>
      </c>
      <c r="H193" s="9">
        <f>G193/$G$313</f>
        <v/>
      </c>
      <c r="J193" s="7" t="n">
        <v>321.7376</v>
      </c>
      <c r="K193" s="7" t="n">
        <v>1608.688</v>
      </c>
      <c r="M193" s="10">
        <f>+K193-G193</f>
        <v/>
      </c>
    </row>
    <row r="194">
      <c r="C194" s="13" t="inlineStr">
        <is>
          <t>MAT08-0307</t>
        </is>
      </c>
      <c r="D194" s="11">
        <f>_xlfn.XLOOKUP(C194,Detallado!C:C,Detallado!E:E,"ERROR",0)</f>
        <v/>
      </c>
      <c r="E194" s="6">
        <f>SUMIF(Detallado!C:C,ANALISIS!C194,Detallado!F:F)</f>
        <v/>
      </c>
      <c r="F194" s="7">
        <f>_xlfn.XLOOKUP(C194,Detallado!C:C,Detallado!H:H,"ERROR",0)</f>
        <v/>
      </c>
      <c r="G194" s="8">
        <f>E194*F194</f>
        <v/>
      </c>
      <c r="H194" s="9">
        <f>G194/$G$313</f>
        <v/>
      </c>
      <c r="J194" s="7" t="n">
        <v>31.0706</v>
      </c>
      <c r="K194" s="7" t="n">
        <v>3107.06</v>
      </c>
      <c r="M194" s="10">
        <f>+K194-G194</f>
        <v/>
      </c>
    </row>
    <row r="195">
      <c r="C195" s="13" t="inlineStr">
        <is>
          <t>MAT08-0315</t>
        </is>
      </c>
      <c r="D195" s="11">
        <f>_xlfn.XLOOKUP(C195,Detallado!C:C,Detallado!E:E,"ERROR",0)</f>
        <v/>
      </c>
      <c r="E195" s="6">
        <f>SUMIF(Detallado!C:C,ANALISIS!C195,Detallado!F:F)</f>
        <v/>
      </c>
      <c r="F195" s="7">
        <f>_xlfn.XLOOKUP(C195,Detallado!C:C,Detallado!H:H,"ERROR",0)</f>
        <v/>
      </c>
      <c r="G195" s="8">
        <f>E195*F195</f>
        <v/>
      </c>
      <c r="H195" s="9">
        <f>G195/$G$313</f>
        <v/>
      </c>
      <c r="J195" s="7" t="n">
        <v>3422</v>
      </c>
      <c r="K195" s="7" t="n">
        <v>3422</v>
      </c>
      <c r="M195" s="10">
        <f>+K195-G195</f>
        <v/>
      </c>
    </row>
    <row r="196">
      <c r="C196" s="13" t="inlineStr">
        <is>
          <t>MAT08-0335</t>
        </is>
      </c>
      <c r="D196" s="11">
        <f>_xlfn.XLOOKUP(C196,Detallado!C:C,Detallado!E:E,"ERROR",0)</f>
        <v/>
      </c>
      <c r="E196" s="6">
        <f>SUMIF(Detallado!C:C,ANALISIS!C196,Detallado!F:F)</f>
        <v/>
      </c>
      <c r="F196" s="7">
        <f>_xlfn.XLOOKUP(C196,Detallado!C:C,Detallado!H:H,"ERROR",0)</f>
        <v/>
      </c>
      <c r="G196" s="8">
        <f>E196*F196</f>
        <v/>
      </c>
      <c r="H196" s="9">
        <f>G196/$G$313</f>
        <v/>
      </c>
      <c r="J196" s="7" t="n">
        <v>61.2364</v>
      </c>
      <c r="K196" s="7" t="n">
        <v>4041.6024</v>
      </c>
      <c r="M196" s="10">
        <f>+K196-G196</f>
        <v/>
      </c>
    </row>
    <row r="197">
      <c r="C197" s="13" t="inlineStr">
        <is>
          <t>MAT08-0446</t>
        </is>
      </c>
      <c r="D197" s="11">
        <f>_xlfn.XLOOKUP(C197,Detallado!C:C,Detallado!E:E,"ERROR",0)</f>
        <v/>
      </c>
      <c r="E197" s="6">
        <f>SUMIF(Detallado!C:C,ANALISIS!C197,Detallado!F:F)</f>
        <v/>
      </c>
      <c r="F197" s="7">
        <f>_xlfn.XLOOKUP(C197,Detallado!C:C,Detallado!H:H,"ERROR",0)</f>
        <v/>
      </c>
      <c r="G197" s="8">
        <f>E197*F197</f>
        <v/>
      </c>
      <c r="H197" s="9">
        <f>G197/$G$313</f>
        <v/>
      </c>
      <c r="J197" s="7" t="n">
        <v>664.7650666666663</v>
      </c>
      <c r="K197" s="7" t="n">
        <v>4653.355466666664</v>
      </c>
      <c r="M197" s="10">
        <f>+K197-G197</f>
        <v/>
      </c>
    </row>
    <row r="198">
      <c r="C198" s="13" t="inlineStr">
        <is>
          <t>MAT08-0449</t>
        </is>
      </c>
      <c r="D198" s="11">
        <f>_xlfn.XLOOKUP(C198,Detallado!C:C,Detallado!E:E,"ERROR",0)</f>
        <v/>
      </c>
      <c r="E198" s="6">
        <f>SUMIF(Detallado!C:C,ANALISIS!C198,Detallado!F:F)</f>
        <v/>
      </c>
      <c r="F198" s="7">
        <f>_xlfn.XLOOKUP(C198,Detallado!C:C,Detallado!H:H,"ERROR",0)</f>
        <v/>
      </c>
      <c r="G198" s="8">
        <f>E198*F198</f>
        <v/>
      </c>
      <c r="H198" s="9">
        <f>G198/$G$313</f>
        <v/>
      </c>
      <c r="J198" s="7" t="n">
        <v>2310.014719999988</v>
      </c>
      <c r="K198" s="7" t="n">
        <v>16170.10303999992</v>
      </c>
      <c r="M198" s="10">
        <f>+K198-G198</f>
        <v/>
      </c>
    </row>
    <row r="199">
      <c r="C199" s="13" t="inlineStr">
        <is>
          <t>MAT08-0499</t>
        </is>
      </c>
      <c r="D199" s="11">
        <f>_xlfn.XLOOKUP(C199,Detallado!C:C,Detallado!E:E,"ERROR",0)</f>
        <v/>
      </c>
      <c r="E199" s="6">
        <f>SUMIF(Detallado!C:C,ANALISIS!C199,Detallado!F:F)</f>
        <v/>
      </c>
      <c r="F199" s="7">
        <f>_xlfn.XLOOKUP(C199,Detallado!C:C,Detallado!H:H,"ERROR",0)</f>
        <v/>
      </c>
      <c r="G199" s="8">
        <f>E199*F199</f>
        <v/>
      </c>
      <c r="H199" s="9">
        <f>G199/$G$313</f>
        <v/>
      </c>
      <c r="J199" s="7" t="n">
        <v>27.42936</v>
      </c>
      <c r="K199" s="7" t="n">
        <v>1371.468</v>
      </c>
      <c r="M199" s="10">
        <f>+K199-G199</f>
        <v/>
      </c>
    </row>
    <row r="200">
      <c r="C200" s="13" t="inlineStr">
        <is>
          <t>MAT0851</t>
        </is>
      </c>
      <c r="D200" s="11">
        <f>_xlfn.XLOOKUP(C200,Detallado!C:C,Detallado!E:E,"ERROR",0)</f>
        <v/>
      </c>
      <c r="E200" s="6">
        <f>SUMIF(Detallado!C:C,ANALISIS!C200,Detallado!F:F)</f>
        <v/>
      </c>
      <c r="F200" s="7">
        <f>_xlfn.XLOOKUP(C200,Detallado!C:C,Detallado!H:H,"ERROR",0)</f>
        <v/>
      </c>
      <c r="G200" s="8">
        <f>E200*F200</f>
        <v/>
      </c>
      <c r="H200" s="9">
        <f>G200/$G$313</f>
        <v/>
      </c>
      <c r="J200" s="7" t="n">
        <v>1257.44</v>
      </c>
      <c r="K200" s="7" t="n">
        <v>0</v>
      </c>
      <c r="M200" s="10">
        <f>+K200-G200</f>
        <v/>
      </c>
    </row>
    <row r="201">
      <c r="C201" s="13" t="inlineStr">
        <is>
          <t>MAT14-0001</t>
        </is>
      </c>
      <c r="D201" s="11">
        <f>_xlfn.XLOOKUP(C201,Detallado!C:C,Detallado!E:E,"ERROR",0)</f>
        <v/>
      </c>
      <c r="E201" s="6">
        <f>SUMIF(Detallado!C:C,ANALISIS!C201,Detallado!F:F)</f>
        <v/>
      </c>
      <c r="F201" s="7">
        <f>_xlfn.XLOOKUP(C201,Detallado!C:C,Detallado!H:H,"ERROR",0)</f>
        <v/>
      </c>
      <c r="G201" s="8">
        <f>E201*F201</f>
        <v/>
      </c>
      <c r="H201" s="9">
        <f>G201/$G$313</f>
        <v/>
      </c>
      <c r="J201" s="7" t="n">
        <v>51389</v>
      </c>
      <c r="K201" s="7" t="n">
        <v>668057</v>
      </c>
      <c r="M201" s="10">
        <f>+K201-G201</f>
        <v/>
      </c>
    </row>
    <row r="202">
      <c r="C202" s="13" t="inlineStr">
        <is>
          <t>MAT14-0004</t>
        </is>
      </c>
      <c r="D202" s="11">
        <f>_xlfn.XLOOKUP(C202,Detallado!C:C,Detallado!E:E,"ERROR",0)</f>
        <v/>
      </c>
      <c r="E202" s="6">
        <f>SUMIF(Detallado!C:C,ANALISIS!C202,Detallado!F:F)</f>
        <v/>
      </c>
      <c r="F202" s="7">
        <f>_xlfn.XLOOKUP(C202,Detallado!C:C,Detallado!H:H,"ERROR",0)</f>
        <v/>
      </c>
      <c r="G202" s="8">
        <f>E202*F202</f>
        <v/>
      </c>
      <c r="H202" s="9">
        <f>G202/$G$313</f>
        <v/>
      </c>
      <c r="J202" s="7" t="n">
        <v>1288.3192</v>
      </c>
      <c r="K202" s="7" t="n">
        <v>30919.66079999999</v>
      </c>
      <c r="M202" s="10">
        <f>+K202-G202</f>
        <v/>
      </c>
    </row>
    <row r="203">
      <c r="C203" s="13" t="inlineStr">
        <is>
          <t>MAT14-0005</t>
        </is>
      </c>
      <c r="D203" s="11">
        <f>_xlfn.XLOOKUP(C203,Detallado!C:C,Detallado!E:E,"ERROR",0)</f>
        <v/>
      </c>
      <c r="E203" s="6">
        <f>SUMIF(Detallado!C:C,ANALISIS!C203,Detallado!F:F)</f>
        <v/>
      </c>
      <c r="F203" s="7">
        <f>_xlfn.XLOOKUP(C203,Detallado!C:C,Detallado!H:H,"ERROR",0)</f>
        <v/>
      </c>
      <c r="G203" s="8">
        <f>E203*F203</f>
        <v/>
      </c>
      <c r="H203" s="9">
        <f>G203/$G$313</f>
        <v/>
      </c>
      <c r="J203" s="7" t="n">
        <v>955.9153999999999</v>
      </c>
      <c r="K203" s="7" t="n">
        <v>3823.661599999999</v>
      </c>
      <c r="M203" s="10">
        <f>+K203-G203</f>
        <v/>
      </c>
    </row>
    <row r="204">
      <c r="C204" s="13" t="inlineStr">
        <is>
          <t>MAT14-0006</t>
        </is>
      </c>
      <c r="D204" s="11">
        <f>_xlfn.XLOOKUP(C204,Detallado!C:C,Detallado!E:E,"ERROR",0)</f>
        <v/>
      </c>
      <c r="E204" s="6">
        <f>SUMIF(Detallado!C:C,ANALISIS!C204,Detallado!F:F)</f>
        <v/>
      </c>
      <c r="F204" s="7">
        <f>_xlfn.XLOOKUP(C204,Detallado!C:C,Detallado!H:H,"ERROR",0)</f>
        <v/>
      </c>
      <c r="G204" s="8">
        <f>E204*F204</f>
        <v/>
      </c>
      <c r="H204" s="9">
        <f>G204/$G$313</f>
        <v/>
      </c>
      <c r="J204" s="7" t="n">
        <v>513.2744302857141</v>
      </c>
      <c r="K204" s="7" t="n">
        <v>5646.018733142855</v>
      </c>
      <c r="M204" s="10">
        <f>+K204-G204</f>
        <v/>
      </c>
    </row>
    <row r="205">
      <c r="C205" s="13" t="inlineStr">
        <is>
          <t>MAT14-0007</t>
        </is>
      </c>
      <c r="D205" s="11">
        <f>_xlfn.XLOOKUP(C205,Detallado!C:C,Detallado!E:E,"ERROR",0)</f>
        <v/>
      </c>
      <c r="E205" s="6">
        <f>SUMIF(Detallado!C:C,ANALISIS!C205,Detallado!F:F)</f>
        <v/>
      </c>
      <c r="F205" s="7">
        <f>_xlfn.XLOOKUP(C205,Detallado!C:C,Detallado!H:H,"ERROR",0)</f>
        <v/>
      </c>
      <c r="G205" s="8">
        <f>E205*F205</f>
        <v/>
      </c>
      <c r="H205" s="9">
        <f>G205/$G$313</f>
        <v/>
      </c>
      <c r="J205" s="7" t="n">
        <v>46148.28</v>
      </c>
      <c r="K205" s="7" t="n">
        <v>46148.28</v>
      </c>
      <c r="M205" s="10">
        <f>+K205-G205</f>
        <v/>
      </c>
    </row>
    <row r="206">
      <c r="C206" s="13" t="inlineStr">
        <is>
          <t>MAT14-0013</t>
        </is>
      </c>
      <c r="D206" s="11">
        <f>_xlfn.XLOOKUP(C206,Detallado!C:C,Detallado!E:E,"ERROR",0)</f>
        <v/>
      </c>
      <c r="E206" s="6">
        <f>SUMIF(Detallado!C:C,ANALISIS!C206,Detallado!F:F)</f>
        <v/>
      </c>
      <c r="F206" s="7">
        <f>_xlfn.XLOOKUP(C206,Detallado!C:C,Detallado!H:H,"ERROR",0)</f>
        <v/>
      </c>
      <c r="G206" s="8">
        <f>E206*F206</f>
        <v/>
      </c>
      <c r="H206" s="9">
        <f>G206/$G$313</f>
        <v/>
      </c>
      <c r="J206" s="7" t="n">
        <v>192.477872</v>
      </c>
      <c r="K206" s="7" t="n">
        <v>5774.33616</v>
      </c>
      <c r="M206" s="10">
        <f>+K206-G206</f>
        <v/>
      </c>
    </row>
    <row r="207">
      <c r="C207" s="14" t="inlineStr">
        <is>
          <t>MAT14-0016</t>
        </is>
      </c>
      <c r="D207" s="11">
        <f>_xlfn.XLOOKUP(C207,Detallado!C:C,Detallado!E:E,"ERROR",0)</f>
        <v/>
      </c>
      <c r="E207" s="6">
        <f>SUMIF(Detallado!C:C,ANALISIS!C207,Detallado!F:F)</f>
        <v/>
      </c>
      <c r="F207" s="7">
        <f>_xlfn.XLOOKUP(C207,Detallado!C:C,Detallado!H:H,"ERROR",0)</f>
        <v/>
      </c>
      <c r="G207" s="8">
        <f>E207*F207</f>
        <v/>
      </c>
      <c r="H207" s="9">
        <f>G207/$G$313</f>
        <v/>
      </c>
      <c r="J207" s="7" t="n">
        <v>7192.4292</v>
      </c>
      <c r="K207" s="7" t="n">
        <v>7192.4292</v>
      </c>
      <c r="M207" s="10">
        <f>+K207-G207</f>
        <v/>
      </c>
    </row>
    <row r="208">
      <c r="C208" s="14" t="inlineStr">
        <is>
          <t>MAT14-0018</t>
        </is>
      </c>
      <c r="D208" s="11">
        <f>_xlfn.XLOOKUP(C208,Detallado!C:C,Detallado!E:E,"ERROR",0)</f>
        <v/>
      </c>
      <c r="E208" s="6">
        <f>SUMIF(Detallado!C:C,ANALISIS!C208,Detallado!F:F)</f>
        <v/>
      </c>
      <c r="F208" s="7">
        <f>_xlfn.XLOOKUP(C208,Detallado!C:C,Detallado!H:H,"ERROR",0)</f>
        <v/>
      </c>
      <c r="G208" s="8">
        <f>E208*F208</f>
        <v/>
      </c>
      <c r="H208" s="9">
        <f>G208/$G$313</f>
        <v/>
      </c>
      <c r="J208" s="7" t="n">
        <v>3381.2927</v>
      </c>
      <c r="K208" s="7" t="n">
        <v>27050.3416</v>
      </c>
      <c r="M208" s="10">
        <f>+K208-G208</f>
        <v/>
      </c>
    </row>
    <row r="209">
      <c r="C209" s="14" t="inlineStr">
        <is>
          <t>MAT14-0020</t>
        </is>
      </c>
      <c r="D209" s="11">
        <f>_xlfn.XLOOKUP(C209,Detallado!C:C,Detallado!E:E,"ERROR",0)</f>
        <v/>
      </c>
      <c r="E209" s="6">
        <f>SUMIF(Detallado!C:C,ANALISIS!C209,Detallado!F:F)</f>
        <v/>
      </c>
      <c r="F209" s="7">
        <f>_xlfn.XLOOKUP(C209,Detallado!C:C,Detallado!H:H,"ERROR",0)</f>
        <v/>
      </c>
      <c r="G209" s="8">
        <f>E209*F209</f>
        <v/>
      </c>
      <c r="H209" s="9">
        <f>G209/$G$313</f>
        <v/>
      </c>
      <c r="J209" s="7" t="n">
        <v>5325.8152</v>
      </c>
      <c r="K209" s="7" t="n">
        <v>31954.8912</v>
      </c>
      <c r="M209" s="10">
        <f>+K209-G209</f>
        <v/>
      </c>
    </row>
    <row r="210">
      <c r="C210" s="14" t="inlineStr">
        <is>
          <t>MAT14-0021</t>
        </is>
      </c>
      <c r="D210" s="11">
        <f>_xlfn.XLOOKUP(C210,Detallado!C:C,Detallado!E:E,"ERROR",0)</f>
        <v/>
      </c>
      <c r="E210" s="6">
        <f>SUMIF(Detallado!C:C,ANALISIS!C210,Detallado!F:F)</f>
        <v/>
      </c>
      <c r="F210" s="7">
        <f>_xlfn.XLOOKUP(C210,Detallado!C:C,Detallado!H:H,"ERROR",0)</f>
        <v/>
      </c>
      <c r="G210" s="8">
        <f>E210*F210</f>
        <v/>
      </c>
      <c r="H210" s="9">
        <f>G210/$G$313</f>
        <v/>
      </c>
      <c r="J210" s="7" t="n">
        <v>17036.804</v>
      </c>
      <c r="K210" s="7" t="n">
        <v>76665.618</v>
      </c>
      <c r="M210" s="10">
        <f>+K210-G210</f>
        <v/>
      </c>
    </row>
    <row r="211">
      <c r="C211" s="14" t="inlineStr">
        <is>
          <t>MAT14-0022</t>
        </is>
      </c>
      <c r="D211" s="11">
        <f>_xlfn.XLOOKUP(C211,Detallado!C:C,Detallado!E:E,"ERROR",0)</f>
        <v/>
      </c>
      <c r="E211" s="6">
        <f>SUMIF(Detallado!C:C,ANALISIS!C211,Detallado!F:F)</f>
        <v/>
      </c>
      <c r="F211" s="7">
        <f>_xlfn.XLOOKUP(C211,Detallado!C:C,Detallado!H:H,"ERROR",0)</f>
        <v/>
      </c>
      <c r="G211" s="8">
        <f>E211*F211</f>
        <v/>
      </c>
      <c r="H211" s="9">
        <f>G211/$G$313</f>
        <v/>
      </c>
      <c r="J211" s="7" t="n">
        <v>5086.298399999988</v>
      </c>
      <c r="K211" s="7" t="n">
        <v>20345.19359999995</v>
      </c>
      <c r="M211" s="10">
        <f>+K211-G211</f>
        <v/>
      </c>
    </row>
    <row r="212">
      <c r="C212" s="14" t="inlineStr">
        <is>
          <t>MAT14-0023</t>
        </is>
      </c>
      <c r="D212" s="11">
        <f>_xlfn.XLOOKUP(C212,Detallado!C:C,Detallado!E:E,"ERROR",0)</f>
        <v/>
      </c>
      <c r="E212" s="6">
        <f>SUMIF(Detallado!C:C,ANALISIS!C212,Detallado!F:F)</f>
        <v/>
      </c>
      <c r="F212" s="7">
        <f>_xlfn.XLOOKUP(C212,Detallado!C:C,Detallado!H:H,"ERROR",0)</f>
        <v/>
      </c>
      <c r="G212" s="8">
        <f>E212*F212</f>
        <v/>
      </c>
      <c r="H212" s="9">
        <f>G212/$G$313</f>
        <v/>
      </c>
      <c r="J212" s="7" t="n">
        <v>273.755781818181</v>
      </c>
      <c r="K212" s="7" t="n">
        <v>2190.046254545448</v>
      </c>
      <c r="M212" s="10">
        <f>+K212-G212</f>
        <v/>
      </c>
    </row>
    <row r="213">
      <c r="C213" s="14" t="inlineStr">
        <is>
          <t>MAT14-0024</t>
        </is>
      </c>
      <c r="D213" s="11">
        <f>_xlfn.XLOOKUP(C213,Detallado!C:C,Detallado!E:E,"ERROR",0)</f>
        <v/>
      </c>
      <c r="E213" s="6">
        <f>SUMIF(Detallado!C:C,ANALISIS!C213,Detallado!F:F)</f>
        <v/>
      </c>
      <c r="F213" s="7">
        <f>_xlfn.XLOOKUP(C213,Detallado!C:C,Detallado!H:H,"ERROR",0)</f>
        <v/>
      </c>
      <c r="G213" s="8">
        <f>E213*F213</f>
        <v/>
      </c>
      <c r="H213" s="9">
        <f>G213/$G$313</f>
        <v/>
      </c>
      <c r="J213" s="7" t="n">
        <v>21.9124</v>
      </c>
      <c r="K213" s="7" t="n">
        <v>1314.744</v>
      </c>
      <c r="M213" s="10">
        <f>+K213-G213</f>
        <v/>
      </c>
    </row>
    <row r="214">
      <c r="C214" s="14" t="inlineStr">
        <is>
          <t>MAT14-0033</t>
        </is>
      </c>
      <c r="D214" s="11">
        <f>_xlfn.XLOOKUP(C214,Detallado!C:C,Detallado!E:E,"ERROR",0)</f>
        <v/>
      </c>
      <c r="E214" s="6">
        <f>SUMIF(Detallado!C:C,ANALISIS!C214,Detallado!F:F)</f>
        <v/>
      </c>
      <c r="F214" s="7">
        <f>_xlfn.XLOOKUP(C214,Detallado!C:C,Detallado!H:H,"ERROR",0)</f>
        <v/>
      </c>
      <c r="G214" s="8">
        <f>E214*F214</f>
        <v/>
      </c>
      <c r="H214" s="9">
        <f>G214/$G$313</f>
        <v/>
      </c>
      <c r="J214" s="7" t="n">
        <v>2654.6455</v>
      </c>
      <c r="K214" s="7" t="n">
        <v>5309.291</v>
      </c>
      <c r="M214" s="10">
        <f>+K214-G214</f>
        <v/>
      </c>
    </row>
    <row r="215">
      <c r="C215" s="14" t="inlineStr">
        <is>
          <t>MAT14-0034</t>
        </is>
      </c>
      <c r="D215" s="11">
        <f>_xlfn.XLOOKUP(C215,Detallado!C:C,Detallado!E:E,"ERROR",0)</f>
        <v/>
      </c>
      <c r="E215" s="6">
        <f>SUMIF(Detallado!C:C,ANALISIS!C215,Detallado!F:F)</f>
        <v/>
      </c>
      <c r="F215" s="7">
        <f>_xlfn.XLOOKUP(C215,Detallado!C:C,Detallado!H:H,"ERROR",0)</f>
        <v/>
      </c>
      <c r="G215" s="8">
        <f>E215*F215</f>
        <v/>
      </c>
      <c r="H215" s="9">
        <f>G215/$G$313</f>
        <v/>
      </c>
      <c r="J215" s="7" t="n">
        <v>885.6715999999999</v>
      </c>
      <c r="K215" s="7" t="n">
        <v>16827.7604</v>
      </c>
      <c r="M215" s="10">
        <f>+K215-G215</f>
        <v/>
      </c>
    </row>
    <row r="216">
      <c r="C216" s="14" t="inlineStr">
        <is>
          <t>MAT14-0035</t>
        </is>
      </c>
      <c r="D216" s="11">
        <f>_xlfn.XLOOKUP(C216,Detallado!C:C,Detallado!E:E,"ERROR",0)</f>
        <v/>
      </c>
      <c r="E216" s="6">
        <f>SUMIF(Detallado!C:C,ANALISIS!C216,Detallado!F:F)</f>
        <v/>
      </c>
      <c r="F216" s="7">
        <f>_xlfn.XLOOKUP(C216,Detallado!C:C,Detallado!H:H,"ERROR",0)</f>
        <v/>
      </c>
      <c r="G216" s="8">
        <f>E216*F216</f>
        <v/>
      </c>
      <c r="H216" s="9">
        <f>G216/$G$313</f>
        <v/>
      </c>
      <c r="J216" s="7" t="n">
        <v>3480.189818181811</v>
      </c>
      <c r="K216" s="7" t="n">
        <v>3480.189818181811</v>
      </c>
      <c r="M216" s="10">
        <f>+K216-G216</f>
        <v/>
      </c>
    </row>
    <row r="217">
      <c r="C217" s="14" t="inlineStr">
        <is>
          <t>MAT14-0037</t>
        </is>
      </c>
      <c r="D217" s="11">
        <f>_xlfn.XLOOKUP(C217,Detallado!C:C,Detallado!E:E,"ERROR",0)</f>
        <v/>
      </c>
      <c r="E217" s="6">
        <f>SUMIF(Detallado!C:C,ANALISIS!C217,Detallado!F:F)</f>
        <v/>
      </c>
      <c r="F217" s="7">
        <f>_xlfn.XLOOKUP(C217,Detallado!C:C,Detallado!H:H,"ERROR",0)</f>
        <v/>
      </c>
      <c r="G217" s="8">
        <f>E217*F217</f>
        <v/>
      </c>
      <c r="H217" s="9">
        <f>G217/$G$313</f>
        <v/>
      </c>
      <c r="J217" s="7" t="n">
        <v>17053.16</v>
      </c>
      <c r="K217" s="7" t="n">
        <v>0</v>
      </c>
      <c r="M217" s="10">
        <f>+K217-G217</f>
        <v/>
      </c>
    </row>
    <row r="218">
      <c r="C218" s="14" t="inlineStr">
        <is>
          <t>MAT14-0068</t>
        </is>
      </c>
      <c r="D218" s="11">
        <f>_xlfn.XLOOKUP(C218,Detallado!C:C,Detallado!E:E,"ERROR",0)</f>
        <v/>
      </c>
      <c r="E218" s="6">
        <f>SUMIF(Detallado!C:C,ANALISIS!C218,Detallado!F:F)</f>
        <v/>
      </c>
      <c r="F218" s="7">
        <f>_xlfn.XLOOKUP(C218,Detallado!C:C,Detallado!H:H,"ERROR",0)</f>
        <v/>
      </c>
      <c r="G218" s="8">
        <f>E218*F218</f>
        <v/>
      </c>
      <c r="H218" s="9">
        <f>G218/$G$313</f>
        <v/>
      </c>
      <c r="J218" s="7" t="n">
        <v>92.98</v>
      </c>
      <c r="K218" s="7" t="n">
        <v>37192</v>
      </c>
      <c r="M218" s="10">
        <f>+K218-G218</f>
        <v/>
      </c>
    </row>
    <row r="219">
      <c r="C219" s="14" t="inlineStr">
        <is>
          <t>MAT16-0001</t>
        </is>
      </c>
      <c r="D219" s="11">
        <f>_xlfn.XLOOKUP(C219,Detallado!C:C,Detallado!E:E,"ERROR",0)</f>
        <v/>
      </c>
      <c r="E219" s="6">
        <f>SUMIF(Detallado!C:C,ANALISIS!C219,Detallado!F:F)</f>
        <v/>
      </c>
      <c r="F219" s="7">
        <f>_xlfn.XLOOKUP(C219,Detallado!C:C,Detallado!H:H,"ERROR",0)</f>
        <v/>
      </c>
      <c r="G219" s="8">
        <f>E219*F219</f>
        <v/>
      </c>
      <c r="H219" s="9">
        <f>G219/$G$313</f>
        <v/>
      </c>
      <c r="J219" s="7" t="n">
        <v>14827.4448</v>
      </c>
      <c r="K219" s="7" t="n">
        <v>18534.306</v>
      </c>
      <c r="M219" s="10">
        <f>+K219-G219</f>
        <v/>
      </c>
    </row>
    <row r="220">
      <c r="C220" s="14" t="inlineStr">
        <is>
          <t>MAT16-0002</t>
        </is>
      </c>
      <c r="D220" s="11">
        <f>_xlfn.XLOOKUP(C220,Detallado!C:C,Detallado!E:E,"ERROR",0)</f>
        <v/>
      </c>
      <c r="E220" s="6">
        <f>SUMIF(Detallado!C:C,ANALISIS!C220,Detallado!F:F)</f>
        <v/>
      </c>
      <c r="F220" s="7">
        <f>_xlfn.XLOOKUP(C220,Detallado!C:C,Detallado!H:H,"ERROR",0)</f>
        <v/>
      </c>
      <c r="G220" s="8">
        <f>E220*F220</f>
        <v/>
      </c>
      <c r="H220" s="9">
        <f>G220/$G$313</f>
        <v/>
      </c>
      <c r="J220" s="7" t="n">
        <v>17913.274364</v>
      </c>
      <c r="K220" s="7" t="n">
        <v>17913.274364</v>
      </c>
      <c r="M220" s="10">
        <f>+K220-G220</f>
        <v/>
      </c>
    </row>
    <row r="221">
      <c r="C221" s="14" t="inlineStr">
        <is>
          <t>MAT16-0005</t>
        </is>
      </c>
      <c r="D221" s="11">
        <f>_xlfn.XLOOKUP(C221,Detallado!C:C,Detallado!E:E,"ERROR",0)</f>
        <v/>
      </c>
      <c r="E221" s="6">
        <f>SUMIF(Detallado!C:C,ANALISIS!C221,Detallado!F:F)</f>
        <v/>
      </c>
      <c r="F221" s="7">
        <f>_xlfn.XLOOKUP(C221,Detallado!C:C,Detallado!H:H,"ERROR",0)</f>
        <v/>
      </c>
      <c r="G221" s="8">
        <f>E221*F221</f>
        <v/>
      </c>
      <c r="H221" s="9">
        <f>G221/$G$313</f>
        <v/>
      </c>
      <c r="J221" s="7" t="n">
        <v>5528.067301599999</v>
      </c>
      <c r="K221" s="7" t="n">
        <v>11056.1346032</v>
      </c>
      <c r="M221" s="10">
        <f>+K221-G221</f>
        <v/>
      </c>
    </row>
    <row r="222">
      <c r="C222" s="14" t="inlineStr">
        <is>
          <t>MAT16-0018</t>
        </is>
      </c>
      <c r="D222" s="11">
        <f>_xlfn.XLOOKUP(C222,Detallado!C:C,Detallado!E:E,"ERROR",0)</f>
        <v/>
      </c>
      <c r="E222" s="6">
        <f>SUMIF(Detallado!C:C,ANALISIS!C222,Detallado!F:F)</f>
        <v/>
      </c>
      <c r="F222" s="7">
        <f>_xlfn.XLOOKUP(C222,Detallado!C:C,Detallado!H:H,"ERROR",0)</f>
        <v/>
      </c>
      <c r="G222" s="8">
        <f>E222*F222</f>
        <v/>
      </c>
      <c r="H222" s="9">
        <f>G222/$G$313</f>
        <v/>
      </c>
      <c r="J222" s="7" t="n">
        <v>8178.756873230761</v>
      </c>
      <c r="K222" s="7" t="n">
        <v>49072.54123938456</v>
      </c>
      <c r="M222" s="10">
        <f>+K222-G222</f>
        <v/>
      </c>
    </row>
    <row r="223">
      <c r="C223" s="14" t="inlineStr">
        <is>
          <t>MAT16-0020</t>
        </is>
      </c>
      <c r="D223" s="11">
        <f>_xlfn.XLOOKUP(C223,Detallado!C:C,Detallado!E:E,"ERROR",0)</f>
        <v/>
      </c>
      <c r="E223" s="6">
        <f>SUMIF(Detallado!C:C,ANALISIS!C223,Detallado!F:F)</f>
        <v/>
      </c>
      <c r="F223" s="7">
        <f>_xlfn.XLOOKUP(C223,Detallado!C:C,Detallado!H:H,"ERROR",0)</f>
        <v/>
      </c>
      <c r="G223" s="8">
        <f>E223*F223</f>
        <v/>
      </c>
      <c r="H223" s="9">
        <f>G223/$G$313</f>
        <v/>
      </c>
      <c r="J223" s="7" t="n">
        <v>52543.89455699988</v>
      </c>
      <c r="K223" s="7" t="n">
        <v>157631.6836709997</v>
      </c>
      <c r="M223" s="10">
        <f>+K223-G223</f>
        <v/>
      </c>
    </row>
    <row r="224">
      <c r="C224" s="14" t="inlineStr">
        <is>
          <t>MAT16-0056</t>
        </is>
      </c>
      <c r="D224" s="11">
        <f>_xlfn.XLOOKUP(C224,Detallado!C:C,Detallado!E:E,"ERROR",0)</f>
        <v/>
      </c>
      <c r="E224" s="6">
        <f>SUMIF(Detallado!C:C,ANALISIS!C224,Detallado!F:F)</f>
        <v/>
      </c>
      <c r="F224" s="7">
        <f>_xlfn.XLOOKUP(C224,Detallado!C:C,Detallado!H:H,"ERROR",0)</f>
        <v/>
      </c>
      <c r="G224" s="8">
        <f>E224*F224</f>
        <v/>
      </c>
      <c r="H224" s="9">
        <f>G224/$G$313</f>
        <v/>
      </c>
      <c r="J224" s="7" t="n">
        <v>28070.0454</v>
      </c>
      <c r="K224" s="7" t="n">
        <v>56140.09079999999</v>
      </c>
      <c r="M224" s="10">
        <f>+K224-G224</f>
        <v/>
      </c>
    </row>
    <row r="225">
      <c r="C225" s="14" t="inlineStr">
        <is>
          <t>MAT16-0058</t>
        </is>
      </c>
      <c r="D225" s="11">
        <f>_xlfn.XLOOKUP(C225,Detallado!C:C,Detallado!E:E,"ERROR",0)</f>
        <v/>
      </c>
      <c r="E225" s="6">
        <f>SUMIF(Detallado!C:C,ANALISIS!C225,Detallado!F:F)</f>
        <v/>
      </c>
      <c r="F225" s="7">
        <f>_xlfn.XLOOKUP(C225,Detallado!C:C,Detallado!H:H,"ERROR",0)</f>
        <v/>
      </c>
      <c r="G225" s="8">
        <f>E225*F225</f>
        <v/>
      </c>
      <c r="H225" s="9">
        <f>G225/$G$313</f>
        <v/>
      </c>
      <c r="J225" s="7" t="n">
        <v>90310.619468</v>
      </c>
      <c r="K225" s="7" t="n">
        <v>0</v>
      </c>
      <c r="M225" s="10">
        <f>+K225-G225</f>
        <v/>
      </c>
    </row>
    <row r="226">
      <c r="C226" s="13" t="inlineStr">
        <is>
          <t>MAT16-0059</t>
        </is>
      </c>
      <c r="D226" s="11">
        <f>_xlfn.XLOOKUP(C226,Detallado!C:C,Detallado!E:E,"ERROR",0)</f>
        <v/>
      </c>
      <c r="E226" s="6">
        <f>SUMIF(Detallado!C:C,ANALISIS!C226,Detallado!F:F)</f>
        <v/>
      </c>
      <c r="F226" s="7">
        <f>_xlfn.XLOOKUP(C226,Detallado!C:C,Detallado!H:H,"ERROR",0)</f>
        <v/>
      </c>
      <c r="G226" s="8">
        <f>E226*F226</f>
        <v/>
      </c>
      <c r="H226" s="9">
        <f>G226/$G$313</f>
        <v/>
      </c>
      <c r="J226" s="7" t="n">
        <v>107175.88</v>
      </c>
      <c r="K226" s="7" t="n">
        <v>214351.76</v>
      </c>
      <c r="M226" s="10">
        <f>+K226-G226</f>
        <v/>
      </c>
    </row>
    <row r="227">
      <c r="C227" s="13" t="inlineStr">
        <is>
          <t>MAT16-0060</t>
        </is>
      </c>
      <c r="D227" s="11">
        <f>_xlfn.XLOOKUP(C227,Detallado!C:C,Detallado!E:E,"ERROR",0)</f>
        <v/>
      </c>
      <c r="E227" s="6">
        <f>SUMIF(Detallado!C:C,ANALISIS!C227,Detallado!F:F)</f>
        <v/>
      </c>
      <c r="F227" s="7">
        <f>_xlfn.XLOOKUP(C227,Detallado!C:C,Detallado!H:H,"ERROR",0)</f>
        <v/>
      </c>
      <c r="G227" s="8">
        <f>E227*F227</f>
        <v/>
      </c>
      <c r="H227" s="9">
        <f>G227/$G$313</f>
        <v/>
      </c>
      <c r="J227" s="7" t="n">
        <v>102500.885004</v>
      </c>
      <c r="K227" s="7" t="n">
        <v>0</v>
      </c>
      <c r="M227" s="10">
        <f>+K227-G227</f>
        <v/>
      </c>
    </row>
    <row r="228">
      <c r="C228" s="13" t="inlineStr">
        <is>
          <t>MAT16-0062</t>
        </is>
      </c>
      <c r="D228" s="11">
        <f>_xlfn.XLOOKUP(C228,Detallado!C:C,Detallado!E:E,"ERROR",0)</f>
        <v/>
      </c>
      <c r="E228" s="6">
        <f>SUMIF(Detallado!C:C,ANALISIS!C228,Detallado!F:F)</f>
        <v/>
      </c>
      <c r="F228" s="7">
        <f>_xlfn.XLOOKUP(C228,Detallado!C:C,Detallado!H:H,"ERROR",0)</f>
        <v/>
      </c>
      <c r="G228" s="8">
        <f>E228*F228</f>
        <v/>
      </c>
      <c r="H228" s="9">
        <f>G228/$G$313</f>
        <v/>
      </c>
      <c r="J228" s="7" t="n">
        <v>85742.56</v>
      </c>
      <c r="K228" s="7" t="n">
        <v>0</v>
      </c>
      <c r="M228" s="10">
        <f>+K228-G228</f>
        <v/>
      </c>
    </row>
    <row r="229">
      <c r="C229" s="13" t="inlineStr">
        <is>
          <t>MAT17-0036</t>
        </is>
      </c>
      <c r="D229" s="11">
        <f>_xlfn.XLOOKUP(C229,Detallado!C:C,Detallado!E:E,"ERROR",0)</f>
        <v/>
      </c>
      <c r="E229" s="6">
        <f>SUMIF(Detallado!C:C,ANALISIS!C229,Detallado!F:F)</f>
        <v/>
      </c>
      <c r="F229" s="7">
        <f>_xlfn.XLOOKUP(C229,Detallado!C:C,Detallado!H:H,"ERROR",0)</f>
        <v/>
      </c>
      <c r="G229" s="8">
        <f>E229*F229</f>
        <v/>
      </c>
      <c r="H229" s="9">
        <f>G229/$G$313</f>
        <v/>
      </c>
      <c r="J229" s="7" t="n">
        <v>9228.020399999999</v>
      </c>
      <c r="K229" s="7" t="n">
        <v>73824.1632</v>
      </c>
      <c r="M229" s="10">
        <f>+K229-G229</f>
        <v/>
      </c>
    </row>
    <row r="230">
      <c r="C230" s="13" t="inlineStr">
        <is>
          <t>MAT17-0066</t>
        </is>
      </c>
      <c r="D230" s="11">
        <f>_xlfn.XLOOKUP(C230,Detallado!C:C,Detallado!E:E,"ERROR",0)</f>
        <v/>
      </c>
      <c r="E230" s="6">
        <f>SUMIF(Detallado!C:C,ANALISIS!C230,Detallado!F:F)</f>
        <v/>
      </c>
      <c r="F230" s="7">
        <f>_xlfn.XLOOKUP(C230,Detallado!C:C,Detallado!H:H,"ERROR",0)</f>
        <v/>
      </c>
      <c r="G230" s="8">
        <f>E230*F230</f>
        <v/>
      </c>
      <c r="H230" s="9">
        <f>G230/$G$313</f>
        <v/>
      </c>
      <c r="J230" s="7" t="n">
        <v>26554.72</v>
      </c>
      <c r="K230" s="7" t="n">
        <v>53109.44</v>
      </c>
      <c r="M230" s="10">
        <f>+K230-G230</f>
        <v/>
      </c>
    </row>
    <row r="231">
      <c r="C231" s="13" t="inlineStr">
        <is>
          <t>MAT17-0106</t>
        </is>
      </c>
      <c r="D231" s="11">
        <f>_xlfn.XLOOKUP(C231,Detallado!C:C,Detallado!E:E,"ERROR",0)</f>
        <v/>
      </c>
      <c r="E231" s="6">
        <f>SUMIF(Detallado!C:C,ANALISIS!C231,Detallado!F:F)</f>
        <v/>
      </c>
      <c r="F231" s="7">
        <f>_xlfn.XLOOKUP(C231,Detallado!C:C,Detallado!H:H,"ERROR",0)</f>
        <v/>
      </c>
      <c r="G231" s="8">
        <f>E231*F231</f>
        <v/>
      </c>
      <c r="H231" s="9">
        <f>G231/$G$313</f>
        <v/>
      </c>
      <c r="J231" s="7" t="n">
        <v>9222</v>
      </c>
      <c r="K231" s="7" t="n">
        <v>479544</v>
      </c>
      <c r="M231" s="10">
        <f>+K231-G231</f>
        <v/>
      </c>
    </row>
    <row r="232">
      <c r="C232" s="13" t="inlineStr">
        <is>
          <t>MAT18-0007</t>
        </is>
      </c>
      <c r="D232" s="11">
        <f>_xlfn.XLOOKUP(C232,Detallado!C:C,Detallado!E:E,"ERROR",0)</f>
        <v/>
      </c>
      <c r="E232" s="6">
        <f>SUMIF(Detallado!C:C,ANALISIS!C232,Detallado!F:F)</f>
        <v/>
      </c>
      <c r="F232" s="7">
        <f>_xlfn.XLOOKUP(C232,Detallado!C:C,Detallado!H:H,"ERROR",0)</f>
        <v/>
      </c>
      <c r="G232" s="8">
        <f>E232*F232</f>
        <v/>
      </c>
      <c r="H232" s="9">
        <f>G232/$G$313</f>
        <v/>
      </c>
      <c r="J232" s="7" t="n">
        <v>10055.0457142857</v>
      </c>
      <c r="K232" s="7" t="n">
        <v>30165.13714285711</v>
      </c>
      <c r="M232" s="10">
        <f>+K232-G232</f>
        <v/>
      </c>
    </row>
    <row r="233">
      <c r="C233" s="13" t="inlineStr">
        <is>
          <t>MAT18-0008</t>
        </is>
      </c>
      <c r="D233" s="11">
        <f>_xlfn.XLOOKUP(C233,Detallado!C:C,Detallado!E:E,"ERROR",0)</f>
        <v/>
      </c>
      <c r="E233" s="6">
        <f>SUMIF(Detallado!C:C,ANALISIS!C233,Detallado!F:F)</f>
        <v/>
      </c>
      <c r="F233" s="7">
        <f>_xlfn.XLOOKUP(C233,Detallado!C:C,Detallado!H:H,"ERROR",0)</f>
        <v/>
      </c>
      <c r="G233" s="8">
        <f>E233*F233</f>
        <v/>
      </c>
      <c r="H233" s="9">
        <f>G233/$G$313</f>
        <v/>
      </c>
      <c r="J233" s="7" t="n">
        <v>21343.14822857141</v>
      </c>
      <c r="K233" s="7" t="n">
        <v>21343.14822857141</v>
      </c>
      <c r="M233" s="10">
        <f>+K233-G233</f>
        <v/>
      </c>
    </row>
    <row r="234">
      <c r="C234" s="13" t="inlineStr">
        <is>
          <t>MAT18-0032</t>
        </is>
      </c>
      <c r="D234" s="11">
        <f>_xlfn.XLOOKUP(C234,Detallado!C:C,Detallado!E:E,"ERROR",0)</f>
        <v/>
      </c>
      <c r="E234" s="6">
        <f>SUMIF(Detallado!C:C,ANALISIS!C234,Detallado!F:F)</f>
        <v/>
      </c>
      <c r="F234" s="7">
        <f>_xlfn.XLOOKUP(C234,Detallado!C:C,Detallado!H:H,"ERROR",0)</f>
        <v/>
      </c>
      <c r="G234" s="8">
        <f>E234*F234</f>
        <v/>
      </c>
      <c r="H234" s="9">
        <f>G234/$G$313</f>
        <v/>
      </c>
      <c r="J234" s="7" t="n">
        <v>150902.65478</v>
      </c>
      <c r="K234" s="7" t="n">
        <v>150902.65478</v>
      </c>
      <c r="M234" s="10">
        <f>+K234-G234</f>
        <v/>
      </c>
    </row>
    <row r="235">
      <c r="C235" s="13" t="inlineStr">
        <is>
          <t>MAT18-0035</t>
        </is>
      </c>
      <c r="D235" s="11">
        <f>_xlfn.XLOOKUP(C235,Detallado!C:C,Detallado!E:E,"ERROR",0)</f>
        <v/>
      </c>
      <c r="E235" s="6">
        <f>SUMIF(Detallado!C:C,ANALISIS!C235,Detallado!F:F)</f>
        <v/>
      </c>
      <c r="F235" s="7">
        <f>_xlfn.XLOOKUP(C235,Detallado!C:C,Detallado!H:H,"ERROR",0)</f>
        <v/>
      </c>
      <c r="G235" s="8">
        <f>E235*F235</f>
        <v/>
      </c>
      <c r="H235" s="9">
        <f>G235/$G$313</f>
        <v/>
      </c>
      <c r="J235" s="7" t="n">
        <v>150902.65478</v>
      </c>
      <c r="K235" s="7" t="n">
        <v>301805.30956</v>
      </c>
      <c r="M235" s="10">
        <f>+K235-G235</f>
        <v/>
      </c>
    </row>
    <row r="236">
      <c r="C236" s="13" t="inlineStr">
        <is>
          <t>MAT18-0036</t>
        </is>
      </c>
      <c r="D236" s="11">
        <f>_xlfn.XLOOKUP(C236,Detallado!C:C,Detallado!E:E,"ERROR",0)</f>
        <v/>
      </c>
      <c r="E236" s="6">
        <f>SUMIF(Detallado!C:C,ANALISIS!C236,Detallado!F:F)</f>
        <v/>
      </c>
      <c r="F236" s="7">
        <f>_xlfn.XLOOKUP(C236,Detallado!C:C,Detallado!H:H,"ERROR",0)</f>
        <v/>
      </c>
      <c r="G236" s="8">
        <f>E236*F236</f>
        <v/>
      </c>
      <c r="H236" s="9">
        <f>G236/$G$313</f>
        <v/>
      </c>
      <c r="J236" s="7" t="n">
        <v>150902.6484</v>
      </c>
      <c r="K236" s="7" t="n">
        <v>150902.6484</v>
      </c>
      <c r="M236" s="10">
        <f>+K236-G236</f>
        <v/>
      </c>
    </row>
    <row r="237">
      <c r="C237" s="13" t="inlineStr">
        <is>
          <t>MAT18-0043</t>
        </is>
      </c>
      <c r="D237" s="11">
        <f>_xlfn.XLOOKUP(C237,Detallado!C:C,Detallado!E:E,"ERROR",0)</f>
        <v/>
      </c>
      <c r="E237" s="6">
        <f>SUMIF(Detallado!C:C,ANALISIS!C237,Detallado!F:F)</f>
        <v/>
      </c>
      <c r="F237" s="7">
        <f>_xlfn.XLOOKUP(C237,Detallado!C:C,Detallado!H:H,"ERROR",0)</f>
        <v/>
      </c>
      <c r="G237" s="8">
        <f>E237*F237</f>
        <v/>
      </c>
      <c r="H237" s="9">
        <f>G237/$G$313</f>
        <v/>
      </c>
      <c r="J237" s="7" t="n">
        <v>4215.904</v>
      </c>
      <c r="K237" s="7" t="n">
        <v>193931.584</v>
      </c>
      <c r="M237" s="10">
        <f>+K237-G237</f>
        <v/>
      </c>
    </row>
    <row r="238">
      <c r="C238" s="13" t="inlineStr">
        <is>
          <t>MAT19-0009</t>
        </is>
      </c>
      <c r="D238" s="11">
        <f>_xlfn.XLOOKUP(C238,Detallado!C:C,Detallado!E:E,"ERROR",0)</f>
        <v/>
      </c>
      <c r="E238" s="6">
        <f>SUMIF(Detallado!C:C,ANALISIS!C238,Detallado!F:F)</f>
        <v/>
      </c>
      <c r="F238" s="7">
        <f>_xlfn.XLOOKUP(C238,Detallado!C:C,Detallado!H:H,"ERROR",0)</f>
        <v/>
      </c>
      <c r="G238" s="8">
        <f>E238*F238</f>
        <v/>
      </c>
      <c r="H238" s="9">
        <f>G238/$G$313</f>
        <v/>
      </c>
      <c r="J238" s="7" t="n">
        <v>250.27</v>
      </c>
      <c r="K238" s="7" t="n">
        <v>1251.35</v>
      </c>
      <c r="M238" s="10">
        <f>+K238-G238</f>
        <v/>
      </c>
    </row>
    <row r="239">
      <c r="C239" s="13" t="inlineStr">
        <is>
          <t>MAT19-0011</t>
        </is>
      </c>
      <c r="D239" s="11">
        <f>_xlfn.XLOOKUP(C239,Detallado!C:C,Detallado!E:E,"ERROR",0)</f>
        <v/>
      </c>
      <c r="E239" s="6">
        <f>SUMIF(Detallado!C:C,ANALISIS!C239,Detallado!F:F)</f>
        <v/>
      </c>
      <c r="F239" s="7">
        <f>_xlfn.XLOOKUP(C239,Detallado!C:C,Detallado!H:H,"ERROR",0)</f>
        <v/>
      </c>
      <c r="G239" s="8">
        <f>E239*F239</f>
        <v/>
      </c>
      <c r="H239" s="9">
        <f>G239/$G$313</f>
        <v/>
      </c>
      <c r="J239" s="7" t="n">
        <v>72.5</v>
      </c>
      <c r="K239" s="7" t="n">
        <v>362.5</v>
      </c>
      <c r="M239" s="10">
        <f>+K239-G239</f>
        <v/>
      </c>
    </row>
    <row r="240">
      <c r="C240" s="13" t="inlineStr">
        <is>
          <t>MAT19-0017</t>
        </is>
      </c>
      <c r="D240" s="11">
        <f>_xlfn.XLOOKUP(C240,Detallado!C:C,Detallado!E:E,"ERROR",0)</f>
        <v/>
      </c>
      <c r="E240" s="6">
        <f>SUMIF(Detallado!C:C,ANALISIS!C240,Detallado!F:F)</f>
        <v/>
      </c>
      <c r="F240" s="7">
        <f>_xlfn.XLOOKUP(C240,Detallado!C:C,Detallado!H:H,"ERROR",0)</f>
        <v/>
      </c>
      <c r="G240" s="8">
        <f>E240*F240</f>
        <v/>
      </c>
      <c r="H240" s="9">
        <f>G240/$G$313</f>
        <v/>
      </c>
      <c r="J240" s="7" t="n">
        <v>1238.88</v>
      </c>
      <c r="K240" s="7" t="n">
        <v>0</v>
      </c>
      <c r="M240" s="10">
        <f>+K240-G240</f>
        <v/>
      </c>
    </row>
    <row r="241">
      <c r="C241" s="13" t="inlineStr">
        <is>
          <t>MAT19-0018</t>
        </is>
      </c>
      <c r="D241" s="11">
        <f>_xlfn.XLOOKUP(C241,Detallado!C:C,Detallado!E:E,"ERROR",0)</f>
        <v/>
      </c>
      <c r="E241" s="6">
        <f>SUMIF(Detallado!C:C,ANALISIS!C241,Detallado!F:F)</f>
        <v/>
      </c>
      <c r="F241" s="7">
        <f>_xlfn.XLOOKUP(C241,Detallado!C:C,Detallado!H:H,"ERROR",0)</f>
        <v/>
      </c>
      <c r="G241" s="8">
        <f>E241*F241</f>
        <v/>
      </c>
      <c r="H241" s="9">
        <f>G241/$G$313</f>
        <v/>
      </c>
      <c r="J241" s="7" t="n">
        <v>2179.93</v>
      </c>
      <c r="K241" s="7" t="n">
        <v>17439.44</v>
      </c>
      <c r="M241" s="10">
        <f>+K241-G241</f>
        <v/>
      </c>
    </row>
    <row r="242">
      <c r="C242" s="13" t="inlineStr">
        <is>
          <t>MAT19-0019</t>
        </is>
      </c>
      <c r="D242" s="11">
        <f>_xlfn.XLOOKUP(C242,Detallado!C:C,Detallado!E:E,"ERROR",0)</f>
        <v/>
      </c>
      <c r="E242" s="6">
        <f>SUMIF(Detallado!C:C,ANALISIS!C242,Detallado!F:F)</f>
        <v/>
      </c>
      <c r="F242" s="7">
        <f>_xlfn.XLOOKUP(C242,Detallado!C:C,Detallado!H:H,"ERROR",0)</f>
        <v/>
      </c>
      <c r="G242" s="8">
        <f>E242*F242</f>
        <v/>
      </c>
      <c r="H242" s="9">
        <f>G242/$G$313</f>
        <v/>
      </c>
      <c r="J242" s="7" t="n">
        <v>484.8799999999999</v>
      </c>
      <c r="K242" s="7" t="n">
        <v>969.7599999999999</v>
      </c>
      <c r="M242" s="10">
        <f>+K242-G242</f>
        <v/>
      </c>
    </row>
    <row r="243">
      <c r="C243" s="13" t="inlineStr">
        <is>
          <t>MAT19-0020</t>
        </is>
      </c>
      <c r="D243" s="11">
        <f>_xlfn.XLOOKUP(C243,Detallado!C:C,Detallado!E:E,"ERROR",0)</f>
        <v/>
      </c>
      <c r="E243" s="6">
        <f>SUMIF(Detallado!C:C,ANALISIS!C243,Detallado!F:F)</f>
        <v/>
      </c>
      <c r="F243" s="7">
        <f>_xlfn.XLOOKUP(C243,Detallado!C:C,Detallado!H:H,"ERROR",0)</f>
        <v/>
      </c>
      <c r="G243" s="8">
        <f>E243*F243</f>
        <v/>
      </c>
      <c r="H243" s="9">
        <f>G243/$G$313</f>
        <v/>
      </c>
      <c r="J243" s="7" t="n">
        <v>87</v>
      </c>
      <c r="K243" s="7" t="n">
        <v>1479</v>
      </c>
      <c r="M243" s="10">
        <f>+K243-G243</f>
        <v/>
      </c>
    </row>
    <row r="244">
      <c r="C244" s="15" t="inlineStr">
        <is>
          <t>MAT19-0021</t>
        </is>
      </c>
      <c r="D244" s="11">
        <f>_xlfn.XLOOKUP(C244,Detallado!C:C,Detallado!E:E,"ERROR",0)</f>
        <v/>
      </c>
      <c r="E244" s="6">
        <f>SUMIF(Detallado!C:C,ANALISIS!C244,Detallado!F:F)</f>
        <v/>
      </c>
      <c r="F244" s="7">
        <f>_xlfn.XLOOKUP(C244,Detallado!C:C,Detallado!H:H,"ERROR",0)</f>
        <v/>
      </c>
      <c r="G244" s="8">
        <f>E244*F244</f>
        <v/>
      </c>
      <c r="H244" s="9">
        <f>G244/$G$313</f>
        <v/>
      </c>
      <c r="J244" s="7" t="n">
        <v>234.61</v>
      </c>
      <c r="K244" s="7" t="n">
        <v>3284.54</v>
      </c>
      <c r="M244" s="10">
        <f>+K244-G244</f>
        <v/>
      </c>
    </row>
    <row r="245">
      <c r="C245" s="13" t="inlineStr">
        <is>
          <t>MAT19-0023</t>
        </is>
      </c>
      <c r="D245" s="11">
        <f>_xlfn.XLOOKUP(C245,Detallado!C:C,Detallado!E:E,"ERROR",0)</f>
        <v/>
      </c>
      <c r="E245" s="6">
        <f>SUMIF(Detallado!C:C,ANALISIS!C245,Detallado!F:F)</f>
        <v/>
      </c>
      <c r="F245" s="7">
        <f>_xlfn.XLOOKUP(C245,Detallado!C:C,Detallado!H:H,"ERROR",0)</f>
        <v/>
      </c>
      <c r="G245" s="8">
        <f>E245*F245</f>
        <v/>
      </c>
      <c r="H245" s="9">
        <f>G245/$G$313</f>
        <v/>
      </c>
      <c r="J245" s="7" t="n">
        <v>412.38</v>
      </c>
      <c r="K245" s="7" t="n">
        <v>824.76</v>
      </c>
      <c r="M245" s="10">
        <f>+K245-G245</f>
        <v/>
      </c>
    </row>
    <row r="246">
      <c r="C246" s="13" t="inlineStr">
        <is>
          <t>MAT19-0024</t>
        </is>
      </c>
      <c r="D246" s="11">
        <f>_xlfn.XLOOKUP(C246,Detallado!C:C,Detallado!E:E,"ERROR",0)</f>
        <v/>
      </c>
      <c r="E246" s="6">
        <f>SUMIF(Detallado!C:C,ANALISIS!C246,Detallado!F:F)</f>
        <v/>
      </c>
      <c r="F246" s="7">
        <f>_xlfn.XLOOKUP(C246,Detallado!C:C,Detallado!H:H,"ERROR",0)</f>
        <v/>
      </c>
      <c r="G246" s="8">
        <f>E246*F246</f>
        <v/>
      </c>
      <c r="H246" s="9">
        <f>G246/$G$313</f>
        <v/>
      </c>
      <c r="J246" s="7" t="n">
        <v>529.8299999999999</v>
      </c>
      <c r="K246" s="7" t="n">
        <v>2119.32</v>
      </c>
      <c r="M246" s="10">
        <f>+K246-G246</f>
        <v/>
      </c>
    </row>
    <row r="247">
      <c r="C247" s="13" t="inlineStr">
        <is>
          <t>MAT19-0027</t>
        </is>
      </c>
      <c r="D247" s="11">
        <f>_xlfn.XLOOKUP(C247,Detallado!C:C,Detallado!E:E,"ERROR",0)</f>
        <v/>
      </c>
      <c r="E247" s="6">
        <f>SUMIF(Detallado!C:C,ANALISIS!C247,Detallado!F:F)</f>
        <v/>
      </c>
      <c r="F247" s="7">
        <f>_xlfn.XLOOKUP(C247,Detallado!C:C,Detallado!H:H,"ERROR",0)</f>
        <v/>
      </c>
      <c r="G247" s="8">
        <f>E247*F247</f>
        <v/>
      </c>
      <c r="H247" s="9">
        <f>G247/$G$313</f>
        <v/>
      </c>
      <c r="J247" s="7" t="n">
        <v>377.58</v>
      </c>
      <c r="K247" s="7" t="n">
        <v>1510.32</v>
      </c>
      <c r="M247" s="10">
        <f>+K247-G247</f>
        <v/>
      </c>
    </row>
    <row r="248">
      <c r="C248" s="16" t="inlineStr">
        <is>
          <t>MAT19-0028</t>
        </is>
      </c>
      <c r="D248" s="11">
        <f>_xlfn.XLOOKUP(C248,Detallado!C:C,Detallado!E:E,"ERROR",0)</f>
        <v/>
      </c>
      <c r="E248" s="6">
        <f>SUMIF(Detallado!C:C,ANALISIS!C248,Detallado!F:F)</f>
        <v/>
      </c>
      <c r="F248" s="7">
        <f>_xlfn.XLOOKUP(C248,Detallado!C:C,Detallado!H:H,"ERROR",0)</f>
        <v/>
      </c>
      <c r="G248" s="8">
        <f>E248*F248</f>
        <v/>
      </c>
      <c r="H248" s="9">
        <f>G248/$G$313</f>
        <v/>
      </c>
      <c r="J248" s="7" t="n">
        <v>339.88</v>
      </c>
      <c r="K248" s="7" t="n">
        <v>1359.52</v>
      </c>
      <c r="M248" s="10">
        <f>+K248-G248</f>
        <v/>
      </c>
    </row>
    <row r="249">
      <c r="C249" s="16" t="inlineStr">
        <is>
          <t>MAT19-0029</t>
        </is>
      </c>
      <c r="D249" s="11">
        <f>_xlfn.XLOOKUP(C249,Detallado!C:C,Detallado!E:E,"ERROR",0)</f>
        <v/>
      </c>
      <c r="E249" s="6">
        <f>SUMIF(Detallado!C:C,ANALISIS!C249,Detallado!F:F)</f>
        <v/>
      </c>
      <c r="F249" s="7">
        <f>_xlfn.XLOOKUP(C249,Detallado!C:C,Detallado!H:H,"ERROR",0)</f>
        <v/>
      </c>
      <c r="G249" s="8">
        <f>E249*F249</f>
        <v/>
      </c>
      <c r="H249" s="9">
        <f>G249/$G$313</f>
        <v/>
      </c>
      <c r="J249" s="7" t="n">
        <v>96.56999999999999</v>
      </c>
      <c r="K249" s="7" t="n">
        <v>10139.85</v>
      </c>
      <c r="M249" s="10">
        <f>+K249-G249</f>
        <v/>
      </c>
    </row>
    <row r="250">
      <c r="C250" s="16" t="inlineStr">
        <is>
          <t>MAT19-0030</t>
        </is>
      </c>
      <c r="D250" s="11">
        <f>_xlfn.XLOOKUP(C250,Detallado!C:C,Detallado!E:E,"ERROR",0)</f>
        <v/>
      </c>
      <c r="E250" s="6">
        <f>SUMIF(Detallado!C:C,ANALISIS!C250,Detallado!F:F)</f>
        <v/>
      </c>
      <c r="F250" s="7">
        <f>_xlfn.XLOOKUP(C250,Detallado!C:C,Detallado!H:H,"ERROR",0)</f>
        <v/>
      </c>
      <c r="G250" s="8">
        <f>E250*F250</f>
        <v/>
      </c>
      <c r="H250" s="9">
        <f>G250/$G$313</f>
        <v/>
      </c>
      <c r="J250" s="7" t="n">
        <v>122.67</v>
      </c>
      <c r="K250" s="7" t="n">
        <v>2208.06</v>
      </c>
      <c r="M250" s="10">
        <f>+K250-G250</f>
        <v/>
      </c>
    </row>
    <row r="251">
      <c r="C251" s="16" t="inlineStr">
        <is>
          <t>MAT19-0031</t>
        </is>
      </c>
      <c r="D251" s="11">
        <f>_xlfn.XLOOKUP(C251,Detallado!C:C,Detallado!E:E,"ERROR",0)</f>
        <v/>
      </c>
      <c r="E251" s="6">
        <f>SUMIF(Detallado!C:C,ANALISIS!C251,Detallado!F:F)</f>
        <v/>
      </c>
      <c r="F251" s="7">
        <f>_xlfn.XLOOKUP(C251,Detallado!C:C,Detallado!H:H,"ERROR",0)</f>
        <v/>
      </c>
      <c r="G251" s="8">
        <f>E251*F251</f>
        <v/>
      </c>
      <c r="H251" s="9">
        <f>G251/$G$313</f>
        <v/>
      </c>
      <c r="J251" s="7" t="n">
        <v>1452.61</v>
      </c>
      <c r="K251" s="7" t="n">
        <v>4357.83</v>
      </c>
      <c r="M251" s="10">
        <f>+K251-G251</f>
        <v/>
      </c>
    </row>
    <row r="252">
      <c r="C252" s="16" t="inlineStr">
        <is>
          <t>MAT19-0032</t>
        </is>
      </c>
      <c r="D252" s="11">
        <f>_xlfn.XLOOKUP(C252,Detallado!C:C,Detallado!E:E,"ERROR",0)</f>
        <v/>
      </c>
      <c r="E252" s="6">
        <f>SUMIF(Detallado!C:C,ANALISIS!C252,Detallado!F:F)</f>
        <v/>
      </c>
      <c r="F252" s="7">
        <f>_xlfn.XLOOKUP(C252,Detallado!C:C,Detallado!H:H,"ERROR",0)</f>
        <v/>
      </c>
      <c r="G252" s="8">
        <f>E252*F252</f>
        <v/>
      </c>
      <c r="H252" s="9">
        <f>G252/$G$313</f>
        <v/>
      </c>
      <c r="J252" s="7" t="n">
        <v>500.2499999999999</v>
      </c>
      <c r="K252" s="7" t="n">
        <v>3501.75</v>
      </c>
      <c r="M252" s="10">
        <f>+K252-G252</f>
        <v/>
      </c>
    </row>
    <row r="253">
      <c r="C253" s="16" t="inlineStr">
        <is>
          <t>MAT19-0033</t>
        </is>
      </c>
      <c r="D253" s="11">
        <f>_xlfn.XLOOKUP(C253,Detallado!C:C,Detallado!E:E,"ERROR",0)</f>
        <v/>
      </c>
      <c r="E253" s="6">
        <f>SUMIF(Detallado!C:C,ANALISIS!C253,Detallado!F:F)</f>
        <v/>
      </c>
      <c r="F253" s="7">
        <f>_xlfn.XLOOKUP(C253,Detallado!C:C,Detallado!H:H,"ERROR",0)</f>
        <v/>
      </c>
      <c r="G253" s="8">
        <f>E253*F253</f>
        <v/>
      </c>
      <c r="H253" s="9">
        <f>G253/$G$313</f>
        <v/>
      </c>
      <c r="J253" s="7" t="n">
        <v>335.82</v>
      </c>
      <c r="K253" s="7" t="n">
        <v>13432.8</v>
      </c>
      <c r="M253" s="10">
        <f>+K253-G253</f>
        <v/>
      </c>
    </row>
    <row r="254">
      <c r="C254" s="16" t="inlineStr">
        <is>
          <t>MAT19-0034</t>
        </is>
      </c>
      <c r="D254" s="11">
        <f>_xlfn.XLOOKUP(C254,Detallado!C:C,Detallado!E:E,"ERROR",0)</f>
        <v/>
      </c>
      <c r="E254" s="6">
        <f>SUMIF(Detallado!C:C,ANALISIS!C254,Detallado!F:F)</f>
        <v/>
      </c>
      <c r="F254" s="7">
        <f>_xlfn.XLOOKUP(C254,Detallado!C:C,Detallado!H:H,"ERROR",0)</f>
        <v/>
      </c>
      <c r="G254" s="8">
        <f>E254*F254</f>
        <v/>
      </c>
      <c r="H254" s="9">
        <f>G254/$G$313</f>
        <v/>
      </c>
      <c r="J254" s="7" t="n">
        <v>411.8</v>
      </c>
      <c r="K254" s="7" t="n">
        <v>7824.199999999999</v>
      </c>
      <c r="M254" s="10">
        <f>+K254-G254</f>
        <v/>
      </c>
    </row>
    <row r="255">
      <c r="C255" s="16" t="inlineStr">
        <is>
          <t>MAT19-0038</t>
        </is>
      </c>
      <c r="D255" s="11">
        <f>_xlfn.XLOOKUP(C255,Detallado!C:C,Detallado!E:E,"ERROR",0)</f>
        <v/>
      </c>
      <c r="E255" s="6">
        <f>SUMIF(Detallado!C:C,ANALISIS!C255,Detallado!F:F)</f>
        <v/>
      </c>
      <c r="F255" s="7">
        <f>_xlfn.XLOOKUP(C255,Detallado!C:C,Detallado!H:H,"ERROR",0)</f>
        <v/>
      </c>
      <c r="G255" s="8">
        <f>E255*F255</f>
        <v/>
      </c>
      <c r="H255" s="9">
        <f>G255/$G$313</f>
        <v/>
      </c>
      <c r="J255" s="7" t="n">
        <v>870.8699999999999</v>
      </c>
      <c r="K255" s="7" t="n">
        <v>870.8699999999999</v>
      </c>
      <c r="M255" s="10">
        <f>+K255-G255</f>
        <v/>
      </c>
    </row>
    <row r="256">
      <c r="C256" s="16" t="inlineStr">
        <is>
          <t>MAT19-0041</t>
        </is>
      </c>
      <c r="D256" s="11">
        <f>_xlfn.XLOOKUP(C256,Detallado!C:C,Detallado!E:E,"ERROR",0)</f>
        <v/>
      </c>
      <c r="E256" s="6">
        <f>SUMIF(Detallado!C:C,ANALISIS!C256,Detallado!F:F)</f>
        <v/>
      </c>
      <c r="F256" s="7">
        <f>_xlfn.XLOOKUP(C256,Detallado!C:C,Detallado!H:H,"ERROR",0)</f>
        <v/>
      </c>
      <c r="G256" s="8">
        <f>E256*F256</f>
        <v/>
      </c>
      <c r="H256" s="9">
        <f>G256/$G$313</f>
        <v/>
      </c>
      <c r="J256" s="7" t="n">
        <v>1868.76</v>
      </c>
      <c r="K256" s="7" t="n">
        <v>0</v>
      </c>
      <c r="M256" s="10">
        <f>+K256-G256</f>
        <v/>
      </c>
    </row>
    <row r="257">
      <c r="C257" s="16" t="inlineStr">
        <is>
          <t>MAT19-0044</t>
        </is>
      </c>
      <c r="D257" s="11">
        <f>_xlfn.XLOOKUP(C257,Detallado!C:C,Detallado!E:E,"ERROR",0)</f>
        <v/>
      </c>
      <c r="E257" s="6">
        <f>SUMIF(Detallado!C:C,ANALISIS!C257,Detallado!F:F)</f>
        <v/>
      </c>
      <c r="F257" s="7">
        <f>_xlfn.XLOOKUP(C257,Detallado!C:C,Detallado!H:H,"ERROR",0)</f>
        <v/>
      </c>
      <c r="G257" s="8">
        <f>E257*F257</f>
        <v/>
      </c>
      <c r="H257" s="9">
        <f>G257/$G$313</f>
        <v/>
      </c>
      <c r="J257" s="7" t="n">
        <v>1858.61</v>
      </c>
      <c r="K257" s="7" t="n">
        <v>3717.22</v>
      </c>
      <c r="M257" s="10">
        <f>+K257-G257</f>
        <v/>
      </c>
    </row>
    <row r="258">
      <c r="C258" s="16" t="inlineStr">
        <is>
          <t>MAT19-0047</t>
        </is>
      </c>
      <c r="D258" s="11">
        <f>_xlfn.XLOOKUP(C258,Detallado!C:C,Detallado!E:E,"ERROR",0)</f>
        <v/>
      </c>
      <c r="E258" s="6">
        <f>SUMIF(Detallado!C:C,ANALISIS!C258,Detallado!F:F)</f>
        <v/>
      </c>
      <c r="F258" s="7">
        <f>_xlfn.XLOOKUP(C258,Detallado!C:C,Detallado!H:H,"ERROR",0)</f>
        <v/>
      </c>
      <c r="G258" s="8">
        <f>E258*F258</f>
        <v/>
      </c>
      <c r="H258" s="9">
        <f>G258/$G$313</f>
        <v/>
      </c>
      <c r="J258" s="7" t="n">
        <v>686.4299999999999</v>
      </c>
      <c r="K258" s="7" t="n">
        <v>686.4299999999999</v>
      </c>
      <c r="M258" s="10">
        <f>+K258-G258</f>
        <v/>
      </c>
    </row>
    <row r="259">
      <c r="C259" s="16" t="inlineStr">
        <is>
          <t>MAT19-0049</t>
        </is>
      </c>
      <c r="D259" s="11">
        <f>_xlfn.XLOOKUP(C259,Detallado!C:C,Detallado!E:E,"ERROR",0)</f>
        <v/>
      </c>
      <c r="E259" s="6">
        <f>SUMIF(Detallado!C:C,ANALISIS!C259,Detallado!F:F)</f>
        <v/>
      </c>
      <c r="F259" s="7">
        <f>_xlfn.XLOOKUP(C259,Detallado!C:C,Detallado!H:H,"ERROR",0)</f>
        <v/>
      </c>
      <c r="G259" s="8">
        <f>E259*F259</f>
        <v/>
      </c>
      <c r="H259" s="9">
        <f>G259/$G$313</f>
        <v/>
      </c>
      <c r="J259" s="7" t="n">
        <v>870.8699999999999</v>
      </c>
      <c r="K259" s="7" t="n">
        <v>1741.74</v>
      </c>
      <c r="M259" s="10">
        <f>+K259-G259</f>
        <v/>
      </c>
    </row>
    <row r="260">
      <c r="C260" s="16" t="inlineStr">
        <is>
          <t>MAT19-0055</t>
        </is>
      </c>
      <c r="D260" s="11">
        <f>_xlfn.XLOOKUP(C260,Detallado!C:C,Detallado!E:E,"ERROR",0)</f>
        <v/>
      </c>
      <c r="E260" s="6">
        <f>SUMIF(Detallado!C:C,ANALISIS!C260,Detallado!F:F)</f>
        <v/>
      </c>
      <c r="F260" s="7">
        <f>_xlfn.XLOOKUP(C260,Detallado!C:C,Detallado!H:H,"ERROR",0)</f>
        <v/>
      </c>
      <c r="G260" s="8">
        <f>E260*F260</f>
        <v/>
      </c>
      <c r="H260" s="9">
        <f>G260/$G$313</f>
        <v/>
      </c>
      <c r="J260" s="7" t="n">
        <v>3712.87</v>
      </c>
      <c r="K260" s="7" t="n">
        <v>3712.87</v>
      </c>
      <c r="M260" s="10">
        <f>+K260-G260</f>
        <v/>
      </c>
    </row>
    <row r="261">
      <c r="C261" s="16" t="inlineStr">
        <is>
          <t>MAT19-0061</t>
        </is>
      </c>
      <c r="D261" s="11">
        <f>_xlfn.XLOOKUP(C261,Detallado!C:C,Detallado!E:E,"ERROR",0)</f>
        <v/>
      </c>
      <c r="E261" s="6">
        <f>SUMIF(Detallado!C:C,ANALISIS!C261,Detallado!F:F)</f>
        <v/>
      </c>
      <c r="F261" s="7">
        <f>_xlfn.XLOOKUP(C261,Detallado!C:C,Detallado!H:H,"ERROR",0)</f>
        <v/>
      </c>
      <c r="G261" s="8">
        <f>E261*F261</f>
        <v/>
      </c>
      <c r="H261" s="9">
        <f>G261/$G$313</f>
        <v/>
      </c>
      <c r="J261" s="7" t="n">
        <v>272.6</v>
      </c>
      <c r="K261" s="7" t="n">
        <v>1363</v>
      </c>
      <c r="M261" s="10">
        <f>+K261-G261</f>
        <v/>
      </c>
    </row>
    <row r="262">
      <c r="C262" s="16" t="inlineStr">
        <is>
          <t>MAT19-0063</t>
        </is>
      </c>
      <c r="D262" s="11">
        <f>_xlfn.XLOOKUP(C262,Detallado!C:C,Detallado!E:E,"ERROR",0)</f>
        <v/>
      </c>
      <c r="E262" s="6">
        <f>SUMIF(Detallado!C:C,ANALISIS!C262,Detallado!F:F)</f>
        <v/>
      </c>
      <c r="F262" s="7">
        <f>_xlfn.XLOOKUP(C262,Detallado!C:C,Detallado!H:H,"ERROR",0)</f>
        <v/>
      </c>
      <c r="G262" s="8">
        <f>E262*F262</f>
        <v/>
      </c>
      <c r="H262" s="9">
        <f>G262/$G$313</f>
        <v/>
      </c>
      <c r="J262" s="7" t="n">
        <v>370.33</v>
      </c>
      <c r="K262" s="7" t="n">
        <v>0</v>
      </c>
      <c r="L262" s="17" t="n"/>
      <c r="M262" s="10">
        <f>+K262-G262</f>
        <v/>
      </c>
    </row>
    <row r="263">
      <c r="C263" s="16" t="inlineStr">
        <is>
          <t>MAT19-0066</t>
        </is>
      </c>
      <c r="D263" s="11">
        <f>_xlfn.XLOOKUP(C263,Detallado!C:C,Detallado!E:E,"ERROR",0)</f>
        <v/>
      </c>
      <c r="E263" s="6">
        <f>SUMIF(Detallado!C:C,ANALISIS!C263,Detallado!F:F)</f>
        <v/>
      </c>
      <c r="F263" s="7">
        <f>_xlfn.XLOOKUP(C263,Detallado!C:C,Detallado!H:H,"ERROR",0)</f>
        <v/>
      </c>
      <c r="G263" s="8">
        <f>E263*F263</f>
        <v/>
      </c>
      <c r="H263" s="9">
        <f>G263/$G$313</f>
        <v/>
      </c>
      <c r="J263" s="7" t="n">
        <v>230.26</v>
      </c>
      <c r="K263" s="7" t="n">
        <v>1151.3</v>
      </c>
      <c r="M263" s="10">
        <f>+K263-G263</f>
        <v/>
      </c>
    </row>
    <row r="264">
      <c r="C264" s="16" t="inlineStr">
        <is>
          <t>MAT19-0067</t>
        </is>
      </c>
      <c r="D264" s="11">
        <f>_xlfn.XLOOKUP(C264,Detallado!C:C,Detallado!E:E,"ERROR",0)</f>
        <v/>
      </c>
      <c r="E264" s="6">
        <f>SUMIF(Detallado!C:C,ANALISIS!C264,Detallado!F:F)</f>
        <v/>
      </c>
      <c r="F264" s="7">
        <f>_xlfn.XLOOKUP(C264,Detallado!C:C,Detallado!H:H,"ERROR",0)</f>
        <v/>
      </c>
      <c r="G264" s="8">
        <f>E264*F264</f>
        <v/>
      </c>
      <c r="H264" s="9">
        <f>G264/$G$313</f>
        <v/>
      </c>
      <c r="J264" s="7" t="n">
        <v>63.8</v>
      </c>
      <c r="K264" s="7" t="n">
        <v>319</v>
      </c>
      <c r="M264" s="10">
        <f>+K264-G264</f>
        <v/>
      </c>
    </row>
    <row r="265">
      <c r="C265" s="16" t="inlineStr">
        <is>
          <t>MAT19-0075</t>
        </is>
      </c>
      <c r="D265" s="11">
        <f>_xlfn.XLOOKUP(C265,Detallado!C:C,Detallado!E:E,"ERROR",0)</f>
        <v/>
      </c>
      <c r="E265" s="6">
        <f>SUMIF(Detallado!C:C,ANALISIS!C265,Detallado!F:F)</f>
        <v/>
      </c>
      <c r="F265" s="7">
        <f>_xlfn.XLOOKUP(C265,Detallado!C:C,Detallado!H:H,"ERROR",0)</f>
        <v/>
      </c>
      <c r="G265" s="8">
        <f>E265*F265</f>
        <v/>
      </c>
      <c r="H265" s="9">
        <f>G265/$G$313</f>
        <v/>
      </c>
      <c r="J265" s="7" t="n">
        <v>310.59</v>
      </c>
      <c r="K265" s="7" t="n">
        <v>931.77</v>
      </c>
      <c r="M265" s="10">
        <f>+K265-G265</f>
        <v/>
      </c>
    </row>
    <row r="266">
      <c r="C266" s="16" t="inlineStr">
        <is>
          <t>MAT19-0077</t>
        </is>
      </c>
      <c r="D266" s="11">
        <f>_xlfn.XLOOKUP(C266,Detallado!C:C,Detallado!E:E,"ERROR",0)</f>
        <v/>
      </c>
      <c r="E266" s="6">
        <f>SUMIF(Detallado!C:C,ANALISIS!C266,Detallado!F:F)</f>
        <v/>
      </c>
      <c r="F266" s="7">
        <f>_xlfn.XLOOKUP(C266,Detallado!C:C,Detallado!H:H,"ERROR",0)</f>
        <v/>
      </c>
      <c r="G266" s="8">
        <f>E266*F266</f>
        <v/>
      </c>
      <c r="H266" s="9">
        <f>G266/$G$313</f>
        <v/>
      </c>
      <c r="J266" s="7" t="n">
        <v>88.44999999999999</v>
      </c>
      <c r="K266" s="7" t="n">
        <v>619.1499999999999</v>
      </c>
      <c r="M266" s="10">
        <f>+K266-G266</f>
        <v/>
      </c>
    </row>
    <row r="267">
      <c r="C267" s="16" t="inlineStr">
        <is>
          <t>MAT19-0078</t>
        </is>
      </c>
      <c r="D267" s="11">
        <f>_xlfn.XLOOKUP(C267,Detallado!C:C,Detallado!E:E,"ERROR",0)</f>
        <v/>
      </c>
      <c r="E267" s="6">
        <f>SUMIF(Detallado!C:C,ANALISIS!C267,Detallado!F:F)</f>
        <v/>
      </c>
      <c r="F267" s="7">
        <f>_xlfn.XLOOKUP(C267,Detallado!C:C,Detallado!H:H,"ERROR",0)</f>
        <v/>
      </c>
      <c r="G267" s="8">
        <f>E267*F267</f>
        <v/>
      </c>
      <c r="H267" s="9">
        <f>G267/$G$313</f>
        <v/>
      </c>
      <c r="J267" s="7" t="n">
        <v>1496.11</v>
      </c>
      <c r="K267" s="7" t="n">
        <v>1496.11</v>
      </c>
      <c r="M267" s="10">
        <f>+K267-G267</f>
        <v/>
      </c>
    </row>
    <row r="268">
      <c r="C268" s="16" t="inlineStr">
        <is>
          <t>MAT19-0081</t>
        </is>
      </c>
      <c r="D268" s="11">
        <f>_xlfn.XLOOKUP(C268,Detallado!C:C,Detallado!E:E,"ERROR",0)</f>
        <v/>
      </c>
      <c r="E268" s="6">
        <f>SUMIF(Detallado!C:C,ANALISIS!C268,Detallado!F:F)</f>
        <v/>
      </c>
      <c r="F268" s="7">
        <f>_xlfn.XLOOKUP(C268,Detallado!C:C,Detallado!H:H,"ERROR",0)</f>
        <v/>
      </c>
      <c r="G268" s="8">
        <f>E268*F268</f>
        <v/>
      </c>
      <c r="H268" s="9">
        <f>G268/$G$313</f>
        <v/>
      </c>
      <c r="J268" s="7" t="n">
        <v>3490.73</v>
      </c>
      <c r="K268" s="7" t="n">
        <v>0</v>
      </c>
      <c r="M268" s="10">
        <f>+K268-G268</f>
        <v/>
      </c>
    </row>
    <row r="269">
      <c r="C269" s="16" t="inlineStr">
        <is>
          <t>MAT19-0084</t>
        </is>
      </c>
      <c r="D269" s="11">
        <f>_xlfn.XLOOKUP(C269,Detallado!C:C,Detallado!E:E,"ERROR",0)</f>
        <v/>
      </c>
      <c r="E269" s="6">
        <f>SUMIF(Detallado!C:C,ANALISIS!C269,Detallado!F:F)</f>
        <v/>
      </c>
      <c r="F269" s="7">
        <f>_xlfn.XLOOKUP(C269,Detallado!C:C,Detallado!H:H,"ERROR",0)</f>
        <v/>
      </c>
      <c r="G269" s="8">
        <f>E269*F269</f>
        <v/>
      </c>
      <c r="H269" s="9">
        <f>G269/$G$313</f>
        <v/>
      </c>
      <c r="J269" s="7" t="n">
        <v>4101.469999999999</v>
      </c>
      <c r="K269" s="7" t="n">
        <v>16405.88</v>
      </c>
      <c r="M269" s="10">
        <f>+K269-G269</f>
        <v/>
      </c>
    </row>
    <row r="270">
      <c r="C270" s="16" t="inlineStr">
        <is>
          <t>MAT19-0085</t>
        </is>
      </c>
      <c r="D270" s="11">
        <f>_xlfn.XLOOKUP(C270,Detallado!C:C,Detallado!E:E,"ERROR",0)</f>
        <v/>
      </c>
      <c r="E270" s="6">
        <f>SUMIF(Detallado!C:C,ANALISIS!C270,Detallado!F:F)</f>
        <v/>
      </c>
      <c r="F270" s="7">
        <f>_xlfn.XLOOKUP(C270,Detallado!C:C,Detallado!H:H,"ERROR",0)</f>
        <v/>
      </c>
      <c r="G270" s="8">
        <f>E270*F270</f>
        <v/>
      </c>
      <c r="H270" s="9">
        <f>G270/$G$313</f>
        <v/>
      </c>
      <c r="J270" s="7" t="n">
        <v>2759.93</v>
      </c>
      <c r="K270" s="7" t="n">
        <v>22079.44</v>
      </c>
      <c r="M270" s="10">
        <f>+K270-G270</f>
        <v/>
      </c>
    </row>
    <row r="271">
      <c r="C271" s="16" t="inlineStr">
        <is>
          <t>MAT19-0086</t>
        </is>
      </c>
      <c r="D271" s="11">
        <f>_xlfn.XLOOKUP(C271,Detallado!C:C,Detallado!E:E,"ERROR",0)</f>
        <v/>
      </c>
      <c r="E271" s="6">
        <f>SUMIF(Detallado!C:C,ANALISIS!C271,Detallado!F:F)</f>
        <v/>
      </c>
      <c r="F271" s="7">
        <f>_xlfn.XLOOKUP(C271,Detallado!C:C,Detallado!H:H,"ERROR",0)</f>
        <v/>
      </c>
      <c r="G271" s="8">
        <f>E271*F271</f>
        <v/>
      </c>
      <c r="H271" s="9">
        <f>G271/$G$313</f>
        <v/>
      </c>
      <c r="J271" s="7" t="n">
        <v>858.9799999999999</v>
      </c>
      <c r="K271" s="7" t="n">
        <v>55833.7</v>
      </c>
      <c r="M271" s="10">
        <f>+K271-G271</f>
        <v/>
      </c>
    </row>
    <row r="272">
      <c r="C272" s="16" t="inlineStr">
        <is>
          <t>MAT19-0087</t>
        </is>
      </c>
      <c r="D272" s="11">
        <f>_xlfn.XLOOKUP(C272,Detallado!C:C,Detallado!E:E,"ERROR",0)</f>
        <v/>
      </c>
      <c r="E272" s="6">
        <f>SUMIF(Detallado!C:C,ANALISIS!C272,Detallado!F:F)</f>
        <v/>
      </c>
      <c r="F272" s="7">
        <f>_xlfn.XLOOKUP(C272,Detallado!C:C,Detallado!H:H,"ERROR",0)</f>
        <v/>
      </c>
      <c r="G272" s="8">
        <f>E272*F272</f>
        <v/>
      </c>
      <c r="H272" s="9">
        <f>G272/$G$313</f>
        <v/>
      </c>
      <c r="J272" s="7" t="n">
        <v>1369.0204</v>
      </c>
      <c r="K272" s="7" t="n">
        <v>16428.2448</v>
      </c>
      <c r="M272" s="10">
        <f>+K272-G272</f>
        <v/>
      </c>
    </row>
    <row r="273">
      <c r="C273" s="16" t="inlineStr">
        <is>
          <t>MAT19-0088</t>
        </is>
      </c>
      <c r="D273" s="11">
        <f>_xlfn.XLOOKUP(C273,Detallado!C:C,Detallado!E:E,"ERROR",0)</f>
        <v/>
      </c>
      <c r="E273" s="6">
        <f>SUMIF(Detallado!C:C,ANALISIS!C273,Detallado!F:F)</f>
        <v/>
      </c>
      <c r="F273" s="7">
        <f>_xlfn.XLOOKUP(C273,Detallado!C:C,Detallado!H:H,"ERROR",0)</f>
        <v/>
      </c>
      <c r="G273" s="8">
        <f>E273*F273</f>
        <v/>
      </c>
      <c r="H273" s="9">
        <f>G273/$G$313</f>
        <v/>
      </c>
      <c r="J273" s="7" t="n">
        <v>5713</v>
      </c>
      <c r="K273" s="7" t="n">
        <v>114260</v>
      </c>
      <c r="M273" s="10">
        <f>+K273-G273</f>
        <v/>
      </c>
    </row>
    <row r="274">
      <c r="C274" s="16" t="inlineStr">
        <is>
          <t>MAT19-0092</t>
        </is>
      </c>
      <c r="D274" s="11">
        <f>_xlfn.XLOOKUP(C274,Detallado!C:C,Detallado!E:E,"ERROR",0)</f>
        <v/>
      </c>
      <c r="E274" s="6">
        <f>SUMIF(Detallado!C:C,ANALISIS!C274,Detallado!F:F)</f>
        <v/>
      </c>
      <c r="F274" s="7">
        <f>_xlfn.XLOOKUP(C274,Detallado!C:C,Detallado!H:H,"ERROR",0)</f>
        <v/>
      </c>
      <c r="G274" s="8">
        <f>E274*F274</f>
        <v/>
      </c>
      <c r="H274" s="9">
        <f>G274/$G$313</f>
        <v/>
      </c>
      <c r="J274" s="7" t="n">
        <v>3025.57</v>
      </c>
      <c r="K274" s="7" t="n">
        <v>90767.09999999999</v>
      </c>
      <c r="M274" s="10">
        <f>+K274-G274</f>
        <v/>
      </c>
    </row>
    <row r="275">
      <c r="C275" s="16" t="inlineStr">
        <is>
          <t>MAT19-0094</t>
        </is>
      </c>
      <c r="D275" s="11">
        <f>_xlfn.XLOOKUP(C275,Detallado!C:C,Detallado!E:E,"ERROR",0)</f>
        <v/>
      </c>
      <c r="E275" s="6">
        <f>SUMIF(Detallado!C:C,ANALISIS!C275,Detallado!F:F)</f>
        <v/>
      </c>
      <c r="F275" s="7">
        <f>_xlfn.XLOOKUP(C275,Detallado!C:C,Detallado!H:H,"ERROR",0)</f>
        <v/>
      </c>
      <c r="G275" s="8">
        <f>E275*F275</f>
        <v/>
      </c>
      <c r="H275" s="9">
        <f>G275/$G$313</f>
        <v/>
      </c>
      <c r="J275" s="7" t="n">
        <v>5515.8928</v>
      </c>
      <c r="K275" s="7" t="n">
        <v>16547.6784</v>
      </c>
      <c r="M275" s="10">
        <f>+K275-G275</f>
        <v/>
      </c>
    </row>
    <row r="276">
      <c r="C276" s="16" t="inlineStr">
        <is>
          <t>MAT19-0095</t>
        </is>
      </c>
      <c r="D276" s="11">
        <f>_xlfn.XLOOKUP(C276,Detallado!C:C,Detallado!E:E,"ERROR",0)</f>
        <v/>
      </c>
      <c r="E276" s="6">
        <f>SUMIF(Detallado!C:C,ANALISIS!C276,Detallado!F:F)</f>
        <v/>
      </c>
      <c r="F276" s="7">
        <f>_xlfn.XLOOKUP(C276,Detallado!C:C,Detallado!H:H,"ERROR",0)</f>
        <v/>
      </c>
      <c r="G276" s="8">
        <f>E276*F276</f>
        <v/>
      </c>
      <c r="H276" s="9">
        <f>G276/$G$313</f>
        <v/>
      </c>
      <c r="J276" s="7" t="n">
        <v>6633.169999999999</v>
      </c>
      <c r="K276" s="7" t="n">
        <v>19899.51</v>
      </c>
      <c r="M276" s="10">
        <f>+K276-G276</f>
        <v/>
      </c>
    </row>
    <row r="277">
      <c r="C277" s="16" t="inlineStr">
        <is>
          <t>MAT19-0096</t>
        </is>
      </c>
      <c r="D277" s="11">
        <f>_xlfn.XLOOKUP(C277,Detallado!C:C,Detallado!E:E,"ERROR",0)</f>
        <v/>
      </c>
      <c r="E277" s="6">
        <f>SUMIF(Detallado!C:C,ANALISIS!C277,Detallado!F:F)</f>
        <v/>
      </c>
      <c r="F277" s="7">
        <f>_xlfn.XLOOKUP(C277,Detallado!C:C,Detallado!H:H,"ERROR",0)</f>
        <v/>
      </c>
      <c r="G277" s="8">
        <f>E277*F277</f>
        <v/>
      </c>
      <c r="H277" s="9">
        <f>G277/$G$313</f>
        <v/>
      </c>
      <c r="J277" s="7" t="n">
        <v>60413.96</v>
      </c>
      <c r="K277" s="7" t="n">
        <v>0</v>
      </c>
      <c r="M277" s="10">
        <f>+K277-G277</f>
        <v/>
      </c>
    </row>
    <row r="278">
      <c r="C278" s="16" t="inlineStr">
        <is>
          <t>MAT19-0100</t>
        </is>
      </c>
      <c r="D278" s="11">
        <f>_xlfn.XLOOKUP(C278,Detallado!C:C,Detallado!E:E,"ERROR",0)</f>
        <v/>
      </c>
      <c r="E278" s="6">
        <f>SUMIF(Detallado!C:C,ANALISIS!C278,Detallado!F:F)</f>
        <v/>
      </c>
      <c r="F278" s="7">
        <f>_xlfn.XLOOKUP(C278,Detallado!C:C,Detallado!H:H,"ERROR",0)</f>
        <v/>
      </c>
      <c r="G278" s="8">
        <f>E278*F278</f>
        <v/>
      </c>
      <c r="H278" s="9">
        <f>G278/$G$313</f>
        <v/>
      </c>
      <c r="J278" s="7" t="n">
        <v>21550.77</v>
      </c>
      <c r="K278" s="7" t="n">
        <v>129304.62</v>
      </c>
      <c r="M278" s="10">
        <f>+K278-G278</f>
        <v/>
      </c>
    </row>
    <row r="279">
      <c r="C279" s="13" t="inlineStr">
        <is>
          <t>MAT19-0103</t>
        </is>
      </c>
      <c r="D279" s="11">
        <f>_xlfn.XLOOKUP(C279,Detallado!C:C,Detallado!E:E,"ERROR",0)</f>
        <v/>
      </c>
      <c r="E279" s="6">
        <f>SUMIF(Detallado!C:C,ANALISIS!C279,Detallado!F:F)</f>
        <v/>
      </c>
      <c r="F279" s="7">
        <f>_xlfn.XLOOKUP(C279,Detallado!C:C,Detallado!H:H,"ERROR",0)</f>
        <v/>
      </c>
      <c r="G279" s="8">
        <f>E279*F279</f>
        <v/>
      </c>
      <c r="H279" s="9">
        <f>G279/$G$313</f>
        <v/>
      </c>
      <c r="J279" s="7" t="n">
        <v>21550.33628318584</v>
      </c>
      <c r="K279" s="7" t="n">
        <v>86201.34513274337</v>
      </c>
      <c r="M279" s="10">
        <f>+K279-G279</f>
        <v/>
      </c>
    </row>
    <row r="280">
      <c r="C280" s="13" t="inlineStr">
        <is>
          <t>MAT19-0104</t>
        </is>
      </c>
      <c r="D280" s="11">
        <f>_xlfn.XLOOKUP(C280,Detallado!C:C,Detallado!E:E,"ERROR",0)</f>
        <v/>
      </c>
      <c r="E280" s="6">
        <f>SUMIF(Detallado!C:C,ANALISIS!C280,Detallado!F:F)</f>
        <v/>
      </c>
      <c r="F280" s="7">
        <f>_xlfn.XLOOKUP(C280,Detallado!C:C,Detallado!H:H,"ERROR",0)</f>
        <v/>
      </c>
      <c r="G280" s="8">
        <f>E280*F280</f>
        <v/>
      </c>
      <c r="H280" s="9">
        <f>G280/$G$313</f>
        <v/>
      </c>
      <c r="J280" s="7" t="n">
        <v>319.58</v>
      </c>
      <c r="K280" s="7" t="n">
        <v>1278.32</v>
      </c>
      <c r="M280" s="10">
        <f>+K280-G280</f>
        <v/>
      </c>
    </row>
    <row r="281">
      <c r="C281" s="13" t="inlineStr">
        <is>
          <t>MAT19-0105</t>
        </is>
      </c>
      <c r="D281" s="11">
        <f>_xlfn.XLOOKUP(C281,Detallado!C:C,Detallado!E:E,"ERROR",0)</f>
        <v/>
      </c>
      <c r="E281" s="6">
        <f>SUMIF(Detallado!C:C,ANALISIS!C281,Detallado!F:F)</f>
        <v/>
      </c>
      <c r="F281" s="7">
        <f>_xlfn.XLOOKUP(C281,Detallado!C:C,Detallado!H:H,"ERROR",0)</f>
        <v/>
      </c>
      <c r="G281" s="8">
        <f>E281*F281</f>
        <v/>
      </c>
      <c r="H281" s="9">
        <f>G281/$G$313</f>
        <v/>
      </c>
      <c r="J281" s="7" t="n">
        <v>174.58</v>
      </c>
      <c r="K281" s="7" t="n">
        <v>1047.48</v>
      </c>
      <c r="M281" s="10">
        <f>+K281-G281</f>
        <v/>
      </c>
    </row>
    <row r="282">
      <c r="C282" s="13" t="inlineStr">
        <is>
          <t>MAT19-0106</t>
        </is>
      </c>
      <c r="D282" s="11">
        <f>_xlfn.XLOOKUP(C282,Detallado!C:C,Detallado!E:E,"ERROR",0)</f>
        <v/>
      </c>
      <c r="E282" s="6">
        <f>SUMIF(Detallado!C:C,ANALISIS!C282,Detallado!F:F)</f>
        <v/>
      </c>
      <c r="F282" s="7">
        <f>_xlfn.XLOOKUP(C282,Detallado!C:C,Detallado!H:H,"ERROR",0)</f>
        <v/>
      </c>
      <c r="G282" s="8">
        <f>E282*F282</f>
        <v/>
      </c>
      <c r="H282" s="9">
        <f>G282/$G$313</f>
        <v/>
      </c>
      <c r="J282" s="7" t="n">
        <v>77.14</v>
      </c>
      <c r="K282" s="7" t="n">
        <v>3317.02</v>
      </c>
      <c r="M282" s="10">
        <f>+K282-G282</f>
        <v/>
      </c>
    </row>
    <row r="283">
      <c r="C283" s="13" t="inlineStr">
        <is>
          <t>MAT19-0107</t>
        </is>
      </c>
      <c r="D283" s="11">
        <f>_xlfn.XLOOKUP(C283,Detallado!C:C,Detallado!E:E,"ERROR",0)</f>
        <v/>
      </c>
      <c r="E283" s="6">
        <f>SUMIF(Detallado!C:C,ANALISIS!C283,Detallado!F:F)</f>
        <v/>
      </c>
      <c r="F283" s="7">
        <f>_xlfn.XLOOKUP(C283,Detallado!C:C,Detallado!H:H,"ERROR",0)</f>
        <v/>
      </c>
      <c r="G283" s="8">
        <f>E283*F283</f>
        <v/>
      </c>
      <c r="H283" s="9">
        <f>G283/$G$313</f>
        <v/>
      </c>
      <c r="J283" s="7" t="n">
        <v>109.62</v>
      </c>
      <c r="K283" s="7" t="n">
        <v>1644.3</v>
      </c>
      <c r="M283" s="10">
        <f>+K283-G283</f>
        <v/>
      </c>
    </row>
    <row r="284">
      <c r="C284" s="13" t="inlineStr">
        <is>
          <t>MAT19-0110</t>
        </is>
      </c>
      <c r="D284" s="11">
        <f>_xlfn.XLOOKUP(C284,Detallado!C:C,Detallado!E:E,"ERROR",0)</f>
        <v/>
      </c>
      <c r="E284" s="6">
        <f>SUMIF(Detallado!C:C,ANALISIS!C284,Detallado!F:F)</f>
        <v/>
      </c>
      <c r="F284" s="7">
        <f>_xlfn.XLOOKUP(C284,Detallado!C:C,Detallado!H:H,"ERROR",0)</f>
        <v/>
      </c>
      <c r="G284" s="8">
        <f>E284*F284</f>
        <v/>
      </c>
      <c r="H284" s="9">
        <f>G284/$G$313</f>
        <v/>
      </c>
      <c r="J284" s="7" t="n">
        <v>1789.88</v>
      </c>
      <c r="K284" s="7" t="n">
        <v>1789.88</v>
      </c>
      <c r="M284" s="10">
        <f>+K284-G284</f>
        <v/>
      </c>
    </row>
    <row r="285">
      <c r="C285" s="13" t="inlineStr">
        <is>
          <t>MAT19-0112</t>
        </is>
      </c>
      <c r="D285" s="11">
        <f>_xlfn.XLOOKUP(C285,Detallado!C:C,Detallado!E:E,"ERROR",0)</f>
        <v/>
      </c>
      <c r="E285" s="6">
        <f>SUMIF(Detallado!C:C,ANALISIS!C285,Detallado!F:F)</f>
        <v/>
      </c>
      <c r="F285" s="7">
        <f>_xlfn.XLOOKUP(C285,Detallado!C:C,Detallado!H:H,"ERROR",0)</f>
        <v/>
      </c>
      <c r="G285" s="8">
        <f>E285*F285</f>
        <v/>
      </c>
      <c r="H285" s="9">
        <f>G285/$G$313</f>
        <v/>
      </c>
      <c r="J285" s="7" t="n">
        <v>569.908</v>
      </c>
      <c r="K285" s="7" t="n">
        <v>0</v>
      </c>
      <c r="M285" s="10">
        <f>+K285-G285</f>
        <v/>
      </c>
    </row>
    <row r="286">
      <c r="C286" s="13" t="inlineStr">
        <is>
          <t>MAT19-0116</t>
        </is>
      </c>
      <c r="D286" s="11">
        <f>_xlfn.XLOOKUP(C286,Detallado!C:C,Detallado!E:E,"ERROR",0)</f>
        <v/>
      </c>
      <c r="E286" s="6">
        <f>SUMIF(Detallado!C:C,ANALISIS!C286,Detallado!F:F)</f>
        <v/>
      </c>
      <c r="F286" s="7">
        <f>_xlfn.XLOOKUP(C286,Detallado!C:C,Detallado!H:H,"ERROR",0)</f>
        <v/>
      </c>
      <c r="G286" s="8">
        <f>E286*F286</f>
        <v/>
      </c>
      <c r="H286" s="9">
        <f>G286/$G$313</f>
        <v/>
      </c>
      <c r="J286" s="7" t="n">
        <v>1753.34</v>
      </c>
      <c r="K286" s="7" t="n">
        <v>1753.34</v>
      </c>
      <c r="M286" s="10">
        <f>+K286-G286</f>
        <v/>
      </c>
    </row>
    <row r="287">
      <c r="C287" s="13" t="inlineStr">
        <is>
          <t>MAT19-0118</t>
        </is>
      </c>
      <c r="D287" s="11">
        <f>_xlfn.XLOOKUP(C287,Detallado!C:C,Detallado!E:E,"ERROR",0)</f>
        <v/>
      </c>
      <c r="E287" s="6">
        <f>SUMIF(Detallado!C:C,ANALISIS!C287,Detallado!F:F)</f>
        <v/>
      </c>
      <c r="F287" s="7">
        <f>_xlfn.XLOOKUP(C287,Detallado!C:C,Detallado!H:H,"ERROR",0)</f>
        <v/>
      </c>
      <c r="G287" s="8">
        <f>E287*F287</f>
        <v/>
      </c>
      <c r="H287" s="9">
        <f>G287/$G$313</f>
        <v/>
      </c>
      <c r="J287" s="7" t="n">
        <v>4362.469999999999</v>
      </c>
      <c r="K287" s="7" t="n">
        <v>8724.939999999999</v>
      </c>
      <c r="M287" s="10">
        <f>+K287-G287</f>
        <v/>
      </c>
    </row>
    <row r="288">
      <c r="C288" s="13" t="inlineStr">
        <is>
          <t>MAT19-0124</t>
        </is>
      </c>
      <c r="D288" s="11">
        <f>_xlfn.XLOOKUP(C288,Detallado!C:C,Detallado!E:E,"ERROR",0)</f>
        <v/>
      </c>
      <c r="E288" s="6">
        <f>SUMIF(Detallado!C:C,ANALISIS!C288,Detallado!F:F)</f>
        <v/>
      </c>
      <c r="F288" s="7">
        <f>_xlfn.XLOOKUP(C288,Detallado!C:C,Detallado!H:H,"ERROR",0)</f>
        <v/>
      </c>
      <c r="G288" s="8">
        <f>E288*F288</f>
        <v/>
      </c>
      <c r="H288" s="9">
        <f>G288/$G$313</f>
        <v/>
      </c>
      <c r="J288" s="7" t="n">
        <v>362.5</v>
      </c>
      <c r="K288" s="7" t="n">
        <v>362.5</v>
      </c>
      <c r="M288" s="10">
        <f>+K288-G288</f>
        <v/>
      </c>
    </row>
    <row r="289">
      <c r="C289" s="13" t="inlineStr">
        <is>
          <t>MAT19-0125</t>
        </is>
      </c>
      <c r="D289" s="11">
        <f>_xlfn.XLOOKUP(C289,Detallado!C:C,Detallado!E:E,"ERROR",0)</f>
        <v/>
      </c>
      <c r="E289" s="6">
        <f>SUMIF(Detallado!C:C,ANALISIS!C289,Detallado!F:F)</f>
        <v/>
      </c>
      <c r="F289" s="7">
        <f>_xlfn.XLOOKUP(C289,Detallado!C:C,Detallado!H:H,"ERROR",0)</f>
        <v/>
      </c>
      <c r="G289" s="8">
        <f>E289*F289</f>
        <v/>
      </c>
      <c r="H289" s="9">
        <f>G289/$G$313</f>
        <v/>
      </c>
      <c r="J289" s="7" t="n">
        <v>313.49</v>
      </c>
      <c r="K289" s="7" t="n">
        <v>0</v>
      </c>
      <c r="M289" s="10">
        <f>+K289-G289</f>
        <v/>
      </c>
    </row>
    <row r="290">
      <c r="C290" s="13" t="inlineStr">
        <is>
          <t>MAT19-0126</t>
        </is>
      </c>
      <c r="D290" s="11">
        <f>_xlfn.XLOOKUP(C290,Detallado!C:C,Detallado!E:E,"ERROR",0)</f>
        <v/>
      </c>
      <c r="E290" s="6">
        <f>SUMIF(Detallado!C:C,ANALISIS!C290,Detallado!F:F)</f>
        <v/>
      </c>
      <c r="F290" s="7">
        <f>_xlfn.XLOOKUP(C290,Detallado!C:C,Detallado!H:H,"ERROR",0)</f>
        <v/>
      </c>
      <c r="G290" s="8">
        <f>E290*F290</f>
        <v/>
      </c>
      <c r="H290" s="9">
        <f>G290/$G$313</f>
        <v/>
      </c>
      <c r="J290" s="7" t="n">
        <v>310.88</v>
      </c>
      <c r="K290" s="7" t="n">
        <v>0</v>
      </c>
      <c r="M290" s="10">
        <f>+K290-G290</f>
        <v/>
      </c>
    </row>
    <row r="291">
      <c r="C291" s="13" t="inlineStr">
        <is>
          <t>MAT19-0140</t>
        </is>
      </c>
      <c r="D291" s="11">
        <f>_xlfn.XLOOKUP(C291,Detallado!C:C,Detallado!E:E,"ERROR",0)</f>
        <v/>
      </c>
      <c r="E291" s="6">
        <f>SUMIF(Detallado!C:C,ANALISIS!C291,Detallado!F:F)</f>
        <v/>
      </c>
      <c r="F291" s="7">
        <f>_xlfn.XLOOKUP(C291,Detallado!C:C,Detallado!H:H,"ERROR",0)</f>
        <v/>
      </c>
      <c r="G291" s="8">
        <f>E291*F291</f>
        <v/>
      </c>
      <c r="H291" s="9">
        <f>G291/$G$313</f>
        <v/>
      </c>
      <c r="J291" s="7" t="n">
        <v>1272.52</v>
      </c>
      <c r="K291" s="7" t="n">
        <v>10180.16</v>
      </c>
      <c r="M291" s="10">
        <f>+K291-G291</f>
        <v/>
      </c>
    </row>
    <row r="292">
      <c r="C292" s="13" t="inlineStr">
        <is>
          <t>MAT21-0005</t>
        </is>
      </c>
      <c r="D292" s="11">
        <f>_xlfn.XLOOKUP(C292,Detallado!C:C,Detallado!E:E,"ERROR",0)</f>
        <v/>
      </c>
      <c r="E292" s="6">
        <f>SUMIF(Detallado!C:C,ANALISIS!C292,Detallado!F:F)</f>
        <v/>
      </c>
      <c r="F292" s="7">
        <f>_xlfn.XLOOKUP(C292,Detallado!C:C,Detallado!H:H,"ERROR",0)</f>
        <v/>
      </c>
      <c r="G292" s="8">
        <f>E292*F292</f>
        <v/>
      </c>
      <c r="H292" s="9">
        <f>G292/$G$313</f>
        <v/>
      </c>
      <c r="J292" s="7" t="n">
        <v>5522.376426666662</v>
      </c>
      <c r="K292" s="7" t="n">
        <v>16567.12927999999</v>
      </c>
      <c r="M292" s="10">
        <f>+K292-G292</f>
        <v/>
      </c>
    </row>
    <row r="293">
      <c r="C293" s="13" t="inlineStr">
        <is>
          <t>MAT21-0007</t>
        </is>
      </c>
      <c r="D293" s="11">
        <f>_xlfn.XLOOKUP(C293,Detallado!C:C,Detallado!E:E,"ERROR",0)</f>
        <v/>
      </c>
      <c r="E293" s="6">
        <f>SUMIF(Detallado!C:C,ANALISIS!C293,Detallado!F:F)</f>
        <v/>
      </c>
      <c r="F293" s="7">
        <f>_xlfn.XLOOKUP(C293,Detallado!C:C,Detallado!H:H,"ERROR",0)</f>
        <v/>
      </c>
      <c r="G293" s="8">
        <f>E293*F293</f>
        <v/>
      </c>
      <c r="H293" s="9">
        <f>G293/$G$313</f>
        <v/>
      </c>
      <c r="J293" s="7" t="n">
        <v>11013.04</v>
      </c>
      <c r="K293" s="7" t="n">
        <v>0</v>
      </c>
      <c r="M293" s="10">
        <f>+K293-G293</f>
        <v/>
      </c>
    </row>
    <row r="294">
      <c r="C294" s="13" t="inlineStr">
        <is>
          <t>MAT21-0009</t>
        </is>
      </c>
      <c r="D294" s="11">
        <f>_xlfn.XLOOKUP(C294,Detallado!C:C,Detallado!E:E,"ERROR",0)</f>
        <v/>
      </c>
      <c r="E294" s="6">
        <f>SUMIF(Detallado!C:C,ANALISIS!C294,Detallado!F:F)</f>
        <v/>
      </c>
      <c r="F294" s="7">
        <f>_xlfn.XLOOKUP(C294,Detallado!C:C,Detallado!H:H,"ERROR",0)</f>
        <v/>
      </c>
      <c r="G294" s="8">
        <f>E294*F294</f>
        <v/>
      </c>
      <c r="H294" s="9">
        <f>G294/$G$313</f>
        <v/>
      </c>
      <c r="J294" s="7" t="n">
        <v>6183.992421999999</v>
      </c>
      <c r="K294" s="7" t="n">
        <v>12367.984844</v>
      </c>
      <c r="M294" s="10">
        <f>+K294-G294</f>
        <v/>
      </c>
    </row>
    <row r="295">
      <c r="C295" s="13" t="inlineStr">
        <is>
          <t>MAT21-0015</t>
        </is>
      </c>
      <c r="D295" s="11">
        <f>_xlfn.XLOOKUP(C295,Detallado!C:C,Detallado!E:E,"ERROR",0)</f>
        <v/>
      </c>
      <c r="E295" s="6">
        <f>SUMIF(Detallado!C:C,ANALISIS!C295,Detallado!F:F)</f>
        <v/>
      </c>
      <c r="F295" s="7">
        <f>_xlfn.XLOOKUP(C295,Detallado!C:C,Detallado!H:H,"ERROR",0)</f>
        <v/>
      </c>
      <c r="G295" s="8">
        <f>E295*F295</f>
        <v/>
      </c>
      <c r="H295" s="9">
        <f>G295/$G$313</f>
        <v/>
      </c>
      <c r="J295" s="7" t="n">
        <v>4867.256637168142</v>
      </c>
      <c r="K295" s="7" t="n">
        <v>29203.53982300885</v>
      </c>
      <c r="M295" s="10">
        <f>+K295-G295</f>
        <v/>
      </c>
    </row>
    <row r="296">
      <c r="C296" s="13" t="inlineStr">
        <is>
          <t>MAT21-0017</t>
        </is>
      </c>
      <c r="D296" s="11">
        <f>_xlfn.XLOOKUP(C296,Detallado!C:C,Detallado!E:E,"ERROR",0)</f>
        <v/>
      </c>
      <c r="E296" s="6">
        <f>SUMIF(Detallado!C:C,ANALISIS!C296,Detallado!F:F)</f>
        <v/>
      </c>
      <c r="F296" s="7">
        <f>_xlfn.XLOOKUP(C296,Detallado!C:C,Detallado!H:H,"ERROR",0)</f>
        <v/>
      </c>
      <c r="G296" s="8">
        <f>E296*F296</f>
        <v/>
      </c>
      <c r="H296" s="9">
        <f>G296/$G$313</f>
        <v/>
      </c>
      <c r="J296" s="7" t="n">
        <v>2917.280210666662</v>
      </c>
      <c r="K296" s="7" t="n">
        <v>8751.840631999987</v>
      </c>
      <c r="M296" s="10">
        <f>+K296-G296</f>
        <v/>
      </c>
    </row>
    <row r="297">
      <c r="C297" s="13" t="inlineStr">
        <is>
          <t>MAT21-0018</t>
        </is>
      </c>
      <c r="D297" s="11">
        <f>_xlfn.XLOOKUP(C297,Detallado!C:C,Detallado!E:E,"ERROR",0)</f>
        <v/>
      </c>
      <c r="E297" s="6">
        <f>SUMIF(Detallado!C:C,ANALISIS!C297,Detallado!F:F)</f>
        <v/>
      </c>
      <c r="F297" s="7">
        <f>_xlfn.XLOOKUP(C297,Detallado!C:C,Detallado!H:H,"ERROR",0)</f>
        <v/>
      </c>
      <c r="G297" s="8">
        <f>E297*F297</f>
        <v/>
      </c>
      <c r="H297" s="9">
        <f>G297/$G$313</f>
        <v/>
      </c>
      <c r="J297" s="7" t="n">
        <v>6508.318619999999</v>
      </c>
      <c r="K297" s="7" t="n">
        <v>19524.95586</v>
      </c>
      <c r="M297" s="10">
        <f>+K297-G297</f>
        <v/>
      </c>
    </row>
    <row r="298">
      <c r="C298" s="13" t="inlineStr">
        <is>
          <t>MAT21-0027</t>
        </is>
      </c>
      <c r="D298" s="11">
        <f>_xlfn.XLOOKUP(C298,Detallado!C:C,Detallado!E:E,"ERROR",0)</f>
        <v/>
      </c>
      <c r="E298" s="6">
        <f>SUMIF(Detallado!C:C,ANALISIS!C298,Detallado!F:F)</f>
        <v/>
      </c>
      <c r="F298" s="7">
        <f>_xlfn.XLOOKUP(C298,Detallado!C:C,Detallado!H:H,"ERROR",0)</f>
        <v/>
      </c>
      <c r="G298" s="8">
        <f>E298*F298</f>
        <v/>
      </c>
      <c r="H298" s="9">
        <f>G298/$G$313</f>
        <v/>
      </c>
      <c r="J298" s="7" t="n">
        <v>877.7133</v>
      </c>
      <c r="K298" s="7" t="n">
        <v>21942.8325</v>
      </c>
      <c r="M298" s="10">
        <f>+K298-G298</f>
        <v/>
      </c>
    </row>
    <row r="299">
      <c r="C299" s="13" t="inlineStr">
        <is>
          <t>MAT21-0028</t>
        </is>
      </c>
      <c r="D299" s="11">
        <f>_xlfn.XLOOKUP(C299,Detallado!C:C,Detallado!E:E,"ERROR",0)</f>
        <v/>
      </c>
      <c r="E299" s="6">
        <f>SUMIF(Detallado!C:C,ANALISIS!C299,Detallado!F:F)</f>
        <v/>
      </c>
      <c r="F299" s="7">
        <f>_xlfn.XLOOKUP(C299,Detallado!C:C,Detallado!H:H,"ERROR",0)</f>
        <v/>
      </c>
      <c r="G299" s="8">
        <f>E299*F299</f>
        <v/>
      </c>
      <c r="H299" s="9">
        <f>G299/$G$313</f>
        <v/>
      </c>
      <c r="J299" s="7" t="n">
        <v>988.8999999999999</v>
      </c>
      <c r="K299" s="7" t="n">
        <v>7911.199999999999</v>
      </c>
      <c r="M299" s="10">
        <f>+K299-G299</f>
        <v/>
      </c>
    </row>
    <row r="300">
      <c r="C300" s="13" t="inlineStr">
        <is>
          <t>MAT21-0029</t>
        </is>
      </c>
      <c r="D300" s="11">
        <f>_xlfn.XLOOKUP(C300,Detallado!C:C,Detallado!E:E,"ERROR",0)</f>
        <v/>
      </c>
      <c r="E300" s="6">
        <f>SUMIF(Detallado!C:C,ANALISIS!C300,Detallado!F:F)</f>
        <v/>
      </c>
      <c r="F300" s="7">
        <f>_xlfn.XLOOKUP(C300,Detallado!C:C,Detallado!H:H,"ERROR",0)</f>
        <v/>
      </c>
      <c r="G300" s="8">
        <f>E300*F300</f>
        <v/>
      </c>
      <c r="H300" s="9">
        <f>G300/$G$313</f>
        <v/>
      </c>
      <c r="J300" s="7" t="n">
        <v>2214.096296296296</v>
      </c>
      <c r="K300" s="7" t="n">
        <v>0</v>
      </c>
      <c r="M300" s="10">
        <f>+K300-G300</f>
        <v/>
      </c>
    </row>
    <row r="301">
      <c r="C301" s="13" t="inlineStr">
        <is>
          <t>MAT22-0001</t>
        </is>
      </c>
      <c r="D301" s="11">
        <f>_xlfn.XLOOKUP(C301,Detallado!C:C,Detallado!E:E,"ERROR",0)</f>
        <v/>
      </c>
      <c r="E301" s="6">
        <f>SUMIF(Detallado!C:C,ANALISIS!C301,Detallado!F:F)</f>
        <v/>
      </c>
      <c r="F301" s="7">
        <f>_xlfn.XLOOKUP(C301,Detallado!C:C,Detallado!H:H,"ERROR",0)</f>
        <v/>
      </c>
      <c r="G301" s="8">
        <f>E301*F301</f>
        <v/>
      </c>
      <c r="H301" s="9">
        <f>G301/$G$313</f>
        <v/>
      </c>
      <c r="J301" s="7" t="n">
        <v>1796.4572</v>
      </c>
      <c r="K301" s="7" t="n">
        <v>86229.94560000001</v>
      </c>
      <c r="M301" s="10">
        <f>+K301-G301</f>
        <v/>
      </c>
    </row>
    <row r="302">
      <c r="C302" s="13" t="inlineStr">
        <is>
          <t>MAT22-0002</t>
        </is>
      </c>
      <c r="D302" s="11">
        <f>_xlfn.XLOOKUP(C302,Detallado!C:C,Detallado!E:E,"ERROR",0)</f>
        <v/>
      </c>
      <c r="E302" s="6">
        <f>SUMIF(Detallado!C:C,ANALISIS!C302,Detallado!F:F)</f>
        <v/>
      </c>
      <c r="F302" s="7">
        <f>_xlfn.XLOOKUP(C302,Detallado!C:C,Detallado!H:H,"ERROR",0)</f>
        <v/>
      </c>
      <c r="G302" s="8">
        <f>E302*F302</f>
        <v/>
      </c>
      <c r="H302" s="9">
        <f>G302/$G$313</f>
        <v/>
      </c>
      <c r="J302" s="7" t="n">
        <v>2424.4</v>
      </c>
      <c r="K302" s="7" t="n">
        <v>24244</v>
      </c>
      <c r="M302" s="10">
        <f>+K302-G302</f>
        <v/>
      </c>
    </row>
    <row r="303">
      <c r="C303" s="13" t="inlineStr">
        <is>
          <t xml:space="preserve">BOTAGUA </t>
        </is>
      </c>
      <c r="D303" s="11">
        <f>_xlfn.XLOOKUP(C303,Detallado!C:C,Detallado!E:E,"ERROR",0)</f>
        <v/>
      </c>
      <c r="E303" s="6">
        <f>SUMIF(Detallado!C:C,ANALISIS!C303,Detallado!F:F)</f>
        <v/>
      </c>
      <c r="F303" s="7">
        <f>_xlfn.XLOOKUP(C303,Detallado!C:C,Detallado!H:H,"ERROR",0)</f>
        <v/>
      </c>
      <c r="G303" s="8">
        <f>E303*F303</f>
        <v/>
      </c>
      <c r="H303" s="9">
        <f>G303/$G$313</f>
        <v/>
      </c>
      <c r="J303" s="7" t="n">
        <v>6843.999999999999</v>
      </c>
      <c r="K303" s="7" t="n">
        <v>219008</v>
      </c>
      <c r="M303" s="10">
        <f>+K303-G303</f>
        <v/>
      </c>
    </row>
    <row r="304">
      <c r="C304" s="13" t="inlineStr">
        <is>
          <t xml:space="preserve">CANOA </t>
        </is>
      </c>
      <c r="D304" s="11">
        <f>_xlfn.XLOOKUP(C304,Detallado!C:C,Detallado!E:E,"ERROR",0)</f>
        <v/>
      </c>
      <c r="E304" s="6">
        <f>SUMIF(Detallado!C:C,ANALISIS!C304,Detallado!F:F)</f>
        <v/>
      </c>
      <c r="F304" s="7">
        <f>_xlfn.XLOOKUP(C304,Detallado!C:C,Detallado!H:H,"ERROR",0)</f>
        <v/>
      </c>
      <c r="G304" s="8">
        <f>E304*F304</f>
        <v/>
      </c>
      <c r="H304" s="9">
        <f>G304/$G$313</f>
        <v/>
      </c>
      <c r="J304" s="7" t="n">
        <v>11021.16</v>
      </c>
      <c r="K304" s="7" t="n">
        <v>165317.4</v>
      </c>
      <c r="M304" s="10">
        <f>+K304-G304</f>
        <v/>
      </c>
    </row>
    <row r="305">
      <c r="C305" s="13" t="inlineStr">
        <is>
          <t xml:space="preserve">COMPACTADOR </t>
        </is>
      </c>
      <c r="D305" s="11">
        <f>_xlfn.XLOOKUP(C305,Detallado!C:C,Detallado!E:E,"ERROR",0)</f>
        <v/>
      </c>
      <c r="E305" s="6">
        <f>SUMIF(Detallado!C:C,ANALISIS!C305,Detallado!F:F)</f>
        <v/>
      </c>
      <c r="F305" s="7">
        <f>_xlfn.XLOOKUP(C305,Detallado!C:C,Detallado!H:H,"ERROR",0)</f>
        <v/>
      </c>
      <c r="G305" s="8">
        <f>E305*F305</f>
        <v/>
      </c>
      <c r="H305" s="9">
        <f>G305/$G$313</f>
        <v/>
      </c>
      <c r="J305" s="7" t="n">
        <v>0</v>
      </c>
      <c r="K305" s="7" t="n">
        <v>0</v>
      </c>
      <c r="M305" s="10">
        <f>+K305-G305</f>
        <v/>
      </c>
    </row>
    <row r="306">
      <c r="C306" s="13" t="inlineStr">
        <is>
          <t>EQU20-0005</t>
        </is>
      </c>
      <c r="D306" s="11">
        <f>_xlfn.XLOOKUP(C306,Detallado!C:C,Detallado!E:E,"ERROR",0)</f>
        <v/>
      </c>
      <c r="E306" s="6">
        <f>SUMIF(Detallado!C:C,ANALISIS!C306,Detallado!F:F)</f>
        <v/>
      </c>
      <c r="F306" s="7">
        <f>_xlfn.XLOOKUP(C306,Detallado!C:C,Detallado!H:H,"ERROR",0)</f>
        <v/>
      </c>
      <c r="G306" s="8">
        <f>E306*F306</f>
        <v/>
      </c>
      <c r="H306" s="9">
        <f>G306/$G$313</f>
        <v/>
      </c>
      <c r="J306" s="7" t="n">
        <v>1257.44</v>
      </c>
      <c r="K306" s="7" t="n">
        <v>5029.759999999999</v>
      </c>
      <c r="M306" s="10">
        <f>+K306-G306</f>
        <v/>
      </c>
    </row>
    <row r="307">
      <c r="C307" s="13" t="inlineStr">
        <is>
          <t xml:space="preserve">GANCHO CANOA </t>
        </is>
      </c>
      <c r="D307" s="11">
        <f>_xlfn.XLOOKUP(C307,Detallado!C:C,Detallado!E:E,"ERROR",0)</f>
        <v/>
      </c>
      <c r="E307" s="6">
        <f>SUMIF(Detallado!C:C,ANALISIS!C307,Detallado!F:F)</f>
        <v/>
      </c>
      <c r="F307" s="7">
        <f>_xlfn.XLOOKUP(C307,Detallado!C:C,Detallado!H:H,"ERROR",0)</f>
        <v/>
      </c>
      <c r="G307" s="8">
        <f>E307*F307</f>
        <v/>
      </c>
      <c r="H307" s="9">
        <f>G307/$G$313</f>
        <v/>
      </c>
      <c r="J307" s="7" t="n">
        <v>1467.4</v>
      </c>
      <c r="K307" s="7" t="n">
        <v>38152.39999999999</v>
      </c>
      <c r="M307" s="10">
        <f>+K307-G307</f>
        <v/>
      </c>
    </row>
    <row r="308">
      <c r="C308" s="13" t="inlineStr">
        <is>
          <t>TABLATECK 7</t>
        </is>
      </c>
      <c r="D308" s="11">
        <f>_xlfn.XLOOKUP(C308,Detallado!C:C,Detallado!E:E,"ERROR",0)</f>
        <v/>
      </c>
      <c r="E308" s="6">
        <f>SUMIF(Detallado!C:C,ANALISIS!C308,Detallado!F:F)</f>
        <v/>
      </c>
      <c r="F308" s="7">
        <f>_xlfn.XLOOKUP(C308,Detallado!C:C,Detallado!H:H,"ERROR",0)</f>
        <v/>
      </c>
      <c r="G308" s="8">
        <f>E308*F308</f>
        <v/>
      </c>
      <c r="H308" s="9">
        <f>G308/$G$313</f>
        <v/>
      </c>
      <c r="J308" s="7" t="n">
        <v>26.54867256637169</v>
      </c>
      <c r="K308" s="7" t="n">
        <v>106.1946902654867</v>
      </c>
      <c r="M308" s="10">
        <f>+K308-G308</f>
        <v/>
      </c>
    </row>
    <row r="309">
      <c r="C309" s="13" t="inlineStr">
        <is>
          <t>TABLATECK 8</t>
        </is>
      </c>
      <c r="D309" s="11">
        <f>_xlfn.XLOOKUP(C309,Detallado!C:C,Detallado!E:E,"ERROR",0)</f>
        <v/>
      </c>
      <c r="E309" s="6">
        <f>SUMIF(Detallado!C:C,ANALISIS!C309,Detallado!F:F)</f>
        <v/>
      </c>
      <c r="F309" s="7">
        <f>_xlfn.XLOOKUP(C309,Detallado!C:C,Detallado!H:H,"ERROR",0)</f>
        <v/>
      </c>
      <c r="G309" s="8">
        <f>E309*F309</f>
        <v/>
      </c>
      <c r="H309" s="9">
        <f>G309/$G$313</f>
        <v/>
      </c>
      <c r="J309" s="7" t="n">
        <v>1172.566371681416</v>
      </c>
      <c r="K309" s="7" t="n">
        <v>4690.265486725664</v>
      </c>
      <c r="M309" s="10">
        <f>+K309-G309</f>
        <v/>
      </c>
    </row>
    <row r="310">
      <c r="C310" s="11" t="n"/>
      <c r="D310" s="11">
        <f>_xlfn.XLOOKUP(C310,Detallado!C:C,Detallado!E:E,"ERROR",0)</f>
        <v/>
      </c>
      <c r="E310" s="6">
        <f>SUMIF(Detallado!C:C,ANALISIS!C310,Detallado!F:F)</f>
        <v/>
      </c>
      <c r="F310" s="7">
        <f>_xlfn.XLOOKUP(C310,Detallado!C:C,Detallado!H:H,"ERROR",0)</f>
        <v/>
      </c>
      <c r="G310" s="8">
        <f>E310*F310</f>
        <v/>
      </c>
      <c r="H310" s="9">
        <f>G310/$G$313</f>
        <v/>
      </c>
    </row>
    <row r="311">
      <c r="C311" s="11" t="n"/>
      <c r="D311" s="11" t="n"/>
      <c r="E311" s="18" t="n"/>
      <c r="F311" s="7" t="n"/>
      <c r="G311" s="8" t="n"/>
      <c r="H311" s="9" t="n"/>
    </row>
    <row r="312">
      <c r="C312" s="11" t="n"/>
      <c r="D312" s="11" t="n"/>
      <c r="E312" s="18" t="n"/>
      <c r="F312" s="8" t="n"/>
      <c r="G312" s="8" t="n"/>
      <c r="H312" s="9" t="n"/>
    </row>
    <row r="313">
      <c r="F313" s="5" t="inlineStr">
        <is>
          <t xml:space="preserve">Total </t>
        </is>
      </c>
      <c r="G313" s="19">
        <f>SUM(G2:G312)</f>
        <v/>
      </c>
      <c r="H313" s="20">
        <f>SUM(H2:H312)</f>
        <v/>
      </c>
    </row>
    <row r="315">
      <c r="F315" t="inlineStr">
        <is>
          <t xml:space="preserve">Verificacion </t>
        </is>
      </c>
      <c r="G315" s="8">
        <f>Detallado!K8</f>
        <v/>
      </c>
    </row>
    <row r="316">
      <c r="F316" t="inlineStr">
        <is>
          <t xml:space="preserve">Diferencia </t>
        </is>
      </c>
      <c r="G316" s="10">
        <f>G313-G315</f>
        <v/>
      </c>
    </row>
    <row r="318">
      <c r="G318" s="21" t="n">
        <v>15693774.220471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100"/>
  <sheetViews>
    <sheetView workbookViewId="0">
      <selection activeCell="A1" sqref="A1"/>
    </sheetView>
  </sheetViews>
  <sheetFormatPr baseColWidth="8" defaultRowHeight="15"/>
  <sheetData>
    <row r="3">
      <c r="A3" s="22" t="inlineStr">
        <is>
          <t>N°</t>
        </is>
      </c>
      <c r="B3" s="22" t="inlineStr">
        <is>
          <t xml:space="preserve">DESCRIPCION </t>
        </is>
      </c>
      <c r="C3" s="23" t="inlineStr">
        <is>
          <t>CANTIDAD</t>
        </is>
      </c>
      <c r="D3" s="22" t="inlineStr">
        <is>
          <t>UNIDAD</t>
        </is>
      </c>
      <c r="E3" s="22" t="inlineStr">
        <is>
          <t xml:space="preserve">TOTAL MATERIAL </t>
        </is>
      </c>
      <c r="F3" s="22" t="inlineStr">
        <is>
          <t xml:space="preserve">TOTAL MANO DE OBRA </t>
        </is>
      </c>
      <c r="G3" s="24" t="inlineStr">
        <is>
          <t>TOTAL SUB/EQUIPOS</t>
        </is>
      </c>
      <c r="H3" s="24" t="inlineStr">
        <is>
          <t xml:space="preserve">TOTAL DIRECTO COLONES </t>
        </is>
      </c>
      <c r="I3" s="24" t="inlineStr">
        <is>
          <t xml:space="preserve">TOTAL DÓLARES </t>
        </is>
      </c>
      <c r="J3" s="24" t="inlineStr">
        <is>
          <t xml:space="preserve">COSTO/M2 </t>
        </is>
      </c>
    </row>
    <row r="4">
      <c r="A4" s="25" t="n">
        <v>1</v>
      </c>
      <c r="B4" s="26" t="inlineStr">
        <is>
          <t xml:space="preserve">FUNDACIONES </t>
        </is>
      </c>
      <c r="C4" s="27">
        <f>+'1_OG y 2_ACA'!D12</f>
        <v/>
      </c>
      <c r="D4" s="28" t="inlineStr">
        <is>
          <t xml:space="preserve">m2 </t>
        </is>
      </c>
      <c r="E4" s="29">
        <f>SUM(E5:E8)</f>
        <v/>
      </c>
      <c r="F4" s="29">
        <f>SUM(F5:F8)</f>
        <v/>
      </c>
      <c r="G4" s="29">
        <f>SUM(G5:G8)</f>
        <v/>
      </c>
      <c r="H4" s="29">
        <f>SUM(H5:H8)</f>
        <v/>
      </c>
      <c r="I4" s="30">
        <f>SUM(I5:I8)</f>
        <v/>
      </c>
      <c r="J4" s="29">
        <f>H4/C4</f>
        <v/>
      </c>
    </row>
    <row r="5">
      <c r="A5" s="18" t="inlineStr">
        <is>
          <t xml:space="preserve">1.1 </t>
        </is>
      </c>
      <c r="B5" s="11" t="inlineStr">
        <is>
          <t xml:space="preserve">OBRAS PRELIMINARES Y RELLENOS </t>
        </is>
      </c>
      <c r="C5" s="31">
        <f>+C4</f>
        <v/>
      </c>
      <c r="D5" s="18" t="inlineStr">
        <is>
          <t xml:space="preserve">m2 </t>
        </is>
      </c>
      <c r="E5" s="32">
        <f>Detallado!K11</f>
        <v/>
      </c>
      <c r="F5" s="32">
        <f>Detallado!L11</f>
        <v/>
      </c>
      <c r="G5" s="32">
        <f>Detallado!M11</f>
        <v/>
      </c>
      <c r="H5" s="32">
        <f>Detallado!N11</f>
        <v/>
      </c>
      <c r="I5" s="33">
        <f>Detallado!O11</f>
        <v/>
      </c>
      <c r="J5" s="34">
        <f>H5/C5</f>
        <v/>
      </c>
    </row>
    <row r="6">
      <c r="A6" s="35" t="inlineStr">
        <is>
          <t>1.2</t>
        </is>
      </c>
      <c r="B6" s="36" t="inlineStr">
        <is>
          <t>EXCAVACIÓN Y TUBERÍAS MECÁNICAS (INCLUYE ACOMETIDA)</t>
        </is>
      </c>
      <c r="C6" s="31">
        <f>+C4</f>
        <v/>
      </c>
      <c r="D6" s="35" t="inlineStr">
        <is>
          <t xml:space="preserve">m2 </t>
        </is>
      </c>
      <c r="E6" s="37">
        <f>Detallado!K21</f>
        <v/>
      </c>
      <c r="F6" s="37">
        <f>Detallado!L21</f>
        <v/>
      </c>
      <c r="G6" s="37">
        <f>Detallado!M21</f>
        <v/>
      </c>
      <c r="H6" s="37">
        <f>Detallado!N21</f>
        <v/>
      </c>
      <c r="I6" s="38">
        <f>Detallado!O21</f>
        <v/>
      </c>
      <c r="J6" s="34">
        <f>H6/C6</f>
        <v/>
      </c>
    </row>
    <row r="7">
      <c r="A7" s="18" t="inlineStr">
        <is>
          <t xml:space="preserve">1.3 </t>
        </is>
      </c>
      <c r="B7" s="11" t="inlineStr">
        <is>
          <t xml:space="preserve">SELLO DE CONCRETO </t>
        </is>
      </c>
      <c r="C7" s="31">
        <f>+C4</f>
        <v/>
      </c>
      <c r="D7" s="18" t="inlineStr">
        <is>
          <t xml:space="preserve">m2 </t>
        </is>
      </c>
      <c r="E7" s="37">
        <f>Detallado!K28</f>
        <v/>
      </c>
      <c r="F7" s="37">
        <f>Detallado!L28</f>
        <v/>
      </c>
      <c r="G7" s="37">
        <f>Detallado!M28</f>
        <v/>
      </c>
      <c r="H7" s="37">
        <f>Detallado!N28</f>
        <v/>
      </c>
      <c r="I7" s="38">
        <f>Detallado!O28</f>
        <v/>
      </c>
      <c r="J7" s="34">
        <f>H7/C7</f>
        <v/>
      </c>
    </row>
    <row r="8">
      <c r="A8" s="35" t="inlineStr">
        <is>
          <t>1.4</t>
        </is>
      </c>
      <c r="B8" s="39" t="inlineStr">
        <is>
          <t xml:space="preserve">LOSA FLOTANTE (ACERO, ELECTROMECANICOS, CONCRETO) </t>
        </is>
      </c>
      <c r="C8" s="31">
        <f>+C4</f>
        <v/>
      </c>
      <c r="D8" s="35" t="inlineStr">
        <is>
          <t xml:space="preserve">m2 </t>
        </is>
      </c>
      <c r="E8" s="37">
        <f>Detallado!K37</f>
        <v/>
      </c>
      <c r="F8" s="37">
        <f>Detallado!L37</f>
        <v/>
      </c>
      <c r="G8" s="37">
        <f>Detallado!M37</f>
        <v/>
      </c>
      <c r="H8" s="37">
        <f>Detallado!N37</f>
        <v/>
      </c>
      <c r="I8" s="38">
        <f>Detallado!O37</f>
        <v/>
      </c>
      <c r="J8" s="34">
        <f>H8/C8</f>
        <v/>
      </c>
      <c r="L8" t="inlineStr">
        <is>
          <t>MAT</t>
        </is>
      </c>
      <c r="M8" t="inlineStr">
        <is>
          <t>M.O</t>
        </is>
      </c>
    </row>
    <row r="9">
      <c r="A9" s="25" t="n">
        <v>2</v>
      </c>
      <c r="B9" s="26" t="inlineStr">
        <is>
          <t xml:space="preserve">SUPERESTRUCTURA PRIMER NIVEL </t>
        </is>
      </c>
      <c r="C9" s="40">
        <f>C10</f>
        <v/>
      </c>
      <c r="D9" s="28" t="inlineStr">
        <is>
          <t xml:space="preserve">m2 </t>
        </is>
      </c>
      <c r="E9" s="29">
        <f>SUM(E10:E12)</f>
        <v/>
      </c>
      <c r="F9" s="29">
        <f>SUM(F10:F12)</f>
        <v/>
      </c>
      <c r="G9" s="29">
        <f>SUM(G10:G12)</f>
        <v/>
      </c>
      <c r="H9" s="29">
        <f>SUM(H10:H12)</f>
        <v/>
      </c>
      <c r="I9" s="30">
        <f>SUM(I10:I12)</f>
        <v/>
      </c>
      <c r="J9" s="29">
        <f>H9/C9</f>
        <v/>
      </c>
      <c r="L9" s="17" t="n">
        <v>2702858.298214446</v>
      </c>
      <c r="M9" s="17" t="n">
        <v>959962.5</v>
      </c>
    </row>
    <row r="10">
      <c r="A10" s="35" t="inlineStr">
        <is>
          <t xml:space="preserve">2.1 </t>
        </is>
      </c>
      <c r="B10" s="39" t="inlineStr">
        <is>
          <t>ACERO EN PAREDES MUROS N1 (ELECTROMECANICO)</t>
        </is>
      </c>
      <c r="C10" s="41">
        <f>+'1_OG y 2_ACA'!D343</f>
        <v/>
      </c>
      <c r="D10" s="35" t="inlineStr">
        <is>
          <t xml:space="preserve">m2 </t>
        </is>
      </c>
      <c r="E10" s="37">
        <f>Detallado!K55</f>
        <v/>
      </c>
      <c r="F10" s="37">
        <f>Detallado!L55</f>
        <v/>
      </c>
      <c r="G10" s="37">
        <f>Detallado!M55</f>
        <v/>
      </c>
      <c r="H10" s="37">
        <f>Detallado!N55</f>
        <v/>
      </c>
      <c r="I10" s="38">
        <f>Detallado!O55</f>
        <v/>
      </c>
      <c r="J10" s="34">
        <f>H10/C10</f>
        <v/>
      </c>
      <c r="K10" t="inlineStr">
        <is>
          <t>ACERO Y CONCRETO</t>
        </is>
      </c>
      <c r="L10" s="10">
        <f>+L9-E9</f>
        <v/>
      </c>
      <c r="M10" s="10">
        <f>+M9-F9</f>
        <v/>
      </c>
    </row>
    <row r="11">
      <c r="A11" s="35" t="inlineStr">
        <is>
          <t>2.2</t>
        </is>
      </c>
      <c r="B11" s="39" t="inlineStr">
        <is>
          <t>PAREDES, MUROS, ENTREPISO N1 (FORMALETA, CONCRETO, DESENCOFRADO)</t>
        </is>
      </c>
      <c r="C11" s="41">
        <f>+C10</f>
        <v/>
      </c>
      <c r="D11" s="35" t="inlineStr">
        <is>
          <t xml:space="preserve">m2 </t>
        </is>
      </c>
      <c r="E11" s="37">
        <f>Detallado!K68</f>
        <v/>
      </c>
      <c r="F11" s="37">
        <f>Detallado!L68</f>
        <v/>
      </c>
      <c r="G11" s="37">
        <f>Detallado!M68</f>
        <v/>
      </c>
      <c r="H11" s="37">
        <f>Detallado!N68</f>
        <v/>
      </c>
      <c r="I11" s="38">
        <f>Detallado!O68</f>
        <v/>
      </c>
      <c r="J11" s="34">
        <f>H11/C11</f>
        <v/>
      </c>
      <c r="K11" t="inlineStr">
        <is>
          <t>ACABADO AZOTEA</t>
        </is>
      </c>
    </row>
    <row r="12">
      <c r="A12" s="18" t="inlineStr">
        <is>
          <t>2.3</t>
        </is>
      </c>
      <c r="B12" s="11" t="inlineStr">
        <is>
          <t xml:space="preserve">MAMPOSTERIA </t>
        </is>
      </c>
      <c r="C12" s="41" t="n">
        <v>1</v>
      </c>
      <c r="D12" s="18" t="inlineStr">
        <is>
          <t xml:space="preserve">Global </t>
        </is>
      </c>
      <c r="E12" s="37">
        <f>Detallado!K84</f>
        <v/>
      </c>
      <c r="F12" s="37">
        <f>Detallado!L84</f>
        <v/>
      </c>
      <c r="G12" s="37">
        <f>Detallado!M84</f>
        <v/>
      </c>
      <c r="H12" s="37">
        <f>Detallado!N84</f>
        <v/>
      </c>
      <c r="I12" s="38">
        <f>Detallado!O84</f>
        <v/>
      </c>
      <c r="J12" s="34">
        <f>H12/C12</f>
        <v/>
      </c>
    </row>
    <row r="13">
      <c r="A13" s="25" t="n">
        <v>3</v>
      </c>
      <c r="B13" s="26" t="inlineStr">
        <is>
          <t xml:space="preserve">SUPERESTRUCTURA SEGUNDO NIVEL </t>
        </is>
      </c>
      <c r="C13" s="27" t="n">
        <v>1</v>
      </c>
      <c r="D13" s="28" t="inlineStr">
        <is>
          <t xml:space="preserve">Global </t>
        </is>
      </c>
      <c r="E13" s="29">
        <f>SUM(E14:E15)</f>
        <v/>
      </c>
      <c r="F13" s="29">
        <f>SUM(F14:F15)</f>
        <v/>
      </c>
      <c r="G13" s="29">
        <f>SUM(G14:G15)</f>
        <v/>
      </c>
      <c r="H13" s="29">
        <f>SUM(H14:H15)</f>
        <v/>
      </c>
      <c r="I13" s="30">
        <f>SUM(I14:I15)</f>
        <v/>
      </c>
      <c r="J13" s="29">
        <f>H13/C13</f>
        <v/>
      </c>
    </row>
    <row r="14">
      <c r="A14" s="35" t="inlineStr">
        <is>
          <t xml:space="preserve">3.1 </t>
        </is>
      </c>
      <c r="B14" s="39" t="inlineStr">
        <is>
          <t>ACERO EN PAREDES MUROS N2 (ELECTROMECANICO)</t>
        </is>
      </c>
      <c r="C14" s="41" t="n">
        <v>1</v>
      </c>
      <c r="D14" s="35" t="inlineStr">
        <is>
          <t xml:space="preserve">Global </t>
        </is>
      </c>
      <c r="E14" s="37">
        <f>Detallado!K89</f>
        <v/>
      </c>
      <c r="F14" s="37">
        <f>Detallado!L89</f>
        <v/>
      </c>
      <c r="G14" s="37">
        <f>Detallado!M89</f>
        <v/>
      </c>
      <c r="H14" s="37">
        <f>Detallado!N89</f>
        <v/>
      </c>
      <c r="I14" s="38">
        <f>Detallado!O89</f>
        <v/>
      </c>
      <c r="J14" s="34">
        <f>H14/C14</f>
        <v/>
      </c>
    </row>
    <row r="15">
      <c r="A15" s="35" t="inlineStr">
        <is>
          <t xml:space="preserve">3.2 </t>
        </is>
      </c>
      <c r="B15" s="36" t="inlineStr">
        <is>
          <t>PAREDES, MUROS, ENTREPISO N2 (FORMALETA, CONCRETO, DESENCOFRADO)</t>
        </is>
      </c>
      <c r="C15" s="41" t="n">
        <v>1</v>
      </c>
      <c r="D15" s="35" t="inlineStr">
        <is>
          <t xml:space="preserve">Global </t>
        </is>
      </c>
      <c r="E15" s="37">
        <f>Detallado!K101</f>
        <v/>
      </c>
      <c r="F15" s="37">
        <f>Detallado!L101</f>
        <v/>
      </c>
      <c r="G15" s="37">
        <f>Detallado!M101</f>
        <v/>
      </c>
      <c r="H15" s="37">
        <f>Detallado!N101</f>
        <v/>
      </c>
      <c r="I15" s="38">
        <f>Detallado!O101</f>
        <v/>
      </c>
      <c r="J15" s="34">
        <f>H15/C15</f>
        <v/>
      </c>
    </row>
    <row r="16">
      <c r="A16" s="25" t="n">
        <v>4</v>
      </c>
      <c r="B16" s="26" t="inlineStr">
        <is>
          <t xml:space="preserve">OTROS GRIS </t>
        </is>
      </c>
      <c r="C16" s="27" t="n">
        <v>1</v>
      </c>
      <c r="D16" s="28" t="inlineStr">
        <is>
          <t xml:space="preserve">Global </t>
        </is>
      </c>
      <c r="E16" s="29">
        <f>SUM(E17:E19)</f>
        <v/>
      </c>
      <c r="F16" s="29">
        <f>SUM(F17:F19)</f>
        <v/>
      </c>
      <c r="G16" s="29">
        <f>SUM(G17:G19)</f>
        <v/>
      </c>
      <c r="H16" s="29">
        <f>SUM(H17:H19)</f>
        <v/>
      </c>
      <c r="I16" s="30">
        <f>SUM(I17:I19)</f>
        <v/>
      </c>
      <c r="J16" s="29">
        <f>H16/C16</f>
        <v/>
      </c>
    </row>
    <row r="17">
      <c r="A17" s="18" t="inlineStr">
        <is>
          <t xml:space="preserve">4.1 </t>
        </is>
      </c>
      <c r="B17" s="11" t="inlineStr">
        <is>
          <t xml:space="preserve">GRADAS EN CONCRETO </t>
        </is>
      </c>
      <c r="C17" s="42" t="n">
        <v>1</v>
      </c>
      <c r="D17" s="18" t="inlineStr">
        <is>
          <t xml:space="preserve">Global </t>
        </is>
      </c>
      <c r="E17" s="37">
        <f>Detallado!K254</f>
        <v/>
      </c>
      <c r="F17" s="37">
        <f>Detallado!L254</f>
        <v/>
      </c>
      <c r="G17" s="37">
        <f>Detallado!M254</f>
        <v/>
      </c>
      <c r="H17" s="37">
        <f>Detallado!N254</f>
        <v/>
      </c>
      <c r="I17" s="38">
        <f>Detallado!O254</f>
        <v/>
      </c>
      <c r="J17" s="34">
        <f>H17/C17</f>
        <v/>
      </c>
    </row>
    <row r="18">
      <c r="A18" s="18" t="inlineStr">
        <is>
          <t xml:space="preserve">4.2 </t>
        </is>
      </c>
      <c r="B18" s="11" t="inlineStr">
        <is>
          <t>COLUMNAS (MEDIDOR)</t>
        </is>
      </c>
      <c r="C18" s="42" t="n">
        <v>1</v>
      </c>
      <c r="D18" s="18" t="inlineStr">
        <is>
          <t xml:space="preserve">Global </t>
        </is>
      </c>
      <c r="E18" s="37">
        <f>Detallado!K269</f>
        <v/>
      </c>
      <c r="F18" s="37">
        <f>Detallado!L269</f>
        <v/>
      </c>
      <c r="G18" s="37">
        <f>Detallado!M269</f>
        <v/>
      </c>
      <c r="H18" s="37">
        <f>Detallado!N269</f>
        <v/>
      </c>
      <c r="I18" s="38">
        <f>Detallado!O269</f>
        <v/>
      </c>
      <c r="J18" s="34">
        <f>H18/C18</f>
        <v/>
      </c>
    </row>
    <row r="19">
      <c r="A19" s="18" t="inlineStr">
        <is>
          <t xml:space="preserve">4.3 </t>
        </is>
      </c>
      <c r="B19" s="11" t="inlineStr">
        <is>
          <t xml:space="preserve">CHORREA DE COCHERAS Y PILAS </t>
        </is>
      </c>
      <c r="C19" s="42" t="n">
        <v>33.01</v>
      </c>
      <c r="D19" s="18" t="inlineStr">
        <is>
          <t xml:space="preserve">m2 </t>
        </is>
      </c>
      <c r="E19" s="37">
        <f>Detallado!K282</f>
        <v/>
      </c>
      <c r="F19" s="37">
        <f>Detallado!L282</f>
        <v/>
      </c>
      <c r="G19" s="37">
        <f>Detallado!M282</f>
        <v/>
      </c>
      <c r="H19" s="37">
        <f>Detallado!N282</f>
        <v/>
      </c>
      <c r="I19" s="38">
        <f>Detallado!O282</f>
        <v/>
      </c>
      <c r="J19" s="34">
        <f>H19/C19</f>
        <v/>
      </c>
    </row>
    <row r="20">
      <c r="A20" s="25" t="n">
        <v>5</v>
      </c>
      <c r="B20" s="26" t="inlineStr">
        <is>
          <t xml:space="preserve">ESTRUCTURA METÁLICA Y CUBIERTAS </t>
        </is>
      </c>
      <c r="C20" s="27">
        <f>C21+C22</f>
        <v/>
      </c>
      <c r="D20" s="28" t="inlineStr">
        <is>
          <t xml:space="preserve">m2 </t>
        </is>
      </c>
      <c r="E20" s="29">
        <f>SUM(E21:E28)</f>
        <v/>
      </c>
      <c r="F20" s="29">
        <f>SUM(F21:F28)</f>
        <v/>
      </c>
      <c r="G20" s="29">
        <f>SUM(G21:G28)</f>
        <v/>
      </c>
      <c r="H20" s="29">
        <f>SUM(H21:H28)</f>
        <v/>
      </c>
      <c r="I20" s="30">
        <f>SUM(I21:I28)</f>
        <v/>
      </c>
      <c r="J20" s="29">
        <f>H20/C20</f>
        <v/>
      </c>
    </row>
    <row r="21">
      <c r="A21" s="18" t="inlineStr">
        <is>
          <t xml:space="preserve">5.1 </t>
        </is>
      </c>
      <c r="B21" s="11" t="inlineStr">
        <is>
          <t xml:space="preserve">ESTRUCTURA TECHO CASA </t>
        </is>
      </c>
      <c r="C21" s="42">
        <f>+'1_OG y 2_ACA'!E724</f>
        <v/>
      </c>
      <c r="D21" s="18" t="inlineStr">
        <is>
          <t xml:space="preserve">m2 </t>
        </is>
      </c>
      <c r="E21" s="37">
        <f>Detallado!K116</f>
        <v/>
      </c>
      <c r="F21" s="37">
        <f>Detallado!L116</f>
        <v/>
      </c>
      <c r="G21" s="37">
        <f>Detallado!M116</f>
        <v/>
      </c>
      <c r="H21" s="37">
        <f>Detallado!N116</f>
        <v/>
      </c>
      <c r="I21" s="38">
        <f>Detallado!O116</f>
        <v/>
      </c>
      <c r="J21" s="34">
        <f>H21/C21</f>
        <v/>
      </c>
    </row>
    <row r="22">
      <c r="A22" s="18" t="inlineStr">
        <is>
          <t xml:space="preserve">5.2 </t>
        </is>
      </c>
      <c r="B22" s="11" t="inlineStr">
        <is>
          <t>ESTRUCTURA TECHO COCHERA</t>
        </is>
      </c>
      <c r="C22" s="42">
        <f>+'1_OG y 2_ACA'!E797</f>
        <v/>
      </c>
      <c r="D22" s="18" t="inlineStr">
        <is>
          <t xml:space="preserve">m2 </t>
        </is>
      </c>
      <c r="E22" s="37">
        <f>Detallado!K144</f>
        <v/>
      </c>
      <c r="F22" s="37">
        <f>Detallado!L144</f>
        <v/>
      </c>
      <c r="G22" s="37">
        <f>Detallado!M144</f>
        <v/>
      </c>
      <c r="H22" s="37">
        <f>Detallado!N144</f>
        <v/>
      </c>
      <c r="I22" s="38">
        <f>Detallado!O144</f>
        <v/>
      </c>
      <c r="J22" s="34">
        <f>H22/C22</f>
        <v/>
      </c>
    </row>
    <row r="23">
      <c r="A23" s="18" t="inlineStr">
        <is>
          <t>5.3</t>
        </is>
      </c>
      <c r="B23" s="11" t="inlineStr">
        <is>
          <t xml:space="preserve">CUBIERTA TECHO CASA </t>
        </is>
      </c>
      <c r="C23" s="42">
        <f>+C21</f>
        <v/>
      </c>
      <c r="D23" s="18" t="inlineStr">
        <is>
          <t xml:space="preserve">m2 </t>
        </is>
      </c>
      <c r="E23" s="37">
        <f>Detallado!K168</f>
        <v/>
      </c>
      <c r="F23" s="37">
        <f>Detallado!L168</f>
        <v/>
      </c>
      <c r="G23" s="37">
        <f>Detallado!M168</f>
        <v/>
      </c>
      <c r="H23" s="37">
        <f>Detallado!N168</f>
        <v/>
      </c>
      <c r="I23" s="38">
        <f>Detallado!O168</f>
        <v/>
      </c>
      <c r="J23" s="34">
        <f>H23/C23</f>
        <v/>
      </c>
    </row>
    <row r="24">
      <c r="A24" s="18" t="inlineStr">
        <is>
          <t xml:space="preserve">5.4 </t>
        </is>
      </c>
      <c r="B24" s="11" t="inlineStr">
        <is>
          <t xml:space="preserve">CUBIERTA TECHO COCHERA </t>
        </is>
      </c>
      <c r="C24" s="42">
        <f>+C22</f>
        <v/>
      </c>
      <c r="D24" s="18" t="inlineStr">
        <is>
          <t xml:space="preserve">Global </t>
        </is>
      </c>
      <c r="E24" s="37">
        <f>Detallado!K175</f>
        <v/>
      </c>
      <c r="F24" s="37">
        <f>Detallado!L175</f>
        <v/>
      </c>
      <c r="G24" s="37">
        <f>Detallado!M175</f>
        <v/>
      </c>
      <c r="H24" s="37">
        <f>Detallado!N175</f>
        <v/>
      </c>
      <c r="I24" s="38">
        <f>Detallado!O175</f>
        <v/>
      </c>
      <c r="J24" s="34">
        <f>H24/C24</f>
        <v/>
      </c>
    </row>
    <row r="25">
      <c r="A25" s="18" t="inlineStr">
        <is>
          <t xml:space="preserve">5.5 </t>
        </is>
      </c>
      <c r="B25" s="11" t="inlineStr">
        <is>
          <t xml:space="preserve">HOJALATERIA Y CANOAS </t>
        </is>
      </c>
      <c r="C25" s="42" t="n">
        <v>1</v>
      </c>
      <c r="D25" s="18" t="inlineStr">
        <is>
          <t xml:space="preserve">Global </t>
        </is>
      </c>
      <c r="E25" s="37">
        <f>Detallado!K237</f>
        <v/>
      </c>
      <c r="F25" s="37">
        <f>Detallado!L237</f>
        <v/>
      </c>
      <c r="G25" s="37">
        <f>Detallado!M237</f>
        <v/>
      </c>
      <c r="H25" s="37">
        <f>Detallado!N237</f>
        <v/>
      </c>
      <c r="I25" s="38">
        <f>Detallado!O237</f>
        <v/>
      </c>
      <c r="J25" s="34">
        <f>H25/C25</f>
        <v/>
      </c>
    </row>
    <row r="26">
      <c r="A26" s="35" t="inlineStr">
        <is>
          <t xml:space="preserve">5.6 </t>
        </is>
      </c>
      <c r="B26" s="39" t="inlineStr">
        <is>
          <t xml:space="preserve">GRADAS ESTRUCTURA, PINTADO Y ACABADO </t>
        </is>
      </c>
      <c r="C26" s="41" t="n">
        <v>1</v>
      </c>
      <c r="D26" s="35" t="inlineStr">
        <is>
          <t xml:space="preserve">Global </t>
        </is>
      </c>
      <c r="E26" s="37">
        <f>Detallado!K187</f>
        <v/>
      </c>
      <c r="F26" s="37">
        <f>Detallado!L187</f>
        <v/>
      </c>
      <c r="G26" s="37">
        <f>Detallado!M187</f>
        <v/>
      </c>
      <c r="H26" s="37">
        <f>Detallado!N187</f>
        <v/>
      </c>
      <c r="I26" s="38">
        <f>Detallado!O187</f>
        <v/>
      </c>
      <c r="J26" s="34">
        <f>H26/C26</f>
        <v/>
      </c>
    </row>
    <row r="27">
      <c r="A27" s="18" t="inlineStr">
        <is>
          <t>5.7</t>
        </is>
      </c>
      <c r="B27" s="11" t="inlineStr">
        <is>
          <t xml:space="preserve">BARANDA DE GRADAS (N2) </t>
        </is>
      </c>
      <c r="C27" s="42" t="n">
        <v>1</v>
      </c>
      <c r="D27" s="18" t="inlineStr">
        <is>
          <t xml:space="preserve">Global </t>
        </is>
      </c>
      <c r="E27" s="37">
        <f>Detallado!K213</f>
        <v/>
      </c>
      <c r="F27" s="37">
        <f>Detallado!L213</f>
        <v/>
      </c>
      <c r="G27" s="37">
        <f>Detallado!M213</f>
        <v/>
      </c>
      <c r="H27" s="37">
        <f>Detallado!N213</f>
        <v/>
      </c>
      <c r="I27" s="38">
        <f>Detallado!O213</f>
        <v/>
      </c>
      <c r="J27" s="34">
        <f>H27/C27</f>
        <v/>
      </c>
    </row>
    <row r="28">
      <c r="A28" s="18" t="inlineStr">
        <is>
          <t>5.8</t>
        </is>
      </c>
      <c r="B28" s="11" t="inlineStr">
        <is>
          <t>ESTRUCTURA METÁLICA INTERNA</t>
        </is>
      </c>
      <c r="C28" s="42" t="n">
        <v>1</v>
      </c>
      <c r="D28" s="18" t="inlineStr">
        <is>
          <t xml:space="preserve">Global </t>
        </is>
      </c>
      <c r="E28" s="37">
        <f>Detallado!K229</f>
        <v/>
      </c>
      <c r="F28" s="37">
        <f>Detallado!L229</f>
        <v/>
      </c>
      <c r="G28" s="37">
        <f>Detallado!M229</f>
        <v/>
      </c>
      <c r="H28" s="37">
        <f>Detallado!N229</f>
        <v/>
      </c>
      <c r="I28" s="38">
        <f>Detallado!O229</f>
        <v/>
      </c>
      <c r="J28" s="34">
        <f>H28/C28</f>
        <v/>
      </c>
    </row>
    <row r="29">
      <c r="A29" s="25" t="n">
        <v>6</v>
      </c>
      <c r="B29" s="26" t="inlineStr">
        <is>
          <t xml:space="preserve">LIVIANO </t>
        </is>
      </c>
      <c r="C29" s="27">
        <f>C30+C31</f>
        <v/>
      </c>
      <c r="D29" s="28" t="inlineStr">
        <is>
          <t xml:space="preserve">m2 </t>
        </is>
      </c>
      <c r="E29" s="29">
        <f>SUM(E30:E31)</f>
        <v/>
      </c>
      <c r="F29" s="29">
        <f>SUM(F30:F31)</f>
        <v/>
      </c>
      <c r="G29" s="29">
        <f>SUM(G30:G31)</f>
        <v/>
      </c>
      <c r="H29" s="29">
        <f>SUM(H30:H31)</f>
        <v/>
      </c>
      <c r="I29" s="30">
        <f>SUM(I30:I31)</f>
        <v/>
      </c>
      <c r="J29" s="29">
        <f>H29/C29</f>
        <v/>
      </c>
    </row>
    <row r="30">
      <c r="A30" s="18" t="inlineStr">
        <is>
          <t>6.1</t>
        </is>
      </c>
      <c r="B30" s="11" t="inlineStr">
        <is>
          <t xml:space="preserve">LIVIANO EXTERIORES </t>
        </is>
      </c>
      <c r="C30" s="42">
        <f>+'1_OG y 2_ACA'!D1299+'1_OG y 2_ACA'!D1318+'1_OG y 2_ACA'!D1341</f>
        <v/>
      </c>
      <c r="D30" s="18" t="inlineStr">
        <is>
          <t xml:space="preserve">m2 </t>
        </is>
      </c>
      <c r="E30" s="37">
        <f>Detallado!K323</f>
        <v/>
      </c>
      <c r="F30" s="37">
        <f>Detallado!L323</f>
        <v/>
      </c>
      <c r="G30" s="37">
        <f>Detallado!M323</f>
        <v/>
      </c>
      <c r="H30" s="37">
        <f>Detallado!N323</f>
        <v/>
      </c>
      <c r="I30" s="38">
        <f>Detallado!O323</f>
        <v/>
      </c>
      <c r="J30" s="34">
        <f>H30/C30</f>
        <v/>
      </c>
    </row>
    <row r="31">
      <c r="A31" s="35" t="inlineStr">
        <is>
          <t xml:space="preserve">6.2 </t>
        </is>
      </c>
      <c r="B31" s="39" t="inlineStr">
        <is>
          <t>LIVIANO INTERIORES ( PAREDES LIVIANAS Y CIELOS)</t>
        </is>
      </c>
      <c r="C31" s="31">
        <f>+'1_OG y 2_ACA'!D1366+'1_OG y 2_ACA'!E1390</f>
        <v/>
      </c>
      <c r="D31" s="35" t="inlineStr">
        <is>
          <t xml:space="preserve">m2 </t>
        </is>
      </c>
      <c r="E31" s="37">
        <f>Detallado!K361</f>
        <v/>
      </c>
      <c r="F31" s="37">
        <f>Detallado!L361</f>
        <v/>
      </c>
      <c r="G31" s="37">
        <f>Detallado!M361</f>
        <v/>
      </c>
      <c r="H31" s="37">
        <f>Detallado!N361</f>
        <v/>
      </c>
      <c r="I31" s="38">
        <f>Detallado!O361</f>
        <v/>
      </c>
      <c r="J31" s="34">
        <f>H31/C31</f>
        <v/>
      </c>
    </row>
    <row r="32">
      <c r="A32" s="25" t="n">
        <v>7</v>
      </c>
      <c r="B32" s="26" t="inlineStr">
        <is>
          <t xml:space="preserve">REPELLOS </t>
        </is>
      </c>
      <c r="C32" s="27">
        <f>C33</f>
        <v/>
      </c>
      <c r="D32" s="28" t="inlineStr">
        <is>
          <t xml:space="preserve">m2 </t>
        </is>
      </c>
      <c r="E32" s="29">
        <f>SUM(E33:E34)</f>
        <v/>
      </c>
      <c r="F32" s="29">
        <f>SUM(F33:F34)</f>
        <v/>
      </c>
      <c r="G32" s="29">
        <f>SUM(G33:G34)</f>
        <v/>
      </c>
      <c r="H32" s="29">
        <f>SUM(H33:H34)</f>
        <v/>
      </c>
      <c r="I32" s="30">
        <f>SUM(I33:I34)</f>
        <v/>
      </c>
      <c r="J32" s="29">
        <f>H32/C32</f>
        <v/>
      </c>
    </row>
    <row r="33">
      <c r="A33" s="18" t="inlineStr">
        <is>
          <t xml:space="preserve">7.1 </t>
        </is>
      </c>
      <c r="B33" s="11" t="inlineStr">
        <is>
          <t xml:space="preserve">REPELLOS INTERNO Y EXTERNO </t>
        </is>
      </c>
      <c r="C33" s="43">
        <f>+'1_OG y 2_ACA'!D1453</f>
        <v/>
      </c>
      <c r="D33" s="35" t="inlineStr">
        <is>
          <t xml:space="preserve">m2 </t>
        </is>
      </c>
      <c r="E33" s="37">
        <f>Detallado!K395</f>
        <v/>
      </c>
      <c r="F33" s="37">
        <f>Detallado!L395</f>
        <v/>
      </c>
      <c r="G33" s="37">
        <f>Detallado!M395</f>
        <v/>
      </c>
      <c r="H33" s="37">
        <f>Detallado!N395</f>
        <v/>
      </c>
      <c r="I33" s="38">
        <f>Detallado!O395</f>
        <v/>
      </c>
      <c r="J33" s="34">
        <f>H33/C33</f>
        <v/>
      </c>
    </row>
    <row r="34">
      <c r="A34" s="18" t="inlineStr">
        <is>
          <t>7.2</t>
        </is>
      </c>
      <c r="B34" s="11" t="inlineStr">
        <is>
          <t xml:space="preserve">EMPASTE </t>
        </is>
      </c>
      <c r="C34" s="43">
        <f>+'1_OG y 2_ACA'!D1465</f>
        <v/>
      </c>
      <c r="D34" s="35" t="inlineStr">
        <is>
          <t xml:space="preserve">m2 </t>
        </is>
      </c>
      <c r="E34" s="37">
        <f>Detallado!K399</f>
        <v/>
      </c>
      <c r="F34" s="37">
        <f>Detallado!L399</f>
        <v/>
      </c>
      <c r="G34" s="37">
        <f>Detallado!M399</f>
        <v/>
      </c>
      <c r="H34" s="37">
        <f>Detallado!N399</f>
        <v/>
      </c>
      <c r="I34" s="38">
        <f>Detallado!O399</f>
        <v/>
      </c>
      <c r="J34" s="34">
        <f>H34/C34</f>
        <v/>
      </c>
    </row>
    <row r="35">
      <c r="A35" s="25" t="n">
        <v>8</v>
      </c>
      <c r="B35" s="26" t="inlineStr">
        <is>
          <t xml:space="preserve">ENCHAPES </t>
        </is>
      </c>
      <c r="C35" s="27" t="n">
        <v>1</v>
      </c>
      <c r="D35" s="28" t="inlineStr">
        <is>
          <t xml:space="preserve">Global </t>
        </is>
      </c>
      <c r="E35" s="29">
        <f>E36</f>
        <v/>
      </c>
      <c r="F35" s="29">
        <f>F36</f>
        <v/>
      </c>
      <c r="G35" s="29">
        <f>G36</f>
        <v/>
      </c>
      <c r="H35" s="29">
        <f>H36</f>
        <v/>
      </c>
      <c r="I35" s="30">
        <f>I36</f>
        <v/>
      </c>
      <c r="J35" s="29">
        <f>H35/C35</f>
        <v/>
      </c>
    </row>
    <row r="36">
      <c r="A36" s="18" t="inlineStr">
        <is>
          <t xml:space="preserve">8.1 </t>
        </is>
      </c>
      <c r="B36" s="11" t="inlineStr">
        <is>
          <t>ENCHAPES (INTERNO Y EXTERNO)</t>
        </is>
      </c>
      <c r="C36" s="43">
        <f>+'1_OG y 2_ACA'!D1489+'1_OG y 2_ACA'!D1550+'1_OG y 2_ACA'!D1509+'1_OG y 2_ACA'!#REF!</f>
        <v/>
      </c>
      <c r="D36" s="18" t="inlineStr">
        <is>
          <t xml:space="preserve">m2 </t>
        </is>
      </c>
      <c r="E36" s="37">
        <f>Detallado!K407</f>
        <v/>
      </c>
      <c r="F36" s="37">
        <f>Detallado!L407</f>
        <v/>
      </c>
      <c r="G36" s="37">
        <f>Detallado!M407</f>
        <v/>
      </c>
      <c r="H36" s="37">
        <f>Detallado!N407</f>
        <v/>
      </c>
      <c r="I36" s="38">
        <f>Detallado!O407</f>
        <v/>
      </c>
      <c r="J36" s="34">
        <f>H36/C36</f>
        <v/>
      </c>
    </row>
    <row r="37">
      <c r="A37" s="25" t="n">
        <v>9</v>
      </c>
      <c r="B37" s="26" t="inlineStr">
        <is>
          <t xml:space="preserve">MUEBLES Y PUERTAS </t>
        </is>
      </c>
      <c r="C37" s="27" t="n">
        <v>1</v>
      </c>
      <c r="D37" s="28" t="inlineStr">
        <is>
          <t xml:space="preserve">Global </t>
        </is>
      </c>
      <c r="E37" s="29">
        <f>SUM(E38:E39)</f>
        <v/>
      </c>
      <c r="F37" s="29">
        <f>SUM(F38:F39)</f>
        <v/>
      </c>
      <c r="G37" s="29">
        <f>SUM(G38:G39)</f>
        <v/>
      </c>
      <c r="H37" s="29">
        <f>SUM(H38:H39)</f>
        <v/>
      </c>
      <c r="I37" s="30">
        <f>SUM(I38:I39)</f>
        <v/>
      </c>
      <c r="J37" s="29">
        <f>H37/C37</f>
        <v/>
      </c>
    </row>
    <row r="38">
      <c r="A38" s="18" t="inlineStr">
        <is>
          <t xml:space="preserve">9.1 </t>
        </is>
      </c>
      <c r="B38" s="11" t="inlineStr">
        <is>
          <t xml:space="preserve">MUEBLES </t>
        </is>
      </c>
      <c r="C38" s="42" t="n">
        <v>5</v>
      </c>
      <c r="D38" s="18" t="inlineStr">
        <is>
          <t xml:space="preserve">un </t>
        </is>
      </c>
      <c r="E38" s="37">
        <f>Detallado!K477</f>
        <v/>
      </c>
      <c r="F38" s="37">
        <f>Detallado!L477</f>
        <v/>
      </c>
      <c r="G38" s="37">
        <f>Detallado!M477</f>
        <v/>
      </c>
      <c r="H38" s="37">
        <f>Detallado!N477</f>
        <v/>
      </c>
      <c r="I38" s="38">
        <f>Detallado!O477</f>
        <v/>
      </c>
      <c r="J38" s="34">
        <f>H38/C38</f>
        <v/>
      </c>
    </row>
    <row r="39">
      <c r="A39" s="18" t="inlineStr">
        <is>
          <t xml:space="preserve">9.2 </t>
        </is>
      </c>
      <c r="B39" s="11" t="inlineStr">
        <is>
          <t xml:space="preserve">PUERTAS Y RODAPIE </t>
        </is>
      </c>
      <c r="C39" s="42" t="n">
        <v>1</v>
      </c>
      <c r="D39" s="18" t="inlineStr">
        <is>
          <t xml:space="preserve">Global </t>
        </is>
      </c>
      <c r="E39" s="37">
        <f>Detallado!K513</f>
        <v/>
      </c>
      <c r="F39" s="37">
        <f>Detallado!L513</f>
        <v/>
      </c>
      <c r="G39" s="37">
        <f>Detallado!M513</f>
        <v/>
      </c>
      <c r="H39" s="37">
        <f>Detallado!N513</f>
        <v/>
      </c>
      <c r="I39" s="38">
        <f>Detallado!O513</f>
        <v/>
      </c>
      <c r="J39" s="34">
        <f>H39/C39</f>
        <v/>
      </c>
    </row>
    <row r="40">
      <c r="A40" s="25" t="n">
        <v>10</v>
      </c>
      <c r="B40" s="26" t="inlineStr">
        <is>
          <t xml:space="preserve">OBRAS ADICIONALES </t>
        </is>
      </c>
      <c r="C40" s="27" t="n">
        <v>1</v>
      </c>
      <c r="D40" s="28" t="inlineStr">
        <is>
          <t xml:space="preserve">Global </t>
        </is>
      </c>
      <c r="E40" s="29">
        <f>SUM(E41:E43)</f>
        <v/>
      </c>
      <c r="F40" s="29">
        <f>SUM(F41:F43)</f>
        <v/>
      </c>
      <c r="G40" s="29">
        <f>SUM(G41:G43)</f>
        <v/>
      </c>
      <c r="H40" s="29">
        <f>SUM(H41:H43)</f>
        <v/>
      </c>
      <c r="I40" s="30">
        <f>SUM(I41:I43)</f>
        <v/>
      </c>
      <c r="J40" s="29">
        <f>H40/C40</f>
        <v/>
      </c>
    </row>
    <row r="41">
      <c r="A41" s="18" t="inlineStr">
        <is>
          <t xml:space="preserve">10.1 </t>
        </is>
      </c>
      <c r="B41" s="11" t="inlineStr">
        <is>
          <t xml:space="preserve">ZACATE </t>
        </is>
      </c>
      <c r="C41" s="43">
        <f>+Detallado!F549</f>
        <v/>
      </c>
      <c r="D41" s="18" t="inlineStr">
        <is>
          <t xml:space="preserve">m2 </t>
        </is>
      </c>
      <c r="E41" s="37">
        <f>Detallado!K549</f>
        <v/>
      </c>
      <c r="F41" s="37">
        <f>Detallado!L549</f>
        <v/>
      </c>
      <c r="G41" s="37">
        <f>Detallado!M549</f>
        <v/>
      </c>
      <c r="H41" s="37">
        <f>Detallado!N549</f>
        <v/>
      </c>
      <c r="I41" s="38">
        <f>Detallado!O549</f>
        <v/>
      </c>
      <c r="J41" s="34">
        <f>H41/C41</f>
        <v/>
      </c>
    </row>
    <row r="42">
      <c r="A42" s="18" t="inlineStr">
        <is>
          <t xml:space="preserve">10.2 </t>
        </is>
      </c>
      <c r="B42" s="11" t="inlineStr">
        <is>
          <t xml:space="preserve">TAPIAS PREFABRICADAS </t>
        </is>
      </c>
      <c r="C42" s="43">
        <f>+Detallado!#REF!</f>
        <v/>
      </c>
      <c r="D42" s="18" t="inlineStr">
        <is>
          <t>m</t>
        </is>
      </c>
      <c r="E42" s="37">
        <f>Detallado!K299</f>
        <v/>
      </c>
      <c r="F42" s="37">
        <f>Detallado!L299</f>
        <v/>
      </c>
      <c r="G42" s="37">
        <f>Detallado!M299</f>
        <v/>
      </c>
      <c r="H42" s="37">
        <f>Detallado!N299</f>
        <v/>
      </c>
      <c r="I42" s="38">
        <f>Detallado!O299</f>
        <v/>
      </c>
      <c r="J42" s="34">
        <f>H42/C42</f>
        <v/>
      </c>
    </row>
    <row r="43">
      <c r="A43" s="18" t="inlineStr">
        <is>
          <t xml:space="preserve">10.3 </t>
        </is>
      </c>
      <c r="B43" s="11" t="inlineStr">
        <is>
          <t>ACERAS</t>
        </is>
      </c>
      <c r="C43" s="43">
        <f>+Detallado!F312</f>
        <v/>
      </c>
      <c r="D43" s="18" t="inlineStr">
        <is>
          <t xml:space="preserve">m2 </t>
        </is>
      </c>
      <c r="E43" s="37">
        <f>Detallado!K312</f>
        <v/>
      </c>
      <c r="F43" s="37">
        <f>Detallado!L312</f>
        <v/>
      </c>
      <c r="G43" s="37">
        <f>Detallado!M312</f>
        <v/>
      </c>
      <c r="H43" s="37">
        <f>Detallado!N312</f>
        <v/>
      </c>
      <c r="I43" s="38">
        <f>Detallado!O312</f>
        <v/>
      </c>
      <c r="J43" s="34">
        <f>H43/C43</f>
        <v/>
      </c>
    </row>
    <row r="44">
      <c r="A44" s="25" t="n">
        <v>11</v>
      </c>
      <c r="B44" s="26" t="inlineStr">
        <is>
          <t xml:space="preserve">ACABADOS </t>
        </is>
      </c>
      <c r="C44" s="27" t="n">
        <v>1</v>
      </c>
      <c r="D44" s="28" t="inlineStr">
        <is>
          <t xml:space="preserve">Global </t>
        </is>
      </c>
      <c r="E44" s="29">
        <f>SUM(E45:E48)</f>
        <v/>
      </c>
      <c r="F44" s="29">
        <f>SUM(F45:F48)</f>
        <v/>
      </c>
      <c r="G44" s="29">
        <f>SUM(G45:G48)</f>
        <v/>
      </c>
      <c r="H44" s="29">
        <f>SUM(H45:H48)</f>
        <v/>
      </c>
      <c r="I44" s="30">
        <f>SUM(I45:I48)</f>
        <v/>
      </c>
      <c r="J44" s="29">
        <f>H44/C44</f>
        <v/>
      </c>
    </row>
    <row r="45">
      <c r="A45" s="18" t="inlineStr">
        <is>
          <t xml:space="preserve">11.1 </t>
        </is>
      </c>
      <c r="B45" s="11" t="inlineStr">
        <is>
          <t xml:space="preserve">PINTURA </t>
        </is>
      </c>
      <c r="C45" s="43">
        <f>+'1_OG y 2_ACA'!D1572</f>
        <v/>
      </c>
      <c r="D45" s="18" t="inlineStr">
        <is>
          <t xml:space="preserve">m2 </t>
        </is>
      </c>
      <c r="E45" s="37">
        <f>Detallado!#REF!</f>
        <v/>
      </c>
      <c r="F45" s="37">
        <f>Detallado!#REF!</f>
        <v/>
      </c>
      <c r="G45" s="37">
        <f>Detallado!#REF!</f>
        <v/>
      </c>
      <c r="H45" s="37">
        <f>Detallado!#REF!</f>
        <v/>
      </c>
      <c r="I45" s="38">
        <f>Detallado!#REF!</f>
        <v/>
      </c>
      <c r="J45" s="34">
        <f>H45/C45</f>
        <v/>
      </c>
    </row>
    <row r="46">
      <c r="A46" s="18" t="inlineStr">
        <is>
          <t xml:space="preserve">11.2 </t>
        </is>
      </c>
      <c r="B46" s="11" t="inlineStr">
        <is>
          <t>LOSA SANITARIA, GRIFERIA</t>
        </is>
      </c>
      <c r="C46" s="42">
        <f>+'1_OG y 2_ACA'!#REF!+'1_OG y 2_ACA'!#REF!+'1_OG y 2_ACA'!#REF!+'1_OG y 2_ACA'!#REF!+'1_OG y 2_ACA'!#REF!</f>
        <v/>
      </c>
      <c r="D46" s="18" t="inlineStr">
        <is>
          <t xml:space="preserve">un </t>
        </is>
      </c>
      <c r="E46" s="37">
        <f>Detallado!K526</f>
        <v/>
      </c>
      <c r="F46" s="37">
        <f>Detallado!L526</f>
        <v/>
      </c>
      <c r="G46" s="37">
        <f>Detallado!M526</f>
        <v/>
      </c>
      <c r="H46" s="37">
        <f>Detallado!N526</f>
        <v/>
      </c>
      <c r="I46" s="38">
        <f>Detallado!O526</f>
        <v/>
      </c>
      <c r="J46" s="34">
        <f>H46/C46</f>
        <v/>
      </c>
    </row>
    <row r="47">
      <c r="A47" s="18" t="inlineStr">
        <is>
          <t xml:space="preserve">11.3 </t>
        </is>
      </c>
      <c r="B47" s="11" t="inlineStr">
        <is>
          <t>ACABADOS DE AZOTEA</t>
        </is>
      </c>
      <c r="C47" s="42" t="n">
        <v>1</v>
      </c>
      <c r="D47" s="18" t="inlineStr">
        <is>
          <t xml:space="preserve">Global </t>
        </is>
      </c>
      <c r="E47" s="37">
        <f>Detallado!K452</f>
        <v/>
      </c>
      <c r="F47" s="37">
        <f>Detallado!L452</f>
        <v/>
      </c>
      <c r="G47" s="37">
        <f>Detallado!M452</f>
        <v/>
      </c>
      <c r="H47" s="37">
        <f>Detallado!N452</f>
        <v/>
      </c>
      <c r="I47" s="38">
        <f>Detallado!O452</f>
        <v/>
      </c>
      <c r="J47" s="34">
        <f>H47/C47</f>
        <v/>
      </c>
    </row>
    <row r="48">
      <c r="A48" s="18" t="inlineStr">
        <is>
          <t>11.4</t>
        </is>
      </c>
      <c r="B48" s="11" t="inlineStr">
        <is>
          <t xml:space="preserve">PONCHEO FINAL </t>
        </is>
      </c>
      <c r="C48" s="42" t="n">
        <v>1</v>
      </c>
      <c r="D48" s="18" t="inlineStr">
        <is>
          <t xml:space="preserve">Global </t>
        </is>
      </c>
      <c r="E48" s="37">
        <f>Detallado!K462</f>
        <v/>
      </c>
      <c r="F48" s="37">
        <f>Detallado!L462</f>
        <v/>
      </c>
      <c r="G48" s="37">
        <f>Detallado!M462</f>
        <v/>
      </c>
      <c r="H48" s="37">
        <f>Detallado!N462</f>
        <v/>
      </c>
      <c r="I48" s="38">
        <f>Detallado!O462</f>
        <v/>
      </c>
      <c r="J48" s="34">
        <f>H48/C48</f>
        <v/>
      </c>
    </row>
    <row r="49">
      <c r="A49" s="25" t="n">
        <v>12</v>
      </c>
      <c r="B49" s="26" t="inlineStr">
        <is>
          <t xml:space="preserve">VENTANERIA </t>
        </is>
      </c>
      <c r="C49" s="27">
        <f>C50</f>
        <v/>
      </c>
      <c r="D49" s="28" t="inlineStr">
        <is>
          <t xml:space="preserve">m2 </t>
        </is>
      </c>
      <c r="E49" s="29">
        <f>E50</f>
        <v/>
      </c>
      <c r="F49" s="29">
        <f>F50</f>
        <v/>
      </c>
      <c r="G49" s="29">
        <f>G50</f>
        <v/>
      </c>
      <c r="H49" s="29">
        <f>H50</f>
        <v/>
      </c>
      <c r="I49" s="30">
        <f>I50</f>
        <v/>
      </c>
      <c r="J49" s="29">
        <f>H49/C49</f>
        <v/>
      </c>
    </row>
    <row r="50">
      <c r="A50" s="18" t="inlineStr">
        <is>
          <t>12.1</t>
        </is>
      </c>
      <c r="B50" s="11" t="inlineStr">
        <is>
          <t xml:space="preserve">VENTANERIA </t>
        </is>
      </c>
      <c r="C50" s="43">
        <f>+'1_OG y 2_ACA'!G1666</f>
        <v/>
      </c>
      <c r="D50" s="18" t="inlineStr">
        <is>
          <t xml:space="preserve">m2 </t>
        </is>
      </c>
      <c r="E50" s="37">
        <f>Detallado!K472</f>
        <v/>
      </c>
      <c r="F50" s="37">
        <f>Detallado!L472</f>
        <v/>
      </c>
      <c r="G50" s="37">
        <f>Detallado!M472</f>
        <v/>
      </c>
      <c r="H50" s="37">
        <f>Detallado!N472</f>
        <v/>
      </c>
      <c r="I50" s="38">
        <f>Detallado!O472</f>
        <v/>
      </c>
      <c r="J50" s="34">
        <f>H50/C50</f>
        <v/>
      </c>
    </row>
    <row r="51">
      <c r="A51" s="25" t="n">
        <v>13</v>
      </c>
      <c r="B51" s="26" t="inlineStr">
        <is>
          <t xml:space="preserve">ELÉCTRICO </t>
        </is>
      </c>
      <c r="C51" s="27" t="n">
        <v>1</v>
      </c>
      <c r="D51" s="28" t="inlineStr">
        <is>
          <t xml:space="preserve">Global </t>
        </is>
      </c>
      <c r="E51" s="29">
        <f>SUM(E52:E60)</f>
        <v/>
      </c>
      <c r="F51" s="29">
        <f>SUM(F52:F60)</f>
        <v/>
      </c>
      <c r="G51" s="29">
        <f>SUM(G52:G60)</f>
        <v/>
      </c>
      <c r="H51" s="29">
        <f>SUM(H52:H60)</f>
        <v/>
      </c>
      <c r="I51" s="30">
        <f>SUM(I52:I60)</f>
        <v/>
      </c>
      <c r="J51" s="29">
        <f>H51/C51</f>
        <v/>
      </c>
    </row>
    <row r="52">
      <c r="A52" s="18" t="inlineStr">
        <is>
          <t>13.1</t>
        </is>
      </c>
      <c r="B52" s="11" t="inlineStr">
        <is>
          <t>ACOMETIDA</t>
        </is>
      </c>
      <c r="C52" s="42" t="n">
        <v>1</v>
      </c>
      <c r="D52" s="18" t="inlineStr">
        <is>
          <t xml:space="preserve">Global </t>
        </is>
      </c>
      <c r="E52" s="37">
        <f>Detallado!K559</f>
        <v/>
      </c>
      <c r="F52" s="37">
        <f>Detallado!L559</f>
        <v/>
      </c>
      <c r="G52" s="37">
        <f>Detallado!M559</f>
        <v/>
      </c>
      <c r="H52" s="37">
        <f>Detallado!N559</f>
        <v/>
      </c>
      <c r="I52" s="38">
        <f>Detallado!O559</f>
        <v/>
      </c>
      <c r="J52" s="8">
        <f>H52/C52</f>
        <v/>
      </c>
    </row>
    <row r="53">
      <c r="A53" s="18" t="inlineStr">
        <is>
          <t xml:space="preserve">13.2 </t>
        </is>
      </c>
      <c r="B53" s="11" t="inlineStr">
        <is>
          <t>ELÉCTRICO LOSA</t>
        </is>
      </c>
      <c r="C53" s="42" t="n">
        <v>1</v>
      </c>
      <c r="D53" s="18" t="inlineStr">
        <is>
          <t xml:space="preserve">Global </t>
        </is>
      </c>
      <c r="E53" s="37">
        <f>Detallado!#REF!</f>
        <v/>
      </c>
      <c r="F53" s="37">
        <f>Detallado!#REF!</f>
        <v/>
      </c>
      <c r="G53" s="37">
        <f>Detallado!#REF!</f>
        <v/>
      </c>
      <c r="H53" s="37">
        <f>Detallado!#REF!</f>
        <v/>
      </c>
      <c r="I53" s="38">
        <f>Detallado!#REF!</f>
        <v/>
      </c>
      <c r="J53" s="8">
        <f>H53/C53</f>
        <v/>
      </c>
    </row>
    <row r="54">
      <c r="A54" s="18" t="inlineStr">
        <is>
          <t xml:space="preserve">13.3 </t>
        </is>
      </c>
      <c r="B54" s="11" t="inlineStr">
        <is>
          <t xml:space="preserve">ELÉCTRICO MUROS </t>
        </is>
      </c>
      <c r="C54" s="42" t="n">
        <v>1</v>
      </c>
      <c r="D54" s="18" t="inlineStr">
        <is>
          <t xml:space="preserve">Global </t>
        </is>
      </c>
      <c r="E54" s="37">
        <f>Detallado!K583</f>
        <v/>
      </c>
      <c r="F54" s="37">
        <f>Detallado!L583</f>
        <v/>
      </c>
      <c r="G54" s="37">
        <f>Detallado!M583</f>
        <v/>
      </c>
      <c r="H54" s="37">
        <f>Detallado!N583</f>
        <v/>
      </c>
      <c r="I54" s="38">
        <f>Detallado!O583</f>
        <v/>
      </c>
      <c r="J54" s="8">
        <f>H54/C54</f>
        <v/>
      </c>
    </row>
    <row r="55">
      <c r="A55" s="18" t="inlineStr">
        <is>
          <t>13.4</t>
        </is>
      </c>
      <c r="B55" s="11" t="inlineStr">
        <is>
          <t>BASE MEDIDOR</t>
        </is>
      </c>
      <c r="C55" s="42" t="n">
        <v>1</v>
      </c>
      <c r="D55" s="18" t="inlineStr">
        <is>
          <t xml:space="preserve">Global </t>
        </is>
      </c>
      <c r="E55" s="37">
        <f>Detallado!K696</f>
        <v/>
      </c>
      <c r="F55" s="37">
        <f>Detallado!L696</f>
        <v/>
      </c>
      <c r="G55" s="37">
        <f>Detallado!M696</f>
        <v/>
      </c>
      <c r="H55" s="37">
        <f>Detallado!N696</f>
        <v/>
      </c>
      <c r="I55" s="38">
        <f>Detallado!O696</f>
        <v/>
      </c>
      <c r="J55" s="8">
        <f>H55/C55</f>
        <v/>
      </c>
    </row>
    <row r="56">
      <c r="A56" s="18" t="inlineStr">
        <is>
          <t xml:space="preserve">13.5 </t>
        </is>
      </c>
      <c r="B56" s="11" t="inlineStr">
        <is>
          <t xml:space="preserve">ELÉCTRICO ILUMINACIÓN </t>
        </is>
      </c>
      <c r="C56" s="42" t="n">
        <v>1</v>
      </c>
      <c r="D56" s="18" t="inlineStr">
        <is>
          <t xml:space="preserve">Global </t>
        </is>
      </c>
      <c r="E56" s="37">
        <f>Detallado!#REF!</f>
        <v/>
      </c>
      <c r="F56" s="37">
        <f>Detallado!#REF!</f>
        <v/>
      </c>
      <c r="G56" s="37">
        <f>Detallado!#REF!</f>
        <v/>
      </c>
      <c r="H56" s="37">
        <f>Detallado!#REF!</f>
        <v/>
      </c>
      <c r="I56" s="38">
        <f>Detallado!#REF!</f>
        <v/>
      </c>
      <c r="J56" s="8">
        <f>H56/C56</f>
        <v/>
      </c>
    </row>
    <row r="57">
      <c r="A57" s="18" t="inlineStr">
        <is>
          <t xml:space="preserve">13.6 </t>
        </is>
      </c>
      <c r="B57" s="11" t="inlineStr">
        <is>
          <t xml:space="preserve">TABLERO ELÉCTRICO </t>
        </is>
      </c>
      <c r="C57" s="42" t="n">
        <v>1</v>
      </c>
      <c r="D57" s="18" t="inlineStr">
        <is>
          <t xml:space="preserve">Global </t>
        </is>
      </c>
      <c r="E57" s="37">
        <f>Detallado!K729</f>
        <v/>
      </c>
      <c r="F57" s="37">
        <f>Detallado!L729</f>
        <v/>
      </c>
      <c r="G57" s="37">
        <f>Detallado!M729</f>
        <v/>
      </c>
      <c r="H57" s="37">
        <f>Detallado!N729</f>
        <v/>
      </c>
      <c r="I57" s="38">
        <f>Detallado!O729</f>
        <v/>
      </c>
      <c r="J57" s="8">
        <f>H57/C57</f>
        <v/>
      </c>
    </row>
    <row r="58">
      <c r="A58" s="18" t="inlineStr">
        <is>
          <t xml:space="preserve">13.7 </t>
        </is>
      </c>
      <c r="B58" s="11" t="inlineStr">
        <is>
          <t xml:space="preserve">CABLEADO ELÉCTRICO </t>
        </is>
      </c>
      <c r="C58" s="42" t="n">
        <v>1</v>
      </c>
      <c r="D58" s="18" t="inlineStr">
        <is>
          <t xml:space="preserve">Global </t>
        </is>
      </c>
      <c r="E58" s="37">
        <f>Detallado!K747</f>
        <v/>
      </c>
      <c r="F58" s="37">
        <f>Detallado!L747</f>
        <v/>
      </c>
      <c r="G58" s="37">
        <f>Detallado!M747</f>
        <v/>
      </c>
      <c r="H58" s="37">
        <f>Detallado!N747</f>
        <v/>
      </c>
      <c r="I58" s="38">
        <f>Detallado!O747</f>
        <v/>
      </c>
      <c r="J58" s="8">
        <f>H58/C58</f>
        <v/>
      </c>
    </row>
    <row r="59">
      <c r="A59" s="18" t="inlineStr">
        <is>
          <t xml:space="preserve">13.8 </t>
        </is>
      </c>
      <c r="B59" s="11" t="inlineStr">
        <is>
          <t xml:space="preserve">PLAQUERIA </t>
        </is>
      </c>
      <c r="C59" s="42" t="n">
        <v>1</v>
      </c>
      <c r="D59" s="18" t="inlineStr">
        <is>
          <t xml:space="preserve">Global </t>
        </is>
      </c>
      <c r="E59" s="37">
        <f>Detallado!K769</f>
        <v/>
      </c>
      <c r="F59" s="37">
        <f>Detallado!L769</f>
        <v/>
      </c>
      <c r="G59" s="37">
        <f>Detallado!M769</f>
        <v/>
      </c>
      <c r="H59" s="37">
        <f>Detallado!N769</f>
        <v/>
      </c>
      <c r="I59" s="38">
        <f>Detallado!O769</f>
        <v/>
      </c>
      <c r="J59" s="8">
        <f>H59/C59</f>
        <v/>
      </c>
    </row>
    <row r="60">
      <c r="A60" s="18" t="inlineStr">
        <is>
          <t xml:space="preserve">13.9 </t>
        </is>
      </c>
      <c r="B60" s="11" t="inlineStr">
        <is>
          <t>ACABADOS FINALES Y BREAKERS</t>
        </is>
      </c>
      <c r="C60" s="42" t="n">
        <v>1</v>
      </c>
      <c r="D60" s="18" t="inlineStr">
        <is>
          <t xml:space="preserve">Global </t>
        </is>
      </c>
      <c r="E60" s="37">
        <f>Detallado!K800</f>
        <v/>
      </c>
      <c r="F60" s="37">
        <f>Detallado!L800</f>
        <v/>
      </c>
      <c r="G60" s="37">
        <f>Detallado!M800</f>
        <v/>
      </c>
      <c r="H60" s="37">
        <f>Detallado!N800</f>
        <v/>
      </c>
      <c r="I60" s="38">
        <f>Detallado!O800</f>
        <v/>
      </c>
      <c r="J60" s="8">
        <f>H60/C60</f>
        <v/>
      </c>
    </row>
    <row r="61">
      <c r="A61" s="25" t="n">
        <v>14</v>
      </c>
      <c r="B61" s="26" t="inlineStr">
        <is>
          <t xml:space="preserve">MECÁNICO </t>
        </is>
      </c>
      <c r="C61" s="27" t="n">
        <v>1</v>
      </c>
      <c r="D61" s="28" t="inlineStr">
        <is>
          <t xml:space="preserve">Global </t>
        </is>
      </c>
      <c r="E61" s="29">
        <f>SUM(E62:E64)</f>
        <v/>
      </c>
      <c r="F61" s="29">
        <f>SUM(F62:F64)</f>
        <v/>
      </c>
      <c r="G61" s="29">
        <f>SUM(G62:G64)</f>
        <v/>
      </c>
      <c r="H61" s="29">
        <f>SUM(H62:H64)</f>
        <v/>
      </c>
      <c r="I61" s="30">
        <f>SUM(I62:I64)</f>
        <v/>
      </c>
      <c r="J61" s="29">
        <f>H61/C61</f>
        <v/>
      </c>
    </row>
    <row r="62">
      <c r="A62" s="18" t="inlineStr">
        <is>
          <t>14.03</t>
        </is>
      </c>
      <c r="B62" s="11" t="inlineStr">
        <is>
          <t xml:space="preserve">CAJAS Y TUBERIAS MECÁNICAS </t>
        </is>
      </c>
      <c r="C62" s="42" t="n">
        <v>1</v>
      </c>
      <c r="D62" s="18" t="inlineStr">
        <is>
          <t xml:space="preserve">Global </t>
        </is>
      </c>
      <c r="E62" s="37">
        <f>Detallado!K911</f>
        <v/>
      </c>
      <c r="F62" s="37">
        <f>Detallado!L911</f>
        <v/>
      </c>
      <c r="G62" s="37">
        <f>Detallado!M911</f>
        <v/>
      </c>
      <c r="H62" s="37">
        <f>Detallado!N911</f>
        <v/>
      </c>
      <c r="I62" s="38">
        <f>Detallado!O911</f>
        <v/>
      </c>
      <c r="J62" s="8">
        <f>H62/C62</f>
        <v/>
      </c>
    </row>
    <row r="63">
      <c r="A63" s="18" t="inlineStr">
        <is>
          <t>14.04</t>
        </is>
      </c>
      <c r="B63" s="11" t="inlineStr">
        <is>
          <t xml:space="preserve">BAJANTES </t>
        </is>
      </c>
      <c r="C63" s="42" t="n">
        <v>1</v>
      </c>
      <c r="D63" s="18" t="inlineStr">
        <is>
          <t xml:space="preserve">Global </t>
        </is>
      </c>
      <c r="E63" s="37">
        <f>Detallado!K248</f>
        <v/>
      </c>
      <c r="F63" s="37">
        <f>Detallado!L248</f>
        <v/>
      </c>
      <c r="G63" s="37">
        <f>Detallado!M248</f>
        <v/>
      </c>
      <c r="H63" s="37">
        <f>Detallado!N248</f>
        <v/>
      </c>
      <c r="I63" s="38">
        <f>Detallado!O248</f>
        <v/>
      </c>
      <c r="J63" s="8">
        <f>H63/C63</f>
        <v/>
      </c>
    </row>
    <row r="64">
      <c r="A64" s="18" t="inlineStr">
        <is>
          <t>14.05</t>
        </is>
      </c>
      <c r="B64" s="11" t="inlineStr">
        <is>
          <t xml:space="preserve">ACABADOS MECÁNICOS </t>
        </is>
      </c>
      <c r="C64" s="42" t="n">
        <v>1</v>
      </c>
      <c r="D64" s="18" t="inlineStr">
        <is>
          <t xml:space="preserve">Global </t>
        </is>
      </c>
      <c r="E64" s="37">
        <f>Detallado!K930</f>
        <v/>
      </c>
      <c r="F64" s="37">
        <f>Detallado!L930</f>
        <v/>
      </c>
      <c r="G64" s="37">
        <f>Detallado!M930</f>
        <v/>
      </c>
      <c r="H64" s="37">
        <f>Detallado!N930</f>
        <v/>
      </c>
      <c r="I64" s="38">
        <f>Detallado!O930</f>
        <v/>
      </c>
      <c r="J64" s="8">
        <f>H64/C64</f>
        <v/>
      </c>
    </row>
    <row r="65">
      <c r="A65" s="25" t="n">
        <v>15</v>
      </c>
      <c r="B65" s="26" t="inlineStr">
        <is>
          <t xml:space="preserve">ALQUILERES </t>
        </is>
      </c>
      <c r="C65" s="27" t="n">
        <v>1</v>
      </c>
      <c r="D65" s="28" t="inlineStr">
        <is>
          <t xml:space="preserve">Global </t>
        </is>
      </c>
      <c r="E65" s="29">
        <f>E66</f>
        <v/>
      </c>
      <c r="F65" s="29">
        <f>F66</f>
        <v/>
      </c>
      <c r="G65" s="29">
        <f>G66</f>
        <v/>
      </c>
      <c r="H65" s="29">
        <f>H66</f>
        <v/>
      </c>
      <c r="I65" s="30">
        <f>I66</f>
        <v/>
      </c>
      <c r="J65" s="29">
        <f>H65/C65</f>
        <v/>
      </c>
    </row>
    <row r="66">
      <c r="A66" s="18" t="inlineStr">
        <is>
          <t xml:space="preserve">15.1 </t>
        </is>
      </c>
      <c r="B66" s="11" t="inlineStr">
        <is>
          <t xml:space="preserve">ALQUILERES </t>
        </is>
      </c>
      <c r="C66" s="42" t="n">
        <v>1</v>
      </c>
      <c r="D66" s="18" t="inlineStr">
        <is>
          <t xml:space="preserve">Global </t>
        </is>
      </c>
      <c r="E66" s="37">
        <f>Detallado!#REF!</f>
        <v/>
      </c>
      <c r="F66" s="37">
        <f>Detallado!#REF!</f>
        <v/>
      </c>
      <c r="G66" s="37">
        <f>Detallado!#REF!</f>
        <v/>
      </c>
      <c r="H66" s="37">
        <f>Detallado!#REF!</f>
        <v/>
      </c>
      <c r="I66" s="38">
        <f>Detallado!#REF!</f>
        <v/>
      </c>
      <c r="J66" s="8">
        <f>H66/C66</f>
        <v/>
      </c>
    </row>
    <row r="67">
      <c r="A67" s="25" t="n">
        <v>16</v>
      </c>
      <c r="B67" s="26" t="inlineStr">
        <is>
          <t xml:space="preserve">MANO DE OBRA </t>
        </is>
      </c>
      <c r="C67" s="27" t="n">
        <v>1</v>
      </c>
      <c r="D67" s="28" t="inlineStr">
        <is>
          <t xml:space="preserve">Global </t>
        </is>
      </c>
      <c r="E67" s="29">
        <f>Detallado!#REF!</f>
        <v/>
      </c>
      <c r="F67" s="29">
        <f>F68</f>
        <v/>
      </c>
      <c r="G67" s="29">
        <f>G68</f>
        <v/>
      </c>
      <c r="H67" s="29">
        <f>H68</f>
        <v/>
      </c>
      <c r="I67" s="30">
        <f>I68</f>
        <v/>
      </c>
      <c r="J67" s="29">
        <f>H67/C67</f>
        <v/>
      </c>
    </row>
    <row r="68">
      <c r="A68" s="18" t="inlineStr">
        <is>
          <t xml:space="preserve">16.1 </t>
        </is>
      </c>
      <c r="B68" s="11" t="inlineStr">
        <is>
          <t xml:space="preserve">MANO DE OBRA </t>
        </is>
      </c>
      <c r="C68" s="42" t="n">
        <v>1</v>
      </c>
      <c r="D68" s="18" t="inlineStr">
        <is>
          <t xml:space="preserve">Global </t>
        </is>
      </c>
      <c r="E68" s="37">
        <f>Detallado!#REF!</f>
        <v/>
      </c>
      <c r="F68" s="37">
        <f>Detallado!#REF!</f>
        <v/>
      </c>
      <c r="G68" s="37">
        <f>Detallado!#REF!</f>
        <v/>
      </c>
      <c r="H68" s="37">
        <f>Detallado!#REF!</f>
        <v/>
      </c>
      <c r="I68" s="38">
        <f>Detallado!#REF!</f>
        <v/>
      </c>
      <c r="J68" s="8">
        <f>H68/C68</f>
        <v/>
      </c>
      <c r="K68" s="44" t="inlineStr">
        <is>
          <t xml:space="preserve">VERFICACION </t>
        </is>
      </c>
      <c r="L68" s="45">
        <f>H70-Detallado!N951</f>
        <v/>
      </c>
    </row>
    <row r="69">
      <c r="A69" s="46" t="n"/>
      <c r="C69" s="47" t="n"/>
      <c r="D69" s="18" t="n"/>
      <c r="E69" s="37" t="n"/>
      <c r="F69" s="37" t="n"/>
      <c r="G69" s="37" t="n"/>
      <c r="H69" s="37" t="n"/>
      <c r="I69" s="37" t="n"/>
      <c r="J69" s="11" t="n"/>
      <c r="L69" s="10" t="n"/>
    </row>
    <row r="70">
      <c r="D70" s="48" t="inlineStr">
        <is>
          <t xml:space="preserve">TOTAL </t>
        </is>
      </c>
      <c r="E70" s="32">
        <f>SUM(E4:E68)/2</f>
        <v/>
      </c>
      <c r="F70" s="32">
        <f>SUM(F4:F68)/2</f>
        <v/>
      </c>
      <c r="G70" s="32">
        <f>SUM(G4:G68)/2</f>
        <v/>
      </c>
      <c r="H70" s="32">
        <f>SUM(H4:H68)/2</f>
        <v/>
      </c>
      <c r="I70" s="33">
        <f>SUM(I4:I68)/2</f>
        <v/>
      </c>
      <c r="J70" s="11" t="n"/>
    </row>
    <row r="71">
      <c r="F71" s="49">
        <f>F70/E70</f>
        <v/>
      </c>
    </row>
    <row r="72">
      <c r="F72" s="50" t="n"/>
      <c r="G72" s="51" t="inlineStr">
        <is>
          <t>Hechura concreto</t>
        </is>
      </c>
      <c r="H72" s="50">
        <f>'1_OG y 2_ACA'!D1843*E82</f>
        <v/>
      </c>
    </row>
    <row r="73">
      <c r="G73" s="51" t="inlineStr">
        <is>
          <t>Alquiler Bomba</t>
        </is>
      </c>
      <c r="H73" s="50">
        <f>'1_OG y 2_ACA'!D1844*C86</f>
        <v/>
      </c>
    </row>
    <row r="74">
      <c r="F74" s="50" t="n"/>
      <c r="G74" s="51" t="inlineStr">
        <is>
          <t>Hechura muebles</t>
        </is>
      </c>
      <c r="H74" s="50" t="n">
        <v>150000</v>
      </c>
    </row>
    <row r="75">
      <c r="G75" s="51" t="inlineStr">
        <is>
          <t>Hechura cubierta</t>
        </is>
      </c>
      <c r="H75" s="50">
        <f>+E78</f>
        <v/>
      </c>
      <c r="J75" s="10">
        <f>+H75+H74+H73+H72</f>
        <v/>
      </c>
    </row>
    <row r="76">
      <c r="H76" s="52">
        <f>SUM(H70:H75)</f>
        <v/>
      </c>
    </row>
    <row r="77">
      <c r="B77" s="53" t="inlineStr">
        <is>
          <t xml:space="preserve">Hechura cubierta techo </t>
        </is>
      </c>
      <c r="C77" s="42" t="inlineStr">
        <is>
          <t xml:space="preserve">m2 </t>
        </is>
      </c>
      <c r="D77" s="42" t="inlineStr">
        <is>
          <t xml:space="preserve">Costo/m2 </t>
        </is>
      </c>
      <c r="E77" s="42" t="inlineStr">
        <is>
          <t xml:space="preserve">Costo Total </t>
        </is>
      </c>
    </row>
    <row r="78">
      <c r="B78" s="5" t="n"/>
      <c r="C78" s="31">
        <f>+Detallado!F168</f>
        <v/>
      </c>
      <c r="D78" s="54" t="n">
        <v>3400</v>
      </c>
      <c r="E78" s="55">
        <f>C78*D78</f>
        <v/>
      </c>
      <c r="H78" s="56">
        <f>+F70+G51</f>
        <v/>
      </c>
      <c r="L78" s="50" t="n">
        <v>18627702</v>
      </c>
    </row>
    <row r="79">
      <c r="C79" s="57" t="n"/>
      <c r="D79" s="57" t="n"/>
      <c r="E79" s="57" t="n"/>
      <c r="G79" s="51" t="inlineStr">
        <is>
          <t>BACK-HOE</t>
        </is>
      </c>
      <c r="H79" s="50" t="n">
        <v>63500</v>
      </c>
      <c r="J79" s="10">
        <f>+H79+88000</f>
        <v/>
      </c>
      <c r="L79" s="50" t="n">
        <v>7577636</v>
      </c>
    </row>
    <row r="80">
      <c r="C80" s="58" t="inlineStr">
        <is>
          <t xml:space="preserve">FC=210 kg/cm2 REGULAR </t>
        </is>
      </c>
      <c r="D80" s="59" t="n"/>
      <c r="E80" s="60" t="n"/>
      <c r="G80" s="51" t="inlineStr">
        <is>
          <t>LASTRE</t>
        </is>
      </c>
      <c r="H80" s="50">
        <f>+Detallado!K12+Detallado!K283</f>
        <v/>
      </c>
      <c r="J80" s="10" t="n"/>
      <c r="L80" s="10">
        <f>SUM(L78:L79)</f>
        <v/>
      </c>
    </row>
    <row r="81">
      <c r="B81" s="53" t="inlineStr">
        <is>
          <t xml:space="preserve">Hechura concreto </t>
        </is>
      </c>
      <c r="C81" s="61" t="inlineStr">
        <is>
          <t>Costo adelante (m3)</t>
        </is>
      </c>
      <c r="D81" s="61" t="inlineStr">
        <is>
          <t>Costo Orosi (m3)</t>
        </is>
      </c>
      <c r="E81" s="41" t="inlineStr">
        <is>
          <t>Hechura (m3)</t>
        </is>
      </c>
      <c r="H81" s="50">
        <f>+H76-H78-H79-H80</f>
        <v/>
      </c>
      <c r="J81" s="10">
        <f>+H81+H78</f>
        <v/>
      </c>
    </row>
    <row r="82">
      <c r="B82" s="5" t="n"/>
      <c r="C82" s="54" t="n">
        <v>61339.06402093986</v>
      </c>
      <c r="D82" s="54" t="n">
        <v>75000</v>
      </c>
      <c r="E82" s="55">
        <f>D82-C82</f>
        <v/>
      </c>
    </row>
    <row r="83">
      <c r="C83" s="57" t="n"/>
      <c r="D83" s="57" t="n"/>
      <c r="E83" s="57" t="n"/>
      <c r="G83" s="51" t="inlineStr">
        <is>
          <t>FORMALETA</t>
        </is>
      </c>
      <c r="H83" s="50">
        <f>('1_OG y 2_ACA'!D521+'1_OG y 2_ACA'!D706)*1150</f>
        <v/>
      </c>
    </row>
    <row r="84">
      <c r="C84" s="57" t="n"/>
      <c r="D84" s="57" t="n"/>
      <c r="E84" s="57" t="n"/>
      <c r="J84" s="10">
        <f>+J81-L80</f>
        <v/>
      </c>
    </row>
    <row r="85">
      <c r="B85" s="53" t="inlineStr">
        <is>
          <t xml:space="preserve">Bomba de concreto </t>
        </is>
      </c>
      <c r="C85" s="61" t="inlineStr">
        <is>
          <t>Costo Orosi costo/(m3)</t>
        </is>
      </c>
      <c r="D85" s="57" t="n"/>
      <c r="E85" s="57" t="n"/>
      <c r="G85" s="51" t="inlineStr">
        <is>
          <t>CON TODO</t>
        </is>
      </c>
      <c r="H85" s="52">
        <f>+H76+H79-H80+H83</f>
        <v/>
      </c>
    </row>
    <row r="86">
      <c r="B86" s="5" t="n"/>
      <c r="C86" s="55">
        <f>(129807.75*1.04)/15</f>
        <v/>
      </c>
      <c r="D86" s="57" t="n"/>
      <c r="E86" s="57" t="n"/>
    </row>
    <row r="87">
      <c r="C87" s="57" t="n"/>
      <c r="D87" s="57" t="n"/>
      <c r="E87" s="57" t="n"/>
      <c r="H87" s="62" t="n">
        <v>21026675.95421415</v>
      </c>
    </row>
    <row r="89">
      <c r="H89" s="50">
        <f>+H87-H85</f>
        <v/>
      </c>
    </row>
    <row r="91">
      <c r="G91" s="63" t="inlineStr">
        <is>
          <t xml:space="preserve">BACK HOE </t>
        </is>
      </c>
      <c r="H91" s="62">
        <f>+SUMIF(Detallado!E7:E818,DESGLOSE!G91,Detallado!M7:M818)</f>
        <v/>
      </c>
    </row>
    <row r="92">
      <c r="G92" s="63" t="inlineStr">
        <is>
          <t xml:space="preserve">COMPACTADOR </t>
        </is>
      </c>
      <c r="H92" s="62">
        <f>+SUMIF(Detallado!E7:E818,DESGLOSE!G92,Detallado!M7:M818)</f>
        <v/>
      </c>
    </row>
    <row r="93">
      <c r="H93" s="62">
        <f>SUM(H91:H92)</f>
        <v/>
      </c>
    </row>
    <row r="95">
      <c r="G95" s="51" t="inlineStr">
        <is>
          <t>MATERIALES</t>
        </is>
      </c>
      <c r="H95" s="10">
        <f>+(E70+G70)-H80-H93</f>
        <v/>
      </c>
    </row>
    <row r="96">
      <c r="G96" s="51" t="inlineStr">
        <is>
          <t>MANO+INCAPACIDADES</t>
        </is>
      </c>
      <c r="H96" s="10">
        <f>+F70*1.04</f>
        <v/>
      </c>
    </row>
    <row r="97">
      <c r="G97" s="51" t="inlineStr">
        <is>
          <t>HECHURAS</t>
        </is>
      </c>
      <c r="H97" s="10">
        <f>+J75</f>
        <v/>
      </c>
    </row>
    <row r="98">
      <c r="G98" s="51" t="inlineStr">
        <is>
          <t>LASTRE</t>
        </is>
      </c>
      <c r="H98" s="10">
        <f>+H80</f>
        <v/>
      </c>
    </row>
    <row r="99">
      <c r="G99" s="51" t="inlineStr">
        <is>
          <t>FORMALETA-MAQUINARIA</t>
        </is>
      </c>
      <c r="H99" s="10">
        <f>+H83+H93</f>
        <v/>
      </c>
    </row>
    <row r="100">
      <c r="G100" s="51" t="inlineStr">
        <is>
          <t>CON TODO</t>
        </is>
      </c>
      <c r="H100" s="64">
        <f>SUM(H95:H99)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,</t>
        </is>
      </c>
      <c r="B1" s="66" t="inlineStr">
        <is>
          <t>ESTIMADO ZANTE AZOTEA</t>
        </is>
      </c>
      <c r="G1" s="67" t="inlineStr">
        <is>
          <t>TIPO CAMBIO</t>
        </is>
      </c>
      <c r="H1" s="68" t="n">
        <v>505</v>
      </c>
    </row>
    <row r="2">
      <c r="B2" s="69" t="n"/>
      <c r="C2" s="70" t="n"/>
      <c r="D2" s="71" t="n"/>
      <c r="E2" s="72" t="n"/>
      <c r="F2" s="72" t="n"/>
    </row>
    <row r="3">
      <c r="A3" s="73" t="inlineStr">
        <is>
          <t>N°</t>
        </is>
      </c>
      <c r="B3" s="74" t="inlineStr">
        <is>
          <t>Actividad</t>
        </is>
      </c>
      <c r="C3" s="75" t="inlineStr">
        <is>
          <t>Cantidad</t>
        </is>
      </c>
      <c r="D3" s="76" t="inlineStr">
        <is>
          <t>Unidad</t>
        </is>
      </c>
      <c r="E3" s="77" t="inlineStr">
        <is>
          <t>COSTO M2</t>
        </is>
      </c>
      <c r="F3" s="77" t="inlineStr">
        <is>
          <t>TOTAL</t>
        </is>
      </c>
    </row>
    <row r="4">
      <c r="A4" s="5" t="n"/>
      <c r="B4" s="78" t="n"/>
      <c r="C4" s="79" t="n"/>
      <c r="D4" s="79" t="n"/>
      <c r="E4" s="79" t="n"/>
      <c r="F4" s="79" t="n"/>
    </row>
    <row r="5">
      <c r="A5" s="80" t="n">
        <v>1</v>
      </c>
      <c r="B5" s="81" t="inlineStr">
        <is>
          <t>OBRA GRIS</t>
        </is>
      </c>
      <c r="C5" s="81" t="n"/>
      <c r="D5" s="81" t="n"/>
      <c r="E5" s="82" t="n"/>
      <c r="F5" s="83" t="n"/>
    </row>
    <row r="6">
      <c r="A6" s="84" t="n">
        <v>1.1</v>
      </c>
      <c r="B6" s="85" t="inlineStr">
        <is>
          <t>FUNDACIONES</t>
        </is>
      </c>
      <c r="C6" s="59" t="n"/>
      <c r="D6" s="59" t="n"/>
      <c r="E6" s="59" t="n"/>
      <c r="F6" s="60" t="n"/>
    </row>
    <row r="7">
      <c r="A7" s="18" t="inlineStr">
        <is>
          <t>1.1.1</t>
        </is>
      </c>
      <c r="B7" s="11" t="inlineStr">
        <is>
          <t xml:space="preserve">TRAZADO Y RELLENOS </t>
        </is>
      </c>
      <c r="C7" s="86">
        <f>+Detallado!F11</f>
        <v/>
      </c>
      <c r="D7" s="87" t="inlineStr">
        <is>
          <t xml:space="preserve">m2 </t>
        </is>
      </c>
      <c r="E7" s="88">
        <f>F7/C7</f>
        <v/>
      </c>
      <c r="F7" s="89">
        <f>Detallado!N11</f>
        <v/>
      </c>
      <c r="I7" s="90" t="inlineStr">
        <is>
          <t>N11</t>
        </is>
      </c>
    </row>
    <row r="8">
      <c r="A8" s="18" t="inlineStr">
        <is>
          <t>1.1.2</t>
        </is>
      </c>
      <c r="B8" s="36" t="inlineStr">
        <is>
          <t xml:space="preserve">EXCAVACIÓN </t>
        </is>
      </c>
      <c r="C8" s="86">
        <f>+Detallado!F21</f>
        <v/>
      </c>
      <c r="D8" s="87" t="inlineStr">
        <is>
          <t xml:space="preserve">m2 </t>
        </is>
      </c>
      <c r="E8" s="88">
        <f>F8/C8</f>
        <v/>
      </c>
      <c r="F8" s="89">
        <f>Detallado!N21</f>
        <v/>
      </c>
      <c r="I8" s="90" t="inlineStr">
        <is>
          <t>N20</t>
        </is>
      </c>
    </row>
    <row r="9">
      <c r="A9" s="18" t="inlineStr">
        <is>
          <t>1.1.3</t>
        </is>
      </c>
      <c r="B9" s="11" t="inlineStr">
        <is>
          <t xml:space="preserve">SELLO DE CONCRETO </t>
        </is>
      </c>
      <c r="C9" s="86">
        <f>+Detallado!F28</f>
        <v/>
      </c>
      <c r="D9" s="87" t="inlineStr">
        <is>
          <t xml:space="preserve">m2 </t>
        </is>
      </c>
      <c r="E9" s="88">
        <f>F9/C9</f>
        <v/>
      </c>
      <c r="F9" s="89">
        <f>Detallado!N28</f>
        <v/>
      </c>
      <c r="I9" s="90" t="inlineStr">
        <is>
          <t>N29</t>
        </is>
      </c>
    </row>
    <row r="10">
      <c r="A10" s="35" t="inlineStr">
        <is>
          <t>1.1.4</t>
        </is>
      </c>
      <c r="B10" s="36" t="inlineStr">
        <is>
          <t xml:space="preserve">LOSA FLOTANTE (ACERO, CONCRETO, FORMALETA) </t>
        </is>
      </c>
      <c r="C10" s="86">
        <f>+Detallado!F37</f>
        <v/>
      </c>
      <c r="D10" s="87" t="inlineStr">
        <is>
          <t xml:space="preserve">m2 </t>
        </is>
      </c>
      <c r="E10" s="88">
        <f>F10/C10</f>
        <v/>
      </c>
      <c r="F10" s="89">
        <f>Detallado!N37</f>
        <v/>
      </c>
      <c r="I10" s="91" t="inlineStr">
        <is>
          <t>N40</t>
        </is>
      </c>
    </row>
    <row r="11">
      <c r="B11" s="92" t="n"/>
      <c r="C11" s="93" t="n"/>
      <c r="D11" s="94" t="n"/>
      <c r="E11" s="94" t="n"/>
      <c r="F11" s="94" t="n"/>
    </row>
    <row r="12">
      <c r="B12" s="95" t="inlineStr">
        <is>
          <t xml:space="preserve">TOTAL LOSAS </t>
        </is>
      </c>
      <c r="C12" s="96">
        <f>+C8</f>
        <v/>
      </c>
      <c r="D12" s="97" t="inlineStr">
        <is>
          <t xml:space="preserve">m2 </t>
        </is>
      </c>
      <c r="E12" s="98">
        <f>+F12/C12</f>
        <v/>
      </c>
      <c r="F12" s="99">
        <f>+SUBTOTAL(9,F7:F10)</f>
        <v/>
      </c>
    </row>
    <row r="13">
      <c r="B13" s="100" t="n"/>
      <c r="C13" s="101" t="n"/>
      <c r="D13" s="102" t="n"/>
      <c r="E13" s="103" t="n"/>
      <c r="F13" s="103" t="n"/>
    </row>
    <row r="14">
      <c r="A14" s="104" t="n">
        <v>1.2</v>
      </c>
      <c r="B14" s="85" t="inlineStr">
        <is>
          <t xml:space="preserve">MUROS N1 Y N2, ENTREPISO </t>
        </is>
      </c>
      <c r="C14" s="59" t="n"/>
      <c r="D14" s="59" t="n"/>
      <c r="E14" s="59" t="n"/>
      <c r="F14" s="60" t="n"/>
    </row>
    <row r="15">
      <c r="A15" s="35" t="inlineStr">
        <is>
          <t>1.2.1</t>
        </is>
      </c>
      <c r="B15" s="105" t="inlineStr">
        <is>
          <t xml:space="preserve">ACERO EN PAREDES MUROS N1 </t>
        </is>
      </c>
      <c r="C15" s="106">
        <f>+Detallado!F55</f>
        <v/>
      </c>
      <c r="D15" s="87" t="inlineStr">
        <is>
          <t xml:space="preserve">m2 </t>
        </is>
      </c>
      <c r="E15" s="88">
        <f>F15/C15</f>
        <v/>
      </c>
      <c r="F15" s="89">
        <f>Detallado!N55</f>
        <v/>
      </c>
      <c r="I15" s="107" t="inlineStr">
        <is>
          <t>N60</t>
        </is>
      </c>
    </row>
    <row r="16">
      <c r="A16" s="35" t="inlineStr">
        <is>
          <t>1.2.2</t>
        </is>
      </c>
      <c r="B16" s="105" t="inlineStr">
        <is>
          <t>PAREDES, MUROS, ENTREPISO N1</t>
        </is>
      </c>
      <c r="C16" s="106">
        <f>+Detallado!F68</f>
        <v/>
      </c>
      <c r="D16" s="87" t="inlineStr">
        <is>
          <t xml:space="preserve">m2 </t>
        </is>
      </c>
      <c r="E16" s="88">
        <f>F16/C16</f>
        <v/>
      </c>
      <c r="F16" s="89">
        <f>Detallado!N68</f>
        <v/>
      </c>
      <c r="I16" s="65" t="inlineStr">
        <is>
          <t>N72</t>
        </is>
      </c>
    </row>
    <row r="17">
      <c r="A17" s="35" t="inlineStr">
        <is>
          <t>1.2.3</t>
        </is>
      </c>
      <c r="B17" s="108" t="inlineStr">
        <is>
          <t xml:space="preserve">MAMPOSTERIA </t>
        </is>
      </c>
      <c r="C17" s="106">
        <f>+Detallado!F84</f>
        <v/>
      </c>
      <c r="D17" s="87" t="inlineStr">
        <is>
          <t xml:space="preserve">Global </t>
        </is>
      </c>
      <c r="E17" s="88">
        <f>F17/C17</f>
        <v/>
      </c>
      <c r="F17" s="89">
        <f>Detallado!N84</f>
        <v/>
      </c>
      <c r="I17" s="65" t="inlineStr">
        <is>
          <t>N85</t>
        </is>
      </c>
    </row>
    <row r="18">
      <c r="A18" s="35" t="inlineStr">
        <is>
          <t>1.2.4</t>
        </is>
      </c>
      <c r="B18" s="39" t="inlineStr">
        <is>
          <t>ACERO EN PAREDES MUROS N2</t>
        </is>
      </c>
      <c r="C18" s="31">
        <f>+Detallado!F89</f>
        <v/>
      </c>
      <c r="D18" s="35" t="inlineStr">
        <is>
          <t xml:space="preserve">Global </t>
        </is>
      </c>
      <c r="E18" s="88">
        <f>F18/C18</f>
        <v/>
      </c>
      <c r="F18" s="89">
        <f>Detallado!N89</f>
        <v/>
      </c>
      <c r="I18" s="65" t="inlineStr">
        <is>
          <t>N90</t>
        </is>
      </c>
    </row>
    <row r="19">
      <c r="A19" s="35" t="inlineStr">
        <is>
          <t>1.2.5</t>
        </is>
      </c>
      <c r="B19" s="36" t="inlineStr">
        <is>
          <t xml:space="preserve">PAREDES, MUROS, ENTREPISO N2 </t>
        </is>
      </c>
      <c r="C19" s="31">
        <f>+Detallado!F101</f>
        <v/>
      </c>
      <c r="D19" s="35" t="inlineStr">
        <is>
          <t xml:space="preserve">Global </t>
        </is>
      </c>
      <c r="E19" s="88">
        <f>F19/C19</f>
        <v/>
      </c>
      <c r="F19" s="89">
        <f>Detallado!N101</f>
        <v/>
      </c>
      <c r="I19" s="65" t="inlineStr">
        <is>
          <t>N102</t>
        </is>
      </c>
    </row>
    <row r="20">
      <c r="B20" s="92" t="n"/>
      <c r="C20" s="93" t="n"/>
      <c r="D20" s="94" t="n"/>
      <c r="E20" s="94" t="n"/>
      <c r="F20" s="94" t="n"/>
    </row>
    <row r="21">
      <c r="B21" s="95" t="inlineStr">
        <is>
          <t xml:space="preserve">TOTAL MUROS PRIMER Y SEGUNDO NIVEL </t>
        </is>
      </c>
      <c r="C21" s="96">
        <f>C15</f>
        <v/>
      </c>
      <c r="D21" s="97" t="inlineStr">
        <is>
          <t>m2</t>
        </is>
      </c>
      <c r="E21" s="98">
        <f>+F21/C21</f>
        <v/>
      </c>
      <c r="F21" s="99">
        <f>+SUBTOTAL(9,F15:F19)</f>
        <v/>
      </c>
    </row>
    <row r="22">
      <c r="B22" s="100" t="n"/>
      <c r="C22" s="101" t="n"/>
      <c r="D22" s="102" t="n"/>
      <c r="E22" s="103" t="n"/>
      <c r="F22" s="103" t="n"/>
    </row>
    <row r="23">
      <c r="A23" s="84" t="n">
        <v>1.3</v>
      </c>
      <c r="B23" s="85" t="inlineStr">
        <is>
          <t xml:space="preserve">ESTRUCTURA METÁLICA Y CUBIERTAS </t>
        </is>
      </c>
      <c r="C23" s="59" t="n"/>
      <c r="D23" s="59" t="n"/>
      <c r="E23" s="59" t="n"/>
      <c r="F23" s="60" t="n"/>
    </row>
    <row r="24">
      <c r="A24" s="18" t="inlineStr">
        <is>
          <t>1.3.1</t>
        </is>
      </c>
      <c r="B24" s="11" t="inlineStr">
        <is>
          <t xml:space="preserve">ESTRUCTURA TECHO CASA </t>
        </is>
      </c>
      <c r="C24" s="31">
        <f>+Detallado!F116</f>
        <v/>
      </c>
      <c r="D24" s="35" t="inlineStr">
        <is>
          <t xml:space="preserve">m2 </t>
        </is>
      </c>
      <c r="E24" s="88">
        <f>F24/C24</f>
        <v/>
      </c>
      <c r="F24" s="89">
        <f>Detallado!N116</f>
        <v/>
      </c>
      <c r="I24" s="65" t="inlineStr">
        <is>
          <t>N118</t>
        </is>
      </c>
    </row>
    <row r="25">
      <c r="A25" s="18" t="inlineStr">
        <is>
          <t>1.3.2</t>
        </is>
      </c>
      <c r="B25" s="11" t="inlineStr">
        <is>
          <t>ESTRUCTURA TECHO COCHERA</t>
        </is>
      </c>
      <c r="C25" s="31">
        <f>+Detallado!F144</f>
        <v/>
      </c>
      <c r="D25" s="35" t="inlineStr">
        <is>
          <t xml:space="preserve">m2 </t>
        </is>
      </c>
      <c r="E25" s="88">
        <f>F25/C25</f>
        <v/>
      </c>
      <c r="F25" s="89">
        <f>Detallado!N144</f>
        <v/>
      </c>
      <c r="I25" s="65" t="inlineStr">
        <is>
          <t>N138</t>
        </is>
      </c>
    </row>
    <row r="26">
      <c r="A26" s="18" t="inlineStr">
        <is>
          <t>1.3.3</t>
        </is>
      </c>
      <c r="B26" s="11" t="inlineStr">
        <is>
          <t xml:space="preserve">CUBIERTA TECHO CASA </t>
        </is>
      </c>
      <c r="C26" s="31">
        <f>+Detallado!F168</f>
        <v/>
      </c>
      <c r="D26" s="35" t="inlineStr">
        <is>
          <t xml:space="preserve">m2 </t>
        </is>
      </c>
      <c r="E26" s="88">
        <f>F26/C26</f>
        <v/>
      </c>
      <c r="F26" s="89">
        <f>Detallado!N168</f>
        <v/>
      </c>
      <c r="I26" s="65" t="inlineStr">
        <is>
          <t>N158</t>
        </is>
      </c>
    </row>
    <row r="27">
      <c r="A27" s="18" t="inlineStr">
        <is>
          <t>1.3.4</t>
        </is>
      </c>
      <c r="B27" s="11" t="inlineStr">
        <is>
          <t xml:space="preserve">CUBIERTA TECHO COCHERA </t>
        </is>
      </c>
      <c r="C27" s="31">
        <f>+Detallado!F175</f>
        <v/>
      </c>
      <c r="D27" s="35" t="inlineStr">
        <is>
          <t xml:space="preserve">m2 </t>
        </is>
      </c>
      <c r="E27" s="88">
        <f>F27/C27</f>
        <v/>
      </c>
      <c r="F27" s="89">
        <f>Detallado!N175</f>
        <v/>
      </c>
      <c r="I27" s="65" t="inlineStr">
        <is>
          <t>N165</t>
        </is>
      </c>
    </row>
    <row r="28">
      <c r="A28" s="18" t="inlineStr">
        <is>
          <t>1.3.5</t>
        </is>
      </c>
      <c r="B28" s="39" t="inlineStr">
        <is>
          <t xml:space="preserve">GRADAS ESTRUCTURA, PINTADO Y ACABADO </t>
        </is>
      </c>
      <c r="C28" s="31">
        <f>+Detallado!F187</f>
        <v/>
      </c>
      <c r="D28" s="35" t="inlineStr">
        <is>
          <t xml:space="preserve">Global </t>
        </is>
      </c>
      <c r="E28" s="88">
        <f>F28/C28</f>
        <v/>
      </c>
      <c r="F28" s="89">
        <f>Detallado!N187</f>
        <v/>
      </c>
      <c r="I28" s="65" t="inlineStr">
        <is>
          <t>N177</t>
        </is>
      </c>
    </row>
    <row r="29">
      <c r="A29" s="18" t="inlineStr">
        <is>
          <t>1.3.6</t>
        </is>
      </c>
      <c r="B29" s="11" t="inlineStr">
        <is>
          <t xml:space="preserve">BARANDA DE GRADAS (N2) </t>
        </is>
      </c>
      <c r="C29" s="31">
        <f>+Detallado!F213</f>
        <v/>
      </c>
      <c r="D29" s="35" t="inlineStr">
        <is>
          <t xml:space="preserve">Global </t>
        </is>
      </c>
      <c r="E29" s="88">
        <f>F29/C29</f>
        <v/>
      </c>
      <c r="F29" s="89">
        <f>Detallado!N213</f>
        <v/>
      </c>
      <c r="I29" s="65" t="inlineStr">
        <is>
          <t>N203</t>
        </is>
      </c>
    </row>
    <row r="30">
      <c r="A30" s="18" t="inlineStr">
        <is>
          <t>1.3.7</t>
        </is>
      </c>
      <c r="B30" s="11" t="inlineStr">
        <is>
          <t>ESTRUCTURA METÁLICA INTERNA</t>
        </is>
      </c>
      <c r="C30" s="31">
        <f>+Detallado!F229</f>
        <v/>
      </c>
      <c r="D30" s="35" t="inlineStr">
        <is>
          <t xml:space="preserve">Global </t>
        </is>
      </c>
      <c r="E30" s="88">
        <f>F30/C30</f>
        <v/>
      </c>
      <c r="F30" s="89">
        <f>Detallado!N229</f>
        <v/>
      </c>
      <c r="I30" s="65" t="inlineStr">
        <is>
          <t>N219</t>
        </is>
      </c>
    </row>
    <row r="31">
      <c r="B31" s="92" t="n"/>
      <c r="C31" s="109" t="n"/>
      <c r="D31" s="94" t="n"/>
      <c r="E31" s="94" t="n"/>
      <c r="F31" s="94" t="n"/>
    </row>
    <row r="32">
      <c r="B32" s="95" t="inlineStr">
        <is>
          <t xml:space="preserve">TOTAL ESTRUCT METÁLICA Y CUBIERTAS </t>
        </is>
      </c>
      <c r="C32" s="96">
        <f>C24+C25</f>
        <v/>
      </c>
      <c r="D32" s="97" t="inlineStr">
        <is>
          <t>m2</t>
        </is>
      </c>
      <c r="E32" s="98">
        <f>+F32/C32</f>
        <v/>
      </c>
      <c r="F32" s="99">
        <f>+SUBTOTAL(9,F24:F30)</f>
        <v/>
      </c>
    </row>
    <row r="34">
      <c r="A34" s="104" t="n">
        <v>1.4</v>
      </c>
      <c r="B34" s="85" t="inlineStr">
        <is>
          <t>HOJALATERIA</t>
        </is>
      </c>
      <c r="C34" s="59" t="n"/>
      <c r="D34" s="59" t="n"/>
      <c r="E34" s="59" t="n"/>
      <c r="F34" s="60" t="n"/>
    </row>
    <row r="35">
      <c r="A35" s="18" t="inlineStr">
        <is>
          <t>1.4.1</t>
        </is>
      </c>
      <c r="B35" s="11" t="inlineStr">
        <is>
          <t xml:space="preserve">CANOAS Y BOTAGUAS </t>
        </is>
      </c>
      <c r="C35" s="31">
        <f>+Detallado!F237</f>
        <v/>
      </c>
      <c r="D35" s="35" t="inlineStr">
        <is>
          <t xml:space="preserve">Global </t>
        </is>
      </c>
      <c r="E35" s="88">
        <f>F35/C35</f>
        <v/>
      </c>
      <c r="F35" s="89">
        <f>Detallado!N237</f>
        <v/>
      </c>
      <c r="I35" s="65" t="inlineStr">
        <is>
          <t>N228</t>
        </is>
      </c>
    </row>
    <row r="36">
      <c r="A36" s="18" t="inlineStr">
        <is>
          <t>1.4.2</t>
        </is>
      </c>
      <c r="B36" s="11" t="inlineStr">
        <is>
          <t xml:space="preserve">BAJANTES </t>
        </is>
      </c>
      <c r="C36" s="31">
        <f>+Detallado!F248</f>
        <v/>
      </c>
      <c r="D36" s="35" t="inlineStr">
        <is>
          <t xml:space="preserve">Global </t>
        </is>
      </c>
      <c r="E36" s="88">
        <f>F36/C36</f>
        <v/>
      </c>
      <c r="F36" s="37">
        <f>Detallado!N248</f>
        <v/>
      </c>
      <c r="I36" s="65" t="inlineStr">
        <is>
          <t>N240</t>
        </is>
      </c>
    </row>
    <row r="37">
      <c r="B37" s="92" t="n"/>
      <c r="C37" s="93" t="n"/>
      <c r="D37" s="94" t="n"/>
      <c r="E37" s="94" t="n"/>
      <c r="F37" s="94" t="n"/>
    </row>
    <row r="38">
      <c r="B38" s="95" t="inlineStr">
        <is>
          <t>TOTAL HOJALATERIA</t>
        </is>
      </c>
      <c r="C38" s="96">
        <f>C35+C36</f>
        <v/>
      </c>
      <c r="D38" s="97" t="inlineStr">
        <is>
          <t>m2</t>
        </is>
      </c>
      <c r="E38" s="98">
        <f>+F38/C38</f>
        <v/>
      </c>
      <c r="F38" s="99">
        <f>+SUBTOTAL(9,F35:F36)</f>
        <v/>
      </c>
    </row>
    <row r="39">
      <c r="B39" s="100" t="n"/>
      <c r="C39" s="101" t="n"/>
      <c r="D39" s="102" t="n"/>
      <c r="E39" s="103" t="n"/>
      <c r="F39" s="103" t="n"/>
    </row>
    <row r="40">
      <c r="A40" s="104" t="n">
        <v>1.5</v>
      </c>
      <c r="B40" s="85" t="inlineStr">
        <is>
          <t>OBRAS COMPLEMENTARIAS</t>
        </is>
      </c>
      <c r="C40" s="59" t="n"/>
      <c r="D40" s="59" t="n"/>
      <c r="E40" s="59" t="n"/>
      <c r="F40" s="60" t="n"/>
    </row>
    <row r="41">
      <c r="A41" s="35" t="inlineStr">
        <is>
          <t>1.5.1</t>
        </is>
      </c>
      <c r="B41" s="11" t="inlineStr">
        <is>
          <t xml:space="preserve">GRADAS EN CONCRETO </t>
        </is>
      </c>
      <c r="C41" s="31">
        <f>+Detallado!F253</f>
        <v/>
      </c>
      <c r="D41" s="35" t="inlineStr">
        <is>
          <t xml:space="preserve">Global </t>
        </is>
      </c>
      <c r="E41" s="88">
        <f>F41/C41</f>
        <v/>
      </c>
      <c r="F41" s="89">
        <f>Detallado!N254</f>
        <v/>
      </c>
      <c r="I41" s="65" t="inlineStr">
        <is>
          <t>N247</t>
        </is>
      </c>
    </row>
    <row r="42">
      <c r="A42" s="35" t="inlineStr">
        <is>
          <t>1.5.2</t>
        </is>
      </c>
      <c r="B42" s="11" t="inlineStr">
        <is>
          <t>COLUMNAS (MEDIDOR)</t>
        </is>
      </c>
      <c r="C42" s="31">
        <f>+Detallado!F269</f>
        <v/>
      </c>
      <c r="D42" s="35" t="inlineStr">
        <is>
          <t xml:space="preserve">Global </t>
        </is>
      </c>
      <c r="E42" s="88">
        <f>F42/C42</f>
        <v/>
      </c>
      <c r="F42" s="89">
        <f>Detallado!N269</f>
        <v/>
      </c>
    </row>
    <row r="43">
      <c r="A43" s="35" t="inlineStr">
        <is>
          <t>1.5.3</t>
        </is>
      </c>
      <c r="B43" s="11" t="inlineStr">
        <is>
          <t xml:space="preserve">CHORREA DE COCHERAS Y PILAS </t>
        </is>
      </c>
      <c r="C43" s="31">
        <f>+Detallado!F282</f>
        <v/>
      </c>
      <c r="D43" s="35" t="inlineStr">
        <is>
          <t xml:space="preserve">m2 </t>
        </is>
      </c>
      <c r="E43" s="88">
        <f>F43/C43</f>
        <v/>
      </c>
      <c r="F43" s="89">
        <f>Detallado!N282</f>
        <v/>
      </c>
    </row>
    <row r="44">
      <c r="A44" s="35" t="inlineStr">
        <is>
          <t>1.5.4</t>
        </is>
      </c>
      <c r="B44" s="11" t="inlineStr">
        <is>
          <t xml:space="preserve">TAPIAS PREFABRICADAS </t>
        </is>
      </c>
      <c r="C44" s="31">
        <f>+Detallado!F299</f>
        <v/>
      </c>
      <c r="D44" s="35" t="inlineStr">
        <is>
          <t>m</t>
        </is>
      </c>
      <c r="E44" s="88">
        <f>F44/C44</f>
        <v/>
      </c>
      <c r="F44" s="37">
        <f>Detallado!N299</f>
        <v/>
      </c>
    </row>
    <row r="45">
      <c r="A45" s="35" t="inlineStr">
        <is>
          <t>1.5.5</t>
        </is>
      </c>
      <c r="B45" s="11" t="inlineStr">
        <is>
          <t>ACERAS</t>
        </is>
      </c>
      <c r="C45" s="31">
        <f>+Detallado!F312</f>
        <v/>
      </c>
      <c r="D45" s="35" t="inlineStr">
        <is>
          <t xml:space="preserve">m2 </t>
        </is>
      </c>
      <c r="E45" s="88">
        <f>F45/C45</f>
        <v/>
      </c>
      <c r="F45" s="37">
        <f>Detallado!N312</f>
        <v/>
      </c>
    </row>
    <row r="46">
      <c r="B46" s="92" t="n"/>
      <c r="C46" s="93" t="n"/>
      <c r="D46" s="94" t="n"/>
      <c r="E46" s="94" t="n"/>
      <c r="F46" s="94" t="n"/>
    </row>
    <row r="47">
      <c r="B47" s="110" t="inlineStr">
        <is>
          <t>TOTAL OBRAS COMPLEMENTARIAS</t>
        </is>
      </c>
      <c r="C47" s="111" t="n">
        <v>1</v>
      </c>
      <c r="D47" s="112" t="inlineStr">
        <is>
          <t xml:space="preserve">Global </t>
        </is>
      </c>
      <c r="E47" s="113">
        <f>+F47/C47</f>
        <v/>
      </c>
      <c r="F47" s="99">
        <f>+SUBTOTAL(9,F41:F45)</f>
        <v/>
      </c>
    </row>
    <row r="49">
      <c r="A49" s="114" t="n">
        <v>1.6</v>
      </c>
      <c r="B49" s="115" t="inlineStr">
        <is>
          <t xml:space="preserve">LIVIANO </t>
        </is>
      </c>
      <c r="C49" s="59" t="n"/>
      <c r="D49" s="59" t="n"/>
      <c r="E49" s="59" t="n"/>
      <c r="F49" s="60" t="n"/>
    </row>
    <row r="50">
      <c r="A50" s="116" t="inlineStr">
        <is>
          <t>1.6.1</t>
        </is>
      </c>
      <c r="B50" s="36" t="inlineStr">
        <is>
          <t>LIVIANO EXTERIORES (PRECINTA Y TAPICHELES, ALEROS)</t>
        </is>
      </c>
      <c r="C50" s="31">
        <f>+Detallado!F324+Detallado!F334+Detallado!F345</f>
        <v/>
      </c>
      <c r="D50" s="35" t="inlineStr">
        <is>
          <t>m2</t>
        </is>
      </c>
      <c r="E50" s="88">
        <f>F50/C50</f>
        <v/>
      </c>
      <c r="F50" s="89">
        <f>Detallado!N323</f>
        <v/>
      </c>
    </row>
    <row r="51">
      <c r="A51" s="116" t="inlineStr">
        <is>
          <t>1.6.2</t>
        </is>
      </c>
      <c r="B51" s="36" t="inlineStr">
        <is>
          <t>LIVIANO INTERIORES ( PAREDES LIVIANAS Y CIELOS)</t>
        </is>
      </c>
      <c r="C51" s="31">
        <f>+Detallado!F362+Detallado!F375</f>
        <v/>
      </c>
      <c r="D51" s="35" t="inlineStr">
        <is>
          <t>m2</t>
        </is>
      </c>
      <c r="E51" s="88">
        <f>F51/C51</f>
        <v/>
      </c>
      <c r="F51" s="89">
        <f>Detallado!N361</f>
        <v/>
      </c>
    </row>
    <row r="52">
      <c r="B52" s="92" t="n"/>
      <c r="C52" s="117" t="n"/>
      <c r="D52" s="94" t="n"/>
      <c r="E52" s="94" t="n"/>
      <c r="F52" s="94" t="n"/>
    </row>
    <row r="53">
      <c r="B53" s="95" t="inlineStr">
        <is>
          <t>TOTAL LIVIANO</t>
        </is>
      </c>
      <c r="C53" s="96">
        <f>C50+C51</f>
        <v/>
      </c>
      <c r="D53" s="97" t="inlineStr">
        <is>
          <t>m2</t>
        </is>
      </c>
      <c r="E53" s="98">
        <f>+F53/C53</f>
        <v/>
      </c>
      <c r="F53" s="99">
        <f>+SUBTOTAL(9,F50:F51)</f>
        <v/>
      </c>
    </row>
    <row r="54">
      <c r="B54" s="100" t="n"/>
      <c r="C54" s="101" t="n"/>
      <c r="D54" s="102" t="n"/>
      <c r="E54" s="103" t="n"/>
      <c r="F54" s="103" t="n"/>
    </row>
    <row r="55">
      <c r="A55" s="118" t="n">
        <v>2</v>
      </c>
      <c r="B55" s="81" t="inlineStr">
        <is>
          <t>ACABADOS</t>
        </is>
      </c>
      <c r="C55" s="81" t="n"/>
      <c r="D55" s="81" t="n"/>
      <c r="E55" s="82" t="n"/>
      <c r="F55" s="83" t="n"/>
    </row>
    <row r="56">
      <c r="A56" s="104" t="n">
        <v>2.1</v>
      </c>
      <c r="B56" s="85" t="inlineStr">
        <is>
          <t>REPELLOS Y EMPASTE</t>
        </is>
      </c>
      <c r="C56" s="59" t="n"/>
      <c r="D56" s="59" t="n"/>
      <c r="E56" s="59" t="n"/>
      <c r="F56" s="60" t="n"/>
    </row>
    <row r="57">
      <c r="A57" s="18" t="inlineStr">
        <is>
          <t>2.1.1</t>
        </is>
      </c>
      <c r="B57" s="11" t="inlineStr">
        <is>
          <t xml:space="preserve">REPELLOS INTERNO Y EXTERNO </t>
        </is>
      </c>
      <c r="C57" s="31">
        <f>+Detallado!F395</f>
        <v/>
      </c>
      <c r="D57" s="35" t="inlineStr">
        <is>
          <t>m2</t>
        </is>
      </c>
      <c r="E57" s="88">
        <f>F57/C57</f>
        <v/>
      </c>
      <c r="F57" s="89">
        <f>Detallado!N395</f>
        <v/>
      </c>
    </row>
    <row r="58">
      <c r="A58" s="18" t="inlineStr">
        <is>
          <t>2.1.2</t>
        </is>
      </c>
      <c r="B58" s="11" t="inlineStr">
        <is>
          <t xml:space="preserve">EMPASTE </t>
        </is>
      </c>
      <c r="C58" s="31">
        <f>+Detallado!F399</f>
        <v/>
      </c>
      <c r="D58" s="35" t="inlineStr">
        <is>
          <t>m2</t>
        </is>
      </c>
      <c r="E58" s="88">
        <f>F58/C58</f>
        <v/>
      </c>
      <c r="F58" s="89">
        <f>Detallado!N399</f>
        <v/>
      </c>
    </row>
    <row r="59">
      <c r="B59" s="92" t="n"/>
      <c r="C59" s="93" t="n"/>
      <c r="D59" s="94" t="n"/>
      <c r="E59" s="94" t="n"/>
      <c r="F59" s="94" t="n"/>
    </row>
    <row r="60">
      <c r="B60" s="95" t="inlineStr">
        <is>
          <t>TOTAL REPELLOS</t>
        </is>
      </c>
      <c r="C60" s="96">
        <f>C57</f>
        <v/>
      </c>
      <c r="D60" s="97" t="inlineStr">
        <is>
          <t>m2</t>
        </is>
      </c>
      <c r="E60" s="98">
        <f>+F60/C60</f>
        <v/>
      </c>
      <c r="F60" s="99">
        <f>+SUBTOTAL(9,F57:F58)</f>
        <v/>
      </c>
    </row>
    <row r="61">
      <c r="B61" s="100" t="n"/>
      <c r="C61" s="101" t="n"/>
      <c r="D61" s="102" t="n"/>
      <c r="E61" s="103" t="n"/>
      <c r="F61" s="103" t="n"/>
    </row>
    <row r="62">
      <c r="A62" s="84" t="n">
        <v>2.2</v>
      </c>
      <c r="B62" s="85" t="inlineStr">
        <is>
          <t>ENCHAPES</t>
        </is>
      </c>
      <c r="C62" s="59" t="n"/>
      <c r="D62" s="59" t="n"/>
      <c r="E62" s="59" t="n"/>
      <c r="F62" s="60" t="n"/>
    </row>
    <row r="63">
      <c r="A63" s="18" t="inlineStr">
        <is>
          <t>2.2.1</t>
        </is>
      </c>
      <c r="B63" s="11" t="inlineStr">
        <is>
          <t>ENCHAPES PAREDES, PISOS Y FACHADA</t>
        </is>
      </c>
      <c r="C63" s="31">
        <f>+Detallado!F407</f>
        <v/>
      </c>
      <c r="D63" s="35" t="inlineStr">
        <is>
          <t>m2</t>
        </is>
      </c>
      <c r="E63" s="88">
        <f>F63/C63</f>
        <v/>
      </c>
      <c r="F63" s="37">
        <f>Detallado!N407</f>
        <v/>
      </c>
    </row>
    <row r="65">
      <c r="B65" s="95" t="inlineStr">
        <is>
          <t xml:space="preserve">TOTAL ENCHAPES </t>
        </is>
      </c>
      <c r="C65" s="96">
        <f>C63</f>
        <v/>
      </c>
      <c r="D65" s="97" t="inlineStr">
        <is>
          <t>m2</t>
        </is>
      </c>
      <c r="E65" s="98">
        <f>+F65/C65</f>
        <v/>
      </c>
      <c r="F65" s="99">
        <f>+SUBTOTAL(9,F63)</f>
        <v/>
      </c>
    </row>
    <row r="66">
      <c r="B66" s="100" t="n"/>
      <c r="C66" s="101" t="n"/>
      <c r="D66" s="102" t="n"/>
      <c r="E66" s="103" t="n"/>
      <c r="F66" s="103" t="n"/>
    </row>
    <row r="67">
      <c r="A67" s="84" t="n">
        <v>2.3</v>
      </c>
      <c r="B67" s="85" t="inlineStr">
        <is>
          <t>PINTURA/ IMPERMEABILIZANTE</t>
        </is>
      </c>
      <c r="C67" s="59" t="n"/>
      <c r="D67" s="59" t="n"/>
      <c r="E67" s="59" t="n"/>
      <c r="F67" s="60" t="n"/>
    </row>
    <row r="68">
      <c r="A68" s="18" t="inlineStr">
        <is>
          <t>2.3.1</t>
        </is>
      </c>
      <c r="B68" s="11" t="inlineStr">
        <is>
          <t>PINTURA PAREDES Y CIELOS</t>
        </is>
      </c>
      <c r="C68" s="31">
        <f>+Detallado!F429</f>
        <v/>
      </c>
      <c r="D68" s="35" t="inlineStr">
        <is>
          <t xml:space="preserve">m2 </t>
        </is>
      </c>
      <c r="E68" s="88">
        <f>F68/C68</f>
        <v/>
      </c>
      <c r="F68" s="89">
        <f>+Detallado!N429</f>
        <v/>
      </c>
    </row>
    <row r="69">
      <c r="A69" s="18" t="inlineStr">
        <is>
          <t>2.3.2</t>
        </is>
      </c>
      <c r="B69" s="11" t="inlineStr">
        <is>
          <t>ACABADOS DE AZOTEA</t>
        </is>
      </c>
      <c r="C69" s="31">
        <f>+Detallado!F452</f>
        <v/>
      </c>
      <c r="D69" s="35" t="inlineStr">
        <is>
          <t xml:space="preserve">Global </t>
        </is>
      </c>
      <c r="E69" s="88">
        <f>F69/C69</f>
        <v/>
      </c>
      <c r="F69" s="89">
        <f>Detallado!N452</f>
        <v/>
      </c>
    </row>
    <row r="70">
      <c r="A70" s="18" t="inlineStr">
        <is>
          <t>2.3.3</t>
        </is>
      </c>
      <c r="B70" s="11" t="inlineStr">
        <is>
          <t xml:space="preserve">PONCHEO FINAL </t>
        </is>
      </c>
      <c r="C70" s="31">
        <f>+Detallado!F462</f>
        <v/>
      </c>
      <c r="D70" s="35" t="inlineStr">
        <is>
          <t xml:space="preserve">Global </t>
        </is>
      </c>
      <c r="E70" s="88">
        <f>F70/C70</f>
        <v/>
      </c>
      <c r="F70" s="89">
        <f>Detallado!N462</f>
        <v/>
      </c>
    </row>
    <row r="71">
      <c r="B71" s="92" t="n"/>
      <c r="C71" s="119" t="n"/>
      <c r="D71" s="94" t="n"/>
      <c r="E71" s="94" t="n"/>
      <c r="F71" s="94" t="n"/>
    </row>
    <row r="72">
      <c r="B72" s="95" t="inlineStr">
        <is>
          <t>PINTURA</t>
        </is>
      </c>
      <c r="C72" s="96" t="n">
        <v>1</v>
      </c>
      <c r="D72" s="97" t="inlineStr">
        <is>
          <t xml:space="preserve">Global </t>
        </is>
      </c>
      <c r="E72" s="98">
        <f>+F72/C72</f>
        <v/>
      </c>
      <c r="F72" s="99">
        <f>+SUBTOTAL(9,F68:F70)</f>
        <v/>
      </c>
    </row>
    <row r="73">
      <c r="B73" s="100" t="n"/>
      <c r="C73" s="101" t="n"/>
      <c r="D73" s="102" t="n"/>
      <c r="E73" s="103" t="n"/>
      <c r="F73" s="103" t="n"/>
    </row>
    <row r="74">
      <c r="A74" s="84" t="n">
        <v>2.4</v>
      </c>
      <c r="B74" s="85" t="inlineStr">
        <is>
          <t>MADERAS</t>
        </is>
      </c>
      <c r="C74" s="59" t="n"/>
      <c r="D74" s="59" t="n"/>
      <c r="E74" s="59" t="n"/>
      <c r="F74" s="60" t="n"/>
    </row>
    <row r="75">
      <c r="A75" s="18" t="inlineStr">
        <is>
          <t>2.4.1</t>
        </is>
      </c>
      <c r="B75" s="11" t="inlineStr">
        <is>
          <t>CIELOS</t>
        </is>
      </c>
      <c r="C75" s="31">
        <f>+Detallado!F466</f>
        <v/>
      </c>
      <c r="D75" s="35" t="inlineStr">
        <is>
          <t xml:space="preserve">m2 </t>
        </is>
      </c>
      <c r="E75" s="88">
        <f>F75/C75</f>
        <v/>
      </c>
      <c r="F75" s="89" t="n"/>
    </row>
    <row r="76">
      <c r="A76" s="18" t="inlineStr">
        <is>
          <t>2.4.2</t>
        </is>
      </c>
      <c r="B76" s="11" t="inlineStr">
        <is>
          <t>PANEL ACANALADO</t>
        </is>
      </c>
      <c r="C76" s="31">
        <f>+Detallado!F466</f>
        <v/>
      </c>
      <c r="D76" s="35" t="inlineStr">
        <is>
          <t xml:space="preserve">m2 </t>
        </is>
      </c>
      <c r="E76" s="88">
        <f>F76/C76</f>
        <v/>
      </c>
      <c r="F76" s="89" t="n"/>
    </row>
    <row r="77">
      <c r="B77" s="92" t="n"/>
      <c r="C77" s="119" t="n"/>
      <c r="D77" s="94" t="n"/>
      <c r="E77" s="94" t="n"/>
      <c r="F77" s="94" t="n"/>
    </row>
    <row r="78">
      <c r="B78" s="95" t="inlineStr">
        <is>
          <t>TOTAL MADERAS</t>
        </is>
      </c>
      <c r="C78" s="96" t="n">
        <v>1</v>
      </c>
      <c r="D78" s="97" t="inlineStr">
        <is>
          <t xml:space="preserve">Global </t>
        </is>
      </c>
      <c r="E78" s="98">
        <f>+F78/C78</f>
        <v/>
      </c>
      <c r="F78" s="99">
        <f>+SUBTOTAL(9,F75:F76)</f>
        <v/>
      </c>
    </row>
    <row r="79">
      <c r="B79" s="100" t="n"/>
      <c r="C79" s="101" t="n"/>
      <c r="D79" s="102" t="n"/>
      <c r="E79" s="103" t="n"/>
      <c r="F79" s="103" t="n"/>
    </row>
    <row r="80">
      <c r="A80" s="84" t="n">
        <v>2.5</v>
      </c>
      <c r="B80" s="85" t="inlineStr">
        <is>
          <t xml:space="preserve">VENTANERIA </t>
        </is>
      </c>
      <c r="C80" s="59" t="n"/>
      <c r="D80" s="59" t="n"/>
      <c r="E80" s="59" t="n"/>
      <c r="F80" s="60" t="n"/>
    </row>
    <row r="81">
      <c r="A81" s="18" t="inlineStr">
        <is>
          <t>2.5.1</t>
        </is>
      </c>
      <c r="B81" s="11" t="inlineStr">
        <is>
          <t xml:space="preserve">VENTANERIA </t>
        </is>
      </c>
      <c r="C81" s="31">
        <f>+Detallado!F471</f>
        <v/>
      </c>
      <c r="D81" s="35" t="inlineStr">
        <is>
          <t>m2</t>
        </is>
      </c>
      <c r="E81" s="37">
        <f>F81/C81</f>
        <v/>
      </c>
      <c r="F81" s="37">
        <f>Detallado!N471</f>
        <v/>
      </c>
    </row>
    <row r="82">
      <c r="B82" s="92" t="n"/>
      <c r="C82" s="109" t="n"/>
      <c r="D82" s="94" t="n"/>
      <c r="E82" s="94" t="n"/>
      <c r="F82" s="94" t="n"/>
    </row>
    <row r="83">
      <c r="B83" s="95" t="inlineStr">
        <is>
          <t xml:space="preserve">TOTAL VENTANERIA </t>
        </is>
      </c>
      <c r="C83" s="96">
        <f>C81</f>
        <v/>
      </c>
      <c r="D83" s="97" t="inlineStr">
        <is>
          <t>m2</t>
        </is>
      </c>
      <c r="E83" s="98">
        <f>+F83/C83</f>
        <v/>
      </c>
      <c r="F83" s="99">
        <f>+SUBTOTAL(9,F81)</f>
        <v/>
      </c>
    </row>
    <row r="84">
      <c r="B84" s="100" t="n"/>
      <c r="C84" s="101" t="n"/>
      <c r="D84" s="102" t="n"/>
      <c r="E84" s="103" t="n"/>
      <c r="F84" s="103" t="n"/>
    </row>
    <row r="85">
      <c r="A85" s="84" t="n">
        <v>2.6</v>
      </c>
      <c r="B85" s="85" t="inlineStr">
        <is>
          <t xml:space="preserve">MUEBLES Y PUERTAS </t>
        </is>
      </c>
      <c r="C85" s="59" t="n"/>
      <c r="D85" s="59" t="n"/>
      <c r="E85" s="59" t="n"/>
      <c r="F85" s="60" t="n"/>
    </row>
    <row r="86">
      <c r="A86" s="18" t="inlineStr">
        <is>
          <t>2.6.1</t>
        </is>
      </c>
      <c r="B86" s="11" t="inlineStr">
        <is>
          <t xml:space="preserve">MUEBLES </t>
        </is>
      </c>
      <c r="C86" s="31">
        <f>+Detallado!F477</f>
        <v/>
      </c>
      <c r="D86" s="35" t="inlineStr">
        <is>
          <t xml:space="preserve">un </t>
        </is>
      </c>
      <c r="E86" s="88">
        <f>F86/C86</f>
        <v/>
      </c>
      <c r="F86" s="37">
        <f>Detallado!N477</f>
        <v/>
      </c>
    </row>
    <row r="87">
      <c r="A87" s="18" t="inlineStr">
        <is>
          <t>2.6.2</t>
        </is>
      </c>
      <c r="B87" s="11" t="inlineStr">
        <is>
          <t xml:space="preserve">PUERTAS Y RODAPIE </t>
        </is>
      </c>
      <c r="C87" s="31">
        <f>+Detallado!F513</f>
        <v/>
      </c>
      <c r="D87" s="35" t="inlineStr">
        <is>
          <t xml:space="preserve">Global </t>
        </is>
      </c>
      <c r="E87" s="88">
        <f>F87/C87</f>
        <v/>
      </c>
      <c r="F87" s="37">
        <f>Detallado!N513</f>
        <v/>
      </c>
    </row>
    <row r="88">
      <c r="B88" s="92" t="n"/>
      <c r="C88" s="41" t="n"/>
      <c r="D88" s="94" t="n"/>
      <c r="E88" s="94" t="n"/>
      <c r="F88" s="94" t="n"/>
    </row>
    <row r="89">
      <c r="B89" s="95" t="inlineStr">
        <is>
          <t>TOTAL MUEBLES Y PUERTAS</t>
        </is>
      </c>
      <c r="C89" s="96" t="n">
        <v>1</v>
      </c>
      <c r="D89" s="97" t="inlineStr">
        <is>
          <t xml:space="preserve">Global </t>
        </is>
      </c>
      <c r="E89" s="98">
        <f>+F89/C89</f>
        <v/>
      </c>
      <c r="F89" s="99">
        <f>+SUBTOTAL(9,F86:F87)</f>
        <v/>
      </c>
    </row>
    <row r="90">
      <c r="B90" s="100" t="n"/>
      <c r="C90" s="101" t="n"/>
      <c r="D90" s="102" t="n"/>
      <c r="E90" s="103" t="n"/>
      <c r="F90" s="103" t="n"/>
    </row>
    <row r="91">
      <c r="A91" s="84" t="n">
        <v>2.7</v>
      </c>
      <c r="B91" s="85" t="inlineStr">
        <is>
          <t>LOZA SANITARIA</t>
        </is>
      </c>
      <c r="C91" s="59" t="n"/>
      <c r="D91" s="59" t="n"/>
      <c r="E91" s="59" t="n"/>
      <c r="F91" s="60" t="n"/>
    </row>
    <row r="92">
      <c r="A92" s="18" t="inlineStr">
        <is>
          <t>2.7.1</t>
        </is>
      </c>
      <c r="B92" s="11" t="inlineStr">
        <is>
          <t>LOSA SANITARIA, GRIFERIA</t>
        </is>
      </c>
      <c r="C92" s="31">
        <f>+Detallado!F525</f>
        <v/>
      </c>
      <c r="D92" s="35" t="inlineStr">
        <is>
          <t xml:space="preserve">un </t>
        </is>
      </c>
      <c r="E92" s="88">
        <f>F92/C92</f>
        <v/>
      </c>
      <c r="F92" s="89">
        <f>Detallado!N526</f>
        <v/>
      </c>
    </row>
    <row r="93">
      <c r="B93" s="92" t="n"/>
      <c r="C93" s="93" t="n"/>
      <c r="D93" s="94" t="n"/>
      <c r="E93" s="94" t="n"/>
      <c r="F93" s="94" t="n"/>
    </row>
    <row r="94">
      <c r="B94" s="95" t="inlineStr">
        <is>
          <t xml:space="preserve">TOTAL ACABADOS </t>
        </is>
      </c>
      <c r="C94" s="96" t="n">
        <v>1</v>
      </c>
      <c r="D94" s="97" t="inlineStr">
        <is>
          <t xml:space="preserve">Global </t>
        </is>
      </c>
      <c r="E94" s="98">
        <f>+F94/C94</f>
        <v/>
      </c>
      <c r="F94" s="99">
        <f>+SUBTOTAL(9,F92)</f>
        <v/>
      </c>
    </row>
    <row r="95">
      <c r="B95" s="100" t="n"/>
      <c r="C95" s="101" t="n"/>
      <c r="D95" s="102" t="n"/>
      <c r="E95" s="103" t="n"/>
      <c r="F95" s="103" t="n"/>
    </row>
    <row r="96">
      <c r="A96" s="84" t="n">
        <v>2.8</v>
      </c>
      <c r="B96" s="85" t="inlineStr">
        <is>
          <t xml:space="preserve">ZACATE </t>
        </is>
      </c>
      <c r="C96" s="59" t="n"/>
      <c r="D96" s="59" t="n"/>
      <c r="E96" s="59" t="n"/>
      <c r="F96" s="60" t="n"/>
    </row>
    <row r="97">
      <c r="A97" s="18" t="inlineStr">
        <is>
          <t>2.8.1</t>
        </is>
      </c>
      <c r="B97" s="11" t="inlineStr">
        <is>
          <t xml:space="preserve">ZACATE </t>
        </is>
      </c>
      <c r="C97" s="31">
        <f>+Detallado!F549</f>
        <v/>
      </c>
      <c r="D97" s="35" t="inlineStr">
        <is>
          <t xml:space="preserve">m2 </t>
        </is>
      </c>
      <c r="E97" s="88">
        <f>F97/C97</f>
        <v/>
      </c>
      <c r="F97" s="37">
        <f>Detallado!N549</f>
        <v/>
      </c>
    </row>
    <row r="98">
      <c r="B98" s="92" t="n"/>
      <c r="C98" s="109" t="n"/>
      <c r="D98" s="94" t="n"/>
      <c r="E98" s="94" t="n"/>
      <c r="F98" s="94" t="n"/>
    </row>
    <row r="99">
      <c r="B99" s="95" t="inlineStr">
        <is>
          <t xml:space="preserve">TOTAL  OBRAS ADICIONALES </t>
        </is>
      </c>
      <c r="C99" s="96" t="n">
        <v>1</v>
      </c>
      <c r="D99" s="97" t="inlineStr">
        <is>
          <t xml:space="preserve">Global </t>
        </is>
      </c>
      <c r="E99" s="98">
        <f>+F99/C99</f>
        <v/>
      </c>
      <c r="F99" s="99">
        <f>+SUBTOTAL(9,F97:F98)</f>
        <v/>
      </c>
    </row>
    <row r="100">
      <c r="B100" s="100" t="n"/>
      <c r="C100" s="101" t="n"/>
      <c r="D100" s="102" t="n"/>
      <c r="E100" s="103" t="n"/>
      <c r="F100" s="103" t="n"/>
    </row>
    <row r="101">
      <c r="A101" s="118" t="n">
        <v>3</v>
      </c>
      <c r="B101" s="120" t="inlineStr">
        <is>
          <t>ELECTROMECANICO</t>
        </is>
      </c>
      <c r="C101" s="120" t="n"/>
      <c r="D101" s="120" t="n"/>
      <c r="E101" s="121" t="n"/>
      <c r="F101" s="122" t="n"/>
    </row>
    <row r="102">
      <c r="A102" s="104" t="n">
        <v>3.1</v>
      </c>
      <c r="B102" s="123" t="inlineStr">
        <is>
          <t xml:space="preserve">ELÉCTRICO </t>
        </is>
      </c>
      <c r="C102" s="124" t="n"/>
      <c r="D102" s="124" t="n"/>
      <c r="E102" s="124" t="n"/>
      <c r="F102" s="124" t="n"/>
    </row>
    <row r="103">
      <c r="A103" s="18" t="inlineStr">
        <is>
          <t>3.1.1</t>
        </is>
      </c>
      <c r="B103" s="11" t="inlineStr">
        <is>
          <t>ACOMETIDA</t>
        </is>
      </c>
      <c r="C103" s="31">
        <f>+Detallado!F559</f>
        <v/>
      </c>
      <c r="D103" s="35" t="inlineStr">
        <is>
          <t xml:space="preserve">Global </t>
        </is>
      </c>
      <c r="E103" s="88">
        <f>F103/C103</f>
        <v/>
      </c>
      <c r="F103" s="89">
        <f>Detallado!N559</f>
        <v/>
      </c>
    </row>
    <row r="104">
      <c r="A104" s="18" t="inlineStr">
        <is>
          <t>3.1.2</t>
        </is>
      </c>
      <c r="B104" s="11" t="inlineStr">
        <is>
          <t xml:space="preserve">ELÉCTRICO MUROS </t>
        </is>
      </c>
      <c r="C104" s="31">
        <f>+Detallado!F583</f>
        <v/>
      </c>
      <c r="D104" s="35" t="inlineStr">
        <is>
          <t xml:space="preserve">Global </t>
        </is>
      </c>
      <c r="E104" s="88">
        <f>F104/C104</f>
        <v/>
      </c>
      <c r="F104" s="89">
        <f>+Detallado!N583</f>
        <v/>
      </c>
    </row>
    <row r="105">
      <c r="A105" s="18" t="inlineStr">
        <is>
          <t>3.1.3</t>
        </is>
      </c>
      <c r="B105" s="11" t="inlineStr">
        <is>
          <t>ELECTRICO ENTREPISO</t>
        </is>
      </c>
      <c r="C105" s="31">
        <f>+Detallado!F609</f>
        <v/>
      </c>
      <c r="D105" s="35" t="inlineStr">
        <is>
          <t xml:space="preserve">Global </t>
        </is>
      </c>
      <c r="E105" s="88">
        <f>F105/C105</f>
        <v/>
      </c>
      <c r="F105" s="89">
        <f>+Detallado!N609</f>
        <v/>
      </c>
    </row>
    <row r="106">
      <c r="A106" s="18" t="inlineStr">
        <is>
          <t>3.1.4</t>
        </is>
      </c>
      <c r="B106" s="11" t="inlineStr">
        <is>
          <t>ELECTRICO AZOTEA</t>
        </is>
      </c>
      <c r="C106" s="31">
        <f>+Detallado!F635</f>
        <v/>
      </c>
      <c r="D106" s="35" t="inlineStr">
        <is>
          <t xml:space="preserve">Global </t>
        </is>
      </c>
      <c r="E106" s="88">
        <f>F106/C106</f>
        <v/>
      </c>
      <c r="F106" s="37">
        <f>+Detallado!N635</f>
        <v/>
      </c>
    </row>
    <row r="107">
      <c r="A107" s="18" t="inlineStr">
        <is>
          <t>3.1.5</t>
        </is>
      </c>
      <c r="B107" s="11" t="inlineStr">
        <is>
          <t xml:space="preserve">ELÉCTRICO ILUMINACIÓN </t>
        </is>
      </c>
      <c r="C107" s="31">
        <f>+Detallado!F662</f>
        <v/>
      </c>
      <c r="D107" s="35" t="inlineStr">
        <is>
          <t xml:space="preserve">Global </t>
        </is>
      </c>
      <c r="E107" s="88">
        <f>F107/C107</f>
        <v/>
      </c>
      <c r="F107" s="89">
        <f>+Detallado!N662</f>
        <v/>
      </c>
      <c r="H107" s="125" t="inlineStr">
        <is>
          <t>Costo Partidas</t>
        </is>
      </c>
    </row>
    <row r="108">
      <c r="A108" s="18" t="inlineStr">
        <is>
          <t>3.1.6</t>
        </is>
      </c>
      <c r="B108" s="11" t="inlineStr">
        <is>
          <t xml:space="preserve">BASE MEDIDOR </t>
        </is>
      </c>
      <c r="C108" s="31">
        <f>+Detallado!F696</f>
        <v/>
      </c>
      <c r="D108" s="35" t="inlineStr">
        <is>
          <t xml:space="preserve">Global </t>
        </is>
      </c>
      <c r="E108" s="88">
        <f>F108/C108</f>
        <v/>
      </c>
      <c r="F108" s="89">
        <f>+Detallado!N696</f>
        <v/>
      </c>
      <c r="H108" s="126">
        <f>F12</f>
        <v/>
      </c>
    </row>
    <row r="109">
      <c r="A109" s="18" t="inlineStr">
        <is>
          <t>3.1.7</t>
        </is>
      </c>
      <c r="B109" s="11" t="inlineStr">
        <is>
          <t xml:space="preserve">TABLERO ELÉCTRICO </t>
        </is>
      </c>
      <c r="C109" s="31">
        <f>+Detallado!F729</f>
        <v/>
      </c>
      <c r="D109" s="35" t="inlineStr">
        <is>
          <t xml:space="preserve">Global </t>
        </is>
      </c>
      <c r="E109" s="88">
        <f>F109/C109</f>
        <v/>
      </c>
      <c r="F109" s="89">
        <f>+Detallado!N729</f>
        <v/>
      </c>
      <c r="H109" s="126">
        <f>F21</f>
        <v/>
      </c>
    </row>
    <row r="110">
      <c r="A110" s="18" t="inlineStr">
        <is>
          <t>3.1.8</t>
        </is>
      </c>
      <c r="B110" s="11" t="inlineStr">
        <is>
          <t xml:space="preserve">CABLEADO ELÉCTRICO </t>
        </is>
      </c>
      <c r="C110" s="31">
        <f>+Detallado!F747</f>
        <v/>
      </c>
      <c r="D110" s="35" t="inlineStr">
        <is>
          <t xml:space="preserve">Global </t>
        </is>
      </c>
      <c r="E110" s="88">
        <f>F110/C110</f>
        <v/>
      </c>
      <c r="F110" s="89">
        <f>+Detallado!N747</f>
        <v/>
      </c>
      <c r="H110" s="126">
        <f>F32</f>
        <v/>
      </c>
    </row>
    <row r="111">
      <c r="A111" s="18" t="inlineStr">
        <is>
          <t>3.1.9</t>
        </is>
      </c>
      <c r="B111" s="11" t="inlineStr">
        <is>
          <t xml:space="preserve">PLAQUERIA </t>
        </is>
      </c>
      <c r="C111" s="31">
        <f>+Detallado!F769</f>
        <v/>
      </c>
      <c r="D111" s="35" t="inlineStr">
        <is>
          <t xml:space="preserve">Global </t>
        </is>
      </c>
      <c r="E111" s="88">
        <f>F111/C111</f>
        <v/>
      </c>
      <c r="F111" s="89">
        <f>+Detallado!N769</f>
        <v/>
      </c>
      <c r="H111" s="126">
        <f>F38</f>
        <v/>
      </c>
    </row>
    <row r="112">
      <c r="A112" s="18" t="inlineStr">
        <is>
          <t>3.1.10</t>
        </is>
      </c>
      <c r="B112" s="11" t="inlineStr">
        <is>
          <t>ACABADOS FINALES Y BREAKERS</t>
        </is>
      </c>
      <c r="C112" s="31">
        <f>+Detallado!F800</f>
        <v/>
      </c>
      <c r="D112" s="35" t="inlineStr">
        <is>
          <t xml:space="preserve">Global </t>
        </is>
      </c>
      <c r="E112" s="88">
        <f>F112/C112</f>
        <v/>
      </c>
      <c r="F112" s="89">
        <f>+Detallado!N800</f>
        <v/>
      </c>
      <c r="H112" s="126">
        <f>F47</f>
        <v/>
      </c>
    </row>
    <row r="113">
      <c r="H113" s="127">
        <f>F53</f>
        <v/>
      </c>
    </row>
    <row r="114">
      <c r="B114" s="95" t="inlineStr">
        <is>
          <t xml:space="preserve">TOTAL ELÉCTRICO  </t>
        </is>
      </c>
      <c r="C114" s="96" t="n">
        <v>1</v>
      </c>
      <c r="D114" s="97" t="inlineStr">
        <is>
          <t xml:space="preserve">Global </t>
        </is>
      </c>
      <c r="E114" s="98">
        <f>+F114/C114</f>
        <v/>
      </c>
      <c r="F114" s="99">
        <f>+SUBTOTAL(9,F103:F113)</f>
        <v/>
      </c>
    </row>
    <row r="115">
      <c r="B115" s="100" t="n"/>
      <c r="C115" s="101" t="n"/>
      <c r="D115" s="102" t="n"/>
      <c r="E115" s="103" t="n"/>
      <c r="F115" s="103" t="n"/>
      <c r="H115" s="126">
        <f>F60</f>
        <v/>
      </c>
    </row>
    <row r="116">
      <c r="A116" s="84" t="n">
        <v>3.2</v>
      </c>
      <c r="B116" s="85" t="inlineStr">
        <is>
          <t xml:space="preserve">MECÁNICO </t>
        </is>
      </c>
      <c r="C116" s="59" t="n"/>
      <c r="D116" s="59" t="n"/>
      <c r="E116" s="59" t="n"/>
      <c r="F116" s="60" t="n"/>
      <c r="H116" s="126">
        <f>F65</f>
        <v/>
      </c>
    </row>
    <row r="117">
      <c r="A117" s="18" t="inlineStr">
        <is>
          <t>3.2.1</t>
        </is>
      </c>
      <c r="B117" s="11" t="inlineStr">
        <is>
          <t xml:space="preserve">EXCAVACION TUBERIA SANITARIA </t>
        </is>
      </c>
      <c r="C117" s="31">
        <f>+Detallado!F822</f>
        <v/>
      </c>
      <c r="D117" s="35" t="inlineStr">
        <is>
          <t xml:space="preserve">Global </t>
        </is>
      </c>
      <c r="E117" s="88">
        <f>F117/C117</f>
        <v/>
      </c>
      <c r="F117" s="37">
        <f>+Detallado!N822</f>
        <v/>
      </c>
      <c r="H117" s="126">
        <f>F72</f>
        <v/>
      </c>
    </row>
    <row r="118">
      <c r="A118" s="18" t="inlineStr">
        <is>
          <t>3.2.2</t>
        </is>
      </c>
      <c r="B118" s="11" t="inlineStr">
        <is>
          <t>POTABLE DE LOSA</t>
        </is>
      </c>
      <c r="C118" s="31">
        <f>+Detallado!F843</f>
        <v/>
      </c>
      <c r="D118" s="35" t="inlineStr">
        <is>
          <t xml:space="preserve">Global </t>
        </is>
      </c>
      <c r="E118" s="88">
        <f>F118/C118</f>
        <v/>
      </c>
      <c r="F118" s="37">
        <f>+Detallado!N843</f>
        <v/>
      </c>
      <c r="H118" s="126">
        <f>F78</f>
        <v/>
      </c>
    </row>
    <row r="119">
      <c r="A119" s="18" t="inlineStr">
        <is>
          <t>3.2.2.1</t>
        </is>
      </c>
      <c r="B119" s="36" t="inlineStr">
        <is>
          <t>POTABLE DE ENTREPISO</t>
        </is>
      </c>
      <c r="C119" s="86">
        <f>+Detallado!F860</f>
        <v/>
      </c>
      <c r="D119" s="87" t="inlineStr">
        <is>
          <t xml:space="preserve">Global </t>
        </is>
      </c>
      <c r="E119" s="88">
        <f>F119/C119</f>
        <v/>
      </c>
      <c r="F119" s="89">
        <f>+Detallado!N860</f>
        <v/>
      </c>
      <c r="H119" s="126">
        <f>F83</f>
        <v/>
      </c>
    </row>
    <row r="120">
      <c r="A120" s="18" t="inlineStr">
        <is>
          <t>3.2.2.2</t>
        </is>
      </c>
      <c r="B120" s="11" t="inlineStr">
        <is>
          <t>SANITARIO DE ENTREPISO</t>
        </is>
      </c>
      <c r="C120" s="31">
        <f>+Detallado!F875</f>
        <v/>
      </c>
      <c r="D120" s="35" t="inlineStr">
        <is>
          <t xml:space="preserve">Global </t>
        </is>
      </c>
      <c r="E120" s="88">
        <f>F120/C120</f>
        <v/>
      </c>
      <c r="F120" s="37">
        <f>+Detallado!N875</f>
        <v/>
      </c>
      <c r="H120" s="126">
        <f>F89</f>
        <v/>
      </c>
    </row>
    <row r="121">
      <c r="A121" s="18" t="inlineStr">
        <is>
          <t>3.2.3</t>
        </is>
      </c>
      <c r="B121" s="11" t="inlineStr">
        <is>
          <t>TUBERÍA MECÁNICA MUROS</t>
        </is>
      </c>
      <c r="C121" s="31">
        <f>+Detallado!F891</f>
        <v/>
      </c>
      <c r="D121" s="35" t="inlineStr">
        <is>
          <t xml:space="preserve">Global </t>
        </is>
      </c>
      <c r="E121" s="88">
        <f>F121/C121</f>
        <v/>
      </c>
      <c r="F121" s="37">
        <f>+Detallado!N891</f>
        <v/>
      </c>
      <c r="H121" s="126">
        <f>F94</f>
        <v/>
      </c>
    </row>
    <row r="122">
      <c r="A122" s="18" t="inlineStr">
        <is>
          <t>3.2.4</t>
        </is>
      </c>
      <c r="B122" s="36" t="inlineStr">
        <is>
          <t xml:space="preserve">CAJAS Y TUBERIAS MECÁNICAS </t>
        </is>
      </c>
      <c r="C122" s="86">
        <f>+Detallado!F822</f>
        <v/>
      </c>
      <c r="D122" s="87" t="inlineStr">
        <is>
          <t xml:space="preserve">Global </t>
        </is>
      </c>
      <c r="E122" s="88">
        <f>F122/C122</f>
        <v/>
      </c>
      <c r="F122" s="89">
        <f>+Detallado!N911</f>
        <v/>
      </c>
      <c r="H122" s="126">
        <f>F99</f>
        <v/>
      </c>
    </row>
    <row r="123">
      <c r="A123" s="18" t="inlineStr">
        <is>
          <t>3.2.5</t>
        </is>
      </c>
      <c r="B123" s="36" t="inlineStr">
        <is>
          <t xml:space="preserve">ACABADOS MECÁNICOS </t>
        </is>
      </c>
      <c r="C123" s="86">
        <f>+Detallado!F930</f>
        <v/>
      </c>
      <c r="D123" s="87" t="inlineStr">
        <is>
          <t xml:space="preserve">Global </t>
        </is>
      </c>
      <c r="E123" s="88">
        <f>F123/C123</f>
        <v/>
      </c>
      <c r="F123" s="89">
        <f>+Detallado!N930</f>
        <v/>
      </c>
    </row>
    <row r="124">
      <c r="A124" s="18" t="inlineStr">
        <is>
          <t>3.2.6</t>
        </is>
      </c>
      <c r="B124" s="36" t="inlineStr">
        <is>
          <t>MEDIDOR</t>
        </is>
      </c>
      <c r="C124" s="86">
        <f>+Detallado!F943</f>
        <v/>
      </c>
      <c r="D124" s="87" t="inlineStr">
        <is>
          <t xml:space="preserve">Global </t>
        </is>
      </c>
      <c r="E124" s="88">
        <f>F124/C124</f>
        <v/>
      </c>
      <c r="F124" s="89">
        <f>+Detallado!N943</f>
        <v/>
      </c>
      <c r="H124" s="126">
        <f>F114</f>
        <v/>
      </c>
    </row>
    <row r="125">
      <c r="B125" s="92" t="n"/>
      <c r="C125" s="93" t="n"/>
      <c r="D125" s="94" t="n"/>
      <c r="E125" s="94" t="n"/>
      <c r="F125" s="94" t="n"/>
      <c r="H125" s="126">
        <f>F126</f>
        <v/>
      </c>
    </row>
    <row r="126">
      <c r="B126" s="95" t="inlineStr">
        <is>
          <t xml:space="preserve">TOTAL  OBRAS MECÁNICO </t>
        </is>
      </c>
      <c r="C126" s="96" t="n">
        <v>1</v>
      </c>
      <c r="D126" s="97" t="inlineStr">
        <is>
          <t xml:space="preserve">Global </t>
        </is>
      </c>
      <c r="E126" s="98">
        <f>+F126/C126</f>
        <v/>
      </c>
      <c r="F126" s="99">
        <f>+SUBTOTAL(9,F117:F125)</f>
        <v/>
      </c>
    </row>
    <row r="127">
      <c r="F127" s="103" t="n"/>
    </row>
    <row r="128">
      <c r="B128" s="100" t="n"/>
      <c r="C128" s="101" t="n"/>
      <c r="D128" s="102" t="n"/>
      <c r="E128" s="103" t="n"/>
      <c r="F128" s="103" t="n"/>
      <c r="G128" s="128" t="inlineStr">
        <is>
          <t xml:space="preserve">ÁREA TOTAL </t>
        </is>
      </c>
      <c r="H128" s="128">
        <f>Detallado!E6</f>
        <v/>
      </c>
      <c r="I128" s="65" t="inlineStr">
        <is>
          <t xml:space="preserve">m2 </t>
        </is>
      </c>
      <c r="J128" s="65" t="inlineStr">
        <is>
          <t>m2</t>
        </is>
      </c>
    </row>
    <row r="130">
      <c r="B130" s="100" t="n"/>
      <c r="C130" s="101" t="n"/>
      <c r="D130" s="102" t="n"/>
      <c r="E130" s="103" t="n"/>
      <c r="F130" s="103" t="n"/>
      <c r="G130" s="129" t="inlineStr">
        <is>
          <t xml:space="preserve">Costo/m2 </t>
        </is>
      </c>
    </row>
    <row r="131">
      <c r="A131" s="130" t="inlineStr">
        <is>
          <t xml:space="preserve">SUBTOTAL </t>
        </is>
      </c>
      <c r="B131" s="130" t="n"/>
      <c r="C131" s="131" t="n"/>
      <c r="D131" s="130" t="n"/>
      <c r="E131" s="130" t="n"/>
      <c r="F131" s="132">
        <f>SUBTOTAL(9,F6:F127)</f>
        <v/>
      </c>
      <c r="G131" s="132">
        <f>+F131/H128</f>
        <v/>
      </c>
      <c r="H131" s="133">
        <f>+Detallado!F960-'Resumen Presupuesto'!F131</f>
        <v/>
      </c>
    </row>
    <row r="132">
      <c r="F132" s="134" t="inlineStr">
        <is>
          <t xml:space="preserve">Verficacion </t>
        </is>
      </c>
      <c r="G132" s="135">
        <f>F131-Detallado!N8</f>
        <v/>
      </c>
    </row>
    <row r="134">
      <c r="C134" s="136" t="inlineStr">
        <is>
          <t>PRESUPUESTO DON JOSE AJUSTADO</t>
        </is>
      </c>
      <c r="E134" s="137" t="n"/>
      <c r="F134" s="138" t="n"/>
      <c r="G134" s="138">
        <f>SUM(G135:G136)</f>
        <v/>
      </c>
    </row>
    <row r="135">
      <c r="E135" s="139" t="inlineStr">
        <is>
          <t>MATERIALES</t>
        </is>
      </c>
      <c r="F135" s="140">
        <f>F134*0.7</f>
        <v/>
      </c>
      <c r="G135" s="141">
        <f>+Detallado!F957+Detallado!F959</f>
        <v/>
      </c>
      <c r="H135" s="142">
        <f>+G135-F135</f>
        <v/>
      </c>
    </row>
    <row r="136">
      <c r="E136" s="139" t="inlineStr">
        <is>
          <t>MANO DE OBRA</t>
        </is>
      </c>
      <c r="F136" s="140">
        <f>F134*0.3</f>
        <v/>
      </c>
      <c r="G136" s="141">
        <f>+Detallado!F958</f>
        <v/>
      </c>
      <c r="H136" s="142">
        <f>+G136-F136</f>
        <v/>
      </c>
    </row>
    <row r="137">
      <c r="F137" s="143" t="n"/>
      <c r="H137" s="142">
        <f>SUM(H135:H136)</f>
        <v/>
      </c>
    </row>
    <row r="138">
      <c r="F138" s="144" t="n"/>
    </row>
    <row r="139">
      <c r="C139" s="145" t="inlineStr">
        <is>
          <t>DIFERENCIA</t>
        </is>
      </c>
      <c r="E139" s="137" t="n"/>
      <c r="F139" s="146">
        <f>+F134-F131</f>
        <v/>
      </c>
    </row>
    <row r="140">
      <c r="G140" s="133" t="n"/>
    </row>
    <row r="141">
      <c r="E141" s="147" t="inlineStr">
        <is>
          <t>DIFERENCIA PRESUPUESTO DJ CON MO A 110.000 M2</t>
        </is>
      </c>
      <c r="F141" s="148" t="n">
        <v>-7928736.293702267</v>
      </c>
    </row>
    <row r="142">
      <c r="C142" s="149" t="n"/>
      <c r="D142" s="150" t="n"/>
      <c r="E142" s="151" t="inlineStr">
        <is>
          <t>PRESUPUESTO CON MO DE FORMATO ORIGINAL</t>
        </is>
      </c>
      <c r="F142" s="152" t="n">
        <v>-3530923.793702275</v>
      </c>
      <c r="G142" s="153" t="n"/>
    </row>
    <row r="143">
      <c r="E143" s="154" t="inlineStr">
        <is>
          <t>PJ</t>
        </is>
      </c>
      <c r="F143" s="155" t="n">
        <v>30332028.78</v>
      </c>
      <c r="G143" s="142" t="n">
        <v>17399065.32</v>
      </c>
      <c r="H143" s="142">
        <f>+F143+G143</f>
        <v/>
      </c>
    </row>
    <row r="144">
      <c r="D144" s="156" t="inlineStr">
        <is>
          <t>costo ajustado columna AG</t>
        </is>
      </c>
      <c r="F144" s="157">
        <f>+F143/H143</f>
        <v/>
      </c>
      <c r="G144" s="158">
        <f>+G143/H143</f>
        <v/>
      </c>
    </row>
    <row r="145">
      <c r="E145" s="154" t="inlineStr">
        <is>
          <t>PDJ AJUSTADO</t>
        </is>
      </c>
      <c r="F145" s="155">
        <f>46298194.1*F144</f>
        <v/>
      </c>
      <c r="G145" s="142">
        <f>46298194.1*G144</f>
        <v/>
      </c>
      <c r="H145" s="142">
        <f>+F145+G145</f>
        <v/>
      </c>
    </row>
    <row r="146">
      <c r="C146" s="159" t="n"/>
      <c r="D146" s="159" t="n"/>
      <c r="E146" s="160" t="inlineStr">
        <is>
          <t>AUMENTO DE MANO OBRA POR AJUSTE EN COSTO POR M2</t>
        </is>
      </c>
      <c r="F146" s="161">
        <f>+F141-F142</f>
        <v/>
      </c>
    </row>
    <row r="148">
      <c r="E148" s="162" t="inlineStr">
        <is>
          <t>Precio de venta</t>
        </is>
      </c>
      <c r="F148" s="163" t="n">
        <v>98356248.2</v>
      </c>
    </row>
    <row r="149">
      <c r="E149" s="162" t="inlineStr">
        <is>
          <t>Precio de lote</t>
        </is>
      </c>
      <c r="F149" s="163" t="n">
        <v>12870485.46</v>
      </c>
    </row>
    <row r="151">
      <c r="B151" s="164" t="inlineStr">
        <is>
          <t>COSTOS INDIRECTOS</t>
        </is>
      </c>
      <c r="C151" s="165" t="n"/>
      <c r="D151" s="165" t="n"/>
      <c r="E151" s="165" t="n"/>
      <c r="F151" s="166" t="n"/>
    </row>
    <row r="152">
      <c r="B152" s="100" t="inlineStr">
        <is>
          <t>ADMINISTRACION (CAMPO)</t>
        </is>
      </c>
      <c r="C152" s="154" t="n"/>
      <c r="E152" s="167" t="n">
        <v>0.02</v>
      </c>
      <c r="F152" s="168">
        <f>+F131*E152</f>
        <v/>
      </c>
    </row>
    <row r="153">
      <c r="B153" s="100" t="inlineStr">
        <is>
          <t>OTROS + IMPUESTOS</t>
        </is>
      </c>
      <c r="C153" s="154" t="n"/>
      <c r="E153" s="167" t="n">
        <v>0.065</v>
      </c>
      <c r="F153" s="168">
        <f>+F131*E153</f>
        <v/>
      </c>
    </row>
    <row r="154">
      <c r="B154" s="100" t="inlineStr">
        <is>
          <t>OTROS (LASTRE, MAQUINARIA, FORMALETA)</t>
        </is>
      </c>
      <c r="C154" s="154" t="n"/>
      <c r="E154" s="167" t="n"/>
      <c r="F154" s="168">
        <f>295000+1336000</f>
        <v/>
      </c>
    </row>
    <row r="155">
      <c r="B155" s="169" t="inlineStr">
        <is>
          <t>SUBTOTAL</t>
        </is>
      </c>
      <c r="C155" s="170" t="n"/>
      <c r="D155" s="170" t="n"/>
      <c r="E155" s="170" t="n"/>
      <c r="F155" s="171">
        <f>+F153+F152+F131</f>
        <v/>
      </c>
    </row>
    <row r="156">
      <c r="B156" s="100" t="inlineStr">
        <is>
          <t>ADMINISTRACION (PERMISOS, CONSULTORIA)</t>
        </is>
      </c>
      <c r="C156" s="154" t="n"/>
      <c r="E156" s="167" t="n">
        <v>0.2</v>
      </c>
      <c r="F156" s="172">
        <f>+F155*E156</f>
        <v/>
      </c>
    </row>
    <row r="157">
      <c r="B157" s="100" t="inlineStr">
        <is>
          <t>IMPREVISTOS</t>
        </is>
      </c>
      <c r="C157" s="154" t="n"/>
      <c r="E157" s="167" t="n">
        <v>0.035</v>
      </c>
      <c r="F157" s="172">
        <f>E157*F131</f>
        <v/>
      </c>
    </row>
    <row r="158">
      <c r="B158" s="100" t="inlineStr">
        <is>
          <t>REPARACION Y POSVENTA</t>
        </is>
      </c>
      <c r="C158" s="154" t="n"/>
      <c r="E158" s="167" t="n">
        <v>0.02</v>
      </c>
      <c r="F158" s="172">
        <f>+F131*E158</f>
        <v/>
      </c>
    </row>
    <row r="159">
      <c r="B159" s="100" t="inlineStr">
        <is>
          <t>PAGO GREEN</t>
        </is>
      </c>
      <c r="C159" s="154" t="n"/>
      <c r="E159" s="173" t="n">
        <v>5</v>
      </c>
      <c r="F159" s="172">
        <f>+E159*'1_OG y 2_ACA'!D23*'Resumen Presupuesto'!H1</f>
        <v/>
      </c>
    </row>
    <row r="160">
      <c r="B160" s="100" t="inlineStr">
        <is>
          <t>PAGO BRENES</t>
        </is>
      </c>
      <c r="C160" s="154" t="n"/>
      <c r="E160" s="174" t="n">
        <v>2400000</v>
      </c>
      <c r="F160" s="175">
        <f>E160</f>
        <v/>
      </c>
    </row>
    <row r="161">
      <c r="B161" s="176" t="inlineStr">
        <is>
          <t>COMISION DE VENTAS</t>
        </is>
      </c>
      <c r="C161" s="154" t="n"/>
      <c r="E161" s="177" t="n">
        <v>0.0158</v>
      </c>
      <c r="F161" s="175">
        <f>+F148*E161</f>
        <v/>
      </c>
    </row>
    <row r="162">
      <c r="B162" s="176" t="inlineStr">
        <is>
          <t>FORMALIZACION</t>
        </is>
      </c>
      <c r="C162" s="154" t="n"/>
      <c r="E162" s="177" t="n">
        <v>0.008</v>
      </c>
      <c r="F162" s="175">
        <f>+F148*E162</f>
        <v/>
      </c>
    </row>
    <row r="163">
      <c r="B163" s="176" t="inlineStr">
        <is>
          <t>MERCADEO</t>
        </is>
      </c>
      <c r="C163" s="154" t="n"/>
      <c r="E163" s="177" t="n">
        <v>0.008</v>
      </c>
      <c r="F163" s="175">
        <f>+F148*E163</f>
        <v/>
      </c>
    </row>
    <row r="164">
      <c r="B164" s="176" t="inlineStr">
        <is>
          <t>PUBLICIDAD</t>
        </is>
      </c>
      <c r="C164" s="154" t="n"/>
      <c r="E164" s="177" t="n">
        <v>0.01</v>
      </c>
      <c r="F164" s="175">
        <f>F148*E164</f>
        <v/>
      </c>
    </row>
    <row r="165">
      <c r="B165" s="176" t="inlineStr">
        <is>
          <t>REGALIAS GERENCIA</t>
        </is>
      </c>
      <c r="C165" s="154" t="n"/>
      <c r="E165" s="178" t="n">
        <v>450000</v>
      </c>
      <c r="F165" s="175">
        <f>+E165</f>
        <v/>
      </c>
    </row>
    <row r="166">
      <c r="B166" s="176" t="n"/>
      <c r="C166" s="154" t="n"/>
      <c r="E166" s="179" t="n"/>
      <c r="F166" s="175" t="n"/>
    </row>
    <row r="167">
      <c r="B167" s="180" t="inlineStr">
        <is>
          <t>TOTAL INDIRECTOS</t>
        </is>
      </c>
      <c r="C167" s="181" t="n"/>
      <c r="D167" s="181" t="n"/>
      <c r="E167" s="181" t="n"/>
      <c r="F167" s="182">
        <f>+F152+F153+F156+F159+F161+F162+F163+F164+F165+F166+F154+F157+F160</f>
        <v/>
      </c>
    </row>
    <row r="168">
      <c r="B168" s="180" t="inlineStr">
        <is>
          <t>COSTO POSVENTA</t>
        </is>
      </c>
      <c r="C168" s="181" t="n"/>
      <c r="D168" s="181" t="n"/>
      <c r="E168" s="181" t="n"/>
      <c r="F168" s="182">
        <f>+F158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Obra</t>
        </is>
      </c>
      <c r="B1" t="inlineStr">
        <is>
          <t>N Linea</t>
        </is>
      </c>
      <c r="C1" t="inlineStr">
        <is>
          <t>N Actividad</t>
        </is>
      </c>
      <c r="D1" t="inlineStr">
        <is>
          <t>Descripcion actividad</t>
        </is>
      </c>
      <c r="E1" t="inlineStr">
        <is>
          <t>Tipo Tarea</t>
        </is>
      </c>
      <c r="F1" t="inlineStr">
        <is>
          <t>Tipo</t>
        </is>
      </c>
      <c r="G1" t="inlineStr">
        <is>
          <t>N°</t>
        </is>
      </c>
      <c r="H1" t="inlineStr">
        <is>
          <t>Cantidad</t>
        </is>
      </c>
      <c r="I1" t="inlineStr">
        <is>
          <t>Unit Mat</t>
        </is>
      </c>
      <c r="J1" t="inlineStr">
        <is>
          <t>Total Material</t>
        </is>
      </c>
    </row>
    <row r="2">
      <c r="A2" t="inlineStr">
        <is>
          <t>VN-L.32</t>
        </is>
      </c>
      <c r="B2" t="n">
        <v>1</v>
      </c>
      <c r="C2" t="n">
        <v>1.1</v>
      </c>
      <c r="D2" t="inlineStr">
        <is>
          <t>LASTRE FINO</t>
        </is>
      </c>
      <c r="E2" t="inlineStr">
        <is>
          <t>Auxiliar</t>
        </is>
      </c>
      <c r="F2" t="inlineStr">
        <is>
          <t>Artículo</t>
        </is>
      </c>
      <c r="G2" t="inlineStr">
        <is>
          <t>M10-0023</t>
        </is>
      </c>
      <c r="H2" t="n">
        <v>47.4648</v>
      </c>
      <c r="I2" t="n">
        <v>14166.6631</v>
      </c>
      <c r="J2" t="n">
        <v>672417.83</v>
      </c>
      <c r="L2" s="35" t="inlineStr">
        <is>
          <t>PROYECTO</t>
        </is>
      </c>
    </row>
    <row r="3">
      <c r="A3" t="inlineStr">
        <is>
          <t>VN-L.32</t>
        </is>
      </c>
      <c r="B3" t="n">
        <v>2</v>
      </c>
      <c r="C3" t="n">
        <v>1.1</v>
      </c>
      <c r="D3" t="inlineStr">
        <is>
          <t>BOLSA CAL</t>
        </is>
      </c>
      <c r="E3" t="inlineStr">
        <is>
          <t>Auxiliar</t>
        </is>
      </c>
      <c r="F3" t="inlineStr">
        <is>
          <t>Artículo</t>
        </is>
      </c>
      <c r="G3" t="inlineStr">
        <is>
          <t>M06-0163</t>
        </is>
      </c>
      <c r="H3" t="n">
        <v>4.9963</v>
      </c>
      <c r="I3" t="n">
        <v>1627.2</v>
      </c>
      <c r="J3" t="n">
        <v>8129.98</v>
      </c>
      <c r="L3" s="35">
        <f>'1_OG y 2_ACA'!E3</f>
        <v/>
      </c>
    </row>
    <row r="4">
      <c r="A4" t="inlineStr">
        <is>
          <t>VN-L.32</t>
        </is>
      </c>
      <c r="B4" t="n">
        <v>3</v>
      </c>
      <c r="C4" t="n">
        <v>1.1</v>
      </c>
      <c r="D4" t="inlineStr">
        <is>
          <t>CRAYON LYRA AMARILLO</t>
        </is>
      </c>
      <c r="E4" t="inlineStr">
        <is>
          <t>Auxiliar</t>
        </is>
      </c>
      <c r="F4" t="inlineStr">
        <is>
          <t>Artículo</t>
        </is>
      </c>
      <c r="G4" t="inlineStr">
        <is>
          <t>M06-0179</t>
        </is>
      </c>
      <c r="H4" t="n">
        <v>14.9889</v>
      </c>
      <c r="I4" t="n">
        <v>340.0169999999999</v>
      </c>
      <c r="J4" t="n">
        <v>5096.48</v>
      </c>
    </row>
    <row r="5">
      <c r="A5" t="inlineStr">
        <is>
          <t>VN-L.32</t>
        </is>
      </c>
      <c r="B5" t="n">
        <v>4</v>
      </c>
      <c r="C5" t="n">
        <v>1.1</v>
      </c>
      <c r="D5" t="inlineStr">
        <is>
          <t>CUERDA ALBAÑIL BLANCA</t>
        </is>
      </c>
      <c r="E5" t="inlineStr">
        <is>
          <t>Auxiliar</t>
        </is>
      </c>
      <c r="F5" t="inlineStr">
        <is>
          <t>Artículo</t>
        </is>
      </c>
      <c r="G5" t="inlineStr">
        <is>
          <t>M06-0180</t>
        </is>
      </c>
      <c r="H5" t="n">
        <v>17.487</v>
      </c>
      <c r="I5" t="n">
        <v>812.9106999999999</v>
      </c>
      <c r="J5" t="n">
        <v>14215.37</v>
      </c>
    </row>
    <row r="6">
      <c r="A6" t="inlineStr">
        <is>
          <t>VN-L.32</t>
        </is>
      </c>
      <c r="B6" t="n">
        <v>5</v>
      </c>
      <c r="C6" t="n">
        <v>1.1</v>
      </c>
      <c r="D6" t="inlineStr">
        <is>
          <t>ARENA LAVADA</t>
        </is>
      </c>
      <c r="E6" t="inlineStr">
        <is>
          <t>Auxiliar</t>
        </is>
      </c>
      <c r="F6" t="inlineStr">
        <is>
          <t>Artículo</t>
        </is>
      </c>
      <c r="G6" t="inlineStr">
        <is>
          <t>M10-0010</t>
        </is>
      </c>
      <c r="H6" t="n">
        <v>1.2491</v>
      </c>
      <c r="I6" t="n">
        <v>12044.5005</v>
      </c>
      <c r="J6" t="n">
        <v>15044.79</v>
      </c>
    </row>
    <row r="7">
      <c r="A7" t="inlineStr">
        <is>
          <t>VN-L.32</t>
        </is>
      </c>
      <c r="B7" t="n">
        <v>6</v>
      </c>
      <c r="C7" t="n">
        <v>1.1</v>
      </c>
      <c r="D7" t="inlineStr">
        <is>
          <t>MECHA BLANCA</t>
        </is>
      </c>
      <c r="E7" t="inlineStr">
        <is>
          <t>Auxiliar</t>
        </is>
      </c>
      <c r="F7" t="inlineStr">
        <is>
          <t>Artículo</t>
        </is>
      </c>
      <c r="G7" t="inlineStr">
        <is>
          <t>M06-0231</t>
        </is>
      </c>
      <c r="H7" t="n">
        <v>2.4981</v>
      </c>
      <c r="I7" t="n">
        <v>4338.0022</v>
      </c>
      <c r="J7" t="n">
        <v>10836.76</v>
      </c>
    </row>
    <row r="8">
      <c r="A8" t="inlineStr">
        <is>
          <t>VN-L.32</t>
        </is>
      </c>
      <c r="B8" t="n">
        <v>7</v>
      </c>
      <c r="C8" t="n">
        <v>1.1</v>
      </c>
      <c r="D8" t="inlineStr">
        <is>
          <t>ACETONA</t>
        </is>
      </c>
      <c r="E8" t="inlineStr">
        <is>
          <t>Auxiliar</t>
        </is>
      </c>
      <c r="F8" t="inlineStr">
        <is>
          <t>Artículo</t>
        </is>
      </c>
      <c r="G8" t="inlineStr">
        <is>
          <t>M06-0123</t>
        </is>
      </c>
      <c r="H8" t="n">
        <v>2.4981</v>
      </c>
      <c r="I8" t="n">
        <v>2809.7789</v>
      </c>
      <c r="J8" t="n">
        <v>7019.11</v>
      </c>
    </row>
    <row r="9">
      <c r="A9" t="inlineStr">
        <is>
          <t>VN-L.32</t>
        </is>
      </c>
      <c r="B9" t="n">
        <v>8</v>
      </c>
      <c r="C9" t="n">
        <v>1.1</v>
      </c>
      <c r="D9" t="inlineStr">
        <is>
          <t>TUBO 1X2X1.5MM HN</t>
        </is>
      </c>
      <c r="E9" t="inlineStr">
        <is>
          <t>Auxiliar</t>
        </is>
      </c>
      <c r="F9" t="inlineStr">
        <is>
          <t>Artículo</t>
        </is>
      </c>
      <c r="G9" t="inlineStr">
        <is>
          <t>M01-0067</t>
        </is>
      </c>
      <c r="H9" t="n">
        <v>2.4981</v>
      </c>
      <c r="I9" t="n">
        <v>14238</v>
      </c>
      <c r="J9" t="n">
        <v>35567.95</v>
      </c>
    </row>
    <row r="10">
      <c r="A10" t="inlineStr">
        <is>
          <t>VN-L.32</t>
        </is>
      </c>
      <c r="B10" t="n">
        <v>9</v>
      </c>
      <c r="C10" t="n">
        <v>1.1</v>
      </c>
      <c r="D10" t="inlineStr">
        <is>
          <t>VARILLA DEFORME #4</t>
        </is>
      </c>
      <c r="E10" t="inlineStr">
        <is>
          <t>Auxiliar</t>
        </is>
      </c>
      <c r="F10" t="inlineStr">
        <is>
          <t>Artículo</t>
        </is>
      </c>
      <c r="G10" t="inlineStr">
        <is>
          <t>M01-0148</t>
        </is>
      </c>
      <c r="H10" t="n">
        <v>1.1429</v>
      </c>
      <c r="I10" t="n">
        <v>2395.6</v>
      </c>
      <c r="J10" t="n">
        <v>2737.93</v>
      </c>
    </row>
    <row r="11">
      <c r="A11" t="inlineStr">
        <is>
          <t>VN-L.32</t>
        </is>
      </c>
      <c r="B11" t="n">
        <v>10</v>
      </c>
      <c r="C11" t="n">
        <v>1.1</v>
      </c>
      <c r="D11" t="inlineStr">
        <is>
          <t>REGLA SEMIDURO 1X3X4 SIN CEPILLAR</t>
        </is>
      </c>
      <c r="E11" t="inlineStr">
        <is>
          <t>Auxiliar</t>
        </is>
      </c>
      <c r="F11" t="inlineStr">
        <is>
          <t>Artículo</t>
        </is>
      </c>
      <c r="G11" t="inlineStr">
        <is>
          <t>M09-0042</t>
        </is>
      </c>
      <c r="H11" t="n">
        <v>12.4907</v>
      </c>
      <c r="I11" t="n">
        <v>1524.9915</v>
      </c>
      <c r="J11" t="n">
        <v>19048.21</v>
      </c>
    </row>
    <row r="12">
      <c r="A12" t="inlineStr">
        <is>
          <t>VN-L.32</t>
        </is>
      </c>
      <c r="B12" t="n">
        <v>11</v>
      </c>
      <c r="C12" t="n">
        <v>1.1</v>
      </c>
      <c r="D12" t="inlineStr">
        <is>
          <t>CONCRETO FC 120 CM2 (Concreto Pobre, Sello)</t>
        </is>
      </c>
      <c r="E12" t="inlineStr">
        <is>
          <t>Auxiliar</t>
        </is>
      </c>
      <c r="F12" t="inlineStr">
        <is>
          <t>Artículo</t>
        </is>
      </c>
      <c r="G12" t="inlineStr">
        <is>
          <t>M10-0091</t>
        </is>
      </c>
      <c r="H12" t="n">
        <v>2.4729</v>
      </c>
      <c r="I12" t="n">
        <v>54479.50349999999</v>
      </c>
      <c r="J12" t="n">
        <v>134722.36</v>
      </c>
    </row>
    <row r="13">
      <c r="A13" t="inlineStr">
        <is>
          <t>VN-L.32</t>
        </is>
      </c>
      <c r="B13" t="n">
        <v>12</v>
      </c>
      <c r="C13" t="n">
        <v>1.1</v>
      </c>
      <c r="D13" t="inlineStr">
        <is>
          <t>ADITIVO ERGO 4000 PG50</t>
        </is>
      </c>
      <c r="E13" t="inlineStr">
        <is>
          <t>Auxiliar</t>
        </is>
      </c>
      <c r="F13" t="inlineStr">
        <is>
          <t>Artículo</t>
        </is>
      </c>
      <c r="G13" t="inlineStr">
        <is>
          <t>M10-0009</t>
        </is>
      </c>
      <c r="H13" t="n">
        <v>19.9852</v>
      </c>
      <c r="I13" t="n">
        <v>748.6249999999999</v>
      </c>
      <c r="J13" t="n">
        <v>14961.42</v>
      </c>
    </row>
    <row r="14">
      <c r="A14" t="inlineStr">
        <is>
          <t>VN-L.32</t>
        </is>
      </c>
      <c r="B14" t="n">
        <v>13</v>
      </c>
      <c r="C14" t="n">
        <v>1.1</v>
      </c>
      <c r="D14" t="inlineStr">
        <is>
          <t>VARILLA DEFORME #2</t>
        </is>
      </c>
      <c r="E14" t="inlineStr">
        <is>
          <t>Auxiliar</t>
        </is>
      </c>
      <c r="F14" t="inlineStr">
        <is>
          <t>Artículo</t>
        </is>
      </c>
      <c r="G14" t="inlineStr">
        <is>
          <t>M01-0146</t>
        </is>
      </c>
      <c r="H14" t="n">
        <v>60.5714</v>
      </c>
      <c r="I14" t="n">
        <v>569.8024999999999</v>
      </c>
      <c r="J14" t="n">
        <v>34513.74</v>
      </c>
    </row>
    <row r="15">
      <c r="A15" t="inlineStr">
        <is>
          <t>VN-L.32</t>
        </is>
      </c>
      <c r="B15" t="n">
        <v>14</v>
      </c>
      <c r="C15" t="n">
        <v>1.1</v>
      </c>
      <c r="D15" t="inlineStr">
        <is>
          <t>VARILLA DEFORME #3</t>
        </is>
      </c>
      <c r="E15" t="inlineStr">
        <is>
          <t>Auxiliar</t>
        </is>
      </c>
      <c r="F15" t="inlineStr">
        <is>
          <t>Artículo</t>
        </is>
      </c>
      <c r="G15" t="inlineStr">
        <is>
          <t>M01-0147</t>
        </is>
      </c>
      <c r="H15" t="n">
        <v>412.5714</v>
      </c>
      <c r="I15" t="n">
        <v>1344.7</v>
      </c>
      <c r="J15" t="n">
        <v>554784.76</v>
      </c>
    </row>
    <row r="16">
      <c r="A16" t="inlineStr">
        <is>
          <t>VN-L.32</t>
        </is>
      </c>
      <c r="B16" t="n">
        <v>16</v>
      </c>
      <c r="C16" t="n">
        <v>1.1</v>
      </c>
      <c r="D16" t="inlineStr">
        <is>
          <t>ALAMBRE NEGRO #16 (1.68MM)</t>
        </is>
      </c>
      <c r="E16" t="inlineStr">
        <is>
          <t>Auxiliar</t>
        </is>
      </c>
      <c r="F16" t="inlineStr">
        <is>
          <t>Artículo</t>
        </is>
      </c>
      <c r="G16" t="inlineStr">
        <is>
          <t>M01-0001</t>
        </is>
      </c>
      <c r="H16" t="n">
        <v>66.28570000000001</v>
      </c>
      <c r="I16" t="n">
        <v>586.8542</v>
      </c>
      <c r="J16" t="n">
        <v>38900.04</v>
      </c>
    </row>
    <row r="17">
      <c r="A17" t="inlineStr">
        <is>
          <t>VN-L.32</t>
        </is>
      </c>
      <c r="B17" t="n">
        <v>17</v>
      </c>
      <c r="C17" t="n">
        <v>1.1</v>
      </c>
      <c r="D17" t="inlineStr">
        <is>
          <t>SEPARADOR TIPO CONO 2.5CM (1") SP125</t>
        </is>
      </c>
      <c r="E17" t="inlineStr">
        <is>
          <t>Auxiliar</t>
        </is>
      </c>
      <c r="F17" t="inlineStr">
        <is>
          <t>Artículo</t>
        </is>
      </c>
      <c r="G17" t="inlineStr">
        <is>
          <t>M06-0261</t>
        </is>
      </c>
      <c r="H17" t="n">
        <v>122.4092</v>
      </c>
      <c r="I17" t="n">
        <v>56.49999999999999</v>
      </c>
      <c r="J17" t="n">
        <v>6916.12</v>
      </c>
    </row>
    <row r="18">
      <c r="A18" t="inlineStr">
        <is>
          <t>VN-L.32</t>
        </is>
      </c>
      <c r="B18" t="n">
        <v>18</v>
      </c>
      <c r="C18" t="n">
        <v>1.1</v>
      </c>
      <c r="D18" t="inlineStr">
        <is>
          <t>SEPARADORES TIPO CONO 12CM SP450</t>
        </is>
      </c>
      <c r="E18" t="inlineStr">
        <is>
          <t>Auxiliar</t>
        </is>
      </c>
      <c r="F18" t="inlineStr">
        <is>
          <t>Artículo</t>
        </is>
      </c>
      <c r="G18" t="inlineStr">
        <is>
          <t>M06-0264</t>
        </is>
      </c>
      <c r="H18" t="n">
        <v>122.4092</v>
      </c>
      <c r="I18" t="n">
        <v>203.4</v>
      </c>
      <c r="J18" t="n">
        <v>24898.03</v>
      </c>
    </row>
    <row r="19">
      <c r="A19" t="inlineStr">
        <is>
          <t>VN-L.32</t>
        </is>
      </c>
      <c r="B19" t="n">
        <v>19</v>
      </c>
      <c r="C19" t="n">
        <v>1.1</v>
      </c>
      <c r="D19" t="inlineStr">
        <is>
          <t>DISCO CORTE METAL FINO 9"</t>
        </is>
      </c>
      <c r="E19" t="inlineStr">
        <is>
          <t>Auxiliar</t>
        </is>
      </c>
      <c r="F19" t="inlineStr">
        <is>
          <t>Artículo</t>
        </is>
      </c>
      <c r="G19" t="inlineStr">
        <is>
          <t>M08-0037</t>
        </is>
      </c>
      <c r="H19" t="n">
        <v>17.487</v>
      </c>
      <c r="I19" t="n">
        <v>3037.6321</v>
      </c>
      <c r="J19" t="n">
        <v>53119.07</v>
      </c>
    </row>
    <row r="20">
      <c r="A20" t="inlineStr">
        <is>
          <t>VN-L.32</t>
        </is>
      </c>
      <c r="B20" t="n">
        <v>20</v>
      </c>
      <c r="C20" t="n">
        <v>1.1</v>
      </c>
      <c r="D20" t="inlineStr">
        <is>
          <t>CONCRETO FC 210 KG/CM2 NORMAL</t>
        </is>
      </c>
      <c r="E20" t="inlineStr">
        <is>
          <t>Auxiliar</t>
        </is>
      </c>
      <c r="F20" t="inlineStr">
        <is>
          <t>Artículo</t>
        </is>
      </c>
      <c r="G20" t="inlineStr">
        <is>
          <t>M10-0065</t>
        </is>
      </c>
      <c r="H20" t="n">
        <v>10.3861</v>
      </c>
      <c r="I20" t="n">
        <v>78867.08439999999</v>
      </c>
      <c r="J20" t="n">
        <v>819121.4300000001</v>
      </c>
    </row>
    <row r="21">
      <c r="A21" t="inlineStr">
        <is>
          <t>VN-L.32</t>
        </is>
      </c>
      <c r="B21" t="n">
        <v>21</v>
      </c>
      <c r="C21" t="n">
        <v>1.2</v>
      </c>
      <c r="D21" t="inlineStr">
        <is>
          <t>VARILLA DEFORME #2</t>
        </is>
      </c>
      <c r="E21" t="inlineStr">
        <is>
          <t>Auxiliar</t>
        </is>
      </c>
      <c r="F21" t="inlineStr">
        <is>
          <t>Artículo</t>
        </is>
      </c>
      <c r="G21" t="inlineStr">
        <is>
          <t>M01-0146</t>
        </is>
      </c>
      <c r="H21" t="n">
        <v>6.8571</v>
      </c>
      <c r="I21" t="n">
        <v>569.8024999999999</v>
      </c>
      <c r="J21" t="n">
        <v>3907.19</v>
      </c>
    </row>
    <row r="22">
      <c r="A22" t="inlineStr">
        <is>
          <t>VN-L.32</t>
        </is>
      </c>
      <c r="B22" t="n">
        <v>22</v>
      </c>
      <c r="C22" t="n">
        <v>1.2</v>
      </c>
      <c r="D22" t="inlineStr">
        <is>
          <t>VARILLA DEFORME #3</t>
        </is>
      </c>
      <c r="E22" t="inlineStr">
        <is>
          <t>Auxiliar</t>
        </is>
      </c>
      <c r="F22" t="inlineStr">
        <is>
          <t>Artículo</t>
        </is>
      </c>
      <c r="G22" t="inlineStr">
        <is>
          <t>M01-0147</t>
        </is>
      </c>
      <c r="H22" t="n">
        <v>166.8571</v>
      </c>
      <c r="I22" t="n">
        <v>1344.7</v>
      </c>
      <c r="J22" t="n">
        <v>224372.74</v>
      </c>
    </row>
    <row r="23">
      <c r="A23" t="inlineStr">
        <is>
          <t>VN-L.32</t>
        </is>
      </c>
      <c r="B23" t="n">
        <v>23</v>
      </c>
      <c r="C23" t="n">
        <v>1.2</v>
      </c>
      <c r="D23" t="inlineStr">
        <is>
          <t>VARILLA DEFORME #3</t>
        </is>
      </c>
      <c r="E23" t="inlineStr">
        <is>
          <t>Auxiliar</t>
        </is>
      </c>
      <c r="F23" t="inlineStr">
        <is>
          <t>Artículo</t>
        </is>
      </c>
      <c r="G23" t="inlineStr">
        <is>
          <t>M01-0147</t>
        </is>
      </c>
      <c r="H23" t="n">
        <v>369.1429</v>
      </c>
      <c r="I23" t="n">
        <v>1344.7</v>
      </c>
      <c r="J23" t="n">
        <v>496386.46</v>
      </c>
    </row>
    <row r="24">
      <c r="A24" t="inlineStr">
        <is>
          <t>VN-L.32</t>
        </is>
      </c>
      <c r="B24" t="n">
        <v>24</v>
      </c>
      <c r="C24" t="n">
        <v>1.2</v>
      </c>
      <c r="D24" t="inlineStr">
        <is>
          <t>VARILLA DEFORME #4</t>
        </is>
      </c>
      <c r="E24" t="inlineStr">
        <is>
          <t>Auxiliar</t>
        </is>
      </c>
      <c r="F24" t="inlineStr">
        <is>
          <t>Artículo</t>
        </is>
      </c>
      <c r="G24" t="inlineStr">
        <is>
          <t>M01-0148</t>
        </is>
      </c>
      <c r="H24" t="n">
        <v>89.71429999999999</v>
      </c>
      <c r="I24" t="n">
        <v>2395.6</v>
      </c>
      <c r="J24" t="n">
        <v>214919.58</v>
      </c>
    </row>
    <row r="25">
      <c r="A25" t="inlineStr">
        <is>
          <t>VN-L.32</t>
        </is>
      </c>
      <c r="B25" t="n">
        <v>25</v>
      </c>
      <c r="C25" t="n">
        <v>1.2</v>
      </c>
      <c r="D25" t="inlineStr">
        <is>
          <t>MALLA ELECTROSOLDADA #2 (5.3 MM)</t>
        </is>
      </c>
      <c r="E25" t="inlineStr">
        <is>
          <t>Auxiliar</t>
        </is>
      </c>
      <c r="F25" t="inlineStr">
        <is>
          <t>Artículo</t>
        </is>
      </c>
      <c r="G25" t="inlineStr">
        <is>
          <t>M01-0145</t>
        </is>
      </c>
      <c r="H25" t="n">
        <v>15.2196</v>
      </c>
      <c r="I25" t="n">
        <v>18762.4974</v>
      </c>
      <c r="J25" t="n">
        <v>285557.71</v>
      </c>
    </row>
    <row r="26">
      <c r="A26" t="inlineStr">
        <is>
          <t>VN-L.32</t>
        </is>
      </c>
      <c r="B26" t="n">
        <v>26</v>
      </c>
      <c r="C26" t="n">
        <v>1.2</v>
      </c>
      <c r="D26" t="inlineStr">
        <is>
          <t>ALAMBRE NEGRO #16 (1.68MM)</t>
        </is>
      </c>
      <c r="E26" t="inlineStr">
        <is>
          <t>Auxiliar</t>
        </is>
      </c>
      <c r="F26" t="inlineStr">
        <is>
          <t>Artículo</t>
        </is>
      </c>
      <c r="G26" t="inlineStr">
        <is>
          <t>M01-0001</t>
        </is>
      </c>
      <c r="H26" t="n">
        <v>123.4286</v>
      </c>
      <c r="I26" t="n">
        <v>586.8542</v>
      </c>
      <c r="J26" t="n">
        <v>72434.59</v>
      </c>
    </row>
    <row r="27">
      <c r="A27" t="inlineStr">
        <is>
          <t>VN-L.32</t>
        </is>
      </c>
      <c r="B27" t="n">
        <v>27</v>
      </c>
      <c r="C27" t="n">
        <v>1.2</v>
      </c>
      <c r="D27" t="inlineStr">
        <is>
          <t>DISCO CORTE FINO METAL 4-1/2</t>
        </is>
      </c>
      <c r="E27" t="inlineStr">
        <is>
          <t>Auxiliar</t>
        </is>
      </c>
      <c r="F27" t="inlineStr">
        <is>
          <t>Artículo</t>
        </is>
      </c>
      <c r="G27" t="inlineStr">
        <is>
          <t>M08-0051</t>
        </is>
      </c>
      <c r="H27" t="n">
        <v>17.487</v>
      </c>
      <c r="I27" t="n">
        <v>3661.2</v>
      </c>
      <c r="J27" t="n">
        <v>64023.4</v>
      </c>
    </row>
    <row r="28">
      <c r="A28" t="inlineStr">
        <is>
          <t>VN-L.32</t>
        </is>
      </c>
      <c r="B28" t="n">
        <v>28</v>
      </c>
      <c r="C28" t="n">
        <v>1.2</v>
      </c>
      <c r="D28" t="inlineStr">
        <is>
          <t>DISCO CORTE METAL FINO 9"</t>
        </is>
      </c>
      <c r="E28" t="inlineStr">
        <is>
          <t>Auxiliar</t>
        </is>
      </c>
      <c r="F28" t="inlineStr">
        <is>
          <t>Artículo</t>
        </is>
      </c>
      <c r="G28" t="inlineStr">
        <is>
          <t>M08-0037</t>
        </is>
      </c>
      <c r="H28" t="n">
        <v>17.487</v>
      </c>
      <c r="I28" t="n">
        <v>3037.6321</v>
      </c>
      <c r="J28" t="n">
        <v>53119.07</v>
      </c>
    </row>
    <row r="29">
      <c r="A29" t="inlineStr">
        <is>
          <t>VN-L.32</t>
        </is>
      </c>
      <c r="B29" t="n">
        <v>29</v>
      </c>
      <c r="C29" t="n">
        <v>1.2</v>
      </c>
      <c r="D29" t="inlineStr">
        <is>
          <t>ESPUMA EXPANSIVA 750ML</t>
        </is>
      </c>
      <c r="E29" t="inlineStr">
        <is>
          <t>Auxiliar</t>
        </is>
      </c>
      <c r="F29" t="inlineStr">
        <is>
          <t>Artículo</t>
        </is>
      </c>
      <c r="G29" t="inlineStr">
        <is>
          <t>M06-0193</t>
        </is>
      </c>
      <c r="H29" t="n">
        <v>9.992599999999999</v>
      </c>
      <c r="I29" t="n">
        <v>6420.004599999999</v>
      </c>
      <c r="J29" t="n">
        <v>64152.54</v>
      </c>
    </row>
    <row r="30">
      <c r="A30" t="inlineStr">
        <is>
          <t>VN-L.32</t>
        </is>
      </c>
      <c r="B30" t="n">
        <v>30</v>
      </c>
      <c r="C30" t="n">
        <v>1.2</v>
      </c>
      <c r="D30" t="inlineStr">
        <is>
          <t>FUNDAS DE 10CM</t>
        </is>
      </c>
      <c r="E30" t="inlineStr">
        <is>
          <t>Auxiliar</t>
        </is>
      </c>
      <c r="F30" t="inlineStr">
        <is>
          <t>Artículo</t>
        </is>
      </c>
      <c r="G30" t="inlineStr">
        <is>
          <t>M06-0195</t>
        </is>
      </c>
      <c r="H30" t="n">
        <v>2997.7758</v>
      </c>
      <c r="I30" t="n">
        <v>29.553229</v>
      </c>
      <c r="J30" t="n">
        <v>88593.95</v>
      </c>
    </row>
    <row r="31">
      <c r="A31" t="inlineStr">
        <is>
          <t>VN-L.32</t>
        </is>
      </c>
      <c r="B31" t="n">
        <v>31</v>
      </c>
      <c r="C31" t="n">
        <v>1.2</v>
      </c>
      <c r="D31" t="inlineStr">
        <is>
          <t>REGLA SEMIDURO 1X3X4 SIN CEPILLAR</t>
        </is>
      </c>
      <c r="E31" t="inlineStr">
        <is>
          <t>Auxiliar</t>
        </is>
      </c>
      <c r="F31" t="inlineStr">
        <is>
          <t>Artículo</t>
        </is>
      </c>
      <c r="G31" t="inlineStr">
        <is>
          <t>M09-0042</t>
        </is>
      </c>
      <c r="H31" t="n">
        <v>24.9815</v>
      </c>
      <c r="I31" t="n">
        <v>1524.9915</v>
      </c>
      <c r="J31" t="n">
        <v>38096.58</v>
      </c>
    </row>
    <row r="32">
      <c r="A32" t="inlineStr">
        <is>
          <t>VN-L.32</t>
        </is>
      </c>
      <c r="B32" t="n">
        <v>32</v>
      </c>
      <c r="C32" t="n">
        <v>1.2</v>
      </c>
      <c r="D32" t="inlineStr">
        <is>
          <t>CLAVO ACERO 2 X 3.8MM CAJA (250)</t>
        </is>
      </c>
      <c r="E32" t="inlineStr">
        <is>
          <t>Auxiliar</t>
        </is>
      </c>
      <c r="F32" t="inlineStr">
        <is>
          <t>Artículo</t>
        </is>
      </c>
      <c r="G32" t="inlineStr">
        <is>
          <t>M06-0040</t>
        </is>
      </c>
      <c r="H32" t="n">
        <v>4.9963</v>
      </c>
      <c r="I32" t="n">
        <v>6370.374999999999</v>
      </c>
      <c r="J32" t="n">
        <v>31828.3</v>
      </c>
    </row>
    <row r="33">
      <c r="A33" t="inlineStr">
        <is>
          <t>VN-L.32</t>
        </is>
      </c>
      <c r="B33" t="n">
        <v>33</v>
      </c>
      <c r="C33" t="n">
        <v>1.2</v>
      </c>
      <c r="D33" t="inlineStr">
        <is>
          <t>REPEMAX CAPA GRUESA 80XA-W2 (40KG)</t>
        </is>
      </c>
      <c r="E33" t="inlineStr">
        <is>
          <t>Auxiliar</t>
        </is>
      </c>
      <c r="F33" t="inlineStr">
        <is>
          <t>Artículo</t>
        </is>
      </c>
      <c r="G33" t="inlineStr">
        <is>
          <t>M10-0090</t>
        </is>
      </c>
      <c r="H33" t="n">
        <v>14.9889</v>
      </c>
      <c r="I33" t="n">
        <v>5527.4967</v>
      </c>
      <c r="J33" t="n">
        <v>82851.10000000001</v>
      </c>
    </row>
    <row r="34">
      <c r="A34" t="inlineStr">
        <is>
          <t>VN-L.32</t>
        </is>
      </c>
      <c r="B34" t="n">
        <v>34</v>
      </c>
      <c r="C34" t="n">
        <v>1.2</v>
      </c>
      <c r="D34" t="inlineStr">
        <is>
          <t>PERNO ANCLAJE 3/8X3-1/2</t>
        </is>
      </c>
      <c r="E34" t="inlineStr">
        <is>
          <t>Auxiliar</t>
        </is>
      </c>
      <c r="F34" t="inlineStr">
        <is>
          <t>Artículo</t>
        </is>
      </c>
      <c r="G34" t="inlineStr">
        <is>
          <t>M06-0240</t>
        </is>
      </c>
      <c r="H34" t="n">
        <v>149.8888</v>
      </c>
      <c r="I34" t="n">
        <v>156.8101</v>
      </c>
      <c r="J34" t="n">
        <v>23504.08</v>
      </c>
    </row>
    <row r="35">
      <c r="A35" t="inlineStr">
        <is>
          <t>VN-L.32</t>
        </is>
      </c>
      <c r="B35" t="n">
        <v>35</v>
      </c>
      <c r="C35" t="n">
        <v>1.2</v>
      </c>
      <c r="D35" t="inlineStr">
        <is>
          <t>CRAYON LYRA AMARILLO</t>
        </is>
      </c>
      <c r="E35" t="inlineStr">
        <is>
          <t>Auxiliar</t>
        </is>
      </c>
      <c r="F35" t="inlineStr">
        <is>
          <t>Artículo</t>
        </is>
      </c>
      <c r="G35" t="inlineStr">
        <is>
          <t>M06-0179</t>
        </is>
      </c>
      <c r="H35" t="n">
        <v>24.9815</v>
      </c>
      <c r="I35" t="n">
        <v>340.0169999999999</v>
      </c>
      <c r="J35" t="n">
        <v>8494.129999999999</v>
      </c>
    </row>
    <row r="36">
      <c r="A36" t="inlineStr">
        <is>
          <t>VN-L.32</t>
        </is>
      </c>
      <c r="B36" t="n">
        <v>36</v>
      </c>
      <c r="C36" t="n">
        <v>1.2</v>
      </c>
      <c r="D36" t="inlineStr">
        <is>
          <t>CONCRETO FC 210 KG/CM2 AUTOCOMPACTABLE</t>
        </is>
      </c>
      <c r="E36" t="inlineStr">
        <is>
          <t>Auxiliar</t>
        </is>
      </c>
      <c r="F36" t="inlineStr">
        <is>
          <t>Artículo</t>
        </is>
      </c>
      <c r="G36" t="inlineStr">
        <is>
          <t>M10-0063</t>
        </is>
      </c>
      <c r="H36" t="n">
        <v>38.9801</v>
      </c>
      <c r="I36" t="n">
        <v>82601.1694</v>
      </c>
      <c r="J36" t="n">
        <v>3219801.84</v>
      </c>
    </row>
    <row r="37">
      <c r="A37" t="inlineStr">
        <is>
          <t>VN-L.32</t>
        </is>
      </c>
      <c r="B37" t="n">
        <v>37</v>
      </c>
      <c r="C37" t="n">
        <v>1.2</v>
      </c>
      <c r="D37" t="inlineStr">
        <is>
          <t>SEPARADORES TIPO CONO 12CM SP450</t>
        </is>
      </c>
      <c r="E37" t="inlineStr">
        <is>
          <t>Auxiliar</t>
        </is>
      </c>
      <c r="F37" t="inlineStr">
        <is>
          <t>Artículo</t>
        </is>
      </c>
      <c r="G37" t="inlineStr">
        <is>
          <t>M06-0264</t>
        </is>
      </c>
      <c r="H37" t="n">
        <v>149.8888</v>
      </c>
      <c r="I37" t="n">
        <v>203.4</v>
      </c>
      <c r="J37" t="n">
        <v>30487.38</v>
      </c>
    </row>
    <row r="38">
      <c r="A38" t="inlineStr">
        <is>
          <t>VN-L.32</t>
        </is>
      </c>
      <c r="B38" t="n">
        <v>38</v>
      </c>
      <c r="C38" t="n">
        <v>1.2</v>
      </c>
      <c r="D38" t="inlineStr">
        <is>
          <t>SEPARADOR TIPO CONO 2.5CM (1") SP125</t>
        </is>
      </c>
      <c r="E38" t="inlineStr">
        <is>
          <t>Auxiliar</t>
        </is>
      </c>
      <c r="F38" t="inlineStr">
        <is>
          <t>Artículo</t>
        </is>
      </c>
      <c r="G38" t="inlineStr">
        <is>
          <t>M06-0261</t>
        </is>
      </c>
      <c r="H38" t="n">
        <v>149.8888</v>
      </c>
      <c r="I38" t="n">
        <v>56.49999999999999</v>
      </c>
      <c r="J38" t="n">
        <v>8468.719999999999</v>
      </c>
    </row>
    <row r="39">
      <c r="A39" t="inlineStr">
        <is>
          <t>VN-L.32</t>
        </is>
      </c>
      <c r="B39" t="n">
        <v>39</v>
      </c>
      <c r="C39" t="n">
        <v>1.3</v>
      </c>
      <c r="D39" t="inlineStr">
        <is>
          <t>TUBO 2X4X1.8MM H.G</t>
        </is>
      </c>
      <c r="E39" t="inlineStr">
        <is>
          <t>Auxiliar</t>
        </is>
      </c>
      <c r="F39" t="inlineStr">
        <is>
          <t>Artículo</t>
        </is>
      </c>
      <c r="G39" t="inlineStr">
        <is>
          <t>M01-0098</t>
        </is>
      </c>
      <c r="H39" t="n">
        <v>27.4796</v>
      </c>
      <c r="I39" t="n">
        <v>19517.36</v>
      </c>
      <c r="J39" t="n">
        <v>536329.25</v>
      </c>
    </row>
    <row r="40">
      <c r="A40" t="inlineStr">
        <is>
          <t>VN-L.32</t>
        </is>
      </c>
      <c r="B40" t="n">
        <v>42</v>
      </c>
      <c r="C40" t="n">
        <v>1.3</v>
      </c>
      <c r="D40" t="inlineStr">
        <is>
          <t>TUBO 1X1X1.8MM H.N.</t>
        </is>
      </c>
      <c r="E40" t="inlineStr">
        <is>
          <t>Auxiliar</t>
        </is>
      </c>
      <c r="F40" t="inlineStr">
        <is>
          <t>Artículo</t>
        </is>
      </c>
      <c r="G40" t="inlineStr">
        <is>
          <t>M01-0066</t>
        </is>
      </c>
      <c r="H40" t="n">
        <v>92.4314</v>
      </c>
      <c r="I40" t="n">
        <v>5513.495999999999</v>
      </c>
      <c r="J40" t="n">
        <v>509620.15</v>
      </c>
    </row>
    <row r="41">
      <c r="A41" t="inlineStr">
        <is>
          <t>VN-L.32</t>
        </is>
      </c>
      <c r="B41" t="n">
        <v>43</v>
      </c>
      <c r="C41" t="n">
        <v>1.3</v>
      </c>
      <c r="D41" t="inlineStr">
        <is>
          <t>PLATINA HN 4X1/4</t>
        </is>
      </c>
      <c r="E41" t="inlineStr">
        <is>
          <t>Auxiliar</t>
        </is>
      </c>
      <c r="F41" t="inlineStr">
        <is>
          <t>Artículo</t>
        </is>
      </c>
      <c r="G41" t="inlineStr">
        <is>
          <t>M01-0009</t>
        </is>
      </c>
      <c r="H41" t="n">
        <v>2.4981</v>
      </c>
      <c r="I41" t="n">
        <v>16564.1276</v>
      </c>
      <c r="J41" t="n">
        <v>41378.85</v>
      </c>
    </row>
    <row r="42">
      <c r="A42" t="inlineStr">
        <is>
          <t>VN-L.32</t>
        </is>
      </c>
      <c r="B42" t="n">
        <v>44</v>
      </c>
      <c r="C42" t="n">
        <v>1.3</v>
      </c>
      <c r="D42" t="inlineStr">
        <is>
          <t>PLATINA HN 3X1/4</t>
        </is>
      </c>
      <c r="E42" t="inlineStr">
        <is>
          <t>Auxiliar</t>
        </is>
      </c>
      <c r="F42" t="inlineStr">
        <is>
          <t>Artículo</t>
        </is>
      </c>
      <c r="G42" t="inlineStr">
        <is>
          <t>M01-0007</t>
        </is>
      </c>
      <c r="H42" t="n">
        <v>2.4981</v>
      </c>
      <c r="I42" t="n">
        <v>15485.7573</v>
      </c>
      <c r="J42" t="n">
        <v>38684.97</v>
      </c>
    </row>
    <row r="43">
      <c r="A43" t="inlineStr">
        <is>
          <t>VN-L.32</t>
        </is>
      </c>
      <c r="B43" t="n">
        <v>45</v>
      </c>
      <c r="C43" t="n">
        <v>1.3</v>
      </c>
      <c r="D43" t="inlineStr">
        <is>
          <t>ANGULAR HN 1"X1/8</t>
        </is>
      </c>
      <c r="E43" t="inlineStr">
        <is>
          <t>Auxiliar</t>
        </is>
      </c>
      <c r="F43" t="inlineStr">
        <is>
          <t>Artículo</t>
        </is>
      </c>
      <c r="G43" t="inlineStr">
        <is>
          <t>M01-0018</t>
        </is>
      </c>
      <c r="H43" t="n">
        <v>2.4981</v>
      </c>
      <c r="I43" t="n">
        <v>4081.0741</v>
      </c>
      <c r="J43" t="n">
        <v>10194.93</v>
      </c>
    </row>
    <row r="44">
      <c r="A44" t="inlineStr">
        <is>
          <t>VN-L.32</t>
        </is>
      </c>
      <c r="B44" t="n">
        <v>46</v>
      </c>
      <c r="C44" t="n">
        <v>1.3</v>
      </c>
      <c r="D44" t="inlineStr">
        <is>
          <t>VARILLA DEFORME #3</t>
        </is>
      </c>
      <c r="E44" t="inlineStr">
        <is>
          <t>Auxiliar</t>
        </is>
      </c>
      <c r="F44" t="inlineStr">
        <is>
          <t>Artículo</t>
        </is>
      </c>
      <c r="G44" t="inlineStr">
        <is>
          <t>M01-0147</t>
        </is>
      </c>
      <c r="H44" t="n">
        <v>6.8571</v>
      </c>
      <c r="I44" t="n">
        <v>1344.7</v>
      </c>
      <c r="J44" t="n">
        <v>9220.74</v>
      </c>
    </row>
    <row r="45">
      <c r="A45" t="inlineStr">
        <is>
          <t>VN-L.32</t>
        </is>
      </c>
      <c r="B45" t="n">
        <v>47</v>
      </c>
      <c r="C45" t="n">
        <v>1.3</v>
      </c>
      <c r="D45" t="inlineStr">
        <is>
          <t>VARILLA DEFORME #4</t>
        </is>
      </c>
      <c r="E45" t="inlineStr">
        <is>
          <t>Auxiliar</t>
        </is>
      </c>
      <c r="F45" t="inlineStr">
        <is>
          <t>Artículo</t>
        </is>
      </c>
      <c r="G45" t="inlineStr">
        <is>
          <t>M01-0148</t>
        </is>
      </c>
      <c r="H45" t="n">
        <v>4.5714</v>
      </c>
      <c r="I45" t="n">
        <v>2395.6</v>
      </c>
      <c r="J45" t="n">
        <v>10951.25</v>
      </c>
    </row>
    <row r="46">
      <c r="A46" t="inlineStr">
        <is>
          <t>VN-L.32</t>
        </is>
      </c>
      <c r="B46" t="n">
        <v>48</v>
      </c>
      <c r="C46" t="n">
        <v>1.3</v>
      </c>
      <c r="D46" t="inlineStr">
        <is>
          <t>SOLDADURA 3/32 (6013)</t>
        </is>
      </c>
      <c r="E46" t="inlineStr">
        <is>
          <t>Auxiliar</t>
        </is>
      </c>
      <c r="F46" t="inlineStr">
        <is>
          <t>Artículo</t>
        </is>
      </c>
      <c r="G46" t="inlineStr">
        <is>
          <t>M01-0055</t>
        </is>
      </c>
      <c r="H46" t="n">
        <v>12.4907</v>
      </c>
      <c r="I46" t="n">
        <v>3600.0331</v>
      </c>
      <c r="J46" t="n">
        <v>44966.93</v>
      </c>
    </row>
    <row r="47">
      <c r="A47" t="inlineStr">
        <is>
          <t>VN-L.32</t>
        </is>
      </c>
      <c r="B47" t="n">
        <v>49</v>
      </c>
      <c r="C47" t="n">
        <v>1.3</v>
      </c>
      <c r="D47" t="inlineStr">
        <is>
          <t>DISCO CORTE METAL FINO 9"</t>
        </is>
      </c>
      <c r="E47" t="inlineStr">
        <is>
          <t>Auxiliar</t>
        </is>
      </c>
      <c r="F47" t="inlineStr">
        <is>
          <t>Artículo</t>
        </is>
      </c>
      <c r="G47" t="inlineStr">
        <is>
          <t>M08-0037</t>
        </is>
      </c>
      <c r="H47" t="n">
        <v>42.4685</v>
      </c>
      <c r="I47" t="n">
        <v>3037.6321</v>
      </c>
      <c r="J47" t="n">
        <v>129003.68</v>
      </c>
    </row>
    <row r="48">
      <c r="A48" t="inlineStr">
        <is>
          <t>VN-L.32</t>
        </is>
      </c>
      <c r="B48" t="n">
        <v>50</v>
      </c>
      <c r="C48" t="n">
        <v>1.3</v>
      </c>
      <c r="D48" t="inlineStr">
        <is>
          <t>DISCO ESMERILAR 4-1/2</t>
        </is>
      </c>
      <c r="E48" t="inlineStr">
        <is>
          <t>Auxiliar</t>
        </is>
      </c>
      <c r="F48" t="inlineStr">
        <is>
          <t>Artículo</t>
        </is>
      </c>
      <c r="G48" t="inlineStr">
        <is>
          <t>M08-0043</t>
        </is>
      </c>
      <c r="H48" t="n">
        <v>42.4685</v>
      </c>
      <c r="I48" t="n">
        <v>1519.85</v>
      </c>
      <c r="J48" t="n">
        <v>64545.75</v>
      </c>
    </row>
    <row r="49">
      <c r="A49" t="inlineStr">
        <is>
          <t>VN-L.32</t>
        </is>
      </c>
      <c r="B49" t="n">
        <v>51</v>
      </c>
      <c r="C49" t="n">
        <v>1.3</v>
      </c>
      <c r="D49" t="inlineStr">
        <is>
          <t>DISCO FLAP G60 4-1/2"</t>
        </is>
      </c>
      <c r="E49" t="inlineStr">
        <is>
          <t>Auxiliar</t>
        </is>
      </c>
      <c r="F49" t="inlineStr">
        <is>
          <t>Artículo</t>
        </is>
      </c>
      <c r="G49" t="inlineStr">
        <is>
          <t>M08-0044</t>
        </is>
      </c>
      <c r="H49" t="n">
        <v>42.4685</v>
      </c>
      <c r="I49" t="n">
        <v>1672.6034</v>
      </c>
      <c r="J49" t="n">
        <v>71032.96000000001</v>
      </c>
    </row>
    <row r="50">
      <c r="A50" t="inlineStr">
        <is>
          <t>VN-L.32</t>
        </is>
      </c>
      <c r="B50" t="n">
        <v>52</v>
      </c>
      <c r="C50" t="n">
        <v>1.3</v>
      </c>
      <c r="D50" t="inlineStr">
        <is>
          <t>DISCO CORTE FINO METAL 4-1/2</t>
        </is>
      </c>
      <c r="E50" t="inlineStr">
        <is>
          <t>Auxiliar</t>
        </is>
      </c>
      <c r="F50" t="inlineStr">
        <is>
          <t>Artículo</t>
        </is>
      </c>
      <c r="G50" t="inlineStr">
        <is>
          <t>M08-0051</t>
        </is>
      </c>
      <c r="H50" t="n">
        <v>42.4685</v>
      </c>
      <c r="I50" t="n">
        <v>3661.2</v>
      </c>
      <c r="J50" t="n">
        <v>155485.67</v>
      </c>
    </row>
    <row r="51">
      <c r="A51" t="inlineStr">
        <is>
          <t>VN-L.32</t>
        </is>
      </c>
      <c r="B51" t="n">
        <v>53</v>
      </c>
      <c r="C51" t="n">
        <v>1.3</v>
      </c>
      <c r="D51" t="inlineStr">
        <is>
          <t>THINNER INDUSTRIAL</t>
        </is>
      </c>
      <c r="E51" t="inlineStr">
        <is>
          <t>Auxiliar</t>
        </is>
      </c>
      <c r="F51" t="inlineStr">
        <is>
          <t>Artículo</t>
        </is>
      </c>
      <c r="G51" t="inlineStr">
        <is>
          <t>M11-0019</t>
        </is>
      </c>
      <c r="H51" t="n">
        <v>9.992599999999999</v>
      </c>
      <c r="I51" t="n">
        <v>6464.999957</v>
      </c>
      <c r="J51" t="n">
        <v>64602.16</v>
      </c>
    </row>
    <row r="52">
      <c r="A52" t="inlineStr">
        <is>
          <t>VN-L.32</t>
        </is>
      </c>
      <c r="B52" t="n">
        <v>54</v>
      </c>
      <c r="C52" t="n">
        <v>1.3</v>
      </c>
      <c r="D52" t="inlineStr">
        <is>
          <t>MECHA BLANCA</t>
        </is>
      </c>
      <c r="E52" t="inlineStr">
        <is>
          <t>Auxiliar</t>
        </is>
      </c>
      <c r="F52" t="inlineStr">
        <is>
          <t>Artículo</t>
        </is>
      </c>
      <c r="G52" t="inlineStr">
        <is>
          <t>M06-0231</t>
        </is>
      </c>
      <c r="H52" t="n">
        <v>9.992599999999999</v>
      </c>
      <c r="I52" t="n">
        <v>4338.0022</v>
      </c>
      <c r="J52" t="n">
        <v>43347.92</v>
      </c>
    </row>
    <row r="53">
      <c r="A53" t="inlineStr">
        <is>
          <t>VN-L.32</t>
        </is>
      </c>
      <c r="B53" t="n">
        <v>55</v>
      </c>
      <c r="C53" t="n">
        <v>1.3</v>
      </c>
      <c r="D53" t="inlineStr">
        <is>
          <t>BROCHA CORRIENTE 3"</t>
        </is>
      </c>
      <c r="E53" t="inlineStr">
        <is>
          <t>Auxiliar</t>
        </is>
      </c>
      <c r="F53" t="inlineStr">
        <is>
          <t>Artículo</t>
        </is>
      </c>
      <c r="G53" t="inlineStr">
        <is>
          <t>M11-0002</t>
        </is>
      </c>
      <c r="H53" t="n">
        <v>19.9852</v>
      </c>
      <c r="I53" t="n">
        <v>2060.0013</v>
      </c>
      <c r="J53" t="n">
        <v>41169.54</v>
      </c>
    </row>
    <row r="54">
      <c r="A54" t="inlineStr">
        <is>
          <t>VN-L.32</t>
        </is>
      </c>
      <c r="B54" t="n">
        <v>56</v>
      </c>
      <c r="C54" t="n">
        <v>1.3</v>
      </c>
      <c r="D54" t="inlineStr">
        <is>
          <t>ANTICORROSIVO MINIO GALON</t>
        </is>
      </c>
      <c r="E54" t="inlineStr">
        <is>
          <t>Auxiliar</t>
        </is>
      </c>
      <c r="F54" t="inlineStr">
        <is>
          <t>Artículo</t>
        </is>
      </c>
      <c r="G54" t="inlineStr">
        <is>
          <t>M11-0066</t>
        </is>
      </c>
      <c r="H54" t="n">
        <v>8.743499999999999</v>
      </c>
      <c r="I54" t="n">
        <v>17605.0045</v>
      </c>
      <c r="J54" t="n">
        <v>153929.36</v>
      </c>
    </row>
    <row r="55">
      <c r="A55" t="inlineStr">
        <is>
          <t>VN-L.32</t>
        </is>
      </c>
      <c r="B55" t="n">
        <v>57</v>
      </c>
      <c r="C55" t="n">
        <v>1.3</v>
      </c>
      <c r="D55" t="inlineStr">
        <is>
          <t>STONE GRIP EPOXICO</t>
        </is>
      </c>
      <c r="E55" t="inlineStr">
        <is>
          <t>Auxiliar</t>
        </is>
      </c>
      <c r="F55" t="inlineStr">
        <is>
          <t>Artículo</t>
        </is>
      </c>
      <c r="G55" t="inlineStr">
        <is>
          <t>M06-0526</t>
        </is>
      </c>
      <c r="H55" t="n">
        <v>4.9963</v>
      </c>
      <c r="I55" t="n">
        <v>12244.50485</v>
      </c>
      <c r="J55" t="n">
        <v>61177.22</v>
      </c>
    </row>
    <row r="56">
      <c r="A56" t="inlineStr">
        <is>
          <t>VN-L.32</t>
        </is>
      </c>
      <c r="B56" t="n">
        <v>58</v>
      </c>
      <c r="C56" t="n">
        <v>1.3</v>
      </c>
      <c r="D56" t="inlineStr">
        <is>
          <t>LIJA DE AGUA #120</t>
        </is>
      </c>
      <c r="E56" t="inlineStr">
        <is>
          <t>Auxiliar</t>
        </is>
      </c>
      <c r="F56" t="inlineStr">
        <is>
          <t>Artículo</t>
        </is>
      </c>
      <c r="G56" t="inlineStr">
        <is>
          <t>M08-0062</t>
        </is>
      </c>
      <c r="H56" t="n">
        <v>24.9815</v>
      </c>
      <c r="I56" t="n">
        <v>369.9958999999999</v>
      </c>
      <c r="J56" t="n">
        <v>9243.049999999999</v>
      </c>
    </row>
    <row r="57">
      <c r="A57" t="inlineStr">
        <is>
          <t>VN-L.32</t>
        </is>
      </c>
      <c r="B57" t="n">
        <v>59</v>
      </c>
      <c r="C57" t="n">
        <v>1.3</v>
      </c>
      <c r="D57" t="inlineStr">
        <is>
          <t>PUNTA PHILLIPS PH#2</t>
        </is>
      </c>
      <c r="E57" t="inlineStr">
        <is>
          <t>Auxiliar</t>
        </is>
      </c>
      <c r="F57" t="inlineStr">
        <is>
          <t>Artículo</t>
        </is>
      </c>
      <c r="G57" t="inlineStr">
        <is>
          <t>M07-0204</t>
        </is>
      </c>
      <c r="H57" t="n">
        <v>12.4907</v>
      </c>
      <c r="I57" t="n">
        <v>525.4499999999999</v>
      </c>
      <c r="J57" t="n">
        <v>6563.24</v>
      </c>
    </row>
    <row r="58">
      <c r="A58" t="inlineStr">
        <is>
          <t>VN-L.32</t>
        </is>
      </c>
      <c r="B58" t="n">
        <v>60</v>
      </c>
      <c r="C58" t="n">
        <v>1.3</v>
      </c>
      <c r="D58" t="inlineStr">
        <is>
          <t>BROCHA CORRIENTE 2"</t>
        </is>
      </c>
      <c r="E58" t="inlineStr">
        <is>
          <t>Auxiliar</t>
        </is>
      </c>
      <c r="F58" t="inlineStr">
        <is>
          <t>Artículo</t>
        </is>
      </c>
      <c r="G58" t="inlineStr">
        <is>
          <t>M11-0001</t>
        </is>
      </c>
      <c r="H58" t="n">
        <v>4.9963</v>
      </c>
      <c r="I58" t="n">
        <v>1425.0091</v>
      </c>
      <c r="J58" t="n">
        <v>7119.77</v>
      </c>
    </row>
    <row r="59">
      <c r="A59" t="inlineStr">
        <is>
          <t>VN-L.32</t>
        </is>
      </c>
      <c r="B59" t="n">
        <v>61</v>
      </c>
      <c r="C59" t="n">
        <v>1.3</v>
      </c>
      <c r="D59" t="inlineStr">
        <is>
          <t>LAPIZ ROJO/VERDE/NARANJA</t>
        </is>
      </c>
      <c r="E59" t="inlineStr">
        <is>
          <t>Auxiliar</t>
        </is>
      </c>
      <c r="F59" t="inlineStr">
        <is>
          <t>Artículo</t>
        </is>
      </c>
      <c r="G59" t="inlineStr">
        <is>
          <t>M06-0213</t>
        </is>
      </c>
      <c r="H59" t="n">
        <v>4.9963</v>
      </c>
      <c r="I59" t="n">
        <v>351.9837</v>
      </c>
      <c r="J59" t="n">
        <v>1758.62</v>
      </c>
    </row>
    <row r="60">
      <c r="A60" t="inlineStr">
        <is>
          <t>VN-L.32</t>
        </is>
      </c>
      <c r="B60" t="n">
        <v>62</v>
      </c>
      <c r="C60" t="n">
        <v>1.3</v>
      </c>
      <c r="D60" t="inlineStr">
        <is>
          <t>TUBO 2X6X1.8MM H.N.</t>
        </is>
      </c>
      <c r="E60" t="inlineStr">
        <is>
          <t>Auxiliar</t>
        </is>
      </c>
      <c r="F60" t="inlineStr">
        <is>
          <t>Artículo</t>
        </is>
      </c>
      <c r="G60" t="inlineStr">
        <is>
          <t>M01-0071</t>
        </is>
      </c>
      <c r="H60" t="n">
        <v>12.4907</v>
      </c>
      <c r="I60" t="n">
        <v>19095.5536</v>
      </c>
      <c r="J60" t="n">
        <v>238516.83</v>
      </c>
    </row>
    <row r="61">
      <c r="A61" t="inlineStr">
        <is>
          <t>VN-L.32</t>
        </is>
      </c>
      <c r="B61" t="n">
        <v>63</v>
      </c>
      <c r="C61" t="n">
        <v>1.3</v>
      </c>
      <c r="D61" t="inlineStr">
        <is>
          <t>TUBO 3X3X1.8MM H.N.</t>
        </is>
      </c>
      <c r="E61" t="inlineStr">
        <is>
          <t>Auxiliar</t>
        </is>
      </c>
      <c r="F61" t="inlineStr">
        <is>
          <t>Artículo</t>
        </is>
      </c>
      <c r="G61" t="inlineStr">
        <is>
          <t>M01-0073</t>
        </is>
      </c>
      <c r="H61" t="n">
        <v>4.9963</v>
      </c>
      <c r="I61" t="n">
        <v>13772.44</v>
      </c>
      <c r="J61" t="n">
        <v>68811.24000000001</v>
      </c>
    </row>
    <row r="62">
      <c r="A62" t="inlineStr">
        <is>
          <t>VN-L.32</t>
        </is>
      </c>
      <c r="B62" t="n">
        <v>64</v>
      </c>
      <c r="C62" t="n">
        <v>1.3</v>
      </c>
      <c r="D62" t="inlineStr">
        <is>
          <t>TUBO 2X2X1.8MM H.N</t>
        </is>
      </c>
      <c r="E62" t="inlineStr">
        <is>
          <t>Auxiliar</t>
        </is>
      </c>
      <c r="F62" t="inlineStr">
        <is>
          <t>Artículo</t>
        </is>
      </c>
      <c r="G62" t="inlineStr">
        <is>
          <t>M01-0069</t>
        </is>
      </c>
      <c r="H62" t="n">
        <v>9.992599999999999</v>
      </c>
      <c r="I62" t="n">
        <v>12234.51</v>
      </c>
      <c r="J62" t="n">
        <v>122254.56</v>
      </c>
    </row>
    <row r="63">
      <c r="A63" t="inlineStr">
        <is>
          <t>VN-L.32</t>
        </is>
      </c>
      <c r="B63" t="n">
        <v>67</v>
      </c>
      <c r="C63" t="n">
        <v>1.3</v>
      </c>
      <c r="D63" t="inlineStr">
        <is>
          <t>PINTURA DRY COAT MATE DEEP GRIS OSCURO</t>
        </is>
      </c>
      <c r="E63" t="inlineStr">
        <is>
          <t>Auxiliar</t>
        </is>
      </c>
      <c r="F63" t="inlineStr">
        <is>
          <t>Artículo</t>
        </is>
      </c>
      <c r="G63" t="inlineStr">
        <is>
          <t>M11-0077</t>
        </is>
      </c>
      <c r="H63" t="n">
        <v>2.4981</v>
      </c>
      <c r="I63" t="n">
        <v>26215.9548</v>
      </c>
      <c r="J63" t="n">
        <v>65490.08</v>
      </c>
    </row>
    <row r="64">
      <c r="A64" t="inlineStr">
        <is>
          <t>VN-L.32</t>
        </is>
      </c>
      <c r="B64" t="n">
        <v>68</v>
      </c>
      <c r="C64" t="n">
        <v>1.3</v>
      </c>
      <c r="D64" t="inlineStr">
        <is>
          <t>MAXISTIK 590 (EPOXICO)</t>
        </is>
      </c>
      <c r="E64" t="inlineStr">
        <is>
          <t>Auxiliar</t>
        </is>
      </c>
      <c r="F64" t="inlineStr">
        <is>
          <t>Artículo</t>
        </is>
      </c>
      <c r="G64" t="inlineStr">
        <is>
          <t>M06-0008</t>
        </is>
      </c>
      <c r="H64" t="n">
        <v>2.4981</v>
      </c>
      <c r="I64" t="n">
        <v>12450.001</v>
      </c>
      <c r="J64" t="n">
        <v>31101.35</v>
      </c>
    </row>
    <row r="65">
      <c r="A65" t="inlineStr">
        <is>
          <t>VN-L.32</t>
        </is>
      </c>
      <c r="B65" t="n">
        <v>69</v>
      </c>
      <c r="C65" t="n">
        <v>1.3</v>
      </c>
      <c r="D65" t="inlineStr">
        <is>
          <t>MERULA C/CATALIZADOR</t>
        </is>
      </c>
      <c r="E65" t="inlineStr">
        <is>
          <t>Auxiliar</t>
        </is>
      </c>
      <c r="F65" t="inlineStr">
        <is>
          <t>Artículo</t>
        </is>
      </c>
      <c r="G65" t="inlineStr">
        <is>
          <t>M11-0063</t>
        </is>
      </c>
      <c r="H65" t="n">
        <v>4.9963</v>
      </c>
      <c r="I65" t="n">
        <v>7156.086599999999</v>
      </c>
      <c r="J65" t="n">
        <v>35753.96</v>
      </c>
    </row>
    <row r="66">
      <c r="A66" t="inlineStr">
        <is>
          <t>VN-L.32</t>
        </is>
      </c>
      <c r="B66" t="n">
        <v>70</v>
      </c>
      <c r="C66" t="n">
        <v>1.3</v>
      </c>
      <c r="D66" t="inlineStr">
        <is>
          <t>BOBINA GALVALUME 0.53MM X 48" BLANCO</t>
        </is>
      </c>
      <c r="E66" t="inlineStr">
        <is>
          <t>Auxiliar</t>
        </is>
      </c>
      <c r="F66" t="inlineStr">
        <is>
          <t>Artículo</t>
        </is>
      </c>
      <c r="G66" t="inlineStr">
        <is>
          <t>M15-0020</t>
        </is>
      </c>
      <c r="H66" t="n">
        <v>328.4107</v>
      </c>
      <c r="I66" t="n">
        <v>868.9699999999999</v>
      </c>
      <c r="J66" t="n">
        <v>285379.05</v>
      </c>
    </row>
    <row r="67">
      <c r="A67" t="inlineStr">
        <is>
          <t>VN-L.32</t>
        </is>
      </c>
      <c r="B67" t="n">
        <v>71</v>
      </c>
      <c r="C67" t="n">
        <v>1.3</v>
      </c>
      <c r="D67" t="inlineStr">
        <is>
          <t>CLIP ESMALTADO CALIBRE 24</t>
        </is>
      </c>
      <c r="E67" t="inlineStr">
        <is>
          <t>Auxiliar</t>
        </is>
      </c>
      <c r="F67" t="inlineStr">
        <is>
          <t>Artículo</t>
        </is>
      </c>
      <c r="G67" t="inlineStr">
        <is>
          <t>M15-0012</t>
        </is>
      </c>
      <c r="H67" t="n">
        <v>374.722</v>
      </c>
      <c r="I67" t="n">
        <v>199.9987</v>
      </c>
      <c r="J67" t="n">
        <v>74943.91</v>
      </c>
    </row>
    <row r="68">
      <c r="A68" t="inlineStr">
        <is>
          <t>VN-L.32</t>
        </is>
      </c>
      <c r="B68" t="n">
        <v>72</v>
      </c>
      <c r="C68" t="n">
        <v>1.3</v>
      </c>
      <c r="D68" t="inlineStr">
        <is>
          <t>TORNILLO GYPSUM 7/16 PUNTA FINA CON ARANDELA</t>
        </is>
      </c>
      <c r="E68" t="inlineStr">
        <is>
          <t>Auxiliar</t>
        </is>
      </c>
      <c r="F68" t="inlineStr">
        <is>
          <t>Artículo</t>
        </is>
      </c>
      <c r="G68" t="inlineStr">
        <is>
          <t>M06-0112</t>
        </is>
      </c>
      <c r="H68" t="n">
        <v>749.444</v>
      </c>
      <c r="I68" t="n">
        <v>3.9211</v>
      </c>
      <c r="J68" t="n">
        <v>2938.64</v>
      </c>
    </row>
    <row r="69">
      <c r="A69" t="inlineStr">
        <is>
          <t>VN-L.32</t>
        </is>
      </c>
      <c r="B69" t="n">
        <v>73</v>
      </c>
      <c r="C69" t="n">
        <v>1.3</v>
      </c>
      <c r="D69" t="inlineStr">
        <is>
          <t>DURETAN BLANCO</t>
        </is>
      </c>
      <c r="E69" t="inlineStr">
        <is>
          <t>Auxiliar</t>
        </is>
      </c>
      <c r="F69" t="inlineStr">
        <is>
          <t>Artículo</t>
        </is>
      </c>
      <c r="G69" t="inlineStr">
        <is>
          <t>M06-0003</t>
        </is>
      </c>
      <c r="H69" t="n">
        <v>2.4981</v>
      </c>
      <c r="I69" t="n">
        <v>4746.813599999999</v>
      </c>
      <c r="J69" t="n">
        <v>11858.02</v>
      </c>
    </row>
    <row r="70">
      <c r="A70" t="inlineStr">
        <is>
          <t>VN-L.32</t>
        </is>
      </c>
      <c r="B70" t="n">
        <v>84</v>
      </c>
      <c r="C70" t="n">
        <v>1.3</v>
      </c>
      <c r="D70" t="inlineStr">
        <is>
          <t>VARILLA LISA #5</t>
        </is>
      </c>
      <c r="E70" t="inlineStr">
        <is>
          <t>Auxiliar</t>
        </is>
      </c>
      <c r="F70" t="inlineStr">
        <is>
          <t>Artículo</t>
        </is>
      </c>
      <c r="G70" t="inlineStr">
        <is>
          <t>M01-0153</t>
        </is>
      </c>
      <c r="H70" t="n">
        <v>6.8571</v>
      </c>
      <c r="I70" t="n">
        <v>5674.86</v>
      </c>
      <c r="J70" t="n">
        <v>38913.08</v>
      </c>
    </row>
    <row r="71">
      <c r="A71" t="inlineStr">
        <is>
          <t>VN-L.32</t>
        </is>
      </c>
      <c r="B71" t="n">
        <v>85</v>
      </c>
      <c r="C71" t="n">
        <v>1.3</v>
      </c>
      <c r="D71" t="inlineStr">
        <is>
          <t>TUBO RED 11/4X1.8 HN</t>
        </is>
      </c>
      <c r="E71" t="inlineStr">
        <is>
          <t>Auxiliar</t>
        </is>
      </c>
      <c r="F71" t="inlineStr">
        <is>
          <t>Artículo</t>
        </is>
      </c>
      <c r="G71" t="inlineStr">
        <is>
          <t>M13-0088</t>
        </is>
      </c>
      <c r="H71" t="n">
        <v>17.487</v>
      </c>
      <c r="I71" t="n">
        <v>13537.4</v>
      </c>
      <c r="J71" t="n">
        <v>236728.51</v>
      </c>
    </row>
    <row r="72">
      <c r="A72" t="inlineStr">
        <is>
          <t>VN-L.32</t>
        </is>
      </c>
      <c r="B72" t="n">
        <v>89</v>
      </c>
      <c r="C72" t="n">
        <v>1.3</v>
      </c>
      <c r="D72" t="inlineStr">
        <is>
          <t>PINTURA SUPER DRY GALON</t>
        </is>
      </c>
      <c r="E72" t="inlineStr">
        <is>
          <t>Auxiliar</t>
        </is>
      </c>
      <c r="F72" t="inlineStr">
        <is>
          <t>Artículo</t>
        </is>
      </c>
      <c r="G72" t="inlineStr">
        <is>
          <t>M11-0073</t>
        </is>
      </c>
      <c r="H72" t="n">
        <v>0.6245000000000001</v>
      </c>
      <c r="I72" t="n">
        <v>24555.9961</v>
      </c>
      <c r="J72" t="n">
        <v>15335.22</v>
      </c>
    </row>
    <row r="73">
      <c r="A73" t="inlineStr">
        <is>
          <t>VN-L.32</t>
        </is>
      </c>
      <c r="B73" t="n">
        <v>90</v>
      </c>
      <c r="C73" t="n">
        <v>1.4</v>
      </c>
      <c r="D73" t="inlineStr">
        <is>
          <t>HOJALATERIA 60cm</t>
        </is>
      </c>
      <c r="E73" t="inlineStr">
        <is>
          <t>Auxiliar</t>
        </is>
      </c>
      <c r="F73" t="inlineStr">
        <is>
          <t>Artículo</t>
        </is>
      </c>
      <c r="G73" t="inlineStr">
        <is>
          <t>M15-0057</t>
        </is>
      </c>
      <c r="H73" t="n">
        <v>142.3944</v>
      </c>
      <c r="I73" t="n">
        <v>2045.3</v>
      </c>
      <c r="J73" t="n">
        <v>291239.27</v>
      </c>
    </row>
    <row r="74">
      <c r="A74" t="inlineStr">
        <is>
          <t>VN-L.32</t>
        </is>
      </c>
      <c r="B74" t="n">
        <v>91</v>
      </c>
      <c r="C74" t="n">
        <v>1.4</v>
      </c>
      <c r="D74" t="inlineStr">
        <is>
          <t>TORNILLO TORLAK 1" PTA BROCA</t>
        </is>
      </c>
      <c r="E74" t="inlineStr">
        <is>
          <t>Auxiliar</t>
        </is>
      </c>
      <c r="F74" t="inlineStr">
        <is>
          <t>Artículo</t>
        </is>
      </c>
      <c r="G74" t="inlineStr">
        <is>
          <t>M06-0105</t>
        </is>
      </c>
      <c r="H74" t="n">
        <v>1498.8879</v>
      </c>
      <c r="I74" t="n">
        <v>5.875999999999999</v>
      </c>
      <c r="J74" t="n">
        <v>8807.469999999999</v>
      </c>
    </row>
    <row r="75">
      <c r="A75" t="inlineStr">
        <is>
          <t>VN-L.32</t>
        </is>
      </c>
      <c r="B75" t="n">
        <v>92</v>
      </c>
      <c r="C75" t="n">
        <v>1.4</v>
      </c>
      <c r="D75" t="inlineStr">
        <is>
          <t>PLATINA HN 3/4X1/8</t>
        </is>
      </c>
      <c r="E75" t="inlineStr">
        <is>
          <t>Auxiliar</t>
        </is>
      </c>
      <c r="F75" t="inlineStr">
        <is>
          <t>Artículo</t>
        </is>
      </c>
      <c r="G75" t="inlineStr">
        <is>
          <t>M01-0008</t>
        </is>
      </c>
      <c r="H75" t="n">
        <v>2.4981</v>
      </c>
      <c r="I75" t="n">
        <v>1747.8614</v>
      </c>
      <c r="J75" t="n">
        <v>4366.33</v>
      </c>
    </row>
    <row r="76">
      <c r="A76" t="inlineStr">
        <is>
          <t>VN-L.32</t>
        </is>
      </c>
      <c r="B76" t="n">
        <v>93</v>
      </c>
      <c r="C76" t="n">
        <v>1.4</v>
      </c>
      <c r="D76" t="inlineStr">
        <is>
          <t>SIKAFLEX 1A PLUS</t>
        </is>
      </c>
      <c r="E76" t="inlineStr">
        <is>
          <t>Auxiliar</t>
        </is>
      </c>
      <c r="F76" t="inlineStr">
        <is>
          <t>Artículo</t>
        </is>
      </c>
      <c r="G76" t="inlineStr">
        <is>
          <t>M06-0023</t>
        </is>
      </c>
      <c r="H76" t="n">
        <v>12.4907</v>
      </c>
      <c r="I76" t="n">
        <v>4307.31</v>
      </c>
      <c r="J76" t="n">
        <v>53801.32</v>
      </c>
    </row>
    <row r="77">
      <c r="A77" t="inlineStr">
        <is>
          <t>VN-L.32</t>
        </is>
      </c>
      <c r="B77" t="n">
        <v>94</v>
      </c>
      <c r="C77" t="n">
        <v>1.4</v>
      </c>
      <c r="D77" t="inlineStr">
        <is>
          <t>PLATINA HN 1/8"X 1 1/2</t>
        </is>
      </c>
      <c r="E77" t="inlineStr">
        <is>
          <t>Auxiliar</t>
        </is>
      </c>
      <c r="F77" t="inlineStr">
        <is>
          <t>Artículo</t>
        </is>
      </c>
      <c r="G77" t="inlineStr">
        <is>
          <t>M01-0013</t>
        </is>
      </c>
      <c r="H77" t="n">
        <v>2.4981</v>
      </c>
      <c r="I77" t="n">
        <v>3799.997899999999</v>
      </c>
      <c r="J77" t="n">
        <v>9492.77</v>
      </c>
    </row>
    <row r="78">
      <c r="A78" t="inlineStr">
        <is>
          <t>VN-L.32</t>
        </is>
      </c>
      <c r="B78" t="n">
        <v>95</v>
      </c>
      <c r="C78" t="n">
        <v>1.4</v>
      </c>
      <c r="D78" t="inlineStr">
        <is>
          <t>HOJALATERIA 30cm</t>
        </is>
      </c>
      <c r="E78" t="inlineStr">
        <is>
          <t>Auxiliar</t>
        </is>
      </c>
      <c r="F78" t="inlineStr">
        <is>
          <t>Artículo</t>
        </is>
      </c>
      <c r="G78" t="inlineStr">
        <is>
          <t>M15-0056</t>
        </is>
      </c>
      <c r="H78" t="n">
        <v>29.9778</v>
      </c>
      <c r="I78" t="n">
        <v>1120.96</v>
      </c>
      <c r="J78" t="n">
        <v>33603.91</v>
      </c>
    </row>
    <row r="79">
      <c r="A79" t="inlineStr">
        <is>
          <t>VN-L.32</t>
        </is>
      </c>
      <c r="B79" t="n">
        <v>96</v>
      </c>
      <c r="C79" t="n">
        <v>1.5</v>
      </c>
      <c r="D79" t="inlineStr">
        <is>
          <t>VARILLA DEFORME #3</t>
        </is>
      </c>
      <c r="E79" t="inlineStr">
        <is>
          <t>Auxiliar</t>
        </is>
      </c>
      <c r="F79" t="inlineStr">
        <is>
          <t>Artículo</t>
        </is>
      </c>
      <c r="G79" t="inlineStr">
        <is>
          <t>M01-0147</t>
        </is>
      </c>
      <c r="H79" t="n">
        <v>99.4286</v>
      </c>
      <c r="I79" t="n">
        <v>1344.7</v>
      </c>
      <c r="J79" t="n">
        <v>133701.64</v>
      </c>
    </row>
    <row r="80">
      <c r="A80" t="inlineStr">
        <is>
          <t>VN-L.32</t>
        </is>
      </c>
      <c r="B80" t="n">
        <v>97</v>
      </c>
      <c r="C80" t="n">
        <v>1.5</v>
      </c>
      <c r="D80" t="inlineStr">
        <is>
          <t>ALAMBRE NEGRO #16 (1.68MM)</t>
        </is>
      </c>
      <c r="E80" t="inlineStr">
        <is>
          <t>Auxiliar</t>
        </is>
      </c>
      <c r="F80" t="inlineStr">
        <is>
          <t>Artículo</t>
        </is>
      </c>
      <c r="G80" t="inlineStr">
        <is>
          <t>M01-0001</t>
        </is>
      </c>
      <c r="H80" t="n">
        <v>30.9714</v>
      </c>
      <c r="I80" t="n">
        <v>586.8542</v>
      </c>
      <c r="J80" t="n">
        <v>18175.7</v>
      </c>
    </row>
    <row r="81">
      <c r="A81" t="inlineStr">
        <is>
          <t>VN-L.32</t>
        </is>
      </c>
      <c r="B81" t="n">
        <v>98</v>
      </c>
      <c r="C81" t="n">
        <v>1.5</v>
      </c>
      <c r="D81" t="inlineStr">
        <is>
          <t>DISCO CORTE FINO METAL 4-1/2</t>
        </is>
      </c>
      <c r="E81" t="inlineStr">
        <is>
          <t>Auxiliar</t>
        </is>
      </c>
      <c r="F81" t="inlineStr">
        <is>
          <t>Artículo</t>
        </is>
      </c>
      <c r="G81" t="inlineStr">
        <is>
          <t>M08-0051</t>
        </is>
      </c>
      <c r="H81" t="n">
        <v>2.4981</v>
      </c>
      <c r="I81" t="n">
        <v>3661.2</v>
      </c>
      <c r="J81" t="n">
        <v>9146.040000000001</v>
      </c>
    </row>
    <row r="82">
      <c r="A82" t="inlineStr">
        <is>
          <t>VN-L.32</t>
        </is>
      </c>
      <c r="B82" t="n">
        <v>99</v>
      </c>
      <c r="C82" t="n">
        <v>1.5</v>
      </c>
      <c r="D82" t="inlineStr">
        <is>
          <t>DISCO CORTE METAL FINO 9"</t>
        </is>
      </c>
      <c r="E82" t="inlineStr">
        <is>
          <t>Auxiliar</t>
        </is>
      </c>
      <c r="F82" t="inlineStr">
        <is>
          <t>Artículo</t>
        </is>
      </c>
      <c r="G82" t="inlineStr">
        <is>
          <t>M08-0037</t>
        </is>
      </c>
      <c r="H82" t="n">
        <v>2.4981</v>
      </c>
      <c r="I82" t="n">
        <v>3037.6321</v>
      </c>
      <c r="J82" t="n">
        <v>7588.31</v>
      </c>
    </row>
    <row r="83">
      <c r="A83" t="inlineStr">
        <is>
          <t>VN-L.32</t>
        </is>
      </c>
      <c r="B83" t="n">
        <v>100</v>
      </c>
      <c r="C83" t="n">
        <v>1.5</v>
      </c>
      <c r="D83" t="inlineStr">
        <is>
          <t>CONCRETO FC 210 KG/CM2 NORMAL</t>
        </is>
      </c>
      <c r="E83" t="inlineStr">
        <is>
          <t>Auxiliar</t>
        </is>
      </c>
      <c r="F83" t="inlineStr">
        <is>
          <t>Artículo</t>
        </is>
      </c>
      <c r="G83" t="inlineStr">
        <is>
          <t>M10-0065</t>
        </is>
      </c>
      <c r="H83" t="n">
        <v>9.3409</v>
      </c>
      <c r="I83" t="n">
        <v>78867.08439999999</v>
      </c>
      <c r="J83" t="n">
        <v>736689.55</v>
      </c>
    </row>
    <row r="84">
      <c r="A84" t="inlineStr">
        <is>
          <t>VN-L.32</t>
        </is>
      </c>
      <c r="B84" t="n">
        <v>101</v>
      </c>
      <c r="C84" t="n">
        <v>1.5</v>
      </c>
      <c r="D84" t="inlineStr">
        <is>
          <t>VARILLA DEFORME #2</t>
        </is>
      </c>
      <c r="E84" t="inlineStr">
        <is>
          <t>Auxiliar</t>
        </is>
      </c>
      <c r="F84" t="inlineStr">
        <is>
          <t>Artículo</t>
        </is>
      </c>
      <c r="G84" t="inlineStr">
        <is>
          <t>M01-0146</t>
        </is>
      </c>
      <c r="H84" t="n">
        <v>17.1429</v>
      </c>
      <c r="I84" t="n">
        <v>569.8024999999999</v>
      </c>
      <c r="J84" t="n">
        <v>9768.07</v>
      </c>
    </row>
    <row r="85">
      <c r="A85" t="inlineStr">
        <is>
          <t>VN-L.32</t>
        </is>
      </c>
      <c r="B85" t="n">
        <v>102</v>
      </c>
      <c r="C85" t="n">
        <v>1.5</v>
      </c>
      <c r="D85" t="inlineStr">
        <is>
          <t>LASTRE FINO</t>
        </is>
      </c>
      <c r="E85" t="inlineStr">
        <is>
          <t>Auxiliar</t>
        </is>
      </c>
      <c r="F85" t="inlineStr">
        <is>
          <t>Artículo</t>
        </is>
      </c>
      <c r="G85" t="inlineStr">
        <is>
          <t>M10-0023</t>
        </is>
      </c>
      <c r="H85" t="n">
        <v>38.7213</v>
      </c>
      <c r="I85" t="n">
        <v>14166.6631</v>
      </c>
      <c r="J85" t="n">
        <v>548551.61</v>
      </c>
    </row>
    <row r="86">
      <c r="A86" t="inlineStr">
        <is>
          <t>VN-L.32</t>
        </is>
      </c>
      <c r="B86" t="n">
        <v>103</v>
      </c>
      <c r="C86" t="n">
        <v>1.5</v>
      </c>
      <c r="D86" t="inlineStr">
        <is>
          <t>MALLA ELECTROSOLDADA #2 (5.3 MM)</t>
        </is>
      </c>
      <c r="E86" t="inlineStr">
        <is>
          <t>Auxiliar</t>
        </is>
      </c>
      <c r="F86" t="inlineStr">
        <is>
          <t>Artículo</t>
        </is>
      </c>
      <c r="G86" t="inlineStr">
        <is>
          <t>M01-0145</t>
        </is>
      </c>
      <c r="H86" t="n">
        <v>10.8571</v>
      </c>
      <c r="I86" t="n">
        <v>18762.4974</v>
      </c>
      <c r="J86" t="n">
        <v>203706.31</v>
      </c>
    </row>
    <row r="87">
      <c r="A87" t="inlineStr">
        <is>
          <t>VN-L.32</t>
        </is>
      </c>
      <c r="B87" t="n">
        <v>104</v>
      </c>
      <c r="C87" t="n">
        <v>1.5</v>
      </c>
      <c r="D87" t="inlineStr">
        <is>
          <t>ROLLO PLASTICO NEGRO 3,6MX100M</t>
        </is>
      </c>
      <c r="E87" t="inlineStr">
        <is>
          <t>Auxiliar</t>
        </is>
      </c>
      <c r="F87" t="inlineStr">
        <is>
          <t>Artículo</t>
        </is>
      </c>
      <c r="G87" t="inlineStr">
        <is>
          <t>M06-0242</t>
        </is>
      </c>
      <c r="H87" t="n">
        <v>0.216</v>
      </c>
      <c r="I87" t="n">
        <v>65407.05549999999</v>
      </c>
      <c r="J87" t="n">
        <v>14127.92</v>
      </c>
    </row>
    <row r="88">
      <c r="A88" t="inlineStr">
        <is>
          <t>VN-L.32</t>
        </is>
      </c>
      <c r="B88" t="n">
        <v>105</v>
      </c>
      <c r="C88" t="n">
        <v>1.5</v>
      </c>
      <c r="D88" t="inlineStr">
        <is>
          <t>PIEDRA P/LAVADO GRUESA GRIS CON VERDE</t>
        </is>
      </c>
      <c r="E88" t="inlineStr">
        <is>
          <t>Auxiliar</t>
        </is>
      </c>
      <c r="F88" t="inlineStr">
        <is>
          <t>Artículo</t>
        </is>
      </c>
      <c r="G88" t="inlineStr">
        <is>
          <t>M10-0021</t>
        </is>
      </c>
      <c r="H88" t="n">
        <v>24.9815</v>
      </c>
      <c r="I88" t="n">
        <v>4520</v>
      </c>
      <c r="J88" t="n">
        <v>112916.38</v>
      </c>
    </row>
    <row r="89">
      <c r="A89" t="inlineStr">
        <is>
          <t>VN-L.32</t>
        </is>
      </c>
      <c r="B89" t="n">
        <v>106</v>
      </c>
      <c r="C89" t="n">
        <v>1.5</v>
      </c>
      <c r="D89" t="inlineStr">
        <is>
          <t>MAXICLEAR BRILLANTE</t>
        </is>
      </c>
      <c r="E89" t="inlineStr">
        <is>
          <t>Auxiliar</t>
        </is>
      </c>
      <c r="F89" t="inlineStr">
        <is>
          <t>Artículo</t>
        </is>
      </c>
      <c r="G89" t="inlineStr">
        <is>
          <t>M11-0111</t>
        </is>
      </c>
      <c r="H89" t="n">
        <v>2.4981</v>
      </c>
      <c r="I89" t="n">
        <v>29260.0053</v>
      </c>
      <c r="J89" t="n">
        <v>73094.42</v>
      </c>
    </row>
    <row r="90">
      <c r="A90" t="inlineStr">
        <is>
          <t>VN-L.32</t>
        </is>
      </c>
      <c r="B90" t="n">
        <v>108</v>
      </c>
      <c r="C90" t="n">
        <v>1.5</v>
      </c>
      <c r="D90" t="inlineStr">
        <is>
          <t>BALDOSA LISA 1,5M LARGO (140x50x4)</t>
        </is>
      </c>
      <c r="E90" t="inlineStr">
        <is>
          <t>Auxiliar</t>
        </is>
      </c>
      <c r="F90" t="inlineStr">
        <is>
          <t>Artículo</t>
        </is>
      </c>
      <c r="G90" t="inlineStr">
        <is>
          <t>M10-0094</t>
        </is>
      </c>
      <c r="H90" t="n">
        <v>74.9444</v>
      </c>
      <c r="I90" t="n">
        <v>6988.62</v>
      </c>
      <c r="J90" t="n">
        <v>523757.93</v>
      </c>
    </row>
    <row r="91">
      <c r="A91" t="inlineStr">
        <is>
          <t>VN-L.32</t>
        </is>
      </c>
      <c r="B91" t="n">
        <v>111</v>
      </c>
      <c r="C91" t="n">
        <v>1.5</v>
      </c>
      <c r="D91" t="inlineStr">
        <is>
          <t>COLUMNA EN T PREFA 3,30x12x12</t>
        </is>
      </c>
      <c r="E91" t="inlineStr">
        <is>
          <t>Auxiliar</t>
        </is>
      </c>
      <c r="F91" t="inlineStr">
        <is>
          <t>Artículo</t>
        </is>
      </c>
      <c r="G91" t="inlineStr">
        <is>
          <t xml:space="preserve">M10-0095 </t>
        </is>
      </c>
      <c r="H91" t="n">
        <v>2.4981</v>
      </c>
      <c r="I91" t="n">
        <v>6115.08</v>
      </c>
      <c r="J91" t="n">
        <v>15276.08</v>
      </c>
    </row>
    <row r="92">
      <c r="A92" t="inlineStr">
        <is>
          <t>VN-L.32</t>
        </is>
      </c>
      <c r="B92" t="n">
        <v>112</v>
      </c>
      <c r="C92" t="n">
        <v>1.5</v>
      </c>
      <c r="D92" t="inlineStr">
        <is>
          <t>COLUMNA PREFA 3,30x12x12</t>
        </is>
      </c>
      <c r="E92" t="inlineStr">
        <is>
          <t>Auxiliar</t>
        </is>
      </c>
      <c r="F92" t="inlineStr">
        <is>
          <t>Artículo</t>
        </is>
      </c>
      <c r="G92" t="inlineStr">
        <is>
          <t xml:space="preserve">M10-0097 </t>
        </is>
      </c>
      <c r="H92" t="n">
        <v>17.487</v>
      </c>
      <c r="I92" t="n">
        <v>6877.890000000001</v>
      </c>
      <c r="J92" t="n">
        <v>120273.66</v>
      </c>
    </row>
    <row r="93">
      <c r="A93" t="inlineStr">
        <is>
          <t>VN-L.32</t>
        </is>
      </c>
      <c r="B93" t="n">
        <v>113</v>
      </c>
      <c r="C93" t="n">
        <v>1.5</v>
      </c>
      <c r="D93" t="inlineStr">
        <is>
          <t>PERLING 3X2X15MM EN 1.5MM H.G</t>
        </is>
      </c>
      <c r="E93" t="inlineStr">
        <is>
          <t>Auxiliar</t>
        </is>
      </c>
      <c r="F93" t="inlineStr">
        <is>
          <t>Artículo</t>
        </is>
      </c>
      <c r="G93" t="inlineStr">
        <is>
          <t>M01-0142</t>
        </is>
      </c>
      <c r="H93" t="n">
        <v>4.9963</v>
      </c>
      <c r="I93" t="n">
        <v>6785.536999999999</v>
      </c>
      <c r="J93" t="n">
        <v>33902.58</v>
      </c>
    </row>
    <row r="94">
      <c r="A94" t="inlineStr">
        <is>
          <t>VN-L.32</t>
        </is>
      </c>
      <c r="B94" t="n">
        <v>114</v>
      </c>
      <c r="C94" t="n">
        <v>1.5</v>
      </c>
      <c r="D94" t="inlineStr">
        <is>
          <t>SOLDADURA 3/32 (6013)</t>
        </is>
      </c>
      <c r="E94" t="inlineStr">
        <is>
          <t>Auxiliar</t>
        </is>
      </c>
      <c r="F94" t="inlineStr">
        <is>
          <t>Artículo</t>
        </is>
      </c>
      <c r="G94" t="inlineStr">
        <is>
          <t>M01-0055</t>
        </is>
      </c>
      <c r="H94" t="n">
        <v>0.2524</v>
      </c>
      <c r="I94" t="n">
        <v>3600.0331</v>
      </c>
      <c r="J94" t="n">
        <v>908.65</v>
      </c>
    </row>
    <row r="95">
      <c r="A95" t="inlineStr">
        <is>
          <t>VN-L.32</t>
        </is>
      </c>
      <c r="B95" t="n">
        <v>115</v>
      </c>
      <c r="C95" t="n">
        <v>1.5</v>
      </c>
      <c r="D95" t="inlineStr">
        <is>
          <t>GEOCELDAS P/ZACATE 56X56</t>
        </is>
      </c>
      <c r="E95" t="inlineStr">
        <is>
          <t>Auxiliar</t>
        </is>
      </c>
      <c r="F95" t="inlineStr">
        <is>
          <t>Artículo</t>
        </is>
      </c>
      <c r="G95" t="inlineStr">
        <is>
          <t>M06-0206</t>
        </is>
      </c>
      <c r="H95" t="n">
        <v>60.2232</v>
      </c>
      <c r="I95" t="n">
        <v>2418.2</v>
      </c>
      <c r="J95" t="n">
        <v>145631.74</v>
      </c>
    </row>
    <row r="96">
      <c r="A96" t="inlineStr">
        <is>
          <t>VN-L.32</t>
        </is>
      </c>
      <c r="B96" t="n">
        <v>116</v>
      </c>
      <c r="C96" t="n">
        <v>1.5</v>
      </c>
      <c r="D96" t="inlineStr">
        <is>
          <t>PIEDRA QUINTILLA BLANCA</t>
        </is>
      </c>
      <c r="E96" t="inlineStr">
        <is>
          <t>Auxiliar</t>
        </is>
      </c>
      <c r="F96" t="inlineStr">
        <is>
          <t>Artículo</t>
        </is>
      </c>
      <c r="G96" t="inlineStr">
        <is>
          <t>M10-0030</t>
        </is>
      </c>
      <c r="H96" t="n">
        <v>1.1691</v>
      </c>
      <c r="I96" t="n">
        <v>17012.15</v>
      </c>
      <c r="J96" t="n">
        <v>19888.9</v>
      </c>
    </row>
    <row r="97">
      <c r="A97" t="inlineStr">
        <is>
          <t>VN-L.32</t>
        </is>
      </c>
      <c r="B97" t="n">
        <v>117</v>
      </c>
      <c r="C97" t="n">
        <v>1.6</v>
      </c>
      <c r="D97" t="inlineStr">
        <is>
          <t>GYPSUM DENSGLASS 12MM</t>
        </is>
      </c>
      <c r="E97" t="inlineStr">
        <is>
          <t>Auxiliar</t>
        </is>
      </c>
      <c r="F97" t="inlineStr">
        <is>
          <t>Artículo</t>
        </is>
      </c>
      <c r="G97" t="inlineStr">
        <is>
          <t>M04-0016</t>
        </is>
      </c>
      <c r="H97" t="n">
        <v>84.937</v>
      </c>
      <c r="I97" t="n">
        <v>17952.0049</v>
      </c>
      <c r="J97" t="n">
        <v>1524789.44</v>
      </c>
    </row>
    <row r="98">
      <c r="A98" t="inlineStr">
        <is>
          <t>VN-L.32</t>
        </is>
      </c>
      <c r="B98" t="n">
        <v>118</v>
      </c>
      <c r="C98" t="n">
        <v>1.6</v>
      </c>
      <c r="D98" t="inlineStr">
        <is>
          <t>STUD 3X10 CAL#25</t>
        </is>
      </c>
      <c r="E98" t="inlineStr">
        <is>
          <t>Auxiliar</t>
        </is>
      </c>
      <c r="F98" t="inlineStr">
        <is>
          <t>Artículo</t>
        </is>
      </c>
      <c r="G98" t="inlineStr">
        <is>
          <t>M04-0038</t>
        </is>
      </c>
      <c r="H98" t="n">
        <v>129.9036</v>
      </c>
      <c r="I98" t="n">
        <v>853.4663999999999</v>
      </c>
      <c r="J98" t="n">
        <v>110868.36</v>
      </c>
    </row>
    <row r="99">
      <c r="A99" t="inlineStr">
        <is>
          <t>VN-L.32</t>
        </is>
      </c>
      <c r="B99" t="n">
        <v>119</v>
      </c>
      <c r="C99" t="n">
        <v>1.6</v>
      </c>
      <c r="D99" t="inlineStr">
        <is>
          <t>TRACK 3X10 CAL#25</t>
        </is>
      </c>
      <c r="E99" t="inlineStr">
        <is>
          <t>Auxiliar</t>
        </is>
      </c>
      <c r="F99" t="inlineStr">
        <is>
          <t>Artículo</t>
        </is>
      </c>
      <c r="G99" t="inlineStr">
        <is>
          <t>M04-0043</t>
        </is>
      </c>
      <c r="H99" t="n">
        <v>39.9703</v>
      </c>
      <c r="I99" t="n">
        <v>711.5383999999999</v>
      </c>
      <c r="J99" t="n">
        <v>28440.4</v>
      </c>
    </row>
    <row r="100">
      <c r="A100" t="inlineStr">
        <is>
          <t>VN-L.32</t>
        </is>
      </c>
      <c r="B100" t="n">
        <v>120</v>
      </c>
      <c r="C100" t="n">
        <v>1.6</v>
      </c>
      <c r="D100" t="inlineStr">
        <is>
          <t>CINTA MALLA ADHESIVA P/GYP (45M)</t>
        </is>
      </c>
      <c r="E100" t="inlineStr">
        <is>
          <t>Auxiliar</t>
        </is>
      </c>
      <c r="F100" t="inlineStr">
        <is>
          <t>Artículo</t>
        </is>
      </c>
      <c r="G100" t="inlineStr">
        <is>
          <t>M04-0015</t>
        </is>
      </c>
      <c r="H100" t="n">
        <v>6.8571</v>
      </c>
      <c r="I100" t="n">
        <v>1477.7575</v>
      </c>
      <c r="J100" t="n">
        <v>10133.13</v>
      </c>
    </row>
    <row r="101">
      <c r="A101" t="inlineStr">
        <is>
          <t>VN-L.32</t>
        </is>
      </c>
      <c r="B101" t="n">
        <v>121</v>
      </c>
      <c r="C101" t="n">
        <v>1.6</v>
      </c>
      <c r="D101" t="inlineStr">
        <is>
          <t>MOLDURA J PLASTICA 1/2 X 10</t>
        </is>
      </c>
      <c r="E101" t="inlineStr">
        <is>
          <t>Auxiliar</t>
        </is>
      </c>
      <c r="F101" t="inlineStr">
        <is>
          <t>Artículo</t>
        </is>
      </c>
      <c r="G101" t="inlineStr">
        <is>
          <t>M04-0051</t>
        </is>
      </c>
      <c r="H101" t="n">
        <v>82.4388</v>
      </c>
      <c r="I101" t="n">
        <v>974.0599999999999</v>
      </c>
      <c r="J101" t="n">
        <v>80300.34</v>
      </c>
    </row>
    <row r="102">
      <c r="A102" t="inlineStr">
        <is>
          <t>VN-L.32</t>
        </is>
      </c>
      <c r="B102" t="n">
        <v>122</v>
      </c>
      <c r="C102" t="n">
        <v>1.6</v>
      </c>
      <c r="D102" t="inlineStr">
        <is>
          <t>ESQUINERO PLASTICO 1 1/4X10</t>
        </is>
      </c>
      <c r="E102" t="inlineStr">
        <is>
          <t>Auxiliar</t>
        </is>
      </c>
      <c r="F102" t="inlineStr">
        <is>
          <t>Artículo</t>
        </is>
      </c>
      <c r="G102" t="inlineStr">
        <is>
          <t>M04-0047</t>
        </is>
      </c>
      <c r="H102" t="n">
        <v>82.4388</v>
      </c>
      <c r="I102" t="n">
        <v>942.42</v>
      </c>
      <c r="J102" t="n">
        <v>77691.97</v>
      </c>
    </row>
    <row r="103">
      <c r="A103" t="inlineStr">
        <is>
          <t>VN-L.32</t>
        </is>
      </c>
      <c r="B103" t="n">
        <v>123</v>
      </c>
      <c r="C103" t="n">
        <v>1.6</v>
      </c>
      <c r="D103" t="inlineStr">
        <is>
          <t>TORNILLO GYPSUM 7/16 PUNTA FINA CON ARANDELA</t>
        </is>
      </c>
      <c r="E103" t="inlineStr">
        <is>
          <t>Auxiliar</t>
        </is>
      </c>
      <c r="F103" t="inlineStr">
        <is>
          <t>Artículo</t>
        </is>
      </c>
      <c r="G103" t="inlineStr">
        <is>
          <t>M06-0112</t>
        </is>
      </c>
      <c r="H103" t="n">
        <v>3612.3199</v>
      </c>
      <c r="I103" t="n">
        <v>3.9211</v>
      </c>
      <c r="J103" t="n">
        <v>14164.27</v>
      </c>
    </row>
    <row r="104">
      <c r="A104" t="inlineStr">
        <is>
          <t>VN-L.32</t>
        </is>
      </c>
      <c r="B104" t="n">
        <v>124</v>
      </c>
      <c r="C104" t="n">
        <v>1.6</v>
      </c>
      <c r="D104" t="inlineStr">
        <is>
          <t>TORNILLO GYPSUM  7/16 PUNTA BROCA CON ARANDELA</t>
        </is>
      </c>
      <c r="E104" t="inlineStr">
        <is>
          <t>Auxiliar</t>
        </is>
      </c>
      <c r="F104" t="inlineStr">
        <is>
          <t>Artículo</t>
        </is>
      </c>
      <c r="G104" t="inlineStr">
        <is>
          <t>M06-0306</t>
        </is>
      </c>
      <c r="H104" t="n">
        <v>2498.1465</v>
      </c>
      <c r="I104" t="n">
        <v>4.3731</v>
      </c>
      <c r="J104" t="n">
        <v>10924.64</v>
      </c>
    </row>
    <row r="105">
      <c r="A105" t="inlineStr">
        <is>
          <t>VN-L.32</t>
        </is>
      </c>
      <c r="B105" t="n">
        <v>125</v>
      </c>
      <c r="C105" t="n">
        <v>1.6</v>
      </c>
      <c r="D105" t="inlineStr">
        <is>
          <t>TORNILLO P/GYP 1-1/4 P FINA</t>
        </is>
      </c>
      <c r="E105" t="inlineStr">
        <is>
          <t>Auxiliar</t>
        </is>
      </c>
      <c r="F105" t="inlineStr">
        <is>
          <t>Artículo</t>
        </is>
      </c>
      <c r="G105" t="inlineStr">
        <is>
          <t>M06-0116</t>
        </is>
      </c>
      <c r="H105" t="n">
        <v>6769.9771</v>
      </c>
      <c r="I105" t="n">
        <v>4.1697</v>
      </c>
      <c r="J105" t="n">
        <v>28228.77</v>
      </c>
    </row>
    <row r="106">
      <c r="A106" t="inlineStr">
        <is>
          <t>VN-L.32</t>
        </is>
      </c>
      <c r="B106" t="n">
        <v>126</v>
      </c>
      <c r="C106" t="n">
        <v>1.6</v>
      </c>
      <c r="D106" t="inlineStr">
        <is>
          <t>TABLILLA PVC 0,20 X 5,95 M CAFE CLARO</t>
        </is>
      </c>
      <c r="E106" t="inlineStr">
        <is>
          <t>Auxiliar</t>
        </is>
      </c>
      <c r="F106" t="inlineStr">
        <is>
          <t>Artículo</t>
        </is>
      </c>
      <c r="G106" t="inlineStr">
        <is>
          <t>M04-0055</t>
        </is>
      </c>
      <c r="H106" t="n">
        <v>27.4796</v>
      </c>
      <c r="I106" t="n">
        <v>6930.244799999999</v>
      </c>
      <c r="J106" t="n">
        <v>190440.36</v>
      </c>
    </row>
    <row r="107">
      <c r="A107" t="inlineStr">
        <is>
          <t>VN-L.32</t>
        </is>
      </c>
      <c r="B107" t="n">
        <v>127</v>
      </c>
      <c r="C107" t="n">
        <v>1.6</v>
      </c>
      <c r="D107" t="inlineStr">
        <is>
          <t>CORNIZA PARA TABLILLA PVC BLANCA</t>
        </is>
      </c>
      <c r="E107" t="inlineStr">
        <is>
          <t>Auxiliar</t>
        </is>
      </c>
      <c r="F107" t="inlineStr">
        <is>
          <t>Artículo</t>
        </is>
      </c>
      <c r="G107" t="inlineStr">
        <is>
          <t>M04-0045</t>
        </is>
      </c>
      <c r="H107" t="n">
        <v>4.9963</v>
      </c>
      <c r="I107" t="n">
        <v>2227.5464</v>
      </c>
      <c r="J107" t="n">
        <v>11129.49</v>
      </c>
    </row>
    <row r="108">
      <c r="A108" t="inlineStr">
        <is>
          <t>VN-L.32</t>
        </is>
      </c>
      <c r="B108" t="n">
        <v>128</v>
      </c>
      <c r="C108" t="n">
        <v>1.6</v>
      </c>
      <c r="D108" t="inlineStr">
        <is>
          <t>ANGULAR CHANNEL 1X3" 0.36MM 3.05M</t>
        </is>
      </c>
      <c r="E108" t="inlineStr">
        <is>
          <t>Auxiliar</t>
        </is>
      </c>
      <c r="F108" t="inlineStr">
        <is>
          <t>Artículo</t>
        </is>
      </c>
      <c r="G108" t="inlineStr">
        <is>
          <t>M04-0033</t>
        </is>
      </c>
      <c r="H108" t="n">
        <v>52.4611</v>
      </c>
      <c r="I108" t="n">
        <v>531.0999999999999</v>
      </c>
      <c r="J108" t="n">
        <v>27862.09</v>
      </c>
    </row>
    <row r="109">
      <c r="A109" t="inlineStr">
        <is>
          <t>VN-L.32</t>
        </is>
      </c>
      <c r="B109" t="n">
        <v>129</v>
      </c>
      <c r="C109" t="n">
        <v>1.6</v>
      </c>
      <c r="D109" t="inlineStr">
        <is>
          <t>CANAL U 1 1/2X16X4.88 CAL #20</t>
        </is>
      </c>
      <c r="E109" t="inlineStr">
        <is>
          <t>Auxiliar</t>
        </is>
      </c>
      <c r="F109" t="inlineStr">
        <is>
          <t>Artículo</t>
        </is>
      </c>
      <c r="G109" t="inlineStr">
        <is>
          <t>M04-0034</t>
        </is>
      </c>
      <c r="H109" t="n">
        <v>27.4796</v>
      </c>
      <c r="I109" t="n">
        <v>1966.2</v>
      </c>
      <c r="J109" t="n">
        <v>54030.39</v>
      </c>
    </row>
    <row r="110">
      <c r="A110" t="inlineStr">
        <is>
          <t>VN-L.32</t>
        </is>
      </c>
      <c r="B110" t="n">
        <v>130</v>
      </c>
      <c r="C110" t="n">
        <v>1.6</v>
      </c>
      <c r="D110" t="inlineStr">
        <is>
          <t>FURRING CALIBRE 0.36X 3.66 CM</t>
        </is>
      </c>
      <c r="E110" t="inlineStr">
        <is>
          <t>Auxiliar</t>
        </is>
      </c>
      <c r="F110" t="inlineStr">
        <is>
          <t>Artículo</t>
        </is>
      </c>
      <c r="G110" t="inlineStr">
        <is>
          <t>M04-0035</t>
        </is>
      </c>
      <c r="H110" t="n">
        <v>102.424</v>
      </c>
      <c r="I110" t="n">
        <v>1231.7</v>
      </c>
      <c r="J110" t="n">
        <v>126155.64</v>
      </c>
    </row>
    <row r="111">
      <c r="A111" t="inlineStr">
        <is>
          <t>VN-L.32</t>
        </is>
      </c>
      <c r="B111" t="n">
        <v>131</v>
      </c>
      <c r="C111" t="n">
        <v>1.6</v>
      </c>
      <c r="D111" t="inlineStr">
        <is>
          <t>CLAVO DE IMPACTO 1" (100)</t>
        </is>
      </c>
      <c r="E111" t="inlineStr">
        <is>
          <t>Auxiliar</t>
        </is>
      </c>
      <c r="F111" t="inlineStr">
        <is>
          <t>Artículo</t>
        </is>
      </c>
      <c r="G111" t="inlineStr">
        <is>
          <t>M06-0043</t>
        </is>
      </c>
      <c r="H111" t="n">
        <v>480.1438</v>
      </c>
      <c r="I111" t="n">
        <v>2118.75</v>
      </c>
      <c r="J111" t="n">
        <v>1017304.68</v>
      </c>
    </row>
    <row r="112">
      <c r="A112" t="inlineStr">
        <is>
          <t>VN-L.32</t>
        </is>
      </c>
      <c r="B112" t="n">
        <v>132</v>
      </c>
      <c r="C112" t="n">
        <v>1.6</v>
      </c>
      <c r="D112" t="inlineStr">
        <is>
          <t>TIRO FULMINANTE P/PISTOLA 25MM (100)</t>
        </is>
      </c>
      <c r="E112" t="inlineStr">
        <is>
          <t>Auxiliar</t>
        </is>
      </c>
      <c r="F112" t="inlineStr">
        <is>
          <t>Artículo</t>
        </is>
      </c>
      <c r="G112" t="inlineStr">
        <is>
          <t>M06-0278</t>
        </is>
      </c>
      <c r="H112" t="n">
        <v>10.2424</v>
      </c>
      <c r="I112" t="n">
        <v>3282.921199999999</v>
      </c>
      <c r="J112" t="n">
        <v>33624.99</v>
      </c>
    </row>
    <row r="113">
      <c r="A113" t="inlineStr">
        <is>
          <t>VN-L.32</t>
        </is>
      </c>
      <c r="B113" t="n">
        <v>133</v>
      </c>
      <c r="C113" t="n">
        <v>1.6</v>
      </c>
      <c r="D113" t="inlineStr">
        <is>
          <t>GYPSUM REGULAR 12MM</t>
        </is>
      </c>
      <c r="E113" t="inlineStr">
        <is>
          <t>Auxiliar</t>
        </is>
      </c>
      <c r="F113" t="inlineStr">
        <is>
          <t>Artículo</t>
        </is>
      </c>
      <c r="G113" t="inlineStr">
        <is>
          <t>M04-0018</t>
        </is>
      </c>
      <c r="H113" t="n">
        <v>84.937</v>
      </c>
      <c r="I113" t="n">
        <v>6384.0028</v>
      </c>
      <c r="J113" t="n">
        <v>542238.05</v>
      </c>
    </row>
    <row r="114">
      <c r="A114" t="inlineStr">
        <is>
          <t>VN-L.32</t>
        </is>
      </c>
      <c r="B114" t="n">
        <v>134</v>
      </c>
      <c r="C114" t="n">
        <v>1.6</v>
      </c>
      <c r="D114" t="inlineStr">
        <is>
          <t>GYPSUM MR VERDE 12MM</t>
        </is>
      </c>
      <c r="E114" t="inlineStr">
        <is>
          <t>Auxiliar</t>
        </is>
      </c>
      <c r="F114" t="inlineStr">
        <is>
          <t>Artículo</t>
        </is>
      </c>
      <c r="G114" t="inlineStr">
        <is>
          <t>M04-0017</t>
        </is>
      </c>
      <c r="H114" t="n">
        <v>4.9963</v>
      </c>
      <c r="I114" t="n">
        <v>8383.684699999998</v>
      </c>
      <c r="J114" t="n">
        <v>41887.4</v>
      </c>
    </row>
    <row r="115">
      <c r="A115" t="inlineStr">
        <is>
          <t>VN-L.32</t>
        </is>
      </c>
      <c r="B115" t="n">
        <v>135</v>
      </c>
      <c r="C115" t="n">
        <v>1.6</v>
      </c>
      <c r="D115" t="inlineStr">
        <is>
          <t>CINTA JUNTAS PAPEL 2 X 250</t>
        </is>
      </c>
      <c r="E115" t="inlineStr">
        <is>
          <t>Auxiliar</t>
        </is>
      </c>
      <c r="F115" t="inlineStr">
        <is>
          <t>Artículo</t>
        </is>
      </c>
      <c r="G115" t="inlineStr">
        <is>
          <t>M04-0014</t>
        </is>
      </c>
      <c r="H115" t="n">
        <v>2.4981</v>
      </c>
      <c r="I115" t="n">
        <v>1182.0591</v>
      </c>
      <c r="J115" t="n">
        <v>2952.9</v>
      </c>
    </row>
    <row r="116">
      <c r="A116" t="inlineStr">
        <is>
          <t>VN-L.32</t>
        </is>
      </c>
      <c r="B116" t="n">
        <v>136</v>
      </c>
      <c r="C116" t="n">
        <v>1.6</v>
      </c>
      <c r="D116" t="inlineStr">
        <is>
          <t>TORNILLO TORLAK 1" PTA BROCA</t>
        </is>
      </c>
      <c r="E116" t="inlineStr">
        <is>
          <t>Auxiliar</t>
        </is>
      </c>
      <c r="F116" t="inlineStr">
        <is>
          <t>Artículo</t>
        </is>
      </c>
      <c r="G116" t="inlineStr">
        <is>
          <t>M06-0105</t>
        </is>
      </c>
      <c r="H116" t="n">
        <v>5745.737</v>
      </c>
      <c r="I116" t="n">
        <v>5.875999999999999</v>
      </c>
      <c r="J116" t="n">
        <v>33761.95</v>
      </c>
    </row>
    <row r="117">
      <c r="A117" t="inlineStr">
        <is>
          <t>VN-L.32</t>
        </is>
      </c>
      <c r="B117" t="n">
        <v>137</v>
      </c>
      <c r="C117" t="n">
        <v>1.6</v>
      </c>
      <c r="D117" t="inlineStr">
        <is>
          <t>STUD 4X10 CAL#25</t>
        </is>
      </c>
      <c r="E117" t="inlineStr">
        <is>
          <t>Auxiliar</t>
        </is>
      </c>
      <c r="F117" t="inlineStr">
        <is>
          <t>Artículo</t>
        </is>
      </c>
      <c r="G117" t="inlineStr">
        <is>
          <t>M04-0039</t>
        </is>
      </c>
      <c r="H117" t="n">
        <v>77.4425</v>
      </c>
      <c r="I117" t="n">
        <v>1069.7032</v>
      </c>
      <c r="J117" t="n">
        <v>82840.49000000001</v>
      </c>
    </row>
    <row r="118">
      <c r="A118" t="inlineStr">
        <is>
          <t>VN-L.32</t>
        </is>
      </c>
      <c r="B118" t="n">
        <v>138</v>
      </c>
      <c r="C118" t="n">
        <v>1.6</v>
      </c>
      <c r="D118" t="inlineStr">
        <is>
          <t>TRACK 4X10 CAL#25</t>
        </is>
      </c>
      <c r="E118" t="inlineStr">
        <is>
          <t>Auxiliar</t>
        </is>
      </c>
      <c r="F118" t="inlineStr">
        <is>
          <t>Artículo</t>
        </is>
      </c>
      <c r="G118" t="inlineStr">
        <is>
          <t>M04-0044</t>
        </is>
      </c>
      <c r="H118" t="n">
        <v>32.4759</v>
      </c>
      <c r="I118" t="n">
        <v>940.1825999999999</v>
      </c>
      <c r="J118" t="n">
        <v>30533.28</v>
      </c>
    </row>
    <row r="119">
      <c r="A119" t="inlineStr">
        <is>
          <t>VN-L.32</t>
        </is>
      </c>
      <c r="B119" t="n">
        <v>139</v>
      </c>
      <c r="C119" t="n">
        <v>2.1</v>
      </c>
      <c r="D119" t="inlineStr">
        <is>
          <t>MORTERO REPEMAX MURO SECO BASE COAT 25KG</t>
        </is>
      </c>
      <c r="E119" t="inlineStr">
        <is>
          <t>Auxiliar</t>
        </is>
      </c>
      <c r="F119" t="inlineStr">
        <is>
          <t>Artículo</t>
        </is>
      </c>
      <c r="G119" t="inlineStr">
        <is>
          <t>M10-0044</t>
        </is>
      </c>
      <c r="H119" t="n">
        <v>200.9664</v>
      </c>
      <c r="I119" t="n">
        <v>6672.65</v>
      </c>
      <c r="J119" t="n">
        <v>1340978.45</v>
      </c>
    </row>
    <row r="120">
      <c r="A120" t="inlineStr">
        <is>
          <t>VN-L.32</t>
        </is>
      </c>
      <c r="B120" t="n">
        <v>140</v>
      </c>
      <c r="C120" t="n">
        <v>2.1</v>
      </c>
      <c r="D120" t="inlineStr">
        <is>
          <t>MAXIEMPASTE EXTRA LISO 20KG</t>
        </is>
      </c>
      <c r="E120" t="inlineStr">
        <is>
          <t>Auxiliar</t>
        </is>
      </c>
      <c r="F120" t="inlineStr">
        <is>
          <t>Artículo</t>
        </is>
      </c>
      <c r="G120" t="inlineStr">
        <is>
          <t>M10-0045</t>
        </is>
      </c>
      <c r="H120" t="n">
        <v>52.4611</v>
      </c>
      <c r="I120" t="n">
        <v>10615.0053</v>
      </c>
      <c r="J120" t="n">
        <v>556874.85</v>
      </c>
    </row>
    <row r="121">
      <c r="A121" t="inlineStr">
        <is>
          <t>VN-L.32</t>
        </is>
      </c>
      <c r="B121" t="n">
        <v>141</v>
      </c>
      <c r="C121" t="n">
        <v>2.1</v>
      </c>
      <c r="D121" t="inlineStr">
        <is>
          <t>LIJA DE AGUA #120</t>
        </is>
      </c>
      <c r="E121" t="inlineStr">
        <is>
          <t>Auxiliar</t>
        </is>
      </c>
      <c r="F121" t="inlineStr">
        <is>
          <t>Artículo</t>
        </is>
      </c>
      <c r="G121" t="inlineStr">
        <is>
          <t>M08-0062</t>
        </is>
      </c>
      <c r="H121" t="n">
        <v>104.9222</v>
      </c>
      <c r="I121" t="n">
        <v>369.9958999999999</v>
      </c>
      <c r="J121" t="n">
        <v>38820.78</v>
      </c>
    </row>
    <row r="122">
      <c r="A122" t="inlineStr">
        <is>
          <t>VN-L.32</t>
        </is>
      </c>
      <c r="B122" t="n">
        <v>142</v>
      </c>
      <c r="C122" t="n">
        <v>2.1</v>
      </c>
      <c r="D122" t="inlineStr">
        <is>
          <t>MASKING AZUL 2"</t>
        </is>
      </c>
      <c r="E122" t="inlineStr">
        <is>
          <t>Auxiliar</t>
        </is>
      </c>
      <c r="F122" t="inlineStr">
        <is>
          <t>Artículo</t>
        </is>
      </c>
      <c r="G122" t="inlineStr">
        <is>
          <t>M06-0227</t>
        </is>
      </c>
      <c r="H122" t="n">
        <v>14.9889</v>
      </c>
      <c r="I122" t="n">
        <v>4360.003299999999</v>
      </c>
      <c r="J122" t="n">
        <v>65351.65</v>
      </c>
    </row>
    <row r="123">
      <c r="A123" t="inlineStr">
        <is>
          <t>VN-L.32</t>
        </is>
      </c>
      <c r="B123" t="n">
        <v>143</v>
      </c>
      <c r="C123" t="n">
        <v>2.1</v>
      </c>
      <c r="D123" t="inlineStr">
        <is>
          <t>MECHA BLANCA</t>
        </is>
      </c>
      <c r="E123" t="inlineStr">
        <is>
          <t>Auxiliar</t>
        </is>
      </c>
      <c r="F123" t="inlineStr">
        <is>
          <t>Artículo</t>
        </is>
      </c>
      <c r="G123" t="inlineStr">
        <is>
          <t>M06-0231</t>
        </is>
      </c>
      <c r="H123" t="n">
        <v>2.4981</v>
      </c>
      <c r="I123" t="n">
        <v>4338.0022</v>
      </c>
      <c r="J123" t="n">
        <v>10836.76</v>
      </c>
    </row>
    <row r="124">
      <c r="A124" t="inlineStr">
        <is>
          <t>VN-L.32</t>
        </is>
      </c>
      <c r="B124" t="n">
        <v>144</v>
      </c>
      <c r="C124" t="n">
        <v>2.2</v>
      </c>
      <c r="D124" t="inlineStr">
        <is>
          <t>CERAMICA 55X55 // PISO CERÁMICO HARÁ BEIGE  55X55</t>
        </is>
      </c>
      <c r="E124" t="inlineStr">
        <is>
          <t>Auxiliar</t>
        </is>
      </c>
      <c r="F124" t="inlineStr">
        <is>
          <t>Artículo</t>
        </is>
      </c>
      <c r="G124" t="inlineStr">
        <is>
          <t>M12-0009</t>
        </is>
      </c>
      <c r="H124" t="n">
        <v>234.8258</v>
      </c>
      <c r="I124" t="n">
        <v>4303.04</v>
      </c>
      <c r="J124" t="n">
        <v>1010464.81</v>
      </c>
    </row>
    <row r="125">
      <c r="A125" t="inlineStr">
        <is>
          <t>VN-L.32</t>
        </is>
      </c>
      <c r="B125" t="n">
        <v>145</v>
      </c>
      <c r="C125" t="n">
        <v>2.2</v>
      </c>
      <c r="D125" t="inlineStr">
        <is>
          <t>CERAMICA 20X60 // CERAMICA EMOTION T.MADERA HARDY HAYA 20X60</t>
        </is>
      </c>
      <c r="E125" t="inlineStr">
        <is>
          <t>Auxiliar</t>
        </is>
      </c>
      <c r="F125" t="inlineStr">
        <is>
          <t>Artículo</t>
        </is>
      </c>
      <c r="G125" t="inlineStr">
        <is>
          <t>M12-0011</t>
        </is>
      </c>
      <c r="H125" t="n">
        <v>62.4537</v>
      </c>
      <c r="I125" t="n">
        <v>8450.422499999999</v>
      </c>
      <c r="J125" t="n">
        <v>527760.15</v>
      </c>
    </row>
    <row r="126">
      <c r="A126" t="inlineStr">
        <is>
          <t>VN-L.32</t>
        </is>
      </c>
      <c r="B126" t="n">
        <v>146</v>
      </c>
      <c r="C126" t="n">
        <v>2.2</v>
      </c>
      <c r="D126" t="inlineStr">
        <is>
          <t>BONDEX PLUS CERAMICA Y PORCELANATO  40KG INTACO</t>
        </is>
      </c>
      <c r="E126" t="inlineStr">
        <is>
          <t>Auxiliar</t>
        </is>
      </c>
      <c r="F126" t="inlineStr">
        <is>
          <t>Artículo</t>
        </is>
      </c>
      <c r="G126" t="inlineStr">
        <is>
          <t>M10-0087</t>
        </is>
      </c>
      <c r="H126" t="n">
        <v>49.9629</v>
      </c>
      <c r="I126" t="n">
        <v>7280.7369</v>
      </c>
      <c r="J126" t="n">
        <v>363766.73</v>
      </c>
    </row>
    <row r="127">
      <c r="A127" t="inlineStr">
        <is>
          <t>VN-L.32</t>
        </is>
      </c>
      <c r="B127" t="n">
        <v>147</v>
      </c>
      <c r="C127" t="n">
        <v>2.2</v>
      </c>
      <c r="D127" t="inlineStr">
        <is>
          <t>FRAGUA INTACO GRAFITO #12 CON ARENA</t>
        </is>
      </c>
      <c r="E127" t="inlineStr">
        <is>
          <t>Auxiliar</t>
        </is>
      </c>
      <c r="F127" t="inlineStr">
        <is>
          <t>Artículo</t>
        </is>
      </c>
      <c r="G127" t="inlineStr">
        <is>
          <t>M10-0032</t>
        </is>
      </c>
      <c r="H127" t="n">
        <v>44.9666</v>
      </c>
      <c r="I127" t="n">
        <v>1720.877</v>
      </c>
      <c r="J127" t="n">
        <v>77381.99000000001</v>
      </c>
    </row>
    <row r="128">
      <c r="A128" t="inlineStr">
        <is>
          <t>VN-L.32</t>
        </is>
      </c>
      <c r="B128" t="n">
        <v>148</v>
      </c>
      <c r="C128" t="n">
        <v>2.2</v>
      </c>
      <c r="D128" t="inlineStr">
        <is>
          <t>BOLSA SEPARADOR P/CERAMICA 2MM</t>
        </is>
      </c>
      <c r="E128" t="inlineStr">
        <is>
          <t>Auxiliar</t>
        </is>
      </c>
      <c r="F128" t="inlineStr">
        <is>
          <t>Artículo</t>
        </is>
      </c>
      <c r="G128" t="inlineStr">
        <is>
          <t>M12-0001</t>
        </is>
      </c>
      <c r="H128" t="n">
        <v>17.487</v>
      </c>
      <c r="I128" t="n">
        <v>502.3527999999999</v>
      </c>
      <c r="J128" t="n">
        <v>8784.639999999999</v>
      </c>
    </row>
    <row r="129">
      <c r="A129" t="inlineStr">
        <is>
          <t>VN-L.32</t>
        </is>
      </c>
      <c r="B129" t="n">
        <v>149</v>
      </c>
      <c r="C129" t="n">
        <v>2.2</v>
      </c>
      <c r="D129" t="inlineStr">
        <is>
          <t>ESPUMA P/LIMPIAR</t>
        </is>
      </c>
      <c r="E129" t="inlineStr">
        <is>
          <t>Auxiliar</t>
        </is>
      </c>
      <c r="F129" t="inlineStr">
        <is>
          <t>Artículo</t>
        </is>
      </c>
      <c r="G129" t="inlineStr">
        <is>
          <t>M06-0297</t>
        </is>
      </c>
      <c r="H129" t="n">
        <v>4.9963</v>
      </c>
      <c r="I129" t="n">
        <v>429.9084999999999</v>
      </c>
      <c r="J129" t="n">
        <v>2147.95</v>
      </c>
    </row>
    <row r="130">
      <c r="A130" t="inlineStr">
        <is>
          <t>VN-L.32</t>
        </is>
      </c>
      <c r="B130" t="n">
        <v>150</v>
      </c>
      <c r="C130" t="n">
        <v>2.2</v>
      </c>
      <c r="D130" t="inlineStr">
        <is>
          <t>CHISPA P/CORTAR CERAMICA</t>
        </is>
      </c>
      <c r="E130" t="inlineStr">
        <is>
          <t>Auxiliar</t>
        </is>
      </c>
      <c r="F130" t="inlineStr">
        <is>
          <t>Artículo</t>
        </is>
      </c>
      <c r="G130" t="inlineStr">
        <is>
          <t>M06-0172</t>
        </is>
      </c>
      <c r="H130" t="n">
        <v>2.4981</v>
      </c>
      <c r="I130" t="n">
        <v>7137.2382</v>
      </c>
      <c r="J130" t="n">
        <v>17829.53</v>
      </c>
    </row>
    <row r="131">
      <c r="A131" t="inlineStr">
        <is>
          <t>VN-L.32</t>
        </is>
      </c>
      <c r="B131" t="n">
        <v>151</v>
      </c>
      <c r="C131" t="n">
        <v>2.2</v>
      </c>
      <c r="D131" t="inlineStr">
        <is>
          <t>DISCO DIAMANTADO 4-1/2"</t>
        </is>
      </c>
      <c r="E131" t="inlineStr">
        <is>
          <t>Auxiliar</t>
        </is>
      </c>
      <c r="F131" t="inlineStr">
        <is>
          <t>Artículo</t>
        </is>
      </c>
      <c r="G131" t="inlineStr">
        <is>
          <t>M08-0042</t>
        </is>
      </c>
      <c r="H131" t="n">
        <v>2.4981</v>
      </c>
      <c r="I131" t="n">
        <v>4802.443499999999</v>
      </c>
      <c r="J131" t="n">
        <v>11996.98</v>
      </c>
    </row>
    <row r="132">
      <c r="A132" t="inlineStr">
        <is>
          <t>VN-L.32</t>
        </is>
      </c>
      <c r="B132" t="n">
        <v>152</v>
      </c>
      <c r="C132" t="n">
        <v>2.2</v>
      </c>
      <c r="D132" t="inlineStr">
        <is>
          <t>TABLATEK TABLILLA JS 11MM 1229X2438MM A11 D76</t>
        </is>
      </c>
      <c r="E132" t="inlineStr">
        <is>
          <t>Auxiliar</t>
        </is>
      </c>
      <c r="F132" t="inlineStr">
        <is>
          <t>Artículo</t>
        </is>
      </c>
      <c r="G132" t="inlineStr">
        <is>
          <t>M04-0010</t>
        </is>
      </c>
      <c r="H132" t="n">
        <v>2.4981</v>
      </c>
      <c r="I132" t="n">
        <v>25867.96</v>
      </c>
      <c r="J132" t="n">
        <v>64620.75</v>
      </c>
    </row>
    <row r="133">
      <c r="A133" t="inlineStr">
        <is>
          <t>VN-L.32</t>
        </is>
      </c>
      <c r="B133" t="n">
        <v>153</v>
      </c>
      <c r="C133" t="n">
        <v>2.2</v>
      </c>
      <c r="D133" t="inlineStr">
        <is>
          <t>CLAVO DE IMPACTO 1" (100)</t>
        </is>
      </c>
      <c r="E133" t="inlineStr">
        <is>
          <t>Auxiliar</t>
        </is>
      </c>
      <c r="F133" t="inlineStr">
        <is>
          <t>Artículo</t>
        </is>
      </c>
      <c r="G133" t="inlineStr">
        <is>
          <t>M06-0043</t>
        </is>
      </c>
      <c r="H133" t="n">
        <v>4.9963</v>
      </c>
      <c r="I133" t="n">
        <v>1875</v>
      </c>
      <c r="J133" t="n">
        <v>9368.059999999999</v>
      </c>
    </row>
    <row r="134">
      <c r="A134" t="inlineStr">
        <is>
          <t>VN-L.32</t>
        </is>
      </c>
      <c r="B134" t="n">
        <v>154</v>
      </c>
      <c r="C134" t="n">
        <v>2.2</v>
      </c>
      <c r="D134" t="inlineStr">
        <is>
          <t>TIRO FULMINANTE P/PISTOLA 25MM (100)</t>
        </is>
      </c>
      <c r="E134" t="inlineStr">
        <is>
          <t>Auxiliar</t>
        </is>
      </c>
      <c r="F134" t="inlineStr">
        <is>
          <t>Artículo</t>
        </is>
      </c>
      <c r="G134" t="inlineStr">
        <is>
          <t>M06-0278</t>
        </is>
      </c>
      <c r="H134" t="n">
        <v>4.9963</v>
      </c>
      <c r="I134" t="n">
        <v>2905.24</v>
      </c>
      <c r="J134" t="n">
        <v>14515.45</v>
      </c>
    </row>
    <row r="135">
      <c r="A135" t="inlineStr">
        <is>
          <t>VN-L.32</t>
        </is>
      </c>
      <c r="B135" t="n">
        <v>155</v>
      </c>
      <c r="C135" t="n">
        <v>2.3</v>
      </c>
      <c r="D135" t="inlineStr">
        <is>
          <t>PINTURA INTERIOR FIBROCENTRO</t>
        </is>
      </c>
      <c r="E135" t="inlineStr">
        <is>
          <t>Auxiliar</t>
        </is>
      </c>
      <c r="F135" t="inlineStr">
        <is>
          <t>Artículo</t>
        </is>
      </c>
      <c r="G135" t="inlineStr">
        <is>
          <t>M11-0076</t>
        </is>
      </c>
      <c r="H135" t="n">
        <v>12.4907</v>
      </c>
      <c r="I135" t="n">
        <v>44999.99372899999</v>
      </c>
      <c r="J135" t="n">
        <v>562081.42</v>
      </c>
    </row>
    <row r="136">
      <c r="A136" t="inlineStr">
        <is>
          <t>VN-L.32</t>
        </is>
      </c>
      <c r="B136" t="n">
        <v>156</v>
      </c>
      <c r="C136" t="n">
        <v>2.3</v>
      </c>
      <c r="D136" t="inlineStr">
        <is>
          <t>PINTURA SEAL COAT CUBETA</t>
        </is>
      </c>
      <c r="E136" t="inlineStr">
        <is>
          <t>Auxiliar</t>
        </is>
      </c>
      <c r="F136" t="inlineStr">
        <is>
          <t>Artículo</t>
        </is>
      </c>
      <c r="G136" t="inlineStr">
        <is>
          <t>M11-0115</t>
        </is>
      </c>
      <c r="H136" t="n">
        <v>9.992599999999999</v>
      </c>
      <c r="I136" t="n">
        <v>73043.2</v>
      </c>
      <c r="J136" t="n">
        <v>729891.48</v>
      </c>
    </row>
    <row r="137">
      <c r="A137" t="inlineStr">
        <is>
          <t>VN-L.32</t>
        </is>
      </c>
      <c r="B137" t="n">
        <v>159</v>
      </c>
      <c r="C137" t="n">
        <v>2.3</v>
      </c>
      <c r="D137" t="inlineStr">
        <is>
          <t>PINTURA SUPER COAT CUBETA</t>
        </is>
      </c>
      <c r="E137" t="inlineStr">
        <is>
          <t>Auxiliar</t>
        </is>
      </c>
      <c r="F137" t="inlineStr">
        <is>
          <t>Artículo</t>
        </is>
      </c>
      <c r="G137" t="inlineStr">
        <is>
          <t>M11-0121</t>
        </is>
      </c>
      <c r="H137" t="n">
        <v>2.4981</v>
      </c>
      <c r="I137" t="n">
        <v>79640.00439999999</v>
      </c>
      <c r="J137" t="n">
        <v>198948.69</v>
      </c>
    </row>
    <row r="138">
      <c r="A138" t="inlineStr">
        <is>
          <t>VN-L.32</t>
        </is>
      </c>
      <c r="B138" t="n">
        <v>160</v>
      </c>
      <c r="C138" t="n">
        <v>2.3</v>
      </c>
      <c r="D138" t="inlineStr">
        <is>
          <t>LIJA DE AGUA #180</t>
        </is>
      </c>
      <c r="E138" t="inlineStr">
        <is>
          <t>Auxiliar</t>
        </is>
      </c>
      <c r="F138" t="inlineStr">
        <is>
          <t>Artículo</t>
        </is>
      </c>
      <c r="G138" t="inlineStr">
        <is>
          <t>M08-0064</t>
        </is>
      </c>
      <c r="H138" t="n">
        <v>22.4833</v>
      </c>
      <c r="I138" t="n">
        <v>324.9993</v>
      </c>
      <c r="J138" t="n">
        <v>7307.06</v>
      </c>
    </row>
    <row r="139">
      <c r="A139" t="inlineStr">
        <is>
          <t>VN-L.32</t>
        </is>
      </c>
      <c r="B139" t="n">
        <v>161</v>
      </c>
      <c r="C139" t="n">
        <v>2.3</v>
      </c>
      <c r="D139" t="inlineStr">
        <is>
          <t>DURETAN BLANCO</t>
        </is>
      </c>
      <c r="E139" t="inlineStr">
        <is>
          <t>Auxiliar</t>
        </is>
      </c>
      <c r="F139" t="inlineStr">
        <is>
          <t>Artículo</t>
        </is>
      </c>
      <c r="G139" t="inlineStr">
        <is>
          <t>M06-0003</t>
        </is>
      </c>
      <c r="H139" t="n">
        <v>2.4981</v>
      </c>
      <c r="I139" t="n">
        <v>4746.813599999999</v>
      </c>
      <c r="J139" t="n">
        <v>11858.02</v>
      </c>
    </row>
    <row r="140">
      <c r="A140" t="inlineStr">
        <is>
          <t>VN-L.32</t>
        </is>
      </c>
      <c r="B140" t="n">
        <v>162</v>
      </c>
      <c r="C140" t="n">
        <v>2.3</v>
      </c>
      <c r="D140" t="inlineStr">
        <is>
          <t>SILICON PINTABLE</t>
        </is>
      </c>
      <c r="E140" t="inlineStr">
        <is>
          <t>Auxiliar</t>
        </is>
      </c>
      <c r="F140" t="inlineStr">
        <is>
          <t>Artículo</t>
        </is>
      </c>
      <c r="G140" t="inlineStr">
        <is>
          <t>M06-0025</t>
        </is>
      </c>
      <c r="H140" t="n">
        <v>4.9963</v>
      </c>
      <c r="I140" t="n">
        <v>2839.4979</v>
      </c>
      <c r="J140" t="n">
        <v>14186.98</v>
      </c>
    </row>
    <row r="141">
      <c r="A141" t="inlineStr">
        <is>
          <t>VN-L.32</t>
        </is>
      </c>
      <c r="B141" t="n">
        <v>163</v>
      </c>
      <c r="C141" t="n">
        <v>2.3</v>
      </c>
      <c r="D141" t="inlineStr">
        <is>
          <t>MECHA BLANCA</t>
        </is>
      </c>
      <c r="E141" t="inlineStr">
        <is>
          <t>Auxiliar</t>
        </is>
      </c>
      <c r="F141" t="inlineStr">
        <is>
          <t>Artículo</t>
        </is>
      </c>
      <c r="G141" t="inlineStr">
        <is>
          <t>M06-0231</t>
        </is>
      </c>
      <c r="H141" t="n">
        <v>4.9963</v>
      </c>
      <c r="I141" t="n">
        <v>4338.0022</v>
      </c>
      <c r="J141" t="n">
        <v>21673.96</v>
      </c>
    </row>
    <row r="142">
      <c r="A142" t="inlineStr">
        <is>
          <t>VN-L.32</t>
        </is>
      </c>
      <c r="B142" t="n">
        <v>164</v>
      </c>
      <c r="C142" t="n">
        <v>2.3</v>
      </c>
      <c r="D142" t="inlineStr">
        <is>
          <t>THINNER INDUSTRIAL</t>
        </is>
      </c>
      <c r="E142" t="inlineStr">
        <is>
          <t>Auxiliar</t>
        </is>
      </c>
      <c r="F142" t="inlineStr">
        <is>
          <t>Artículo</t>
        </is>
      </c>
      <c r="G142" t="inlineStr">
        <is>
          <t>M11-0019</t>
        </is>
      </c>
      <c r="H142" t="n">
        <v>7.4944</v>
      </c>
      <c r="I142" t="n">
        <v>6464.999957</v>
      </c>
      <c r="J142" t="n">
        <v>48451.3</v>
      </c>
    </row>
    <row r="143">
      <c r="A143" t="inlineStr">
        <is>
          <t>VN-L.32</t>
        </is>
      </c>
      <c r="B143" t="n">
        <v>165</v>
      </c>
      <c r="C143" t="n">
        <v>2.3</v>
      </c>
      <c r="D143" t="inlineStr">
        <is>
          <t>PINTURA SUPER DRY GALON</t>
        </is>
      </c>
      <c r="E143" t="inlineStr">
        <is>
          <t>Auxiliar</t>
        </is>
      </c>
      <c r="F143" t="inlineStr">
        <is>
          <t>Artículo</t>
        </is>
      </c>
      <c r="G143" t="inlineStr">
        <is>
          <t>M11-0073</t>
        </is>
      </c>
      <c r="H143" t="n">
        <v>2.4981</v>
      </c>
      <c r="I143" t="n">
        <v>24555.9961</v>
      </c>
      <c r="J143" t="n">
        <v>61343.33</v>
      </c>
    </row>
    <row r="144">
      <c r="A144" t="inlineStr">
        <is>
          <t>VN-L.32</t>
        </is>
      </c>
      <c r="B144" t="n">
        <v>166</v>
      </c>
      <c r="C144" t="n">
        <v>2.3</v>
      </c>
      <c r="D144" t="inlineStr">
        <is>
          <t>BROCHA CORRIENTE 2"</t>
        </is>
      </c>
      <c r="E144" t="inlineStr">
        <is>
          <t>Auxiliar</t>
        </is>
      </c>
      <c r="F144" t="inlineStr">
        <is>
          <t>Artículo</t>
        </is>
      </c>
      <c r="G144" t="inlineStr">
        <is>
          <t>M11-0001</t>
        </is>
      </c>
      <c r="H144" t="n">
        <v>7.4944</v>
      </c>
      <c r="I144" t="n">
        <v>1425.0091</v>
      </c>
      <c r="J144" t="n">
        <v>10679.59</v>
      </c>
    </row>
    <row r="145">
      <c r="A145" t="inlineStr">
        <is>
          <t>VN-L.32</t>
        </is>
      </c>
      <c r="B145" t="n">
        <v>167</v>
      </c>
      <c r="C145" t="n">
        <v>2.3</v>
      </c>
      <c r="D145" t="inlineStr">
        <is>
          <t>BROCHA CORRIENTE 3"</t>
        </is>
      </c>
      <c r="E145" t="inlineStr">
        <is>
          <t>Auxiliar</t>
        </is>
      </c>
      <c r="F145" t="inlineStr">
        <is>
          <t>Artículo</t>
        </is>
      </c>
      <c r="G145" t="inlineStr">
        <is>
          <t>M11-0002</t>
        </is>
      </c>
      <c r="H145" t="n">
        <v>14.9889</v>
      </c>
      <c r="I145" t="n">
        <v>2060.0013</v>
      </c>
      <c r="J145" t="n">
        <v>30877.15</v>
      </c>
    </row>
    <row r="146">
      <c r="A146" t="inlineStr">
        <is>
          <t>VN-L.32</t>
        </is>
      </c>
      <c r="B146" t="n">
        <v>168</v>
      </c>
      <c r="C146" t="n">
        <v>2.3</v>
      </c>
      <c r="D146" t="inlineStr">
        <is>
          <t>FELPA 3/4</t>
        </is>
      </c>
      <c r="E146" t="inlineStr">
        <is>
          <t>Auxiliar</t>
        </is>
      </c>
      <c r="F146" t="inlineStr">
        <is>
          <t>Artículo</t>
        </is>
      </c>
      <c r="G146" t="inlineStr">
        <is>
          <t>M11-0004</t>
        </is>
      </c>
      <c r="H146" t="n">
        <v>14.9889</v>
      </c>
      <c r="I146" t="n">
        <v>1739.9966</v>
      </c>
      <c r="J146" t="n">
        <v>26080.64</v>
      </c>
    </row>
    <row r="147">
      <c r="A147" t="inlineStr">
        <is>
          <t>VN-L.32</t>
        </is>
      </c>
      <c r="B147" t="n">
        <v>169</v>
      </c>
      <c r="C147" t="n">
        <v>2.3</v>
      </c>
      <c r="D147" t="inlineStr">
        <is>
          <t>RODILLO PARA FELPA</t>
        </is>
      </c>
      <c r="E147" t="inlineStr">
        <is>
          <t>Auxiliar</t>
        </is>
      </c>
      <c r="F147" t="inlineStr">
        <is>
          <t>Artículo</t>
        </is>
      </c>
      <c r="G147" t="inlineStr">
        <is>
          <t>M11-0009</t>
        </is>
      </c>
      <c r="H147" t="n">
        <v>14.9889</v>
      </c>
      <c r="I147" t="n">
        <v>2410.29</v>
      </c>
      <c r="J147" t="n">
        <v>36127.6</v>
      </c>
    </row>
    <row r="148">
      <c r="A148" t="inlineStr">
        <is>
          <t>VN-L.32</t>
        </is>
      </c>
      <c r="B148" t="n">
        <v>170</v>
      </c>
      <c r="C148" t="n">
        <v>2.3</v>
      </c>
      <c r="D148" t="inlineStr">
        <is>
          <t>MASKING BLANCO 2"</t>
        </is>
      </c>
      <c r="E148" t="inlineStr">
        <is>
          <t>Auxiliar</t>
        </is>
      </c>
      <c r="F148" t="inlineStr">
        <is>
          <t>Artículo</t>
        </is>
      </c>
      <c r="G148" t="inlineStr">
        <is>
          <t>M06-0226</t>
        </is>
      </c>
      <c r="H148" t="n">
        <v>7.4944</v>
      </c>
      <c r="I148" t="n">
        <v>2885.003</v>
      </c>
      <c r="J148" t="n">
        <v>21621.37</v>
      </c>
    </row>
    <row r="149">
      <c r="A149" t="inlineStr">
        <is>
          <t>VN-L.32</t>
        </is>
      </c>
      <c r="B149" t="n">
        <v>171</v>
      </c>
      <c r="C149" t="n">
        <v>2.3</v>
      </c>
      <c r="D149" t="inlineStr">
        <is>
          <t>MASKING AZUL 2"</t>
        </is>
      </c>
      <c r="E149" t="inlineStr">
        <is>
          <t>Auxiliar</t>
        </is>
      </c>
      <c r="F149" t="inlineStr">
        <is>
          <t>Artículo</t>
        </is>
      </c>
      <c r="G149" t="inlineStr">
        <is>
          <t>M06-0227</t>
        </is>
      </c>
      <c r="H149" t="n">
        <v>14.9889</v>
      </c>
      <c r="I149" t="n">
        <v>4360.003299999999</v>
      </c>
      <c r="J149" t="n">
        <v>65351.65</v>
      </c>
    </row>
    <row r="150">
      <c r="A150" t="inlineStr">
        <is>
          <t>VN-L.32</t>
        </is>
      </c>
      <c r="B150" t="n">
        <v>172</v>
      </c>
      <c r="C150" t="n">
        <v>2.3</v>
      </c>
      <c r="D150" t="inlineStr">
        <is>
          <t>MASKING AZUL 3/4"</t>
        </is>
      </c>
      <c r="E150" t="inlineStr">
        <is>
          <t>Auxiliar</t>
        </is>
      </c>
      <c r="F150" t="inlineStr">
        <is>
          <t>Artículo</t>
        </is>
      </c>
      <c r="G150" t="inlineStr">
        <is>
          <t>M06-0228</t>
        </is>
      </c>
      <c r="H150" t="n">
        <v>7.4944</v>
      </c>
      <c r="I150" t="n">
        <v>1569.9994</v>
      </c>
      <c r="J150" t="n">
        <v>11766.2</v>
      </c>
    </row>
    <row r="151">
      <c r="A151" t="inlineStr">
        <is>
          <t>VN-L.32</t>
        </is>
      </c>
      <c r="B151" t="n">
        <v>173</v>
      </c>
      <c r="C151" t="n">
        <v>2.3</v>
      </c>
      <c r="D151" t="inlineStr">
        <is>
          <t>ROLLO PLASTICO C/CINTA 80°C-120 CM. X 20 M</t>
        </is>
      </c>
      <c r="E151" t="inlineStr">
        <is>
          <t>Auxiliar</t>
        </is>
      </c>
      <c r="F151" t="inlineStr">
        <is>
          <t>Artículo</t>
        </is>
      </c>
      <c r="G151" t="inlineStr">
        <is>
          <t>M11-0010</t>
        </is>
      </c>
      <c r="H151" t="n">
        <v>2.4981</v>
      </c>
      <c r="I151" t="n">
        <v>4032.97</v>
      </c>
      <c r="J151" t="n">
        <v>10074.76</v>
      </c>
    </row>
    <row r="152">
      <c r="A152" t="inlineStr">
        <is>
          <t>VN-L.32</t>
        </is>
      </c>
      <c r="B152" t="n">
        <v>174</v>
      </c>
      <c r="C152" t="n">
        <v>2.3</v>
      </c>
      <c r="D152" t="inlineStr">
        <is>
          <t>MAXICRIL ADHESIVO</t>
        </is>
      </c>
      <c r="E152" t="inlineStr">
        <is>
          <t>Auxiliar</t>
        </is>
      </c>
      <c r="F152" t="inlineStr">
        <is>
          <t>Artículo</t>
        </is>
      </c>
      <c r="G152" t="inlineStr">
        <is>
          <t>M10-0006</t>
        </is>
      </c>
      <c r="H152" t="n">
        <v>2.4981</v>
      </c>
      <c r="I152" t="n">
        <v>15030.0057</v>
      </c>
      <c r="J152" t="n">
        <v>37546.46</v>
      </c>
    </row>
    <row r="153">
      <c r="A153" t="inlineStr">
        <is>
          <t>VN-L.32</t>
        </is>
      </c>
      <c r="B153" t="n">
        <v>175</v>
      </c>
      <c r="C153" t="n">
        <v>2.3</v>
      </c>
      <c r="D153" t="inlineStr">
        <is>
          <t>IMPERMEABILIZANTE BASE 201</t>
        </is>
      </c>
      <c r="E153" t="inlineStr">
        <is>
          <t>Auxiliar</t>
        </is>
      </c>
      <c r="F153" t="inlineStr">
        <is>
          <t>Artículo</t>
        </is>
      </c>
      <c r="G153" t="inlineStr">
        <is>
          <t>M11-0038</t>
        </is>
      </c>
      <c r="H153" t="n">
        <v>4.9963</v>
      </c>
      <c r="I153" t="n">
        <v>201684.66</v>
      </c>
      <c r="J153" t="n">
        <v>1007677.07</v>
      </c>
    </row>
    <row r="154">
      <c r="A154" t="inlineStr">
        <is>
          <t>VN-L.32</t>
        </is>
      </c>
      <c r="B154" t="n">
        <v>176</v>
      </c>
      <c r="C154" t="n">
        <v>2.3</v>
      </c>
      <c r="D154" t="inlineStr">
        <is>
          <t>IMPERMEABILIZANTE TOP 202</t>
        </is>
      </c>
      <c r="E154" t="inlineStr">
        <is>
          <t>Auxiliar</t>
        </is>
      </c>
      <c r="F154" t="inlineStr">
        <is>
          <t>Artículo</t>
        </is>
      </c>
      <c r="G154" t="inlineStr">
        <is>
          <t>M11-0039</t>
        </is>
      </c>
      <c r="H154" t="n">
        <v>4.9963</v>
      </c>
      <c r="I154" t="n">
        <v>268854.12</v>
      </c>
      <c r="J154" t="n">
        <v>1343275.84</v>
      </c>
    </row>
    <row r="155">
      <c r="A155" t="inlineStr">
        <is>
          <t>VN-L.32</t>
        </is>
      </c>
      <c r="B155" t="n">
        <v>177</v>
      </c>
      <c r="C155" t="n">
        <v>2.3</v>
      </c>
      <c r="D155" t="inlineStr">
        <is>
          <t>SACO ARENA SILICA</t>
        </is>
      </c>
      <c r="E155" t="inlineStr">
        <is>
          <t>Auxiliar</t>
        </is>
      </c>
      <c r="F155" t="inlineStr">
        <is>
          <t>Artículo</t>
        </is>
      </c>
      <c r="G155" t="inlineStr">
        <is>
          <t>M10-0012</t>
        </is>
      </c>
      <c r="H155" t="n">
        <v>4.9963</v>
      </c>
      <c r="I155" t="n">
        <v>4443.612</v>
      </c>
      <c r="J155" t="n">
        <v>22201.62</v>
      </c>
    </row>
    <row r="156">
      <c r="A156" t="inlineStr">
        <is>
          <t>VN-L.32</t>
        </is>
      </c>
      <c r="B156" t="n">
        <v>178</v>
      </c>
      <c r="C156" t="n">
        <v>2.6</v>
      </c>
      <c r="D156" t="inlineStr">
        <is>
          <t>BISAGRA RECTA SLOW MOTION CLIP ON</t>
        </is>
      </c>
      <c r="E156" t="inlineStr">
        <is>
          <t>Auxiliar</t>
        </is>
      </c>
      <c r="F156" t="inlineStr">
        <is>
          <t>Artículo</t>
        </is>
      </c>
      <c r="G156" t="inlineStr">
        <is>
          <t>M03-0022</t>
        </is>
      </c>
      <c r="H156" t="n">
        <v>109.9184</v>
      </c>
      <c r="I156" t="n">
        <v>487.3803</v>
      </c>
      <c r="J156" t="n">
        <v>53572.06</v>
      </c>
    </row>
    <row r="157">
      <c r="A157" t="inlineStr">
        <is>
          <t>VN-L.32</t>
        </is>
      </c>
      <c r="B157" t="n">
        <v>179</v>
      </c>
      <c r="C157" t="n">
        <v>2.6</v>
      </c>
      <c r="D157" t="inlineStr">
        <is>
          <t>PATA NIVELADORA PLASTICA 12 CM</t>
        </is>
      </c>
      <c r="E157" t="inlineStr">
        <is>
          <t>Auxiliar</t>
        </is>
      </c>
      <c r="F157" t="inlineStr">
        <is>
          <t>Artículo</t>
        </is>
      </c>
      <c r="G157" t="inlineStr">
        <is>
          <t>M03-0005</t>
        </is>
      </c>
      <c r="H157" t="n">
        <v>234.8258</v>
      </c>
      <c r="I157" t="n">
        <v>200.5411</v>
      </c>
      <c r="J157" t="n">
        <v>47092.22</v>
      </c>
    </row>
    <row r="158">
      <c r="A158" t="inlineStr">
        <is>
          <t>VN-L.32</t>
        </is>
      </c>
      <c r="B158" t="n">
        <v>180</v>
      </c>
      <c r="C158" t="n">
        <v>2.6</v>
      </c>
      <c r="D158" t="inlineStr">
        <is>
          <t>TIRADERA CILINDRICA CC:12.8CM</t>
        </is>
      </c>
      <c r="E158" t="inlineStr">
        <is>
          <t>Auxiliar</t>
        </is>
      </c>
      <c r="F158" t="inlineStr">
        <is>
          <t>Artículo</t>
        </is>
      </c>
      <c r="G158" t="inlineStr">
        <is>
          <t>M03-0036</t>
        </is>
      </c>
      <c r="H158" t="n">
        <v>119.911</v>
      </c>
      <c r="I158" t="n">
        <v>862.7662999999999</v>
      </c>
      <c r="J158" t="n">
        <v>103455.17</v>
      </c>
    </row>
    <row r="159">
      <c r="A159" t="inlineStr">
        <is>
          <t>VN-L.32</t>
        </is>
      </c>
      <c r="B159" t="n">
        <v>181</v>
      </c>
      <c r="C159" t="n">
        <v>2.6</v>
      </c>
      <c r="D159" t="inlineStr">
        <is>
          <t>SOPORTE LATERAL NIQUEL 3H+3TR</t>
        </is>
      </c>
      <c r="E159" t="inlineStr">
        <is>
          <t>Auxiliar</t>
        </is>
      </c>
      <c r="F159" t="inlineStr">
        <is>
          <t>Artículo</t>
        </is>
      </c>
      <c r="G159" t="inlineStr">
        <is>
          <t>M03-0014</t>
        </is>
      </c>
      <c r="H159" t="n">
        <v>109.9184</v>
      </c>
      <c r="I159" t="n">
        <v>228.8928</v>
      </c>
      <c r="J159" t="n">
        <v>25159.53</v>
      </c>
    </row>
    <row r="160">
      <c r="A160" t="inlineStr">
        <is>
          <t>VN-L.32</t>
        </is>
      </c>
      <c r="B160" t="n">
        <v>182</v>
      </c>
      <c r="C160" t="n">
        <v>2.6</v>
      </c>
      <c r="D160" t="inlineStr">
        <is>
          <t>TUBO OVAL P/CLOSET 3 MT</t>
        </is>
      </c>
      <c r="E160" t="inlineStr">
        <is>
          <t>Auxiliar</t>
        </is>
      </c>
      <c r="F160" t="inlineStr">
        <is>
          <t>Artículo</t>
        </is>
      </c>
      <c r="G160" t="inlineStr">
        <is>
          <t>M03-0019</t>
        </is>
      </c>
      <c r="H160" t="n">
        <v>27.4796</v>
      </c>
      <c r="I160" t="n">
        <v>3598.5189</v>
      </c>
      <c r="J160" t="n">
        <v>98885.86</v>
      </c>
    </row>
    <row r="161">
      <c r="A161" t="inlineStr">
        <is>
          <t>VN-L.32</t>
        </is>
      </c>
      <c r="B161" t="n">
        <v>183</v>
      </c>
      <c r="C161" t="n">
        <v>2.6</v>
      </c>
      <c r="D161" t="inlineStr">
        <is>
          <t>RIEL TELESC SLOW MOTION LA 350M RS-C45GA-350 (14")</t>
        </is>
      </c>
      <c r="E161" t="inlineStr">
        <is>
          <t>Auxiliar</t>
        </is>
      </c>
      <c r="F161" t="inlineStr">
        <is>
          <t>Artículo</t>
        </is>
      </c>
      <c r="G161" t="inlineStr">
        <is>
          <t>M03-0031</t>
        </is>
      </c>
      <c r="H161" t="n">
        <v>54.9592</v>
      </c>
      <c r="I161" t="n">
        <v>2770.6696</v>
      </c>
      <c r="J161" t="n">
        <v>152273.78</v>
      </c>
    </row>
    <row r="162">
      <c r="A162" t="inlineStr">
        <is>
          <t>VN-L.32</t>
        </is>
      </c>
      <c r="B162" t="n">
        <v>184</v>
      </c>
      <c r="C162" t="n">
        <v>2.6</v>
      </c>
      <c r="D162" t="inlineStr">
        <is>
          <t>RIEL TELESCOPICO SLOW MOTION LA 450M RS-A45DT (18")</t>
        </is>
      </c>
      <c r="E162" t="inlineStr">
        <is>
          <t>Auxiliar</t>
        </is>
      </c>
      <c r="F162" t="inlineStr">
        <is>
          <t>Artículo</t>
        </is>
      </c>
      <c r="G162" t="inlineStr">
        <is>
          <t>M03-0033</t>
        </is>
      </c>
      <c r="H162" t="n">
        <v>14.9889</v>
      </c>
      <c r="I162" t="n">
        <v>3311.272899999999</v>
      </c>
      <c r="J162" t="n">
        <v>49632.34</v>
      </c>
    </row>
    <row r="163">
      <c r="A163" t="inlineStr">
        <is>
          <t>VN-L.32</t>
        </is>
      </c>
      <c r="B163" t="n">
        <v>185</v>
      </c>
      <c r="C163" t="n">
        <v>2.6</v>
      </c>
      <c r="D163" t="inlineStr">
        <is>
          <t>RODAPIE ALUMI INOX 150-300-ROD2 AL</t>
        </is>
      </c>
      <c r="E163" t="inlineStr">
        <is>
          <t>Auxiliar</t>
        </is>
      </c>
      <c r="F163" t="inlineStr">
        <is>
          <t>Artículo</t>
        </is>
      </c>
      <c r="G163" t="inlineStr">
        <is>
          <t>M03-0010</t>
        </is>
      </c>
      <c r="H163" t="n">
        <v>34.0997</v>
      </c>
      <c r="I163" t="n">
        <v>2353.567138888889</v>
      </c>
      <c r="J163" t="n">
        <v>80255.92999999999</v>
      </c>
    </row>
    <row r="164">
      <c r="A164" t="inlineStr">
        <is>
          <t>VN-L.32</t>
        </is>
      </c>
      <c r="B164" t="n">
        <v>186</v>
      </c>
      <c r="C164" t="n">
        <v>2.6</v>
      </c>
      <c r="D164" t="inlineStr">
        <is>
          <t>SET CORREDIZO DOBLE DUCASSE P/CLOSET</t>
        </is>
      </c>
      <c r="E164" t="inlineStr">
        <is>
          <t>Auxiliar</t>
        </is>
      </c>
      <c r="F164" t="inlineStr">
        <is>
          <t>Artículo</t>
        </is>
      </c>
      <c r="G164" t="inlineStr">
        <is>
          <t>M14-0018</t>
        </is>
      </c>
      <c r="H164" t="n">
        <v>44.9666</v>
      </c>
      <c r="I164" t="n">
        <v>4320.0013</v>
      </c>
      <c r="J164" t="n">
        <v>194255.77</v>
      </c>
    </row>
    <row r="165">
      <c r="A165" t="inlineStr">
        <is>
          <t>VN-L.32</t>
        </is>
      </c>
      <c r="B165" t="n">
        <v>187</v>
      </c>
      <c r="C165" t="n">
        <v>2.6</v>
      </c>
      <c r="D165" t="inlineStr">
        <is>
          <t>DEDALES PARA PUERTA CORREDIZA</t>
        </is>
      </c>
      <c r="E165" t="inlineStr">
        <is>
          <t>Auxiliar</t>
        </is>
      </c>
      <c r="F165" t="inlineStr">
        <is>
          <t>Artículo</t>
        </is>
      </c>
      <c r="G165" t="inlineStr">
        <is>
          <t>M14-0015</t>
        </is>
      </c>
      <c r="H165" t="n">
        <v>44.9666</v>
      </c>
      <c r="I165" t="n">
        <v>940.2729999999999</v>
      </c>
      <c r="J165" t="n">
        <v>42280.88</v>
      </c>
    </row>
    <row r="166">
      <c r="A166" t="inlineStr">
        <is>
          <t>VN-L.32</t>
        </is>
      </c>
      <c r="B166" t="n">
        <v>188</v>
      </c>
      <c r="C166" t="n">
        <v>2.6</v>
      </c>
      <c r="D166" t="inlineStr">
        <is>
          <t>MELAMINA 18X1830X2500</t>
        </is>
      </c>
      <c r="E166" t="inlineStr">
        <is>
          <t>Auxiliar</t>
        </is>
      </c>
      <c r="F166" t="inlineStr">
        <is>
          <t>Artículo</t>
        </is>
      </c>
      <c r="G166" t="inlineStr">
        <is>
          <t>M09-0027</t>
        </is>
      </c>
      <c r="H166" t="n">
        <v>72.4462</v>
      </c>
      <c r="I166" t="n">
        <v>42038.26</v>
      </c>
      <c r="J166" t="n">
        <v>3045512.19</v>
      </c>
    </row>
    <row r="167">
      <c r="A167" t="inlineStr">
        <is>
          <t>VN-L.32</t>
        </is>
      </c>
      <c r="B167" t="n">
        <v>189</v>
      </c>
      <c r="C167" t="n">
        <v>2.6</v>
      </c>
      <c r="D167" t="inlineStr">
        <is>
          <t>TAPETA 22X0.45MM</t>
        </is>
      </c>
      <c r="E167" t="inlineStr">
        <is>
          <t>Auxiliar</t>
        </is>
      </c>
      <c r="F167" t="inlineStr">
        <is>
          <t>Artículo</t>
        </is>
      </c>
      <c r="G167" t="inlineStr">
        <is>
          <t>M03-0017</t>
        </is>
      </c>
      <c r="H167" t="n">
        <v>234.8258</v>
      </c>
      <c r="I167" t="n">
        <v>91.04816799999999</v>
      </c>
      <c r="J167" t="n">
        <v>21380.46</v>
      </c>
    </row>
    <row r="168">
      <c r="A168" t="inlineStr">
        <is>
          <t>VN-L.32</t>
        </is>
      </c>
      <c r="B168" t="n">
        <v>190</v>
      </c>
      <c r="C168" t="n">
        <v>2.6</v>
      </c>
      <c r="D168" t="inlineStr">
        <is>
          <t>RIEL SUPERI ACL-RSU09 3MTRS</t>
        </is>
      </c>
      <c r="E168" t="inlineStr">
        <is>
          <t>Auxiliar</t>
        </is>
      </c>
      <c r="F168" t="inlineStr">
        <is>
          <t>Artículo</t>
        </is>
      </c>
      <c r="G168" t="inlineStr">
        <is>
          <t>M03-0030</t>
        </is>
      </c>
      <c r="H168" t="n">
        <v>22.4833</v>
      </c>
      <c r="I168" t="n">
        <v>10776.6179</v>
      </c>
      <c r="J168" t="n">
        <v>242293.93</v>
      </c>
    </row>
    <row r="169">
      <c r="A169" t="inlineStr">
        <is>
          <t>VN-L.32</t>
        </is>
      </c>
      <c r="B169" t="n">
        <v>191</v>
      </c>
      <c r="C169" t="n">
        <v>2.6</v>
      </c>
      <c r="D169" t="inlineStr">
        <is>
          <t>TAPA TORNILLO (100)</t>
        </is>
      </c>
      <c r="E169" t="inlineStr">
        <is>
          <t>Auxiliar</t>
        </is>
      </c>
      <c r="F169" t="inlineStr">
        <is>
          <t>Artículo</t>
        </is>
      </c>
      <c r="G169" t="inlineStr">
        <is>
          <t>M03-0016</t>
        </is>
      </c>
      <c r="H169" t="n">
        <v>29.9778</v>
      </c>
      <c r="I169" t="n">
        <v>3503</v>
      </c>
      <c r="J169" t="n">
        <v>105012.23</v>
      </c>
    </row>
    <row r="170">
      <c r="A170" t="inlineStr">
        <is>
          <t>VN-L.32</t>
        </is>
      </c>
      <c r="B170" t="n">
        <v>192</v>
      </c>
      <c r="C170" t="n">
        <v>2.6</v>
      </c>
      <c r="D170" t="inlineStr">
        <is>
          <t>TORNILLO P/MADERA 2X0.6MM NEGRO ROSCA ORDINARIA</t>
        </is>
      </c>
      <c r="E170" t="inlineStr">
        <is>
          <t>Auxiliar</t>
        </is>
      </c>
      <c r="F170" t="inlineStr">
        <is>
          <t>Artículo</t>
        </is>
      </c>
      <c r="G170" t="inlineStr">
        <is>
          <t>M06-0091</t>
        </is>
      </c>
      <c r="H170" t="n">
        <v>3934.5808</v>
      </c>
      <c r="I170" t="n">
        <v>10.9045</v>
      </c>
      <c r="J170" t="n">
        <v>42904.64</v>
      </c>
    </row>
    <row r="171">
      <c r="A171" t="inlineStr">
        <is>
          <t>VN-L.32</t>
        </is>
      </c>
      <c r="B171" t="n">
        <v>193</v>
      </c>
      <c r="C171" t="n">
        <v>2.6</v>
      </c>
      <c r="D171" t="inlineStr">
        <is>
          <t>TORNILLO P/MADERA 3/4X0.6MM NEGRO ROSCA ORDINARIA</t>
        </is>
      </c>
      <c r="E171" t="inlineStr">
        <is>
          <t>Auxiliar</t>
        </is>
      </c>
      <c r="F171" t="inlineStr">
        <is>
          <t>Artículo</t>
        </is>
      </c>
      <c r="G171" t="inlineStr">
        <is>
          <t>M06-0093</t>
        </is>
      </c>
      <c r="H171" t="n">
        <v>749.444</v>
      </c>
      <c r="I171" t="n">
        <v>5.4466</v>
      </c>
      <c r="J171" t="n">
        <v>4081.92</v>
      </c>
    </row>
    <row r="172">
      <c r="A172" t="inlineStr">
        <is>
          <t>VN-L.32</t>
        </is>
      </c>
      <c r="B172" t="n">
        <v>194</v>
      </c>
      <c r="C172" t="n">
        <v>2.6</v>
      </c>
      <c r="D172" t="inlineStr">
        <is>
          <t>TORNILLO P/MADERA 2 1/2X0.8MM AMARILLO ROSCA ORDINARIA</t>
        </is>
      </c>
      <c r="E172" t="inlineStr">
        <is>
          <t>Auxiliar</t>
        </is>
      </c>
      <c r="F172" t="inlineStr">
        <is>
          <t>Artículo</t>
        </is>
      </c>
      <c r="G172" t="inlineStr">
        <is>
          <t>M06-0090</t>
        </is>
      </c>
      <c r="H172" t="n">
        <v>1061.7123</v>
      </c>
      <c r="I172" t="n">
        <v>26.7245</v>
      </c>
      <c r="J172" t="n">
        <v>28373.73</v>
      </c>
    </row>
    <row r="173">
      <c r="A173" t="inlineStr">
        <is>
          <t>VN-L.32</t>
        </is>
      </c>
      <c r="B173" t="n">
        <v>195</v>
      </c>
      <c r="C173" t="n">
        <v>2.6</v>
      </c>
      <c r="D173" t="inlineStr">
        <is>
          <t>TORNILLO P/MADERA 1 1/4X0.6MM NEGRO ROSCA ORDINARIA</t>
        </is>
      </c>
      <c r="E173" t="inlineStr">
        <is>
          <t>Auxiliar</t>
        </is>
      </c>
      <c r="F173" t="inlineStr">
        <is>
          <t>Artículo</t>
        </is>
      </c>
      <c r="G173" t="inlineStr">
        <is>
          <t>M06-0089</t>
        </is>
      </c>
      <c r="H173" t="n">
        <v>249.8147</v>
      </c>
      <c r="I173" t="n">
        <v>7.085099999999999</v>
      </c>
      <c r="J173" t="n">
        <v>1769.96</v>
      </c>
    </row>
    <row r="174">
      <c r="A174" t="inlineStr">
        <is>
          <t>VN-L.32</t>
        </is>
      </c>
      <c r="B174" t="n">
        <v>196</v>
      </c>
      <c r="C174" t="n">
        <v>2.6</v>
      </c>
      <c r="D174" t="inlineStr">
        <is>
          <t>ESPANDER PLASTICO #8</t>
        </is>
      </c>
      <c r="E174" t="inlineStr">
        <is>
          <t>Auxiliar</t>
        </is>
      </c>
      <c r="F174" t="inlineStr">
        <is>
          <t>Artículo</t>
        </is>
      </c>
      <c r="G174" t="inlineStr">
        <is>
          <t>M06-0192</t>
        </is>
      </c>
      <c r="H174" t="n">
        <v>124.9073</v>
      </c>
      <c r="I174" t="n">
        <v>5.548299999999999</v>
      </c>
      <c r="J174" t="n">
        <v>693.02</v>
      </c>
    </row>
    <row r="175">
      <c r="A175" t="inlineStr">
        <is>
          <t>VN-L.32</t>
        </is>
      </c>
      <c r="B175" t="n">
        <v>197</v>
      </c>
      <c r="C175" t="n">
        <v>2.6</v>
      </c>
      <c r="D175" t="inlineStr">
        <is>
          <t>CLAVO NEGRO 1" (100)</t>
        </is>
      </c>
      <c r="E175" t="inlineStr">
        <is>
          <t>Auxiliar</t>
        </is>
      </c>
      <c r="F175" t="inlineStr">
        <is>
          <t>Artículo</t>
        </is>
      </c>
      <c r="G175" t="inlineStr">
        <is>
          <t>M06-0036</t>
        </is>
      </c>
      <c r="H175" t="n">
        <v>12.4907</v>
      </c>
      <c r="I175" t="n">
        <v>475.6961</v>
      </c>
      <c r="J175" t="n">
        <v>5941.78</v>
      </c>
    </row>
    <row r="176">
      <c r="A176" t="inlineStr">
        <is>
          <t>VN-L.32</t>
        </is>
      </c>
      <c r="B176" t="n">
        <v>198</v>
      </c>
      <c r="C176" t="n">
        <v>2.6</v>
      </c>
      <c r="D176" t="inlineStr">
        <is>
          <t>ESPUMA EXPANSIVA 750ML</t>
        </is>
      </c>
      <c r="E176" t="inlineStr">
        <is>
          <t>Auxiliar</t>
        </is>
      </c>
      <c r="F176" t="inlineStr">
        <is>
          <t>Artículo</t>
        </is>
      </c>
      <c r="G176" t="inlineStr">
        <is>
          <t>M06-0193</t>
        </is>
      </c>
      <c r="H176" t="n">
        <v>12.4907</v>
      </c>
      <c r="I176" t="n">
        <v>6420.004599999999</v>
      </c>
      <c r="J176" t="n">
        <v>80190.35000000001</v>
      </c>
    </row>
    <row r="177">
      <c r="A177" t="inlineStr">
        <is>
          <t>VN-L.32</t>
        </is>
      </c>
      <c r="B177" t="n">
        <v>199</v>
      </c>
      <c r="C177" t="n">
        <v>2.6</v>
      </c>
      <c r="D177" t="inlineStr">
        <is>
          <t>ESQUINERO PLASTICO 1 1/4X10</t>
        </is>
      </c>
      <c r="E177" t="inlineStr">
        <is>
          <t>Auxiliar</t>
        </is>
      </c>
      <c r="F177" t="inlineStr">
        <is>
          <t>Artículo</t>
        </is>
      </c>
      <c r="G177" t="inlineStr">
        <is>
          <t>M04-0047</t>
        </is>
      </c>
      <c r="H177" t="n">
        <v>37.4722</v>
      </c>
      <c r="I177" t="n">
        <v>942.42</v>
      </c>
      <c r="J177" t="n">
        <v>35314.55</v>
      </c>
    </row>
    <row r="178">
      <c r="A178" t="inlineStr">
        <is>
          <t>VN-L.32</t>
        </is>
      </c>
      <c r="B178" t="n">
        <v>200</v>
      </c>
      <c r="C178" t="n">
        <v>2.6</v>
      </c>
      <c r="D178" t="inlineStr">
        <is>
          <t>SOPORTE P/ESTANTE TRANS 5MM SP-1-PL-HU</t>
        </is>
      </c>
      <c r="E178" t="inlineStr">
        <is>
          <t>Auxiliar</t>
        </is>
      </c>
      <c r="F178" t="inlineStr">
        <is>
          <t>Artículo</t>
        </is>
      </c>
      <c r="G178" t="inlineStr">
        <is>
          <t>M03-0015</t>
        </is>
      </c>
      <c r="H178" t="n">
        <v>39.9703</v>
      </c>
      <c r="I178" t="n">
        <v>21.3457</v>
      </c>
      <c r="J178" t="n">
        <v>853.1900000000001</v>
      </c>
    </row>
    <row r="179">
      <c r="A179" t="inlineStr">
        <is>
          <t>VN-L.32</t>
        </is>
      </c>
      <c r="B179" t="n">
        <v>201</v>
      </c>
      <c r="C179" t="n">
        <v>2.6</v>
      </c>
      <c r="D179" t="inlineStr">
        <is>
          <t>MASKING BLANCO 2"</t>
        </is>
      </c>
      <c r="E179" t="inlineStr">
        <is>
          <t>Auxiliar</t>
        </is>
      </c>
      <c r="F179" t="inlineStr">
        <is>
          <t>Artículo</t>
        </is>
      </c>
      <c r="G179" t="inlineStr">
        <is>
          <t>M06-0226</t>
        </is>
      </c>
      <c r="H179" t="n">
        <v>2.4981</v>
      </c>
      <c r="I179" t="n">
        <v>2885.003</v>
      </c>
      <c r="J179" t="n">
        <v>7207.03</v>
      </c>
    </row>
    <row r="180">
      <c r="A180" t="inlineStr">
        <is>
          <t>VN-L.32</t>
        </is>
      </c>
      <c r="B180" t="n">
        <v>202</v>
      </c>
      <c r="C180" t="n">
        <v>2.6</v>
      </c>
      <c r="D180" t="inlineStr">
        <is>
          <t>MECHA BLANCA</t>
        </is>
      </c>
      <c r="E180" t="inlineStr">
        <is>
          <t>Auxiliar</t>
        </is>
      </c>
      <c r="F180" t="inlineStr">
        <is>
          <t>Artículo</t>
        </is>
      </c>
      <c r="G180" t="inlineStr">
        <is>
          <t>M06-0231</t>
        </is>
      </c>
      <c r="H180" t="n">
        <v>2.4981</v>
      </c>
      <c r="I180" t="n">
        <v>4338.0022</v>
      </c>
      <c r="J180" t="n">
        <v>10836.76</v>
      </c>
    </row>
    <row r="181">
      <c r="A181" t="inlineStr">
        <is>
          <t>VN-L.32</t>
        </is>
      </c>
      <c r="B181" t="n">
        <v>203</v>
      </c>
      <c r="C181" t="n">
        <v>2.6</v>
      </c>
      <c r="D181" t="inlineStr">
        <is>
          <t>PEGAMENTO P/MUEBLES 20KG</t>
        </is>
      </c>
      <c r="E181" t="inlineStr">
        <is>
          <t>Auxiliar</t>
        </is>
      </c>
      <c r="F181" t="inlineStr">
        <is>
          <t>Artículo</t>
        </is>
      </c>
      <c r="G181" t="inlineStr">
        <is>
          <t>M06-0016</t>
        </is>
      </c>
      <c r="H181" t="n">
        <v>2.4981</v>
      </c>
      <c r="I181" t="n">
        <v>7368.172457999999</v>
      </c>
      <c r="J181" t="n">
        <v>18406.43</v>
      </c>
    </row>
    <row r="182">
      <c r="A182" t="inlineStr">
        <is>
          <t>VN-L.32</t>
        </is>
      </c>
      <c r="B182" t="n">
        <v>204</v>
      </c>
      <c r="C182" t="n">
        <v>2.6</v>
      </c>
      <c r="D182" t="inlineStr">
        <is>
          <t>PLASTICO PARA PALETIZAR 80-120 CM</t>
        </is>
      </c>
      <c r="E182" t="inlineStr">
        <is>
          <t>Auxiliar</t>
        </is>
      </c>
      <c r="F182" t="inlineStr">
        <is>
          <t>Artículo</t>
        </is>
      </c>
      <c r="G182" t="inlineStr">
        <is>
          <t>M06-0244</t>
        </is>
      </c>
      <c r="H182" t="n">
        <v>4.9963</v>
      </c>
      <c r="I182" t="n">
        <v>2510.3967</v>
      </c>
      <c r="J182" t="n">
        <v>12542.7</v>
      </c>
    </row>
    <row r="183">
      <c r="A183" t="inlineStr">
        <is>
          <t>VN-L.32</t>
        </is>
      </c>
      <c r="B183" t="n">
        <v>205</v>
      </c>
      <c r="C183" t="n">
        <v>2.6</v>
      </c>
      <c r="D183" t="inlineStr">
        <is>
          <t>THINNER INDUSTRIAL</t>
        </is>
      </c>
      <c r="E183" t="inlineStr">
        <is>
          <t>Auxiliar</t>
        </is>
      </c>
      <c r="F183" t="inlineStr">
        <is>
          <t>Artículo</t>
        </is>
      </c>
      <c r="G183" t="inlineStr">
        <is>
          <t>M11-0019</t>
        </is>
      </c>
      <c r="H183" t="n">
        <v>4.9963</v>
      </c>
      <c r="I183" t="n">
        <v>6464.999957</v>
      </c>
      <c r="J183" t="n">
        <v>32301.08</v>
      </c>
    </row>
    <row r="184">
      <c r="A184" t="inlineStr">
        <is>
          <t>VN-L.32</t>
        </is>
      </c>
      <c r="B184" t="n">
        <v>206</v>
      </c>
      <c r="C184" t="n">
        <v>2.6</v>
      </c>
      <c r="D184" t="inlineStr">
        <is>
          <t>CERRADURA INTERNA MANIJA YALE</t>
        </is>
      </c>
      <c r="E184" t="inlineStr">
        <is>
          <t>Auxiliar</t>
        </is>
      </c>
      <c r="F184" t="inlineStr">
        <is>
          <t>Artículo</t>
        </is>
      </c>
      <c r="G184" t="inlineStr">
        <is>
          <t>M14-0012</t>
        </is>
      </c>
      <c r="H184" t="n">
        <v>24.9815</v>
      </c>
      <c r="I184" t="n">
        <v>6821.809999999999</v>
      </c>
      <c r="J184" t="n">
        <v>170419.05</v>
      </c>
    </row>
    <row r="185">
      <c r="A185" t="inlineStr">
        <is>
          <t>VN-L.32</t>
        </is>
      </c>
      <c r="B185" t="n">
        <v>208</v>
      </c>
      <c r="C185" t="n">
        <v>2.6</v>
      </c>
      <c r="D185" t="inlineStr">
        <is>
          <t>RODAPIE (GENERICO)</t>
        </is>
      </c>
      <c r="E185" t="inlineStr">
        <is>
          <t>Auxiliar</t>
        </is>
      </c>
      <c r="F185" t="inlineStr">
        <is>
          <t>Artículo</t>
        </is>
      </c>
      <c r="G185" t="inlineStr">
        <is>
          <t>M09-0077</t>
        </is>
      </c>
      <c r="H185" t="n">
        <v>189.8591</v>
      </c>
      <c r="I185" t="n">
        <v>4055.57</v>
      </c>
      <c r="J185" t="n">
        <v>769986.87</v>
      </c>
    </row>
    <row r="186">
      <c r="A186" t="inlineStr">
        <is>
          <t>VN-L.32</t>
        </is>
      </c>
      <c r="B186" t="n">
        <v>209</v>
      </c>
      <c r="C186" t="n">
        <v>2.6</v>
      </c>
      <c r="D186" t="inlineStr">
        <is>
          <t>PUERTA + MARCO + MOLDURA BUQUE 100CM (AD)</t>
        </is>
      </c>
      <c r="E186" t="inlineStr">
        <is>
          <t>Auxiliar</t>
        </is>
      </c>
      <c r="F186" t="inlineStr">
        <is>
          <t>Artículo</t>
        </is>
      </c>
      <c r="G186" t="inlineStr">
        <is>
          <t>M14-0020</t>
        </is>
      </c>
      <c r="H186" t="n">
        <v>2.4981</v>
      </c>
      <c r="I186" t="n">
        <v>147000.005</v>
      </c>
      <c r="J186" t="n">
        <v>367220.71</v>
      </c>
    </row>
    <row r="187">
      <c r="A187" t="inlineStr">
        <is>
          <t>VN-L.32</t>
        </is>
      </c>
      <c r="B187" t="n">
        <v>210</v>
      </c>
      <c r="C187" t="n">
        <v>2.6</v>
      </c>
      <c r="D187" t="inlineStr">
        <is>
          <t>PUERTA + MARCO + MOLDURA BUQUE 80CM (AD)</t>
        </is>
      </c>
      <c r="E187" t="inlineStr">
        <is>
          <t>Auxiliar</t>
        </is>
      </c>
      <c r="F187" t="inlineStr">
        <is>
          <t>Artículo</t>
        </is>
      </c>
      <c r="G187" t="inlineStr">
        <is>
          <t>M14-0021</t>
        </is>
      </c>
      <c r="H187" t="n">
        <v>9.992599999999999</v>
      </c>
      <c r="I187" t="n">
        <v>147000.005</v>
      </c>
      <c r="J187" t="n">
        <v>1468912.25</v>
      </c>
    </row>
    <row r="188">
      <c r="A188" t="inlineStr">
        <is>
          <t>VN-L.32</t>
        </is>
      </c>
      <c r="B188" t="n">
        <v>211</v>
      </c>
      <c r="C188" t="n">
        <v>2.6</v>
      </c>
      <c r="D188" t="inlineStr">
        <is>
          <t>PUERTA + MARCO + MOLDURA BUQUE 90CM (AD)</t>
        </is>
      </c>
      <c r="E188" t="inlineStr">
        <is>
          <t>Auxiliar</t>
        </is>
      </c>
      <c r="F188" t="inlineStr">
        <is>
          <t>Artículo</t>
        </is>
      </c>
      <c r="G188" t="inlineStr">
        <is>
          <t>M14-0022</t>
        </is>
      </c>
      <c r="H188" t="n">
        <v>12.4907</v>
      </c>
      <c r="I188" t="n">
        <v>147000.005</v>
      </c>
      <c r="J188" t="n">
        <v>1836132.96</v>
      </c>
    </row>
    <row r="189">
      <c r="A189" t="inlineStr">
        <is>
          <t>VN-L.32</t>
        </is>
      </c>
      <c r="B189" t="n">
        <v>212</v>
      </c>
      <c r="C189" t="n">
        <v>2.7</v>
      </c>
      <c r="D189" t="inlineStr">
        <is>
          <t>INODORO ONE PIECE SMART ALONGADO (AMERICAN STANDARD)</t>
        </is>
      </c>
      <c r="E189" t="inlineStr">
        <is>
          <t>Auxiliar</t>
        </is>
      </c>
      <c r="F189" t="inlineStr">
        <is>
          <t>Artículo</t>
        </is>
      </c>
      <c r="G189" t="inlineStr">
        <is>
          <t>M02-0028</t>
        </is>
      </c>
      <c r="H189" t="n">
        <v>7.4944</v>
      </c>
      <c r="I189" t="n">
        <v>53006.91009999999</v>
      </c>
      <c r="J189" t="n">
        <v>397254.99</v>
      </c>
    </row>
    <row r="190">
      <c r="A190" t="inlineStr">
        <is>
          <t>VN-L.32</t>
        </is>
      </c>
      <c r="B190" t="n">
        <v>213</v>
      </c>
      <c r="C190" t="n">
        <v>2.7</v>
      </c>
      <c r="D190" t="inlineStr">
        <is>
          <t>BRIDA FLEXIBLE 3"  PVC</t>
        </is>
      </c>
      <c r="E190" t="inlineStr">
        <is>
          <t>Auxiliar</t>
        </is>
      </c>
      <c r="F190" t="inlineStr">
        <is>
          <t>Artículo</t>
        </is>
      </c>
      <c r="G190" t="inlineStr">
        <is>
          <t>M13-0072</t>
        </is>
      </c>
      <c r="H190" t="n">
        <v>7.4944</v>
      </c>
      <c r="I190" t="n">
        <v>4121.11</v>
      </c>
      <c r="J190" t="n">
        <v>30885.25</v>
      </c>
    </row>
    <row r="191">
      <c r="A191" t="inlineStr">
        <is>
          <t>VN-L.32</t>
        </is>
      </c>
      <c r="B191" t="n">
        <v>214</v>
      </c>
      <c r="C191" t="n">
        <v>2.7</v>
      </c>
      <c r="D191" t="inlineStr">
        <is>
          <t>MANGUERA ABASTO P/INODORO (7/8 A 1/2)</t>
        </is>
      </c>
      <c r="E191" t="inlineStr">
        <is>
          <t>Auxiliar</t>
        </is>
      </c>
      <c r="F191" t="inlineStr">
        <is>
          <t>Artículo</t>
        </is>
      </c>
      <c r="G191" t="inlineStr">
        <is>
          <t>M02-0026</t>
        </is>
      </c>
      <c r="H191" t="n">
        <v>7.4944</v>
      </c>
      <c r="I191" t="n">
        <v>1541.6364</v>
      </c>
      <c r="J191" t="n">
        <v>11553.64</v>
      </c>
    </row>
    <row r="192">
      <c r="A192" t="inlineStr">
        <is>
          <t>VN-L.32</t>
        </is>
      </c>
      <c r="B192" t="n">
        <v>215</v>
      </c>
      <c r="C192" t="n">
        <v>2.7</v>
      </c>
      <c r="D192" t="inlineStr">
        <is>
          <t>LAVAMANOS SOBREPONER SPAZIO (AMERICAN STANDARD)</t>
        </is>
      </c>
      <c r="E192" t="inlineStr">
        <is>
          <t>Auxiliar</t>
        </is>
      </c>
      <c r="F192" t="inlineStr">
        <is>
          <t>Artículo</t>
        </is>
      </c>
      <c r="G192" t="inlineStr">
        <is>
          <t>M02-0042</t>
        </is>
      </c>
      <c r="H192" t="n">
        <v>7.4944</v>
      </c>
      <c r="I192" t="n">
        <v>24808.0652</v>
      </c>
      <c r="J192" t="n">
        <v>185921.56</v>
      </c>
    </row>
    <row r="193">
      <c r="A193" t="inlineStr">
        <is>
          <t>VN-L.32</t>
        </is>
      </c>
      <c r="B193" t="n">
        <v>217</v>
      </c>
      <c r="C193" t="n">
        <v>2.7</v>
      </c>
      <c r="D193" t="inlineStr">
        <is>
          <t>GRIFERIA ALTA NOVO CROMADA P/VESSEL</t>
        </is>
      </c>
      <c r="E193" t="inlineStr">
        <is>
          <t>Auxiliar</t>
        </is>
      </c>
      <c r="F193" t="inlineStr">
        <is>
          <t>Artículo</t>
        </is>
      </c>
      <c r="G193" t="inlineStr">
        <is>
          <t>M02-0038</t>
        </is>
      </c>
      <c r="H193" t="n">
        <v>7.4944</v>
      </c>
      <c r="I193" t="n">
        <v>34939.6</v>
      </c>
      <c r="J193" t="n">
        <v>261851.34</v>
      </c>
    </row>
    <row r="194">
      <c r="A194" t="inlineStr">
        <is>
          <t>VN-L.32</t>
        </is>
      </c>
      <c r="B194" t="n">
        <v>218</v>
      </c>
      <c r="C194" t="n">
        <v>2.7</v>
      </c>
      <c r="D194" t="inlineStr">
        <is>
          <t>GRIFERIA FREGADERO SIERPE (AMERICAN STANDARD)</t>
        </is>
      </c>
      <c r="E194" t="inlineStr">
        <is>
          <t>Auxiliar</t>
        </is>
      </c>
      <c r="F194" t="inlineStr">
        <is>
          <t>Artículo</t>
        </is>
      </c>
      <c r="G194" t="inlineStr">
        <is>
          <t>M03-0025</t>
        </is>
      </c>
      <c r="H194" t="n">
        <v>2.4981</v>
      </c>
      <c r="I194" t="n">
        <v>30830.75049999999</v>
      </c>
      <c r="J194" t="n">
        <v>77018.3</v>
      </c>
    </row>
    <row r="195">
      <c r="A195" t="inlineStr">
        <is>
          <t>VN-L.32</t>
        </is>
      </c>
      <c r="B195" t="n">
        <v>220</v>
      </c>
      <c r="C195" t="n">
        <v>2.7</v>
      </c>
      <c r="D195" t="inlineStr">
        <is>
          <t>SILICON TRANSPARENTE</t>
        </is>
      </c>
      <c r="E195" t="inlineStr">
        <is>
          <t>Auxiliar</t>
        </is>
      </c>
      <c r="F195" t="inlineStr">
        <is>
          <t>Artículo</t>
        </is>
      </c>
      <c r="G195" t="inlineStr">
        <is>
          <t>M06-0026</t>
        </is>
      </c>
      <c r="H195" t="n">
        <v>7.4944</v>
      </c>
      <c r="I195" t="n">
        <v>4534.999959</v>
      </c>
      <c r="J195" t="n">
        <v>33987.1</v>
      </c>
    </row>
    <row r="196">
      <c r="A196" t="inlineStr">
        <is>
          <t>VN-L.32</t>
        </is>
      </c>
      <c r="B196" t="n">
        <v>221</v>
      </c>
      <c r="C196" t="n">
        <v>2.7</v>
      </c>
      <c r="D196" t="inlineStr">
        <is>
          <t>SIFON PARED 1-1/4" METALICO COFLEX</t>
        </is>
      </c>
      <c r="E196" t="inlineStr">
        <is>
          <t>Auxiliar</t>
        </is>
      </c>
      <c r="F196" t="inlineStr">
        <is>
          <t>Artículo</t>
        </is>
      </c>
      <c r="G196" t="inlineStr">
        <is>
          <t>M13-0046</t>
        </is>
      </c>
      <c r="H196" t="n">
        <v>4.1868</v>
      </c>
      <c r="I196" t="n">
        <v>5141.499999999999</v>
      </c>
      <c r="J196" t="n">
        <v>21526.43</v>
      </c>
    </row>
    <row r="197">
      <c r="A197" t="inlineStr">
        <is>
          <t>VN-L.32</t>
        </is>
      </c>
      <c r="B197" t="n">
        <v>222</v>
      </c>
      <c r="C197" t="n">
        <v>2.7</v>
      </c>
      <c r="D197" t="inlineStr">
        <is>
          <t>EXTENSION METALICA PARA SIFON 1 -1/4X8</t>
        </is>
      </c>
      <c r="E197" t="inlineStr">
        <is>
          <t>Auxiliar</t>
        </is>
      </c>
      <c r="F197" t="inlineStr">
        <is>
          <t>Artículo</t>
        </is>
      </c>
      <c r="G197" t="inlineStr">
        <is>
          <t>M13-0045</t>
        </is>
      </c>
      <c r="H197" t="n">
        <v>7.4944</v>
      </c>
      <c r="I197" t="n">
        <v>1095.1621</v>
      </c>
      <c r="J197" t="n">
        <v>8207.58</v>
      </c>
    </row>
    <row r="198">
      <c r="A198" t="inlineStr">
        <is>
          <t>VN-L.32</t>
        </is>
      </c>
      <c r="B198" t="n">
        <v>223</v>
      </c>
      <c r="C198" t="n">
        <v>2.7</v>
      </c>
      <c r="D198" t="inlineStr">
        <is>
          <t>PILA Y MUEBLE FIBRA DE VIDRIO TANQUE DERECHO/50X70CM</t>
        </is>
      </c>
      <c r="E198" t="inlineStr">
        <is>
          <t>Auxiliar</t>
        </is>
      </c>
      <c r="F198" t="inlineStr">
        <is>
          <t>Artículo</t>
        </is>
      </c>
      <c r="G198" t="inlineStr">
        <is>
          <t>M13-0059</t>
        </is>
      </c>
      <c r="H198" t="n">
        <v>2.4981</v>
      </c>
      <c r="I198" t="n">
        <v>89999.99129999998</v>
      </c>
      <c r="J198" t="n">
        <v>224828.98</v>
      </c>
    </row>
    <row r="199">
      <c r="A199" t="inlineStr">
        <is>
          <t>VN-L.32</t>
        </is>
      </c>
      <c r="B199" t="n">
        <v>224</v>
      </c>
      <c r="C199" t="n">
        <v>2.7</v>
      </c>
      <c r="D199" t="inlineStr">
        <is>
          <t>LLAVE DE CHORRO PREMIUM 1/2</t>
        </is>
      </c>
      <c r="E199" t="inlineStr">
        <is>
          <t>Auxiliar</t>
        </is>
      </c>
      <c r="F199" t="inlineStr">
        <is>
          <t>Artículo</t>
        </is>
      </c>
      <c r="G199" t="inlineStr">
        <is>
          <t>M13-0245</t>
        </is>
      </c>
      <c r="H199" t="n">
        <v>2.4981</v>
      </c>
      <c r="I199" t="n">
        <v>2821.384</v>
      </c>
      <c r="J199" t="n">
        <v>7048.1</v>
      </c>
    </row>
    <row r="200">
      <c r="A200" t="inlineStr">
        <is>
          <t>VN-L.32</t>
        </is>
      </c>
      <c r="B200" t="n">
        <v>225</v>
      </c>
      <c r="C200" t="n">
        <v>2.7</v>
      </c>
      <c r="D200" t="inlineStr">
        <is>
          <t>GRIFERIA DUCHA BREZZA  MONO S/LAVAPIES EZ4015551  SSB</t>
        </is>
      </c>
      <c r="E200" t="inlineStr">
        <is>
          <t>Auxiliar</t>
        </is>
      </c>
      <c r="F200" t="inlineStr">
        <is>
          <t>Artículo</t>
        </is>
      </c>
      <c r="G200" t="inlineStr">
        <is>
          <t>M02-0036</t>
        </is>
      </c>
      <c r="H200" t="n">
        <v>4.9963</v>
      </c>
      <c r="I200" t="n">
        <v>33055.89</v>
      </c>
      <c r="J200" t="n">
        <v>165157.14</v>
      </c>
    </row>
    <row r="201">
      <c r="A201" t="inlineStr">
        <is>
          <t>VN-L.32</t>
        </is>
      </c>
      <c r="B201" t="n">
        <v>226</v>
      </c>
      <c r="C201" t="n">
        <v>2.7</v>
      </c>
      <c r="D201" t="inlineStr">
        <is>
          <t>FREGADERO 1 TANQUE 58X45X20</t>
        </is>
      </c>
      <c r="E201" t="inlineStr">
        <is>
          <t>Auxiliar</t>
        </is>
      </c>
      <c r="F201" t="inlineStr">
        <is>
          <t>Artículo</t>
        </is>
      </c>
      <c r="G201" t="inlineStr">
        <is>
          <t>M03-0023</t>
        </is>
      </c>
      <c r="H201" t="n">
        <v>2.4981</v>
      </c>
      <c r="I201" t="n">
        <v>40092.6147</v>
      </c>
      <c r="J201" t="n">
        <v>100155.36</v>
      </c>
    </row>
    <row r="202">
      <c r="A202" t="inlineStr">
        <is>
          <t>VN-L.32</t>
        </is>
      </c>
      <c r="B202" t="n">
        <v>227</v>
      </c>
      <c r="C202" t="n">
        <v>2.7</v>
      </c>
      <c r="D202" t="inlineStr">
        <is>
          <t>GRIFERIA LAV.CROMA METAL 4" PALANCA CROMO P/LAV MILANO</t>
        </is>
      </c>
      <c r="E202" t="inlineStr">
        <is>
          <t>Auxiliar</t>
        </is>
      </c>
      <c r="F202" t="inlineStr">
        <is>
          <t>Artículo</t>
        </is>
      </c>
      <c r="G202" t="inlineStr">
        <is>
          <t>M02-0035</t>
        </is>
      </c>
      <c r="H202" t="n">
        <v>2.4981</v>
      </c>
      <c r="I202" t="n">
        <v>24546.99</v>
      </c>
      <c r="J202" t="n">
        <v>61320.84</v>
      </c>
    </row>
    <row r="203">
      <c r="A203" t="inlineStr">
        <is>
          <t>VN-L.32</t>
        </is>
      </c>
      <c r="B203" t="n">
        <v>228</v>
      </c>
      <c r="C203" t="n">
        <v>2.7</v>
      </c>
      <c r="D203" t="inlineStr">
        <is>
          <t>LAVAMANOS PEDESTAL MILANO (AMERICAN STANDARD)</t>
        </is>
      </c>
      <c r="E203" t="inlineStr">
        <is>
          <t>Auxiliar</t>
        </is>
      </c>
      <c r="F203" t="inlineStr">
        <is>
          <t>Artículo</t>
        </is>
      </c>
      <c r="G203" t="inlineStr">
        <is>
          <t>M02-0043</t>
        </is>
      </c>
      <c r="H203" t="n">
        <v>2.4981</v>
      </c>
      <c r="I203" t="n">
        <v>27346</v>
      </c>
      <c r="J203" t="n">
        <v>68313.03999999999</v>
      </c>
    </row>
    <row r="204">
      <c r="A204" t="inlineStr">
        <is>
          <t>VN-L.32</t>
        </is>
      </c>
      <c r="B204" t="n">
        <v>229</v>
      </c>
      <c r="C204" t="n">
        <v>2.8</v>
      </c>
      <c r="D204" t="inlineStr">
        <is>
          <t>ZACATE SAN AGUSTIN</t>
        </is>
      </c>
      <c r="E204" t="inlineStr">
        <is>
          <t>Auxiliar</t>
        </is>
      </c>
      <c r="F204" t="inlineStr">
        <is>
          <t>Artículo</t>
        </is>
      </c>
      <c r="G204" t="inlineStr">
        <is>
          <t>M19-0005</t>
        </is>
      </c>
      <c r="H204" t="n">
        <v>97.4277</v>
      </c>
      <c r="I204" t="n">
        <v>1327.75</v>
      </c>
      <c r="J204" t="n">
        <v>129359.63</v>
      </c>
    </row>
    <row r="205">
      <c r="A205" t="inlineStr">
        <is>
          <t>VN-L.32</t>
        </is>
      </c>
      <c r="B205" t="n">
        <v>230</v>
      </c>
      <c r="C205" t="n">
        <v>2.8</v>
      </c>
      <c r="D205" t="inlineStr">
        <is>
          <t>ROLLO SARAN VERDE 80% 2M DE ALTO</t>
        </is>
      </c>
      <c r="E205" t="inlineStr">
        <is>
          <t>Auxiliar</t>
        </is>
      </c>
      <c r="F205" t="inlineStr">
        <is>
          <t>Artículo</t>
        </is>
      </c>
      <c r="G205" t="inlineStr">
        <is>
          <t>M16-0001</t>
        </is>
      </c>
      <c r="H205" t="n">
        <v>17.487</v>
      </c>
      <c r="I205" t="n">
        <v>1735.93199</v>
      </c>
      <c r="J205" t="n">
        <v>30356.24</v>
      </c>
    </row>
    <row r="206">
      <c r="A206" t="inlineStr">
        <is>
          <t>VN-L.32</t>
        </is>
      </c>
      <c r="B206" t="n">
        <v>231</v>
      </c>
      <c r="C206" t="n">
        <v>2.8</v>
      </c>
      <c r="D206" t="inlineStr">
        <is>
          <t>PIEDRA CUARTILLA</t>
        </is>
      </c>
      <c r="E206" t="inlineStr">
        <is>
          <t>Auxiliar</t>
        </is>
      </c>
      <c r="F206" t="inlineStr">
        <is>
          <t>Artículo</t>
        </is>
      </c>
      <c r="G206" t="inlineStr">
        <is>
          <t>M10-0015</t>
        </is>
      </c>
      <c r="H206" t="n">
        <v>2.4981</v>
      </c>
      <c r="I206" t="n">
        <v>17012.15</v>
      </c>
      <c r="J206" t="n">
        <v>42498.05</v>
      </c>
    </row>
    <row r="207">
      <c r="A207" t="inlineStr">
        <is>
          <t>VN-L.32</t>
        </is>
      </c>
      <c r="B207" t="n">
        <v>232</v>
      </c>
      <c r="C207" t="n">
        <v>2.8</v>
      </c>
      <c r="D207" t="inlineStr">
        <is>
          <t>TUBO SDR41 JC PVC 3"</t>
        </is>
      </c>
      <c r="E207" t="inlineStr">
        <is>
          <t>Auxiliar</t>
        </is>
      </c>
      <c r="F207" t="inlineStr">
        <is>
          <t>Artículo</t>
        </is>
      </c>
      <c r="G207" t="inlineStr">
        <is>
          <t>M13-0177</t>
        </is>
      </c>
      <c r="H207" t="n">
        <v>4.9963</v>
      </c>
      <c r="I207" t="n">
        <v>55020.82999999999</v>
      </c>
      <c r="J207" t="n">
        <v>274900.57</v>
      </c>
    </row>
    <row r="208">
      <c r="A208" t="inlineStr">
        <is>
          <t>VN-L.32</t>
        </is>
      </c>
      <c r="B208" t="n">
        <v>233</v>
      </c>
      <c r="C208" t="n">
        <v>2.8</v>
      </c>
      <c r="D208" t="inlineStr">
        <is>
          <t>DISCO SIERRA CIRCULAR 7-1/4</t>
        </is>
      </c>
      <c r="E208" t="inlineStr">
        <is>
          <t>Auxiliar</t>
        </is>
      </c>
      <c r="F208" t="inlineStr">
        <is>
          <t>Artículo</t>
        </is>
      </c>
      <c r="G208" t="inlineStr">
        <is>
          <t>M08-0047</t>
        </is>
      </c>
      <c r="H208" t="n">
        <v>2.4981</v>
      </c>
      <c r="I208" t="n">
        <v>4703.997899999999</v>
      </c>
      <c r="J208" t="n">
        <v>11751.06</v>
      </c>
    </row>
    <row r="209">
      <c r="A209" t="inlineStr">
        <is>
          <t>VN-L.32</t>
        </is>
      </c>
      <c r="B209" t="n">
        <v>234</v>
      </c>
      <c r="C209" t="n">
        <v>3.1</v>
      </c>
      <c r="D209" t="inlineStr">
        <is>
          <t>CURVA CONDUIT 1-1/2 UL</t>
        </is>
      </c>
      <c r="E209" t="inlineStr">
        <is>
          <t>Auxiliar</t>
        </is>
      </c>
      <c r="F209" t="inlineStr">
        <is>
          <t>Artículo</t>
        </is>
      </c>
      <c r="G209" t="inlineStr">
        <is>
          <t>M05-0362</t>
        </is>
      </c>
      <c r="H209" t="n">
        <v>4.9963</v>
      </c>
      <c r="I209" t="n">
        <v>1415.0425</v>
      </c>
      <c r="J209" t="n">
        <v>7069.98</v>
      </c>
    </row>
    <row r="210">
      <c r="A210" t="inlineStr">
        <is>
          <t>VN-L.32</t>
        </is>
      </c>
      <c r="B210" t="n">
        <v>235</v>
      </c>
      <c r="C210" t="n">
        <v>3.1</v>
      </c>
      <c r="D210" t="inlineStr">
        <is>
          <t>CURVA CONDUIT 1 UL</t>
        </is>
      </c>
      <c r="E210" t="inlineStr">
        <is>
          <t>Auxiliar</t>
        </is>
      </c>
      <c r="F210" t="inlineStr">
        <is>
          <t>Artículo</t>
        </is>
      </c>
      <c r="G210" t="inlineStr">
        <is>
          <t>M05-0366</t>
        </is>
      </c>
      <c r="H210" t="n">
        <v>9.992599999999999</v>
      </c>
      <c r="I210" t="n">
        <v>487.3124999999999</v>
      </c>
      <c r="J210" t="n">
        <v>4869.52</v>
      </c>
    </row>
    <row r="211">
      <c r="A211" t="inlineStr">
        <is>
          <t>VN-L.32</t>
        </is>
      </c>
      <c r="B211" t="n">
        <v>236</v>
      </c>
      <c r="C211" t="n">
        <v>3.1</v>
      </c>
      <c r="D211" t="inlineStr">
        <is>
          <t>CURVA CONDUIT 1/2 UL</t>
        </is>
      </c>
      <c r="E211" t="inlineStr">
        <is>
          <t>Auxiliar</t>
        </is>
      </c>
      <c r="F211" t="inlineStr">
        <is>
          <t>Artículo</t>
        </is>
      </c>
      <c r="G211" t="inlineStr">
        <is>
          <t>M05-0361</t>
        </is>
      </c>
      <c r="H211" t="n">
        <v>344.7442</v>
      </c>
      <c r="I211" t="n">
        <v>327.135</v>
      </c>
      <c r="J211" t="n">
        <v>112777.89</v>
      </c>
    </row>
    <row r="212">
      <c r="A212" t="inlineStr">
        <is>
          <t>VN-L.32</t>
        </is>
      </c>
      <c r="B212" t="n">
        <v>237</v>
      </c>
      <c r="C212" t="n">
        <v>3.1</v>
      </c>
      <c r="D212" t="inlineStr">
        <is>
          <t>CURVA CONDUIT 3/4 UL</t>
        </is>
      </c>
      <c r="E212" t="inlineStr">
        <is>
          <t>Auxiliar</t>
        </is>
      </c>
      <c r="F212" t="inlineStr">
        <is>
          <t>Artículo</t>
        </is>
      </c>
      <c r="G212" t="inlineStr">
        <is>
          <t>M05-0367</t>
        </is>
      </c>
      <c r="H212" t="n">
        <v>102.424</v>
      </c>
      <c r="I212" t="n">
        <v>401.15</v>
      </c>
      <c r="J212" t="n">
        <v>41087.39</v>
      </c>
    </row>
    <row r="213">
      <c r="A213" t="inlineStr">
        <is>
          <t>VN-L.32</t>
        </is>
      </c>
      <c r="B213" t="n">
        <v>238</v>
      </c>
      <c r="C213" t="n">
        <v>3.1</v>
      </c>
      <c r="D213" t="inlineStr">
        <is>
          <t>TUBO CONDUIT 1-1/2 UL</t>
        </is>
      </c>
      <c r="E213" t="inlineStr">
        <is>
          <t>Auxiliar</t>
        </is>
      </c>
      <c r="F213" t="inlineStr">
        <is>
          <t>Artículo</t>
        </is>
      </c>
      <c r="G213" t="inlineStr">
        <is>
          <t>M05-0368</t>
        </is>
      </c>
      <c r="H213" t="n">
        <v>14.9889</v>
      </c>
      <c r="I213" t="n">
        <v>3515.995</v>
      </c>
      <c r="J213" t="n">
        <v>52700.9</v>
      </c>
    </row>
    <row r="214">
      <c r="A214" t="inlineStr">
        <is>
          <t>VN-L.32</t>
        </is>
      </c>
      <c r="B214" t="n">
        <v>239</v>
      </c>
      <c r="C214" t="n">
        <v>3.1</v>
      </c>
      <c r="D214" t="inlineStr">
        <is>
          <t>TUBO CONDUIT 1 UL</t>
        </is>
      </c>
      <c r="E214" t="inlineStr">
        <is>
          <t>Auxiliar</t>
        </is>
      </c>
      <c r="F214" t="inlineStr">
        <is>
          <t>Artículo</t>
        </is>
      </c>
      <c r="G214" t="inlineStr">
        <is>
          <t>M05-0369</t>
        </is>
      </c>
      <c r="H214" t="n">
        <v>22.4833</v>
      </c>
      <c r="I214" t="n">
        <v>2365.9375</v>
      </c>
      <c r="J214" t="n">
        <v>53194.08</v>
      </c>
    </row>
    <row r="215">
      <c r="A215" t="inlineStr">
        <is>
          <t>VN-L.32</t>
        </is>
      </c>
      <c r="B215" t="n">
        <v>240</v>
      </c>
      <c r="C215" t="n">
        <v>3.1</v>
      </c>
      <c r="D215" t="inlineStr">
        <is>
          <t>TUBO CONDUIT 1/2 UL</t>
        </is>
      </c>
      <c r="E215" t="inlineStr">
        <is>
          <t>Auxiliar</t>
        </is>
      </c>
      <c r="F215" t="inlineStr">
        <is>
          <t>Artículo</t>
        </is>
      </c>
      <c r="G215" t="inlineStr">
        <is>
          <t>M05-0370</t>
        </is>
      </c>
      <c r="H215" t="n">
        <v>312.2683</v>
      </c>
      <c r="I215" t="n">
        <v>736.4775</v>
      </c>
      <c r="J215" t="n">
        <v>229978.58</v>
      </c>
    </row>
    <row r="216">
      <c r="A216" t="inlineStr">
        <is>
          <t>VN-L.32</t>
        </is>
      </c>
      <c r="B216" t="n">
        <v>241</v>
      </c>
      <c r="C216" t="n">
        <v>3.1</v>
      </c>
      <c r="D216" t="inlineStr">
        <is>
          <t>TUBO CONDUIT 3/4 UL</t>
        </is>
      </c>
      <c r="E216" t="inlineStr">
        <is>
          <t>Auxiliar</t>
        </is>
      </c>
      <c r="F216" t="inlineStr">
        <is>
          <t>Artículo</t>
        </is>
      </c>
      <c r="G216" t="inlineStr">
        <is>
          <t>M05-0371</t>
        </is>
      </c>
      <c r="H216" t="n">
        <v>132.4018</v>
      </c>
      <c r="I216" t="n">
        <v>1096.3825</v>
      </c>
      <c r="J216" t="n">
        <v>145163.02</v>
      </c>
    </row>
    <row r="217">
      <c r="A217" t="inlineStr">
        <is>
          <t>VN-L.32</t>
        </is>
      </c>
      <c r="B217" t="n">
        <v>242</v>
      </c>
      <c r="C217" t="n">
        <v>3.1</v>
      </c>
      <c r="D217" t="inlineStr">
        <is>
          <t>UNION CONDUIT 1-1/2 UL</t>
        </is>
      </c>
      <c r="E217" t="inlineStr">
        <is>
          <t>Auxiliar</t>
        </is>
      </c>
      <c r="F217" t="inlineStr">
        <is>
          <t>Artículo</t>
        </is>
      </c>
      <c r="G217" t="inlineStr">
        <is>
          <t>M05-0372</t>
        </is>
      </c>
      <c r="H217" t="n">
        <v>12.4907</v>
      </c>
      <c r="I217" t="n">
        <v>311.315</v>
      </c>
      <c r="J217" t="n">
        <v>3888.54</v>
      </c>
    </row>
    <row r="218">
      <c r="A218" t="inlineStr">
        <is>
          <t>VN-L.32</t>
        </is>
      </c>
      <c r="B218" t="n">
        <v>243</v>
      </c>
      <c r="C218" t="n">
        <v>3.1</v>
      </c>
      <c r="D218" t="inlineStr">
        <is>
          <t>UNION CONDUIT 1 UL</t>
        </is>
      </c>
      <c r="E218" t="inlineStr">
        <is>
          <t>Auxiliar</t>
        </is>
      </c>
      <c r="F218" t="inlineStr">
        <is>
          <t>Artículo</t>
        </is>
      </c>
      <c r="G218" t="inlineStr">
        <is>
          <t>M05-0373</t>
        </is>
      </c>
      <c r="H218" t="n">
        <v>14.9889</v>
      </c>
      <c r="I218" t="n">
        <v>170.065</v>
      </c>
      <c r="J218" t="n">
        <v>2549.09</v>
      </c>
    </row>
    <row r="219">
      <c r="A219" t="inlineStr">
        <is>
          <t>VN-L.32</t>
        </is>
      </c>
      <c r="B219" t="n">
        <v>244</v>
      </c>
      <c r="C219" t="n">
        <v>3.1</v>
      </c>
      <c r="D219" t="inlineStr">
        <is>
          <t>UNION CONDUIT 1/2 UL</t>
        </is>
      </c>
      <c r="E219" t="inlineStr">
        <is>
          <t>Auxiliar</t>
        </is>
      </c>
      <c r="F219" t="inlineStr">
        <is>
          <t>Artículo</t>
        </is>
      </c>
      <c r="G219" t="inlineStr">
        <is>
          <t>M05-0374</t>
        </is>
      </c>
      <c r="H219" t="n">
        <v>209.8443</v>
      </c>
      <c r="I219" t="n">
        <v>75.145</v>
      </c>
      <c r="J219" t="n">
        <v>15768.75</v>
      </c>
    </row>
    <row r="220">
      <c r="A220" t="inlineStr">
        <is>
          <t>VN-L.32</t>
        </is>
      </c>
      <c r="B220" t="n">
        <v>245</v>
      </c>
      <c r="C220" t="n">
        <v>3.1</v>
      </c>
      <c r="D220" t="inlineStr">
        <is>
          <t>UNION CONDUIT 3/4 UL</t>
        </is>
      </c>
      <c r="E220" t="inlineStr">
        <is>
          <t>Auxiliar</t>
        </is>
      </c>
      <c r="F220" t="inlineStr">
        <is>
          <t>Artículo</t>
        </is>
      </c>
      <c r="G220" t="inlineStr">
        <is>
          <t>M05-0375</t>
        </is>
      </c>
      <c r="H220" t="n">
        <v>132.4018</v>
      </c>
      <c r="I220" t="n">
        <v>106.785</v>
      </c>
      <c r="J220" t="n">
        <v>14138.53</v>
      </c>
    </row>
    <row r="221">
      <c r="A221" t="inlineStr">
        <is>
          <t>VN-L.32</t>
        </is>
      </c>
      <c r="B221" t="n">
        <v>246</v>
      </c>
      <c r="C221" t="n">
        <v>3.1</v>
      </c>
      <c r="D221" t="inlineStr">
        <is>
          <t>CONECTOR CONDUIT 1/2 UL</t>
        </is>
      </c>
      <c r="E221" t="inlineStr">
        <is>
          <t>Auxiliar</t>
        </is>
      </c>
      <c r="F221" t="inlineStr">
        <is>
          <t>Artículo</t>
        </is>
      </c>
      <c r="G221" t="inlineStr">
        <is>
          <t>M05-0476</t>
        </is>
      </c>
      <c r="H221" t="n">
        <v>394.7072</v>
      </c>
      <c r="I221" t="n">
        <v>94.07249999999999</v>
      </c>
      <c r="J221" t="n">
        <v>37131.09</v>
      </c>
    </row>
    <row r="222">
      <c r="A222" t="inlineStr">
        <is>
          <t>VN-L.32</t>
        </is>
      </c>
      <c r="B222" t="n">
        <v>247</v>
      </c>
      <c r="C222" t="n">
        <v>3.1</v>
      </c>
      <c r="D222" t="inlineStr">
        <is>
          <t>PINTURA EN SPRAY ANARANJADO FLURECENTE</t>
        </is>
      </c>
      <c r="E222" t="inlineStr">
        <is>
          <t>Auxiliar</t>
        </is>
      </c>
      <c r="F222" t="inlineStr">
        <is>
          <t>Artículo</t>
        </is>
      </c>
      <c r="G222" t="inlineStr">
        <is>
          <t>M11-0071</t>
        </is>
      </c>
      <c r="H222" t="n">
        <v>12.4907</v>
      </c>
      <c r="I222" t="n">
        <v>5495.000047</v>
      </c>
      <c r="J222" t="n">
        <v>68636.39999999999</v>
      </c>
    </row>
    <row r="223">
      <c r="A223" t="inlineStr">
        <is>
          <t>VN-L.32</t>
        </is>
      </c>
      <c r="B223" t="n">
        <v>248</v>
      </c>
      <c r="C223" t="n">
        <v>3.1</v>
      </c>
      <c r="D223" t="inlineStr">
        <is>
          <t>CINTA EMPAQUE 2</t>
        </is>
      </c>
      <c r="E223" t="inlineStr">
        <is>
          <t>Auxiliar</t>
        </is>
      </c>
      <c r="F223" t="inlineStr">
        <is>
          <t>Artículo</t>
        </is>
      </c>
      <c r="G223" t="inlineStr">
        <is>
          <t>M06-0175</t>
        </is>
      </c>
      <c r="H223" t="n">
        <v>19.9852</v>
      </c>
      <c r="I223" t="n">
        <v>2909.999956</v>
      </c>
      <c r="J223" t="n">
        <v>58156.93</v>
      </c>
    </row>
    <row r="224">
      <c r="A224" t="inlineStr">
        <is>
          <t>VN-L.32</t>
        </is>
      </c>
      <c r="B224" t="n">
        <v>249</v>
      </c>
      <c r="C224" t="n">
        <v>3.1</v>
      </c>
      <c r="D224" t="inlineStr">
        <is>
          <t>PEGAMENTO  PVC AZUL WETBONDING</t>
        </is>
      </c>
      <c r="E224" t="inlineStr">
        <is>
          <t>Auxiliar</t>
        </is>
      </c>
      <c r="F224" t="inlineStr">
        <is>
          <t>Artículo</t>
        </is>
      </c>
      <c r="G224" t="inlineStr">
        <is>
          <t>M06-0013</t>
        </is>
      </c>
      <c r="H224" t="n">
        <v>14.9889</v>
      </c>
      <c r="I224" t="n">
        <v>5835.0036</v>
      </c>
      <c r="J224" t="n">
        <v>87460.28999999999</v>
      </c>
    </row>
    <row r="225">
      <c r="A225" t="inlineStr">
        <is>
          <t>VN-L.32</t>
        </is>
      </c>
      <c r="B225" t="n">
        <v>250</v>
      </c>
      <c r="C225" t="n">
        <v>3.1</v>
      </c>
      <c r="D225" t="inlineStr">
        <is>
          <t>HOJA DE SEGUETA</t>
        </is>
      </c>
      <c r="E225" t="inlineStr">
        <is>
          <t>Auxiliar</t>
        </is>
      </c>
      <c r="F225" t="inlineStr">
        <is>
          <t>Artículo</t>
        </is>
      </c>
      <c r="G225" t="inlineStr">
        <is>
          <t>M06-0210</t>
        </is>
      </c>
      <c r="H225" t="n">
        <v>9.992599999999999</v>
      </c>
      <c r="I225" t="n">
        <v>585.6564</v>
      </c>
      <c r="J225" t="n">
        <v>5852.23</v>
      </c>
    </row>
    <row r="226">
      <c r="A226" t="inlineStr">
        <is>
          <t>VN-L.32</t>
        </is>
      </c>
      <c r="B226" t="n">
        <v>251</v>
      </c>
      <c r="C226" t="n">
        <v>3.1</v>
      </c>
      <c r="D226" t="inlineStr">
        <is>
          <t>LAMINA ESTEREOFON 2" 1.22X2.44</t>
        </is>
      </c>
      <c r="E226" t="inlineStr">
        <is>
          <t>Auxiliar</t>
        </is>
      </c>
      <c r="F226" t="inlineStr">
        <is>
          <t>Artículo</t>
        </is>
      </c>
      <c r="G226" t="inlineStr">
        <is>
          <t>M04-0003</t>
        </is>
      </c>
      <c r="H226" t="n">
        <v>7.4944</v>
      </c>
      <c r="I226" t="n">
        <v>5509.721799999999</v>
      </c>
      <c r="J226" t="n">
        <v>41292.06</v>
      </c>
    </row>
    <row r="227">
      <c r="A227" t="inlineStr">
        <is>
          <t>VN-L.32</t>
        </is>
      </c>
      <c r="B227" t="n">
        <v>252</v>
      </c>
      <c r="C227" t="n">
        <v>3.1</v>
      </c>
      <c r="D227" t="inlineStr">
        <is>
          <t>CAJA OCTAGONAL 1/2-3/4 EMT PESADA (8 SALIDAS )</t>
        </is>
      </c>
      <c r="E227" t="inlineStr">
        <is>
          <t>Auxiliar</t>
        </is>
      </c>
      <c r="F227" t="inlineStr">
        <is>
          <t>Artículo</t>
        </is>
      </c>
      <c r="G227" t="inlineStr">
        <is>
          <t>M05-0389</t>
        </is>
      </c>
      <c r="H227" t="n">
        <v>47.4648</v>
      </c>
      <c r="I227" t="n">
        <v>389.0024999999999</v>
      </c>
      <c r="J227" t="n">
        <v>18463.93</v>
      </c>
    </row>
    <row r="228">
      <c r="A228" t="inlineStr">
        <is>
          <t>VN-L.32</t>
        </is>
      </c>
      <c r="B228" t="n">
        <v>253</v>
      </c>
      <c r="C228" t="n">
        <v>3.1</v>
      </c>
      <c r="D228" t="inlineStr">
        <is>
          <t>GAS  BUTANO PARA SOPLETE</t>
        </is>
      </c>
      <c r="E228" t="inlineStr">
        <is>
          <t>Auxiliar</t>
        </is>
      </c>
      <c r="F228" t="inlineStr">
        <is>
          <t>Artículo</t>
        </is>
      </c>
      <c r="G228" t="inlineStr">
        <is>
          <t>M06-0197</t>
        </is>
      </c>
      <c r="H228" t="n">
        <v>17.487</v>
      </c>
      <c r="I228" t="n">
        <v>1606.6679</v>
      </c>
      <c r="J228" t="n">
        <v>28095.8</v>
      </c>
    </row>
    <row r="229">
      <c r="A229" t="inlineStr">
        <is>
          <t>VN-L.32</t>
        </is>
      </c>
      <c r="B229" t="n">
        <v>254</v>
      </c>
      <c r="C229" t="n">
        <v>3.1</v>
      </c>
      <c r="D229" t="inlineStr">
        <is>
          <t>CAJA CUADRADA EMT 4X4 DOBLE FONDO CON HUECO DE 1</t>
        </is>
      </c>
      <c r="E229" t="inlineStr">
        <is>
          <t>Auxiliar</t>
        </is>
      </c>
      <c r="F229" t="inlineStr">
        <is>
          <t>Artículo</t>
        </is>
      </c>
      <c r="G229" t="inlineStr">
        <is>
          <t>M05-0388</t>
        </is>
      </c>
      <c r="H229" t="n">
        <v>2.4981</v>
      </c>
      <c r="I229" t="n">
        <v>1265.6</v>
      </c>
      <c r="J229" t="n">
        <v>3161.6</v>
      </c>
    </row>
    <row r="230">
      <c r="A230" t="inlineStr">
        <is>
          <t>VN-L.32</t>
        </is>
      </c>
      <c r="B230" t="n">
        <v>255</v>
      </c>
      <c r="C230" t="n">
        <v>3.1</v>
      </c>
      <c r="D230" t="inlineStr">
        <is>
          <t>CAJA CUADRADA EMT 4X4 DOBLE FONDO CON HUECO DE 3/4-1/2</t>
        </is>
      </c>
      <c r="E230" t="inlineStr">
        <is>
          <t>Auxiliar</t>
        </is>
      </c>
      <c r="F230" t="inlineStr">
        <is>
          <t>Artículo</t>
        </is>
      </c>
      <c r="G230" t="inlineStr">
        <is>
          <t>M05-0385</t>
        </is>
      </c>
      <c r="H230" t="n">
        <v>24.9815</v>
      </c>
      <c r="I230" t="n">
        <v>355.95</v>
      </c>
      <c r="J230" t="n">
        <v>8892.16</v>
      </c>
    </row>
    <row r="231">
      <c r="A231" t="inlineStr">
        <is>
          <t>VN-L.32</t>
        </is>
      </c>
      <c r="B231" t="n">
        <v>256</v>
      </c>
      <c r="C231" t="n">
        <v>3.1</v>
      </c>
      <c r="D231" t="inlineStr">
        <is>
          <t>CAJA RECTANGULAR EMT CON HUECO DE 1/2 Y 3/4 UL</t>
        </is>
      </c>
      <c r="E231" t="inlineStr">
        <is>
          <t>Auxiliar</t>
        </is>
      </c>
      <c r="F231" t="inlineStr">
        <is>
          <t>Artículo</t>
        </is>
      </c>
      <c r="G231" t="inlineStr">
        <is>
          <t>M05-0390</t>
        </is>
      </c>
      <c r="H231" t="n">
        <v>139.8962</v>
      </c>
      <c r="I231" t="n">
        <v>764.9987</v>
      </c>
      <c r="J231" t="n">
        <v>107020.41</v>
      </c>
    </row>
    <row r="232">
      <c r="A232" t="inlineStr">
        <is>
          <t>VN-L.32</t>
        </is>
      </c>
      <c r="B232" t="n">
        <v>258</v>
      </c>
      <c r="C232" t="n">
        <v>3.1</v>
      </c>
      <c r="D232" t="inlineStr">
        <is>
          <t>CONECTOR CONDUIT 1 1/2 UL</t>
        </is>
      </c>
      <c r="E232" t="inlineStr">
        <is>
          <t>Auxiliar</t>
        </is>
      </c>
      <c r="F232" t="inlineStr">
        <is>
          <t>Artículo</t>
        </is>
      </c>
      <c r="G232" t="inlineStr">
        <is>
          <t>M05-0363</t>
        </is>
      </c>
      <c r="H232" t="n">
        <v>4.9963</v>
      </c>
      <c r="I232" t="n">
        <v>367.8149999999999</v>
      </c>
      <c r="J232" t="n">
        <v>1837.71</v>
      </c>
    </row>
    <row r="233">
      <c r="A233" t="inlineStr">
        <is>
          <t>VN-L.32</t>
        </is>
      </c>
      <c r="B233" t="n">
        <v>259</v>
      </c>
      <c r="C233" t="n">
        <v>3.1</v>
      </c>
      <c r="D233" t="inlineStr">
        <is>
          <t>CONECTOR CONDUIT 1" UL</t>
        </is>
      </c>
      <c r="E233" t="inlineStr">
        <is>
          <t>Auxiliar</t>
        </is>
      </c>
      <c r="F233" t="inlineStr">
        <is>
          <t>Artículo</t>
        </is>
      </c>
      <c r="G233" t="inlineStr">
        <is>
          <t>M05-0364</t>
        </is>
      </c>
      <c r="H233" t="n">
        <v>7.4944</v>
      </c>
      <c r="I233" t="n">
        <v>331.09</v>
      </c>
      <c r="J233" t="n">
        <v>2481.32</v>
      </c>
    </row>
    <row r="234">
      <c r="A234" t="inlineStr">
        <is>
          <t>VN-L.32</t>
        </is>
      </c>
      <c r="B234" t="n">
        <v>260</v>
      </c>
      <c r="C234" t="n">
        <v>3.1</v>
      </c>
      <c r="D234" t="inlineStr">
        <is>
          <t>CONECTOR CONDUIT 3/4 UL</t>
        </is>
      </c>
      <c r="E234" t="inlineStr">
        <is>
          <t>Auxiliar</t>
        </is>
      </c>
      <c r="F234" t="inlineStr">
        <is>
          <t>Artículo</t>
        </is>
      </c>
      <c r="G234" t="inlineStr">
        <is>
          <t>M05-0477</t>
        </is>
      </c>
      <c r="H234" t="n">
        <v>99.9259</v>
      </c>
      <c r="I234" t="n">
        <v>119.4975</v>
      </c>
      <c r="J234" t="n">
        <v>11940.9</v>
      </c>
    </row>
    <row r="235">
      <c r="A235" t="inlineStr">
        <is>
          <t>VN-L.32</t>
        </is>
      </c>
      <c r="B235" t="n">
        <v>261</v>
      </c>
      <c r="C235" t="n">
        <v>3.1</v>
      </c>
      <c r="D235" t="inlineStr">
        <is>
          <t>TUBO EMT DE ½</t>
        </is>
      </c>
      <c r="E235" t="inlineStr">
        <is>
          <t>Auxiliar</t>
        </is>
      </c>
      <c r="F235" t="inlineStr">
        <is>
          <t>Artículo</t>
        </is>
      </c>
      <c r="G235" t="inlineStr">
        <is>
          <t>M05-0405</t>
        </is>
      </c>
      <c r="H235" t="n">
        <v>24.9815</v>
      </c>
      <c r="I235" t="n">
        <v>2172.3798</v>
      </c>
      <c r="J235" t="n">
        <v>54269.31</v>
      </c>
    </row>
    <row r="236">
      <c r="A236" t="inlineStr">
        <is>
          <t>VN-L.32</t>
        </is>
      </c>
      <c r="B236" t="n">
        <v>262</v>
      </c>
      <c r="C236" t="n">
        <v>3.1</v>
      </c>
      <c r="D236" t="inlineStr">
        <is>
          <t>ARO REPELLO EMT 4X4 1GANG</t>
        </is>
      </c>
      <c r="E236" t="inlineStr">
        <is>
          <t>Auxiliar</t>
        </is>
      </c>
      <c r="F236" t="inlineStr">
        <is>
          <t>Artículo</t>
        </is>
      </c>
      <c r="G236" t="inlineStr">
        <is>
          <t>M05-0386</t>
        </is>
      </c>
      <c r="H236" t="n">
        <v>9.992599999999999</v>
      </c>
      <c r="I236" t="n">
        <v>159.0814</v>
      </c>
      <c r="J236" t="n">
        <v>1589.64</v>
      </c>
    </row>
    <row r="237">
      <c r="A237" t="inlineStr">
        <is>
          <t>VN-L.32</t>
        </is>
      </c>
      <c r="B237" t="n">
        <v>263</v>
      </c>
      <c r="C237" t="n">
        <v>3.1</v>
      </c>
      <c r="D237" t="inlineStr">
        <is>
          <t>VARILLA DEFORME #3</t>
        </is>
      </c>
      <c r="E237" t="inlineStr">
        <is>
          <t>Auxiliar</t>
        </is>
      </c>
      <c r="F237" t="inlineStr">
        <is>
          <t>Artículo</t>
        </is>
      </c>
      <c r="G237" t="inlineStr">
        <is>
          <t>M01-0147</t>
        </is>
      </c>
      <c r="H237" t="n">
        <v>14.9889</v>
      </c>
      <c r="I237" t="n">
        <v>1344.7</v>
      </c>
      <c r="J237" t="n">
        <v>20155.57</v>
      </c>
    </row>
    <row r="238">
      <c r="A238" t="inlineStr">
        <is>
          <t>VN-L.32</t>
        </is>
      </c>
      <c r="B238" t="n">
        <v>264</v>
      </c>
      <c r="C238" t="n">
        <v>3.1</v>
      </c>
      <c r="D238" t="inlineStr">
        <is>
          <t>CAJA RECTANGULAR INTEMPERIE B5V 3HUECOS 1/2" (UL)</t>
        </is>
      </c>
      <c r="E238" t="inlineStr">
        <is>
          <t>Auxiliar</t>
        </is>
      </c>
      <c r="F238" t="inlineStr">
        <is>
          <t>Artículo</t>
        </is>
      </c>
      <c r="G238" t="inlineStr">
        <is>
          <t>M05-0160</t>
        </is>
      </c>
      <c r="H238" t="n">
        <v>4.9963</v>
      </c>
      <c r="I238" t="n">
        <v>1408.9179</v>
      </c>
      <c r="J238" t="n">
        <v>7039.38</v>
      </c>
    </row>
    <row r="239">
      <c r="A239" t="inlineStr">
        <is>
          <t>VN-L.32</t>
        </is>
      </c>
      <c r="B239" t="n">
        <v>265</v>
      </c>
      <c r="C239" t="n">
        <v>3.1</v>
      </c>
      <c r="D239" t="inlineStr">
        <is>
          <t>CABLE TGP 3X12</t>
        </is>
      </c>
      <c r="E239" t="inlineStr">
        <is>
          <t>Auxiliar</t>
        </is>
      </c>
      <c r="F239" t="inlineStr">
        <is>
          <t>Artículo</t>
        </is>
      </c>
      <c r="G239" t="inlineStr">
        <is>
          <t>M05-0264</t>
        </is>
      </c>
      <c r="H239" t="n">
        <v>62.4537</v>
      </c>
      <c r="I239" t="n">
        <v>1344.1915</v>
      </c>
      <c r="J239" t="n">
        <v>83949.73</v>
      </c>
    </row>
    <row r="240">
      <c r="A240" t="inlineStr">
        <is>
          <t>VN-L.32</t>
        </is>
      </c>
      <c r="B240" t="n">
        <v>266</v>
      </c>
      <c r="C240" t="n">
        <v>3.1</v>
      </c>
      <c r="D240" t="inlineStr">
        <is>
          <t>GAZA EMT 1 OREJAS 3/4"</t>
        </is>
      </c>
      <c r="E240" t="inlineStr">
        <is>
          <t>Auxiliar</t>
        </is>
      </c>
      <c r="F240" t="inlineStr">
        <is>
          <t>Artículo</t>
        </is>
      </c>
      <c r="G240" t="inlineStr">
        <is>
          <t>M05-0407</t>
        </is>
      </c>
      <c r="H240" t="n">
        <v>62.4537</v>
      </c>
      <c r="I240" t="n">
        <v>18.306</v>
      </c>
      <c r="J240" t="n">
        <v>1143.28</v>
      </c>
    </row>
    <row r="241">
      <c r="A241" t="inlineStr">
        <is>
          <t>VN-L.32</t>
        </is>
      </c>
      <c r="B241" t="n">
        <v>267</v>
      </c>
      <c r="C241" t="n">
        <v>3.1</v>
      </c>
      <c r="D241" t="inlineStr">
        <is>
          <t>TAPA CIEGA PARA CAJA OCTAGONAL</t>
        </is>
      </c>
      <c r="E241" t="inlineStr">
        <is>
          <t>Auxiliar</t>
        </is>
      </c>
      <c r="F241" t="inlineStr">
        <is>
          <t>Artículo</t>
        </is>
      </c>
      <c r="G241" t="inlineStr">
        <is>
          <t>M05-0015</t>
        </is>
      </c>
      <c r="H241" t="n">
        <v>22.4833</v>
      </c>
      <c r="I241" t="n">
        <v>156.0191</v>
      </c>
      <c r="J241" t="n">
        <v>3507.82</v>
      </c>
    </row>
    <row r="242">
      <c r="A242" t="inlineStr">
        <is>
          <t>VN-L.32</t>
        </is>
      </c>
      <c r="B242" t="n">
        <v>268</v>
      </c>
      <c r="C242" t="n">
        <v>3.1</v>
      </c>
      <c r="D242" t="inlineStr">
        <is>
          <t>TAPA CIEGA CUADRADA 4X4 EMT</t>
        </is>
      </c>
      <c r="E242" t="inlineStr">
        <is>
          <t>Auxiliar</t>
        </is>
      </c>
      <c r="F242" t="inlineStr">
        <is>
          <t>Artículo</t>
        </is>
      </c>
      <c r="G242" t="inlineStr">
        <is>
          <t>M05-0410</t>
        </is>
      </c>
      <c r="H242" t="n">
        <v>7.4944</v>
      </c>
      <c r="I242" t="n">
        <v>154.4823</v>
      </c>
      <c r="J242" t="n">
        <v>1157.75</v>
      </c>
    </row>
    <row r="243">
      <c r="A243" t="inlineStr">
        <is>
          <t>VN-L.32</t>
        </is>
      </c>
      <c r="B243" t="n">
        <v>269</v>
      </c>
      <c r="C243" t="n">
        <v>3.1</v>
      </c>
      <c r="D243" t="inlineStr">
        <is>
          <t>CONECTOR DERIVADOR 12-10 AWG IDC 562 562 AMARILLO</t>
        </is>
      </c>
      <c r="E243" t="inlineStr">
        <is>
          <t>Auxiliar</t>
        </is>
      </c>
      <c r="F243" t="inlineStr">
        <is>
          <t>Artículo</t>
        </is>
      </c>
      <c r="G243" t="inlineStr">
        <is>
          <t>M05-0007</t>
        </is>
      </c>
      <c r="H243" t="n">
        <v>249.8147</v>
      </c>
      <c r="I243" t="n">
        <v>116.6951</v>
      </c>
      <c r="J243" t="n">
        <v>29152.15</v>
      </c>
    </row>
    <row r="244">
      <c r="A244" t="inlineStr">
        <is>
          <t>VN-L.32</t>
        </is>
      </c>
      <c r="B244" t="n">
        <v>270</v>
      </c>
      <c r="C244" t="n">
        <v>3.1</v>
      </c>
      <c r="D244" t="inlineStr">
        <is>
          <t>CONECTOR RESORTE ROJO</t>
        </is>
      </c>
      <c r="E244" t="inlineStr">
        <is>
          <t>Auxiliar</t>
        </is>
      </c>
      <c r="F244" t="inlineStr">
        <is>
          <t>Artículo</t>
        </is>
      </c>
      <c r="G244" t="inlineStr">
        <is>
          <t>M05-0008</t>
        </is>
      </c>
      <c r="H244" t="n">
        <v>62.4537</v>
      </c>
      <c r="I244" t="n">
        <v>108.0054</v>
      </c>
      <c r="J244" t="n">
        <v>6745.34</v>
      </c>
    </row>
    <row r="245">
      <c r="A245" t="inlineStr">
        <is>
          <t>VN-L.32</t>
        </is>
      </c>
      <c r="B245" t="n">
        <v>271</v>
      </c>
      <c r="C245" t="n">
        <v>3.1</v>
      </c>
      <c r="D245" t="inlineStr">
        <is>
          <t>TAPE NEGRO SUPER 33+3M 19MM</t>
        </is>
      </c>
      <c r="E245" t="inlineStr">
        <is>
          <t>Auxiliar</t>
        </is>
      </c>
      <c r="F245" t="inlineStr">
        <is>
          <t>Artículo</t>
        </is>
      </c>
      <c r="G245" t="inlineStr">
        <is>
          <t>M05-0019</t>
        </is>
      </c>
      <c r="H245" t="n">
        <v>7.4944</v>
      </c>
      <c r="I245" t="n">
        <v>2530.8045</v>
      </c>
      <c r="J245" t="n">
        <v>18966.86</v>
      </c>
    </row>
    <row r="246">
      <c r="A246" t="inlineStr">
        <is>
          <t>VN-L.32</t>
        </is>
      </c>
      <c r="B246" t="n">
        <v>272</v>
      </c>
      <c r="C246" t="n">
        <v>3.1</v>
      </c>
      <c r="D246" t="inlineStr">
        <is>
          <t>CABLE #12</t>
        </is>
      </c>
      <c r="E246" t="inlineStr">
        <is>
          <t>Auxiliar</t>
        </is>
      </c>
      <c r="F246" t="inlineStr">
        <is>
          <t>Artículo</t>
        </is>
      </c>
      <c r="G246" t="inlineStr">
        <is>
          <t>M05-0259</t>
        </is>
      </c>
      <c r="H246" t="n">
        <v>499.6293</v>
      </c>
      <c r="I246" t="n">
        <v>265.55</v>
      </c>
      <c r="J246" t="n">
        <v>132676.56</v>
      </c>
    </row>
    <row r="247">
      <c r="A247" t="inlineStr">
        <is>
          <t>VN-L.32</t>
        </is>
      </c>
      <c r="B247" t="n">
        <v>273</v>
      </c>
      <c r="C247" t="n">
        <v>3.1</v>
      </c>
      <c r="D247" t="inlineStr">
        <is>
          <t>CABLE #12</t>
        </is>
      </c>
      <c r="E247" t="inlineStr">
        <is>
          <t>Auxiliar</t>
        </is>
      </c>
      <c r="F247" t="inlineStr">
        <is>
          <t>Artículo</t>
        </is>
      </c>
      <c r="G247" t="inlineStr">
        <is>
          <t>M05-0259</t>
        </is>
      </c>
      <c r="H247" t="n">
        <v>1074.203</v>
      </c>
      <c r="I247" t="n">
        <v>265.55</v>
      </c>
      <c r="J247" t="n">
        <v>285254.61</v>
      </c>
    </row>
    <row r="248">
      <c r="A248" t="inlineStr">
        <is>
          <t>VN-L.32</t>
        </is>
      </c>
      <c r="B248" t="n">
        <v>274</v>
      </c>
      <c r="C248" t="n">
        <v>3.1</v>
      </c>
      <c r="D248" t="inlineStr">
        <is>
          <t>CABLE #12</t>
        </is>
      </c>
      <c r="E248" t="inlineStr">
        <is>
          <t>Auxiliar</t>
        </is>
      </c>
      <c r="F248" t="inlineStr">
        <is>
          <t>Artículo</t>
        </is>
      </c>
      <c r="G248" t="inlineStr">
        <is>
          <t>M05-0259</t>
        </is>
      </c>
      <c r="H248" t="n">
        <v>499.6293</v>
      </c>
      <c r="I248" t="n">
        <v>265.55</v>
      </c>
      <c r="J248" t="n">
        <v>132676.56</v>
      </c>
    </row>
    <row r="249">
      <c r="A249" t="inlineStr">
        <is>
          <t>VN-L.32</t>
        </is>
      </c>
      <c r="B249" t="n">
        <v>275</v>
      </c>
      <c r="C249" t="n">
        <v>3.1</v>
      </c>
      <c r="D249" t="inlineStr">
        <is>
          <t>CABLE #12</t>
        </is>
      </c>
      <c r="E249" t="inlineStr">
        <is>
          <t>Auxiliar</t>
        </is>
      </c>
      <c r="F249" t="inlineStr">
        <is>
          <t>Artículo</t>
        </is>
      </c>
      <c r="G249" t="inlineStr">
        <is>
          <t>M05-0259</t>
        </is>
      </c>
      <c r="H249" t="n">
        <v>1074.203</v>
      </c>
      <c r="I249" t="n">
        <v>265.55</v>
      </c>
      <c r="J249" t="n">
        <v>285254.61</v>
      </c>
    </row>
    <row r="250">
      <c r="A250" t="inlineStr">
        <is>
          <t>VN-L.32</t>
        </is>
      </c>
      <c r="B250" t="n">
        <v>276</v>
      </c>
      <c r="C250" t="n">
        <v>3.1</v>
      </c>
      <c r="D250" t="inlineStr">
        <is>
          <t>CONECTOR TSJ 1/2-3/8 EMT</t>
        </is>
      </c>
      <c r="E250" t="inlineStr">
        <is>
          <t>Auxiliar</t>
        </is>
      </c>
      <c r="F250" t="inlineStr">
        <is>
          <t>Artículo</t>
        </is>
      </c>
      <c r="G250" t="inlineStr">
        <is>
          <t>M05-0399</t>
        </is>
      </c>
      <c r="H250" t="n">
        <v>24.9815</v>
      </c>
      <c r="I250" t="n">
        <v>91.52999999999999</v>
      </c>
      <c r="J250" t="n">
        <v>2286.56</v>
      </c>
    </row>
    <row r="251">
      <c r="A251" t="inlineStr">
        <is>
          <t>VN-L.32</t>
        </is>
      </c>
      <c r="B251" t="n">
        <v>277</v>
      </c>
      <c r="C251" t="n">
        <v>3.1</v>
      </c>
      <c r="D251" t="inlineStr">
        <is>
          <t>CONECTOR RESORTE AMARILLO</t>
        </is>
      </c>
      <c r="E251" t="inlineStr">
        <is>
          <t>Auxiliar</t>
        </is>
      </c>
      <c r="F251" t="inlineStr">
        <is>
          <t>Artículo</t>
        </is>
      </c>
      <c r="G251" t="inlineStr">
        <is>
          <t>M05-0011</t>
        </is>
      </c>
      <c r="H251" t="n">
        <v>249.8147</v>
      </c>
      <c r="I251" t="n">
        <v>89.69939999999998</v>
      </c>
      <c r="J251" t="n">
        <v>22408.23</v>
      </c>
    </row>
    <row r="252">
      <c r="A252" t="inlineStr">
        <is>
          <t>VN-L.32</t>
        </is>
      </c>
      <c r="B252" t="n">
        <v>278</v>
      </c>
      <c r="C252" t="n">
        <v>3.1</v>
      </c>
      <c r="D252" t="inlineStr">
        <is>
          <t>REGLA SEMIDURO 1X3X4 SIN CEPILLAR</t>
        </is>
      </c>
      <c r="E252" t="inlineStr">
        <is>
          <t>Auxiliar</t>
        </is>
      </c>
      <c r="F252" t="inlineStr">
        <is>
          <t>Artículo</t>
        </is>
      </c>
      <c r="G252" t="inlineStr">
        <is>
          <t>M09-0042</t>
        </is>
      </c>
      <c r="H252" t="n">
        <v>2.4981</v>
      </c>
      <c r="I252" t="n">
        <v>1524.9915</v>
      </c>
      <c r="J252" t="n">
        <v>3809.58</v>
      </c>
    </row>
    <row r="253">
      <c r="A253" t="inlineStr">
        <is>
          <t>VN-L.32</t>
        </is>
      </c>
      <c r="B253" t="n">
        <v>279</v>
      </c>
      <c r="C253" t="n">
        <v>3.1</v>
      </c>
      <c r="D253" t="inlineStr">
        <is>
          <t>TORNILLO 8X1 1/4 P/BROCA</t>
        </is>
      </c>
      <c r="E253" t="inlineStr">
        <is>
          <t>Auxiliar</t>
        </is>
      </c>
      <c r="F253" t="inlineStr">
        <is>
          <t>Artículo</t>
        </is>
      </c>
      <c r="G253" t="inlineStr">
        <is>
          <t>M06-0061</t>
        </is>
      </c>
      <c r="H253" t="n">
        <v>249.8147</v>
      </c>
      <c r="I253" t="n">
        <v>14.5</v>
      </c>
      <c r="J253" t="n">
        <v>3622.31</v>
      </c>
    </row>
    <row r="254">
      <c r="A254" t="inlineStr">
        <is>
          <t>VN-L.32</t>
        </is>
      </c>
      <c r="B254" t="n">
        <v>280</v>
      </c>
      <c r="C254" t="n">
        <v>3.1</v>
      </c>
      <c r="D254" t="inlineStr">
        <is>
          <t>TORNILLO GYPSUM 1 1/4"</t>
        </is>
      </c>
      <c r="E254" t="inlineStr">
        <is>
          <t>Auxiliar</t>
        </is>
      </c>
      <c r="F254" t="inlineStr">
        <is>
          <t>Artículo</t>
        </is>
      </c>
      <c r="G254" t="inlineStr">
        <is>
          <t>M06-0496</t>
        </is>
      </c>
      <c r="H254" t="n">
        <v>499.6293</v>
      </c>
      <c r="I254" t="n">
        <v>5.499999999999999</v>
      </c>
      <c r="J254" t="n">
        <v>2747.96</v>
      </c>
    </row>
    <row r="255">
      <c r="A255" t="inlineStr">
        <is>
          <t>VN-L.32</t>
        </is>
      </c>
      <c r="B255" t="n">
        <v>281</v>
      </c>
      <c r="C255" t="n">
        <v>3.1</v>
      </c>
      <c r="D255" t="inlineStr">
        <is>
          <t>CABLE #10</t>
        </is>
      </c>
      <c r="E255" t="inlineStr">
        <is>
          <t>Auxiliar</t>
        </is>
      </c>
      <c r="F255" t="inlineStr">
        <is>
          <t>Artículo</t>
        </is>
      </c>
      <c r="G255" t="inlineStr">
        <is>
          <t>M05-0258</t>
        </is>
      </c>
      <c r="H255" t="n">
        <v>87.43510000000001</v>
      </c>
      <c r="I255" t="n">
        <v>463.3</v>
      </c>
      <c r="J255" t="n">
        <v>40508.68</v>
      </c>
    </row>
    <row r="256">
      <c r="A256" t="inlineStr">
        <is>
          <t>VN-L.32</t>
        </is>
      </c>
      <c r="B256" t="n">
        <v>282</v>
      </c>
      <c r="C256" t="n">
        <v>3.1</v>
      </c>
      <c r="D256" t="inlineStr">
        <is>
          <t>CONDULETA BOTAGUA 1-1/4</t>
        </is>
      </c>
      <c r="E256" t="inlineStr">
        <is>
          <t>Auxiliar</t>
        </is>
      </c>
      <c r="F256" t="inlineStr">
        <is>
          <t>Artículo</t>
        </is>
      </c>
      <c r="G256" t="inlineStr">
        <is>
          <t>M05-0392</t>
        </is>
      </c>
      <c r="H256" t="n">
        <v>2.4981</v>
      </c>
      <c r="I256" t="n">
        <v>1006.83</v>
      </c>
      <c r="J256" t="n">
        <v>2515.16</v>
      </c>
    </row>
    <row r="257">
      <c r="A257" t="inlineStr">
        <is>
          <t>VN-L.32</t>
        </is>
      </c>
      <c r="B257" t="n">
        <v>283</v>
      </c>
      <c r="C257" t="n">
        <v>3.1</v>
      </c>
      <c r="D257" t="inlineStr">
        <is>
          <t>CONDULETA BOTAGUA 1</t>
        </is>
      </c>
      <c r="E257" t="inlineStr">
        <is>
          <t>Auxiliar</t>
        </is>
      </c>
      <c r="F257" t="inlineStr">
        <is>
          <t>Artículo</t>
        </is>
      </c>
      <c r="G257" t="inlineStr">
        <is>
          <t>M05-0393</t>
        </is>
      </c>
      <c r="H257" t="n">
        <v>2.4981</v>
      </c>
      <c r="I257" t="n">
        <v>824.9</v>
      </c>
      <c r="J257" t="n">
        <v>2060.68</v>
      </c>
    </row>
    <row r="258">
      <c r="A258" t="inlineStr">
        <is>
          <t>VN-L.32</t>
        </is>
      </c>
      <c r="B258" t="n">
        <v>285</v>
      </c>
      <c r="C258" t="n">
        <v>3.1</v>
      </c>
      <c r="D258" t="inlineStr">
        <is>
          <t>CONECTOR TORNILLO EMT 1</t>
        </is>
      </c>
      <c r="E258" t="inlineStr">
        <is>
          <t>Auxiliar</t>
        </is>
      </c>
      <c r="F258" t="inlineStr">
        <is>
          <t>Artículo</t>
        </is>
      </c>
      <c r="G258" t="inlineStr">
        <is>
          <t>M05-0396</t>
        </is>
      </c>
      <c r="H258" t="n">
        <v>2.4981</v>
      </c>
      <c r="I258" t="n">
        <v>172.4606</v>
      </c>
      <c r="J258" t="n">
        <v>430.82</v>
      </c>
    </row>
    <row r="259">
      <c r="A259" t="inlineStr">
        <is>
          <t>VN-L.32</t>
        </is>
      </c>
      <c r="B259" t="n">
        <v>286</v>
      </c>
      <c r="C259" t="n">
        <v>3.1</v>
      </c>
      <c r="D259" t="inlineStr">
        <is>
          <t>GAZA P/VARILLA COPPERWELD USA UL</t>
        </is>
      </c>
      <c r="E259" t="inlineStr">
        <is>
          <t>Auxiliar</t>
        </is>
      </c>
      <c r="F259" t="inlineStr">
        <is>
          <t>Artículo</t>
        </is>
      </c>
      <c r="G259" t="inlineStr">
        <is>
          <t>M05-0014</t>
        </is>
      </c>
      <c r="H259" t="n">
        <v>2.4981</v>
      </c>
      <c r="I259" t="n">
        <v>933.1766</v>
      </c>
      <c r="J259" t="n">
        <v>2331.17</v>
      </c>
    </row>
    <row r="260">
      <c r="A260" t="inlineStr">
        <is>
          <t>VN-L.32</t>
        </is>
      </c>
      <c r="B260" t="n">
        <v>287</v>
      </c>
      <c r="C260" t="n">
        <v>3.1</v>
      </c>
      <c r="D260" t="inlineStr">
        <is>
          <t>TUBO EMT 1 (3M)</t>
        </is>
      </c>
      <c r="E260" t="inlineStr">
        <is>
          <t>Auxiliar</t>
        </is>
      </c>
      <c r="F260" t="inlineStr">
        <is>
          <t>Artículo</t>
        </is>
      </c>
      <c r="G260" t="inlineStr">
        <is>
          <t>M05-0402</t>
        </is>
      </c>
      <c r="H260" t="n">
        <v>2.4981</v>
      </c>
      <c r="I260" t="n">
        <v>5878.2261</v>
      </c>
      <c r="J260" t="n">
        <v>14684.4</v>
      </c>
    </row>
    <row r="261">
      <c r="A261" t="inlineStr">
        <is>
          <t>VN-L.32</t>
        </is>
      </c>
      <c r="B261" t="n">
        <v>288</v>
      </c>
      <c r="C261" t="n">
        <v>3.1</v>
      </c>
      <c r="D261" t="inlineStr">
        <is>
          <t>VARILLA COOPERWELL 5/8 3M</t>
        </is>
      </c>
      <c r="E261" t="inlineStr">
        <is>
          <t>Auxiliar</t>
        </is>
      </c>
      <c r="F261" t="inlineStr">
        <is>
          <t>Artículo</t>
        </is>
      </c>
      <c r="G261" t="inlineStr">
        <is>
          <t>M05-0021</t>
        </is>
      </c>
      <c r="H261" t="n">
        <v>2.4981</v>
      </c>
      <c r="I261" t="n">
        <v>10590.36</v>
      </c>
      <c r="J261" t="n">
        <v>26455.78</v>
      </c>
    </row>
    <row r="262">
      <c r="A262" t="inlineStr">
        <is>
          <t>VN-L.32</t>
        </is>
      </c>
      <c r="B262" t="n">
        <v>289</v>
      </c>
      <c r="C262" t="n">
        <v>3.1</v>
      </c>
      <c r="D262" t="inlineStr">
        <is>
          <t>CONECTOR TORNILLO EMT 11/4</t>
        </is>
      </c>
      <c r="E262" t="inlineStr">
        <is>
          <t>Auxiliar</t>
        </is>
      </c>
      <c r="F262" t="inlineStr">
        <is>
          <t>Artículo</t>
        </is>
      </c>
      <c r="G262" t="inlineStr">
        <is>
          <t>M05-0411</t>
        </is>
      </c>
      <c r="H262" t="n">
        <v>4.9963</v>
      </c>
      <c r="I262" t="n">
        <v>560.7737999999999</v>
      </c>
      <c r="J262" t="n">
        <v>2801.79</v>
      </c>
    </row>
    <row r="263">
      <c r="A263" t="inlineStr">
        <is>
          <t>VN-L.32</t>
        </is>
      </c>
      <c r="B263" t="n">
        <v>290</v>
      </c>
      <c r="C263" t="n">
        <v>3.1</v>
      </c>
      <c r="D263" t="inlineStr">
        <is>
          <t>TUBO EMT 1-1/4</t>
        </is>
      </c>
      <c r="E263" t="inlineStr">
        <is>
          <t>Auxiliar</t>
        </is>
      </c>
      <c r="F263" t="inlineStr">
        <is>
          <t>Artículo</t>
        </is>
      </c>
      <c r="G263" t="inlineStr">
        <is>
          <t>M05-0412</t>
        </is>
      </c>
      <c r="H263" t="n">
        <v>2.4981</v>
      </c>
      <c r="I263" t="n">
        <v>8271.091499999999</v>
      </c>
      <c r="J263" t="n">
        <v>20662.01</v>
      </c>
    </row>
    <row r="264">
      <c r="A264" t="inlineStr">
        <is>
          <t>VN-L.32</t>
        </is>
      </c>
      <c r="B264" t="n">
        <v>291</v>
      </c>
      <c r="C264" t="n">
        <v>3.1</v>
      </c>
      <c r="D264" t="inlineStr">
        <is>
          <t>BASE MEDIDOR MS1254JCBM+A125+QO2100</t>
        </is>
      </c>
      <c r="E264" t="inlineStr">
        <is>
          <t>Auxiliar</t>
        </is>
      </c>
      <c r="F264" t="inlineStr">
        <is>
          <t>Artículo</t>
        </is>
      </c>
      <c r="G264" t="inlineStr">
        <is>
          <t>M05-0305</t>
        </is>
      </c>
      <c r="H264" t="n">
        <v>2.4981</v>
      </c>
      <c r="I264" t="n">
        <v>64014.49999999999</v>
      </c>
      <c r="J264" t="n">
        <v>159914.62</v>
      </c>
    </row>
    <row r="265">
      <c r="A265" t="inlineStr">
        <is>
          <t>VN-L.32</t>
        </is>
      </c>
      <c r="B265" t="n">
        <v>292</v>
      </c>
      <c r="C265" t="n">
        <v>3.1</v>
      </c>
      <c r="D265" t="inlineStr">
        <is>
          <t>CABLE #8</t>
        </is>
      </c>
      <c r="E265" t="inlineStr">
        <is>
          <t>Auxiliar</t>
        </is>
      </c>
      <c r="F265" t="inlineStr">
        <is>
          <t>Artículo</t>
        </is>
      </c>
      <c r="G265" t="inlineStr">
        <is>
          <t>M05-0261</t>
        </is>
      </c>
      <c r="H265" t="n">
        <v>77.4425</v>
      </c>
      <c r="I265" t="n">
        <v>751.4499999999999</v>
      </c>
      <c r="J265" t="n">
        <v>58194.17</v>
      </c>
    </row>
    <row r="266">
      <c r="A266" t="inlineStr">
        <is>
          <t>VN-L.32</t>
        </is>
      </c>
      <c r="B266" t="n">
        <v>293</v>
      </c>
      <c r="C266" t="n">
        <v>3.1</v>
      </c>
      <c r="D266" t="inlineStr">
        <is>
          <t>CABLE ALUMINIO 1/0 SERIE 8000</t>
        </is>
      </c>
      <c r="E266" t="inlineStr">
        <is>
          <t>Auxiliar</t>
        </is>
      </c>
      <c r="F266" t="inlineStr">
        <is>
          <t>Artículo</t>
        </is>
      </c>
      <c r="G266" t="inlineStr">
        <is>
          <t>M05-0262</t>
        </is>
      </c>
      <c r="H266" t="n">
        <v>149.8888</v>
      </c>
      <c r="I266" t="n">
        <v>827.6345999999999</v>
      </c>
      <c r="J266" t="n">
        <v>124053.16</v>
      </c>
    </row>
    <row r="267">
      <c r="A267" t="inlineStr">
        <is>
          <t>VN-L.32</t>
        </is>
      </c>
      <c r="B267" t="n">
        <v>294</v>
      </c>
      <c r="C267" t="n">
        <v>3.1</v>
      </c>
      <c r="D267" t="inlineStr">
        <is>
          <t>CAJA REGISTRO 30X30 PARA VARILLA COOPERWELL</t>
        </is>
      </c>
      <c r="E267" t="inlineStr">
        <is>
          <t>Auxiliar</t>
        </is>
      </c>
      <c r="F267" t="inlineStr">
        <is>
          <t>Artículo</t>
        </is>
      </c>
      <c r="G267" t="inlineStr">
        <is>
          <t>M13-0061</t>
        </is>
      </c>
      <c r="H267" t="n">
        <v>2.4981</v>
      </c>
      <c r="I267" t="n">
        <v>3968.108</v>
      </c>
      <c r="J267" t="n">
        <v>9912.73</v>
      </c>
    </row>
    <row r="268">
      <c r="A268" t="inlineStr">
        <is>
          <t>VN-L.32</t>
        </is>
      </c>
      <c r="B268" t="n">
        <v>296</v>
      </c>
      <c r="C268" t="n">
        <v>3.1</v>
      </c>
      <c r="D268" t="inlineStr">
        <is>
          <t>GABINETE 15" PLASTICO UL</t>
        </is>
      </c>
      <c r="E268" t="inlineStr">
        <is>
          <t>Auxiliar</t>
        </is>
      </c>
      <c r="F268" t="inlineStr">
        <is>
          <t>Artículo</t>
        </is>
      </c>
      <c r="G268" t="inlineStr">
        <is>
          <t>M05-0013</t>
        </is>
      </c>
      <c r="H268" t="n">
        <v>2.4981</v>
      </c>
      <c r="I268" t="n">
        <v>48510.89999999999</v>
      </c>
      <c r="J268" t="n">
        <v>121185.08</v>
      </c>
    </row>
    <row r="269">
      <c r="A269" t="inlineStr">
        <is>
          <t>VN-L.32</t>
        </is>
      </c>
      <c r="B269" t="n">
        <v>297</v>
      </c>
      <c r="C269" t="n">
        <v>3.1</v>
      </c>
      <c r="D269" t="inlineStr">
        <is>
          <t>CENTRO CARGA 32 ESPACIOS SQUARE D QO DE EMPOTRAR</t>
        </is>
      </c>
      <c r="E269" t="inlineStr">
        <is>
          <t>Auxiliar</t>
        </is>
      </c>
      <c r="F269" t="inlineStr">
        <is>
          <t>Artículo</t>
        </is>
      </c>
      <c r="G269" t="inlineStr">
        <is>
          <t>M05-0331</t>
        </is>
      </c>
      <c r="H269" t="n">
        <v>2.4981</v>
      </c>
      <c r="I269" t="n">
        <v>82500.89037499997</v>
      </c>
      <c r="J269" t="n">
        <v>206095.47</v>
      </c>
    </row>
    <row r="270">
      <c r="A270" t="inlineStr">
        <is>
          <t>VN-L.32</t>
        </is>
      </c>
      <c r="B270" t="n">
        <v>298</v>
      </c>
      <c r="C270" t="n">
        <v>3.1</v>
      </c>
      <c r="D270" t="inlineStr">
        <is>
          <t>CABLE #12</t>
        </is>
      </c>
      <c r="E270" t="inlineStr">
        <is>
          <t>Auxiliar</t>
        </is>
      </c>
      <c r="F270" t="inlineStr">
        <is>
          <t>Artículo</t>
        </is>
      </c>
      <c r="G270" t="inlineStr">
        <is>
          <t>M05-0259</t>
        </is>
      </c>
      <c r="H270" t="n">
        <v>574.5737</v>
      </c>
      <c r="I270" t="n">
        <v>265.55</v>
      </c>
      <c r="J270" t="n">
        <v>152578.05</v>
      </c>
    </row>
    <row r="271">
      <c r="A271" t="inlineStr">
        <is>
          <t>VN-L.32</t>
        </is>
      </c>
      <c r="B271" t="n">
        <v>299</v>
      </c>
      <c r="C271" t="n">
        <v>3.1</v>
      </c>
      <c r="D271" t="inlineStr">
        <is>
          <t>CABLE DE ALUMINIO #6 SERIE 8000</t>
        </is>
      </c>
      <c r="E271" t="inlineStr">
        <is>
          <t>Auxiliar</t>
        </is>
      </c>
      <c r="F271" t="inlineStr">
        <is>
          <t>Artículo</t>
        </is>
      </c>
      <c r="G271" t="inlineStr">
        <is>
          <t>M05-0263</t>
        </is>
      </c>
      <c r="H271" t="n">
        <v>49.9629</v>
      </c>
      <c r="I271" t="n">
        <v>282.4322</v>
      </c>
      <c r="J271" t="n">
        <v>14111.13</v>
      </c>
    </row>
    <row r="272">
      <c r="A272" t="inlineStr">
        <is>
          <t>VN-L.32</t>
        </is>
      </c>
      <c r="B272" t="n">
        <v>300</v>
      </c>
      <c r="C272" t="n">
        <v>3.1</v>
      </c>
      <c r="D272" t="inlineStr">
        <is>
          <t>CABLE UTP CAT 6 AZUL</t>
        </is>
      </c>
      <c r="E272" t="inlineStr">
        <is>
          <t>Auxiliar</t>
        </is>
      </c>
      <c r="F272" t="inlineStr">
        <is>
          <t>Artículo</t>
        </is>
      </c>
      <c r="G272" t="inlineStr">
        <is>
          <t>M05-0269</t>
        </is>
      </c>
      <c r="H272" t="n">
        <v>174.8703</v>
      </c>
      <c r="I272" t="n">
        <v>349.4637999999999</v>
      </c>
      <c r="J272" t="n">
        <v>61110.84</v>
      </c>
    </row>
    <row r="273">
      <c r="A273" t="inlineStr">
        <is>
          <t>VN-L.32</t>
        </is>
      </c>
      <c r="B273" t="n">
        <v>301</v>
      </c>
      <c r="C273" t="n">
        <v>3.1</v>
      </c>
      <c r="D273" t="inlineStr">
        <is>
          <t>TAPE ELECTRICO BLANCO EATON</t>
        </is>
      </c>
      <c r="E273" t="inlineStr">
        <is>
          <t>Auxiliar</t>
        </is>
      </c>
      <c r="F273" t="inlineStr">
        <is>
          <t>Artículo</t>
        </is>
      </c>
      <c r="G273" t="inlineStr">
        <is>
          <t>M05-0017</t>
        </is>
      </c>
      <c r="H273" t="n">
        <v>4.9963</v>
      </c>
      <c r="I273" t="n">
        <v>807.4753999999999</v>
      </c>
      <c r="J273" t="n">
        <v>4034.39</v>
      </c>
    </row>
    <row r="274">
      <c r="A274" t="inlineStr">
        <is>
          <t>VN-L.32</t>
        </is>
      </c>
      <c r="B274" t="n">
        <v>302</v>
      </c>
      <c r="C274" t="n">
        <v>3.1</v>
      </c>
      <c r="D274" t="inlineStr">
        <is>
          <t>TAPE ELECTRICO VERDE EATON</t>
        </is>
      </c>
      <c r="E274" t="inlineStr">
        <is>
          <t>Auxiliar</t>
        </is>
      </c>
      <c r="F274" t="inlineStr">
        <is>
          <t>Artículo</t>
        </is>
      </c>
      <c r="G274" t="inlineStr">
        <is>
          <t>M05-0018</t>
        </is>
      </c>
      <c r="H274" t="n">
        <v>2.4981</v>
      </c>
      <c r="I274" t="n">
        <v>797.2601999999998</v>
      </c>
      <c r="J274" t="n">
        <v>1991.64</v>
      </c>
    </row>
    <row r="275">
      <c r="A275" t="inlineStr">
        <is>
          <t>VN-L.32</t>
        </is>
      </c>
      <c r="B275" t="n">
        <v>303</v>
      </c>
      <c r="C275" t="n">
        <v>3.1</v>
      </c>
      <c r="D275" t="inlineStr">
        <is>
          <t>CABLE #10</t>
        </is>
      </c>
      <c r="E275" t="inlineStr">
        <is>
          <t>Auxiliar</t>
        </is>
      </c>
      <c r="F275" t="inlineStr">
        <is>
          <t>Artículo</t>
        </is>
      </c>
      <c r="G275" t="inlineStr">
        <is>
          <t>M05-0258</t>
        </is>
      </c>
      <c r="H275" t="n">
        <v>124.9073</v>
      </c>
      <c r="I275" t="n">
        <v>463.3</v>
      </c>
      <c r="J275" t="n">
        <v>57869.55</v>
      </c>
    </row>
    <row r="276">
      <c r="A276" t="inlineStr">
        <is>
          <t>VN-L.32</t>
        </is>
      </c>
      <c r="B276" t="n">
        <v>304</v>
      </c>
      <c r="C276" t="n">
        <v>3.1</v>
      </c>
      <c r="D276" t="inlineStr">
        <is>
          <t>CABLE #10</t>
        </is>
      </c>
      <c r="E276" t="inlineStr">
        <is>
          <t>Auxiliar</t>
        </is>
      </c>
      <c r="F276" t="inlineStr">
        <is>
          <t>Artículo</t>
        </is>
      </c>
      <c r="G276" t="inlineStr">
        <is>
          <t>M05-0258</t>
        </is>
      </c>
      <c r="H276" t="n">
        <v>62.4537</v>
      </c>
      <c r="I276" t="n">
        <v>463.3</v>
      </c>
      <c r="J276" t="n">
        <v>28934.8</v>
      </c>
    </row>
    <row r="277">
      <c r="A277" t="inlineStr">
        <is>
          <t>VN-L.32</t>
        </is>
      </c>
      <c r="B277" t="n">
        <v>305</v>
      </c>
      <c r="C277" t="n">
        <v>3.1</v>
      </c>
      <c r="D277" t="inlineStr">
        <is>
          <t>CABLE #10</t>
        </is>
      </c>
      <c r="E277" t="inlineStr">
        <is>
          <t>Auxiliar</t>
        </is>
      </c>
      <c r="F277" t="inlineStr">
        <is>
          <t>Artículo</t>
        </is>
      </c>
      <c r="G277" t="inlineStr">
        <is>
          <t>M05-0258</t>
        </is>
      </c>
      <c r="H277" t="n">
        <v>99.9259</v>
      </c>
      <c r="I277" t="n">
        <v>463.3</v>
      </c>
      <c r="J277" t="n">
        <v>46295.67</v>
      </c>
    </row>
    <row r="278">
      <c r="A278" t="inlineStr">
        <is>
          <t>VN-L.32</t>
        </is>
      </c>
      <c r="B278" t="n">
        <v>306</v>
      </c>
      <c r="C278" t="n">
        <v>3.1</v>
      </c>
      <c r="D278" t="inlineStr">
        <is>
          <t>CABLE #8</t>
        </is>
      </c>
      <c r="E278" t="inlineStr">
        <is>
          <t>Auxiliar</t>
        </is>
      </c>
      <c r="F278" t="inlineStr">
        <is>
          <t>Artículo</t>
        </is>
      </c>
      <c r="G278" t="inlineStr">
        <is>
          <t>M05-0261</t>
        </is>
      </c>
      <c r="H278" t="n">
        <v>149.8888</v>
      </c>
      <c r="I278" t="n">
        <v>751.4499999999999</v>
      </c>
      <c r="J278" t="n">
        <v>112633.94</v>
      </c>
    </row>
    <row r="279">
      <c r="A279" t="inlineStr">
        <is>
          <t>VN-L.32</t>
        </is>
      </c>
      <c r="B279" t="n">
        <v>307</v>
      </c>
      <c r="C279" t="n">
        <v>3.1</v>
      </c>
      <c r="D279" t="inlineStr">
        <is>
          <t>CABLE #8</t>
        </is>
      </c>
      <c r="E279" t="inlineStr">
        <is>
          <t>Auxiliar</t>
        </is>
      </c>
      <c r="F279" t="inlineStr">
        <is>
          <t>Artículo</t>
        </is>
      </c>
      <c r="G279" t="inlineStr">
        <is>
          <t>M05-0261</t>
        </is>
      </c>
      <c r="H279" t="n">
        <v>54.9592</v>
      </c>
      <c r="I279" t="n">
        <v>751.4499999999999</v>
      </c>
      <c r="J279" t="n">
        <v>41299.09</v>
      </c>
    </row>
    <row r="280">
      <c r="A280" t="inlineStr">
        <is>
          <t>VN-L.32</t>
        </is>
      </c>
      <c r="B280" t="n">
        <v>308</v>
      </c>
      <c r="C280" t="n">
        <v>3.1</v>
      </c>
      <c r="D280" t="inlineStr">
        <is>
          <t>ADAPT SECILLO 1 MODULO 5521-5EW  DECORADOR BLANCO</t>
        </is>
      </c>
      <c r="E280" t="inlineStr">
        <is>
          <t>Auxiliar</t>
        </is>
      </c>
      <c r="F280" t="inlineStr">
        <is>
          <t>Artículo</t>
        </is>
      </c>
      <c r="G280" t="inlineStr">
        <is>
          <t>M05-0230</t>
        </is>
      </c>
      <c r="H280" t="n">
        <v>7.4944</v>
      </c>
      <c r="I280" t="n">
        <v>964.5001999999998</v>
      </c>
      <c r="J280" t="n">
        <v>7228.35</v>
      </c>
    </row>
    <row r="281">
      <c r="A281" t="inlineStr">
        <is>
          <t>VN-L.32</t>
        </is>
      </c>
      <c r="B281" t="n">
        <v>309</v>
      </c>
      <c r="C281" t="n">
        <v>3.1</v>
      </c>
      <c r="D281" t="inlineStr">
        <is>
          <t>ADAPTA DOBLE 2 MODULOS 5522-5EW DECORADOR BLANCO</t>
        </is>
      </c>
      <c r="E281" t="inlineStr">
        <is>
          <t>Auxiliar</t>
        </is>
      </c>
      <c r="F281" t="inlineStr">
        <is>
          <t>Artículo</t>
        </is>
      </c>
      <c r="G281" t="inlineStr">
        <is>
          <t>M05-0231</t>
        </is>
      </c>
      <c r="H281" t="n">
        <v>12.4907</v>
      </c>
      <c r="I281" t="n">
        <v>2395.6</v>
      </c>
      <c r="J281" t="n">
        <v>29922.72</v>
      </c>
    </row>
    <row r="282">
      <c r="A282" t="inlineStr">
        <is>
          <t>VN-L.32</t>
        </is>
      </c>
      <c r="B282" t="n">
        <v>310</v>
      </c>
      <c r="C282" t="n">
        <v>3.1</v>
      </c>
      <c r="D282" t="inlineStr">
        <is>
          <t>APAGADOR DOBLE 15A 120 DECO</t>
        </is>
      </c>
      <c r="E282" t="inlineStr">
        <is>
          <t>Auxiliar</t>
        </is>
      </c>
      <c r="F282" t="inlineStr">
        <is>
          <t>Artículo</t>
        </is>
      </c>
      <c r="G282" t="inlineStr">
        <is>
          <t>M05-0232</t>
        </is>
      </c>
      <c r="H282" t="n">
        <v>4.9963</v>
      </c>
      <c r="I282" t="n">
        <v>2707.48</v>
      </c>
      <c r="J282" t="n">
        <v>13527.38</v>
      </c>
    </row>
    <row r="283">
      <c r="A283" t="inlineStr">
        <is>
          <t>VN-L.32</t>
        </is>
      </c>
      <c r="B283" t="n">
        <v>311</v>
      </c>
      <c r="C283" t="n">
        <v>3.1</v>
      </c>
      <c r="D283" t="inlineStr">
        <is>
          <t>APAGADOR DOBLE TRIWAY</t>
        </is>
      </c>
      <c r="E283" t="inlineStr">
        <is>
          <t>Auxiliar</t>
        </is>
      </c>
      <c r="F283" t="inlineStr">
        <is>
          <t>Artículo</t>
        </is>
      </c>
      <c r="G283" t="inlineStr">
        <is>
          <t>M05-0233</t>
        </is>
      </c>
      <c r="H283" t="n">
        <v>4.9963</v>
      </c>
      <c r="I283" t="n">
        <v>6409.619899999999</v>
      </c>
      <c r="J283" t="n">
        <v>32024.38</v>
      </c>
    </row>
    <row r="284">
      <c r="A284" t="inlineStr">
        <is>
          <t>VN-L.32</t>
        </is>
      </c>
      <c r="B284" t="n">
        <v>312</v>
      </c>
      <c r="C284" t="n">
        <v>3.1</v>
      </c>
      <c r="D284" t="inlineStr">
        <is>
          <t>APAGADOR SENCILLO 15A 120 DECO</t>
        </is>
      </c>
      <c r="E284" t="inlineStr">
        <is>
          <t>Auxiliar</t>
        </is>
      </c>
      <c r="F284" t="inlineStr">
        <is>
          <t>Artículo</t>
        </is>
      </c>
      <c r="G284" t="inlineStr">
        <is>
          <t>M05-0234</t>
        </is>
      </c>
      <c r="H284" t="n">
        <v>24.9815</v>
      </c>
      <c r="I284" t="n">
        <v>997.6769999999999</v>
      </c>
      <c r="J284" t="n">
        <v>24923.47</v>
      </c>
    </row>
    <row r="285">
      <c r="A285" t="inlineStr">
        <is>
          <t>VN-L.32</t>
        </is>
      </c>
      <c r="B285" t="n">
        <v>313</v>
      </c>
      <c r="C285" t="n">
        <v>3.1</v>
      </c>
      <c r="D285" t="inlineStr">
        <is>
          <t>APAGADOR SENCILLO TRIWAY</t>
        </is>
      </c>
      <c r="E285" t="inlineStr">
        <is>
          <t>Auxiliar</t>
        </is>
      </c>
      <c r="F285" t="inlineStr">
        <is>
          <t>Artículo</t>
        </is>
      </c>
      <c r="G285" t="inlineStr">
        <is>
          <t>M05-0235</t>
        </is>
      </c>
      <c r="H285" t="n">
        <v>4.9963</v>
      </c>
      <c r="I285" t="n">
        <v>1509.68</v>
      </c>
      <c r="J285" t="n">
        <v>7542.81</v>
      </c>
    </row>
    <row r="286">
      <c r="A286" t="inlineStr">
        <is>
          <t>VN-L.32</t>
        </is>
      </c>
      <c r="B286" t="n">
        <v>314</v>
      </c>
      <c r="C286" t="n">
        <v>3.1</v>
      </c>
      <c r="D286" t="inlineStr">
        <is>
          <t>APAGADOR TRIPLE 15A 120 DECO</t>
        </is>
      </c>
      <c r="E286" t="inlineStr">
        <is>
          <t>Auxiliar</t>
        </is>
      </c>
      <c r="F286" t="inlineStr">
        <is>
          <t>Artículo</t>
        </is>
      </c>
      <c r="G286" t="inlineStr">
        <is>
          <t>M05-0236</t>
        </is>
      </c>
      <c r="H286" t="n">
        <v>2.4981</v>
      </c>
      <c r="I286" t="n">
        <v>2933.48</v>
      </c>
      <c r="J286" t="n">
        <v>7328.13</v>
      </c>
    </row>
    <row r="287">
      <c r="A287" t="inlineStr">
        <is>
          <t>VN-L.32</t>
        </is>
      </c>
      <c r="B287" t="n">
        <v>315</v>
      </c>
      <c r="C287" t="n">
        <v>3.1</v>
      </c>
      <c r="D287" t="inlineStr">
        <is>
          <t>ARO REPELLO EMT 4X4 2GANG</t>
        </is>
      </c>
      <c r="E287" t="inlineStr">
        <is>
          <t>Auxiliar</t>
        </is>
      </c>
      <c r="F287" t="inlineStr">
        <is>
          <t>Artículo</t>
        </is>
      </c>
      <c r="G287" t="inlineStr">
        <is>
          <t>M05-0387</t>
        </is>
      </c>
      <c r="H287" t="n">
        <v>9.992599999999999</v>
      </c>
      <c r="I287" t="n">
        <v>165.1721</v>
      </c>
      <c r="J287" t="n">
        <v>1650.5</v>
      </c>
    </row>
    <row r="288">
      <c r="A288" t="inlineStr">
        <is>
          <t>VN-L.32</t>
        </is>
      </c>
      <c r="B288" t="n">
        <v>316</v>
      </c>
      <c r="C288" t="n">
        <v>3.1</v>
      </c>
      <c r="D288" t="inlineStr">
        <is>
          <t>LAMPARA TORTUGA 50013AEPI-BK</t>
        </is>
      </c>
      <c r="E288" t="inlineStr">
        <is>
          <t>Auxiliar</t>
        </is>
      </c>
      <c r="F288" t="inlineStr">
        <is>
          <t>Artículo</t>
        </is>
      </c>
      <c r="G288" t="inlineStr">
        <is>
          <t>M05-0436</t>
        </is>
      </c>
      <c r="H288" t="n">
        <v>12.4907</v>
      </c>
      <c r="I288" t="n">
        <v>3223.6866</v>
      </c>
      <c r="J288" t="n">
        <v>40266.1</v>
      </c>
    </row>
    <row r="289">
      <c r="A289" t="inlineStr">
        <is>
          <t>VN-L.32</t>
        </is>
      </c>
      <c r="B289" t="n">
        <v>317</v>
      </c>
      <c r="C289" t="n">
        <v>3.1</v>
      </c>
      <c r="D289" t="inlineStr">
        <is>
          <t>PLACA INTEMP. P/TOMA 3726-SC SIERRA</t>
        </is>
      </c>
      <c r="E289" t="inlineStr">
        <is>
          <t>Auxiliar</t>
        </is>
      </c>
      <c r="F289" t="inlineStr">
        <is>
          <t>Artículo</t>
        </is>
      </c>
      <c r="G289" t="inlineStr">
        <is>
          <t>M05-0238</t>
        </is>
      </c>
      <c r="H289" t="n">
        <v>14.9889</v>
      </c>
      <c r="I289" t="n">
        <v>3053.9945</v>
      </c>
      <c r="J289" t="n">
        <v>45776.02</v>
      </c>
    </row>
    <row r="290">
      <c r="A290" t="inlineStr">
        <is>
          <t>VN-L.32</t>
        </is>
      </c>
      <c r="B290" t="n">
        <v>318</v>
      </c>
      <c r="C290" t="n">
        <v>3.1</v>
      </c>
      <c r="D290" t="inlineStr">
        <is>
          <t>PLACA ACERO INOXIDABLE P/TOMA 50A 2 GANG CUADRADA</t>
        </is>
      </c>
      <c r="E290" t="inlineStr">
        <is>
          <t>Auxiliar</t>
        </is>
      </c>
      <c r="F290" t="inlineStr">
        <is>
          <t>Artículo</t>
        </is>
      </c>
      <c r="G290" t="inlineStr">
        <is>
          <t>M05-0239</t>
        </is>
      </c>
      <c r="H290" t="n">
        <v>7.4944</v>
      </c>
      <c r="I290" t="n">
        <v>890.2366</v>
      </c>
      <c r="J290" t="n">
        <v>6671.79</v>
      </c>
    </row>
    <row r="291">
      <c r="A291" t="inlineStr">
        <is>
          <t>VN-L.32</t>
        </is>
      </c>
      <c r="B291" t="n">
        <v>319</v>
      </c>
      <c r="C291" t="n">
        <v>3.1</v>
      </c>
      <c r="D291" t="inlineStr">
        <is>
          <t>PLACA DECORATOR BLANCA 1 GANG ROYER</t>
        </is>
      </c>
      <c r="E291" t="inlineStr">
        <is>
          <t>Auxiliar</t>
        </is>
      </c>
      <c r="F291" t="inlineStr">
        <is>
          <t>Artículo</t>
        </is>
      </c>
      <c r="G291" t="inlineStr">
        <is>
          <t>M05-0240</t>
        </is>
      </c>
      <c r="H291" t="n">
        <v>132.4018</v>
      </c>
      <c r="I291" t="n">
        <v>524.8963</v>
      </c>
      <c r="J291" t="n">
        <v>69497.21000000001</v>
      </c>
    </row>
    <row r="292">
      <c r="A292" t="inlineStr">
        <is>
          <t>VN-L.32</t>
        </is>
      </c>
      <c r="B292" t="n">
        <v>321</v>
      </c>
      <c r="C292" t="n">
        <v>3.1</v>
      </c>
      <c r="D292" t="inlineStr">
        <is>
          <t>PLACA INTEMPERIE P/TOMA 30-50A GRIS WP2 VERTICAL 1GANG EATON</t>
        </is>
      </c>
      <c r="E292" t="inlineStr">
        <is>
          <t>Auxiliar</t>
        </is>
      </c>
      <c r="F292" t="inlineStr">
        <is>
          <t>Artículo</t>
        </is>
      </c>
      <c r="G292" t="inlineStr">
        <is>
          <t>M05-0482</t>
        </is>
      </c>
      <c r="H292" t="n">
        <v>89.9333</v>
      </c>
      <c r="I292" t="n">
        <v>9930.858099999999</v>
      </c>
      <c r="J292" t="n">
        <v>893114.84</v>
      </c>
    </row>
    <row r="293">
      <c r="A293" t="inlineStr">
        <is>
          <t>VN-L.32</t>
        </is>
      </c>
      <c r="B293" t="n">
        <v>322</v>
      </c>
      <c r="C293" t="n">
        <v>3.1</v>
      </c>
      <c r="D293" t="inlineStr">
        <is>
          <t>TOMA EMPOTRAR 50A 250V NEMA 10-50 COOPER</t>
        </is>
      </c>
      <c r="E293" t="inlineStr">
        <is>
          <t>Auxiliar</t>
        </is>
      </c>
      <c r="F293" t="inlineStr">
        <is>
          <t>Artículo</t>
        </is>
      </c>
      <c r="G293" t="inlineStr">
        <is>
          <t>M05-0242</t>
        </is>
      </c>
      <c r="H293" t="n">
        <v>9.992599999999999</v>
      </c>
      <c r="I293" t="n">
        <v>1944.2441</v>
      </c>
      <c r="J293" t="n">
        <v>19428.05</v>
      </c>
    </row>
    <row r="294">
      <c r="A294" t="inlineStr">
        <is>
          <t>VN-L.32</t>
        </is>
      </c>
      <c r="B294" t="n">
        <v>323</v>
      </c>
      <c r="C294" t="n">
        <v>3.1</v>
      </c>
      <c r="D294" t="inlineStr">
        <is>
          <t>LÁMPARA LED REDONDA DE 12W DE PARCHE LUZ BLANCA</t>
        </is>
      </c>
      <c r="E294" t="inlineStr">
        <is>
          <t>Auxiliar</t>
        </is>
      </c>
      <c r="F294" t="inlineStr">
        <is>
          <t>Artículo</t>
        </is>
      </c>
      <c r="G294" t="inlineStr">
        <is>
          <t>M05-0446</t>
        </is>
      </c>
      <c r="H294" t="n">
        <v>44.9666</v>
      </c>
      <c r="I294" t="n">
        <v>2262.29</v>
      </c>
      <c r="J294" t="n">
        <v>101727.49</v>
      </c>
    </row>
    <row r="295">
      <c r="A295" t="inlineStr">
        <is>
          <t>VN-L.32</t>
        </is>
      </c>
      <c r="B295" t="n">
        <v>324</v>
      </c>
      <c r="C295" t="n">
        <v>3.1</v>
      </c>
      <c r="D295" t="inlineStr">
        <is>
          <t>CONECTOR COAXIAL TIPO F BLANCO COOPER</t>
        </is>
      </c>
      <c r="E295" t="inlineStr">
        <is>
          <t>Auxiliar</t>
        </is>
      </c>
      <c r="F295" t="inlineStr">
        <is>
          <t>Artículo</t>
        </is>
      </c>
      <c r="G295" t="inlineStr">
        <is>
          <t>M05-0009</t>
        </is>
      </c>
      <c r="H295" t="n">
        <v>14.9889</v>
      </c>
      <c r="I295" t="n">
        <v>954.3641</v>
      </c>
      <c r="J295" t="n">
        <v>14304.87</v>
      </c>
    </row>
    <row r="296">
      <c r="A296" t="inlineStr">
        <is>
          <t>VN-L.32</t>
        </is>
      </c>
      <c r="B296" t="n">
        <v>325</v>
      </c>
      <c r="C296" t="n">
        <v>3.1</v>
      </c>
      <c r="D296" t="inlineStr">
        <is>
          <t>CONECTOR HEMBRA RJ45 CAT5 BLANCO</t>
        </is>
      </c>
      <c r="E296" t="inlineStr">
        <is>
          <t>Auxiliar</t>
        </is>
      </c>
      <c r="F296" t="inlineStr">
        <is>
          <t>Artículo</t>
        </is>
      </c>
      <c r="G296" t="inlineStr">
        <is>
          <t>M05-0012</t>
        </is>
      </c>
      <c r="H296" t="n">
        <v>19.9852</v>
      </c>
      <c r="I296" t="n">
        <v>966.6697999999999</v>
      </c>
      <c r="J296" t="n">
        <v>19319.09</v>
      </c>
    </row>
    <row r="297">
      <c r="A297" t="inlineStr">
        <is>
          <t>VN-L.32</t>
        </is>
      </c>
      <c r="B297" t="n">
        <v>326</v>
      </c>
      <c r="C297" t="n">
        <v>3.1</v>
      </c>
      <c r="D297" t="inlineStr">
        <is>
          <t>TAPA CIEGA BLANCA 2X4</t>
        </is>
      </c>
      <c r="E297" t="inlineStr">
        <is>
          <t>Auxiliar</t>
        </is>
      </c>
      <c r="F297" t="inlineStr">
        <is>
          <t>Artículo</t>
        </is>
      </c>
      <c r="G297" t="inlineStr">
        <is>
          <t>M05-0016</t>
        </is>
      </c>
      <c r="H297" t="n">
        <v>4.9963</v>
      </c>
      <c r="I297" t="n">
        <v>456.9946</v>
      </c>
      <c r="J297" t="n">
        <v>2283.28</v>
      </c>
    </row>
    <row r="298">
      <c r="A298" t="inlineStr">
        <is>
          <t>VN-L.32</t>
        </is>
      </c>
      <c r="B298" t="n">
        <v>327</v>
      </c>
      <c r="C298" t="n">
        <v>3.1</v>
      </c>
      <c r="D298" t="inlineStr">
        <is>
          <t>CONECTOR MACHO RJ45</t>
        </is>
      </c>
      <c r="E298" t="inlineStr">
        <is>
          <t>Auxiliar</t>
        </is>
      </c>
      <c r="F298" t="inlineStr">
        <is>
          <t>Artículo</t>
        </is>
      </c>
      <c r="G298" t="inlineStr">
        <is>
          <t>M05-0024</t>
        </is>
      </c>
      <c r="H298" t="n">
        <v>24.9815</v>
      </c>
      <c r="I298" t="n">
        <v>228.2826</v>
      </c>
      <c r="J298" t="n">
        <v>5702.84</v>
      </c>
    </row>
    <row r="299">
      <c r="A299" t="inlineStr">
        <is>
          <t>VN-L.32</t>
        </is>
      </c>
      <c r="B299" t="n">
        <v>328</v>
      </c>
      <c r="C299" t="n">
        <v>3.1</v>
      </c>
      <c r="D299" t="inlineStr">
        <is>
          <t>TORNILLO MADERA 2"</t>
        </is>
      </c>
      <c r="E299" t="inlineStr">
        <is>
          <t>Auxiliar</t>
        </is>
      </c>
      <c r="F299" t="inlineStr">
        <is>
          <t>Artículo</t>
        </is>
      </c>
      <c r="G299" t="inlineStr">
        <is>
          <t>M06-0497</t>
        </is>
      </c>
      <c r="H299" t="n">
        <v>74.9444</v>
      </c>
      <c r="I299" t="n">
        <v>36.5</v>
      </c>
      <c r="J299" t="n">
        <v>2735.47</v>
      </c>
    </row>
    <row r="300">
      <c r="A300" t="inlineStr">
        <is>
          <t>VN-L.32</t>
        </is>
      </c>
      <c r="B300" t="n">
        <v>329</v>
      </c>
      <c r="C300" t="n">
        <v>3.1</v>
      </c>
      <c r="D300" t="inlineStr">
        <is>
          <t>TORNILLO MADERA 10X2 1/2</t>
        </is>
      </c>
      <c r="E300" t="inlineStr">
        <is>
          <t>Auxiliar</t>
        </is>
      </c>
      <c r="F300" t="inlineStr">
        <is>
          <t>Artículo</t>
        </is>
      </c>
      <c r="G300" t="inlineStr">
        <is>
          <t>M06-0084</t>
        </is>
      </c>
      <c r="H300" t="n">
        <v>74.9444</v>
      </c>
      <c r="I300" t="n">
        <v>83.3333333333333</v>
      </c>
      <c r="J300" t="n">
        <v>6245.37</v>
      </c>
    </row>
    <row r="301">
      <c r="A301" t="inlineStr">
        <is>
          <t>VN-L.32</t>
        </is>
      </c>
      <c r="B301" t="n">
        <v>331</v>
      </c>
      <c r="C301" t="n">
        <v>3.1</v>
      </c>
      <c r="D301" t="inlineStr">
        <is>
          <t>BREAKER PRINCIPAL QOM2150VH 2P 150A 240V</t>
        </is>
      </c>
      <c r="E301" t="inlineStr">
        <is>
          <t>Auxiliar</t>
        </is>
      </c>
      <c r="F301" t="inlineStr">
        <is>
          <t>Artículo</t>
        </is>
      </c>
      <c r="G301" t="inlineStr">
        <is>
          <t>M05-0322</t>
        </is>
      </c>
      <c r="H301" t="n">
        <v>2.4981</v>
      </c>
      <c r="I301" t="n">
        <v>56645.77</v>
      </c>
      <c r="J301" t="n">
        <v>141506.8</v>
      </c>
    </row>
    <row r="302">
      <c r="A302" t="inlineStr">
        <is>
          <t>VN-L.32</t>
        </is>
      </c>
      <c r="B302" t="n">
        <v>332</v>
      </c>
      <c r="C302" t="n">
        <v>3.1</v>
      </c>
      <c r="D302" t="inlineStr">
        <is>
          <t>BREAKER SD QO 2X30AMP GFCI</t>
        </is>
      </c>
      <c r="E302" t="inlineStr">
        <is>
          <t>Auxiliar</t>
        </is>
      </c>
      <c r="F302" t="inlineStr">
        <is>
          <t>Artículo</t>
        </is>
      </c>
      <c r="G302" t="inlineStr">
        <is>
          <t>M05-0471</t>
        </is>
      </c>
      <c r="H302" t="n">
        <v>34.9741</v>
      </c>
      <c r="I302" t="n">
        <v>67051.93999999999</v>
      </c>
      <c r="J302" t="n">
        <v>2345081.25</v>
      </c>
    </row>
    <row r="303">
      <c r="A303" t="inlineStr">
        <is>
          <t>VN-L.32</t>
        </is>
      </c>
      <c r="B303" t="n">
        <v>333</v>
      </c>
      <c r="C303" t="n">
        <v>3.1</v>
      </c>
      <c r="D303" t="inlineStr">
        <is>
          <t>BREAKER 2P/100AMP QO2100 BASE MEDIDOR</t>
        </is>
      </c>
      <c r="E303" t="inlineStr">
        <is>
          <t>Auxiliar</t>
        </is>
      </c>
      <c r="F303" t="inlineStr">
        <is>
          <t>Artículo</t>
        </is>
      </c>
      <c r="G303" t="inlineStr">
        <is>
          <t>M05-0307</t>
        </is>
      </c>
      <c r="H303" t="n">
        <v>2.4981</v>
      </c>
      <c r="I303" t="n">
        <v>57695.53999999999</v>
      </c>
      <c r="J303" t="n">
        <v>144129.23</v>
      </c>
    </row>
    <row r="304">
      <c r="A304" t="inlineStr">
        <is>
          <t>VN-L.32</t>
        </is>
      </c>
      <c r="B304" t="n">
        <v>334</v>
      </c>
      <c r="C304" t="n">
        <v>3.1</v>
      </c>
      <c r="D304" t="inlineStr">
        <is>
          <t>BREAKER SD QO 2X40AMP GFCI</t>
        </is>
      </c>
      <c r="E304" t="inlineStr">
        <is>
          <t>Auxiliar</t>
        </is>
      </c>
      <c r="F304" t="inlineStr">
        <is>
          <t>Artículo</t>
        </is>
      </c>
      <c r="G304" t="inlineStr">
        <is>
          <t>M05-0472</t>
        </is>
      </c>
      <c r="H304" t="n">
        <v>7.4944</v>
      </c>
      <c r="I304" t="n">
        <v>63529.36839999999</v>
      </c>
      <c r="J304" t="n">
        <v>476114.5</v>
      </c>
    </row>
    <row r="305">
      <c r="A305" t="inlineStr">
        <is>
          <t>VN-L.32</t>
        </is>
      </c>
      <c r="B305" t="n">
        <v>335</v>
      </c>
      <c r="C305" t="n">
        <v>3.1</v>
      </c>
      <c r="D305" t="inlineStr">
        <is>
          <t>SUPRESOR DE PICOS</t>
        </is>
      </c>
      <c r="E305" t="inlineStr">
        <is>
          <t>Auxiliar</t>
        </is>
      </c>
      <c r="F305" t="inlineStr">
        <is>
          <t>Artículo</t>
        </is>
      </c>
      <c r="G305" t="inlineStr">
        <is>
          <t>M05-0079</t>
        </is>
      </c>
      <c r="H305" t="n">
        <v>2.4981</v>
      </c>
      <c r="I305" t="n">
        <v>60643.9586</v>
      </c>
      <c r="J305" t="n">
        <v>151494.67</v>
      </c>
    </row>
    <row r="306">
      <c r="A306" t="inlineStr">
        <is>
          <t>VN-L.32</t>
        </is>
      </c>
      <c r="B306" t="n">
        <v>337</v>
      </c>
      <c r="C306" t="n">
        <v>3.1</v>
      </c>
      <c r="D306" t="inlineStr">
        <is>
          <t>CUBIERTA PARA CENTRO DE CARGA QO MONTAJE PARA EMPOTRAR 30 CIRCUITOS</t>
        </is>
      </c>
      <c r="E306" t="inlineStr">
        <is>
          <t>Auxiliar</t>
        </is>
      </c>
      <c r="F306" t="inlineStr">
        <is>
          <t>Artículo</t>
        </is>
      </c>
      <c r="G306" t="inlineStr">
        <is>
          <t>M05-0474</t>
        </is>
      </c>
      <c r="H306" t="n">
        <v>2.4981</v>
      </c>
      <c r="I306" t="n">
        <v>33379.3977</v>
      </c>
      <c r="J306" t="n">
        <v>83385.07000000001</v>
      </c>
    </row>
    <row r="307">
      <c r="A307" t="inlineStr">
        <is>
          <t>VN-L.32</t>
        </is>
      </c>
      <c r="B307" t="n">
        <v>338</v>
      </c>
      <c r="C307" t="n">
        <v>3.1</v>
      </c>
      <c r="D307" t="inlineStr">
        <is>
          <t>BARRA A TIERRA PK27GTA 27 TERMINALES</t>
        </is>
      </c>
      <c r="E307" t="inlineStr">
        <is>
          <t>Auxiliar</t>
        </is>
      </c>
      <c r="F307" t="inlineStr">
        <is>
          <t>Artículo</t>
        </is>
      </c>
      <c r="G307" t="inlineStr">
        <is>
          <t>M05-0463</t>
        </is>
      </c>
      <c r="H307" t="n">
        <v>2.4981</v>
      </c>
      <c r="I307" t="n">
        <v>5568.639999999999</v>
      </c>
      <c r="J307" t="n">
        <v>13911.02</v>
      </c>
    </row>
    <row r="308">
      <c r="A308" t="inlineStr">
        <is>
          <t>VN-L.32</t>
        </is>
      </c>
      <c r="B308" t="n">
        <v>339</v>
      </c>
      <c r="C308" t="n">
        <v>3.1</v>
      </c>
      <c r="D308" t="inlineStr">
        <is>
          <t>CONECTOR DE BARRIL BIMETAL (NO COBRE) PARA 1/0 CU-AL</t>
        </is>
      </c>
      <c r="E308" t="inlineStr">
        <is>
          <t>Auxiliar</t>
        </is>
      </c>
      <c r="F308" t="inlineStr">
        <is>
          <t>Artículo</t>
        </is>
      </c>
      <c r="G308" t="inlineStr">
        <is>
          <t>M05-0465</t>
        </is>
      </c>
      <c r="H308" t="n">
        <v>2.4981</v>
      </c>
      <c r="I308" t="n">
        <v>2726.0007</v>
      </c>
      <c r="J308" t="n">
        <v>6809.82</v>
      </c>
    </row>
    <row r="309">
      <c r="A309" t="inlineStr">
        <is>
          <t>VN-L.32</t>
        </is>
      </c>
      <c r="B309" t="n">
        <v>340</v>
      </c>
      <c r="C309" t="n">
        <v>3.1</v>
      </c>
      <c r="D309" t="inlineStr">
        <is>
          <t>TAPE SCOTCH 35 ROJO</t>
        </is>
      </c>
      <c r="E309" t="inlineStr">
        <is>
          <t>Auxiliar</t>
        </is>
      </c>
      <c r="F309" t="inlineStr">
        <is>
          <t>Artículo</t>
        </is>
      </c>
      <c r="G309" t="inlineStr">
        <is>
          <t>M06-0271</t>
        </is>
      </c>
      <c r="H309" t="n">
        <v>2.4981</v>
      </c>
      <c r="I309" t="n">
        <v>3490.4118</v>
      </c>
      <c r="J309" t="n">
        <v>8719.4</v>
      </c>
    </row>
    <row r="310">
      <c r="A310" t="inlineStr">
        <is>
          <t>VN-L.32</t>
        </is>
      </c>
      <c r="B310" t="n">
        <v>341</v>
      </c>
      <c r="C310" t="n">
        <v>3.2</v>
      </c>
      <c r="D310" t="inlineStr">
        <is>
          <t>TUBO SDR41 JC PVC 4"</t>
        </is>
      </c>
      <c r="E310" t="inlineStr">
        <is>
          <t>Auxiliar</t>
        </is>
      </c>
      <c r="F310" t="inlineStr">
        <is>
          <t>Artículo</t>
        </is>
      </c>
      <c r="G310" t="inlineStr">
        <is>
          <t>M13-0179</t>
        </is>
      </c>
      <c r="H310" t="n">
        <v>32.4759</v>
      </c>
      <c r="I310" t="n">
        <v>20993.4225</v>
      </c>
      <c r="J310" t="n">
        <v>681780.29</v>
      </c>
    </row>
    <row r="311">
      <c r="A311" t="inlineStr">
        <is>
          <t>VN-L.32</t>
        </is>
      </c>
      <c r="B311" t="n">
        <v>343</v>
      </c>
      <c r="C311" t="n">
        <v>3.2</v>
      </c>
      <c r="D311" t="inlineStr">
        <is>
          <t>TUBO SDR41 JC PVC 2"</t>
        </is>
      </c>
      <c r="E311" t="inlineStr">
        <is>
          <t>Auxiliar</t>
        </is>
      </c>
      <c r="F311" t="inlineStr">
        <is>
          <t>Artículo</t>
        </is>
      </c>
      <c r="G311" t="inlineStr">
        <is>
          <t>M13-0173</t>
        </is>
      </c>
      <c r="H311" t="n">
        <v>9.992599999999999</v>
      </c>
      <c r="I311" t="n">
        <v>6461.622499999999</v>
      </c>
      <c r="J311" t="n">
        <v>64568.41</v>
      </c>
    </row>
    <row r="312">
      <c r="A312" t="inlineStr">
        <is>
          <t>VN-L.32</t>
        </is>
      </c>
      <c r="B312" t="n">
        <v>344</v>
      </c>
      <c r="C312" t="n">
        <v>3.2</v>
      </c>
      <c r="D312" t="inlineStr">
        <is>
          <t>CODO 90 PVC PARED DELGADA 4"</t>
        </is>
      </c>
      <c r="E312" t="inlineStr">
        <is>
          <t>Auxiliar</t>
        </is>
      </c>
      <c r="F312" t="inlineStr">
        <is>
          <t>Artículo</t>
        </is>
      </c>
      <c r="G312" t="inlineStr">
        <is>
          <t>M13-0096</t>
        </is>
      </c>
      <c r="H312" t="n">
        <v>14.9889</v>
      </c>
      <c r="I312" t="n">
        <v>2529.505</v>
      </c>
      <c r="J312" t="n">
        <v>37914.5</v>
      </c>
    </row>
    <row r="313">
      <c r="A313" t="inlineStr">
        <is>
          <t>VN-L.32</t>
        </is>
      </c>
      <c r="B313" t="n">
        <v>345</v>
      </c>
      <c r="C313" t="n">
        <v>3.2</v>
      </c>
      <c r="D313" t="inlineStr">
        <is>
          <t>CODO 45 PVC PARED DELGADA 4" (SANITARIO)</t>
        </is>
      </c>
      <c r="E313" t="inlineStr">
        <is>
          <t>Auxiliar</t>
        </is>
      </c>
      <c r="F313" t="inlineStr">
        <is>
          <t>Artículo</t>
        </is>
      </c>
      <c r="G313" t="inlineStr">
        <is>
          <t>M13-0118</t>
        </is>
      </c>
      <c r="H313" t="n">
        <v>19.9852</v>
      </c>
      <c r="I313" t="n">
        <v>2123.5525</v>
      </c>
      <c r="J313" t="n">
        <v>42439.62</v>
      </c>
    </row>
    <row r="314">
      <c r="A314" t="inlineStr">
        <is>
          <t>VN-L.32</t>
        </is>
      </c>
      <c r="B314" t="n">
        <v>348</v>
      </c>
      <c r="C314" t="n">
        <v>3.2</v>
      </c>
      <c r="D314" t="inlineStr">
        <is>
          <t>CODO 90 PVC POTABLE CEDULA DE PRESIÓN DE 2"</t>
        </is>
      </c>
      <c r="E314" t="inlineStr">
        <is>
          <t>Auxiliar</t>
        </is>
      </c>
      <c r="F314" t="inlineStr">
        <is>
          <t>Artículo</t>
        </is>
      </c>
      <c r="G314" t="inlineStr">
        <is>
          <t>M13-0211</t>
        </is>
      </c>
      <c r="H314" t="n">
        <v>22.4833</v>
      </c>
      <c r="I314" t="n">
        <v>5353.94</v>
      </c>
      <c r="J314" t="n">
        <v>120374.24</v>
      </c>
    </row>
    <row r="315">
      <c r="A315" t="inlineStr">
        <is>
          <t>VN-L.32</t>
        </is>
      </c>
      <c r="B315" t="n">
        <v>349</v>
      </c>
      <c r="C315" t="n">
        <v>3.2</v>
      </c>
      <c r="D315" t="inlineStr">
        <is>
          <t>CODO 45 PVC PARED DELGADA  2" (SANITARIO)</t>
        </is>
      </c>
      <c r="E315" t="inlineStr">
        <is>
          <t>Auxiliar</t>
        </is>
      </c>
      <c r="F315" t="inlineStr">
        <is>
          <t>Artículo</t>
        </is>
      </c>
      <c r="G315" t="inlineStr">
        <is>
          <t>M13-0119</t>
        </is>
      </c>
      <c r="H315" t="n">
        <v>4.9963</v>
      </c>
      <c r="I315" t="n">
        <v>472.34</v>
      </c>
      <c r="J315" t="n">
        <v>2359.95</v>
      </c>
    </row>
    <row r="316">
      <c r="A316" t="inlineStr">
        <is>
          <t>VN-L.32</t>
        </is>
      </c>
      <c r="B316" t="n">
        <v>350</v>
      </c>
      <c r="C316" t="n">
        <v>3.2</v>
      </c>
      <c r="D316" t="inlineStr">
        <is>
          <t>YEE PARED DELGADA 4" (SANITARIO)</t>
        </is>
      </c>
      <c r="E316" t="inlineStr">
        <is>
          <t>Auxiliar</t>
        </is>
      </c>
      <c r="F316" t="inlineStr">
        <is>
          <t>Artículo</t>
        </is>
      </c>
      <c r="G316" t="inlineStr">
        <is>
          <t>M13-0193</t>
        </is>
      </c>
      <c r="H316" t="n">
        <v>12.4907</v>
      </c>
      <c r="I316" t="n">
        <v>4249.6475</v>
      </c>
      <c r="J316" t="n">
        <v>53081.07</v>
      </c>
    </row>
    <row r="317">
      <c r="A317" t="inlineStr">
        <is>
          <t>VN-L.32</t>
        </is>
      </c>
      <c r="B317" t="n">
        <v>352</v>
      </c>
      <c r="C317" t="n">
        <v>3.2</v>
      </c>
      <c r="D317" t="inlineStr">
        <is>
          <t>YEE PARED DELGADA 2" (SANITARIO)</t>
        </is>
      </c>
      <c r="E317" t="inlineStr">
        <is>
          <t>Auxiliar</t>
        </is>
      </c>
      <c r="F317" t="inlineStr">
        <is>
          <t>Artículo</t>
        </is>
      </c>
      <c r="G317" t="inlineStr">
        <is>
          <t>M13-0191</t>
        </is>
      </c>
      <c r="H317" t="n">
        <v>7.4944</v>
      </c>
      <c r="I317" t="n">
        <v>1707.995</v>
      </c>
      <c r="J317" t="n">
        <v>12800.4</v>
      </c>
    </row>
    <row r="318">
      <c r="A318" t="inlineStr">
        <is>
          <t>VN-L.32</t>
        </is>
      </c>
      <c r="B318" t="n">
        <v>353</v>
      </c>
      <c r="C318" t="n">
        <v>3.2</v>
      </c>
      <c r="D318" t="inlineStr">
        <is>
          <t>REDUCCION LISA P.D.  3" A 4" (SANITARIO)</t>
        </is>
      </c>
      <c r="E318" t="inlineStr">
        <is>
          <t>Auxiliar</t>
        </is>
      </c>
      <c r="F318" t="inlineStr">
        <is>
          <t>Artículo</t>
        </is>
      </c>
      <c r="G318" t="inlineStr">
        <is>
          <t>M13-0132</t>
        </is>
      </c>
      <c r="H318" t="n">
        <v>4.9963</v>
      </c>
      <c r="I318" t="n">
        <v>1820.43</v>
      </c>
      <c r="J318" t="n">
        <v>9095.41</v>
      </c>
    </row>
    <row r="319">
      <c r="A319" t="inlineStr">
        <is>
          <t>VN-L.32</t>
        </is>
      </c>
      <c r="B319" t="n">
        <v>355</v>
      </c>
      <c r="C319" t="n">
        <v>3.2</v>
      </c>
      <c r="D319" t="inlineStr">
        <is>
          <t>TUBO PVC 1/2 P/GRUESA</t>
        </is>
      </c>
      <c r="E319" t="inlineStr">
        <is>
          <t>Auxiliar</t>
        </is>
      </c>
      <c r="F319" t="inlineStr">
        <is>
          <t>Artículo</t>
        </is>
      </c>
      <c r="G319" t="inlineStr">
        <is>
          <t>M13-0170</t>
        </is>
      </c>
      <c r="H319" t="n">
        <v>22.4833</v>
      </c>
      <c r="I319" t="n">
        <v>2711.435</v>
      </c>
      <c r="J319" t="n">
        <v>60962.01</v>
      </c>
    </row>
    <row r="320">
      <c r="A320" t="inlineStr">
        <is>
          <t>VN-L.32</t>
        </is>
      </c>
      <c r="B320" t="n">
        <v>356</v>
      </c>
      <c r="C320" t="n">
        <v>3.2</v>
      </c>
      <c r="D320" t="inlineStr">
        <is>
          <t>TUBO CPVC 1/2</t>
        </is>
      </c>
      <c r="E320" t="inlineStr">
        <is>
          <t>Auxiliar</t>
        </is>
      </c>
      <c r="F320" t="inlineStr">
        <is>
          <t>Artículo</t>
        </is>
      </c>
      <c r="G320" t="inlineStr">
        <is>
          <t>M13-0166</t>
        </is>
      </c>
      <c r="H320" t="n">
        <v>17.487</v>
      </c>
      <c r="I320" t="n">
        <v>5565.249999999999</v>
      </c>
      <c r="J320" t="n">
        <v>97319.53</v>
      </c>
    </row>
    <row r="321">
      <c r="A321" t="inlineStr">
        <is>
          <t>VN-L.32</t>
        </is>
      </c>
      <c r="B321" t="n">
        <v>357</v>
      </c>
      <c r="C321" t="n">
        <v>3.2</v>
      </c>
      <c r="D321" t="inlineStr">
        <is>
          <t>CODO 90 PVC LISO 1/2"</t>
        </is>
      </c>
      <c r="E321" t="inlineStr">
        <is>
          <t>Auxiliar</t>
        </is>
      </c>
      <c r="F321" t="inlineStr">
        <is>
          <t>Artículo</t>
        </is>
      </c>
      <c r="G321" t="inlineStr">
        <is>
          <t>M13-0120</t>
        </is>
      </c>
      <c r="H321" t="n">
        <v>44.9666</v>
      </c>
      <c r="I321" t="n">
        <v>84.74999999999999</v>
      </c>
      <c r="J321" t="n">
        <v>3810.92</v>
      </c>
    </row>
    <row r="322">
      <c r="A322" t="inlineStr">
        <is>
          <t>VN-L.32</t>
        </is>
      </c>
      <c r="B322" t="n">
        <v>358</v>
      </c>
      <c r="C322" t="n">
        <v>3.2</v>
      </c>
      <c r="D322" t="inlineStr">
        <is>
          <t>CODO 90 CPVC 1/2"</t>
        </is>
      </c>
      <c r="E322" t="inlineStr">
        <is>
          <t>Auxiliar</t>
        </is>
      </c>
      <c r="F322" t="inlineStr">
        <is>
          <t>Artículo</t>
        </is>
      </c>
      <c r="G322" t="inlineStr">
        <is>
          <t>M13-0094</t>
        </is>
      </c>
      <c r="H322" t="n">
        <v>37.4722</v>
      </c>
      <c r="I322" t="n">
        <v>228.5425</v>
      </c>
      <c r="J322" t="n">
        <v>8563.99</v>
      </c>
    </row>
    <row r="323">
      <c r="A323" t="inlineStr">
        <is>
          <t>VN-L.32</t>
        </is>
      </c>
      <c r="B323" t="n">
        <v>359</v>
      </c>
      <c r="C323" t="n">
        <v>3.2</v>
      </c>
      <c r="D323" t="inlineStr">
        <is>
          <t>TEE PVC LISA 1/2"</t>
        </is>
      </c>
      <c r="E323" t="inlineStr">
        <is>
          <t>Auxiliar</t>
        </is>
      </c>
      <c r="F323" t="inlineStr">
        <is>
          <t>Artículo</t>
        </is>
      </c>
      <c r="G323" t="inlineStr">
        <is>
          <t>M13-0159</t>
        </is>
      </c>
      <c r="H323" t="n">
        <v>29.9778</v>
      </c>
      <c r="I323" t="n">
        <v>86.16249999999999</v>
      </c>
      <c r="J323" t="n">
        <v>2582.96</v>
      </c>
    </row>
    <row r="324">
      <c r="A324" t="inlineStr">
        <is>
          <t>VN-L.32</t>
        </is>
      </c>
      <c r="B324" t="n">
        <v>360</v>
      </c>
      <c r="C324" t="n">
        <v>3.2</v>
      </c>
      <c r="D324" t="inlineStr">
        <is>
          <t>TEE CPVC 1/2"</t>
        </is>
      </c>
      <c r="E324" t="inlineStr">
        <is>
          <t>Auxiliar</t>
        </is>
      </c>
      <c r="F324" t="inlineStr">
        <is>
          <t>Artículo</t>
        </is>
      </c>
      <c r="G324" t="inlineStr">
        <is>
          <t>M13-0157</t>
        </is>
      </c>
      <c r="H324" t="n">
        <v>12.4907</v>
      </c>
      <c r="I324" t="n">
        <v>302.5574999999999</v>
      </c>
      <c r="J324" t="n">
        <v>3779.15</v>
      </c>
    </row>
    <row r="325">
      <c r="A325" t="inlineStr">
        <is>
          <t>VN-L.32</t>
        </is>
      </c>
      <c r="B325" t="n">
        <v>361</v>
      </c>
      <c r="C325" t="n">
        <v>3.2</v>
      </c>
      <c r="D325" t="inlineStr">
        <is>
          <t>ADAPTADOR MACHO PVC 1/2"</t>
        </is>
      </c>
      <c r="E325" t="inlineStr">
        <is>
          <t>Auxiliar</t>
        </is>
      </c>
      <c r="F325" t="inlineStr">
        <is>
          <t>Artículo</t>
        </is>
      </c>
      <c r="G325" t="inlineStr">
        <is>
          <t>M13-0091</t>
        </is>
      </c>
      <c r="H325" t="n">
        <v>2.4981</v>
      </c>
      <c r="I325" t="n">
        <v>70.625</v>
      </c>
      <c r="J325" t="n">
        <v>176.43</v>
      </c>
    </row>
    <row r="326">
      <c r="A326" t="inlineStr">
        <is>
          <t>VN-L.32</t>
        </is>
      </c>
      <c r="B326" t="n">
        <v>362</v>
      </c>
      <c r="C326" t="n">
        <v>3.2</v>
      </c>
      <c r="D326" t="inlineStr">
        <is>
          <t>ADAPTADOR MACHO CPVC 1/2"</t>
        </is>
      </c>
      <c r="E326" t="inlineStr">
        <is>
          <t>Auxiliar</t>
        </is>
      </c>
      <c r="F326" t="inlineStr">
        <is>
          <t>Artículo</t>
        </is>
      </c>
      <c r="G326" t="inlineStr">
        <is>
          <t>M13-0090</t>
        </is>
      </c>
      <c r="H326" t="n">
        <v>2.4981</v>
      </c>
      <c r="I326" t="n">
        <v>243.7975</v>
      </c>
      <c r="J326" t="n">
        <v>609.03</v>
      </c>
    </row>
    <row r="327">
      <c r="A327" t="inlineStr">
        <is>
          <t>VN-L.32</t>
        </is>
      </c>
      <c r="B327" t="n">
        <v>363</v>
      </c>
      <c r="C327" t="n">
        <v>3.2</v>
      </c>
      <c r="D327" t="inlineStr">
        <is>
          <t>LLAVE  DE PASO PVC 1/2</t>
        </is>
      </c>
      <c r="E327" t="inlineStr">
        <is>
          <t>Auxiliar</t>
        </is>
      </c>
      <c r="F327" t="inlineStr">
        <is>
          <t>Artículo</t>
        </is>
      </c>
      <c r="G327" t="inlineStr">
        <is>
          <t>M13-0255</t>
        </is>
      </c>
      <c r="H327" t="n">
        <v>17.487</v>
      </c>
      <c r="I327" t="n">
        <v>1771.162</v>
      </c>
      <c r="J327" t="n">
        <v>30972.31</v>
      </c>
    </row>
    <row r="328">
      <c r="A328" t="inlineStr">
        <is>
          <t>VN-L.32</t>
        </is>
      </c>
      <c r="B328" t="n">
        <v>364</v>
      </c>
      <c r="C328" t="n">
        <v>3.2</v>
      </c>
      <c r="D328" t="inlineStr">
        <is>
          <t>LLAVE DE CHORRO PREMIUM 1/2</t>
        </is>
      </c>
      <c r="E328" t="inlineStr">
        <is>
          <t>Auxiliar</t>
        </is>
      </c>
      <c r="F328" t="inlineStr">
        <is>
          <t>Artículo</t>
        </is>
      </c>
      <c r="G328" t="inlineStr">
        <is>
          <t>M13-0245</t>
        </is>
      </c>
      <c r="H328" t="n">
        <v>2.4981</v>
      </c>
      <c r="I328" t="n">
        <v>2821.384</v>
      </c>
      <c r="J328" t="n">
        <v>7048.1</v>
      </c>
    </row>
    <row r="329">
      <c r="A329" t="inlineStr">
        <is>
          <t>VN-L.32</t>
        </is>
      </c>
      <c r="B329" t="n">
        <v>369</v>
      </c>
      <c r="C329" t="n">
        <v>3.2</v>
      </c>
      <c r="D329" t="inlineStr">
        <is>
          <t>PEGAMENTO  PVC AZUL WETBONDING</t>
        </is>
      </c>
      <c r="E329" t="inlineStr">
        <is>
          <t>Auxiliar</t>
        </is>
      </c>
      <c r="F329" t="inlineStr">
        <is>
          <t>Artículo</t>
        </is>
      </c>
      <c r="G329" t="inlineStr">
        <is>
          <t>M06-0013</t>
        </is>
      </c>
      <c r="H329" t="n">
        <v>4.9963</v>
      </c>
      <c r="I329" t="n">
        <v>5835.0036</v>
      </c>
      <c r="J329" t="n">
        <v>29153.43</v>
      </c>
    </row>
    <row r="330">
      <c r="A330" t="inlineStr">
        <is>
          <t>VN-L.32</t>
        </is>
      </c>
      <c r="B330" t="n">
        <v>370</v>
      </c>
      <c r="C330" t="n">
        <v>3.2</v>
      </c>
      <c r="D330" t="inlineStr">
        <is>
          <t>LAMINA ESTEREOFON 2" 1.22X2.44</t>
        </is>
      </c>
      <c r="E330" t="inlineStr">
        <is>
          <t>Auxiliar</t>
        </is>
      </c>
      <c r="F330" t="inlineStr">
        <is>
          <t>Artículo</t>
        </is>
      </c>
      <c r="G330" t="inlineStr">
        <is>
          <t>M04-0003</t>
        </is>
      </c>
      <c r="H330" t="n">
        <v>7.4944</v>
      </c>
      <c r="I330" t="n">
        <v>5509.721799999999</v>
      </c>
      <c r="J330" t="n">
        <v>41292.06</v>
      </c>
    </row>
    <row r="331">
      <c r="A331" t="inlineStr">
        <is>
          <t>VN-L.32</t>
        </is>
      </c>
      <c r="B331" t="n">
        <v>371</v>
      </c>
      <c r="C331" t="n">
        <v>3.2</v>
      </c>
      <c r="D331" t="inlineStr">
        <is>
          <t>PINTURA EN SPRAY VERDE FLUORESCENTE</t>
        </is>
      </c>
      <c r="E331" t="inlineStr">
        <is>
          <t>Auxiliar</t>
        </is>
      </c>
      <c r="F331" t="inlineStr">
        <is>
          <t>Artículo</t>
        </is>
      </c>
      <c r="G331" t="inlineStr">
        <is>
          <t>M11-0141</t>
        </is>
      </c>
      <c r="H331" t="n">
        <v>4.9963</v>
      </c>
      <c r="I331" t="n">
        <v>4945.558</v>
      </c>
      <c r="J331" t="n">
        <v>24709.49</v>
      </c>
    </row>
    <row r="332">
      <c r="A332" t="inlineStr">
        <is>
          <t>VN-L.32</t>
        </is>
      </c>
      <c r="B332" t="n">
        <v>372</v>
      </c>
      <c r="C332" t="n">
        <v>3.2</v>
      </c>
      <c r="D332" t="inlineStr">
        <is>
          <t>ENCHUFE PARA EXTENSION HEMBRA</t>
        </is>
      </c>
      <c r="E332" t="inlineStr">
        <is>
          <t>Auxiliar</t>
        </is>
      </c>
      <c r="F332" t="inlineStr">
        <is>
          <t>Artículo</t>
        </is>
      </c>
      <c r="G332" t="inlineStr">
        <is>
          <t>M05-0027</t>
        </is>
      </c>
      <c r="H332" t="n">
        <v>2.4981</v>
      </c>
      <c r="I332" t="n">
        <v>1000.2421</v>
      </c>
      <c r="J332" t="n">
        <v>2498.7</v>
      </c>
    </row>
    <row r="333">
      <c r="A333" t="inlineStr">
        <is>
          <t>VN-L.32</t>
        </is>
      </c>
      <c r="B333" t="n">
        <v>373</v>
      </c>
      <c r="C333" t="n">
        <v>3.2</v>
      </c>
      <c r="D333" t="inlineStr">
        <is>
          <t>TEFLON CINTA 3/4 (10M)</t>
        </is>
      </c>
      <c r="E333" t="inlineStr">
        <is>
          <t>Auxiliar</t>
        </is>
      </c>
      <c r="F333" t="inlineStr">
        <is>
          <t>Artículo</t>
        </is>
      </c>
      <c r="G333" t="inlineStr">
        <is>
          <t>M13-0021</t>
        </is>
      </c>
      <c r="H333" t="n">
        <v>9.992599999999999</v>
      </c>
      <c r="I333" t="n">
        <v>333.9376</v>
      </c>
      <c r="J333" t="n">
        <v>3336.9</v>
      </c>
    </row>
    <row r="334">
      <c r="A334" t="inlineStr">
        <is>
          <t>VN-L.32</t>
        </is>
      </c>
      <c r="B334" t="n">
        <v>374</v>
      </c>
      <c r="C334" t="n">
        <v>3.2</v>
      </c>
      <c r="D334" t="inlineStr">
        <is>
          <t>ENCHUFE PARA EXTENSION MACHO</t>
        </is>
      </c>
      <c r="E334" t="inlineStr">
        <is>
          <t>Auxiliar</t>
        </is>
      </c>
      <c r="F334" t="inlineStr">
        <is>
          <t>Artículo</t>
        </is>
      </c>
      <c r="G334" t="inlineStr">
        <is>
          <t>M05-0026</t>
        </is>
      </c>
      <c r="H334" t="n">
        <v>2.4981</v>
      </c>
      <c r="I334" t="n">
        <v>800.1981999999999</v>
      </c>
      <c r="J334" t="n">
        <v>1998.98</v>
      </c>
    </row>
    <row r="335">
      <c r="A335" t="inlineStr">
        <is>
          <t>VN-L.32</t>
        </is>
      </c>
      <c r="B335" t="n">
        <v>375</v>
      </c>
      <c r="C335" t="n">
        <v>3.2</v>
      </c>
      <c r="D335" t="inlineStr">
        <is>
          <t>TRAMPA PARA GRASA 4"</t>
        </is>
      </c>
      <c r="E335" t="inlineStr">
        <is>
          <t>Auxiliar</t>
        </is>
      </c>
      <c r="F335" t="inlineStr">
        <is>
          <t>Artículo</t>
        </is>
      </c>
      <c r="G335" t="inlineStr">
        <is>
          <t>M13-0060</t>
        </is>
      </c>
      <c r="H335" t="n">
        <v>2.4981</v>
      </c>
      <c r="I335" t="n">
        <v>7085.099999999999</v>
      </c>
      <c r="J335" t="n">
        <v>17699.29</v>
      </c>
    </row>
    <row r="336">
      <c r="A336" t="inlineStr">
        <is>
          <t>VN-L.32</t>
        </is>
      </c>
      <c r="B336" t="n">
        <v>376</v>
      </c>
      <c r="C336" t="n">
        <v>3.2</v>
      </c>
      <c r="D336" t="inlineStr">
        <is>
          <t>SIFON P/CONCRETO 4"</t>
        </is>
      </c>
      <c r="E336" t="inlineStr">
        <is>
          <t>Auxiliar</t>
        </is>
      </c>
      <c r="F336" t="inlineStr">
        <is>
          <t>Artículo</t>
        </is>
      </c>
      <c r="G336" t="inlineStr">
        <is>
          <t>M10-0070</t>
        </is>
      </c>
      <c r="H336" t="n">
        <v>7.4944</v>
      </c>
      <c r="I336" t="n">
        <v>4011.5</v>
      </c>
      <c r="J336" t="n">
        <v>30063.79</v>
      </c>
    </row>
    <row r="337">
      <c r="A337" t="inlineStr">
        <is>
          <t>VN-L.32</t>
        </is>
      </c>
      <c r="B337" t="n">
        <v>377</v>
      </c>
      <c r="C337" t="n">
        <v>3.2</v>
      </c>
      <c r="D337" t="inlineStr">
        <is>
          <t>CEMENTO INDUSTRIAL</t>
        </is>
      </c>
      <c r="E337" t="inlineStr">
        <is>
          <t>Auxiliar</t>
        </is>
      </c>
      <c r="F337" t="inlineStr">
        <is>
          <t>Artículo</t>
        </is>
      </c>
      <c r="G337" t="inlineStr">
        <is>
          <t>M10-0047</t>
        </is>
      </c>
      <c r="H337" t="n">
        <v>317.2646</v>
      </c>
      <c r="I337" t="n">
        <v>121.3959</v>
      </c>
      <c r="J337" t="n">
        <v>38514.62</v>
      </c>
    </row>
    <row r="338">
      <c r="A338" t="inlineStr">
        <is>
          <t>VN-L.32</t>
        </is>
      </c>
      <c r="B338" t="n">
        <v>378</v>
      </c>
      <c r="C338" t="n">
        <v>3.2</v>
      </c>
      <c r="D338" t="inlineStr">
        <is>
          <t>PIEDRA CUARTILLA</t>
        </is>
      </c>
      <c r="E338" t="inlineStr">
        <is>
          <t>Auxiliar</t>
        </is>
      </c>
      <c r="F338" t="inlineStr">
        <is>
          <t>Artículo</t>
        </is>
      </c>
      <c r="G338" t="inlineStr">
        <is>
          <t>M10-0015</t>
        </is>
      </c>
      <c r="H338" t="n">
        <v>0.5996</v>
      </c>
      <c r="I338" t="n">
        <v>17012.15</v>
      </c>
      <c r="J338" t="n">
        <v>10200.49</v>
      </c>
    </row>
    <row r="339">
      <c r="A339" t="inlineStr">
        <is>
          <t>VN-L.32</t>
        </is>
      </c>
      <c r="B339" t="n">
        <v>379</v>
      </c>
      <c r="C339" t="n">
        <v>3.2</v>
      </c>
      <c r="D339" t="inlineStr">
        <is>
          <t>ARENA LAVADA</t>
        </is>
      </c>
      <c r="E339" t="inlineStr">
        <is>
          <t>Auxiliar</t>
        </is>
      </c>
      <c r="F339" t="inlineStr">
        <is>
          <t>Artículo</t>
        </is>
      </c>
      <c r="G339" t="inlineStr">
        <is>
          <t>M10-0010</t>
        </is>
      </c>
      <c r="H339" t="n">
        <v>0.5746</v>
      </c>
      <c r="I339" t="n">
        <v>12044.5005</v>
      </c>
      <c r="J339" t="n">
        <v>6920.77</v>
      </c>
    </row>
    <row r="340">
      <c r="A340" t="inlineStr">
        <is>
          <t>VN-L.32</t>
        </is>
      </c>
      <c r="B340" t="n">
        <v>380</v>
      </c>
      <c r="C340" t="n">
        <v>3.2</v>
      </c>
      <c r="D340" t="inlineStr">
        <is>
          <t>MANGUERA ABASTO  (1/2 A 1/2)</t>
        </is>
      </c>
      <c r="E340" t="inlineStr">
        <is>
          <t>Auxiliar</t>
        </is>
      </c>
      <c r="F340" t="inlineStr">
        <is>
          <t>Artículo</t>
        </is>
      </c>
      <c r="G340" t="inlineStr">
        <is>
          <t>M13-0004</t>
        </is>
      </c>
      <c r="H340" t="n">
        <v>14.9889</v>
      </c>
      <c r="I340" t="n">
        <v>2366.9093</v>
      </c>
      <c r="J340" t="n">
        <v>35477.37</v>
      </c>
    </row>
    <row r="341">
      <c r="A341" t="inlineStr">
        <is>
          <t>VN-L.32</t>
        </is>
      </c>
      <c r="B341" t="n">
        <v>381</v>
      </c>
      <c r="C341" t="n">
        <v>3.2</v>
      </c>
      <c r="D341" t="inlineStr">
        <is>
          <t>LLAVE DE CONTROL ESCUADRA 1/2 A 1/2</t>
        </is>
      </c>
      <c r="E341" t="inlineStr">
        <is>
          <t>Auxiliar</t>
        </is>
      </c>
      <c r="F341" t="inlineStr">
        <is>
          <t>Artículo</t>
        </is>
      </c>
      <c r="G341" t="inlineStr">
        <is>
          <t>M13-0053</t>
        </is>
      </c>
      <c r="H341" t="n">
        <v>14.9889</v>
      </c>
      <c r="I341" t="n">
        <v>3839.9999</v>
      </c>
      <c r="J341" t="n">
        <v>57557.37</v>
      </c>
    </row>
    <row r="342">
      <c r="A342" t="inlineStr">
        <is>
          <t>VN-L.32</t>
        </is>
      </c>
      <c r="B342" t="n">
        <v>382</v>
      </c>
      <c r="C342" t="n">
        <v>3.2</v>
      </c>
      <c r="D342" t="inlineStr">
        <is>
          <t>TAPON LISO PVC 1/2"</t>
        </is>
      </c>
      <c r="E342" t="inlineStr">
        <is>
          <t>Auxiliar</t>
        </is>
      </c>
      <c r="F342" t="inlineStr">
        <is>
          <t>Artículo</t>
        </is>
      </c>
      <c r="G342" t="inlineStr">
        <is>
          <t>M13-0101</t>
        </is>
      </c>
      <c r="H342" t="n">
        <v>32.4759</v>
      </c>
      <c r="I342" t="n">
        <v>265.55</v>
      </c>
      <c r="J342" t="n">
        <v>8623.98</v>
      </c>
    </row>
    <row r="343">
      <c r="A343" t="inlineStr">
        <is>
          <t>VN-L.32</t>
        </is>
      </c>
      <c r="B343" t="n">
        <v>383</v>
      </c>
      <c r="C343" t="n">
        <v>3.2</v>
      </c>
      <c r="D343" t="inlineStr">
        <is>
          <t>REDUCCION 1-1/2" A 1-1/4" (SANITARIO)</t>
        </is>
      </c>
      <c r="E343" t="inlineStr">
        <is>
          <t>Auxiliar</t>
        </is>
      </c>
      <c r="F343" t="inlineStr">
        <is>
          <t>Artículo</t>
        </is>
      </c>
      <c r="G343" t="inlineStr">
        <is>
          <t>M13-0138</t>
        </is>
      </c>
      <c r="H343" t="n">
        <v>7.4944</v>
      </c>
      <c r="I343" t="n">
        <v>476.5774999999999</v>
      </c>
      <c r="J343" t="n">
        <v>3571.66</v>
      </c>
    </row>
    <row r="344">
      <c r="A344" t="inlineStr">
        <is>
          <t>VN-L.32</t>
        </is>
      </c>
      <c r="B344" t="n">
        <v>384</v>
      </c>
      <c r="C344" t="n">
        <v>3.2</v>
      </c>
      <c r="D344" t="inlineStr">
        <is>
          <t>TEE PVC PARED DELGADA 1 1/2" (SANITARIO)</t>
        </is>
      </c>
      <c r="E344" t="inlineStr">
        <is>
          <t>Auxiliar</t>
        </is>
      </c>
      <c r="F344" t="inlineStr">
        <is>
          <t>Artículo</t>
        </is>
      </c>
      <c r="G344" t="inlineStr">
        <is>
          <t>M13-0160</t>
        </is>
      </c>
      <c r="H344" t="n">
        <v>7.4944</v>
      </c>
      <c r="I344" t="n">
        <v>1457.4175</v>
      </c>
      <c r="J344" t="n">
        <v>10922.47</v>
      </c>
    </row>
    <row r="345">
      <c r="A345" t="inlineStr">
        <is>
          <t>VN-L.32</t>
        </is>
      </c>
      <c r="B345" t="n">
        <v>385</v>
      </c>
      <c r="C345" t="n">
        <v>3.2</v>
      </c>
      <c r="D345" t="inlineStr">
        <is>
          <t>TEFLON CINTA 1/2  (10M)</t>
        </is>
      </c>
      <c r="E345" t="inlineStr">
        <is>
          <t>Auxiliar</t>
        </is>
      </c>
      <c r="F345" t="inlineStr">
        <is>
          <t>Artículo</t>
        </is>
      </c>
      <c r="G345" t="inlineStr">
        <is>
          <t>M13-0007</t>
        </is>
      </c>
      <c r="H345" t="n">
        <v>7.4944</v>
      </c>
      <c r="I345" t="n">
        <v>191.9983</v>
      </c>
      <c r="J345" t="n">
        <v>1438.91</v>
      </c>
    </row>
    <row r="346">
      <c r="A346" t="inlineStr">
        <is>
          <t>VN-L.32</t>
        </is>
      </c>
      <c r="B346" t="n">
        <v>386</v>
      </c>
      <c r="C346" t="n">
        <v>3.2</v>
      </c>
      <c r="D346" t="inlineStr">
        <is>
          <t>CAJA PARA LAVADORA</t>
        </is>
      </c>
      <c r="E346" t="inlineStr">
        <is>
          <t>Auxiliar</t>
        </is>
      </c>
      <c r="F346" t="inlineStr">
        <is>
          <t>Artículo</t>
        </is>
      </c>
      <c r="G346" t="inlineStr">
        <is>
          <t>M13-0062</t>
        </is>
      </c>
      <c r="H346" t="n">
        <v>2.4981</v>
      </c>
      <c r="I346" t="n">
        <v>21500.4874</v>
      </c>
      <c r="J346" t="n">
        <v>53710.37</v>
      </c>
    </row>
    <row r="347">
      <c r="A347" t="inlineStr">
        <is>
          <t>VN-L.32</t>
        </is>
      </c>
      <c r="B347" t="n">
        <v>387</v>
      </c>
      <c r="C347" t="n">
        <v>3.2</v>
      </c>
      <c r="D347" t="inlineStr">
        <is>
          <t>FLANGER DE 2 PULGADAS A 1 1/2 PULGADAS PARA SALIDA DEL TANQUE</t>
        </is>
      </c>
      <c r="E347" t="inlineStr">
        <is>
          <t>Auxiliar</t>
        </is>
      </c>
      <c r="F347" t="inlineStr">
        <is>
          <t>Artículo</t>
        </is>
      </c>
      <c r="G347" t="inlineStr">
        <is>
          <t>M13-0041</t>
        </is>
      </c>
      <c r="H347" t="n">
        <v>7.4944</v>
      </c>
      <c r="I347" t="n">
        <v>5099.69</v>
      </c>
      <c r="J347" t="n">
        <v>38219.12</v>
      </c>
    </row>
    <row r="348">
      <c r="A348" t="inlineStr">
        <is>
          <t>VN-L.32</t>
        </is>
      </c>
      <c r="B348" t="n">
        <v>388</v>
      </c>
      <c r="C348" t="n">
        <v>3.2</v>
      </c>
      <c r="D348" t="inlineStr">
        <is>
          <t>LLAVE CONTROL ESCUADRA 1/2 X 3/8</t>
        </is>
      </c>
      <c r="E348" t="inlineStr">
        <is>
          <t>Auxiliar</t>
        </is>
      </c>
      <c r="F348" t="inlineStr">
        <is>
          <t>Artículo</t>
        </is>
      </c>
      <c r="G348" t="inlineStr">
        <is>
          <t>M13-0055</t>
        </is>
      </c>
      <c r="H348" t="n">
        <v>7.4944</v>
      </c>
      <c r="I348" t="n">
        <v>3333.5</v>
      </c>
      <c r="J348" t="n">
        <v>24982.58</v>
      </c>
    </row>
    <row r="349">
      <c r="A349" t="inlineStr">
        <is>
          <t>VN-L.32</t>
        </is>
      </c>
      <c r="B349" t="n">
        <v>389</v>
      </c>
      <c r="C349" t="n">
        <v>3.2</v>
      </c>
      <c r="D349" t="inlineStr">
        <is>
          <t>HIDROMETRO DE 1/2Q (12MM) ENCAPSULADO ROSCADO ARAD</t>
        </is>
      </c>
      <c r="E349" t="inlineStr">
        <is>
          <t>Auxiliar</t>
        </is>
      </c>
      <c r="F349" t="inlineStr">
        <is>
          <t>Artículo</t>
        </is>
      </c>
      <c r="G349" t="inlineStr">
        <is>
          <t>M13-0003</t>
        </is>
      </c>
      <c r="H349" t="n">
        <v>2.4981</v>
      </c>
      <c r="I349" t="n">
        <v>17515</v>
      </c>
      <c r="J349" t="n">
        <v>43754.22</v>
      </c>
    </row>
    <row r="350">
      <c r="A350" t="inlineStr">
        <is>
          <t>VN-L.32</t>
        </is>
      </c>
      <c r="B350" t="n">
        <v>390</v>
      </c>
      <c r="C350" t="n">
        <v>3.2</v>
      </c>
      <c r="D350" t="inlineStr">
        <is>
          <t>JUEGO DE ACCESORIOS 1/2 BRONCE BTP</t>
        </is>
      </c>
      <c r="E350" t="inlineStr">
        <is>
          <t>Auxiliar</t>
        </is>
      </c>
      <c r="F350" t="inlineStr">
        <is>
          <t>Artículo</t>
        </is>
      </c>
      <c r="G350" t="inlineStr">
        <is>
          <t>M06-0211</t>
        </is>
      </c>
      <c r="H350" t="n">
        <v>2.4981</v>
      </c>
      <c r="I350" t="n">
        <v>12268.5682</v>
      </c>
      <c r="J350" t="n">
        <v>30648.11</v>
      </c>
    </row>
    <row r="351">
      <c r="A351" t="inlineStr">
        <is>
          <t>VN-L.32</t>
        </is>
      </c>
      <c r="B351" t="n">
        <v>391</v>
      </c>
      <c r="C351" t="n">
        <v>3.2</v>
      </c>
      <c r="D351" t="inlineStr">
        <is>
          <t>CAJA DE 1/2" DE PROTECCION AGUA HF FUNIDADELIMA</t>
        </is>
      </c>
      <c r="E351" t="inlineStr">
        <is>
          <t>Auxiliar</t>
        </is>
      </c>
      <c r="F351" t="inlineStr">
        <is>
          <t>Artículo</t>
        </is>
      </c>
      <c r="G351" t="inlineStr">
        <is>
          <t>M13-0001</t>
        </is>
      </c>
      <c r="H351" t="n">
        <v>2.4981</v>
      </c>
      <c r="I351" t="n">
        <v>16837</v>
      </c>
      <c r="J351" t="n">
        <v>42060.51</v>
      </c>
    </row>
    <row r="352">
      <c r="A352" t="inlineStr">
        <is>
          <t>VN-L.32</t>
        </is>
      </c>
      <c r="B352" t="n">
        <v>392</v>
      </c>
      <c r="C352" t="n">
        <v>3.2</v>
      </c>
      <c r="D352" t="inlineStr">
        <is>
          <t>REGLA SEMIDURO 1X3X4 SIN CEPILLAR</t>
        </is>
      </c>
      <c r="E352" t="inlineStr">
        <is>
          <t>Auxiliar</t>
        </is>
      </c>
      <c r="F352" t="inlineStr">
        <is>
          <t>Artículo</t>
        </is>
      </c>
      <c r="G352" t="inlineStr">
        <is>
          <t>M09-0042</t>
        </is>
      </c>
      <c r="H352" t="n">
        <v>9.992599999999999</v>
      </c>
      <c r="I352" t="n">
        <v>1524.9915</v>
      </c>
      <c r="J352" t="n">
        <v>15238.63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83"/>
  <sheetViews>
    <sheetView workbookViewId="0">
      <selection activeCell="A1" sqref="A1"/>
    </sheetView>
  </sheetViews>
  <sheetFormatPr baseColWidth="8" defaultRowHeight="15"/>
  <sheetData>
    <row r="1">
      <c r="A1" s="183" t="n"/>
      <c r="B1" s="184" t="n"/>
      <c r="C1" s="185" t="inlineStr">
        <is>
          <t>Desglose de Presupuesto</t>
        </is>
      </c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60" t="n"/>
    </row>
    <row r="2">
      <c r="A2" s="183" t="n"/>
      <c r="B2" s="184" t="n"/>
      <c r="C2" s="186" t="inlineStr">
        <is>
          <t>Proyecto:</t>
        </is>
      </c>
      <c r="D2" s="187" t="n"/>
      <c r="E2" s="188">
        <f>+'1_OG y 2_ACA'!D3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</row>
    <row r="3">
      <c r="A3" s="183" t="n"/>
      <c r="B3" s="184" t="n"/>
      <c r="C3" s="186" t="inlineStr">
        <is>
          <t>Cliente:</t>
        </is>
      </c>
      <c r="D3" s="187" t="n"/>
      <c r="E3" s="188" t="inlineStr">
        <is>
          <t>ADELANTE DESARROLLOS</t>
        </is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R3" s="190" t="inlineStr">
        <is>
          <t>Actualizacion</t>
        </is>
      </c>
    </row>
    <row r="4">
      <c r="A4" s="183" t="n"/>
      <c r="B4" s="184" t="n"/>
      <c r="C4" s="186" t="inlineStr">
        <is>
          <t>Fecha:</t>
        </is>
      </c>
      <c r="D4" s="187" t="n"/>
      <c r="E4" s="191" t="n">
        <v>45995</v>
      </c>
      <c r="F4" s="189" t="n"/>
      <c r="G4" s="189" t="n"/>
      <c r="H4" s="189" t="n"/>
      <c r="I4" s="189" t="n"/>
      <c r="J4" s="189" t="n"/>
      <c r="K4" s="189" t="n"/>
      <c r="L4" s="189" t="n"/>
      <c r="M4" s="189" t="n"/>
      <c r="N4" s="189" t="n"/>
      <c r="O4" s="189" t="n"/>
      <c r="P4" s="192" t="inlineStr">
        <is>
          <t>TC</t>
        </is>
      </c>
      <c r="Q4" s="192" t="n">
        <v>515</v>
      </c>
      <c r="R4" s="193" t="n">
        <v>45727</v>
      </c>
    </row>
    <row r="5">
      <c r="A5" s="183" t="n"/>
      <c r="B5" s="184" t="n"/>
      <c r="C5" s="186" t="inlineStr">
        <is>
          <t>Ubicación:</t>
        </is>
      </c>
      <c r="D5" s="187" t="n"/>
      <c r="E5" s="188" t="inlineStr">
        <is>
          <t>Cartago</t>
        </is>
      </c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</row>
    <row r="6">
      <c r="A6" s="183" t="n"/>
      <c r="B6" s="184" t="n"/>
      <c r="C6" s="186" t="inlineStr">
        <is>
          <t xml:space="preserve">Area: </t>
        </is>
      </c>
      <c r="D6" s="187" t="n"/>
      <c r="E6" s="194">
        <f>'1_OG y 2_ACA'!D9</f>
        <v/>
      </c>
      <c r="F6" s="189" t="n"/>
      <c r="G6" s="189" t="n"/>
      <c r="H6" s="189" t="n"/>
      <c r="I6" s="189" t="n"/>
      <c r="J6" s="189" t="n"/>
      <c r="K6" s="189" t="n"/>
      <c r="L6" s="189" t="n"/>
      <c r="M6" s="189" t="n"/>
      <c r="N6" s="195" t="n"/>
      <c r="O6" s="189" t="n"/>
    </row>
    <row r="7">
      <c r="A7" s="196" t="inlineStr">
        <is>
          <t>DESCRIPCION DE HORAS M.O.</t>
        </is>
      </c>
      <c r="B7" s="197" t="inlineStr">
        <is>
          <t>N Tarea</t>
        </is>
      </c>
      <c r="C7" s="198" t="inlineStr">
        <is>
          <t>N°</t>
        </is>
      </c>
      <c r="D7" s="199" t="inlineStr">
        <is>
          <t>Variante</t>
        </is>
      </c>
      <c r="E7" s="198" t="inlineStr">
        <is>
          <t>Descripcion actividad</t>
        </is>
      </c>
      <c r="F7" s="198" t="inlineStr">
        <is>
          <t>Cantidad</t>
        </is>
      </c>
      <c r="G7" s="198" t="inlineStr">
        <is>
          <t>Unidad</t>
        </is>
      </c>
      <c r="H7" s="198" t="inlineStr">
        <is>
          <t>Unit mater</t>
        </is>
      </c>
      <c r="I7" s="198" t="inlineStr">
        <is>
          <t>Unit MO</t>
        </is>
      </c>
      <c r="J7" s="198" t="inlineStr">
        <is>
          <t>Unit Sub/ Equipos</t>
        </is>
      </c>
      <c r="K7" s="198" t="inlineStr">
        <is>
          <t>Total Mater</t>
        </is>
      </c>
      <c r="L7" s="198" t="inlineStr">
        <is>
          <t>Total MO</t>
        </is>
      </c>
      <c r="M7" s="198" t="inlineStr">
        <is>
          <t xml:space="preserve">Total Sub/Equipos </t>
        </is>
      </c>
      <c r="N7" s="200" t="inlineStr">
        <is>
          <t xml:space="preserve">Total Directo Colones </t>
        </is>
      </c>
      <c r="O7" s="201" t="inlineStr">
        <is>
          <t xml:space="preserve">Total Directo Dólares </t>
        </is>
      </c>
      <c r="P7" s="202" t="n"/>
      <c r="Q7" s="202" t="n"/>
      <c r="R7" s="202" t="n"/>
      <c r="V7" s="1132" t="n"/>
      <c r="W7" s="204" t="n"/>
      <c r="X7" s="205" t="inlineStr">
        <is>
          <t>m.o</t>
        </is>
      </c>
      <c r="Y7" s="206">
        <f>+X50/'1_OG y 2_ACA'!D11</f>
        <v/>
      </c>
      <c r="Z7" s="205">
        <f>+'1_OG y 2_ACA'!D11</f>
        <v/>
      </c>
      <c r="AA7" s="205" t="n"/>
    </row>
    <row r="8">
      <c r="A8" s="207" t="n"/>
      <c r="B8" s="208" t="n"/>
      <c r="C8" s="209" t="n"/>
      <c r="D8" s="209" t="n"/>
      <c r="E8" s="210" t="inlineStr">
        <is>
          <t>TOTAL PRESUPUESTO</t>
        </is>
      </c>
      <c r="F8" s="211" t="n"/>
      <c r="G8" s="209" t="n"/>
      <c r="H8" s="209" t="n"/>
      <c r="I8" s="209" t="n"/>
      <c r="J8" s="209" t="n"/>
      <c r="K8" s="212">
        <f>+SUBTOTAL(9,K9:K950)</f>
        <v/>
      </c>
      <c r="L8" s="212">
        <f>+SUBTOTAL(9,L9:L950)</f>
        <v/>
      </c>
      <c r="M8" s="212">
        <f>+SUBTOTAL(9,M9:M950)</f>
        <v/>
      </c>
      <c r="N8" s="212">
        <f>+SUBTOTAL(9,N9:N950)</f>
        <v/>
      </c>
      <c r="O8" s="213">
        <f>+SUBTOTAL(9,O9:O950)</f>
        <v/>
      </c>
      <c r="P8" s="1132" t="n"/>
      <c r="V8" s="214">
        <f>+C11</f>
        <v/>
      </c>
      <c r="W8" s="214">
        <f>+E11</f>
        <v/>
      </c>
      <c r="X8" s="215">
        <f>+L11</f>
        <v/>
      </c>
      <c r="Y8" s="216">
        <f>+X8/$X$50</f>
        <v/>
      </c>
      <c r="Z8" s="215">
        <f>+X8/$Z$7</f>
        <v/>
      </c>
      <c r="AA8" s="217" t="n"/>
    </row>
    <row r="9">
      <c r="A9" s="16" t="n"/>
      <c r="B9" s="218" t="n"/>
      <c r="C9" s="219" t="n">
        <v>1</v>
      </c>
      <c r="D9" s="219" t="n"/>
      <c r="E9" s="220" t="inlineStr">
        <is>
          <t>OBRA GRIS</t>
        </is>
      </c>
      <c r="F9" s="221" t="n"/>
      <c r="G9" s="222" t="n"/>
      <c r="H9" s="223" t="n"/>
      <c r="I9" s="223" t="n"/>
      <c r="J9" s="223" t="n"/>
      <c r="K9" s="223">
        <f>+SUBTOTAL(9,K10:K392)</f>
        <v/>
      </c>
      <c r="L9" s="223">
        <f>+SUBTOTAL(9,L10:L392)</f>
        <v/>
      </c>
      <c r="M9" s="223">
        <f>+SUBTOTAL(9,M10:M392)</f>
        <v/>
      </c>
      <c r="N9" s="223">
        <f>+SUBTOTAL(9,N10:N392)</f>
        <v/>
      </c>
      <c r="O9" s="224">
        <f>+SUBTOTAL(9,O10:O392)</f>
        <v/>
      </c>
      <c r="P9" s="1133" t="n"/>
      <c r="V9" s="214">
        <f>+C21</f>
        <v/>
      </c>
      <c r="W9" s="214">
        <f>+E21</f>
        <v/>
      </c>
      <c r="X9" s="215">
        <f>+L21</f>
        <v/>
      </c>
      <c r="Y9" s="216">
        <f>+X9/$X$50</f>
        <v/>
      </c>
      <c r="Z9" s="215">
        <f>+X9/$Z$7</f>
        <v/>
      </c>
    </row>
    <row r="10">
      <c r="A10" s="16" t="n"/>
      <c r="B10" s="1134">
        <f>VALUE(IF(AND(LEN(TRIM(C10))-LEN(SUBSTITUTE(TRIM(C10),".",""))=1,ISNUMBER(VALUE(SUBSTITUTE(TRIM(C10),".","")))),TRIM(C10),B9))</f>
        <v/>
      </c>
      <c r="C10" s="227" t="inlineStr">
        <is>
          <t>1.1</t>
        </is>
      </c>
      <c r="D10" s="227" t="n"/>
      <c r="E10" s="228" t="inlineStr">
        <is>
          <t>FUNDACIONES</t>
        </is>
      </c>
      <c r="F10" s="229" t="n">
        <v>1</v>
      </c>
      <c r="G10" s="227" t="inlineStr">
        <is>
          <t>UND</t>
        </is>
      </c>
      <c r="H10" s="227" t="n"/>
      <c r="I10" s="227" t="n"/>
      <c r="J10" s="227" t="n"/>
      <c r="K10" s="230">
        <f>+SUBTOTAL(9,K11:K53)</f>
        <v/>
      </c>
      <c r="L10" s="230">
        <f>+SUBTOTAL(9,L11:L53)</f>
        <v/>
      </c>
      <c r="M10" s="230">
        <f>+SUBTOTAL(9,M11:M53)</f>
        <v/>
      </c>
      <c r="N10" s="230">
        <f>+SUBTOTAL(9,N11:N53)</f>
        <v/>
      </c>
      <c r="O10" s="1135">
        <f>+SUBTOTAL(9,O11:O53)</f>
        <v/>
      </c>
      <c r="P10" s="1133" t="n"/>
      <c r="V10" s="214">
        <f>+C28</f>
        <v/>
      </c>
      <c r="W10" s="214">
        <f>+E28</f>
        <v/>
      </c>
      <c r="X10" s="215">
        <f>+L28</f>
        <v/>
      </c>
      <c r="Y10" s="216">
        <f>+X10/$X$50</f>
        <v/>
      </c>
      <c r="Z10" s="215">
        <f>+X10/$Z$7</f>
        <v/>
      </c>
      <c r="AA10" s="232" t="n"/>
    </row>
    <row r="11">
      <c r="A11" s="233" t="n"/>
      <c r="B11" s="1134">
        <f>VALUE(IF(AND(LEN(TRIM(C11))-LEN(SUBSTITUTE(TRIM(C11),".",""))=1,ISNUMBER(VALUE(SUBSTITUTE(TRIM(C11),".","")))),TRIM(C11),B10))</f>
        <v/>
      </c>
      <c r="C11" s="234" t="inlineStr">
        <is>
          <t>1.1.1</t>
        </is>
      </c>
      <c r="D11" s="235" t="n"/>
      <c r="E11" s="236" t="inlineStr">
        <is>
          <t xml:space="preserve">TRAZADO Y RELLENOS </t>
        </is>
      </c>
      <c r="F11" s="237">
        <f>+'1_OG y 2_ACA'!D219</f>
        <v/>
      </c>
      <c r="G11" s="235" t="inlineStr">
        <is>
          <t xml:space="preserve">m2 </t>
        </is>
      </c>
      <c r="H11" s="235" t="n"/>
      <c r="I11" s="235" t="n"/>
      <c r="J11" s="235" t="n"/>
      <c r="K11" s="238">
        <f>+SUBTOTAL(9,K12:K20)</f>
        <v/>
      </c>
      <c r="L11" s="238">
        <f>+SUBTOTAL(9,L12:L20)</f>
        <v/>
      </c>
      <c r="M11" s="238">
        <f>+SUBTOTAL(9,M12:M20)</f>
        <v/>
      </c>
      <c r="N11" s="238">
        <f>+SUBTOTAL(9,N12:N20)</f>
        <v/>
      </c>
      <c r="O11" s="1136">
        <f>+SUBTOTAL(9,O12:O20)</f>
        <v/>
      </c>
      <c r="P11" s="1137" t="n"/>
      <c r="V11" s="241">
        <f>+C37</f>
        <v/>
      </c>
      <c r="W11" s="241">
        <f>+E37</f>
        <v/>
      </c>
      <c r="X11" s="242">
        <f>+L37</f>
        <v/>
      </c>
      <c r="Y11" s="243">
        <f>+X11/$X$50</f>
        <v/>
      </c>
      <c r="Z11" s="242">
        <f>+X11/$Z$7</f>
        <v/>
      </c>
      <c r="AA11" s="244">
        <f>+AVERAGE(Z8:Z11)</f>
        <v/>
      </c>
    </row>
    <row r="12">
      <c r="A12" s="16" t="n"/>
      <c r="B12" s="1134">
        <f>VALUE(IF(AND(LEN(TRIM(C12))-LEN(SUBSTITUTE(TRIM(C12),".",""))=1,ISNUMBER(VALUE(SUBSTITUTE(TRIM(C12),".","")))),TRIM(C12),B11))</f>
        <v/>
      </c>
      <c r="C12" s="245" t="inlineStr">
        <is>
          <t>M10-0023</t>
        </is>
      </c>
      <c r="D12" s="246" t="n"/>
      <c r="E12" s="247">
        <f>_xlfn.XLOOKUP(C12,'BASE DATOS PRECIOS '!B:B,'BASE DATOS PRECIOS '!E:E)</f>
        <v/>
      </c>
      <c r="F12" s="218">
        <f>ROUNDUP('1_OG y 2_ACA'!D222,0)</f>
        <v/>
      </c>
      <c r="G12" s="248">
        <f>+_xlfn.XLOOKUP(C12,'BASE DATOS PRECIOS '!B:B,'BASE DATOS PRECIOS '!F:F)</f>
        <v/>
      </c>
      <c r="H12" s="249">
        <f>+_xlfn.XLOOKUP(E12,'BASE DATOS PRECIOS '!E:E,'BASE DATOS PRECIOS '!H:H)</f>
        <v/>
      </c>
      <c r="I12" s="250" t="n"/>
      <c r="J12" s="250" t="n"/>
      <c r="K12" s="249">
        <f>+F12*H12</f>
        <v/>
      </c>
      <c r="L12" s="249">
        <f>+F12*I12</f>
        <v/>
      </c>
      <c r="M12" s="249">
        <f>+F12*J12</f>
        <v/>
      </c>
      <c r="N12" s="249">
        <f>SUM(K12:M12)</f>
        <v/>
      </c>
      <c r="O12" s="251">
        <f>SUM(K12:M12)/tc</f>
        <v/>
      </c>
      <c r="V12" s="214">
        <f>+C55</f>
        <v/>
      </c>
      <c r="W12" s="214">
        <f>+E55</f>
        <v/>
      </c>
      <c r="X12" s="215">
        <f>+L55</f>
        <v/>
      </c>
      <c r="Y12" s="216">
        <f>+X12/$X$50</f>
        <v/>
      </c>
      <c r="Z12" s="215">
        <f>+X12/$Z$7</f>
        <v/>
      </c>
    </row>
    <row r="13">
      <c r="A13" s="16" t="n"/>
      <c r="B13" s="1134">
        <f>VALUE(IF(AND(LEN(TRIM(C13))-LEN(SUBSTITUTE(TRIM(C13),".",""))=1,ISNUMBER(VALUE(SUBSTITUTE(TRIM(C13),".","")))),TRIM(C13),B12))</f>
        <v/>
      </c>
      <c r="C13" s="245" t="inlineStr">
        <is>
          <t>M06-0163</t>
        </is>
      </c>
      <c r="D13" s="246" t="n"/>
      <c r="E13" s="252">
        <f>_xlfn.XLOOKUP(C13,'BASE DATOS PRECIOS '!B:B,'BASE DATOS PRECIOS '!E:E)</f>
        <v/>
      </c>
      <c r="F13" s="218">
        <f>+'1_OG y 2_ACA'!D223</f>
        <v/>
      </c>
      <c r="G13" s="248">
        <f>+_xlfn.XLOOKUP(C13,'BASE DATOS PRECIOS '!B:B,'BASE DATOS PRECIOS '!F:F)</f>
        <v/>
      </c>
      <c r="H13" s="249">
        <f>+_xlfn.XLOOKUP(E13,'BASE DATOS PRECIOS '!E:E,'BASE DATOS PRECIOS '!H:H)</f>
        <v/>
      </c>
      <c r="I13" s="250" t="n"/>
      <c r="J13" s="250" t="n"/>
      <c r="K13" s="249">
        <f>+F13*H13</f>
        <v/>
      </c>
      <c r="L13" s="249">
        <f>+F13*I13</f>
        <v/>
      </c>
      <c r="M13" s="249">
        <f>+F13*J13</f>
        <v/>
      </c>
      <c r="N13" s="249">
        <f>SUM(K13:M13)</f>
        <v/>
      </c>
      <c r="O13" s="251">
        <f>SUM(K13:M13)/tc</f>
        <v/>
      </c>
      <c r="V13" s="214">
        <f>+C68</f>
        <v/>
      </c>
      <c r="W13" s="214">
        <f>+E68</f>
        <v/>
      </c>
      <c r="X13" s="215">
        <f>+L68</f>
        <v/>
      </c>
      <c r="Y13" s="216">
        <f>+X13/$X$50</f>
        <v/>
      </c>
      <c r="Z13" s="215">
        <f>+X13/$Z$7</f>
        <v/>
      </c>
    </row>
    <row r="14">
      <c r="A14" s="16" t="n"/>
      <c r="B14" s="1134">
        <f>VALUE(IF(AND(LEN(TRIM(C14))-LEN(SUBSTITUTE(TRIM(C14),".",""))=1,ISNUMBER(VALUE(SUBSTITUTE(TRIM(C14),".","")))),TRIM(C14),B13))</f>
        <v/>
      </c>
      <c r="C14" s="253" t="inlineStr">
        <is>
          <t>M06-0179</t>
        </is>
      </c>
      <c r="D14" s="254" t="n"/>
      <c r="E14" s="252">
        <f>_xlfn.XLOOKUP(C14,'BASE DATOS PRECIOS '!B:B,'BASE DATOS PRECIOS '!E:E)</f>
        <v/>
      </c>
      <c r="F14" s="218">
        <f>+'1_OG y 2_ACA'!D224</f>
        <v/>
      </c>
      <c r="G14" s="255">
        <f>+_xlfn.XLOOKUP(C14,'BASE DATOS PRECIOS '!B:B,'BASE DATOS PRECIOS '!F:F)</f>
        <v/>
      </c>
      <c r="H14" s="256">
        <f>+_xlfn.XLOOKUP(E14,'BASE DATOS PRECIOS '!E:E,'BASE DATOS PRECIOS '!H:H)</f>
        <v/>
      </c>
      <c r="I14" s="257" t="n"/>
      <c r="J14" s="257" t="n"/>
      <c r="K14" s="249">
        <f>+F14*H14</f>
        <v/>
      </c>
      <c r="L14" s="256">
        <f>+F14*I14</f>
        <v/>
      </c>
      <c r="M14" s="256">
        <f>+F14*J14</f>
        <v/>
      </c>
      <c r="N14" s="256">
        <f>SUM(K14:M14)</f>
        <v/>
      </c>
      <c r="O14" s="258">
        <f>SUM(K14:M14)/tc</f>
        <v/>
      </c>
      <c r="V14" s="214">
        <f>+C84</f>
        <v/>
      </c>
      <c r="W14" s="214">
        <f>+E84</f>
        <v/>
      </c>
      <c r="X14" s="215">
        <f>+L84</f>
        <v/>
      </c>
      <c r="Y14" s="216">
        <f>+X14/$X$50</f>
        <v/>
      </c>
      <c r="Z14" s="215">
        <f>+X14/$Z$7</f>
        <v/>
      </c>
    </row>
    <row r="15">
      <c r="A15" s="16" t="n"/>
      <c r="B15" s="1134">
        <f>VALUE(IF(AND(LEN(TRIM(C15))-LEN(SUBSTITUTE(TRIM(C15),".",""))=1,ISNUMBER(VALUE(SUBSTITUTE(TRIM(C15),".","")))),TRIM(C15),B14))</f>
        <v/>
      </c>
      <c r="C15" s="253" t="inlineStr">
        <is>
          <t>M06-0180</t>
        </is>
      </c>
      <c r="D15" s="254" t="n"/>
      <c r="E15" s="252">
        <f>_xlfn.XLOOKUP(C15,'BASE DATOS PRECIOS '!B:B,'BASE DATOS PRECIOS '!E:E)</f>
        <v/>
      </c>
      <c r="F15" s="218">
        <f>+'1_OG y 2_ACA'!D225</f>
        <v/>
      </c>
      <c r="G15" s="255">
        <f>+_xlfn.XLOOKUP(C15,'BASE DATOS PRECIOS '!B:B,'BASE DATOS PRECIOS '!F:F)</f>
        <v/>
      </c>
      <c r="H15" s="256">
        <f>+_xlfn.XLOOKUP(E15,'BASE DATOS PRECIOS '!E:E,'BASE DATOS PRECIOS '!H:H)</f>
        <v/>
      </c>
      <c r="I15" s="257" t="n"/>
      <c r="J15" s="257" t="n"/>
      <c r="K15" s="249">
        <f>+F15*H15</f>
        <v/>
      </c>
      <c r="L15" s="256">
        <f>+F15*I15</f>
        <v/>
      </c>
      <c r="M15" s="256">
        <f>+F15*J15</f>
        <v/>
      </c>
      <c r="N15" s="256">
        <f>SUM(K15:M15)</f>
        <v/>
      </c>
      <c r="O15" s="258">
        <f>SUM(K15:M15)/tc</f>
        <v/>
      </c>
      <c r="V15" s="214">
        <f>+C89</f>
        <v/>
      </c>
      <c r="W15" s="214">
        <f>+E89</f>
        <v/>
      </c>
      <c r="X15" s="215">
        <f>+L89</f>
        <v/>
      </c>
      <c r="Y15" s="216">
        <f>+X15/$X$50</f>
        <v/>
      </c>
      <c r="Z15" s="215">
        <f>+X15/$Z$7</f>
        <v/>
      </c>
    </row>
    <row r="16">
      <c r="A16" s="16" t="n"/>
      <c r="B16" s="1134">
        <f>VALUE(IF(AND(LEN(TRIM(C16))-LEN(SUBSTITUTE(TRIM(C16),".",""))=1,ISNUMBER(VALUE(SUBSTITUTE(TRIM(C16),".","")))),TRIM(C16),B15))</f>
        <v/>
      </c>
      <c r="C16" s="259" t="inlineStr">
        <is>
          <t xml:space="preserve">BACK HOE </t>
        </is>
      </c>
      <c r="D16" s="260" t="n"/>
      <c r="E16" s="261">
        <f>+_xlfn.XLOOKUP(C16,'BASE DATOS EQUIPOS Y SUBCONTRAT'!A:A,'BASE DATOS EQUIPOS Y SUBCONTRAT'!B:B)</f>
        <v/>
      </c>
      <c r="F16" s="262">
        <f>+'1_OG y 2_ACA'!F233</f>
        <v/>
      </c>
      <c r="G16" s="263">
        <f>+_xlfn.XLOOKUP(C16,'BASE DATOS EQUIPOS Y SUBCONTRAT'!A:A,'BASE DATOS EQUIPOS Y SUBCONTRAT'!C:C)</f>
        <v/>
      </c>
      <c r="H16" s="264" t="n">
        <v>0</v>
      </c>
      <c r="I16" s="263" t="n"/>
      <c r="J16" s="264">
        <f>+_xlfn.XLOOKUP(C16,'BASE DATOS EQUIPOS Y SUBCONTRAT'!A:A,'BASE DATOS EQUIPOS Y SUBCONTRAT'!E:E)</f>
        <v/>
      </c>
      <c r="K16" s="264">
        <f>+F16*H16</f>
        <v/>
      </c>
      <c r="L16" s="264">
        <f>+F16*I16</f>
        <v/>
      </c>
      <c r="M16" s="264">
        <f>+F16*J16</f>
        <v/>
      </c>
      <c r="N16" s="264">
        <f>SUM(K16:M16)</f>
        <v/>
      </c>
      <c r="O16" s="265">
        <f>SUM(K16:M16)/tc</f>
        <v/>
      </c>
      <c r="V16" s="241">
        <f>+C101</f>
        <v/>
      </c>
      <c r="W16" s="241">
        <f>+E101</f>
        <v/>
      </c>
      <c r="X16" s="242">
        <f>+L101</f>
        <v/>
      </c>
      <c r="Y16" s="243">
        <f>+X16/$X$50</f>
        <v/>
      </c>
      <c r="Z16" s="242">
        <f>+X16/$Z$7</f>
        <v/>
      </c>
      <c r="AA16" s="244">
        <f>+AVERAGE(Z12:Z16)</f>
        <v/>
      </c>
    </row>
    <row r="17">
      <c r="A17" s="16" t="n"/>
      <c r="B17" s="1134">
        <f>VALUE(IF(AND(LEN(TRIM(C17))-LEN(SUBSTITUTE(TRIM(C17),".",""))=1,ISNUMBER(VALUE(SUBSTITUTE(TRIM(C17),".","")))),TRIM(C17),B16))</f>
        <v/>
      </c>
      <c r="C17" s="259" t="inlineStr">
        <is>
          <t xml:space="preserve">COMPACTADOR </t>
        </is>
      </c>
      <c r="D17" s="260" t="n"/>
      <c r="E17" s="261">
        <f>+_xlfn.XLOOKUP(C17,'BASE DATOS EQUIPOS Y SUBCONTRAT'!A:A,'BASE DATOS EQUIPOS Y SUBCONTRAT'!B:B)</f>
        <v/>
      </c>
      <c r="F17" s="262">
        <f>+'1_OG y 2_ACA'!F234</f>
        <v/>
      </c>
      <c r="G17" s="263">
        <f>+_xlfn.XLOOKUP(C17,'BASE DATOS EQUIPOS Y SUBCONTRAT'!A:A,'BASE DATOS EQUIPOS Y SUBCONTRAT'!C:C)</f>
        <v/>
      </c>
      <c r="H17" s="264" t="n">
        <v>0</v>
      </c>
      <c r="I17" s="263" t="n"/>
      <c r="J17" s="264">
        <f>+_xlfn.XLOOKUP(C17,'BASE DATOS EQUIPOS Y SUBCONTRAT'!A:A,'BASE DATOS EQUIPOS Y SUBCONTRAT'!E:E)</f>
        <v/>
      </c>
      <c r="K17" s="264">
        <f>+F17*H17</f>
        <v/>
      </c>
      <c r="L17" s="264">
        <f>+F17*I17</f>
        <v/>
      </c>
      <c r="M17" s="264">
        <f>+F17*J17</f>
        <v/>
      </c>
      <c r="N17" s="264">
        <f>SUM(K17:M17)</f>
        <v/>
      </c>
      <c r="O17" s="265">
        <f>SUM(K17:M17)/tc</f>
        <v/>
      </c>
      <c r="V17" s="214">
        <f>+C116</f>
        <v/>
      </c>
      <c r="W17" s="214">
        <f>+E116</f>
        <v/>
      </c>
      <c r="X17" s="215">
        <f>+L116</f>
        <v/>
      </c>
      <c r="Y17" s="216">
        <f>+X17/$X$50</f>
        <v/>
      </c>
      <c r="Z17" s="215">
        <f>+X17/$Z$7</f>
        <v/>
      </c>
    </row>
    <row r="18">
      <c r="A18" s="16" t="n"/>
      <c r="B18" s="1134">
        <f>VALUE(IF(AND(LEN(TRIM(C18))-LEN(SUBSTITUTE(TRIM(C18),".",""))=1,ISNUMBER(VALUE(SUBSTITUTE(TRIM(C18),".","")))),TRIM(C18),B17))</f>
        <v/>
      </c>
      <c r="C18" s="259" t="inlineStr">
        <is>
          <t>VAGONETA</t>
        </is>
      </c>
      <c r="D18" s="260" t="n"/>
      <c r="E18" s="261">
        <f>+_xlfn.XLOOKUP(C18,'BASE DATOS EQUIPOS Y SUBCONTRAT'!A:A,'BASE DATOS EQUIPOS Y SUBCONTRAT'!B:B)</f>
        <v/>
      </c>
      <c r="F18" s="262">
        <f>+'1_OG y 2_ACA'!F235</f>
        <v/>
      </c>
      <c r="G18" s="263">
        <f>+_xlfn.XLOOKUP(C18,'BASE DATOS EQUIPOS Y SUBCONTRAT'!A:A,'BASE DATOS EQUIPOS Y SUBCONTRAT'!C:C)</f>
        <v/>
      </c>
      <c r="H18" s="264" t="n"/>
      <c r="I18" s="263" t="n"/>
      <c r="J18" s="264">
        <f>+_xlfn.XLOOKUP(C18,'BASE DATOS EQUIPOS Y SUBCONTRAT'!A:A,'BASE DATOS EQUIPOS Y SUBCONTRAT'!E:E)</f>
        <v/>
      </c>
      <c r="K18" s="264">
        <f>+F18*H18</f>
        <v/>
      </c>
      <c r="L18" s="264">
        <f>+F18*I18</f>
        <v/>
      </c>
      <c r="M18" s="264">
        <f>+F18*J18</f>
        <v/>
      </c>
      <c r="N18" s="264">
        <f>SUM(K18:M18)</f>
        <v/>
      </c>
      <c r="O18" s="265">
        <f>SUM(K18:M18)/tc</f>
        <v/>
      </c>
      <c r="V18" s="214">
        <f>+C144</f>
        <v/>
      </c>
      <c r="W18" s="214">
        <f>+E144</f>
        <v/>
      </c>
      <c r="X18" s="215">
        <f>+L144</f>
        <v/>
      </c>
      <c r="Y18" s="216">
        <f>+X18/$X$50</f>
        <v/>
      </c>
      <c r="Z18" s="215">
        <f>+X18/$Z$7</f>
        <v/>
      </c>
    </row>
    <row r="19">
      <c r="A19" s="266" t="inlineStr">
        <is>
          <t>Losa Flotante (Formaleta trazo)</t>
        </is>
      </c>
      <c r="B19" s="1134">
        <f>VALUE(IF(AND(LEN(TRIM(C19))-LEN(SUBSTITUTE(TRIM(C19),".",""))=1,ISNUMBER(VALUE(SUBSTITUTE(TRIM(C19),".","")))),TRIM(C19),B18))</f>
        <v/>
      </c>
      <c r="C19" s="267" t="inlineStr">
        <is>
          <t xml:space="preserve">OPERARIO </t>
        </is>
      </c>
      <c r="D19" s="268" t="n"/>
      <c r="E19" s="269">
        <f>+_xlfn.XLOOKUP(C19,'BASE DATOS MANO DE OBRA'!A:A,'BASE DATOS MANO DE OBRA'!B:B)</f>
        <v/>
      </c>
      <c r="F19" s="270">
        <f>ROUND('1_OG y 2_ACA'!F230,0)/2</f>
        <v/>
      </c>
      <c r="G19" s="271">
        <f>+_xlfn.XLOOKUP(C19,'BASE DATOS MANO DE OBRA'!A:A,'BASE DATOS MANO DE OBRA'!C:C)</f>
        <v/>
      </c>
      <c r="H19" s="272" t="n">
        <v>0</v>
      </c>
      <c r="I19" s="272">
        <f>+_xlfn.XLOOKUP(C19,'BASE DATOS MANO DE OBRA'!A:A,'BASE DATOS MANO DE OBRA'!E:E)</f>
        <v/>
      </c>
      <c r="J19" s="272" t="n">
        <v>0</v>
      </c>
      <c r="K19" s="272">
        <f>+F19*H19</f>
        <v/>
      </c>
      <c r="L19" s="272">
        <f>+F19*I19</f>
        <v/>
      </c>
      <c r="M19" s="272">
        <f>+F19*J19</f>
        <v/>
      </c>
      <c r="N19" s="272">
        <f>SUM(K19:M19)</f>
        <v/>
      </c>
      <c r="O19" s="273">
        <f>SUM(K19:M19)/tc</f>
        <v/>
      </c>
      <c r="V19" s="214">
        <f>+C168</f>
        <v/>
      </c>
      <c r="W19" s="214">
        <f>+E168</f>
        <v/>
      </c>
      <c r="X19" s="215">
        <f>+L168</f>
        <v/>
      </c>
      <c r="Y19" s="216">
        <f>+X19/$X$50</f>
        <v/>
      </c>
      <c r="Z19" s="215">
        <f>+X19/$Z$7</f>
        <v/>
      </c>
    </row>
    <row r="20">
      <c r="A20" s="266" t="inlineStr">
        <is>
          <t>Losa Flotante (Formaleta trazo)</t>
        </is>
      </c>
      <c r="B20" s="1134">
        <f>VALUE(IF(AND(LEN(TRIM(C20))-LEN(SUBSTITUTE(TRIM(C20),".",""))=1,ISNUMBER(VALUE(SUBSTITUTE(TRIM(C20),".","")))),TRIM(C20),B19))</f>
        <v/>
      </c>
      <c r="C20" s="267" t="inlineStr">
        <is>
          <t xml:space="preserve">AYUDANTE </t>
        </is>
      </c>
      <c r="D20" s="268" t="n"/>
      <c r="E20" s="269">
        <f>+_xlfn.XLOOKUP(C20,'BASE DATOS MANO DE OBRA'!A:A,'BASE DATOS MANO DE OBRA'!B:B)</f>
        <v/>
      </c>
      <c r="F20" s="270">
        <f>+F19</f>
        <v/>
      </c>
      <c r="G20" s="271">
        <f>+_xlfn.XLOOKUP(C20,'BASE DATOS MANO DE OBRA'!A:A,'BASE DATOS MANO DE OBRA'!C:C)</f>
        <v/>
      </c>
      <c r="H20" s="272" t="n">
        <v>0</v>
      </c>
      <c r="I20" s="272">
        <f>+_xlfn.XLOOKUP(C20,'BASE DATOS MANO DE OBRA'!A:A,'BASE DATOS MANO DE OBRA'!E:E)</f>
        <v/>
      </c>
      <c r="J20" s="272" t="n">
        <v>0</v>
      </c>
      <c r="K20" s="272">
        <f>+F20*H20</f>
        <v/>
      </c>
      <c r="L20" s="272">
        <f>+F20*I20</f>
        <v/>
      </c>
      <c r="M20" s="272">
        <f>+F20*J20</f>
        <v/>
      </c>
      <c r="N20" s="272">
        <f>SUM(K20:M20)</f>
        <v/>
      </c>
      <c r="O20" s="273">
        <f>SUM(K20:M20)/tc</f>
        <v/>
      </c>
      <c r="V20" s="214">
        <f>+C175</f>
        <v/>
      </c>
      <c r="W20" s="214">
        <f>+E175</f>
        <v/>
      </c>
      <c r="X20" s="215">
        <f>+L175</f>
        <v/>
      </c>
      <c r="Y20" s="216">
        <f>+X20/$X$50</f>
        <v/>
      </c>
      <c r="Z20" s="215">
        <f>+X20/$Z$7</f>
        <v/>
      </c>
      <c r="AA20" s="232" t="n"/>
    </row>
    <row r="21">
      <c r="A21" s="233" t="n"/>
      <c r="B21" s="1134">
        <f>VALUE(IF(AND(LEN(TRIM(C21))-LEN(SUBSTITUTE(TRIM(C21),".",""))=1,ISNUMBER(VALUE(SUBSTITUTE(TRIM(C21),".","")))),TRIM(C21),B20))</f>
        <v/>
      </c>
      <c r="C21" s="234" t="inlineStr">
        <is>
          <t>1.1.2</t>
        </is>
      </c>
      <c r="D21" s="235" t="n"/>
      <c r="E21" s="236" t="inlineStr">
        <is>
          <t>EXCAVACIÓN</t>
        </is>
      </c>
      <c r="F21" s="237">
        <f>+'1_OG y 2_ACA'!D219</f>
        <v/>
      </c>
      <c r="G21" s="235" t="inlineStr">
        <is>
          <t xml:space="preserve">m2 </t>
        </is>
      </c>
      <c r="H21" s="235" t="n"/>
      <c r="I21" s="235" t="n"/>
      <c r="J21" s="235" t="n"/>
      <c r="K21" s="238">
        <f>+SUBTOTAL(9,K22:K27)</f>
        <v/>
      </c>
      <c r="L21" s="238">
        <f>+SUBTOTAL(9,L22:L27)</f>
        <v/>
      </c>
      <c r="M21" s="238">
        <f>+SUBTOTAL(9,M22:M27)</f>
        <v/>
      </c>
      <c r="N21" s="238">
        <f>+SUBTOTAL(9,N22:N27)</f>
        <v/>
      </c>
      <c r="O21" s="1136">
        <f>+SUBTOTAL(9,O22:O27)</f>
        <v/>
      </c>
      <c r="P21" s="1137" t="n"/>
      <c r="V21" s="214">
        <f>+C187</f>
        <v/>
      </c>
      <c r="W21" s="214">
        <f>+E187</f>
        <v/>
      </c>
      <c r="X21" s="215">
        <f>+L187</f>
        <v/>
      </c>
      <c r="Y21" s="216">
        <f>+X21/$X$50</f>
        <v/>
      </c>
      <c r="Z21" s="215">
        <f>+X21/$Z$7</f>
        <v/>
      </c>
      <c r="AA21" s="217" t="n"/>
    </row>
    <row r="22">
      <c r="A22" s="16" t="n"/>
      <c r="B22" s="1134">
        <f>VALUE(IF(AND(LEN(TRIM(C22))-LEN(SUBSTITUTE(TRIM(C22),".",""))=1,ISNUMBER(VALUE(SUBSTITUTE(TRIM(C22),".","")))),TRIM(C22),B21))</f>
        <v/>
      </c>
      <c r="C22" s="274" t="inlineStr">
        <is>
          <t>M10-0010</t>
        </is>
      </c>
      <c r="D22" s="275" t="n"/>
      <c r="E22" s="252">
        <f>+_xlfn.XLOOKUP(C22,'BASE DATOS PRECIOS '!B:B,'BASE DATOS PRECIOS '!E:E)</f>
        <v/>
      </c>
      <c r="F22" s="276">
        <f>+'1_OG y 2_ACA'!D241</f>
        <v/>
      </c>
      <c r="G22" s="250">
        <f>+_xlfn.XLOOKUP(C22,'BASE DATOS PRECIOS '!B:B,'BASE DATOS PRECIOS '!F:F)</f>
        <v/>
      </c>
      <c r="H22" s="249">
        <f>+_xlfn.XLOOKUP(E22,'BASE DATOS PRECIOS '!E:E,'BASE DATOS PRECIOS '!H:H)</f>
        <v/>
      </c>
      <c r="I22" s="250" t="n"/>
      <c r="J22" s="250" t="n"/>
      <c r="K22" s="249">
        <f>+F22*H22</f>
        <v/>
      </c>
      <c r="L22" s="249">
        <f>+F22*I22</f>
        <v/>
      </c>
      <c r="M22" s="249">
        <f>+F22*J22</f>
        <v/>
      </c>
      <c r="N22" s="249">
        <f>SUM(K22:M22)</f>
        <v/>
      </c>
      <c r="O22" s="251">
        <f>SUM(K22:M22)/tc</f>
        <v/>
      </c>
      <c r="P22" s="277" t="n"/>
      <c r="V22" s="214">
        <f>+C213</f>
        <v/>
      </c>
      <c r="W22" s="214">
        <f>+E213</f>
        <v/>
      </c>
      <c r="X22" s="215">
        <f>+L213</f>
        <v/>
      </c>
      <c r="Y22" s="216">
        <f>+X22/$X$50</f>
        <v/>
      </c>
      <c r="Z22" s="215">
        <f>+X22/$Z$7</f>
        <v/>
      </c>
    </row>
    <row r="23">
      <c r="A23" s="16" t="n"/>
      <c r="B23" s="1134">
        <f>VALUE(IF(AND(LEN(TRIM(C23))-LEN(SUBSTITUTE(TRIM(C23),".",""))=1,ISNUMBER(VALUE(SUBSTITUTE(TRIM(C23),".","")))),TRIM(C23),B22))</f>
        <v/>
      </c>
      <c r="C23" s="274" t="inlineStr">
        <is>
          <t>M06-0231</t>
        </is>
      </c>
      <c r="D23" s="275" t="n"/>
      <c r="E23" s="252">
        <f>+_xlfn.XLOOKUP(C23,'BASE DATOS PRECIOS '!B:B,'BASE DATOS PRECIOS '!E:E)</f>
        <v/>
      </c>
      <c r="F23" s="276">
        <f>+'1_OG y 2_ACA'!D242</f>
        <v/>
      </c>
      <c r="G23" s="250">
        <f>+_xlfn.XLOOKUP(C23,'BASE DATOS PRECIOS '!B:B,'BASE DATOS PRECIOS '!F:F)</f>
        <v/>
      </c>
      <c r="H23" s="249">
        <f>+_xlfn.XLOOKUP(E23,'BASE DATOS PRECIOS '!E:E,'BASE DATOS PRECIOS '!H:H)</f>
        <v/>
      </c>
      <c r="I23" s="250" t="n"/>
      <c r="J23" s="250" t="n"/>
      <c r="K23" s="249">
        <f>+F23*H23</f>
        <v/>
      </c>
      <c r="L23" s="249">
        <f>+F23*I23</f>
        <v/>
      </c>
      <c r="M23" s="249">
        <f>+F23*J23</f>
        <v/>
      </c>
      <c r="N23" s="249">
        <f>SUM(K23:M23)</f>
        <v/>
      </c>
      <c r="O23" s="251">
        <f>SUM(K23:M23)/tc</f>
        <v/>
      </c>
      <c r="P23" s="277" t="n"/>
      <c r="V23" s="278">
        <f>+C229</f>
        <v/>
      </c>
      <c r="W23" s="279">
        <f>+E229</f>
        <v/>
      </c>
      <c r="X23" s="279">
        <f>+L229</f>
        <v/>
      </c>
      <c r="Y23" s="243">
        <f>+X23/$X$50</f>
        <v/>
      </c>
      <c r="Z23" s="242">
        <f>+X23/$Z$7</f>
        <v/>
      </c>
      <c r="AA23" s="244">
        <f>+AVERAGE(Z17:Z23)</f>
        <v/>
      </c>
    </row>
    <row r="24">
      <c r="A24" s="16" t="n"/>
      <c r="B24" s="1134">
        <f>VALUE(IF(AND(LEN(TRIM(C24))-LEN(SUBSTITUTE(TRIM(C24),".",""))=1,ISNUMBER(VALUE(SUBSTITUTE(TRIM(C24),".","")))),TRIM(C24),B23))</f>
        <v/>
      </c>
      <c r="C24" s="274" t="inlineStr">
        <is>
          <t>M06-0180</t>
        </is>
      </c>
      <c r="D24" s="275" t="n"/>
      <c r="E24" s="252">
        <f>+_xlfn.XLOOKUP(C24,'BASE DATOS PRECIOS '!B:B,'BASE DATOS PRECIOS '!E:E)</f>
        <v/>
      </c>
      <c r="F24" s="276">
        <f>+'1_OG y 2_ACA'!D243</f>
        <v/>
      </c>
      <c r="G24" s="250">
        <f>+_xlfn.XLOOKUP(C24,'BASE DATOS PRECIOS '!B:B,'BASE DATOS PRECIOS '!F:F)</f>
        <v/>
      </c>
      <c r="H24" s="249">
        <f>+_xlfn.XLOOKUP(E24,'BASE DATOS PRECIOS '!E:E,'BASE DATOS PRECIOS '!H:H)</f>
        <v/>
      </c>
      <c r="I24" s="250" t="n"/>
      <c r="J24" s="250" t="n"/>
      <c r="K24" s="249">
        <f>+F24*H24</f>
        <v/>
      </c>
      <c r="L24" s="249">
        <f>+F24*I24</f>
        <v/>
      </c>
      <c r="M24" s="249">
        <f>+F24*J24</f>
        <v/>
      </c>
      <c r="N24" s="249">
        <f>SUM(K24:M24)</f>
        <v/>
      </c>
      <c r="O24" s="251">
        <f>SUM(K24:M24)/tc</f>
        <v/>
      </c>
      <c r="P24" s="277" t="n"/>
      <c r="V24" s="280">
        <f>+C237</f>
        <v/>
      </c>
      <c r="W24" s="280">
        <f>+E237</f>
        <v/>
      </c>
      <c r="X24" s="281">
        <f>+L237</f>
        <v/>
      </c>
      <c r="Y24" s="282">
        <f>+X24/$X$50</f>
        <v/>
      </c>
      <c r="Z24" s="281">
        <f>+X24/$Z$7</f>
        <v/>
      </c>
      <c r="AA24" s="283" t="n"/>
    </row>
    <row r="25">
      <c r="A25" s="16" t="n"/>
      <c r="B25" s="1134">
        <f>VALUE(IF(AND(LEN(TRIM(C25))-LEN(SUBSTITUTE(TRIM(C25),".",""))=1,ISNUMBER(VALUE(SUBSTITUTE(TRIM(C25),".","")))),TRIM(C25),B24))</f>
        <v/>
      </c>
      <c r="C25" s="274" t="inlineStr">
        <is>
          <t>M06-0123</t>
        </is>
      </c>
      <c r="D25" s="275" t="n"/>
      <c r="E25" s="252">
        <f>+_xlfn.XLOOKUP(C25,'BASE DATOS PRECIOS '!B:B,'BASE DATOS PRECIOS '!E:E)</f>
        <v/>
      </c>
      <c r="F25" s="276">
        <f>+'1_OG y 2_ACA'!D244</f>
        <v/>
      </c>
      <c r="G25" s="250">
        <f>+_xlfn.XLOOKUP(C25,'BASE DATOS PRECIOS '!B:B,'BASE DATOS PRECIOS '!F:F)</f>
        <v/>
      </c>
      <c r="H25" s="249">
        <f>+_xlfn.XLOOKUP(E25,'BASE DATOS PRECIOS '!E:E,'BASE DATOS PRECIOS '!H:H)</f>
        <v/>
      </c>
      <c r="I25" s="250" t="n"/>
      <c r="J25" s="250" t="n"/>
      <c r="K25" s="249">
        <f>+F25*H25</f>
        <v/>
      </c>
      <c r="L25" s="249">
        <f>+F25*I25</f>
        <v/>
      </c>
      <c r="M25" s="249">
        <f>+F25*J25</f>
        <v/>
      </c>
      <c r="N25" s="249">
        <f>SUM(K25:M25)</f>
        <v/>
      </c>
      <c r="O25" s="251">
        <f>SUM(K25:M25)/tc</f>
        <v/>
      </c>
      <c r="P25" s="277" t="n"/>
      <c r="V25" s="241">
        <f>+C248</f>
        <v/>
      </c>
      <c r="W25" s="241">
        <f>+E248</f>
        <v/>
      </c>
      <c r="X25" s="242">
        <f>+L248</f>
        <v/>
      </c>
      <c r="Y25" s="243">
        <f>+X25/$X$50</f>
        <v/>
      </c>
      <c r="Z25" s="242">
        <f>+X25/$Z$7</f>
        <v/>
      </c>
      <c r="AA25" s="244">
        <f>+AVERAGE(Z24:Z25)</f>
        <v/>
      </c>
    </row>
    <row r="26">
      <c r="A26" s="266" t="inlineStr">
        <is>
          <t>Losa Flotante (Formaleta trazo)</t>
        </is>
      </c>
      <c r="B26" s="1134">
        <f>VALUE(IF(AND(LEN(TRIM(C26))-LEN(SUBSTITUTE(TRIM(C26),".",""))=1,ISNUMBER(VALUE(SUBSTITUTE(TRIM(C26),".","")))),TRIM(C26),B25))</f>
        <v/>
      </c>
      <c r="C26" s="267" t="inlineStr">
        <is>
          <t xml:space="preserve">OPERARIO </t>
        </is>
      </c>
      <c r="D26" s="268" t="n"/>
      <c r="E26" s="269">
        <f>+_xlfn.XLOOKUP(C26,'BASE DATOS MANO DE OBRA'!A:A,'BASE DATOS MANO DE OBRA'!B:B)</f>
        <v/>
      </c>
      <c r="F26" s="270">
        <f>ROUND('1_OG y 2_ACA'!F248,0)/2</f>
        <v/>
      </c>
      <c r="G26" s="271">
        <f>+_xlfn.XLOOKUP(C26,'BASE DATOS MANO DE OBRA'!A:A,'BASE DATOS MANO DE OBRA'!C:C)</f>
        <v/>
      </c>
      <c r="H26" s="272" t="n">
        <v>0</v>
      </c>
      <c r="I26" s="272">
        <f>+_xlfn.XLOOKUP(C26,'BASE DATOS MANO DE OBRA'!A:A,'BASE DATOS MANO DE OBRA'!E:E)</f>
        <v/>
      </c>
      <c r="J26" s="272" t="n">
        <v>0</v>
      </c>
      <c r="K26" s="272">
        <f>+F26*H26</f>
        <v/>
      </c>
      <c r="L26" s="272">
        <f>+F26*I26</f>
        <v/>
      </c>
      <c r="M26" s="272">
        <f>+F26*J26</f>
        <v/>
      </c>
      <c r="N26" s="272">
        <f>SUM(K26:M26)</f>
        <v/>
      </c>
      <c r="O26" s="273">
        <f>SUM(K26:M26)/tc</f>
        <v/>
      </c>
      <c r="P26" s="277" t="n"/>
      <c r="V26" s="214">
        <f>+C254</f>
        <v/>
      </c>
      <c r="W26" s="214">
        <f>+E254</f>
        <v/>
      </c>
      <c r="X26" s="215">
        <f>+L254</f>
        <v/>
      </c>
      <c r="Y26" s="216">
        <f>+X26/$X$50</f>
        <v/>
      </c>
      <c r="Z26" s="215">
        <f>+X26/$Z$7</f>
        <v/>
      </c>
    </row>
    <row r="27">
      <c r="A27" s="266" t="inlineStr">
        <is>
          <t>Losa Flotante (Formaleta trazo)</t>
        </is>
      </c>
      <c r="B27" s="1134">
        <f>VALUE(IF(AND(LEN(TRIM(C27))-LEN(SUBSTITUTE(TRIM(C27),".",""))=1,ISNUMBER(VALUE(SUBSTITUTE(TRIM(C27),".","")))),TRIM(C27),B26))</f>
        <v/>
      </c>
      <c r="C27" s="267" t="inlineStr">
        <is>
          <t xml:space="preserve">AYUDANTE </t>
        </is>
      </c>
      <c r="D27" s="268" t="n"/>
      <c r="E27" s="269">
        <f>+_xlfn.XLOOKUP(C27,'BASE DATOS MANO DE OBRA'!A:A,'BASE DATOS MANO DE OBRA'!B:B)</f>
        <v/>
      </c>
      <c r="F27" s="270">
        <f>+F26</f>
        <v/>
      </c>
      <c r="G27" s="271">
        <f>+_xlfn.XLOOKUP(C27,'BASE DATOS MANO DE OBRA'!A:A,'BASE DATOS MANO DE OBRA'!C:C)</f>
        <v/>
      </c>
      <c r="H27" s="272" t="n">
        <v>0</v>
      </c>
      <c r="I27" s="272">
        <f>+_xlfn.XLOOKUP(C27,'BASE DATOS MANO DE OBRA'!A:A,'BASE DATOS MANO DE OBRA'!E:E)</f>
        <v/>
      </c>
      <c r="J27" s="272" t="n">
        <v>0</v>
      </c>
      <c r="K27" s="272">
        <f>+F27*H27</f>
        <v/>
      </c>
      <c r="L27" s="272">
        <f>+F27*I27</f>
        <v/>
      </c>
      <c r="M27" s="272">
        <f>+F27*J27</f>
        <v/>
      </c>
      <c r="N27" s="272">
        <f>SUM(K27:M27)</f>
        <v/>
      </c>
      <c r="O27" s="273">
        <f>SUM(K27:M27)/tc</f>
        <v/>
      </c>
      <c r="P27" s="277" t="n"/>
      <c r="V27" s="214">
        <f>+C269</f>
        <v/>
      </c>
      <c r="W27" s="214">
        <f>+E269</f>
        <v/>
      </c>
      <c r="X27" s="215">
        <f>+L269</f>
        <v/>
      </c>
      <c r="Y27" s="216">
        <f>+X27/$X$50</f>
        <v/>
      </c>
      <c r="Z27" s="215">
        <f>+X27/$Z$7</f>
        <v/>
      </c>
      <c r="AA27" s="232" t="n"/>
    </row>
    <row r="28">
      <c r="A28" s="233" t="n"/>
      <c r="B28" s="1134">
        <f>VALUE(IF(AND(LEN(TRIM(C28))-LEN(SUBSTITUTE(TRIM(C28),".",""))=1,ISNUMBER(VALUE(SUBSTITUTE(TRIM(C28),".","")))),TRIM(C28),B27))</f>
        <v/>
      </c>
      <c r="C28" s="234" t="inlineStr">
        <is>
          <t>1.1.3</t>
        </is>
      </c>
      <c r="D28" s="235" t="n"/>
      <c r="E28" s="236" t="inlineStr">
        <is>
          <t xml:space="preserve">SELLO DE CONCRETO </t>
        </is>
      </c>
      <c r="F28" s="237">
        <f>+'1_OG y 2_ACA'!D253</f>
        <v/>
      </c>
      <c r="G28" s="235" t="inlineStr">
        <is>
          <t xml:space="preserve">m2 </t>
        </is>
      </c>
      <c r="H28" s="235" t="n"/>
      <c r="I28" s="235" t="n"/>
      <c r="J28" s="235" t="n"/>
      <c r="K28" s="238">
        <f>+SUBTOTAL(9,K29:K36)</f>
        <v/>
      </c>
      <c r="L28" s="238">
        <f>+SUBTOTAL(9,L29:L36)</f>
        <v/>
      </c>
      <c r="M28" s="238">
        <f>+SUBTOTAL(9,M29:M36)</f>
        <v/>
      </c>
      <c r="N28" s="238">
        <f>+SUBTOTAL(9,N29:N36)</f>
        <v/>
      </c>
      <c r="O28" s="1136">
        <f>+SUBTOTAL(9,O29:O36)</f>
        <v/>
      </c>
      <c r="P28" s="1137" t="n"/>
      <c r="V28" s="214">
        <f>+C282</f>
        <v/>
      </c>
      <c r="W28" s="214">
        <f>+E282</f>
        <v/>
      </c>
      <c r="X28" s="215">
        <f>+L282</f>
        <v/>
      </c>
      <c r="Y28" s="216">
        <f>+X28/$X$50</f>
        <v/>
      </c>
      <c r="Z28" s="215">
        <f>+X28/$Z$7</f>
        <v/>
      </c>
      <c r="AA28" s="217" t="n"/>
    </row>
    <row r="29">
      <c r="A29" s="284" t="n"/>
      <c r="B29" s="1134">
        <f>VALUE(IF(AND(LEN(TRIM(C29))-LEN(SUBSTITUTE(TRIM(C29),".",""))=1,ISNUMBER(VALUE(SUBSTITUTE(TRIM(C29),".","")))),TRIM(C29),B28))</f>
        <v/>
      </c>
      <c r="C29" s="285" t="n"/>
      <c r="D29" s="286" t="n"/>
      <c r="E29" s="287" t="inlineStr">
        <is>
          <t xml:space="preserve">CONCRETO </t>
        </is>
      </c>
      <c r="F29" s="288" t="n"/>
      <c r="G29" s="289" t="n"/>
      <c r="H29" s="289" t="n"/>
      <c r="I29" s="289" t="n"/>
      <c r="J29" s="289" t="n"/>
      <c r="K29" s="290" t="n"/>
      <c r="L29" s="290" t="n"/>
      <c r="M29" s="290" t="n"/>
      <c r="N29" s="290" t="n"/>
      <c r="O29" s="291" t="n"/>
      <c r="P29" s="277" t="n"/>
      <c r="V29" s="214">
        <f>+C299</f>
        <v/>
      </c>
      <c r="W29" s="214">
        <f>+E299</f>
        <v/>
      </c>
      <c r="X29" s="215">
        <f>+L299</f>
        <v/>
      </c>
      <c r="Y29" s="216">
        <f>+X29/$X$50</f>
        <v/>
      </c>
      <c r="Z29" s="215">
        <f>+X29/$Z$7</f>
        <v/>
      </c>
    </row>
    <row r="30">
      <c r="A30" s="16" t="n"/>
      <c r="B30" s="1134">
        <f>VALUE(IF(AND(LEN(TRIM(C30))-LEN(SUBSTITUTE(TRIM(C30),".",""))=1,ISNUMBER(VALUE(SUBSTITUTE(TRIM(C30),".","")))),TRIM(C30),B29))</f>
        <v/>
      </c>
      <c r="C30" s="16" t="inlineStr">
        <is>
          <t>M01-0067</t>
        </is>
      </c>
      <c r="D30" s="292" t="n"/>
      <c r="E30" s="247">
        <f>+_xlfn.XLOOKUP(C30,'BASE DATOS PRECIOS '!B:B,'BASE DATOS PRECIOS '!E:E)</f>
        <v/>
      </c>
      <c r="F30" s="218">
        <f>+'1_OG y 2_ACA'!D261</f>
        <v/>
      </c>
      <c r="G30" s="250">
        <f>+_xlfn.XLOOKUP(C30,'BASE DATOS PRECIOS '!B:B,'BASE DATOS PRECIOS '!F:F)</f>
        <v/>
      </c>
      <c r="H30" s="249">
        <f>+_xlfn.XLOOKUP(E30,'BASE DATOS PRECIOS '!E:E,'BASE DATOS PRECIOS '!H:H)</f>
        <v/>
      </c>
      <c r="I30" s="250" t="n"/>
      <c r="J30" s="250" t="n"/>
      <c r="K30" s="249">
        <f>+F30*H30</f>
        <v/>
      </c>
      <c r="L30" s="249">
        <f>+F30*I30</f>
        <v/>
      </c>
      <c r="M30" s="249">
        <f>+F30*J30</f>
        <v/>
      </c>
      <c r="N30" s="249">
        <f>SUM(K30:M30)</f>
        <v/>
      </c>
      <c r="O30" s="251">
        <f>SUM(K30:M30)/tc</f>
        <v/>
      </c>
      <c r="P30" s="277" t="n"/>
      <c r="V30" s="280">
        <f>+C395</f>
        <v/>
      </c>
      <c r="W30" s="280">
        <f>+E395</f>
        <v/>
      </c>
      <c r="X30" s="281">
        <f>+L395</f>
        <v/>
      </c>
      <c r="Y30" s="282">
        <f>+X30/$X$50</f>
        <v/>
      </c>
      <c r="Z30" s="281">
        <f>+X30/$Z$7</f>
        <v/>
      </c>
      <c r="AA30" s="283" t="n"/>
    </row>
    <row r="31">
      <c r="A31" s="16" t="n"/>
      <c r="B31" s="1134">
        <f>VALUE(IF(AND(LEN(TRIM(C31))-LEN(SUBSTITUTE(TRIM(C31),".",""))=1,ISNUMBER(VALUE(SUBSTITUTE(TRIM(C31),".","")))),TRIM(C31),B30))</f>
        <v/>
      </c>
      <c r="C31" s="16" t="inlineStr">
        <is>
          <t>M01-0148</t>
        </is>
      </c>
      <c r="D31" s="292" t="n"/>
      <c r="E31" s="247">
        <f>+_xlfn.XLOOKUP(C31,'BASE DATOS PRECIOS '!B:B,'BASE DATOS PRECIOS '!E:E)</f>
        <v/>
      </c>
      <c r="F31" s="218">
        <f>+'1_OG y 2_ACA'!D262</f>
        <v/>
      </c>
      <c r="G31" s="250">
        <f>+_xlfn.XLOOKUP(C31,'BASE DATOS PRECIOS '!B:B,'BASE DATOS PRECIOS '!F:F)</f>
        <v/>
      </c>
      <c r="H31" s="249">
        <f>+_xlfn.XLOOKUP(E31,'BASE DATOS PRECIOS '!E:E,'BASE DATOS PRECIOS '!H:H)</f>
        <v/>
      </c>
      <c r="I31" s="250" t="n"/>
      <c r="J31" s="250" t="n"/>
      <c r="K31" s="249">
        <f>+F31*H31</f>
        <v/>
      </c>
      <c r="L31" s="249">
        <f>+F31*I31</f>
        <v/>
      </c>
      <c r="M31" s="249">
        <f>+F31*J31</f>
        <v/>
      </c>
      <c r="N31" s="249">
        <f>SUM(K31:M31)</f>
        <v/>
      </c>
      <c r="O31" s="251">
        <f>SUM(K31:M31)/tc</f>
        <v/>
      </c>
      <c r="P31" s="277" t="n"/>
      <c r="V31" s="241">
        <f>+C399</f>
        <v/>
      </c>
      <c r="W31" s="241">
        <f>+E399</f>
        <v/>
      </c>
      <c r="X31" s="242">
        <f>+L399</f>
        <v/>
      </c>
      <c r="Y31" s="243">
        <f>+X31/$X$50</f>
        <v/>
      </c>
      <c r="Z31" s="242">
        <f>+X31/$Z$7</f>
        <v/>
      </c>
      <c r="AA31" s="244">
        <f>+AVERAGE(Z30:Z31)</f>
        <v/>
      </c>
    </row>
    <row r="32">
      <c r="A32" s="16" t="n"/>
      <c r="B32" s="1134">
        <f>VALUE(IF(AND(LEN(TRIM(C32))-LEN(SUBSTITUTE(TRIM(C32),".",""))=1,ISNUMBER(VALUE(SUBSTITUTE(TRIM(C32),".","")))),TRIM(C32),B31))</f>
        <v/>
      </c>
      <c r="C32" s="16" t="inlineStr">
        <is>
          <t>M06-0180</t>
        </is>
      </c>
      <c r="D32" s="292" t="n"/>
      <c r="E32" s="247">
        <f>+_xlfn.XLOOKUP(C32,'BASE DATOS PRECIOS '!B:B,'BASE DATOS PRECIOS '!E:E)</f>
        <v/>
      </c>
      <c r="F32" s="218">
        <f>+'1_OG y 2_ACA'!D263</f>
        <v/>
      </c>
      <c r="G32" s="250">
        <f>+_xlfn.XLOOKUP(C32,'BASE DATOS PRECIOS '!B:B,'BASE DATOS PRECIOS '!F:F)</f>
        <v/>
      </c>
      <c r="H32" s="249">
        <f>+_xlfn.XLOOKUP(E32,'BASE DATOS PRECIOS '!E:E,'BASE DATOS PRECIOS '!H:H)</f>
        <v/>
      </c>
      <c r="I32" s="250" t="n"/>
      <c r="J32" s="250" t="n"/>
      <c r="K32" s="249">
        <f>+F32*H32</f>
        <v/>
      </c>
      <c r="L32" s="249">
        <f>+F32*I32</f>
        <v/>
      </c>
      <c r="M32" s="249">
        <f>+F32*J32</f>
        <v/>
      </c>
      <c r="N32" s="249">
        <f>SUM(K32:M32)</f>
        <v/>
      </c>
      <c r="O32" s="251">
        <f>SUM(K32:M32)/tc</f>
        <v/>
      </c>
      <c r="P32" s="277" t="n"/>
      <c r="V32" s="293">
        <f>+C407</f>
        <v/>
      </c>
      <c r="W32" s="293">
        <f>+E407</f>
        <v/>
      </c>
      <c r="X32" s="294">
        <f>+L407</f>
        <v/>
      </c>
      <c r="Y32" s="295">
        <f>+X32/$X$50</f>
        <v/>
      </c>
      <c r="Z32" s="294">
        <f>+X32/$Z$7</f>
        <v/>
      </c>
      <c r="AA32" s="244">
        <f>+AVERAGE(Z32)</f>
        <v/>
      </c>
    </row>
    <row r="33">
      <c r="A33" s="16" t="n"/>
      <c r="B33" s="1134">
        <f>VALUE(IF(AND(LEN(TRIM(C33))-LEN(SUBSTITUTE(TRIM(C33),".",""))=1,ISNUMBER(VALUE(SUBSTITUTE(TRIM(C33),".","")))),TRIM(C33),B32))</f>
        <v/>
      </c>
      <c r="C33" s="16" t="inlineStr">
        <is>
          <t>M09-0042</t>
        </is>
      </c>
      <c r="D33" s="292" t="n"/>
      <c r="E33" s="247">
        <f>+_xlfn.XLOOKUP(C33,'BASE DATOS PRECIOS '!B:B,'BASE DATOS PRECIOS '!E:E)</f>
        <v/>
      </c>
      <c r="F33" s="218">
        <f>+'1_OG y 2_ACA'!D264</f>
        <v/>
      </c>
      <c r="G33" s="250">
        <f>+_xlfn.XLOOKUP(C33,'BASE DATOS PRECIOS '!B:B,'BASE DATOS PRECIOS '!F:F)</f>
        <v/>
      </c>
      <c r="H33" s="249">
        <f>+_xlfn.XLOOKUP(E33,'BASE DATOS PRECIOS '!E:E,'BASE DATOS PRECIOS '!H:H)</f>
        <v/>
      </c>
      <c r="I33" s="250" t="n"/>
      <c r="J33" s="250" t="n"/>
      <c r="K33" s="249">
        <f>+F33*H33</f>
        <v/>
      </c>
      <c r="L33" s="249">
        <f>+F33*I33</f>
        <v/>
      </c>
      <c r="M33" s="249">
        <f>+F33*J33</f>
        <v/>
      </c>
      <c r="N33" s="249">
        <f>SUM(K33:M33)</f>
        <v/>
      </c>
      <c r="O33" s="251">
        <f>SUM(K33:M33)/tc</f>
        <v/>
      </c>
      <c r="P33" s="277" t="n"/>
      <c r="V33" s="214">
        <f>+C429</f>
        <v/>
      </c>
      <c r="W33" s="214">
        <f>+E429</f>
        <v/>
      </c>
      <c r="X33" s="215">
        <f>+L429</f>
        <v/>
      </c>
      <c r="Y33" s="216">
        <f>+X33/$X$50</f>
        <v/>
      </c>
      <c r="Z33" s="215">
        <f>+X33/$Z$7</f>
        <v/>
      </c>
    </row>
    <row r="34">
      <c r="A34" s="16" t="n"/>
      <c r="B34" s="1134">
        <f>VALUE(IF(AND(LEN(TRIM(C34))-LEN(SUBSTITUTE(TRIM(C34),".",""))=1,ISNUMBER(VALUE(SUBSTITUTE(TRIM(C34),".","")))),TRIM(C34),B33))</f>
        <v/>
      </c>
      <c r="C34" s="16" t="inlineStr">
        <is>
          <t>M10-0091</t>
        </is>
      </c>
      <c r="D34" s="292" t="n"/>
      <c r="E34" s="247">
        <f>+_xlfn.XLOOKUP(C34,'BASE DATOS PRECIOS '!B:B,'BASE DATOS PRECIOS '!E:E)</f>
        <v/>
      </c>
      <c r="F34" s="218">
        <f>'1_OG y 2_ACA'!D255</f>
        <v/>
      </c>
      <c r="G34" s="250">
        <f>+_xlfn.XLOOKUP(C34,'BASE DATOS PRECIOS '!B:B,'BASE DATOS PRECIOS '!F:F)</f>
        <v/>
      </c>
      <c r="H34" s="249">
        <f>+_xlfn.XLOOKUP(E34,'BASE DATOS PRECIOS '!E:E,'BASE DATOS PRECIOS '!H:H)</f>
        <v/>
      </c>
      <c r="I34" s="250" t="n"/>
      <c r="J34" s="250" t="n"/>
      <c r="K34" s="249">
        <f>+F34*H34</f>
        <v/>
      </c>
      <c r="L34" s="249">
        <f>+F34*I34</f>
        <v/>
      </c>
      <c r="M34" s="249">
        <f>+F34*J34</f>
        <v/>
      </c>
      <c r="N34" s="249">
        <f>SUM(K34:M34)</f>
        <v/>
      </c>
      <c r="O34" s="251">
        <f>SUM(K34:M34)/tc</f>
        <v/>
      </c>
      <c r="P34" s="277" t="n"/>
      <c r="V34" s="214">
        <f>+C431</f>
        <v/>
      </c>
      <c r="W34" s="214">
        <f>+E431</f>
        <v/>
      </c>
      <c r="X34" s="215">
        <f>+L431</f>
        <v/>
      </c>
      <c r="Y34" s="216">
        <f>+X34/$X$50</f>
        <v/>
      </c>
      <c r="Z34" s="215">
        <f>+X34/$Z$7</f>
        <v/>
      </c>
    </row>
    <row r="35">
      <c r="A35" s="266" t="inlineStr">
        <is>
          <t>Sello Losa</t>
        </is>
      </c>
      <c r="B35" s="1134">
        <f>VALUE(IF(AND(LEN(TRIM(C35))-LEN(SUBSTITUTE(TRIM(C35),".",""))=1,ISNUMBER(VALUE(SUBSTITUTE(TRIM(C35),".","")))),TRIM(C35),B34))</f>
        <v/>
      </c>
      <c r="C35" s="267" t="inlineStr">
        <is>
          <t xml:space="preserve">OPERARIO </t>
        </is>
      </c>
      <c r="D35" s="268" t="n"/>
      <c r="E35" s="269">
        <f>+_xlfn.XLOOKUP(C35,'BASE DATOS MANO DE OBRA'!A:A,'BASE DATOS MANO DE OBRA'!B:B)</f>
        <v/>
      </c>
      <c r="F35" s="270">
        <f>ROUND('1_OG y 2_ACA'!F267,0)/2</f>
        <v/>
      </c>
      <c r="G35" s="271">
        <f>+_xlfn.XLOOKUP(C35,'BASE DATOS MANO DE OBRA'!A:A,'BASE DATOS MANO DE OBRA'!C:C)</f>
        <v/>
      </c>
      <c r="H35" s="272" t="n">
        <v>0</v>
      </c>
      <c r="I35" s="272">
        <f>+_xlfn.XLOOKUP(C35,'BASE DATOS MANO DE OBRA'!A:A,'BASE DATOS MANO DE OBRA'!E:E)</f>
        <v/>
      </c>
      <c r="J35" s="272" t="n">
        <v>0</v>
      </c>
      <c r="K35" s="272">
        <f>+F35*H35</f>
        <v/>
      </c>
      <c r="L35" s="272">
        <f>+F35*I35</f>
        <v/>
      </c>
      <c r="M35" s="272">
        <f>+F35*J35</f>
        <v/>
      </c>
      <c r="N35" s="272">
        <f>SUM(K35:M35)</f>
        <v/>
      </c>
      <c r="O35" s="273">
        <f>SUM(K35:M35)/tc</f>
        <v/>
      </c>
      <c r="P35" s="277" t="n"/>
      <c r="V35" s="214">
        <f>+C452</f>
        <v/>
      </c>
      <c r="W35" s="214">
        <f>+E452</f>
        <v/>
      </c>
      <c r="X35" s="215">
        <f>+L452</f>
        <v/>
      </c>
      <c r="Y35" s="216">
        <f>+X35/$X$50</f>
        <v/>
      </c>
      <c r="Z35" s="215">
        <f>+X35/$Z$7</f>
        <v/>
      </c>
    </row>
    <row r="36">
      <c r="A36" s="266" t="inlineStr">
        <is>
          <t>Sello Losa</t>
        </is>
      </c>
      <c r="B36" s="1134">
        <f>VALUE(IF(AND(LEN(TRIM(C36))-LEN(SUBSTITUTE(TRIM(C36),".",""))=1,ISNUMBER(VALUE(SUBSTITUTE(TRIM(C36),".","")))),TRIM(C36),B35))</f>
        <v/>
      </c>
      <c r="C36" s="267" t="inlineStr">
        <is>
          <t xml:space="preserve">AYUDANTE </t>
        </is>
      </c>
      <c r="D36" s="268" t="n"/>
      <c r="E36" s="269">
        <f>+_xlfn.XLOOKUP(C36,'BASE DATOS MANO DE OBRA'!A:A,'BASE DATOS MANO DE OBRA'!B:B)</f>
        <v/>
      </c>
      <c r="F36" s="270">
        <f>+F35</f>
        <v/>
      </c>
      <c r="G36" s="271">
        <f>+_xlfn.XLOOKUP(C36,'BASE DATOS MANO DE OBRA'!A:A,'BASE DATOS MANO DE OBRA'!C:C)</f>
        <v/>
      </c>
      <c r="H36" s="272" t="n">
        <v>0</v>
      </c>
      <c r="I36" s="272">
        <f>+_xlfn.XLOOKUP(C36,'BASE DATOS MANO DE OBRA'!A:A,'BASE DATOS MANO DE OBRA'!E:E)</f>
        <v/>
      </c>
      <c r="J36" s="272" t="n">
        <v>0</v>
      </c>
      <c r="K36" s="272">
        <f>+F36*H36</f>
        <v/>
      </c>
      <c r="L36" s="272">
        <f>+F36*I36</f>
        <v/>
      </c>
      <c r="M36" s="272">
        <f>+F36*J36</f>
        <v/>
      </c>
      <c r="N36" s="272">
        <f>SUM(K36:M36)</f>
        <v/>
      </c>
      <c r="O36" s="273">
        <f>SUM(K36:M36)/tc</f>
        <v/>
      </c>
      <c r="P36" s="277" t="n"/>
      <c r="V36" s="241">
        <f>+C462</f>
        <v/>
      </c>
      <c r="W36" s="241">
        <f>+E462</f>
        <v/>
      </c>
      <c r="X36" s="242">
        <f>+L462</f>
        <v/>
      </c>
      <c r="Y36" s="243">
        <f>+X36/$X$50</f>
        <v/>
      </c>
      <c r="Z36" s="242">
        <f>+X36/$Z$7</f>
        <v/>
      </c>
      <c r="AA36" s="244">
        <f>+AVERAGE(Z33:Z36)</f>
        <v/>
      </c>
    </row>
    <row r="37">
      <c r="A37" s="16" t="n"/>
      <c r="B37" s="1134">
        <f>VALUE(IF(AND(LEN(TRIM(C37))-LEN(SUBSTITUTE(TRIM(C37),".",""))=1,ISNUMBER(VALUE(SUBSTITUTE(TRIM(C37),".","")))),TRIM(C37),B36))</f>
        <v/>
      </c>
      <c r="C37" s="234" t="inlineStr">
        <is>
          <t>1.1.4</t>
        </is>
      </c>
      <c r="D37" s="235" t="n"/>
      <c r="E37" s="236" t="inlineStr">
        <is>
          <t xml:space="preserve">LOSA FLOTANTE (ACERO, CONCRETO) </t>
        </is>
      </c>
      <c r="F37" s="237">
        <f>+'1_OG y 2_ACA'!D12</f>
        <v/>
      </c>
      <c r="G37" s="235" t="inlineStr">
        <is>
          <t xml:space="preserve">m2 </t>
        </is>
      </c>
      <c r="H37" s="235" t="n"/>
      <c r="I37" s="235" t="n"/>
      <c r="J37" s="235" t="n"/>
      <c r="K37" s="238">
        <f>+SUBTOTAL(9,K38:K53)</f>
        <v/>
      </c>
      <c r="L37" s="238">
        <f>+SUBTOTAL(9,L38:L53)</f>
        <v/>
      </c>
      <c r="M37" s="238">
        <f>+SUBTOTAL(9,M38:M53)</f>
        <v/>
      </c>
      <c r="N37" s="238">
        <f>+SUBTOTAL(9,N38:N53)</f>
        <v/>
      </c>
      <c r="O37" s="1136">
        <f>+SUBTOTAL(9,O38:O53)</f>
        <v/>
      </c>
      <c r="P37" s="1137" t="n"/>
      <c r="V37" s="293">
        <f>+C466</f>
        <v/>
      </c>
      <c r="W37" s="293">
        <f>+E466</f>
        <v/>
      </c>
      <c r="X37" s="294">
        <f>+L466</f>
        <v/>
      </c>
      <c r="Y37" s="295">
        <f>+X37/$X$50</f>
        <v/>
      </c>
      <c r="Z37" s="294">
        <f>+X37/$Z$7</f>
        <v/>
      </c>
      <c r="AA37" s="296" t="n"/>
    </row>
    <row r="38">
      <c r="A38" s="16" t="n"/>
      <c r="B38" s="1134">
        <f>VALUE(IF(AND(LEN(TRIM(C38))-LEN(SUBSTITUTE(TRIM(C38),".",""))=1,ISNUMBER(VALUE(SUBSTITUTE(TRIM(C38),".","")))),TRIM(C38),B37))</f>
        <v/>
      </c>
      <c r="C38" s="285" t="n"/>
      <c r="D38" s="286" t="n"/>
      <c r="E38" s="287" t="inlineStr">
        <is>
          <t>CONCRETO Y ACERO</t>
        </is>
      </c>
      <c r="F38" s="288" t="n"/>
      <c r="G38" s="289" t="n"/>
      <c r="H38" s="289" t="n"/>
      <c r="I38" s="289" t="n"/>
      <c r="J38" s="289" t="n"/>
      <c r="K38" s="290" t="n"/>
      <c r="L38" s="290" t="n"/>
      <c r="M38" s="290" t="n"/>
      <c r="N38" s="290" t="n"/>
      <c r="O38" s="291" t="n"/>
      <c r="P38" s="277" t="n"/>
      <c r="V38" s="293">
        <f>+C472</f>
        <v/>
      </c>
      <c r="W38" s="293">
        <f>+E472</f>
        <v/>
      </c>
      <c r="X38" s="294">
        <f>+L472</f>
        <v/>
      </c>
      <c r="Y38" s="295">
        <f>+X38/$X$50</f>
        <v/>
      </c>
      <c r="Z38" s="294">
        <f>+X38/$Z$7</f>
        <v/>
      </c>
      <c r="AA38" s="296" t="n"/>
    </row>
    <row r="39">
      <c r="A39" s="16" t="n"/>
      <c r="B39" s="1134">
        <f>VALUE(IF(AND(LEN(TRIM(C39))-LEN(SUBSTITUTE(TRIM(C39),".",""))=1,ISNUMBER(VALUE(SUBSTITUTE(TRIM(C39),".","")))),TRIM(C39),B38))</f>
        <v/>
      </c>
      <c r="C39" s="297" t="inlineStr">
        <is>
          <t>M10-0009</t>
        </is>
      </c>
      <c r="D39" s="298" t="n"/>
      <c r="E39" s="252">
        <f>+_xlfn.XLOOKUP(C39,'BASE DATOS PRECIOS '!B:B,'BASE DATOS PRECIOS '!E:E)</f>
        <v/>
      </c>
      <c r="F39" s="299">
        <f>+'1_OG y 2_ACA'!D283</f>
        <v/>
      </c>
      <c r="G39" s="250">
        <f>+_xlfn.XLOOKUP(C39,'BASE DATOS PRECIOS '!B:B,'BASE DATOS PRECIOS '!F:F)</f>
        <v/>
      </c>
      <c r="H39" s="249">
        <f>(+_xlfn.XLOOKUP(E39,'BASE DATOS PRECIOS '!E:E,'BASE DATOS PRECIOS '!H:H))</f>
        <v/>
      </c>
      <c r="I39" s="250" t="n"/>
      <c r="J39" s="250" t="n"/>
      <c r="K39" s="249">
        <f>+F39*H39</f>
        <v/>
      </c>
      <c r="L39" s="249">
        <f>+F39*I39</f>
        <v/>
      </c>
      <c r="M39" s="249">
        <f>+F39*J39</f>
        <v/>
      </c>
      <c r="N39" s="249">
        <f>SUM(K39:M39)</f>
        <v/>
      </c>
      <c r="O39" s="251">
        <f>SUM(K39:M39)/tc</f>
        <v/>
      </c>
      <c r="P39" s="277" t="n"/>
      <c r="V39" s="293">
        <f>+C549</f>
        <v/>
      </c>
      <c r="W39" s="293">
        <f>+E549</f>
        <v/>
      </c>
      <c r="X39" s="294">
        <f>+L549</f>
        <v/>
      </c>
      <c r="Y39" s="295">
        <f>+X39/$X$50</f>
        <v/>
      </c>
      <c r="Z39" s="294">
        <f>+X39/$Z$7</f>
        <v/>
      </c>
      <c r="AA39" s="244">
        <f>+AVERAGE(Z39)</f>
        <v/>
      </c>
    </row>
    <row r="40">
      <c r="A40" s="16" t="n"/>
      <c r="B40" s="1134">
        <f>VALUE(IF(AND(LEN(TRIM(C40))-LEN(SUBSTITUTE(TRIM(C40),".",""))=1,ISNUMBER(VALUE(SUBSTITUTE(TRIM(C40),".","")))),TRIM(C40),B39))</f>
        <v/>
      </c>
      <c r="C40" s="274" t="inlineStr">
        <is>
          <t>M01-0146</t>
        </is>
      </c>
      <c r="D40" s="275" t="n"/>
      <c r="E40" s="252">
        <f>+_xlfn.XLOOKUP(C40,'BASE DATOS PRECIOS '!B:B,'BASE DATOS PRECIOS '!E:E)</f>
        <v/>
      </c>
      <c r="F40" s="299">
        <f>+'1_OG y 2_ACA'!D313</f>
        <v/>
      </c>
      <c r="G40" s="257" t="inlineStr">
        <is>
          <t>UND</t>
        </is>
      </c>
      <c r="H40" s="256">
        <f>+_xlfn.XLOOKUP(E40,'BASE DATOS PRECIOS '!E:E,'BASE DATOS PRECIOS '!H:H)</f>
        <v/>
      </c>
      <c r="I40" s="257" t="n"/>
      <c r="J40" s="257" t="n"/>
      <c r="K40" s="256">
        <f>+F40*H40</f>
        <v/>
      </c>
      <c r="L40" s="256">
        <f>+F40*I40</f>
        <v/>
      </c>
      <c r="M40" s="256">
        <f>+F40*J40</f>
        <v/>
      </c>
      <c r="N40" s="256">
        <f>SUM(K40:M40)</f>
        <v/>
      </c>
      <c r="O40" s="258">
        <f>SUM(K40:M40)/tc</f>
        <v/>
      </c>
      <c r="P40" s="277" t="n"/>
      <c r="V40" s="300">
        <f>+C558</f>
        <v/>
      </c>
      <c r="W40" s="300">
        <f>+E558</f>
        <v/>
      </c>
      <c r="X40" s="300">
        <f>+L558</f>
        <v/>
      </c>
      <c r="Y40" s="295">
        <f>+X40/$X$50</f>
        <v/>
      </c>
      <c r="Z40" s="294">
        <f>+X40/$Z$7</f>
        <v/>
      </c>
      <c r="AA40" s="296" t="n"/>
    </row>
    <row r="41">
      <c r="A41" s="16" t="n"/>
      <c r="B41" s="1134">
        <f>VALUE(IF(AND(LEN(TRIM(C41))-LEN(SUBSTITUTE(TRIM(C41),".",""))=1,ISNUMBER(VALUE(SUBSTITUTE(TRIM(C41),".","")))),TRIM(C41),B40))</f>
        <v/>
      </c>
      <c r="C41" s="274" t="inlineStr">
        <is>
          <t>M01-0147</t>
        </is>
      </c>
      <c r="D41" s="246" t="inlineStr">
        <is>
          <t>02</t>
        </is>
      </c>
      <c r="E41" s="252" t="inlineStr">
        <is>
          <t>VARILLA DEFORME #3</t>
        </is>
      </c>
      <c r="F41" s="299">
        <f>'1_OG y 2_ACA'!D314</f>
        <v/>
      </c>
      <c r="G41" s="257" t="inlineStr">
        <is>
          <t>UND</t>
        </is>
      </c>
      <c r="H41" s="256">
        <f>+_xlfn.XLOOKUP(E41,'BASE DATOS PRECIOS '!E:E,'BASE DATOS PRECIOS '!H:H)</f>
        <v/>
      </c>
      <c r="I41" s="257" t="n"/>
      <c r="J41" s="257" t="n"/>
      <c r="K41" s="256">
        <f>+F41*H41</f>
        <v/>
      </c>
      <c r="L41" s="256">
        <f>+F41*I41</f>
        <v/>
      </c>
      <c r="M41" s="256">
        <f>+F41*J41</f>
        <v/>
      </c>
      <c r="N41" s="256">
        <f>SUM(K41:M41)</f>
        <v/>
      </c>
      <c r="O41" s="258">
        <f>SUM(K41:M41)/tc</f>
        <v/>
      </c>
      <c r="P41" s="277" t="n"/>
      <c r="V41" s="214">
        <f>+C822</f>
        <v/>
      </c>
      <c r="W41" s="214">
        <f>+E822</f>
        <v/>
      </c>
      <c r="X41" s="215">
        <f>+L822</f>
        <v/>
      </c>
      <c r="Y41" s="216">
        <f>+X41/$X$50</f>
        <v/>
      </c>
      <c r="Z41" s="215">
        <f>+X41/$Z$7</f>
        <v/>
      </c>
    </row>
    <row r="42">
      <c r="A42" s="16" t="n"/>
      <c r="B42" s="1134">
        <f>VALUE(IF(AND(LEN(TRIM(C42))-LEN(SUBSTITUTE(TRIM(C42),".",""))=1,ISNUMBER(VALUE(SUBSTITUTE(TRIM(C42),".","")))),TRIM(C42),B41))</f>
        <v/>
      </c>
      <c r="C42" s="274" t="inlineStr">
        <is>
          <t>M01-0145</t>
        </is>
      </c>
      <c r="D42" s="275" t="n"/>
      <c r="E42" s="252">
        <f>+_xlfn.XLOOKUP(C42,'BASE DATOS PRECIOS '!B:B,'BASE DATOS PRECIOS '!E:E)</f>
        <v/>
      </c>
      <c r="F42" s="299">
        <f>+'1_OG y 2_ACA'!D315</f>
        <v/>
      </c>
      <c r="G42" s="257" t="inlineStr">
        <is>
          <t>UND</t>
        </is>
      </c>
      <c r="H42" s="256">
        <f>+_xlfn.XLOOKUP(E42,'BASE DATOS PRECIOS '!E:E,'BASE DATOS PRECIOS '!H:H)</f>
        <v/>
      </c>
      <c r="I42" s="257" t="n"/>
      <c r="J42" s="257" t="n"/>
      <c r="K42" s="256">
        <f>+F42*H42</f>
        <v/>
      </c>
      <c r="L42" s="256">
        <f>+F42*I42</f>
        <v/>
      </c>
      <c r="M42" s="256">
        <f>+F42*J42</f>
        <v/>
      </c>
      <c r="N42" s="256">
        <f>SUM(K42:M42)</f>
        <v/>
      </c>
      <c r="O42" s="258">
        <f>SUM(K42:M42)/tc</f>
        <v/>
      </c>
      <c r="P42" s="277" t="n"/>
      <c r="V42" s="214">
        <f>+C843</f>
        <v/>
      </c>
      <c r="W42" s="214">
        <f>+E843</f>
        <v/>
      </c>
      <c r="X42" s="215">
        <f>+L843</f>
        <v/>
      </c>
      <c r="Y42" s="216">
        <f>+X42/$X$50</f>
        <v/>
      </c>
      <c r="Z42" s="215">
        <f>+X42/$Z$7</f>
        <v/>
      </c>
    </row>
    <row r="43">
      <c r="A43" s="16" t="n"/>
      <c r="B43" s="1134">
        <f>VALUE(IF(AND(LEN(TRIM(C43))-LEN(SUBSTITUTE(TRIM(C43),".",""))=1,ISNUMBER(VALUE(SUBSTITUTE(TRIM(C43),".","")))),TRIM(C43),B42))</f>
        <v/>
      </c>
      <c r="C43" s="274" t="inlineStr">
        <is>
          <t>M01-0001</t>
        </is>
      </c>
      <c r="D43" s="275" t="n"/>
      <c r="E43" s="252">
        <f>+_xlfn.XLOOKUP(C43,'BASE DATOS PRECIOS '!B:B,'BASE DATOS PRECIOS '!E:E)</f>
        <v/>
      </c>
      <c r="F43" s="299">
        <f>+'1_OG y 2_ACA'!D316</f>
        <v/>
      </c>
      <c r="G43" s="257" t="inlineStr">
        <is>
          <t>KG</t>
        </is>
      </c>
      <c r="H43" s="256">
        <f>+_xlfn.XLOOKUP(E43,'BASE DATOS PRECIOS '!E:E,'BASE DATOS PRECIOS '!H:H)</f>
        <v/>
      </c>
      <c r="I43" s="257" t="n"/>
      <c r="J43" s="257" t="n"/>
      <c r="K43" s="256">
        <f>+F43*H43</f>
        <v/>
      </c>
      <c r="L43" s="256">
        <f>+F43*I43</f>
        <v/>
      </c>
      <c r="M43" s="256">
        <f>+F43*J43</f>
        <v/>
      </c>
      <c r="N43" s="256">
        <f>SUM(K43:M43)</f>
        <v/>
      </c>
      <c r="O43" s="258">
        <f>SUM(K43:M43)/tc</f>
        <v/>
      </c>
      <c r="P43" s="277" t="n"/>
      <c r="V43" s="214">
        <f>+C860</f>
        <v/>
      </c>
      <c r="W43" s="214">
        <f>+E860</f>
        <v/>
      </c>
      <c r="X43" s="215">
        <f>+L860</f>
        <v/>
      </c>
      <c r="Y43" s="216">
        <f>+X43/$X$50</f>
        <v/>
      </c>
      <c r="Z43" s="215">
        <f>+X43/$Z$7</f>
        <v/>
      </c>
    </row>
    <row r="44">
      <c r="A44" s="16" t="n"/>
      <c r="B44" s="1134">
        <f>VALUE(IF(AND(LEN(TRIM(C44))-LEN(SUBSTITUTE(TRIM(C44),".",""))=1,ISNUMBER(VALUE(SUBSTITUTE(TRIM(C44),".","")))),TRIM(C44),B43))</f>
        <v/>
      </c>
      <c r="C44" s="274" t="inlineStr">
        <is>
          <t>M06-0261</t>
        </is>
      </c>
      <c r="D44" s="275" t="n"/>
      <c r="E44" s="252">
        <f>+_xlfn.XLOOKUP(C44,'BASE DATOS PRECIOS '!B:B,'BASE DATOS PRECIOS '!E:E)</f>
        <v/>
      </c>
      <c r="F44" s="299">
        <f>ROUNDUP('1_OG y 2_ACA'!D317,0)</f>
        <v/>
      </c>
      <c r="G44" s="257" t="inlineStr">
        <is>
          <t>UND</t>
        </is>
      </c>
      <c r="H44" s="256">
        <f>+_xlfn.XLOOKUP(E44,'BASE DATOS PRECIOS '!E:E,'BASE DATOS PRECIOS '!H:H)</f>
        <v/>
      </c>
      <c r="I44" s="257" t="n"/>
      <c r="J44" s="257" t="n"/>
      <c r="K44" s="256">
        <f>+F44*H44</f>
        <v/>
      </c>
      <c r="L44" s="256">
        <f>+F44*I44</f>
        <v/>
      </c>
      <c r="M44" s="256">
        <f>+F44*J44</f>
        <v/>
      </c>
      <c r="N44" s="256">
        <f>SUM(K44:M44)</f>
        <v/>
      </c>
      <c r="O44" s="258">
        <f>SUM(K44:M44)/tc</f>
        <v/>
      </c>
      <c r="P44" s="277" t="n"/>
      <c r="V44" s="214">
        <f>+C875</f>
        <v/>
      </c>
      <c r="W44" s="214">
        <f>+E875</f>
        <v/>
      </c>
      <c r="X44" s="215">
        <f>+L875</f>
        <v/>
      </c>
      <c r="Y44" s="216">
        <f>+X44/$X$50</f>
        <v/>
      </c>
      <c r="Z44" s="215">
        <f>+X44/$Z$7</f>
        <v/>
      </c>
    </row>
    <row r="45">
      <c r="A45" s="16" t="n"/>
      <c r="B45" s="1134">
        <f>VALUE(IF(AND(LEN(TRIM(C45))-LEN(SUBSTITUTE(TRIM(C45),".",""))=1,ISNUMBER(VALUE(SUBSTITUTE(TRIM(C45),".","")))),TRIM(C45),B44))</f>
        <v/>
      </c>
      <c r="C45" s="301" t="inlineStr">
        <is>
          <t>M06-0264</t>
        </is>
      </c>
      <c r="D45" s="302" t="n"/>
      <c r="E45" s="252">
        <f>+_xlfn.XLOOKUP(C45,'BASE DATOS PRECIOS '!B:B,'BASE DATOS PRECIOS '!E:E)</f>
        <v/>
      </c>
      <c r="F45" s="299">
        <f>+F44</f>
        <v/>
      </c>
      <c r="G45" s="257" t="inlineStr">
        <is>
          <t>UND</t>
        </is>
      </c>
      <c r="H45" s="256">
        <f>+_xlfn.XLOOKUP(E45,'BASE DATOS PRECIOS '!E:E,'BASE DATOS PRECIOS '!H:H)</f>
        <v/>
      </c>
      <c r="I45" s="257" t="n"/>
      <c r="J45" s="257" t="n"/>
      <c r="K45" s="256">
        <f>+F45*H45</f>
        <v/>
      </c>
      <c r="L45" s="256">
        <f>+F45*I45</f>
        <v/>
      </c>
      <c r="M45" s="256">
        <f>+F45*J45</f>
        <v/>
      </c>
      <c r="N45" s="256">
        <f>SUM(K45:M45)</f>
        <v/>
      </c>
      <c r="O45" s="258">
        <f>SUM(K45:M45)/tc</f>
        <v/>
      </c>
      <c r="P45" s="277" t="n"/>
      <c r="V45" s="214">
        <f>+C891</f>
        <v/>
      </c>
      <c r="W45" s="214">
        <f>+E891</f>
        <v/>
      </c>
      <c r="X45" s="215">
        <f>+L891</f>
        <v/>
      </c>
      <c r="Y45" s="216">
        <f>+X45/$X$50</f>
        <v/>
      </c>
      <c r="Z45" s="215">
        <f>+X45/$Z$7</f>
        <v/>
      </c>
    </row>
    <row r="46">
      <c r="A46" s="16" t="n"/>
      <c r="B46" s="1134">
        <f>VALUE(IF(AND(LEN(TRIM(C46))-LEN(SUBSTITUTE(TRIM(C46),".",""))=1,ISNUMBER(VALUE(SUBSTITUTE(TRIM(C46),".","")))),TRIM(C46),B45))</f>
        <v/>
      </c>
      <c r="C46" s="274" t="inlineStr">
        <is>
          <t>M08-0037</t>
        </is>
      </c>
      <c r="D46" s="275" t="n"/>
      <c r="E46" s="252">
        <f>+_xlfn.XLOOKUP(C46,'BASE DATOS PRECIOS '!B:B,'BASE DATOS PRECIOS '!E:E)</f>
        <v/>
      </c>
      <c r="F46" s="299">
        <f>+'1_OG y 2_ACA'!D319</f>
        <v/>
      </c>
      <c r="G46" s="257" t="inlineStr">
        <is>
          <t>UND</t>
        </is>
      </c>
      <c r="H46" s="256">
        <f>+_xlfn.XLOOKUP(E46,'BASE DATOS PRECIOS '!E:E,'BASE DATOS PRECIOS '!H:H)</f>
        <v/>
      </c>
      <c r="I46" s="257" t="n"/>
      <c r="J46" s="257" t="n"/>
      <c r="K46" s="256">
        <f>+F46*H46</f>
        <v/>
      </c>
      <c r="L46" s="256">
        <f>+F46*I46</f>
        <v/>
      </c>
      <c r="M46" s="256">
        <f>+F46*J46</f>
        <v/>
      </c>
      <c r="N46" s="256">
        <f>SUM(K46:M46)</f>
        <v/>
      </c>
      <c r="O46" s="258">
        <f>SUM(K46:M46)/tc</f>
        <v/>
      </c>
      <c r="P46" s="277" t="n"/>
      <c r="V46" s="214">
        <f>+C911</f>
        <v/>
      </c>
      <c r="W46" s="214">
        <f>+E911</f>
        <v/>
      </c>
      <c r="X46" s="215">
        <f>+L911</f>
        <v/>
      </c>
      <c r="Y46" s="216">
        <f>+X46/$X$50</f>
        <v/>
      </c>
      <c r="Z46" s="215">
        <f>+X46/$Z$7</f>
        <v/>
      </c>
    </row>
    <row r="47">
      <c r="A47" s="16" t="n"/>
      <c r="B47" s="1134">
        <f>VALUE(IF(AND(LEN(TRIM(C47))-LEN(SUBSTITUTE(TRIM(C47),".",""))=1,ISNUMBER(VALUE(SUBSTITUTE(TRIM(C47),".","")))),TRIM(C47),B46))</f>
        <v/>
      </c>
      <c r="C47" s="274" t="inlineStr">
        <is>
          <t>M10-0065</t>
        </is>
      </c>
      <c r="D47" s="292" t="n"/>
      <c r="E47" s="247">
        <f>+_xlfn.XLOOKUP(C47,'BASE DATOS PRECIOS '!B:B,'BASE DATOS PRECIOS '!E:E)</f>
        <v/>
      </c>
      <c r="F47" s="218">
        <f>'1_OG y 2_ACA'!D277</f>
        <v/>
      </c>
      <c r="G47" s="250">
        <f>+_xlfn.XLOOKUP(C47,'BASE DATOS PRECIOS '!B:B,'BASE DATOS PRECIOS '!F:F)</f>
        <v/>
      </c>
      <c r="H47" s="249">
        <f>+_xlfn.XLOOKUP(E47,'BASE DATOS PRECIOS '!E:E,'BASE DATOS PRECIOS '!H:H)</f>
        <v/>
      </c>
      <c r="I47" s="250" t="n"/>
      <c r="J47" s="250" t="n"/>
      <c r="K47" s="249">
        <f>+F47*H47</f>
        <v/>
      </c>
      <c r="L47" s="249">
        <f>+F47*I47</f>
        <v/>
      </c>
      <c r="M47" s="249">
        <f>+F47*J47</f>
        <v/>
      </c>
      <c r="N47" s="249">
        <f>SUM(K47:M47)</f>
        <v/>
      </c>
      <c r="O47" s="251">
        <f>SUM(K47:M47)/tc</f>
        <v/>
      </c>
      <c r="P47" s="277" t="n"/>
      <c r="V47" s="214">
        <f>+C912</f>
        <v/>
      </c>
      <c r="W47" s="214">
        <f>+E912</f>
        <v/>
      </c>
      <c r="X47" s="215">
        <f>+L912</f>
        <v/>
      </c>
      <c r="Y47" s="216">
        <f>+X47/$X$50</f>
        <v/>
      </c>
      <c r="Z47" s="215">
        <f>+X47/$Z$7</f>
        <v/>
      </c>
    </row>
    <row r="48">
      <c r="A48" s="266" t="inlineStr">
        <is>
          <t>Acero Losa</t>
        </is>
      </c>
      <c r="B48" s="1134">
        <f>VALUE(IF(AND(LEN(TRIM(C48))-LEN(SUBSTITUTE(TRIM(C48),".",""))=1,ISNUMBER(VALUE(SUBSTITUTE(TRIM(C48),".","")))),TRIM(C48),B47))</f>
        <v/>
      </c>
      <c r="C48" s="267" t="inlineStr">
        <is>
          <t xml:space="preserve">OPERARIO </t>
        </is>
      </c>
      <c r="D48" s="268" t="n"/>
      <c r="E48" s="269">
        <f>+_xlfn.XLOOKUP(C48,'BASE DATOS MANO DE OBRA'!A:A,'BASE DATOS MANO DE OBRA'!B:B)</f>
        <v/>
      </c>
      <c r="F48" s="270">
        <f>ROUND('1_OG y 2_ACA'!F330,0)/2</f>
        <v/>
      </c>
      <c r="G48" s="271">
        <f>+_xlfn.XLOOKUP(C48,'BASE DATOS MANO DE OBRA'!A:A,'BASE DATOS MANO DE OBRA'!C:C)</f>
        <v/>
      </c>
      <c r="H48" s="272" t="n">
        <v>0</v>
      </c>
      <c r="I48" s="272">
        <f>+_xlfn.XLOOKUP(C48,'BASE DATOS MANO DE OBRA'!A:A,'BASE DATOS MANO DE OBRA'!E:E)</f>
        <v/>
      </c>
      <c r="J48" s="272" t="n">
        <v>0</v>
      </c>
      <c r="K48" s="272">
        <f>+F48*H48</f>
        <v/>
      </c>
      <c r="L48" s="272">
        <f>+F48*I48</f>
        <v/>
      </c>
      <c r="M48" s="272">
        <f>+F48*J48</f>
        <v/>
      </c>
      <c r="N48" s="272">
        <f>SUM(K48:M48)</f>
        <v/>
      </c>
      <c r="O48" s="273">
        <f>SUM(K48:M48)/tc</f>
        <v/>
      </c>
      <c r="P48" s="277" t="n"/>
      <c r="V48" s="214">
        <f>+C930</f>
        <v/>
      </c>
      <c r="W48" s="214">
        <f>+E930</f>
        <v/>
      </c>
      <c r="X48" s="215">
        <f>+L930</f>
        <v/>
      </c>
      <c r="Y48" s="216">
        <f>+X48/$X$50</f>
        <v/>
      </c>
      <c r="Z48" s="215">
        <f>+X48/$Z$7</f>
        <v/>
      </c>
    </row>
    <row r="49">
      <c r="A49" s="266" t="inlineStr">
        <is>
          <t>Acero Losa</t>
        </is>
      </c>
      <c r="B49" s="1134">
        <f>VALUE(IF(AND(LEN(TRIM(C49))-LEN(SUBSTITUTE(TRIM(C49),".",""))=1,ISNUMBER(VALUE(SUBSTITUTE(TRIM(C49),".","")))),TRIM(C49),B48))</f>
        <v/>
      </c>
      <c r="C49" s="267" t="inlineStr">
        <is>
          <t xml:space="preserve">AYUDANTE </t>
        </is>
      </c>
      <c r="D49" s="268" t="n"/>
      <c r="E49" s="269">
        <f>+_xlfn.XLOOKUP(C49,'BASE DATOS MANO DE OBRA'!A:A,'BASE DATOS MANO DE OBRA'!B:B)</f>
        <v/>
      </c>
      <c r="F49" s="270">
        <f>+F48</f>
        <v/>
      </c>
      <c r="G49" s="271">
        <f>+_xlfn.XLOOKUP(C49,'BASE DATOS MANO DE OBRA'!A:A,'BASE DATOS MANO DE OBRA'!C:C)</f>
        <v/>
      </c>
      <c r="H49" s="272" t="n">
        <v>0</v>
      </c>
      <c r="I49" s="272">
        <f>+_xlfn.XLOOKUP(C49,'BASE DATOS MANO DE OBRA'!A:A,'BASE DATOS MANO DE OBRA'!E:E)</f>
        <v/>
      </c>
      <c r="J49" s="272" t="n">
        <v>0</v>
      </c>
      <c r="K49" s="272">
        <f>+F49*H49</f>
        <v/>
      </c>
      <c r="L49" s="272">
        <f>+F49*I49</f>
        <v/>
      </c>
      <c r="M49" s="272">
        <f>+F49*J49</f>
        <v/>
      </c>
      <c r="N49" s="272">
        <f>SUM(K49:M49)</f>
        <v/>
      </c>
      <c r="O49" s="273">
        <f>SUM(K49:M49)/tc</f>
        <v/>
      </c>
      <c r="P49" s="277" t="n"/>
      <c r="V49" s="241">
        <f>+C943</f>
        <v/>
      </c>
      <c r="W49" s="241">
        <f>+E943</f>
        <v/>
      </c>
      <c r="X49" s="242">
        <f>+L943</f>
        <v/>
      </c>
      <c r="Y49" s="243">
        <f>+X49/$X$50</f>
        <v/>
      </c>
      <c r="Z49" s="242">
        <f>+X49/$Z$7</f>
        <v/>
      </c>
      <c r="AA49" s="244">
        <f>+AVERAGE(Z41:Z49)</f>
        <v/>
      </c>
    </row>
    <row r="50">
      <c r="A50" s="266" t="inlineStr">
        <is>
          <t>Losa Flotante (Formaleta trazo)</t>
        </is>
      </c>
      <c r="B50" s="1134">
        <f>VALUE(IF(AND(LEN(TRIM(C50))-LEN(SUBSTITUTE(TRIM(C50),".",""))=1,ISNUMBER(VALUE(SUBSTITUTE(TRIM(C50),".","")))),TRIM(C50),B49))</f>
        <v/>
      </c>
      <c r="C50" s="267" t="inlineStr">
        <is>
          <t xml:space="preserve">OPERARIO </t>
        </is>
      </c>
      <c r="D50" s="268" t="n"/>
      <c r="E50" s="269">
        <f>+_xlfn.XLOOKUP(C50,'BASE DATOS MANO DE OBRA'!A:A,'BASE DATOS MANO DE OBRA'!B:B)</f>
        <v/>
      </c>
      <c r="F50" s="270">
        <f>ROUND('1_OG y 2_ACA'!F331,0)/2</f>
        <v/>
      </c>
      <c r="G50" s="271">
        <f>+_xlfn.XLOOKUP(C50,'BASE DATOS MANO DE OBRA'!A:A,'BASE DATOS MANO DE OBRA'!C:C)</f>
        <v/>
      </c>
      <c r="H50" s="272" t="n">
        <v>0</v>
      </c>
      <c r="I50" s="272">
        <f>+_xlfn.XLOOKUP(C50,'BASE DATOS MANO DE OBRA'!A:A,'BASE DATOS MANO DE OBRA'!E:E)</f>
        <v/>
      </c>
      <c r="J50" s="272" t="n">
        <v>0</v>
      </c>
      <c r="K50" s="272">
        <f>+F50*H50</f>
        <v/>
      </c>
      <c r="L50" s="272">
        <f>+F50*I50</f>
        <v/>
      </c>
      <c r="M50" s="272">
        <f>+F50*J50</f>
        <v/>
      </c>
      <c r="N50" s="272">
        <f>SUM(K50:M50)</f>
        <v/>
      </c>
      <c r="O50" s="273">
        <f>SUM(K50:M50)/tc</f>
        <v/>
      </c>
      <c r="P50" s="277" t="n"/>
      <c r="V50" s="277" t="n"/>
      <c r="W50" s="1133" t="n"/>
      <c r="X50" s="215">
        <f>SUM(X8:X49)</f>
        <v/>
      </c>
      <c r="Y50" s="303">
        <f>SUM(Y8:Y49)</f>
        <v/>
      </c>
      <c r="Z50" s="215">
        <f>+X50/$Z$7</f>
        <v/>
      </c>
    </row>
    <row r="51">
      <c r="A51" s="266" t="inlineStr">
        <is>
          <t>Losa Flotante (Formaleta trazo)</t>
        </is>
      </c>
      <c r="B51" s="1134">
        <f>VALUE(IF(AND(LEN(TRIM(C51))-LEN(SUBSTITUTE(TRIM(C51),".",""))=1,ISNUMBER(VALUE(SUBSTITUTE(TRIM(C51),".","")))),TRIM(C51),B50))</f>
        <v/>
      </c>
      <c r="C51" s="267" t="inlineStr">
        <is>
          <t xml:space="preserve">AYUDANTE </t>
        </is>
      </c>
      <c r="D51" s="268" t="n"/>
      <c r="E51" s="269">
        <f>+_xlfn.XLOOKUP(C51,'BASE DATOS MANO DE OBRA'!A:A,'BASE DATOS MANO DE OBRA'!B:B)</f>
        <v/>
      </c>
      <c r="F51" s="270">
        <f>+F50</f>
        <v/>
      </c>
      <c r="G51" s="271">
        <f>+_xlfn.XLOOKUP(C51,'BASE DATOS MANO DE OBRA'!A:A,'BASE DATOS MANO DE OBRA'!C:C)</f>
        <v/>
      </c>
      <c r="H51" s="272" t="n">
        <v>0</v>
      </c>
      <c r="I51" s="272">
        <f>+_xlfn.XLOOKUP(C51,'BASE DATOS MANO DE OBRA'!A:A,'BASE DATOS MANO DE OBRA'!E:E)</f>
        <v/>
      </c>
      <c r="J51" s="272" t="n">
        <v>0</v>
      </c>
      <c r="K51" s="272">
        <f>+F51*H51</f>
        <v/>
      </c>
      <c r="L51" s="272">
        <f>+F51*I51</f>
        <v/>
      </c>
      <c r="M51" s="272">
        <f>+F51*J51</f>
        <v/>
      </c>
      <c r="N51" s="272">
        <f>SUM(K51:M51)</f>
        <v/>
      </c>
      <c r="O51" s="273">
        <f>SUM(K51:M51)/tc</f>
        <v/>
      </c>
      <c r="P51" s="277" t="n"/>
      <c r="V51" s="277" t="n"/>
      <c r="W51" s="1133" t="n"/>
      <c r="X51" s="304">
        <f>+X50-L951</f>
        <v/>
      </c>
      <c r="Y51" s="305" t="n"/>
    </row>
    <row r="52">
      <c r="A52" s="266" t="inlineStr">
        <is>
          <t>Colado de Losa</t>
        </is>
      </c>
      <c r="B52" s="1134">
        <f>VALUE(IF(AND(LEN(TRIM(C52))-LEN(SUBSTITUTE(TRIM(C52),".",""))=1,ISNUMBER(VALUE(SUBSTITUTE(TRIM(C52),".","")))),TRIM(C52),B51))</f>
        <v/>
      </c>
      <c r="C52" s="267" t="inlineStr">
        <is>
          <t xml:space="preserve">OPERARIO </t>
        </is>
      </c>
      <c r="D52" s="268" t="n"/>
      <c r="E52" s="269">
        <f>+_xlfn.XLOOKUP(C52,'BASE DATOS MANO DE OBRA'!A:A,'BASE DATOS MANO DE OBRA'!B:B)</f>
        <v/>
      </c>
      <c r="F52" s="270">
        <f>ROUND('1_OG y 2_ACA'!F329,0)/2</f>
        <v/>
      </c>
      <c r="G52" s="271">
        <f>+_xlfn.XLOOKUP(C52,'BASE DATOS MANO DE OBRA'!A:A,'BASE DATOS MANO DE OBRA'!C:C)</f>
        <v/>
      </c>
      <c r="H52" s="272" t="n">
        <v>0</v>
      </c>
      <c r="I52" s="272">
        <f>+_xlfn.XLOOKUP(C52,'BASE DATOS MANO DE OBRA'!A:A,'BASE DATOS MANO DE OBRA'!E:E)</f>
        <v/>
      </c>
      <c r="J52" s="272" t="n">
        <v>0</v>
      </c>
      <c r="K52" s="272">
        <f>+F52*H52</f>
        <v/>
      </c>
      <c r="L52" s="272">
        <f>+F52*I52</f>
        <v/>
      </c>
      <c r="M52" s="272">
        <f>+F52*J52</f>
        <v/>
      </c>
      <c r="N52" s="272">
        <f>SUM(K52:M52)</f>
        <v/>
      </c>
      <c r="O52" s="273">
        <f>SUM(K52:M52)/tc</f>
        <v/>
      </c>
      <c r="P52" s="277" t="n"/>
    </row>
    <row r="53">
      <c r="A53" s="266" t="inlineStr">
        <is>
          <t>Colado de Losa</t>
        </is>
      </c>
      <c r="B53" s="1134">
        <f>VALUE(IF(AND(LEN(TRIM(C53))-LEN(SUBSTITUTE(TRIM(C53),".",""))=1,ISNUMBER(VALUE(SUBSTITUTE(TRIM(C53),".","")))),TRIM(C53),B52))</f>
        <v/>
      </c>
      <c r="C53" s="267" t="inlineStr">
        <is>
          <t xml:space="preserve">AYUDANTE </t>
        </is>
      </c>
      <c r="D53" s="268" t="n"/>
      <c r="E53" s="269">
        <f>+_xlfn.XLOOKUP(C53,'BASE DATOS MANO DE OBRA'!A:A,'BASE DATOS MANO DE OBRA'!B:B)</f>
        <v/>
      </c>
      <c r="F53" s="270">
        <f>+F52</f>
        <v/>
      </c>
      <c r="G53" s="271">
        <f>+_xlfn.XLOOKUP(C53,'BASE DATOS MANO DE OBRA'!A:A,'BASE DATOS MANO DE OBRA'!C:C)</f>
        <v/>
      </c>
      <c r="H53" s="272" t="n">
        <v>0</v>
      </c>
      <c r="I53" s="272">
        <f>+_xlfn.XLOOKUP(C53,'BASE DATOS MANO DE OBRA'!A:A,'BASE DATOS MANO DE OBRA'!E:E)</f>
        <v/>
      </c>
      <c r="J53" s="272" t="n">
        <v>0</v>
      </c>
      <c r="K53" s="272">
        <f>+F53*H53</f>
        <v/>
      </c>
      <c r="L53" s="272">
        <f>+F53*I53</f>
        <v/>
      </c>
      <c r="M53" s="272">
        <f>+F53*J53</f>
        <v/>
      </c>
      <c r="N53" s="272">
        <f>SUM(K53:M53)</f>
        <v/>
      </c>
      <c r="O53" s="273">
        <f>SUM(K53:M53)/tc</f>
        <v/>
      </c>
      <c r="P53" s="277" t="n"/>
      <c r="Q53" s="277" t="n"/>
      <c r="R53" s="1133" t="n"/>
    </row>
    <row r="54">
      <c r="A54" s="16" t="n"/>
      <c r="B54" s="1134">
        <f>VALUE(IF(AND(LEN(TRIM(C54))-LEN(SUBSTITUTE(TRIM(C54),".",""))=1,ISNUMBER(VALUE(SUBSTITUTE(TRIM(C54),".","")))),TRIM(C54),B53))</f>
        <v/>
      </c>
      <c r="C54" s="306" t="inlineStr">
        <is>
          <t>1.2</t>
        </is>
      </c>
      <c r="D54" s="227" t="n"/>
      <c r="E54" s="228" t="inlineStr">
        <is>
          <t>MUROS N1 &amp; N2, ENTREPISO &amp; AZOTEA</t>
        </is>
      </c>
      <c r="F54" s="229" t="n">
        <v>1</v>
      </c>
      <c r="G54" s="227" t="inlineStr">
        <is>
          <t>UND</t>
        </is>
      </c>
      <c r="H54" s="227" t="n"/>
      <c r="I54" s="227" t="n"/>
      <c r="J54" s="227" t="n"/>
      <c r="K54" s="230">
        <f>+SUBTOTAL(9,K55:K114)</f>
        <v/>
      </c>
      <c r="L54" s="230">
        <f>+SUBTOTAL(9,L55:L114)</f>
        <v/>
      </c>
      <c r="M54" s="230">
        <f>+SUBTOTAL(9,M55:M114)</f>
        <v/>
      </c>
      <c r="N54" s="230">
        <f>+SUBTOTAL(9,N55:N114)</f>
        <v/>
      </c>
      <c r="O54" s="1135">
        <f>+SUBTOTAL(9,O55:O114)</f>
        <v/>
      </c>
      <c r="P54" s="1133" t="n"/>
      <c r="Q54" s="1133" t="n"/>
      <c r="R54" s="214" t="n"/>
    </row>
    <row r="55">
      <c r="A55" s="16" t="n"/>
      <c r="B55" s="1134">
        <f>VALUE(IF(AND(LEN(TRIM(C55))-LEN(SUBSTITUTE(TRIM(C55),".",""))=1,ISNUMBER(VALUE(SUBSTITUTE(TRIM(C55),".","")))),TRIM(C55),B54))</f>
        <v/>
      </c>
      <c r="C55" s="234" t="inlineStr">
        <is>
          <t xml:space="preserve">1.2.1 </t>
        </is>
      </c>
      <c r="D55" s="235" t="n"/>
      <c r="E55" s="236" t="inlineStr">
        <is>
          <t xml:space="preserve">ACERO EN PAREDES MUROS N1 </t>
        </is>
      </c>
      <c r="F55" s="237">
        <f>+'1_OG y 2_ACA'!D462</f>
        <v/>
      </c>
      <c r="G55" s="235" t="inlineStr">
        <is>
          <t xml:space="preserve">m2 </t>
        </is>
      </c>
      <c r="H55" s="235" t="n"/>
      <c r="I55" s="235" t="n"/>
      <c r="J55" s="235" t="n"/>
      <c r="K55" s="238">
        <f>+SUBTOTAL(9,K56:K67)</f>
        <v/>
      </c>
      <c r="L55" s="238">
        <f>+SUBTOTAL(9,L56:L67)</f>
        <v/>
      </c>
      <c r="M55" s="238">
        <f>+SUBTOTAL(9,M56:M67)</f>
        <v/>
      </c>
      <c r="N55" s="238">
        <f>+SUBTOTAL(9,N56:N67)</f>
        <v/>
      </c>
      <c r="O55" s="1136">
        <f>+SUBTOTAL(9,O56:O67)</f>
        <v/>
      </c>
      <c r="P55" s="1137" t="n"/>
      <c r="Q55" s="1138" t="n"/>
      <c r="R55" s="202" t="n"/>
    </row>
    <row r="56">
      <c r="A56" s="16" t="n"/>
      <c r="B56" s="1134">
        <f>VALUE(IF(AND(LEN(TRIM(C56))-LEN(SUBSTITUTE(TRIM(C56),".",""))=1,ISNUMBER(VALUE(SUBSTITUTE(TRIM(C56),".","")))),TRIM(C56),B55))</f>
        <v/>
      </c>
      <c r="C56" s="274" t="inlineStr">
        <is>
          <t>M01-0146</t>
        </is>
      </c>
      <c r="D56" s="275" t="n"/>
      <c r="E56" s="252">
        <f>+_xlfn.XLOOKUP(C56,'BASE DATOS PRECIOS '!B:B,'BASE DATOS PRECIOS '!E:E)</f>
        <v/>
      </c>
      <c r="F56" s="299">
        <f>+'1_OG y 2_ACA'!D445</f>
        <v/>
      </c>
      <c r="G56" s="257">
        <f>+_xlfn.XLOOKUP(C56,'BASE DATOS PRECIOS '!B:B,'BASE DATOS PRECIOS '!F:F)</f>
        <v/>
      </c>
      <c r="H56" s="256">
        <f>+_xlfn.XLOOKUP(E56,'BASE DATOS PRECIOS '!E:E,'BASE DATOS PRECIOS '!H:H)</f>
        <v/>
      </c>
      <c r="I56" s="257" t="n"/>
      <c r="J56" s="257" t="n"/>
      <c r="K56" s="256">
        <f>+F56*H56</f>
        <v/>
      </c>
      <c r="L56" s="256">
        <f>+F56*I56</f>
        <v/>
      </c>
      <c r="M56" s="256">
        <f>+F56*J56</f>
        <v/>
      </c>
      <c r="N56" s="256">
        <f>SUM(K56:M56)</f>
        <v/>
      </c>
      <c r="O56" s="258">
        <f>SUM(K56:M56)/tc</f>
        <v/>
      </c>
    </row>
    <row r="57">
      <c r="A57" s="16" t="n"/>
      <c r="B57" s="1134">
        <f>VALUE(IF(AND(LEN(TRIM(C57))-LEN(SUBSTITUTE(TRIM(C57),".",""))=1,ISNUMBER(VALUE(SUBSTITUTE(TRIM(C57),".","")))),TRIM(C57),B56))</f>
        <v/>
      </c>
      <c r="C57" s="274" t="inlineStr">
        <is>
          <t>M01-0147</t>
        </is>
      </c>
      <c r="D57" s="246" t="inlineStr">
        <is>
          <t>01</t>
        </is>
      </c>
      <c r="E57" s="252" t="inlineStr">
        <is>
          <t>VARILLA DEFORME #3</t>
        </is>
      </c>
      <c r="F57" s="299">
        <f>'1_OG y 2_ACA'!D446</f>
        <v/>
      </c>
      <c r="G57" s="257">
        <f>+_xlfn.XLOOKUP(C57,'BASE DATOS PRECIOS '!B:B,'BASE DATOS PRECIOS '!F:F)</f>
        <v/>
      </c>
      <c r="H57" s="256">
        <f>+_xlfn.XLOOKUP(E57,'BASE DATOS PRECIOS '!E:E,'BASE DATOS PRECIOS '!H:H)</f>
        <v/>
      </c>
      <c r="I57" s="257" t="n"/>
      <c r="J57" s="257" t="n"/>
      <c r="K57" s="256">
        <f>+F57*H57</f>
        <v/>
      </c>
      <c r="L57" s="256">
        <f>+F57*I57</f>
        <v/>
      </c>
      <c r="M57" s="256">
        <f>+F57*J57</f>
        <v/>
      </c>
      <c r="N57" s="256">
        <f>SUM(K57:M57)</f>
        <v/>
      </c>
      <c r="O57" s="258">
        <f>SUM(K57:M57)/tc</f>
        <v/>
      </c>
    </row>
    <row r="58">
      <c r="A58" s="16" t="n"/>
      <c r="B58" s="1134">
        <f>VALUE(IF(AND(LEN(TRIM(C58))-LEN(SUBSTITUTE(TRIM(C58),".",""))=1,ISNUMBER(VALUE(SUBSTITUTE(TRIM(C58),".","")))),TRIM(C58),B57))</f>
        <v/>
      </c>
      <c r="C58" s="274" t="inlineStr">
        <is>
          <t>M01-0147</t>
        </is>
      </c>
      <c r="D58" s="246" t="inlineStr">
        <is>
          <t>02</t>
        </is>
      </c>
      <c r="E58" s="252" t="inlineStr">
        <is>
          <t>VARILLA DEFORME #3</t>
        </is>
      </c>
      <c r="F58" s="299">
        <f>'1_OG y 2_ACA'!D447</f>
        <v/>
      </c>
      <c r="G58" s="257">
        <f>+_xlfn.XLOOKUP(C58,'BASE DATOS PRECIOS '!B:B,'BASE DATOS PRECIOS '!F:F)</f>
        <v/>
      </c>
      <c r="H58" s="256">
        <f>+_xlfn.XLOOKUP(E58,'BASE DATOS PRECIOS '!E:E,'BASE DATOS PRECIOS '!H:H)</f>
        <v/>
      </c>
      <c r="I58" s="257" t="n"/>
      <c r="J58" s="257" t="n"/>
      <c r="K58" s="256">
        <f>+F58*H58</f>
        <v/>
      </c>
      <c r="L58" s="256">
        <f>+F58*I58</f>
        <v/>
      </c>
      <c r="M58" s="256">
        <f>+F58*J58</f>
        <v/>
      </c>
      <c r="N58" s="256">
        <f>SUM(K58:M58)</f>
        <v/>
      </c>
      <c r="O58" s="258">
        <f>SUM(K58:M58)/tc</f>
        <v/>
      </c>
    </row>
    <row r="59">
      <c r="A59" s="16" t="n"/>
      <c r="B59" s="1134">
        <f>VALUE(IF(AND(LEN(TRIM(C59))-LEN(SUBSTITUTE(TRIM(C59),".",""))=1,ISNUMBER(VALUE(SUBSTITUTE(TRIM(C59),".","")))),TRIM(C59),B58))</f>
        <v/>
      </c>
      <c r="C59" s="274" t="inlineStr">
        <is>
          <t>M01-0148</t>
        </is>
      </c>
      <c r="D59" s="275" t="n"/>
      <c r="E59" s="252">
        <f>+_xlfn.XLOOKUP(C59,'BASE DATOS PRECIOS '!B:B,'BASE DATOS PRECIOS '!E:E)</f>
        <v/>
      </c>
      <c r="F59" s="299">
        <f>+'1_OG y 2_ACA'!D448</f>
        <v/>
      </c>
      <c r="G59" s="257">
        <f>+_xlfn.XLOOKUP(C59,'BASE DATOS PRECIOS '!B:B,'BASE DATOS PRECIOS '!F:F)</f>
        <v/>
      </c>
      <c r="H59" s="256">
        <f>+_xlfn.XLOOKUP(E59,'BASE DATOS PRECIOS '!E:E,'BASE DATOS PRECIOS '!H:H)</f>
        <v/>
      </c>
      <c r="I59" s="257" t="n"/>
      <c r="J59" s="257" t="n"/>
      <c r="K59" s="256">
        <f>+F59*H59</f>
        <v/>
      </c>
      <c r="L59" s="256">
        <f>+F59*I59</f>
        <v/>
      </c>
      <c r="M59" s="256">
        <f>+F59*J59</f>
        <v/>
      </c>
      <c r="N59" s="256">
        <f>SUM(K59:M59)</f>
        <v/>
      </c>
      <c r="O59" s="258">
        <f>SUM(K59:M59)/tc</f>
        <v/>
      </c>
    </row>
    <row r="60">
      <c r="A60" s="16" t="n"/>
      <c r="B60" s="1134">
        <f>VALUE(IF(AND(LEN(TRIM(C60))-LEN(SUBSTITUTE(TRIM(C60),".",""))=1,ISNUMBER(VALUE(SUBSTITUTE(TRIM(C60),".","")))),TRIM(C60),B59))</f>
        <v/>
      </c>
      <c r="C60" s="274" t="inlineStr">
        <is>
          <t>M01-0145</t>
        </is>
      </c>
      <c r="D60" s="275" t="n"/>
      <c r="E60" s="252">
        <f>+_xlfn.XLOOKUP(C60,'BASE DATOS PRECIOS '!B:B,'BASE DATOS PRECIOS '!E:E)</f>
        <v/>
      </c>
      <c r="F60" s="299">
        <f>+'1_OG y 2_ACA'!D449</f>
        <v/>
      </c>
      <c r="G60" s="257">
        <f>+_xlfn.XLOOKUP(C60,'BASE DATOS PRECIOS '!B:B,'BASE DATOS PRECIOS '!F:F)</f>
        <v/>
      </c>
      <c r="H60" s="256">
        <f>+_xlfn.XLOOKUP(E60,'BASE DATOS PRECIOS '!E:E,'BASE DATOS PRECIOS '!H:H)</f>
        <v/>
      </c>
      <c r="I60" s="257" t="n"/>
      <c r="J60" s="257" t="n"/>
      <c r="K60" s="256">
        <f>+F60*H60</f>
        <v/>
      </c>
      <c r="L60" s="256">
        <f>+F60*I60</f>
        <v/>
      </c>
      <c r="M60" s="256">
        <f>+F60*J60</f>
        <v/>
      </c>
      <c r="N60" s="256">
        <f>SUM(K60:M60)</f>
        <v/>
      </c>
      <c r="O60" s="258">
        <f>SUM(K60:M60)/tc</f>
        <v/>
      </c>
    </row>
    <row r="61">
      <c r="A61" s="16" t="n"/>
      <c r="B61" s="1134">
        <f>VALUE(IF(AND(LEN(TRIM(C61))-LEN(SUBSTITUTE(TRIM(C61),".",""))=1,ISNUMBER(VALUE(SUBSTITUTE(TRIM(C61),".","")))),TRIM(C61),B60))</f>
        <v/>
      </c>
      <c r="C61" s="274" t="inlineStr">
        <is>
          <t>M01-0001</t>
        </is>
      </c>
      <c r="D61" s="275" t="n"/>
      <c r="E61" s="252">
        <f>+_xlfn.XLOOKUP(C61,'BASE DATOS PRECIOS '!B:B,'BASE DATOS PRECIOS '!E:E)</f>
        <v/>
      </c>
      <c r="F61" s="299">
        <f>+'1_OG y 2_ACA'!D450</f>
        <v/>
      </c>
      <c r="G61" s="257">
        <f>+_xlfn.XLOOKUP(C61,'BASE DATOS PRECIOS '!B:B,'BASE DATOS PRECIOS '!F:F)</f>
        <v/>
      </c>
      <c r="H61" s="256">
        <f>+_xlfn.XLOOKUP(E61,'BASE DATOS PRECIOS '!E:E,'BASE DATOS PRECIOS '!H:H)</f>
        <v/>
      </c>
      <c r="I61" s="257" t="n"/>
      <c r="J61" s="257" t="n"/>
      <c r="K61" s="256">
        <f>+F61*H61</f>
        <v/>
      </c>
      <c r="L61" s="256">
        <f>+F61*I61</f>
        <v/>
      </c>
      <c r="M61" s="256">
        <f>+F61*J61</f>
        <v/>
      </c>
      <c r="N61" s="256">
        <f>SUM(K61:M61)</f>
        <v/>
      </c>
      <c r="O61" s="258">
        <f>SUM(K61:M61)/tc</f>
        <v/>
      </c>
    </row>
    <row r="62">
      <c r="A62" s="16" t="n"/>
      <c r="B62" s="1134">
        <f>VALUE(IF(AND(LEN(TRIM(C62))-LEN(SUBSTITUTE(TRIM(C62),".",""))=1,ISNUMBER(VALUE(SUBSTITUTE(TRIM(C62),".","")))),TRIM(C62),B61))</f>
        <v/>
      </c>
      <c r="C62" s="274" t="inlineStr">
        <is>
          <t>M08-0051</t>
        </is>
      </c>
      <c r="D62" s="275" t="n"/>
      <c r="E62" s="252">
        <f>+_xlfn.XLOOKUP(C62,'BASE DATOS PRECIOS '!B:B,'BASE DATOS PRECIOS '!E:E)</f>
        <v/>
      </c>
      <c r="F62" s="299">
        <f>+'1_OG y 2_ACA'!D451</f>
        <v/>
      </c>
      <c r="G62" s="257">
        <f>+_xlfn.XLOOKUP(C62,'BASE DATOS PRECIOS '!B:B,'BASE DATOS PRECIOS '!F:F)</f>
        <v/>
      </c>
      <c r="H62" s="256">
        <f>+_xlfn.XLOOKUP(E62,'BASE DATOS PRECIOS '!E:E,'BASE DATOS PRECIOS '!H:H)</f>
        <v/>
      </c>
      <c r="I62" s="257" t="n"/>
      <c r="J62" s="257" t="n"/>
      <c r="K62" s="256">
        <f>+F62*H62</f>
        <v/>
      </c>
      <c r="L62" s="256">
        <f>+F62*I62</f>
        <v/>
      </c>
      <c r="M62" s="256">
        <f>+F62*J62</f>
        <v/>
      </c>
      <c r="N62" s="256">
        <f>SUM(K62:M62)</f>
        <v/>
      </c>
      <c r="O62" s="258">
        <f>SUM(K62:M62)/tc</f>
        <v/>
      </c>
    </row>
    <row r="63">
      <c r="A63" s="16" t="n"/>
      <c r="B63" s="1134">
        <f>VALUE(IF(AND(LEN(TRIM(C63))-LEN(SUBSTITUTE(TRIM(C63),".",""))=1,ISNUMBER(VALUE(SUBSTITUTE(TRIM(C63),".","")))),TRIM(C63),B62))</f>
        <v/>
      </c>
      <c r="C63" s="274" t="inlineStr">
        <is>
          <t>M08-0037</t>
        </is>
      </c>
      <c r="D63" s="275" t="n"/>
      <c r="E63" s="252">
        <f>+_xlfn.XLOOKUP(C63,'BASE DATOS PRECIOS '!B:B,'BASE DATOS PRECIOS '!E:E)</f>
        <v/>
      </c>
      <c r="F63" s="299">
        <f>+F62</f>
        <v/>
      </c>
      <c r="G63" s="257">
        <f>+_xlfn.XLOOKUP(C63,'BASE DATOS PRECIOS '!B:B,'BASE DATOS PRECIOS '!F:F)</f>
        <v/>
      </c>
      <c r="H63" s="256">
        <f>+_xlfn.XLOOKUP(E63,'BASE DATOS PRECIOS '!E:E,'BASE DATOS PRECIOS '!H:H)</f>
        <v/>
      </c>
      <c r="I63" s="257" t="n"/>
      <c r="J63" s="257" t="n"/>
      <c r="K63" s="256">
        <f>+F63*H63</f>
        <v/>
      </c>
      <c r="L63" s="256">
        <f>+F63*I63</f>
        <v/>
      </c>
      <c r="M63" s="256">
        <f>+F63*J63</f>
        <v/>
      </c>
      <c r="N63" s="256">
        <f>SUM(K63:M63)</f>
        <v/>
      </c>
      <c r="O63" s="258">
        <f>SUM(K63:M63)/tc</f>
        <v/>
      </c>
    </row>
    <row r="64">
      <c r="A64" s="266" t="inlineStr">
        <is>
          <t>Acero Muros y Entrepiso</t>
        </is>
      </c>
      <c r="B64" s="1134">
        <f>VALUE(IF(AND(LEN(TRIM(C64))-LEN(SUBSTITUTE(TRIM(C64),".",""))=1,ISNUMBER(VALUE(SUBSTITUTE(TRIM(C64),".","")))),TRIM(C64),B63))</f>
        <v/>
      </c>
      <c r="C64" s="267" t="inlineStr">
        <is>
          <t xml:space="preserve">OPERARIO </t>
        </is>
      </c>
      <c r="D64" s="268" t="n"/>
      <c r="E64" s="269">
        <f>+_xlfn.XLOOKUP(C64,'BASE DATOS MANO DE OBRA'!A:A,'BASE DATOS MANO DE OBRA'!B:B)</f>
        <v/>
      </c>
      <c r="F64" s="270">
        <f>+ROUNDUP('1_OG y 2_ACA'!F455,0)/2</f>
        <v/>
      </c>
      <c r="G64" s="271">
        <f>+_xlfn.XLOOKUP(C64,'BASE DATOS MANO DE OBRA'!A:A,'BASE DATOS MANO DE OBRA'!C:C)</f>
        <v/>
      </c>
      <c r="H64" s="272" t="n">
        <v>0</v>
      </c>
      <c r="I64" s="272">
        <f>+_xlfn.XLOOKUP(C64,'BASE DATOS MANO DE OBRA'!A:A,'BASE DATOS MANO DE OBRA'!E:E)</f>
        <v/>
      </c>
      <c r="J64" s="272" t="n">
        <v>0</v>
      </c>
      <c r="K64" s="272">
        <f>+F64*H64</f>
        <v/>
      </c>
      <c r="L64" s="272">
        <f>+F64*I64</f>
        <v/>
      </c>
      <c r="M64" s="272">
        <f>+F64*J64</f>
        <v/>
      </c>
      <c r="N64" s="272">
        <f>SUM(K64:M64)</f>
        <v/>
      </c>
      <c r="O64" s="273">
        <f>SUM(K64:M64)/tc</f>
        <v/>
      </c>
    </row>
    <row r="65">
      <c r="A65" s="266" t="inlineStr">
        <is>
          <t>Acero Muros y Entrepiso</t>
        </is>
      </c>
      <c r="B65" s="1134">
        <f>VALUE(IF(AND(LEN(TRIM(C65))-LEN(SUBSTITUTE(TRIM(C65),".",""))=1,ISNUMBER(VALUE(SUBSTITUTE(TRIM(C65),".","")))),TRIM(C65),B64))</f>
        <v/>
      </c>
      <c r="C65" s="267" t="inlineStr">
        <is>
          <t xml:space="preserve">AYUDANTE </t>
        </is>
      </c>
      <c r="D65" s="268" t="n"/>
      <c r="E65" s="269">
        <f>+_xlfn.XLOOKUP(C65,'BASE DATOS MANO DE OBRA'!A:A,'BASE DATOS MANO DE OBRA'!B:B)</f>
        <v/>
      </c>
      <c r="F65" s="270">
        <f>+F64</f>
        <v/>
      </c>
      <c r="G65" s="271">
        <f>+_xlfn.XLOOKUP(C65,'BASE DATOS MANO DE OBRA'!A:A,'BASE DATOS MANO DE OBRA'!C:C)</f>
        <v/>
      </c>
      <c r="H65" s="272" t="n">
        <v>0</v>
      </c>
      <c r="I65" s="272">
        <f>+_xlfn.XLOOKUP(C65,'BASE DATOS MANO DE OBRA'!A:A,'BASE DATOS MANO DE OBRA'!E:E)</f>
        <v/>
      </c>
      <c r="J65" s="272" t="n">
        <v>0</v>
      </c>
      <c r="K65" s="272">
        <f>+F65*H65</f>
        <v/>
      </c>
      <c r="L65" s="272">
        <f>+F65*I65</f>
        <v/>
      </c>
      <c r="M65" s="272">
        <f>+F65*J65</f>
        <v/>
      </c>
      <c r="N65" s="272">
        <f>SUM(K65:M65)</f>
        <v/>
      </c>
      <c r="O65" s="273">
        <f>SUM(K65:M65)/tc</f>
        <v/>
      </c>
    </row>
    <row r="66">
      <c r="A66" s="266" t="inlineStr">
        <is>
          <t>Muros y Entrepiso (Formaleta, Concreto)</t>
        </is>
      </c>
      <c r="B66" s="1134">
        <f>VALUE(IF(AND(LEN(TRIM(C66))-LEN(SUBSTITUTE(TRIM(C66),".",""))=1,ISNUMBER(VALUE(SUBSTITUTE(TRIM(C66),".","")))),TRIM(C66),B65))</f>
        <v/>
      </c>
      <c r="C66" s="267" t="inlineStr">
        <is>
          <t xml:space="preserve">OPERARIO </t>
        </is>
      </c>
      <c r="D66" s="268" t="n"/>
      <c r="E66" s="269">
        <f>+_xlfn.XLOOKUP(C66,'BASE DATOS MANO DE OBRA'!A:A,'BASE DATOS MANO DE OBRA'!B:B)</f>
        <v/>
      </c>
      <c r="F66" s="270">
        <f>+ROUNDUP('1_OG y 2_ACA'!F531,0)/2</f>
        <v/>
      </c>
      <c r="G66" s="271">
        <f>+_xlfn.XLOOKUP(C66,'BASE DATOS MANO DE OBRA'!A:A,'BASE DATOS MANO DE OBRA'!C:C)</f>
        <v/>
      </c>
      <c r="H66" s="272" t="n">
        <v>0</v>
      </c>
      <c r="I66" s="272">
        <f>+_xlfn.XLOOKUP(C66,'BASE DATOS MANO DE OBRA'!A:A,'BASE DATOS MANO DE OBRA'!E:E)</f>
        <v/>
      </c>
      <c r="J66" s="272" t="n">
        <v>0</v>
      </c>
      <c r="K66" s="272">
        <f>+F66*H66</f>
        <v/>
      </c>
      <c r="L66" s="272">
        <f>+F66*I66</f>
        <v/>
      </c>
      <c r="M66" s="272">
        <f>+F66*J66</f>
        <v/>
      </c>
      <c r="N66" s="272">
        <f>SUM(K66:M66)</f>
        <v/>
      </c>
      <c r="O66" s="273">
        <f>SUM(K66:M66)/tc</f>
        <v/>
      </c>
    </row>
    <row r="67">
      <c r="A67" s="266" t="inlineStr">
        <is>
          <t>Muros y Entrepiso (Formaleta, Concreto)</t>
        </is>
      </c>
      <c r="B67" s="1134">
        <f>VALUE(IF(AND(LEN(TRIM(C67))-LEN(SUBSTITUTE(TRIM(C67),".",""))=1,ISNUMBER(VALUE(SUBSTITUTE(TRIM(C67),".","")))),TRIM(C67),B66))</f>
        <v/>
      </c>
      <c r="C67" s="267" t="inlineStr">
        <is>
          <t xml:space="preserve">AYUDANTE </t>
        </is>
      </c>
      <c r="D67" s="268" t="n"/>
      <c r="E67" s="269">
        <f>+_xlfn.XLOOKUP(C67,'BASE DATOS MANO DE OBRA'!A:A,'BASE DATOS MANO DE OBRA'!B:B)</f>
        <v/>
      </c>
      <c r="F67" s="270">
        <f>+F66</f>
        <v/>
      </c>
      <c r="G67" s="271">
        <f>+_xlfn.XLOOKUP(C67,'BASE DATOS MANO DE OBRA'!A:A,'BASE DATOS MANO DE OBRA'!C:C)</f>
        <v/>
      </c>
      <c r="H67" s="272" t="n">
        <v>0</v>
      </c>
      <c r="I67" s="272">
        <f>+_xlfn.XLOOKUP(C67,'BASE DATOS MANO DE OBRA'!A:A,'BASE DATOS MANO DE OBRA'!E:E)</f>
        <v/>
      </c>
      <c r="J67" s="272" t="n">
        <v>0</v>
      </c>
      <c r="K67" s="272">
        <f>+F67*H67</f>
        <v/>
      </c>
      <c r="L67" s="272">
        <f>+F67*I67</f>
        <v/>
      </c>
      <c r="M67" s="272">
        <f>+F67*J67</f>
        <v/>
      </c>
      <c r="N67" s="272">
        <f>SUM(K67:M67)</f>
        <v/>
      </c>
      <c r="O67" s="273">
        <f>SUM(K67:M67)/tc</f>
        <v/>
      </c>
    </row>
    <row r="68">
      <c r="A68" s="16" t="n"/>
      <c r="B68" s="1134">
        <f>VALUE(IF(AND(LEN(TRIM(C68))-LEN(SUBSTITUTE(TRIM(C68),".",""))=1,ISNUMBER(VALUE(SUBSTITUTE(TRIM(C68),".","")))),TRIM(C68),B67))</f>
        <v/>
      </c>
      <c r="C68" s="234" t="inlineStr">
        <is>
          <t>1.2.2</t>
        </is>
      </c>
      <c r="D68" s="235" t="n"/>
      <c r="E68" s="236" t="inlineStr">
        <is>
          <t>PAREDES, MUROS N1 (FORMALETA, CONCRETO, DESENCOFRADO)</t>
        </is>
      </c>
      <c r="F68" s="237">
        <f>+'1_OG y 2_ACA'!D462</f>
        <v/>
      </c>
      <c r="G68" s="235" t="inlineStr">
        <is>
          <t xml:space="preserve">m2 </t>
        </is>
      </c>
      <c r="H68" s="235" t="n"/>
      <c r="I68" s="235" t="n"/>
      <c r="J68" s="235" t="n"/>
      <c r="K68" s="238">
        <f>+SUBTOTAL(9,K69:K83)</f>
        <v/>
      </c>
      <c r="L68" s="238">
        <f>+SUBTOTAL(9,L69:L83)</f>
        <v/>
      </c>
      <c r="M68" s="238">
        <f>+SUBTOTAL(9,M69:M83)</f>
        <v/>
      </c>
      <c r="N68" s="238">
        <f>+SUBTOTAL(9,N69:N83)</f>
        <v/>
      </c>
      <c r="O68" s="1136">
        <f>+SUBTOTAL(9,O69:O83)</f>
        <v/>
      </c>
      <c r="P68" s="1137" t="n"/>
      <c r="Q68" s="1138" t="n"/>
      <c r="R68" s="202" t="n"/>
    </row>
    <row r="69">
      <c r="A69" s="16" t="n"/>
      <c r="B69" s="1134">
        <f>VALUE(IF(AND(LEN(TRIM(C69))-LEN(SUBSTITUTE(TRIM(C69),".",""))=1,ISNUMBER(VALUE(SUBSTITUTE(TRIM(C69),".","")))),TRIM(C69),B68))</f>
        <v/>
      </c>
      <c r="C69" s="16" t="inlineStr">
        <is>
          <t>M06-0193</t>
        </is>
      </c>
      <c r="D69" s="292" t="n"/>
      <c r="E69" s="252">
        <f>+_xlfn.XLOOKUP(C69,'BASE DATOS PRECIOS '!B:B,'BASE DATOS PRECIOS '!E:E)</f>
        <v/>
      </c>
      <c r="F69" s="308">
        <f>+'1_OG y 2_ACA'!D499</f>
        <v/>
      </c>
      <c r="G69" s="250">
        <f>+_xlfn.XLOOKUP(C69,'BASE DATOS PRECIOS '!B:B,'BASE DATOS PRECIOS '!F:F)</f>
        <v/>
      </c>
      <c r="H69" s="249">
        <f>+_xlfn.XLOOKUP(E69,'BASE DATOS PRECIOS '!E:E,'BASE DATOS PRECIOS '!H:H)</f>
        <v/>
      </c>
      <c r="I69" s="250" t="n"/>
      <c r="J69" s="250" t="n"/>
      <c r="K69" s="249">
        <f>+F69*H69</f>
        <v/>
      </c>
      <c r="L69" s="249">
        <f>+F69*I69</f>
        <v/>
      </c>
      <c r="M69" s="249">
        <f>+F69*J69</f>
        <v/>
      </c>
      <c r="N69" s="249">
        <f>SUM(K69:M69)</f>
        <v/>
      </c>
      <c r="O69" s="251">
        <f>SUM(K69:M69)/tc</f>
        <v/>
      </c>
      <c r="P69" s="277" t="n"/>
      <c r="Q69" s="277" t="n"/>
      <c r="R69" s="1133" t="n"/>
    </row>
    <row r="70">
      <c r="A70" s="16" t="n"/>
      <c r="B70" s="1134">
        <f>VALUE(IF(AND(LEN(TRIM(C70))-LEN(SUBSTITUTE(TRIM(C70),".",""))=1,ISNUMBER(VALUE(SUBSTITUTE(TRIM(C70),".","")))),TRIM(C70),B69))</f>
        <v/>
      </c>
      <c r="C70" s="16" t="inlineStr">
        <is>
          <t>M06-0195</t>
        </is>
      </c>
      <c r="D70" s="292" t="n"/>
      <c r="E70" s="252">
        <f>+_xlfn.XLOOKUP(C70,'BASE DATOS PRECIOS '!B:B,'BASE DATOS PRECIOS '!E:E)</f>
        <v/>
      </c>
      <c r="F70" s="308">
        <f>'1_OG y 2_ACA'!D523</f>
        <v/>
      </c>
      <c r="G70" s="250">
        <f>+_xlfn.XLOOKUP(C70,'BASE DATOS PRECIOS '!B:B,'BASE DATOS PRECIOS '!F:F)</f>
        <v/>
      </c>
      <c r="H70" s="249">
        <f>+_xlfn.XLOOKUP(E70,'BASE DATOS PRECIOS '!E:E,'BASE DATOS PRECIOS '!H:H)</f>
        <v/>
      </c>
      <c r="I70" s="250" t="n"/>
      <c r="J70" s="250" t="n"/>
      <c r="K70" s="249">
        <f>+F70*H70</f>
        <v/>
      </c>
      <c r="L70" s="249">
        <f>+F70*I70</f>
        <v/>
      </c>
      <c r="M70" s="249">
        <f>+F70*J70</f>
        <v/>
      </c>
      <c r="N70" s="249">
        <f>SUM(K70:M70)</f>
        <v/>
      </c>
      <c r="O70" s="251">
        <f>SUM(K70:M70)/tc</f>
        <v/>
      </c>
      <c r="P70" s="277" t="n"/>
      <c r="Q70" s="277" t="n"/>
      <c r="R70" s="1133" t="n"/>
    </row>
    <row r="71">
      <c r="A71" s="16" t="n"/>
      <c r="B71" s="1134">
        <f>VALUE(IF(AND(LEN(TRIM(C71))-LEN(SUBSTITUTE(TRIM(C71),".",""))=1,ISNUMBER(VALUE(SUBSTITUTE(TRIM(C71),".","")))),TRIM(C71),B70))</f>
        <v/>
      </c>
      <c r="C71" s="16" t="inlineStr">
        <is>
          <t>M09-0042</t>
        </is>
      </c>
      <c r="D71" s="292" t="n"/>
      <c r="E71" s="252">
        <f>+_xlfn.XLOOKUP(C71,'BASE DATOS PRECIOS '!B:B,'BASE DATOS PRECIOS '!E:E)</f>
        <v/>
      </c>
      <c r="F71" s="308">
        <f>'1_OG y 2_ACA'!D524</f>
        <v/>
      </c>
      <c r="G71" s="250">
        <f>+_xlfn.XLOOKUP(C71,'BASE DATOS PRECIOS '!B:B,'BASE DATOS PRECIOS '!F:F)</f>
        <v/>
      </c>
      <c r="H71" s="249">
        <f>+_xlfn.XLOOKUP(E71,'BASE DATOS PRECIOS '!E:E,'BASE DATOS PRECIOS '!H:H)</f>
        <v/>
      </c>
      <c r="I71" s="250" t="n"/>
      <c r="J71" s="250" t="n"/>
      <c r="K71" s="249">
        <f>+F71*H71</f>
        <v/>
      </c>
      <c r="L71" s="249">
        <f>+F71*I71</f>
        <v/>
      </c>
      <c r="M71" s="249">
        <f>+F71*J71</f>
        <v/>
      </c>
      <c r="N71" s="249">
        <f>SUM(K71:M71)</f>
        <v/>
      </c>
      <c r="O71" s="251">
        <f>SUM(K71:M71)/tc</f>
        <v/>
      </c>
      <c r="P71" s="277" t="n"/>
      <c r="Q71" s="277" t="n"/>
      <c r="R71" s="1133" t="n"/>
    </row>
    <row r="72">
      <c r="A72" s="16" t="n"/>
      <c r="B72" s="1134">
        <f>VALUE(IF(AND(LEN(TRIM(C72))-LEN(SUBSTITUTE(TRIM(C72),".",""))=1,ISNUMBER(VALUE(SUBSTITUTE(TRIM(C72),".","")))),TRIM(C72),B71))</f>
        <v/>
      </c>
      <c r="C72" s="16" t="inlineStr">
        <is>
          <t>M06-0040</t>
        </is>
      </c>
      <c r="D72" s="292" t="n"/>
      <c r="E72" s="252">
        <f>+_xlfn.XLOOKUP(C72,'BASE DATOS PRECIOS '!B:B,'BASE DATOS PRECIOS '!E:E)</f>
        <v/>
      </c>
      <c r="F72" s="308">
        <f>'1_OG y 2_ACA'!D525</f>
        <v/>
      </c>
      <c r="G72" s="250">
        <f>+_xlfn.XLOOKUP(C72,'BASE DATOS PRECIOS '!B:B,'BASE DATOS PRECIOS '!F:F)</f>
        <v/>
      </c>
      <c r="H72" s="249">
        <f>+_xlfn.XLOOKUP(E72,'BASE DATOS PRECIOS '!E:E,'BASE DATOS PRECIOS '!H:H)</f>
        <v/>
      </c>
      <c r="I72" s="250" t="n"/>
      <c r="J72" s="250" t="n"/>
      <c r="K72" s="249">
        <f>+F72*H72</f>
        <v/>
      </c>
      <c r="L72" s="249">
        <f>+F72*I72</f>
        <v/>
      </c>
      <c r="M72" s="249">
        <f>+F72*J72</f>
        <v/>
      </c>
      <c r="N72" s="249">
        <f>SUM(K72:M72)</f>
        <v/>
      </c>
      <c r="O72" s="251">
        <f>SUM(K72:M72)/tc</f>
        <v/>
      </c>
      <c r="P72" s="277" t="n"/>
      <c r="Q72" s="277" t="n"/>
      <c r="R72" s="1133" t="n"/>
    </row>
    <row r="73">
      <c r="A73" s="16" t="n"/>
      <c r="B73" s="1134">
        <f>VALUE(IF(AND(LEN(TRIM(C73))-LEN(SUBSTITUTE(TRIM(C73),".",""))=1,ISNUMBER(VALUE(SUBSTITUTE(TRIM(C73),".","")))),TRIM(C73),B72))</f>
        <v/>
      </c>
      <c r="C73" s="16" t="inlineStr">
        <is>
          <t>M10-0090</t>
        </is>
      </c>
      <c r="D73" s="292" t="n"/>
      <c r="E73" s="252">
        <f>+_xlfn.XLOOKUP(C73,'BASE DATOS PRECIOS '!B:B,'BASE DATOS PRECIOS '!E:E)</f>
        <v/>
      </c>
      <c r="F73" s="308">
        <f>'1_OG y 2_ACA'!D526</f>
        <v/>
      </c>
      <c r="G73" s="250">
        <f>+_xlfn.XLOOKUP(C73,'BASE DATOS PRECIOS '!B:B,'BASE DATOS PRECIOS '!F:F)</f>
        <v/>
      </c>
      <c r="H73" s="249">
        <f>+_xlfn.XLOOKUP(E73,'BASE DATOS PRECIOS '!E:E,'BASE DATOS PRECIOS '!H:H)</f>
        <v/>
      </c>
      <c r="I73" s="250" t="n"/>
      <c r="J73" s="250" t="n"/>
      <c r="K73" s="249">
        <f>+F73*H73</f>
        <v/>
      </c>
      <c r="L73" s="249">
        <f>+F73*I73</f>
        <v/>
      </c>
      <c r="M73" s="249">
        <f>+F73*J73</f>
        <v/>
      </c>
      <c r="N73" s="249">
        <f>SUM(K73:M73)</f>
        <v/>
      </c>
      <c r="O73" s="251">
        <f>SUM(K73:M73)/tc</f>
        <v/>
      </c>
      <c r="P73" s="277" t="n"/>
      <c r="Q73" s="277" t="n"/>
      <c r="R73" s="1133" t="n"/>
    </row>
    <row r="74">
      <c r="A74" s="16" t="n"/>
      <c r="B74" s="1134">
        <f>VALUE(IF(AND(LEN(TRIM(C74))-LEN(SUBSTITUTE(TRIM(C74),".",""))=1,ISNUMBER(VALUE(SUBSTITUTE(TRIM(C74),".","")))),TRIM(C74),B73))</f>
        <v/>
      </c>
      <c r="C74" s="16" t="inlineStr">
        <is>
          <t>M06-0240</t>
        </is>
      </c>
      <c r="D74" s="292" t="n"/>
      <c r="E74" s="252">
        <f>+_xlfn.XLOOKUP(C74,'BASE DATOS PRECIOS '!B:B,'BASE DATOS PRECIOS '!E:E)</f>
        <v/>
      </c>
      <c r="F74" s="308">
        <f>'1_OG y 2_ACA'!D527</f>
        <v/>
      </c>
      <c r="G74" s="250">
        <f>+_xlfn.XLOOKUP(C74,'BASE DATOS PRECIOS '!B:B,'BASE DATOS PRECIOS '!F:F)</f>
        <v/>
      </c>
      <c r="H74" s="249">
        <f>+_xlfn.XLOOKUP(E74,'BASE DATOS PRECIOS '!E:E,'BASE DATOS PRECIOS '!H:H)</f>
        <v/>
      </c>
      <c r="I74" s="250" t="n"/>
      <c r="J74" s="250" t="n"/>
      <c r="K74" s="249">
        <f>+F74*H74</f>
        <v/>
      </c>
      <c r="L74" s="249">
        <f>+F74*I74</f>
        <v/>
      </c>
      <c r="M74" s="249">
        <f>+F74*J74</f>
        <v/>
      </c>
      <c r="N74" s="249">
        <f>SUM(K74:M74)</f>
        <v/>
      </c>
      <c r="O74" s="251">
        <f>SUM(K74:M74)/tc</f>
        <v/>
      </c>
      <c r="P74" s="277" t="n"/>
      <c r="Q74" s="277" t="n"/>
      <c r="R74" s="1133" t="n"/>
    </row>
    <row r="75">
      <c r="A75" s="16" t="n"/>
      <c r="B75" s="1134">
        <f>VALUE(IF(AND(LEN(TRIM(C75))-LEN(SUBSTITUTE(TRIM(C75),".",""))=1,ISNUMBER(VALUE(SUBSTITUTE(TRIM(C75),".","")))),TRIM(C75),B74))</f>
        <v/>
      </c>
      <c r="C75" s="16" t="inlineStr">
        <is>
          <t>M06-0179</t>
        </is>
      </c>
      <c r="D75" s="292" t="n"/>
      <c r="E75" s="252">
        <f>+_xlfn.XLOOKUP(C75,'BASE DATOS PRECIOS '!B:B,'BASE DATOS PRECIOS '!E:E)</f>
        <v/>
      </c>
      <c r="F75" s="308">
        <f>'1_OG y 2_ACA'!D528</f>
        <v/>
      </c>
      <c r="G75" s="250">
        <f>+_xlfn.XLOOKUP(C75,'BASE DATOS PRECIOS '!B:B,'BASE DATOS PRECIOS '!F:F)</f>
        <v/>
      </c>
      <c r="H75" s="249">
        <f>+_xlfn.XLOOKUP(E75,'BASE DATOS PRECIOS '!E:E,'BASE DATOS PRECIOS '!H:H)</f>
        <v/>
      </c>
      <c r="I75" s="250" t="n"/>
      <c r="J75" s="250" t="n"/>
      <c r="K75" s="249">
        <f>+F75*H75</f>
        <v/>
      </c>
      <c r="L75" s="249">
        <f>+F75*I75</f>
        <v/>
      </c>
      <c r="M75" s="249">
        <f>+F75*J75</f>
        <v/>
      </c>
      <c r="N75" s="249">
        <f>SUM(K75:M75)</f>
        <v/>
      </c>
      <c r="O75" s="251">
        <f>SUM(K75:M75)/tc</f>
        <v/>
      </c>
      <c r="P75" s="277" t="n"/>
      <c r="Q75" s="277" t="n"/>
      <c r="R75" s="1133" t="n"/>
    </row>
    <row r="76">
      <c r="A76" s="16" t="n"/>
      <c r="B76" s="1134">
        <f>VALUE(IF(AND(LEN(TRIM(C76))-LEN(SUBSTITUTE(TRIM(C76),".",""))=1,ISNUMBER(VALUE(SUBSTITUTE(TRIM(C76),".","")))),TRIM(C76),B75))</f>
        <v/>
      </c>
      <c r="C76" s="16" t="inlineStr">
        <is>
          <t>M10-0063</t>
        </is>
      </c>
      <c r="D76" s="292" t="n"/>
      <c r="E76" s="252">
        <f>+_xlfn.XLOOKUP(C76,'BASE DATOS PRECIOS '!B:B,'BASE DATOS PRECIOS '!E:E)</f>
        <v/>
      </c>
      <c r="F76" s="308">
        <f>'1_OG y 2_ACA'!D491</f>
        <v/>
      </c>
      <c r="G76" s="250">
        <f>+_xlfn.XLOOKUP(C76,'BASE DATOS PRECIOS '!B:B,'BASE DATOS PRECIOS '!F:F)</f>
        <v/>
      </c>
      <c r="H76" s="249">
        <f>+_xlfn.XLOOKUP(E76,'BASE DATOS PRECIOS '!E:E,'BASE DATOS PRECIOS '!H:H)</f>
        <v/>
      </c>
      <c r="I76" s="250" t="n"/>
      <c r="J76" s="250" t="n"/>
      <c r="K76" s="249">
        <f>+F76*H76</f>
        <v/>
      </c>
      <c r="L76" s="249">
        <f>+F76*I76</f>
        <v/>
      </c>
      <c r="M76" s="249">
        <f>+F76*J76</f>
        <v/>
      </c>
      <c r="N76" s="249">
        <f>SUM(K76:M76)</f>
        <v/>
      </c>
      <c r="O76" s="251">
        <f>SUM(K76:M76)/tc</f>
        <v/>
      </c>
      <c r="P76" s="277" t="n"/>
      <c r="Q76" s="277" t="n"/>
      <c r="R76" s="1133" t="n"/>
    </row>
    <row r="77">
      <c r="A77" s="16" t="n"/>
      <c r="B77" s="1134">
        <f>VALUE(IF(AND(LEN(TRIM(C77))-LEN(SUBSTITUTE(TRIM(C77),".",""))=1,ISNUMBER(VALUE(SUBSTITUTE(TRIM(C77),".","")))),TRIM(C77),B76))</f>
        <v/>
      </c>
      <c r="C77" s="259" t="inlineStr">
        <is>
          <t>BOMBA</t>
        </is>
      </c>
      <c r="D77" s="260" t="n"/>
      <c r="E77" s="261">
        <f>+_xlfn.XLOOKUP(C77,'BASE DATOS EQUIPOS Y SUBCONTRAT'!A:A,'BASE DATOS EQUIPOS Y SUBCONTRAT'!B:B)</f>
        <v/>
      </c>
      <c r="F77" s="262">
        <f>F76</f>
        <v/>
      </c>
      <c r="G77" s="263">
        <f>+_xlfn.XLOOKUP(C77,'BASE DATOS EQUIPOS Y SUBCONTRAT'!A:A,'BASE DATOS EQUIPOS Y SUBCONTRAT'!C:C)</f>
        <v/>
      </c>
      <c r="H77" s="264" t="n">
        <v>0</v>
      </c>
      <c r="I77" s="263" t="n"/>
      <c r="J77" s="264" t="n">
        <v>14000</v>
      </c>
      <c r="K77" s="264">
        <f>+F77*H77</f>
        <v/>
      </c>
      <c r="L77" s="264">
        <f>+F77*I77</f>
        <v/>
      </c>
      <c r="M77" s="264">
        <f>+F77*J77</f>
        <v/>
      </c>
      <c r="N77" s="264">
        <f>SUM(K77:M77)</f>
        <v/>
      </c>
      <c r="O77" s="265">
        <f>SUM(K77:M77)/tc</f>
        <v/>
      </c>
      <c r="V77" s="214">
        <f>+C179</f>
        <v/>
      </c>
      <c r="W77" s="214">
        <f>+E179</f>
        <v/>
      </c>
      <c r="X77" s="215">
        <f>+L179</f>
        <v/>
      </c>
      <c r="Y77" s="216">
        <f>+X77/$X$50</f>
        <v/>
      </c>
      <c r="Z77" s="215">
        <f>+X77/$Z$7</f>
        <v/>
      </c>
    </row>
    <row r="78">
      <c r="A78" s="266" t="inlineStr">
        <is>
          <t>Muros y Entrepiso (Formaleta, Concreto)</t>
        </is>
      </c>
      <c r="B78" s="1134">
        <f>VALUE(IF(AND(LEN(TRIM(C78))-LEN(SUBSTITUTE(TRIM(C78),".",""))=1,ISNUMBER(VALUE(SUBSTITUTE(TRIM(C78),".","")))),TRIM(C78),B77))</f>
        <v/>
      </c>
      <c r="C78" s="267" t="inlineStr">
        <is>
          <t xml:space="preserve">OPERARIO </t>
        </is>
      </c>
      <c r="D78" s="268" t="n"/>
      <c r="E78" s="269">
        <f>+_xlfn.XLOOKUP(C78,'BASE DATOS MANO DE OBRA'!A:A,'BASE DATOS MANO DE OBRA'!B:B)</f>
        <v/>
      </c>
      <c r="F78" s="270">
        <f>+ROUNDUP('1_OG y 2_ACA'!F532,0)/2</f>
        <v/>
      </c>
      <c r="G78" s="271">
        <f>+_xlfn.XLOOKUP(C78,'BASE DATOS MANO DE OBRA'!A:A,'BASE DATOS MANO DE OBRA'!C:C)</f>
        <v/>
      </c>
      <c r="H78" s="272" t="n">
        <v>0</v>
      </c>
      <c r="I78" s="272">
        <f>+_xlfn.XLOOKUP(C78,'BASE DATOS MANO DE OBRA'!A:A,'BASE DATOS MANO DE OBRA'!E:E)</f>
        <v/>
      </c>
      <c r="J78" s="272" t="n">
        <v>0</v>
      </c>
      <c r="K78" s="272">
        <f>+F78*H78</f>
        <v/>
      </c>
      <c r="L78" s="272">
        <f>+F78*I78</f>
        <v/>
      </c>
      <c r="M78" s="272">
        <f>+F78*J78</f>
        <v/>
      </c>
      <c r="N78" s="272">
        <f>SUM(K78:M78)</f>
        <v/>
      </c>
      <c r="O78" s="273">
        <f>SUM(K78:M78)/tc</f>
        <v/>
      </c>
      <c r="P78" s="277" t="n"/>
      <c r="Q78" s="277" t="n"/>
      <c r="R78" s="1133" t="n"/>
    </row>
    <row r="79">
      <c r="A79" s="266" t="inlineStr">
        <is>
          <t>Muros y Entrepiso (Formaleta, Concreto)</t>
        </is>
      </c>
      <c r="B79" s="1134">
        <f>VALUE(IF(AND(LEN(TRIM(C79))-LEN(SUBSTITUTE(TRIM(C79),".",""))=1,ISNUMBER(VALUE(SUBSTITUTE(TRIM(C79),".","")))),TRIM(C79),B78))</f>
        <v/>
      </c>
      <c r="C79" s="267" t="inlineStr">
        <is>
          <t xml:space="preserve">AYUDANTE </t>
        </is>
      </c>
      <c r="D79" s="268" t="n"/>
      <c r="E79" s="269">
        <f>+_xlfn.XLOOKUP(C79,'BASE DATOS MANO DE OBRA'!A:A,'BASE DATOS MANO DE OBRA'!B:B)</f>
        <v/>
      </c>
      <c r="F79" s="270">
        <f>+F78</f>
        <v/>
      </c>
      <c r="G79" s="271">
        <f>+_xlfn.XLOOKUP(C79,'BASE DATOS MANO DE OBRA'!A:A,'BASE DATOS MANO DE OBRA'!C:C)</f>
        <v/>
      </c>
      <c r="H79" s="272" t="n">
        <v>0</v>
      </c>
      <c r="I79" s="272">
        <f>+_xlfn.XLOOKUP(C79,'BASE DATOS MANO DE OBRA'!A:A,'BASE DATOS MANO DE OBRA'!E:E)</f>
        <v/>
      </c>
      <c r="J79" s="272" t="n">
        <v>0</v>
      </c>
      <c r="K79" s="272">
        <f>+F79*H79</f>
        <v/>
      </c>
      <c r="L79" s="272">
        <f>+F79*I79</f>
        <v/>
      </c>
      <c r="M79" s="272">
        <f>+F79*J79</f>
        <v/>
      </c>
      <c r="N79" s="272">
        <f>SUM(K79:M79)</f>
        <v/>
      </c>
      <c r="O79" s="273">
        <f>SUM(K79:M79)/tc</f>
        <v/>
      </c>
      <c r="P79" s="277" t="n"/>
      <c r="Q79" s="277" t="n"/>
      <c r="R79" s="1133" t="n"/>
    </row>
    <row r="80">
      <c r="A80" s="266" t="inlineStr">
        <is>
          <t>Muros y Entrepiso (Formaleta, Concreto)</t>
        </is>
      </c>
      <c r="B80" s="1134">
        <f>VALUE(IF(AND(LEN(TRIM(C80))-LEN(SUBSTITUTE(TRIM(C80),".",""))=1,ISNUMBER(VALUE(SUBSTITUTE(TRIM(C80),".","")))),TRIM(C80),B79))</f>
        <v/>
      </c>
      <c r="C80" s="267" t="inlineStr">
        <is>
          <t xml:space="preserve">OPERARIO </t>
        </is>
      </c>
      <c r="D80" s="268" t="n"/>
      <c r="E80" s="269">
        <f>+_xlfn.XLOOKUP(C80,'BASE DATOS MANO DE OBRA'!A:A,'BASE DATOS MANO DE OBRA'!B:B)</f>
        <v/>
      </c>
      <c r="F80" s="270">
        <f>+ROUNDUP(('1_OG y 2_ACA'!F533+'1_OG y 2_ACA'!F531),0)/2</f>
        <v/>
      </c>
      <c r="G80" s="271">
        <f>+_xlfn.XLOOKUP(C80,'BASE DATOS MANO DE OBRA'!A:A,'BASE DATOS MANO DE OBRA'!C:C)</f>
        <v/>
      </c>
      <c r="H80" s="272" t="n">
        <v>0</v>
      </c>
      <c r="I80" s="272">
        <f>+_xlfn.XLOOKUP(C80,'BASE DATOS MANO DE OBRA'!A:A,'BASE DATOS MANO DE OBRA'!E:E)</f>
        <v/>
      </c>
      <c r="J80" s="272" t="n">
        <v>0</v>
      </c>
      <c r="K80" s="272">
        <f>+F80*H80</f>
        <v/>
      </c>
      <c r="L80" s="272">
        <f>+F80*I80</f>
        <v/>
      </c>
      <c r="M80" s="272">
        <f>+F80*J80</f>
        <v/>
      </c>
      <c r="N80" s="272">
        <f>SUM(K80:M80)</f>
        <v/>
      </c>
      <c r="O80" s="273">
        <f>SUM(K80:M80)/tc</f>
        <v/>
      </c>
      <c r="P80" s="277" t="n"/>
      <c r="Q80" s="277" t="n"/>
      <c r="R80" s="1133" t="n"/>
    </row>
    <row r="81">
      <c r="A81" s="266" t="inlineStr">
        <is>
          <t>Muros y Entrepiso (Formaleta, Concreto)</t>
        </is>
      </c>
      <c r="B81" s="1134">
        <f>VALUE(IF(AND(LEN(TRIM(C81))-LEN(SUBSTITUTE(TRIM(C81),".",""))=1,ISNUMBER(VALUE(SUBSTITUTE(TRIM(C81),".","")))),TRIM(C81),B80))</f>
        <v/>
      </c>
      <c r="C81" s="267" t="inlineStr">
        <is>
          <t xml:space="preserve">AYUDANTE </t>
        </is>
      </c>
      <c r="D81" s="268" t="n"/>
      <c r="E81" s="269">
        <f>+_xlfn.XLOOKUP(C81,'BASE DATOS MANO DE OBRA'!A:A,'BASE DATOS MANO DE OBRA'!B:B)</f>
        <v/>
      </c>
      <c r="F81" s="270">
        <f>+F80</f>
        <v/>
      </c>
      <c r="G81" s="271">
        <f>+_xlfn.XLOOKUP(C81,'BASE DATOS MANO DE OBRA'!A:A,'BASE DATOS MANO DE OBRA'!C:C)</f>
        <v/>
      </c>
      <c r="H81" s="272" t="n">
        <v>0</v>
      </c>
      <c r="I81" s="272">
        <f>+_xlfn.XLOOKUP(C81,'BASE DATOS MANO DE OBRA'!A:A,'BASE DATOS MANO DE OBRA'!E:E)</f>
        <v/>
      </c>
      <c r="J81" s="272" t="n">
        <v>0</v>
      </c>
      <c r="K81" s="272">
        <f>+F81*H81</f>
        <v/>
      </c>
      <c r="L81" s="272">
        <f>+F81*I81</f>
        <v/>
      </c>
      <c r="M81" s="272">
        <f>+F81*J81</f>
        <v/>
      </c>
      <c r="N81" s="272">
        <f>SUM(K81:M81)</f>
        <v/>
      </c>
      <c r="O81" s="273">
        <f>SUM(K81:M81)/tc</f>
        <v/>
      </c>
      <c r="P81" s="277" t="n"/>
      <c r="Q81" s="277" t="n"/>
      <c r="R81" s="1133" t="n"/>
    </row>
    <row r="82">
      <c r="A82" s="266" t="inlineStr">
        <is>
          <t>Desencofre y Resane</t>
        </is>
      </c>
      <c r="B82" s="1134">
        <f>VALUE(IF(AND(LEN(TRIM(C82))-LEN(SUBSTITUTE(TRIM(C82),".",""))=1,ISNUMBER(VALUE(SUBSTITUTE(TRIM(C82),".","")))),TRIM(C82),B81))</f>
        <v/>
      </c>
      <c r="C82" s="267" t="inlineStr">
        <is>
          <t xml:space="preserve">OPERARIO </t>
        </is>
      </c>
      <c r="D82" s="268" t="n"/>
      <c r="E82" s="269">
        <f>+_xlfn.XLOOKUP(C82,'BASE DATOS MANO DE OBRA'!A:A,'BASE DATOS MANO DE OBRA'!B:B)</f>
        <v/>
      </c>
      <c r="F82" s="270">
        <f>+ROUNDUP(('1_OG y 2_ACA'!F534+'1_OG y 2_ACA'!F535),0)/2</f>
        <v/>
      </c>
      <c r="G82" s="271">
        <f>+_xlfn.XLOOKUP(C82,'BASE DATOS MANO DE OBRA'!A:A,'BASE DATOS MANO DE OBRA'!C:C)</f>
        <v/>
      </c>
      <c r="H82" s="272" t="n">
        <v>0</v>
      </c>
      <c r="I82" s="272">
        <f>+_xlfn.XLOOKUP(C82,'BASE DATOS MANO DE OBRA'!A:A,'BASE DATOS MANO DE OBRA'!E:E)</f>
        <v/>
      </c>
      <c r="J82" s="272" t="n">
        <v>0</v>
      </c>
      <c r="K82" s="272">
        <f>+F82*H82</f>
        <v/>
      </c>
      <c r="L82" s="272">
        <f>+F82*I82</f>
        <v/>
      </c>
      <c r="M82" s="272">
        <f>+F82*J82</f>
        <v/>
      </c>
      <c r="N82" s="272">
        <f>SUM(K82:M82)</f>
        <v/>
      </c>
      <c r="O82" s="273">
        <f>SUM(K82:M82)/tc</f>
        <v/>
      </c>
      <c r="P82" s="277" t="n"/>
      <c r="Q82" s="277" t="n"/>
      <c r="R82" s="1133" t="n"/>
    </row>
    <row r="83">
      <c r="A83" s="266" t="inlineStr">
        <is>
          <t>Desencofre y Resane</t>
        </is>
      </c>
      <c r="B83" s="1134">
        <f>VALUE(IF(AND(LEN(TRIM(C83))-LEN(SUBSTITUTE(TRIM(C83),".",""))=1,ISNUMBER(VALUE(SUBSTITUTE(TRIM(C83),".","")))),TRIM(C83),B82))</f>
        <v/>
      </c>
      <c r="C83" s="267" t="inlineStr">
        <is>
          <t xml:space="preserve">AYUDANTE </t>
        </is>
      </c>
      <c r="D83" s="268" t="n"/>
      <c r="E83" s="269">
        <f>+_xlfn.XLOOKUP(C83,'BASE DATOS MANO DE OBRA'!A:A,'BASE DATOS MANO DE OBRA'!B:B)</f>
        <v/>
      </c>
      <c r="F83" s="270">
        <f>+F82</f>
        <v/>
      </c>
      <c r="G83" s="271">
        <f>+_xlfn.XLOOKUP(C83,'BASE DATOS MANO DE OBRA'!A:A,'BASE DATOS MANO DE OBRA'!C:C)</f>
        <v/>
      </c>
      <c r="H83" s="272" t="n">
        <v>0</v>
      </c>
      <c r="I83" s="272">
        <f>+_xlfn.XLOOKUP(C83,'BASE DATOS MANO DE OBRA'!A:A,'BASE DATOS MANO DE OBRA'!E:E)</f>
        <v/>
      </c>
      <c r="J83" s="272" t="n">
        <v>0</v>
      </c>
      <c r="K83" s="272">
        <f>+F83*H83</f>
        <v/>
      </c>
      <c r="L83" s="272">
        <f>+F83*I83</f>
        <v/>
      </c>
      <c r="M83" s="272">
        <f>+F83*J83</f>
        <v/>
      </c>
      <c r="N83" s="272">
        <f>SUM(K83:M83)</f>
        <v/>
      </c>
      <c r="O83" s="273">
        <f>SUM(K83:M83)/tc</f>
        <v/>
      </c>
      <c r="P83" s="277" t="n"/>
      <c r="Q83" s="277" t="n"/>
      <c r="R83" s="1133" t="n"/>
    </row>
    <row r="84">
      <c r="A84" s="16" t="n"/>
      <c r="B84" s="1134">
        <f>VALUE(IF(AND(LEN(TRIM(C84))-LEN(SUBSTITUTE(TRIM(C84),".",""))=1,ISNUMBER(VALUE(SUBSTITUTE(TRIM(C84),".","")))),TRIM(C84),B83))</f>
        <v/>
      </c>
      <c r="C84" s="234" t="inlineStr">
        <is>
          <t xml:space="preserve">1.2.3 </t>
        </is>
      </c>
      <c r="D84" s="235" t="n"/>
      <c r="E84" s="236" t="inlineStr">
        <is>
          <t xml:space="preserve">MAMPOSTERIA </t>
        </is>
      </c>
      <c r="F84" s="237" t="n">
        <v>1</v>
      </c>
      <c r="G84" s="235" t="inlineStr">
        <is>
          <t>gb</t>
        </is>
      </c>
      <c r="H84" s="235" t="n"/>
      <c r="I84" s="235" t="n"/>
      <c r="J84" s="235" t="n"/>
      <c r="K84" s="238">
        <f>+SUBTOTAL(9,K85:K88)</f>
        <v/>
      </c>
      <c r="L84" s="238">
        <f>+SUBTOTAL(9,L85:L88)</f>
        <v/>
      </c>
      <c r="M84" s="238">
        <f>+SUBTOTAL(9,M85:M88)</f>
        <v/>
      </c>
      <c r="N84" s="238">
        <f>+SUBTOTAL(9,N85:N88)</f>
        <v/>
      </c>
      <c r="O84" s="1136">
        <f>+SUBTOTAL(9,O85:O88)</f>
        <v/>
      </c>
      <c r="P84" s="1137" t="n"/>
      <c r="Q84" s="1138" t="n"/>
      <c r="R84" s="202" t="n"/>
    </row>
    <row r="85">
      <c r="A85" s="16" t="n"/>
      <c r="B85" s="1134">
        <f>VALUE(IF(AND(LEN(TRIM(C85))-LEN(SUBSTITUTE(TRIM(C85),".",""))=1,ISNUMBER(VALUE(SUBSTITUTE(TRIM(C85),".","")))),TRIM(C85),B84))</f>
        <v/>
      </c>
      <c r="C85" s="309" t="n"/>
      <c r="D85" s="310" t="n"/>
      <c r="E85" s="311" t="n"/>
      <c r="F85" s="276" t="n"/>
      <c r="G85" s="312" t="n"/>
      <c r="H85" s="312" t="n"/>
      <c r="I85" s="312" t="n"/>
      <c r="J85" s="312" t="n"/>
      <c r="K85" s="313" t="n"/>
      <c r="L85" s="313" t="n"/>
      <c r="M85" s="313" t="n"/>
      <c r="N85" s="313" t="n"/>
      <c r="O85" s="314" t="n"/>
      <c r="P85" s="277" t="n"/>
      <c r="Q85" s="277" t="n"/>
      <c r="R85" s="1133" t="n"/>
    </row>
    <row r="86">
      <c r="A86" s="16" t="n"/>
      <c r="B86" s="1134">
        <f>VALUE(IF(AND(LEN(TRIM(C86))-LEN(SUBSTITUTE(TRIM(C86),".",""))=1,ISNUMBER(VALUE(SUBSTITUTE(TRIM(C86),".","")))),TRIM(C86),B85))</f>
        <v/>
      </c>
      <c r="C86" s="309" t="n"/>
      <c r="D86" s="310" t="n"/>
      <c r="E86" s="311" t="n"/>
      <c r="F86" s="276" t="n"/>
      <c r="G86" s="312" t="n"/>
      <c r="H86" s="315" t="n"/>
      <c r="I86" s="312" t="n"/>
      <c r="J86" s="312" t="n"/>
      <c r="K86" s="313" t="n"/>
      <c r="L86" s="313" t="n"/>
      <c r="M86" s="313" t="n"/>
      <c r="N86" s="313" t="n"/>
      <c r="O86" s="314" t="n"/>
      <c r="P86" s="277" t="n"/>
      <c r="Q86" s="277" t="n"/>
      <c r="R86" s="1133" t="n"/>
    </row>
    <row r="87">
      <c r="A87" s="233" t="n"/>
      <c r="B87" s="1134">
        <f>VALUE(IF(AND(LEN(TRIM(C87))-LEN(SUBSTITUTE(TRIM(C87),".",""))=1,ISNUMBER(VALUE(SUBSTITUTE(TRIM(C87),".","")))),TRIM(C87),B86))</f>
        <v/>
      </c>
      <c r="C87" s="267" t="inlineStr">
        <is>
          <t xml:space="preserve">OPERARIO </t>
        </is>
      </c>
      <c r="D87" s="268" t="n"/>
      <c r="E87" s="269">
        <f>+_xlfn.XLOOKUP(C87,'BASE DATOS MANO DE OBRA'!A:A,'BASE DATOS MANO DE OBRA'!B:B)</f>
        <v/>
      </c>
      <c r="F87" s="270" t="n">
        <v>0</v>
      </c>
      <c r="G87" s="271">
        <f>+_xlfn.XLOOKUP(C87,'BASE DATOS MANO DE OBRA'!A:A,'BASE DATOS MANO DE OBRA'!C:C)</f>
        <v/>
      </c>
      <c r="H87" s="272" t="n">
        <v>0</v>
      </c>
      <c r="I87" s="272">
        <f>+_xlfn.XLOOKUP(C87,'BASE DATOS MANO DE OBRA'!A:A,'BASE DATOS MANO DE OBRA'!E:E)</f>
        <v/>
      </c>
      <c r="J87" s="272" t="n">
        <v>0</v>
      </c>
      <c r="K87" s="272">
        <f>+F87*H87</f>
        <v/>
      </c>
      <c r="L87" s="272">
        <f>+F87*I87</f>
        <v/>
      </c>
      <c r="M87" s="272">
        <f>+F87*J87</f>
        <v/>
      </c>
      <c r="N87" s="272">
        <f>SUM(K87:M87)</f>
        <v/>
      </c>
      <c r="O87" s="273">
        <f>SUM(K87:M87)/tc</f>
        <v/>
      </c>
      <c r="P87" s="277" t="n"/>
      <c r="Q87" s="277" t="n"/>
      <c r="R87" s="1133" t="n"/>
    </row>
    <row r="88">
      <c r="A88" s="16" t="n"/>
      <c r="B88" s="1134">
        <f>VALUE(IF(AND(LEN(TRIM(C88))-LEN(SUBSTITUTE(TRIM(C88),".",""))=1,ISNUMBER(VALUE(SUBSTITUTE(TRIM(C88),".","")))),TRIM(C88),B87))</f>
        <v/>
      </c>
      <c r="C88" s="267" t="inlineStr">
        <is>
          <t xml:space="preserve">AYUDANTE </t>
        </is>
      </c>
      <c r="D88" s="268" t="n"/>
      <c r="E88" s="269">
        <f>+_xlfn.XLOOKUP(C88,'BASE DATOS MANO DE OBRA'!A:A,'BASE DATOS MANO DE OBRA'!B:B)</f>
        <v/>
      </c>
      <c r="F88" s="270" t="n">
        <v>0</v>
      </c>
      <c r="G88" s="271">
        <f>+_xlfn.XLOOKUP(C88,'BASE DATOS MANO DE OBRA'!A:A,'BASE DATOS MANO DE OBRA'!C:C)</f>
        <v/>
      </c>
      <c r="H88" s="272" t="n">
        <v>0</v>
      </c>
      <c r="I88" s="272">
        <f>+_xlfn.XLOOKUP(C88,'BASE DATOS MANO DE OBRA'!A:A,'BASE DATOS MANO DE OBRA'!E:E)</f>
        <v/>
      </c>
      <c r="J88" s="272" t="n">
        <v>0</v>
      </c>
      <c r="K88" s="272">
        <f>+F88*H88</f>
        <v/>
      </c>
      <c r="L88" s="272">
        <f>+F88*I88</f>
        <v/>
      </c>
      <c r="M88" s="272">
        <f>+F88*J88</f>
        <v/>
      </c>
      <c r="N88" s="272">
        <f>SUM(K88:M88)</f>
        <v/>
      </c>
      <c r="O88" s="273">
        <f>SUM(K88:M88)/tc</f>
        <v/>
      </c>
      <c r="P88" s="277" t="n"/>
      <c r="Q88" s="277" t="n"/>
      <c r="R88" s="1133" t="n"/>
    </row>
    <row r="89">
      <c r="A89" s="16" t="n"/>
      <c r="B89" s="1134">
        <f>VALUE(IF(AND(LEN(TRIM(C89))-LEN(SUBSTITUTE(TRIM(C89),".",""))=1,ISNUMBER(VALUE(SUBSTITUTE(TRIM(C89),".","")))),TRIM(C89),B88))</f>
        <v/>
      </c>
      <c r="C89" s="234" t="inlineStr">
        <is>
          <t>1.2.4</t>
        </is>
      </c>
      <c r="D89" s="235" t="n"/>
      <c r="E89" s="236" t="inlineStr">
        <is>
          <t xml:space="preserve">ACERO EN PAREDES MUROS N2 </t>
        </is>
      </c>
      <c r="F89" s="237">
        <f>+'1_OG y 2_ACA'!D647</f>
        <v/>
      </c>
      <c r="G89" s="235" t="inlineStr">
        <is>
          <t>m2</t>
        </is>
      </c>
      <c r="H89" s="235" t="n"/>
      <c r="I89" s="235" t="n"/>
      <c r="J89" s="235" t="n"/>
      <c r="K89" s="238">
        <f>+SUBTOTAL(9,K91:K100)</f>
        <v/>
      </c>
      <c r="L89" s="238">
        <f>+SUBTOTAL(9,L91:L100)</f>
        <v/>
      </c>
      <c r="M89" s="238">
        <f>+SUBTOTAL(9,M91:M100)</f>
        <v/>
      </c>
      <c r="N89" s="238">
        <f>+SUBTOTAL(9,N90:N100)</f>
        <v/>
      </c>
      <c r="O89" s="1136">
        <f>+SUBTOTAL(9,O91:O100)</f>
        <v/>
      </c>
      <c r="P89" s="1137" t="n"/>
      <c r="Q89" s="1138" t="n"/>
      <c r="R89" s="202" t="n"/>
    </row>
    <row r="90">
      <c r="A90" s="16" t="n"/>
      <c r="B90" s="1134">
        <f>VALUE(IF(AND(LEN(TRIM(C90))-LEN(SUBSTITUTE(TRIM(C90),".",""))=1,ISNUMBER(VALUE(SUBSTITUTE(TRIM(C90),".","")))),TRIM(C90),B89))</f>
        <v/>
      </c>
      <c r="C90" s="274" t="inlineStr">
        <is>
          <t>M01-0147</t>
        </is>
      </c>
      <c r="D90" s="246" t="inlineStr">
        <is>
          <t>01</t>
        </is>
      </c>
      <c r="E90" s="252" t="inlineStr">
        <is>
          <t>VARILLA DEFORME #3</t>
        </is>
      </c>
      <c r="F90" s="308">
        <f>'1_OG y 2_ACA'!D630</f>
        <v/>
      </c>
      <c r="G90" s="257">
        <f>+_xlfn.XLOOKUP(C90,'BASE DATOS PRECIOS '!B:B,'BASE DATOS PRECIOS '!F:F)</f>
        <v/>
      </c>
      <c r="H90" s="256">
        <f>+_xlfn.XLOOKUP(E90,'BASE DATOS PRECIOS '!E:E,'BASE DATOS PRECIOS '!H:H)</f>
        <v/>
      </c>
      <c r="I90" s="257" t="n"/>
      <c r="J90" s="257" t="n"/>
      <c r="K90" s="256">
        <f>+F90*H90</f>
        <v/>
      </c>
      <c r="L90" s="256">
        <f>+F90*I90</f>
        <v/>
      </c>
      <c r="M90" s="256">
        <f>+F90*J90</f>
        <v/>
      </c>
      <c r="N90" s="256">
        <f>SUM(K90:M90)</f>
        <v/>
      </c>
      <c r="O90" s="258">
        <f>SUM(K90:M90)/tc</f>
        <v/>
      </c>
      <c r="P90" s="1137" t="n"/>
      <c r="Q90" s="1138" t="n"/>
      <c r="R90" s="202" t="n"/>
    </row>
    <row r="91">
      <c r="A91" s="16" t="n"/>
      <c r="B91" s="1134">
        <f>VALUE(IF(AND(LEN(TRIM(C91))-LEN(SUBSTITUTE(TRIM(C91),".",""))=1,ISNUMBER(VALUE(SUBSTITUTE(TRIM(C91),".","")))),TRIM(C91),B90))</f>
        <v/>
      </c>
      <c r="C91" s="274" t="inlineStr">
        <is>
          <t>M01-0147</t>
        </is>
      </c>
      <c r="D91" s="246" t="inlineStr">
        <is>
          <t>02</t>
        </is>
      </c>
      <c r="E91" s="252" t="inlineStr">
        <is>
          <t>VARILLA DEFORME #3</t>
        </is>
      </c>
      <c r="F91" s="308">
        <f>'1_OG y 2_ACA'!D631</f>
        <v/>
      </c>
      <c r="G91" s="257">
        <f>+_xlfn.XLOOKUP(C91,'BASE DATOS PRECIOS '!B:B,'BASE DATOS PRECIOS '!F:F)</f>
        <v/>
      </c>
      <c r="H91" s="256">
        <f>+_xlfn.XLOOKUP(E91,'BASE DATOS PRECIOS '!E:E,'BASE DATOS PRECIOS '!H:H)</f>
        <v/>
      </c>
      <c r="I91" s="257" t="n"/>
      <c r="J91" s="257" t="n"/>
      <c r="K91" s="256">
        <f>+F91*H91</f>
        <v/>
      </c>
      <c r="L91" s="256">
        <f>+F91*I91</f>
        <v/>
      </c>
      <c r="M91" s="256">
        <f>+F91*J91</f>
        <v/>
      </c>
      <c r="N91" s="256">
        <f>SUM(K91:M91)</f>
        <v/>
      </c>
      <c r="O91" s="258">
        <f>SUM(K91:M91)/tc</f>
        <v/>
      </c>
      <c r="P91" s="277" t="n"/>
    </row>
    <row r="92">
      <c r="A92" s="16" t="n"/>
      <c r="B92" s="1134">
        <f>VALUE(IF(AND(LEN(TRIM(C92))-LEN(SUBSTITUTE(TRIM(C92),".",""))=1,ISNUMBER(VALUE(SUBSTITUTE(TRIM(C92),".","")))),TRIM(C92),B91))</f>
        <v/>
      </c>
      <c r="C92" s="274" t="inlineStr">
        <is>
          <t>M01-0148</t>
        </is>
      </c>
      <c r="D92" s="275" t="n"/>
      <c r="E92" s="252">
        <f>+_xlfn.XLOOKUP(C92,'BASE DATOS PRECIOS '!B:B,'BASE DATOS PRECIOS '!E:E)</f>
        <v/>
      </c>
      <c r="F92" s="308">
        <f>+'1_OG y 2_ACA'!D632</f>
        <v/>
      </c>
      <c r="G92" s="257">
        <f>+_xlfn.XLOOKUP(C92,'BASE DATOS PRECIOS '!B:B,'BASE DATOS PRECIOS '!F:F)</f>
        <v/>
      </c>
      <c r="H92" s="256">
        <f>+_xlfn.XLOOKUP(E92,'BASE DATOS PRECIOS '!E:E,'BASE DATOS PRECIOS '!H:H)</f>
        <v/>
      </c>
      <c r="I92" s="257" t="n"/>
      <c r="J92" s="257" t="n"/>
      <c r="K92" s="256">
        <f>+F92*H92</f>
        <v/>
      </c>
      <c r="L92" s="256">
        <f>+F92*I92</f>
        <v/>
      </c>
      <c r="M92" s="256">
        <f>+F92*J92</f>
        <v/>
      </c>
      <c r="N92" s="256">
        <f>SUM(K92:M92)</f>
        <v/>
      </c>
      <c r="O92" s="258">
        <f>SUM(K92:M92)/tc</f>
        <v/>
      </c>
      <c r="P92" s="277" t="n"/>
    </row>
    <row r="93">
      <c r="A93" s="16" t="n"/>
      <c r="B93" s="1134">
        <f>VALUE(IF(AND(LEN(TRIM(C93))-LEN(SUBSTITUTE(TRIM(C93),".",""))=1,ISNUMBER(VALUE(SUBSTITUTE(TRIM(C93),".","")))),TRIM(C93),B92))</f>
        <v/>
      </c>
      <c r="C93" s="274" t="inlineStr">
        <is>
          <t>M01-0145</t>
        </is>
      </c>
      <c r="D93" s="275" t="n"/>
      <c r="E93" s="252">
        <f>+_xlfn.XLOOKUP(C93,'BASE DATOS PRECIOS '!B:B,'BASE DATOS PRECIOS '!E:E)</f>
        <v/>
      </c>
      <c r="F93" s="308">
        <f>+'1_OG y 2_ACA'!D633</f>
        <v/>
      </c>
      <c r="G93" s="257">
        <f>+_xlfn.XLOOKUP(C93,'BASE DATOS PRECIOS '!B:B,'BASE DATOS PRECIOS '!F:F)</f>
        <v/>
      </c>
      <c r="H93" s="256">
        <f>+_xlfn.XLOOKUP(E93,'BASE DATOS PRECIOS '!E:E,'BASE DATOS PRECIOS '!H:H)</f>
        <v/>
      </c>
      <c r="I93" s="257" t="n"/>
      <c r="J93" s="257" t="n"/>
      <c r="K93" s="256">
        <f>+F93*H93</f>
        <v/>
      </c>
      <c r="L93" s="256">
        <f>+F93*I93</f>
        <v/>
      </c>
      <c r="M93" s="256">
        <f>+F93*J93</f>
        <v/>
      </c>
      <c r="N93" s="256">
        <f>SUM(K93:M93)</f>
        <v/>
      </c>
      <c r="O93" s="258">
        <f>SUM(K93:M93)/tc</f>
        <v/>
      </c>
      <c r="P93" s="277" t="n"/>
    </row>
    <row r="94">
      <c r="A94" s="16" t="n"/>
      <c r="B94" s="1134">
        <f>VALUE(IF(AND(LEN(TRIM(C94))-LEN(SUBSTITUTE(TRIM(C94),".",""))=1,ISNUMBER(VALUE(SUBSTITUTE(TRIM(C94),".","")))),TRIM(C94),B93))</f>
        <v/>
      </c>
      <c r="C94" s="274" t="inlineStr">
        <is>
          <t>M01-0001</t>
        </is>
      </c>
      <c r="D94" s="275" t="n"/>
      <c r="E94" s="252">
        <f>+_xlfn.XLOOKUP(C94,'BASE DATOS PRECIOS '!B:B,'BASE DATOS PRECIOS '!E:E)</f>
        <v/>
      </c>
      <c r="F94" s="308">
        <f>+'1_OG y 2_ACA'!D634</f>
        <v/>
      </c>
      <c r="G94" s="257">
        <f>+_xlfn.XLOOKUP(C94,'BASE DATOS PRECIOS '!B:B,'BASE DATOS PRECIOS '!F:F)</f>
        <v/>
      </c>
      <c r="H94" s="256">
        <f>+_xlfn.XLOOKUP(E94,'BASE DATOS PRECIOS '!E:E,'BASE DATOS PRECIOS '!H:H)</f>
        <v/>
      </c>
      <c r="I94" s="257" t="n"/>
      <c r="J94" s="257" t="n"/>
      <c r="K94" s="256">
        <f>+F94*H94</f>
        <v/>
      </c>
      <c r="L94" s="256">
        <f>+F94*I94</f>
        <v/>
      </c>
      <c r="M94" s="256">
        <f>+F94*J94</f>
        <v/>
      </c>
      <c r="N94" s="256">
        <f>SUM(K94:M94)</f>
        <v/>
      </c>
      <c r="O94" s="258">
        <f>SUM(K94:M94)/tc</f>
        <v/>
      </c>
      <c r="P94" s="277" t="n"/>
    </row>
    <row r="95">
      <c r="A95" s="16" t="n"/>
      <c r="B95" s="1134">
        <f>VALUE(IF(AND(LEN(TRIM(C95))-LEN(SUBSTITUTE(TRIM(C95),".",""))=1,ISNUMBER(VALUE(SUBSTITUTE(TRIM(C95),".","")))),TRIM(C95),B94))</f>
        <v/>
      </c>
      <c r="C95" s="274" t="inlineStr">
        <is>
          <t>M08-0051</t>
        </is>
      </c>
      <c r="D95" s="275" t="n"/>
      <c r="E95" s="252">
        <f>+_xlfn.XLOOKUP(C95,'BASE DATOS PRECIOS '!B:B,'BASE DATOS PRECIOS '!E:E)</f>
        <v/>
      </c>
      <c r="F95" s="308">
        <f>+'1_OG y 2_ACA'!D635</f>
        <v/>
      </c>
      <c r="G95" s="257">
        <f>+_xlfn.XLOOKUP(C95,'BASE DATOS PRECIOS '!B:B,'BASE DATOS PRECIOS '!F:F)</f>
        <v/>
      </c>
      <c r="H95" s="256">
        <f>+_xlfn.XLOOKUP(E95,'BASE DATOS PRECIOS '!E:E,'BASE DATOS PRECIOS '!H:H)</f>
        <v/>
      </c>
      <c r="I95" s="257" t="n"/>
      <c r="J95" s="257" t="n"/>
      <c r="K95" s="256">
        <f>+F95*H95</f>
        <v/>
      </c>
      <c r="L95" s="256">
        <f>+F95*I95</f>
        <v/>
      </c>
      <c r="M95" s="256">
        <f>+F95*J95</f>
        <v/>
      </c>
      <c r="N95" s="256">
        <f>SUM(K95:M95)</f>
        <v/>
      </c>
      <c r="O95" s="258">
        <f>SUM(K95:M95)/tc</f>
        <v/>
      </c>
      <c r="P95" s="277" t="n"/>
    </row>
    <row r="96">
      <c r="A96" s="16" t="n"/>
      <c r="B96" s="1134">
        <f>VALUE(IF(AND(LEN(TRIM(C96))-LEN(SUBSTITUTE(TRIM(C96),".",""))=1,ISNUMBER(VALUE(SUBSTITUTE(TRIM(C96),".","")))),TRIM(C96),B95))</f>
        <v/>
      </c>
      <c r="C96" s="274" t="inlineStr">
        <is>
          <t>M08-0037</t>
        </is>
      </c>
      <c r="D96" s="275" t="n"/>
      <c r="E96" s="252">
        <f>+_xlfn.XLOOKUP(C96,'BASE DATOS PRECIOS '!B:B,'BASE DATOS PRECIOS '!E:E)</f>
        <v/>
      </c>
      <c r="F96" s="308">
        <f>+'1_OG y 2_ACA'!D636</f>
        <v/>
      </c>
      <c r="G96" s="257">
        <f>+_xlfn.XLOOKUP(C96,'BASE DATOS PRECIOS '!B:B,'BASE DATOS PRECIOS '!F:F)</f>
        <v/>
      </c>
      <c r="H96" s="256">
        <f>+_xlfn.XLOOKUP(E96,'BASE DATOS PRECIOS '!E:E,'BASE DATOS PRECIOS '!H:H)</f>
        <v/>
      </c>
      <c r="I96" s="257" t="n"/>
      <c r="J96" s="257" t="n"/>
      <c r="K96" s="256">
        <f>+F96*H96</f>
        <v/>
      </c>
      <c r="L96" s="256">
        <f>+F96*I96</f>
        <v/>
      </c>
      <c r="M96" s="256">
        <f>+F96*J96</f>
        <v/>
      </c>
      <c r="N96" s="256">
        <f>SUM(K96:M96)</f>
        <v/>
      </c>
      <c r="O96" s="258">
        <f>SUM(K96:M96)/tc</f>
        <v/>
      </c>
    </row>
    <row r="97">
      <c r="A97" s="266" t="inlineStr">
        <is>
          <t>Acero Muros y Entrepiso</t>
        </is>
      </c>
      <c r="B97" s="1134">
        <f>VALUE(IF(AND(LEN(TRIM(C97))-LEN(SUBSTITUTE(TRIM(C97),".",""))=1,ISNUMBER(VALUE(SUBSTITUTE(TRIM(C97),".","")))),TRIM(C97),B96))</f>
        <v/>
      </c>
      <c r="C97" s="267" t="inlineStr">
        <is>
          <t xml:space="preserve">OPERARIO </t>
        </is>
      </c>
      <c r="D97" s="268" t="n"/>
      <c r="E97" s="269">
        <f>+_xlfn.XLOOKUP(C97,'BASE DATOS MANO DE OBRA'!A:A,'BASE DATOS MANO DE OBRA'!B:B)</f>
        <v/>
      </c>
      <c r="F97" s="270">
        <f>+ROUNDUP('1_OG y 2_ACA'!F639,0)/2</f>
        <v/>
      </c>
      <c r="G97" s="271">
        <f>+_xlfn.XLOOKUP(C97,'BASE DATOS MANO DE OBRA'!A:A,'BASE DATOS MANO DE OBRA'!C:C)</f>
        <v/>
      </c>
      <c r="H97" s="272" t="n">
        <v>0</v>
      </c>
      <c r="I97" s="272">
        <f>+_xlfn.XLOOKUP(C97,'BASE DATOS MANO DE OBRA'!A:A,'BASE DATOS MANO DE OBRA'!E:E)</f>
        <v/>
      </c>
      <c r="J97" s="272" t="n">
        <v>0</v>
      </c>
      <c r="K97" s="272">
        <f>+F97*H97</f>
        <v/>
      </c>
      <c r="L97" s="272">
        <f>+F97*I97</f>
        <v/>
      </c>
      <c r="M97" s="272">
        <f>+F97*J97</f>
        <v/>
      </c>
      <c r="N97" s="272">
        <f>SUM(K97:M97)</f>
        <v/>
      </c>
      <c r="O97" s="273">
        <f>SUM(K97:M97)/tc</f>
        <v/>
      </c>
      <c r="P97" s="277" t="n"/>
    </row>
    <row r="98">
      <c r="A98" s="266" t="inlineStr">
        <is>
          <t>Acero Muros y Entrepiso</t>
        </is>
      </c>
      <c r="B98" s="1134">
        <f>VALUE(IF(AND(LEN(TRIM(C98))-LEN(SUBSTITUTE(TRIM(C98),".",""))=1,ISNUMBER(VALUE(SUBSTITUTE(TRIM(C98),".","")))),TRIM(C98),B97))</f>
        <v/>
      </c>
      <c r="C98" s="267" t="inlineStr">
        <is>
          <t xml:space="preserve">AYUDANTE </t>
        </is>
      </c>
      <c r="D98" s="268" t="n"/>
      <c r="E98" s="269">
        <f>+_xlfn.XLOOKUP(C98,'BASE DATOS MANO DE OBRA'!A:A,'BASE DATOS MANO DE OBRA'!B:B)</f>
        <v/>
      </c>
      <c r="F98" s="270">
        <f>+F97</f>
        <v/>
      </c>
      <c r="G98" s="271">
        <f>+_xlfn.XLOOKUP(C98,'BASE DATOS MANO DE OBRA'!A:A,'BASE DATOS MANO DE OBRA'!C:C)</f>
        <v/>
      </c>
      <c r="H98" s="272" t="n">
        <v>0</v>
      </c>
      <c r="I98" s="272">
        <f>+_xlfn.XLOOKUP(C98,'BASE DATOS MANO DE OBRA'!A:A,'BASE DATOS MANO DE OBRA'!E:E)</f>
        <v/>
      </c>
      <c r="J98" s="272" t="n">
        <v>0</v>
      </c>
      <c r="K98" s="272">
        <f>+F98*H98</f>
        <v/>
      </c>
      <c r="L98" s="272">
        <f>+F98*I98</f>
        <v/>
      </c>
      <c r="M98" s="272">
        <f>+F98*J98</f>
        <v/>
      </c>
      <c r="N98" s="272">
        <f>SUM(K98:M98)</f>
        <v/>
      </c>
      <c r="O98" s="273">
        <f>SUM(K98:M98)/tc</f>
        <v/>
      </c>
      <c r="P98" s="277" t="n"/>
    </row>
    <row r="99">
      <c r="A99" s="266" t="inlineStr">
        <is>
          <t>Muros y Entrepiso (Formaleta, Concreto)</t>
        </is>
      </c>
      <c r="B99" s="1134">
        <f>VALUE(IF(AND(LEN(TRIM(C99))-LEN(SUBSTITUTE(TRIM(C99),".",""))=1,ISNUMBER(VALUE(SUBSTITUTE(TRIM(C99),".","")))),TRIM(C99),B98))</f>
        <v/>
      </c>
      <c r="C99" s="267" t="inlineStr">
        <is>
          <t xml:space="preserve">OPERARIO </t>
        </is>
      </c>
      <c r="D99" s="268" t="n"/>
      <c r="E99" s="269">
        <f>+_xlfn.XLOOKUP(C99,'BASE DATOS MANO DE OBRA'!A:A,'BASE DATOS MANO DE OBRA'!B:B)</f>
        <v/>
      </c>
      <c r="F99" s="270">
        <f>+ROUNDUP('1_OG y 2_ACA'!F715,0)/2</f>
        <v/>
      </c>
      <c r="G99" s="271">
        <f>+_xlfn.XLOOKUP(C99,'BASE DATOS MANO DE OBRA'!A:A,'BASE DATOS MANO DE OBRA'!C:C)</f>
        <v/>
      </c>
      <c r="H99" s="272" t="n">
        <v>0</v>
      </c>
      <c r="I99" s="272">
        <f>+_xlfn.XLOOKUP(C99,'BASE DATOS MANO DE OBRA'!A:A,'BASE DATOS MANO DE OBRA'!E:E)</f>
        <v/>
      </c>
      <c r="J99" s="272" t="n">
        <v>0</v>
      </c>
      <c r="K99" s="272">
        <f>+F99*H99</f>
        <v/>
      </c>
      <c r="L99" s="272">
        <f>+F99*I99</f>
        <v/>
      </c>
      <c r="M99" s="272">
        <f>+F99*J99</f>
        <v/>
      </c>
      <c r="N99" s="272">
        <f>SUM(K99:M99)</f>
        <v/>
      </c>
      <c r="O99" s="273">
        <f>SUM(K99:M99)/tc</f>
        <v/>
      </c>
      <c r="P99" s="277" t="n"/>
    </row>
    <row r="100">
      <c r="A100" s="266" t="inlineStr">
        <is>
          <t>Muros y Entrepiso (Formaleta, Concreto)</t>
        </is>
      </c>
      <c r="B100" s="1134">
        <f>VALUE(IF(AND(LEN(TRIM(C100))-LEN(SUBSTITUTE(TRIM(C100),".",""))=1,ISNUMBER(VALUE(SUBSTITUTE(TRIM(C100),".","")))),TRIM(C100),B99))</f>
        <v/>
      </c>
      <c r="C100" s="267" t="inlineStr">
        <is>
          <t xml:space="preserve">AYUDANTE </t>
        </is>
      </c>
      <c r="D100" s="268" t="n"/>
      <c r="E100" s="269">
        <f>+_xlfn.XLOOKUP(C100,'BASE DATOS MANO DE OBRA'!A:A,'BASE DATOS MANO DE OBRA'!B:B)</f>
        <v/>
      </c>
      <c r="F100" s="270">
        <f>+F99</f>
        <v/>
      </c>
      <c r="G100" s="271">
        <f>+_xlfn.XLOOKUP(C100,'BASE DATOS MANO DE OBRA'!A:A,'BASE DATOS MANO DE OBRA'!C:C)</f>
        <v/>
      </c>
      <c r="H100" s="272" t="n">
        <v>0</v>
      </c>
      <c r="I100" s="272">
        <f>+_xlfn.XLOOKUP(C100,'BASE DATOS MANO DE OBRA'!A:A,'BASE DATOS MANO DE OBRA'!E:E)</f>
        <v/>
      </c>
      <c r="J100" s="272" t="n">
        <v>0</v>
      </c>
      <c r="K100" s="272">
        <f>+F100*H100</f>
        <v/>
      </c>
      <c r="L100" s="272">
        <f>+F100*I100</f>
        <v/>
      </c>
      <c r="M100" s="272">
        <f>+F100*J100</f>
        <v/>
      </c>
      <c r="N100" s="272">
        <f>SUM(K100:M100)</f>
        <v/>
      </c>
      <c r="O100" s="273">
        <f>SUM(K100:M100)/tc</f>
        <v/>
      </c>
      <c r="P100" s="277" t="n"/>
    </row>
    <row r="101">
      <c r="A101" s="16" t="n"/>
      <c r="B101" s="1134">
        <f>VALUE(IF(AND(LEN(TRIM(C101))-LEN(SUBSTITUTE(TRIM(C101),".",""))=1,ISNUMBER(VALUE(SUBSTITUTE(TRIM(C101),".","")))),TRIM(C101),B100))</f>
        <v/>
      </c>
      <c r="C101" s="234" t="inlineStr">
        <is>
          <t>1.2.5</t>
        </is>
      </c>
      <c r="D101" s="235" t="n"/>
      <c r="E101" s="236" t="inlineStr">
        <is>
          <t>PAREDES, MUROS N2 (FORMALETA, CONCRETO, DESENCOFRADO)</t>
        </is>
      </c>
      <c r="F101" s="237">
        <f>+'1_OG y 2_ACA'!D647</f>
        <v/>
      </c>
      <c r="G101" s="235" t="inlineStr">
        <is>
          <t>m2</t>
        </is>
      </c>
      <c r="H101" s="235" t="n"/>
      <c r="I101" s="235" t="n"/>
      <c r="J101" s="235" t="n"/>
      <c r="K101" s="238">
        <f>+SUBTOTAL(9,K102:K114)</f>
        <v/>
      </c>
      <c r="L101" s="238">
        <f>+SUBTOTAL(9,L102:L114)</f>
        <v/>
      </c>
      <c r="M101" s="238">
        <f>+SUBTOTAL(9,M102:M114)</f>
        <v/>
      </c>
      <c r="N101" s="238">
        <f>+SUBTOTAL(9,N102:N114)</f>
        <v/>
      </c>
      <c r="O101" s="1136">
        <f>+SUBTOTAL(9,O102:O114)</f>
        <v/>
      </c>
      <c r="P101" s="1137" t="n"/>
      <c r="R101" s="232" t="n">
        <v>1853757.3856</v>
      </c>
    </row>
    <row r="102">
      <c r="A102" s="16" t="n"/>
      <c r="B102" s="1134">
        <f>VALUE(IF(AND(LEN(TRIM(C102))-LEN(SUBSTITUTE(TRIM(C102),".",""))=1,ISNUMBER(VALUE(SUBSTITUTE(TRIM(C102),".","")))),TRIM(C102),B101))</f>
        <v/>
      </c>
      <c r="C102" s="16" t="inlineStr">
        <is>
          <t>M06-0195</t>
        </is>
      </c>
      <c r="D102" s="292" t="n"/>
      <c r="E102" s="252">
        <f>+_xlfn.XLOOKUP(C102,'BASE DATOS PRECIOS '!B:B,'BASE DATOS PRECIOS '!E:E)</f>
        <v/>
      </c>
      <c r="F102" s="308">
        <f>'1_OG y 2_ACA'!D708</f>
        <v/>
      </c>
      <c r="G102" s="250">
        <f>+_xlfn.XLOOKUP(C102,'BASE DATOS PRECIOS '!B:B,'BASE DATOS PRECIOS '!F:F)</f>
        <v/>
      </c>
      <c r="H102" s="249">
        <f>+_xlfn.XLOOKUP(E102,'BASE DATOS PRECIOS '!E:E,'BASE DATOS PRECIOS '!H:H)</f>
        <v/>
      </c>
      <c r="I102" s="250" t="n"/>
      <c r="J102" s="250" t="n"/>
      <c r="K102" s="249">
        <f>+F102*H102</f>
        <v/>
      </c>
      <c r="L102" s="249">
        <f>+F102*I102</f>
        <v/>
      </c>
      <c r="M102" s="249">
        <f>+F102*J102</f>
        <v/>
      </c>
      <c r="N102" s="249">
        <f>SUM(K102:M102)</f>
        <v/>
      </c>
      <c r="O102" s="251">
        <f>SUM(K102:M102)/tc</f>
        <v/>
      </c>
      <c r="P102" s="277" t="n"/>
      <c r="Q102" s="277" t="n"/>
      <c r="R102" s="1133" t="n"/>
    </row>
    <row r="103">
      <c r="A103" s="16" t="n"/>
      <c r="B103" s="1134">
        <f>VALUE(IF(AND(LEN(TRIM(C103))-LEN(SUBSTITUTE(TRIM(C103),".",""))=1,ISNUMBER(VALUE(SUBSTITUTE(TRIM(C103),".","")))),TRIM(C103),B102))</f>
        <v/>
      </c>
      <c r="C103" s="16" t="inlineStr">
        <is>
          <t>M06-0040</t>
        </is>
      </c>
      <c r="D103" s="292" t="n"/>
      <c r="E103" s="252">
        <f>+_xlfn.XLOOKUP(C103,'BASE DATOS PRECIOS '!B:B,'BASE DATOS PRECIOS '!E:E)</f>
        <v/>
      </c>
      <c r="F103" s="308">
        <f>'1_OG y 2_ACA'!D709</f>
        <v/>
      </c>
      <c r="G103" s="250">
        <f>+_xlfn.XLOOKUP(C103,'BASE DATOS PRECIOS '!B:B,'BASE DATOS PRECIOS '!F:F)</f>
        <v/>
      </c>
      <c r="H103" s="249">
        <f>+_xlfn.XLOOKUP(E103,'BASE DATOS PRECIOS '!E:E,'BASE DATOS PRECIOS '!H:H)</f>
        <v/>
      </c>
      <c r="I103" s="250" t="n"/>
      <c r="J103" s="250" t="n"/>
      <c r="K103" s="249">
        <f>+F103*H103</f>
        <v/>
      </c>
      <c r="L103" s="249">
        <f>+F103*I103</f>
        <v/>
      </c>
      <c r="M103" s="249">
        <f>+F103*J103</f>
        <v/>
      </c>
      <c r="N103" s="249">
        <f>SUM(K103:M103)</f>
        <v/>
      </c>
      <c r="O103" s="251">
        <f>SUM(K103:M103)/tc</f>
        <v/>
      </c>
      <c r="P103" s="277" t="n"/>
      <c r="Q103" s="277" t="n"/>
      <c r="R103" s="1133" t="n"/>
    </row>
    <row r="104">
      <c r="A104" s="16" t="n"/>
      <c r="B104" s="1134">
        <f>VALUE(IF(AND(LEN(TRIM(C104))-LEN(SUBSTITUTE(TRIM(C104),".",""))=1,ISNUMBER(VALUE(SUBSTITUTE(TRIM(C104),".","")))),TRIM(C104),B102))</f>
        <v/>
      </c>
      <c r="C104" s="16" t="inlineStr">
        <is>
          <t>M10-0090</t>
        </is>
      </c>
      <c r="D104" s="292" t="n"/>
      <c r="E104" s="252">
        <f>+_xlfn.XLOOKUP(C104,'BASE DATOS PRECIOS '!B:B,'BASE DATOS PRECIOS '!E:E)</f>
        <v/>
      </c>
      <c r="F104" s="308">
        <f>'1_OG y 2_ACA'!D710</f>
        <v/>
      </c>
      <c r="G104" s="250">
        <f>+_xlfn.XLOOKUP(C104,'BASE DATOS PRECIOS '!B:B,'BASE DATOS PRECIOS '!F:F)</f>
        <v/>
      </c>
      <c r="H104" s="249">
        <f>+_xlfn.XLOOKUP(E104,'BASE DATOS PRECIOS '!E:E,'BASE DATOS PRECIOS '!H:H)</f>
        <v/>
      </c>
      <c r="I104" s="250" t="n"/>
      <c r="J104" s="250" t="n"/>
      <c r="K104" s="249">
        <f>+F104*H104</f>
        <v/>
      </c>
      <c r="L104" s="249">
        <f>+F104*I104</f>
        <v/>
      </c>
      <c r="M104" s="249">
        <f>+F104*J104</f>
        <v/>
      </c>
      <c r="N104" s="249">
        <f>SUM(K104:M104)</f>
        <v/>
      </c>
      <c r="O104" s="251">
        <f>SUM(K104:M104)/tc</f>
        <v/>
      </c>
      <c r="P104" s="277" t="n"/>
      <c r="Q104" s="277" t="n"/>
      <c r="R104" s="1133" t="n"/>
    </row>
    <row r="105">
      <c r="A105" s="16" t="n"/>
      <c r="B105" s="1134">
        <f>VALUE(IF(AND(LEN(TRIM(C105))-LEN(SUBSTITUTE(TRIM(C105),".",""))=1,ISNUMBER(VALUE(SUBSTITUTE(TRIM(C105),".","")))),TRIM(C105),B104))</f>
        <v/>
      </c>
      <c r="C105" s="16" t="inlineStr">
        <is>
          <t>M06-0264</t>
        </is>
      </c>
      <c r="D105" s="292" t="n"/>
      <c r="E105" s="252">
        <f>+_xlfn.XLOOKUP(C105,'BASE DATOS PRECIOS '!B:B,'BASE DATOS PRECIOS '!E:E)</f>
        <v/>
      </c>
      <c r="F105" s="308">
        <f>'1_OG y 2_ACA'!D711</f>
        <v/>
      </c>
      <c r="G105" s="250">
        <f>+_xlfn.XLOOKUP(C105,'BASE DATOS PRECIOS '!B:B,'BASE DATOS PRECIOS '!F:F)</f>
        <v/>
      </c>
      <c r="H105" s="249">
        <f>+_xlfn.XLOOKUP(E105,'BASE DATOS PRECIOS '!E:E,'BASE DATOS PRECIOS '!H:H)</f>
        <v/>
      </c>
      <c r="I105" s="250" t="n"/>
      <c r="J105" s="250" t="n"/>
      <c r="K105" s="249">
        <f>+F105*H105</f>
        <v/>
      </c>
      <c r="L105" s="249">
        <f>+F105*I105</f>
        <v/>
      </c>
      <c r="M105" s="249">
        <f>+F105*J105</f>
        <v/>
      </c>
      <c r="N105" s="249">
        <f>SUM(K105:M105)</f>
        <v/>
      </c>
      <c r="O105" s="251">
        <f>SUM(K105:M105)/tc</f>
        <v/>
      </c>
      <c r="P105" s="277" t="n"/>
      <c r="Q105" s="277" t="n"/>
      <c r="R105" s="1133" t="n"/>
    </row>
    <row r="106">
      <c r="A106" s="16" t="n"/>
      <c r="B106" s="1134">
        <f>VALUE(IF(AND(LEN(TRIM(C106))-LEN(SUBSTITUTE(TRIM(C106),".",""))=1,ISNUMBER(VALUE(SUBSTITUTE(TRIM(C106),".","")))),TRIM(C106),B105))</f>
        <v/>
      </c>
      <c r="C106" s="16" t="inlineStr">
        <is>
          <t>M06-0261</t>
        </is>
      </c>
      <c r="D106" s="292" t="n"/>
      <c r="E106" s="252">
        <f>+_xlfn.XLOOKUP(C106,'BASE DATOS PRECIOS '!B:B,'BASE DATOS PRECIOS '!E:E)</f>
        <v/>
      </c>
      <c r="F106" s="308">
        <f>'1_OG y 2_ACA'!D712</f>
        <v/>
      </c>
      <c r="G106" s="250">
        <f>+_xlfn.XLOOKUP(C106,'BASE DATOS PRECIOS '!B:B,'BASE DATOS PRECIOS '!F:F)</f>
        <v/>
      </c>
      <c r="H106" s="249">
        <f>+_xlfn.XLOOKUP(E106,'BASE DATOS PRECIOS '!E:E,'BASE DATOS PRECIOS '!H:H)</f>
        <v/>
      </c>
      <c r="I106" s="250" t="n"/>
      <c r="J106" s="250" t="n"/>
      <c r="K106" s="249">
        <f>+F106*H106</f>
        <v/>
      </c>
      <c r="L106" s="249">
        <f>+F106*I106</f>
        <v/>
      </c>
      <c r="M106" s="249">
        <f>+F106*J106</f>
        <v/>
      </c>
      <c r="N106" s="249">
        <f>SUM(K106:M106)</f>
        <v/>
      </c>
      <c r="O106" s="251">
        <f>SUM(K106:M106)/tc</f>
        <v/>
      </c>
      <c r="P106" s="277" t="n"/>
      <c r="Q106" s="277" t="n"/>
      <c r="R106" s="1133" t="n"/>
    </row>
    <row r="107">
      <c r="A107" s="16" t="n"/>
      <c r="B107" s="1134">
        <f>VALUE(IF(AND(LEN(TRIM(C107))-LEN(SUBSTITUTE(TRIM(C107),".",""))=1,ISNUMBER(VALUE(SUBSTITUTE(TRIM(C107),".","")))),TRIM(C107),B106))</f>
        <v/>
      </c>
      <c r="C107" s="16" t="inlineStr">
        <is>
          <t>M10-0063</t>
        </is>
      </c>
      <c r="D107" s="292" t="n"/>
      <c r="E107" s="252">
        <f>+_xlfn.XLOOKUP(C107,'BASE DATOS PRECIOS '!B:B,'BASE DATOS PRECIOS '!E:E)</f>
        <v/>
      </c>
      <c r="F107" s="308">
        <f>'1_OG y 2_ACA'!D677</f>
        <v/>
      </c>
      <c r="G107" s="250">
        <f>+_xlfn.XLOOKUP(C107,'BASE DATOS PRECIOS '!B:B,'BASE DATOS PRECIOS '!F:F)</f>
        <v/>
      </c>
      <c r="H107" s="249">
        <f>+_xlfn.XLOOKUP(E107,'BASE DATOS PRECIOS '!E:E,'BASE DATOS PRECIOS '!H:H)</f>
        <v/>
      </c>
      <c r="I107" s="250" t="n"/>
      <c r="J107" s="250" t="n"/>
      <c r="K107" s="249">
        <f>+F107*H107</f>
        <v/>
      </c>
      <c r="L107" s="249">
        <f>+F107*I107</f>
        <v/>
      </c>
      <c r="M107" s="249">
        <f>+F107*J107</f>
        <v/>
      </c>
      <c r="N107" s="249">
        <f>SUM(K107:M107)</f>
        <v/>
      </c>
      <c r="O107" s="251">
        <f>SUM(K107:M107)/tc</f>
        <v/>
      </c>
      <c r="P107" s="277" t="n"/>
      <c r="Q107" s="277" t="n"/>
      <c r="R107" s="1133" t="n"/>
    </row>
    <row r="108">
      <c r="A108" s="16" t="n"/>
      <c r="B108" s="1134">
        <f>VALUE(IF(AND(LEN(TRIM(C108))-LEN(SUBSTITUTE(TRIM(C108),".",""))=1,ISNUMBER(VALUE(SUBSTITUTE(TRIM(C108),".","")))),TRIM(C108),B107))</f>
        <v/>
      </c>
      <c r="C108" s="259" t="inlineStr">
        <is>
          <t>BOMBA</t>
        </is>
      </c>
      <c r="D108" s="260" t="n"/>
      <c r="E108" s="261">
        <f>+_xlfn.XLOOKUP(C108,'BASE DATOS EQUIPOS Y SUBCONTRAT'!A:A,'BASE DATOS EQUIPOS Y SUBCONTRAT'!B:B)</f>
        <v/>
      </c>
      <c r="F108" s="262">
        <f>F107</f>
        <v/>
      </c>
      <c r="G108" s="263">
        <f>+_xlfn.XLOOKUP(C108,'BASE DATOS EQUIPOS Y SUBCONTRAT'!A:A,'BASE DATOS EQUIPOS Y SUBCONTRAT'!C:C)</f>
        <v/>
      </c>
      <c r="H108" s="264" t="n">
        <v>0</v>
      </c>
      <c r="I108" s="263" t="n"/>
      <c r="J108" s="264" t="n">
        <v>14000</v>
      </c>
      <c r="K108" s="264">
        <f>+F108*H108</f>
        <v/>
      </c>
      <c r="L108" s="264">
        <f>+F108*I108</f>
        <v/>
      </c>
      <c r="M108" s="264">
        <f>+F108*J108</f>
        <v/>
      </c>
      <c r="N108" s="264">
        <f>SUM(K108:M108)</f>
        <v/>
      </c>
      <c r="O108" s="265">
        <f>SUM(K108:M108)/tc</f>
        <v/>
      </c>
      <c r="V108" s="214">
        <f>+C209</f>
        <v/>
      </c>
      <c r="W108" s="214">
        <f>+E209</f>
        <v/>
      </c>
      <c r="X108" s="215">
        <f>+L209</f>
        <v/>
      </c>
      <c r="Y108" s="216">
        <f>+X108/$X$50</f>
        <v/>
      </c>
      <c r="Z108" s="215">
        <f>+X108/$Z$7</f>
        <v/>
      </c>
    </row>
    <row r="109">
      <c r="A109" s="266" t="inlineStr">
        <is>
          <t>Muros y Entrepiso (Formaleta, Concreto)</t>
        </is>
      </c>
      <c r="B109" s="1134">
        <f>VALUE(IF(AND(LEN(TRIM(C109))-LEN(SUBSTITUTE(TRIM(C109),".",""))=1,ISNUMBER(VALUE(SUBSTITUTE(TRIM(C109),".","")))),TRIM(C109),B108))</f>
        <v/>
      </c>
      <c r="C109" s="267" t="inlineStr">
        <is>
          <t xml:space="preserve">OPERARIO </t>
        </is>
      </c>
      <c r="D109" s="268" t="n"/>
      <c r="E109" s="269">
        <f>+_xlfn.XLOOKUP(C109,'BASE DATOS MANO DE OBRA'!A:A,'BASE DATOS MANO DE OBRA'!B:B)</f>
        <v/>
      </c>
      <c r="F109" s="270">
        <f>+ROUNDUP('1_OG y 2_ACA'!F716,0)/2</f>
        <v/>
      </c>
      <c r="G109" s="271">
        <f>+_xlfn.XLOOKUP(C109,'BASE DATOS MANO DE OBRA'!A:A,'BASE DATOS MANO DE OBRA'!C:C)</f>
        <v/>
      </c>
      <c r="H109" s="272" t="n">
        <v>0</v>
      </c>
      <c r="I109" s="272">
        <f>+_xlfn.XLOOKUP(C109,'BASE DATOS MANO DE OBRA'!A:A,'BASE DATOS MANO DE OBRA'!E:E)</f>
        <v/>
      </c>
      <c r="J109" s="272" t="n">
        <v>0</v>
      </c>
      <c r="K109" s="272">
        <f>+F109*H109</f>
        <v/>
      </c>
      <c r="L109" s="272">
        <f>+F109*I109</f>
        <v/>
      </c>
      <c r="M109" s="272">
        <f>+F109*J109</f>
        <v/>
      </c>
      <c r="N109" s="272">
        <f>SUM(K109:M109)</f>
        <v/>
      </c>
      <c r="O109" s="273">
        <f>SUM(K109:M109)/tc</f>
        <v/>
      </c>
    </row>
    <row r="110">
      <c r="A110" s="266" t="inlineStr">
        <is>
          <t>Muros y Entrepiso (Formaleta, Concreto)</t>
        </is>
      </c>
      <c r="B110" s="1134">
        <f>VALUE(IF(AND(LEN(TRIM(C110))-LEN(SUBSTITUTE(TRIM(C110),".",""))=1,ISNUMBER(VALUE(SUBSTITUTE(TRIM(C110),".","")))),TRIM(C110),B109))</f>
        <v/>
      </c>
      <c r="C110" s="267" t="inlineStr">
        <is>
          <t xml:space="preserve">AYUDANTE </t>
        </is>
      </c>
      <c r="D110" s="268" t="n"/>
      <c r="E110" s="269">
        <f>+_xlfn.XLOOKUP(C110,'BASE DATOS MANO DE OBRA'!A:A,'BASE DATOS MANO DE OBRA'!B:B)</f>
        <v/>
      </c>
      <c r="F110" s="270">
        <f>+F109</f>
        <v/>
      </c>
      <c r="G110" s="271">
        <f>+_xlfn.XLOOKUP(C110,'BASE DATOS MANO DE OBRA'!A:A,'BASE DATOS MANO DE OBRA'!C:C)</f>
        <v/>
      </c>
      <c r="H110" s="272" t="n">
        <v>0</v>
      </c>
      <c r="I110" s="272">
        <f>+_xlfn.XLOOKUP(C110,'BASE DATOS MANO DE OBRA'!A:A,'BASE DATOS MANO DE OBRA'!E:E)</f>
        <v/>
      </c>
      <c r="J110" s="272" t="n">
        <v>0</v>
      </c>
      <c r="K110" s="272">
        <f>+F110*H110</f>
        <v/>
      </c>
      <c r="L110" s="272">
        <f>+F110*I110</f>
        <v/>
      </c>
      <c r="M110" s="272">
        <f>+F110*J110</f>
        <v/>
      </c>
      <c r="N110" s="272">
        <f>SUM(K110:M110)</f>
        <v/>
      </c>
      <c r="O110" s="273">
        <f>SUM(K110:M110)/tc</f>
        <v/>
      </c>
    </row>
    <row r="111">
      <c r="A111" s="266" t="inlineStr">
        <is>
          <t>Muros y Entrepiso (Formaleta, Concreto)</t>
        </is>
      </c>
      <c r="B111" s="1134">
        <f>VALUE(IF(AND(LEN(TRIM(C111))-LEN(SUBSTITUTE(TRIM(C111),".",""))=1,ISNUMBER(VALUE(SUBSTITUTE(TRIM(C111),".","")))),TRIM(C111),B110))</f>
        <v/>
      </c>
      <c r="C111" s="267" t="inlineStr">
        <is>
          <t xml:space="preserve">OPERARIO </t>
        </is>
      </c>
      <c r="D111" s="268" t="n"/>
      <c r="E111" s="269">
        <f>+_xlfn.XLOOKUP(C111,'BASE DATOS MANO DE OBRA'!A:A,'BASE DATOS MANO DE OBRA'!B:B)</f>
        <v/>
      </c>
      <c r="F111" s="270">
        <f>+ROUNDUP('1_OG y 2_ACA'!F717,0)/2</f>
        <v/>
      </c>
      <c r="G111" s="271">
        <f>+_xlfn.XLOOKUP(C111,'BASE DATOS MANO DE OBRA'!A:A,'BASE DATOS MANO DE OBRA'!C:C)</f>
        <v/>
      </c>
      <c r="H111" s="272" t="n">
        <v>0</v>
      </c>
      <c r="I111" s="272">
        <f>+_xlfn.XLOOKUP(C111,'BASE DATOS MANO DE OBRA'!A:A,'BASE DATOS MANO DE OBRA'!E:E)</f>
        <v/>
      </c>
      <c r="J111" s="272" t="n">
        <v>0</v>
      </c>
      <c r="K111" s="272">
        <f>+F111*H111</f>
        <v/>
      </c>
      <c r="L111" s="272">
        <f>+F111*I111</f>
        <v/>
      </c>
      <c r="M111" s="272">
        <f>+F111*J111</f>
        <v/>
      </c>
      <c r="N111" s="272">
        <f>SUM(K111:M111)</f>
        <v/>
      </c>
      <c r="O111" s="273">
        <f>SUM(K111:M111)/tc</f>
        <v/>
      </c>
    </row>
    <row r="112">
      <c r="A112" s="266" t="inlineStr">
        <is>
          <t>Muros y Entrepiso (Formaleta, Concreto)</t>
        </is>
      </c>
      <c r="B112" s="1134">
        <f>VALUE(IF(AND(LEN(TRIM(C112))-LEN(SUBSTITUTE(TRIM(C112),".",""))=1,ISNUMBER(VALUE(SUBSTITUTE(TRIM(C112),".","")))),TRIM(C112),B111))</f>
        <v/>
      </c>
      <c r="C112" s="267" t="inlineStr">
        <is>
          <t xml:space="preserve">AYUDANTE </t>
        </is>
      </c>
      <c r="D112" s="268" t="n"/>
      <c r="E112" s="269">
        <f>+_xlfn.XLOOKUP(C112,'BASE DATOS MANO DE OBRA'!A:A,'BASE DATOS MANO DE OBRA'!B:B)</f>
        <v/>
      </c>
      <c r="F112" s="270">
        <f>+F111</f>
        <v/>
      </c>
      <c r="G112" s="271">
        <f>+_xlfn.XLOOKUP(C112,'BASE DATOS MANO DE OBRA'!A:A,'BASE DATOS MANO DE OBRA'!C:C)</f>
        <v/>
      </c>
      <c r="H112" s="272" t="n">
        <v>0</v>
      </c>
      <c r="I112" s="272">
        <f>+_xlfn.XLOOKUP(C112,'BASE DATOS MANO DE OBRA'!A:A,'BASE DATOS MANO DE OBRA'!E:E)</f>
        <v/>
      </c>
      <c r="J112" s="272" t="n">
        <v>0</v>
      </c>
      <c r="K112" s="272">
        <f>+F112*H112</f>
        <v/>
      </c>
      <c r="L112" s="272">
        <f>+F112*I112</f>
        <v/>
      </c>
      <c r="M112" s="272">
        <f>+F112*J112</f>
        <v/>
      </c>
      <c r="N112" s="272">
        <f>SUM(K112:M112)</f>
        <v/>
      </c>
      <c r="O112" s="273">
        <f>SUM(K112:M112)/tc</f>
        <v/>
      </c>
    </row>
    <row r="113">
      <c r="A113" s="266" t="inlineStr">
        <is>
          <t>Desencofre y Resane</t>
        </is>
      </c>
      <c r="B113" s="1134">
        <f>VALUE(IF(AND(LEN(TRIM(C113))-LEN(SUBSTITUTE(TRIM(C113),".",""))=1,ISNUMBER(VALUE(SUBSTITUTE(TRIM(C113),".","")))),TRIM(C113),B112))</f>
        <v/>
      </c>
      <c r="C113" s="267" t="inlineStr">
        <is>
          <t xml:space="preserve">OPERARIO </t>
        </is>
      </c>
      <c r="D113" s="268" t="n"/>
      <c r="E113" s="269">
        <f>+_xlfn.XLOOKUP(C113,'BASE DATOS MANO DE OBRA'!A:A,'BASE DATOS MANO DE OBRA'!B:B)</f>
        <v/>
      </c>
      <c r="F113" s="270">
        <f>+ROUNDUP('1_OG y 2_ACA'!F718,0)/2</f>
        <v/>
      </c>
      <c r="G113" s="271">
        <f>+_xlfn.XLOOKUP(C113,'BASE DATOS MANO DE OBRA'!A:A,'BASE DATOS MANO DE OBRA'!C:C)</f>
        <v/>
      </c>
      <c r="H113" s="272" t="n">
        <v>0</v>
      </c>
      <c r="I113" s="272">
        <f>+_xlfn.XLOOKUP(C113,'BASE DATOS MANO DE OBRA'!A:A,'BASE DATOS MANO DE OBRA'!E:E)</f>
        <v/>
      </c>
      <c r="J113" s="272" t="n">
        <v>0</v>
      </c>
      <c r="K113" s="272">
        <f>+F113*H113</f>
        <v/>
      </c>
      <c r="L113" s="272">
        <f>+F113*I113</f>
        <v/>
      </c>
      <c r="M113" s="272">
        <f>+F113*J113</f>
        <v/>
      </c>
      <c r="N113" s="272">
        <f>SUM(K113:M113)</f>
        <v/>
      </c>
      <c r="O113" s="273">
        <f>SUM(K113:M113)/tc</f>
        <v/>
      </c>
    </row>
    <row r="114">
      <c r="A114" s="266" t="inlineStr">
        <is>
          <t>Desencofre y Resane</t>
        </is>
      </c>
      <c r="B114" s="1134">
        <f>VALUE(IF(AND(LEN(TRIM(C114))-LEN(SUBSTITUTE(TRIM(C114),".",""))=1,ISNUMBER(VALUE(SUBSTITUTE(TRIM(C114),".","")))),TRIM(C114),B113))</f>
        <v/>
      </c>
      <c r="C114" s="267" t="inlineStr">
        <is>
          <t xml:space="preserve">AYUDANTE </t>
        </is>
      </c>
      <c r="D114" s="268" t="n"/>
      <c r="E114" s="269">
        <f>+_xlfn.XLOOKUP(C114,'BASE DATOS MANO DE OBRA'!A:A,'BASE DATOS MANO DE OBRA'!B:B)</f>
        <v/>
      </c>
      <c r="F114" s="270">
        <f>+F113</f>
        <v/>
      </c>
      <c r="G114" s="271">
        <f>+_xlfn.XLOOKUP(C114,'BASE DATOS MANO DE OBRA'!A:A,'BASE DATOS MANO DE OBRA'!C:C)</f>
        <v/>
      </c>
      <c r="H114" s="272" t="n">
        <v>0</v>
      </c>
      <c r="I114" s="272">
        <f>+_xlfn.XLOOKUP(C114,'BASE DATOS MANO DE OBRA'!A:A,'BASE DATOS MANO DE OBRA'!E:E)</f>
        <v/>
      </c>
      <c r="J114" s="272" t="n">
        <v>0</v>
      </c>
      <c r="K114" s="272">
        <f>+F114*H114</f>
        <v/>
      </c>
      <c r="L114" s="272">
        <f>+F114*I114</f>
        <v/>
      </c>
      <c r="M114" s="272">
        <f>+F114*J114</f>
        <v/>
      </c>
      <c r="N114" s="272">
        <f>SUM(K114:M114)</f>
        <v/>
      </c>
      <c r="O114" s="273">
        <f>SUM(K114:M114)/tc</f>
        <v/>
      </c>
    </row>
    <row r="115">
      <c r="A115" s="16" t="n"/>
      <c r="B115" s="1134">
        <f>VALUE(IF(AND(LEN(TRIM(C115))-LEN(SUBSTITUTE(TRIM(C115),".",""))=1,ISNUMBER(VALUE(SUBSTITUTE(TRIM(C115),".","")))),TRIM(C115),B114))</f>
        <v/>
      </c>
      <c r="C115" s="306" t="inlineStr">
        <is>
          <t>1.3</t>
        </is>
      </c>
      <c r="D115" s="227" t="n"/>
      <c r="E115" s="228" t="inlineStr">
        <is>
          <t xml:space="preserve">ESTRUCTURA METÁLICA Y CUBIERTAS </t>
        </is>
      </c>
      <c r="F115" s="229" t="n">
        <v>1</v>
      </c>
      <c r="G115" s="227" t="inlineStr">
        <is>
          <t>UND</t>
        </is>
      </c>
      <c r="H115" s="227" t="n"/>
      <c r="I115" s="227" t="n"/>
      <c r="J115" s="227" t="n"/>
      <c r="K115" s="230">
        <f>+SUBTOTAL(9,K116:K235)</f>
        <v/>
      </c>
      <c r="L115" s="230">
        <f>+SUBTOTAL(9,L116:L235)</f>
        <v/>
      </c>
      <c r="M115" s="230">
        <f>+SUBTOTAL(9,M116:M235)</f>
        <v/>
      </c>
      <c r="N115" s="230">
        <f>+SUBTOTAL(9,N116:N235)</f>
        <v/>
      </c>
      <c r="O115" s="1135">
        <f>+SUBTOTAL(9,O116:O235)</f>
        <v/>
      </c>
    </row>
    <row r="116">
      <c r="A116" s="16" t="n"/>
      <c r="B116" s="1134">
        <f>VALUE(IF(AND(LEN(TRIM(C116))-LEN(SUBSTITUTE(TRIM(C116),".",""))=1,ISNUMBER(VALUE(SUBSTITUTE(TRIM(C116),".","")))),TRIM(C116),B115))</f>
        <v/>
      </c>
      <c r="C116" s="234" t="inlineStr">
        <is>
          <t>1.3.1</t>
        </is>
      </c>
      <c r="D116" s="235" t="n"/>
      <c r="E116" s="236" t="inlineStr">
        <is>
          <t xml:space="preserve">ESTRUCTURA TECHO CASA </t>
        </is>
      </c>
      <c r="F116" s="237">
        <f>+'1_OG y 2_ACA'!E724</f>
        <v/>
      </c>
      <c r="G116" s="235" t="inlineStr">
        <is>
          <t>m2</t>
        </is>
      </c>
      <c r="H116" s="235" t="n"/>
      <c r="I116" s="235" t="n"/>
      <c r="J116" s="235" t="n"/>
      <c r="K116" s="238">
        <f>+SUBTOTAL(9,K117:K143)</f>
        <v/>
      </c>
      <c r="L116" s="238">
        <f>+SUBTOTAL(9,L117:L143)</f>
        <v/>
      </c>
      <c r="M116" s="238">
        <f>+SUBTOTAL(9,M117:M143)</f>
        <v/>
      </c>
      <c r="N116" s="238">
        <f>+SUBTOTAL(9,N117:N143)</f>
        <v/>
      </c>
      <c r="O116" s="1136">
        <f>+SUBTOTAL(9,O117:O143)</f>
        <v/>
      </c>
      <c r="P116" s="1137" t="n"/>
    </row>
    <row r="117">
      <c r="A117" s="16" t="n"/>
      <c r="B117" s="1134">
        <f>VALUE(IF(AND(LEN(TRIM(C117))-LEN(SUBSTITUTE(TRIM(C117),".",""))=1,ISNUMBER(VALUE(SUBSTITUTE(TRIM(C117),".","")))),TRIM(C117),B116))</f>
        <v/>
      </c>
      <c r="C117" s="16" t="inlineStr">
        <is>
          <t>M01-0098</t>
        </is>
      </c>
      <c r="D117" s="292" t="n"/>
      <c r="E117" s="252">
        <f>+_xlfn.XLOOKUP(C117,'BASE DATOS PRECIOS '!B:B,'BASE DATOS PRECIOS '!E:E)</f>
        <v/>
      </c>
      <c r="F117" s="308">
        <f>+'1_OG y 2_ACA'!F772</f>
        <v/>
      </c>
      <c r="G117" s="250">
        <f>+_xlfn.XLOOKUP(C117,'BASE DATOS PRECIOS '!B:B,'BASE DATOS PRECIOS '!F:F)</f>
        <v/>
      </c>
      <c r="H117" s="249">
        <f>+_xlfn.XLOOKUP(E117,'BASE DATOS PRECIOS '!E:E,'BASE DATOS PRECIOS '!H:H)</f>
        <v/>
      </c>
      <c r="I117" s="250" t="n"/>
      <c r="J117" s="250" t="n"/>
      <c r="K117" s="249">
        <f>+F117*H117</f>
        <v/>
      </c>
      <c r="L117" s="249">
        <f>+F117*I117</f>
        <v/>
      </c>
      <c r="M117" s="249">
        <f>+F117*J117</f>
        <v/>
      </c>
      <c r="N117" s="249">
        <f>SUM(K117:M117)</f>
        <v/>
      </c>
      <c r="O117" s="251">
        <f>SUM(K117:M117)/tc</f>
        <v/>
      </c>
    </row>
    <row r="118">
      <c r="A118" s="16" t="n"/>
      <c r="B118" s="1134">
        <f>VALUE(IF(AND(LEN(TRIM(C118))-LEN(SUBSTITUTE(TRIM(C118),".",""))=1,ISNUMBER(VALUE(SUBSTITUTE(TRIM(C118),".","")))),TRIM(C118),B117))</f>
        <v/>
      </c>
      <c r="C118" s="16" t="inlineStr">
        <is>
          <t>M01-0096</t>
        </is>
      </c>
      <c r="D118" s="292" t="n"/>
      <c r="E118" s="252">
        <f>+_xlfn.XLOOKUP(C118,'BASE DATOS PRECIOS '!B:B,'BASE DATOS PRECIOS '!E:E)</f>
        <v/>
      </c>
      <c r="F118" s="308">
        <f>+'1_OG y 2_ACA'!F773</f>
        <v/>
      </c>
      <c r="G118" s="250">
        <f>+_xlfn.XLOOKUP(C118,'BASE DATOS PRECIOS '!B:B,'BASE DATOS PRECIOS '!F:F)</f>
        <v/>
      </c>
      <c r="H118" s="249">
        <f>+_xlfn.XLOOKUP(E118,'BASE DATOS PRECIOS '!E:E,'BASE DATOS PRECIOS '!H:H)</f>
        <v/>
      </c>
      <c r="I118" s="250" t="n"/>
      <c r="J118" s="250" t="n"/>
      <c r="K118" s="249">
        <f>+F118*H118</f>
        <v/>
      </c>
      <c r="L118" s="249">
        <f>+F118*I118</f>
        <v/>
      </c>
      <c r="M118" s="249">
        <f>+F118*J118</f>
        <v/>
      </c>
      <c r="N118" s="249">
        <f>SUM(K118:M118)</f>
        <v/>
      </c>
      <c r="O118" s="251">
        <f>SUM(K118:M118)/tc</f>
        <v/>
      </c>
    </row>
    <row r="119">
      <c r="A119" s="16" t="n"/>
      <c r="B119" s="1134">
        <f>VALUE(IF(AND(LEN(TRIM(C119))-LEN(SUBSTITUTE(TRIM(C119),".",""))=1,ISNUMBER(VALUE(SUBSTITUTE(TRIM(C119),".","")))),TRIM(C119),B117))</f>
        <v/>
      </c>
      <c r="C119" s="16" t="inlineStr">
        <is>
          <t>M01-0097</t>
        </is>
      </c>
      <c r="D119" s="292" t="n"/>
      <c r="E119" s="252">
        <f>+_xlfn.XLOOKUP(C119,'BASE DATOS PRECIOS '!B:B,'BASE DATOS PRECIOS '!E:E)</f>
        <v/>
      </c>
      <c r="F119" s="308">
        <f>+'1_OG y 2_ACA'!F773</f>
        <v/>
      </c>
      <c r="G119" s="250">
        <f>+_xlfn.XLOOKUP(C119,'BASE DATOS PRECIOS '!B:B,'BASE DATOS PRECIOS '!F:F)</f>
        <v/>
      </c>
      <c r="H119" s="249">
        <f>+_xlfn.XLOOKUP(E119,'BASE DATOS PRECIOS '!E:E,'BASE DATOS PRECIOS '!H:H)</f>
        <v/>
      </c>
      <c r="I119" s="250" t="n"/>
      <c r="J119" s="250" t="n"/>
      <c r="K119" s="249">
        <f>+F119*H119</f>
        <v/>
      </c>
      <c r="L119" s="249">
        <f>+F119*I119</f>
        <v/>
      </c>
      <c r="M119" s="249">
        <f>+F119*J119</f>
        <v/>
      </c>
      <c r="N119" s="249">
        <f>SUM(K119:M119)</f>
        <v/>
      </c>
      <c r="O119" s="251">
        <f>SUM(K119:M119)/tc</f>
        <v/>
      </c>
    </row>
    <row r="120">
      <c r="A120" s="16" t="n"/>
      <c r="B120" s="1134">
        <f>VALUE(IF(AND(LEN(TRIM(C120))-LEN(SUBSTITUTE(TRIM(C120),".",""))=1,ISNUMBER(VALUE(SUBSTITUTE(TRIM(C120),".","")))),TRIM(C120),B118))</f>
        <v/>
      </c>
      <c r="C120" s="16" t="inlineStr">
        <is>
          <t>M01-0066</t>
        </is>
      </c>
      <c r="D120" s="292" t="n"/>
      <c r="E120" s="252">
        <f>+_xlfn.XLOOKUP(C120,'BASE DATOS PRECIOS '!B:B,'BASE DATOS PRECIOS '!E:E)</f>
        <v/>
      </c>
      <c r="F120" s="308">
        <f>'1_OG y 2_ACA'!D762</f>
        <v/>
      </c>
      <c r="G120" s="250">
        <f>+_xlfn.XLOOKUP(C120,'BASE DATOS PRECIOS '!B:B,'BASE DATOS PRECIOS '!F:F)</f>
        <v/>
      </c>
      <c r="H120" s="249">
        <f>+_xlfn.XLOOKUP(E120,'BASE DATOS PRECIOS '!E:E,'BASE DATOS PRECIOS '!H:H)</f>
        <v/>
      </c>
      <c r="I120" s="250" t="n"/>
      <c r="J120" s="250" t="n"/>
      <c r="K120" s="249">
        <f>+F120*H120</f>
        <v/>
      </c>
      <c r="L120" s="249">
        <f>+F120*I120</f>
        <v/>
      </c>
      <c r="M120" s="249">
        <f>+F120*J120</f>
        <v/>
      </c>
      <c r="N120" s="249">
        <f>SUM(K120:M120)</f>
        <v/>
      </c>
      <c r="O120" s="251">
        <f>SUM(K120:M120)/tc</f>
        <v/>
      </c>
    </row>
    <row r="121">
      <c r="A121" s="16" t="n"/>
      <c r="B121" s="1134">
        <f>VALUE(IF(AND(LEN(TRIM(C121))-LEN(SUBSTITUTE(TRIM(C121),".",""))=1,ISNUMBER(VALUE(SUBSTITUTE(TRIM(C121),".","")))),TRIM(C121),B120))</f>
        <v/>
      </c>
      <c r="C121" s="16" t="inlineStr">
        <is>
          <t>M01-0009</t>
        </is>
      </c>
      <c r="D121" s="292" t="n"/>
      <c r="E121" s="311">
        <f>+_xlfn.XLOOKUP(C121,'BASE DATOS PRECIOS '!B:B,'BASE DATOS PRECIOS '!E:E)</f>
        <v/>
      </c>
      <c r="F121" s="276">
        <f>+'1_OG y 2_ACA'!F776</f>
        <v/>
      </c>
      <c r="G121" s="312">
        <f>+_xlfn.XLOOKUP(C121,'BASE DATOS PRECIOS '!B:B,'BASE DATOS PRECIOS '!F:F)</f>
        <v/>
      </c>
      <c r="H121" s="249">
        <f>+_xlfn.XLOOKUP(E121,'BASE DATOS PRECIOS '!E:E,'BASE DATOS PRECIOS '!H:H)</f>
        <v/>
      </c>
      <c r="I121" s="312" t="n"/>
      <c r="J121" s="312" t="n"/>
      <c r="K121" s="313">
        <f>+F121*H121</f>
        <v/>
      </c>
      <c r="L121" s="313">
        <f>+F121*I121</f>
        <v/>
      </c>
      <c r="M121" s="313">
        <f>+F121*J121</f>
        <v/>
      </c>
      <c r="N121" s="313">
        <f>SUM(K121:M121)</f>
        <v/>
      </c>
      <c r="O121" s="314">
        <f>SUM(K121:M121)/tc</f>
        <v/>
      </c>
    </row>
    <row r="122">
      <c r="A122" s="16" t="n"/>
      <c r="B122" s="1134">
        <f>VALUE(IF(AND(LEN(TRIM(C122))-LEN(SUBSTITUTE(TRIM(C122),".",""))=1,ISNUMBER(VALUE(SUBSTITUTE(TRIM(C122),".","")))),TRIM(C122),B121))</f>
        <v/>
      </c>
      <c r="C122" s="16" t="inlineStr">
        <is>
          <t>M01-0007</t>
        </is>
      </c>
      <c r="D122" s="292" t="n"/>
      <c r="E122" s="311">
        <f>+_xlfn.XLOOKUP(C122,'BASE DATOS PRECIOS '!B:B,'BASE DATOS PRECIOS '!E:E)</f>
        <v/>
      </c>
      <c r="F122" s="276">
        <f>+'1_OG y 2_ACA'!F777</f>
        <v/>
      </c>
      <c r="G122" s="312">
        <f>+_xlfn.XLOOKUP(C122,'BASE DATOS PRECIOS '!B:B,'BASE DATOS PRECIOS '!F:F)</f>
        <v/>
      </c>
      <c r="H122" s="249">
        <f>+_xlfn.XLOOKUP(E122,'BASE DATOS PRECIOS '!E:E,'BASE DATOS PRECIOS '!H:H)</f>
        <v/>
      </c>
      <c r="I122" s="312" t="n"/>
      <c r="J122" s="312" t="n"/>
      <c r="K122" s="313">
        <f>+F122*H122</f>
        <v/>
      </c>
      <c r="L122" s="313">
        <f>+F122*I122</f>
        <v/>
      </c>
      <c r="M122" s="313">
        <f>+F122*J122</f>
        <v/>
      </c>
      <c r="N122" s="313">
        <f>SUM(K122:M122)</f>
        <v/>
      </c>
      <c r="O122" s="314">
        <f>SUM(K122:M122)/tc</f>
        <v/>
      </c>
    </row>
    <row r="123">
      <c r="A123" s="16" t="n"/>
      <c r="B123" s="1134">
        <f>VALUE(IF(AND(LEN(TRIM(C123))-LEN(SUBSTITUTE(TRIM(C123),".",""))=1,ISNUMBER(VALUE(SUBSTITUTE(TRIM(C123),".","")))),TRIM(C123),B122))</f>
        <v/>
      </c>
      <c r="C123" s="16" t="inlineStr">
        <is>
          <t>M01-0018</t>
        </is>
      </c>
      <c r="D123" s="292" t="n"/>
      <c r="E123" s="311">
        <f>+_xlfn.XLOOKUP(C123,'BASE DATOS PRECIOS '!B:B,'BASE DATOS PRECIOS '!E:E)</f>
        <v/>
      </c>
      <c r="F123" s="276">
        <f>+'1_OG y 2_ACA'!F778</f>
        <v/>
      </c>
      <c r="G123" s="312">
        <f>+_xlfn.XLOOKUP(C123,'BASE DATOS PRECIOS '!B:B,'BASE DATOS PRECIOS '!F:F)</f>
        <v/>
      </c>
      <c r="H123" s="249">
        <f>+_xlfn.XLOOKUP(E123,'BASE DATOS PRECIOS '!E:E,'BASE DATOS PRECIOS '!H:H)</f>
        <v/>
      </c>
      <c r="I123" s="312" t="n"/>
      <c r="J123" s="312" t="n"/>
      <c r="K123" s="313">
        <f>+F123*H123</f>
        <v/>
      </c>
      <c r="L123" s="313">
        <f>+F123*I123</f>
        <v/>
      </c>
      <c r="M123" s="313">
        <f>+F123*J123</f>
        <v/>
      </c>
      <c r="N123" s="313">
        <f>SUM(K123:M123)</f>
        <v/>
      </c>
      <c r="O123" s="314">
        <f>SUM(K123:M123)/tc</f>
        <v/>
      </c>
    </row>
    <row r="124">
      <c r="A124" s="16" t="n"/>
      <c r="B124" s="1134">
        <f>VALUE(IF(AND(LEN(TRIM(C124))-LEN(SUBSTITUTE(TRIM(C124),".",""))=1,ISNUMBER(VALUE(SUBSTITUTE(TRIM(C124),".","")))),TRIM(C124),B121))</f>
        <v/>
      </c>
      <c r="C124" s="16" t="inlineStr">
        <is>
          <t>M01-0147</t>
        </is>
      </c>
      <c r="D124" s="246" t="inlineStr">
        <is>
          <t>01</t>
        </is>
      </c>
      <c r="E124" s="311" t="inlineStr">
        <is>
          <t>VARILLA DEFORME #3</t>
        </is>
      </c>
      <c r="F124" s="276">
        <f>+'1_OG y 2_ACA'!F779</f>
        <v/>
      </c>
      <c r="G124" s="312">
        <f>+_xlfn.XLOOKUP(C124,'BASE DATOS PRECIOS '!B:B,'BASE DATOS PRECIOS '!F:F)</f>
        <v/>
      </c>
      <c r="H124" s="249">
        <f>+_xlfn.XLOOKUP(E124,'BASE DATOS PRECIOS '!E:E,'BASE DATOS PRECIOS '!H:H)</f>
        <v/>
      </c>
      <c r="I124" s="312" t="n"/>
      <c r="J124" s="312" t="n"/>
      <c r="K124" s="313">
        <f>+F124*H124</f>
        <v/>
      </c>
      <c r="L124" s="313">
        <f>+F124*I124</f>
        <v/>
      </c>
      <c r="M124" s="313">
        <f>+F124*J124</f>
        <v/>
      </c>
      <c r="N124" s="313">
        <f>SUM(K124:M124)</f>
        <v/>
      </c>
      <c r="O124" s="314">
        <f>SUM(K124:M124)/tc</f>
        <v/>
      </c>
    </row>
    <row r="125">
      <c r="A125" s="16" t="n"/>
      <c r="B125" s="1134">
        <f>VALUE(IF(AND(LEN(TRIM(C125))-LEN(SUBSTITUTE(TRIM(C125),".",""))=1,ISNUMBER(VALUE(SUBSTITUTE(TRIM(C125),".","")))),TRIM(C125),B124))</f>
        <v/>
      </c>
      <c r="C125" s="16" t="inlineStr">
        <is>
          <t>M01-0148</t>
        </is>
      </c>
      <c r="D125" s="292" t="n"/>
      <c r="E125" s="311">
        <f>+_xlfn.XLOOKUP(C125,'BASE DATOS PRECIOS '!B:B,'BASE DATOS PRECIOS '!E:E)</f>
        <v/>
      </c>
      <c r="F125" s="276">
        <f>+'1_OG y 2_ACA'!F780</f>
        <v/>
      </c>
      <c r="G125" s="312">
        <f>+_xlfn.XLOOKUP(C125,'BASE DATOS PRECIOS '!B:B,'BASE DATOS PRECIOS '!F:F)</f>
        <v/>
      </c>
      <c r="H125" s="249">
        <f>+_xlfn.XLOOKUP(E125,'BASE DATOS PRECIOS '!E:E,'BASE DATOS PRECIOS '!H:H)</f>
        <v/>
      </c>
      <c r="I125" s="312" t="n"/>
      <c r="J125" s="312" t="n"/>
      <c r="K125" s="313">
        <f>+F125*H125</f>
        <v/>
      </c>
      <c r="L125" s="313">
        <f>+F125*I125</f>
        <v/>
      </c>
      <c r="M125" s="313">
        <f>+F125*J125</f>
        <v/>
      </c>
      <c r="N125" s="313">
        <f>SUM(K125:M125)</f>
        <v/>
      </c>
      <c r="O125" s="314">
        <f>SUM(K125:M125)/tc</f>
        <v/>
      </c>
    </row>
    <row r="126">
      <c r="A126" s="16" t="n"/>
      <c r="B126" s="1134">
        <f>VALUE(IF(AND(LEN(TRIM(C126))-LEN(SUBSTITUTE(TRIM(C126),".",""))=1,ISNUMBER(VALUE(SUBSTITUTE(TRIM(C126),".","")))),TRIM(C126),B125))</f>
        <v/>
      </c>
      <c r="C126" s="16" t="inlineStr">
        <is>
          <t>M01-0055</t>
        </is>
      </c>
      <c r="D126" s="292" t="n"/>
      <c r="E126" s="252">
        <f>+_xlfn.XLOOKUP(C126,'BASE DATOS PRECIOS '!B:B,'BASE DATOS PRECIOS '!E:E)</f>
        <v/>
      </c>
      <c r="F126" s="308">
        <f>+'1_OG y 2_ACA'!F782</f>
        <v/>
      </c>
      <c r="G126" s="250">
        <f>+_xlfn.XLOOKUP(C126,'BASE DATOS PRECIOS '!B:B,'BASE DATOS PRECIOS '!F:F)</f>
        <v/>
      </c>
      <c r="H126" s="249">
        <f>+_xlfn.XLOOKUP(E126,'BASE DATOS PRECIOS '!E:E,'BASE DATOS PRECIOS '!H:H)</f>
        <v/>
      </c>
      <c r="I126" s="250" t="n"/>
      <c r="J126" s="250" t="n"/>
      <c r="K126" s="249">
        <f>+F126*H126</f>
        <v/>
      </c>
      <c r="L126" s="249">
        <f>+F126*I126</f>
        <v/>
      </c>
      <c r="M126" s="249">
        <f>+F126*J126</f>
        <v/>
      </c>
      <c r="N126" s="249">
        <f>SUM(K126:M126)</f>
        <v/>
      </c>
      <c r="O126" s="251">
        <f>SUM(K126:M126)/tc</f>
        <v/>
      </c>
    </row>
    <row r="127">
      <c r="A127" s="16" t="n"/>
      <c r="B127" s="1134">
        <f>VALUE(IF(AND(LEN(TRIM(C127))-LEN(SUBSTITUTE(TRIM(C127),".",""))=1,ISNUMBER(VALUE(SUBSTITUTE(TRIM(C127),".","")))),TRIM(C127),B126))</f>
        <v/>
      </c>
      <c r="C127" s="274" t="inlineStr">
        <is>
          <t>M08-0037</t>
        </is>
      </c>
      <c r="D127" s="275" t="n"/>
      <c r="E127" s="252">
        <f>+_xlfn.XLOOKUP(C127,'BASE DATOS PRECIOS '!B:B,'BASE DATOS PRECIOS '!E:E)</f>
        <v/>
      </c>
      <c r="F127" s="308">
        <f>+'1_OG y 2_ACA'!F783</f>
        <v/>
      </c>
      <c r="G127" s="250">
        <f>+_xlfn.XLOOKUP(C127,'BASE DATOS PRECIOS '!B:B,'BASE DATOS PRECIOS '!F:F)</f>
        <v/>
      </c>
      <c r="H127" s="249">
        <f>+_xlfn.XLOOKUP(E127,'BASE DATOS PRECIOS '!E:E,'BASE DATOS PRECIOS '!H:H)</f>
        <v/>
      </c>
      <c r="I127" s="250" t="n"/>
      <c r="J127" s="250" t="n"/>
      <c r="K127" s="249">
        <f>+F127*H127</f>
        <v/>
      </c>
      <c r="L127" s="249">
        <f>+F127*I127</f>
        <v/>
      </c>
      <c r="M127" s="249">
        <f>+F127*J127</f>
        <v/>
      </c>
      <c r="N127" s="249">
        <f>SUM(K127:M127)</f>
        <v/>
      </c>
      <c r="O127" s="251">
        <f>SUM(K127:M127)/tc</f>
        <v/>
      </c>
    </row>
    <row r="128">
      <c r="A128" s="16" t="n"/>
      <c r="B128" s="1134">
        <f>VALUE(IF(AND(LEN(TRIM(C128))-LEN(SUBSTITUTE(TRIM(C128),".",""))=1,ISNUMBER(VALUE(SUBSTITUTE(TRIM(C128),".","")))),TRIM(C128),B127))</f>
        <v/>
      </c>
      <c r="C128" s="16" t="inlineStr">
        <is>
          <t>M08-0043</t>
        </is>
      </c>
      <c r="D128" s="292" t="n"/>
      <c r="E128" s="252">
        <f>+_xlfn.XLOOKUP(C128,'BASE DATOS PRECIOS '!B:B,'BASE DATOS PRECIOS '!E:E)</f>
        <v/>
      </c>
      <c r="F128" s="308">
        <f>+F127</f>
        <v/>
      </c>
      <c r="G128" s="250">
        <f>+_xlfn.XLOOKUP(C128,'BASE DATOS PRECIOS '!B:B,'BASE DATOS PRECIOS '!F:F)</f>
        <v/>
      </c>
      <c r="H128" s="249">
        <f>+_xlfn.XLOOKUP(E128,'BASE DATOS PRECIOS '!E:E,'BASE DATOS PRECIOS '!H:H)</f>
        <v/>
      </c>
      <c r="I128" s="250" t="n"/>
      <c r="J128" s="250" t="n"/>
      <c r="K128" s="249">
        <f>+F128*H128</f>
        <v/>
      </c>
      <c r="L128" s="249">
        <f>+F128*I128</f>
        <v/>
      </c>
      <c r="M128" s="249">
        <f>+F128*J128</f>
        <v/>
      </c>
      <c r="N128" s="249">
        <f>SUM(K128:M128)</f>
        <v/>
      </c>
      <c r="O128" s="251">
        <f>SUM(K128:M128)/tc</f>
        <v/>
      </c>
    </row>
    <row r="129">
      <c r="A129" s="16" t="n"/>
      <c r="B129" s="1134">
        <f>VALUE(IF(AND(LEN(TRIM(C129))-LEN(SUBSTITUTE(TRIM(C129),".",""))=1,ISNUMBER(VALUE(SUBSTITUTE(TRIM(C129),".","")))),TRIM(C129),B128))</f>
        <v/>
      </c>
      <c r="C129" s="297" t="inlineStr">
        <is>
          <t>M08-0044</t>
        </is>
      </c>
      <c r="D129" s="298" t="n"/>
      <c r="E129" s="252">
        <f>+_xlfn.XLOOKUP(C129,'BASE DATOS PRECIOS '!B:B,'BASE DATOS PRECIOS '!E:E)</f>
        <v/>
      </c>
      <c r="F129" s="308">
        <f>+F128</f>
        <v/>
      </c>
      <c r="G129" s="250">
        <f>+_xlfn.XLOOKUP(C129,'BASE DATOS PRECIOS '!B:B,'BASE DATOS PRECIOS '!F:F)</f>
        <v/>
      </c>
      <c r="H129" s="249">
        <f>+_xlfn.XLOOKUP(E129,'BASE DATOS PRECIOS '!E:E,'BASE DATOS PRECIOS '!H:H)</f>
        <v/>
      </c>
      <c r="I129" s="250" t="n"/>
      <c r="J129" s="250" t="n"/>
      <c r="K129" s="249">
        <f>+F129*H129</f>
        <v/>
      </c>
      <c r="L129" s="249">
        <f>+F129*I129</f>
        <v/>
      </c>
      <c r="M129" s="249">
        <f>+F129*J129</f>
        <v/>
      </c>
      <c r="N129" s="249">
        <f>SUM(K129:M129)</f>
        <v/>
      </c>
      <c r="O129" s="251">
        <f>SUM(K129:M129)/tc</f>
        <v/>
      </c>
    </row>
    <row r="130">
      <c r="A130" s="16" t="n"/>
      <c r="B130" s="1134">
        <f>VALUE(IF(AND(LEN(TRIM(C130))-LEN(SUBSTITUTE(TRIM(C130),".",""))=1,ISNUMBER(VALUE(SUBSTITUTE(TRIM(C130),".","")))),TRIM(C130),B129))</f>
        <v/>
      </c>
      <c r="C130" s="16" t="inlineStr">
        <is>
          <t>M08-0051</t>
        </is>
      </c>
      <c r="D130" s="292" t="n"/>
      <c r="E130" s="252">
        <f>+_xlfn.XLOOKUP(C130,'BASE DATOS PRECIOS '!B:B,'BASE DATOS PRECIOS '!E:E)</f>
        <v/>
      </c>
      <c r="F130" s="308">
        <f>+F129</f>
        <v/>
      </c>
      <c r="G130" s="250">
        <f>+_xlfn.XLOOKUP(C130,'BASE DATOS PRECIOS '!B:B,'BASE DATOS PRECIOS '!F:F)</f>
        <v/>
      </c>
      <c r="H130" s="249">
        <f>+_xlfn.XLOOKUP(E130,'BASE DATOS PRECIOS '!E:E,'BASE DATOS PRECIOS '!H:H)</f>
        <v/>
      </c>
      <c r="I130" s="250" t="n"/>
      <c r="J130" s="250" t="n"/>
      <c r="K130" s="249">
        <f>+F130*H130</f>
        <v/>
      </c>
      <c r="L130" s="249">
        <f>+F130*I130</f>
        <v/>
      </c>
      <c r="M130" s="249">
        <f>+F130*J130</f>
        <v/>
      </c>
      <c r="N130" s="249">
        <f>SUM(K130:M130)</f>
        <v/>
      </c>
      <c r="O130" s="251">
        <f>SUM(K130:M130)/tc</f>
        <v/>
      </c>
    </row>
    <row r="131">
      <c r="A131" s="16" t="n"/>
      <c r="B131" s="1134">
        <f>VALUE(IF(AND(LEN(TRIM(C131))-LEN(SUBSTITUTE(TRIM(C131),".",""))=1,ISNUMBER(VALUE(SUBSTITUTE(TRIM(C131),".","")))),TRIM(C131),B130))</f>
        <v/>
      </c>
      <c r="C131" s="16" t="inlineStr">
        <is>
          <t>M11-0019</t>
        </is>
      </c>
      <c r="D131" s="292" t="n"/>
      <c r="E131" s="311">
        <f>+_xlfn.XLOOKUP(C131,'BASE DATOS PRECIOS '!B:B,'BASE DATOS PRECIOS '!E:E)</f>
        <v/>
      </c>
      <c r="F131" s="276">
        <f>+'1_OG y 2_ACA'!F784</f>
        <v/>
      </c>
      <c r="G131" s="312">
        <f>+_xlfn.XLOOKUP(C131,'BASE DATOS PRECIOS '!B:B,'BASE DATOS PRECIOS '!F:F)</f>
        <v/>
      </c>
      <c r="H131" s="249">
        <f>+_xlfn.XLOOKUP(E131,'BASE DATOS PRECIOS '!E:E,'BASE DATOS PRECIOS '!H:H)</f>
        <v/>
      </c>
      <c r="I131" s="312" t="n"/>
      <c r="J131" s="312" t="n"/>
      <c r="K131" s="313">
        <f>+F131*H131</f>
        <v/>
      </c>
      <c r="L131" s="313">
        <f>+F131*I131</f>
        <v/>
      </c>
      <c r="M131" s="313">
        <f>+F131*J131</f>
        <v/>
      </c>
      <c r="N131" s="313">
        <f>SUM(K131:M131)</f>
        <v/>
      </c>
      <c r="O131" s="314">
        <f>SUM(K131:M131)/tc</f>
        <v/>
      </c>
    </row>
    <row r="132">
      <c r="A132" s="16" t="n"/>
      <c r="B132" s="1134">
        <f>VALUE(IF(AND(LEN(TRIM(C132))-LEN(SUBSTITUTE(TRIM(C132),".",""))=1,ISNUMBER(VALUE(SUBSTITUTE(TRIM(C132),".","")))),TRIM(C132),B131))</f>
        <v/>
      </c>
      <c r="C132" s="16" t="inlineStr">
        <is>
          <t>M06-0231</t>
        </is>
      </c>
      <c r="D132" s="292" t="n"/>
      <c r="E132" s="311">
        <f>+_xlfn.XLOOKUP(C132,'BASE DATOS PRECIOS '!B:B,'BASE DATOS PRECIOS '!E:E)</f>
        <v/>
      </c>
      <c r="F132" s="276">
        <f>+'1_OG y 2_ACA'!F785</f>
        <v/>
      </c>
      <c r="G132" s="312">
        <f>+_xlfn.XLOOKUP(C132,'BASE DATOS PRECIOS '!B:B,'BASE DATOS PRECIOS '!F:F)</f>
        <v/>
      </c>
      <c r="H132" s="249">
        <f>+_xlfn.XLOOKUP(E132,'BASE DATOS PRECIOS '!E:E,'BASE DATOS PRECIOS '!H:H)</f>
        <v/>
      </c>
      <c r="I132" s="312" t="n"/>
      <c r="J132" s="312" t="n"/>
      <c r="K132" s="313">
        <f>+F132*H132</f>
        <v/>
      </c>
      <c r="L132" s="313">
        <f>+F132*I132</f>
        <v/>
      </c>
      <c r="M132" s="313">
        <f>+F132*J132</f>
        <v/>
      </c>
      <c r="N132" s="313">
        <f>SUM(K132:M132)</f>
        <v/>
      </c>
      <c r="O132" s="314">
        <f>SUM(K132:M132)/tc</f>
        <v/>
      </c>
    </row>
    <row r="133">
      <c r="A133" s="16" t="n"/>
      <c r="B133" s="1134">
        <f>VALUE(IF(AND(LEN(TRIM(C133))-LEN(SUBSTITUTE(TRIM(C133),".",""))=1,ISNUMBER(VALUE(SUBSTITUTE(TRIM(C133),".","")))),TRIM(C133),B132))</f>
        <v/>
      </c>
      <c r="C133" s="16" t="inlineStr">
        <is>
          <t>M11-0002</t>
        </is>
      </c>
      <c r="D133" s="292" t="n"/>
      <c r="E133" s="252">
        <f>+_xlfn.XLOOKUP(C133,'BASE DATOS PRECIOS '!B:B,'BASE DATOS PRECIOS '!E:E)</f>
        <v/>
      </c>
      <c r="F133" s="308">
        <f>+'1_OG y 2_ACA'!F786</f>
        <v/>
      </c>
      <c r="G133" s="250">
        <f>+_xlfn.XLOOKUP(C133,'BASE DATOS PRECIOS '!B:B,'BASE DATOS PRECIOS '!F:F)</f>
        <v/>
      </c>
      <c r="H133" s="249">
        <f>+_xlfn.XLOOKUP(E133,'BASE DATOS PRECIOS '!E:E,'BASE DATOS PRECIOS '!H:H)</f>
        <v/>
      </c>
      <c r="I133" s="250" t="n"/>
      <c r="J133" s="250" t="n"/>
      <c r="K133" s="249">
        <f>+F133*H133</f>
        <v/>
      </c>
      <c r="L133" s="249">
        <f>+F133*I133</f>
        <v/>
      </c>
      <c r="M133" s="249">
        <f>+F133*J133</f>
        <v/>
      </c>
      <c r="N133" s="249">
        <f>SUM(K133:M133)</f>
        <v/>
      </c>
      <c r="O133" s="251">
        <f>SUM(K133:M133)/tc</f>
        <v/>
      </c>
      <c r="P133" s="1133" t="n"/>
    </row>
    <row r="134">
      <c r="A134" s="16" t="n"/>
      <c r="B134" s="1134">
        <f>VALUE(IF(AND(LEN(TRIM(C134))-LEN(SUBSTITUTE(TRIM(C134),".",""))=1,ISNUMBER(VALUE(SUBSTITUTE(TRIM(C134),".","")))),TRIM(C134),B133))</f>
        <v/>
      </c>
      <c r="C134" s="16" t="inlineStr">
        <is>
          <t>M11-0066</t>
        </is>
      </c>
      <c r="D134" s="292" t="n"/>
      <c r="E134" s="311">
        <f>+_xlfn.XLOOKUP(C134,'BASE DATOS PRECIOS '!B:B,'BASE DATOS PRECIOS '!E:E)</f>
        <v/>
      </c>
      <c r="F134" s="308">
        <f>+'1_OG y 2_ACA'!F787</f>
        <v/>
      </c>
      <c r="G134" s="312">
        <f>+_xlfn.XLOOKUP(C134,'BASE DATOS PRECIOS '!B:B,'BASE DATOS PRECIOS '!F:F)</f>
        <v/>
      </c>
      <c r="H134" s="249">
        <f>+_xlfn.XLOOKUP(E134,'BASE DATOS PRECIOS '!E:E,'BASE DATOS PRECIOS '!H:H)</f>
        <v/>
      </c>
      <c r="I134" s="312" t="n"/>
      <c r="J134" s="312" t="n"/>
      <c r="K134" s="313">
        <f>+F134*H134</f>
        <v/>
      </c>
      <c r="L134" s="313">
        <f>+F134*I134</f>
        <v/>
      </c>
      <c r="M134" s="313">
        <f>+F134*J134</f>
        <v/>
      </c>
      <c r="N134" s="313">
        <f>SUM(K134:M134)</f>
        <v/>
      </c>
      <c r="O134" s="314">
        <f>SUM(K134:M134)/tc</f>
        <v/>
      </c>
    </row>
    <row r="135">
      <c r="A135" s="16" t="n"/>
      <c r="B135" s="1134">
        <f>VALUE(IF(AND(LEN(TRIM(C135))-LEN(SUBSTITUTE(TRIM(C135),".",""))=1,ISNUMBER(VALUE(SUBSTITUTE(TRIM(C135),".","")))),TRIM(C135),B134))</f>
        <v/>
      </c>
      <c r="C135" s="16" t="inlineStr">
        <is>
          <t>M06-0526</t>
        </is>
      </c>
      <c r="D135" s="292" t="n"/>
      <c r="E135" s="311">
        <f>+_xlfn.XLOOKUP(C135,'BASE DATOS PRECIOS '!B:B,'BASE DATOS PRECIOS '!E:E)</f>
        <v/>
      </c>
      <c r="F135" s="308">
        <f>+'1_OG y 2_ACA'!F788</f>
        <v/>
      </c>
      <c r="G135" s="312">
        <f>+_xlfn.XLOOKUP(C135,'BASE DATOS PRECIOS '!B:B,'BASE DATOS PRECIOS '!F:F)</f>
        <v/>
      </c>
      <c r="H135" s="249">
        <f>+_xlfn.XLOOKUP(E135,'BASE DATOS PRECIOS '!E:E,'BASE DATOS PRECIOS '!H:H)</f>
        <v/>
      </c>
      <c r="I135" s="312" t="n"/>
      <c r="J135" s="312" t="n"/>
      <c r="K135" s="313">
        <f>+F135*H135</f>
        <v/>
      </c>
      <c r="L135" s="313">
        <f>+F135*I135</f>
        <v/>
      </c>
      <c r="M135" s="313">
        <f>+F135*J135</f>
        <v/>
      </c>
      <c r="N135" s="313">
        <f>SUM(K135:M135)</f>
        <v/>
      </c>
      <c r="O135" s="314">
        <f>SUM(K135:M135)/tc</f>
        <v/>
      </c>
    </row>
    <row r="136">
      <c r="A136" s="16" t="n"/>
      <c r="B136" s="1134">
        <f>VALUE(IF(AND(LEN(TRIM(C136))-LEN(SUBSTITUTE(TRIM(C136),".",""))=1,ISNUMBER(VALUE(SUBSTITUTE(TRIM(C136),".","")))),TRIM(C136),B135))</f>
        <v/>
      </c>
      <c r="C136" s="16" t="inlineStr">
        <is>
          <t>M08-0062</t>
        </is>
      </c>
      <c r="D136" s="292" t="n"/>
      <c r="E136" s="311">
        <f>+_xlfn.XLOOKUP(C136,'BASE DATOS PRECIOS '!B:B,'BASE DATOS PRECIOS '!E:E)</f>
        <v/>
      </c>
      <c r="F136" s="308">
        <f>+'1_OG y 2_ACA'!F789</f>
        <v/>
      </c>
      <c r="G136" s="312">
        <f>+_xlfn.XLOOKUP(C136,'BASE DATOS PRECIOS '!B:B,'BASE DATOS PRECIOS '!F:F)</f>
        <v/>
      </c>
      <c r="H136" s="249">
        <f>+_xlfn.XLOOKUP(E136,'BASE DATOS PRECIOS '!E:E,'BASE DATOS PRECIOS '!H:H)</f>
        <v/>
      </c>
      <c r="I136" s="312" t="n"/>
      <c r="J136" s="312" t="n"/>
      <c r="K136" s="313">
        <f>+F136*H136</f>
        <v/>
      </c>
      <c r="L136" s="313">
        <f>+F136*I136</f>
        <v/>
      </c>
      <c r="M136" s="313">
        <f>+F136*J136</f>
        <v/>
      </c>
      <c r="N136" s="313">
        <f>SUM(K136:M136)</f>
        <v/>
      </c>
      <c r="O136" s="314">
        <f>SUM(K136:M136)/tc</f>
        <v/>
      </c>
    </row>
    <row r="137">
      <c r="A137" s="16" t="n"/>
      <c r="B137" s="1134">
        <f>VALUE(IF(AND(LEN(TRIM(C137))-LEN(SUBSTITUTE(TRIM(C137),".",""))=1,ISNUMBER(VALUE(SUBSTITUTE(TRIM(C137),".","")))),TRIM(C137),B136))</f>
        <v/>
      </c>
      <c r="C137" s="16" t="inlineStr">
        <is>
          <t>M07-0204</t>
        </is>
      </c>
      <c r="D137" s="292" t="n"/>
      <c r="E137" s="311">
        <f>+_xlfn.XLOOKUP(C137,'BASE DATOS PRECIOS '!B:B,'BASE DATOS PRECIOS '!E:E)</f>
        <v/>
      </c>
      <c r="F137" s="308">
        <f>+'1_OG y 2_ACA'!F790</f>
        <v/>
      </c>
      <c r="G137" s="312">
        <f>+_xlfn.XLOOKUP(C137,'BASE DATOS PRECIOS '!B:B,'BASE DATOS PRECIOS '!F:F)</f>
        <v/>
      </c>
      <c r="H137" s="249">
        <f>+_xlfn.XLOOKUP(E137,'BASE DATOS PRECIOS '!E:E,'BASE DATOS PRECIOS '!H:H)</f>
        <v/>
      </c>
      <c r="I137" s="312" t="n"/>
      <c r="J137" s="312" t="n"/>
      <c r="K137" s="313">
        <f>+F137*H137</f>
        <v/>
      </c>
      <c r="L137" s="313">
        <f>+F137*I137</f>
        <v/>
      </c>
      <c r="M137" s="313">
        <f>+F137*J137</f>
        <v/>
      </c>
      <c r="N137" s="313">
        <f>SUM(K137:M137)</f>
        <v/>
      </c>
      <c r="O137" s="314">
        <f>SUM(K137:M137)/tc</f>
        <v/>
      </c>
    </row>
    <row r="138">
      <c r="A138" s="16" t="n"/>
      <c r="B138" s="1134">
        <f>VALUE(IF(AND(LEN(TRIM(C138))-LEN(SUBSTITUTE(TRIM(C138),".",""))=1,ISNUMBER(VALUE(SUBSTITUTE(TRIM(C138),".","")))),TRIM(C138),B137))</f>
        <v/>
      </c>
      <c r="C138" s="16" t="inlineStr">
        <is>
          <t>M11-0001</t>
        </is>
      </c>
      <c r="D138" s="292" t="n"/>
      <c r="E138" s="311">
        <f>+_xlfn.XLOOKUP(C138,'BASE DATOS PRECIOS '!B:B,'BASE DATOS PRECIOS '!E:E)</f>
        <v/>
      </c>
      <c r="F138" s="308">
        <f>+'1_OG y 2_ACA'!F791</f>
        <v/>
      </c>
      <c r="G138" s="312">
        <f>+_xlfn.XLOOKUP(C138,'BASE DATOS PRECIOS '!B:B,'BASE DATOS PRECIOS '!F:F)</f>
        <v/>
      </c>
      <c r="H138" s="249">
        <f>+_xlfn.XLOOKUP(E138,'BASE DATOS PRECIOS '!E:E,'BASE DATOS PRECIOS '!H:H)</f>
        <v/>
      </c>
      <c r="I138" s="312" t="n"/>
      <c r="J138" s="312" t="n"/>
      <c r="K138" s="313">
        <f>+F138*H138</f>
        <v/>
      </c>
      <c r="L138" s="313">
        <f>+F138*I138</f>
        <v/>
      </c>
      <c r="M138" s="313">
        <f>+F138*J138</f>
        <v/>
      </c>
      <c r="N138" s="313">
        <f>SUM(K138:M138)</f>
        <v/>
      </c>
      <c r="O138" s="314">
        <f>SUM(K138:M138)/tc</f>
        <v/>
      </c>
    </row>
    <row r="139">
      <c r="A139" s="16" t="n"/>
      <c r="B139" s="1134">
        <f>VALUE(IF(AND(LEN(TRIM(C139))-LEN(SUBSTITUTE(TRIM(C139),".",""))=1,ISNUMBER(VALUE(SUBSTITUTE(TRIM(C139),".","")))),TRIM(C139),B138))</f>
        <v/>
      </c>
      <c r="C139" s="16" t="inlineStr">
        <is>
          <t>M06-0213</t>
        </is>
      </c>
      <c r="D139" s="292" t="n"/>
      <c r="E139" s="311">
        <f>+_xlfn.XLOOKUP(C139,'BASE DATOS PRECIOS '!B:B,'BASE DATOS PRECIOS '!E:E)</f>
        <v/>
      </c>
      <c r="F139" s="308">
        <f>+'1_OG y 2_ACA'!F792</f>
        <v/>
      </c>
      <c r="G139" s="312">
        <f>+_xlfn.XLOOKUP(C139,'BASE DATOS PRECIOS '!B:B,'BASE DATOS PRECIOS '!F:F)</f>
        <v/>
      </c>
      <c r="H139" s="249">
        <f>+_xlfn.XLOOKUP(E139,'BASE DATOS PRECIOS '!E:E,'BASE DATOS PRECIOS '!H:H)</f>
        <v/>
      </c>
      <c r="I139" s="312" t="n"/>
      <c r="J139" s="312" t="n"/>
      <c r="K139" s="313">
        <f>+F139*H139</f>
        <v/>
      </c>
      <c r="L139" s="313">
        <f>+F139*I139</f>
        <v/>
      </c>
      <c r="M139" s="313">
        <f>+F139*J139</f>
        <v/>
      </c>
      <c r="N139" s="313">
        <f>SUM(K139:M139)</f>
        <v/>
      </c>
      <c r="O139" s="314">
        <f>SUM(K139:M139)/tc</f>
        <v/>
      </c>
    </row>
    <row r="140">
      <c r="A140" s="316" t="inlineStr">
        <is>
          <t>Estructura Techo Casa</t>
        </is>
      </c>
      <c r="B140" s="1134">
        <f>VALUE(IF(AND(LEN(TRIM(C140))-LEN(SUBSTITUTE(TRIM(C140),".",""))=1,ISNUMBER(VALUE(SUBSTITUTE(TRIM(C140),".","")))),TRIM(C140),B134))</f>
        <v/>
      </c>
      <c r="C140" s="267" t="inlineStr">
        <is>
          <t xml:space="preserve">OP CALIFICADO </t>
        </is>
      </c>
      <c r="D140" s="268" t="n"/>
      <c r="E140" s="269">
        <f>+_xlfn.XLOOKUP(C140,'BASE DATOS MANO DE OBRA'!A:A,'BASE DATOS MANO DE OBRA'!B:B)</f>
        <v/>
      </c>
      <c r="F140" s="270">
        <f>+ROUNDUP('1_OG y 2_ACA'!F794,0)/2</f>
        <v/>
      </c>
      <c r="G140" s="271">
        <f>+_xlfn.XLOOKUP(C140,'BASE DATOS MANO DE OBRA'!A:A,'BASE DATOS MANO DE OBRA'!C:C)</f>
        <v/>
      </c>
      <c r="H140" s="272" t="n">
        <v>0</v>
      </c>
      <c r="I140" s="272">
        <f>+_xlfn.XLOOKUP(C140,'BASE DATOS MANO DE OBRA'!A:A,'BASE DATOS MANO DE OBRA'!E:E)</f>
        <v/>
      </c>
      <c r="J140" s="272" t="n">
        <v>0</v>
      </c>
      <c r="K140" s="272">
        <f>+F140*H140</f>
        <v/>
      </c>
      <c r="L140" s="272">
        <f>+F140*I140</f>
        <v/>
      </c>
      <c r="M140" s="272">
        <f>+F140*J140</f>
        <v/>
      </c>
      <c r="N140" s="272">
        <f>SUM(K140:M140)</f>
        <v/>
      </c>
      <c r="O140" s="273">
        <f>SUM(K140:M140)/tc</f>
        <v/>
      </c>
    </row>
    <row r="141">
      <c r="A141" s="316" t="inlineStr">
        <is>
          <t>Estructura Techo Casa</t>
        </is>
      </c>
      <c r="B141" s="1134">
        <f>VALUE(IF(AND(LEN(TRIM(C141))-LEN(SUBSTITUTE(TRIM(C141),".",""))=1,ISNUMBER(VALUE(SUBSTITUTE(TRIM(C141),".","")))),TRIM(C141),B140))</f>
        <v/>
      </c>
      <c r="C141" s="267" t="inlineStr">
        <is>
          <t xml:space="preserve">OP CALIFICADO </t>
        </is>
      </c>
      <c r="D141" s="268" t="n"/>
      <c r="E141" s="269">
        <f>+_xlfn.XLOOKUP(C141,'BASE DATOS MANO DE OBRA'!A:A,'BASE DATOS MANO DE OBRA'!B:B)</f>
        <v/>
      </c>
      <c r="F141" s="270">
        <f>+F140</f>
        <v/>
      </c>
      <c r="G141" s="271">
        <f>+_xlfn.XLOOKUP(C141,'BASE DATOS MANO DE OBRA'!A:A,'BASE DATOS MANO DE OBRA'!C:C)</f>
        <v/>
      </c>
      <c r="H141" s="272" t="n">
        <v>0</v>
      </c>
      <c r="I141" s="272">
        <f>+_xlfn.XLOOKUP(C141,'BASE DATOS MANO DE OBRA'!A:A,'BASE DATOS MANO DE OBRA'!E:E)</f>
        <v/>
      </c>
      <c r="J141" s="272" t="n">
        <v>0</v>
      </c>
      <c r="K141" s="272">
        <f>+F141*H141</f>
        <v/>
      </c>
      <c r="L141" s="272">
        <f>+F141*I141</f>
        <v/>
      </c>
      <c r="M141" s="272">
        <f>+F141*J141</f>
        <v/>
      </c>
      <c r="N141" s="272">
        <f>SUM(K141:M141)</f>
        <v/>
      </c>
      <c r="O141" s="273">
        <f>SUM(K141:M141)/tc</f>
        <v/>
      </c>
    </row>
    <row r="142">
      <c r="A142" s="16" t="n"/>
      <c r="B142" s="1134">
        <f>VALUE(IF(AND(LEN(TRIM(C142))-LEN(SUBSTITUTE(TRIM(C142),".",""))=1,ISNUMBER(VALUE(SUBSTITUTE(TRIM(C142),".","")))),TRIM(C142),B141))</f>
        <v/>
      </c>
      <c r="C142" s="267" t="inlineStr">
        <is>
          <t xml:space="preserve">OP CALIFICADO </t>
        </is>
      </c>
      <c r="D142" s="268" t="n"/>
      <c r="E142" s="269">
        <f>+_xlfn.XLOOKUP(C142,'BASE DATOS MANO DE OBRA'!A:A,'BASE DATOS MANO DE OBRA'!B:B)</f>
        <v/>
      </c>
      <c r="F142" s="270" t="n">
        <v>0</v>
      </c>
      <c r="G142" s="271">
        <f>+_xlfn.XLOOKUP(C142,'BASE DATOS MANO DE OBRA'!A:A,'BASE DATOS MANO DE OBRA'!C:C)</f>
        <v/>
      </c>
      <c r="H142" s="272" t="n">
        <v>0</v>
      </c>
      <c r="I142" s="272">
        <f>+_xlfn.XLOOKUP(C142,'BASE DATOS MANO DE OBRA'!A:A,'BASE DATOS MANO DE OBRA'!E:E)</f>
        <v/>
      </c>
      <c r="J142" s="272" t="n">
        <v>0</v>
      </c>
      <c r="K142" s="272">
        <f>+F142*H142</f>
        <v/>
      </c>
      <c r="L142" s="272">
        <f>+F142*I142</f>
        <v/>
      </c>
      <c r="M142" s="272">
        <f>+F142*J142</f>
        <v/>
      </c>
      <c r="N142" s="272">
        <f>SUM(K142:M142)</f>
        <v/>
      </c>
      <c r="O142" s="273">
        <f>SUM(K142:M142)/tc</f>
        <v/>
      </c>
    </row>
    <row r="143">
      <c r="A143" s="16" t="n"/>
      <c r="B143" s="1134">
        <f>VALUE(IF(AND(LEN(TRIM(C143))-LEN(SUBSTITUTE(TRIM(C143),".",""))=1,ISNUMBER(VALUE(SUBSTITUTE(TRIM(C143),".","")))),TRIM(C143),B142))</f>
        <v/>
      </c>
      <c r="C143" s="267" t="inlineStr">
        <is>
          <t xml:space="preserve">OP CALIFICADO </t>
        </is>
      </c>
      <c r="D143" s="268" t="n"/>
      <c r="E143" s="269">
        <f>+_xlfn.XLOOKUP(C143,'BASE DATOS MANO DE OBRA'!A:A,'BASE DATOS MANO DE OBRA'!B:B)</f>
        <v/>
      </c>
      <c r="F143" s="270" t="n">
        <v>0</v>
      </c>
      <c r="G143" s="271">
        <f>+_xlfn.XLOOKUP(C143,'BASE DATOS MANO DE OBRA'!A:A,'BASE DATOS MANO DE OBRA'!C:C)</f>
        <v/>
      </c>
      <c r="H143" s="272" t="n">
        <v>0</v>
      </c>
      <c r="I143" s="272">
        <f>+_xlfn.XLOOKUP(C143,'BASE DATOS MANO DE OBRA'!A:A,'BASE DATOS MANO DE OBRA'!E:E)</f>
        <v/>
      </c>
      <c r="J143" s="272" t="n">
        <v>0</v>
      </c>
      <c r="K143" s="272">
        <f>+F143*H143</f>
        <v/>
      </c>
      <c r="L143" s="272">
        <f>+F143*I143</f>
        <v/>
      </c>
      <c r="M143" s="272">
        <f>+F143*J143</f>
        <v/>
      </c>
      <c r="N143" s="272">
        <f>SUM(K143:M143)</f>
        <v/>
      </c>
      <c r="O143" s="273">
        <f>SUM(K143:M143)/tc</f>
        <v/>
      </c>
    </row>
    <row r="144">
      <c r="A144" s="16" t="n"/>
      <c r="B144" s="1134">
        <f>VALUE(IF(AND(LEN(TRIM(C144))-LEN(SUBSTITUTE(TRIM(C144),".",""))=1,ISNUMBER(VALUE(SUBSTITUTE(TRIM(C144),".","")))),TRIM(C144),B143))</f>
        <v/>
      </c>
      <c r="C144" s="234" t="inlineStr">
        <is>
          <t>1.3.2</t>
        </is>
      </c>
      <c r="D144" s="235" t="n"/>
      <c r="E144" s="236" t="inlineStr">
        <is>
          <t xml:space="preserve">ESTRUCTURA TECHO COCHERA </t>
        </is>
      </c>
      <c r="F144" s="237">
        <f>+'1_OG y 2_ACA'!E797</f>
        <v/>
      </c>
      <c r="G144" s="235" t="inlineStr">
        <is>
          <t>m2</t>
        </is>
      </c>
      <c r="H144" s="235" t="n"/>
      <c r="I144" s="235" t="n"/>
      <c r="J144" s="235" t="n"/>
      <c r="K144" s="238">
        <f>+SUBTOTAL(9,K145:K167)</f>
        <v/>
      </c>
      <c r="L144" s="238">
        <f>+SUBTOTAL(9,L145:L167)</f>
        <v/>
      </c>
      <c r="M144" s="238">
        <f>+SUBTOTAL(9,M145:M167)</f>
        <v/>
      </c>
      <c r="N144" s="238">
        <f>+SUBTOTAL(9,N145:N167)</f>
        <v/>
      </c>
      <c r="O144" s="1136">
        <f>+SUBTOTAL(9,O145:O167)</f>
        <v/>
      </c>
      <c r="P144" s="1137" t="n"/>
    </row>
    <row r="145">
      <c r="A145" s="16" t="n"/>
      <c r="B145" s="1134">
        <f>VALUE(IF(AND(LEN(TRIM(C145))-LEN(SUBSTITUTE(TRIM(C145),".",""))=1,ISNUMBER(VALUE(SUBSTITUTE(TRIM(C145),".","")))),TRIM(C145),B144))</f>
        <v/>
      </c>
      <c r="C145" s="16" t="inlineStr">
        <is>
          <t>M01-0071</t>
        </is>
      </c>
      <c r="D145" s="292" t="n"/>
      <c r="E145" s="252">
        <f>+_xlfn.XLOOKUP(C145,'BASE DATOS PRECIOS '!B:B,'BASE DATOS PRECIOS '!E:E)</f>
        <v/>
      </c>
      <c r="F145" s="308">
        <f>+'1_OG y 2_ACA'!F827</f>
        <v/>
      </c>
      <c r="G145" s="250">
        <f>+_xlfn.XLOOKUP(C145,'BASE DATOS PRECIOS '!B:B,'BASE DATOS PRECIOS '!F:F)</f>
        <v/>
      </c>
      <c r="H145" s="249">
        <f>+_xlfn.XLOOKUP(E145,'BASE DATOS PRECIOS '!E:E,'BASE DATOS PRECIOS '!H:H)</f>
        <v/>
      </c>
      <c r="I145" s="250" t="n"/>
      <c r="J145" s="250" t="n"/>
      <c r="K145" s="249">
        <f>+F145*H145</f>
        <v/>
      </c>
      <c r="L145" s="249">
        <f>+F145*I145</f>
        <v/>
      </c>
      <c r="M145" s="249">
        <f>+F145*J145</f>
        <v/>
      </c>
      <c r="N145" s="249">
        <f>SUM(K145:M145)</f>
        <v/>
      </c>
      <c r="O145" s="251">
        <f>SUM(K145:M145)/tc</f>
        <v/>
      </c>
    </row>
    <row r="146">
      <c r="A146" s="16" t="n"/>
      <c r="B146" s="1134">
        <f>VALUE(IF(AND(LEN(TRIM(C146))-LEN(SUBSTITUTE(TRIM(C146),".",""))=1,ISNUMBER(VALUE(SUBSTITUTE(TRIM(C146),".","")))),TRIM(C146),B145))</f>
        <v/>
      </c>
      <c r="C146" s="16" t="inlineStr">
        <is>
          <t>M01-0073</t>
        </is>
      </c>
      <c r="D146" s="292" t="n"/>
      <c r="E146" s="252">
        <f>+_xlfn.XLOOKUP(C146,'BASE DATOS PRECIOS '!B:B,'BASE DATOS PRECIOS '!E:E)</f>
        <v/>
      </c>
      <c r="F146" s="308">
        <f>+'1_OG y 2_ACA'!F828</f>
        <v/>
      </c>
      <c r="G146" s="250">
        <f>+_xlfn.XLOOKUP(C146,'BASE DATOS PRECIOS '!B:B,'BASE DATOS PRECIOS '!F:F)</f>
        <v/>
      </c>
      <c r="H146" s="249">
        <f>+_xlfn.XLOOKUP(E146,'BASE DATOS PRECIOS '!E:E,'BASE DATOS PRECIOS '!H:H)</f>
        <v/>
      </c>
      <c r="I146" s="250" t="n"/>
      <c r="J146" s="250" t="n"/>
      <c r="K146" s="249">
        <f>+F146*H146</f>
        <v/>
      </c>
      <c r="L146" s="249">
        <f>+F146*I146</f>
        <v/>
      </c>
      <c r="M146" s="249">
        <f>+F146*J146</f>
        <v/>
      </c>
      <c r="N146" s="249">
        <f>SUM(K146:M146)</f>
        <v/>
      </c>
      <c r="O146" s="251">
        <f>SUM(K146:M146)/tc</f>
        <v/>
      </c>
    </row>
    <row r="147">
      <c r="A147" s="16" t="n"/>
      <c r="B147" s="1134">
        <f>VALUE(IF(AND(LEN(TRIM(C147))-LEN(SUBSTITUTE(TRIM(C147),".",""))=1,ISNUMBER(VALUE(SUBSTITUTE(TRIM(C147),".","")))),TRIM(C147),B146))</f>
        <v/>
      </c>
      <c r="C147" s="16" t="inlineStr">
        <is>
          <t>M01-0069</t>
        </is>
      </c>
      <c r="D147" s="292" t="n"/>
      <c r="E147" s="252">
        <f>+_xlfn.XLOOKUP(C147,'BASE DATOS PRECIOS '!B:B,'BASE DATOS PRECIOS '!E:E)</f>
        <v/>
      </c>
      <c r="F147" s="308">
        <f>+'1_OG y 2_ACA'!F829</f>
        <v/>
      </c>
      <c r="G147" s="250">
        <f>+_xlfn.XLOOKUP(C147,'BASE DATOS PRECIOS '!B:B,'BASE DATOS PRECIOS '!F:F)</f>
        <v/>
      </c>
      <c r="H147" s="249">
        <f>+_xlfn.XLOOKUP(E147,'BASE DATOS PRECIOS '!E:E,'BASE DATOS PRECIOS '!H:H)</f>
        <v/>
      </c>
      <c r="I147" s="250" t="n"/>
      <c r="J147" s="250" t="n"/>
      <c r="K147" s="249">
        <f>+F147*H147</f>
        <v/>
      </c>
      <c r="L147" s="249">
        <f>+F147*I147</f>
        <v/>
      </c>
      <c r="M147" s="249">
        <f>+F147*J147</f>
        <v/>
      </c>
      <c r="N147" s="249">
        <f>SUM(K147:M147)</f>
        <v/>
      </c>
      <c r="O147" s="251">
        <f>SUM(K147:M147)/tc</f>
        <v/>
      </c>
    </row>
    <row r="148">
      <c r="A148" s="16" t="n"/>
      <c r="B148" s="1134">
        <f>VALUE(IF(AND(LEN(TRIM(C148))-LEN(SUBSTITUTE(TRIM(C148),".",""))=1,ISNUMBER(VALUE(SUBSTITUTE(TRIM(C148),".","")))),TRIM(C148),B147))</f>
        <v/>
      </c>
      <c r="C148" s="16" t="inlineStr">
        <is>
          <t>M01-0070</t>
        </is>
      </c>
      <c r="D148" s="292" t="n"/>
      <c r="E148" s="252">
        <f>+_xlfn.XLOOKUP(C148,'BASE DATOS PRECIOS '!B:B,'BASE DATOS PRECIOS '!E:E)</f>
        <v/>
      </c>
      <c r="F148" s="308">
        <f>+'1_OG y 2_ACA'!F830</f>
        <v/>
      </c>
      <c r="G148" s="250">
        <f>+_xlfn.XLOOKUP(C148,'BASE DATOS PRECIOS '!B:B,'BASE DATOS PRECIOS '!F:F)</f>
        <v/>
      </c>
      <c r="H148" s="249">
        <f>+_xlfn.XLOOKUP(E148,'BASE DATOS PRECIOS '!E:E,'BASE DATOS PRECIOS '!H:H)</f>
        <v/>
      </c>
      <c r="I148" s="250" t="n"/>
      <c r="J148" s="250" t="n"/>
      <c r="K148" s="249">
        <f>+F148*H148</f>
        <v/>
      </c>
      <c r="L148" s="249">
        <f>+F148*I148</f>
        <v/>
      </c>
      <c r="M148" s="249">
        <f>+F148*J148</f>
        <v/>
      </c>
      <c r="N148" s="249">
        <f>SUM(K148:M148)</f>
        <v/>
      </c>
      <c r="O148" s="251">
        <f>SUM(K148:M148)/tc</f>
        <v/>
      </c>
    </row>
    <row r="149">
      <c r="A149" s="16" t="n"/>
      <c r="B149" s="1134">
        <f>VALUE(IF(AND(LEN(TRIM(C149))-LEN(SUBSTITUTE(TRIM(C149),".",""))=1,ISNUMBER(VALUE(SUBSTITUTE(TRIM(C149),".","")))),TRIM(C149),B148))</f>
        <v/>
      </c>
      <c r="C149" s="16" t="inlineStr">
        <is>
          <t>M01-0009</t>
        </is>
      </c>
      <c r="D149" s="292" t="n"/>
      <c r="E149" s="252">
        <f>+_xlfn.XLOOKUP(C149,'BASE DATOS PRECIOS '!B:B,'BASE DATOS PRECIOS '!E:E)</f>
        <v/>
      </c>
      <c r="F149" s="308">
        <f>+'1_OG y 2_ACA'!F831</f>
        <v/>
      </c>
      <c r="G149" s="250">
        <f>+_xlfn.XLOOKUP(C149,'BASE DATOS PRECIOS '!B:B,'BASE DATOS PRECIOS '!F:F)</f>
        <v/>
      </c>
      <c r="H149" s="249">
        <f>+_xlfn.XLOOKUP(E149,'BASE DATOS PRECIOS '!E:E,'BASE DATOS PRECIOS '!H:H)</f>
        <v/>
      </c>
      <c r="I149" s="250" t="n"/>
      <c r="J149" s="250" t="n"/>
      <c r="K149" s="249">
        <f>+F149*H149</f>
        <v/>
      </c>
      <c r="L149" s="249">
        <f>+F149*I149</f>
        <v/>
      </c>
      <c r="M149" s="249">
        <f>+F149*J149</f>
        <v/>
      </c>
      <c r="N149" s="249">
        <f>SUM(K149:M149)</f>
        <v/>
      </c>
      <c r="O149" s="251">
        <f>SUM(K149:M149)/tc</f>
        <v/>
      </c>
    </row>
    <row r="150">
      <c r="A150" s="16" t="n"/>
      <c r="B150" s="1134">
        <f>VALUE(IF(AND(LEN(TRIM(C150))-LEN(SUBSTITUTE(TRIM(C150),".",""))=1,ISNUMBER(VALUE(SUBSTITUTE(TRIM(C150),".","")))),TRIM(C150),B149))</f>
        <v/>
      </c>
      <c r="C150" s="16" t="inlineStr">
        <is>
          <t>M01-0147</t>
        </is>
      </c>
      <c r="D150" s="246" t="inlineStr">
        <is>
          <t>02</t>
        </is>
      </c>
      <c r="E150" s="252" t="inlineStr">
        <is>
          <t>VARILLA DEFORME #3</t>
        </is>
      </c>
      <c r="F150" s="308">
        <f>+'1_OG y 2_ACA'!F832</f>
        <v/>
      </c>
      <c r="G150" s="250">
        <f>+_xlfn.XLOOKUP(C150,'BASE DATOS PRECIOS '!B:B,'BASE DATOS PRECIOS '!F:F)</f>
        <v/>
      </c>
      <c r="H150" s="249">
        <f>+_xlfn.XLOOKUP(E150,'BASE DATOS PRECIOS '!E:E,'BASE DATOS PRECIOS '!H:H)</f>
        <v/>
      </c>
      <c r="I150" s="250" t="n"/>
      <c r="J150" s="250" t="n"/>
      <c r="K150" s="249">
        <f>+F150*H150</f>
        <v/>
      </c>
      <c r="L150" s="249">
        <f>+F150*I150</f>
        <v/>
      </c>
      <c r="M150" s="249">
        <f>+F150*J150</f>
        <v/>
      </c>
      <c r="N150" s="249">
        <f>SUM(K150:M150)</f>
        <v/>
      </c>
      <c r="O150" s="251">
        <f>SUM(K150:M150)/tc</f>
        <v/>
      </c>
    </row>
    <row r="151">
      <c r="A151" s="16" t="n"/>
      <c r="B151" s="1134">
        <f>VALUE(IF(AND(LEN(TRIM(C151))-LEN(SUBSTITUTE(TRIM(C151),".",""))=1,ISNUMBER(VALUE(SUBSTITUTE(TRIM(C151),".","")))),TRIM(C151),B150))</f>
        <v/>
      </c>
      <c r="C151" s="16" t="inlineStr">
        <is>
          <t>M01-0148</t>
        </is>
      </c>
      <c r="D151" s="292" t="n"/>
      <c r="E151" s="252">
        <f>+_xlfn.XLOOKUP(C151,'BASE DATOS PRECIOS '!B:B,'BASE DATOS PRECIOS '!E:E)</f>
        <v/>
      </c>
      <c r="F151" s="308">
        <f>+'1_OG y 2_ACA'!F833</f>
        <v/>
      </c>
      <c r="G151" s="250">
        <f>+_xlfn.XLOOKUP(C151,'BASE DATOS PRECIOS '!B:B,'BASE DATOS PRECIOS '!F:F)</f>
        <v/>
      </c>
      <c r="H151" s="249">
        <f>+_xlfn.XLOOKUP(E151,'BASE DATOS PRECIOS '!E:E,'BASE DATOS PRECIOS '!H:H)</f>
        <v/>
      </c>
      <c r="I151" s="250" t="n"/>
      <c r="J151" s="250" t="n"/>
      <c r="K151" s="249">
        <f>+F151*H151</f>
        <v/>
      </c>
      <c r="L151" s="249">
        <f>+F151*I151</f>
        <v/>
      </c>
      <c r="M151" s="249">
        <f>+F151*J151</f>
        <v/>
      </c>
      <c r="N151" s="249">
        <f>SUM(K151:M151)</f>
        <v/>
      </c>
      <c r="O151" s="251">
        <f>SUM(K151:M151)/tc</f>
        <v/>
      </c>
    </row>
    <row r="152">
      <c r="A152" s="16" t="n"/>
      <c r="B152" s="1134">
        <f>VALUE(IF(AND(LEN(TRIM(C152))-LEN(SUBSTITUTE(TRIM(C152),".",""))=1,ISNUMBER(VALUE(SUBSTITUTE(TRIM(C152),".","")))),TRIM(C152),B151))</f>
        <v/>
      </c>
      <c r="C152" s="16" t="inlineStr">
        <is>
          <t>M01-0055</t>
        </is>
      </c>
      <c r="D152" s="292" t="n"/>
      <c r="E152" s="252">
        <f>+_xlfn.XLOOKUP(C152,'BASE DATOS PRECIOS '!B:B,'BASE DATOS PRECIOS '!E:E)</f>
        <v/>
      </c>
      <c r="F152" s="308">
        <f>+'1_OG y 2_ACA'!F835</f>
        <v/>
      </c>
      <c r="G152" s="250">
        <f>+_xlfn.XLOOKUP(C152,'BASE DATOS PRECIOS '!B:B,'BASE DATOS PRECIOS '!F:F)</f>
        <v/>
      </c>
      <c r="H152" s="249">
        <f>+_xlfn.XLOOKUP(E152,'BASE DATOS PRECIOS '!E:E,'BASE DATOS PRECIOS '!H:H)</f>
        <v/>
      </c>
      <c r="I152" s="250" t="n"/>
      <c r="J152" s="250" t="n"/>
      <c r="K152" s="249">
        <f>+F152*H152</f>
        <v/>
      </c>
      <c r="L152" s="249">
        <f>+F152*I152</f>
        <v/>
      </c>
      <c r="M152" s="249">
        <f>+F152*J152</f>
        <v/>
      </c>
      <c r="N152" s="249">
        <f>SUM(K152:M152)</f>
        <v/>
      </c>
      <c r="O152" s="251">
        <f>SUM(K152:M152)/tc</f>
        <v/>
      </c>
      <c r="P152" s="277" t="n"/>
    </row>
    <row r="153">
      <c r="A153" s="16" t="n"/>
      <c r="B153" s="1134">
        <f>VALUE(IF(AND(LEN(TRIM(C153))-LEN(SUBSTITUTE(TRIM(C153),".",""))=1,ISNUMBER(VALUE(SUBSTITUTE(TRIM(C153),".","")))),TRIM(C153),B152))</f>
        <v/>
      </c>
      <c r="C153" s="274" t="inlineStr">
        <is>
          <t>M08-0037</t>
        </is>
      </c>
      <c r="D153" s="275" t="n"/>
      <c r="E153" s="252">
        <f>+_xlfn.XLOOKUP(C153,'BASE DATOS PRECIOS '!B:B,'BASE DATOS PRECIOS '!E:E)</f>
        <v/>
      </c>
      <c r="F153" s="308">
        <f>+'1_OG y 2_ACA'!F836</f>
        <v/>
      </c>
      <c r="G153" s="250">
        <f>+_xlfn.XLOOKUP(C153,'BASE DATOS PRECIOS '!B:B,'BASE DATOS PRECIOS '!F:F)</f>
        <v/>
      </c>
      <c r="H153" s="249">
        <f>+_xlfn.XLOOKUP(E153,'BASE DATOS PRECIOS '!E:E,'BASE DATOS PRECIOS '!H:H)</f>
        <v/>
      </c>
      <c r="I153" s="250" t="n"/>
      <c r="J153" s="250" t="n"/>
      <c r="K153" s="249">
        <f>+F153*H153</f>
        <v/>
      </c>
      <c r="L153" s="249">
        <f>+F153*I153</f>
        <v/>
      </c>
      <c r="M153" s="249">
        <f>+F153*J153</f>
        <v/>
      </c>
      <c r="N153" s="249">
        <f>SUM(K153:M153)</f>
        <v/>
      </c>
      <c r="O153" s="251">
        <f>SUM(K153:M153)/tc</f>
        <v/>
      </c>
      <c r="P153" s="277" t="n"/>
    </row>
    <row r="154">
      <c r="A154" s="16" t="n"/>
      <c r="B154" s="1134">
        <f>VALUE(IF(AND(LEN(TRIM(C154))-LEN(SUBSTITUTE(TRIM(C154),".",""))=1,ISNUMBER(VALUE(SUBSTITUTE(TRIM(C154),".","")))),TRIM(C154),B153))</f>
        <v/>
      </c>
      <c r="C154" s="16" t="inlineStr">
        <is>
          <t>M08-0043</t>
        </is>
      </c>
      <c r="D154" s="292" t="n"/>
      <c r="E154" s="252">
        <f>+_xlfn.XLOOKUP(C154,'BASE DATOS PRECIOS '!B:B,'BASE DATOS PRECIOS '!E:E)</f>
        <v/>
      </c>
      <c r="F154" s="308">
        <f>+F153</f>
        <v/>
      </c>
      <c r="G154" s="250">
        <f>+_xlfn.XLOOKUP(C154,'BASE DATOS PRECIOS '!B:B,'BASE DATOS PRECIOS '!F:F)</f>
        <v/>
      </c>
      <c r="H154" s="249">
        <f>+_xlfn.XLOOKUP(E154,'BASE DATOS PRECIOS '!E:E,'BASE DATOS PRECIOS '!H:H)</f>
        <v/>
      </c>
      <c r="I154" s="250" t="n"/>
      <c r="J154" s="250" t="n"/>
      <c r="K154" s="249">
        <f>+F154*H154</f>
        <v/>
      </c>
      <c r="L154" s="249">
        <f>+F154*I154</f>
        <v/>
      </c>
      <c r="M154" s="249">
        <f>+F154*J154</f>
        <v/>
      </c>
      <c r="N154" s="249">
        <f>SUM(K154:M154)</f>
        <v/>
      </c>
      <c r="O154" s="251">
        <f>SUM(K154:M154)/tc</f>
        <v/>
      </c>
      <c r="P154" s="277" t="n"/>
    </row>
    <row r="155">
      <c r="A155" s="16" t="n"/>
      <c r="B155" s="1134">
        <f>VALUE(IF(AND(LEN(TRIM(C155))-LEN(SUBSTITUTE(TRIM(C155),".",""))=1,ISNUMBER(VALUE(SUBSTITUTE(TRIM(C155),".","")))),TRIM(C155),B154))</f>
        <v/>
      </c>
      <c r="C155" s="297" t="inlineStr">
        <is>
          <t>M08-0044</t>
        </is>
      </c>
      <c r="D155" s="298" t="n"/>
      <c r="E155" s="252">
        <f>+_xlfn.XLOOKUP(C155,'BASE DATOS PRECIOS '!B:B,'BASE DATOS PRECIOS '!E:E)</f>
        <v/>
      </c>
      <c r="F155" s="308">
        <f>+F154</f>
        <v/>
      </c>
      <c r="G155" s="250">
        <f>+_xlfn.XLOOKUP(C155,'BASE DATOS PRECIOS '!B:B,'BASE DATOS PRECIOS '!F:F)</f>
        <v/>
      </c>
      <c r="H155" s="249">
        <f>+_xlfn.XLOOKUP(E155,'BASE DATOS PRECIOS '!E:E,'BASE DATOS PRECIOS '!H:H)</f>
        <v/>
      </c>
      <c r="I155" s="250" t="n"/>
      <c r="J155" s="250" t="n"/>
      <c r="K155" s="249">
        <f>+F155*H155</f>
        <v/>
      </c>
      <c r="L155" s="249">
        <f>+F155*I155</f>
        <v/>
      </c>
      <c r="M155" s="249">
        <f>+F155*J155</f>
        <v/>
      </c>
      <c r="N155" s="249">
        <f>SUM(K155:M155)</f>
        <v/>
      </c>
      <c r="O155" s="251">
        <f>SUM(K155:M155)/tc</f>
        <v/>
      </c>
      <c r="P155" s="277" t="n"/>
    </row>
    <row r="156">
      <c r="A156" s="16" t="n"/>
      <c r="B156" s="1134">
        <f>VALUE(IF(AND(LEN(TRIM(C156))-LEN(SUBSTITUTE(TRIM(C156),".",""))=1,ISNUMBER(VALUE(SUBSTITUTE(TRIM(C156),".","")))),TRIM(C156),B155))</f>
        <v/>
      </c>
      <c r="C156" s="274" t="inlineStr">
        <is>
          <t>M08-0051</t>
        </is>
      </c>
      <c r="D156" s="275" t="n"/>
      <c r="E156" s="252">
        <f>+_xlfn.XLOOKUP(C156,'BASE DATOS PRECIOS '!B:B,'BASE DATOS PRECIOS '!E:E)</f>
        <v/>
      </c>
      <c r="F156" s="308">
        <f>+F155</f>
        <v/>
      </c>
      <c r="G156" s="250">
        <f>+_xlfn.XLOOKUP(C156,'BASE DATOS PRECIOS '!B:B,'BASE DATOS PRECIOS '!F:F)</f>
        <v/>
      </c>
      <c r="H156" s="249">
        <f>+_xlfn.XLOOKUP(E156,'BASE DATOS PRECIOS '!E:E,'BASE DATOS PRECIOS '!H:H)</f>
        <v/>
      </c>
      <c r="I156" s="250" t="n"/>
      <c r="J156" s="250" t="n"/>
      <c r="K156" s="249">
        <f>+F156*H156</f>
        <v/>
      </c>
      <c r="L156" s="249">
        <f>+F156*I156</f>
        <v/>
      </c>
      <c r="M156" s="249">
        <f>+F156*J156</f>
        <v/>
      </c>
      <c r="N156" s="249">
        <f>SUM(K156:M156)</f>
        <v/>
      </c>
      <c r="O156" s="251">
        <f>SUM(K156:M156)/tc</f>
        <v/>
      </c>
      <c r="P156" s="277" t="n"/>
    </row>
    <row r="157">
      <c r="A157" s="16" t="n"/>
      <c r="B157" s="1134">
        <f>VALUE(IF(AND(LEN(TRIM(C157))-LEN(SUBSTITUTE(TRIM(C157),".",""))=1,ISNUMBER(VALUE(SUBSTITUTE(TRIM(C157),".","")))),TRIM(C157),B156))</f>
        <v/>
      </c>
      <c r="C157" s="16" t="inlineStr">
        <is>
          <t>M11-0019</t>
        </is>
      </c>
      <c r="D157" s="292" t="n"/>
      <c r="E157" s="311">
        <f>+_xlfn.XLOOKUP(C157,'BASE DATOS PRECIOS '!B:B,'BASE DATOS PRECIOS '!E:E)</f>
        <v/>
      </c>
      <c r="F157" s="276">
        <f>+'1_OG y 2_ACA'!F837</f>
        <v/>
      </c>
      <c r="G157" s="312">
        <f>+_xlfn.XLOOKUP(C157,'BASE DATOS PRECIOS '!B:B,'BASE DATOS PRECIOS '!F:F)</f>
        <v/>
      </c>
      <c r="H157" s="249">
        <f>+_xlfn.XLOOKUP(E157,'BASE DATOS PRECIOS '!E:E,'BASE DATOS PRECIOS '!H:H)</f>
        <v/>
      </c>
      <c r="I157" s="312" t="n"/>
      <c r="J157" s="312" t="n"/>
      <c r="K157" s="313">
        <f>+F157*H157</f>
        <v/>
      </c>
      <c r="L157" s="313">
        <f>+F157*I157</f>
        <v/>
      </c>
      <c r="M157" s="313">
        <f>+F157*J157</f>
        <v/>
      </c>
      <c r="N157" s="313">
        <f>SUM(K157:M157)</f>
        <v/>
      </c>
      <c r="O157" s="314">
        <f>SUM(K157:M157)/tc</f>
        <v/>
      </c>
      <c r="P157" s="277" t="n"/>
    </row>
    <row r="158">
      <c r="A158" s="16" t="n"/>
      <c r="B158" s="1134">
        <f>VALUE(IF(AND(LEN(TRIM(C158))-LEN(SUBSTITUTE(TRIM(C158),".",""))=1,ISNUMBER(VALUE(SUBSTITUTE(TRIM(C158),".","")))),TRIM(C158),B157))</f>
        <v/>
      </c>
      <c r="C158" s="16" t="inlineStr">
        <is>
          <t>M06-0231</t>
        </is>
      </c>
      <c r="D158" s="292" t="n"/>
      <c r="E158" s="311">
        <f>+_xlfn.XLOOKUP(C158,'BASE DATOS PRECIOS '!B:B,'BASE DATOS PRECIOS '!E:E)</f>
        <v/>
      </c>
      <c r="F158" s="276">
        <f>+'1_OG y 2_ACA'!F838</f>
        <v/>
      </c>
      <c r="G158" s="312">
        <f>+_xlfn.XLOOKUP(C158,'BASE DATOS PRECIOS '!B:B,'BASE DATOS PRECIOS '!F:F)</f>
        <v/>
      </c>
      <c r="H158" s="249">
        <f>+_xlfn.XLOOKUP(E158,'BASE DATOS PRECIOS '!E:E,'BASE DATOS PRECIOS '!H:H)</f>
        <v/>
      </c>
      <c r="I158" s="312" t="n"/>
      <c r="J158" s="312" t="n"/>
      <c r="K158" s="313">
        <f>+F158*H158</f>
        <v/>
      </c>
      <c r="L158" s="313">
        <f>+F158*I158</f>
        <v/>
      </c>
      <c r="M158" s="313">
        <f>+F158*J158</f>
        <v/>
      </c>
      <c r="N158" s="313">
        <f>SUM(K158:M158)</f>
        <v/>
      </c>
      <c r="O158" s="314">
        <f>SUM(K158:M158)/tc</f>
        <v/>
      </c>
      <c r="P158" s="277" t="n"/>
    </row>
    <row r="159">
      <c r="A159" s="16" t="n"/>
      <c r="B159" s="1134">
        <f>VALUE(IF(AND(LEN(TRIM(C159))-LEN(SUBSTITUTE(TRIM(C159),".",""))=1,ISNUMBER(VALUE(SUBSTITUTE(TRIM(C159),".","")))),TRIM(C159),B158))</f>
        <v/>
      </c>
      <c r="C159" s="297" t="inlineStr">
        <is>
          <t>M11-0066</t>
        </is>
      </c>
      <c r="D159" s="298" t="n"/>
      <c r="E159" s="311">
        <f>+_xlfn.XLOOKUP(C159,'BASE DATOS PRECIOS '!B:B,'BASE DATOS PRECIOS '!E:E)</f>
        <v/>
      </c>
      <c r="F159" s="276">
        <f>+'1_OG y 2_ACA'!F839</f>
        <v/>
      </c>
      <c r="G159" s="312">
        <f>+_xlfn.XLOOKUP(C159,'BASE DATOS PRECIOS '!B:B,'BASE DATOS PRECIOS '!F:F)</f>
        <v/>
      </c>
      <c r="H159" s="249">
        <f>+_xlfn.XLOOKUP(E159,'BASE DATOS PRECIOS '!E:E,'BASE DATOS PRECIOS '!H:H)</f>
        <v/>
      </c>
      <c r="I159" s="312" t="n"/>
      <c r="J159" s="312" t="n"/>
      <c r="K159" s="313">
        <f>+F159*H159</f>
        <v/>
      </c>
      <c r="L159" s="313">
        <f>+F159*I159</f>
        <v/>
      </c>
      <c r="M159" s="313">
        <f>+F159*J159</f>
        <v/>
      </c>
      <c r="N159" s="313">
        <f>SUM(K159:M159)</f>
        <v/>
      </c>
      <c r="O159" s="314">
        <f>SUM(K159:M159)/tc</f>
        <v/>
      </c>
      <c r="P159" s="277" t="n"/>
    </row>
    <row r="160">
      <c r="A160" s="16" t="n"/>
      <c r="B160" s="1134">
        <f>VALUE(IF(AND(LEN(TRIM(C160))-LEN(SUBSTITUTE(TRIM(C160),".",""))=1,ISNUMBER(VALUE(SUBSTITUTE(TRIM(C160),".","")))),TRIM(C160),B159))</f>
        <v/>
      </c>
      <c r="C160" s="16" t="inlineStr">
        <is>
          <t>M11-0077</t>
        </is>
      </c>
      <c r="D160" s="292" t="n"/>
      <c r="E160" s="311">
        <f>+_xlfn.XLOOKUP(C160,'BASE DATOS PRECIOS '!B:B,'BASE DATOS PRECIOS '!E:E)</f>
        <v/>
      </c>
      <c r="F160" s="276">
        <f>+'1_OG y 2_ACA'!F839</f>
        <v/>
      </c>
      <c r="G160" s="312">
        <f>+_xlfn.XLOOKUP(C160,'BASE DATOS PRECIOS '!B:B,'BASE DATOS PRECIOS '!F:F)</f>
        <v/>
      </c>
      <c r="H160" s="249">
        <f>+_xlfn.XLOOKUP(E160,'BASE DATOS PRECIOS '!E:E,'BASE DATOS PRECIOS '!H:H)</f>
        <v/>
      </c>
      <c r="I160" s="312" t="n"/>
      <c r="J160" s="312" t="n"/>
      <c r="K160" s="313">
        <f>+F160*H160</f>
        <v/>
      </c>
      <c r="L160" s="313">
        <f>+F160*I160</f>
        <v/>
      </c>
      <c r="M160" s="313">
        <f>+F160*J160</f>
        <v/>
      </c>
      <c r="N160" s="313">
        <f>SUM(K160:M160)</f>
        <v/>
      </c>
      <c r="O160" s="314">
        <f>SUM(K160:M160)/tc</f>
        <v/>
      </c>
      <c r="P160" s="277" t="n"/>
    </row>
    <row r="161">
      <c r="A161" s="16" t="n"/>
      <c r="B161" s="1134">
        <f>VALUE(IF(AND(LEN(TRIM(C161))-LEN(SUBSTITUTE(TRIM(C161),".",""))=1,ISNUMBER(VALUE(SUBSTITUTE(TRIM(C161),".","")))),TRIM(C161),B160))</f>
        <v/>
      </c>
      <c r="C161" s="16" t="inlineStr">
        <is>
          <t>M11-0002</t>
        </is>
      </c>
      <c r="D161" s="292" t="n"/>
      <c r="E161" s="252">
        <f>+_xlfn.XLOOKUP(C161,'BASE DATOS PRECIOS '!B:B,'BASE DATOS PRECIOS '!E:E)</f>
        <v/>
      </c>
      <c r="F161" s="276">
        <f>+'1_OG y 2_ACA'!F840</f>
        <v/>
      </c>
      <c r="G161" s="250">
        <f>+_xlfn.XLOOKUP(C161,'BASE DATOS PRECIOS '!B:B,'BASE DATOS PRECIOS '!F:F)</f>
        <v/>
      </c>
      <c r="H161" s="249">
        <f>+_xlfn.XLOOKUP(E161,'BASE DATOS PRECIOS '!E:E,'BASE DATOS PRECIOS '!H:H)</f>
        <v/>
      </c>
      <c r="I161" s="250" t="n"/>
      <c r="J161" s="250" t="n"/>
      <c r="K161" s="249">
        <f>+F161*H161</f>
        <v/>
      </c>
      <c r="L161" s="249">
        <f>+F161*I161</f>
        <v/>
      </c>
      <c r="M161" s="249">
        <f>+F161*J161</f>
        <v/>
      </c>
      <c r="N161" s="249">
        <f>SUM(K161:M161)</f>
        <v/>
      </c>
      <c r="O161" s="251">
        <f>SUM(K161:M161)/tc</f>
        <v/>
      </c>
      <c r="P161" s="1133" t="n"/>
    </row>
    <row r="162">
      <c r="A162" s="16" t="n"/>
      <c r="B162" s="1134">
        <f>VALUE(IF(AND(LEN(TRIM(C162))-LEN(SUBSTITUTE(TRIM(C162),".",""))=1,ISNUMBER(VALUE(SUBSTITUTE(TRIM(C162),".","")))),TRIM(C162),B161))</f>
        <v/>
      </c>
      <c r="C162" s="16" t="inlineStr">
        <is>
          <t>M06-0008</t>
        </is>
      </c>
      <c r="D162" s="292" t="n"/>
      <c r="E162" s="311">
        <f>+_xlfn.XLOOKUP(C162,'BASE DATOS PRECIOS '!B:B,'BASE DATOS PRECIOS '!E:E)</f>
        <v/>
      </c>
      <c r="F162" s="276">
        <f>+'1_OG y 2_ACA'!F841</f>
        <v/>
      </c>
      <c r="G162" s="312">
        <f>+_xlfn.XLOOKUP(C162,'BASE DATOS PRECIOS '!B:B,'BASE DATOS PRECIOS '!F:F)</f>
        <v/>
      </c>
      <c r="H162" s="249">
        <f>+_xlfn.XLOOKUP(E162,'BASE DATOS PRECIOS '!E:E,'BASE DATOS PRECIOS '!H:H)</f>
        <v/>
      </c>
      <c r="I162" s="312" t="n"/>
      <c r="J162" s="312" t="n"/>
      <c r="K162" s="313">
        <f>+F162*H162</f>
        <v/>
      </c>
      <c r="L162" s="313">
        <f>+F162*I162</f>
        <v/>
      </c>
      <c r="M162" s="313">
        <f>+F162*J162</f>
        <v/>
      </c>
      <c r="N162" s="313">
        <f>SUM(K162:M162)</f>
        <v/>
      </c>
      <c r="O162" s="314">
        <f>SUM(K162:M162)/tc</f>
        <v/>
      </c>
      <c r="P162" s="277" t="n"/>
    </row>
    <row r="163">
      <c r="A163" s="16" t="n"/>
      <c r="B163" s="1134">
        <f>VALUE(IF(AND(LEN(TRIM(C163))-LEN(SUBSTITUTE(TRIM(C163),".",""))=1,ISNUMBER(VALUE(SUBSTITUTE(TRIM(C163),".","")))),TRIM(C163),B162))</f>
        <v/>
      </c>
      <c r="C163" s="16" t="inlineStr">
        <is>
          <t>M11-0063</t>
        </is>
      </c>
      <c r="D163" s="292" t="n"/>
      <c r="E163" s="311">
        <f>+_xlfn.XLOOKUP(C163,'BASE DATOS PRECIOS '!B:B,'BASE DATOS PRECIOS '!E:E)</f>
        <v/>
      </c>
      <c r="F163" s="276">
        <f>+'1_OG y 2_ACA'!F842</f>
        <v/>
      </c>
      <c r="G163" s="312">
        <f>+_xlfn.XLOOKUP(C163,'BASE DATOS PRECIOS '!B:B,'BASE DATOS PRECIOS '!F:F)</f>
        <v/>
      </c>
      <c r="H163" s="249">
        <f>+_xlfn.XLOOKUP(E163,'BASE DATOS PRECIOS '!E:E,'BASE DATOS PRECIOS '!H:H)</f>
        <v/>
      </c>
      <c r="I163" s="312" t="n"/>
      <c r="J163" s="312" t="n"/>
      <c r="K163" s="313">
        <f>+F163*H163</f>
        <v/>
      </c>
      <c r="L163" s="313">
        <f>+F163*I163</f>
        <v/>
      </c>
      <c r="M163" s="313">
        <f>+F163*J163</f>
        <v/>
      </c>
      <c r="N163" s="313">
        <f>SUM(K163:M163)</f>
        <v/>
      </c>
      <c r="O163" s="314">
        <f>SUM(K163:M163)/tc</f>
        <v/>
      </c>
      <c r="P163" s="277" t="n"/>
    </row>
    <row r="164">
      <c r="A164" s="316" t="inlineStr">
        <is>
          <t>Estructura Techo Cochera y Terraza</t>
        </is>
      </c>
      <c r="B164" s="1134">
        <f>VALUE(IF(AND(LEN(TRIM(C164))-LEN(SUBSTITUTE(TRIM(C164),".",""))=1,ISNUMBER(VALUE(SUBSTITUTE(TRIM(C164),".","")))),TRIM(C164),B163))</f>
        <v/>
      </c>
      <c r="C164" s="267" t="inlineStr">
        <is>
          <t xml:space="preserve">OP CALIFICADO </t>
        </is>
      </c>
      <c r="D164" s="268" t="n"/>
      <c r="E164" s="269">
        <f>+_xlfn.XLOOKUP(C164,'BASE DATOS MANO DE OBRA'!A:A,'BASE DATOS MANO DE OBRA'!B:B)</f>
        <v/>
      </c>
      <c r="F164" s="270">
        <f>+ROUNDUP('1_OG y 2_ACA'!F843,0)/2</f>
        <v/>
      </c>
      <c r="G164" s="271">
        <f>+_xlfn.XLOOKUP(C164,'BASE DATOS MANO DE OBRA'!A:A,'BASE DATOS MANO DE OBRA'!C:C)</f>
        <v/>
      </c>
      <c r="H164" s="272" t="n">
        <v>0</v>
      </c>
      <c r="I164" s="272">
        <f>+_xlfn.XLOOKUP(C164,'BASE DATOS MANO DE OBRA'!A:A,'BASE DATOS MANO DE OBRA'!E:E)</f>
        <v/>
      </c>
      <c r="J164" s="272" t="n">
        <v>0</v>
      </c>
      <c r="K164" s="272">
        <f>+F164*H164</f>
        <v/>
      </c>
      <c r="L164" s="272">
        <f>+F164*I164</f>
        <v/>
      </c>
      <c r="M164" s="272">
        <f>+F164*J164</f>
        <v/>
      </c>
      <c r="N164" s="272">
        <f>SUM(K164:M164)</f>
        <v/>
      </c>
      <c r="O164" s="273">
        <f>SUM(K164:M164)/tc</f>
        <v/>
      </c>
      <c r="P164" s="277" t="n"/>
    </row>
    <row r="165">
      <c r="A165" s="316" t="inlineStr">
        <is>
          <t>Estructura Techo Cochera y Terraza</t>
        </is>
      </c>
      <c r="B165" s="1134">
        <f>VALUE(IF(AND(LEN(TRIM(C165))-LEN(SUBSTITUTE(TRIM(C165),".",""))=1,ISNUMBER(VALUE(SUBSTITUTE(TRIM(C165),".","")))),TRIM(C165),B164))</f>
        <v/>
      </c>
      <c r="C165" s="267" t="inlineStr">
        <is>
          <t xml:space="preserve">OP CALIFICADO </t>
        </is>
      </c>
      <c r="D165" s="268" t="n"/>
      <c r="E165" s="269">
        <f>+_xlfn.XLOOKUP(C165,'BASE DATOS MANO DE OBRA'!A:A,'BASE DATOS MANO DE OBRA'!B:B)</f>
        <v/>
      </c>
      <c r="F165" s="270">
        <f>+F164</f>
        <v/>
      </c>
      <c r="G165" s="271">
        <f>+_xlfn.XLOOKUP(C165,'BASE DATOS MANO DE OBRA'!A:A,'BASE DATOS MANO DE OBRA'!C:C)</f>
        <v/>
      </c>
      <c r="H165" s="272" t="n">
        <v>0</v>
      </c>
      <c r="I165" s="272">
        <f>+_xlfn.XLOOKUP(C165,'BASE DATOS MANO DE OBRA'!A:A,'BASE DATOS MANO DE OBRA'!E:E)</f>
        <v/>
      </c>
      <c r="J165" s="272" t="n">
        <v>0</v>
      </c>
      <c r="K165" s="272">
        <f>+F165*H165</f>
        <v/>
      </c>
      <c r="L165" s="272">
        <f>+F165*I165</f>
        <v/>
      </c>
      <c r="M165" s="272">
        <f>+F165*J165</f>
        <v/>
      </c>
      <c r="N165" s="272">
        <f>SUM(K165:M165)</f>
        <v/>
      </c>
      <c r="O165" s="273">
        <f>SUM(K165:M165)/tc</f>
        <v/>
      </c>
      <c r="P165" s="277" t="n"/>
    </row>
    <row r="166">
      <c r="A166" s="16" t="n"/>
      <c r="B166" s="1134">
        <f>VALUE(IF(AND(LEN(TRIM(C166))-LEN(SUBSTITUTE(TRIM(C166),".",""))=1,ISNUMBER(VALUE(SUBSTITUTE(TRIM(C166),".","")))),TRIM(C166),B165))</f>
        <v/>
      </c>
      <c r="C166" s="267" t="inlineStr">
        <is>
          <t xml:space="preserve">OP CALIFICADO </t>
        </is>
      </c>
      <c r="D166" s="268" t="n"/>
      <c r="E166" s="269">
        <f>+_xlfn.XLOOKUP(C166,'BASE DATOS MANO DE OBRA'!A:A,'BASE DATOS MANO DE OBRA'!B:B)</f>
        <v/>
      </c>
      <c r="F166" s="270" t="n">
        <v>0</v>
      </c>
      <c r="G166" s="271">
        <f>+_xlfn.XLOOKUP(C166,'BASE DATOS MANO DE OBRA'!A:A,'BASE DATOS MANO DE OBRA'!C:C)</f>
        <v/>
      </c>
      <c r="H166" s="272" t="n">
        <v>0</v>
      </c>
      <c r="I166" s="272">
        <f>+_xlfn.XLOOKUP(C166,'BASE DATOS MANO DE OBRA'!A:A,'BASE DATOS MANO DE OBRA'!E:E)</f>
        <v/>
      </c>
      <c r="J166" s="272" t="n">
        <v>0</v>
      </c>
      <c r="K166" s="272">
        <f>+F166*H166</f>
        <v/>
      </c>
      <c r="L166" s="272">
        <f>+F166*I166</f>
        <v/>
      </c>
      <c r="M166" s="272">
        <f>+F166*J166</f>
        <v/>
      </c>
      <c r="N166" s="272">
        <f>SUM(K166:M166)</f>
        <v/>
      </c>
      <c r="O166" s="273">
        <f>SUM(K166:M166)/tc</f>
        <v/>
      </c>
      <c r="P166" s="277" t="n"/>
    </row>
    <row r="167">
      <c r="A167" s="16" t="n"/>
      <c r="B167" s="1134">
        <f>VALUE(IF(AND(LEN(TRIM(C167))-LEN(SUBSTITUTE(TRIM(C167),".",""))=1,ISNUMBER(VALUE(SUBSTITUTE(TRIM(C167),".","")))),TRIM(C167),B166))</f>
        <v/>
      </c>
      <c r="C167" s="267" t="inlineStr">
        <is>
          <t xml:space="preserve">OP CALIFICADO </t>
        </is>
      </c>
      <c r="D167" s="268" t="n"/>
      <c r="E167" s="269">
        <f>+_xlfn.XLOOKUP(C167,'BASE DATOS MANO DE OBRA'!A:A,'BASE DATOS MANO DE OBRA'!B:B)</f>
        <v/>
      </c>
      <c r="F167" s="270" t="n">
        <v>0</v>
      </c>
      <c r="G167" s="271">
        <f>+_xlfn.XLOOKUP(C167,'BASE DATOS MANO DE OBRA'!A:A,'BASE DATOS MANO DE OBRA'!C:C)</f>
        <v/>
      </c>
      <c r="H167" s="272" t="n">
        <v>0</v>
      </c>
      <c r="I167" s="272">
        <f>+_xlfn.XLOOKUP(C167,'BASE DATOS MANO DE OBRA'!A:A,'BASE DATOS MANO DE OBRA'!E:E)</f>
        <v/>
      </c>
      <c r="J167" s="272" t="n">
        <v>0</v>
      </c>
      <c r="K167" s="272">
        <f>+F167*H167</f>
        <v/>
      </c>
      <c r="L167" s="272">
        <f>+F167*I167</f>
        <v/>
      </c>
      <c r="M167" s="272">
        <f>+F167*J167</f>
        <v/>
      </c>
      <c r="N167" s="272">
        <f>SUM(K167:M167)</f>
        <v/>
      </c>
      <c r="O167" s="273">
        <f>SUM(K167:M167)/tc</f>
        <v/>
      </c>
      <c r="P167" s="277" t="n"/>
    </row>
    <row r="168">
      <c r="A168" s="16" t="n"/>
      <c r="B168" s="1134">
        <f>VALUE(IF(AND(LEN(TRIM(C168))-LEN(SUBSTITUTE(TRIM(C168),".",""))=1,ISNUMBER(VALUE(SUBSTITUTE(TRIM(C168),".","")))),TRIM(C168),B167))</f>
        <v/>
      </c>
      <c r="C168" s="234" t="inlineStr">
        <is>
          <t>1.3.3</t>
        </is>
      </c>
      <c r="D168" s="235" t="n"/>
      <c r="E168" s="236" t="inlineStr">
        <is>
          <t xml:space="preserve">CUBIERTA TECHO CASA </t>
        </is>
      </c>
      <c r="F168" s="237">
        <f>+'1_OG y 2_ACA'!D21</f>
        <v/>
      </c>
      <c r="G168" s="235" t="inlineStr">
        <is>
          <t xml:space="preserve">m2 </t>
        </is>
      </c>
      <c r="H168" s="235" t="n"/>
      <c r="I168" s="235" t="n"/>
      <c r="J168" s="235" t="n"/>
      <c r="K168" s="238">
        <f>+SUBTOTAL(9,K169:K174)</f>
        <v/>
      </c>
      <c r="L168" s="238">
        <f>+SUBTOTAL(9,L169:L174)</f>
        <v/>
      </c>
      <c r="M168" s="238">
        <f>+SUBTOTAL(9,M169:M174)</f>
        <v/>
      </c>
      <c r="N168" s="238">
        <f>+SUBTOTAL(9,N169:N174)</f>
        <v/>
      </c>
      <c r="O168" s="1136">
        <f>+SUBTOTAL(9,O169:O174)</f>
        <v/>
      </c>
      <c r="P168" s="1137" t="n"/>
    </row>
    <row r="169">
      <c r="A169" s="16" t="n"/>
      <c r="B169" s="1134">
        <f>VALUE(IF(AND(LEN(TRIM(C169))-LEN(SUBSTITUTE(TRIM(C169),".",""))=1,ISNUMBER(VALUE(SUBSTITUTE(TRIM(C169),".","")))),TRIM(C169),B168))</f>
        <v/>
      </c>
      <c r="C169" s="274" t="inlineStr">
        <is>
          <t>M15-0020</t>
        </is>
      </c>
      <c r="D169" s="275" t="n"/>
      <c r="E169" s="252">
        <f>+_xlfn.XLOOKUP(C169,'BASE DATOS PRECIOS '!B:B,'BASE DATOS PRECIOS '!E:E)</f>
        <v/>
      </c>
      <c r="F169" s="308">
        <f>+'1_OG y 2_ACA'!D872</f>
        <v/>
      </c>
      <c r="G169" s="250">
        <f>+_xlfn.XLOOKUP(C169,'BASE DATOS PRECIOS '!B:B,'BASE DATOS PRECIOS '!F:F)</f>
        <v/>
      </c>
      <c r="H169" s="249">
        <f>+_xlfn.XLOOKUP(E169,'BASE DATOS PRECIOS '!E:E,'BASE DATOS PRECIOS '!H:H)</f>
        <v/>
      </c>
      <c r="I169" s="250" t="n"/>
      <c r="J169" s="250" t="n"/>
      <c r="K169" s="249">
        <f>+F169*H169</f>
        <v/>
      </c>
      <c r="L169" s="249">
        <f>+F169*I169</f>
        <v/>
      </c>
      <c r="M169" s="249">
        <f>+F169*J169</f>
        <v/>
      </c>
      <c r="N169" s="249">
        <f>SUM(K169:M169)</f>
        <v/>
      </c>
      <c r="O169" s="251">
        <f>SUM(K169:M169)/tc</f>
        <v/>
      </c>
      <c r="P169" s="277" t="n"/>
    </row>
    <row r="170">
      <c r="A170" s="16" t="n"/>
      <c r="B170" s="1134">
        <f>VALUE(IF(AND(LEN(TRIM(C170))-LEN(SUBSTITUTE(TRIM(C170),".",""))=1,ISNUMBER(VALUE(SUBSTITUTE(TRIM(C170),".","")))),TRIM(C170),B169))</f>
        <v/>
      </c>
      <c r="C170" s="274" t="inlineStr">
        <is>
          <t>M15-0012</t>
        </is>
      </c>
      <c r="D170" s="275" t="n"/>
      <c r="E170" s="252">
        <f>+_xlfn.XLOOKUP(C170,'BASE DATOS PRECIOS '!B:B,'BASE DATOS PRECIOS '!E:E)</f>
        <v/>
      </c>
      <c r="F170" s="308">
        <f>+'1_OG y 2_ACA'!D873</f>
        <v/>
      </c>
      <c r="G170" s="250">
        <f>+_xlfn.XLOOKUP(C170,'BASE DATOS PRECIOS '!B:B,'BASE DATOS PRECIOS '!F:F)</f>
        <v/>
      </c>
      <c r="H170" s="249">
        <f>+_xlfn.XLOOKUP(E170,'BASE DATOS PRECIOS '!E:E,'BASE DATOS PRECIOS '!H:H)</f>
        <v/>
      </c>
      <c r="I170" s="250" t="n"/>
      <c r="J170" s="250" t="n"/>
      <c r="K170" s="249">
        <f>+F170*H170</f>
        <v/>
      </c>
      <c r="L170" s="249">
        <f>+F170*I170</f>
        <v/>
      </c>
      <c r="M170" s="249">
        <f>+F170*J170</f>
        <v/>
      </c>
      <c r="N170" s="249">
        <f>SUM(K170:M170)</f>
        <v/>
      </c>
      <c r="O170" s="251">
        <f>SUM(K170:M170)/tc</f>
        <v/>
      </c>
      <c r="P170" s="277" t="n"/>
    </row>
    <row r="171">
      <c r="A171" s="16" t="n"/>
      <c r="B171" s="1134">
        <f>VALUE(IF(AND(LEN(TRIM(C171))-LEN(SUBSTITUTE(TRIM(C171),".",""))=1,ISNUMBER(VALUE(SUBSTITUTE(TRIM(C171),".","")))),TRIM(C171),B170))</f>
        <v/>
      </c>
      <c r="C171" s="274" t="inlineStr">
        <is>
          <t>M06-0112</t>
        </is>
      </c>
      <c r="D171" s="275" t="n"/>
      <c r="E171" s="252">
        <f>+_xlfn.XLOOKUP(C171,'BASE DATOS PRECIOS '!B:B,'BASE DATOS PRECIOS '!E:E)</f>
        <v/>
      </c>
      <c r="F171" s="308">
        <f>+'1_OG y 2_ACA'!D874</f>
        <v/>
      </c>
      <c r="G171" s="250">
        <f>+_xlfn.XLOOKUP(C171,'BASE DATOS PRECIOS '!B:B,'BASE DATOS PRECIOS '!F:F)</f>
        <v/>
      </c>
      <c r="H171" s="249">
        <f>+_xlfn.XLOOKUP(E171,'BASE DATOS PRECIOS '!E:E,'BASE DATOS PRECIOS '!H:H)</f>
        <v/>
      </c>
      <c r="I171" s="250" t="n"/>
      <c r="J171" s="250" t="n"/>
      <c r="K171" s="249">
        <f>+F171*H171</f>
        <v/>
      </c>
      <c r="L171" s="249">
        <f>+F171*I171</f>
        <v/>
      </c>
      <c r="M171" s="249">
        <f>+F171*J171</f>
        <v/>
      </c>
      <c r="N171" s="249">
        <f>SUM(K171:M171)</f>
        <v/>
      </c>
      <c r="O171" s="251">
        <f>SUM(K171:M171)/tc</f>
        <v/>
      </c>
      <c r="P171" s="277" t="n"/>
    </row>
    <row r="172">
      <c r="A172" s="233" t="n"/>
      <c r="B172" s="1134">
        <f>VALUE(IF(AND(LEN(TRIM(C172))-LEN(SUBSTITUTE(TRIM(C172),".",""))=1,ISNUMBER(VALUE(SUBSTITUTE(TRIM(C172),".","")))),TRIM(C172),B171))</f>
        <v/>
      </c>
      <c r="C172" s="274" t="inlineStr">
        <is>
          <t>M06-0003</t>
        </is>
      </c>
      <c r="D172" s="275" t="n"/>
      <c r="E172" s="252">
        <f>+_xlfn.XLOOKUP(C172,'BASE DATOS PRECIOS '!B:B,'BASE DATOS PRECIOS '!E:E)</f>
        <v/>
      </c>
      <c r="F172" s="308">
        <f>+'1_OG y 2_ACA'!D875</f>
        <v/>
      </c>
      <c r="G172" s="250">
        <f>+_xlfn.XLOOKUP(C172,'BASE DATOS PRECIOS '!B:B,'BASE DATOS PRECIOS '!F:F)</f>
        <v/>
      </c>
      <c r="H172" s="249">
        <f>+_xlfn.XLOOKUP(E172,'BASE DATOS PRECIOS '!E:E,'BASE DATOS PRECIOS '!H:H)</f>
        <v/>
      </c>
      <c r="I172" s="250" t="n"/>
      <c r="J172" s="250" t="n"/>
      <c r="K172" s="249">
        <f>+F172*H172</f>
        <v/>
      </c>
      <c r="L172" s="249">
        <f>+F172*I172</f>
        <v/>
      </c>
      <c r="M172" s="249">
        <f>+F172*J172</f>
        <v/>
      </c>
      <c r="N172" s="249">
        <f>SUM(K172:M172)</f>
        <v/>
      </c>
      <c r="O172" s="251">
        <f>SUM(K172:M172)/tc</f>
        <v/>
      </c>
      <c r="P172" s="277" t="n"/>
    </row>
    <row r="173">
      <c r="A173" s="316" t="inlineStr">
        <is>
          <t>Cubierta Techo Casa</t>
        </is>
      </c>
      <c r="B173" s="1134">
        <f>VALUE(IF(AND(LEN(TRIM(C173))-LEN(SUBSTITUTE(TRIM(C173),".",""))=1,ISNUMBER(VALUE(SUBSTITUTE(TRIM(C173),".","")))),TRIM(C173),B172))</f>
        <v/>
      </c>
      <c r="C173" s="267" t="inlineStr">
        <is>
          <t xml:space="preserve">OPERARIO </t>
        </is>
      </c>
      <c r="D173" s="268" t="n"/>
      <c r="E173" s="269">
        <f>+_xlfn.XLOOKUP(C173,'BASE DATOS MANO DE OBRA'!A:A,'BASE DATOS MANO DE OBRA'!B:B)</f>
        <v/>
      </c>
      <c r="F173" s="270">
        <f>+ROUNDUP('1_OG y 2_ACA'!F878,0)/2</f>
        <v/>
      </c>
      <c r="G173" s="271">
        <f>+_xlfn.XLOOKUP(C173,'BASE DATOS MANO DE OBRA'!A:A,'BASE DATOS MANO DE OBRA'!C:C)</f>
        <v/>
      </c>
      <c r="H173" s="272" t="n">
        <v>0</v>
      </c>
      <c r="I173" s="272">
        <f>+_xlfn.XLOOKUP(C173,'BASE DATOS MANO DE OBRA'!A:A,'BASE DATOS MANO DE OBRA'!E:E)</f>
        <v/>
      </c>
      <c r="J173" s="272" t="n">
        <v>0</v>
      </c>
      <c r="K173" s="272">
        <f>+F173*H173</f>
        <v/>
      </c>
      <c r="L173" s="272">
        <f>+F173*I173</f>
        <v/>
      </c>
      <c r="M173" s="272">
        <f>+F173*J173</f>
        <v/>
      </c>
      <c r="N173" s="272">
        <f>SUM(K173:M173)</f>
        <v/>
      </c>
      <c r="O173" s="273">
        <f>SUM(K173:M173)/tc</f>
        <v/>
      </c>
      <c r="P173" s="277" t="n"/>
    </row>
    <row r="174">
      <c r="A174" s="316" t="inlineStr">
        <is>
          <t>Cubierta Techo Casa</t>
        </is>
      </c>
      <c r="B174" s="1134">
        <f>VALUE(IF(AND(LEN(TRIM(C174))-LEN(SUBSTITUTE(TRIM(C174),".",""))=1,ISNUMBER(VALUE(SUBSTITUTE(TRIM(C174),".","")))),TRIM(C174),B173))</f>
        <v/>
      </c>
      <c r="C174" s="267" t="inlineStr">
        <is>
          <t xml:space="preserve">AYUDANTE </t>
        </is>
      </c>
      <c r="D174" s="268" t="n"/>
      <c r="E174" s="269">
        <f>+_xlfn.XLOOKUP(C174,'BASE DATOS MANO DE OBRA'!A:A,'BASE DATOS MANO DE OBRA'!B:B)</f>
        <v/>
      </c>
      <c r="F174" s="270">
        <f>+F173</f>
        <v/>
      </c>
      <c r="G174" s="271">
        <f>+_xlfn.XLOOKUP(C174,'BASE DATOS MANO DE OBRA'!A:A,'BASE DATOS MANO DE OBRA'!C:C)</f>
        <v/>
      </c>
      <c r="H174" s="272" t="n">
        <v>0</v>
      </c>
      <c r="I174" s="272">
        <f>+_xlfn.XLOOKUP(C174,'BASE DATOS MANO DE OBRA'!A:A,'BASE DATOS MANO DE OBRA'!E:E)</f>
        <v/>
      </c>
      <c r="J174" s="272" t="n">
        <v>0</v>
      </c>
      <c r="K174" s="272">
        <f>+F174*H174</f>
        <v/>
      </c>
      <c r="L174" s="272">
        <f>+F174*I174</f>
        <v/>
      </c>
      <c r="M174" s="272">
        <f>+F174*J174</f>
        <v/>
      </c>
      <c r="N174" s="272">
        <f>SUM(K174:M174)</f>
        <v/>
      </c>
      <c r="O174" s="273">
        <f>SUM(K174:M174)/tc</f>
        <v/>
      </c>
      <c r="P174" s="277" t="n"/>
    </row>
    <row r="175">
      <c r="A175" s="16" t="n"/>
      <c r="B175" s="1134">
        <f>VALUE(IF(AND(LEN(TRIM(C175))-LEN(SUBSTITUTE(TRIM(C175),".",""))=1,ISNUMBER(VALUE(SUBSTITUTE(TRIM(C175),".","")))),TRIM(C175),B174))</f>
        <v/>
      </c>
      <c r="C175" s="234" t="inlineStr">
        <is>
          <t>1.3.4</t>
        </is>
      </c>
      <c r="D175" s="235" t="n"/>
      <c r="E175" s="236" t="inlineStr">
        <is>
          <t xml:space="preserve">CUBIERTA TECHO COCHERA </t>
        </is>
      </c>
      <c r="F175" s="237">
        <f>+'1_OG y 2_ACA'!D22</f>
        <v/>
      </c>
      <c r="G175" s="235" t="inlineStr">
        <is>
          <t>m2</t>
        </is>
      </c>
      <c r="H175" s="235" t="n"/>
      <c r="I175" s="235" t="n"/>
      <c r="J175" s="235" t="n"/>
      <c r="K175" s="238">
        <f>+SUBTOTAL(9,K176:K186)</f>
        <v/>
      </c>
      <c r="L175" s="238">
        <f>+SUBTOTAL(9,L176:L186)</f>
        <v/>
      </c>
      <c r="M175" s="238">
        <f>+SUBTOTAL(9,M176:M186)</f>
        <v/>
      </c>
      <c r="N175" s="238">
        <f>+SUBTOTAL(9,N176:N186)</f>
        <v/>
      </c>
      <c r="O175" s="1136">
        <f>+SUBTOTAL(9,O176:O186)</f>
        <v/>
      </c>
      <c r="P175" s="1137" t="n"/>
    </row>
    <row r="176">
      <c r="A176" s="16" t="n"/>
      <c r="B176" s="1134">
        <f>VALUE(IF(AND(LEN(TRIM(C176))-LEN(SUBSTITUTE(TRIM(C176),".",""))=1,ISNUMBER(VALUE(SUBSTITUTE(TRIM(C176),".","")))),TRIM(C176),B175))</f>
        <v/>
      </c>
      <c r="C176" s="16" t="inlineStr">
        <is>
          <t>M15-0054</t>
        </is>
      </c>
      <c r="D176" s="292" t="n"/>
      <c r="E176" s="252">
        <f>+_xlfn.XLOOKUP(C176,'BASE DATOS PRECIOS '!B:B,'BASE DATOS PRECIOS '!E:E)</f>
        <v/>
      </c>
      <c r="F176" s="308">
        <f>+'1_OG y 2_ACA'!D893</f>
        <v/>
      </c>
      <c r="G176" s="250">
        <f>+_xlfn.XLOOKUP(C176,'BASE DATOS PRECIOS '!B:B,'BASE DATOS PRECIOS '!F:F)</f>
        <v/>
      </c>
      <c r="H176" s="249">
        <f>+_xlfn.XLOOKUP(E176,'BASE DATOS PRECIOS '!E:E,'BASE DATOS PRECIOS '!H:H)</f>
        <v/>
      </c>
      <c r="I176" s="250" t="n"/>
      <c r="J176" s="250" t="n"/>
      <c r="K176" s="249">
        <f>+F176*H176</f>
        <v/>
      </c>
      <c r="L176" s="249">
        <f>+F176*I176</f>
        <v/>
      </c>
      <c r="M176" s="249">
        <f>+F176*J176</f>
        <v/>
      </c>
      <c r="N176" s="249">
        <f>SUM(K176:M176)</f>
        <v/>
      </c>
      <c r="O176" s="251">
        <f>SUM(K176:M176)/tc</f>
        <v/>
      </c>
      <c r="P176" s="277" t="n"/>
    </row>
    <row r="177">
      <c r="A177" s="16" t="n"/>
      <c r="B177" s="1134">
        <f>VALUE(IF(AND(LEN(TRIM(C177))-LEN(SUBSTITUTE(TRIM(C177),".",""))=1,ISNUMBER(VALUE(SUBSTITUTE(TRIM(C177),".","")))),TRIM(C177),B176))</f>
        <v/>
      </c>
      <c r="C177" s="297" t="inlineStr">
        <is>
          <t>M06-0070</t>
        </is>
      </c>
      <c r="D177" s="298" t="n"/>
      <c r="E177" s="252">
        <f>+_xlfn.XLOOKUP(C177,'BASE DATOS PRECIOS '!B:B,'BASE DATOS PRECIOS '!E:E)</f>
        <v/>
      </c>
      <c r="F177" s="308">
        <f>+'1_OG y 2_ACA'!D894</f>
        <v/>
      </c>
      <c r="G177" s="250">
        <f>+_xlfn.XLOOKUP(C177,'BASE DATOS PRECIOS '!B:B,'BASE DATOS PRECIOS '!F:F)</f>
        <v/>
      </c>
      <c r="H177" s="249">
        <f>+_xlfn.XLOOKUP(E177,'BASE DATOS PRECIOS '!E:E,'BASE DATOS PRECIOS '!H:H)</f>
        <v/>
      </c>
      <c r="I177" s="250" t="n"/>
      <c r="J177" s="250" t="n"/>
      <c r="K177" s="249">
        <f>+F177*H177</f>
        <v/>
      </c>
      <c r="L177" s="249">
        <f>+F177*I177</f>
        <v/>
      </c>
      <c r="M177" s="249">
        <f>+F177*J177</f>
        <v/>
      </c>
      <c r="N177" s="249">
        <f>SUM(K177:M177)</f>
        <v/>
      </c>
      <c r="O177" s="251">
        <f>SUM(K177:M177)/tc</f>
        <v/>
      </c>
      <c r="P177" s="277" t="n"/>
    </row>
    <row r="178">
      <c r="A178" s="16" t="n"/>
      <c r="B178" s="1134">
        <f>VALUE(IF(AND(LEN(TRIM(C178))-LEN(SUBSTITUTE(TRIM(C178),".",""))=1,ISNUMBER(VALUE(SUBSTITUTE(TRIM(C178),".","")))),TRIM(C178),B177))</f>
        <v/>
      </c>
      <c r="C178" s="16" t="inlineStr">
        <is>
          <t>M15-0042</t>
        </is>
      </c>
      <c r="D178" s="292" t="n"/>
      <c r="E178" s="252">
        <f>+_xlfn.XLOOKUP(C178,'BASE DATOS PRECIOS '!B:B,'BASE DATOS PRECIOS '!E:E)</f>
        <v/>
      </c>
      <c r="F178" s="308">
        <f>+ROUNDUP('1_OG y 2_ACA'!D899,0)</f>
        <v/>
      </c>
      <c r="G178" s="250">
        <f>+_xlfn.XLOOKUP(C178,'BASE DATOS PRECIOS '!B:B,'BASE DATOS PRECIOS '!F:F)</f>
        <v/>
      </c>
      <c r="H178" s="249">
        <f>+_xlfn.XLOOKUP(E178,'BASE DATOS PRECIOS '!E:E,'BASE DATOS PRECIOS '!H:H)</f>
        <v/>
      </c>
      <c r="I178" s="250" t="n"/>
      <c r="J178" s="250" t="n"/>
      <c r="K178" s="249">
        <f>+F178*H178</f>
        <v/>
      </c>
      <c r="L178" s="249">
        <f>+F178*I178</f>
        <v/>
      </c>
      <c r="M178" s="249">
        <f>+F178*J178</f>
        <v/>
      </c>
      <c r="N178" s="249">
        <f>SUM(K178:M178)</f>
        <v/>
      </c>
      <c r="O178" s="251">
        <f>SUM(K178:M178)/tc</f>
        <v/>
      </c>
      <c r="P178" s="277" t="n"/>
    </row>
    <row r="179">
      <c r="A179" s="16" t="n"/>
      <c r="B179" s="1134">
        <f>VALUE(IF(AND(LEN(TRIM(C179))-LEN(SUBSTITUTE(TRIM(C179),".",""))=1,ISNUMBER(VALUE(SUBSTITUTE(TRIM(C179),".","")))),TRIM(C179),B178))</f>
        <v/>
      </c>
      <c r="C179" s="16" t="inlineStr">
        <is>
          <t>M15-0001</t>
        </is>
      </c>
      <c r="D179" s="292" t="n"/>
      <c r="E179" s="252">
        <f>+_xlfn.XLOOKUP(C179,'BASE DATOS PRECIOS '!B:B,'BASE DATOS PRECIOS '!E:E)</f>
        <v/>
      </c>
      <c r="F179" s="308">
        <f>+'1_OG y 2_ACA'!D900</f>
        <v/>
      </c>
      <c r="G179" s="250">
        <f>+_xlfn.XLOOKUP(C179,'BASE DATOS PRECIOS '!B:B,'BASE DATOS PRECIOS '!F:F)</f>
        <v/>
      </c>
      <c r="H179" s="249">
        <f>+_xlfn.XLOOKUP(E179,'BASE DATOS PRECIOS '!E:E,'BASE DATOS PRECIOS '!H:H)</f>
        <v/>
      </c>
      <c r="I179" s="250" t="n"/>
      <c r="J179" s="250" t="n"/>
      <c r="K179" s="249">
        <f>+F179*H179</f>
        <v/>
      </c>
      <c r="L179" s="249">
        <f>+F179*I179</f>
        <v/>
      </c>
      <c r="M179" s="249">
        <f>+F179*J179</f>
        <v/>
      </c>
      <c r="N179" s="249">
        <f>SUM(K179:M179)</f>
        <v/>
      </c>
      <c r="O179" s="251">
        <f>SUM(K179:M179)/tc</f>
        <v/>
      </c>
      <c r="P179" s="277" t="n"/>
    </row>
    <row r="180">
      <c r="A180" s="16" t="n"/>
      <c r="B180" s="1134">
        <f>VALUE(IF(AND(LEN(TRIM(C180))-LEN(SUBSTITUTE(TRIM(C180),".",""))=1,ISNUMBER(VALUE(SUBSTITUTE(TRIM(C180),".","")))),TRIM(C180),B179))</f>
        <v/>
      </c>
      <c r="C180" s="16" t="inlineStr">
        <is>
          <t>M15-0006</t>
        </is>
      </c>
      <c r="D180" s="292" t="n"/>
      <c r="E180" s="252">
        <f>+_xlfn.XLOOKUP(C180,'BASE DATOS PRECIOS '!B:B,'BASE DATOS PRECIOS '!E:E)</f>
        <v/>
      </c>
      <c r="F180" s="308">
        <f>+'1_OG y 2_ACA'!D901</f>
        <v/>
      </c>
      <c r="G180" s="250">
        <f>+_xlfn.XLOOKUP(C180,'BASE DATOS PRECIOS '!B:B,'BASE DATOS PRECIOS '!F:F)</f>
        <v/>
      </c>
      <c r="H180" s="249">
        <f>+_xlfn.XLOOKUP(E180,'BASE DATOS PRECIOS '!E:E,'BASE DATOS PRECIOS '!H:H)</f>
        <v/>
      </c>
      <c r="I180" s="250" t="n"/>
      <c r="J180" s="250" t="n"/>
      <c r="K180" s="249">
        <f>+F180*H180</f>
        <v/>
      </c>
      <c r="L180" s="249">
        <f>+F180*I180</f>
        <v/>
      </c>
      <c r="M180" s="249">
        <f>+F180*J180</f>
        <v/>
      </c>
      <c r="N180" s="249">
        <f>SUM(K180:M180)</f>
        <v/>
      </c>
      <c r="O180" s="251">
        <f>SUM(K180:M180)/tc</f>
        <v/>
      </c>
      <c r="P180" s="277" t="n"/>
    </row>
    <row r="181">
      <c r="A181" s="16" t="n"/>
      <c r="B181" s="1134">
        <f>VALUE(IF(AND(LEN(TRIM(C181))-LEN(SUBSTITUTE(TRIM(C181),".",""))=1,ISNUMBER(VALUE(SUBSTITUTE(TRIM(C181),".","")))),TRIM(C181),B180))</f>
        <v/>
      </c>
      <c r="C181" s="16" t="inlineStr">
        <is>
          <t>M15-0008</t>
        </is>
      </c>
      <c r="D181" s="292" t="n"/>
      <c r="E181" s="252">
        <f>+_xlfn.XLOOKUP(C181,'BASE DATOS PRECIOS '!B:B,'BASE DATOS PRECIOS '!E:E)</f>
        <v/>
      </c>
      <c r="F181" s="308">
        <f>+'1_OG y 2_ACA'!D902</f>
        <v/>
      </c>
      <c r="G181" s="250">
        <f>+_xlfn.XLOOKUP(C181,'BASE DATOS PRECIOS '!B:B,'BASE DATOS PRECIOS '!F:F)</f>
        <v/>
      </c>
      <c r="H181" s="249">
        <f>+_xlfn.XLOOKUP(E181,'BASE DATOS PRECIOS '!E:E,'BASE DATOS PRECIOS '!H:H)</f>
        <v/>
      </c>
      <c r="I181" s="250" t="n"/>
      <c r="J181" s="250" t="n"/>
      <c r="K181" s="249">
        <f>+F181*H181</f>
        <v/>
      </c>
      <c r="L181" s="249">
        <f>+F181*I181</f>
        <v/>
      </c>
      <c r="M181" s="249">
        <f>+F181*J181</f>
        <v/>
      </c>
      <c r="N181" s="249">
        <f>SUM(K181:M181)</f>
        <v/>
      </c>
      <c r="O181" s="251">
        <f>SUM(K181:M181)/tc</f>
        <v/>
      </c>
      <c r="P181" s="277" t="n"/>
    </row>
    <row r="182">
      <c r="A182" s="16" t="n"/>
      <c r="B182" s="1134">
        <f>VALUE(IF(AND(LEN(TRIM(C182))-LEN(SUBSTITUTE(TRIM(C182),".",""))=1,ISNUMBER(VALUE(SUBSTITUTE(TRIM(C182),".","")))),TRIM(C182),B181))</f>
        <v/>
      </c>
      <c r="C182" s="16" t="inlineStr">
        <is>
          <t>M15-0009</t>
        </is>
      </c>
      <c r="D182" s="292" t="n"/>
      <c r="E182" s="252">
        <f>+_xlfn.XLOOKUP(C182,'BASE DATOS PRECIOS '!B:B,'BASE DATOS PRECIOS '!E:E)</f>
        <v/>
      </c>
      <c r="F182" s="308">
        <f>+'1_OG y 2_ACA'!D903</f>
        <v/>
      </c>
      <c r="G182" s="250">
        <f>+_xlfn.XLOOKUP(C182,'BASE DATOS PRECIOS '!B:B,'BASE DATOS PRECIOS '!F:F)</f>
        <v/>
      </c>
      <c r="H182" s="249">
        <f>+_xlfn.XLOOKUP(E182,'BASE DATOS PRECIOS '!E:E,'BASE DATOS PRECIOS '!H:H)</f>
        <v/>
      </c>
      <c r="I182" s="250" t="n"/>
      <c r="J182" s="250" t="n"/>
      <c r="K182" s="249">
        <f>+F182*H182</f>
        <v/>
      </c>
      <c r="L182" s="249">
        <f>+F182*I182</f>
        <v/>
      </c>
      <c r="M182" s="249">
        <f>+F182*J182</f>
        <v/>
      </c>
      <c r="N182" s="249">
        <f>SUM(K182:M182)</f>
        <v/>
      </c>
      <c r="O182" s="251">
        <f>SUM(K182:M182)/tc</f>
        <v/>
      </c>
      <c r="P182" s="277" t="n"/>
    </row>
    <row r="183">
      <c r="A183" s="16" t="n"/>
      <c r="B183" s="1134">
        <f>VALUE(IF(AND(LEN(TRIM(C183))-LEN(SUBSTITUTE(TRIM(C183),".",""))=1,ISNUMBER(VALUE(SUBSTITUTE(TRIM(C183),".","")))),TRIM(C183),B182))</f>
        <v/>
      </c>
      <c r="C183" s="16" t="inlineStr">
        <is>
          <t>M15-0010</t>
        </is>
      </c>
      <c r="D183" s="292" t="n"/>
      <c r="E183" s="252">
        <f>+_xlfn.XLOOKUP(C183,'BASE DATOS PRECIOS '!B:B,'BASE DATOS PRECIOS '!E:E)</f>
        <v/>
      </c>
      <c r="F183" s="308">
        <f>+'1_OG y 2_ACA'!D904</f>
        <v/>
      </c>
      <c r="G183" s="250">
        <f>+_xlfn.XLOOKUP(C183,'BASE DATOS PRECIOS '!B:B,'BASE DATOS PRECIOS '!F:F)</f>
        <v/>
      </c>
      <c r="H183" s="249">
        <f>+_xlfn.XLOOKUP(E183,'BASE DATOS PRECIOS '!E:E,'BASE DATOS PRECIOS '!H:H)</f>
        <v/>
      </c>
      <c r="I183" s="250" t="n"/>
      <c r="J183" s="250" t="n"/>
      <c r="K183" s="249">
        <f>+F183*H183</f>
        <v/>
      </c>
      <c r="L183" s="249">
        <f>+F183*I183</f>
        <v/>
      </c>
      <c r="M183" s="249">
        <f>+F183*J183</f>
        <v/>
      </c>
      <c r="N183" s="249">
        <f>SUM(K183:M183)</f>
        <v/>
      </c>
      <c r="O183" s="251">
        <f>SUM(K183:M183)/tc</f>
        <v/>
      </c>
      <c r="P183" s="277" t="n"/>
    </row>
    <row r="184">
      <c r="A184" s="233" t="n"/>
      <c r="B184" s="1134">
        <f>VALUE(IF(AND(LEN(TRIM(C184))-LEN(SUBSTITUTE(TRIM(C184),".",""))=1,ISNUMBER(VALUE(SUBSTITUTE(TRIM(C184),".","")))),TRIM(C184),B183))</f>
        <v/>
      </c>
      <c r="C184" s="16" t="inlineStr">
        <is>
          <t>M06-0070</t>
        </is>
      </c>
      <c r="D184" s="292" t="n"/>
      <c r="E184" s="252">
        <f>+_xlfn.XLOOKUP(C184,'BASE DATOS PRECIOS '!B:B,'BASE DATOS PRECIOS '!E:E)</f>
        <v/>
      </c>
      <c r="F184" s="308">
        <f>+'1_OG y 2_ACA'!D905</f>
        <v/>
      </c>
      <c r="G184" s="250">
        <f>+_xlfn.XLOOKUP(C184,'BASE DATOS PRECIOS '!B:B,'BASE DATOS PRECIOS '!F:F)</f>
        <v/>
      </c>
      <c r="H184" s="249">
        <f>+_xlfn.XLOOKUP(E184,'BASE DATOS PRECIOS '!E:E,'BASE DATOS PRECIOS '!H:H)</f>
        <v/>
      </c>
      <c r="I184" s="250" t="n"/>
      <c r="J184" s="250" t="n"/>
      <c r="K184" s="249">
        <f>+F184*H184</f>
        <v/>
      </c>
      <c r="L184" s="249">
        <f>+F184*I184</f>
        <v/>
      </c>
      <c r="M184" s="249">
        <f>+F184*J184</f>
        <v/>
      </c>
      <c r="N184" s="249">
        <f>SUM(K184:M184)</f>
        <v/>
      </c>
      <c r="O184" s="251">
        <f>SUM(K184:M184)/tc</f>
        <v/>
      </c>
      <c r="P184" s="277" t="n"/>
    </row>
    <row r="185">
      <c r="A185" s="316" t="inlineStr">
        <is>
          <t>Cubierta Techo Cochera y Terraza</t>
        </is>
      </c>
      <c r="B185" s="1134">
        <f>VALUE(IF(AND(LEN(TRIM(C185))-LEN(SUBSTITUTE(TRIM(C185),".",""))=1,ISNUMBER(VALUE(SUBSTITUTE(TRIM(C185),".","")))),TRIM(C185),B184))</f>
        <v/>
      </c>
      <c r="C185" s="267" t="inlineStr">
        <is>
          <t xml:space="preserve">OPERARIO </t>
        </is>
      </c>
      <c r="D185" s="268" t="n"/>
      <c r="E185" s="269">
        <f>+_xlfn.XLOOKUP(C185,'BASE DATOS MANO DE OBRA'!A:A,'BASE DATOS MANO DE OBRA'!B:B)</f>
        <v/>
      </c>
      <c r="F185" s="270">
        <f>+ROUNDUP('1_OG y 2_ACA'!F908,0)/2</f>
        <v/>
      </c>
      <c r="G185" s="271">
        <f>+_xlfn.XLOOKUP(C185,'BASE DATOS MANO DE OBRA'!A:A,'BASE DATOS MANO DE OBRA'!C:C)</f>
        <v/>
      </c>
      <c r="H185" s="272" t="n">
        <v>0</v>
      </c>
      <c r="I185" s="272">
        <f>+_xlfn.XLOOKUP(C185,'BASE DATOS MANO DE OBRA'!A:A,'BASE DATOS MANO DE OBRA'!E:E)</f>
        <v/>
      </c>
      <c r="J185" s="272" t="n">
        <v>0</v>
      </c>
      <c r="K185" s="272">
        <f>+F185*H185</f>
        <v/>
      </c>
      <c r="L185" s="272">
        <f>+F185*I185</f>
        <v/>
      </c>
      <c r="M185" s="272">
        <f>+F185*J185</f>
        <v/>
      </c>
      <c r="N185" s="272">
        <f>SUM(K185:M185)</f>
        <v/>
      </c>
      <c r="O185" s="273">
        <f>SUM(K185:M185)/tc</f>
        <v/>
      </c>
      <c r="P185" s="277" t="n"/>
    </row>
    <row r="186">
      <c r="A186" s="316" t="inlineStr">
        <is>
          <t>Cubierta Techo Cochera y Terraza</t>
        </is>
      </c>
      <c r="B186" s="1134">
        <f>VALUE(IF(AND(LEN(TRIM(C186))-LEN(SUBSTITUTE(TRIM(C186),".",""))=1,ISNUMBER(VALUE(SUBSTITUTE(TRIM(C186),".","")))),TRIM(C186),B185))</f>
        <v/>
      </c>
      <c r="C186" s="267" t="inlineStr">
        <is>
          <t xml:space="preserve">AYUDANTE </t>
        </is>
      </c>
      <c r="D186" s="268" t="n"/>
      <c r="E186" s="269">
        <f>+_xlfn.XLOOKUP(C186,'BASE DATOS MANO DE OBRA'!A:A,'BASE DATOS MANO DE OBRA'!B:B)</f>
        <v/>
      </c>
      <c r="F186" s="270">
        <f>+F185</f>
        <v/>
      </c>
      <c r="G186" s="271">
        <f>+_xlfn.XLOOKUP(C186,'BASE DATOS MANO DE OBRA'!A:A,'BASE DATOS MANO DE OBRA'!C:C)</f>
        <v/>
      </c>
      <c r="H186" s="272" t="n">
        <v>0</v>
      </c>
      <c r="I186" s="272">
        <f>+_xlfn.XLOOKUP(C186,'BASE DATOS MANO DE OBRA'!A:A,'BASE DATOS MANO DE OBRA'!E:E)</f>
        <v/>
      </c>
      <c r="J186" s="272" t="n">
        <v>0</v>
      </c>
      <c r="K186" s="272">
        <f>+F186*H186</f>
        <v/>
      </c>
      <c r="L186" s="272">
        <f>+F186*I186</f>
        <v/>
      </c>
      <c r="M186" s="272">
        <f>+F186*J186</f>
        <v/>
      </c>
      <c r="N186" s="272">
        <f>SUM(K186:M186)</f>
        <v/>
      </c>
      <c r="O186" s="273">
        <f>SUM(K186:M186)/tc</f>
        <v/>
      </c>
      <c r="P186" s="277" t="n"/>
    </row>
    <row r="187">
      <c r="A187" s="16" t="n"/>
      <c r="B187" s="1134">
        <f>VALUE(IF(AND(LEN(TRIM(C187))-LEN(SUBSTITUTE(TRIM(C187),".",""))=1,ISNUMBER(VALUE(SUBSTITUTE(TRIM(C187),".","")))),TRIM(C187),B186))</f>
        <v/>
      </c>
      <c r="C187" s="234" t="inlineStr">
        <is>
          <t>1.3.5</t>
        </is>
      </c>
      <c r="D187" s="235" t="n"/>
      <c r="E187" s="236" t="inlineStr">
        <is>
          <t xml:space="preserve">GRADAS ESTRUCTURA, PINTADO Y ACABADO </t>
        </is>
      </c>
      <c r="F187" s="237" t="n">
        <v>1</v>
      </c>
      <c r="G187" s="235" t="inlineStr">
        <is>
          <t>gb</t>
        </is>
      </c>
      <c r="H187" s="235" t="n"/>
      <c r="I187" s="235" t="n"/>
      <c r="J187" s="235" t="n"/>
      <c r="K187" s="238">
        <f>+SUBTOTAL(9,K188:K212)</f>
        <v/>
      </c>
      <c r="L187" s="238">
        <f>+SUBTOTAL(9,L188:L212)</f>
        <v/>
      </c>
      <c r="M187" s="238">
        <f>+SUBTOTAL(9,M188:M212)</f>
        <v/>
      </c>
      <c r="N187" s="238">
        <f>+SUBTOTAL(9,N188:N212)</f>
        <v/>
      </c>
      <c r="O187" s="1136">
        <f>+SUBTOTAL(9,O188:O212)</f>
        <v/>
      </c>
      <c r="P187" s="1137" t="n"/>
    </row>
    <row r="188">
      <c r="A188" s="16" t="n"/>
      <c r="B188" s="1134">
        <f>VALUE(IF(AND(LEN(TRIM(C188))-LEN(SUBSTITUTE(TRIM(C188),".",""))=1,ISNUMBER(VALUE(SUBSTITUTE(TRIM(C188),".","")))),TRIM(C188),B187))</f>
        <v/>
      </c>
      <c r="C188" s="317" t="inlineStr">
        <is>
          <t>M01-0074</t>
        </is>
      </c>
      <c r="D188" s="318" t="n"/>
      <c r="E188" s="252">
        <f>+_xlfn.XLOOKUP(C188,'BASE DATOS PRECIOS '!B:B,'BASE DATOS PRECIOS '!E:E)</f>
        <v/>
      </c>
      <c r="F188" s="218">
        <f>+'1_OG y 2_ACA'!D942</f>
        <v/>
      </c>
      <c r="G188" s="312">
        <f>+_xlfn.XLOOKUP(C188,'BASE DATOS PRECIOS '!B:B,'BASE DATOS PRECIOS '!F:F)</f>
        <v/>
      </c>
      <c r="H188" s="249">
        <f>+_xlfn.XLOOKUP(E188,'BASE DATOS PRECIOS '!E:E,'BASE DATOS PRECIOS '!H:H)</f>
        <v/>
      </c>
      <c r="I188" s="312" t="n"/>
      <c r="J188" s="312" t="n"/>
      <c r="K188" s="313">
        <f>+F188*H188</f>
        <v/>
      </c>
      <c r="L188" s="313">
        <f>+F188*I188</f>
        <v/>
      </c>
      <c r="M188" s="313">
        <f>+F188*J188</f>
        <v/>
      </c>
      <c r="N188" s="249">
        <f>SUM(K188:M188)</f>
        <v/>
      </c>
      <c r="O188" s="251">
        <f>SUM(K188:M188)/tc</f>
        <v/>
      </c>
    </row>
    <row r="189">
      <c r="A189" s="16" t="n"/>
      <c r="B189" s="1134">
        <f>VALUE(IF(AND(LEN(TRIM(C189))-LEN(SUBSTITUTE(TRIM(C189),".",""))=1,ISNUMBER(VALUE(SUBSTITUTE(TRIM(C189),".","")))),TRIM(C189),B188))</f>
        <v/>
      </c>
      <c r="C189" s="317" t="inlineStr">
        <is>
          <t>M01-0071</t>
        </is>
      </c>
      <c r="D189" s="318" t="n"/>
      <c r="E189" s="252">
        <f>+_xlfn.XLOOKUP(C189,'BASE DATOS PRECIOS '!B:B,'BASE DATOS PRECIOS '!E:E)</f>
        <v/>
      </c>
      <c r="F189" s="218">
        <f>+'1_OG y 2_ACA'!D943</f>
        <v/>
      </c>
      <c r="G189" s="312">
        <f>+_xlfn.XLOOKUP(C189,'BASE DATOS PRECIOS '!B:B,'BASE DATOS PRECIOS '!F:F)</f>
        <v/>
      </c>
      <c r="H189" s="249">
        <f>+_xlfn.XLOOKUP(E189,'BASE DATOS PRECIOS '!E:E,'BASE DATOS PRECIOS '!H:H)</f>
        <v/>
      </c>
      <c r="I189" s="312" t="n"/>
      <c r="J189" s="312" t="n"/>
      <c r="K189" s="313">
        <f>+F189*H189</f>
        <v/>
      </c>
      <c r="L189" s="313">
        <f>+F189*I189</f>
        <v/>
      </c>
      <c r="M189" s="313">
        <f>+F189*J189</f>
        <v/>
      </c>
      <c r="N189" s="249">
        <f>SUM(K189:M189)</f>
        <v/>
      </c>
      <c r="O189" s="251">
        <f>SUM(K189:M189)/tc</f>
        <v/>
      </c>
    </row>
    <row r="190">
      <c r="A190" s="16" t="n"/>
      <c r="B190" s="1134">
        <f>VALUE(IF(AND(LEN(TRIM(C190))-LEN(SUBSTITUTE(TRIM(C190),".",""))=1,ISNUMBER(VALUE(SUBSTITUTE(TRIM(C190),".","")))),TRIM(C190),B189))</f>
        <v/>
      </c>
      <c r="C190" s="317" t="inlineStr">
        <is>
          <t>M01-0069</t>
        </is>
      </c>
      <c r="D190" s="318" t="n"/>
      <c r="E190" s="252">
        <f>+_xlfn.XLOOKUP(C190,'BASE DATOS PRECIOS '!B:B,'BASE DATOS PRECIOS '!E:E)</f>
        <v/>
      </c>
      <c r="F190" s="218">
        <f>+'1_OG y 2_ACA'!D944</f>
        <v/>
      </c>
      <c r="G190" s="312">
        <f>+_xlfn.XLOOKUP(C190,'BASE DATOS PRECIOS '!B:B,'BASE DATOS PRECIOS '!F:F)</f>
        <v/>
      </c>
      <c r="H190" s="249">
        <f>+_xlfn.XLOOKUP(E190,'BASE DATOS PRECIOS '!E:E,'BASE DATOS PRECIOS '!H:H)</f>
        <v/>
      </c>
      <c r="I190" s="312" t="n"/>
      <c r="J190" s="312" t="n"/>
      <c r="K190" s="313">
        <f>+F190*H190</f>
        <v/>
      </c>
      <c r="L190" s="313">
        <f>+F190*I190</f>
        <v/>
      </c>
      <c r="M190" s="313">
        <f>+F190*J190</f>
        <v/>
      </c>
      <c r="N190" s="249">
        <f>SUM(K190:M190)</f>
        <v/>
      </c>
      <c r="O190" s="251">
        <f>SUM(K190:M190)/tc</f>
        <v/>
      </c>
    </row>
    <row r="191">
      <c r="A191" s="16" t="n"/>
      <c r="B191" s="1134">
        <f>VALUE(IF(AND(LEN(TRIM(C191))-LEN(SUBSTITUTE(TRIM(C191),".",""))=1,ISNUMBER(VALUE(SUBSTITUTE(TRIM(C191),".","")))),TRIM(C191),B190))</f>
        <v/>
      </c>
      <c r="C191" s="317" t="inlineStr">
        <is>
          <t>M01-0010</t>
        </is>
      </c>
      <c r="D191" s="318" t="n"/>
      <c r="E191" s="252">
        <f>+_xlfn.XLOOKUP(C191,'BASE DATOS PRECIOS '!B:B,'BASE DATOS PRECIOS '!E:E)</f>
        <v/>
      </c>
      <c r="F191" s="218">
        <f>+'1_OG y 2_ACA'!D945</f>
        <v/>
      </c>
      <c r="G191" s="312">
        <f>+_xlfn.XLOOKUP(C191,'BASE DATOS PRECIOS '!B:B,'BASE DATOS PRECIOS '!F:F)</f>
        <v/>
      </c>
      <c r="H191" s="249">
        <f>+_xlfn.XLOOKUP(E191,'BASE DATOS PRECIOS '!E:E,'BASE DATOS PRECIOS '!H:H)</f>
        <v/>
      </c>
      <c r="I191" s="312" t="n"/>
      <c r="J191" s="312" t="n"/>
      <c r="K191" s="313">
        <f>+F191*H191</f>
        <v/>
      </c>
      <c r="L191" s="313">
        <f>+F191*I191</f>
        <v/>
      </c>
      <c r="M191" s="313">
        <f>+F191*J191</f>
        <v/>
      </c>
      <c r="N191" s="249">
        <f>SUM(K191:M191)</f>
        <v/>
      </c>
      <c r="O191" s="251">
        <f>SUM(K191:M191)/tc</f>
        <v/>
      </c>
    </row>
    <row r="192">
      <c r="A192" s="16" t="n"/>
      <c r="B192" s="1134">
        <f>VALUE(IF(AND(LEN(TRIM(C192))-LEN(SUBSTITUTE(TRIM(C192),".",""))=1,ISNUMBER(VALUE(SUBSTITUTE(TRIM(C192),".","")))),TRIM(C192),B191))</f>
        <v/>
      </c>
      <c r="C192" s="16" t="inlineStr">
        <is>
          <t>M01-0147</t>
        </is>
      </c>
      <c r="D192" s="246" t="inlineStr">
        <is>
          <t>01</t>
        </is>
      </c>
      <c r="E192" s="252" t="inlineStr">
        <is>
          <t>VARILLA DEFORME #3</t>
        </is>
      </c>
      <c r="F192" s="218">
        <f>+'1_OG y 2_ACA'!D946</f>
        <v/>
      </c>
      <c r="G192" s="312">
        <f>+_xlfn.XLOOKUP(C192,'BASE DATOS PRECIOS '!B:B,'BASE DATOS PRECIOS '!F:F)</f>
        <v/>
      </c>
      <c r="H192" s="249">
        <f>+_xlfn.XLOOKUP(E192,'BASE DATOS PRECIOS '!E:E,'BASE DATOS PRECIOS '!H:H)</f>
        <v/>
      </c>
      <c r="I192" s="312" t="n"/>
      <c r="J192" s="312" t="n"/>
      <c r="K192" s="313">
        <f>+F192*H192</f>
        <v/>
      </c>
      <c r="L192" s="313">
        <f>+F192*I192</f>
        <v/>
      </c>
      <c r="M192" s="313">
        <f>+F192*J192</f>
        <v/>
      </c>
      <c r="N192" s="249">
        <f>SUM(K192:M192)</f>
        <v/>
      </c>
      <c r="O192" s="251">
        <f>SUM(K192:M192)/tc</f>
        <v/>
      </c>
    </row>
    <row r="193">
      <c r="A193" s="16" t="n"/>
      <c r="B193" s="1134">
        <f>VALUE(IF(AND(LEN(TRIM(C193))-LEN(SUBSTITUTE(TRIM(C193),".",""))=1,ISNUMBER(VALUE(SUBSTITUTE(TRIM(C193),".","")))),TRIM(C193),B192))</f>
        <v/>
      </c>
      <c r="C193" s="317" t="inlineStr">
        <is>
          <t>M01-0153</t>
        </is>
      </c>
      <c r="D193" s="318" t="n"/>
      <c r="E193" s="252">
        <f>+_xlfn.XLOOKUP(C193,'BASE DATOS PRECIOS '!B:B,'BASE DATOS PRECIOS '!E:E)</f>
        <v/>
      </c>
      <c r="F193" s="218">
        <f>+'1_OG y 2_ACA'!D947</f>
        <v/>
      </c>
      <c r="G193" s="312">
        <f>+_xlfn.XLOOKUP(C193,'BASE DATOS PRECIOS '!B:B,'BASE DATOS PRECIOS '!F:F)</f>
        <v/>
      </c>
      <c r="H193" s="249">
        <f>+_xlfn.XLOOKUP(E193,'BASE DATOS PRECIOS '!E:E,'BASE DATOS PRECIOS '!H:H)</f>
        <v/>
      </c>
      <c r="I193" s="312" t="n"/>
      <c r="J193" s="312" t="n"/>
      <c r="K193" s="313">
        <f>+F193*H193</f>
        <v/>
      </c>
      <c r="L193" s="313">
        <f>+F193*I193</f>
        <v/>
      </c>
      <c r="M193" s="313">
        <f>+F193*J193</f>
        <v/>
      </c>
      <c r="N193" s="249">
        <f>SUM(K193:M193)</f>
        <v/>
      </c>
      <c r="O193" s="251">
        <f>SUM(K193:M193)/tc</f>
        <v/>
      </c>
    </row>
    <row r="194">
      <c r="A194" s="16" t="n"/>
      <c r="B194" s="1134">
        <f>VALUE(IF(AND(LEN(TRIM(C194))-LEN(SUBSTITUTE(TRIM(C194),".",""))=1,ISNUMBER(VALUE(SUBSTITUTE(TRIM(C194),".","")))),TRIM(C194),B193))</f>
        <v/>
      </c>
      <c r="C194" s="317" t="inlineStr">
        <is>
          <t>M13-0088</t>
        </is>
      </c>
      <c r="D194" s="318" t="n"/>
      <c r="E194" s="252">
        <f>+_xlfn.XLOOKUP(C194,'BASE DATOS PRECIOS '!B:B,'BASE DATOS PRECIOS '!E:E)</f>
        <v/>
      </c>
      <c r="F194" s="218">
        <f>+'1_OG y 2_ACA'!D948</f>
        <v/>
      </c>
      <c r="G194" s="312">
        <f>+_xlfn.XLOOKUP(C194,'BASE DATOS PRECIOS '!B:B,'BASE DATOS PRECIOS '!F:F)</f>
        <v/>
      </c>
      <c r="H194" s="249">
        <f>+_xlfn.XLOOKUP(E194,'BASE DATOS PRECIOS '!E:E,'BASE DATOS PRECIOS '!H:H)</f>
        <v/>
      </c>
      <c r="I194" s="312" t="n"/>
      <c r="J194" s="312" t="n"/>
      <c r="K194" s="313">
        <f>+F194*H194</f>
        <v/>
      </c>
      <c r="L194" s="313">
        <f>+F194*I194</f>
        <v/>
      </c>
      <c r="M194" s="313">
        <f>+F194*J194</f>
        <v/>
      </c>
      <c r="N194" s="249">
        <f>SUM(K194:M194)</f>
        <v/>
      </c>
      <c r="O194" s="251">
        <f>SUM(K194:M194)/tc</f>
        <v/>
      </c>
    </row>
    <row r="195">
      <c r="A195" s="16" t="n"/>
      <c r="B195" s="1134">
        <f>VALUE(IF(AND(LEN(TRIM(C195))-LEN(SUBSTITUTE(TRIM(C195),".",""))=1,ISNUMBER(VALUE(SUBSTITUTE(TRIM(C195),".","")))),TRIM(C195),B194))</f>
        <v/>
      </c>
      <c r="C195" s="274" t="inlineStr">
        <is>
          <t>M10-0047</t>
        </is>
      </c>
      <c r="D195" s="275" t="n"/>
      <c r="E195" s="252">
        <f>+_xlfn.XLOOKUP(C195,'BASE DATOS PRECIOS '!B:B,'BASE DATOS PRECIOS '!E:E)</f>
        <v/>
      </c>
      <c r="F195" s="218">
        <f>ROUND('1_OG y 2_ACA'!D937,0)</f>
        <v/>
      </c>
      <c r="G195" s="312">
        <f>+_xlfn.XLOOKUP(C195,'BASE DATOS PRECIOS '!B:B,'BASE DATOS PRECIOS '!F:F)</f>
        <v/>
      </c>
      <c r="H195" s="249">
        <f>+_xlfn.XLOOKUP(E195,'BASE DATOS PRECIOS '!E:E,'BASE DATOS PRECIOS '!H:H)</f>
        <v/>
      </c>
      <c r="I195" s="312" t="n"/>
      <c r="J195" s="312" t="n"/>
      <c r="K195" s="313">
        <f>+F195*H195</f>
        <v/>
      </c>
      <c r="L195" s="313">
        <f>+F195*I195</f>
        <v/>
      </c>
      <c r="M195" s="313">
        <f>+F195*J195</f>
        <v/>
      </c>
      <c r="N195" s="249">
        <f>SUM(K195:M195)</f>
        <v/>
      </c>
      <c r="O195" s="251">
        <f>SUM(K195:M195)/tc</f>
        <v/>
      </c>
    </row>
    <row r="196">
      <c r="A196" s="16" t="n"/>
      <c r="B196" s="1134">
        <f>VALUE(IF(AND(LEN(TRIM(C196))-LEN(SUBSTITUTE(TRIM(C196),".",""))=1,ISNUMBER(VALUE(SUBSTITUTE(TRIM(C196),".","")))),TRIM(C196),B195))</f>
        <v/>
      </c>
      <c r="C196" s="274" t="inlineStr">
        <is>
          <t>M10-0010</t>
        </is>
      </c>
      <c r="D196" s="275" t="n"/>
      <c r="E196" s="252">
        <f>+_xlfn.XLOOKUP(C196,'BASE DATOS PRECIOS '!B:B,'BASE DATOS PRECIOS '!E:E)</f>
        <v/>
      </c>
      <c r="F196" s="218">
        <f>ROUNDUP('1_OG y 2_ACA'!D938/0.25,0)*0.25</f>
        <v/>
      </c>
      <c r="G196" s="312">
        <f>+_xlfn.XLOOKUP(C196,'BASE DATOS PRECIOS '!B:B,'BASE DATOS PRECIOS '!F:F)</f>
        <v/>
      </c>
      <c r="H196" s="249">
        <f>+_xlfn.XLOOKUP(E196,'BASE DATOS PRECIOS '!E:E,'BASE DATOS PRECIOS '!H:H)</f>
        <v/>
      </c>
      <c r="I196" s="312" t="n"/>
      <c r="J196" s="312" t="n"/>
      <c r="K196" s="313">
        <f>+F196*H196</f>
        <v/>
      </c>
      <c r="L196" s="313">
        <f>+F196*I196</f>
        <v/>
      </c>
      <c r="M196" s="313">
        <f>+F196*J196</f>
        <v/>
      </c>
      <c r="N196" s="249">
        <f>SUM(K196:M196)</f>
        <v/>
      </c>
      <c r="O196" s="251">
        <f>SUM(K196:M196)/tc</f>
        <v/>
      </c>
    </row>
    <row r="197">
      <c r="A197" s="16" t="n"/>
      <c r="B197" s="1134">
        <f>VALUE(IF(AND(LEN(TRIM(C197))-LEN(SUBSTITUTE(TRIM(C197),".",""))=1,ISNUMBER(VALUE(SUBSTITUTE(TRIM(C197),".","")))),TRIM(C197),B196))</f>
        <v/>
      </c>
      <c r="C197" s="274" t="inlineStr">
        <is>
          <t>M10-0030</t>
        </is>
      </c>
      <c r="D197" s="275" t="n"/>
      <c r="E197" s="252">
        <f>+_xlfn.XLOOKUP(C197,'BASE DATOS PRECIOS '!B:B,'BASE DATOS PRECIOS '!E:E)</f>
        <v/>
      </c>
      <c r="F197" s="218">
        <f>ROUNDUP('1_OG y 2_ACA'!D939/0.25,0)*0.25</f>
        <v/>
      </c>
      <c r="G197" s="312">
        <f>+_xlfn.XLOOKUP(C197,'BASE DATOS PRECIOS '!B:B,'BASE DATOS PRECIOS '!F:F)</f>
        <v/>
      </c>
      <c r="H197" s="249">
        <f>+_xlfn.XLOOKUP(E197,'BASE DATOS PRECIOS '!E:E,'BASE DATOS PRECIOS '!H:H)</f>
        <v/>
      </c>
      <c r="I197" s="312" t="n"/>
      <c r="J197" s="312" t="n"/>
      <c r="K197" s="313">
        <f>+F197*H197</f>
        <v/>
      </c>
      <c r="L197" s="313">
        <f>+F197*I197</f>
        <v/>
      </c>
      <c r="M197" s="313">
        <f>+F197*J197</f>
        <v/>
      </c>
      <c r="N197" s="249">
        <f>SUM(K197:M197)</f>
        <v/>
      </c>
      <c r="O197" s="251">
        <f>SUM(K197:M197)/tc</f>
        <v/>
      </c>
    </row>
    <row r="198">
      <c r="A198" s="16" t="n"/>
      <c r="B198" s="1134">
        <f>VALUE(IF(AND(LEN(TRIM(C198))-LEN(SUBSTITUTE(TRIM(C198),".",""))=1,ISNUMBER(VALUE(SUBSTITUTE(TRIM(C198),".","")))),TRIM(C198),B197))</f>
        <v/>
      </c>
      <c r="C198" s="16" t="inlineStr">
        <is>
          <t>M11-0002</t>
        </is>
      </c>
      <c r="D198" s="292" t="n"/>
      <c r="E198" s="252">
        <f>+_xlfn.XLOOKUP(C198,'BASE DATOS PRECIOS '!B:B,'BASE DATOS PRECIOS '!E:E)</f>
        <v/>
      </c>
      <c r="F198" s="218">
        <f>IF('1_OG y 2_ACA'!D914="Sí",3,0)</f>
        <v/>
      </c>
      <c r="G198" s="312">
        <f>+_xlfn.XLOOKUP(C198,'BASE DATOS PRECIOS '!B:B,'BASE DATOS PRECIOS '!F:F)</f>
        <v/>
      </c>
      <c r="H198" s="249">
        <f>+_xlfn.XLOOKUP(E198,'BASE DATOS PRECIOS '!E:E,'BASE DATOS PRECIOS '!H:H)</f>
        <v/>
      </c>
      <c r="I198" s="312" t="n"/>
      <c r="J198" s="312" t="n"/>
      <c r="K198" s="313">
        <f>+F198*H198</f>
        <v/>
      </c>
      <c r="L198" s="313">
        <f>+F198*I198</f>
        <v/>
      </c>
      <c r="M198" s="313">
        <f>+F198*J198</f>
        <v/>
      </c>
      <c r="N198" s="249">
        <f>SUM(K198:M198)</f>
        <v/>
      </c>
      <c r="O198" s="251">
        <f>SUM(K198:M198)/tc</f>
        <v/>
      </c>
    </row>
    <row r="199">
      <c r="A199" s="16" t="n"/>
      <c r="B199" s="1134">
        <f>VALUE(IF(AND(LEN(TRIM(C199))-LEN(SUBSTITUTE(TRIM(C199),".",""))=1,ISNUMBER(VALUE(SUBSTITUTE(TRIM(C199),".","")))),TRIM(C199),B198))</f>
        <v/>
      </c>
      <c r="C199" s="16" t="inlineStr">
        <is>
          <t>M08-0037</t>
        </is>
      </c>
      <c r="D199" s="292" t="n"/>
      <c r="E199" s="252">
        <f>+_xlfn.XLOOKUP(C199,'BASE DATOS PRECIOS '!B:B,'BASE DATOS PRECIOS '!E:E)</f>
        <v/>
      </c>
      <c r="F199" s="218">
        <f>+'1_OG y 2_ACA'!D950</f>
        <v/>
      </c>
      <c r="G199" s="312">
        <f>+_xlfn.XLOOKUP(C199,'BASE DATOS PRECIOS '!B:B,'BASE DATOS PRECIOS '!F:F)</f>
        <v/>
      </c>
      <c r="H199" s="249">
        <f>+_xlfn.XLOOKUP(E199,'BASE DATOS PRECIOS '!E:E,'BASE DATOS PRECIOS '!H:H)</f>
        <v/>
      </c>
      <c r="I199" s="312" t="n"/>
      <c r="J199" s="312" t="n"/>
      <c r="K199" s="313">
        <f>+F199*H199</f>
        <v/>
      </c>
      <c r="L199" s="313">
        <f>+F199*I199</f>
        <v/>
      </c>
      <c r="M199" s="313">
        <f>+F199*J199</f>
        <v/>
      </c>
      <c r="N199" s="249">
        <f>SUM(K199:M199)</f>
        <v/>
      </c>
      <c r="O199" s="251">
        <f>SUM(K199:M199)/tc</f>
        <v/>
      </c>
    </row>
    <row r="200">
      <c r="A200" s="16" t="n"/>
      <c r="B200" s="1134">
        <f>VALUE(IF(AND(LEN(TRIM(C200))-LEN(SUBSTITUTE(TRIM(C200),".",""))=1,ISNUMBER(VALUE(SUBSTITUTE(TRIM(C200),".","")))),TRIM(C200),B199))</f>
        <v/>
      </c>
      <c r="C200" s="16" t="inlineStr">
        <is>
          <t>M08-0043</t>
        </is>
      </c>
      <c r="D200" s="292" t="n"/>
      <c r="E200" s="252">
        <f>+_xlfn.XLOOKUP(C200,'BASE DATOS PRECIOS '!B:B,'BASE DATOS PRECIOS '!E:E)</f>
        <v/>
      </c>
      <c r="F200" s="218">
        <f>+F199</f>
        <v/>
      </c>
      <c r="G200" s="312">
        <f>+_xlfn.XLOOKUP(C200,'BASE DATOS PRECIOS '!B:B,'BASE DATOS PRECIOS '!F:F)</f>
        <v/>
      </c>
      <c r="H200" s="249">
        <f>+_xlfn.XLOOKUP(E200,'BASE DATOS PRECIOS '!E:E,'BASE DATOS PRECIOS '!H:H)</f>
        <v/>
      </c>
      <c r="I200" s="312" t="n"/>
      <c r="J200" s="312" t="n"/>
      <c r="K200" s="313">
        <f>+F200*H200</f>
        <v/>
      </c>
      <c r="L200" s="313">
        <f>+F200*I200</f>
        <v/>
      </c>
      <c r="M200" s="313">
        <f>+F200*J200</f>
        <v/>
      </c>
      <c r="N200" s="249">
        <f>SUM(K200:M200)</f>
        <v/>
      </c>
      <c r="O200" s="251">
        <f>SUM(K200:M200)/tc</f>
        <v/>
      </c>
    </row>
    <row r="201">
      <c r="A201" s="16" t="n"/>
      <c r="B201" s="1134">
        <f>VALUE(IF(AND(LEN(TRIM(C201))-LEN(SUBSTITUTE(TRIM(C201),".",""))=1,ISNUMBER(VALUE(SUBSTITUTE(TRIM(C201),".","")))),TRIM(C201),B200))</f>
        <v/>
      </c>
      <c r="C201" s="297" t="inlineStr">
        <is>
          <t>M08-0044</t>
        </is>
      </c>
      <c r="D201" s="298" t="n"/>
      <c r="E201" s="252">
        <f>+_xlfn.XLOOKUP(C201,'BASE DATOS PRECIOS '!B:B,'BASE DATOS PRECIOS '!E:E)</f>
        <v/>
      </c>
      <c r="F201" s="218">
        <f>+F200</f>
        <v/>
      </c>
      <c r="G201" s="312">
        <f>+_xlfn.XLOOKUP(C201,'BASE DATOS PRECIOS '!B:B,'BASE DATOS PRECIOS '!F:F)</f>
        <v/>
      </c>
      <c r="H201" s="249">
        <f>+_xlfn.XLOOKUP(E201,'BASE DATOS PRECIOS '!E:E,'BASE DATOS PRECIOS '!H:H)</f>
        <v/>
      </c>
      <c r="I201" s="312" t="n"/>
      <c r="J201" s="312" t="n"/>
      <c r="K201" s="313">
        <f>+F201*H201</f>
        <v/>
      </c>
      <c r="L201" s="313">
        <f>+F201*I201</f>
        <v/>
      </c>
      <c r="M201" s="313">
        <f>+F201*J201</f>
        <v/>
      </c>
      <c r="N201" s="249">
        <f>SUM(K201:M201)</f>
        <v/>
      </c>
      <c r="O201" s="251">
        <f>SUM(K201:M201)/tc</f>
        <v/>
      </c>
    </row>
    <row r="202">
      <c r="A202" s="16" t="n"/>
      <c r="B202" s="1134">
        <f>VALUE(IF(AND(LEN(TRIM(C202))-LEN(SUBSTITUTE(TRIM(C202),".",""))=1,ISNUMBER(VALUE(SUBSTITUTE(TRIM(C202),".","")))),TRIM(C202),B201))</f>
        <v/>
      </c>
      <c r="C202" s="16" t="inlineStr">
        <is>
          <t>M08-0051</t>
        </is>
      </c>
      <c r="D202" s="292" t="n"/>
      <c r="E202" s="252">
        <f>+_xlfn.XLOOKUP(C202,'BASE DATOS PRECIOS '!B:B,'BASE DATOS PRECIOS '!E:E)</f>
        <v/>
      </c>
      <c r="F202" s="218">
        <f>+F200</f>
        <v/>
      </c>
      <c r="G202" s="312">
        <f>+_xlfn.XLOOKUP(C202,'BASE DATOS PRECIOS '!B:B,'BASE DATOS PRECIOS '!F:F)</f>
        <v/>
      </c>
      <c r="H202" s="249">
        <f>+_xlfn.XLOOKUP(E202,'BASE DATOS PRECIOS '!E:E,'BASE DATOS PRECIOS '!H:H)</f>
        <v/>
      </c>
      <c r="I202" s="312" t="n"/>
      <c r="J202" s="312" t="n"/>
      <c r="K202" s="313">
        <f>+F202*H202</f>
        <v/>
      </c>
      <c r="L202" s="313">
        <f>+F202*I202</f>
        <v/>
      </c>
      <c r="M202" s="313">
        <f>+F202*J202</f>
        <v/>
      </c>
      <c r="N202" s="249">
        <f>SUM(K202:M202)</f>
        <v/>
      </c>
      <c r="O202" s="251">
        <f>SUM(K202:M202)/tc</f>
        <v/>
      </c>
    </row>
    <row r="203">
      <c r="A203" s="16" t="n"/>
      <c r="B203" s="1134">
        <f>VALUE(IF(AND(LEN(TRIM(C203))-LEN(SUBSTITUTE(TRIM(C203),".",""))=1,ISNUMBER(VALUE(SUBSTITUTE(TRIM(C203),".","")))),TRIM(C203),B202))</f>
        <v/>
      </c>
      <c r="C203" s="16" t="inlineStr">
        <is>
          <t>M01-0055</t>
        </is>
      </c>
      <c r="D203" s="292" t="n"/>
      <c r="E203" s="252">
        <f>+_xlfn.XLOOKUP(C203,'BASE DATOS PRECIOS '!B:B,'BASE DATOS PRECIOS '!E:E)</f>
        <v/>
      </c>
      <c r="F203" s="218">
        <f>+'1_OG y 2_ACA'!D949</f>
        <v/>
      </c>
      <c r="G203" s="312">
        <f>+_xlfn.XLOOKUP(C203,'BASE DATOS PRECIOS '!B:B,'BASE DATOS PRECIOS '!F:F)</f>
        <v/>
      </c>
      <c r="H203" s="249">
        <f>+_xlfn.XLOOKUP(E203,'BASE DATOS PRECIOS '!E:E,'BASE DATOS PRECIOS '!H:H)</f>
        <v/>
      </c>
      <c r="I203" s="312" t="n"/>
      <c r="J203" s="312" t="n"/>
      <c r="K203" s="313">
        <f>+F203*H203</f>
        <v/>
      </c>
      <c r="L203" s="313">
        <f>+F203*I203</f>
        <v/>
      </c>
      <c r="M203" s="313">
        <f>+F203*J203</f>
        <v/>
      </c>
      <c r="N203" s="249">
        <f>SUM(K203:M203)</f>
        <v/>
      </c>
      <c r="O203" s="251">
        <f>SUM(K203:M203)/tc</f>
        <v/>
      </c>
    </row>
    <row r="204">
      <c r="A204" s="16" t="n"/>
      <c r="B204" s="1134">
        <f>VALUE(IF(AND(LEN(TRIM(C204))-LEN(SUBSTITUTE(TRIM(C204),".",""))=1,ISNUMBER(VALUE(SUBSTITUTE(TRIM(C204),".","")))),TRIM(C204),B203))</f>
        <v/>
      </c>
      <c r="C204" s="297" t="inlineStr">
        <is>
          <t>M11-0066</t>
        </is>
      </c>
      <c r="D204" s="298" t="n"/>
      <c r="E204" s="252">
        <f>+_xlfn.XLOOKUP(C204,'BASE DATOS PRECIOS '!B:B,'BASE DATOS PRECIOS '!E:E)</f>
        <v/>
      </c>
      <c r="F204" s="218">
        <f>+'1_OG y 2_ACA'!D953</f>
        <v/>
      </c>
      <c r="G204" s="312">
        <f>+_xlfn.XLOOKUP(C204,'BASE DATOS PRECIOS '!B:B,'BASE DATOS PRECIOS '!F:F)</f>
        <v/>
      </c>
      <c r="H204" s="249">
        <f>+_xlfn.XLOOKUP(E204,'BASE DATOS PRECIOS '!E:E,'BASE DATOS PRECIOS '!H:H)</f>
        <v/>
      </c>
      <c r="I204" s="312" t="n"/>
      <c r="J204" s="312" t="n"/>
      <c r="K204" s="313">
        <f>+F204*H204</f>
        <v/>
      </c>
      <c r="L204" s="313">
        <f>+F204*I204</f>
        <v/>
      </c>
      <c r="M204" s="313">
        <f>+F204*J204</f>
        <v/>
      </c>
      <c r="N204" s="249">
        <f>SUM(K204:M204)</f>
        <v/>
      </c>
      <c r="O204" s="251">
        <f>SUM(K204:M204)/tc</f>
        <v/>
      </c>
    </row>
    <row r="205">
      <c r="A205" s="16" t="n"/>
      <c r="B205" s="1134">
        <f>VALUE(IF(AND(LEN(TRIM(C205))-LEN(SUBSTITUTE(TRIM(C205),".",""))=1,ISNUMBER(VALUE(SUBSTITUTE(TRIM(C205),".","")))),TRIM(C205),B204))</f>
        <v/>
      </c>
      <c r="C205" s="16" t="inlineStr">
        <is>
          <t>M11-0073</t>
        </is>
      </c>
      <c r="D205" s="292" t="n"/>
      <c r="E205" s="252">
        <f>+_xlfn.XLOOKUP(C205,'BASE DATOS PRECIOS '!B:B,'BASE DATOS PRECIOS '!E:E)</f>
        <v/>
      </c>
      <c r="F205" s="218">
        <f>+'1_OG y 2_ACA'!D955</f>
        <v/>
      </c>
      <c r="G205" s="312">
        <f>+_xlfn.XLOOKUP(C205,'BASE DATOS PRECIOS '!B:B,'BASE DATOS PRECIOS '!F:F)</f>
        <v/>
      </c>
      <c r="H205" s="249">
        <f>+_xlfn.XLOOKUP(E205,'BASE DATOS PRECIOS '!E:E,'BASE DATOS PRECIOS '!H:H)</f>
        <v/>
      </c>
      <c r="I205" s="312" t="n"/>
      <c r="J205" s="312" t="n"/>
      <c r="K205" s="313">
        <f>+F205*H205</f>
        <v/>
      </c>
      <c r="L205" s="313">
        <f>+F205*I205</f>
        <v/>
      </c>
      <c r="M205" s="313">
        <f>+F205*J205</f>
        <v/>
      </c>
      <c r="N205" s="249">
        <f>SUM(K205:M205)</f>
        <v/>
      </c>
      <c r="O205" s="251">
        <f>SUM(K205:M205)/tc</f>
        <v/>
      </c>
    </row>
    <row r="206">
      <c r="A206" s="16" t="n"/>
      <c r="B206" s="1134">
        <f>VALUE(IF(AND(LEN(TRIM(C206))-LEN(SUBSTITUTE(TRIM(C206),".",""))=1,ISNUMBER(VALUE(SUBSTITUTE(TRIM(C206),".","")))),TRIM(C206),B205))</f>
        <v/>
      </c>
      <c r="C206" s="16" t="inlineStr">
        <is>
          <t>M06-0231</t>
        </is>
      </c>
      <c r="D206" s="292" t="n"/>
      <c r="E206" s="252">
        <f>+_xlfn.XLOOKUP(C206,'BASE DATOS PRECIOS '!B:B,'BASE DATOS PRECIOS '!E:E)</f>
        <v/>
      </c>
      <c r="F206" s="218">
        <f>+'1_OG y 2_ACA'!D952</f>
        <v/>
      </c>
      <c r="G206" s="312">
        <f>+_xlfn.XLOOKUP(C206,'BASE DATOS PRECIOS '!B:B,'BASE DATOS PRECIOS '!F:F)</f>
        <v/>
      </c>
      <c r="H206" s="249">
        <f>+_xlfn.XLOOKUP(E206,'BASE DATOS PRECIOS '!E:E,'BASE DATOS PRECIOS '!H:H)</f>
        <v/>
      </c>
      <c r="I206" s="312" t="n"/>
      <c r="J206" s="312" t="n"/>
      <c r="K206" s="313">
        <f>+F206*H206</f>
        <v/>
      </c>
      <c r="L206" s="313">
        <f>+F206*I206</f>
        <v/>
      </c>
      <c r="M206" s="313">
        <f>+F206*J206</f>
        <v/>
      </c>
      <c r="N206" s="249">
        <f>SUM(K206:M206)</f>
        <v/>
      </c>
      <c r="O206" s="251">
        <f>SUM(K206:M206)/tc</f>
        <v/>
      </c>
    </row>
    <row r="207">
      <c r="A207" s="16" t="n"/>
      <c r="B207" s="1134">
        <f>VALUE(IF(AND(LEN(TRIM(C207))-LEN(SUBSTITUTE(TRIM(C207),".",""))=1,ISNUMBER(VALUE(SUBSTITUTE(TRIM(C207),".","")))),TRIM(C207),B206))</f>
        <v/>
      </c>
      <c r="C207" s="16" t="inlineStr">
        <is>
          <t>M11-0063</t>
        </is>
      </c>
      <c r="D207" s="292" t="n"/>
      <c r="E207" s="252">
        <f>+_xlfn.XLOOKUP(C207,'BASE DATOS PRECIOS '!B:B,'BASE DATOS PRECIOS '!E:E)</f>
        <v/>
      </c>
      <c r="F207" s="218">
        <f>+F206</f>
        <v/>
      </c>
      <c r="G207" s="312">
        <f>+_xlfn.XLOOKUP(C207,'BASE DATOS PRECIOS '!B:B,'BASE DATOS PRECIOS '!F:F)</f>
        <v/>
      </c>
      <c r="H207" s="249">
        <f>+_xlfn.XLOOKUP(E207,'BASE DATOS PRECIOS '!E:E,'BASE DATOS PRECIOS '!H:H)</f>
        <v/>
      </c>
      <c r="I207" s="312" t="n"/>
      <c r="J207" s="312" t="n"/>
      <c r="K207" s="313">
        <f>+F207*H207</f>
        <v/>
      </c>
      <c r="L207" s="313">
        <f>+F207*I207</f>
        <v/>
      </c>
      <c r="M207" s="313">
        <f>+F207*J207</f>
        <v/>
      </c>
      <c r="N207" s="249">
        <f>SUM(K207:M207)</f>
        <v/>
      </c>
      <c r="O207" s="251">
        <f>SUM(K207:M207)/tc</f>
        <v/>
      </c>
    </row>
    <row r="208">
      <c r="A208" s="16" t="n"/>
      <c r="B208" s="1134">
        <f>VALUE(IF(AND(LEN(TRIM(C208))-LEN(SUBSTITUTE(TRIM(C208),".",""))=1,ISNUMBER(VALUE(SUBSTITUTE(TRIM(C208),".","")))),TRIM(C208),B207))</f>
        <v/>
      </c>
      <c r="C208" s="16" t="inlineStr">
        <is>
          <t>M11-0019</t>
        </is>
      </c>
      <c r="D208" s="292" t="n"/>
      <c r="E208" s="252">
        <f>+_xlfn.XLOOKUP(C208,'BASE DATOS PRECIOS '!B:B,'BASE DATOS PRECIOS '!E:E)</f>
        <v/>
      </c>
      <c r="F208" s="218">
        <f>+'1_OG y 2_ACA'!D951</f>
        <v/>
      </c>
      <c r="G208" s="312">
        <f>+_xlfn.XLOOKUP(C208,'BASE DATOS PRECIOS '!B:B,'BASE DATOS PRECIOS '!F:F)</f>
        <v/>
      </c>
      <c r="H208" s="249">
        <f>+_xlfn.XLOOKUP(E208,'BASE DATOS PRECIOS '!E:E,'BASE DATOS PRECIOS '!H:H)</f>
        <v/>
      </c>
      <c r="I208" s="312" t="n"/>
      <c r="J208" s="312" t="n"/>
      <c r="K208" s="313">
        <f>+F208*H208</f>
        <v/>
      </c>
      <c r="L208" s="313">
        <f>+F208*I208</f>
        <v/>
      </c>
      <c r="M208" s="313">
        <f>+F208*J208</f>
        <v/>
      </c>
      <c r="N208" s="249">
        <f>SUM(K208:M208)</f>
        <v/>
      </c>
      <c r="O208" s="251">
        <f>SUM(K208:M208)/tc</f>
        <v/>
      </c>
    </row>
    <row r="209">
      <c r="A209" s="316" t="inlineStr">
        <is>
          <t>Gradas Metálicas</t>
        </is>
      </c>
      <c r="B209" s="1134">
        <f>VALUE(IF(AND(LEN(TRIM(C209))-LEN(SUBSTITUTE(TRIM(C209),".",""))=1,ISNUMBER(VALUE(SUBSTITUTE(TRIM(C209),".","")))),TRIM(C209),B208))</f>
        <v/>
      </c>
      <c r="C209" s="267" t="inlineStr">
        <is>
          <t xml:space="preserve">OPERARIO </t>
        </is>
      </c>
      <c r="D209" s="268" t="n"/>
      <c r="E209" s="269">
        <f>+_xlfn.XLOOKUP(C209,'BASE DATOS MANO DE OBRA'!A:A,'BASE DATOS MANO DE OBRA'!B:B)</f>
        <v/>
      </c>
      <c r="F209" s="270">
        <f>+ROUNDUP('1_OG y 2_ACA'!F958,0)/2</f>
        <v/>
      </c>
      <c r="G209" s="271">
        <f>+_xlfn.XLOOKUP(C209,'BASE DATOS MANO DE OBRA'!A:A,'BASE DATOS MANO DE OBRA'!C:C)</f>
        <v/>
      </c>
      <c r="H209" s="272" t="n">
        <v>0</v>
      </c>
      <c r="I209" s="272">
        <f>+_xlfn.XLOOKUP(C209,'BASE DATOS MANO DE OBRA'!A:A,'BASE DATOS MANO DE OBRA'!E:E)</f>
        <v/>
      </c>
      <c r="J209" s="272" t="n">
        <v>0</v>
      </c>
      <c r="K209" s="272">
        <f>+F209*H209</f>
        <v/>
      </c>
      <c r="L209" s="272">
        <f>+F209*I209</f>
        <v/>
      </c>
      <c r="M209" s="272">
        <f>+F209*J209</f>
        <v/>
      </c>
      <c r="N209" s="272">
        <f>SUM(K209:M209)</f>
        <v/>
      </c>
      <c r="O209" s="273">
        <f>SUM(K209:M209)/tc</f>
        <v/>
      </c>
    </row>
    <row r="210">
      <c r="A210" s="316" t="inlineStr">
        <is>
          <t>Gradas Metálicas</t>
        </is>
      </c>
      <c r="B210" s="1134">
        <f>VALUE(IF(AND(LEN(TRIM(C210))-LEN(SUBSTITUTE(TRIM(C210),".",""))=1,ISNUMBER(VALUE(SUBSTITUTE(TRIM(C210),".","")))),TRIM(C210),B209))</f>
        <v/>
      </c>
      <c r="C210" s="267" t="inlineStr">
        <is>
          <t xml:space="preserve">AYUDANTE </t>
        </is>
      </c>
      <c r="D210" s="268" t="n"/>
      <c r="E210" s="269">
        <f>+_xlfn.XLOOKUP(C210,'BASE DATOS MANO DE OBRA'!A:A,'BASE DATOS MANO DE OBRA'!B:B)</f>
        <v/>
      </c>
      <c r="F210" s="270">
        <f>+F209</f>
        <v/>
      </c>
      <c r="G210" s="271">
        <f>+_xlfn.XLOOKUP(C210,'BASE DATOS MANO DE OBRA'!A:A,'BASE DATOS MANO DE OBRA'!C:C)</f>
        <v/>
      </c>
      <c r="H210" s="272" t="n">
        <v>0</v>
      </c>
      <c r="I210" s="272">
        <f>+_xlfn.XLOOKUP(C210,'BASE DATOS MANO DE OBRA'!A:A,'BASE DATOS MANO DE OBRA'!E:E)</f>
        <v/>
      </c>
      <c r="J210" s="272" t="n">
        <v>0</v>
      </c>
      <c r="K210" s="272">
        <f>+F210*H210</f>
        <v/>
      </c>
      <c r="L210" s="272">
        <f>+F210*I210</f>
        <v/>
      </c>
      <c r="M210" s="272">
        <f>+F210*J210</f>
        <v/>
      </c>
      <c r="N210" s="272">
        <f>SUM(K210:M210)</f>
        <v/>
      </c>
      <c r="O210" s="273">
        <f>SUM(K210:M210)/tc</f>
        <v/>
      </c>
    </row>
    <row r="211">
      <c r="A211" s="316" t="inlineStr">
        <is>
          <t>Colado Gradas Metálicas</t>
        </is>
      </c>
      <c r="B211" s="1134">
        <f>VALUE(IF(AND(LEN(TRIM(C211))-LEN(SUBSTITUTE(TRIM(C211),".",""))=1,ISNUMBER(VALUE(SUBSTITUTE(TRIM(C211),".","")))),TRIM(C211),B210))</f>
        <v/>
      </c>
      <c r="C211" s="267" t="inlineStr">
        <is>
          <t xml:space="preserve">OPERARIO </t>
        </is>
      </c>
      <c r="D211" s="268" t="n"/>
      <c r="E211" s="269">
        <f>+_xlfn.XLOOKUP(C211,'BASE DATOS MANO DE OBRA'!A:A,'BASE DATOS MANO DE OBRA'!B:B)</f>
        <v/>
      </c>
      <c r="F211" s="270">
        <f>+ROUNDUP('1_OG y 2_ACA'!F959,0)/2</f>
        <v/>
      </c>
      <c r="G211" s="271">
        <f>+_xlfn.XLOOKUP(C211,'BASE DATOS MANO DE OBRA'!A:A,'BASE DATOS MANO DE OBRA'!C:C)</f>
        <v/>
      </c>
      <c r="H211" s="272" t="n">
        <v>0</v>
      </c>
      <c r="I211" s="272">
        <f>+_xlfn.XLOOKUP(C211,'BASE DATOS MANO DE OBRA'!A:A,'BASE DATOS MANO DE OBRA'!E:E)</f>
        <v/>
      </c>
      <c r="J211" s="272" t="n">
        <v>0</v>
      </c>
      <c r="K211" s="272">
        <f>+F211*H211</f>
        <v/>
      </c>
      <c r="L211" s="272">
        <f>+F211*I211</f>
        <v/>
      </c>
      <c r="M211" s="272">
        <f>+F211*J211</f>
        <v/>
      </c>
      <c r="N211" s="272">
        <f>SUM(K211:M211)</f>
        <v/>
      </c>
      <c r="O211" s="273">
        <f>SUM(K211:M211)/tc</f>
        <v/>
      </c>
    </row>
    <row r="212">
      <c r="A212" s="316" t="inlineStr">
        <is>
          <t>Colado Gradas Metálicas</t>
        </is>
      </c>
      <c r="B212" s="1134">
        <f>VALUE(IF(AND(LEN(TRIM(C212))-LEN(SUBSTITUTE(TRIM(C212),".",""))=1,ISNUMBER(VALUE(SUBSTITUTE(TRIM(C212),".","")))),TRIM(C212),B211))</f>
        <v/>
      </c>
      <c r="C212" s="267" t="inlineStr">
        <is>
          <t xml:space="preserve">AYUDANTE </t>
        </is>
      </c>
      <c r="D212" s="268" t="n"/>
      <c r="E212" s="269">
        <f>+_xlfn.XLOOKUP(C212,'BASE DATOS MANO DE OBRA'!A:A,'BASE DATOS MANO DE OBRA'!B:B)</f>
        <v/>
      </c>
      <c r="F212" s="270">
        <f>+F211</f>
        <v/>
      </c>
      <c r="G212" s="271">
        <f>+_xlfn.XLOOKUP(C212,'BASE DATOS MANO DE OBRA'!A:A,'BASE DATOS MANO DE OBRA'!C:C)</f>
        <v/>
      </c>
      <c r="H212" s="272" t="n">
        <v>0</v>
      </c>
      <c r="I212" s="272">
        <f>+_xlfn.XLOOKUP(C212,'BASE DATOS MANO DE OBRA'!A:A,'BASE DATOS MANO DE OBRA'!E:E)</f>
        <v/>
      </c>
      <c r="J212" s="272" t="n">
        <v>0</v>
      </c>
      <c r="K212" s="272">
        <f>+F212*H212</f>
        <v/>
      </c>
      <c r="L212" s="272">
        <f>+F212*I212</f>
        <v/>
      </c>
      <c r="M212" s="272">
        <f>+F212*J212</f>
        <v/>
      </c>
      <c r="N212" s="272">
        <f>SUM(K212:M212)</f>
        <v/>
      </c>
      <c r="O212" s="273">
        <f>SUM(K212:M212)/tc</f>
        <v/>
      </c>
    </row>
    <row r="213">
      <c r="A213" s="16" t="n"/>
      <c r="B213" s="1134">
        <f>VALUE(IF(AND(LEN(TRIM(C213))-LEN(SUBSTITUTE(TRIM(C213),".",""))=1,ISNUMBER(VALUE(SUBSTITUTE(TRIM(C213),".","")))),TRIM(C213),B212))</f>
        <v/>
      </c>
      <c r="C213" s="234" t="inlineStr">
        <is>
          <t>1.3.6</t>
        </is>
      </c>
      <c r="D213" s="235" t="n"/>
      <c r="E213" s="236" t="inlineStr">
        <is>
          <t xml:space="preserve">BARANDA DE GRADAS (N2) </t>
        </is>
      </c>
      <c r="F213" s="237">
        <f>IF('1_OG y 2_ACA'!D965="Sí",1,0)</f>
        <v/>
      </c>
      <c r="G213" s="235" t="inlineStr">
        <is>
          <t>gb</t>
        </is>
      </c>
      <c r="H213" s="235" t="n"/>
      <c r="I213" s="235" t="n"/>
      <c r="J213" s="235" t="n"/>
      <c r="K213" s="238">
        <f>+SUBTOTAL(9,K214:K228)</f>
        <v/>
      </c>
      <c r="L213" s="238">
        <f>+SUBTOTAL(9,L214:L228)</f>
        <v/>
      </c>
      <c r="M213" s="238">
        <f>+SUBTOTAL(9,M214:M228)</f>
        <v/>
      </c>
      <c r="N213" s="238">
        <f>+SUBTOTAL(9,N214:N228)</f>
        <v/>
      </c>
      <c r="O213" s="1136">
        <f>+SUBTOTAL(9,O214:O228)</f>
        <v/>
      </c>
      <c r="P213" s="1137" t="n"/>
    </row>
    <row r="214">
      <c r="A214" s="16" t="n"/>
      <c r="B214" s="1134">
        <f>VALUE(IF(AND(LEN(TRIM(C214))-LEN(SUBSTITUTE(TRIM(C214),".",""))=1,ISNUMBER(VALUE(SUBSTITUTE(TRIM(C214),".","")))),TRIM(C214),B213))</f>
        <v/>
      </c>
      <c r="C214" s="317" t="inlineStr">
        <is>
          <t>M13-0088</t>
        </is>
      </c>
      <c r="D214" s="318" t="n"/>
      <c r="E214" s="252">
        <f>+_xlfn.XLOOKUP(C214,'BASE DATOS PRECIOS '!B:B,'BASE DATOS PRECIOS '!E:E)</f>
        <v/>
      </c>
      <c r="F214" s="218">
        <f>+'1_OG y 2_ACA'!D978</f>
        <v/>
      </c>
      <c r="G214" s="312">
        <f>+_xlfn.XLOOKUP(C214,'BASE DATOS PRECIOS '!B:B,'BASE DATOS PRECIOS '!F:F)</f>
        <v/>
      </c>
      <c r="H214" s="249">
        <f>+_xlfn.XLOOKUP(E214,'BASE DATOS PRECIOS '!E:E,'BASE DATOS PRECIOS '!H:H)</f>
        <v/>
      </c>
      <c r="I214" s="312" t="n"/>
      <c r="J214" s="312" t="n"/>
      <c r="K214" s="313">
        <f>+F214*H214</f>
        <v/>
      </c>
      <c r="L214" s="313">
        <f>+F214*I214</f>
        <v/>
      </c>
      <c r="M214" s="313">
        <f>+F214*J214</f>
        <v/>
      </c>
      <c r="N214" s="313">
        <f>SUM(K214:M214)</f>
        <v/>
      </c>
      <c r="O214" s="314">
        <f>SUM(K214:M214)/tc</f>
        <v/>
      </c>
    </row>
    <row r="215">
      <c r="A215" s="16" t="n"/>
      <c r="B215" s="1134">
        <f>VALUE(IF(AND(LEN(TRIM(C215))-LEN(SUBSTITUTE(TRIM(C215),".",""))=1,ISNUMBER(VALUE(SUBSTITUTE(TRIM(C215),".","")))),TRIM(C215),B214))</f>
        <v/>
      </c>
      <c r="C215" s="317" t="inlineStr">
        <is>
          <t>M01-0153</t>
        </is>
      </c>
      <c r="D215" s="318" t="n"/>
      <c r="E215" s="252">
        <f>+_xlfn.XLOOKUP(C215,'BASE DATOS PRECIOS '!B:B,'BASE DATOS PRECIOS '!E:E)</f>
        <v/>
      </c>
      <c r="F215" s="218">
        <f>+'1_OG y 2_ACA'!D979</f>
        <v/>
      </c>
      <c r="G215" s="312">
        <f>+_xlfn.XLOOKUP(C215,'BASE DATOS PRECIOS '!B:B,'BASE DATOS PRECIOS '!F:F)</f>
        <v/>
      </c>
      <c r="H215" s="249">
        <f>+_xlfn.XLOOKUP(E215,'BASE DATOS PRECIOS '!E:E,'BASE DATOS PRECIOS '!H:H)</f>
        <v/>
      </c>
      <c r="I215" s="312" t="n"/>
      <c r="J215" s="312" t="n"/>
      <c r="K215" s="313">
        <f>+F215*H215</f>
        <v/>
      </c>
      <c r="L215" s="313">
        <f>+F215*I215</f>
        <v/>
      </c>
      <c r="M215" s="313">
        <f>+F215*J215</f>
        <v/>
      </c>
      <c r="N215" s="313">
        <f>SUM(K215:M215)</f>
        <v/>
      </c>
      <c r="O215" s="314">
        <f>SUM(K215:M215)/tc</f>
        <v/>
      </c>
    </row>
    <row r="216">
      <c r="A216" s="16" t="n"/>
      <c r="B216" s="1134">
        <f>VALUE(IF(AND(LEN(TRIM(C216))-LEN(SUBSTITUTE(TRIM(C216),".",""))=1,ISNUMBER(VALUE(SUBSTITUTE(TRIM(C216),".","")))),TRIM(C216),B215))</f>
        <v/>
      </c>
      <c r="C216" s="16" t="inlineStr">
        <is>
          <t>M01-0055</t>
        </is>
      </c>
      <c r="D216" s="292" t="n"/>
      <c r="E216" s="252">
        <f>+_xlfn.XLOOKUP(C216,'BASE DATOS PRECIOS '!B:B,'BASE DATOS PRECIOS '!E:E)</f>
        <v/>
      </c>
      <c r="F216" s="218">
        <f>+'1_OG y 2_ACA'!D980</f>
        <v/>
      </c>
      <c r="G216" s="312">
        <f>+_xlfn.XLOOKUP(C216,'BASE DATOS PRECIOS '!B:B,'BASE DATOS PRECIOS '!F:F)</f>
        <v/>
      </c>
      <c r="H216" s="249">
        <f>+_xlfn.XLOOKUP(E216,'BASE DATOS PRECIOS '!E:E,'BASE DATOS PRECIOS '!H:H)</f>
        <v/>
      </c>
      <c r="I216" s="312" t="n"/>
      <c r="J216" s="312" t="n"/>
      <c r="K216" s="313">
        <f>+F216*H216</f>
        <v/>
      </c>
      <c r="L216" s="313">
        <f>+F216*I216</f>
        <v/>
      </c>
      <c r="M216" s="313">
        <f>+F216*J216</f>
        <v/>
      </c>
      <c r="N216" s="313">
        <f>SUM(K216:M216)</f>
        <v/>
      </c>
      <c r="O216" s="314">
        <f>SUM(K216:M216)/tc</f>
        <v/>
      </c>
    </row>
    <row r="217">
      <c r="A217" s="16" t="n"/>
      <c r="B217" s="1134">
        <f>VALUE(IF(AND(LEN(TRIM(C217))-LEN(SUBSTITUTE(TRIM(C217),".",""))=1,ISNUMBER(VALUE(SUBSTITUTE(TRIM(C217),".","")))),TRIM(C217),B216))</f>
        <v/>
      </c>
      <c r="C217" s="16" t="inlineStr">
        <is>
          <t>M08-0037</t>
        </is>
      </c>
      <c r="D217" s="292" t="n"/>
      <c r="E217" s="252">
        <f>+_xlfn.XLOOKUP(C217,'BASE DATOS PRECIOS '!B:B,'BASE DATOS PRECIOS '!E:E)</f>
        <v/>
      </c>
      <c r="F217" s="218">
        <f>+'1_OG y 2_ACA'!D981</f>
        <v/>
      </c>
      <c r="G217" s="312">
        <f>+_xlfn.XLOOKUP(C217,'BASE DATOS PRECIOS '!B:B,'BASE DATOS PRECIOS '!F:F)</f>
        <v/>
      </c>
      <c r="H217" s="249">
        <f>+_xlfn.XLOOKUP(E217,'BASE DATOS PRECIOS '!E:E,'BASE DATOS PRECIOS '!H:H)</f>
        <v/>
      </c>
      <c r="I217" s="312" t="n"/>
      <c r="J217" s="312" t="n"/>
      <c r="K217" s="313">
        <f>+F217*H217</f>
        <v/>
      </c>
      <c r="L217" s="313">
        <f>+F217*I217</f>
        <v/>
      </c>
      <c r="M217" s="313">
        <f>+F217*J217</f>
        <v/>
      </c>
      <c r="N217" s="313">
        <f>SUM(K217:M217)</f>
        <v/>
      </c>
      <c r="O217" s="314">
        <f>SUM(K217:M217)/tc</f>
        <v/>
      </c>
    </row>
    <row r="218">
      <c r="A218" s="297" t="n"/>
      <c r="B218" s="1134">
        <f>VALUE(IF(AND(LEN(TRIM(C218))-LEN(SUBSTITUTE(TRIM(C218),".",""))=1,ISNUMBER(VALUE(SUBSTITUTE(TRIM(C218),".","")))),TRIM(C218),B217))</f>
        <v/>
      </c>
      <c r="C218" s="16" t="inlineStr">
        <is>
          <t>M08-0043</t>
        </is>
      </c>
      <c r="D218" s="292" t="n"/>
      <c r="E218" s="252">
        <f>+_xlfn.XLOOKUP(C218,'BASE DATOS PRECIOS '!B:B,'BASE DATOS PRECIOS '!E:E)</f>
        <v/>
      </c>
      <c r="F218" s="218">
        <f>+F217</f>
        <v/>
      </c>
      <c r="G218" s="312">
        <f>+_xlfn.XLOOKUP(C218,'BASE DATOS PRECIOS '!B:B,'BASE DATOS PRECIOS '!F:F)</f>
        <v/>
      </c>
      <c r="H218" s="249">
        <f>+_xlfn.XLOOKUP(E218,'BASE DATOS PRECIOS '!E:E,'BASE DATOS PRECIOS '!H:H)</f>
        <v/>
      </c>
      <c r="I218" s="312" t="n"/>
      <c r="J218" s="312" t="n"/>
      <c r="K218" s="313">
        <f>+F218*H218</f>
        <v/>
      </c>
      <c r="L218" s="313">
        <f>+F218*I218</f>
        <v/>
      </c>
      <c r="M218" s="313">
        <f>+F218*J218</f>
        <v/>
      </c>
      <c r="N218" s="313">
        <f>SUM(K218:M218)</f>
        <v/>
      </c>
      <c r="O218" s="314">
        <f>SUM(K218:M218)/tc</f>
        <v/>
      </c>
    </row>
    <row r="219">
      <c r="A219" s="16" t="n"/>
      <c r="B219" s="1134">
        <f>VALUE(IF(AND(LEN(TRIM(C219))-LEN(SUBSTITUTE(TRIM(C219),".",""))=1,ISNUMBER(VALUE(SUBSTITUTE(TRIM(C219),".","")))),TRIM(C219),B218))</f>
        <v/>
      </c>
      <c r="C219" s="297" t="inlineStr">
        <is>
          <t>M08-0044</t>
        </is>
      </c>
      <c r="D219" s="298" t="n"/>
      <c r="E219" s="252">
        <f>+_xlfn.XLOOKUP(C219,'BASE DATOS PRECIOS '!B:B,'BASE DATOS PRECIOS '!E:E)</f>
        <v/>
      </c>
      <c r="F219" s="218">
        <f>+F218</f>
        <v/>
      </c>
      <c r="G219" s="312">
        <f>+_xlfn.XLOOKUP(C219,'BASE DATOS PRECIOS '!B:B,'BASE DATOS PRECIOS '!F:F)</f>
        <v/>
      </c>
      <c r="H219" s="249">
        <f>+_xlfn.XLOOKUP(E219,'BASE DATOS PRECIOS '!E:E,'BASE DATOS PRECIOS '!H:H)</f>
        <v/>
      </c>
      <c r="I219" s="312" t="n"/>
      <c r="J219" s="312" t="n"/>
      <c r="K219" s="313">
        <f>+F219*H219</f>
        <v/>
      </c>
      <c r="L219" s="313">
        <f>+F219*I219</f>
        <v/>
      </c>
      <c r="M219" s="313">
        <f>+F219*J219</f>
        <v/>
      </c>
      <c r="N219" s="313">
        <f>SUM(K219:M219)</f>
        <v/>
      </c>
      <c r="O219" s="314">
        <f>SUM(K219:M219)/tc</f>
        <v/>
      </c>
    </row>
    <row r="220">
      <c r="A220" s="16" t="n"/>
      <c r="B220" s="1134">
        <f>VALUE(IF(AND(LEN(TRIM(C220))-LEN(SUBSTITUTE(TRIM(C220),".",""))=1,ISNUMBER(VALUE(SUBSTITUTE(TRIM(C220),".","")))),TRIM(C220),B219))</f>
        <v/>
      </c>
      <c r="C220" s="16" t="inlineStr">
        <is>
          <t>M08-0051</t>
        </is>
      </c>
      <c r="D220" s="292" t="n"/>
      <c r="E220" s="252">
        <f>+_xlfn.XLOOKUP(C220,'BASE DATOS PRECIOS '!B:B,'BASE DATOS PRECIOS '!E:E)</f>
        <v/>
      </c>
      <c r="F220" s="218">
        <f>+F218</f>
        <v/>
      </c>
      <c r="G220" s="312">
        <f>+_xlfn.XLOOKUP(C220,'BASE DATOS PRECIOS '!B:B,'BASE DATOS PRECIOS '!F:F)</f>
        <v/>
      </c>
      <c r="H220" s="249">
        <f>+_xlfn.XLOOKUP(E220,'BASE DATOS PRECIOS '!E:E,'BASE DATOS PRECIOS '!H:H)</f>
        <v/>
      </c>
      <c r="I220" s="312" t="n"/>
      <c r="J220" s="312" t="n"/>
      <c r="K220" s="313">
        <f>+F220*H220</f>
        <v/>
      </c>
      <c r="L220" s="313">
        <f>+F220*I220</f>
        <v/>
      </c>
      <c r="M220" s="313">
        <f>+F220*J220</f>
        <v/>
      </c>
      <c r="N220" s="313">
        <f>SUM(K220:M220)</f>
        <v/>
      </c>
      <c r="O220" s="314">
        <f>SUM(K220:M220)/tc</f>
        <v/>
      </c>
    </row>
    <row r="221">
      <c r="A221" s="16" t="n"/>
      <c r="B221" s="1134">
        <f>VALUE(IF(AND(LEN(TRIM(C221))-LEN(SUBSTITUTE(TRIM(C221),".",""))=1,ISNUMBER(VALUE(SUBSTITUTE(TRIM(C221),".","")))),TRIM(C221),B220))</f>
        <v/>
      </c>
      <c r="C221" s="16" t="inlineStr">
        <is>
          <t>M11-0019</t>
        </is>
      </c>
      <c r="D221" s="292" t="n"/>
      <c r="E221" s="252">
        <f>+_xlfn.XLOOKUP(C221,'BASE DATOS PRECIOS '!B:B,'BASE DATOS PRECIOS '!E:E)</f>
        <v/>
      </c>
      <c r="F221" s="218">
        <f>+'1_OG y 2_ACA'!D982</f>
        <v/>
      </c>
      <c r="G221" s="312">
        <f>+_xlfn.XLOOKUP(C221,'BASE DATOS PRECIOS '!B:B,'BASE DATOS PRECIOS '!F:F)</f>
        <v/>
      </c>
      <c r="H221" s="249">
        <f>+_xlfn.XLOOKUP(E221,'BASE DATOS PRECIOS '!E:E,'BASE DATOS PRECIOS '!H:H)</f>
        <v/>
      </c>
      <c r="I221" s="312" t="n"/>
      <c r="J221" s="312" t="n"/>
      <c r="K221" s="313">
        <f>+F221*H221</f>
        <v/>
      </c>
      <c r="L221" s="313">
        <f>+F221*I221</f>
        <v/>
      </c>
      <c r="M221" s="313">
        <f>+F221*J221</f>
        <v/>
      </c>
      <c r="N221" s="313">
        <f>SUM(K221:M221)</f>
        <v/>
      </c>
      <c r="O221" s="314">
        <f>SUM(K221:M221)/tc</f>
        <v/>
      </c>
    </row>
    <row r="222">
      <c r="A222" s="16" t="n"/>
      <c r="B222" s="1134">
        <f>VALUE(IF(AND(LEN(TRIM(C222))-LEN(SUBSTITUTE(TRIM(C222),".",""))=1,ISNUMBER(VALUE(SUBSTITUTE(TRIM(C222),".","")))),TRIM(C222),B221))</f>
        <v/>
      </c>
      <c r="C222" s="16" t="inlineStr">
        <is>
          <t>M06-0231</t>
        </is>
      </c>
      <c r="D222" s="292" t="n"/>
      <c r="E222" s="252">
        <f>+_xlfn.XLOOKUP(C222,'BASE DATOS PRECIOS '!B:B,'BASE DATOS PRECIOS '!E:E)</f>
        <v/>
      </c>
      <c r="F222" s="218">
        <f>+'1_OG y 2_ACA'!D983</f>
        <v/>
      </c>
      <c r="G222" s="312">
        <f>+_xlfn.XLOOKUP(C222,'BASE DATOS PRECIOS '!B:B,'BASE DATOS PRECIOS '!F:F)</f>
        <v/>
      </c>
      <c r="H222" s="249">
        <f>+_xlfn.XLOOKUP(E222,'BASE DATOS PRECIOS '!E:E,'BASE DATOS PRECIOS '!H:H)</f>
        <v/>
      </c>
      <c r="I222" s="312" t="n"/>
      <c r="J222" s="312" t="n"/>
      <c r="K222" s="313">
        <f>+F222*H222</f>
        <v/>
      </c>
      <c r="L222" s="313">
        <f>+F222*I222</f>
        <v/>
      </c>
      <c r="M222" s="313">
        <f>+F222*J222</f>
        <v/>
      </c>
      <c r="N222" s="313">
        <f>SUM(K222:M222)</f>
        <v/>
      </c>
      <c r="O222" s="314">
        <f>SUM(K222:M222)/tc</f>
        <v/>
      </c>
    </row>
    <row r="223">
      <c r="A223" s="297" t="n"/>
      <c r="B223" s="1134">
        <f>VALUE(IF(AND(LEN(TRIM(C223))-LEN(SUBSTITUTE(TRIM(C223),".",""))=1,ISNUMBER(VALUE(SUBSTITUTE(TRIM(C223),".","")))),TRIM(C223),B222))</f>
        <v/>
      </c>
      <c r="C223" s="297" t="inlineStr">
        <is>
          <t>M11-0066</t>
        </is>
      </c>
      <c r="D223" s="298" t="n"/>
      <c r="E223" s="252">
        <f>+_xlfn.XLOOKUP(C223,'BASE DATOS PRECIOS '!B:B,'BASE DATOS PRECIOS '!E:E)</f>
        <v/>
      </c>
      <c r="F223" s="218">
        <f>+'1_OG y 2_ACA'!D984+'1_OG y 2_ACA'!D985</f>
        <v/>
      </c>
      <c r="G223" s="312">
        <f>+_xlfn.XLOOKUP(C223,'BASE DATOS PRECIOS '!B:B,'BASE DATOS PRECIOS '!F:F)</f>
        <v/>
      </c>
      <c r="H223" s="249">
        <f>+_xlfn.XLOOKUP(E223,'BASE DATOS PRECIOS '!E:E,'BASE DATOS PRECIOS '!H:H)</f>
        <v/>
      </c>
      <c r="I223" s="312" t="n"/>
      <c r="J223" s="312" t="n"/>
      <c r="K223" s="313">
        <f>+F223*H223</f>
        <v/>
      </c>
      <c r="L223" s="313">
        <f>+F223*I223</f>
        <v/>
      </c>
      <c r="M223" s="313">
        <f>+F223*J223</f>
        <v/>
      </c>
      <c r="N223" s="313">
        <f>SUM(K223:M223)</f>
        <v/>
      </c>
      <c r="O223" s="314">
        <f>SUM(K223:M223)/tc</f>
        <v/>
      </c>
    </row>
    <row r="224">
      <c r="A224" s="16" t="n"/>
      <c r="B224" s="1134">
        <f>VALUE(IF(AND(LEN(TRIM(C224))-LEN(SUBSTITUTE(TRIM(C224),".",""))=1,ISNUMBER(VALUE(SUBSTITUTE(TRIM(C224),".","")))),TRIM(C224),B223))</f>
        <v/>
      </c>
      <c r="C224" s="16" t="inlineStr">
        <is>
          <t>M11-0073</t>
        </is>
      </c>
      <c r="D224" s="292" t="n"/>
      <c r="E224" s="252">
        <f>+_xlfn.XLOOKUP(C224,'BASE DATOS PRECIOS '!B:B,'BASE DATOS PRECIOS '!E:E)</f>
        <v/>
      </c>
      <c r="F224" s="218">
        <f>+'1_OG y 2_ACA'!D986</f>
        <v/>
      </c>
      <c r="G224" s="312">
        <f>+_xlfn.XLOOKUP(C224,'BASE DATOS PRECIOS '!B:B,'BASE DATOS PRECIOS '!F:F)</f>
        <v/>
      </c>
      <c r="H224" s="249">
        <f>+_xlfn.XLOOKUP(E224,'BASE DATOS PRECIOS '!E:E,'BASE DATOS PRECIOS '!H:H)</f>
        <v/>
      </c>
      <c r="I224" s="312" t="n"/>
      <c r="J224" s="312" t="n"/>
      <c r="K224" s="313">
        <f>+F224*H224</f>
        <v/>
      </c>
      <c r="L224" s="313">
        <f>+F224*I224</f>
        <v/>
      </c>
      <c r="M224" s="313">
        <f>+F224*J224</f>
        <v/>
      </c>
      <c r="N224" s="313">
        <f>SUM(K224:M224)</f>
        <v/>
      </c>
      <c r="O224" s="314">
        <f>SUM(K224:M224)/tc</f>
        <v/>
      </c>
    </row>
    <row r="225">
      <c r="A225" s="16" t="n"/>
      <c r="B225" s="1134">
        <f>VALUE(IF(AND(LEN(TRIM(C225))-LEN(SUBSTITUTE(TRIM(C225),".",""))=1,ISNUMBER(VALUE(SUBSTITUTE(TRIM(C225),".","")))),TRIM(C225),B224))</f>
        <v/>
      </c>
      <c r="C225" s="16" t="inlineStr">
        <is>
          <t>M11-0002</t>
        </is>
      </c>
      <c r="D225" s="292" t="n"/>
      <c r="E225" s="252">
        <f>+_xlfn.XLOOKUP(C225,'BASE DATOS PRECIOS '!B:B,'BASE DATOS PRECIOS '!E:E)</f>
        <v/>
      </c>
      <c r="F225" s="218">
        <f>+F213*3</f>
        <v/>
      </c>
      <c r="G225" s="312">
        <f>+_xlfn.XLOOKUP(C225,'BASE DATOS PRECIOS '!B:B,'BASE DATOS PRECIOS '!F:F)</f>
        <v/>
      </c>
      <c r="H225" s="249">
        <f>+_xlfn.XLOOKUP(E225,'BASE DATOS PRECIOS '!E:E,'BASE DATOS PRECIOS '!H:H)</f>
        <v/>
      </c>
      <c r="I225" s="312" t="n"/>
      <c r="J225" s="312" t="n"/>
      <c r="K225" s="313">
        <f>+F225*H225</f>
        <v/>
      </c>
      <c r="L225" s="313">
        <f>+F225*I225</f>
        <v/>
      </c>
      <c r="M225" s="313">
        <f>+F225*J225</f>
        <v/>
      </c>
      <c r="N225" s="313">
        <f>SUM(K225:M225)</f>
        <v/>
      </c>
      <c r="O225" s="314">
        <f>SUM(K225:M225)/tc</f>
        <v/>
      </c>
    </row>
    <row r="226">
      <c r="A226" s="233" t="n"/>
      <c r="B226" s="1134">
        <f>VALUE(IF(AND(LEN(TRIM(C226))-LEN(SUBSTITUTE(TRIM(C226),".",""))=1,ISNUMBER(VALUE(SUBSTITUTE(TRIM(C226),".","")))),TRIM(C226),B225))</f>
        <v/>
      </c>
      <c r="C226" s="16" t="inlineStr">
        <is>
          <t>M11-0063</t>
        </is>
      </c>
      <c r="D226" s="292" t="n"/>
      <c r="E226" s="252">
        <f>+_xlfn.XLOOKUP(C226,'BASE DATOS PRECIOS '!B:B,'BASE DATOS PRECIOS '!E:E)</f>
        <v/>
      </c>
      <c r="F226" s="218">
        <f>+F222</f>
        <v/>
      </c>
      <c r="G226" s="312">
        <f>+_xlfn.XLOOKUP(C226,'BASE DATOS PRECIOS '!B:B,'BASE DATOS PRECIOS '!F:F)</f>
        <v/>
      </c>
      <c r="H226" s="249">
        <f>+_xlfn.XLOOKUP(E226,'BASE DATOS PRECIOS '!E:E,'BASE DATOS PRECIOS '!H:H)</f>
        <v/>
      </c>
      <c r="I226" s="312" t="n"/>
      <c r="J226" s="312" t="n"/>
      <c r="K226" s="313">
        <f>+F226*H226</f>
        <v/>
      </c>
      <c r="L226" s="313">
        <f>+F226*I226</f>
        <v/>
      </c>
      <c r="M226" s="313">
        <f>+F226*J226</f>
        <v/>
      </c>
      <c r="N226" s="313">
        <f>SUM(K226:M226)</f>
        <v/>
      </c>
      <c r="O226" s="314">
        <f>SUM(K226:M226)/tc</f>
        <v/>
      </c>
    </row>
    <row r="227">
      <c r="A227" s="316" t="inlineStr">
        <is>
          <t>Barandas, Pasamanos y Portones</t>
        </is>
      </c>
      <c r="B227" s="1134">
        <f>VALUE(IF(AND(LEN(TRIM(C227))-LEN(SUBSTITUTE(TRIM(C227),".",""))=1,ISNUMBER(VALUE(SUBSTITUTE(TRIM(C227),".","")))),TRIM(C227),B226))</f>
        <v/>
      </c>
      <c r="C227" s="267" t="inlineStr">
        <is>
          <t xml:space="preserve">OPERARIO </t>
        </is>
      </c>
      <c r="D227" s="268" t="n"/>
      <c r="E227" s="269">
        <f>+_xlfn.XLOOKUP(C227,'BASE DATOS MANO DE OBRA'!A:A,'BASE DATOS MANO DE OBRA'!B:B)</f>
        <v/>
      </c>
      <c r="F227" s="270">
        <f>+ROUNDUP('1_OG y 2_ACA'!F991,0)/2</f>
        <v/>
      </c>
      <c r="G227" s="271">
        <f>+_xlfn.XLOOKUP(C227,'BASE DATOS MANO DE OBRA'!A:A,'BASE DATOS MANO DE OBRA'!C:C)</f>
        <v/>
      </c>
      <c r="H227" s="272" t="n">
        <v>0</v>
      </c>
      <c r="I227" s="272">
        <f>+_xlfn.XLOOKUP(C227,'BASE DATOS MANO DE OBRA'!A:A,'BASE DATOS MANO DE OBRA'!E:E)</f>
        <v/>
      </c>
      <c r="J227" s="272" t="n">
        <v>0</v>
      </c>
      <c r="K227" s="272">
        <f>+F227*H227</f>
        <v/>
      </c>
      <c r="L227" s="272">
        <f>+F227*I227</f>
        <v/>
      </c>
      <c r="M227" s="272">
        <f>+F227*J227</f>
        <v/>
      </c>
      <c r="N227" s="272">
        <f>SUM(K227:M227)</f>
        <v/>
      </c>
      <c r="O227" s="273">
        <f>SUM(K227:M227)/tc</f>
        <v/>
      </c>
      <c r="P227" s="277" t="n"/>
    </row>
    <row r="228">
      <c r="A228" s="316" t="inlineStr">
        <is>
          <t>Barandas, Pasamanos y Portones</t>
        </is>
      </c>
      <c r="B228" s="1134">
        <f>VALUE(IF(AND(LEN(TRIM(C228))-LEN(SUBSTITUTE(TRIM(C228),".",""))=1,ISNUMBER(VALUE(SUBSTITUTE(TRIM(C228),".","")))),TRIM(C228),B227))</f>
        <v/>
      </c>
      <c r="C228" s="267" t="inlineStr">
        <is>
          <t xml:space="preserve">AYUDANTE </t>
        </is>
      </c>
      <c r="D228" s="268" t="n"/>
      <c r="E228" s="269">
        <f>+_xlfn.XLOOKUP(C228,'BASE DATOS MANO DE OBRA'!A:A,'BASE DATOS MANO DE OBRA'!B:B)</f>
        <v/>
      </c>
      <c r="F228" s="270">
        <f>+F227</f>
        <v/>
      </c>
      <c r="G228" s="271">
        <f>+_xlfn.XLOOKUP(C228,'BASE DATOS MANO DE OBRA'!A:A,'BASE DATOS MANO DE OBRA'!C:C)</f>
        <v/>
      </c>
      <c r="H228" s="272" t="n">
        <v>0</v>
      </c>
      <c r="I228" s="272">
        <f>+_xlfn.XLOOKUP(C228,'BASE DATOS MANO DE OBRA'!A:A,'BASE DATOS MANO DE OBRA'!E:E)</f>
        <v/>
      </c>
      <c r="J228" s="272" t="n">
        <v>0</v>
      </c>
      <c r="K228" s="272">
        <f>+F228*H228</f>
        <v/>
      </c>
      <c r="L228" s="272">
        <f>+F228*I228</f>
        <v/>
      </c>
      <c r="M228" s="272">
        <f>+F228*J228</f>
        <v/>
      </c>
      <c r="N228" s="272">
        <f>SUM(K228:M228)</f>
        <v/>
      </c>
      <c r="O228" s="273">
        <f>SUM(K228:M228)/tc</f>
        <v/>
      </c>
      <c r="P228" s="277" t="n"/>
    </row>
    <row r="229">
      <c r="A229" s="297" t="n"/>
      <c r="B229" s="1134">
        <f>VALUE(IF(AND(LEN(TRIM(C229))-LEN(SUBSTITUTE(TRIM(C229),".",""))=1,ISNUMBER(VALUE(SUBSTITUTE(TRIM(C229),".","")))),TRIM(C229),B228))</f>
        <v/>
      </c>
      <c r="C229" s="234" t="inlineStr">
        <is>
          <t>1.3.7</t>
        </is>
      </c>
      <c r="D229" s="235" t="n"/>
      <c r="E229" s="236" t="inlineStr">
        <is>
          <t xml:space="preserve">ESTRUCTURA METÁLICA INTERNA </t>
        </is>
      </c>
      <c r="F229" s="237" t="n">
        <v>1</v>
      </c>
      <c r="G229" s="235" t="inlineStr">
        <is>
          <t>gb</t>
        </is>
      </c>
      <c r="H229" s="235" t="n"/>
      <c r="I229" s="235" t="n"/>
      <c r="J229" s="235" t="n"/>
      <c r="K229" s="238">
        <f>+SUBTOTAL(9,K230:K235)</f>
        <v/>
      </c>
      <c r="L229" s="238">
        <f>+SUBTOTAL(9,L230:L235)</f>
        <v/>
      </c>
      <c r="M229" s="238">
        <f>+SUBTOTAL(9,M230:M235)</f>
        <v/>
      </c>
      <c r="N229" s="238">
        <f>+SUBTOTAL(9,N230:N235)</f>
        <v/>
      </c>
      <c r="O229" s="1136">
        <f>+SUBTOTAL(9,O230:O235)</f>
        <v/>
      </c>
      <c r="P229" s="1137" t="n"/>
    </row>
    <row r="230">
      <c r="A230" s="297" t="n"/>
      <c r="B230" s="1134">
        <f>VALUE(IF(AND(LEN(TRIM(C230))-LEN(SUBSTITUTE(TRIM(C230),".",""))=1,ISNUMBER(VALUE(SUBSTITUTE(TRIM(C230),".","")))),TRIM(C230),B229))</f>
        <v/>
      </c>
      <c r="C230" s="319" t="n"/>
      <c r="D230" s="320" t="n"/>
      <c r="E230" s="311" t="n"/>
      <c r="F230" s="299" t="n"/>
      <c r="G230" s="321" t="n"/>
      <c r="H230" s="321" t="n"/>
      <c r="I230" s="321" t="n"/>
      <c r="J230" s="321" t="n"/>
      <c r="K230" s="322" t="n"/>
      <c r="L230" s="322" t="n"/>
      <c r="M230" s="322" t="n"/>
      <c r="N230" s="322" t="n"/>
      <c r="O230" s="323" t="n"/>
      <c r="P230" s="277" t="n"/>
    </row>
    <row r="231">
      <c r="A231" s="297" t="n"/>
      <c r="B231" s="1134">
        <f>VALUE(IF(AND(LEN(TRIM(C231))-LEN(SUBSTITUTE(TRIM(C231),".",""))=1,ISNUMBER(VALUE(SUBSTITUTE(TRIM(C231),".","")))),TRIM(C231),B230))</f>
        <v/>
      </c>
      <c r="C231" s="319" t="n"/>
      <c r="D231" s="320" t="n"/>
      <c r="E231" s="311" t="n"/>
      <c r="F231" s="299" t="n"/>
      <c r="G231" s="321" t="n"/>
      <c r="H231" s="321" t="n"/>
      <c r="I231" s="321" t="n"/>
      <c r="J231" s="321" t="n"/>
      <c r="K231" s="322" t="n"/>
      <c r="L231" s="322" t="n"/>
      <c r="M231" s="322" t="n"/>
      <c r="N231" s="322" t="n"/>
      <c r="O231" s="323" t="n"/>
      <c r="P231" s="277" t="n"/>
    </row>
    <row r="232">
      <c r="A232" s="297" t="n"/>
      <c r="B232" s="1134">
        <f>VALUE(IF(AND(LEN(TRIM(C232))-LEN(SUBSTITUTE(TRIM(C232),".",""))=1,ISNUMBER(VALUE(SUBSTITUTE(TRIM(C232),".","")))),TRIM(C232),B231))</f>
        <v/>
      </c>
      <c r="C232" s="267" t="inlineStr">
        <is>
          <t xml:space="preserve">OPERARIO </t>
        </is>
      </c>
      <c r="D232" s="268" t="n"/>
      <c r="E232" s="269">
        <f>+_xlfn.XLOOKUP(C232,'BASE DATOS MANO DE OBRA'!A:A,'BASE DATOS MANO DE OBRA'!B:B)</f>
        <v/>
      </c>
      <c r="F232" s="270" t="n">
        <v>0</v>
      </c>
      <c r="G232" s="271">
        <f>+_xlfn.XLOOKUP(C232,'BASE DATOS MANO DE OBRA'!A:A,'BASE DATOS MANO DE OBRA'!C:C)</f>
        <v/>
      </c>
      <c r="H232" s="272" t="n">
        <v>0</v>
      </c>
      <c r="I232" s="272">
        <f>+_xlfn.XLOOKUP(C232,'BASE DATOS MANO DE OBRA'!A:A,'BASE DATOS MANO DE OBRA'!E:E)</f>
        <v/>
      </c>
      <c r="J232" s="272" t="n">
        <v>0</v>
      </c>
      <c r="K232" s="272">
        <f>+F232*H232</f>
        <v/>
      </c>
      <c r="L232" s="272">
        <f>+F232*I232</f>
        <v/>
      </c>
      <c r="M232" s="272">
        <f>+F232*J232</f>
        <v/>
      </c>
      <c r="N232" s="272">
        <f>SUM(K232:M232)</f>
        <v/>
      </c>
      <c r="O232" s="273">
        <f>SUM(K232:M232)/tc</f>
        <v/>
      </c>
      <c r="P232" s="277" t="n"/>
    </row>
    <row r="233">
      <c r="A233" s="297" t="n"/>
      <c r="B233" s="1134">
        <f>VALUE(IF(AND(LEN(TRIM(C233))-LEN(SUBSTITUTE(TRIM(C233),".",""))=1,ISNUMBER(VALUE(SUBSTITUTE(TRIM(C233),".","")))),TRIM(C233),B232))</f>
        <v/>
      </c>
      <c r="C233" s="267" t="inlineStr">
        <is>
          <t xml:space="preserve">AYUDANTE </t>
        </is>
      </c>
      <c r="D233" s="268" t="n"/>
      <c r="E233" s="269">
        <f>+_xlfn.XLOOKUP(C233,'BASE DATOS MANO DE OBRA'!A:A,'BASE DATOS MANO DE OBRA'!B:B)</f>
        <v/>
      </c>
      <c r="F233" s="270" t="n">
        <v>0</v>
      </c>
      <c r="G233" s="271">
        <f>+_xlfn.XLOOKUP(C233,'BASE DATOS MANO DE OBRA'!A:A,'BASE DATOS MANO DE OBRA'!C:C)</f>
        <v/>
      </c>
      <c r="H233" s="272" t="n">
        <v>0</v>
      </c>
      <c r="I233" s="272">
        <f>+_xlfn.XLOOKUP(C233,'BASE DATOS MANO DE OBRA'!A:A,'BASE DATOS MANO DE OBRA'!E:E)</f>
        <v/>
      </c>
      <c r="J233" s="272" t="n">
        <v>0</v>
      </c>
      <c r="K233" s="272">
        <f>+F233*H233</f>
        <v/>
      </c>
      <c r="L233" s="272">
        <f>+F233*I233</f>
        <v/>
      </c>
      <c r="M233" s="272">
        <f>+F233*J233</f>
        <v/>
      </c>
      <c r="N233" s="272">
        <f>SUM(K233:M233)</f>
        <v/>
      </c>
      <c r="O233" s="273">
        <f>SUM(K233:M233)/tc</f>
        <v/>
      </c>
      <c r="P233" s="277" t="n"/>
    </row>
    <row r="234">
      <c r="A234" s="233" t="n"/>
      <c r="B234" s="1134">
        <f>VALUE(IF(AND(LEN(TRIM(C234))-LEN(SUBSTITUTE(TRIM(C234),".",""))=1,ISNUMBER(VALUE(SUBSTITUTE(TRIM(C234),".","")))),TRIM(C234),B233))</f>
        <v/>
      </c>
      <c r="C234" s="267" t="inlineStr">
        <is>
          <t xml:space="preserve">OPERARIO </t>
        </is>
      </c>
      <c r="D234" s="268" t="n"/>
      <c r="E234" s="269">
        <f>+_xlfn.XLOOKUP(C234,'BASE DATOS MANO DE OBRA'!A:A,'BASE DATOS MANO DE OBRA'!B:B)</f>
        <v/>
      </c>
      <c r="F234" s="270" t="n">
        <v>0</v>
      </c>
      <c r="G234" s="271">
        <f>+_xlfn.XLOOKUP(C234,'BASE DATOS MANO DE OBRA'!A:A,'BASE DATOS MANO DE OBRA'!C:C)</f>
        <v/>
      </c>
      <c r="H234" s="272" t="n">
        <v>0</v>
      </c>
      <c r="I234" s="272">
        <f>+_xlfn.XLOOKUP(C234,'BASE DATOS MANO DE OBRA'!A:A,'BASE DATOS MANO DE OBRA'!E:E)</f>
        <v/>
      </c>
      <c r="J234" s="272" t="n">
        <v>0</v>
      </c>
      <c r="K234" s="272">
        <f>+F234*H234</f>
        <v/>
      </c>
      <c r="L234" s="272">
        <f>+F234*I234</f>
        <v/>
      </c>
      <c r="M234" s="272">
        <f>+F234*J234</f>
        <v/>
      </c>
      <c r="N234" s="272">
        <f>SUM(K234:M234)</f>
        <v/>
      </c>
      <c r="O234" s="273">
        <f>SUM(K234:M234)/tc</f>
        <v/>
      </c>
      <c r="P234" s="277" t="n"/>
    </row>
    <row r="235">
      <c r="A235" s="297" t="n"/>
      <c r="B235" s="1134">
        <f>VALUE(IF(AND(LEN(TRIM(C235))-LEN(SUBSTITUTE(TRIM(C235),".",""))=1,ISNUMBER(VALUE(SUBSTITUTE(TRIM(C235),".","")))),TRIM(C235),B234))</f>
        <v/>
      </c>
      <c r="C235" s="267" t="inlineStr">
        <is>
          <t xml:space="preserve">AYUDANTE </t>
        </is>
      </c>
      <c r="D235" s="268" t="n"/>
      <c r="E235" s="269">
        <f>+_xlfn.XLOOKUP(C235,'BASE DATOS MANO DE OBRA'!A:A,'BASE DATOS MANO DE OBRA'!B:B)</f>
        <v/>
      </c>
      <c r="F235" s="270" t="n">
        <v>0</v>
      </c>
      <c r="G235" s="271">
        <f>+_xlfn.XLOOKUP(C235,'BASE DATOS MANO DE OBRA'!A:A,'BASE DATOS MANO DE OBRA'!C:C)</f>
        <v/>
      </c>
      <c r="H235" s="272" t="n">
        <v>0</v>
      </c>
      <c r="I235" s="272">
        <f>+_xlfn.XLOOKUP(C235,'BASE DATOS MANO DE OBRA'!A:A,'BASE DATOS MANO DE OBRA'!E:E)</f>
        <v/>
      </c>
      <c r="J235" s="272" t="n">
        <v>0</v>
      </c>
      <c r="K235" s="272">
        <f>+F235*H235</f>
        <v/>
      </c>
      <c r="L235" s="272">
        <f>+F235*I235</f>
        <v/>
      </c>
      <c r="M235" s="272">
        <f>+F235*J235</f>
        <v/>
      </c>
      <c r="N235" s="272">
        <f>SUM(K235:M235)</f>
        <v/>
      </c>
      <c r="O235" s="273">
        <f>SUM(K235:M235)/tc</f>
        <v/>
      </c>
      <c r="P235" s="277" t="n"/>
    </row>
    <row r="236">
      <c r="A236" s="16" t="n"/>
      <c r="B236" s="1134">
        <f>VALUE(IF(AND(LEN(TRIM(C236))-LEN(SUBSTITUTE(TRIM(C236),".",""))=1,ISNUMBER(VALUE(SUBSTITUTE(TRIM(C236),".","")))),TRIM(C236),B235))</f>
        <v/>
      </c>
      <c r="C236" s="306" t="inlineStr">
        <is>
          <t>1.4</t>
        </is>
      </c>
      <c r="D236" s="227" t="n"/>
      <c r="E236" s="228" t="inlineStr">
        <is>
          <t>HOJALATERIA</t>
        </is>
      </c>
      <c r="F236" s="229" t="n">
        <v>1</v>
      </c>
      <c r="G236" s="227" t="inlineStr">
        <is>
          <t>UND</t>
        </is>
      </c>
      <c r="H236" s="227" t="n"/>
      <c r="I236" s="227" t="n"/>
      <c r="J236" s="227" t="n"/>
      <c r="K236" s="230">
        <f>+SUBTOTAL(9,K237:K252)</f>
        <v/>
      </c>
      <c r="L236" s="230">
        <f>+SUBTOTAL(9,L237:L252)</f>
        <v/>
      </c>
      <c r="M236" s="230">
        <f>+SUBTOTAL(9,M237:M252)</f>
        <v/>
      </c>
      <c r="N236" s="230">
        <f>+SUBTOTAL(9,N237:N252)</f>
        <v/>
      </c>
      <c r="O236" s="1135">
        <f>+SUBTOTAL(9,O237:O252)</f>
        <v/>
      </c>
      <c r="P236" s="277" t="n"/>
    </row>
    <row r="237">
      <c r="A237" s="16" t="n"/>
      <c r="B237" s="1134">
        <f>VALUE(IF(AND(LEN(TRIM(C237))-LEN(SUBSTITUTE(TRIM(C237),".",""))=1,ISNUMBER(VALUE(SUBSTITUTE(TRIM(C237),".","")))),TRIM(C237),B236))</f>
        <v/>
      </c>
      <c r="C237" s="234" t="inlineStr">
        <is>
          <t>1.4.1</t>
        </is>
      </c>
      <c r="D237" s="235" t="n"/>
      <c r="E237" s="236" t="inlineStr">
        <is>
          <t xml:space="preserve">BOTAGUAS Y CANOAS </t>
        </is>
      </c>
      <c r="F237" s="237" t="n">
        <v>1</v>
      </c>
      <c r="G237" s="235" t="inlineStr">
        <is>
          <t>gb</t>
        </is>
      </c>
      <c r="H237" s="235" t="n"/>
      <c r="I237" s="235" t="n"/>
      <c r="J237" s="235" t="n"/>
      <c r="K237" s="238">
        <f>+SUBTOTAL(9,K238:K247)</f>
        <v/>
      </c>
      <c r="L237" s="238">
        <f>+SUBTOTAL(9,L238:L247)</f>
        <v/>
      </c>
      <c r="M237" s="238">
        <f>+SUBTOTAL(9,M238:M247)</f>
        <v/>
      </c>
      <c r="N237" s="238">
        <f>+SUBTOTAL(9,N238:N247)</f>
        <v/>
      </c>
      <c r="O237" s="1136">
        <f>+SUBTOTAL(9,O238:O247)</f>
        <v/>
      </c>
      <c r="P237" s="1137" t="n"/>
    </row>
    <row r="238">
      <c r="A238" s="16" t="n"/>
      <c r="B238" s="1134">
        <f>VALUE(IF(AND(LEN(TRIM(C238))-LEN(SUBSTITUTE(TRIM(C238),".",""))=1,ISNUMBER(VALUE(SUBSTITUTE(TRIM(C238),".","")))),TRIM(C238),B237))</f>
        <v/>
      </c>
      <c r="C238" s="324" t="inlineStr">
        <is>
          <t>M15-0057</t>
        </is>
      </c>
      <c r="D238" s="325" t="n"/>
      <c r="E238" s="252">
        <f>+_xlfn.XLOOKUP(C238,'BASE DATOS PRECIOS '!B:B,'BASE DATOS PRECIOS '!E:E)</f>
        <v/>
      </c>
      <c r="F238" s="308">
        <f>+ROUNDUP('1_OG y 2_ACA'!D1009,0)</f>
        <v/>
      </c>
      <c r="G238" s="250">
        <f>+_xlfn.XLOOKUP(C238,'BASE DATOS PRECIOS '!B:B,'BASE DATOS PRECIOS '!F:F)</f>
        <v/>
      </c>
      <c r="H238" s="249">
        <f>+_xlfn.XLOOKUP(E238,'BASE DATOS PRECIOS '!E:E,'BASE DATOS PRECIOS '!H:H)</f>
        <v/>
      </c>
      <c r="I238" s="250" t="n"/>
      <c r="J238" s="250" t="n"/>
      <c r="K238" s="249">
        <f>+F238*H238</f>
        <v/>
      </c>
      <c r="L238" s="249">
        <f>+F238*I238</f>
        <v/>
      </c>
      <c r="M238" s="249">
        <f>+F238*J238</f>
        <v/>
      </c>
      <c r="N238" s="249">
        <f>SUM(K238:M238)</f>
        <v/>
      </c>
      <c r="O238" s="251">
        <f>SUM(K238:M238)/tc</f>
        <v/>
      </c>
      <c r="P238" s="277" t="n"/>
    </row>
    <row r="239">
      <c r="A239" s="16" t="n"/>
      <c r="B239" s="1134">
        <f>VALUE(IF(AND(LEN(TRIM(C239))-LEN(SUBSTITUTE(TRIM(C239),".",""))=1,ISNUMBER(VALUE(SUBSTITUTE(TRIM(C239),".","")))),TRIM(C239),B238))</f>
        <v/>
      </c>
      <c r="C239" s="16" t="inlineStr">
        <is>
          <t>M06-0105</t>
        </is>
      </c>
      <c r="D239" s="292" t="n"/>
      <c r="E239" s="252">
        <f>+_xlfn.XLOOKUP(C239,'BASE DATOS PRECIOS '!B:B,'BASE DATOS PRECIOS '!E:E)</f>
        <v/>
      </c>
      <c r="F239" s="308">
        <f>+'1_OG y 2_ACA'!D1011</f>
        <v/>
      </c>
      <c r="G239" s="250">
        <f>+_xlfn.XLOOKUP(C239,'BASE DATOS PRECIOS '!B:B,'BASE DATOS PRECIOS '!F:F)</f>
        <v/>
      </c>
      <c r="H239" s="249">
        <f>+_xlfn.XLOOKUP(E239,'BASE DATOS PRECIOS '!E:E,'BASE DATOS PRECIOS '!H:H)</f>
        <v/>
      </c>
      <c r="I239" s="250" t="n"/>
      <c r="J239" s="250" t="n"/>
      <c r="K239" s="249">
        <f>+F239*H239</f>
        <v/>
      </c>
      <c r="L239" s="249">
        <f>+F239*I239</f>
        <v/>
      </c>
      <c r="M239" s="249">
        <f>+F239*J239</f>
        <v/>
      </c>
      <c r="N239" s="249">
        <f>SUM(K239:M239)</f>
        <v/>
      </c>
      <c r="O239" s="251">
        <f>SUM(K239:M239)/tc</f>
        <v/>
      </c>
      <c r="P239" s="277" t="n"/>
    </row>
    <row r="240">
      <c r="A240" s="16" t="n"/>
      <c r="B240" s="1134">
        <f>VALUE(IF(AND(LEN(TRIM(C240))-LEN(SUBSTITUTE(TRIM(C240),".",""))=1,ISNUMBER(VALUE(SUBSTITUTE(TRIM(C240),".","")))),TRIM(C240),B239))</f>
        <v/>
      </c>
      <c r="C240" s="326" t="inlineStr">
        <is>
          <t>M01-0008</t>
        </is>
      </c>
      <c r="D240" s="327" t="n"/>
      <c r="E240" s="252">
        <f>+_xlfn.XLOOKUP(C240,'BASE DATOS PRECIOS '!B:B,'BASE DATOS PRECIOS '!E:E)</f>
        <v/>
      </c>
      <c r="F240" s="218">
        <f>+'1_OG y 2_ACA'!D1010</f>
        <v/>
      </c>
      <c r="G240" s="312">
        <f>+_xlfn.XLOOKUP(C240,'BASE DATOS PRECIOS '!B:B,'BASE DATOS PRECIOS '!F:F)</f>
        <v/>
      </c>
      <c r="H240" s="249">
        <f>+_xlfn.XLOOKUP(E240,'BASE DATOS PRECIOS '!E:E,'BASE DATOS PRECIOS '!H:H)</f>
        <v/>
      </c>
      <c r="I240" s="312" t="n"/>
      <c r="J240" s="312" t="n"/>
      <c r="K240" s="313">
        <f>+F240*H240</f>
        <v/>
      </c>
      <c r="L240" s="313">
        <f>+F240*I240</f>
        <v/>
      </c>
      <c r="M240" s="313">
        <f>+F240*J240</f>
        <v/>
      </c>
      <c r="N240" s="313">
        <f>SUM(K240:M240)</f>
        <v/>
      </c>
      <c r="O240" s="314">
        <f>SUM(K240:M240)/tc</f>
        <v/>
      </c>
      <c r="P240" s="277" t="n"/>
    </row>
    <row r="241">
      <c r="A241" s="16" t="n"/>
      <c r="B241" s="1134">
        <f>VALUE(IF(AND(LEN(TRIM(C241))-LEN(SUBSTITUTE(TRIM(C241),".",""))=1,ISNUMBER(VALUE(SUBSTITUTE(TRIM(C241),".","")))),TRIM(C241),B240))</f>
        <v/>
      </c>
      <c r="C241" s="16" t="inlineStr">
        <is>
          <t>M06-0023</t>
        </is>
      </c>
      <c r="D241" s="292" t="n"/>
      <c r="E241" s="252">
        <f>+_xlfn.XLOOKUP(C241,'BASE DATOS PRECIOS '!B:B,'BASE DATOS PRECIOS '!E:E)</f>
        <v/>
      </c>
      <c r="F241" s="218">
        <f>+'1_OG y 2_ACA'!D1012</f>
        <v/>
      </c>
      <c r="G241" s="312">
        <f>+_xlfn.XLOOKUP(C241,'BASE DATOS PRECIOS '!B:B,'BASE DATOS PRECIOS '!F:F)</f>
        <v/>
      </c>
      <c r="H241" s="249">
        <f>+_xlfn.XLOOKUP(E241,'BASE DATOS PRECIOS '!E:E,'BASE DATOS PRECIOS '!G:G)</f>
        <v/>
      </c>
      <c r="I241" s="312" t="n"/>
      <c r="J241" s="312" t="n"/>
      <c r="K241" s="313">
        <f>+F241*H241</f>
        <v/>
      </c>
      <c r="L241" s="313">
        <f>+F241*I241</f>
        <v/>
      </c>
      <c r="M241" s="313">
        <f>+F241*J241</f>
        <v/>
      </c>
      <c r="N241" s="313">
        <f>SUM(K241:M241)</f>
        <v/>
      </c>
      <c r="O241" s="314">
        <f>SUM(K241:M241)/tc</f>
        <v/>
      </c>
      <c r="P241" s="277" t="n"/>
    </row>
    <row r="242">
      <c r="A242" s="316" t="inlineStr">
        <is>
          <t>Hojalatería Botaguas y Canoa</t>
        </is>
      </c>
      <c r="B242" s="1134">
        <f>VALUE(IF(AND(LEN(TRIM(C242))-LEN(SUBSTITUTE(TRIM(C242),".",""))=1,ISNUMBER(VALUE(SUBSTITUTE(TRIM(C242),".","")))),TRIM(C242),B241))</f>
        <v/>
      </c>
      <c r="C242" s="267" t="inlineStr">
        <is>
          <t xml:space="preserve">OPERARIO </t>
        </is>
      </c>
      <c r="D242" s="268" t="n"/>
      <c r="E242" s="269">
        <f>+_xlfn.XLOOKUP(C242,'BASE DATOS MANO DE OBRA'!A:A,'BASE DATOS MANO DE OBRA'!B:B)</f>
        <v/>
      </c>
      <c r="F242" s="270">
        <f>+ROUNDUP(('1_OG y 2_ACA'!F1015+'1_OG y 2_ACA'!F1020),0)/2</f>
        <v/>
      </c>
      <c r="G242" s="271">
        <f>+_xlfn.XLOOKUP(C242,'BASE DATOS MANO DE OBRA'!A:A,'BASE DATOS MANO DE OBRA'!C:C)</f>
        <v/>
      </c>
      <c r="H242" s="272" t="n">
        <v>0</v>
      </c>
      <c r="I242" s="272">
        <f>+_xlfn.XLOOKUP(C242,'BASE DATOS MANO DE OBRA'!A:A,'BASE DATOS MANO DE OBRA'!E:E)</f>
        <v/>
      </c>
      <c r="J242" s="272" t="n">
        <v>0</v>
      </c>
      <c r="K242" s="272">
        <f>+F242*H242</f>
        <v/>
      </c>
      <c r="L242" s="272">
        <f>+F242*I242</f>
        <v/>
      </c>
      <c r="M242" s="272">
        <f>+F242*J242</f>
        <v/>
      </c>
      <c r="N242" s="272">
        <f>SUM(K242:M242)</f>
        <v/>
      </c>
      <c r="O242" s="273">
        <f>SUM(K242:M242)/tc</f>
        <v/>
      </c>
      <c r="P242" s="277" t="n"/>
    </row>
    <row r="243">
      <c r="A243" s="316" t="inlineStr">
        <is>
          <t>Hojalatería Botaguas y Canoa</t>
        </is>
      </c>
      <c r="B243" s="1134">
        <f>VALUE(IF(AND(LEN(TRIM(C243))-LEN(SUBSTITUTE(TRIM(C243),".",""))=1,ISNUMBER(VALUE(SUBSTITUTE(TRIM(C243),".","")))),TRIM(C243),B242))</f>
        <v/>
      </c>
      <c r="C243" s="267" t="inlineStr">
        <is>
          <t xml:space="preserve">AYUDANTE </t>
        </is>
      </c>
      <c r="D243" s="268" t="n"/>
      <c r="E243" s="269">
        <f>+_xlfn.XLOOKUP(C243,'BASE DATOS MANO DE OBRA'!A:A,'BASE DATOS MANO DE OBRA'!B:B)</f>
        <v/>
      </c>
      <c r="F243" s="270">
        <f>+F242</f>
        <v/>
      </c>
      <c r="G243" s="271">
        <f>+_xlfn.XLOOKUP(C243,'BASE DATOS MANO DE OBRA'!A:A,'BASE DATOS MANO DE OBRA'!C:C)</f>
        <v/>
      </c>
      <c r="H243" s="272" t="n">
        <v>0</v>
      </c>
      <c r="I243" s="272">
        <f>+_xlfn.XLOOKUP(C243,'BASE DATOS MANO DE OBRA'!A:A,'BASE DATOS MANO DE OBRA'!E:E)</f>
        <v/>
      </c>
      <c r="J243" s="272" t="n">
        <v>0</v>
      </c>
      <c r="K243" s="272">
        <f>+F243*H243</f>
        <v/>
      </c>
      <c r="L243" s="272">
        <f>+F243*I243</f>
        <v/>
      </c>
      <c r="M243" s="272">
        <f>+F243*J243</f>
        <v/>
      </c>
      <c r="N243" s="272">
        <f>SUM(K243:M243)</f>
        <v/>
      </c>
      <c r="O243" s="273">
        <f>SUM(K243:M243)/tc</f>
        <v/>
      </c>
      <c r="P243" s="277" t="n"/>
    </row>
    <row r="244">
      <c r="A244" s="316" t="inlineStr">
        <is>
          <t>Hojalatería Botaguas y Canoa</t>
        </is>
      </c>
      <c r="B244" s="1134">
        <f>VALUE(IF(AND(LEN(TRIM(C244))-LEN(SUBSTITUTE(TRIM(C244),".",""))=1,ISNUMBER(VALUE(SUBSTITUTE(TRIM(C244),".","")))),TRIM(C244),B243))</f>
        <v/>
      </c>
      <c r="C244" s="267" t="inlineStr">
        <is>
          <t xml:space="preserve">OPERARIO </t>
        </is>
      </c>
      <c r="D244" s="268" t="n"/>
      <c r="E244" s="269">
        <f>+_xlfn.XLOOKUP(C244,'BASE DATOS MANO DE OBRA'!A:A,'BASE DATOS MANO DE OBRA'!B:B)</f>
        <v/>
      </c>
      <c r="F244" s="270">
        <f>+ROUNDUP(('1_OG y 2_ACA'!F1016+'1_OG y 2_ACA'!F1021),0)/2</f>
        <v/>
      </c>
      <c r="G244" s="271">
        <f>+_xlfn.XLOOKUP(C244,'BASE DATOS MANO DE OBRA'!A:A,'BASE DATOS MANO DE OBRA'!C:C)</f>
        <v/>
      </c>
      <c r="H244" s="272" t="n">
        <v>0</v>
      </c>
      <c r="I244" s="272">
        <f>+_xlfn.XLOOKUP(C244,'BASE DATOS MANO DE OBRA'!A:A,'BASE DATOS MANO DE OBRA'!E:E)</f>
        <v/>
      </c>
      <c r="J244" s="272" t="n">
        <v>0</v>
      </c>
      <c r="K244" s="272">
        <f>+F244*H244</f>
        <v/>
      </c>
      <c r="L244" s="272">
        <f>+F244*I244</f>
        <v/>
      </c>
      <c r="M244" s="272">
        <f>+F244*J244</f>
        <v/>
      </c>
      <c r="N244" s="272">
        <f>SUM(K244:M244)</f>
        <v/>
      </c>
      <c r="O244" s="273">
        <f>SUM(K244:M244)/tc</f>
        <v/>
      </c>
      <c r="P244" s="277" t="n"/>
    </row>
    <row r="245">
      <c r="A245" s="316" t="inlineStr">
        <is>
          <t>Hojalatería Botaguas y Canoa</t>
        </is>
      </c>
      <c r="B245" s="1134">
        <f>VALUE(IF(AND(LEN(TRIM(C245))-LEN(SUBSTITUTE(TRIM(C245),".",""))=1,ISNUMBER(VALUE(SUBSTITUTE(TRIM(C245),".","")))),TRIM(C245),B244))</f>
        <v/>
      </c>
      <c r="C245" s="267" t="inlineStr">
        <is>
          <t xml:space="preserve">AYUDANTE </t>
        </is>
      </c>
      <c r="D245" s="268" t="n"/>
      <c r="E245" s="269">
        <f>+_xlfn.XLOOKUP(C245,'BASE DATOS MANO DE OBRA'!A:A,'BASE DATOS MANO DE OBRA'!B:B)</f>
        <v/>
      </c>
      <c r="F245" s="270">
        <f>+F244</f>
        <v/>
      </c>
      <c r="G245" s="271">
        <f>+_xlfn.XLOOKUP(C245,'BASE DATOS MANO DE OBRA'!A:A,'BASE DATOS MANO DE OBRA'!C:C)</f>
        <v/>
      </c>
      <c r="H245" s="272" t="n">
        <v>0</v>
      </c>
      <c r="I245" s="272">
        <f>+_xlfn.XLOOKUP(C245,'BASE DATOS MANO DE OBRA'!A:A,'BASE DATOS MANO DE OBRA'!E:E)</f>
        <v/>
      </c>
      <c r="J245" s="272" t="n">
        <v>0</v>
      </c>
      <c r="K245" s="272">
        <f>+F245*H245</f>
        <v/>
      </c>
      <c r="L245" s="272">
        <f>+F245*I245</f>
        <v/>
      </c>
      <c r="M245" s="272">
        <f>+F245*J245</f>
        <v/>
      </c>
      <c r="N245" s="272">
        <f>SUM(K245:M245)</f>
        <v/>
      </c>
      <c r="O245" s="273">
        <f>SUM(K245:M245)/tc</f>
        <v/>
      </c>
      <c r="P245" s="277" t="n"/>
    </row>
    <row r="246">
      <c r="A246" s="16" t="n"/>
      <c r="B246" s="1134">
        <f>VALUE(IF(AND(LEN(TRIM(C246))-LEN(SUBSTITUTE(TRIM(C246),".",""))=1,ISNUMBER(VALUE(SUBSTITUTE(TRIM(C246),".","")))),TRIM(C246),B245))</f>
        <v/>
      </c>
      <c r="C246" s="267" t="inlineStr">
        <is>
          <t xml:space="preserve">OPERARIO </t>
        </is>
      </c>
      <c r="D246" s="268" t="n"/>
      <c r="E246" s="269">
        <f>+_xlfn.XLOOKUP(C246,'BASE DATOS MANO DE OBRA'!A:A,'BASE DATOS MANO DE OBRA'!B:B)</f>
        <v/>
      </c>
      <c r="F246" s="270" t="n">
        <v>0</v>
      </c>
      <c r="G246" s="271">
        <f>+_xlfn.XLOOKUP(C246,'BASE DATOS MANO DE OBRA'!A:A,'BASE DATOS MANO DE OBRA'!C:C)</f>
        <v/>
      </c>
      <c r="H246" s="272" t="n">
        <v>0</v>
      </c>
      <c r="I246" s="272">
        <f>+_xlfn.XLOOKUP(C246,'BASE DATOS MANO DE OBRA'!A:A,'BASE DATOS MANO DE OBRA'!E:E)</f>
        <v/>
      </c>
      <c r="J246" s="272" t="n">
        <v>0</v>
      </c>
      <c r="K246" s="272">
        <f>+F246*H246</f>
        <v/>
      </c>
      <c r="L246" s="272">
        <f>+F246*I246</f>
        <v/>
      </c>
      <c r="M246" s="272">
        <f>+F246*J246</f>
        <v/>
      </c>
      <c r="N246" s="272">
        <f>SUM(K246:M246)</f>
        <v/>
      </c>
      <c r="O246" s="273">
        <f>SUM(K246:M246)/tc</f>
        <v/>
      </c>
      <c r="P246" s="277" t="n"/>
    </row>
    <row r="247">
      <c r="A247" s="16" t="n"/>
      <c r="B247" s="1134">
        <f>VALUE(IF(AND(LEN(TRIM(C247))-LEN(SUBSTITUTE(TRIM(C247),".",""))=1,ISNUMBER(VALUE(SUBSTITUTE(TRIM(C247),".","")))),TRIM(C247),B246))</f>
        <v/>
      </c>
      <c r="C247" s="267" t="inlineStr">
        <is>
          <t xml:space="preserve">AYUDANTE </t>
        </is>
      </c>
      <c r="D247" s="268" t="n"/>
      <c r="E247" s="269">
        <f>+_xlfn.XLOOKUP(C247,'BASE DATOS MANO DE OBRA'!A:A,'BASE DATOS MANO DE OBRA'!B:B)</f>
        <v/>
      </c>
      <c r="F247" s="270" t="n">
        <v>0</v>
      </c>
      <c r="G247" s="271">
        <f>+_xlfn.XLOOKUP(C247,'BASE DATOS MANO DE OBRA'!A:A,'BASE DATOS MANO DE OBRA'!C:C)</f>
        <v/>
      </c>
      <c r="H247" s="272" t="n">
        <v>0</v>
      </c>
      <c r="I247" s="272">
        <f>+_xlfn.XLOOKUP(C247,'BASE DATOS MANO DE OBRA'!A:A,'BASE DATOS MANO DE OBRA'!E:E)</f>
        <v/>
      </c>
      <c r="J247" s="272" t="n">
        <v>0</v>
      </c>
      <c r="K247" s="272">
        <f>+F247*H247</f>
        <v/>
      </c>
      <c r="L247" s="272">
        <f>+F247*I247</f>
        <v/>
      </c>
      <c r="M247" s="272">
        <f>+F247*J247</f>
        <v/>
      </c>
      <c r="N247" s="272">
        <f>SUM(K247:M247)</f>
        <v/>
      </c>
      <c r="O247" s="273">
        <f>SUM(K247:M247)/tc</f>
        <v/>
      </c>
      <c r="P247" s="277" t="n"/>
    </row>
    <row r="248">
      <c r="A248" s="328" t="n"/>
      <c r="B248" s="1134">
        <f>VALUE(IF(AND(LEN(TRIM(C248))-LEN(SUBSTITUTE(TRIM(C248),".",""))=1,ISNUMBER(VALUE(SUBSTITUTE(TRIM(C248),".","")))),TRIM(C248),B247))</f>
        <v/>
      </c>
      <c r="C248" s="234" t="inlineStr">
        <is>
          <t>1.4.2</t>
        </is>
      </c>
      <c r="D248" s="235" t="n"/>
      <c r="E248" s="236" t="inlineStr">
        <is>
          <t xml:space="preserve">BAJANTES </t>
        </is>
      </c>
      <c r="F248" s="237" t="n">
        <v>1</v>
      </c>
      <c r="G248" s="235" t="inlineStr">
        <is>
          <t>gb</t>
        </is>
      </c>
      <c r="H248" s="235" t="n"/>
      <c r="I248" s="235" t="n"/>
      <c r="J248" s="235" t="n"/>
      <c r="K248" s="238">
        <f>+SUBTOTAL(9,K249:K252)</f>
        <v/>
      </c>
      <c r="L248" s="238">
        <f>+SUBTOTAL(9,L249:L252)</f>
        <v/>
      </c>
      <c r="M248" s="238">
        <f>+SUBTOTAL(9,M249:M252)</f>
        <v/>
      </c>
      <c r="N248" s="238">
        <f>+SUBTOTAL(9,N249:N252)</f>
        <v/>
      </c>
      <c r="O248" s="1136">
        <f>+SUBTOTAL(9,O249:O252)</f>
        <v/>
      </c>
      <c r="P248" s="1137" t="n"/>
    </row>
    <row r="249">
      <c r="A249" s="16" t="n"/>
      <c r="B249" s="1134">
        <f>VALUE(IF(AND(LEN(TRIM(C249))-LEN(SUBSTITUTE(TRIM(C249),".",""))=1,ISNUMBER(VALUE(SUBSTITUTE(TRIM(C249),".","")))),TRIM(C249),B248))</f>
        <v/>
      </c>
      <c r="C249" s="329" t="inlineStr">
        <is>
          <t>M01-0013</t>
        </is>
      </c>
      <c r="D249" s="330" t="n"/>
      <c r="E249" s="252">
        <f>+_xlfn.XLOOKUP(C249,'BASE DATOS PRECIOS '!B:B,'BASE DATOS PRECIOS '!E:E)</f>
        <v/>
      </c>
      <c r="F249" s="218">
        <f>+'1_OG y 2_ACA'!D1027</f>
        <v/>
      </c>
      <c r="G249" s="250">
        <f>+_xlfn.XLOOKUP(C249,'BASE DATOS PRECIOS '!B:B,'BASE DATOS PRECIOS '!F:F)</f>
        <v/>
      </c>
      <c r="H249" s="249">
        <f>+_xlfn.XLOOKUP(E249,'BASE DATOS PRECIOS '!E:E,'BASE DATOS PRECIOS '!H:H)</f>
        <v/>
      </c>
      <c r="I249" s="250" t="n"/>
      <c r="J249" s="250" t="n"/>
      <c r="K249" s="249">
        <f>+F249*H249</f>
        <v/>
      </c>
      <c r="L249" s="249">
        <f>+F249*I249</f>
        <v/>
      </c>
      <c r="M249" s="249">
        <f>+F249*J249</f>
        <v/>
      </c>
      <c r="N249" s="249">
        <f>SUM(K249:M249)</f>
        <v/>
      </c>
      <c r="O249" s="251">
        <f>SUM(K249:M249)/tc</f>
        <v/>
      </c>
      <c r="P249" s="277" t="n"/>
    </row>
    <row r="250">
      <c r="A250" s="16" t="n"/>
      <c r="B250" s="1134">
        <f>VALUE(IF(AND(LEN(TRIM(C250))-LEN(SUBSTITUTE(TRIM(C250),".",""))=1,ISNUMBER(VALUE(SUBSTITUTE(TRIM(C250),".","")))),TRIM(C250),B249))</f>
        <v/>
      </c>
      <c r="C250" s="329" t="inlineStr">
        <is>
          <t>M15-0056</t>
        </is>
      </c>
      <c r="D250" s="330" t="n"/>
      <c r="E250" s="252">
        <f>+_xlfn.XLOOKUP(C250,'BASE DATOS PRECIOS '!B:B,'BASE DATOS PRECIOS '!E:E)</f>
        <v/>
      </c>
      <c r="F250" s="218">
        <f>+'1_OG y 2_ACA'!D1028</f>
        <v/>
      </c>
      <c r="G250" s="250">
        <f>+_xlfn.XLOOKUP(C250,'BASE DATOS PRECIOS '!B:B,'BASE DATOS PRECIOS '!F:F)</f>
        <v/>
      </c>
      <c r="H250" s="249">
        <f>+_xlfn.XLOOKUP(E250,'BASE DATOS PRECIOS '!E:E,'BASE DATOS PRECIOS '!H:H)</f>
        <v/>
      </c>
      <c r="I250" s="250" t="n"/>
      <c r="J250" s="250" t="n"/>
      <c r="K250" s="249">
        <f>+F250*H250</f>
        <v/>
      </c>
      <c r="L250" s="249">
        <f>+F250*I250</f>
        <v/>
      </c>
      <c r="M250" s="249">
        <f>+F250*J250</f>
        <v/>
      </c>
      <c r="N250" s="249">
        <f>SUM(K250:M250)</f>
        <v/>
      </c>
      <c r="O250" s="251">
        <f>SUM(K250:M250)/tc</f>
        <v/>
      </c>
      <c r="P250" s="277" t="n"/>
    </row>
    <row r="251">
      <c r="A251" s="266" t="inlineStr">
        <is>
          <t>Bajantes</t>
        </is>
      </c>
      <c r="B251" s="1134">
        <f>VALUE(IF(AND(LEN(TRIM(C251))-LEN(SUBSTITUTE(TRIM(C251),".",""))=1,ISNUMBER(VALUE(SUBSTITUTE(TRIM(C251),".","")))),TRIM(C251),B250))</f>
        <v/>
      </c>
      <c r="C251" s="267" t="inlineStr">
        <is>
          <t xml:space="preserve">OPERARIO </t>
        </is>
      </c>
      <c r="D251" s="268" t="n"/>
      <c r="E251" s="269">
        <f>+_xlfn.XLOOKUP(C251,'BASE DATOS MANO DE OBRA'!A:A,'BASE DATOS MANO DE OBRA'!B:B)</f>
        <v/>
      </c>
      <c r="F251" s="270">
        <f>ROUND('1_OG y 2_ACA'!F1033,0)/2</f>
        <v/>
      </c>
      <c r="G251" s="271">
        <f>+_xlfn.XLOOKUP(C251,'BASE DATOS MANO DE OBRA'!A:A,'BASE DATOS MANO DE OBRA'!C:C)</f>
        <v/>
      </c>
      <c r="H251" s="272" t="n">
        <v>0</v>
      </c>
      <c r="I251" s="272">
        <f>+_xlfn.XLOOKUP(C251,'BASE DATOS MANO DE OBRA'!A:A,'BASE DATOS MANO DE OBRA'!E:E)</f>
        <v/>
      </c>
      <c r="J251" s="272" t="n">
        <v>0</v>
      </c>
      <c r="K251" s="272">
        <f>+F251*H251</f>
        <v/>
      </c>
      <c r="L251" s="272">
        <f>+F251*I251</f>
        <v/>
      </c>
      <c r="M251" s="272">
        <f>+F251*J251</f>
        <v/>
      </c>
      <c r="N251" s="272">
        <f>SUM(K251:M251)</f>
        <v/>
      </c>
      <c r="O251" s="273">
        <f>SUM(K251:M251)/tc</f>
        <v/>
      </c>
      <c r="P251" s="277" t="n"/>
    </row>
    <row r="252">
      <c r="A252" s="266" t="inlineStr">
        <is>
          <t>Bajantes</t>
        </is>
      </c>
      <c r="B252" s="1134">
        <f>VALUE(IF(AND(LEN(TRIM(C252))-LEN(SUBSTITUTE(TRIM(C252),".",""))=1,ISNUMBER(VALUE(SUBSTITUTE(TRIM(C252),".","")))),TRIM(C252),B251))</f>
        <v/>
      </c>
      <c r="C252" s="267" t="inlineStr">
        <is>
          <t xml:space="preserve">AYUDANTE </t>
        </is>
      </c>
      <c r="D252" s="268" t="n"/>
      <c r="E252" s="269">
        <f>+_xlfn.XLOOKUP(C252,'BASE DATOS MANO DE OBRA'!A:A,'BASE DATOS MANO DE OBRA'!B:B)</f>
        <v/>
      </c>
      <c r="F252" s="270">
        <f>+F251</f>
        <v/>
      </c>
      <c r="G252" s="271">
        <f>+_xlfn.XLOOKUP(C252,'BASE DATOS MANO DE OBRA'!A:A,'BASE DATOS MANO DE OBRA'!C:C)</f>
        <v/>
      </c>
      <c r="H252" s="272" t="n">
        <v>0</v>
      </c>
      <c r="I252" s="272">
        <f>+_xlfn.XLOOKUP(C252,'BASE DATOS MANO DE OBRA'!A:A,'BASE DATOS MANO DE OBRA'!E:E)</f>
        <v/>
      </c>
      <c r="J252" s="272" t="n">
        <v>0</v>
      </c>
      <c r="K252" s="272">
        <f>+F252*H252</f>
        <v/>
      </c>
      <c r="L252" s="272">
        <f>+F252*I252</f>
        <v/>
      </c>
      <c r="M252" s="272">
        <f>+F252*J252</f>
        <v/>
      </c>
      <c r="N252" s="272">
        <f>SUM(K252:M252)</f>
        <v/>
      </c>
      <c r="O252" s="273">
        <f>SUM(K252:M252)/tc</f>
        <v/>
      </c>
      <c r="P252" s="277" t="n"/>
    </row>
    <row r="253">
      <c r="A253" s="16" t="n"/>
      <c r="B253" s="1134">
        <f>VALUE(IF(AND(LEN(TRIM(C253))-LEN(SUBSTITUTE(TRIM(C253),".",""))=1,ISNUMBER(VALUE(SUBSTITUTE(TRIM(C253),".","")))),TRIM(C253),B252))</f>
        <v/>
      </c>
      <c r="C253" s="306" t="inlineStr">
        <is>
          <t>1.5</t>
        </is>
      </c>
      <c r="D253" s="227" t="n"/>
      <c r="E253" s="228" t="inlineStr">
        <is>
          <t>OBRAS COMPLEMENTARIAS</t>
        </is>
      </c>
      <c r="F253" s="229" t="n">
        <v>1</v>
      </c>
      <c r="G253" s="227" t="inlineStr">
        <is>
          <t>UND</t>
        </is>
      </c>
      <c r="H253" s="227" t="n"/>
      <c r="I253" s="227" t="n"/>
      <c r="J253" s="227" t="n"/>
      <c r="K253" s="230">
        <f>+SUBTOTAL(9,K254:K321)</f>
        <v/>
      </c>
      <c r="L253" s="230">
        <f>+SUBTOTAL(9,L254:L321)</f>
        <v/>
      </c>
      <c r="M253" s="230">
        <f>+SUBTOTAL(9,M254:M321)</f>
        <v/>
      </c>
      <c r="N253" s="230">
        <f>+SUBTOTAL(9,N254:N321)</f>
        <v/>
      </c>
      <c r="O253" s="1135">
        <f>+SUBTOTAL(9,O254:O321)</f>
        <v/>
      </c>
      <c r="P253" s="277" t="n"/>
    </row>
    <row r="254">
      <c r="A254" s="16" t="n"/>
      <c r="B254" s="1134">
        <f>VALUE(IF(AND(LEN(TRIM(C254))-LEN(SUBSTITUTE(TRIM(C254),".",""))=1,ISNUMBER(VALUE(SUBSTITUTE(TRIM(C254),".","")))),TRIM(C254),B253))</f>
        <v/>
      </c>
      <c r="C254" s="234" t="inlineStr">
        <is>
          <t>1.5.1</t>
        </is>
      </c>
      <c r="D254" s="235" t="n"/>
      <c r="E254" s="236" t="inlineStr">
        <is>
          <t xml:space="preserve">GRADAS EN CONCRETO </t>
        </is>
      </c>
      <c r="F254" s="237" t="n">
        <v>1</v>
      </c>
      <c r="G254" s="235" t="inlineStr">
        <is>
          <t>gb</t>
        </is>
      </c>
      <c r="H254" s="235" t="n"/>
      <c r="I254" s="235" t="n"/>
      <c r="J254" s="235" t="n"/>
      <c r="K254" s="238">
        <f>+SUBTOTAL(9,K255:K268)</f>
        <v/>
      </c>
      <c r="L254" s="238">
        <f>+SUBTOTAL(9,L255:L268)</f>
        <v/>
      </c>
      <c r="M254" s="238">
        <f>+SUBTOTAL(9,M255:M268)</f>
        <v/>
      </c>
      <c r="N254" s="238">
        <f>+SUBTOTAL(9,N255:N268)</f>
        <v/>
      </c>
      <c r="O254" s="1136">
        <f>+SUBTOTAL(9,O255:O268)</f>
        <v/>
      </c>
      <c r="P254" s="1137" t="n"/>
    </row>
    <row r="255">
      <c r="A255" s="16" t="n"/>
      <c r="B255" s="1134">
        <f>VALUE(IF(AND(LEN(TRIM(C255))-LEN(SUBSTITUTE(TRIM(C255),".",""))=1,ISNUMBER(VALUE(SUBSTITUTE(TRIM(C255),".","")))),TRIM(C255),B254))</f>
        <v/>
      </c>
      <c r="C255" s="274" t="inlineStr">
        <is>
          <t>M01-0147</t>
        </is>
      </c>
      <c r="D255" s="246" t="inlineStr">
        <is>
          <t>02</t>
        </is>
      </c>
      <c r="E255" s="252" t="inlineStr">
        <is>
          <t>VARILLA DEFORME #3</t>
        </is>
      </c>
      <c r="F255" s="308">
        <f>+'1_OG y 2_ACA'!D1090</f>
        <v/>
      </c>
      <c r="G255" s="257">
        <f>+_xlfn.XLOOKUP(C255,'BASE DATOS PRECIOS '!B:B,'BASE DATOS PRECIOS '!F:F)</f>
        <v/>
      </c>
      <c r="H255" s="256">
        <f>+_xlfn.XLOOKUP(E255,'BASE DATOS PRECIOS '!E:E,'BASE DATOS PRECIOS '!H:H)</f>
        <v/>
      </c>
      <c r="I255" s="257" t="n"/>
      <c r="J255" s="257" t="n"/>
      <c r="K255" s="256">
        <f>+F255*H255</f>
        <v/>
      </c>
      <c r="L255" s="256">
        <f>+F255*I255</f>
        <v/>
      </c>
      <c r="M255" s="256">
        <f>+F255*J255</f>
        <v/>
      </c>
      <c r="N255" s="256">
        <f>SUM(K255:M255)</f>
        <v/>
      </c>
      <c r="O255" s="258">
        <f>SUM(K255:M255)/tc</f>
        <v/>
      </c>
      <c r="P255" s="277" t="n"/>
    </row>
    <row r="256">
      <c r="A256" s="16" t="n"/>
      <c r="B256" s="1134">
        <f>VALUE(IF(AND(LEN(TRIM(C256))-LEN(SUBSTITUTE(TRIM(C256),".",""))=1,ISNUMBER(VALUE(SUBSTITUTE(TRIM(C256),".","")))),TRIM(C256),B255))</f>
        <v/>
      </c>
      <c r="C256" s="274" t="inlineStr">
        <is>
          <t>M01-0001</t>
        </is>
      </c>
      <c r="D256" s="275" t="n"/>
      <c r="E256" s="252">
        <f>+_xlfn.XLOOKUP(C256,'BASE DATOS PRECIOS '!B:B,'BASE DATOS PRECIOS '!E:E)</f>
        <v/>
      </c>
      <c r="F256" s="308">
        <f>+'1_OG y 2_ACA'!D1091</f>
        <v/>
      </c>
      <c r="G256" s="257">
        <f>+_xlfn.XLOOKUP(C256,'BASE DATOS PRECIOS '!B:B,'BASE DATOS PRECIOS '!F:F)</f>
        <v/>
      </c>
      <c r="H256" s="256">
        <f>+_xlfn.XLOOKUP(E256,'BASE DATOS PRECIOS '!E:E,'BASE DATOS PRECIOS '!H:H)</f>
        <v/>
      </c>
      <c r="I256" s="257" t="n"/>
      <c r="J256" s="257" t="n"/>
      <c r="K256" s="256">
        <f>+F256*H256</f>
        <v/>
      </c>
      <c r="L256" s="256">
        <f>+F256*I256</f>
        <v/>
      </c>
      <c r="M256" s="256">
        <f>+F256*J256</f>
        <v/>
      </c>
      <c r="N256" s="256">
        <f>SUM(K256:M256)</f>
        <v/>
      </c>
      <c r="O256" s="258">
        <f>SUM(K256:M256)/tc</f>
        <v/>
      </c>
      <c r="P256" s="277" t="n"/>
    </row>
    <row r="257">
      <c r="A257" s="16" t="n"/>
      <c r="B257" s="1134">
        <f>VALUE(IF(AND(LEN(TRIM(C257))-LEN(SUBSTITUTE(TRIM(C257),".",""))=1,ISNUMBER(VALUE(SUBSTITUTE(TRIM(C257),".","")))),TRIM(C257),B256))</f>
        <v/>
      </c>
      <c r="C257" s="274" t="inlineStr">
        <is>
          <t>M08-0051</t>
        </is>
      </c>
      <c r="D257" s="275" t="n"/>
      <c r="E257" s="252">
        <f>+_xlfn.XLOOKUP(C257,'BASE DATOS PRECIOS '!B:B,'BASE DATOS PRECIOS '!E:E)</f>
        <v/>
      </c>
      <c r="F257" s="308">
        <f>+'1_OG y 2_ACA'!D1092</f>
        <v/>
      </c>
      <c r="G257" s="257">
        <f>+_xlfn.XLOOKUP(C257,'BASE DATOS PRECIOS '!B:B,'BASE DATOS PRECIOS '!F:F)</f>
        <v/>
      </c>
      <c r="H257" s="256">
        <f>+_xlfn.XLOOKUP(E257,'BASE DATOS PRECIOS '!E:E,'BASE DATOS PRECIOS '!H:H)</f>
        <v/>
      </c>
      <c r="I257" s="257" t="n"/>
      <c r="J257" s="257" t="n"/>
      <c r="K257" s="256">
        <f>+F257*H257</f>
        <v/>
      </c>
      <c r="L257" s="256">
        <f>+F257*I257</f>
        <v/>
      </c>
      <c r="M257" s="256">
        <f>+F257*J257</f>
        <v/>
      </c>
      <c r="N257" s="256">
        <f>SUM(K257:M257)</f>
        <v/>
      </c>
      <c r="O257" s="258">
        <f>SUM(K257:M257)/tc</f>
        <v/>
      </c>
      <c r="P257" s="277" t="n"/>
    </row>
    <row r="258">
      <c r="A258" s="16" t="n"/>
      <c r="B258" s="1134">
        <f>VALUE(IF(AND(LEN(TRIM(C258))-LEN(SUBSTITUTE(TRIM(C258),".",""))=1,ISNUMBER(VALUE(SUBSTITUTE(TRIM(C258),".","")))),TRIM(C258),B257))</f>
        <v/>
      </c>
      <c r="C258" s="274" t="inlineStr">
        <is>
          <t>M08-0037</t>
        </is>
      </c>
      <c r="D258" s="275" t="n"/>
      <c r="E258" s="252">
        <f>+_xlfn.XLOOKUP(C258,'BASE DATOS PRECIOS '!B:B,'BASE DATOS PRECIOS '!E:E)</f>
        <v/>
      </c>
      <c r="F258" s="308">
        <f>+'1_OG y 2_ACA'!D1093</f>
        <v/>
      </c>
      <c r="G258" s="257">
        <f>+_xlfn.XLOOKUP(C258,'BASE DATOS PRECIOS '!B:B,'BASE DATOS PRECIOS '!F:F)</f>
        <v/>
      </c>
      <c r="H258" s="256">
        <f>+_xlfn.XLOOKUP(E258,'BASE DATOS PRECIOS '!E:E,'BASE DATOS PRECIOS '!H:H)</f>
        <v/>
      </c>
      <c r="I258" s="257" t="n"/>
      <c r="J258" s="257" t="n"/>
      <c r="K258" s="256">
        <f>+F258*H258</f>
        <v/>
      </c>
      <c r="L258" s="256">
        <f>+F258*I258</f>
        <v/>
      </c>
      <c r="M258" s="256">
        <f>+F258*J258</f>
        <v/>
      </c>
      <c r="N258" s="256">
        <f>SUM(K258:M258)</f>
        <v/>
      </c>
      <c r="O258" s="258">
        <f>SUM(K258:M258)/tc</f>
        <v/>
      </c>
      <c r="P258" s="277" t="n"/>
    </row>
    <row r="259">
      <c r="A259" s="16" t="n"/>
      <c r="B259" s="1134">
        <f>VALUE(IF(AND(LEN(TRIM(C259))-LEN(SUBSTITUTE(TRIM(C259),".",""))=1,ISNUMBER(VALUE(SUBSTITUTE(TRIM(C259),".","")))),TRIM(C259),B258))</f>
        <v/>
      </c>
      <c r="C259" s="274" t="inlineStr">
        <is>
          <t>M10-0065</t>
        </is>
      </c>
      <c r="D259" s="275" t="n"/>
      <c r="E259" s="252">
        <f>+_xlfn.XLOOKUP(C259,'BASE DATOS PRECIOS '!B:B,'BASE DATOS PRECIOS '!E:E)</f>
        <v/>
      </c>
      <c r="F259" s="308">
        <f>'1_OG y 2_ACA'!D1061</f>
        <v/>
      </c>
      <c r="G259" s="257">
        <f>+_xlfn.XLOOKUP(C259,'BASE DATOS PRECIOS '!B:B,'BASE DATOS PRECIOS '!F:F)</f>
        <v/>
      </c>
      <c r="H259" s="256">
        <f>+_xlfn.XLOOKUP(E259,'BASE DATOS PRECIOS '!E:E,'BASE DATOS PRECIOS '!H:H)</f>
        <v/>
      </c>
      <c r="I259" s="257" t="n"/>
      <c r="J259" s="257" t="n"/>
      <c r="K259" s="256">
        <f>+F259*H259</f>
        <v/>
      </c>
      <c r="L259" s="256">
        <f>+F259*I259</f>
        <v/>
      </c>
      <c r="M259" s="256">
        <f>+F259*J259</f>
        <v/>
      </c>
      <c r="N259" s="256">
        <f>SUM(K259:M259)</f>
        <v/>
      </c>
      <c r="O259" s="258">
        <f>SUM(K259:M259)/tc</f>
        <v/>
      </c>
      <c r="P259" s="277" t="n"/>
    </row>
    <row r="260">
      <c r="A260" s="16" t="n"/>
      <c r="B260" s="1134">
        <f>VALUE(IF(AND(LEN(TRIM(C260))-LEN(SUBSTITUTE(TRIM(C260),".",""))=1,ISNUMBER(VALUE(SUBSTITUTE(TRIM(C260),".","")))),TRIM(C260),B259))</f>
        <v/>
      </c>
      <c r="C260" s="259" t="inlineStr">
        <is>
          <t>BOMBA</t>
        </is>
      </c>
      <c r="D260" s="260" t="n"/>
      <c r="E260" s="261">
        <f>+_xlfn.XLOOKUP(C260,'BASE DATOS EQUIPOS Y SUBCONTRAT'!A:A,'BASE DATOS EQUIPOS Y SUBCONTRAT'!B:B)</f>
        <v/>
      </c>
      <c r="F260" s="262">
        <f>F259</f>
        <v/>
      </c>
      <c r="G260" s="263">
        <f>+_xlfn.XLOOKUP(C260,'BASE DATOS EQUIPOS Y SUBCONTRAT'!A:A,'BASE DATOS EQUIPOS Y SUBCONTRAT'!C:C)</f>
        <v/>
      </c>
      <c r="H260" s="264" t="n">
        <v>0</v>
      </c>
      <c r="I260" s="263" t="n"/>
      <c r="J260" s="264">
        <f>+_xlfn.XLOOKUP(C260,'BASE DATOS EQUIPOS Y SUBCONTRAT'!A:A,'BASE DATOS EQUIPOS Y SUBCONTRAT'!E:E)</f>
        <v/>
      </c>
      <c r="K260" s="264">
        <f>+F260*H260</f>
        <v/>
      </c>
      <c r="L260" s="264">
        <f>+F260*I260</f>
        <v/>
      </c>
      <c r="M260" s="264">
        <f>+F260*J260</f>
        <v/>
      </c>
      <c r="N260" s="264">
        <f>SUM(K260:M260)</f>
        <v/>
      </c>
      <c r="O260" s="265">
        <f>SUM(K260:M260)/tc</f>
        <v/>
      </c>
      <c r="V260" s="214">
        <f>+C345</f>
        <v/>
      </c>
      <c r="W260" s="214">
        <f>+E345</f>
        <v/>
      </c>
      <c r="X260" s="215">
        <f>+L345</f>
        <v/>
      </c>
      <c r="Y260" s="216">
        <f>+X260/$X$50</f>
        <v/>
      </c>
      <c r="Z260" s="215">
        <f>+X260/$Z$7</f>
        <v/>
      </c>
    </row>
    <row r="261">
      <c r="A261" s="266" t="inlineStr">
        <is>
          <t>Gradas Concreto</t>
        </is>
      </c>
      <c r="B261" s="1134">
        <f>VALUE(IF(AND(LEN(TRIM(C261))-LEN(SUBSTITUTE(TRIM(C261),".",""))=1,ISNUMBER(VALUE(SUBSTITUTE(TRIM(C261),".","")))),TRIM(C261),B260))</f>
        <v/>
      </c>
      <c r="C261" s="267" t="inlineStr">
        <is>
          <t xml:space="preserve">OPERARIO </t>
        </is>
      </c>
      <c r="D261" s="268" t="n"/>
      <c r="E261" s="269">
        <f>+_xlfn.XLOOKUP(C261,'BASE DATOS MANO DE OBRA'!A:A,'BASE DATOS MANO DE OBRA'!B:B)</f>
        <v/>
      </c>
      <c r="F261" s="270">
        <f>+ROUNDUP('1_OG y 2_ACA'!F1097,0)/2</f>
        <v/>
      </c>
      <c r="G261" s="271">
        <f>+_xlfn.XLOOKUP(C261,'BASE DATOS MANO DE OBRA'!A:A,'BASE DATOS MANO DE OBRA'!C:C)</f>
        <v/>
      </c>
      <c r="H261" s="272" t="n">
        <v>0</v>
      </c>
      <c r="I261" s="272">
        <f>+_xlfn.XLOOKUP(C261,'BASE DATOS MANO DE OBRA'!A:A,'BASE DATOS MANO DE OBRA'!E:E)</f>
        <v/>
      </c>
      <c r="J261" s="272" t="n">
        <v>0</v>
      </c>
      <c r="K261" s="272">
        <f>+F261*H261</f>
        <v/>
      </c>
      <c r="L261" s="272">
        <f>+F261*I261</f>
        <v/>
      </c>
      <c r="M261" s="272">
        <f>+F261*J261</f>
        <v/>
      </c>
      <c r="N261" s="272">
        <f>SUM(K261:M261)</f>
        <v/>
      </c>
      <c r="O261" s="273">
        <f>SUM(K261:M261)/tc</f>
        <v/>
      </c>
      <c r="P261" s="277" t="n"/>
    </row>
    <row r="262">
      <c r="A262" s="266" t="inlineStr">
        <is>
          <t>Gradas Concreto</t>
        </is>
      </c>
      <c r="B262" s="1134">
        <f>VALUE(IF(AND(LEN(TRIM(C262))-LEN(SUBSTITUTE(TRIM(C262),".",""))=1,ISNUMBER(VALUE(SUBSTITUTE(TRIM(C262),".","")))),TRIM(C262),B261))</f>
        <v/>
      </c>
      <c r="C262" s="267" t="inlineStr">
        <is>
          <t xml:space="preserve">AYUDANTE </t>
        </is>
      </c>
      <c r="D262" s="268" t="n"/>
      <c r="E262" s="269">
        <f>+_xlfn.XLOOKUP(C262,'BASE DATOS MANO DE OBRA'!A:A,'BASE DATOS MANO DE OBRA'!B:B)</f>
        <v/>
      </c>
      <c r="F262" s="270">
        <f>+F261</f>
        <v/>
      </c>
      <c r="G262" s="271">
        <f>+_xlfn.XLOOKUP(C262,'BASE DATOS MANO DE OBRA'!A:A,'BASE DATOS MANO DE OBRA'!C:C)</f>
        <v/>
      </c>
      <c r="H262" s="272" t="n">
        <v>0</v>
      </c>
      <c r="I262" s="272">
        <f>+_xlfn.XLOOKUP(C262,'BASE DATOS MANO DE OBRA'!A:A,'BASE DATOS MANO DE OBRA'!E:E)</f>
        <v/>
      </c>
      <c r="J262" s="272" t="n">
        <v>0</v>
      </c>
      <c r="K262" s="272">
        <f>+F262*H262</f>
        <v/>
      </c>
      <c r="L262" s="272">
        <f>+F262*I262</f>
        <v/>
      </c>
      <c r="M262" s="272">
        <f>+F262*J262</f>
        <v/>
      </c>
      <c r="N262" s="272">
        <f>SUM(K262:M262)</f>
        <v/>
      </c>
      <c r="O262" s="273">
        <f>SUM(K262:M262)/tc</f>
        <v/>
      </c>
      <c r="P262" s="277" t="n"/>
    </row>
    <row r="263">
      <c r="A263" s="266" t="inlineStr">
        <is>
          <t>Gradas Concreto</t>
        </is>
      </c>
      <c r="B263" s="1134">
        <f>VALUE(IF(AND(LEN(TRIM(C263))-LEN(SUBSTITUTE(TRIM(C263),".",""))=1,ISNUMBER(VALUE(SUBSTITUTE(TRIM(C263),".","")))),TRIM(C263),B262))</f>
        <v/>
      </c>
      <c r="C263" s="267" t="inlineStr">
        <is>
          <t xml:space="preserve">OPERARIO </t>
        </is>
      </c>
      <c r="D263" s="268" t="n"/>
      <c r="E263" s="269">
        <f>+_xlfn.XLOOKUP(C263,'BASE DATOS MANO DE OBRA'!A:A,'BASE DATOS MANO DE OBRA'!B:B)</f>
        <v/>
      </c>
      <c r="F263" s="270">
        <f>+ROUNDUP('1_OG y 2_ACA'!F1096,0)/2</f>
        <v/>
      </c>
      <c r="G263" s="271">
        <f>+_xlfn.XLOOKUP(C263,'BASE DATOS MANO DE OBRA'!A:A,'BASE DATOS MANO DE OBRA'!C:C)</f>
        <v/>
      </c>
      <c r="H263" s="272" t="n">
        <v>0</v>
      </c>
      <c r="I263" s="272">
        <f>+_xlfn.XLOOKUP(C263,'BASE DATOS MANO DE OBRA'!A:A,'BASE DATOS MANO DE OBRA'!E:E)</f>
        <v/>
      </c>
      <c r="J263" s="272" t="n">
        <v>0</v>
      </c>
      <c r="K263" s="272">
        <f>+F263*H263</f>
        <v/>
      </c>
      <c r="L263" s="272">
        <f>+F263*I263</f>
        <v/>
      </c>
      <c r="M263" s="272">
        <f>+F263*J263</f>
        <v/>
      </c>
      <c r="N263" s="272">
        <f>SUM(K263:M263)</f>
        <v/>
      </c>
      <c r="O263" s="273">
        <f>SUM(K263:M263)/tc</f>
        <v/>
      </c>
      <c r="P263" s="277" t="n"/>
    </row>
    <row r="264">
      <c r="A264" s="266" t="inlineStr">
        <is>
          <t>Gradas Concreto</t>
        </is>
      </c>
      <c r="B264" s="1134">
        <f>VALUE(IF(AND(LEN(TRIM(C264))-LEN(SUBSTITUTE(TRIM(C264),".",""))=1,ISNUMBER(VALUE(SUBSTITUTE(TRIM(C264),".","")))),TRIM(C264),B263))</f>
        <v/>
      </c>
      <c r="C264" s="267" t="inlineStr">
        <is>
          <t xml:space="preserve">AYUDANTE </t>
        </is>
      </c>
      <c r="D264" s="268" t="n"/>
      <c r="E264" s="269">
        <f>+_xlfn.XLOOKUP(C264,'BASE DATOS MANO DE OBRA'!A:A,'BASE DATOS MANO DE OBRA'!B:B)</f>
        <v/>
      </c>
      <c r="F264" s="270">
        <f>+F263</f>
        <v/>
      </c>
      <c r="G264" s="271">
        <f>+_xlfn.XLOOKUP(C264,'BASE DATOS MANO DE OBRA'!A:A,'BASE DATOS MANO DE OBRA'!C:C)</f>
        <v/>
      </c>
      <c r="H264" s="272" t="n">
        <v>0</v>
      </c>
      <c r="I264" s="272">
        <f>+_xlfn.XLOOKUP(C264,'BASE DATOS MANO DE OBRA'!A:A,'BASE DATOS MANO DE OBRA'!E:E)</f>
        <v/>
      </c>
      <c r="J264" s="272" t="n">
        <v>0</v>
      </c>
      <c r="K264" s="272">
        <f>+F264*H264</f>
        <v/>
      </c>
      <c r="L264" s="272">
        <f>+F264*I264</f>
        <v/>
      </c>
      <c r="M264" s="272">
        <f>+F264*J264</f>
        <v/>
      </c>
      <c r="N264" s="272">
        <f>SUM(K264:M264)</f>
        <v/>
      </c>
      <c r="O264" s="273">
        <f>SUM(K264:M264)/tc</f>
        <v/>
      </c>
      <c r="P264" s="277" t="n"/>
    </row>
    <row r="265">
      <c r="A265" s="266" t="inlineStr">
        <is>
          <t>Gradas Concreto</t>
        </is>
      </c>
      <c r="B265" s="1134">
        <f>VALUE(IF(AND(LEN(TRIM(C265))-LEN(SUBSTITUTE(TRIM(C265),".",""))=1,ISNUMBER(VALUE(SUBSTITUTE(TRIM(C265),".","")))),TRIM(C265),B264))</f>
        <v/>
      </c>
      <c r="C265" s="267" t="inlineStr">
        <is>
          <t xml:space="preserve">OPERARIO </t>
        </is>
      </c>
      <c r="D265" s="268" t="n"/>
      <c r="E265" s="269">
        <f>+_xlfn.XLOOKUP(C265,'BASE DATOS MANO DE OBRA'!A:A,'BASE DATOS MANO DE OBRA'!B:B)</f>
        <v/>
      </c>
      <c r="F265" s="270">
        <f>+ROUNDUP('1_OG y 2_ACA'!F1098,0)/2</f>
        <v/>
      </c>
      <c r="G265" s="271">
        <f>+_xlfn.XLOOKUP(C265,'BASE DATOS MANO DE OBRA'!A:A,'BASE DATOS MANO DE OBRA'!C:C)</f>
        <v/>
      </c>
      <c r="H265" s="272" t="n">
        <v>0</v>
      </c>
      <c r="I265" s="272">
        <f>+_xlfn.XLOOKUP(C265,'BASE DATOS MANO DE OBRA'!A:A,'BASE DATOS MANO DE OBRA'!E:E)</f>
        <v/>
      </c>
      <c r="J265" s="272" t="n">
        <v>0</v>
      </c>
      <c r="K265" s="272">
        <f>+F265*H265</f>
        <v/>
      </c>
      <c r="L265" s="272">
        <f>+F265*I265</f>
        <v/>
      </c>
      <c r="M265" s="272">
        <f>+F265*J265</f>
        <v/>
      </c>
      <c r="N265" s="272">
        <f>SUM(K265:M265)</f>
        <v/>
      </c>
      <c r="O265" s="273">
        <f>SUM(K265:M265)/tc</f>
        <v/>
      </c>
      <c r="P265" s="277" t="n"/>
    </row>
    <row r="266">
      <c r="A266" s="266" t="inlineStr">
        <is>
          <t>Gradas Concreto</t>
        </is>
      </c>
      <c r="B266" s="1134">
        <f>VALUE(IF(AND(LEN(TRIM(C266))-LEN(SUBSTITUTE(TRIM(C266),".",""))=1,ISNUMBER(VALUE(SUBSTITUTE(TRIM(C266),".","")))),TRIM(C266),B265))</f>
        <v/>
      </c>
      <c r="C266" s="267" t="inlineStr">
        <is>
          <t xml:space="preserve">AYUDANTE </t>
        </is>
      </c>
      <c r="D266" s="268" t="n"/>
      <c r="E266" s="269">
        <f>+_xlfn.XLOOKUP(C266,'BASE DATOS MANO DE OBRA'!A:A,'BASE DATOS MANO DE OBRA'!B:B)</f>
        <v/>
      </c>
      <c r="F266" s="270">
        <f>+F265</f>
        <v/>
      </c>
      <c r="G266" s="271">
        <f>+_xlfn.XLOOKUP(C266,'BASE DATOS MANO DE OBRA'!A:A,'BASE DATOS MANO DE OBRA'!C:C)</f>
        <v/>
      </c>
      <c r="H266" s="272" t="n">
        <v>0</v>
      </c>
      <c r="I266" s="272">
        <f>+_xlfn.XLOOKUP(C266,'BASE DATOS MANO DE OBRA'!A:A,'BASE DATOS MANO DE OBRA'!E:E)</f>
        <v/>
      </c>
      <c r="J266" s="272" t="n">
        <v>0</v>
      </c>
      <c r="K266" s="272">
        <f>+F266*H266</f>
        <v/>
      </c>
      <c r="L266" s="272">
        <f>+F266*I266</f>
        <v/>
      </c>
      <c r="M266" s="272">
        <f>+F266*J266</f>
        <v/>
      </c>
      <c r="N266" s="272">
        <f>SUM(K266:M266)</f>
        <v/>
      </c>
      <c r="O266" s="273">
        <f>SUM(K266:M266)/tc</f>
        <v/>
      </c>
      <c r="P266" s="277" t="n"/>
    </row>
    <row r="267">
      <c r="A267" s="266" t="inlineStr">
        <is>
          <t>Gradas Concreto</t>
        </is>
      </c>
      <c r="B267" s="1134">
        <f>VALUE(IF(AND(LEN(TRIM(C267))-LEN(SUBSTITUTE(TRIM(C267),".",""))=1,ISNUMBER(VALUE(SUBSTITUTE(TRIM(C267),".","")))),TRIM(C267),B266))</f>
        <v/>
      </c>
      <c r="C267" s="267" t="inlineStr">
        <is>
          <t xml:space="preserve">OPERARIO </t>
        </is>
      </c>
      <c r="D267" s="268" t="n"/>
      <c r="E267" s="269">
        <f>+_xlfn.XLOOKUP(C267,'BASE DATOS MANO DE OBRA'!A:A,'BASE DATOS MANO DE OBRA'!B:B)</f>
        <v/>
      </c>
      <c r="F267" s="270">
        <f>+ROUNDUP(('1_OG y 2_ACA'!F1100+'1_OG y 2_ACA'!F1099),0)/2</f>
        <v/>
      </c>
      <c r="G267" s="271">
        <f>+_xlfn.XLOOKUP(C267,'BASE DATOS MANO DE OBRA'!A:A,'BASE DATOS MANO DE OBRA'!C:C)</f>
        <v/>
      </c>
      <c r="H267" s="272" t="n">
        <v>0</v>
      </c>
      <c r="I267" s="272">
        <f>+_xlfn.XLOOKUP(C267,'BASE DATOS MANO DE OBRA'!A:A,'BASE DATOS MANO DE OBRA'!E:E)</f>
        <v/>
      </c>
      <c r="J267" s="272" t="n">
        <v>0</v>
      </c>
      <c r="K267" s="272">
        <f>+F267*H267</f>
        <v/>
      </c>
      <c r="L267" s="272">
        <f>+F267*I267</f>
        <v/>
      </c>
      <c r="M267" s="272">
        <f>+F267*J267</f>
        <v/>
      </c>
      <c r="N267" s="272">
        <f>SUM(K267:M267)</f>
        <v/>
      </c>
      <c r="O267" s="273">
        <f>SUM(K267:M267)/tc</f>
        <v/>
      </c>
      <c r="P267" s="277" t="n"/>
    </row>
    <row r="268">
      <c r="A268" s="266" t="inlineStr">
        <is>
          <t>Gradas Concreto</t>
        </is>
      </c>
      <c r="B268" s="1134">
        <f>VALUE(IF(AND(LEN(TRIM(C268))-LEN(SUBSTITUTE(TRIM(C268),".",""))=1,ISNUMBER(VALUE(SUBSTITUTE(TRIM(C268),".","")))),TRIM(C268),B267))</f>
        <v/>
      </c>
      <c r="C268" s="267" t="inlineStr">
        <is>
          <t xml:space="preserve">AYUDANTE </t>
        </is>
      </c>
      <c r="D268" s="268" t="n"/>
      <c r="E268" s="269">
        <f>+_xlfn.XLOOKUP(C268,'BASE DATOS MANO DE OBRA'!A:A,'BASE DATOS MANO DE OBRA'!B:B)</f>
        <v/>
      </c>
      <c r="F268" s="270">
        <f>+F267</f>
        <v/>
      </c>
      <c r="G268" s="271">
        <f>+_xlfn.XLOOKUP(C268,'BASE DATOS MANO DE OBRA'!A:A,'BASE DATOS MANO DE OBRA'!C:C)</f>
        <v/>
      </c>
      <c r="H268" s="272" t="n">
        <v>0</v>
      </c>
      <c r="I268" s="272">
        <f>+_xlfn.XLOOKUP(C268,'BASE DATOS MANO DE OBRA'!A:A,'BASE DATOS MANO DE OBRA'!E:E)</f>
        <v/>
      </c>
      <c r="J268" s="272" t="n">
        <v>0</v>
      </c>
      <c r="K268" s="272">
        <f>+F268*H268</f>
        <v/>
      </c>
      <c r="L268" s="272">
        <f>+F268*I268</f>
        <v/>
      </c>
      <c r="M268" s="272">
        <f>+F268*J268</f>
        <v/>
      </c>
      <c r="N268" s="272">
        <f>SUM(K268:M268)</f>
        <v/>
      </c>
      <c r="O268" s="273">
        <f>SUM(K268:M268)/tc</f>
        <v/>
      </c>
      <c r="P268" s="277" t="n"/>
    </row>
    <row r="269">
      <c r="A269" s="16" t="n"/>
      <c r="B269" s="1134">
        <f>VALUE(IF(AND(LEN(TRIM(C269))-LEN(SUBSTITUTE(TRIM(C269),".",""))=1,ISNUMBER(VALUE(SUBSTITUTE(TRIM(C269),".","")))),TRIM(C269),B268))</f>
        <v/>
      </c>
      <c r="C269" s="234" t="inlineStr">
        <is>
          <t>1.5.2</t>
        </is>
      </c>
      <c r="D269" s="235" t="n"/>
      <c r="E269" s="236" t="inlineStr">
        <is>
          <t>COLUMNAS (MEDIDOR)</t>
        </is>
      </c>
      <c r="F269" s="237" t="n">
        <v>1</v>
      </c>
      <c r="G269" s="235" t="inlineStr">
        <is>
          <t>gb</t>
        </is>
      </c>
      <c r="H269" s="235" t="n"/>
      <c r="I269" s="235" t="n"/>
      <c r="J269" s="235" t="n"/>
      <c r="K269" s="238">
        <f>+SUBTOTAL(9,K270:K281)</f>
        <v/>
      </c>
      <c r="L269" s="238">
        <f>+SUBTOTAL(9,L270:L281)</f>
        <v/>
      </c>
      <c r="M269" s="238">
        <f>+SUBTOTAL(9,M270:M281)</f>
        <v/>
      </c>
      <c r="N269" s="238">
        <f>+SUBTOTAL(9,N270:N281)</f>
        <v/>
      </c>
      <c r="O269" s="1136">
        <f>+SUBTOTAL(9,O270:O281)</f>
        <v/>
      </c>
      <c r="P269" s="1137" t="n"/>
    </row>
    <row r="270">
      <c r="A270" s="16" t="n"/>
      <c r="B270" s="1134">
        <f>VALUE(IF(AND(LEN(TRIM(C270))-LEN(SUBSTITUTE(TRIM(C270),".",""))=1,ISNUMBER(VALUE(SUBSTITUTE(TRIM(C270),".","")))),TRIM(C270),B269))</f>
        <v/>
      </c>
      <c r="C270" s="16" t="inlineStr">
        <is>
          <t>M01-0146</t>
        </is>
      </c>
      <c r="D270" s="292" t="n"/>
      <c r="E270" s="252">
        <f>+_xlfn.XLOOKUP(C270,'BASE DATOS PRECIOS '!B:B,'BASE DATOS PRECIOS '!E:E)</f>
        <v/>
      </c>
      <c r="F270" s="308">
        <f>+'1_OG y 2_ACA'!D1171</f>
        <v/>
      </c>
      <c r="G270" s="250">
        <f>+_xlfn.XLOOKUP(C270,'BASE DATOS PRECIOS '!B:B,'BASE DATOS PRECIOS '!F:F)</f>
        <v/>
      </c>
      <c r="H270" s="249">
        <f>+_xlfn.XLOOKUP(E270,'BASE DATOS PRECIOS '!E:E,'BASE DATOS PRECIOS '!H:H)</f>
        <v/>
      </c>
      <c r="I270" s="250" t="n"/>
      <c r="J270" s="250" t="n"/>
      <c r="K270" s="249">
        <f>+F270*H270</f>
        <v/>
      </c>
      <c r="L270" s="249">
        <f>+F270*I270</f>
        <v/>
      </c>
      <c r="M270" s="249">
        <f>+F270*J270</f>
        <v/>
      </c>
      <c r="N270" s="249">
        <f>SUM(K270:M270)</f>
        <v/>
      </c>
      <c r="O270" s="251">
        <f>SUM(K270:M270)/tc</f>
        <v/>
      </c>
      <c r="P270" s="277" t="n"/>
    </row>
    <row r="271">
      <c r="A271" s="16" t="n"/>
      <c r="B271" s="1134">
        <f>VALUE(IF(AND(LEN(TRIM(C271))-LEN(SUBSTITUTE(TRIM(C271),".",""))=1,ISNUMBER(VALUE(SUBSTITUTE(TRIM(C271),".","")))),TRIM(C271),B270))</f>
        <v/>
      </c>
      <c r="C271" s="274" t="inlineStr">
        <is>
          <t>M01-0147</t>
        </is>
      </c>
      <c r="D271" s="246" t="inlineStr">
        <is>
          <t>02</t>
        </is>
      </c>
      <c r="E271" s="252" t="inlineStr">
        <is>
          <t>VARILLA DEFORME #3</t>
        </is>
      </c>
      <c r="F271" s="308">
        <f>+'1_OG y 2_ACA'!D1172</f>
        <v/>
      </c>
      <c r="G271" s="257">
        <f>+_xlfn.XLOOKUP(C271,'BASE DATOS PRECIOS '!B:B,'BASE DATOS PRECIOS '!F:F)</f>
        <v/>
      </c>
      <c r="H271" s="256">
        <f>+_xlfn.XLOOKUP(E271,'BASE DATOS PRECIOS '!E:E,'BASE DATOS PRECIOS '!H:H)</f>
        <v/>
      </c>
      <c r="I271" s="257" t="n"/>
      <c r="J271" s="257" t="n"/>
      <c r="K271" s="256">
        <f>+F271*H271</f>
        <v/>
      </c>
      <c r="L271" s="256">
        <f>+F271*I271</f>
        <v/>
      </c>
      <c r="M271" s="256">
        <f>+F271*J271</f>
        <v/>
      </c>
      <c r="N271" s="256">
        <f>SUM(K271:M271)</f>
        <v/>
      </c>
      <c r="O271" s="258">
        <f>SUM(K271:M271)/tc</f>
        <v/>
      </c>
      <c r="P271" s="277" t="n"/>
    </row>
    <row r="272">
      <c r="A272" s="16" t="n"/>
      <c r="B272" s="1134">
        <f>VALUE(IF(AND(LEN(TRIM(C272))-LEN(SUBSTITUTE(TRIM(C272),".",""))=1,ISNUMBER(VALUE(SUBSTITUTE(TRIM(C272),".","")))),TRIM(C272),B271))</f>
        <v/>
      </c>
      <c r="C272" s="274" t="inlineStr">
        <is>
          <t>M01-0001</t>
        </is>
      </c>
      <c r="D272" s="275" t="n"/>
      <c r="E272" s="252">
        <f>+_xlfn.XLOOKUP(C272,'BASE DATOS PRECIOS '!B:B,'BASE DATOS PRECIOS '!E:E)</f>
        <v/>
      </c>
      <c r="F272" s="308">
        <f>+'1_OG y 2_ACA'!D1173</f>
        <v/>
      </c>
      <c r="G272" s="257">
        <f>+_xlfn.XLOOKUP(C272,'BASE DATOS PRECIOS '!B:B,'BASE DATOS PRECIOS '!F:F)</f>
        <v/>
      </c>
      <c r="H272" s="256">
        <f>+_xlfn.XLOOKUP(E272,'BASE DATOS PRECIOS '!E:E,'BASE DATOS PRECIOS '!H:H)</f>
        <v/>
      </c>
      <c r="I272" s="257" t="n"/>
      <c r="J272" s="257" t="n"/>
      <c r="K272" s="256">
        <f>+F272*H272</f>
        <v/>
      </c>
      <c r="L272" s="256">
        <f>+F272*I272</f>
        <v/>
      </c>
      <c r="M272" s="256">
        <f>+F272*J272</f>
        <v/>
      </c>
      <c r="N272" s="256">
        <f>SUM(K272:M272)</f>
        <v/>
      </c>
      <c r="O272" s="258">
        <f>SUM(K272:M272)/tc</f>
        <v/>
      </c>
      <c r="P272" s="277" t="n"/>
    </row>
    <row r="273">
      <c r="A273" s="16" t="n"/>
      <c r="B273" s="1134">
        <f>VALUE(IF(AND(LEN(TRIM(C273))-LEN(SUBSTITUTE(TRIM(C273),".",""))=1,ISNUMBER(VALUE(SUBSTITUTE(TRIM(C273),".","")))),TRIM(C273),B272))</f>
        <v/>
      </c>
      <c r="C273" s="274" t="inlineStr">
        <is>
          <t>M10-0065</t>
        </is>
      </c>
      <c r="D273" s="275" t="n"/>
      <c r="E273" s="252">
        <f>+_xlfn.XLOOKUP(C273,'BASE DATOS PRECIOS '!B:B,'BASE DATOS PRECIOS '!E:E)</f>
        <v/>
      </c>
      <c r="F273" s="308">
        <f>'1_OG y 2_ACA'!D1113+'1_OG y 2_ACA'!D1128+'1_OG y 2_ACA'!D1148</f>
        <v/>
      </c>
      <c r="G273" s="257">
        <f>+_xlfn.XLOOKUP(C273,'BASE DATOS PRECIOS '!B:B,'BASE DATOS PRECIOS '!F:F)</f>
        <v/>
      </c>
      <c r="H273" s="256">
        <f>+_xlfn.XLOOKUP(E273,'BASE DATOS PRECIOS '!E:E,'BASE DATOS PRECIOS '!H:H)</f>
        <v/>
      </c>
      <c r="I273" s="257" t="n"/>
      <c r="J273" s="257" t="n"/>
      <c r="K273" s="256">
        <f>+F273*H273</f>
        <v/>
      </c>
      <c r="L273" s="256">
        <f>+F273*I273</f>
        <v/>
      </c>
      <c r="M273" s="256">
        <f>+F273*J273</f>
        <v/>
      </c>
      <c r="N273" s="256">
        <f>SUM(K273:M273)</f>
        <v/>
      </c>
      <c r="O273" s="258">
        <f>SUM(K273:M273)/tc</f>
        <v/>
      </c>
      <c r="P273" s="277" t="n"/>
    </row>
    <row r="274">
      <c r="A274" s="316" t="inlineStr">
        <is>
          <t>Columnas</t>
        </is>
      </c>
      <c r="B274" s="1134">
        <f>VALUE(IF(AND(LEN(TRIM(C274))-LEN(SUBSTITUTE(TRIM(C274),".",""))=1,ISNUMBER(VALUE(SUBSTITUTE(TRIM(C274),".","")))),TRIM(C274),B273))</f>
        <v/>
      </c>
      <c r="C274" s="267" t="inlineStr">
        <is>
          <t xml:space="preserve">OPERARIO </t>
        </is>
      </c>
      <c r="D274" s="268" t="n"/>
      <c r="E274" s="269">
        <f>+_xlfn.XLOOKUP(C274,'BASE DATOS MANO DE OBRA'!A:A,'BASE DATOS MANO DE OBRA'!B:B)</f>
        <v/>
      </c>
      <c r="F274" s="270">
        <f>+ROUNDUP('1_OG y 2_ACA'!F1178,0)/2</f>
        <v/>
      </c>
      <c r="G274" s="271">
        <f>+_xlfn.XLOOKUP(C274,'BASE DATOS MANO DE OBRA'!A:A,'BASE DATOS MANO DE OBRA'!C:C)</f>
        <v/>
      </c>
      <c r="H274" s="272" t="n">
        <v>0</v>
      </c>
      <c r="I274" s="272">
        <f>+_xlfn.XLOOKUP(C274,'BASE DATOS MANO DE OBRA'!A:A,'BASE DATOS MANO DE OBRA'!E:E)</f>
        <v/>
      </c>
      <c r="J274" s="272" t="n">
        <v>0</v>
      </c>
      <c r="K274" s="272">
        <f>+F274*H274</f>
        <v/>
      </c>
      <c r="L274" s="272">
        <f>+F274*I274</f>
        <v/>
      </c>
      <c r="M274" s="272">
        <f>+F274*J274</f>
        <v/>
      </c>
      <c r="N274" s="272">
        <f>SUM(K274:M274)</f>
        <v/>
      </c>
      <c r="O274" s="273">
        <f>SUM(K274:M274)/tc</f>
        <v/>
      </c>
      <c r="P274" s="277" t="n"/>
    </row>
    <row r="275">
      <c r="A275" s="316" t="inlineStr">
        <is>
          <t>Columnas</t>
        </is>
      </c>
      <c r="B275" s="1134">
        <f>VALUE(IF(AND(LEN(TRIM(C275))-LEN(SUBSTITUTE(TRIM(C275),".",""))=1,ISNUMBER(VALUE(SUBSTITUTE(TRIM(C275),".","")))),TRIM(C275),B274))</f>
        <v/>
      </c>
      <c r="C275" s="267" t="inlineStr">
        <is>
          <t xml:space="preserve">AYUDANTE </t>
        </is>
      </c>
      <c r="D275" s="268" t="n"/>
      <c r="E275" s="269">
        <f>+_xlfn.XLOOKUP(C275,'BASE DATOS MANO DE OBRA'!A:A,'BASE DATOS MANO DE OBRA'!B:B)</f>
        <v/>
      </c>
      <c r="F275" s="270">
        <f>+F274</f>
        <v/>
      </c>
      <c r="G275" s="271">
        <f>+_xlfn.XLOOKUP(C275,'BASE DATOS MANO DE OBRA'!A:A,'BASE DATOS MANO DE OBRA'!C:C)</f>
        <v/>
      </c>
      <c r="H275" s="272" t="n">
        <v>0</v>
      </c>
      <c r="I275" s="272">
        <f>+_xlfn.XLOOKUP(C275,'BASE DATOS MANO DE OBRA'!A:A,'BASE DATOS MANO DE OBRA'!E:E)</f>
        <v/>
      </c>
      <c r="J275" s="272" t="n">
        <v>0</v>
      </c>
      <c r="K275" s="272">
        <f>+F275*H275</f>
        <v/>
      </c>
      <c r="L275" s="272">
        <f>+F275*I275</f>
        <v/>
      </c>
      <c r="M275" s="272">
        <f>+F275*J275</f>
        <v/>
      </c>
      <c r="N275" s="272">
        <f>SUM(K275:M275)</f>
        <v/>
      </c>
      <c r="O275" s="273">
        <f>SUM(K275:M275)/tc</f>
        <v/>
      </c>
      <c r="P275" s="277" t="n"/>
    </row>
    <row r="276">
      <c r="A276" s="316" t="inlineStr">
        <is>
          <t>Columnas</t>
        </is>
      </c>
      <c r="B276" s="1134">
        <f>VALUE(IF(AND(LEN(TRIM(C276))-LEN(SUBSTITUTE(TRIM(C276),".",""))=1,ISNUMBER(VALUE(SUBSTITUTE(TRIM(C276),".","")))),TRIM(C276),B275))</f>
        <v/>
      </c>
      <c r="C276" s="267" t="inlineStr">
        <is>
          <t xml:space="preserve">OPERARIO </t>
        </is>
      </c>
      <c r="D276" s="268" t="n"/>
      <c r="E276" s="269">
        <f>+_xlfn.XLOOKUP(C276,'BASE DATOS MANO DE OBRA'!A:A,'BASE DATOS MANO DE OBRA'!B:B)</f>
        <v/>
      </c>
      <c r="F276" s="270">
        <f>+ROUNDUP('1_OG y 2_ACA'!F1179,0)/2</f>
        <v/>
      </c>
      <c r="G276" s="271">
        <f>+_xlfn.XLOOKUP(C276,'BASE DATOS MANO DE OBRA'!A:A,'BASE DATOS MANO DE OBRA'!C:C)</f>
        <v/>
      </c>
      <c r="H276" s="272" t="n">
        <v>0</v>
      </c>
      <c r="I276" s="272">
        <f>+_xlfn.XLOOKUP(C276,'BASE DATOS MANO DE OBRA'!A:A,'BASE DATOS MANO DE OBRA'!E:E)</f>
        <v/>
      </c>
      <c r="J276" s="272" t="n">
        <v>0</v>
      </c>
      <c r="K276" s="272">
        <f>+F276*H276</f>
        <v/>
      </c>
      <c r="L276" s="272">
        <f>+F276*I276</f>
        <v/>
      </c>
      <c r="M276" s="272">
        <f>+F276*J276</f>
        <v/>
      </c>
      <c r="N276" s="272">
        <f>SUM(K276:M276)</f>
        <v/>
      </c>
      <c r="O276" s="273">
        <f>SUM(K276:M276)/tc</f>
        <v/>
      </c>
      <c r="P276" s="277" t="n"/>
    </row>
    <row r="277">
      <c r="A277" s="316" t="inlineStr">
        <is>
          <t>Columnas</t>
        </is>
      </c>
      <c r="B277" s="1134">
        <f>VALUE(IF(AND(LEN(TRIM(C277))-LEN(SUBSTITUTE(TRIM(C277),".",""))=1,ISNUMBER(VALUE(SUBSTITUTE(TRIM(C277),".","")))),TRIM(C277),B276))</f>
        <v/>
      </c>
      <c r="C277" s="267" t="inlineStr">
        <is>
          <t xml:space="preserve">AYUDANTE </t>
        </is>
      </c>
      <c r="D277" s="268" t="n"/>
      <c r="E277" s="269">
        <f>+_xlfn.XLOOKUP(C277,'BASE DATOS MANO DE OBRA'!A:A,'BASE DATOS MANO DE OBRA'!B:B)</f>
        <v/>
      </c>
      <c r="F277" s="270">
        <f>+F276</f>
        <v/>
      </c>
      <c r="G277" s="271">
        <f>+_xlfn.XLOOKUP(C277,'BASE DATOS MANO DE OBRA'!A:A,'BASE DATOS MANO DE OBRA'!C:C)</f>
        <v/>
      </c>
      <c r="H277" s="272" t="n">
        <v>0</v>
      </c>
      <c r="I277" s="272">
        <f>+_xlfn.XLOOKUP(C277,'BASE DATOS MANO DE OBRA'!A:A,'BASE DATOS MANO DE OBRA'!E:E)</f>
        <v/>
      </c>
      <c r="J277" s="272" t="n">
        <v>0</v>
      </c>
      <c r="K277" s="272">
        <f>+F277*H277</f>
        <v/>
      </c>
      <c r="L277" s="272">
        <f>+F277*I277</f>
        <v/>
      </c>
      <c r="M277" s="272">
        <f>+F277*J277</f>
        <v/>
      </c>
      <c r="N277" s="272">
        <f>SUM(K277:M277)</f>
        <v/>
      </c>
      <c r="O277" s="273">
        <f>SUM(K277:M277)/tc</f>
        <v/>
      </c>
      <c r="P277" s="277" t="n"/>
    </row>
    <row r="278">
      <c r="A278" s="316" t="inlineStr">
        <is>
          <t>Columnas</t>
        </is>
      </c>
      <c r="B278" s="1134">
        <f>VALUE(IF(AND(LEN(TRIM(C278))-LEN(SUBSTITUTE(TRIM(C278),".",""))=1,ISNUMBER(VALUE(SUBSTITUTE(TRIM(C278),".","")))),TRIM(C278),B277))</f>
        <v/>
      </c>
      <c r="C278" s="267" t="inlineStr">
        <is>
          <t xml:space="preserve">OPERARIO </t>
        </is>
      </c>
      <c r="D278" s="268" t="n"/>
      <c r="E278" s="269">
        <f>+_xlfn.XLOOKUP(C278,'BASE DATOS MANO DE OBRA'!A:A,'BASE DATOS MANO DE OBRA'!B:B)</f>
        <v/>
      </c>
      <c r="F278" s="270">
        <f>+ROUNDUP('1_OG y 2_ACA'!F1180,0)/2</f>
        <v/>
      </c>
      <c r="G278" s="271">
        <f>+_xlfn.XLOOKUP(C278,'BASE DATOS MANO DE OBRA'!A:A,'BASE DATOS MANO DE OBRA'!C:C)</f>
        <v/>
      </c>
      <c r="H278" s="272" t="n">
        <v>0</v>
      </c>
      <c r="I278" s="272">
        <f>+_xlfn.XLOOKUP(C278,'BASE DATOS MANO DE OBRA'!A:A,'BASE DATOS MANO DE OBRA'!E:E)</f>
        <v/>
      </c>
      <c r="J278" s="272" t="n">
        <v>0</v>
      </c>
      <c r="K278" s="272">
        <f>+F278*H278</f>
        <v/>
      </c>
      <c r="L278" s="272">
        <f>+F278*I278</f>
        <v/>
      </c>
      <c r="M278" s="272">
        <f>+F278*J278</f>
        <v/>
      </c>
      <c r="N278" s="272">
        <f>SUM(K278:M278)</f>
        <v/>
      </c>
      <c r="O278" s="273">
        <f>SUM(K278:M278)/tc</f>
        <v/>
      </c>
      <c r="P278" s="277" t="n"/>
    </row>
    <row r="279">
      <c r="A279" s="316" t="inlineStr">
        <is>
          <t>Columnas</t>
        </is>
      </c>
      <c r="B279" s="1134">
        <f>VALUE(IF(AND(LEN(TRIM(C279))-LEN(SUBSTITUTE(TRIM(C279),".",""))=1,ISNUMBER(VALUE(SUBSTITUTE(TRIM(C279),".","")))),TRIM(C279),B278))</f>
        <v/>
      </c>
      <c r="C279" s="267" t="inlineStr">
        <is>
          <t xml:space="preserve">AYUDANTE </t>
        </is>
      </c>
      <c r="D279" s="268" t="n"/>
      <c r="E279" s="269">
        <f>+_xlfn.XLOOKUP(C279,'BASE DATOS MANO DE OBRA'!A:A,'BASE DATOS MANO DE OBRA'!B:B)</f>
        <v/>
      </c>
      <c r="F279" s="270">
        <f>+F278</f>
        <v/>
      </c>
      <c r="G279" s="271">
        <f>+_xlfn.XLOOKUP(C279,'BASE DATOS MANO DE OBRA'!A:A,'BASE DATOS MANO DE OBRA'!C:C)</f>
        <v/>
      </c>
      <c r="H279" s="272" t="n">
        <v>0</v>
      </c>
      <c r="I279" s="272">
        <f>+_xlfn.XLOOKUP(C279,'BASE DATOS MANO DE OBRA'!A:A,'BASE DATOS MANO DE OBRA'!E:E)</f>
        <v/>
      </c>
      <c r="J279" s="272" t="n">
        <v>0</v>
      </c>
      <c r="K279" s="272">
        <f>+F279*H279</f>
        <v/>
      </c>
      <c r="L279" s="272">
        <f>+F279*I279</f>
        <v/>
      </c>
      <c r="M279" s="272">
        <f>+F279*J279</f>
        <v/>
      </c>
      <c r="N279" s="272">
        <f>SUM(K279:M279)</f>
        <v/>
      </c>
      <c r="O279" s="273">
        <f>SUM(K279:M279)/tc</f>
        <v/>
      </c>
      <c r="P279" s="277" t="n"/>
    </row>
    <row r="280">
      <c r="A280" s="316" t="inlineStr">
        <is>
          <t>Columnas</t>
        </is>
      </c>
      <c r="B280" s="1134">
        <f>VALUE(IF(AND(LEN(TRIM(C280))-LEN(SUBSTITUTE(TRIM(C280),".",""))=1,ISNUMBER(VALUE(SUBSTITUTE(TRIM(C280),".","")))),TRIM(C280),B279))</f>
        <v/>
      </c>
      <c r="C280" s="267" t="inlineStr">
        <is>
          <t xml:space="preserve">OPERARIO </t>
        </is>
      </c>
      <c r="D280" s="268" t="n"/>
      <c r="E280" s="269">
        <f>+_xlfn.XLOOKUP(C280,'BASE DATOS MANO DE OBRA'!A:A,'BASE DATOS MANO DE OBRA'!B:B)</f>
        <v/>
      </c>
      <c r="F280" s="270">
        <f>+ROUNDUP('1_OG y 2_ACA'!F1181,0)/2</f>
        <v/>
      </c>
      <c r="G280" s="271">
        <f>+_xlfn.XLOOKUP(C280,'BASE DATOS MANO DE OBRA'!A:A,'BASE DATOS MANO DE OBRA'!C:C)</f>
        <v/>
      </c>
      <c r="H280" s="272" t="n">
        <v>0</v>
      </c>
      <c r="I280" s="272">
        <f>+_xlfn.XLOOKUP(C280,'BASE DATOS MANO DE OBRA'!A:A,'BASE DATOS MANO DE OBRA'!E:E)</f>
        <v/>
      </c>
      <c r="J280" s="272" t="n">
        <v>0</v>
      </c>
      <c r="K280" s="272">
        <f>+F280*H280</f>
        <v/>
      </c>
      <c r="L280" s="272">
        <f>+F280*I280</f>
        <v/>
      </c>
      <c r="M280" s="272">
        <f>+F280*J280</f>
        <v/>
      </c>
      <c r="N280" s="272">
        <f>SUM(K280:M280)</f>
        <v/>
      </c>
      <c r="O280" s="273">
        <f>SUM(K280:M280)/tc</f>
        <v/>
      </c>
      <c r="P280" s="277" t="n"/>
    </row>
    <row r="281">
      <c r="A281" s="316" t="inlineStr">
        <is>
          <t>Columnas</t>
        </is>
      </c>
      <c r="B281" s="1134">
        <f>VALUE(IF(AND(LEN(TRIM(C281))-LEN(SUBSTITUTE(TRIM(C281),".",""))=1,ISNUMBER(VALUE(SUBSTITUTE(TRIM(C281),".","")))),TRIM(C281),B280))</f>
        <v/>
      </c>
      <c r="C281" s="267" t="inlineStr">
        <is>
          <t xml:space="preserve">AYUDANTE </t>
        </is>
      </c>
      <c r="D281" s="268" t="n"/>
      <c r="E281" s="269">
        <f>+_xlfn.XLOOKUP(C281,'BASE DATOS MANO DE OBRA'!A:A,'BASE DATOS MANO DE OBRA'!B:B)</f>
        <v/>
      </c>
      <c r="F281" s="270">
        <f>+F280</f>
        <v/>
      </c>
      <c r="G281" s="271">
        <f>+_xlfn.XLOOKUP(C281,'BASE DATOS MANO DE OBRA'!A:A,'BASE DATOS MANO DE OBRA'!C:C)</f>
        <v/>
      </c>
      <c r="H281" s="272" t="n">
        <v>0</v>
      </c>
      <c r="I281" s="272">
        <f>+_xlfn.XLOOKUP(C281,'BASE DATOS MANO DE OBRA'!A:A,'BASE DATOS MANO DE OBRA'!E:E)</f>
        <v/>
      </c>
      <c r="J281" s="272" t="n">
        <v>0</v>
      </c>
      <c r="K281" s="272">
        <f>+F281*H281</f>
        <v/>
      </c>
      <c r="L281" s="272">
        <f>+F281*I281</f>
        <v/>
      </c>
      <c r="M281" s="272">
        <f>+F281*J281</f>
        <v/>
      </c>
      <c r="N281" s="272">
        <f>SUM(K281:M281)</f>
        <v/>
      </c>
      <c r="O281" s="273">
        <f>SUM(K281:M281)/tc</f>
        <v/>
      </c>
      <c r="P281" s="277" t="n"/>
    </row>
    <row r="282">
      <c r="A282" s="16" t="n"/>
      <c r="B282" s="1134">
        <f>VALUE(IF(AND(LEN(TRIM(C282))-LEN(SUBSTITUTE(TRIM(C282),".",""))=1,ISNUMBER(VALUE(SUBSTITUTE(TRIM(C282),".","")))),TRIM(C282),B281))</f>
        <v/>
      </c>
      <c r="C282" s="234" t="inlineStr">
        <is>
          <t>1.5.3</t>
        </is>
      </c>
      <c r="D282" s="235" t="n"/>
      <c r="E282" s="236" t="inlineStr">
        <is>
          <t xml:space="preserve">CHORREA DE COCHERAS Y PILAS </t>
        </is>
      </c>
      <c r="F282" s="237">
        <f>+'1_OG y 2_ACA'!D13+'1_OG y 2_ACA'!D14</f>
        <v/>
      </c>
      <c r="G282" s="235" t="inlineStr">
        <is>
          <t>m2</t>
        </is>
      </c>
      <c r="H282" s="235" t="n"/>
      <c r="I282" s="235" t="n"/>
      <c r="J282" s="235" t="n"/>
      <c r="K282" s="238">
        <f>+SUBTOTAL(9,K283:K298)</f>
        <v/>
      </c>
      <c r="L282" s="238">
        <f>+SUBTOTAL(9,L283:L298)</f>
        <v/>
      </c>
      <c r="M282" s="238">
        <f>+SUBTOTAL(9,M283:M298)</f>
        <v/>
      </c>
      <c r="N282" s="238">
        <f>+SUBTOTAL(9,N283:N298)</f>
        <v/>
      </c>
      <c r="O282" s="1136">
        <f>+SUBTOTAL(9,O283:O298)</f>
        <v/>
      </c>
      <c r="P282" s="1137" t="n"/>
    </row>
    <row r="283">
      <c r="A283" s="16" t="n"/>
      <c r="B283" s="1134">
        <f>VALUE(IF(AND(LEN(TRIM(C283))-LEN(SUBSTITUTE(TRIM(C283),".",""))=1,ISNUMBER(VALUE(SUBSTITUTE(TRIM(C283),".","")))),TRIM(C283),B282))</f>
        <v/>
      </c>
      <c r="C283" s="274" t="inlineStr">
        <is>
          <t>M10-0023</t>
        </is>
      </c>
      <c r="D283" s="275" t="n"/>
      <c r="E283" s="252">
        <f>+_xlfn.XLOOKUP(C283,'BASE DATOS PRECIOS '!B:B,'BASE DATOS PRECIOS '!E:E)</f>
        <v/>
      </c>
      <c r="F283" s="308">
        <f>ROUNDUP('1_OG y 2_ACA'!D1197/0.5,0)*0.5</f>
        <v/>
      </c>
      <c r="G283" s="250">
        <f>+_xlfn.XLOOKUP(C283,'BASE DATOS PRECIOS '!B:B,'BASE DATOS PRECIOS '!F:F)</f>
        <v/>
      </c>
      <c r="H283" s="249">
        <f>+_xlfn.XLOOKUP(E283,'BASE DATOS PRECIOS '!E:E,'BASE DATOS PRECIOS '!H:H)</f>
        <v/>
      </c>
      <c r="I283" s="250" t="n"/>
      <c r="J283" s="250" t="n"/>
      <c r="K283" s="249">
        <f>+F283*H283</f>
        <v/>
      </c>
      <c r="L283" s="249">
        <f>+F283*I283</f>
        <v/>
      </c>
      <c r="M283" s="249">
        <f>+F283*J283</f>
        <v/>
      </c>
      <c r="N283" s="249">
        <f>SUM(K283:M283)</f>
        <v/>
      </c>
      <c r="O283" s="251">
        <f>SUM(K283:M283)/tc</f>
        <v/>
      </c>
      <c r="P283" s="277" t="n"/>
    </row>
    <row r="284">
      <c r="A284" s="16" t="n"/>
      <c r="B284" s="1134">
        <f>VALUE(IF(AND(LEN(TRIM(C284))-LEN(SUBSTITUTE(TRIM(C284),".",""))=1,ISNUMBER(VALUE(SUBSTITUTE(TRIM(C284),".","")))),TRIM(C284),B283))</f>
        <v/>
      </c>
      <c r="C284" s="274" t="inlineStr">
        <is>
          <t>M01-0145</t>
        </is>
      </c>
      <c r="D284" s="275" t="n"/>
      <c r="E284" s="252">
        <f>+_xlfn.XLOOKUP(C284,'BASE DATOS PRECIOS '!B:B,'BASE DATOS PRECIOS '!E:E)</f>
        <v/>
      </c>
      <c r="F284" s="308">
        <f>ROUNDUP('1_OG y 2_ACA'!D1219,0)</f>
        <v/>
      </c>
      <c r="G284" s="250">
        <f>+_xlfn.XLOOKUP(C284,'BASE DATOS PRECIOS '!B:B,'BASE DATOS PRECIOS '!F:F)</f>
        <v/>
      </c>
      <c r="H284" s="249">
        <f>+_xlfn.XLOOKUP(E284,'BASE DATOS PRECIOS '!E:E,'BASE DATOS PRECIOS '!H:H)</f>
        <v/>
      </c>
      <c r="I284" s="250" t="n"/>
      <c r="J284" s="250" t="n"/>
      <c r="K284" s="249">
        <f>+F284*H284</f>
        <v/>
      </c>
      <c r="L284" s="249">
        <f>+F284*I284</f>
        <v/>
      </c>
      <c r="M284" s="249">
        <f>+F284*J284</f>
        <v/>
      </c>
      <c r="N284" s="249">
        <f>SUM(K284:M284)</f>
        <v/>
      </c>
      <c r="O284" s="251">
        <f>SUM(K284:M284)/tc</f>
        <v/>
      </c>
      <c r="P284" s="277" t="n"/>
    </row>
    <row r="285">
      <c r="A285" s="16" t="n"/>
      <c r="B285" s="1134">
        <f>VALUE(IF(AND(LEN(TRIM(C285))-LEN(SUBSTITUTE(TRIM(C285),".",""))=1,ISNUMBER(VALUE(SUBSTITUTE(TRIM(C285),".","")))),TRIM(C285),B284))</f>
        <v/>
      </c>
      <c r="C285" s="274" t="inlineStr">
        <is>
          <t>M01-0001</t>
        </is>
      </c>
      <c r="D285" s="275" t="n"/>
      <c r="E285" s="252">
        <f>+_xlfn.XLOOKUP(C285,'BASE DATOS PRECIOS '!B:B,'BASE DATOS PRECIOS '!E:E)</f>
        <v/>
      </c>
      <c r="F285" s="308">
        <f>+'1_OG y 2_ACA'!D1220</f>
        <v/>
      </c>
      <c r="G285" s="250">
        <f>+_xlfn.XLOOKUP(C285,'BASE DATOS PRECIOS '!B:B,'BASE DATOS PRECIOS '!F:F)</f>
        <v/>
      </c>
      <c r="H285" s="249">
        <f>+_xlfn.XLOOKUP(E285,'BASE DATOS PRECIOS '!E:E,'BASE DATOS PRECIOS '!H:H)</f>
        <v/>
      </c>
      <c r="I285" s="250" t="n"/>
      <c r="J285" s="250" t="n"/>
      <c r="K285" s="249">
        <f>+F285*H285</f>
        <v/>
      </c>
      <c r="L285" s="249">
        <f>+F285*I285</f>
        <v/>
      </c>
      <c r="M285" s="249">
        <f>+F285*J285</f>
        <v/>
      </c>
      <c r="N285" s="249">
        <f>SUM(K285:M285)</f>
        <v/>
      </c>
      <c r="O285" s="251">
        <f>SUM(K285:M285)/tc</f>
        <v/>
      </c>
      <c r="P285" s="277" t="n"/>
    </row>
    <row r="286">
      <c r="A286" s="16" t="n"/>
      <c r="B286" s="1134">
        <f>VALUE(IF(AND(LEN(TRIM(C286))-LEN(SUBSTITUTE(TRIM(C286),".",""))=1,ISNUMBER(VALUE(SUBSTITUTE(TRIM(C286),".","")))),TRIM(C286),B285))</f>
        <v/>
      </c>
      <c r="C286" s="274" t="inlineStr">
        <is>
          <t>M06-0242</t>
        </is>
      </c>
      <c r="D286" s="275" t="n"/>
      <c r="E286" s="252">
        <f>+_xlfn.XLOOKUP(C286,'BASE DATOS PRECIOS '!B:B,'BASE DATOS PRECIOS '!E:E)</f>
        <v/>
      </c>
      <c r="F286" s="308">
        <f>+'1_OG y 2_ACA'!D1221</f>
        <v/>
      </c>
      <c r="G286" s="257">
        <f>+_xlfn.XLOOKUP(C286,'BASE DATOS PRECIOS '!B:B,'BASE DATOS PRECIOS '!F:F)</f>
        <v/>
      </c>
      <c r="H286" s="256">
        <f>+_xlfn.XLOOKUP(E286,'BASE DATOS PRECIOS '!E:E,'BASE DATOS PRECIOS '!H:H)</f>
        <v/>
      </c>
      <c r="I286" s="257" t="n"/>
      <c r="J286" s="257" t="n"/>
      <c r="K286" s="256">
        <f>+F286*H286</f>
        <v/>
      </c>
      <c r="L286" s="256">
        <f>+F286*I286</f>
        <v/>
      </c>
      <c r="M286" s="256">
        <f>+F286*J286</f>
        <v/>
      </c>
      <c r="N286" s="256">
        <f>SUM(K286:M286)</f>
        <v/>
      </c>
      <c r="O286" s="258">
        <f>SUM(K286:M286)/tc</f>
        <v/>
      </c>
      <c r="P286" s="277" t="n"/>
    </row>
    <row r="287">
      <c r="A287" s="16" t="n"/>
      <c r="B287" s="1134">
        <f>VALUE(IF(AND(LEN(TRIM(C287))-LEN(SUBSTITUTE(TRIM(C287),".",""))=1,ISNUMBER(VALUE(SUBSTITUTE(TRIM(C287),".","")))),TRIM(C287),B286))</f>
        <v/>
      </c>
      <c r="C287" s="274" t="inlineStr">
        <is>
          <t>M10-0021</t>
        </is>
      </c>
      <c r="D287" s="275" t="n"/>
      <c r="E287" s="252">
        <f>+_xlfn.XLOOKUP(C287,'BASE DATOS PRECIOS '!B:B,'BASE DATOS PRECIOS '!E:E)</f>
        <v/>
      </c>
      <c r="F287" s="308">
        <f>+'1_OG y 2_ACA'!D1222</f>
        <v/>
      </c>
      <c r="G287" s="250">
        <f>+_xlfn.XLOOKUP(C287,'BASE DATOS PRECIOS '!B:B,'BASE DATOS PRECIOS '!F:F)</f>
        <v/>
      </c>
      <c r="H287" s="249">
        <f>+_xlfn.XLOOKUP(E287,'BASE DATOS PRECIOS '!E:E,'BASE DATOS PRECIOS '!H:H)</f>
        <v/>
      </c>
      <c r="I287" s="250" t="n"/>
      <c r="J287" s="250" t="n"/>
      <c r="K287" s="248">
        <f>+F287*H287</f>
        <v/>
      </c>
      <c r="L287" s="248">
        <f>+F287*I287</f>
        <v/>
      </c>
      <c r="M287" s="248">
        <f>+F287*J287</f>
        <v/>
      </c>
      <c r="N287" s="248">
        <f>SUM(K287:M287)</f>
        <v/>
      </c>
      <c r="O287" s="251">
        <f>SUM(K287:M287)/tc</f>
        <v/>
      </c>
      <c r="P287" s="277" t="n"/>
    </row>
    <row r="288">
      <c r="A288" s="16" t="n"/>
      <c r="B288" s="1134">
        <f>VALUE(IF(AND(LEN(TRIM(C288))-LEN(SUBSTITUTE(TRIM(C288),".",""))=1,ISNUMBER(VALUE(SUBSTITUTE(TRIM(C288),".","")))),TRIM(C288),B287))</f>
        <v/>
      </c>
      <c r="C288" s="301" t="inlineStr">
        <is>
          <t>M11-0111</t>
        </is>
      </c>
      <c r="D288" s="302" t="n"/>
      <c r="E288" s="252">
        <f>+_xlfn.XLOOKUP(C288,'BASE DATOS PRECIOS '!B:B,'BASE DATOS PRECIOS '!E:E)</f>
        <v/>
      </c>
      <c r="F288" s="308">
        <f>+'1_OG y 2_ACA'!D1223</f>
        <v/>
      </c>
      <c r="G288" s="250">
        <f>+_xlfn.XLOOKUP(C288,'BASE DATOS PRECIOS '!B:B,'BASE DATOS PRECIOS '!F:F)</f>
        <v/>
      </c>
      <c r="H288" s="249">
        <f>+_xlfn.XLOOKUP(E288,'BASE DATOS PRECIOS '!E:E,'BASE DATOS PRECIOS '!H:H)</f>
        <v/>
      </c>
      <c r="I288" s="250" t="n"/>
      <c r="J288" s="250" t="n"/>
      <c r="K288" s="248">
        <f>+F288*H288</f>
        <v/>
      </c>
      <c r="L288" s="248">
        <f>+F288*I288</f>
        <v/>
      </c>
      <c r="M288" s="248">
        <f>+F288*J288</f>
        <v/>
      </c>
      <c r="N288" s="248">
        <f>SUM(K288:M288)</f>
        <v/>
      </c>
      <c r="O288" s="251">
        <f>SUM(K288:M288)/tc</f>
        <v/>
      </c>
      <c r="P288" s="277" t="n"/>
    </row>
    <row r="289">
      <c r="A289" s="16" t="n"/>
      <c r="B289" s="1134">
        <f>VALUE(IF(AND(LEN(TRIM(C289))-LEN(SUBSTITUTE(TRIM(C289),".",""))=1,ISNUMBER(VALUE(SUBSTITUTE(TRIM(C289),".","")))),TRIM(C289),B288))</f>
        <v/>
      </c>
      <c r="C289" s="274" t="inlineStr">
        <is>
          <t>M10-0065</t>
        </is>
      </c>
      <c r="D289" s="275" t="n"/>
      <c r="E289" s="252">
        <f>+_xlfn.XLOOKUP(C289,'BASE DATOS PRECIOS '!B:B,'BASE DATOS PRECIOS '!E:E)</f>
        <v/>
      </c>
      <c r="F289" s="308">
        <f>'1_OG y 2_ACA'!D1203</f>
        <v/>
      </c>
      <c r="G289" s="257">
        <f>+_xlfn.XLOOKUP(C289,'BASE DATOS PRECIOS '!B:B,'BASE DATOS PRECIOS '!F:F)</f>
        <v/>
      </c>
      <c r="H289" s="256">
        <f>+_xlfn.XLOOKUP(E289,'BASE DATOS PRECIOS '!E:E,'BASE DATOS PRECIOS '!H:H)</f>
        <v/>
      </c>
      <c r="I289" s="257" t="n"/>
      <c r="J289" s="257" t="n"/>
      <c r="K289" s="256">
        <f>+F289*H289</f>
        <v/>
      </c>
      <c r="L289" s="256">
        <f>+F289*I289</f>
        <v/>
      </c>
      <c r="M289" s="256">
        <f>+F289*J289</f>
        <v/>
      </c>
      <c r="N289" s="256">
        <f>SUM(K289:M289)</f>
        <v/>
      </c>
      <c r="O289" s="258">
        <f>SUM(K289:M289)/tc</f>
        <v/>
      </c>
      <c r="P289" s="277" t="n"/>
    </row>
    <row r="290">
      <c r="A290" s="16" t="n"/>
      <c r="B290" s="1134">
        <f>VALUE(IF(AND(LEN(TRIM(C290))-LEN(SUBSTITUTE(TRIM(C290),".",""))=1,ISNUMBER(VALUE(SUBSTITUTE(TRIM(C290),".","")))),TRIM(C290),B288))</f>
        <v/>
      </c>
      <c r="C290" s="259" t="inlineStr">
        <is>
          <t xml:space="preserve">BACK HOE </t>
        </is>
      </c>
      <c r="D290" s="260" t="n"/>
      <c r="E290" s="261">
        <f>+_xlfn.XLOOKUP(C290,'BASE DATOS EQUIPOS Y SUBCONTRAT'!A:A,'BASE DATOS EQUIPOS Y SUBCONTRAT'!B:B)</f>
        <v/>
      </c>
      <c r="F290" s="262">
        <f>+'1_OG y 2_ACA'!F1233</f>
        <v/>
      </c>
      <c r="G290" s="263">
        <f>+_xlfn.XLOOKUP(C290,'BASE DATOS EQUIPOS Y SUBCONTRAT'!A:A,'BASE DATOS EQUIPOS Y SUBCONTRAT'!C:C)</f>
        <v/>
      </c>
      <c r="H290" s="264" t="n">
        <v>0</v>
      </c>
      <c r="I290" s="263" t="n"/>
      <c r="J290" s="264">
        <f>+_xlfn.XLOOKUP(C290,'BASE DATOS EQUIPOS Y SUBCONTRAT'!A:A,'BASE DATOS EQUIPOS Y SUBCONTRAT'!E:E)</f>
        <v/>
      </c>
      <c r="K290" s="264">
        <f>+F290*H290</f>
        <v/>
      </c>
      <c r="L290" s="264">
        <f>+F290*I290</f>
        <v/>
      </c>
      <c r="M290" s="264">
        <f>+F290*J290</f>
        <v/>
      </c>
      <c r="N290" s="264">
        <f>SUM(K290:M290)</f>
        <v/>
      </c>
      <c r="O290" s="265">
        <f>SUM(K290:M290)/tc</f>
        <v/>
      </c>
      <c r="P290" s="277" t="n"/>
    </row>
    <row r="291">
      <c r="A291" s="316" t="inlineStr">
        <is>
          <t>Losas Cochera y Terrazas</t>
        </is>
      </c>
      <c r="B291" s="1134">
        <f>VALUE(IF(AND(LEN(TRIM(C291))-LEN(SUBSTITUTE(TRIM(C291),".",""))=1,ISNUMBER(VALUE(SUBSTITUTE(TRIM(C291),".","")))),TRIM(C291),B289))</f>
        <v/>
      </c>
      <c r="C291" s="267" t="inlineStr">
        <is>
          <t xml:space="preserve">OPERARIO </t>
        </is>
      </c>
      <c r="D291" s="268" t="n"/>
      <c r="E291" s="269">
        <f>+_xlfn.XLOOKUP(C291,'BASE DATOS MANO DE OBRA'!A:A,'BASE DATOS MANO DE OBRA'!B:B)</f>
        <v/>
      </c>
      <c r="F291" s="270">
        <f>+ROUNDUP('1_OG y 2_ACA'!F1226,0)/2</f>
        <v/>
      </c>
      <c r="G291" s="271">
        <f>+_xlfn.XLOOKUP(C291,'BASE DATOS MANO DE OBRA'!A:A,'BASE DATOS MANO DE OBRA'!C:C)</f>
        <v/>
      </c>
      <c r="H291" s="272" t="n">
        <v>0</v>
      </c>
      <c r="I291" s="272">
        <f>+_xlfn.XLOOKUP(C291,'BASE DATOS MANO DE OBRA'!A:A,'BASE DATOS MANO DE OBRA'!E:E)</f>
        <v/>
      </c>
      <c r="J291" s="272" t="n">
        <v>0</v>
      </c>
      <c r="K291" s="272">
        <f>+F291*H291</f>
        <v/>
      </c>
      <c r="L291" s="272">
        <f>+F291*I291</f>
        <v/>
      </c>
      <c r="M291" s="272">
        <f>+F291*J291</f>
        <v/>
      </c>
      <c r="N291" s="272">
        <f>SUM(K291:M291)</f>
        <v/>
      </c>
      <c r="O291" s="273">
        <f>SUM(K291:M291)/tc</f>
        <v/>
      </c>
      <c r="P291" s="277" t="n"/>
    </row>
    <row r="292">
      <c r="A292" s="316" t="inlineStr">
        <is>
          <t>Losas Cochera y Terrazas</t>
        </is>
      </c>
      <c r="B292" s="1134">
        <f>VALUE(IF(AND(LEN(TRIM(C292))-LEN(SUBSTITUTE(TRIM(C292),".",""))=1,ISNUMBER(VALUE(SUBSTITUTE(TRIM(C292),".","")))),TRIM(C292),B291))</f>
        <v/>
      </c>
      <c r="C292" s="267" t="inlineStr">
        <is>
          <t xml:space="preserve">AYUDANTE </t>
        </is>
      </c>
      <c r="D292" s="268" t="n"/>
      <c r="E292" s="269">
        <f>+_xlfn.XLOOKUP(C292,'BASE DATOS MANO DE OBRA'!A:A,'BASE DATOS MANO DE OBRA'!B:B)</f>
        <v/>
      </c>
      <c r="F292" s="270">
        <f>+F291</f>
        <v/>
      </c>
      <c r="G292" s="271">
        <f>+_xlfn.XLOOKUP(C292,'BASE DATOS MANO DE OBRA'!A:A,'BASE DATOS MANO DE OBRA'!C:C)</f>
        <v/>
      </c>
      <c r="H292" s="272" t="n">
        <v>0</v>
      </c>
      <c r="I292" s="272">
        <f>+_xlfn.XLOOKUP(C292,'BASE DATOS MANO DE OBRA'!A:A,'BASE DATOS MANO DE OBRA'!E:E)</f>
        <v/>
      </c>
      <c r="J292" s="272" t="n">
        <v>0</v>
      </c>
      <c r="K292" s="272">
        <f>+F292*H292</f>
        <v/>
      </c>
      <c r="L292" s="272">
        <f>+F292*I292</f>
        <v/>
      </c>
      <c r="M292" s="272">
        <f>+F292*J292</f>
        <v/>
      </c>
      <c r="N292" s="272">
        <f>SUM(K292:M292)</f>
        <v/>
      </c>
      <c r="O292" s="273">
        <f>SUM(K292:M292)/tc</f>
        <v/>
      </c>
      <c r="P292" s="277" t="n"/>
    </row>
    <row r="293">
      <c r="A293" s="316" t="inlineStr">
        <is>
          <t>Losas Cochera y Terrazas</t>
        </is>
      </c>
      <c r="B293" s="1134">
        <f>VALUE(IF(AND(LEN(TRIM(C293))-LEN(SUBSTITUTE(TRIM(C293),".",""))=1,ISNUMBER(VALUE(SUBSTITUTE(TRIM(C293),".","")))),TRIM(C293),B292))</f>
        <v/>
      </c>
      <c r="C293" s="267" t="inlineStr">
        <is>
          <t xml:space="preserve">OPERARIO </t>
        </is>
      </c>
      <c r="D293" s="268" t="n"/>
      <c r="E293" s="269">
        <f>+_xlfn.XLOOKUP(C293,'BASE DATOS MANO DE OBRA'!A:A,'BASE DATOS MANO DE OBRA'!B:B)</f>
        <v/>
      </c>
      <c r="F293" s="270">
        <f>+ROUNDUP('1_OG y 2_ACA'!F1227,0)/2</f>
        <v/>
      </c>
      <c r="G293" s="271">
        <f>+_xlfn.XLOOKUP(C293,'BASE DATOS MANO DE OBRA'!A:A,'BASE DATOS MANO DE OBRA'!C:C)</f>
        <v/>
      </c>
      <c r="H293" s="272" t="n">
        <v>0</v>
      </c>
      <c r="I293" s="272">
        <f>+_xlfn.XLOOKUP(C293,'BASE DATOS MANO DE OBRA'!A:A,'BASE DATOS MANO DE OBRA'!E:E)</f>
        <v/>
      </c>
      <c r="J293" s="272" t="n">
        <v>0</v>
      </c>
      <c r="K293" s="272">
        <f>+F293*H293</f>
        <v/>
      </c>
      <c r="L293" s="272">
        <f>+F293*I293</f>
        <v/>
      </c>
      <c r="M293" s="272">
        <f>+F293*J293</f>
        <v/>
      </c>
      <c r="N293" s="272">
        <f>SUM(K293:M293)</f>
        <v/>
      </c>
      <c r="O293" s="273">
        <f>SUM(K293:M293)/tc</f>
        <v/>
      </c>
      <c r="P293" s="277" t="n"/>
    </row>
    <row r="294">
      <c r="A294" s="316" t="inlineStr">
        <is>
          <t>Losas Cochera y Terrazas</t>
        </is>
      </c>
      <c r="B294" s="1134">
        <f>VALUE(IF(AND(LEN(TRIM(C294))-LEN(SUBSTITUTE(TRIM(C294),".",""))=1,ISNUMBER(VALUE(SUBSTITUTE(TRIM(C294),".","")))),TRIM(C294),B293))</f>
        <v/>
      </c>
      <c r="C294" s="267" t="inlineStr">
        <is>
          <t xml:space="preserve">AYUDANTE </t>
        </is>
      </c>
      <c r="D294" s="268" t="n"/>
      <c r="E294" s="269">
        <f>+_xlfn.XLOOKUP(C294,'BASE DATOS MANO DE OBRA'!A:A,'BASE DATOS MANO DE OBRA'!B:B)</f>
        <v/>
      </c>
      <c r="F294" s="270">
        <f>+F293</f>
        <v/>
      </c>
      <c r="G294" s="271">
        <f>+_xlfn.XLOOKUP(C294,'BASE DATOS MANO DE OBRA'!A:A,'BASE DATOS MANO DE OBRA'!C:C)</f>
        <v/>
      </c>
      <c r="H294" s="272" t="n">
        <v>0</v>
      </c>
      <c r="I294" s="272">
        <f>+_xlfn.XLOOKUP(C294,'BASE DATOS MANO DE OBRA'!A:A,'BASE DATOS MANO DE OBRA'!E:E)</f>
        <v/>
      </c>
      <c r="J294" s="272" t="n">
        <v>0</v>
      </c>
      <c r="K294" s="272">
        <f>+F294*H294</f>
        <v/>
      </c>
      <c r="L294" s="272">
        <f>+F294*I294</f>
        <v/>
      </c>
      <c r="M294" s="272">
        <f>+F294*J294</f>
        <v/>
      </c>
      <c r="N294" s="272">
        <f>SUM(K294:M294)</f>
        <v/>
      </c>
      <c r="O294" s="273">
        <f>SUM(K294:M294)/tc</f>
        <v/>
      </c>
      <c r="P294" s="277" t="n"/>
    </row>
    <row r="295">
      <c r="A295" s="316" t="inlineStr">
        <is>
          <t>Losas Cochera y Terrazas</t>
        </is>
      </c>
      <c r="B295" s="1134">
        <f>VALUE(IF(AND(LEN(TRIM(C295))-LEN(SUBSTITUTE(TRIM(C295),".",""))=1,ISNUMBER(VALUE(SUBSTITUTE(TRIM(C295),".","")))),TRIM(C295),B294))</f>
        <v/>
      </c>
      <c r="C295" s="267" t="inlineStr">
        <is>
          <t xml:space="preserve">OPERARIO </t>
        </is>
      </c>
      <c r="D295" s="268" t="n"/>
      <c r="E295" s="269">
        <f>+_xlfn.XLOOKUP(C295,'BASE DATOS MANO DE OBRA'!A:A,'BASE DATOS MANO DE OBRA'!B:B)</f>
        <v/>
      </c>
      <c r="F295" s="270">
        <f>+ROUNDUP('1_OG y 2_ACA'!F1228,0)/2</f>
        <v/>
      </c>
      <c r="G295" s="271">
        <f>+_xlfn.XLOOKUP(C295,'BASE DATOS MANO DE OBRA'!A:A,'BASE DATOS MANO DE OBRA'!C:C)</f>
        <v/>
      </c>
      <c r="H295" s="272" t="n">
        <v>0</v>
      </c>
      <c r="I295" s="272">
        <f>+_xlfn.XLOOKUP(C295,'BASE DATOS MANO DE OBRA'!A:A,'BASE DATOS MANO DE OBRA'!E:E)</f>
        <v/>
      </c>
      <c r="J295" s="272" t="n">
        <v>0</v>
      </c>
      <c r="K295" s="272">
        <f>+F295*H295</f>
        <v/>
      </c>
      <c r="L295" s="272">
        <f>+F295*I295</f>
        <v/>
      </c>
      <c r="M295" s="272">
        <f>+F295*J295</f>
        <v/>
      </c>
      <c r="N295" s="272">
        <f>SUM(K295:M295)</f>
        <v/>
      </c>
      <c r="O295" s="273">
        <f>SUM(K295:M295)/tc</f>
        <v/>
      </c>
      <c r="P295" s="277" t="n"/>
    </row>
    <row r="296">
      <c r="A296" s="316" t="inlineStr">
        <is>
          <t>Losas Cochera y Terrazas</t>
        </is>
      </c>
      <c r="B296" s="1134">
        <f>VALUE(IF(AND(LEN(TRIM(C296))-LEN(SUBSTITUTE(TRIM(C296),".",""))=1,ISNUMBER(VALUE(SUBSTITUTE(TRIM(C296),".","")))),TRIM(C296),B295))</f>
        <v/>
      </c>
      <c r="C296" s="267" t="inlineStr">
        <is>
          <t xml:space="preserve">AYUDANTE </t>
        </is>
      </c>
      <c r="D296" s="268" t="n"/>
      <c r="E296" s="269">
        <f>+_xlfn.XLOOKUP(C296,'BASE DATOS MANO DE OBRA'!A:A,'BASE DATOS MANO DE OBRA'!B:B)</f>
        <v/>
      </c>
      <c r="F296" s="270">
        <f>+F295</f>
        <v/>
      </c>
      <c r="G296" s="271">
        <f>+_xlfn.XLOOKUP(C296,'BASE DATOS MANO DE OBRA'!A:A,'BASE DATOS MANO DE OBRA'!C:C)</f>
        <v/>
      </c>
      <c r="H296" s="272" t="n">
        <v>0</v>
      </c>
      <c r="I296" s="272">
        <f>+_xlfn.XLOOKUP(C296,'BASE DATOS MANO DE OBRA'!A:A,'BASE DATOS MANO DE OBRA'!E:E)</f>
        <v/>
      </c>
      <c r="J296" s="272" t="n">
        <v>0</v>
      </c>
      <c r="K296" s="272">
        <f>+F296*H296</f>
        <v/>
      </c>
      <c r="L296" s="272">
        <f>+F296*I296</f>
        <v/>
      </c>
      <c r="M296" s="272">
        <f>+F296*J296</f>
        <v/>
      </c>
      <c r="N296" s="272">
        <f>SUM(K296:M296)</f>
        <v/>
      </c>
      <c r="O296" s="273">
        <f>SUM(K296:M296)/tc</f>
        <v/>
      </c>
      <c r="P296" s="277" t="n"/>
    </row>
    <row r="297">
      <c r="A297" s="316" t="inlineStr">
        <is>
          <t>Losas Cochera y Terrazas</t>
        </is>
      </c>
      <c r="B297" s="1134">
        <f>VALUE(IF(AND(LEN(TRIM(C297))-LEN(SUBSTITUTE(TRIM(C297),".",""))=1,ISNUMBER(VALUE(SUBSTITUTE(TRIM(C297),".","")))),TRIM(C297),B296))</f>
        <v/>
      </c>
      <c r="C297" s="267" t="inlineStr">
        <is>
          <t xml:space="preserve">OPERARIO </t>
        </is>
      </c>
      <c r="D297" s="268" t="n"/>
      <c r="E297" s="269">
        <f>+_xlfn.XLOOKUP(C297,'BASE DATOS MANO DE OBRA'!A:A,'BASE DATOS MANO DE OBRA'!B:B)</f>
        <v/>
      </c>
      <c r="F297" s="270">
        <f>+ROUNDUP('1_OG y 2_ACA'!F1229,0)/2</f>
        <v/>
      </c>
      <c r="G297" s="271">
        <f>+_xlfn.XLOOKUP(C297,'BASE DATOS MANO DE OBRA'!A:A,'BASE DATOS MANO DE OBRA'!C:C)</f>
        <v/>
      </c>
      <c r="H297" s="272" t="n">
        <v>0</v>
      </c>
      <c r="I297" s="272">
        <f>+_xlfn.XLOOKUP(C297,'BASE DATOS MANO DE OBRA'!A:A,'BASE DATOS MANO DE OBRA'!E:E)</f>
        <v/>
      </c>
      <c r="J297" s="272" t="n">
        <v>0</v>
      </c>
      <c r="K297" s="272">
        <f>+F297*H297</f>
        <v/>
      </c>
      <c r="L297" s="272">
        <f>+F297*I297</f>
        <v/>
      </c>
      <c r="M297" s="272">
        <f>+F297*J297</f>
        <v/>
      </c>
      <c r="N297" s="272">
        <f>SUM(K297:M297)</f>
        <v/>
      </c>
      <c r="O297" s="273">
        <f>SUM(K297:M297)/tc</f>
        <v/>
      </c>
      <c r="P297" s="277" t="n"/>
    </row>
    <row r="298">
      <c r="A298" s="316" t="inlineStr">
        <is>
          <t>Losas Cochera y Terrazas</t>
        </is>
      </c>
      <c r="B298" s="1134">
        <f>VALUE(IF(AND(LEN(TRIM(C298))-LEN(SUBSTITUTE(TRIM(C298),".",""))=1,ISNUMBER(VALUE(SUBSTITUTE(TRIM(C298),".","")))),TRIM(C298),B297))</f>
        <v/>
      </c>
      <c r="C298" s="267" t="inlineStr">
        <is>
          <t xml:space="preserve">AYUDANTE </t>
        </is>
      </c>
      <c r="D298" s="268" t="n"/>
      <c r="E298" s="269">
        <f>+_xlfn.XLOOKUP(C298,'BASE DATOS MANO DE OBRA'!A:A,'BASE DATOS MANO DE OBRA'!B:B)</f>
        <v/>
      </c>
      <c r="F298" s="270">
        <f>+F297</f>
        <v/>
      </c>
      <c r="G298" s="271">
        <f>+_xlfn.XLOOKUP(C298,'BASE DATOS MANO DE OBRA'!A:A,'BASE DATOS MANO DE OBRA'!C:C)</f>
        <v/>
      </c>
      <c r="H298" s="272" t="n">
        <v>0</v>
      </c>
      <c r="I298" s="272">
        <f>+_xlfn.XLOOKUP(C298,'BASE DATOS MANO DE OBRA'!A:A,'BASE DATOS MANO DE OBRA'!E:E)</f>
        <v/>
      </c>
      <c r="J298" s="272" t="n">
        <v>0</v>
      </c>
      <c r="K298" s="272">
        <f>+F298*H298</f>
        <v/>
      </c>
      <c r="L298" s="272">
        <f>+F298*I298</f>
        <v/>
      </c>
      <c r="M298" s="272">
        <f>+F298*J298</f>
        <v/>
      </c>
      <c r="N298" s="272">
        <f>SUM(K298:M298)</f>
        <v/>
      </c>
      <c r="O298" s="273">
        <f>SUM(K298:M298)/tc</f>
        <v/>
      </c>
      <c r="P298" s="277" t="n"/>
    </row>
    <row r="299">
      <c r="A299" s="16" t="n"/>
      <c r="B299" s="1134">
        <f>VALUE(IF(AND(LEN(TRIM(C299))-LEN(SUBSTITUTE(TRIM(C299),".",""))=1,ISNUMBER(VALUE(SUBSTITUTE(TRIM(C299),".","")))),TRIM(C299),B298))</f>
        <v/>
      </c>
      <c r="C299" s="234" t="inlineStr">
        <is>
          <t>1.5.4</t>
        </is>
      </c>
      <c r="D299" s="235" t="n"/>
      <c r="E299" s="236" t="inlineStr">
        <is>
          <t xml:space="preserve">TAPIAS PREFABRICADAS </t>
        </is>
      </c>
      <c r="F299" s="237">
        <f>+'1_OG y 2_ACA'!D1239</f>
        <v/>
      </c>
      <c r="G299" s="235" t="inlineStr">
        <is>
          <t>M</t>
        </is>
      </c>
      <c r="H299" s="235" t="n"/>
      <c r="I299" s="235" t="n"/>
      <c r="J299" s="235" t="n"/>
      <c r="K299" s="238">
        <f>+SUBTOTAL(9,K300:K311)</f>
        <v/>
      </c>
      <c r="L299" s="238">
        <f>+SUBTOTAL(9,L300:L311)</f>
        <v/>
      </c>
      <c r="M299" s="238">
        <f>+SUBTOTAL(9,M300:M311)</f>
        <v/>
      </c>
      <c r="N299" s="238">
        <f>+SUBTOTAL(9,N300:N311)</f>
        <v/>
      </c>
      <c r="O299" s="331">
        <f>+SUBTOTAL(9,O300:O311)</f>
        <v/>
      </c>
      <c r="P299" s="1137" t="n"/>
    </row>
    <row r="300">
      <c r="A300" s="16" t="n"/>
      <c r="B300" s="1134">
        <f>VALUE(IF(AND(LEN(TRIM(C300))-LEN(SUBSTITUTE(TRIM(C300),".",""))=1,ISNUMBER(VALUE(SUBSTITUTE(TRIM(C300),".","")))),TRIM(C300),B299))</f>
        <v/>
      </c>
      <c r="C300" s="16" t="inlineStr">
        <is>
          <t>M10-0074</t>
        </is>
      </c>
      <c r="D300" s="292" t="n"/>
      <c r="E300" s="252">
        <f>+_xlfn.XLOOKUP(C300,'BASE DATOS PRECIOS '!B:B,'BASE DATOS PRECIOS '!E:E)</f>
        <v/>
      </c>
      <c r="F300" s="218">
        <f>+'1_OG y 2_ACA'!D1245</f>
        <v/>
      </c>
      <c r="G300" s="312">
        <f>+_xlfn.XLOOKUP(C300,'BASE DATOS PRECIOS '!B:B,'BASE DATOS PRECIOS '!F:F)</f>
        <v/>
      </c>
      <c r="H300" s="313">
        <f>+_xlfn.XLOOKUP(E300,'BASE DATOS PRECIOS '!E:E,'BASE DATOS PRECIOS '!H:H)</f>
        <v/>
      </c>
      <c r="I300" s="312" t="n"/>
      <c r="J300" s="312" t="n"/>
      <c r="K300" s="313">
        <f>+F300*H300</f>
        <v/>
      </c>
      <c r="L300" s="313">
        <f>+F300*I300</f>
        <v/>
      </c>
      <c r="M300" s="313">
        <f>+F300*J300</f>
        <v/>
      </c>
      <c r="N300" s="313">
        <f>SUM(K300:M300)</f>
        <v/>
      </c>
      <c r="O300" s="314">
        <f>SUM(K300:M300)/tc</f>
        <v/>
      </c>
      <c r="P300" s="277" t="n"/>
    </row>
    <row r="301">
      <c r="A301" s="16" t="n"/>
      <c r="B301" s="1134">
        <f>VALUE(IF(AND(LEN(TRIM(C301))-LEN(SUBSTITUTE(TRIM(C301),".",""))=1,ISNUMBER(VALUE(SUBSTITUTE(TRIM(C301),".","")))),TRIM(C301),B300))</f>
        <v/>
      </c>
      <c r="C301" s="297" t="inlineStr">
        <is>
          <t>M10-0094</t>
        </is>
      </c>
      <c r="D301" s="298" t="n"/>
      <c r="E301" s="252">
        <f>+_xlfn.XLOOKUP(C301,'BASE DATOS PRECIOS '!B:B,'BASE DATOS PRECIOS '!E:E)</f>
        <v/>
      </c>
      <c r="F301" s="218">
        <f>+'1_OG y 2_ACA'!D1246</f>
        <v/>
      </c>
      <c r="G301" s="312">
        <f>+_xlfn.XLOOKUP(C301,'BASE DATOS PRECIOS '!B:B,'BASE DATOS PRECIOS '!F:F)</f>
        <v/>
      </c>
      <c r="H301" s="313">
        <f>+_xlfn.XLOOKUP(E301,'BASE DATOS PRECIOS '!E:E,'BASE DATOS PRECIOS '!H:H)</f>
        <v/>
      </c>
      <c r="I301" s="312" t="n"/>
      <c r="J301" s="312" t="n"/>
      <c r="K301" s="313">
        <f>+F301*H301</f>
        <v/>
      </c>
      <c r="L301" s="313">
        <f>+F301*I301</f>
        <v/>
      </c>
      <c r="M301" s="313">
        <f>+F301*J301</f>
        <v/>
      </c>
      <c r="N301" s="313">
        <f>SUM(K301:M301)</f>
        <v/>
      </c>
      <c r="O301" s="314">
        <f>SUM(K301:M301)/tc</f>
        <v/>
      </c>
      <c r="P301" s="277" t="n"/>
    </row>
    <row r="302">
      <c r="A302" s="16" t="n"/>
      <c r="B302" s="1134">
        <f>VALUE(IF(AND(LEN(TRIM(C302))-LEN(SUBSTITUTE(TRIM(C302),".",""))=1,ISNUMBER(VALUE(SUBSTITUTE(TRIM(C302),".","")))),TRIM(C302),B301))</f>
        <v/>
      </c>
      <c r="C302" s="16" t="inlineStr">
        <is>
          <t>M10-0093</t>
        </is>
      </c>
      <c r="D302" s="292" t="n"/>
      <c r="E302" s="252">
        <f>+_xlfn.XLOOKUP(C302,'BASE DATOS PRECIOS '!B:B,'BASE DATOS PRECIOS '!E:E)</f>
        <v/>
      </c>
      <c r="F302" s="218">
        <f>+'1_OG y 2_ACA'!D1247</f>
        <v/>
      </c>
      <c r="G302" s="312">
        <f>+_xlfn.XLOOKUP(C302,'BASE DATOS PRECIOS '!B:B,'BASE DATOS PRECIOS '!F:F)</f>
        <v/>
      </c>
      <c r="H302" s="313">
        <f>+_xlfn.XLOOKUP(E302,'BASE DATOS PRECIOS '!E:E,'BASE DATOS PRECIOS '!H:H)</f>
        <v/>
      </c>
      <c r="I302" s="312" t="n"/>
      <c r="J302" s="312" t="n"/>
      <c r="K302" s="313">
        <f>+F302*H302</f>
        <v/>
      </c>
      <c r="L302" s="313">
        <f>+F302*I302</f>
        <v/>
      </c>
      <c r="M302" s="313">
        <f>+F302*J302</f>
        <v/>
      </c>
      <c r="N302" s="313">
        <f>SUM(K302:M302)</f>
        <v/>
      </c>
      <c r="O302" s="314">
        <f>SUM(K302:M302)/tc</f>
        <v/>
      </c>
      <c r="P302" s="277" t="n"/>
    </row>
    <row r="303">
      <c r="A303" s="16" t="n"/>
      <c r="B303" s="1134">
        <f>VALUE(IF(AND(LEN(TRIM(C303))-LEN(SUBSTITUTE(TRIM(C303),".",""))=1,ISNUMBER(VALUE(SUBSTITUTE(TRIM(C303),".","")))),TRIM(C303),B302))</f>
        <v/>
      </c>
      <c r="C303" s="297" t="inlineStr">
        <is>
          <t>M10-0096</t>
        </is>
      </c>
      <c r="D303" s="298" t="n"/>
      <c r="E303" s="252">
        <f>+_xlfn.XLOOKUP(C303,'BASE DATOS PRECIOS '!B:B,'BASE DATOS PRECIOS '!E:E)</f>
        <v/>
      </c>
      <c r="F303" s="218">
        <f>+'1_OG y 2_ACA'!D1248</f>
        <v/>
      </c>
      <c r="G303" s="312">
        <f>+_xlfn.XLOOKUP(C303,'BASE DATOS PRECIOS '!B:B,'BASE DATOS PRECIOS '!F:F)</f>
        <v/>
      </c>
      <c r="H303" s="313">
        <f>+_xlfn.XLOOKUP(E303,'BASE DATOS PRECIOS '!E:E,'BASE DATOS PRECIOS '!H:H)</f>
        <v/>
      </c>
      <c r="I303" s="312" t="n"/>
      <c r="J303" s="312" t="n"/>
      <c r="K303" s="313">
        <f>+F303*H303</f>
        <v/>
      </c>
      <c r="L303" s="313">
        <f>+F303*I303</f>
        <v/>
      </c>
      <c r="M303" s="313">
        <f>+F303*J303</f>
        <v/>
      </c>
      <c r="N303" s="313">
        <f>SUM(K303:M303)</f>
        <v/>
      </c>
      <c r="O303" s="314">
        <f>SUM(K303:M303)/tc</f>
        <v/>
      </c>
      <c r="P303" s="277" t="n"/>
    </row>
    <row r="304">
      <c r="A304" s="16" t="n"/>
      <c r="B304" s="1134">
        <f>VALUE(IF(AND(LEN(TRIM(C304))-LEN(SUBSTITUTE(TRIM(C304),".",""))=1,ISNUMBER(VALUE(SUBSTITUTE(TRIM(C304),".","")))),TRIM(C304),B303))</f>
        <v/>
      </c>
      <c r="C304" s="16" t="inlineStr">
        <is>
          <t xml:space="preserve">M10-0095 </t>
        </is>
      </c>
      <c r="D304" s="292" t="n"/>
      <c r="E304" s="252">
        <f>+_xlfn.XLOOKUP(C304,'BASE DATOS PRECIOS '!B:B,'BASE DATOS PRECIOS '!E:E)</f>
        <v/>
      </c>
      <c r="F304" s="218">
        <f>+'1_OG y 2_ACA'!D1249</f>
        <v/>
      </c>
      <c r="G304" s="312">
        <f>+_xlfn.XLOOKUP(C304,'BASE DATOS PRECIOS '!B:B,'BASE DATOS PRECIOS '!F:F)</f>
        <v/>
      </c>
      <c r="H304" s="313">
        <f>+_xlfn.XLOOKUP(E304,'BASE DATOS PRECIOS '!E:E,'BASE DATOS PRECIOS '!H:H)</f>
        <v/>
      </c>
      <c r="I304" s="312" t="n"/>
      <c r="J304" s="312" t="n"/>
      <c r="K304" s="313">
        <f>+F304*H304</f>
        <v/>
      </c>
      <c r="L304" s="313">
        <f>+F304*I304</f>
        <v/>
      </c>
      <c r="M304" s="313">
        <f>+F304*J304</f>
        <v/>
      </c>
      <c r="N304" s="313">
        <f>SUM(K304:M304)</f>
        <v/>
      </c>
      <c r="O304" s="314">
        <f>SUM(K304:M304)/tc</f>
        <v/>
      </c>
      <c r="P304" s="277" t="n"/>
    </row>
    <row r="305">
      <c r="A305" s="16" t="n"/>
      <c r="B305" s="1134">
        <f>VALUE(IF(AND(LEN(TRIM(C305))-LEN(SUBSTITUTE(TRIM(C305),".",""))=1,ISNUMBER(VALUE(SUBSTITUTE(TRIM(C305),".","")))),TRIM(C305),B304))</f>
        <v/>
      </c>
      <c r="C305" s="297" t="inlineStr">
        <is>
          <t xml:space="preserve">M10-0097 </t>
        </is>
      </c>
      <c r="D305" s="298" t="n"/>
      <c r="E305" s="252">
        <f>+_xlfn.XLOOKUP(C305,'BASE DATOS PRECIOS '!B:B,'BASE DATOS PRECIOS '!E:E)</f>
        <v/>
      </c>
      <c r="F305" s="218">
        <f>+'1_OG y 2_ACA'!D1250</f>
        <v/>
      </c>
      <c r="G305" s="312">
        <f>+_xlfn.XLOOKUP(C305,'BASE DATOS PRECIOS '!B:B,'BASE DATOS PRECIOS '!F:F)</f>
        <v/>
      </c>
      <c r="H305" s="313">
        <f>+_xlfn.XLOOKUP(E305,'BASE DATOS PRECIOS '!E:E,'BASE DATOS PRECIOS '!H:H)</f>
        <v/>
      </c>
      <c r="I305" s="312" t="n"/>
      <c r="J305" s="312" t="n"/>
      <c r="K305" s="313">
        <f>+F305*H305</f>
        <v/>
      </c>
      <c r="L305" s="313">
        <f>+F305*I305</f>
        <v/>
      </c>
      <c r="M305" s="313">
        <f>+F305*J305</f>
        <v/>
      </c>
      <c r="N305" s="313">
        <f>SUM(K305:M305)</f>
        <v/>
      </c>
      <c r="O305" s="314">
        <f>SUM(K305:M305)/tc</f>
        <v/>
      </c>
      <c r="P305" s="277" t="n"/>
    </row>
    <row r="306">
      <c r="A306" s="16" t="n"/>
      <c r="B306" s="1134">
        <f>VALUE(IF(AND(LEN(TRIM(C306))-LEN(SUBSTITUTE(TRIM(C306),".",""))=1,ISNUMBER(VALUE(SUBSTITUTE(TRIM(C306),".","")))),TRIM(C306),B305))</f>
        <v/>
      </c>
      <c r="C306" s="16" t="inlineStr">
        <is>
          <t>M01-0142</t>
        </is>
      </c>
      <c r="D306" s="292" t="n"/>
      <c r="E306" s="252">
        <f>+_xlfn.XLOOKUP(C306,'BASE DATOS PRECIOS '!B:B,'BASE DATOS PRECIOS '!E:E)</f>
        <v/>
      </c>
      <c r="F306" s="218">
        <f>+'1_OG y 2_ACA'!D1251</f>
        <v/>
      </c>
      <c r="G306" s="312">
        <f>+_xlfn.XLOOKUP(C306,'BASE DATOS PRECIOS '!B:B,'BASE DATOS PRECIOS '!F:F)</f>
        <v/>
      </c>
      <c r="H306" s="313">
        <f>+_xlfn.XLOOKUP(E306,'BASE DATOS PRECIOS '!E:E,'BASE DATOS PRECIOS '!H:H)</f>
        <v/>
      </c>
      <c r="I306" s="312" t="n"/>
      <c r="J306" s="312" t="n"/>
      <c r="K306" s="313">
        <f>+F306*H306</f>
        <v/>
      </c>
      <c r="L306" s="313">
        <f>+F306*I306</f>
        <v/>
      </c>
      <c r="M306" s="313">
        <f>+F306*J306</f>
        <v/>
      </c>
      <c r="N306" s="313">
        <f>SUM(K306:M306)</f>
        <v/>
      </c>
      <c r="O306" s="314">
        <f>SUM(K306:M306)/tc</f>
        <v/>
      </c>
      <c r="P306" s="277" t="n"/>
    </row>
    <row r="307">
      <c r="A307" s="233" t="n"/>
      <c r="B307" s="1134">
        <f>VALUE(IF(AND(LEN(TRIM(C307))-LEN(SUBSTITUTE(TRIM(C307),".",""))=1,ISNUMBER(VALUE(SUBSTITUTE(TRIM(C307),".","")))),TRIM(C307),B306))</f>
        <v/>
      </c>
      <c r="C307" s="297" t="inlineStr">
        <is>
          <t>M01-0055</t>
        </is>
      </c>
      <c r="D307" s="298" t="n"/>
      <c r="E307" s="252">
        <f>+_xlfn.XLOOKUP(C307,'BASE DATOS PRECIOS '!B:B,'BASE DATOS PRECIOS '!E:E)</f>
        <v/>
      </c>
      <c r="F307" s="218">
        <f>+'1_OG y 2_ACA'!D1252</f>
        <v/>
      </c>
      <c r="G307" s="312">
        <f>+_xlfn.XLOOKUP(C307,'BASE DATOS PRECIOS '!B:B,'BASE DATOS PRECIOS '!F:F)</f>
        <v/>
      </c>
      <c r="H307" s="313">
        <f>+_xlfn.XLOOKUP(E307,'BASE DATOS PRECIOS '!E:E,'BASE DATOS PRECIOS '!H:H)</f>
        <v/>
      </c>
      <c r="I307" s="312" t="n"/>
      <c r="J307" s="312" t="n"/>
      <c r="K307" s="313">
        <f>+F307*H307</f>
        <v/>
      </c>
      <c r="L307" s="313">
        <f>+F307*I307</f>
        <v/>
      </c>
      <c r="M307" s="313">
        <f>+F307*J307</f>
        <v/>
      </c>
      <c r="N307" s="313">
        <f>SUM(K307:M307)</f>
        <v/>
      </c>
      <c r="O307" s="314">
        <f>SUM(K307:M307)/tc</f>
        <v/>
      </c>
      <c r="P307" s="277" t="n"/>
    </row>
    <row r="308">
      <c r="A308" s="316" t="inlineStr">
        <is>
          <t>Tapias Prefabricadas</t>
        </is>
      </c>
      <c r="B308" s="1134">
        <f>VALUE(IF(AND(LEN(TRIM(C308))-LEN(SUBSTITUTE(TRIM(C308),".",""))=1,ISNUMBER(VALUE(SUBSTITUTE(TRIM(C308),".","")))),TRIM(C308),B307))</f>
        <v/>
      </c>
      <c r="C308" s="267" t="inlineStr">
        <is>
          <t xml:space="preserve">OPERARIO </t>
        </is>
      </c>
      <c r="D308" s="268" t="n"/>
      <c r="E308" s="269">
        <f>+_xlfn.XLOOKUP(C308,'BASE DATOS MANO DE OBRA'!A:A,'BASE DATOS MANO DE OBRA'!B:B)</f>
        <v/>
      </c>
      <c r="F308" s="270">
        <f>+ROUNDUP('1_OG y 2_ACA'!F1255,0)/2</f>
        <v/>
      </c>
      <c r="G308" s="271">
        <f>+_xlfn.XLOOKUP(C308,'BASE DATOS MANO DE OBRA'!A:A,'BASE DATOS MANO DE OBRA'!C:C)</f>
        <v/>
      </c>
      <c r="H308" s="272" t="n">
        <v>0</v>
      </c>
      <c r="I308" s="272">
        <f>+_xlfn.XLOOKUP(C308,'BASE DATOS MANO DE OBRA'!A:A,'BASE DATOS MANO DE OBRA'!E:E)</f>
        <v/>
      </c>
      <c r="J308" s="272" t="n">
        <v>0</v>
      </c>
      <c r="K308" s="272">
        <f>+F308*H308</f>
        <v/>
      </c>
      <c r="L308" s="272">
        <f>+F308*I308</f>
        <v/>
      </c>
      <c r="M308" s="272">
        <f>+F308*J308</f>
        <v/>
      </c>
      <c r="N308" s="272">
        <f>SUM(K308:M308)</f>
        <v/>
      </c>
      <c r="O308" s="273">
        <f>SUM(K308:M308)/tc</f>
        <v/>
      </c>
      <c r="P308" s="277" t="n"/>
    </row>
    <row r="309">
      <c r="A309" s="316" t="inlineStr">
        <is>
          <t>Tapias Prefabricadas</t>
        </is>
      </c>
      <c r="B309" s="1134">
        <f>VALUE(IF(AND(LEN(TRIM(C309))-LEN(SUBSTITUTE(TRIM(C309),".",""))=1,ISNUMBER(VALUE(SUBSTITUTE(TRIM(C309),".","")))),TRIM(C309),B308))</f>
        <v/>
      </c>
      <c r="C309" s="267" t="inlineStr">
        <is>
          <t xml:space="preserve">AYUDANTE </t>
        </is>
      </c>
      <c r="D309" s="268" t="n"/>
      <c r="E309" s="269">
        <f>+_xlfn.XLOOKUP(C309,'BASE DATOS MANO DE OBRA'!A:A,'BASE DATOS MANO DE OBRA'!B:B)</f>
        <v/>
      </c>
      <c r="F309" s="270">
        <f>+F308</f>
        <v/>
      </c>
      <c r="G309" s="271">
        <f>+_xlfn.XLOOKUP(C309,'BASE DATOS MANO DE OBRA'!A:A,'BASE DATOS MANO DE OBRA'!C:C)</f>
        <v/>
      </c>
      <c r="H309" s="272" t="n">
        <v>0</v>
      </c>
      <c r="I309" s="272">
        <f>+_xlfn.XLOOKUP(C309,'BASE DATOS MANO DE OBRA'!A:A,'BASE DATOS MANO DE OBRA'!E:E)</f>
        <v/>
      </c>
      <c r="J309" s="272" t="n">
        <v>0</v>
      </c>
      <c r="K309" s="272">
        <f>+F309*H309</f>
        <v/>
      </c>
      <c r="L309" s="272">
        <f>+F309*I309</f>
        <v/>
      </c>
      <c r="M309" s="272">
        <f>+F309*J309</f>
        <v/>
      </c>
      <c r="N309" s="272">
        <f>SUM(K309:M309)</f>
        <v/>
      </c>
      <c r="O309" s="273">
        <f>SUM(K309:M309)/tc</f>
        <v/>
      </c>
      <c r="P309" s="277" t="n"/>
    </row>
    <row r="310">
      <c r="A310" s="316" t="inlineStr">
        <is>
          <t>Tapias Prefabricadas</t>
        </is>
      </c>
      <c r="B310" s="1134">
        <f>VALUE(IF(AND(LEN(TRIM(C310))-LEN(SUBSTITUTE(TRIM(C310),".",""))=1,ISNUMBER(VALUE(SUBSTITUTE(TRIM(C310),".","")))),TRIM(C310),B309))</f>
        <v/>
      </c>
      <c r="C310" s="267" t="inlineStr">
        <is>
          <t xml:space="preserve">OPERARIO </t>
        </is>
      </c>
      <c r="D310" s="268" t="n"/>
      <c r="E310" s="269">
        <f>+_xlfn.XLOOKUP(C310,'BASE DATOS MANO DE OBRA'!A:A,'BASE DATOS MANO DE OBRA'!B:B)</f>
        <v/>
      </c>
      <c r="F310" s="270">
        <f>+ROUNDUP('1_OG y 2_ACA'!F1256,0)/2</f>
        <v/>
      </c>
      <c r="G310" s="271">
        <f>+_xlfn.XLOOKUP(C310,'BASE DATOS MANO DE OBRA'!A:A,'BASE DATOS MANO DE OBRA'!C:C)</f>
        <v/>
      </c>
      <c r="H310" s="272" t="n">
        <v>0</v>
      </c>
      <c r="I310" s="272">
        <f>+_xlfn.XLOOKUP(C310,'BASE DATOS MANO DE OBRA'!A:A,'BASE DATOS MANO DE OBRA'!E:E)</f>
        <v/>
      </c>
      <c r="J310" s="272" t="n">
        <v>0</v>
      </c>
      <c r="K310" s="272">
        <f>+F310*H310</f>
        <v/>
      </c>
      <c r="L310" s="272">
        <f>+F310*I310</f>
        <v/>
      </c>
      <c r="M310" s="272">
        <f>+F310*J310</f>
        <v/>
      </c>
      <c r="N310" s="272">
        <f>SUM(K310:M310)</f>
        <v/>
      </c>
      <c r="O310" s="273">
        <f>SUM(K310:M310)/tc</f>
        <v/>
      </c>
      <c r="P310" s="277" t="n"/>
    </row>
    <row r="311">
      <c r="A311" s="316" t="inlineStr">
        <is>
          <t>Tapias Prefabricadas</t>
        </is>
      </c>
      <c r="B311" s="1134">
        <f>VALUE(IF(AND(LEN(TRIM(C311))-LEN(SUBSTITUTE(TRIM(C311),".",""))=1,ISNUMBER(VALUE(SUBSTITUTE(TRIM(C311),".","")))),TRIM(C311),B310))</f>
        <v/>
      </c>
      <c r="C311" s="267" t="inlineStr">
        <is>
          <t xml:space="preserve">AYUDANTE </t>
        </is>
      </c>
      <c r="D311" s="268" t="n"/>
      <c r="E311" s="269">
        <f>+_xlfn.XLOOKUP(C311,'BASE DATOS MANO DE OBRA'!A:A,'BASE DATOS MANO DE OBRA'!B:B)</f>
        <v/>
      </c>
      <c r="F311" s="270">
        <f>+F310</f>
        <v/>
      </c>
      <c r="G311" s="271">
        <f>+_xlfn.XLOOKUP(C311,'BASE DATOS MANO DE OBRA'!A:A,'BASE DATOS MANO DE OBRA'!C:C)</f>
        <v/>
      </c>
      <c r="H311" s="272" t="n">
        <v>0</v>
      </c>
      <c r="I311" s="272">
        <f>+_xlfn.XLOOKUP(C311,'BASE DATOS MANO DE OBRA'!A:A,'BASE DATOS MANO DE OBRA'!E:E)</f>
        <v/>
      </c>
      <c r="J311" s="272" t="n">
        <v>0</v>
      </c>
      <c r="K311" s="272">
        <f>+F311*H311</f>
        <v/>
      </c>
      <c r="L311" s="272">
        <f>+F311*I311</f>
        <v/>
      </c>
      <c r="M311" s="272">
        <f>+F311*J311</f>
        <v/>
      </c>
      <c r="N311" s="272">
        <f>SUM(K311:M311)</f>
        <v/>
      </c>
      <c r="O311" s="273">
        <f>SUM(K311:M311)/tc</f>
        <v/>
      </c>
      <c r="P311" s="277" t="n"/>
    </row>
    <row r="312">
      <c r="A312" s="16" t="n"/>
      <c r="B312" s="1134">
        <f>VALUE(IF(AND(LEN(TRIM(C312))-LEN(SUBSTITUTE(TRIM(C312),".",""))=1,ISNUMBER(VALUE(SUBSTITUTE(TRIM(C312),".","")))),TRIM(C312),B311))</f>
        <v/>
      </c>
      <c r="C312" s="234" t="inlineStr">
        <is>
          <t>1.5.5</t>
        </is>
      </c>
      <c r="D312" s="235" t="n"/>
      <c r="E312" s="236" t="inlineStr">
        <is>
          <t>ACERAS</t>
        </is>
      </c>
      <c r="F312" s="237">
        <f>+'1_OG y 2_ACA'!D1262</f>
        <v/>
      </c>
      <c r="G312" s="235" t="inlineStr">
        <is>
          <t>m2</t>
        </is>
      </c>
      <c r="H312" s="235" t="n"/>
      <c r="I312" s="235" t="n"/>
      <c r="J312" s="235" t="n"/>
      <c r="K312" s="238">
        <f>+SUBTOTAL(9,K313:K321)</f>
        <v/>
      </c>
      <c r="L312" s="238">
        <f>+SUBTOTAL(9,L313:L321)</f>
        <v/>
      </c>
      <c r="M312" s="238">
        <f>+SUBTOTAL(9,M313:M321)</f>
        <v/>
      </c>
      <c r="N312" s="238">
        <f>+SUBTOTAL(9,N313:N321)</f>
        <v/>
      </c>
      <c r="O312" s="1136">
        <f>+SUBTOTAL(9,O313:O321)</f>
        <v/>
      </c>
      <c r="P312" s="1137" t="n"/>
    </row>
    <row r="313">
      <c r="A313" s="16" t="n"/>
      <c r="B313" s="1134">
        <f>VALUE(IF(AND(LEN(TRIM(C313))-LEN(SUBSTITUTE(TRIM(C313),".",""))=1,ISNUMBER(VALUE(SUBSTITUTE(TRIM(C313),".","")))),TRIM(C313),B312))</f>
        <v/>
      </c>
      <c r="C313" s="16" t="inlineStr">
        <is>
          <t>M01-0145</t>
        </is>
      </c>
      <c r="D313" s="292" t="n"/>
      <c r="E313" s="252">
        <f>+_xlfn.XLOOKUP(C313,'BASE DATOS PRECIOS '!B:B,'BASE DATOS PRECIOS '!E:E)</f>
        <v/>
      </c>
      <c r="F313" s="308">
        <f>+'1_OG y 2_ACA'!D1279</f>
        <v/>
      </c>
      <c r="G313" s="250">
        <f>+_xlfn.XLOOKUP(C313,'BASE DATOS PRECIOS '!B:B,'BASE DATOS PRECIOS '!F:F)</f>
        <v/>
      </c>
      <c r="H313" s="249">
        <f>+_xlfn.XLOOKUP(E313,'BASE DATOS PRECIOS '!E:E,'BASE DATOS PRECIOS '!H:H)</f>
        <v/>
      </c>
      <c r="I313" s="250" t="n"/>
      <c r="J313" s="250" t="n"/>
      <c r="K313" s="249">
        <f>+F313*H313</f>
        <v/>
      </c>
      <c r="L313" s="249">
        <f>+F313*I313</f>
        <v/>
      </c>
      <c r="M313" s="249">
        <f>+F313*J313</f>
        <v/>
      </c>
      <c r="N313" s="249">
        <f>SUM(K313:M313)</f>
        <v/>
      </c>
      <c r="O313" s="251">
        <f>SUM(K313:M313)/tc</f>
        <v/>
      </c>
      <c r="P313" s="277" t="n"/>
    </row>
    <row r="314">
      <c r="A314" s="16" t="n"/>
      <c r="B314" s="1134">
        <f>VALUE(IF(AND(LEN(TRIM(C314))-LEN(SUBSTITUTE(TRIM(C314),".",""))=1,ISNUMBER(VALUE(SUBSTITUTE(TRIM(C314),".","")))),TRIM(C314),B313))</f>
        <v/>
      </c>
      <c r="C314" s="16" t="inlineStr">
        <is>
          <t>M01-0001</t>
        </is>
      </c>
      <c r="D314" s="292" t="n"/>
      <c r="E314" s="252">
        <f>+_xlfn.XLOOKUP(C314,'BASE DATOS PRECIOS '!B:B,'BASE DATOS PRECIOS '!E:E)</f>
        <v/>
      </c>
      <c r="F314" s="308">
        <f>+'1_OG y 2_ACA'!D1280</f>
        <v/>
      </c>
      <c r="G314" s="250">
        <f>+_xlfn.XLOOKUP(C314,'BASE DATOS PRECIOS '!B:B,'BASE DATOS PRECIOS '!F:F)</f>
        <v/>
      </c>
      <c r="H314" s="249">
        <f>+_xlfn.XLOOKUP(E314,'BASE DATOS PRECIOS '!E:E,'BASE DATOS PRECIOS '!H:H)</f>
        <v/>
      </c>
      <c r="I314" s="250" t="n"/>
      <c r="J314" s="250" t="n"/>
      <c r="K314" s="249">
        <f>+F314*H314</f>
        <v/>
      </c>
      <c r="L314" s="249">
        <f>+F314*I314</f>
        <v/>
      </c>
      <c r="M314" s="249">
        <f>+F314*J314</f>
        <v/>
      </c>
      <c r="N314" s="249">
        <f>SUM(K314:M314)</f>
        <v/>
      </c>
      <c r="O314" s="251">
        <f>SUM(K314:M314)/tc</f>
        <v/>
      </c>
      <c r="P314" s="277" t="n"/>
    </row>
    <row r="315">
      <c r="A315" s="16" t="n"/>
      <c r="B315" s="1134">
        <f>VALUE(IF(AND(LEN(TRIM(C315))-LEN(SUBSTITUTE(TRIM(C315),".",""))=1,ISNUMBER(VALUE(SUBSTITUTE(TRIM(C315),".","")))),TRIM(C315),B314))</f>
        <v/>
      </c>
      <c r="C315" s="16" t="inlineStr">
        <is>
          <t>M06-0206</t>
        </is>
      </c>
      <c r="D315" s="292" t="n"/>
      <c r="E315" s="252">
        <f>+_xlfn.XLOOKUP(C315,'BASE DATOS PRECIOS '!B:B,'BASE DATOS PRECIOS '!E:E)</f>
        <v/>
      </c>
      <c r="F315" s="308">
        <f>+'1_OG y 2_ACA'!D1281</f>
        <v/>
      </c>
      <c r="G315" s="250">
        <f>+_xlfn.XLOOKUP(C315,'BASE DATOS PRECIOS '!B:B,'BASE DATOS PRECIOS '!F:F)</f>
        <v/>
      </c>
      <c r="H315" s="249">
        <f>+_xlfn.XLOOKUP(E315,'BASE DATOS PRECIOS '!E:E,'BASE DATOS PRECIOS '!H:H)</f>
        <v/>
      </c>
      <c r="I315" s="250" t="n"/>
      <c r="J315" s="250" t="n"/>
      <c r="K315" s="249">
        <f>+F315*H315</f>
        <v/>
      </c>
      <c r="L315" s="249">
        <f>+F315*I315</f>
        <v/>
      </c>
      <c r="M315" s="249">
        <f>+F315*J315</f>
        <v/>
      </c>
      <c r="N315" s="249">
        <f>SUM(K315:M315)</f>
        <v/>
      </c>
      <c r="O315" s="251">
        <f>SUM(K315:M315)/tc</f>
        <v/>
      </c>
      <c r="P315" s="277" t="n"/>
    </row>
    <row r="316">
      <c r="A316" s="16" t="n"/>
      <c r="B316" s="1134">
        <f>VALUE(IF(AND(LEN(TRIM(C316))-LEN(SUBSTITUTE(TRIM(C316),".",""))=1,ISNUMBER(VALUE(SUBSTITUTE(TRIM(C316),".","")))),TRIM(C316),B315))</f>
        <v/>
      </c>
      <c r="C316" s="16" t="inlineStr">
        <is>
          <t>M10-0030</t>
        </is>
      </c>
      <c r="D316" s="292" t="n"/>
      <c r="E316" s="252">
        <f>+_xlfn.XLOOKUP(C316,'BASE DATOS PRECIOS '!B:B,'BASE DATOS PRECIOS '!E:E)</f>
        <v/>
      </c>
      <c r="F316" s="308">
        <f>+'1_OG y 2_ACA'!D1282</f>
        <v/>
      </c>
      <c r="G316" s="250">
        <f>+_xlfn.XLOOKUP(C316,'BASE DATOS PRECIOS '!B:B,'BASE DATOS PRECIOS '!F:F)</f>
        <v/>
      </c>
      <c r="H316" s="249">
        <f>+_xlfn.XLOOKUP(E316,'BASE DATOS PRECIOS '!E:E,'BASE DATOS PRECIOS '!H:H)</f>
        <v/>
      </c>
      <c r="I316" s="250" t="n"/>
      <c r="J316" s="250" t="n"/>
      <c r="K316" s="249">
        <f>+F316*H316</f>
        <v/>
      </c>
      <c r="L316" s="249">
        <f>+F316*I316</f>
        <v/>
      </c>
      <c r="M316" s="249">
        <f>+F316*J316</f>
        <v/>
      </c>
      <c r="N316" s="249">
        <f>SUM(K316:M316)</f>
        <v/>
      </c>
      <c r="O316" s="251">
        <f>SUM(K316:M316)/tc</f>
        <v/>
      </c>
      <c r="P316" s="277" t="n"/>
    </row>
    <row r="317">
      <c r="A317" s="16" t="n"/>
      <c r="B317" s="1134">
        <f>VALUE(IF(AND(LEN(TRIM(C317))-LEN(SUBSTITUTE(TRIM(C317),".",""))=1,ISNUMBER(VALUE(SUBSTITUTE(TRIM(C317),".","")))),TRIM(C317),B316))</f>
        <v/>
      </c>
      <c r="C317" s="274" t="inlineStr">
        <is>
          <t>M10-0065</t>
        </is>
      </c>
      <c r="D317" s="275" t="n"/>
      <c r="E317" s="252">
        <f>+_xlfn.XLOOKUP(C317,'BASE DATOS PRECIOS '!B:B,'BASE DATOS PRECIOS '!E:E)</f>
        <v/>
      </c>
      <c r="F317" s="308">
        <f>'1_OG y 2_ACA'!D1267</f>
        <v/>
      </c>
      <c r="G317" s="257">
        <f>+_xlfn.XLOOKUP(C317,'BASE DATOS PRECIOS '!B:B,'BASE DATOS PRECIOS '!F:F)</f>
        <v/>
      </c>
      <c r="H317" s="256">
        <f>+_xlfn.XLOOKUP(E317,'BASE DATOS PRECIOS '!E:E,'BASE DATOS PRECIOS '!H:H)</f>
        <v/>
      </c>
      <c r="I317" s="257" t="n"/>
      <c r="J317" s="257" t="n"/>
      <c r="K317" s="256">
        <f>+F317*H317</f>
        <v/>
      </c>
      <c r="L317" s="256">
        <f>+F317*I317</f>
        <v/>
      </c>
      <c r="M317" s="256">
        <f>+F317*J317</f>
        <v/>
      </c>
      <c r="N317" s="256">
        <f>SUM(K317:M317)</f>
        <v/>
      </c>
      <c r="O317" s="258">
        <f>SUM(K317:M317)/tc</f>
        <v/>
      </c>
      <c r="P317" s="277" t="n"/>
    </row>
    <row r="318">
      <c r="A318" s="316" t="inlineStr">
        <is>
          <t>Aceras</t>
        </is>
      </c>
      <c r="B318" s="1134">
        <f>VALUE(IF(AND(LEN(TRIM(C318))-LEN(SUBSTITUTE(TRIM(C318),".",""))=1,ISNUMBER(VALUE(SUBSTITUTE(TRIM(C318),".","")))),TRIM(C318),B317))</f>
        <v/>
      </c>
      <c r="C318" s="267" t="inlineStr">
        <is>
          <t xml:space="preserve">OPERARIO </t>
        </is>
      </c>
      <c r="D318" s="268" t="n"/>
      <c r="E318" s="269">
        <f>+_xlfn.XLOOKUP(C318,'BASE DATOS MANO DE OBRA'!A:A,'BASE DATOS MANO DE OBRA'!B:B)</f>
        <v/>
      </c>
      <c r="F318" s="270">
        <f>ROUND('1_OG y 2_ACA'!F1287,0)/2</f>
        <v/>
      </c>
      <c r="G318" s="271">
        <f>+_xlfn.XLOOKUP(C318,'BASE DATOS MANO DE OBRA'!A:A,'BASE DATOS MANO DE OBRA'!C:C)</f>
        <v/>
      </c>
      <c r="H318" s="272" t="n">
        <v>0</v>
      </c>
      <c r="I318" s="272">
        <f>+_xlfn.XLOOKUP(C318,'BASE DATOS MANO DE OBRA'!A:A,'BASE DATOS MANO DE OBRA'!E:E)</f>
        <v/>
      </c>
      <c r="J318" s="272" t="n">
        <v>0</v>
      </c>
      <c r="K318" s="272">
        <f>+F318*H318</f>
        <v/>
      </c>
      <c r="L318" s="272">
        <f>+F318*I318</f>
        <v/>
      </c>
      <c r="M318" s="272">
        <f>+F318*J318</f>
        <v/>
      </c>
      <c r="N318" s="272">
        <f>SUM(K318:M318)</f>
        <v/>
      </c>
      <c r="O318" s="273">
        <f>SUM(K318:M318)/tc</f>
        <v/>
      </c>
      <c r="P318" s="277" t="n"/>
    </row>
    <row r="319">
      <c r="A319" s="316" t="inlineStr">
        <is>
          <t>Aceras</t>
        </is>
      </c>
      <c r="B319" s="1134">
        <f>VALUE(IF(AND(LEN(TRIM(C319))-LEN(SUBSTITUTE(TRIM(C319),".",""))=1,ISNUMBER(VALUE(SUBSTITUTE(TRIM(C319),".","")))),TRIM(C319),B318))</f>
        <v/>
      </c>
      <c r="C319" s="267" t="inlineStr">
        <is>
          <t xml:space="preserve">AYUDANTE </t>
        </is>
      </c>
      <c r="D319" s="268" t="n"/>
      <c r="E319" s="269">
        <f>+_xlfn.XLOOKUP(C319,'BASE DATOS MANO DE OBRA'!A:A,'BASE DATOS MANO DE OBRA'!B:B)</f>
        <v/>
      </c>
      <c r="F319" s="270">
        <f>+F318</f>
        <v/>
      </c>
      <c r="G319" s="271">
        <f>+_xlfn.XLOOKUP(C319,'BASE DATOS MANO DE OBRA'!A:A,'BASE DATOS MANO DE OBRA'!C:C)</f>
        <v/>
      </c>
      <c r="H319" s="272" t="n">
        <v>0</v>
      </c>
      <c r="I319" s="272">
        <f>+_xlfn.XLOOKUP(C319,'BASE DATOS MANO DE OBRA'!A:A,'BASE DATOS MANO DE OBRA'!E:E)</f>
        <v/>
      </c>
      <c r="J319" s="272" t="n">
        <v>0</v>
      </c>
      <c r="K319" s="272">
        <f>+F319*H319</f>
        <v/>
      </c>
      <c r="L319" s="272">
        <f>+F319*I319</f>
        <v/>
      </c>
      <c r="M319" s="272">
        <f>+F319*J319</f>
        <v/>
      </c>
      <c r="N319" s="272">
        <f>SUM(K319:M319)</f>
        <v/>
      </c>
      <c r="O319" s="273">
        <f>SUM(K319:M319)/tc</f>
        <v/>
      </c>
      <c r="P319" s="277" t="n"/>
    </row>
    <row r="320">
      <c r="A320" s="316" t="inlineStr">
        <is>
          <t>Geocelda</t>
        </is>
      </c>
      <c r="B320" s="1134">
        <f>VALUE(IF(AND(LEN(TRIM(C320))-LEN(SUBSTITUTE(TRIM(C320),".",""))=1,ISNUMBER(VALUE(SUBSTITUTE(TRIM(C320),".","")))),TRIM(C320),B319))</f>
        <v/>
      </c>
      <c r="C320" s="267" t="inlineStr">
        <is>
          <t xml:space="preserve">OPERARIO </t>
        </is>
      </c>
      <c r="D320" s="268" t="n"/>
      <c r="E320" s="269">
        <f>+_xlfn.XLOOKUP(C320,'BASE DATOS MANO DE OBRA'!A:A,'BASE DATOS MANO DE OBRA'!B:B)</f>
        <v/>
      </c>
      <c r="F320" s="270">
        <f>+ROUNDUP('1_OG y 2_ACA'!F1290,0)/2</f>
        <v/>
      </c>
      <c r="G320" s="271">
        <f>+_xlfn.XLOOKUP(C320,'BASE DATOS MANO DE OBRA'!A:A,'BASE DATOS MANO DE OBRA'!C:C)</f>
        <v/>
      </c>
      <c r="H320" s="272" t="n">
        <v>0</v>
      </c>
      <c r="I320" s="272">
        <f>+_xlfn.XLOOKUP(C320,'BASE DATOS MANO DE OBRA'!A:A,'BASE DATOS MANO DE OBRA'!E:E)</f>
        <v/>
      </c>
      <c r="J320" s="272" t="n">
        <v>0</v>
      </c>
      <c r="K320" s="272">
        <f>+F320*H320</f>
        <v/>
      </c>
      <c r="L320" s="272">
        <f>+F320*I320</f>
        <v/>
      </c>
      <c r="M320" s="272">
        <f>+F320*J320</f>
        <v/>
      </c>
      <c r="N320" s="272">
        <f>SUM(K320:M320)</f>
        <v/>
      </c>
      <c r="O320" s="273">
        <f>SUM(K320:M320)/tc</f>
        <v/>
      </c>
      <c r="P320" s="277" t="n"/>
    </row>
    <row r="321">
      <c r="A321" s="316" t="inlineStr">
        <is>
          <t>Geocelda</t>
        </is>
      </c>
      <c r="B321" s="1134">
        <f>VALUE(IF(AND(LEN(TRIM(C321))-LEN(SUBSTITUTE(TRIM(C321),".",""))=1,ISNUMBER(VALUE(SUBSTITUTE(TRIM(C321),".","")))),TRIM(C321),B320))</f>
        <v/>
      </c>
      <c r="C321" s="267" t="inlineStr">
        <is>
          <t xml:space="preserve">AYUDANTE </t>
        </is>
      </c>
      <c r="D321" s="268" t="n"/>
      <c r="E321" s="269">
        <f>+_xlfn.XLOOKUP(C321,'BASE DATOS MANO DE OBRA'!A:A,'BASE DATOS MANO DE OBRA'!B:B)</f>
        <v/>
      </c>
      <c r="F321" s="270">
        <f>+F320</f>
        <v/>
      </c>
      <c r="G321" s="271">
        <f>+_xlfn.XLOOKUP(C321,'BASE DATOS MANO DE OBRA'!A:A,'BASE DATOS MANO DE OBRA'!C:C)</f>
        <v/>
      </c>
      <c r="H321" s="272" t="n">
        <v>0</v>
      </c>
      <c r="I321" s="272">
        <f>+_xlfn.XLOOKUP(C321,'BASE DATOS MANO DE OBRA'!A:A,'BASE DATOS MANO DE OBRA'!E:E)</f>
        <v/>
      </c>
      <c r="J321" s="272" t="n">
        <v>0</v>
      </c>
      <c r="K321" s="272">
        <f>+F321*H321</f>
        <v/>
      </c>
      <c r="L321" s="272">
        <f>+F321*I321</f>
        <v/>
      </c>
      <c r="M321" s="272">
        <f>+F321*J321</f>
        <v/>
      </c>
      <c r="N321" s="272">
        <f>SUM(K321:M321)</f>
        <v/>
      </c>
      <c r="O321" s="273">
        <f>SUM(K321:M321)/tc</f>
        <v/>
      </c>
      <c r="P321" s="277" t="n"/>
    </row>
    <row r="322">
      <c r="A322" s="16" t="n"/>
      <c r="B322" s="1134">
        <f>VALUE(IF(AND(LEN(TRIM(C322))-LEN(SUBSTITUTE(TRIM(C322),".",""))=1,ISNUMBER(VALUE(SUBSTITUTE(TRIM(C322),".","")))),TRIM(C322),B321))</f>
        <v/>
      </c>
      <c r="C322" s="306" t="inlineStr">
        <is>
          <t>1.6</t>
        </is>
      </c>
      <c r="D322" s="227" t="n"/>
      <c r="E322" s="228" t="inlineStr">
        <is>
          <t xml:space="preserve">LIVIANO </t>
        </is>
      </c>
      <c r="F322" s="229" t="n">
        <v>1</v>
      </c>
      <c r="G322" s="227" t="inlineStr">
        <is>
          <t>UND</t>
        </is>
      </c>
      <c r="H322" s="227" t="n"/>
      <c r="I322" s="227" t="n"/>
      <c r="J322" s="227" t="n"/>
      <c r="K322" s="230">
        <f>+SUBTOTAL(9,K323:K392)</f>
        <v/>
      </c>
      <c r="L322" s="230">
        <f>+SUBTOTAL(9,L323:L392)</f>
        <v/>
      </c>
      <c r="M322" s="230">
        <f>+SUBTOTAL(9,M323:M392)</f>
        <v/>
      </c>
      <c r="N322" s="230">
        <f>+SUBTOTAL(9,N323:N392)</f>
        <v/>
      </c>
      <c r="O322" s="1135">
        <f>+SUBTOTAL(9,O323:O392)</f>
        <v/>
      </c>
      <c r="P322" s="277" t="n"/>
    </row>
    <row r="323">
      <c r="A323" s="16" t="n"/>
      <c r="B323" s="1134">
        <f>VALUE(IF(AND(LEN(TRIM(C323))-LEN(SUBSTITUTE(TRIM(C323),".",""))=1,ISNUMBER(VALUE(SUBSTITUTE(TRIM(C323),".","")))),TRIM(C323),B322))</f>
        <v/>
      </c>
      <c r="C323" s="234" t="inlineStr">
        <is>
          <t>1.6.1</t>
        </is>
      </c>
      <c r="D323" s="235" t="n"/>
      <c r="E323" s="236" t="inlineStr">
        <is>
          <t xml:space="preserve">LIVIANO EXTERIORES </t>
        </is>
      </c>
      <c r="F323" s="237" t="n">
        <v>1</v>
      </c>
      <c r="G323" s="235" t="inlineStr">
        <is>
          <t>gb</t>
        </is>
      </c>
      <c r="H323" s="235" t="n"/>
      <c r="I323" s="235" t="n"/>
      <c r="J323" s="235" t="n"/>
      <c r="K323" s="238">
        <f>+SUBTOTAL(9,K324:K360)</f>
        <v/>
      </c>
      <c r="L323" s="238">
        <f>+SUBTOTAL(9,L324:L360)</f>
        <v/>
      </c>
      <c r="M323" s="238">
        <f>+SUBTOTAL(9,M324:M360)</f>
        <v/>
      </c>
      <c r="N323" s="238">
        <f>+SUBTOTAL(9,N324:N360)</f>
        <v/>
      </c>
      <c r="O323" s="1136">
        <f>+SUBTOTAL(9,O324:O360)</f>
        <v/>
      </c>
      <c r="P323" s="1137" t="n"/>
    </row>
    <row r="324">
      <c r="A324" s="16" t="n"/>
      <c r="B324" s="1134">
        <f>VALUE(IF(AND(LEN(TRIM(C324))-LEN(SUBSTITUTE(TRIM(C324),".",""))=1,ISNUMBER(VALUE(SUBSTITUTE(TRIM(C324),".","")))),TRIM(C324),B323))</f>
        <v/>
      </c>
      <c r="C324" s="285" t="n"/>
      <c r="D324" s="286" t="n"/>
      <c r="E324" s="332" t="inlineStr">
        <is>
          <t xml:space="preserve">PRECINTA Y TAPICHELES </t>
        </is>
      </c>
      <c r="F324" s="288">
        <f>+'1_OG y 2_ACA'!D1299</f>
        <v/>
      </c>
      <c r="G324" s="289" t="inlineStr">
        <is>
          <t xml:space="preserve">M2 </t>
        </is>
      </c>
      <c r="H324" s="289" t="n"/>
      <c r="I324" s="289" t="n"/>
      <c r="J324" s="289" t="n"/>
      <c r="K324" s="290" t="n"/>
      <c r="L324" s="290" t="n"/>
      <c r="M324" s="290" t="n"/>
      <c r="N324" s="290" t="n"/>
      <c r="O324" s="291" t="n"/>
      <c r="P324" s="277" t="n"/>
    </row>
    <row r="325">
      <c r="A325" s="16" t="n"/>
      <c r="B325" s="1134">
        <f>VALUE(IF(AND(LEN(TRIM(C325))-LEN(SUBSTITUTE(TRIM(C325),".",""))=1,ISNUMBER(VALUE(SUBSTITUTE(TRIM(C325),".","")))),TRIM(C325),B324))</f>
        <v/>
      </c>
      <c r="C325" s="317" t="inlineStr">
        <is>
          <t>M04-0016</t>
        </is>
      </c>
      <c r="D325" s="318" t="n"/>
      <c r="E325" s="252">
        <f>+_xlfn.XLOOKUP(C325,'BASE DATOS PRECIOS '!B:B,'BASE DATOS PRECIOS '!E:E)</f>
        <v/>
      </c>
      <c r="F325" s="218">
        <f>+'1_OG y 2_ACA'!D1302</f>
        <v/>
      </c>
      <c r="G325" s="312">
        <f>+_xlfn.XLOOKUP(C325,'BASE DATOS PRECIOS '!B:B,'BASE DATOS PRECIOS '!F:F)</f>
        <v/>
      </c>
      <c r="H325" s="249">
        <f>+_xlfn.XLOOKUP(E325,'BASE DATOS PRECIOS '!E:E,'BASE DATOS PRECIOS '!H:H)</f>
        <v/>
      </c>
      <c r="I325" s="312" t="n"/>
      <c r="J325" s="312" t="n"/>
      <c r="K325" s="313">
        <f>+F325*H325</f>
        <v/>
      </c>
      <c r="L325" s="313">
        <f>+F325*I325</f>
        <v/>
      </c>
      <c r="M325" s="313">
        <f>+F325*J325</f>
        <v/>
      </c>
      <c r="N325" s="313">
        <f>SUM(K325:M325)</f>
        <v/>
      </c>
      <c r="O325" s="314">
        <f>SUM(K325:M325)/tc</f>
        <v/>
      </c>
    </row>
    <row r="326">
      <c r="A326" s="16" t="n"/>
      <c r="B326" s="1134">
        <f>VALUE(IF(AND(LEN(TRIM(C326))-LEN(SUBSTITUTE(TRIM(C326),".",""))=1,ISNUMBER(VALUE(SUBSTITUTE(TRIM(C326),".","")))),TRIM(C326),B325))</f>
        <v/>
      </c>
      <c r="C326" s="317" t="inlineStr">
        <is>
          <t>M04-0038</t>
        </is>
      </c>
      <c r="D326" s="318" t="n"/>
      <c r="E326" s="252">
        <f>+_xlfn.XLOOKUP(C326,'BASE DATOS PRECIOS '!B:B,'BASE DATOS PRECIOS '!E:E)</f>
        <v/>
      </c>
      <c r="F326" s="218">
        <f>+'1_OG y 2_ACA'!D1303</f>
        <v/>
      </c>
      <c r="G326" s="250">
        <f>+_xlfn.XLOOKUP(C326,'BASE DATOS PRECIOS '!B:B,'BASE DATOS PRECIOS '!F:F)</f>
        <v/>
      </c>
      <c r="H326" s="249">
        <f>+_xlfn.XLOOKUP(E326,'BASE DATOS PRECIOS '!E:E,'BASE DATOS PRECIOS '!H:H)</f>
        <v/>
      </c>
      <c r="I326" s="250" t="n"/>
      <c r="J326" s="250" t="n"/>
      <c r="K326" s="249">
        <f>+F326*H326</f>
        <v/>
      </c>
      <c r="L326" s="249">
        <f>+F326*I326</f>
        <v/>
      </c>
      <c r="M326" s="249">
        <f>+F326*J326</f>
        <v/>
      </c>
      <c r="N326" s="249">
        <f>SUM(K326:M326)</f>
        <v/>
      </c>
      <c r="O326" s="251">
        <f>SUM(K326:M326)/tc</f>
        <v/>
      </c>
    </row>
    <row r="327">
      <c r="A327" s="16" t="n"/>
      <c r="B327" s="1134">
        <f>VALUE(IF(AND(LEN(TRIM(C327))-LEN(SUBSTITUTE(TRIM(C327),".",""))=1,ISNUMBER(VALUE(SUBSTITUTE(TRIM(C327),".","")))),TRIM(C327),B326))</f>
        <v/>
      </c>
      <c r="C327" s="317" t="inlineStr">
        <is>
          <t>M04-0043</t>
        </is>
      </c>
      <c r="D327" s="318" t="n"/>
      <c r="E327" s="252">
        <f>+_xlfn.XLOOKUP(C327,'BASE DATOS PRECIOS '!B:B,'BASE DATOS PRECIOS '!E:E)</f>
        <v/>
      </c>
      <c r="F327" s="218">
        <f>+'1_OG y 2_ACA'!D1304</f>
        <v/>
      </c>
      <c r="G327" s="250">
        <f>+_xlfn.XLOOKUP(C327,'BASE DATOS PRECIOS '!B:B,'BASE DATOS PRECIOS '!F:F)</f>
        <v/>
      </c>
      <c r="H327" s="249">
        <f>+_xlfn.XLOOKUP(E327,'BASE DATOS PRECIOS '!E:E,'BASE DATOS PRECIOS '!H:H)</f>
        <v/>
      </c>
      <c r="I327" s="250" t="n"/>
      <c r="J327" s="250" t="n"/>
      <c r="K327" s="249">
        <f>+F327*H327</f>
        <v/>
      </c>
      <c r="L327" s="249">
        <f>+F327*I327</f>
        <v/>
      </c>
      <c r="M327" s="249">
        <f>+F327*J327</f>
        <v/>
      </c>
      <c r="N327" s="249">
        <f>SUM(K327:M327)</f>
        <v/>
      </c>
      <c r="O327" s="251">
        <f>SUM(K327:M327)/tc</f>
        <v/>
      </c>
    </row>
    <row r="328">
      <c r="A328" s="16" t="n"/>
      <c r="B328" s="1134">
        <f>VALUE(IF(AND(LEN(TRIM(C328))-LEN(SUBSTITUTE(TRIM(C328),".",""))=1,ISNUMBER(VALUE(SUBSTITUTE(TRIM(C328),".","")))),TRIM(C328),B327))</f>
        <v/>
      </c>
      <c r="C328" s="324" t="inlineStr">
        <is>
          <t>M04-0015</t>
        </is>
      </c>
      <c r="D328" s="325" t="n"/>
      <c r="E328" s="252">
        <f>+_xlfn.XLOOKUP(C328,'BASE DATOS PRECIOS '!B:B,'BASE DATOS PRECIOS '!E:E)</f>
        <v/>
      </c>
      <c r="F328" s="218">
        <f>+'1_OG y 2_ACA'!D1305</f>
        <v/>
      </c>
      <c r="G328" s="250">
        <f>+_xlfn.XLOOKUP(C328,'BASE DATOS PRECIOS '!B:B,'BASE DATOS PRECIOS '!F:F)</f>
        <v/>
      </c>
      <c r="H328" s="249">
        <f>+_xlfn.XLOOKUP(E328,'BASE DATOS PRECIOS '!E:E,'BASE DATOS PRECIOS '!H:H)</f>
        <v/>
      </c>
      <c r="I328" s="250" t="n"/>
      <c r="J328" s="250" t="n"/>
      <c r="K328" s="249">
        <f>+F328*H328</f>
        <v/>
      </c>
      <c r="L328" s="249">
        <f>+F328*I328</f>
        <v/>
      </c>
      <c r="M328" s="249">
        <f>+F328*J328</f>
        <v/>
      </c>
      <c r="N328" s="249">
        <f>SUM(K328:M328)</f>
        <v/>
      </c>
      <c r="O328" s="251">
        <f>SUM(K328:M328)/tc</f>
        <v/>
      </c>
    </row>
    <row r="329">
      <c r="A329" s="16" t="n"/>
      <c r="B329" s="1134">
        <f>VALUE(IF(AND(LEN(TRIM(C329))-LEN(SUBSTITUTE(TRIM(C329),".",""))=1,ISNUMBER(VALUE(SUBSTITUTE(TRIM(C329),".","")))),TRIM(C329),B328))</f>
        <v/>
      </c>
      <c r="C329" s="317" t="inlineStr">
        <is>
          <t>M04-0051</t>
        </is>
      </c>
      <c r="D329" s="318" t="n"/>
      <c r="E329" s="252">
        <f>+_xlfn.XLOOKUP(C329,'BASE DATOS PRECIOS '!B:B,'BASE DATOS PRECIOS '!E:E)</f>
        <v/>
      </c>
      <c r="F329" s="218">
        <f>+'1_OG y 2_ACA'!D1306</f>
        <v/>
      </c>
      <c r="G329" s="250">
        <f>+_xlfn.XLOOKUP(C329,'BASE DATOS PRECIOS '!B:B,'BASE DATOS PRECIOS '!F:F)</f>
        <v/>
      </c>
      <c r="H329" s="249">
        <f>+_xlfn.XLOOKUP(E329,'BASE DATOS PRECIOS '!E:E,'BASE DATOS PRECIOS '!H:H)</f>
        <v/>
      </c>
      <c r="I329" s="250" t="n"/>
      <c r="J329" s="250" t="n"/>
      <c r="K329" s="249">
        <f>+F329*H329</f>
        <v/>
      </c>
      <c r="L329" s="249">
        <f>+F329*I329</f>
        <v/>
      </c>
      <c r="M329" s="249">
        <f>+F329*J329</f>
        <v/>
      </c>
      <c r="N329" s="249">
        <f>SUM(K329:M329)</f>
        <v/>
      </c>
      <c r="O329" s="251">
        <f>SUM(K329:M329)/tc</f>
        <v/>
      </c>
    </row>
    <row r="330">
      <c r="A330" s="16" t="n"/>
      <c r="B330" s="1134">
        <f>VALUE(IF(AND(LEN(TRIM(C330))-LEN(SUBSTITUTE(TRIM(C330),".",""))=1,ISNUMBER(VALUE(SUBSTITUTE(TRIM(C330),".","")))),TRIM(C330),B329))</f>
        <v/>
      </c>
      <c r="C330" s="317" t="inlineStr">
        <is>
          <t>M04-0047</t>
        </is>
      </c>
      <c r="D330" s="318" t="n"/>
      <c r="E330" s="252">
        <f>+_xlfn.XLOOKUP(C330,'BASE DATOS PRECIOS '!B:B,'BASE DATOS PRECIOS '!E:E)</f>
        <v/>
      </c>
      <c r="F330" s="218">
        <f>+'1_OG y 2_ACA'!D1307</f>
        <v/>
      </c>
      <c r="G330" s="250">
        <f>+_xlfn.XLOOKUP(C330,'BASE DATOS PRECIOS '!B:B,'BASE DATOS PRECIOS '!F:F)</f>
        <v/>
      </c>
      <c r="H330" s="249">
        <f>+_xlfn.XLOOKUP(E330,'BASE DATOS PRECIOS '!E:E,'BASE DATOS PRECIOS '!H:H)</f>
        <v/>
      </c>
      <c r="I330" s="250" t="n"/>
      <c r="J330" s="250" t="n"/>
      <c r="K330" s="249">
        <f>+F330*H330</f>
        <v/>
      </c>
      <c r="L330" s="249">
        <f>+F330*I330</f>
        <v/>
      </c>
      <c r="M330" s="249">
        <f>+F330*J330</f>
        <v/>
      </c>
      <c r="N330" s="249">
        <f>SUM(K330:M330)</f>
        <v/>
      </c>
      <c r="O330" s="251">
        <f>SUM(K330:M330)/tc</f>
        <v/>
      </c>
    </row>
    <row r="331">
      <c r="A331" s="16" t="n"/>
      <c r="B331" s="1134">
        <f>VALUE(IF(AND(LEN(TRIM(C331))-LEN(SUBSTITUTE(TRIM(C331),".",""))=1,ISNUMBER(VALUE(SUBSTITUTE(TRIM(C331),".","")))),TRIM(C331),B330))</f>
        <v/>
      </c>
      <c r="C331" s="317" t="inlineStr">
        <is>
          <t>M06-0112</t>
        </is>
      </c>
      <c r="D331" s="318" t="n"/>
      <c r="E331" s="252">
        <f>+_xlfn.XLOOKUP(C331,'BASE DATOS PRECIOS '!B:B,'BASE DATOS PRECIOS '!E:E)</f>
        <v/>
      </c>
      <c r="F331" s="218">
        <f>+'1_OG y 2_ACA'!D1308*100</f>
        <v/>
      </c>
      <c r="G331" s="250">
        <f>+_xlfn.XLOOKUP(C331,'BASE DATOS PRECIOS '!B:B,'BASE DATOS PRECIOS '!F:F)</f>
        <v/>
      </c>
      <c r="H331" s="249">
        <f>+_xlfn.XLOOKUP(E331,'BASE DATOS PRECIOS '!E:E,'BASE DATOS PRECIOS '!H:H)</f>
        <v/>
      </c>
      <c r="I331" s="250" t="n"/>
      <c r="J331" s="250" t="n"/>
      <c r="K331" s="249">
        <f>+F331*H331</f>
        <v/>
      </c>
      <c r="L331" s="249">
        <f>+F331*I331</f>
        <v/>
      </c>
      <c r="M331" s="249">
        <f>+F331*J331</f>
        <v/>
      </c>
      <c r="N331" s="249">
        <f>SUM(K331:M331)</f>
        <v/>
      </c>
      <c r="O331" s="251">
        <f>SUM(K331:M331)/tc</f>
        <v/>
      </c>
    </row>
    <row r="332">
      <c r="A332" s="16" t="n"/>
      <c r="B332" s="1134">
        <f>VALUE(IF(AND(LEN(TRIM(C332))-LEN(SUBSTITUTE(TRIM(C332),".",""))=1,ISNUMBER(VALUE(SUBSTITUTE(TRIM(C332),".","")))),TRIM(C332),B331))</f>
        <v/>
      </c>
      <c r="C332" s="333" t="inlineStr">
        <is>
          <t>M06-0306</t>
        </is>
      </c>
      <c r="D332" s="334" t="n"/>
      <c r="E332" s="252">
        <f>+_xlfn.XLOOKUP(C332,'BASE DATOS PRECIOS '!B:B,'BASE DATOS PRECIOS '!E:E)</f>
        <v/>
      </c>
      <c r="F332" s="218">
        <f>+'1_OG y 2_ACA'!D1309*100</f>
        <v/>
      </c>
      <c r="G332" s="250">
        <f>+_xlfn.XLOOKUP(C332,'BASE DATOS PRECIOS '!B:B,'BASE DATOS PRECIOS '!F:F)</f>
        <v/>
      </c>
      <c r="H332" s="249">
        <f>+_xlfn.XLOOKUP(E332,'BASE DATOS PRECIOS '!E:E,'BASE DATOS PRECIOS '!H:H)</f>
        <v/>
      </c>
      <c r="I332" s="250" t="n"/>
      <c r="J332" s="250" t="n"/>
      <c r="K332" s="249">
        <f>+F332*H332</f>
        <v/>
      </c>
      <c r="L332" s="249">
        <f>+F332*I332</f>
        <v/>
      </c>
      <c r="M332" s="249">
        <f>+F332*J332</f>
        <v/>
      </c>
      <c r="N332" s="249">
        <f>SUM(K332:M332)</f>
        <v/>
      </c>
      <c r="O332" s="251">
        <f>SUM(K332:M332)/tc</f>
        <v/>
      </c>
    </row>
    <row r="333">
      <c r="A333" s="16" t="n"/>
      <c r="B333" s="1134">
        <f>VALUE(IF(AND(LEN(TRIM(C333))-LEN(SUBSTITUTE(TRIM(C333),".",""))=1,ISNUMBER(VALUE(SUBSTITUTE(TRIM(C333),".","")))),TRIM(C333),B332))</f>
        <v/>
      </c>
      <c r="C333" s="317" t="inlineStr">
        <is>
          <t>M06-0116</t>
        </is>
      </c>
      <c r="D333" s="318" t="n"/>
      <c r="E333" s="252">
        <f>+_xlfn.XLOOKUP(C333,'BASE DATOS PRECIOS '!B:B,'BASE DATOS PRECIOS '!E:E)</f>
        <v/>
      </c>
      <c r="F333" s="218">
        <f>+'1_OG y 2_ACA'!D1310</f>
        <v/>
      </c>
      <c r="G333" s="250">
        <f>+_xlfn.XLOOKUP(C333,'BASE DATOS PRECIOS '!B:B,'BASE DATOS PRECIOS '!F:F)</f>
        <v/>
      </c>
      <c r="H333" s="249">
        <f>+_xlfn.XLOOKUP(E333,'BASE DATOS PRECIOS '!E:E,'BASE DATOS PRECIOS '!H:H)</f>
        <v/>
      </c>
      <c r="I333" s="250" t="n"/>
      <c r="J333" s="250" t="n"/>
      <c r="K333" s="249">
        <f>+F333*H333</f>
        <v/>
      </c>
      <c r="L333" s="249">
        <f>+F333*I333</f>
        <v/>
      </c>
      <c r="M333" s="249">
        <f>+F333*J333</f>
        <v/>
      </c>
      <c r="N333" s="249">
        <f>SUM(K333:M333)</f>
        <v/>
      </c>
      <c r="O333" s="251">
        <f>SUM(K333:M333)/tc</f>
        <v/>
      </c>
    </row>
    <row r="334">
      <c r="A334" s="16" t="n"/>
      <c r="B334" s="1134">
        <f>VALUE(IF(AND(LEN(TRIM(C334))-LEN(SUBSTITUTE(TRIM(C334),".",""))=1,ISNUMBER(VALUE(SUBSTITUTE(TRIM(C334),".","")))),TRIM(C334),B333))</f>
        <v/>
      </c>
      <c r="C334" s="285" t="n"/>
      <c r="D334" s="286" t="n"/>
      <c r="E334" s="332" t="inlineStr">
        <is>
          <t xml:space="preserve">ALEROS </t>
        </is>
      </c>
      <c r="F334" s="288">
        <f>+'1_OG y 2_ACA'!D1318</f>
        <v/>
      </c>
      <c r="G334" s="289" t="inlineStr">
        <is>
          <t>M2</t>
        </is>
      </c>
      <c r="H334" s="289" t="n"/>
      <c r="I334" s="289" t="n"/>
      <c r="J334" s="289" t="n"/>
      <c r="K334" s="290" t="n"/>
      <c r="L334" s="290" t="n"/>
      <c r="M334" s="290" t="n"/>
      <c r="N334" s="290" t="n"/>
      <c r="O334" s="291" t="n"/>
    </row>
    <row r="335">
      <c r="A335" s="16" t="n"/>
      <c r="B335" s="1134">
        <f>VALUE(IF(AND(LEN(TRIM(C335))-LEN(SUBSTITUTE(TRIM(C335),".",""))=1,ISNUMBER(VALUE(SUBSTITUTE(TRIM(C335),".","")))),TRIM(C335),B334))</f>
        <v/>
      </c>
      <c r="C335" s="324" t="inlineStr">
        <is>
          <t>M04-0055</t>
        </is>
      </c>
      <c r="D335" s="325" t="n"/>
      <c r="E335" s="252">
        <f>+_xlfn.XLOOKUP(C335,'BASE DATOS PRECIOS '!B:B,'BASE DATOS PRECIOS '!E:E)</f>
        <v/>
      </c>
      <c r="F335" s="218">
        <f>+'1_OG y 2_ACA'!D1322</f>
        <v/>
      </c>
      <c r="G335" s="250">
        <f>+_xlfn.XLOOKUP(C335,'BASE DATOS PRECIOS '!B:B,'BASE DATOS PRECIOS '!F:F)</f>
        <v/>
      </c>
      <c r="H335" s="249">
        <f>+_xlfn.XLOOKUP(E335,'BASE DATOS PRECIOS '!E:E,'BASE DATOS PRECIOS '!H:H)</f>
        <v/>
      </c>
      <c r="I335" s="250" t="n"/>
      <c r="J335" s="250" t="n"/>
      <c r="K335" s="249">
        <f>+F335*H335</f>
        <v/>
      </c>
      <c r="L335" s="249">
        <f>+F335*I335</f>
        <v/>
      </c>
      <c r="M335" s="249">
        <f>+F335*J335</f>
        <v/>
      </c>
      <c r="N335" s="249">
        <f>SUM(K335:M335)</f>
        <v/>
      </c>
      <c r="O335" s="251">
        <f>SUM(K335:M335)/tc</f>
        <v/>
      </c>
    </row>
    <row r="336">
      <c r="A336" s="16" t="n"/>
      <c r="B336" s="1134">
        <f>VALUE(IF(AND(LEN(TRIM(C336))-LEN(SUBSTITUTE(TRIM(C336),".",""))=1,ISNUMBER(VALUE(SUBSTITUTE(TRIM(C336),".","")))),TRIM(C336),B335))</f>
        <v/>
      </c>
      <c r="C336" s="317" t="inlineStr">
        <is>
          <t>M04-0045</t>
        </is>
      </c>
      <c r="D336" s="318" t="n"/>
      <c r="E336" s="252">
        <f>+_xlfn.XLOOKUP(C336,'BASE DATOS PRECIOS '!B:B,'BASE DATOS PRECIOS '!E:E)</f>
        <v/>
      </c>
      <c r="F336" s="218">
        <f>+'1_OG y 2_ACA'!D1323</f>
        <v/>
      </c>
      <c r="G336" s="250">
        <f>+_xlfn.XLOOKUP(C336,'BASE DATOS PRECIOS '!B:B,'BASE DATOS PRECIOS '!F:F)</f>
        <v/>
      </c>
      <c r="H336" s="249">
        <f>+_xlfn.XLOOKUP(E336,'BASE DATOS PRECIOS '!E:E,'BASE DATOS PRECIOS '!H:H)</f>
        <v/>
      </c>
      <c r="I336" s="250" t="n"/>
      <c r="J336" s="250" t="n"/>
      <c r="K336" s="249">
        <f>+F336*H336</f>
        <v/>
      </c>
      <c r="L336" s="249">
        <f>+F336*I336</f>
        <v/>
      </c>
      <c r="M336" s="249">
        <f>+F336*J336</f>
        <v/>
      </c>
      <c r="N336" s="249">
        <f>SUM(K336:M336)</f>
        <v/>
      </c>
      <c r="O336" s="251">
        <f>SUM(K336:M336)/tc</f>
        <v/>
      </c>
    </row>
    <row r="337">
      <c r="A337" s="16" t="n"/>
      <c r="B337" s="1134">
        <f>VALUE(IF(AND(LEN(TRIM(C337))-LEN(SUBSTITUTE(TRIM(C337),".",""))=1,ISNUMBER(VALUE(SUBSTITUTE(TRIM(C337),".","")))),TRIM(C337),B336))</f>
        <v/>
      </c>
      <c r="C337" s="317" t="inlineStr">
        <is>
          <t>M04-0033</t>
        </is>
      </c>
      <c r="D337" s="318" t="n"/>
      <c r="E337" s="252">
        <f>+_xlfn.XLOOKUP(C337,'BASE DATOS PRECIOS '!B:B,'BASE DATOS PRECIOS '!E:E)</f>
        <v/>
      </c>
      <c r="F337" s="218">
        <f>+'1_OG y 2_ACA'!D1324</f>
        <v/>
      </c>
      <c r="G337" s="250">
        <f>+_xlfn.XLOOKUP(C337,'BASE DATOS PRECIOS '!B:B,'BASE DATOS PRECIOS '!F:F)</f>
        <v/>
      </c>
      <c r="H337" s="249">
        <f>+_xlfn.XLOOKUP(E337,'BASE DATOS PRECIOS '!E:E,'BASE DATOS PRECIOS '!H:H)</f>
        <v/>
      </c>
      <c r="I337" s="250" t="n"/>
      <c r="J337" s="250" t="n"/>
      <c r="K337" s="249">
        <f>+F337*H337</f>
        <v/>
      </c>
      <c r="L337" s="249">
        <f>+F337*I337</f>
        <v/>
      </c>
      <c r="M337" s="249">
        <f>+F337*J337</f>
        <v/>
      </c>
      <c r="N337" s="249">
        <f>SUM(K337:M337)</f>
        <v/>
      </c>
      <c r="O337" s="251">
        <f>SUM(K337:M337)/tc</f>
        <v/>
      </c>
    </row>
    <row r="338">
      <c r="A338" s="16" t="n"/>
      <c r="B338" s="1134">
        <f>VALUE(IF(AND(LEN(TRIM(C338))-LEN(SUBSTITUTE(TRIM(C338),".",""))=1,ISNUMBER(VALUE(SUBSTITUTE(TRIM(C338),".","")))),TRIM(C338),B337))</f>
        <v/>
      </c>
      <c r="C338" s="317" t="inlineStr">
        <is>
          <t>M04-0034</t>
        </is>
      </c>
      <c r="D338" s="318" t="n"/>
      <c r="E338" s="252">
        <f>+_xlfn.XLOOKUP(C338,'BASE DATOS PRECIOS '!B:B,'BASE DATOS PRECIOS '!E:E)</f>
        <v/>
      </c>
      <c r="F338" s="218">
        <f>+'1_OG y 2_ACA'!D1325</f>
        <v/>
      </c>
      <c r="G338" s="250">
        <f>+_xlfn.XLOOKUP(C338,'BASE DATOS PRECIOS '!B:B,'BASE DATOS PRECIOS '!F:F)</f>
        <v/>
      </c>
      <c r="H338" s="249">
        <f>+_xlfn.XLOOKUP(E338,'BASE DATOS PRECIOS '!E:E,'BASE DATOS PRECIOS '!H:H)</f>
        <v/>
      </c>
      <c r="I338" s="250" t="n"/>
      <c r="J338" s="250" t="n"/>
      <c r="K338" s="249">
        <f>+F338*H338</f>
        <v/>
      </c>
      <c r="L338" s="249">
        <f>+F338*I338</f>
        <v/>
      </c>
      <c r="M338" s="249">
        <f>+F338*J338</f>
        <v/>
      </c>
      <c r="N338" s="249">
        <f>SUM(K338:M338)</f>
        <v/>
      </c>
      <c r="O338" s="251">
        <f>SUM(K338:M338)/tc</f>
        <v/>
      </c>
    </row>
    <row r="339">
      <c r="A339" s="16" t="n"/>
      <c r="B339" s="1134">
        <f>VALUE(IF(AND(LEN(TRIM(C339))-LEN(SUBSTITUTE(TRIM(C339),".",""))=1,ISNUMBER(VALUE(SUBSTITUTE(TRIM(C339),".","")))),TRIM(C339),B338))</f>
        <v/>
      </c>
      <c r="C339" s="317" t="inlineStr">
        <is>
          <t>M04-0035</t>
        </is>
      </c>
      <c r="D339" s="318" t="n"/>
      <c r="E339" s="252">
        <f>+_xlfn.XLOOKUP(C339,'BASE DATOS PRECIOS '!B:B,'BASE DATOS PRECIOS '!E:E)</f>
        <v/>
      </c>
      <c r="F339" s="218">
        <f>+'1_OG y 2_ACA'!D1326</f>
        <v/>
      </c>
      <c r="G339" s="250">
        <f>+_xlfn.XLOOKUP(C339,'BASE DATOS PRECIOS '!B:B,'BASE DATOS PRECIOS '!F:F)</f>
        <v/>
      </c>
      <c r="H339" s="249">
        <f>+_xlfn.XLOOKUP(E339,'BASE DATOS PRECIOS '!E:E,'BASE DATOS PRECIOS '!H:H)</f>
        <v/>
      </c>
      <c r="I339" s="250" t="n"/>
      <c r="J339" s="250" t="n"/>
      <c r="K339" s="249">
        <f>+F339*H339</f>
        <v/>
      </c>
      <c r="L339" s="249">
        <f>+F339*I339</f>
        <v/>
      </c>
      <c r="M339" s="249">
        <f>+F339*J339</f>
        <v/>
      </c>
      <c r="N339" s="249">
        <f>SUM(K339:M339)</f>
        <v/>
      </c>
      <c r="O339" s="251">
        <f>SUM(K339:M339)/tc</f>
        <v/>
      </c>
    </row>
    <row r="340">
      <c r="A340" s="16" t="n"/>
      <c r="B340" s="1134">
        <f>VALUE(IF(AND(LEN(TRIM(C340))-LEN(SUBSTITUTE(TRIM(C340),".",""))=1,ISNUMBER(VALUE(SUBSTITUTE(TRIM(C340),".","")))),TRIM(C340),B339))</f>
        <v/>
      </c>
      <c r="C340" s="333" t="inlineStr">
        <is>
          <t>M06-0112</t>
        </is>
      </c>
      <c r="D340" s="334" t="n"/>
      <c r="E340" s="252">
        <f>+_xlfn.XLOOKUP(C340,'BASE DATOS PRECIOS '!B:B,'BASE DATOS PRECIOS '!E:E)</f>
        <v/>
      </c>
      <c r="F340" s="218">
        <f>+'1_OG y 2_ACA'!D1327</f>
        <v/>
      </c>
      <c r="G340" s="250">
        <f>+_xlfn.XLOOKUP(C340,'BASE DATOS PRECIOS '!B:B,'BASE DATOS PRECIOS '!F:F)</f>
        <v/>
      </c>
      <c r="H340" s="249">
        <f>+_xlfn.XLOOKUP(E340,'BASE DATOS PRECIOS '!E:E,'BASE DATOS PRECIOS '!H:H)</f>
        <v/>
      </c>
      <c r="I340" s="250" t="n"/>
      <c r="J340" s="250" t="n"/>
      <c r="K340" s="249">
        <f>+F340*H340</f>
        <v/>
      </c>
      <c r="L340" s="249">
        <f>+F340*I340</f>
        <v/>
      </c>
      <c r="M340" s="249">
        <f>+F340*J340</f>
        <v/>
      </c>
      <c r="N340" s="249">
        <f>SUM(K340:M340)</f>
        <v/>
      </c>
      <c r="O340" s="251">
        <f>SUM(K340:M340)/tc</f>
        <v/>
      </c>
    </row>
    <row r="341">
      <c r="A341" s="16" t="n"/>
      <c r="B341" s="1134">
        <f>VALUE(IF(AND(LEN(TRIM(C341))-LEN(SUBSTITUTE(TRIM(C341),".",""))=1,ISNUMBER(VALUE(SUBSTITUTE(TRIM(C341),".","")))),TRIM(C341),B340))</f>
        <v/>
      </c>
      <c r="C341" s="317" t="inlineStr">
        <is>
          <t>M06-0043</t>
        </is>
      </c>
      <c r="D341" s="318" t="n"/>
      <c r="E341" s="252">
        <f>+_xlfn.XLOOKUP(C341,'BASE DATOS PRECIOS '!B:B,'BASE DATOS PRECIOS '!E:E)</f>
        <v/>
      </c>
      <c r="F341" s="218">
        <f>+'1_OG y 2_ACA'!D1328</f>
        <v/>
      </c>
      <c r="G341" s="250">
        <f>+_xlfn.XLOOKUP(C341,'BASE DATOS PRECIOS '!B:B,'BASE DATOS PRECIOS '!F:F)</f>
        <v/>
      </c>
      <c r="H341" s="249">
        <f>+_xlfn.XLOOKUP(E341,'BASE DATOS PRECIOS '!E:E,'BASE DATOS PRECIOS '!H:H)</f>
        <v/>
      </c>
      <c r="I341" s="250" t="n"/>
      <c r="J341" s="250" t="n"/>
      <c r="K341" s="249">
        <f>+F341*H341</f>
        <v/>
      </c>
      <c r="L341" s="249">
        <f>+F341*I341</f>
        <v/>
      </c>
      <c r="M341" s="249">
        <f>+F341*J341</f>
        <v/>
      </c>
      <c r="N341" s="249">
        <f>SUM(K341:M341)</f>
        <v/>
      </c>
      <c r="O341" s="251">
        <f>SUM(K341:M341)/tc</f>
        <v/>
      </c>
    </row>
    <row r="342">
      <c r="A342" s="16" t="n"/>
      <c r="B342" s="1134">
        <f>VALUE(IF(AND(LEN(TRIM(C342))-LEN(SUBSTITUTE(TRIM(C342),".",""))=1,ISNUMBER(VALUE(SUBSTITUTE(TRIM(C342),".","")))),TRIM(C342),B341))</f>
        <v/>
      </c>
      <c r="C342" s="333" t="inlineStr">
        <is>
          <t>M06-0112</t>
        </is>
      </c>
      <c r="D342" s="334" t="n"/>
      <c r="E342" s="252">
        <f>+_xlfn.XLOOKUP(C342,'BASE DATOS PRECIOS '!B:B,'BASE DATOS PRECIOS '!E:E)</f>
        <v/>
      </c>
      <c r="F342" s="218">
        <f>+'1_OG y 2_ACA'!D1329</f>
        <v/>
      </c>
      <c r="G342" s="250">
        <f>+_xlfn.XLOOKUP(C342,'BASE DATOS PRECIOS '!B:B,'BASE DATOS PRECIOS '!F:F)</f>
        <v/>
      </c>
      <c r="H342" s="249">
        <f>+_xlfn.XLOOKUP(E342,'BASE DATOS PRECIOS '!E:E,'BASE DATOS PRECIOS '!H:H)</f>
        <v/>
      </c>
      <c r="I342" s="250" t="n"/>
      <c r="J342" s="250" t="n"/>
      <c r="K342" s="249">
        <f>+F342*H342</f>
        <v/>
      </c>
      <c r="L342" s="249">
        <f>+F342*I342</f>
        <v/>
      </c>
      <c r="M342" s="249">
        <f>+F342*J342</f>
        <v/>
      </c>
      <c r="N342" s="249">
        <f>SUM(K342:M342)</f>
        <v/>
      </c>
      <c r="O342" s="251">
        <f>SUM(K342:M342)/tc</f>
        <v/>
      </c>
    </row>
    <row r="343">
      <c r="A343" s="16" t="n"/>
      <c r="B343" s="1134">
        <f>VALUE(IF(AND(LEN(TRIM(C343))-LEN(SUBSTITUTE(TRIM(C343),".",""))=1,ISNUMBER(VALUE(SUBSTITUTE(TRIM(C343),".","")))),TRIM(C343),B342))</f>
        <v/>
      </c>
      <c r="C343" s="317" t="inlineStr">
        <is>
          <t>M06-0278</t>
        </is>
      </c>
      <c r="D343" s="318" t="n"/>
      <c r="E343" s="252">
        <f>+_xlfn.XLOOKUP(C343,'BASE DATOS PRECIOS '!B:B,'BASE DATOS PRECIOS '!E:E)</f>
        <v/>
      </c>
      <c r="F343" s="218">
        <f>+'1_OG y 2_ACA'!D1330</f>
        <v/>
      </c>
      <c r="G343" s="250">
        <f>+_xlfn.XLOOKUP(C343,'BASE DATOS PRECIOS '!B:B,'BASE DATOS PRECIOS '!F:F)</f>
        <v/>
      </c>
      <c r="H343" s="249">
        <f>+_xlfn.XLOOKUP(E343,'BASE DATOS PRECIOS '!E:E,'BASE DATOS PRECIOS '!H:H)</f>
        <v/>
      </c>
      <c r="I343" s="250" t="n"/>
      <c r="J343" s="250" t="n"/>
      <c r="K343" s="249">
        <f>+F343*H343</f>
        <v/>
      </c>
      <c r="L343" s="249">
        <f>+F343*I343</f>
        <v/>
      </c>
      <c r="M343" s="249">
        <f>+F343*J343</f>
        <v/>
      </c>
      <c r="N343" s="249">
        <f>SUM(K343:M343)</f>
        <v/>
      </c>
      <c r="O343" s="251">
        <f>SUM(K343:M343)/tc</f>
        <v/>
      </c>
      <c r="P343" s="277" t="n"/>
    </row>
    <row r="344">
      <c r="A344" s="16" t="n"/>
      <c r="B344" s="1134">
        <f>VALUE(IF(AND(LEN(TRIM(C344))-LEN(SUBSTITUTE(TRIM(C344),".",""))=1,ISNUMBER(VALUE(SUBSTITUTE(TRIM(C344),".","")))),TRIM(C344),B343))</f>
        <v/>
      </c>
      <c r="C344" s="317" t="inlineStr">
        <is>
          <t>M06-0116</t>
        </is>
      </c>
      <c r="D344" s="318" t="n"/>
      <c r="E344" s="252">
        <f>+_xlfn.XLOOKUP(C344,'BASE DATOS PRECIOS '!B:B,'BASE DATOS PRECIOS '!E:E)</f>
        <v/>
      </c>
      <c r="F344" s="218">
        <f>+'1_OG y 2_ACA'!D1331</f>
        <v/>
      </c>
      <c r="G344" s="250">
        <f>+_xlfn.XLOOKUP(C344,'BASE DATOS PRECIOS '!B:B,'BASE DATOS PRECIOS '!F:F)</f>
        <v/>
      </c>
      <c r="H344" s="249">
        <f>+_xlfn.XLOOKUP(E344,'BASE DATOS PRECIOS '!E:E,'BASE DATOS PRECIOS '!H:H)</f>
        <v/>
      </c>
      <c r="I344" s="250" t="n"/>
      <c r="J344" s="250" t="n"/>
      <c r="K344" s="249">
        <f>+F344*H344</f>
        <v/>
      </c>
      <c r="L344" s="249">
        <f>+F344*I344</f>
        <v/>
      </c>
      <c r="M344" s="249">
        <f>+F344*J344</f>
        <v/>
      </c>
      <c r="N344" s="249">
        <f>SUM(K344:M344)</f>
        <v/>
      </c>
      <c r="O344" s="251">
        <f>SUM(K344:M344)/tc</f>
        <v/>
      </c>
    </row>
    <row r="345">
      <c r="A345" s="16" t="n"/>
      <c r="B345" s="1134">
        <f>VALUE(IF(AND(LEN(TRIM(C345))-LEN(SUBSTITUTE(TRIM(C345),".",""))=1,ISNUMBER(VALUE(SUBSTITUTE(TRIM(C345),".","")))),TRIM(C345),B344))</f>
        <v/>
      </c>
      <c r="C345" s="285" t="n"/>
      <c r="D345" s="286" t="n"/>
      <c r="E345" s="332" t="inlineStr">
        <is>
          <t xml:space="preserve">PARED PATIO </t>
        </is>
      </c>
      <c r="F345" s="288">
        <f>+'1_OG y 2_ACA'!D1341</f>
        <v/>
      </c>
      <c r="G345" s="289" t="inlineStr">
        <is>
          <t>M2</t>
        </is>
      </c>
      <c r="H345" s="289" t="n"/>
      <c r="I345" s="289" t="n"/>
      <c r="J345" s="289" t="n"/>
      <c r="K345" s="290" t="n"/>
      <c r="L345" s="290">
        <f>+F345*I345</f>
        <v/>
      </c>
      <c r="M345" s="290">
        <f>+F345*J345</f>
        <v/>
      </c>
      <c r="N345" s="290" t="n"/>
      <c r="O345" s="291" t="n"/>
    </row>
    <row r="346">
      <c r="A346" s="16" t="n"/>
      <c r="B346" s="1134">
        <f>VALUE(IF(AND(LEN(TRIM(C346))-LEN(SUBSTITUTE(TRIM(C346),".",""))=1,ISNUMBER(VALUE(SUBSTITUTE(TRIM(C346),".","")))),TRIM(C346),B345))</f>
        <v/>
      </c>
      <c r="C346" s="317" t="inlineStr">
        <is>
          <t>M04-0016</t>
        </is>
      </c>
      <c r="D346" s="318" t="n"/>
      <c r="E346" s="252">
        <f>+_xlfn.XLOOKUP(C346,'BASE DATOS PRECIOS '!B:B,'BASE DATOS PRECIOS '!E:E)</f>
        <v/>
      </c>
      <c r="F346" s="218">
        <f>+'1_OG y 2_ACA'!D1344</f>
        <v/>
      </c>
      <c r="G346" s="250">
        <f>+_xlfn.XLOOKUP(C346,'BASE DATOS PRECIOS '!B:B,'BASE DATOS PRECIOS '!F:F)</f>
        <v/>
      </c>
      <c r="H346" s="249">
        <f>+_xlfn.XLOOKUP(E346,'BASE DATOS PRECIOS '!E:E,'BASE DATOS PRECIOS '!H:H)</f>
        <v/>
      </c>
      <c r="I346" s="250" t="n"/>
      <c r="J346" s="250" t="n"/>
      <c r="K346" s="249">
        <f>+F346*H346</f>
        <v/>
      </c>
      <c r="L346" s="249">
        <f>+F346*I346</f>
        <v/>
      </c>
      <c r="M346" s="249">
        <f>+F346*J346</f>
        <v/>
      </c>
      <c r="N346" s="249">
        <f>SUM(K346:M346)</f>
        <v/>
      </c>
      <c r="O346" s="251">
        <f>SUM(K346:M346)/tc</f>
        <v/>
      </c>
    </row>
    <row r="347">
      <c r="A347" s="16" t="n"/>
      <c r="B347" s="1134">
        <f>VALUE(IF(AND(LEN(TRIM(C347))-LEN(SUBSTITUTE(TRIM(C347),".",""))=1,ISNUMBER(VALUE(SUBSTITUTE(TRIM(C347),".","")))),TRIM(C347),B346))</f>
        <v/>
      </c>
      <c r="C347" s="317" t="inlineStr">
        <is>
          <t>M04-0018</t>
        </is>
      </c>
      <c r="D347" s="318" t="n"/>
      <c r="E347" s="252">
        <f>+_xlfn.XLOOKUP(C347,'BASE DATOS PRECIOS '!B:B,'BASE DATOS PRECIOS '!E:E)</f>
        <v/>
      </c>
      <c r="F347" s="218">
        <f>+'1_OG y 2_ACA'!D1345</f>
        <v/>
      </c>
      <c r="G347" s="250">
        <f>+_xlfn.XLOOKUP(C347,'BASE DATOS PRECIOS '!B:B,'BASE DATOS PRECIOS '!F:F)</f>
        <v/>
      </c>
      <c r="H347" s="249">
        <f>+_xlfn.XLOOKUP(E347,'BASE DATOS PRECIOS '!E:E,'BASE DATOS PRECIOS '!H:H)</f>
        <v/>
      </c>
      <c r="I347" s="250" t="n"/>
      <c r="J347" s="250" t="n"/>
      <c r="K347" s="249">
        <f>+F347*H347</f>
        <v/>
      </c>
      <c r="L347" s="249">
        <f>+F347*I347</f>
        <v/>
      </c>
      <c r="M347" s="249">
        <f>+F347*J347</f>
        <v/>
      </c>
      <c r="N347" s="249">
        <f>SUM(K347:M347)</f>
        <v/>
      </c>
      <c r="O347" s="251">
        <f>SUM(K347:M347)/tc</f>
        <v/>
      </c>
    </row>
    <row r="348">
      <c r="A348" s="16" t="n"/>
      <c r="B348" s="1134">
        <f>VALUE(IF(AND(LEN(TRIM(C348))-LEN(SUBSTITUTE(TRIM(C348),".",""))=1,ISNUMBER(VALUE(SUBSTITUTE(TRIM(C348),".","")))),TRIM(C348),B347))</f>
        <v/>
      </c>
      <c r="C348" s="333" t="inlineStr">
        <is>
          <t>M04-0038</t>
        </is>
      </c>
      <c r="D348" s="334" t="n"/>
      <c r="E348" s="252">
        <f>+_xlfn.XLOOKUP(C348,'BASE DATOS PRECIOS '!B:B,'BASE DATOS PRECIOS '!E:E)</f>
        <v/>
      </c>
      <c r="F348" s="218">
        <f>+'1_OG y 2_ACA'!D1346</f>
        <v/>
      </c>
      <c r="G348" s="250">
        <f>+_xlfn.XLOOKUP(C348,'BASE DATOS PRECIOS '!B:B,'BASE DATOS PRECIOS '!F:F)</f>
        <v/>
      </c>
      <c r="H348" s="249">
        <f>+_xlfn.XLOOKUP(E348,'BASE DATOS PRECIOS '!E:E,'BASE DATOS PRECIOS '!H:H)</f>
        <v/>
      </c>
      <c r="I348" s="250" t="n"/>
      <c r="J348" s="250" t="n"/>
      <c r="K348" s="249">
        <f>+F348*H348</f>
        <v/>
      </c>
      <c r="L348" s="249">
        <f>+F348*I348</f>
        <v/>
      </c>
      <c r="M348" s="249">
        <f>+F348*J348</f>
        <v/>
      </c>
      <c r="N348" s="249">
        <f>SUM(K348:M348)</f>
        <v/>
      </c>
      <c r="O348" s="251">
        <f>SUM(K348:M348)/tc</f>
        <v/>
      </c>
    </row>
    <row r="349">
      <c r="A349" s="16" t="n"/>
      <c r="B349" s="1134">
        <f>VALUE(IF(AND(LEN(TRIM(C349))-LEN(SUBSTITUTE(TRIM(C349),".",""))=1,ISNUMBER(VALUE(SUBSTITUTE(TRIM(C349),".","")))),TRIM(C349),B348))</f>
        <v/>
      </c>
      <c r="C349" s="317" t="inlineStr">
        <is>
          <t>M04-0043</t>
        </is>
      </c>
      <c r="D349" s="318" t="n"/>
      <c r="E349" s="252">
        <f>+_xlfn.XLOOKUP(C349,'BASE DATOS PRECIOS '!B:B,'BASE DATOS PRECIOS '!E:E)</f>
        <v/>
      </c>
      <c r="F349" s="218">
        <f>+'1_OG y 2_ACA'!D1347</f>
        <v/>
      </c>
      <c r="G349" s="250">
        <f>+_xlfn.XLOOKUP(C349,'BASE DATOS PRECIOS '!B:B,'BASE DATOS PRECIOS '!F:F)</f>
        <v/>
      </c>
      <c r="H349" s="249">
        <f>+_xlfn.XLOOKUP(E349,'BASE DATOS PRECIOS '!E:E,'BASE DATOS PRECIOS '!H:H)</f>
        <v/>
      </c>
      <c r="I349" s="250" t="n"/>
      <c r="J349" s="250" t="n"/>
      <c r="K349" s="249">
        <f>+F349*H349</f>
        <v/>
      </c>
      <c r="L349" s="249">
        <f>+F349*I349</f>
        <v/>
      </c>
      <c r="M349" s="249">
        <f>+F349*J349</f>
        <v/>
      </c>
      <c r="N349" s="249">
        <f>SUM(K349:M349)</f>
        <v/>
      </c>
      <c r="O349" s="251">
        <f>SUM(K349:M349)/tc</f>
        <v/>
      </c>
    </row>
    <row r="350">
      <c r="A350" s="16" t="n"/>
      <c r="B350" s="1134">
        <f>VALUE(IF(AND(LEN(TRIM(C350))-LEN(SUBSTITUTE(TRIM(C350),".",""))=1,ISNUMBER(VALUE(SUBSTITUTE(TRIM(C350),".","")))),TRIM(C350),B349))</f>
        <v/>
      </c>
      <c r="C350" s="317" t="inlineStr">
        <is>
          <t>M06-0043</t>
        </is>
      </c>
      <c r="D350" s="318" t="n"/>
      <c r="E350" s="252">
        <f>+_xlfn.XLOOKUP(C350,'BASE DATOS PRECIOS '!B:B,'BASE DATOS PRECIOS '!E:E)</f>
        <v/>
      </c>
      <c r="F350" s="218">
        <f>+'1_OG y 2_ACA'!D1348</f>
        <v/>
      </c>
      <c r="G350" s="250">
        <f>+_xlfn.XLOOKUP(C350,'BASE DATOS PRECIOS '!B:B,'BASE DATOS PRECIOS '!F:F)</f>
        <v/>
      </c>
      <c r="H350" s="249">
        <f>+_xlfn.XLOOKUP(E350,'BASE DATOS PRECIOS '!E:E,'BASE DATOS PRECIOS '!H:H)</f>
        <v/>
      </c>
      <c r="I350" s="250" t="n"/>
      <c r="J350" s="250" t="n"/>
      <c r="K350" s="249">
        <f>+F350*H350</f>
        <v/>
      </c>
      <c r="L350" s="249">
        <f>+F350*I350</f>
        <v/>
      </c>
      <c r="M350" s="249">
        <f>+F350*J350</f>
        <v/>
      </c>
      <c r="N350" s="249">
        <f>SUM(K350:M350)</f>
        <v/>
      </c>
      <c r="O350" s="251">
        <f>SUM(K350:M350)/tc</f>
        <v/>
      </c>
    </row>
    <row r="351">
      <c r="A351" s="16" t="n"/>
      <c r="B351" s="1134">
        <f>VALUE(IF(AND(LEN(TRIM(C351))-LEN(SUBSTITUTE(TRIM(C351),".",""))=1,ISNUMBER(VALUE(SUBSTITUTE(TRIM(C351),".","")))),TRIM(C351),B350))</f>
        <v/>
      </c>
      <c r="C351" s="317" t="inlineStr">
        <is>
          <t>M06-0278</t>
        </is>
      </c>
      <c r="D351" s="318" t="n"/>
      <c r="E351" s="252">
        <f>+_xlfn.XLOOKUP(C351,'BASE DATOS PRECIOS '!B:B,'BASE DATOS PRECIOS '!E:E)</f>
        <v/>
      </c>
      <c r="F351" s="218">
        <f>+'1_OG y 2_ACA'!D1349</f>
        <v/>
      </c>
      <c r="G351" s="250">
        <f>+_xlfn.XLOOKUP(C351,'BASE DATOS PRECIOS '!B:B,'BASE DATOS PRECIOS '!F:F)</f>
        <v/>
      </c>
      <c r="H351" s="249">
        <f>+_xlfn.XLOOKUP(E351,'BASE DATOS PRECIOS '!E:E,'BASE DATOS PRECIOS '!H:H)</f>
        <v/>
      </c>
      <c r="I351" s="250" t="n"/>
      <c r="J351" s="250" t="n"/>
      <c r="K351" s="249">
        <f>+F351*H351</f>
        <v/>
      </c>
      <c r="L351" s="249">
        <f>+F351*I351</f>
        <v/>
      </c>
      <c r="M351" s="249">
        <f>+F351*J351</f>
        <v/>
      </c>
      <c r="N351" s="249">
        <f>SUM(K351:M351)</f>
        <v/>
      </c>
      <c r="O351" s="251">
        <f>SUM(K351:M351)/tc</f>
        <v/>
      </c>
    </row>
    <row r="352">
      <c r="A352" s="16" t="n"/>
      <c r="B352" s="1134">
        <f>VALUE(IF(AND(LEN(TRIM(C352))-LEN(SUBSTITUTE(TRIM(C352),".",""))=1,ISNUMBER(VALUE(SUBSTITUTE(TRIM(C352),".","")))),TRIM(C352),B351))</f>
        <v/>
      </c>
      <c r="C352" s="317" t="inlineStr">
        <is>
          <t>M04-0015</t>
        </is>
      </c>
      <c r="D352" s="318" t="n"/>
      <c r="E352" s="252">
        <f>+_xlfn.XLOOKUP(C352,'BASE DATOS PRECIOS '!B:B,'BASE DATOS PRECIOS '!E:E)</f>
        <v/>
      </c>
      <c r="F352" s="218">
        <f>+'1_OG y 2_ACA'!D1350</f>
        <v/>
      </c>
      <c r="G352" s="250">
        <f>+_xlfn.XLOOKUP(C352,'BASE DATOS PRECIOS '!B:B,'BASE DATOS PRECIOS '!F:F)</f>
        <v/>
      </c>
      <c r="H352" s="249">
        <f>+_xlfn.XLOOKUP(E352,'BASE DATOS PRECIOS '!E:E,'BASE DATOS PRECIOS '!H:H)</f>
        <v/>
      </c>
      <c r="I352" s="250" t="n"/>
      <c r="J352" s="250" t="n"/>
      <c r="K352" s="249">
        <f>+F352*H352</f>
        <v/>
      </c>
      <c r="L352" s="249">
        <f>+F352*I352</f>
        <v/>
      </c>
      <c r="M352" s="249">
        <f>+F352*J352</f>
        <v/>
      </c>
      <c r="N352" s="249">
        <f>SUM(K352:M352)</f>
        <v/>
      </c>
      <c r="O352" s="251">
        <f>SUM(K352:M352)/tc</f>
        <v/>
      </c>
    </row>
    <row r="353">
      <c r="A353" s="16" t="n"/>
      <c r="B353" s="1134">
        <f>VALUE(IF(AND(LEN(TRIM(C353))-LEN(SUBSTITUTE(TRIM(C353),".",""))=1,ISNUMBER(VALUE(SUBSTITUTE(TRIM(C353),".","")))),TRIM(C353),B352))</f>
        <v/>
      </c>
      <c r="C353" s="324" t="inlineStr">
        <is>
          <t>M04-0051</t>
        </is>
      </c>
      <c r="D353" s="325" t="n"/>
      <c r="E353" s="252">
        <f>+_xlfn.XLOOKUP(C353,'BASE DATOS PRECIOS '!B:B,'BASE DATOS PRECIOS '!E:E)</f>
        <v/>
      </c>
      <c r="F353" s="218">
        <f>+'1_OG y 2_ACA'!D1351</f>
        <v/>
      </c>
      <c r="G353" s="250">
        <f>+_xlfn.XLOOKUP(C353,'BASE DATOS PRECIOS '!B:B,'BASE DATOS PRECIOS '!F:F)</f>
        <v/>
      </c>
      <c r="H353" s="249">
        <f>+_xlfn.XLOOKUP(E353,'BASE DATOS PRECIOS '!E:E,'BASE DATOS PRECIOS '!G:G)</f>
        <v/>
      </c>
      <c r="I353" s="250" t="n"/>
      <c r="J353" s="250" t="n"/>
      <c r="K353" s="249">
        <f>+F353*H353</f>
        <v/>
      </c>
      <c r="L353" s="249">
        <f>+F353*I353</f>
        <v/>
      </c>
      <c r="M353" s="249">
        <f>+F353*J353</f>
        <v/>
      </c>
      <c r="N353" s="249">
        <f>SUM(K353:M353)</f>
        <v/>
      </c>
      <c r="O353" s="251">
        <f>SUM(K353:M353)/tc</f>
        <v/>
      </c>
    </row>
    <row r="354">
      <c r="A354" s="16" t="n"/>
      <c r="B354" s="1134">
        <f>VALUE(IF(AND(LEN(TRIM(C354))-LEN(SUBSTITUTE(TRIM(C354),".",""))=1,ISNUMBER(VALUE(SUBSTITUTE(TRIM(C354),".","")))),TRIM(C354),B353))</f>
        <v/>
      </c>
      <c r="C354" s="317" t="inlineStr">
        <is>
          <t>M04-0047</t>
        </is>
      </c>
      <c r="D354" s="318" t="n"/>
      <c r="E354" s="252">
        <f>+_xlfn.XLOOKUP(C354,'BASE DATOS PRECIOS '!B:B,'BASE DATOS PRECIOS '!E:E)</f>
        <v/>
      </c>
      <c r="F354" s="218">
        <f>+'1_OG y 2_ACA'!D1352</f>
        <v/>
      </c>
      <c r="G354" s="250">
        <f>+_xlfn.XLOOKUP(C354,'BASE DATOS PRECIOS '!B:B,'BASE DATOS PRECIOS '!F:F)</f>
        <v/>
      </c>
      <c r="H354" s="249">
        <f>+_xlfn.XLOOKUP(E354,'BASE DATOS PRECIOS '!E:E,'BASE DATOS PRECIOS '!H:H)</f>
        <v/>
      </c>
      <c r="I354" s="250" t="n"/>
      <c r="J354" s="250" t="n"/>
      <c r="K354" s="249">
        <f>+F354*H354</f>
        <v/>
      </c>
      <c r="L354" s="249">
        <f>+F354*I354</f>
        <v/>
      </c>
      <c r="M354" s="249">
        <f>+F354*J354</f>
        <v/>
      </c>
      <c r="N354" s="249">
        <f>SUM(K354:M354)</f>
        <v/>
      </c>
      <c r="O354" s="251">
        <f>SUM(K354:M354)/tc</f>
        <v/>
      </c>
    </row>
    <row r="355">
      <c r="A355" s="233" t="n"/>
      <c r="B355" s="1134">
        <f>VALUE(IF(AND(LEN(TRIM(C355))-LEN(SUBSTITUTE(TRIM(C355),".",""))=1,ISNUMBER(VALUE(SUBSTITUTE(TRIM(C355),".","")))),TRIM(C355),B354))</f>
        <v/>
      </c>
      <c r="C355" s="317" t="inlineStr">
        <is>
          <t>M06-0112</t>
        </is>
      </c>
      <c r="D355" s="318" t="n"/>
      <c r="E355" s="252">
        <f>+_xlfn.XLOOKUP(C355,'BASE DATOS PRECIOS '!B:B,'BASE DATOS PRECIOS '!E:E)</f>
        <v/>
      </c>
      <c r="F355" s="218">
        <f>+'1_OG y 2_ACA'!D1353*100</f>
        <v/>
      </c>
      <c r="G355" s="250">
        <f>+_xlfn.XLOOKUP(C355,'BASE DATOS PRECIOS '!B:B,'BASE DATOS PRECIOS '!F:F)</f>
        <v/>
      </c>
      <c r="H355" s="249">
        <f>+_xlfn.XLOOKUP(E355,'BASE DATOS PRECIOS '!E:E,'BASE DATOS PRECIOS '!H:H)</f>
        <v/>
      </c>
      <c r="I355" s="250" t="n"/>
      <c r="J355" s="250" t="n"/>
      <c r="K355" s="249">
        <f>+F355*H355</f>
        <v/>
      </c>
      <c r="L355" s="249">
        <f>+F355*I355</f>
        <v/>
      </c>
      <c r="M355" s="249">
        <f>+F355*J355</f>
        <v/>
      </c>
      <c r="N355" s="249">
        <f>SUM(K355:M355)</f>
        <v/>
      </c>
      <c r="O355" s="251">
        <f>SUM(K355:M355)/tc</f>
        <v/>
      </c>
    </row>
    <row r="356">
      <c r="A356" s="16" t="n"/>
      <c r="B356" s="1134">
        <f>VALUE(IF(AND(LEN(TRIM(C356))-LEN(SUBSTITUTE(TRIM(C356),".",""))=1,ISNUMBER(VALUE(SUBSTITUTE(TRIM(C356),".","")))),TRIM(C356),B355))</f>
        <v/>
      </c>
      <c r="C356" s="317" t="inlineStr">
        <is>
          <t>M06-0116</t>
        </is>
      </c>
      <c r="D356" s="318" t="n"/>
      <c r="E356" s="252">
        <f>+_xlfn.XLOOKUP(C356,'BASE DATOS PRECIOS '!B:B,'BASE DATOS PRECIOS '!E:E)</f>
        <v/>
      </c>
      <c r="F356" s="218">
        <f>+'1_OG y 2_ACA'!D1354</f>
        <v/>
      </c>
      <c r="G356" s="250">
        <f>+_xlfn.XLOOKUP(C356,'BASE DATOS PRECIOS '!B:B,'BASE DATOS PRECIOS '!F:F)</f>
        <v/>
      </c>
      <c r="H356" s="249">
        <f>+_xlfn.XLOOKUP(E356,'BASE DATOS PRECIOS '!E:E,'BASE DATOS PRECIOS '!H:H)</f>
        <v/>
      </c>
      <c r="I356" s="250" t="n"/>
      <c r="J356" s="250" t="n"/>
      <c r="K356" s="249">
        <f>+F356*H356</f>
        <v/>
      </c>
      <c r="L356" s="249">
        <f>+F356*I356</f>
        <v/>
      </c>
      <c r="M356" s="249">
        <f>+F356*J356</f>
        <v/>
      </c>
      <c r="N356" s="249">
        <f>SUM(K356:M356)</f>
        <v/>
      </c>
      <c r="O356" s="251">
        <f>SUM(K356:M356)/tc</f>
        <v/>
      </c>
    </row>
    <row r="357">
      <c r="A357" s="316" t="inlineStr">
        <is>
          <t xml:space="preserve">Liviano Exteriores </t>
        </is>
      </c>
      <c r="B357" s="1134">
        <f>VALUE(IF(AND(LEN(TRIM(C357))-LEN(SUBSTITUTE(TRIM(C357),".",""))=1,ISNUMBER(VALUE(SUBSTITUTE(TRIM(C357),".","")))),TRIM(C357),B356))</f>
        <v/>
      </c>
      <c r="C357" s="267" t="inlineStr">
        <is>
          <t xml:space="preserve">OPERARIO </t>
        </is>
      </c>
      <c r="D357" s="268" t="n"/>
      <c r="E357" s="269">
        <f>+_xlfn.XLOOKUP(C357,'BASE DATOS MANO DE OBRA'!A:A,'BASE DATOS MANO DE OBRA'!B:B)</f>
        <v/>
      </c>
      <c r="F357" s="270">
        <f>+ROUNDUP(('1_OG y 2_ACA'!F1357+'1_OG y 2_ACA'!F1313),0)/2</f>
        <v/>
      </c>
      <c r="G357" s="271">
        <f>+_xlfn.XLOOKUP(C357,'BASE DATOS MANO DE OBRA'!A:A,'BASE DATOS MANO DE OBRA'!C:C)</f>
        <v/>
      </c>
      <c r="H357" s="272" t="n">
        <v>0</v>
      </c>
      <c r="I357" s="272">
        <f>+_xlfn.XLOOKUP(C357,'BASE DATOS MANO DE OBRA'!A:A,'BASE DATOS MANO DE OBRA'!E:E)</f>
        <v/>
      </c>
      <c r="J357" s="272" t="n">
        <v>0</v>
      </c>
      <c r="K357" s="272">
        <f>+F357*H357</f>
        <v/>
      </c>
      <c r="L357" s="272">
        <f>+F357*I357</f>
        <v/>
      </c>
      <c r="M357" s="272">
        <f>+F357*J357</f>
        <v/>
      </c>
      <c r="N357" s="272">
        <f>SUM(K357:M357)</f>
        <v/>
      </c>
      <c r="O357" s="273">
        <f>SUM(K357:M357)/tc</f>
        <v/>
      </c>
    </row>
    <row r="358">
      <c r="A358" s="316" t="inlineStr">
        <is>
          <t xml:space="preserve">Liviano Exteriores </t>
        </is>
      </c>
      <c r="B358" s="1134">
        <f>VALUE(IF(AND(LEN(TRIM(C358))-LEN(SUBSTITUTE(TRIM(C358),".",""))=1,ISNUMBER(VALUE(SUBSTITUTE(TRIM(C358),".","")))),TRIM(C358),B357))</f>
        <v/>
      </c>
      <c r="C358" s="267" t="inlineStr">
        <is>
          <t xml:space="preserve">AYUDANTE </t>
        </is>
      </c>
      <c r="D358" s="268" t="n"/>
      <c r="E358" s="269">
        <f>+_xlfn.XLOOKUP(C358,'BASE DATOS MANO DE OBRA'!A:A,'BASE DATOS MANO DE OBRA'!B:B)</f>
        <v/>
      </c>
      <c r="F358" s="270">
        <f>+F357</f>
        <v/>
      </c>
      <c r="G358" s="271">
        <f>+_xlfn.XLOOKUP(C358,'BASE DATOS MANO DE OBRA'!A:A,'BASE DATOS MANO DE OBRA'!C:C)</f>
        <v/>
      </c>
      <c r="H358" s="272" t="n">
        <v>0</v>
      </c>
      <c r="I358" s="272">
        <f>+_xlfn.XLOOKUP(C358,'BASE DATOS MANO DE OBRA'!A:A,'BASE DATOS MANO DE OBRA'!E:E)</f>
        <v/>
      </c>
      <c r="J358" s="272" t="n">
        <v>0</v>
      </c>
      <c r="K358" s="272">
        <f>+F358*H358</f>
        <v/>
      </c>
      <c r="L358" s="272">
        <f>+F358*I358</f>
        <v/>
      </c>
      <c r="M358" s="272">
        <f>+F358*J358</f>
        <v/>
      </c>
      <c r="N358" s="272">
        <f>SUM(K358:M358)</f>
        <v/>
      </c>
      <c r="O358" s="273">
        <f>SUM(K358:M358)/tc</f>
        <v/>
      </c>
    </row>
    <row r="359">
      <c r="A359" s="316" t="inlineStr">
        <is>
          <t>Tablilla PVC</t>
        </is>
      </c>
      <c r="B359" s="1134">
        <f>VALUE(IF(AND(LEN(TRIM(C359))-LEN(SUBSTITUTE(TRIM(C359),".",""))=1,ISNUMBER(VALUE(SUBSTITUTE(TRIM(C359),".","")))),TRIM(C359),B358))</f>
        <v/>
      </c>
      <c r="C359" s="267" t="inlineStr">
        <is>
          <t xml:space="preserve">OPERARIO </t>
        </is>
      </c>
      <c r="D359" s="268" t="n"/>
      <c r="E359" s="269">
        <f>+_xlfn.XLOOKUP(C359,'BASE DATOS MANO DE OBRA'!A:A,'BASE DATOS MANO DE OBRA'!B:B)</f>
        <v/>
      </c>
      <c r="F359" s="270">
        <f>+ROUNDUP('1_OG y 2_ACA'!F1334,0)/2</f>
        <v/>
      </c>
      <c r="G359" s="271">
        <f>+_xlfn.XLOOKUP(C359,'BASE DATOS MANO DE OBRA'!A:A,'BASE DATOS MANO DE OBRA'!C:C)</f>
        <v/>
      </c>
      <c r="H359" s="272" t="n">
        <v>0</v>
      </c>
      <c r="I359" s="272">
        <f>+_xlfn.XLOOKUP(C359,'BASE DATOS MANO DE OBRA'!A:A,'BASE DATOS MANO DE OBRA'!E:E)</f>
        <v/>
      </c>
      <c r="J359" s="272" t="n">
        <v>0</v>
      </c>
      <c r="K359" s="272">
        <f>+F359*H359</f>
        <v/>
      </c>
      <c r="L359" s="272">
        <f>+F359*I359</f>
        <v/>
      </c>
      <c r="M359" s="272">
        <f>+F359*J359</f>
        <v/>
      </c>
      <c r="N359" s="272">
        <f>SUM(K359:M359)</f>
        <v/>
      </c>
      <c r="O359" s="273">
        <f>SUM(K359:M359)/tc</f>
        <v/>
      </c>
    </row>
    <row r="360">
      <c r="A360" s="316" t="inlineStr">
        <is>
          <t>Tablilla PVC</t>
        </is>
      </c>
      <c r="B360" s="1134">
        <f>VALUE(IF(AND(LEN(TRIM(C360))-LEN(SUBSTITUTE(TRIM(C360),".",""))=1,ISNUMBER(VALUE(SUBSTITUTE(TRIM(C360),".","")))),TRIM(C360),B359))</f>
        <v/>
      </c>
      <c r="C360" s="267" t="inlineStr">
        <is>
          <t xml:space="preserve">AYUDANTE </t>
        </is>
      </c>
      <c r="D360" s="268" t="n"/>
      <c r="E360" s="269">
        <f>+_xlfn.XLOOKUP(C360,'BASE DATOS MANO DE OBRA'!A:A,'BASE DATOS MANO DE OBRA'!B:B)</f>
        <v/>
      </c>
      <c r="F360" s="270">
        <f>+F359</f>
        <v/>
      </c>
      <c r="G360" s="271">
        <f>+_xlfn.XLOOKUP(C360,'BASE DATOS MANO DE OBRA'!A:A,'BASE DATOS MANO DE OBRA'!C:C)</f>
        <v/>
      </c>
      <c r="H360" s="272" t="n">
        <v>0</v>
      </c>
      <c r="I360" s="272">
        <f>+_xlfn.XLOOKUP(C360,'BASE DATOS MANO DE OBRA'!A:A,'BASE DATOS MANO DE OBRA'!E:E)</f>
        <v/>
      </c>
      <c r="J360" s="272" t="n">
        <v>0</v>
      </c>
      <c r="K360" s="272">
        <f>+F360*H360</f>
        <v/>
      </c>
      <c r="L360" s="272">
        <f>+F360*I360</f>
        <v/>
      </c>
      <c r="M360" s="272">
        <f>+F360*J360</f>
        <v/>
      </c>
      <c r="N360" s="272">
        <f>SUM(K360:M360)</f>
        <v/>
      </c>
      <c r="O360" s="273">
        <f>SUM(K360:M360)/tc</f>
        <v/>
      </c>
    </row>
    <row r="361">
      <c r="A361" s="16" t="n"/>
      <c r="B361" s="1134">
        <f>VALUE(IF(AND(LEN(TRIM(C361))-LEN(SUBSTITUTE(TRIM(C361),".",""))=1,ISNUMBER(VALUE(SUBSTITUTE(TRIM(C361),".","")))),TRIM(C361),B360))</f>
        <v/>
      </c>
      <c r="C361" s="234" t="inlineStr">
        <is>
          <t>1.6.2</t>
        </is>
      </c>
      <c r="D361" s="235" t="n"/>
      <c r="E361" s="236" t="inlineStr">
        <is>
          <t>LIVIANO INTERIORES ( PAREDES LIVIANAS Y CIELOS)</t>
        </is>
      </c>
      <c r="F361" s="237" t="n">
        <v>1</v>
      </c>
      <c r="G361" s="235" t="inlineStr">
        <is>
          <t>gb</t>
        </is>
      </c>
      <c r="H361" s="235" t="n"/>
      <c r="I361" s="235" t="n"/>
      <c r="J361" s="235" t="n"/>
      <c r="K361" s="238">
        <f>+SUBTOTAL(9,K362:K392)</f>
        <v/>
      </c>
      <c r="L361" s="238">
        <f>+SUBTOTAL(9,L362:L392)</f>
        <v/>
      </c>
      <c r="M361" s="238">
        <f>+SUBTOTAL(9,M362:M392)</f>
        <v/>
      </c>
      <c r="N361" s="238">
        <f>+SUBTOTAL(9,N362:N392)</f>
        <v/>
      </c>
      <c r="O361" s="1136">
        <f>+SUBTOTAL(9,O362:O392)</f>
        <v/>
      </c>
      <c r="P361" s="1137" t="n"/>
    </row>
    <row r="362">
      <c r="A362" s="16" t="n"/>
      <c r="B362" s="1134">
        <f>VALUE(IF(AND(LEN(TRIM(C362))-LEN(SUBSTITUTE(TRIM(C362),".",""))=1,ISNUMBER(VALUE(SUBSTITUTE(TRIM(C362),".","")))),TRIM(C362),B361))</f>
        <v/>
      </c>
      <c r="C362" s="285" t="n"/>
      <c r="D362" s="286" t="n"/>
      <c r="E362" s="335" t="inlineStr">
        <is>
          <t xml:space="preserve">CIELO GYPSUM Y DENGLASS </t>
        </is>
      </c>
      <c r="F362" s="288">
        <f>+'1_OG y 2_ACA'!D1366</f>
        <v/>
      </c>
      <c r="G362" s="289" t="inlineStr">
        <is>
          <t>M2</t>
        </is>
      </c>
      <c r="H362" s="289" t="n"/>
      <c r="I362" s="289" t="n"/>
      <c r="J362" s="289" t="n"/>
      <c r="K362" s="290" t="n"/>
      <c r="L362" s="290" t="n"/>
      <c r="M362" s="290" t="n"/>
      <c r="N362" s="290" t="n"/>
      <c r="O362" s="291" t="n"/>
      <c r="P362" s="277" t="n"/>
    </row>
    <row r="363">
      <c r="A363" s="16" t="n"/>
      <c r="B363" s="1134">
        <f>VALUE(IF(AND(LEN(TRIM(C363))-LEN(SUBSTITUTE(TRIM(C363),".",""))=1,ISNUMBER(VALUE(SUBSTITUTE(TRIM(C363),".","")))),TRIM(C363),B362))</f>
        <v/>
      </c>
      <c r="C363" s="336" t="n"/>
      <c r="D363" s="337" t="n"/>
      <c r="E363" s="338" t="inlineStr">
        <is>
          <t>Normal</t>
        </is>
      </c>
      <c r="F363" s="339">
        <f>+'1_OG y 2_ACA'!D1365</f>
        <v/>
      </c>
      <c r="G363" s="340" t="inlineStr">
        <is>
          <t>M2</t>
        </is>
      </c>
      <c r="H363" s="340" t="n"/>
      <c r="I363" s="340" t="n"/>
      <c r="J363" s="340" t="n"/>
      <c r="K363" s="341" t="n"/>
      <c r="L363" s="341" t="n"/>
      <c r="M363" s="341" t="n"/>
      <c r="N363" s="341" t="n"/>
      <c r="O363" s="342" t="n"/>
      <c r="P363" s="277" t="n"/>
    </row>
    <row r="364">
      <c r="A364" s="16" t="n"/>
      <c r="B364" s="1134">
        <f>VALUE(IF(AND(LEN(TRIM(C364))-LEN(SUBSTITUTE(TRIM(C364),".",""))=1,ISNUMBER(VALUE(SUBSTITUTE(TRIM(C364),".","")))),TRIM(C364),B363))</f>
        <v/>
      </c>
      <c r="C364" s="336" t="n"/>
      <c r="D364" s="337" t="n"/>
      <c r="E364" s="338" t="inlineStr">
        <is>
          <t>Área húmeda</t>
        </is>
      </c>
      <c r="F364" s="339">
        <f>+'1_OG y 2_ACA'!D1364</f>
        <v/>
      </c>
      <c r="G364" s="340" t="inlineStr">
        <is>
          <t>M2</t>
        </is>
      </c>
      <c r="H364" s="340" t="n"/>
      <c r="I364" s="340" t="n"/>
      <c r="J364" s="340" t="n"/>
      <c r="K364" s="341" t="n"/>
      <c r="L364" s="341" t="n"/>
      <c r="M364" s="341" t="n"/>
      <c r="N364" s="341" t="n"/>
      <c r="O364" s="342" t="n"/>
      <c r="P364" s="277" t="n"/>
    </row>
    <row r="365">
      <c r="A365" s="16" t="n"/>
      <c r="B365" s="1134">
        <f>VALUE(IF(AND(LEN(TRIM(C365))-LEN(SUBSTITUTE(TRIM(C365),".",""))=1,ISNUMBER(VALUE(SUBSTITUTE(TRIM(C365),".","")))),TRIM(C365),B364))</f>
        <v/>
      </c>
      <c r="C365" s="333" t="inlineStr">
        <is>
          <t>M04-0018</t>
        </is>
      </c>
      <c r="D365" s="334" t="n"/>
      <c r="E365" s="252">
        <f>+_xlfn.XLOOKUP(C365,'BASE DATOS PRECIOS '!B:B,'BASE DATOS PRECIOS '!E:E)</f>
        <v/>
      </c>
      <c r="F365" s="218">
        <f>+'1_OG y 2_ACA'!D1369</f>
        <v/>
      </c>
      <c r="G365" s="250">
        <f>+_xlfn.XLOOKUP(C365,'BASE DATOS PRECIOS '!B:B,'BASE DATOS PRECIOS '!F:F)</f>
        <v/>
      </c>
      <c r="H365" s="249">
        <f>+_xlfn.XLOOKUP(E365,'BASE DATOS PRECIOS '!E:E,'BASE DATOS PRECIOS '!H:H)</f>
        <v/>
      </c>
      <c r="I365" s="250" t="n"/>
      <c r="J365" s="250" t="n"/>
      <c r="K365" s="249">
        <f>+F365*H365</f>
        <v/>
      </c>
      <c r="L365" s="249">
        <f>+F365*I365</f>
        <v/>
      </c>
      <c r="M365" s="249">
        <f>+F365*J365</f>
        <v/>
      </c>
      <c r="N365" s="249">
        <f>SUM(K365:M365)</f>
        <v/>
      </c>
      <c r="O365" s="251">
        <f>SUM(K365:M365)/tc</f>
        <v/>
      </c>
      <c r="P365" s="277" t="n"/>
    </row>
    <row r="366">
      <c r="A366" s="16" t="n"/>
      <c r="B366" s="1134">
        <f>VALUE(IF(AND(LEN(TRIM(C366))-LEN(SUBSTITUTE(TRIM(C366),".",""))=1,ISNUMBER(VALUE(SUBSTITUTE(TRIM(C366),".","")))),TRIM(C366),B365))</f>
        <v/>
      </c>
      <c r="C366" s="333" t="inlineStr">
        <is>
          <t>M04-0017</t>
        </is>
      </c>
      <c r="D366" s="334" t="n"/>
      <c r="E366" s="252">
        <f>+_xlfn.XLOOKUP(C366,'BASE DATOS PRECIOS '!B:B,'BASE DATOS PRECIOS '!E:E)</f>
        <v/>
      </c>
      <c r="F366" s="218">
        <f>+'1_OG y 2_ACA'!D1370</f>
        <v/>
      </c>
      <c r="G366" s="250">
        <f>+_xlfn.XLOOKUP(C366,'BASE DATOS PRECIOS '!B:B,'BASE DATOS PRECIOS '!F:F)</f>
        <v/>
      </c>
      <c r="H366" s="249">
        <f>+_xlfn.XLOOKUP(E366,'BASE DATOS PRECIOS '!E:E,'BASE DATOS PRECIOS '!H:H)</f>
        <v/>
      </c>
      <c r="I366" s="250" t="n"/>
      <c r="J366" s="250" t="n"/>
      <c r="K366" s="249">
        <f>+F366*H366</f>
        <v/>
      </c>
      <c r="L366" s="249">
        <f>+F366*I366</f>
        <v/>
      </c>
      <c r="M366" s="249">
        <f>+F366*J366</f>
        <v/>
      </c>
      <c r="N366" s="249">
        <f>SUM(K366:M366)</f>
        <v/>
      </c>
      <c r="O366" s="251">
        <f>SUM(K366:M366)/tc</f>
        <v/>
      </c>
      <c r="P366" s="277" t="n"/>
    </row>
    <row r="367">
      <c r="A367" s="16" t="n"/>
      <c r="B367" s="1134">
        <f>VALUE(IF(AND(LEN(TRIM(C367))-LEN(SUBSTITUTE(TRIM(C367),".",""))=1,ISNUMBER(VALUE(SUBSTITUTE(TRIM(C367),".","")))),TRIM(C367),B366))</f>
        <v/>
      </c>
      <c r="C367" s="317" t="inlineStr">
        <is>
          <t>M04-0035</t>
        </is>
      </c>
      <c r="D367" s="318" t="n"/>
      <c r="E367" s="252">
        <f>+_xlfn.XLOOKUP(C367,'BASE DATOS PRECIOS '!B:B,'BASE DATOS PRECIOS '!E:E)</f>
        <v/>
      </c>
      <c r="F367" s="218">
        <f>+'1_OG y 2_ACA'!D1371</f>
        <v/>
      </c>
      <c r="G367" s="250">
        <f>+_xlfn.XLOOKUP(C367,'BASE DATOS PRECIOS '!B:B,'BASE DATOS PRECIOS '!F:F)</f>
        <v/>
      </c>
      <c r="H367" s="249">
        <f>+_xlfn.XLOOKUP(E367,'BASE DATOS PRECIOS '!E:E,'BASE DATOS PRECIOS '!H:H)</f>
        <v/>
      </c>
      <c r="I367" s="250" t="n"/>
      <c r="J367" s="250" t="n"/>
      <c r="K367" s="249">
        <f>+F367*H367</f>
        <v/>
      </c>
      <c r="L367" s="249">
        <f>+F367*I367</f>
        <v/>
      </c>
      <c r="M367" s="249">
        <f>+F367*J367</f>
        <v/>
      </c>
      <c r="N367" s="249">
        <f>SUM(K367:M367)</f>
        <v/>
      </c>
      <c r="O367" s="251">
        <f>SUM(K367:M367)/tc</f>
        <v/>
      </c>
      <c r="P367" s="277" t="n"/>
    </row>
    <row r="368">
      <c r="A368" s="16" t="n"/>
      <c r="B368" s="1134">
        <f>VALUE(IF(AND(LEN(TRIM(C368))-LEN(SUBSTITUTE(TRIM(C368),".",""))=1,ISNUMBER(VALUE(SUBSTITUTE(TRIM(C368),".","")))),TRIM(C368),B367))</f>
        <v/>
      </c>
      <c r="C368" s="333" t="inlineStr">
        <is>
          <t>M04-0034</t>
        </is>
      </c>
      <c r="D368" s="334" t="n"/>
      <c r="E368" s="252">
        <f>+_xlfn.XLOOKUP(C368,'BASE DATOS PRECIOS '!B:B,'BASE DATOS PRECIOS '!E:E)</f>
        <v/>
      </c>
      <c r="F368" s="218">
        <f>+'1_OG y 2_ACA'!D1372</f>
        <v/>
      </c>
      <c r="G368" s="250">
        <f>+_xlfn.XLOOKUP(C368,'BASE DATOS PRECIOS '!B:B,'BASE DATOS PRECIOS '!F:F)</f>
        <v/>
      </c>
      <c r="H368" s="249">
        <f>+_xlfn.XLOOKUP(E368,'BASE DATOS PRECIOS '!E:E,'BASE DATOS PRECIOS '!H:H)</f>
        <v/>
      </c>
      <c r="I368" s="250" t="n"/>
      <c r="J368" s="250" t="n"/>
      <c r="K368" s="249">
        <f>+F368*H368</f>
        <v/>
      </c>
      <c r="L368" s="249">
        <f>+F368*I368</f>
        <v/>
      </c>
      <c r="M368" s="249">
        <f>+F368*J368</f>
        <v/>
      </c>
      <c r="N368" s="249">
        <f>SUM(K368:M368)</f>
        <v/>
      </c>
      <c r="O368" s="251">
        <f>SUM(K368:M368)/tc</f>
        <v/>
      </c>
      <c r="P368" s="277" t="n"/>
    </row>
    <row r="369">
      <c r="A369" s="16" t="n"/>
      <c r="B369" s="1134">
        <f>VALUE(IF(AND(LEN(TRIM(C369))-LEN(SUBSTITUTE(TRIM(C369),".",""))=1,ISNUMBER(VALUE(SUBSTITUTE(TRIM(C369),".","")))),TRIM(C369),B368))</f>
        <v/>
      </c>
      <c r="C369" s="317" t="inlineStr">
        <is>
          <t>M04-0033</t>
        </is>
      </c>
      <c r="D369" s="318" t="n"/>
      <c r="E369" s="252">
        <f>+_xlfn.XLOOKUP(C369,'BASE DATOS PRECIOS '!B:B,'BASE DATOS PRECIOS '!E:E)</f>
        <v/>
      </c>
      <c r="F369" s="218">
        <f>+'1_OG y 2_ACA'!D1373</f>
        <v/>
      </c>
      <c r="G369" s="250">
        <f>+_xlfn.XLOOKUP(C369,'BASE DATOS PRECIOS '!B:B,'BASE DATOS PRECIOS '!F:F)</f>
        <v/>
      </c>
      <c r="H369" s="249">
        <f>+_xlfn.XLOOKUP(E369,'BASE DATOS PRECIOS '!E:E,'BASE DATOS PRECIOS '!H:H)</f>
        <v/>
      </c>
      <c r="I369" s="250" t="n"/>
      <c r="J369" s="250" t="n"/>
      <c r="K369" s="249">
        <f>+F369*H369</f>
        <v/>
      </c>
      <c r="L369" s="249">
        <f>+F369*I369</f>
        <v/>
      </c>
      <c r="M369" s="249">
        <f>+F369*J369</f>
        <v/>
      </c>
      <c r="N369" s="249">
        <f>SUM(K369:M369)</f>
        <v/>
      </c>
      <c r="O369" s="251">
        <f>SUM(K369:M369)/tc</f>
        <v/>
      </c>
      <c r="P369" s="277" t="n"/>
    </row>
    <row r="370">
      <c r="A370" s="16" t="n"/>
      <c r="B370" s="1134">
        <f>VALUE(IF(AND(LEN(TRIM(C370))-LEN(SUBSTITUTE(TRIM(C370),".",""))=1,ISNUMBER(VALUE(SUBSTITUTE(TRIM(C370),".","")))),TRIM(C370),B369))</f>
        <v/>
      </c>
      <c r="C370" s="317" t="inlineStr">
        <is>
          <t>M04-0014</t>
        </is>
      </c>
      <c r="D370" s="318" t="n"/>
      <c r="E370" s="252">
        <f>+_xlfn.XLOOKUP(C370,'BASE DATOS PRECIOS '!B:B,'BASE DATOS PRECIOS '!E:E)</f>
        <v/>
      </c>
      <c r="F370" s="218">
        <f>+'1_OG y 2_ACA'!D1374</f>
        <v/>
      </c>
      <c r="G370" s="250">
        <f>+_xlfn.XLOOKUP(C370,'BASE DATOS PRECIOS '!B:B,'BASE DATOS PRECIOS '!F:F)</f>
        <v/>
      </c>
      <c r="H370" s="249">
        <f>+_xlfn.XLOOKUP(E370,'BASE DATOS PRECIOS '!E:E,'BASE DATOS PRECIOS '!H:H)</f>
        <v/>
      </c>
      <c r="I370" s="250" t="n"/>
      <c r="J370" s="250" t="n"/>
      <c r="K370" s="249">
        <f>+F370*H370</f>
        <v/>
      </c>
      <c r="L370" s="249">
        <f>+F370*I370</f>
        <v/>
      </c>
      <c r="M370" s="249">
        <f>+F370*J370</f>
        <v/>
      </c>
      <c r="N370" s="249">
        <f>SUM(K370:M370)</f>
        <v/>
      </c>
      <c r="O370" s="251">
        <f>SUM(K370:M370)/tc</f>
        <v/>
      </c>
      <c r="P370" s="277" t="n"/>
    </row>
    <row r="371">
      <c r="A371" s="16" t="n"/>
      <c r="B371" s="1134">
        <f>VALUE(IF(AND(LEN(TRIM(C371))-LEN(SUBSTITUTE(TRIM(C371),".",""))=1,ISNUMBER(VALUE(SUBSTITUTE(TRIM(C371),".","")))),TRIM(C371),B370))</f>
        <v/>
      </c>
      <c r="C371" s="333" t="inlineStr">
        <is>
          <t>M06-0043</t>
        </is>
      </c>
      <c r="D371" s="334" t="n"/>
      <c r="E371" s="252">
        <f>+_xlfn.XLOOKUP(C371,'BASE DATOS PRECIOS '!B:B,'BASE DATOS PRECIOS '!E:E)</f>
        <v/>
      </c>
      <c r="F371" s="218">
        <f>+'1_OG y 2_ACA'!D1375</f>
        <v/>
      </c>
      <c r="G371" s="250">
        <f>+_xlfn.XLOOKUP(C371,'BASE DATOS PRECIOS '!B:B,'BASE DATOS PRECIOS '!F:F)</f>
        <v/>
      </c>
      <c r="H371" s="249">
        <f>+_xlfn.XLOOKUP(E371,'BASE DATOS PRECIOS '!E:E,'BASE DATOS PRECIOS '!H:H)</f>
        <v/>
      </c>
      <c r="I371" s="250" t="n"/>
      <c r="J371" s="250" t="n"/>
      <c r="K371" s="249">
        <f>+F371*H371</f>
        <v/>
      </c>
      <c r="L371" s="249">
        <f>+F371*I371</f>
        <v/>
      </c>
      <c r="M371" s="249">
        <f>+F371*J371</f>
        <v/>
      </c>
      <c r="N371" s="249">
        <f>SUM(K371:M371)</f>
        <v/>
      </c>
      <c r="O371" s="251">
        <f>SUM(K371:M371)/tc</f>
        <v/>
      </c>
      <c r="P371" s="277" t="n"/>
    </row>
    <row r="372">
      <c r="A372" s="16" t="n"/>
      <c r="B372" s="1134">
        <f>VALUE(IF(AND(LEN(TRIM(C372))-LEN(SUBSTITUTE(TRIM(C372),".",""))=1,ISNUMBER(VALUE(SUBSTITUTE(TRIM(C372),".","")))),TRIM(C372),B371))</f>
        <v/>
      </c>
      <c r="C372" s="333" t="inlineStr">
        <is>
          <t>M06-0278</t>
        </is>
      </c>
      <c r="D372" s="334" t="n"/>
      <c r="E372" s="252">
        <f>+_xlfn.XLOOKUP(C372,'BASE DATOS PRECIOS '!B:B,'BASE DATOS PRECIOS '!E:E)</f>
        <v/>
      </c>
      <c r="F372" s="218">
        <f>+'1_OG y 2_ACA'!D1376</f>
        <v/>
      </c>
      <c r="G372" s="250">
        <f>+_xlfn.XLOOKUP(C372,'BASE DATOS PRECIOS '!B:B,'BASE DATOS PRECIOS '!F:F)</f>
        <v/>
      </c>
      <c r="H372" s="249">
        <f>+_xlfn.XLOOKUP(E372,'BASE DATOS PRECIOS '!E:E,'BASE DATOS PRECIOS '!H:H)</f>
        <v/>
      </c>
      <c r="I372" s="250" t="n"/>
      <c r="J372" s="250" t="n"/>
      <c r="K372" s="249">
        <f>+F372*H372</f>
        <v/>
      </c>
      <c r="L372" s="249">
        <f>+F372*I372</f>
        <v/>
      </c>
      <c r="M372" s="249">
        <f>+F372*J372</f>
        <v/>
      </c>
      <c r="N372" s="249">
        <f>SUM(K372:M372)</f>
        <v/>
      </c>
      <c r="O372" s="251">
        <f>SUM(K372:M372)/tc</f>
        <v/>
      </c>
      <c r="P372" s="277" t="n"/>
    </row>
    <row r="373">
      <c r="A373" s="16" t="n"/>
      <c r="B373" s="1134">
        <f>VALUE(IF(AND(LEN(TRIM(C373))-LEN(SUBSTITUTE(TRIM(C373),".",""))=1,ISNUMBER(VALUE(SUBSTITUTE(TRIM(C373),".","")))),TRIM(C373),B372))</f>
        <v/>
      </c>
      <c r="C373" s="333" t="inlineStr">
        <is>
          <t>M06-0105</t>
        </is>
      </c>
      <c r="D373" s="334" t="n"/>
      <c r="E373" s="252">
        <f>+_xlfn.XLOOKUP(C373,'BASE DATOS PRECIOS '!B:B,'BASE DATOS PRECIOS '!E:E)</f>
        <v/>
      </c>
      <c r="F373" s="218">
        <f>+'1_OG y 2_ACA'!D1377*100</f>
        <v/>
      </c>
      <c r="G373" s="250">
        <f>+_xlfn.XLOOKUP(C373,'BASE DATOS PRECIOS '!B:B,'BASE DATOS PRECIOS '!F:F)</f>
        <v/>
      </c>
      <c r="H373" s="249">
        <f>+_xlfn.XLOOKUP(E373,'BASE DATOS PRECIOS '!E:E,'BASE DATOS PRECIOS '!H:H)</f>
        <v/>
      </c>
      <c r="I373" s="250" t="n"/>
      <c r="J373" s="250" t="n"/>
      <c r="K373" s="249">
        <f>+F373*H373</f>
        <v/>
      </c>
      <c r="L373" s="249">
        <f>+F373*I373</f>
        <v/>
      </c>
      <c r="M373" s="249">
        <f>+F373*J373</f>
        <v/>
      </c>
      <c r="N373" s="249">
        <f>SUM(K373:M373)</f>
        <v/>
      </c>
      <c r="O373" s="251">
        <f>SUM(K373:M373)/tc</f>
        <v/>
      </c>
      <c r="P373" s="277" t="n"/>
    </row>
    <row r="374">
      <c r="A374" s="16" t="n"/>
      <c r="B374" s="1134">
        <f>VALUE(IF(AND(LEN(TRIM(C374))-LEN(SUBSTITUTE(TRIM(C374),".",""))=1,ISNUMBER(VALUE(SUBSTITUTE(TRIM(C374),".","")))),TRIM(C374),B373))</f>
        <v/>
      </c>
      <c r="C374" s="333" t="inlineStr">
        <is>
          <t>M06-0116</t>
        </is>
      </c>
      <c r="D374" s="334" t="n"/>
      <c r="E374" s="252">
        <f>+_xlfn.XLOOKUP(C374,'BASE DATOS PRECIOS '!B:B,'BASE DATOS PRECIOS '!E:E)</f>
        <v/>
      </c>
      <c r="F374" s="218">
        <f>+'1_OG y 2_ACA'!D1378</f>
        <v/>
      </c>
      <c r="G374" s="250">
        <f>+_xlfn.XLOOKUP(C374,'BASE DATOS PRECIOS '!B:B,'BASE DATOS PRECIOS '!F:F)</f>
        <v/>
      </c>
      <c r="H374" s="249">
        <f>+_xlfn.XLOOKUP(E374,'BASE DATOS PRECIOS '!E:E,'BASE DATOS PRECIOS '!H:H)</f>
        <v/>
      </c>
      <c r="I374" s="250" t="n"/>
      <c r="J374" s="250" t="n"/>
      <c r="K374" s="249">
        <f>+F374*H374</f>
        <v/>
      </c>
      <c r="L374" s="249">
        <f>+F374*I374</f>
        <v/>
      </c>
      <c r="M374" s="249">
        <f>+F374*J374</f>
        <v/>
      </c>
      <c r="N374" s="249">
        <f>SUM(K374:M374)</f>
        <v/>
      </c>
      <c r="O374" s="251">
        <f>SUM(K374:M374)/tc</f>
        <v/>
      </c>
      <c r="P374" s="277" t="n"/>
    </row>
    <row r="375">
      <c r="A375" s="16" t="n"/>
      <c r="B375" s="1134">
        <f>VALUE(IF(AND(LEN(TRIM(C375))-LEN(SUBSTITUTE(TRIM(C375),".",""))=1,ISNUMBER(VALUE(SUBSTITUTE(TRIM(C375),".","")))),TRIM(C375),B374))</f>
        <v/>
      </c>
      <c r="C375" s="285" t="n"/>
      <c r="D375" s="286" t="n"/>
      <c r="E375" s="335" t="inlineStr">
        <is>
          <t xml:space="preserve">PARED INTERNA </t>
        </is>
      </c>
      <c r="F375" s="288">
        <f>+'1_OG y 2_ACA'!E1390</f>
        <v/>
      </c>
      <c r="G375" s="289" t="inlineStr">
        <is>
          <t>M2</t>
        </is>
      </c>
      <c r="H375" s="289" t="n"/>
      <c r="I375" s="289" t="n"/>
      <c r="J375" s="289" t="n"/>
      <c r="K375" s="290" t="n"/>
      <c r="L375" s="290" t="n"/>
      <c r="M375" s="290" t="n"/>
      <c r="N375" s="290" t="n"/>
      <c r="O375" s="291" t="n"/>
    </row>
    <row r="376">
      <c r="A376" s="16" t="n"/>
      <c r="B376" s="1134">
        <f>VALUE(IF(AND(LEN(TRIM(C376))-LEN(SUBSTITUTE(TRIM(C376),".",""))=1,ISNUMBER(VALUE(SUBSTITUTE(TRIM(C376),".","")))),TRIM(C376),B375))</f>
        <v/>
      </c>
      <c r="C376" s="317" t="inlineStr">
        <is>
          <t>M04-0016</t>
        </is>
      </c>
      <c r="D376" s="318" t="n"/>
      <c r="E376" s="252">
        <f>+_xlfn.XLOOKUP(C376,'BASE DATOS PRECIOS '!B:B,'BASE DATOS PRECIOS '!E:E)</f>
        <v/>
      </c>
      <c r="F376" s="218">
        <f>+'1_OG y 2_ACA'!D1399</f>
        <v/>
      </c>
      <c r="G376" s="250">
        <f>+_xlfn.XLOOKUP(C376,'BASE DATOS PRECIOS '!B:B,'BASE DATOS PRECIOS '!F:F)</f>
        <v/>
      </c>
      <c r="H376" s="249">
        <f>+_xlfn.XLOOKUP(E376,'BASE DATOS PRECIOS '!E:E,'BASE DATOS PRECIOS '!H:H)</f>
        <v/>
      </c>
      <c r="I376" s="250" t="n"/>
      <c r="J376" s="250" t="n"/>
      <c r="K376" s="249">
        <f>+F376*H376</f>
        <v/>
      </c>
      <c r="L376" s="249">
        <f>+F376*I376</f>
        <v/>
      </c>
      <c r="M376" s="249">
        <f>+F376*J376</f>
        <v/>
      </c>
      <c r="N376" s="249">
        <f>SUM(K376:M376)</f>
        <v/>
      </c>
      <c r="O376" s="251">
        <f>SUM(K376:M376)/tc</f>
        <v/>
      </c>
    </row>
    <row r="377">
      <c r="A377" s="16" t="n"/>
      <c r="B377" s="1134">
        <f>VALUE(IF(AND(LEN(TRIM(C377))-LEN(SUBSTITUTE(TRIM(C377),".",""))=1,ISNUMBER(VALUE(SUBSTITUTE(TRIM(C377),".","")))),TRIM(C377),B376))</f>
        <v/>
      </c>
      <c r="C377" s="317" t="inlineStr">
        <is>
          <t>M04-0018</t>
        </is>
      </c>
      <c r="D377" s="318" t="n"/>
      <c r="E377" s="252">
        <f>+_xlfn.XLOOKUP(C377,'BASE DATOS PRECIOS '!B:B,'BASE DATOS PRECIOS '!E:E)</f>
        <v/>
      </c>
      <c r="F377" s="218">
        <f>+'1_OG y 2_ACA'!D1400</f>
        <v/>
      </c>
      <c r="G377" s="250">
        <f>+_xlfn.XLOOKUP(C377,'BASE DATOS PRECIOS '!B:B,'BASE DATOS PRECIOS '!F:F)</f>
        <v/>
      </c>
      <c r="H377" s="249">
        <f>+_xlfn.XLOOKUP(E377,'BASE DATOS PRECIOS '!E:E,'BASE DATOS PRECIOS '!H:H)</f>
        <v/>
      </c>
      <c r="I377" s="250" t="n"/>
      <c r="J377" s="250" t="n"/>
      <c r="K377" s="249">
        <f>+F377*H377</f>
        <v/>
      </c>
      <c r="L377" s="249">
        <f>+F377*I377</f>
        <v/>
      </c>
      <c r="M377" s="249">
        <f>+F377*J377</f>
        <v/>
      </c>
      <c r="N377" s="249">
        <f>SUM(K377:M377)</f>
        <v/>
      </c>
      <c r="O377" s="251">
        <f>SUM(K377:M377)/tc</f>
        <v/>
      </c>
    </row>
    <row r="378">
      <c r="A378" s="16" t="n"/>
      <c r="B378" s="1134">
        <f>VALUE(IF(AND(LEN(TRIM(C378))-LEN(SUBSTITUTE(TRIM(C378),".",""))=1,ISNUMBER(VALUE(SUBSTITUTE(TRIM(C378),".","")))),TRIM(C378),B377))</f>
        <v/>
      </c>
      <c r="C378" s="333" t="inlineStr">
        <is>
          <t>M04-0038</t>
        </is>
      </c>
      <c r="D378" s="334" t="n"/>
      <c r="E378" s="252">
        <f>+_xlfn.XLOOKUP(C378,'BASE DATOS PRECIOS '!B:B,'BASE DATOS PRECIOS '!E:E)</f>
        <v/>
      </c>
      <c r="F378" s="218">
        <f>+'1_OG y 2_ACA'!D1401</f>
        <v/>
      </c>
      <c r="G378" s="250">
        <f>+_xlfn.XLOOKUP(C378,'BASE DATOS PRECIOS '!B:B,'BASE DATOS PRECIOS '!F:F)</f>
        <v/>
      </c>
      <c r="H378" s="249">
        <f>+_xlfn.XLOOKUP(E378,'BASE DATOS PRECIOS '!E:E,'BASE DATOS PRECIOS '!H:H)</f>
        <v/>
      </c>
      <c r="I378" s="250" t="n"/>
      <c r="J378" s="250" t="n"/>
      <c r="K378" s="249">
        <f>+F378*H378</f>
        <v/>
      </c>
      <c r="L378" s="249">
        <f>+F378*I378</f>
        <v/>
      </c>
      <c r="M378" s="249">
        <f>+F378*J378</f>
        <v/>
      </c>
      <c r="N378" s="249">
        <f>SUM(K378:M378)</f>
        <v/>
      </c>
      <c r="O378" s="251">
        <f>SUM(K378:M378)/tc</f>
        <v/>
      </c>
    </row>
    <row r="379">
      <c r="A379" s="16" t="n"/>
      <c r="B379" s="1134">
        <f>VALUE(IF(AND(LEN(TRIM(C379))-LEN(SUBSTITUTE(TRIM(C379),".",""))=1,ISNUMBER(VALUE(SUBSTITUTE(TRIM(C379),".","")))),TRIM(C379),B378))</f>
        <v/>
      </c>
      <c r="C379" s="317" t="inlineStr">
        <is>
          <t>M04-0043</t>
        </is>
      </c>
      <c r="D379" s="318" t="n"/>
      <c r="E379" s="252">
        <f>+_xlfn.XLOOKUP(C379,'BASE DATOS PRECIOS '!B:B,'BASE DATOS PRECIOS '!E:E)</f>
        <v/>
      </c>
      <c r="F379" s="218">
        <f>+'1_OG y 2_ACA'!D1402</f>
        <v/>
      </c>
      <c r="G379" s="250">
        <f>+_xlfn.XLOOKUP(C379,'BASE DATOS PRECIOS '!B:B,'BASE DATOS PRECIOS '!F:F)</f>
        <v/>
      </c>
      <c r="H379" s="249">
        <f>+_xlfn.XLOOKUP(E379,'BASE DATOS PRECIOS '!E:E,'BASE DATOS PRECIOS '!H:H)</f>
        <v/>
      </c>
      <c r="I379" s="343" t="n"/>
      <c r="J379" s="250" t="n"/>
      <c r="K379" s="249">
        <f>+F379*H379</f>
        <v/>
      </c>
      <c r="L379" s="249">
        <f>+F379*I379</f>
        <v/>
      </c>
      <c r="M379" s="249">
        <f>+F379*J379</f>
        <v/>
      </c>
      <c r="N379" s="249">
        <f>SUM(K379:M379)</f>
        <v/>
      </c>
      <c r="O379" s="251">
        <f>SUM(K379:M379)/tc</f>
        <v/>
      </c>
    </row>
    <row r="380">
      <c r="A380" s="16" t="n"/>
      <c r="B380" s="1134">
        <f>VALUE(IF(AND(LEN(TRIM(C380))-LEN(SUBSTITUTE(TRIM(C380),".",""))=1,ISNUMBER(VALUE(SUBSTITUTE(TRIM(C380),".","")))),TRIM(C380),B379))</f>
        <v/>
      </c>
      <c r="C380" s="333" t="inlineStr">
        <is>
          <t>M04-0039</t>
        </is>
      </c>
      <c r="D380" s="334" t="n"/>
      <c r="E380" s="252">
        <f>+_xlfn.XLOOKUP(C380,'BASE DATOS PRECIOS '!B:B,'BASE DATOS PRECIOS '!E:E)</f>
        <v/>
      </c>
      <c r="F380" s="218">
        <f>+'1_OG y 2_ACA'!D1403</f>
        <v/>
      </c>
      <c r="G380" s="250">
        <f>+_xlfn.XLOOKUP(C380,'BASE DATOS PRECIOS '!B:B,'BASE DATOS PRECIOS '!F:F)</f>
        <v/>
      </c>
      <c r="H380" s="249">
        <f>+_xlfn.XLOOKUP(E380,'BASE DATOS PRECIOS '!E:E,'BASE DATOS PRECIOS '!H:H)</f>
        <v/>
      </c>
      <c r="I380" s="250" t="n"/>
      <c r="J380" s="250" t="n"/>
      <c r="K380" s="249">
        <f>+F380*H380</f>
        <v/>
      </c>
      <c r="L380" s="249">
        <f>+F380*I380</f>
        <v/>
      </c>
      <c r="M380" s="249">
        <f>+F380*J380</f>
        <v/>
      </c>
      <c r="N380" s="249">
        <f>SUM(K380:M380)</f>
        <v/>
      </c>
      <c r="O380" s="251">
        <f>SUM(K380:M380)/tc</f>
        <v/>
      </c>
    </row>
    <row r="381">
      <c r="A381" s="16" t="n"/>
      <c r="B381" s="1134">
        <f>VALUE(IF(AND(LEN(TRIM(C381))-LEN(SUBSTITUTE(TRIM(C381),".",""))=1,ISNUMBER(VALUE(SUBSTITUTE(TRIM(C381),".","")))),TRIM(C381),B380))</f>
        <v/>
      </c>
      <c r="C381" s="317" t="inlineStr">
        <is>
          <t>M04-0044</t>
        </is>
      </c>
      <c r="D381" s="318" t="n"/>
      <c r="E381" s="252">
        <f>+_xlfn.XLOOKUP(C381,'BASE DATOS PRECIOS '!B:B,'BASE DATOS PRECIOS '!E:E)</f>
        <v/>
      </c>
      <c r="F381" s="218">
        <f>+'1_OG y 2_ACA'!D1404</f>
        <v/>
      </c>
      <c r="G381" s="250">
        <f>+_xlfn.XLOOKUP(C381,'BASE DATOS PRECIOS '!B:B,'BASE DATOS PRECIOS '!F:F)</f>
        <v/>
      </c>
      <c r="H381" s="249">
        <f>+_xlfn.XLOOKUP(E381,'BASE DATOS PRECIOS '!E:E,'BASE DATOS PRECIOS '!H:H)</f>
        <v/>
      </c>
      <c r="I381" s="343" t="n"/>
      <c r="J381" s="250" t="n"/>
      <c r="K381" s="249">
        <f>+F381*H381</f>
        <v/>
      </c>
      <c r="L381" s="249">
        <f>+F381*I381</f>
        <v/>
      </c>
      <c r="M381" s="249">
        <f>+F381*J381</f>
        <v/>
      </c>
      <c r="N381" s="249">
        <f>SUM(K381:M381)</f>
        <v/>
      </c>
      <c r="O381" s="251">
        <f>SUM(K381:M381)/tc</f>
        <v/>
      </c>
    </row>
    <row r="382">
      <c r="A382" s="16" t="n"/>
      <c r="B382" s="1134">
        <f>VALUE(IF(AND(LEN(TRIM(C382))-LEN(SUBSTITUTE(TRIM(C382),".",""))=1,ISNUMBER(VALUE(SUBSTITUTE(TRIM(C382),".","")))),TRIM(C382),B379))</f>
        <v/>
      </c>
      <c r="C382" s="317" t="inlineStr">
        <is>
          <t>M06-0043</t>
        </is>
      </c>
      <c r="D382" s="318" t="n"/>
      <c r="E382" s="252">
        <f>+_xlfn.XLOOKUP(C382,'BASE DATOS PRECIOS '!B:B,'BASE DATOS PRECIOS '!E:E)</f>
        <v/>
      </c>
      <c r="F382" s="218">
        <f>+'1_OG y 2_ACA'!D1405</f>
        <v/>
      </c>
      <c r="G382" s="250">
        <f>+_xlfn.XLOOKUP(C382,'BASE DATOS PRECIOS '!B:B,'BASE DATOS PRECIOS '!F:F)</f>
        <v/>
      </c>
      <c r="H382" s="249">
        <f>+_xlfn.XLOOKUP(E382,'BASE DATOS PRECIOS '!E:E,'BASE DATOS PRECIOS '!H:H)</f>
        <v/>
      </c>
      <c r="I382" s="250" t="n"/>
      <c r="J382" s="250" t="n"/>
      <c r="K382" s="249">
        <f>+F382*H382</f>
        <v/>
      </c>
      <c r="L382" s="249">
        <f>+F382*I382</f>
        <v/>
      </c>
      <c r="M382" s="249">
        <f>+F382*J382</f>
        <v/>
      </c>
      <c r="N382" s="249">
        <f>SUM(K382:M382)</f>
        <v/>
      </c>
      <c r="O382" s="251">
        <f>SUM(K382:M382)/tc</f>
        <v/>
      </c>
    </row>
    <row r="383">
      <c r="A383" s="16" t="n"/>
      <c r="B383" s="1134">
        <f>VALUE(IF(AND(LEN(TRIM(C383))-LEN(SUBSTITUTE(TRIM(C383),".",""))=1,ISNUMBER(VALUE(SUBSTITUTE(TRIM(C383),".","")))),TRIM(C383),B382))</f>
        <v/>
      </c>
      <c r="C383" s="324" t="inlineStr">
        <is>
          <t>M06-0278</t>
        </is>
      </c>
      <c r="D383" s="325" t="n"/>
      <c r="E383" s="252">
        <f>+_xlfn.XLOOKUP(C383,'BASE DATOS PRECIOS '!B:B,'BASE DATOS PRECIOS '!E:E)</f>
        <v/>
      </c>
      <c r="F383" s="218">
        <f>+'1_OG y 2_ACA'!D1406</f>
        <v/>
      </c>
      <c r="G383" s="250">
        <f>+_xlfn.XLOOKUP(C383,'BASE DATOS PRECIOS '!B:B,'BASE DATOS PRECIOS '!F:F)</f>
        <v/>
      </c>
      <c r="H383" s="249">
        <f>+_xlfn.XLOOKUP(E383,'BASE DATOS PRECIOS '!E:E,'BASE DATOS PRECIOS '!G:G)</f>
        <v/>
      </c>
      <c r="I383" s="250" t="n"/>
      <c r="J383" s="250" t="n"/>
      <c r="K383" s="249">
        <f>+F383*H383</f>
        <v/>
      </c>
      <c r="L383" s="249">
        <f>+F383*I383</f>
        <v/>
      </c>
      <c r="M383" s="249">
        <f>+F383*J383</f>
        <v/>
      </c>
      <c r="N383" s="249">
        <f>SUM(K383:M383)</f>
        <v/>
      </c>
      <c r="O383" s="251">
        <f>SUM(K383:M383)/tc</f>
        <v/>
      </c>
    </row>
    <row r="384">
      <c r="A384" s="16" t="n"/>
      <c r="B384" s="1134">
        <f>VALUE(IF(AND(LEN(TRIM(C384))-LEN(SUBSTITUTE(TRIM(C384),".",""))=1,ISNUMBER(VALUE(SUBSTITUTE(TRIM(C384),".","")))),TRIM(C384),B383))</f>
        <v/>
      </c>
      <c r="C384" s="317" t="inlineStr">
        <is>
          <t>M04-0015</t>
        </is>
      </c>
      <c r="D384" s="318" t="n"/>
      <c r="E384" s="252">
        <f>+_xlfn.XLOOKUP(C384,'BASE DATOS PRECIOS '!B:B,'BASE DATOS PRECIOS '!E:E)</f>
        <v/>
      </c>
      <c r="F384" s="218">
        <f>+'1_OG y 2_ACA'!D1407</f>
        <v/>
      </c>
      <c r="G384" s="250">
        <f>+_xlfn.XLOOKUP(C384,'BASE DATOS PRECIOS '!B:B,'BASE DATOS PRECIOS '!F:F)</f>
        <v/>
      </c>
      <c r="H384" s="249">
        <f>+_xlfn.XLOOKUP(E384,'BASE DATOS PRECIOS '!E:E,'BASE DATOS PRECIOS '!H:H)</f>
        <v/>
      </c>
      <c r="I384" s="250" t="n"/>
      <c r="J384" s="250" t="n"/>
      <c r="K384" s="249">
        <f>+F384*H384</f>
        <v/>
      </c>
      <c r="L384" s="249">
        <f>+F384*I384</f>
        <v/>
      </c>
      <c r="M384" s="249">
        <f>+F384*J384</f>
        <v/>
      </c>
      <c r="N384" s="249">
        <f>SUM(K384:M384)</f>
        <v/>
      </c>
      <c r="O384" s="251">
        <f>SUM(K384:M384)/tc</f>
        <v/>
      </c>
    </row>
    <row r="385">
      <c r="A385" s="16" t="n"/>
      <c r="B385" s="1134">
        <f>VALUE(IF(AND(LEN(TRIM(C385))-LEN(SUBSTITUTE(TRIM(C385),".",""))=1,ISNUMBER(VALUE(SUBSTITUTE(TRIM(C385),".","")))),TRIM(C385),B384))</f>
        <v/>
      </c>
      <c r="C385" s="324" t="inlineStr">
        <is>
          <t>M04-0051</t>
        </is>
      </c>
      <c r="D385" s="325" t="n"/>
      <c r="E385" s="252">
        <f>+_xlfn.XLOOKUP(C385,'BASE DATOS PRECIOS '!B:B,'BASE DATOS PRECIOS '!E:E)</f>
        <v/>
      </c>
      <c r="F385" s="218">
        <f>+'1_OG y 2_ACA'!D1408</f>
        <v/>
      </c>
      <c r="G385" s="250">
        <f>+_xlfn.XLOOKUP(C385,'BASE DATOS PRECIOS '!B:B,'BASE DATOS PRECIOS '!F:F)</f>
        <v/>
      </c>
      <c r="H385" s="249">
        <f>+_xlfn.XLOOKUP(E385,'BASE DATOS PRECIOS '!E:E,'BASE DATOS PRECIOS '!G:G)</f>
        <v/>
      </c>
      <c r="I385" s="250" t="n"/>
      <c r="J385" s="250" t="n"/>
      <c r="K385" s="249">
        <f>+F385*H385</f>
        <v/>
      </c>
      <c r="L385" s="249">
        <f>+F385*I385</f>
        <v/>
      </c>
      <c r="M385" s="249">
        <f>+F385*J385</f>
        <v/>
      </c>
      <c r="N385" s="249">
        <f>SUM(K385:M385)</f>
        <v/>
      </c>
      <c r="O385" s="251">
        <f>SUM(K385:M385)/tc</f>
        <v/>
      </c>
    </row>
    <row r="386">
      <c r="A386" s="16" t="n"/>
      <c r="B386" s="1134">
        <f>VALUE(IF(AND(LEN(TRIM(C386))-LEN(SUBSTITUTE(TRIM(C386),".",""))=1,ISNUMBER(VALUE(SUBSTITUTE(TRIM(C386),".","")))),TRIM(C386),B385))</f>
        <v/>
      </c>
      <c r="C386" s="317" t="inlineStr">
        <is>
          <t>M04-0047</t>
        </is>
      </c>
      <c r="D386" s="318" t="n"/>
      <c r="E386" s="252">
        <f>+_xlfn.XLOOKUP(C386,'BASE DATOS PRECIOS '!B:B,'BASE DATOS PRECIOS '!E:E)</f>
        <v/>
      </c>
      <c r="F386" s="218">
        <f>+'1_OG y 2_ACA'!D1409</f>
        <v/>
      </c>
      <c r="G386" s="250">
        <f>+_xlfn.XLOOKUP(C386,'BASE DATOS PRECIOS '!B:B,'BASE DATOS PRECIOS '!F:F)</f>
        <v/>
      </c>
      <c r="H386" s="249">
        <f>+_xlfn.XLOOKUP(E386,'BASE DATOS PRECIOS '!E:E,'BASE DATOS PRECIOS '!H:H)</f>
        <v/>
      </c>
      <c r="I386" s="250" t="n"/>
      <c r="J386" s="250" t="n"/>
      <c r="K386" s="249">
        <f>+F386*H386</f>
        <v/>
      </c>
      <c r="L386" s="249">
        <f>+F386*I386</f>
        <v/>
      </c>
      <c r="M386" s="249">
        <f>+F386*J386</f>
        <v/>
      </c>
      <c r="N386" s="249">
        <f>SUM(K386:M386)</f>
        <v/>
      </c>
      <c r="O386" s="251">
        <f>SUM(K386:M386)/tc</f>
        <v/>
      </c>
    </row>
    <row r="387">
      <c r="A387" s="16" t="n"/>
      <c r="B387" s="1134">
        <f>VALUE(IF(AND(LEN(TRIM(C387))-LEN(SUBSTITUTE(TRIM(C387),".",""))=1,ISNUMBER(VALUE(SUBSTITUTE(TRIM(C387),".","")))),TRIM(C387),B386))</f>
        <v/>
      </c>
      <c r="C387" s="317" t="inlineStr">
        <is>
          <t>M06-0105</t>
        </is>
      </c>
      <c r="D387" s="318" t="n"/>
      <c r="E387" s="252">
        <f>+_xlfn.XLOOKUP(C387,'BASE DATOS PRECIOS '!B:B,'BASE DATOS PRECIOS '!E:E)</f>
        <v/>
      </c>
      <c r="F387" s="218">
        <f>+'1_OG y 2_ACA'!D1410*100</f>
        <v/>
      </c>
      <c r="G387" s="250">
        <f>+_xlfn.XLOOKUP(C387,'BASE DATOS PRECIOS '!B:B,'BASE DATOS PRECIOS '!F:F)</f>
        <v/>
      </c>
      <c r="H387" s="249">
        <f>+_xlfn.XLOOKUP(E387,'BASE DATOS PRECIOS '!E:E,'BASE DATOS PRECIOS '!H:H)</f>
        <v/>
      </c>
      <c r="I387" s="250" t="n"/>
      <c r="J387" s="250" t="n"/>
      <c r="K387" s="249">
        <f>+F387*H387</f>
        <v/>
      </c>
      <c r="L387" s="249">
        <f>+F387*I387</f>
        <v/>
      </c>
      <c r="M387" s="249">
        <f>+F387*J387</f>
        <v/>
      </c>
      <c r="N387" s="249">
        <f>SUM(K387:M387)</f>
        <v/>
      </c>
      <c r="O387" s="251">
        <f>SUM(K387:M387)/tc</f>
        <v/>
      </c>
    </row>
    <row r="388">
      <c r="A388" s="16" t="n"/>
      <c r="B388" s="1134">
        <f>VALUE(IF(AND(LEN(TRIM(C388))-LEN(SUBSTITUTE(TRIM(C388),".",""))=1,ISNUMBER(VALUE(SUBSTITUTE(TRIM(C388),".","")))),TRIM(C388),B387))</f>
        <v/>
      </c>
      <c r="C388" s="317" t="inlineStr">
        <is>
          <t>M06-0116</t>
        </is>
      </c>
      <c r="D388" s="318" t="n"/>
      <c r="E388" s="252">
        <f>+_xlfn.XLOOKUP(C388,'BASE DATOS PRECIOS '!B:B,'BASE DATOS PRECIOS '!E:E)</f>
        <v/>
      </c>
      <c r="F388" s="218">
        <f>+'1_OG y 2_ACA'!D1411</f>
        <v/>
      </c>
      <c r="G388" s="250">
        <f>+_xlfn.XLOOKUP(C388,'BASE DATOS PRECIOS '!B:B,'BASE DATOS PRECIOS '!F:F)</f>
        <v/>
      </c>
      <c r="H388" s="249">
        <f>+_xlfn.XLOOKUP(E388,'BASE DATOS PRECIOS '!E:E,'BASE DATOS PRECIOS '!H:H)</f>
        <v/>
      </c>
      <c r="I388" s="250" t="n"/>
      <c r="J388" s="250" t="n"/>
      <c r="K388" s="249">
        <f>+F388*H388</f>
        <v/>
      </c>
      <c r="L388" s="249">
        <f>+F388*I388</f>
        <v/>
      </c>
      <c r="M388" s="249">
        <f>+F388*J388</f>
        <v/>
      </c>
      <c r="N388" s="249">
        <f>SUM(K388:M388)</f>
        <v/>
      </c>
      <c r="O388" s="251">
        <f>SUM(K388:M388)/tc</f>
        <v/>
      </c>
    </row>
    <row r="389">
      <c r="A389" s="316" t="inlineStr">
        <is>
          <t>Liviano Interiores</t>
        </is>
      </c>
      <c r="B389" s="1134">
        <f>VALUE(IF(AND(LEN(TRIM(C389))-LEN(SUBSTITUTE(TRIM(C389),".",""))=1,ISNUMBER(VALUE(SUBSTITUTE(TRIM(C389),".","")))),TRIM(C389),B388))</f>
        <v/>
      </c>
      <c r="C389" s="267" t="inlineStr">
        <is>
          <t xml:space="preserve">OPERARIO </t>
        </is>
      </c>
      <c r="D389" s="268" t="n"/>
      <c r="E389" s="269">
        <f>+_xlfn.XLOOKUP(C389,'BASE DATOS MANO DE OBRA'!A:A,'BASE DATOS MANO DE OBRA'!B:B)</f>
        <v/>
      </c>
      <c r="F389" s="270">
        <f>+ROUNDUP('1_OG y 2_ACA'!F1381,0)/2</f>
        <v/>
      </c>
      <c r="G389" s="271">
        <f>+_xlfn.XLOOKUP(C389,'BASE DATOS MANO DE OBRA'!A:A,'BASE DATOS MANO DE OBRA'!C:C)</f>
        <v/>
      </c>
      <c r="H389" s="272" t="n">
        <v>0</v>
      </c>
      <c r="I389" s="272">
        <f>+_xlfn.XLOOKUP(C389,'BASE DATOS MANO DE OBRA'!A:A,'BASE DATOS MANO DE OBRA'!E:E)</f>
        <v/>
      </c>
      <c r="J389" s="272" t="n">
        <v>0</v>
      </c>
      <c r="K389" s="272">
        <f>+F389*H389</f>
        <v/>
      </c>
      <c r="L389" s="272">
        <f>+F389*I389</f>
        <v/>
      </c>
      <c r="M389" s="272">
        <f>+F389*J389</f>
        <v/>
      </c>
      <c r="N389" s="272">
        <f>SUM(K389:M389)</f>
        <v/>
      </c>
      <c r="O389" s="273">
        <f>SUM(K389:M389)/tc</f>
        <v/>
      </c>
    </row>
    <row r="390">
      <c r="A390" s="316" t="inlineStr">
        <is>
          <t>Liviano Interiores</t>
        </is>
      </c>
      <c r="B390" s="1134">
        <f>VALUE(IF(AND(LEN(TRIM(C390))-LEN(SUBSTITUTE(TRIM(C390),".",""))=1,ISNUMBER(VALUE(SUBSTITUTE(TRIM(C390),".","")))),TRIM(C390),B389))</f>
        <v/>
      </c>
      <c r="C390" s="267" t="inlineStr">
        <is>
          <t xml:space="preserve">AYUDANTE </t>
        </is>
      </c>
      <c r="D390" s="268" t="n"/>
      <c r="E390" s="269">
        <f>+_xlfn.XLOOKUP(C390,'BASE DATOS MANO DE OBRA'!A:A,'BASE DATOS MANO DE OBRA'!B:B)</f>
        <v/>
      </c>
      <c r="F390" s="270">
        <f>+F389</f>
        <v/>
      </c>
      <c r="G390" s="271">
        <f>+_xlfn.XLOOKUP(C390,'BASE DATOS MANO DE OBRA'!A:A,'BASE DATOS MANO DE OBRA'!C:C)</f>
        <v/>
      </c>
      <c r="H390" s="272" t="n">
        <v>0</v>
      </c>
      <c r="I390" s="272">
        <f>+_xlfn.XLOOKUP(C390,'BASE DATOS MANO DE OBRA'!A:A,'BASE DATOS MANO DE OBRA'!E:E)</f>
        <v/>
      </c>
      <c r="J390" s="272" t="n">
        <v>0</v>
      </c>
      <c r="K390" s="272">
        <f>+F390*H390</f>
        <v/>
      </c>
      <c r="L390" s="272">
        <f>+F390*I390</f>
        <v/>
      </c>
      <c r="M390" s="272">
        <f>+F390*J390</f>
        <v/>
      </c>
      <c r="N390" s="272">
        <f>SUM(K390:M390)</f>
        <v/>
      </c>
      <c r="O390" s="273">
        <f>SUM(K390:M390)/tc</f>
        <v/>
      </c>
    </row>
    <row r="391">
      <c r="A391" s="316" t="inlineStr">
        <is>
          <t>Liviano Interiores</t>
        </is>
      </c>
      <c r="B391" s="1134">
        <f>VALUE(IF(AND(LEN(TRIM(C391))-LEN(SUBSTITUTE(TRIM(C391),".",""))=1,ISNUMBER(VALUE(SUBSTITUTE(TRIM(C391),".","")))),TRIM(C391),B390))</f>
        <v/>
      </c>
      <c r="C391" s="267" t="inlineStr">
        <is>
          <t xml:space="preserve">OPERARIO </t>
        </is>
      </c>
      <c r="D391" s="268" t="n"/>
      <c r="E391" s="269">
        <f>+_xlfn.XLOOKUP(C391,'BASE DATOS MANO DE OBRA'!A:A,'BASE DATOS MANO DE OBRA'!B:B)</f>
        <v/>
      </c>
      <c r="F391" s="270">
        <f>+ROUNDUP('1_OG y 2_ACA'!F1414,0)/2</f>
        <v/>
      </c>
      <c r="G391" s="271">
        <f>+_xlfn.XLOOKUP(C391,'BASE DATOS MANO DE OBRA'!A:A,'BASE DATOS MANO DE OBRA'!C:C)</f>
        <v/>
      </c>
      <c r="H391" s="272" t="n">
        <v>0</v>
      </c>
      <c r="I391" s="272">
        <f>+_xlfn.XLOOKUP(C391,'BASE DATOS MANO DE OBRA'!A:A,'BASE DATOS MANO DE OBRA'!E:E)</f>
        <v/>
      </c>
      <c r="J391" s="272" t="n">
        <v>0</v>
      </c>
      <c r="K391" s="272">
        <f>+F391*H391</f>
        <v/>
      </c>
      <c r="L391" s="272">
        <f>+F391*I391</f>
        <v/>
      </c>
      <c r="M391" s="272">
        <f>+F391*J391</f>
        <v/>
      </c>
      <c r="N391" s="272">
        <f>SUM(K391:M391)</f>
        <v/>
      </c>
      <c r="O391" s="273">
        <f>SUM(K391:M391)/tc</f>
        <v/>
      </c>
    </row>
    <row r="392">
      <c r="A392" s="316" t="inlineStr">
        <is>
          <t>Liviano Interiores</t>
        </is>
      </c>
      <c r="B392" s="1134">
        <f>VALUE(IF(AND(LEN(TRIM(C392))-LEN(SUBSTITUTE(TRIM(C392),".",""))=1,ISNUMBER(VALUE(SUBSTITUTE(TRIM(C392),".","")))),TRIM(C392),B391))</f>
        <v/>
      </c>
      <c r="C392" s="267" t="inlineStr">
        <is>
          <t xml:space="preserve">AYUDANTE </t>
        </is>
      </c>
      <c r="D392" s="268" t="n"/>
      <c r="E392" s="269">
        <f>+_xlfn.XLOOKUP(C392,'BASE DATOS MANO DE OBRA'!A:A,'BASE DATOS MANO DE OBRA'!B:B)</f>
        <v/>
      </c>
      <c r="F392" s="270">
        <f>+F391</f>
        <v/>
      </c>
      <c r="G392" s="271">
        <f>+_xlfn.XLOOKUP(C392,'BASE DATOS MANO DE OBRA'!A:A,'BASE DATOS MANO DE OBRA'!C:C)</f>
        <v/>
      </c>
      <c r="H392" s="272" t="n">
        <v>0</v>
      </c>
      <c r="I392" s="272">
        <f>+_xlfn.XLOOKUP(C392,'BASE DATOS MANO DE OBRA'!A:A,'BASE DATOS MANO DE OBRA'!E:E)</f>
        <v/>
      </c>
      <c r="J392" s="272" t="n">
        <v>0</v>
      </c>
      <c r="K392" s="272">
        <f>+F392*H392</f>
        <v/>
      </c>
      <c r="L392" s="272">
        <f>+F392*I392</f>
        <v/>
      </c>
      <c r="M392" s="272">
        <f>+F392*J392</f>
        <v/>
      </c>
      <c r="N392" s="272">
        <f>SUM(K392:M392)</f>
        <v/>
      </c>
      <c r="O392" s="273">
        <f>SUM(K392:M392)/tc</f>
        <v/>
      </c>
    </row>
    <row r="393">
      <c r="A393" s="233" t="n"/>
      <c r="B393" s="1134">
        <f>VALUE(IF(AND(LEN(TRIM(C393))-LEN(SUBSTITUTE(TRIM(C393),".",""))=1,ISNUMBER(VALUE(SUBSTITUTE(TRIM(C393),".","")))),TRIM(C393),B392))</f>
        <v/>
      </c>
      <c r="C393" s="344" t="n">
        <v>2</v>
      </c>
      <c r="D393" s="219" t="n"/>
      <c r="E393" s="220" t="inlineStr">
        <is>
          <t>ACABADOS</t>
        </is>
      </c>
      <c r="F393" s="221" t="n"/>
      <c r="G393" s="222" t="n"/>
      <c r="H393" s="223" t="n"/>
      <c r="I393" s="223" t="n"/>
      <c r="J393" s="223" t="n"/>
      <c r="K393" s="223">
        <f>+SUBTOTAL(9,K394:K556)</f>
        <v/>
      </c>
      <c r="L393" s="223">
        <f>+SUBTOTAL(9,L394:L556)</f>
        <v/>
      </c>
      <c r="M393" s="223">
        <f>+SUBTOTAL(9,M394:M556)</f>
        <v/>
      </c>
      <c r="N393" s="223">
        <f>+SUBTOTAL(9,N394:N556)</f>
        <v/>
      </c>
      <c r="O393" s="224">
        <f>+SUBTOTAL(9,O394:O556)</f>
        <v/>
      </c>
    </row>
    <row r="394">
      <c r="A394" s="16" t="n"/>
      <c r="B394" s="1134">
        <f>VALUE(IF(AND(LEN(TRIM(C394))-LEN(SUBSTITUTE(TRIM(C394),".",""))=1,ISNUMBER(VALUE(SUBSTITUTE(TRIM(C394),".","")))),TRIM(C394),B393))</f>
        <v/>
      </c>
      <c r="C394" s="306" t="inlineStr">
        <is>
          <t>2.1</t>
        </is>
      </c>
      <c r="D394" s="227" t="n"/>
      <c r="E394" s="228" t="inlineStr">
        <is>
          <t>REPELLOS &amp; EMPASTE</t>
        </is>
      </c>
      <c r="F394" s="229">
        <f>+'1_OG y 2_ACA'!D1453</f>
        <v/>
      </c>
      <c r="G394" s="227" t="inlineStr">
        <is>
          <t>M2</t>
        </is>
      </c>
      <c r="H394" s="227" t="n"/>
      <c r="I394" s="227" t="n"/>
      <c r="J394" s="227" t="n"/>
      <c r="K394" s="230">
        <f>+SUBTOTAL(9,K395:K405)</f>
        <v/>
      </c>
      <c r="L394" s="230">
        <f>+SUBTOTAL(9,L395:L405)</f>
        <v/>
      </c>
      <c r="M394" s="230">
        <f>+SUBTOTAL(9,M395:M405)</f>
        <v/>
      </c>
      <c r="N394" s="230">
        <f>+SUBTOTAL(9,N395:N405)</f>
        <v/>
      </c>
      <c r="O394" s="1135">
        <f>+SUBTOTAL(9,O395:O405)</f>
        <v/>
      </c>
    </row>
    <row r="395">
      <c r="A395" s="16" t="n"/>
      <c r="B395" s="1134">
        <f>VALUE(IF(AND(LEN(TRIM(C395))-LEN(SUBSTITUTE(TRIM(C395),".",""))=1,ISNUMBER(VALUE(SUBSTITUTE(TRIM(C395),".","")))),TRIM(C395),B394))</f>
        <v/>
      </c>
      <c r="C395" s="234" t="inlineStr">
        <is>
          <t>2.1.1</t>
        </is>
      </c>
      <c r="D395" s="235" t="n"/>
      <c r="E395" s="236" t="inlineStr">
        <is>
          <t xml:space="preserve">REPELLOS INTERNO Y EXTERNO </t>
        </is>
      </c>
      <c r="F395" s="237">
        <f>+F394</f>
        <v/>
      </c>
      <c r="G395" s="235" t="inlineStr">
        <is>
          <t>M2</t>
        </is>
      </c>
      <c r="H395" s="235" t="n"/>
      <c r="I395" s="235" t="n"/>
      <c r="J395" s="235" t="n"/>
      <c r="K395" s="238">
        <f>+SUBTOTAL(9,K396:K398)</f>
        <v/>
      </c>
      <c r="L395" s="238">
        <f>+SUBTOTAL(9,L396:L398)</f>
        <v/>
      </c>
      <c r="M395" s="238">
        <f>+SUBTOTAL(9,M396:M398)</f>
        <v/>
      </c>
      <c r="N395" s="238">
        <f>+SUBTOTAL(9,N396:N398)</f>
        <v/>
      </c>
      <c r="O395" s="1136">
        <f>+SUBTOTAL(9,O396:O398)</f>
        <v/>
      </c>
      <c r="P395" s="1137" t="n"/>
    </row>
    <row r="396">
      <c r="A396" s="16" t="n"/>
      <c r="B396" s="1134">
        <f>VALUE(IF(AND(LEN(TRIM(C396))-LEN(SUBSTITUTE(TRIM(C396),".",""))=1,ISNUMBER(VALUE(SUBSTITUTE(TRIM(C396),".","")))),TRIM(C396),B395))</f>
        <v/>
      </c>
      <c r="C396" s="324" t="inlineStr">
        <is>
          <t>M10-0044</t>
        </is>
      </c>
      <c r="D396" s="325" t="n"/>
      <c r="E396" s="252">
        <f>+_xlfn.XLOOKUP(C396,'BASE DATOS PRECIOS '!B:B,'BASE DATOS PRECIOS '!E:E)</f>
        <v/>
      </c>
      <c r="F396" s="218">
        <f>+'1_OG y 2_ACA'!D1456</f>
        <v/>
      </c>
      <c r="G396" s="250">
        <f>+_xlfn.XLOOKUP(C396,'BASE DATOS PRECIOS '!B:B,'BASE DATOS PRECIOS '!F:F)</f>
        <v/>
      </c>
      <c r="H396" s="249">
        <f>+_xlfn.XLOOKUP(E396,'BASE DATOS PRECIOS '!E:E,'BASE DATOS PRECIOS '!H:H)</f>
        <v/>
      </c>
      <c r="I396" s="250" t="n"/>
      <c r="J396" s="250" t="n"/>
      <c r="K396" s="249">
        <f>+F396*H396</f>
        <v/>
      </c>
      <c r="L396" s="249">
        <f>+F396*I396</f>
        <v/>
      </c>
      <c r="M396" s="249">
        <f>+F396*J396</f>
        <v/>
      </c>
      <c r="N396" s="249">
        <f>SUM(K396:M396)</f>
        <v/>
      </c>
      <c r="O396" s="251">
        <f>SUM(K396:M396)/tc</f>
        <v/>
      </c>
    </row>
    <row r="397">
      <c r="A397" s="316" t="inlineStr">
        <is>
          <t>Muro Seco</t>
        </is>
      </c>
      <c r="B397" s="1134">
        <f>VALUE(IF(AND(LEN(TRIM(C397))-LEN(SUBSTITUTE(TRIM(C397),".",""))=1,ISNUMBER(VALUE(SUBSTITUTE(TRIM(C397),".","")))),TRIM(C397),B396))</f>
        <v/>
      </c>
      <c r="C397" s="267" t="inlineStr">
        <is>
          <t xml:space="preserve">OPERARIO </t>
        </is>
      </c>
      <c r="D397" s="268" t="n"/>
      <c r="E397" s="269">
        <f>+_xlfn.XLOOKUP(C397,'BASE DATOS MANO DE OBRA'!A:A,'BASE DATOS MANO DE OBRA'!B:B)</f>
        <v/>
      </c>
      <c r="F397" s="270">
        <f>+ROUNDUP('1_OG y 2_ACA'!F1459,0)/2</f>
        <v/>
      </c>
      <c r="G397" s="271">
        <f>+_xlfn.XLOOKUP(C397,'BASE DATOS MANO DE OBRA'!A:A,'BASE DATOS MANO DE OBRA'!C:C)</f>
        <v/>
      </c>
      <c r="H397" s="272" t="n">
        <v>0</v>
      </c>
      <c r="I397" s="272">
        <f>+_xlfn.XLOOKUP(C397,'BASE DATOS MANO DE OBRA'!A:A,'BASE DATOS MANO DE OBRA'!E:E)</f>
        <v/>
      </c>
      <c r="J397" s="272" t="n">
        <v>0</v>
      </c>
      <c r="K397" s="272">
        <f>+F397*H397</f>
        <v/>
      </c>
      <c r="L397" s="272">
        <f>+F397*I397</f>
        <v/>
      </c>
      <c r="M397" s="272">
        <f>+F397*J397</f>
        <v/>
      </c>
      <c r="N397" s="272">
        <f>SUM(K397:M397)</f>
        <v/>
      </c>
      <c r="O397" s="273">
        <f>SUM(K397:M397)/tc</f>
        <v/>
      </c>
    </row>
    <row r="398">
      <c r="A398" s="316" t="inlineStr">
        <is>
          <t>Muro Seco</t>
        </is>
      </c>
      <c r="B398" s="1134">
        <f>VALUE(IF(AND(LEN(TRIM(C398))-LEN(SUBSTITUTE(TRIM(C398),".",""))=1,ISNUMBER(VALUE(SUBSTITUTE(TRIM(C398),".","")))),TRIM(C398),B397))</f>
        <v/>
      </c>
      <c r="C398" s="267" t="inlineStr">
        <is>
          <t xml:space="preserve">AYUDANTE </t>
        </is>
      </c>
      <c r="D398" s="268" t="n"/>
      <c r="E398" s="269">
        <f>+_xlfn.XLOOKUP(C398,'BASE DATOS MANO DE OBRA'!A:A,'BASE DATOS MANO DE OBRA'!B:B)</f>
        <v/>
      </c>
      <c r="F398" s="270">
        <f>+F397</f>
        <v/>
      </c>
      <c r="G398" s="271">
        <f>+_xlfn.XLOOKUP(C398,'BASE DATOS MANO DE OBRA'!A:A,'BASE DATOS MANO DE OBRA'!C:C)</f>
        <v/>
      </c>
      <c r="H398" s="272" t="n">
        <v>0</v>
      </c>
      <c r="I398" s="272">
        <f>+_xlfn.XLOOKUP(C398,'BASE DATOS MANO DE OBRA'!A:A,'BASE DATOS MANO DE OBRA'!E:E)</f>
        <v/>
      </c>
      <c r="J398" s="272" t="n">
        <v>0</v>
      </c>
      <c r="K398" s="272">
        <f>+F398*H398</f>
        <v/>
      </c>
      <c r="L398" s="272">
        <f>+F398*I398</f>
        <v/>
      </c>
      <c r="M398" s="272">
        <f>+F398*J398</f>
        <v/>
      </c>
      <c r="N398" s="272">
        <f>SUM(K398:M398)</f>
        <v/>
      </c>
      <c r="O398" s="273">
        <f>SUM(K398:M398)/tc</f>
        <v/>
      </c>
    </row>
    <row r="399">
      <c r="A399" s="328" t="n"/>
      <c r="B399" s="1134">
        <f>VALUE(IF(AND(LEN(TRIM(C399))-LEN(SUBSTITUTE(TRIM(C399),".",""))=1,ISNUMBER(VALUE(SUBSTITUTE(TRIM(C399),".","")))),TRIM(C399),B398))</f>
        <v/>
      </c>
      <c r="C399" s="234" t="inlineStr">
        <is>
          <t>2.1.2</t>
        </is>
      </c>
      <c r="D399" s="235" t="n"/>
      <c r="E399" s="236" t="inlineStr">
        <is>
          <t xml:space="preserve">EMPASTE </t>
        </is>
      </c>
      <c r="F399" s="237">
        <f>+'1_OG y 2_ACA'!D1465</f>
        <v/>
      </c>
      <c r="G399" s="235" t="inlineStr">
        <is>
          <t>M2</t>
        </is>
      </c>
      <c r="H399" s="235" t="n"/>
      <c r="I399" s="235" t="n"/>
      <c r="J399" s="235" t="n"/>
      <c r="K399" s="238">
        <f>+SUBTOTAL(9,K400:K405)</f>
        <v/>
      </c>
      <c r="L399" s="238">
        <f>+SUBTOTAL(9,L400:L405)</f>
        <v/>
      </c>
      <c r="M399" s="238">
        <f>+SUBTOTAL(9,M400:M405)</f>
        <v/>
      </c>
      <c r="N399" s="238">
        <f>+SUBTOTAL(9,N400:N405)</f>
        <v/>
      </c>
      <c r="O399" s="1136">
        <f>+SUBTOTAL(9,O400:O405)</f>
        <v/>
      </c>
      <c r="P399" s="1137" t="n"/>
    </row>
    <row r="400">
      <c r="A400" s="16" t="n"/>
      <c r="B400" s="1134">
        <f>VALUE(IF(AND(LEN(TRIM(C400))-LEN(SUBSTITUTE(TRIM(C400),".",""))=1,ISNUMBER(VALUE(SUBSTITUTE(TRIM(C400),".","")))),TRIM(C400),B399))</f>
        <v/>
      </c>
      <c r="C400" s="324" t="inlineStr">
        <is>
          <t>M10-0045</t>
        </is>
      </c>
      <c r="D400" s="325" t="n"/>
      <c r="E400" s="252">
        <f>+_xlfn.XLOOKUP(C400,'BASE DATOS PRECIOS '!B:B,'BASE DATOS PRECIOS '!E:E)</f>
        <v/>
      </c>
      <c r="F400" s="218">
        <f>+'1_OG y 2_ACA'!D1468</f>
        <v/>
      </c>
      <c r="G400" s="312">
        <f>+_xlfn.XLOOKUP(C400,'BASE DATOS PRECIOS '!B:B,'BASE DATOS PRECIOS '!F:F)</f>
        <v/>
      </c>
      <c r="H400" s="313">
        <f>+_xlfn.XLOOKUP(E400,'BASE DATOS PRECIOS '!E:E,'BASE DATOS PRECIOS '!H:H)</f>
        <v/>
      </c>
      <c r="I400" s="312" t="n"/>
      <c r="J400" s="312" t="n"/>
      <c r="K400" s="313">
        <f>+F400*H400</f>
        <v/>
      </c>
      <c r="L400" s="313">
        <f>+F400*I400</f>
        <v/>
      </c>
      <c r="M400" s="313">
        <f>+F400*J400</f>
        <v/>
      </c>
      <c r="N400" s="313">
        <f>SUM(K400:M400)</f>
        <v/>
      </c>
      <c r="O400" s="314">
        <f>SUM(K400:M400)/tc</f>
        <v/>
      </c>
    </row>
    <row r="401">
      <c r="A401" s="233" t="n"/>
      <c r="B401" s="1134">
        <f>VALUE(IF(AND(LEN(TRIM(C401))-LEN(SUBSTITUTE(TRIM(C401),".",""))=1,ISNUMBER(VALUE(SUBSTITUTE(TRIM(C401),".","")))),TRIM(C401),B400))</f>
        <v/>
      </c>
      <c r="C401" s="333" t="inlineStr">
        <is>
          <t>M08-0062</t>
        </is>
      </c>
      <c r="D401" s="334" t="n"/>
      <c r="E401" s="311">
        <f>+_xlfn.XLOOKUP(C401,'BASE DATOS PRECIOS '!B:B,'BASE DATOS PRECIOS '!E:E)</f>
        <v/>
      </c>
      <c r="F401" s="218">
        <f>+'1_OG y 2_ACA'!D1469</f>
        <v/>
      </c>
      <c r="G401" s="312">
        <f>+_xlfn.XLOOKUP(C401,'BASE DATOS PRECIOS '!B:B,'BASE DATOS PRECIOS '!F:F)</f>
        <v/>
      </c>
      <c r="H401" s="249">
        <f>+_xlfn.XLOOKUP(E401,'BASE DATOS PRECIOS '!E:E,'BASE DATOS PRECIOS '!H:H)</f>
        <v/>
      </c>
      <c r="I401" s="312" t="n"/>
      <c r="J401" s="312" t="n"/>
      <c r="K401" s="313">
        <f>+F401*H401</f>
        <v/>
      </c>
      <c r="L401" s="313">
        <f>+F401*I401</f>
        <v/>
      </c>
      <c r="M401" s="313">
        <f>+F401*J401</f>
        <v/>
      </c>
      <c r="N401" s="313">
        <f>SUM(K401:M401)</f>
        <v/>
      </c>
      <c r="O401" s="314">
        <f>SUM(K401:M401)/tc</f>
        <v/>
      </c>
    </row>
    <row r="402">
      <c r="A402" s="16" t="n"/>
      <c r="B402" s="1134">
        <f>VALUE(IF(AND(LEN(TRIM(C402))-LEN(SUBSTITUTE(TRIM(C402),".",""))=1,ISNUMBER(VALUE(SUBSTITUTE(TRIM(C402),".","")))),TRIM(C402),B401))</f>
        <v/>
      </c>
      <c r="C402" s="333" t="inlineStr">
        <is>
          <t>M06-0227</t>
        </is>
      </c>
      <c r="D402" s="334" t="n"/>
      <c r="E402" s="311">
        <f>+_xlfn.XLOOKUP(C402,'BASE DATOS PRECIOS '!B:B,'BASE DATOS PRECIOS '!E:E)</f>
        <v/>
      </c>
      <c r="F402" s="218">
        <f>+'1_OG y 2_ACA'!D1470</f>
        <v/>
      </c>
      <c r="G402" s="312">
        <f>+_xlfn.XLOOKUP(C402,'BASE DATOS PRECIOS '!B:B,'BASE DATOS PRECIOS '!F:F)</f>
        <v/>
      </c>
      <c r="H402" s="313">
        <f>+_xlfn.XLOOKUP(E402,'BASE DATOS PRECIOS '!E:E,'BASE DATOS PRECIOS '!H:H)</f>
        <v/>
      </c>
      <c r="I402" s="312" t="n"/>
      <c r="J402" s="312" t="n"/>
      <c r="K402" s="313">
        <f>+F402*H402</f>
        <v/>
      </c>
      <c r="L402" s="313">
        <f>+F402*I402</f>
        <v/>
      </c>
      <c r="M402" s="313">
        <f>+F402*J402</f>
        <v/>
      </c>
      <c r="N402" s="313">
        <f>SUM(K402:M402)</f>
        <v/>
      </c>
      <c r="O402" s="314">
        <f>SUM(K402:M402)/tc</f>
        <v/>
      </c>
      <c r="P402" s="277" t="n"/>
    </row>
    <row r="403">
      <c r="A403" s="16" t="n"/>
      <c r="B403" s="1134">
        <f>VALUE(IF(AND(LEN(TRIM(C403))-LEN(SUBSTITUTE(TRIM(C403),".",""))=1,ISNUMBER(VALUE(SUBSTITUTE(TRIM(C403),".","")))),TRIM(C403),B402))</f>
        <v/>
      </c>
      <c r="C403" s="333" t="inlineStr">
        <is>
          <t>M06-0231</t>
        </is>
      </c>
      <c r="D403" s="334" t="n"/>
      <c r="E403" s="311">
        <f>+_xlfn.XLOOKUP(C403,'BASE DATOS PRECIOS '!B:B,'BASE DATOS PRECIOS '!E:E)</f>
        <v/>
      </c>
      <c r="F403" s="218">
        <f>+'1_OG y 2_ACA'!D1471</f>
        <v/>
      </c>
      <c r="G403" s="312">
        <f>+_xlfn.XLOOKUP(C403,'BASE DATOS PRECIOS '!B:B,'BASE DATOS PRECIOS '!F:F)</f>
        <v/>
      </c>
      <c r="H403" s="313">
        <f>+_xlfn.XLOOKUP(E403,'BASE DATOS PRECIOS '!E:E,'BASE DATOS PRECIOS '!H:H)</f>
        <v/>
      </c>
      <c r="I403" s="312" t="n"/>
      <c r="J403" s="312" t="n"/>
      <c r="K403" s="313">
        <f>+F403*H403</f>
        <v/>
      </c>
      <c r="L403" s="313">
        <f>+F403*I403</f>
        <v/>
      </c>
      <c r="M403" s="313">
        <f>+F403*J403</f>
        <v/>
      </c>
      <c r="N403" s="313">
        <f>SUM(K403:M403)</f>
        <v/>
      </c>
      <c r="O403" s="314">
        <f>SUM(K403:M403)/tc</f>
        <v/>
      </c>
    </row>
    <row r="404">
      <c r="A404" s="316" t="inlineStr">
        <is>
          <t>Empaste Cementicio</t>
        </is>
      </c>
      <c r="B404" s="1134">
        <f>VALUE(IF(AND(LEN(TRIM(C404))-LEN(SUBSTITUTE(TRIM(C404),".",""))=1,ISNUMBER(VALUE(SUBSTITUTE(TRIM(C404),".","")))),TRIM(C404),B403))</f>
        <v/>
      </c>
      <c r="C404" s="267" t="inlineStr">
        <is>
          <t xml:space="preserve">OPERARIO </t>
        </is>
      </c>
      <c r="D404" s="268" t="n"/>
      <c r="E404" s="269">
        <f>+_xlfn.XLOOKUP(C404,'BASE DATOS MANO DE OBRA'!A:A,'BASE DATOS MANO DE OBRA'!B:B)</f>
        <v/>
      </c>
      <c r="F404" s="270">
        <f>+ROUNDUP('1_OG y 2_ACA'!F1474,0)/2</f>
        <v/>
      </c>
      <c r="G404" s="271">
        <f>+_xlfn.XLOOKUP(C404,'BASE DATOS MANO DE OBRA'!A:A,'BASE DATOS MANO DE OBRA'!C:C)</f>
        <v/>
      </c>
      <c r="H404" s="272" t="n">
        <v>0</v>
      </c>
      <c r="I404" s="272">
        <f>+_xlfn.XLOOKUP(C404,'BASE DATOS MANO DE OBRA'!A:A,'BASE DATOS MANO DE OBRA'!E:E)</f>
        <v/>
      </c>
      <c r="J404" s="272" t="n">
        <v>0</v>
      </c>
      <c r="K404" s="272">
        <f>+F404*H404</f>
        <v/>
      </c>
      <c r="L404" s="272">
        <f>+F404*I404</f>
        <v/>
      </c>
      <c r="M404" s="272">
        <f>+F404*J404</f>
        <v/>
      </c>
      <c r="N404" s="272">
        <f>SUM(K404:M404)</f>
        <v/>
      </c>
      <c r="O404" s="273">
        <f>SUM(K404:M404)/tc</f>
        <v/>
      </c>
    </row>
    <row r="405">
      <c r="A405" s="316" t="inlineStr">
        <is>
          <t>Empaste Cementicio</t>
        </is>
      </c>
      <c r="B405" s="1134">
        <f>VALUE(IF(AND(LEN(TRIM(C405))-LEN(SUBSTITUTE(TRIM(C405),".",""))=1,ISNUMBER(VALUE(SUBSTITUTE(TRIM(C405),".","")))),TRIM(C405),B404))</f>
        <v/>
      </c>
      <c r="C405" s="267" t="inlineStr">
        <is>
          <t xml:space="preserve">AYUDANTE </t>
        </is>
      </c>
      <c r="D405" s="268" t="n"/>
      <c r="E405" s="269">
        <f>+_xlfn.XLOOKUP(C405,'BASE DATOS MANO DE OBRA'!A:A,'BASE DATOS MANO DE OBRA'!B:B)</f>
        <v/>
      </c>
      <c r="F405" s="270">
        <f>+F404</f>
        <v/>
      </c>
      <c r="G405" s="271">
        <f>+_xlfn.XLOOKUP(C405,'BASE DATOS MANO DE OBRA'!A:A,'BASE DATOS MANO DE OBRA'!C:C)</f>
        <v/>
      </c>
      <c r="H405" s="272" t="n">
        <v>0</v>
      </c>
      <c r="I405" s="272">
        <f>+_xlfn.XLOOKUP(C405,'BASE DATOS MANO DE OBRA'!A:A,'BASE DATOS MANO DE OBRA'!E:E)</f>
        <v/>
      </c>
      <c r="J405" s="272" t="n">
        <v>0</v>
      </c>
      <c r="K405" s="272">
        <f>+F405*H405</f>
        <v/>
      </c>
      <c r="L405" s="272">
        <f>+F405*I405</f>
        <v/>
      </c>
      <c r="M405" s="272">
        <f>+F405*J405</f>
        <v/>
      </c>
      <c r="N405" s="272">
        <f>SUM(K405:M405)</f>
        <v/>
      </c>
      <c r="O405" s="273">
        <f>SUM(K405:M405)/tc</f>
        <v/>
      </c>
    </row>
    <row r="406">
      <c r="A406" s="16" t="n"/>
      <c r="B406" s="1134">
        <f>VALUE(IF(AND(LEN(TRIM(C406))-LEN(SUBSTITUTE(TRIM(C406),".",""))=1,ISNUMBER(VALUE(SUBSTITUTE(TRIM(C406),".","")))),TRIM(C406),B405))</f>
        <v/>
      </c>
      <c r="C406" s="306" t="inlineStr">
        <is>
          <t>2.2</t>
        </is>
      </c>
      <c r="D406" s="227" t="n"/>
      <c r="E406" s="228" t="inlineStr">
        <is>
          <t xml:space="preserve">ENCHAPES </t>
        </is>
      </c>
      <c r="F406" s="229" t="n">
        <v>1</v>
      </c>
      <c r="G406" s="227" t="inlineStr">
        <is>
          <t>UND</t>
        </is>
      </c>
      <c r="H406" s="227" t="n"/>
      <c r="I406" s="227" t="n"/>
      <c r="J406" s="227" t="n"/>
      <c r="K406" s="230">
        <f>+SUBTOTAL(9,K407:K427)</f>
        <v/>
      </c>
      <c r="L406" s="230">
        <f>+SUBTOTAL(9,L407:L427)</f>
        <v/>
      </c>
      <c r="M406" s="230">
        <f>+SUBTOTAL(9,M407:M427)</f>
        <v/>
      </c>
      <c r="N406" s="230">
        <f>+SUBTOTAL(9,N407:N427)</f>
        <v/>
      </c>
      <c r="O406" s="1135">
        <f>+SUBTOTAL(9,O407:O427)</f>
        <v/>
      </c>
    </row>
    <row r="407">
      <c r="A407" s="16" t="n"/>
      <c r="B407" s="1134">
        <f>VALUE(IF(AND(LEN(TRIM(C407))-LEN(SUBSTITUTE(TRIM(C407),".",""))=1,ISNUMBER(VALUE(SUBSTITUTE(TRIM(C407),".","")))),TRIM(C407),B406))</f>
        <v/>
      </c>
      <c r="C407" s="234" t="inlineStr">
        <is>
          <t>2.2.1</t>
        </is>
      </c>
      <c r="D407" s="235" t="n"/>
      <c r="E407" s="236" t="inlineStr">
        <is>
          <t>ENCHAPES (INTERNO Y EXTERNO)</t>
        </is>
      </c>
      <c r="F407" s="237">
        <f>+F409+F410+F417</f>
        <v/>
      </c>
      <c r="G407" s="235" t="inlineStr">
        <is>
          <t>m2</t>
        </is>
      </c>
      <c r="H407" s="235" t="n"/>
      <c r="I407" s="235" t="n"/>
      <c r="J407" s="235" t="n"/>
      <c r="K407" s="238">
        <f>+SUBTOTAL(9,K408:K427)</f>
        <v/>
      </c>
      <c r="L407" s="238">
        <f>+SUBTOTAL(9,L408:L427)</f>
        <v/>
      </c>
      <c r="M407" s="238">
        <f>+SUBTOTAL(9,M408:M427)</f>
        <v/>
      </c>
      <c r="N407" s="238">
        <f>+SUBTOTAL(9,N408:N427)</f>
        <v/>
      </c>
      <c r="O407" s="1136">
        <f>+SUBTOTAL(9,O408:O427)</f>
        <v/>
      </c>
      <c r="P407" s="1137" t="n"/>
    </row>
    <row r="408">
      <c r="A408" s="16" t="n"/>
      <c r="B408" s="1134">
        <f>VALUE(IF(AND(LEN(TRIM(C408))-LEN(SUBSTITUTE(TRIM(C408),".",""))=1,ISNUMBER(VALUE(SUBSTITUTE(TRIM(C408),".","")))),TRIM(C408),B407))</f>
        <v/>
      </c>
      <c r="C408" s="285" t="n"/>
      <c r="D408" s="286" t="n"/>
      <c r="E408" s="335" t="inlineStr">
        <is>
          <t xml:space="preserve">ENCHAPE </t>
        </is>
      </c>
      <c r="F408" s="288" t="n"/>
      <c r="G408" s="289" t="n"/>
      <c r="H408" s="289" t="n"/>
      <c r="I408" s="289" t="n"/>
      <c r="J408" s="289" t="n"/>
      <c r="K408" s="290" t="n"/>
      <c r="L408" s="290" t="n"/>
      <c r="M408" s="290" t="n"/>
      <c r="N408" s="290" t="n"/>
      <c r="O408" s="291" t="n"/>
    </row>
    <row r="409">
      <c r="A409" s="16" t="n"/>
      <c r="B409" s="1134">
        <f>VALUE(IF(AND(LEN(TRIM(C409))-LEN(SUBSTITUTE(TRIM(C409),".",""))=1,ISNUMBER(VALUE(SUBSTITUTE(TRIM(C409),".","")))),TRIM(C409),B408))</f>
        <v/>
      </c>
      <c r="C409" s="317" t="inlineStr">
        <is>
          <t>M12-0009</t>
        </is>
      </c>
      <c r="D409" s="318" t="n"/>
      <c r="E409" s="252">
        <f>+_xlfn.XLOOKUP(C409,'BASE DATOS PRECIOS '!B:B,'BASE DATOS PRECIOS '!E:E)</f>
        <v/>
      </c>
      <c r="F409" s="308">
        <f>+'1_OG y 2_ACA'!D1531</f>
        <v/>
      </c>
      <c r="G409" s="250">
        <f>+_xlfn.XLOOKUP(C409,'BASE DATOS PRECIOS '!B:B,'BASE DATOS PRECIOS '!F:F)</f>
        <v/>
      </c>
      <c r="H409" s="249">
        <f>+_xlfn.XLOOKUP(E409,'BASE DATOS PRECIOS '!E:E,'BASE DATOS PRECIOS '!H:H)</f>
        <v/>
      </c>
      <c r="I409" s="250" t="n"/>
      <c r="J409" s="250" t="n"/>
      <c r="K409" s="249">
        <f>+F409*H409</f>
        <v/>
      </c>
      <c r="L409" s="249">
        <f>+F409*I409</f>
        <v/>
      </c>
      <c r="M409" s="249">
        <f>+F409*J409</f>
        <v/>
      </c>
      <c r="N409" s="249">
        <f>SUM(K409:M409)</f>
        <v/>
      </c>
      <c r="O409" s="251">
        <f>SUM(K409:M409)/tc</f>
        <v/>
      </c>
    </row>
    <row r="410">
      <c r="A410" s="16" t="n"/>
      <c r="B410" s="1134">
        <f>VALUE(IF(AND(LEN(TRIM(C410))-LEN(SUBSTITUTE(TRIM(C410),".",""))=1,ISNUMBER(VALUE(SUBSTITUTE(TRIM(C410),".","")))),TRIM(C410),B409))</f>
        <v/>
      </c>
      <c r="C410" s="16" t="inlineStr">
        <is>
          <t>M12-0011</t>
        </is>
      </c>
      <c r="D410" s="292" t="n"/>
      <c r="E410" s="252">
        <f>+_xlfn.XLOOKUP(C410,'BASE DATOS PRECIOS '!B:B,'BASE DATOS PRECIOS '!E:E)</f>
        <v/>
      </c>
      <c r="F410" s="308">
        <f>+'1_OG y 2_ACA'!D1530</f>
        <v/>
      </c>
      <c r="G410" s="250">
        <f>+_xlfn.XLOOKUP(C410,'BASE DATOS PRECIOS '!B:B,'BASE DATOS PRECIOS '!F:F)</f>
        <v/>
      </c>
      <c r="H410" s="249">
        <f>+_xlfn.XLOOKUP(E410,'BASE DATOS PRECIOS '!E:E,'BASE DATOS PRECIOS '!H:H)</f>
        <v/>
      </c>
      <c r="I410" s="250" t="n"/>
      <c r="J410" s="250" t="n"/>
      <c r="K410" s="249">
        <f>+F410*H410</f>
        <v/>
      </c>
      <c r="L410" s="249">
        <f>+F410*I410</f>
        <v/>
      </c>
      <c r="M410" s="249">
        <f>+F410*J410</f>
        <v/>
      </c>
      <c r="N410" s="249">
        <f>SUM(K410:M410)</f>
        <v/>
      </c>
      <c r="O410" s="251">
        <f>SUM(K410:M410)/tc</f>
        <v/>
      </c>
    </row>
    <row r="411">
      <c r="A411" s="16" t="n"/>
      <c r="B411" s="1134">
        <f>VALUE(IF(AND(LEN(TRIM(C411))-LEN(SUBSTITUTE(TRIM(C411),".",""))=1,ISNUMBER(VALUE(SUBSTITUTE(TRIM(C411),".","")))),TRIM(C411),B410))</f>
        <v/>
      </c>
      <c r="C411" s="16" t="inlineStr">
        <is>
          <t>M10-0087</t>
        </is>
      </c>
      <c r="D411" s="292" t="n"/>
      <c r="E411" s="252">
        <f>+_xlfn.XLOOKUP(C411,'BASE DATOS PRECIOS '!B:B,'BASE DATOS PRECIOS '!E:E)</f>
        <v/>
      </c>
      <c r="F411" s="218">
        <f>+'1_OG y 2_ACA'!D1532</f>
        <v/>
      </c>
      <c r="G411" s="250">
        <f>+_xlfn.XLOOKUP(C411,'BASE DATOS PRECIOS '!B:B,'BASE DATOS PRECIOS '!F:F)</f>
        <v/>
      </c>
      <c r="H411" s="249">
        <f>+_xlfn.XLOOKUP(E411,'BASE DATOS PRECIOS '!E:E,'BASE DATOS PRECIOS '!H:H)</f>
        <v/>
      </c>
      <c r="I411" s="312" t="n"/>
      <c r="J411" s="312" t="n"/>
      <c r="K411" s="313">
        <f>+F411*H411</f>
        <v/>
      </c>
      <c r="L411" s="313">
        <f>+F411*I411</f>
        <v/>
      </c>
      <c r="M411" s="313">
        <f>+F411*J411</f>
        <v/>
      </c>
      <c r="N411" s="313">
        <f>SUM(K411:M411)</f>
        <v/>
      </c>
      <c r="O411" s="314">
        <f>SUM(K411:M411)/tc</f>
        <v/>
      </c>
    </row>
    <row r="412">
      <c r="A412" s="16" t="n"/>
      <c r="B412" s="1134">
        <f>VALUE(IF(AND(LEN(TRIM(C412))-LEN(SUBSTITUTE(TRIM(C412),".",""))=1,ISNUMBER(VALUE(SUBSTITUTE(TRIM(C412),".","")))),TRIM(C412),B411))</f>
        <v/>
      </c>
      <c r="C412" s="324" t="inlineStr">
        <is>
          <t>M10-0032</t>
        </is>
      </c>
      <c r="D412" s="325" t="n"/>
      <c r="E412" s="252">
        <f>+_xlfn.XLOOKUP(C412,'BASE DATOS PRECIOS '!B:B,'BASE DATOS PRECIOS '!E:E)</f>
        <v/>
      </c>
      <c r="F412" s="218">
        <f>+'1_OG y 2_ACA'!D1533</f>
        <v/>
      </c>
      <c r="G412" s="250">
        <f>+_xlfn.XLOOKUP(C412,'BASE DATOS PRECIOS '!B:B,'BASE DATOS PRECIOS '!F:F)</f>
        <v/>
      </c>
      <c r="H412" s="249">
        <f>+_xlfn.XLOOKUP(E412,'BASE DATOS PRECIOS '!E:E,'BASE DATOS PRECIOS '!H:H)</f>
        <v/>
      </c>
      <c r="I412" s="312" t="n"/>
      <c r="J412" s="312" t="n"/>
      <c r="K412" s="313">
        <f>+F412*H412</f>
        <v/>
      </c>
      <c r="L412" s="313">
        <f>+F412*I412</f>
        <v/>
      </c>
      <c r="M412" s="313">
        <f>+F412*J412</f>
        <v/>
      </c>
      <c r="N412" s="313">
        <f>SUM(K412:M412)</f>
        <v/>
      </c>
      <c r="O412" s="314">
        <f>SUM(K412:M412)/tc</f>
        <v/>
      </c>
    </row>
    <row r="413">
      <c r="A413" s="16" t="n"/>
      <c r="B413" s="1134">
        <f>VALUE(IF(AND(LEN(TRIM(C413))-LEN(SUBSTITUTE(TRIM(C413),".",""))=1,ISNUMBER(VALUE(SUBSTITUTE(TRIM(C413),".","")))),TRIM(C413),B412))</f>
        <v/>
      </c>
      <c r="C413" s="16" t="inlineStr">
        <is>
          <t>M12-0001</t>
        </is>
      </c>
      <c r="D413" s="292" t="n"/>
      <c r="E413" s="252">
        <f>+_xlfn.XLOOKUP(C413,'BASE DATOS PRECIOS '!B:B,'BASE DATOS PRECIOS '!E:E)</f>
        <v/>
      </c>
      <c r="F413" s="218">
        <f>+'1_OG y 2_ACA'!D1534</f>
        <v/>
      </c>
      <c r="G413" s="250">
        <f>+_xlfn.XLOOKUP(C413,'BASE DATOS PRECIOS '!B:B,'BASE DATOS PRECIOS '!F:F)</f>
        <v/>
      </c>
      <c r="H413" s="249">
        <f>+_xlfn.XLOOKUP(E413,'BASE DATOS PRECIOS '!E:E,'BASE DATOS PRECIOS '!H:H)</f>
        <v/>
      </c>
      <c r="I413" s="312" t="n"/>
      <c r="J413" s="312" t="n"/>
      <c r="K413" s="313">
        <f>+F413*H413</f>
        <v/>
      </c>
      <c r="L413" s="313">
        <f>+F413*I413</f>
        <v/>
      </c>
      <c r="M413" s="313">
        <f>+F413*J413</f>
        <v/>
      </c>
      <c r="N413" s="313">
        <f>SUM(K413:M413)</f>
        <v/>
      </c>
      <c r="O413" s="314">
        <f>SUM(K413:M413)/tc</f>
        <v/>
      </c>
    </row>
    <row r="414">
      <c r="A414" s="16" t="n"/>
      <c r="B414" s="1134">
        <f>VALUE(IF(AND(LEN(TRIM(C414))-LEN(SUBSTITUTE(TRIM(C414),".",""))=1,ISNUMBER(VALUE(SUBSTITUTE(TRIM(C414),".","")))),TRIM(C414),B413))</f>
        <v/>
      </c>
      <c r="C414" s="16" t="inlineStr">
        <is>
          <t>M06-0297</t>
        </is>
      </c>
      <c r="D414" s="292" t="n"/>
      <c r="E414" s="252">
        <f>+_xlfn.XLOOKUP(C414,'BASE DATOS PRECIOS '!B:B,'BASE DATOS PRECIOS '!E:E)</f>
        <v/>
      </c>
      <c r="F414" s="218">
        <f>+'1_OG y 2_ACA'!D1535</f>
        <v/>
      </c>
      <c r="G414" s="250">
        <f>+_xlfn.XLOOKUP(C414,'BASE DATOS PRECIOS '!B:B,'BASE DATOS PRECIOS '!F:F)</f>
        <v/>
      </c>
      <c r="H414" s="249">
        <f>+_xlfn.XLOOKUP(E414,'BASE DATOS PRECIOS '!E:E,'BASE DATOS PRECIOS '!H:H)</f>
        <v/>
      </c>
      <c r="I414" s="250" t="n"/>
      <c r="J414" s="250" t="n"/>
      <c r="K414" s="249">
        <f>+F414*H414</f>
        <v/>
      </c>
      <c r="L414" s="249">
        <f>+F414*I414</f>
        <v/>
      </c>
      <c r="M414" s="249">
        <f>+F414*J414</f>
        <v/>
      </c>
      <c r="N414" s="249">
        <f>SUM(K414:M414)</f>
        <v/>
      </c>
      <c r="O414" s="251">
        <f>SUM(K414:M414)/tc</f>
        <v/>
      </c>
    </row>
    <row r="415">
      <c r="A415" s="16" t="n"/>
      <c r="B415" s="1134">
        <f>VALUE(IF(AND(LEN(TRIM(C415))-LEN(SUBSTITUTE(TRIM(C415),".",""))=1,ISNUMBER(VALUE(SUBSTITUTE(TRIM(C415),".","")))),TRIM(C415),B414))</f>
        <v/>
      </c>
      <c r="C415" s="16" t="inlineStr">
        <is>
          <t>M06-0172</t>
        </is>
      </c>
      <c r="D415" s="292" t="n"/>
      <c r="E415" s="252">
        <f>+_xlfn.XLOOKUP(C415,'BASE DATOS PRECIOS '!B:B,'BASE DATOS PRECIOS '!E:E)</f>
        <v/>
      </c>
      <c r="F415" s="218">
        <f>+'1_OG y 2_ACA'!D1536</f>
        <v/>
      </c>
      <c r="G415" s="250">
        <f>+_xlfn.XLOOKUP(C415,'BASE DATOS PRECIOS '!B:B,'BASE DATOS PRECIOS '!F:F)</f>
        <v/>
      </c>
      <c r="H415" s="249">
        <f>+_xlfn.XLOOKUP(E415,'BASE DATOS PRECIOS '!E:E,'BASE DATOS PRECIOS '!H:H)</f>
        <v/>
      </c>
      <c r="I415" s="250" t="n"/>
      <c r="J415" s="250" t="n"/>
      <c r="K415" s="249">
        <f>+F415*H415</f>
        <v/>
      </c>
      <c r="L415" s="249">
        <f>+F415*I415</f>
        <v/>
      </c>
      <c r="M415" s="249">
        <f>+F415*J415</f>
        <v/>
      </c>
      <c r="N415" s="249">
        <f>SUM(K415:M415)</f>
        <v/>
      </c>
      <c r="O415" s="251">
        <f>SUM(K415:M415)/tc</f>
        <v/>
      </c>
    </row>
    <row r="416">
      <c r="A416" s="16" t="n"/>
      <c r="B416" s="1134">
        <f>VALUE(IF(AND(LEN(TRIM(C416))-LEN(SUBSTITUTE(TRIM(C416),".",""))=1,ISNUMBER(VALUE(SUBSTITUTE(TRIM(C416),".","")))),TRIM(C416),B415))</f>
        <v/>
      </c>
      <c r="C416" s="16" t="inlineStr">
        <is>
          <t>M08-0042</t>
        </is>
      </c>
      <c r="D416" s="292" t="n"/>
      <c r="E416" s="311">
        <f>+_xlfn.XLOOKUP(C416,'BASE DATOS PRECIOS '!B:B,'BASE DATOS PRECIOS '!E:E)</f>
        <v/>
      </c>
      <c r="F416" s="218">
        <f>+'1_OG y 2_ACA'!D1537</f>
        <v/>
      </c>
      <c r="G416" s="312">
        <f>+_xlfn.XLOOKUP(C416,'BASE DATOS PRECIOS '!B:B,'BASE DATOS PRECIOS '!F:F)</f>
        <v/>
      </c>
      <c r="H416" s="249">
        <f>+_xlfn.XLOOKUP(E416,'BASE DATOS PRECIOS '!E:E,'BASE DATOS PRECIOS '!H:H)</f>
        <v/>
      </c>
      <c r="I416" s="312" t="n"/>
      <c r="J416" s="312" t="n"/>
      <c r="K416" s="313">
        <f>+F416*H416</f>
        <v/>
      </c>
      <c r="L416" s="313">
        <f>+F416*I416</f>
        <v/>
      </c>
      <c r="M416" s="313">
        <f>+F416*J416</f>
        <v/>
      </c>
      <c r="N416" s="313">
        <f>SUM(K416:M416)</f>
        <v/>
      </c>
      <c r="O416" s="314">
        <f>SUM(K416:M416)/tc</f>
        <v/>
      </c>
    </row>
    <row r="417">
      <c r="A417" s="16" t="n"/>
      <c r="B417" s="1134">
        <f>VALUE(IF(AND(LEN(TRIM(C417))-LEN(SUBSTITUTE(TRIM(C417),".",""))=1,ISNUMBER(VALUE(SUBSTITUTE(TRIM(C417),".","")))),TRIM(C417),B416))</f>
        <v/>
      </c>
      <c r="C417" s="285" t="n"/>
      <c r="D417" s="286" t="n"/>
      <c r="E417" s="335" t="inlineStr">
        <is>
          <t>ENCHAPE FACHADA  (T-TEK)</t>
        </is>
      </c>
      <c r="F417" s="288">
        <f>+'1_OG y 2_ACA'!D1550</f>
        <v/>
      </c>
      <c r="G417" s="289" t="inlineStr">
        <is>
          <t>M2</t>
        </is>
      </c>
      <c r="H417" s="289" t="n"/>
      <c r="I417" s="289" t="n"/>
      <c r="J417" s="289" t="n"/>
      <c r="K417" s="290" t="n"/>
      <c r="L417" s="290" t="n"/>
      <c r="M417" s="290" t="n"/>
      <c r="N417" s="290" t="n"/>
      <c r="O417" s="291" t="n"/>
    </row>
    <row r="418">
      <c r="A418" s="16" t="n"/>
      <c r="B418" s="1134">
        <f>VALUE(IF(AND(LEN(TRIM(C418))-LEN(SUBSTITUTE(TRIM(C418),".",""))=1,ISNUMBER(VALUE(SUBSTITUTE(TRIM(C418),".","")))),TRIM(C418),B417))</f>
        <v/>
      </c>
      <c r="C418" s="16" t="inlineStr">
        <is>
          <t>M04-0010</t>
        </is>
      </c>
      <c r="D418" s="292" t="n"/>
      <c r="E418" s="252">
        <f>+_xlfn.XLOOKUP(C418,'BASE DATOS PRECIOS '!B:B,'BASE DATOS PRECIOS '!E:E)</f>
        <v/>
      </c>
      <c r="F418" s="345">
        <f>+'1_OG y 2_ACA'!D1553</f>
        <v/>
      </c>
      <c r="G418" s="250">
        <f>+_xlfn.XLOOKUP(C418,'BASE DATOS PRECIOS '!B:B,'BASE DATOS PRECIOS '!F:F)</f>
        <v/>
      </c>
      <c r="H418" s="249">
        <f>+_xlfn.XLOOKUP(E418,'BASE DATOS PRECIOS '!E:E,'BASE DATOS PRECIOS '!H:H)</f>
        <v/>
      </c>
      <c r="I418" s="250" t="n"/>
      <c r="J418" s="250" t="n"/>
      <c r="K418" s="249">
        <f>+F418*H418</f>
        <v/>
      </c>
      <c r="L418" s="249">
        <f>+F418*I418</f>
        <v/>
      </c>
      <c r="M418" s="249">
        <f>+F418*J418</f>
        <v/>
      </c>
      <c r="N418" s="249">
        <f>SUM(K418:M418)</f>
        <v/>
      </c>
      <c r="O418" s="251">
        <f>SUM(K418:M418)/tc</f>
        <v/>
      </c>
    </row>
    <row r="419">
      <c r="A419" s="16" t="n"/>
      <c r="B419" s="1134">
        <f>VALUE(IF(AND(LEN(TRIM(C419))-LEN(SUBSTITUTE(TRIM(C419),".",""))=1,ISNUMBER(VALUE(SUBSTITUTE(TRIM(C419),".","")))),TRIM(C419),B418))</f>
        <v/>
      </c>
      <c r="C419" s="16" t="inlineStr">
        <is>
          <t>M10-0087</t>
        </is>
      </c>
      <c r="D419" s="292" t="n"/>
      <c r="E419" s="252">
        <f>+_xlfn.XLOOKUP(C419,'BASE DATOS PRECIOS '!B:B,'BASE DATOS PRECIOS '!E:E)</f>
        <v/>
      </c>
      <c r="F419" s="345">
        <f>+'1_OG y 2_ACA'!D1554</f>
        <v/>
      </c>
      <c r="G419" s="250">
        <f>+_xlfn.XLOOKUP(C419,'BASE DATOS PRECIOS '!B:B,'BASE DATOS PRECIOS '!F:F)</f>
        <v/>
      </c>
      <c r="H419" s="249">
        <f>+_xlfn.XLOOKUP(E419,'BASE DATOS PRECIOS '!E:E,'BASE DATOS PRECIOS '!H:H)</f>
        <v/>
      </c>
      <c r="I419" s="250" t="n"/>
      <c r="J419" s="250" t="n"/>
      <c r="K419" s="249">
        <f>+F419*H419</f>
        <v/>
      </c>
      <c r="L419" s="249">
        <f>+F419*I419</f>
        <v/>
      </c>
      <c r="M419" s="249">
        <f>+F419*J419</f>
        <v/>
      </c>
      <c r="N419" s="249">
        <f>SUM(K419:M419)</f>
        <v/>
      </c>
      <c r="O419" s="251">
        <f>SUM(K419:M419)/tc</f>
        <v/>
      </c>
    </row>
    <row r="420">
      <c r="A420" s="16" t="n"/>
      <c r="B420" s="1134">
        <f>VALUE(IF(AND(LEN(TRIM(C420))-LEN(SUBSTITUTE(TRIM(C420),".",""))=1,ISNUMBER(VALUE(SUBSTITUTE(TRIM(C420),".","")))),TRIM(C420),B419))</f>
        <v/>
      </c>
      <c r="C420" s="324" t="inlineStr">
        <is>
          <t>M06-0043</t>
        </is>
      </c>
      <c r="D420" s="325" t="n"/>
      <c r="E420" s="252">
        <f>+_xlfn.XLOOKUP(C420,'BASE DATOS PRECIOS '!B:B,'BASE DATOS PRECIOS '!E:E)</f>
        <v/>
      </c>
      <c r="F420" s="345">
        <f>+'1_OG y 2_ACA'!D1555</f>
        <v/>
      </c>
      <c r="G420" s="312">
        <f>+_xlfn.XLOOKUP(C420,'BASE DATOS PRECIOS '!B:B,'BASE DATOS PRECIOS '!F:F)</f>
        <v/>
      </c>
      <c r="H420" s="249">
        <f>+_xlfn.XLOOKUP(E420,'BASE DATOS PRECIOS '!E:E,'BASE DATOS PRECIOS '!G:G)</f>
        <v/>
      </c>
      <c r="I420" s="312" t="n"/>
      <c r="J420" s="312" t="n"/>
      <c r="K420" s="313">
        <f>+F420*H420</f>
        <v/>
      </c>
      <c r="L420" s="313">
        <f>+F420*I420</f>
        <v/>
      </c>
      <c r="M420" s="313">
        <f>+F420*J420</f>
        <v/>
      </c>
      <c r="N420" s="313">
        <f>SUM(K420:M420)</f>
        <v/>
      </c>
      <c r="O420" s="314">
        <f>SUM(K420:M420)/tc</f>
        <v/>
      </c>
    </row>
    <row r="421">
      <c r="A421" s="16" t="n"/>
      <c r="B421" s="1134">
        <f>VALUE(IF(AND(LEN(TRIM(C421))-LEN(SUBSTITUTE(TRIM(C421),".",""))=1,ISNUMBER(VALUE(SUBSTITUTE(TRIM(C421),".","")))),TRIM(C421),B420))</f>
        <v/>
      </c>
      <c r="C421" s="333" t="inlineStr">
        <is>
          <t>M06-0278</t>
        </is>
      </c>
      <c r="D421" s="334" t="n"/>
      <c r="E421" s="252">
        <f>+_xlfn.XLOOKUP(C421,'BASE DATOS PRECIOS '!B:B,'BASE DATOS PRECIOS '!E:E)</f>
        <v/>
      </c>
      <c r="F421" s="345">
        <f>+'1_OG y 2_ACA'!D1556</f>
        <v/>
      </c>
      <c r="G421" s="312">
        <f>+_xlfn.XLOOKUP(C421,'BASE DATOS PRECIOS '!B:B,'BASE DATOS PRECIOS '!F:F)</f>
        <v/>
      </c>
      <c r="H421" s="249">
        <f>+_xlfn.XLOOKUP(E421,'BASE DATOS PRECIOS '!E:E,'BASE DATOS PRECIOS '!G:G)</f>
        <v/>
      </c>
      <c r="I421" s="312" t="n"/>
      <c r="J421" s="312" t="n"/>
      <c r="K421" s="313">
        <f>+F421*H421</f>
        <v/>
      </c>
      <c r="L421" s="313">
        <f>+F421*I421</f>
        <v/>
      </c>
      <c r="M421" s="313">
        <f>+F421*J421</f>
        <v/>
      </c>
      <c r="N421" s="313">
        <f>SUM(K421:M421)</f>
        <v/>
      </c>
      <c r="O421" s="314">
        <f>SUM(K421:M421)/tc</f>
        <v/>
      </c>
    </row>
    <row r="422">
      <c r="A422" s="316" t="inlineStr">
        <is>
          <t>Enchapes Casa</t>
        </is>
      </c>
      <c r="B422" s="1134">
        <f>VALUE(IF(AND(LEN(TRIM(C422))-LEN(SUBSTITUTE(TRIM(C422),".",""))=1,ISNUMBER(VALUE(SUBSTITUTE(TRIM(C422),".","")))),TRIM(C422),B421))</f>
        <v/>
      </c>
      <c r="C422" s="267" t="inlineStr">
        <is>
          <t xml:space="preserve">OPERARIO </t>
        </is>
      </c>
      <c r="D422" s="268" t="n"/>
      <c r="E422" s="269">
        <f>+_xlfn.XLOOKUP(C422,'BASE DATOS MANO DE OBRA'!A:A,'BASE DATOS MANO DE OBRA'!B:B)</f>
        <v/>
      </c>
      <c r="F422" s="270">
        <f>+ROUNDUP('1_OG y 2_ACA'!F1540,0)/2</f>
        <v/>
      </c>
      <c r="G422" s="271">
        <f>+_xlfn.XLOOKUP(C422,'BASE DATOS MANO DE OBRA'!A:A,'BASE DATOS MANO DE OBRA'!C:C)</f>
        <v/>
      </c>
      <c r="H422" s="272" t="n">
        <v>0</v>
      </c>
      <c r="I422" s="272">
        <f>+_xlfn.XLOOKUP(C422,'BASE DATOS MANO DE OBRA'!A:A,'BASE DATOS MANO DE OBRA'!E:E)</f>
        <v/>
      </c>
      <c r="J422" s="272" t="n">
        <v>0</v>
      </c>
      <c r="K422" s="272">
        <f>+F422*H422</f>
        <v/>
      </c>
      <c r="L422" s="272">
        <f>+F422*I422</f>
        <v/>
      </c>
      <c r="M422" s="272">
        <f>+F422*J422</f>
        <v/>
      </c>
      <c r="N422" s="272">
        <f>SUM(K422:M422)</f>
        <v/>
      </c>
      <c r="O422" s="273">
        <f>SUM(K422:M422)/tc</f>
        <v/>
      </c>
    </row>
    <row r="423">
      <c r="A423" s="316" t="inlineStr">
        <is>
          <t>Enchapes Casa</t>
        </is>
      </c>
      <c r="B423" s="1134">
        <f>VALUE(IF(AND(LEN(TRIM(C423))-LEN(SUBSTITUTE(TRIM(C423),".",""))=1,ISNUMBER(VALUE(SUBSTITUTE(TRIM(C423),".","")))),TRIM(C423),B422))</f>
        <v/>
      </c>
      <c r="C423" s="267" t="inlineStr">
        <is>
          <t xml:space="preserve">AYUDANTE </t>
        </is>
      </c>
      <c r="D423" s="268" t="n"/>
      <c r="E423" s="269">
        <f>+_xlfn.XLOOKUP(C423,'BASE DATOS MANO DE OBRA'!A:A,'BASE DATOS MANO DE OBRA'!B:B)</f>
        <v/>
      </c>
      <c r="F423" s="270">
        <f>+F422</f>
        <v/>
      </c>
      <c r="G423" s="271">
        <f>+_xlfn.XLOOKUP(C423,'BASE DATOS MANO DE OBRA'!A:A,'BASE DATOS MANO DE OBRA'!C:C)</f>
        <v/>
      </c>
      <c r="H423" s="272" t="n">
        <v>0</v>
      </c>
      <c r="I423" s="272">
        <f>+_xlfn.XLOOKUP(C423,'BASE DATOS MANO DE OBRA'!A:A,'BASE DATOS MANO DE OBRA'!E:E)</f>
        <v/>
      </c>
      <c r="J423" s="272" t="n">
        <v>0</v>
      </c>
      <c r="K423" s="272">
        <f>+F423*H423</f>
        <v/>
      </c>
      <c r="L423" s="272">
        <f>+F423*I423</f>
        <v/>
      </c>
      <c r="M423" s="272">
        <f>+F423*J423</f>
        <v/>
      </c>
      <c r="N423" s="272">
        <f>SUM(K423:M423)</f>
        <v/>
      </c>
      <c r="O423" s="273">
        <f>SUM(K423:M423)/tc</f>
        <v/>
      </c>
    </row>
    <row r="424">
      <c r="A424" s="316" t="inlineStr">
        <is>
          <t>Tablatek</t>
        </is>
      </c>
      <c r="B424" s="1134">
        <f>VALUE(IF(AND(LEN(TRIM(C424))-LEN(SUBSTITUTE(TRIM(C424),".",""))=1,ISNUMBER(VALUE(SUBSTITUTE(TRIM(C424),".","")))),TRIM(C424),B423))</f>
        <v/>
      </c>
      <c r="C424" s="267" t="inlineStr">
        <is>
          <t xml:space="preserve">OPERARIO </t>
        </is>
      </c>
      <c r="D424" s="268" t="n"/>
      <c r="E424" s="269">
        <f>+_xlfn.XLOOKUP(C424,'BASE DATOS MANO DE OBRA'!A:A,'BASE DATOS MANO DE OBRA'!B:B)</f>
        <v/>
      </c>
      <c r="F424" s="270">
        <f>+ROUNDUP('1_OG y 2_ACA'!F1541,0)/2</f>
        <v/>
      </c>
      <c r="G424" s="271">
        <f>+_xlfn.XLOOKUP(C424,'BASE DATOS MANO DE OBRA'!A:A,'BASE DATOS MANO DE OBRA'!C:C)</f>
        <v/>
      </c>
      <c r="H424" s="272" t="n">
        <v>0</v>
      </c>
      <c r="I424" s="272">
        <f>+_xlfn.XLOOKUP(C424,'BASE DATOS MANO DE OBRA'!A:A,'BASE DATOS MANO DE OBRA'!E:E)</f>
        <v/>
      </c>
      <c r="J424" s="272" t="n">
        <v>0</v>
      </c>
      <c r="K424" s="272">
        <f>+F424*H424</f>
        <v/>
      </c>
      <c r="L424" s="272">
        <f>+F424*I424</f>
        <v/>
      </c>
      <c r="M424" s="272">
        <f>+F424*J424</f>
        <v/>
      </c>
      <c r="N424" s="272">
        <f>SUM(K424:M424)</f>
        <v/>
      </c>
      <c r="O424" s="273">
        <f>SUM(K424:M424)/tc</f>
        <v/>
      </c>
    </row>
    <row r="425">
      <c r="A425" s="316" t="inlineStr">
        <is>
          <t>Tablatek</t>
        </is>
      </c>
      <c r="B425" s="1134">
        <f>VALUE(IF(AND(LEN(TRIM(C425))-LEN(SUBSTITUTE(TRIM(C425),".",""))=1,ISNUMBER(VALUE(SUBSTITUTE(TRIM(C425),".","")))),TRIM(C425),B424))</f>
        <v/>
      </c>
      <c r="C425" s="267" t="inlineStr">
        <is>
          <t xml:space="preserve">AYUDANTE </t>
        </is>
      </c>
      <c r="D425" s="268" t="n"/>
      <c r="E425" s="269">
        <f>+_xlfn.XLOOKUP(C425,'BASE DATOS MANO DE OBRA'!A:A,'BASE DATOS MANO DE OBRA'!B:B)</f>
        <v/>
      </c>
      <c r="F425" s="270">
        <f>+F424</f>
        <v/>
      </c>
      <c r="G425" s="271">
        <f>+_xlfn.XLOOKUP(C425,'BASE DATOS MANO DE OBRA'!A:A,'BASE DATOS MANO DE OBRA'!C:C)</f>
        <v/>
      </c>
      <c r="H425" s="272" t="n">
        <v>0</v>
      </c>
      <c r="I425" s="272">
        <f>+_xlfn.XLOOKUP(C425,'BASE DATOS MANO DE OBRA'!A:A,'BASE DATOS MANO DE OBRA'!E:E)</f>
        <v/>
      </c>
      <c r="J425" s="272" t="n">
        <v>0</v>
      </c>
      <c r="K425" s="272">
        <f>+F425*H425</f>
        <v/>
      </c>
      <c r="L425" s="272">
        <f>+F425*I425</f>
        <v/>
      </c>
      <c r="M425" s="272">
        <f>+F425*J425</f>
        <v/>
      </c>
      <c r="N425" s="272">
        <f>SUM(K425:M425)</f>
        <v/>
      </c>
      <c r="O425" s="273">
        <f>SUM(K425:M425)/tc</f>
        <v/>
      </c>
    </row>
    <row r="426">
      <c r="A426" s="316" t="inlineStr">
        <is>
          <t>Enchapes Casa</t>
        </is>
      </c>
      <c r="B426" s="1134">
        <f>VALUE(IF(AND(LEN(TRIM(C426))-LEN(SUBSTITUTE(TRIM(C426),".",""))=1,ISNUMBER(VALUE(SUBSTITUTE(TRIM(C426),".","")))),TRIM(C426),B425))</f>
        <v/>
      </c>
      <c r="C426" s="267" t="inlineStr">
        <is>
          <t xml:space="preserve">OPERARIO </t>
        </is>
      </c>
      <c r="D426" s="268" t="n"/>
      <c r="E426" s="269">
        <f>+_xlfn.XLOOKUP(C426,'BASE DATOS MANO DE OBRA'!A:A,'BASE DATOS MANO DE OBRA'!B:B)</f>
        <v/>
      </c>
      <c r="F426" s="270">
        <f>+ROUNDUP('1_OG y 2_ACA'!F1542,0)/2</f>
        <v/>
      </c>
      <c r="G426" s="271">
        <f>+_xlfn.XLOOKUP(C426,'BASE DATOS MANO DE OBRA'!A:A,'BASE DATOS MANO DE OBRA'!C:C)</f>
        <v/>
      </c>
      <c r="H426" s="272" t="n">
        <v>0</v>
      </c>
      <c r="I426" s="272">
        <f>+_xlfn.XLOOKUP(C426,'BASE DATOS MANO DE OBRA'!A:A,'BASE DATOS MANO DE OBRA'!E:E)</f>
        <v/>
      </c>
      <c r="J426" s="272" t="n">
        <v>0</v>
      </c>
      <c r="K426" s="272">
        <f>+F426*H426</f>
        <v/>
      </c>
      <c r="L426" s="272">
        <f>+F426*I426</f>
        <v/>
      </c>
      <c r="M426" s="272">
        <f>+F426*J426</f>
        <v/>
      </c>
      <c r="N426" s="272">
        <f>SUM(K426:M426)</f>
        <v/>
      </c>
      <c r="O426" s="273">
        <f>SUM(K426:M426)/tc</f>
        <v/>
      </c>
    </row>
    <row r="427">
      <c r="A427" s="316" t="inlineStr">
        <is>
          <t>Enchapes Casa</t>
        </is>
      </c>
      <c r="B427" s="1134">
        <f>VALUE(IF(AND(LEN(TRIM(C427))-LEN(SUBSTITUTE(TRIM(C427),".",""))=1,ISNUMBER(VALUE(SUBSTITUTE(TRIM(C427),".","")))),TRIM(C427),B426))</f>
        <v/>
      </c>
      <c r="C427" s="267" t="inlineStr">
        <is>
          <t xml:space="preserve">AYUDANTE </t>
        </is>
      </c>
      <c r="D427" s="268" t="n"/>
      <c r="E427" s="269">
        <f>+_xlfn.XLOOKUP(C427,'BASE DATOS MANO DE OBRA'!A:A,'BASE DATOS MANO DE OBRA'!B:B)</f>
        <v/>
      </c>
      <c r="F427" s="270">
        <f>+F426</f>
        <v/>
      </c>
      <c r="G427" s="271">
        <f>+_xlfn.XLOOKUP(C427,'BASE DATOS MANO DE OBRA'!A:A,'BASE DATOS MANO DE OBRA'!C:C)</f>
        <v/>
      </c>
      <c r="H427" s="272" t="n">
        <v>0</v>
      </c>
      <c r="I427" s="272">
        <f>+_xlfn.XLOOKUP(C427,'BASE DATOS MANO DE OBRA'!A:A,'BASE DATOS MANO DE OBRA'!E:E)</f>
        <v/>
      </c>
      <c r="J427" s="272" t="n">
        <v>0</v>
      </c>
      <c r="K427" s="272">
        <f>+F427*H427</f>
        <v/>
      </c>
      <c r="L427" s="272">
        <f>+F427*I427</f>
        <v/>
      </c>
      <c r="M427" s="272">
        <f>+F427*J427</f>
        <v/>
      </c>
      <c r="N427" s="272">
        <f>SUM(K427:M427)</f>
        <v/>
      </c>
      <c r="O427" s="273">
        <f>SUM(K427:M427)/tc</f>
        <v/>
      </c>
    </row>
    <row r="428">
      <c r="A428" s="16" t="n"/>
      <c r="B428" s="1134">
        <f>VALUE(IF(AND(LEN(TRIM(C428))-LEN(SUBSTITUTE(TRIM(C428),".",""))=1,ISNUMBER(VALUE(SUBSTITUTE(TRIM(C428),".","")))),TRIM(C428),B427))</f>
        <v/>
      </c>
      <c r="C428" s="306" t="inlineStr">
        <is>
          <t>2.3</t>
        </is>
      </c>
      <c r="D428" s="227" t="n"/>
      <c r="E428" s="228" t="inlineStr">
        <is>
          <t>PINTURA / IMPERMEABILIZANTE</t>
        </is>
      </c>
      <c r="F428" s="229" t="n">
        <v>1</v>
      </c>
      <c r="G428" s="227" t="inlineStr">
        <is>
          <t>UND</t>
        </is>
      </c>
      <c r="H428" s="227" t="n"/>
      <c r="I428" s="227" t="n"/>
      <c r="J428" s="227" t="n"/>
      <c r="K428" s="230">
        <f>+SUBTOTAL(9,K429:K464)</f>
        <v/>
      </c>
      <c r="L428" s="230">
        <f>+SUBTOTAL(9,L429:L464)</f>
        <v/>
      </c>
      <c r="M428" s="230">
        <f>+SUBTOTAL(9,M429:M464)</f>
        <v/>
      </c>
      <c r="N428" s="230">
        <f>+SUBTOTAL(9,N429:N464)</f>
        <v/>
      </c>
      <c r="O428" s="1135">
        <f>+SUBTOTAL(9,O429:O464)</f>
        <v/>
      </c>
    </row>
    <row r="429">
      <c r="A429" s="16" t="n"/>
      <c r="B429" s="1134">
        <f>VALUE(IF(AND(LEN(TRIM(C429))-LEN(SUBSTITUTE(TRIM(C429),".",""))=1,ISNUMBER(VALUE(SUBSTITUTE(TRIM(C429),".","")))),TRIM(C429),B428))</f>
        <v/>
      </c>
      <c r="C429" s="234" t="inlineStr">
        <is>
          <t>2.3.1</t>
        </is>
      </c>
      <c r="D429" s="235" t="n"/>
      <c r="E429" s="236" t="inlineStr">
        <is>
          <t>PINTURA PAREDES Y CIELOS</t>
        </is>
      </c>
      <c r="F429" s="237">
        <f>+'1_OG y 2_ACA'!D1572</f>
        <v/>
      </c>
      <c r="G429" s="235" t="inlineStr">
        <is>
          <t>m2</t>
        </is>
      </c>
      <c r="H429" s="235" t="n"/>
      <c r="I429" s="235" t="n"/>
      <c r="J429" s="235" t="n"/>
      <c r="K429" s="238">
        <f>+SUBTOTAL(9,K430:K451)</f>
        <v/>
      </c>
      <c r="L429" s="238">
        <f>+SUBTOTAL(9,L430:L451)</f>
        <v/>
      </c>
      <c r="M429" s="238">
        <f>+SUBTOTAL(9,M430:M451)</f>
        <v/>
      </c>
      <c r="N429" s="238">
        <f>+SUBTOTAL(9,N430:N451)</f>
        <v/>
      </c>
      <c r="O429" s="1136">
        <f>+SUBTOTAL(9,O430:O451)</f>
        <v/>
      </c>
      <c r="P429" s="1137" t="n"/>
    </row>
    <row r="430">
      <c r="A430" s="16" t="n"/>
      <c r="B430" s="1134">
        <f>VALUE(IF(AND(LEN(TRIM(C430))-LEN(SUBSTITUTE(TRIM(C430),".",""))=1,ISNUMBER(VALUE(SUBSTITUTE(TRIM(C430),".","")))),TRIM(C430),B429))</f>
        <v/>
      </c>
      <c r="C430" s="16" t="inlineStr">
        <is>
          <t>M11-0076</t>
        </is>
      </c>
      <c r="D430" s="292" t="n"/>
      <c r="E430" s="252">
        <f>+_xlfn.XLOOKUP(C430,'BASE DATOS PRECIOS '!B:B,'BASE DATOS PRECIOS '!E:E)</f>
        <v/>
      </c>
      <c r="F430" s="218">
        <f>+'1_OG y 2_ACA'!G1567</f>
        <v/>
      </c>
      <c r="G430" s="250">
        <f>+_xlfn.XLOOKUP(C430,'BASE DATOS PRECIOS '!B:B,'BASE DATOS PRECIOS '!F:F)</f>
        <v/>
      </c>
      <c r="H430" s="249">
        <f>+_xlfn.XLOOKUP(E430,'BASE DATOS PRECIOS '!E:E,'BASE DATOS PRECIOS '!H:H)</f>
        <v/>
      </c>
      <c r="I430" s="250" t="n"/>
      <c r="J430" s="250" t="n"/>
      <c r="K430" s="249">
        <f>+F430*H430</f>
        <v/>
      </c>
      <c r="L430" s="249">
        <f>+F430*I430</f>
        <v/>
      </c>
      <c r="M430" s="249">
        <f>+F430*J430</f>
        <v/>
      </c>
      <c r="N430" s="249">
        <f>SUM(K430:M430)</f>
        <v/>
      </c>
      <c r="O430" s="251">
        <f>SUM(K430:M430)/tc</f>
        <v/>
      </c>
    </row>
    <row r="431">
      <c r="A431" s="16" t="n"/>
      <c r="B431" s="1134">
        <f>VALUE(IF(AND(LEN(TRIM(C431))-LEN(SUBSTITUTE(TRIM(C431),".",""))=1,ISNUMBER(VALUE(SUBSTITUTE(TRIM(C431),".","")))),TRIM(C431),B430))</f>
        <v/>
      </c>
      <c r="C431" s="16" t="inlineStr">
        <is>
          <t>M11-0115</t>
        </is>
      </c>
      <c r="D431" s="292" t="inlineStr">
        <is>
          <t>05</t>
        </is>
      </c>
      <c r="E431" s="252">
        <f>+_xlfn.XLOOKUP(C431,'BASE DATOS PRECIOS '!B:B,'BASE DATOS PRECIOS '!E:E)</f>
        <v/>
      </c>
      <c r="F431" s="218">
        <f>'1_OG y 2_ACA'!G1568</f>
        <v/>
      </c>
      <c r="G431" s="250">
        <f>+_xlfn.XLOOKUP(C431,'BASE DATOS PRECIOS '!B:B,'BASE DATOS PRECIOS '!F:F)</f>
        <v/>
      </c>
      <c r="H431" s="249">
        <f>+_xlfn.XLOOKUP(E431,'BASE DATOS PRECIOS '!E:E,'BASE DATOS PRECIOS '!H:H)</f>
        <v/>
      </c>
      <c r="I431" s="250" t="n"/>
      <c r="J431" s="250" t="n"/>
      <c r="K431" s="249">
        <f>+F431*H431</f>
        <v/>
      </c>
      <c r="L431" s="249">
        <f>+F431*I431</f>
        <v/>
      </c>
      <c r="M431" s="249">
        <f>+F431*J431</f>
        <v/>
      </c>
      <c r="N431" s="249">
        <f>SUM(K431:M431)</f>
        <v/>
      </c>
      <c r="O431" s="251">
        <f>SUM(K431:M431)/tc</f>
        <v/>
      </c>
    </row>
    <row r="432">
      <c r="A432" s="16" t="n"/>
      <c r="B432" s="1134">
        <f>VALUE(IF(AND(LEN(TRIM(C432))-LEN(SUBSTITUTE(TRIM(C432),".",""))=1,ISNUMBER(VALUE(SUBSTITUTE(TRIM(C432),".","")))),TRIM(C432),B431))</f>
        <v/>
      </c>
      <c r="C432" s="16" t="inlineStr">
        <is>
          <t>M11-0115</t>
        </is>
      </c>
      <c r="D432" s="292" t="inlineStr">
        <is>
          <t>11</t>
        </is>
      </c>
      <c r="E432" s="252">
        <f>+_xlfn.XLOOKUP(C432,'BASE DATOS PRECIOS '!B:B,'BASE DATOS PRECIOS '!E:E)</f>
        <v/>
      </c>
      <c r="F432" s="218">
        <f>'1_OG y 2_ACA'!G1569</f>
        <v/>
      </c>
      <c r="G432" s="250">
        <f>+_xlfn.XLOOKUP(C432,'BASE DATOS PRECIOS '!B:B,'BASE DATOS PRECIOS '!F:F)</f>
        <v/>
      </c>
      <c r="H432" s="249">
        <f>+_xlfn.XLOOKUP(E432,'BASE DATOS PRECIOS '!E:E,'BASE DATOS PRECIOS '!H:H)</f>
        <v/>
      </c>
      <c r="I432" s="250" t="n"/>
      <c r="J432" s="250" t="n"/>
      <c r="K432" s="249">
        <f>+F432*H432</f>
        <v/>
      </c>
      <c r="L432" s="249">
        <f>+F432*I432</f>
        <v/>
      </c>
      <c r="M432" s="249">
        <f>+F432*J432</f>
        <v/>
      </c>
      <c r="N432" s="249">
        <f>SUM(K432:M432)</f>
        <v/>
      </c>
      <c r="O432" s="251">
        <f>SUM(K432:M432)/tc</f>
        <v/>
      </c>
    </row>
    <row r="433">
      <c r="A433" s="16" t="n"/>
      <c r="B433" s="1134">
        <f>VALUE(IF(AND(LEN(TRIM(C433))-LEN(SUBSTITUTE(TRIM(C433),".",""))=1,ISNUMBER(VALUE(SUBSTITUTE(TRIM(C433),".","")))),TRIM(C433),B432))</f>
        <v/>
      </c>
      <c r="C433" s="16" t="inlineStr">
        <is>
          <t>M11-0115</t>
        </is>
      </c>
      <c r="D433" s="292" t="inlineStr">
        <is>
          <t>12</t>
        </is>
      </c>
      <c r="E433" s="252">
        <f>+_xlfn.XLOOKUP(C433,'BASE DATOS PRECIOS '!B:B,'BASE DATOS PRECIOS '!E:E)</f>
        <v/>
      </c>
      <c r="F433" s="218">
        <f>'1_OG y 2_ACA'!G1570</f>
        <v/>
      </c>
      <c r="G433" s="250">
        <f>+_xlfn.XLOOKUP(C433,'BASE DATOS PRECIOS '!B:B,'BASE DATOS PRECIOS '!F:F)</f>
        <v/>
      </c>
      <c r="H433" s="249">
        <f>+_xlfn.XLOOKUP(E433,'BASE DATOS PRECIOS '!E:E,'BASE DATOS PRECIOS '!H:H)</f>
        <v/>
      </c>
      <c r="I433" s="250" t="n"/>
      <c r="J433" s="250" t="n"/>
      <c r="K433" s="249">
        <f>+F433*H433</f>
        <v/>
      </c>
      <c r="L433" s="249">
        <f>+F433*I433</f>
        <v/>
      </c>
      <c r="M433" s="249">
        <f>+F433*J433</f>
        <v/>
      </c>
      <c r="N433" s="249">
        <f>SUM(K433:M433)</f>
        <v/>
      </c>
      <c r="O433" s="251">
        <f>SUM(K433:M433)/tc</f>
        <v/>
      </c>
    </row>
    <row r="434">
      <c r="A434" s="16" t="n"/>
      <c r="B434" s="1134">
        <f>VALUE(IF(AND(LEN(TRIM(C434))-LEN(SUBSTITUTE(TRIM(C434),".",""))=1,ISNUMBER(VALUE(SUBSTITUTE(TRIM(C434),".","")))),TRIM(C434),B433))</f>
        <v/>
      </c>
      <c r="C434" s="16" t="inlineStr">
        <is>
          <t>M11-0121</t>
        </is>
      </c>
      <c r="D434" s="292" t="n"/>
      <c r="E434" s="252">
        <f>+_xlfn.XLOOKUP(C434,'BASE DATOS PRECIOS '!B:B,'BASE DATOS PRECIOS '!E:E)</f>
        <v/>
      </c>
      <c r="F434" s="218">
        <f>'1_OG y 2_ACA'!G1571</f>
        <v/>
      </c>
      <c r="G434" s="250">
        <f>+_xlfn.XLOOKUP(C434,'BASE DATOS PRECIOS '!B:B,'BASE DATOS PRECIOS '!F:F)</f>
        <v/>
      </c>
      <c r="H434" s="249">
        <f>+_xlfn.XLOOKUP(E434,'BASE DATOS PRECIOS '!E:E,'BASE DATOS PRECIOS '!H:H)</f>
        <v/>
      </c>
      <c r="I434" s="250" t="n"/>
      <c r="J434" s="250" t="n"/>
      <c r="K434" s="249">
        <f>+F434*H434</f>
        <v/>
      </c>
      <c r="L434" s="249">
        <f>+F434*I434</f>
        <v/>
      </c>
      <c r="M434" s="249">
        <f>+F434*J434</f>
        <v/>
      </c>
      <c r="N434" s="249">
        <f>SUM(K434:M434)</f>
        <v/>
      </c>
      <c r="O434" s="251">
        <f>SUM(K434:M434)/tc</f>
        <v/>
      </c>
    </row>
    <row r="435">
      <c r="A435" s="16" t="n"/>
      <c r="B435" s="1134">
        <f>VALUE(IF(AND(LEN(TRIM(C435))-LEN(SUBSTITUTE(TRIM(C435),".",""))=1,ISNUMBER(VALUE(SUBSTITUTE(TRIM(C435),".","")))),TRIM(C435),B431))</f>
        <v/>
      </c>
      <c r="C435" s="16" t="inlineStr">
        <is>
          <t>M08-0064</t>
        </is>
      </c>
      <c r="D435" s="292" t="n"/>
      <c r="E435" s="252">
        <f>+_xlfn.XLOOKUP(C435,'BASE DATOS PRECIOS '!B:B,'BASE DATOS PRECIOS '!E:E)</f>
        <v/>
      </c>
      <c r="F435" s="218">
        <f>ROUND('1_OG y 2_ACA'!D1574,0)</f>
        <v/>
      </c>
      <c r="G435" s="250">
        <f>+_xlfn.XLOOKUP(C435,'BASE DATOS PRECIOS '!B:B,'BASE DATOS PRECIOS '!F:F)</f>
        <v/>
      </c>
      <c r="H435" s="249">
        <f>+_xlfn.XLOOKUP(E435,'BASE DATOS PRECIOS '!E:E,'BASE DATOS PRECIOS '!H:H)</f>
        <v/>
      </c>
      <c r="I435" s="250" t="n"/>
      <c r="J435" s="250" t="n"/>
      <c r="K435" s="249">
        <f>+F435*H435</f>
        <v/>
      </c>
      <c r="L435" s="249">
        <f>+F435*I435</f>
        <v/>
      </c>
      <c r="M435" s="249">
        <f>+F435*J435</f>
        <v/>
      </c>
      <c r="N435" s="249">
        <f>SUM(K435:M435)</f>
        <v/>
      </c>
      <c r="O435" s="251">
        <f>SUM(K435:M435)/tc</f>
        <v/>
      </c>
    </row>
    <row r="436">
      <c r="A436" s="16" t="n"/>
      <c r="B436" s="1134">
        <f>VALUE(IF(AND(LEN(TRIM(C436))-LEN(SUBSTITUTE(TRIM(C436),".",""))=1,ISNUMBER(VALUE(SUBSTITUTE(TRIM(C436),".","")))),TRIM(C436),B435))</f>
        <v/>
      </c>
      <c r="C436" s="16" t="inlineStr">
        <is>
          <t>M06-0003</t>
        </is>
      </c>
      <c r="D436" s="292" t="n"/>
      <c r="E436" s="252">
        <f>+_xlfn.XLOOKUP(C436,'BASE DATOS PRECIOS '!B:B,'BASE DATOS PRECIOS '!E:E)</f>
        <v/>
      </c>
      <c r="F436" s="218">
        <f>+'1_OG y 2_ACA'!D1575</f>
        <v/>
      </c>
      <c r="G436" s="250">
        <f>+_xlfn.XLOOKUP(C436,'BASE DATOS PRECIOS '!B:B,'BASE DATOS PRECIOS '!F:F)</f>
        <v/>
      </c>
      <c r="H436" s="249">
        <f>+_xlfn.XLOOKUP(E436,'BASE DATOS PRECIOS '!E:E,'BASE DATOS PRECIOS '!H:H)</f>
        <v/>
      </c>
      <c r="I436" s="250" t="n"/>
      <c r="J436" s="250" t="n"/>
      <c r="K436" s="249">
        <f>+F436*H436</f>
        <v/>
      </c>
      <c r="L436" s="249">
        <f>+F436*I436</f>
        <v/>
      </c>
      <c r="M436" s="249">
        <f>+F436*J436</f>
        <v/>
      </c>
      <c r="N436" s="249">
        <f>SUM(K436:M436)</f>
        <v/>
      </c>
      <c r="O436" s="251">
        <f>SUM(K436:M436)/tc</f>
        <v/>
      </c>
    </row>
    <row r="437">
      <c r="A437" s="16" t="n"/>
      <c r="B437" s="1134">
        <f>VALUE(IF(AND(LEN(TRIM(C437))-LEN(SUBSTITUTE(TRIM(C437),".",""))=1,ISNUMBER(VALUE(SUBSTITUTE(TRIM(C437),".","")))),TRIM(C437),B436))</f>
        <v/>
      </c>
      <c r="C437" s="16" t="inlineStr">
        <is>
          <t>M06-0025</t>
        </is>
      </c>
      <c r="D437" s="292" t="n"/>
      <c r="E437" s="252">
        <f>+_xlfn.XLOOKUP(C437,'BASE DATOS PRECIOS '!B:B,'BASE DATOS PRECIOS '!E:E)</f>
        <v/>
      </c>
      <c r="F437" s="218">
        <f>+'1_OG y 2_ACA'!D1576</f>
        <v/>
      </c>
      <c r="G437" s="250">
        <f>+_xlfn.XLOOKUP(C437,'BASE DATOS PRECIOS '!B:B,'BASE DATOS PRECIOS '!F:F)</f>
        <v/>
      </c>
      <c r="H437" s="249">
        <f>+_xlfn.XLOOKUP(E437,'BASE DATOS PRECIOS '!E:E,'BASE DATOS PRECIOS '!H:H)</f>
        <v/>
      </c>
      <c r="I437" s="250" t="n"/>
      <c r="J437" s="250" t="n"/>
      <c r="K437" s="249">
        <f>+F437*H437</f>
        <v/>
      </c>
      <c r="L437" s="249">
        <f>+F437*I437</f>
        <v/>
      </c>
      <c r="M437" s="249">
        <f>+F437*J437</f>
        <v/>
      </c>
      <c r="N437" s="249">
        <f>SUM(K437:M437)</f>
        <v/>
      </c>
      <c r="O437" s="251">
        <f>SUM(K437:M437)/tc</f>
        <v/>
      </c>
    </row>
    <row r="438">
      <c r="A438" s="16" t="n"/>
      <c r="B438" s="1134">
        <f>VALUE(IF(AND(LEN(TRIM(C438))-LEN(SUBSTITUTE(TRIM(C438),".",""))=1,ISNUMBER(VALUE(SUBSTITUTE(TRIM(C438),".","")))),TRIM(C438),B437))</f>
        <v/>
      </c>
      <c r="C438" s="16" t="inlineStr">
        <is>
          <t>M06-0231</t>
        </is>
      </c>
      <c r="D438" s="292" t="n"/>
      <c r="E438" s="252">
        <f>+_xlfn.XLOOKUP(C438,'BASE DATOS PRECIOS '!B:B,'BASE DATOS PRECIOS '!E:E)</f>
        <v/>
      </c>
      <c r="F438" s="218">
        <f>+'1_OG y 2_ACA'!D1577</f>
        <v/>
      </c>
      <c r="G438" s="250">
        <f>+_xlfn.XLOOKUP(C438,'BASE DATOS PRECIOS '!B:B,'BASE DATOS PRECIOS '!F:F)</f>
        <v/>
      </c>
      <c r="H438" s="249">
        <f>+_xlfn.XLOOKUP(E438,'BASE DATOS PRECIOS '!E:E,'BASE DATOS PRECIOS '!H:H)</f>
        <v/>
      </c>
      <c r="I438" s="250" t="n"/>
      <c r="J438" s="250" t="n"/>
      <c r="K438" s="249">
        <f>+F438*H438</f>
        <v/>
      </c>
      <c r="L438" s="249">
        <f>+F438*I438</f>
        <v/>
      </c>
      <c r="M438" s="249">
        <f>+F438*J438</f>
        <v/>
      </c>
      <c r="N438" s="249">
        <f>SUM(K438:M438)</f>
        <v/>
      </c>
      <c r="O438" s="251">
        <f>SUM(K438:M438)/tc</f>
        <v/>
      </c>
    </row>
    <row r="439">
      <c r="A439" s="16" t="n"/>
      <c r="B439" s="1134">
        <f>VALUE(IF(AND(LEN(TRIM(C439))-LEN(SUBSTITUTE(TRIM(C439),".",""))=1,ISNUMBER(VALUE(SUBSTITUTE(TRIM(C439),".","")))),TRIM(C439),B438))</f>
        <v/>
      </c>
      <c r="C439" s="16" t="inlineStr">
        <is>
          <t>M11-0019</t>
        </is>
      </c>
      <c r="D439" s="292" t="n"/>
      <c r="E439" s="252">
        <f>+_xlfn.XLOOKUP(C439,'BASE DATOS PRECIOS '!B:B,'BASE DATOS PRECIOS '!E:E)</f>
        <v/>
      </c>
      <c r="F439" s="218">
        <f>+'1_OG y 2_ACA'!D1578</f>
        <v/>
      </c>
      <c r="G439" s="250">
        <f>+_xlfn.XLOOKUP(C439,'BASE DATOS PRECIOS '!B:B,'BASE DATOS PRECIOS '!F:F)</f>
        <v/>
      </c>
      <c r="H439" s="249">
        <f>+_xlfn.XLOOKUP(E439,'BASE DATOS PRECIOS '!E:E,'BASE DATOS PRECIOS '!H:H)</f>
        <v/>
      </c>
      <c r="I439" s="250" t="n"/>
      <c r="J439" s="250" t="n"/>
      <c r="K439" s="249">
        <f>+F439*H439</f>
        <v/>
      </c>
      <c r="L439" s="249">
        <f>+F439*I439</f>
        <v/>
      </c>
      <c r="M439" s="249">
        <f>+F439*J439</f>
        <v/>
      </c>
      <c r="N439" s="249">
        <f>SUM(K439:M439)</f>
        <v/>
      </c>
      <c r="O439" s="251">
        <f>SUM(K439:M439)/tc</f>
        <v/>
      </c>
    </row>
    <row r="440">
      <c r="A440" s="16" t="n"/>
      <c r="B440" s="1134">
        <f>VALUE(IF(AND(LEN(TRIM(C440))-LEN(SUBSTITUTE(TRIM(C440),".",""))=1,ISNUMBER(VALUE(SUBSTITUTE(TRIM(C440),".","")))),TRIM(C440),B439))</f>
        <v/>
      </c>
      <c r="C440" s="16" t="inlineStr">
        <is>
          <t>M11-0073</t>
        </is>
      </c>
      <c r="D440" s="292" t="n"/>
      <c r="E440" s="252">
        <f>+_xlfn.XLOOKUP(C440,'BASE DATOS PRECIOS '!B:B,'BASE DATOS PRECIOS '!E:E)</f>
        <v/>
      </c>
      <c r="F440" s="218">
        <f>+'1_OG y 2_ACA'!D1579</f>
        <v/>
      </c>
      <c r="G440" s="250">
        <f>+_xlfn.XLOOKUP(C440,'BASE DATOS PRECIOS '!B:B,'BASE DATOS PRECIOS '!F:F)</f>
        <v/>
      </c>
      <c r="H440" s="249">
        <f>+_xlfn.XLOOKUP(E440,'BASE DATOS PRECIOS '!E:E,'BASE DATOS PRECIOS '!H:H)</f>
        <v/>
      </c>
      <c r="I440" s="250" t="n"/>
      <c r="J440" s="250" t="n"/>
      <c r="K440" s="249">
        <f>+F440*H440</f>
        <v/>
      </c>
      <c r="L440" s="249">
        <f>+F440*I440</f>
        <v/>
      </c>
      <c r="M440" s="249">
        <f>+F440*J440</f>
        <v/>
      </c>
      <c r="N440" s="249">
        <f>SUM(K440:M440)</f>
        <v/>
      </c>
      <c r="O440" s="251">
        <f>SUM(K440:M440)/tc</f>
        <v/>
      </c>
    </row>
    <row r="441">
      <c r="A441" s="16" t="n"/>
      <c r="B441" s="1134">
        <f>VALUE(IF(AND(LEN(TRIM(C441))-LEN(SUBSTITUTE(TRIM(C441),".",""))=1,ISNUMBER(VALUE(SUBSTITUTE(TRIM(C441),".","")))),TRIM(C441),B440))</f>
        <v/>
      </c>
      <c r="C441" s="16" t="inlineStr">
        <is>
          <t>M11-0001</t>
        </is>
      </c>
      <c r="D441" s="292" t="n"/>
      <c r="E441" s="252">
        <f>+_xlfn.XLOOKUP(C441,'BASE DATOS PRECIOS '!B:B,'BASE DATOS PRECIOS '!E:E)</f>
        <v/>
      </c>
      <c r="F441" s="218">
        <f>ROUND('1_OG y 2_ACA'!D1580,0)</f>
        <v/>
      </c>
      <c r="G441" s="250">
        <f>+_xlfn.XLOOKUP(C441,'BASE DATOS PRECIOS '!B:B,'BASE DATOS PRECIOS '!F:F)</f>
        <v/>
      </c>
      <c r="H441" s="249">
        <f>+_xlfn.XLOOKUP(E441,'BASE DATOS PRECIOS '!E:E,'BASE DATOS PRECIOS '!H:H)</f>
        <v/>
      </c>
      <c r="I441" s="250" t="n"/>
      <c r="J441" s="250" t="n"/>
      <c r="K441" s="249">
        <f>+F441*H441</f>
        <v/>
      </c>
      <c r="L441" s="249">
        <f>+F441*I441</f>
        <v/>
      </c>
      <c r="M441" s="249">
        <f>+F441*J441</f>
        <v/>
      </c>
      <c r="N441" s="249">
        <f>SUM(K441:M441)</f>
        <v/>
      </c>
      <c r="O441" s="251">
        <f>SUM(K441:M441)/tc</f>
        <v/>
      </c>
    </row>
    <row r="442">
      <c r="A442" s="16" t="n"/>
      <c r="B442" s="1134">
        <f>VALUE(IF(AND(LEN(TRIM(C442))-LEN(SUBSTITUTE(TRIM(C442),".",""))=1,ISNUMBER(VALUE(SUBSTITUTE(TRIM(C442),".","")))),TRIM(C442),B441))</f>
        <v/>
      </c>
      <c r="C442" s="16" t="inlineStr">
        <is>
          <t>M11-0002</t>
        </is>
      </c>
      <c r="D442" s="292" t="n"/>
      <c r="E442" s="252">
        <f>+_xlfn.XLOOKUP(C442,'BASE DATOS PRECIOS '!B:B,'BASE DATOS PRECIOS '!E:E)</f>
        <v/>
      </c>
      <c r="F442" s="218">
        <f>+F443</f>
        <v/>
      </c>
      <c r="G442" s="250">
        <f>+_xlfn.XLOOKUP(C442,'BASE DATOS PRECIOS '!B:B,'BASE DATOS PRECIOS '!F:F)</f>
        <v/>
      </c>
      <c r="H442" s="249">
        <f>+_xlfn.XLOOKUP(E442,'BASE DATOS PRECIOS '!E:E,'BASE DATOS PRECIOS '!H:H)</f>
        <v/>
      </c>
      <c r="I442" s="250" t="n"/>
      <c r="J442" s="250" t="n"/>
      <c r="K442" s="249">
        <f>+F442*H442</f>
        <v/>
      </c>
      <c r="L442" s="249">
        <f>+F442*I442</f>
        <v/>
      </c>
      <c r="M442" s="249">
        <f>+F442*J442</f>
        <v/>
      </c>
      <c r="N442" s="249">
        <f>SUM(K442:M442)</f>
        <v/>
      </c>
      <c r="O442" s="251">
        <f>SUM(K442:M442)/tc</f>
        <v/>
      </c>
    </row>
    <row r="443">
      <c r="A443" s="16" t="n"/>
      <c r="B443" s="1134">
        <f>VALUE(IF(AND(LEN(TRIM(C443))-LEN(SUBSTITUTE(TRIM(C443),".",""))=1,ISNUMBER(VALUE(SUBSTITUTE(TRIM(C443),".","")))),TRIM(C443),B442))</f>
        <v/>
      </c>
      <c r="C443" s="16" t="inlineStr">
        <is>
          <t>M11-0004</t>
        </is>
      </c>
      <c r="D443" s="292" t="n"/>
      <c r="E443" s="252">
        <f>+_xlfn.XLOOKUP(C443,'BASE DATOS PRECIOS '!B:B,'BASE DATOS PRECIOS '!E:E)</f>
        <v/>
      </c>
      <c r="F443" s="218">
        <f>+ROUNDUP('1_OG y 2_ACA'!D1582,0)</f>
        <v/>
      </c>
      <c r="G443" s="250">
        <f>+_xlfn.XLOOKUP(C443,'BASE DATOS PRECIOS '!B:B,'BASE DATOS PRECIOS '!F:F)</f>
        <v/>
      </c>
      <c r="H443" s="249">
        <f>+_xlfn.XLOOKUP(E443,'BASE DATOS PRECIOS '!E:E,'BASE DATOS PRECIOS '!H:H)</f>
        <v/>
      </c>
      <c r="I443" s="250" t="n"/>
      <c r="J443" s="250" t="n"/>
      <c r="K443" s="249">
        <f>+F443*H443</f>
        <v/>
      </c>
      <c r="L443" s="249">
        <f>+F443*I443</f>
        <v/>
      </c>
      <c r="M443" s="249">
        <f>+F443*J443</f>
        <v/>
      </c>
      <c r="N443" s="249">
        <f>SUM(K443:M443)</f>
        <v/>
      </c>
      <c r="O443" s="251">
        <f>SUM(K443:M443)/tc</f>
        <v/>
      </c>
    </row>
    <row r="444">
      <c r="A444" s="16" t="n"/>
      <c r="B444" s="1134">
        <f>VALUE(IF(AND(LEN(TRIM(C444))-LEN(SUBSTITUTE(TRIM(C444),".",""))=1,ISNUMBER(VALUE(SUBSTITUTE(TRIM(C444),".","")))),TRIM(C444),B443))</f>
        <v/>
      </c>
      <c r="C444" s="16" t="inlineStr">
        <is>
          <t>M11-0009</t>
        </is>
      </c>
      <c r="D444" s="292" t="n"/>
      <c r="E444" s="252">
        <f>+_xlfn.XLOOKUP(C444,'BASE DATOS PRECIOS '!B:B,'BASE DATOS PRECIOS '!E:E)</f>
        <v/>
      </c>
      <c r="F444" s="218">
        <f>+F443</f>
        <v/>
      </c>
      <c r="G444" s="250">
        <f>+_xlfn.XLOOKUP(C444,'BASE DATOS PRECIOS '!B:B,'BASE DATOS PRECIOS '!F:F)</f>
        <v/>
      </c>
      <c r="H444" s="249">
        <f>+_xlfn.XLOOKUP(E444,'BASE DATOS PRECIOS '!E:E,'BASE DATOS PRECIOS '!H:H)</f>
        <v/>
      </c>
      <c r="I444" s="250" t="n"/>
      <c r="J444" s="250" t="n"/>
      <c r="K444" s="249">
        <f>+F444*H444</f>
        <v/>
      </c>
      <c r="L444" s="249">
        <f>+F444*I444</f>
        <v/>
      </c>
      <c r="M444" s="249">
        <f>+F444*J444</f>
        <v/>
      </c>
      <c r="N444" s="249">
        <f>SUM(K444:M444)</f>
        <v/>
      </c>
      <c r="O444" s="251">
        <f>SUM(K444:M444)/tc</f>
        <v/>
      </c>
    </row>
    <row r="445">
      <c r="A445" s="233" t="n"/>
      <c r="B445" s="1134">
        <f>VALUE(IF(AND(LEN(TRIM(C445))-LEN(SUBSTITUTE(TRIM(C445),".",""))=1,ISNUMBER(VALUE(SUBSTITUTE(TRIM(C445),".","")))),TRIM(C445),B444))</f>
        <v/>
      </c>
      <c r="C445" s="16" t="inlineStr">
        <is>
          <t>M06-0226</t>
        </is>
      </c>
      <c r="D445" s="292" t="n"/>
      <c r="E445" s="252">
        <f>+_xlfn.XLOOKUP(C445,'BASE DATOS PRECIOS '!B:B,'BASE DATOS PRECIOS '!E:E)</f>
        <v/>
      </c>
      <c r="F445" s="218">
        <f>ROUND('1_OG y 2_ACA'!D1584,0)</f>
        <v/>
      </c>
      <c r="G445" s="250">
        <f>+_xlfn.XLOOKUP(C445,'BASE DATOS PRECIOS '!B:B,'BASE DATOS PRECIOS '!F:F)</f>
        <v/>
      </c>
      <c r="H445" s="249">
        <f>+_xlfn.XLOOKUP(E445,'BASE DATOS PRECIOS '!E:E,'BASE DATOS PRECIOS '!H:H)</f>
        <v/>
      </c>
      <c r="I445" s="250" t="n"/>
      <c r="J445" s="250" t="n"/>
      <c r="K445" s="249">
        <f>+F445*H445</f>
        <v/>
      </c>
      <c r="L445" s="249">
        <f>+F445*I445</f>
        <v/>
      </c>
      <c r="M445" s="249">
        <f>+F445*J445</f>
        <v/>
      </c>
      <c r="N445" s="249">
        <f>SUM(K445:M445)</f>
        <v/>
      </c>
      <c r="O445" s="251">
        <f>SUM(K445:M445)/tc</f>
        <v/>
      </c>
    </row>
    <row r="446">
      <c r="A446" s="16" t="n"/>
      <c r="B446" s="1134">
        <f>VALUE(IF(AND(LEN(TRIM(C446))-LEN(SUBSTITUTE(TRIM(C446),".",""))=1,ISNUMBER(VALUE(SUBSTITUTE(TRIM(C446),".","")))),TRIM(C446),B445))</f>
        <v/>
      </c>
      <c r="C446" s="16" t="inlineStr">
        <is>
          <t>M06-0227</t>
        </is>
      </c>
      <c r="D446" s="292" t="n"/>
      <c r="E446" s="252">
        <f>+_xlfn.XLOOKUP(C446,'BASE DATOS PRECIOS '!B:B,'BASE DATOS PRECIOS '!E:E)</f>
        <v/>
      </c>
      <c r="F446" s="218">
        <f>ROUND('1_OG y 2_ACA'!D1585,0)</f>
        <v/>
      </c>
      <c r="G446" s="250">
        <f>+_xlfn.XLOOKUP(C446,'BASE DATOS PRECIOS '!B:B,'BASE DATOS PRECIOS '!F:F)</f>
        <v/>
      </c>
      <c r="H446" s="249">
        <f>+_xlfn.XLOOKUP(E446,'BASE DATOS PRECIOS '!E:E,'BASE DATOS PRECIOS '!H:H)</f>
        <v/>
      </c>
      <c r="I446" s="250" t="n"/>
      <c r="J446" s="250" t="n"/>
      <c r="K446" s="249">
        <f>+F446*H446</f>
        <v/>
      </c>
      <c r="L446" s="249">
        <f>+F446*I446</f>
        <v/>
      </c>
      <c r="M446" s="249">
        <f>+F446*J446</f>
        <v/>
      </c>
      <c r="N446" s="249">
        <f>SUM(K446:M446)</f>
        <v/>
      </c>
      <c r="O446" s="251">
        <f>SUM(K446:M446)/tc</f>
        <v/>
      </c>
    </row>
    <row r="447">
      <c r="A447" s="16" t="n"/>
      <c r="B447" s="1134">
        <f>VALUE(IF(AND(LEN(TRIM(C447))-LEN(SUBSTITUTE(TRIM(C447),".",""))=1,ISNUMBER(VALUE(SUBSTITUTE(TRIM(C447),".","")))),TRIM(C447),B446))</f>
        <v/>
      </c>
      <c r="C447" s="16" t="inlineStr">
        <is>
          <t>M06-0228</t>
        </is>
      </c>
      <c r="D447" s="292" t="n"/>
      <c r="E447" s="252">
        <f>+_xlfn.XLOOKUP(C447,'BASE DATOS PRECIOS '!B:B,'BASE DATOS PRECIOS '!E:E)</f>
        <v/>
      </c>
      <c r="F447" s="218">
        <f>+F445</f>
        <v/>
      </c>
      <c r="G447" s="250">
        <f>+_xlfn.XLOOKUP(C447,'BASE DATOS PRECIOS '!B:B,'BASE DATOS PRECIOS '!F:F)</f>
        <v/>
      </c>
      <c r="H447" s="249">
        <f>+_xlfn.XLOOKUP(E447,'BASE DATOS PRECIOS '!E:E,'BASE DATOS PRECIOS '!H:H)</f>
        <v/>
      </c>
      <c r="I447" s="250" t="n"/>
      <c r="J447" s="250" t="n"/>
      <c r="K447" s="249">
        <f>+F447*H447</f>
        <v/>
      </c>
      <c r="L447" s="249">
        <f>+F447*I447</f>
        <v/>
      </c>
      <c r="M447" s="249">
        <f>+F447*J447</f>
        <v/>
      </c>
      <c r="N447" s="249">
        <f>SUM(K447:M447)</f>
        <v/>
      </c>
      <c r="O447" s="251">
        <f>SUM(K447:M447)/tc</f>
        <v/>
      </c>
    </row>
    <row r="448">
      <c r="A448" s="16" t="n"/>
      <c r="B448" s="1134">
        <f>VALUE(IF(AND(LEN(TRIM(C448))-LEN(SUBSTITUTE(TRIM(C448),".",""))=1,ISNUMBER(VALUE(SUBSTITUTE(TRIM(C448),".","")))),TRIM(C448),B447))</f>
        <v/>
      </c>
      <c r="C448" s="16" t="inlineStr">
        <is>
          <t>M11-0010</t>
        </is>
      </c>
      <c r="D448" s="292" t="n"/>
      <c r="E448" s="252">
        <f>+_xlfn.XLOOKUP(C448,'BASE DATOS PRECIOS '!B:B,'BASE DATOS PRECIOS '!E:E)</f>
        <v/>
      </c>
      <c r="F448" s="218">
        <f>+'1_OG y 2_ACA'!D1587</f>
        <v/>
      </c>
      <c r="G448" s="250">
        <f>+_xlfn.XLOOKUP(C448,'BASE DATOS PRECIOS '!B:B,'BASE DATOS PRECIOS '!F:F)</f>
        <v/>
      </c>
      <c r="H448" s="249">
        <f>+_xlfn.XLOOKUP(E448,'BASE DATOS PRECIOS '!E:E,'BASE DATOS PRECIOS '!H:H)</f>
        <v/>
      </c>
      <c r="I448" s="250" t="n"/>
      <c r="J448" s="250" t="n"/>
      <c r="K448" s="249">
        <f>+F448*H448</f>
        <v/>
      </c>
      <c r="L448" s="249">
        <f>+F448*I448</f>
        <v/>
      </c>
      <c r="M448" s="249">
        <f>+F448*J448</f>
        <v/>
      </c>
      <c r="N448" s="249">
        <f>SUM(K448:M448)</f>
        <v/>
      </c>
      <c r="O448" s="251">
        <f>SUM(K448:M448)/tc</f>
        <v/>
      </c>
    </row>
    <row r="449">
      <c r="A449" s="16" t="n"/>
      <c r="B449" s="1134">
        <f>VALUE(IF(AND(LEN(TRIM(C449))-LEN(SUBSTITUTE(TRIM(C449),".",""))=1,ISNUMBER(VALUE(SUBSTITUTE(TRIM(C449),".","")))),TRIM(C449),B448))</f>
        <v/>
      </c>
      <c r="C449" s="16" t="inlineStr">
        <is>
          <t>M10-0006</t>
        </is>
      </c>
      <c r="D449" s="292" t="n"/>
      <c r="E449" s="252">
        <f>+_xlfn.XLOOKUP(C449,'BASE DATOS PRECIOS '!B:B,'BASE DATOS PRECIOS '!E:E)</f>
        <v/>
      </c>
      <c r="F449" s="218">
        <f>+'1_OG y 2_ACA'!D1588</f>
        <v/>
      </c>
      <c r="G449" s="250">
        <f>+_xlfn.XLOOKUP(C449,'BASE DATOS PRECIOS '!B:B,'BASE DATOS PRECIOS '!F:F)</f>
        <v/>
      </c>
      <c r="H449" s="249">
        <f>+_xlfn.XLOOKUP(E449,'BASE DATOS PRECIOS '!E:E,'BASE DATOS PRECIOS '!H:H)</f>
        <v/>
      </c>
      <c r="I449" s="250" t="n"/>
      <c r="J449" s="250" t="n"/>
      <c r="K449" s="249">
        <f>+F449*H449</f>
        <v/>
      </c>
      <c r="L449" s="249">
        <f>+F449*I449</f>
        <v/>
      </c>
      <c r="M449" s="249">
        <f>+F449*J449</f>
        <v/>
      </c>
      <c r="N449" s="249">
        <f>SUM(K449:M449)</f>
        <v/>
      </c>
      <c r="O449" s="251">
        <f>SUM(K449:M449)/tc</f>
        <v/>
      </c>
    </row>
    <row r="450">
      <c r="A450" s="266" t="inlineStr">
        <is>
          <t>Sello, pintura interna, externa y grietas y resane</t>
        </is>
      </c>
      <c r="B450" s="1134">
        <f>VALUE(IF(AND(LEN(TRIM(C450))-LEN(SUBSTITUTE(TRIM(C450),".",""))=1,ISNUMBER(VALUE(SUBSTITUTE(TRIM(C450),".","")))),TRIM(C450),B448))</f>
        <v/>
      </c>
      <c r="C450" s="267" t="inlineStr">
        <is>
          <t xml:space="preserve">OPERARIO </t>
        </is>
      </c>
      <c r="D450" s="268" t="n"/>
      <c r="E450" s="269">
        <f>+_xlfn.XLOOKUP(C450,'BASE DATOS MANO DE OBRA'!A:A,'BASE DATOS MANO DE OBRA'!B:B)</f>
        <v/>
      </c>
      <c r="F450" s="270">
        <f>+ROUNDUP(('1_OG y 2_ACA'!F1592+'1_OG y 2_ACA'!F1596+'1_OG y 2_ACA'!F1600+'1_OG y 2_ACA'!F1604),0)/2</f>
        <v/>
      </c>
      <c r="G450" s="271">
        <f>+_xlfn.XLOOKUP(C450,'BASE DATOS MANO DE OBRA'!A:A,'BASE DATOS MANO DE OBRA'!C:C)</f>
        <v/>
      </c>
      <c r="H450" s="272" t="n">
        <v>0</v>
      </c>
      <c r="I450" s="272">
        <f>+_xlfn.XLOOKUP(C450,'BASE DATOS MANO DE OBRA'!A:A,'BASE DATOS MANO DE OBRA'!E:E)</f>
        <v/>
      </c>
      <c r="J450" s="272" t="n">
        <v>0</v>
      </c>
      <c r="K450" s="272">
        <f>+F450*H450</f>
        <v/>
      </c>
      <c r="L450" s="272">
        <f>+F450*I450</f>
        <v/>
      </c>
      <c r="M450" s="272">
        <f>+F450*J450</f>
        <v/>
      </c>
      <c r="N450" s="272">
        <f>SUM(K450:M450)</f>
        <v/>
      </c>
      <c r="O450" s="273">
        <f>SUM(K450:M450)/tc</f>
        <v/>
      </c>
    </row>
    <row r="451">
      <c r="A451" s="266" t="inlineStr">
        <is>
          <t>Sello, pintura interna, externa y grietas y resane</t>
        </is>
      </c>
      <c r="B451" s="1134">
        <f>VALUE(IF(AND(LEN(TRIM(C451))-LEN(SUBSTITUTE(TRIM(C451),".",""))=1,ISNUMBER(VALUE(SUBSTITUTE(TRIM(C451),".","")))),TRIM(C451),B450))</f>
        <v/>
      </c>
      <c r="C451" s="267" t="inlineStr">
        <is>
          <t xml:space="preserve">AYUDANTE </t>
        </is>
      </c>
      <c r="D451" s="268" t="n"/>
      <c r="E451" s="269">
        <f>+_xlfn.XLOOKUP(C451,'BASE DATOS MANO DE OBRA'!A:A,'BASE DATOS MANO DE OBRA'!B:B)</f>
        <v/>
      </c>
      <c r="F451" s="270">
        <f>+F450</f>
        <v/>
      </c>
      <c r="G451" s="271">
        <f>+_xlfn.XLOOKUP(C451,'BASE DATOS MANO DE OBRA'!A:A,'BASE DATOS MANO DE OBRA'!C:C)</f>
        <v/>
      </c>
      <c r="H451" s="272" t="n">
        <v>0</v>
      </c>
      <c r="I451" s="272">
        <f>+_xlfn.XLOOKUP(C451,'BASE DATOS MANO DE OBRA'!A:A,'BASE DATOS MANO DE OBRA'!E:E)</f>
        <v/>
      </c>
      <c r="J451" s="272" t="n">
        <v>0</v>
      </c>
      <c r="K451" s="272">
        <f>+F451*H451</f>
        <v/>
      </c>
      <c r="L451" s="272">
        <f>+F451*I451</f>
        <v/>
      </c>
      <c r="M451" s="272">
        <f>+F451*J451</f>
        <v/>
      </c>
      <c r="N451" s="272">
        <f>SUM(K451:M451)</f>
        <v/>
      </c>
      <c r="O451" s="273">
        <f>SUM(K451:M451)/tc</f>
        <v/>
      </c>
    </row>
    <row r="452">
      <c r="A452" s="16" t="n"/>
      <c r="B452" s="1134">
        <f>VALUE(IF(AND(LEN(TRIM(C452))-LEN(SUBSTITUTE(TRIM(C452),".",""))=1,ISNUMBER(VALUE(SUBSTITUTE(TRIM(C452),".","")))),TRIM(C452),B451))</f>
        <v/>
      </c>
      <c r="C452" s="234" t="inlineStr">
        <is>
          <t>2.3.2</t>
        </is>
      </c>
      <c r="D452" s="235" t="n"/>
      <c r="E452" s="236" t="inlineStr">
        <is>
          <t>ACABADOS DE AZOTEA</t>
        </is>
      </c>
      <c r="F452" s="237">
        <f>+'1_OG y 2_ACA'!D1613</f>
        <v/>
      </c>
      <c r="G452" s="235" t="inlineStr">
        <is>
          <t>M2</t>
        </is>
      </c>
      <c r="H452" s="235" t="n"/>
      <c r="I452" s="235" t="n"/>
      <c r="J452" s="235" t="n"/>
      <c r="K452" s="238">
        <f>+SUBTOTAL(9,K453:K461)</f>
        <v/>
      </c>
      <c r="L452" s="238">
        <f>+SUBTOTAL(9,L453:L461)</f>
        <v/>
      </c>
      <c r="M452" s="238">
        <f>+SUBTOTAL(9,M453:M461)</f>
        <v/>
      </c>
      <c r="N452" s="238">
        <f>+SUBTOTAL(9,N453:N461)</f>
        <v/>
      </c>
      <c r="O452" s="1136">
        <f>+SUBTOTAL(9,O453:O461)</f>
        <v/>
      </c>
      <c r="P452" s="1137" t="n"/>
    </row>
    <row r="453">
      <c r="A453" s="16" t="n"/>
      <c r="B453" s="1134">
        <f>VALUE(IF(AND(LEN(TRIM(C453))-LEN(SUBSTITUTE(TRIM(C453),".",""))=1,ISNUMBER(VALUE(SUBSTITUTE(TRIM(C453),".","")))),TRIM(C453),B452))</f>
        <v/>
      </c>
      <c r="C453" s="274" t="inlineStr">
        <is>
          <t>M11-0038</t>
        </is>
      </c>
      <c r="D453" s="275" t="n"/>
      <c r="E453" s="252">
        <f>+_xlfn.XLOOKUP(C453,'BASE DATOS PRECIOS '!B:B,'BASE DATOS PRECIOS '!E:E)</f>
        <v/>
      </c>
      <c r="F453" s="218">
        <f>+'1_OG y 2_ACA'!D1617</f>
        <v/>
      </c>
      <c r="G453" s="250">
        <f>+_xlfn.XLOOKUP(C453,'BASE DATOS PRECIOS '!B:B,'BASE DATOS PRECIOS '!F:F)</f>
        <v/>
      </c>
      <c r="H453" s="249">
        <f>+_xlfn.XLOOKUP(E453,'BASE DATOS PRECIOS '!E:E,'BASE DATOS PRECIOS '!H:H)</f>
        <v/>
      </c>
      <c r="I453" s="250" t="n"/>
      <c r="J453" s="250" t="n"/>
      <c r="K453" s="249">
        <f>+F453*H453</f>
        <v/>
      </c>
      <c r="L453" s="249">
        <f>+F453*I453</f>
        <v/>
      </c>
      <c r="M453" s="249">
        <f>+F453*J453</f>
        <v/>
      </c>
      <c r="N453" s="249">
        <f>SUM(K453:M453)</f>
        <v/>
      </c>
      <c r="O453" s="251">
        <f>SUM(K453:M453)/tc</f>
        <v/>
      </c>
    </row>
    <row r="454">
      <c r="A454" s="16" t="n"/>
      <c r="B454" s="1134">
        <f>VALUE(IF(AND(LEN(TRIM(C454))-LEN(SUBSTITUTE(TRIM(C454),".",""))=1,ISNUMBER(VALUE(SUBSTITUTE(TRIM(C454),".","")))),TRIM(C454),B453))</f>
        <v/>
      </c>
      <c r="C454" s="274" t="inlineStr">
        <is>
          <t>M11-0039</t>
        </is>
      </c>
      <c r="D454" s="275" t="n"/>
      <c r="E454" s="252">
        <f>+_xlfn.XLOOKUP(C454,'BASE DATOS PRECIOS '!B:B,'BASE DATOS PRECIOS '!E:E)</f>
        <v/>
      </c>
      <c r="F454" s="218">
        <f>+'1_OG y 2_ACA'!D1618</f>
        <v/>
      </c>
      <c r="G454" s="250">
        <f>+_xlfn.XLOOKUP(C454,'BASE DATOS PRECIOS '!B:B,'BASE DATOS PRECIOS '!F:F)</f>
        <v/>
      </c>
      <c r="H454" s="249">
        <f>+_xlfn.XLOOKUP(E454,'BASE DATOS PRECIOS '!E:E,'BASE DATOS PRECIOS '!H:H)</f>
        <v/>
      </c>
      <c r="I454" s="250" t="n"/>
      <c r="J454" s="250" t="n"/>
      <c r="K454" s="249">
        <f>+F454*H454</f>
        <v/>
      </c>
      <c r="L454" s="249">
        <f>+F454*I454</f>
        <v/>
      </c>
      <c r="M454" s="249">
        <f>+F454*J454</f>
        <v/>
      </c>
      <c r="N454" s="249">
        <f>SUM(K454:M454)</f>
        <v/>
      </c>
      <c r="O454" s="251">
        <f>SUM(K454:M454)/tc</f>
        <v/>
      </c>
    </row>
    <row r="455">
      <c r="A455" s="16" t="n"/>
      <c r="B455" s="1134">
        <f>VALUE(IF(AND(LEN(TRIM(C455))-LEN(SUBSTITUTE(TRIM(C455),".",""))=1,ISNUMBER(VALUE(SUBSTITUTE(TRIM(C455),".","")))),TRIM(C455),B454))</f>
        <v/>
      </c>
      <c r="C455" s="16" t="inlineStr">
        <is>
          <t>M10-0012</t>
        </is>
      </c>
      <c r="D455" s="292" t="n"/>
      <c r="E455" s="252">
        <f>+_xlfn.XLOOKUP(C455,'BASE DATOS PRECIOS '!B:B,'BASE DATOS PRECIOS '!E:E)</f>
        <v/>
      </c>
      <c r="F455" s="218">
        <f>+'1_OG y 2_ACA'!D1619</f>
        <v/>
      </c>
      <c r="G455" s="250">
        <f>+_xlfn.XLOOKUP(C455,'BASE DATOS PRECIOS '!B:B,'BASE DATOS PRECIOS '!F:F)</f>
        <v/>
      </c>
      <c r="H455" s="249">
        <f>+_xlfn.XLOOKUP(E455,'BASE DATOS PRECIOS '!E:E,'BASE DATOS PRECIOS '!H:H)</f>
        <v/>
      </c>
      <c r="I455" s="250" t="n"/>
      <c r="J455" s="250" t="n"/>
      <c r="K455" s="249">
        <f>+F455*H455</f>
        <v/>
      </c>
      <c r="L455" s="249">
        <f>+F455*I455</f>
        <v/>
      </c>
      <c r="M455" s="249">
        <f>+F455*J455</f>
        <v/>
      </c>
      <c r="N455" s="249">
        <f>SUM(K455:M455)</f>
        <v/>
      </c>
      <c r="O455" s="251">
        <f>SUM(K455:M455)/tc</f>
        <v/>
      </c>
    </row>
    <row r="456">
      <c r="A456" s="16" t="n"/>
      <c r="B456" s="1134">
        <f>VALUE(IF(AND(LEN(TRIM(C456))-LEN(SUBSTITUTE(TRIM(C456),".",""))=1,ISNUMBER(VALUE(SUBSTITUTE(TRIM(C456),".","")))),TRIM(C456),B455))</f>
        <v/>
      </c>
      <c r="C456" s="333" t="inlineStr">
        <is>
          <t>M11-0009</t>
        </is>
      </c>
      <c r="D456" s="334" t="n"/>
      <c r="E456" s="252">
        <f>+_xlfn.XLOOKUP(C456,'BASE DATOS PRECIOS '!B:B,'BASE DATOS PRECIOS '!E:E)</f>
        <v/>
      </c>
      <c r="F456" s="218">
        <f>+'1_OG y 2_ACA'!D1620</f>
        <v/>
      </c>
      <c r="G456" s="250" t="inlineStr">
        <is>
          <t>UND</t>
        </is>
      </c>
      <c r="H456" s="249">
        <f>+_xlfn.XLOOKUP(E456,'BASE DATOS PRECIOS '!E:E,'BASE DATOS PRECIOS '!H:H)</f>
        <v/>
      </c>
      <c r="I456" s="250" t="n"/>
      <c r="J456" s="250" t="n"/>
      <c r="K456" s="249">
        <f>+F456*H456</f>
        <v/>
      </c>
      <c r="L456" s="249">
        <f>+F456*I456</f>
        <v/>
      </c>
      <c r="M456" s="249">
        <f>+F456*J456</f>
        <v/>
      </c>
      <c r="N456" s="249">
        <f>SUM(K456:M456)</f>
        <v/>
      </c>
      <c r="O456" s="251">
        <f>SUM(K456:M456)/tc</f>
        <v/>
      </c>
    </row>
    <row r="457">
      <c r="A457" s="16" t="n"/>
      <c r="B457" s="1134">
        <f>VALUE(IF(AND(LEN(TRIM(C457))-LEN(SUBSTITUTE(TRIM(C457),".",""))=1,ISNUMBER(VALUE(SUBSTITUTE(TRIM(C457),".","")))),TRIM(C457),B456))</f>
        <v/>
      </c>
      <c r="C457" s="333" t="inlineStr">
        <is>
          <t>M11-0004</t>
        </is>
      </c>
      <c r="D457" s="334" t="n"/>
      <c r="E457" s="252">
        <f>+_xlfn.XLOOKUP(C457,'BASE DATOS PRECIOS '!B:B,'BASE DATOS PRECIOS '!E:E)</f>
        <v/>
      </c>
      <c r="F457" s="218">
        <f>+'1_OG y 2_ACA'!D1621</f>
        <v/>
      </c>
      <c r="G457" s="250" t="inlineStr">
        <is>
          <t>UND</t>
        </is>
      </c>
      <c r="H457" s="249">
        <f>+_xlfn.XLOOKUP(E457,'BASE DATOS PRECIOS '!E:E,'BASE DATOS PRECIOS '!H:H)</f>
        <v/>
      </c>
      <c r="I457" s="250" t="n"/>
      <c r="J457" s="250" t="n"/>
      <c r="K457" s="249">
        <f>+F457*H457</f>
        <v/>
      </c>
      <c r="L457" s="249">
        <f>+F457*I457</f>
        <v/>
      </c>
      <c r="M457" s="249">
        <f>+F457*J457</f>
        <v/>
      </c>
      <c r="N457" s="249">
        <f>SUM(K457:M457)</f>
        <v/>
      </c>
      <c r="O457" s="251">
        <f>SUM(K457:M457)/tc</f>
        <v/>
      </c>
    </row>
    <row r="458">
      <c r="A458" s="16" t="n"/>
      <c r="B458" s="1134">
        <f>VALUE(IF(AND(LEN(TRIM(C458))-LEN(SUBSTITUTE(TRIM(C458),".",""))=1,ISNUMBER(VALUE(SUBSTITUTE(TRIM(C458),".","")))),TRIM(C458),B457))</f>
        <v/>
      </c>
      <c r="C458" s="333" t="inlineStr">
        <is>
          <t>M11-0002</t>
        </is>
      </c>
      <c r="D458" s="334" t="n"/>
      <c r="E458" s="252">
        <f>+_xlfn.XLOOKUP(C458,'BASE DATOS PRECIOS '!B:B,'BASE DATOS PRECIOS '!E:E)</f>
        <v/>
      </c>
      <c r="F458" s="218">
        <f>+'1_OG y 2_ACA'!D1622</f>
        <v/>
      </c>
      <c r="G458" s="250" t="inlineStr">
        <is>
          <t>UND</t>
        </is>
      </c>
      <c r="H458" s="249">
        <f>+_xlfn.XLOOKUP(E458,'BASE DATOS PRECIOS '!E:E,'BASE DATOS PRECIOS '!H:H)</f>
        <v/>
      </c>
      <c r="I458" s="250" t="n"/>
      <c r="J458" s="250" t="n"/>
      <c r="K458" s="249">
        <f>+F458*H458</f>
        <v/>
      </c>
      <c r="L458" s="249">
        <f>+F458*I458</f>
        <v/>
      </c>
      <c r="M458" s="249">
        <f>+F458*J458</f>
        <v/>
      </c>
      <c r="N458" s="249">
        <f>SUM(K458:M458)</f>
        <v/>
      </c>
      <c r="O458" s="251">
        <f>SUM(K458:M458)/tc</f>
        <v/>
      </c>
    </row>
    <row r="459">
      <c r="A459" s="16" t="n"/>
      <c r="B459" s="1134">
        <f>VALUE(IF(AND(LEN(TRIM(C459))-LEN(SUBSTITUTE(TRIM(C459),".",""))=1,ISNUMBER(VALUE(SUBSTITUTE(TRIM(C459),".","")))),TRIM(C459),B458))</f>
        <v/>
      </c>
      <c r="C459" s="333" t="inlineStr">
        <is>
          <t>M06-0227</t>
        </is>
      </c>
      <c r="D459" s="334" t="n"/>
      <c r="E459" s="252">
        <f>+_xlfn.XLOOKUP(C459,'BASE DATOS PRECIOS '!B:B,'BASE DATOS PRECIOS '!E:E)</f>
        <v/>
      </c>
      <c r="F459" s="218">
        <f>+'1_OG y 2_ACA'!D1623</f>
        <v/>
      </c>
      <c r="G459" s="250" t="inlineStr">
        <is>
          <t>UND</t>
        </is>
      </c>
      <c r="H459" s="249">
        <f>+_xlfn.XLOOKUP(E459,'BASE DATOS PRECIOS '!E:E,'BASE DATOS PRECIOS '!H:H)</f>
        <v/>
      </c>
      <c r="I459" s="250" t="n"/>
      <c r="J459" s="250" t="n"/>
      <c r="K459" s="249">
        <f>+F459*H459</f>
        <v/>
      </c>
      <c r="L459" s="249">
        <f>+F459*I459</f>
        <v/>
      </c>
      <c r="M459" s="249">
        <f>+F459*J459</f>
        <v/>
      </c>
      <c r="N459" s="249">
        <f>SUM(K459:M459)</f>
        <v/>
      </c>
      <c r="O459" s="251">
        <f>SUM(K459:M459)/tc</f>
        <v/>
      </c>
    </row>
    <row r="460">
      <c r="A460" s="266" t="inlineStr">
        <is>
          <t>Impermeabilizante</t>
        </is>
      </c>
      <c r="B460" s="1134">
        <f>VALUE(IF(AND(LEN(TRIM(C460))-LEN(SUBSTITUTE(TRIM(C460),".",""))=1,ISNUMBER(VALUE(SUBSTITUTE(TRIM(C460),".","")))),TRIM(C460),B459))</f>
        <v/>
      </c>
      <c r="C460" s="267" t="inlineStr">
        <is>
          <t xml:space="preserve">OPERARIO </t>
        </is>
      </c>
      <c r="D460" s="268" t="n"/>
      <c r="E460" s="269">
        <f>+_xlfn.XLOOKUP(C460,'BASE DATOS MANO DE OBRA'!A:A,'BASE DATOS MANO DE OBRA'!B:B)</f>
        <v/>
      </c>
      <c r="F460" s="270">
        <f>ROUND('1_OG y 2_ACA'!F1627,0)/2</f>
        <v/>
      </c>
      <c r="G460" s="271">
        <f>+_xlfn.XLOOKUP(C460,'BASE DATOS MANO DE OBRA'!A:A,'BASE DATOS MANO DE OBRA'!C:C)</f>
        <v/>
      </c>
      <c r="H460" s="272" t="n">
        <v>0</v>
      </c>
      <c r="I460" s="272">
        <f>+_xlfn.XLOOKUP(C460,'BASE DATOS MANO DE OBRA'!A:A,'BASE DATOS MANO DE OBRA'!E:E)</f>
        <v/>
      </c>
      <c r="J460" s="272" t="n">
        <v>0</v>
      </c>
      <c r="K460" s="272">
        <f>+F460*H460</f>
        <v/>
      </c>
      <c r="L460" s="272">
        <f>+F460*I460</f>
        <v/>
      </c>
      <c r="M460" s="272">
        <f>+F460*J460</f>
        <v/>
      </c>
      <c r="N460" s="272">
        <f>SUM(K460:M460)</f>
        <v/>
      </c>
      <c r="O460" s="273">
        <f>SUM(K460:M460)/tc</f>
        <v/>
      </c>
    </row>
    <row r="461">
      <c r="A461" s="266" t="inlineStr">
        <is>
          <t>Impermeabilizante</t>
        </is>
      </c>
      <c r="B461" s="1134">
        <f>VALUE(IF(AND(LEN(TRIM(C461))-LEN(SUBSTITUTE(TRIM(C461),".",""))=1,ISNUMBER(VALUE(SUBSTITUTE(TRIM(C461),".","")))),TRIM(C461),B460))</f>
        <v/>
      </c>
      <c r="C461" s="267" t="inlineStr">
        <is>
          <t xml:space="preserve">AYUDANTE </t>
        </is>
      </c>
      <c r="D461" s="268" t="n"/>
      <c r="E461" s="269">
        <f>+_xlfn.XLOOKUP(C461,'BASE DATOS MANO DE OBRA'!A:A,'BASE DATOS MANO DE OBRA'!B:B)</f>
        <v/>
      </c>
      <c r="F461" s="270">
        <f>+F460</f>
        <v/>
      </c>
      <c r="G461" s="271">
        <f>+_xlfn.XLOOKUP(C461,'BASE DATOS MANO DE OBRA'!A:A,'BASE DATOS MANO DE OBRA'!C:C)</f>
        <v/>
      </c>
      <c r="H461" s="272" t="n">
        <v>0</v>
      </c>
      <c r="I461" s="272">
        <f>+_xlfn.XLOOKUP(C461,'BASE DATOS MANO DE OBRA'!A:A,'BASE DATOS MANO DE OBRA'!E:E)</f>
        <v/>
      </c>
      <c r="J461" s="272" t="n">
        <v>0</v>
      </c>
      <c r="K461" s="272">
        <f>+F461*H461</f>
        <v/>
      </c>
      <c r="L461" s="272">
        <f>+F461*I461</f>
        <v/>
      </c>
      <c r="M461" s="272">
        <f>+F461*J461</f>
        <v/>
      </c>
      <c r="N461" s="272">
        <f>SUM(K461:M461)</f>
        <v/>
      </c>
      <c r="O461" s="273">
        <f>SUM(K461:M461)/tc</f>
        <v/>
      </c>
    </row>
    <row r="462">
      <c r="A462" s="233" t="n"/>
      <c r="B462" s="1134">
        <f>VALUE(IF(AND(LEN(TRIM(C462))-LEN(SUBSTITUTE(TRIM(C462),".",""))=1,ISNUMBER(VALUE(SUBSTITUTE(TRIM(C462),".","")))),TRIM(C462),B461))</f>
        <v/>
      </c>
      <c r="C462" s="234" t="inlineStr">
        <is>
          <t>2.3.3</t>
        </is>
      </c>
      <c r="D462" s="235" t="n"/>
      <c r="E462" s="236" t="inlineStr">
        <is>
          <t xml:space="preserve">PONCHEO FINAL </t>
        </is>
      </c>
      <c r="F462" s="237" t="n">
        <v>1</v>
      </c>
      <c r="G462" s="235" t="inlineStr">
        <is>
          <t>gb</t>
        </is>
      </c>
      <c r="H462" s="235" t="n"/>
      <c r="I462" s="235" t="n"/>
      <c r="J462" s="235" t="n"/>
      <c r="K462" s="238">
        <f>+SUBTOTAL(9,K463:K464)</f>
        <v/>
      </c>
      <c r="L462" s="238">
        <f>+SUBTOTAL(9,L463:L464)</f>
        <v/>
      </c>
      <c r="M462" s="238">
        <f>+SUBTOTAL(9,M463:M464)</f>
        <v/>
      </c>
      <c r="N462" s="238">
        <f>+SUBTOTAL(9,N463:N464)</f>
        <v/>
      </c>
      <c r="O462" s="1136">
        <f>+SUBTOTAL(9,O463:O464)</f>
        <v/>
      </c>
      <c r="P462" s="1137" t="n"/>
    </row>
    <row r="463">
      <c r="A463" s="266" t="inlineStr">
        <is>
          <t>Limpieza General</t>
        </is>
      </c>
      <c r="B463" s="1134">
        <f>VALUE(IF(AND(LEN(TRIM(C463))-LEN(SUBSTITUTE(TRIM(C463),".",""))=1,ISNUMBER(VALUE(SUBSTITUTE(TRIM(C463),".","")))),TRIM(C463),B462))</f>
        <v/>
      </c>
      <c r="C463" s="267" t="inlineStr">
        <is>
          <t xml:space="preserve">OPERARIO </t>
        </is>
      </c>
      <c r="D463" s="268" t="n"/>
      <c r="E463" s="269">
        <f>+_xlfn.XLOOKUP(C463,'BASE DATOS MANO DE OBRA'!A:A,'BASE DATOS MANO DE OBRA'!B:B)</f>
        <v/>
      </c>
      <c r="F463" s="270">
        <f>ROUND('1_OG y 2_ACA'!F1636,0)/2</f>
        <v/>
      </c>
      <c r="G463" s="271">
        <f>+_xlfn.XLOOKUP(C463,'BASE DATOS MANO DE OBRA'!A:A,'BASE DATOS MANO DE OBRA'!C:C)</f>
        <v/>
      </c>
      <c r="H463" s="272" t="n">
        <v>0</v>
      </c>
      <c r="I463" s="272">
        <f>+_xlfn.XLOOKUP(C463,'BASE DATOS MANO DE OBRA'!A:A,'BASE DATOS MANO DE OBRA'!E:E)</f>
        <v/>
      </c>
      <c r="J463" s="272" t="n">
        <v>0</v>
      </c>
      <c r="K463" s="272">
        <f>+F463*H463</f>
        <v/>
      </c>
      <c r="L463" s="272">
        <f>+F463*I463</f>
        <v/>
      </c>
      <c r="M463" s="272">
        <f>+F463*J463</f>
        <v/>
      </c>
      <c r="N463" s="272">
        <f>SUM(K463:M463)</f>
        <v/>
      </c>
      <c r="O463" s="273">
        <f>SUM(K463:M463)/tc</f>
        <v/>
      </c>
    </row>
    <row r="464">
      <c r="A464" s="266" t="inlineStr">
        <is>
          <t>Limpieza General</t>
        </is>
      </c>
      <c r="B464" s="1134">
        <f>VALUE(IF(AND(LEN(TRIM(C464))-LEN(SUBSTITUTE(TRIM(C464),".",""))=1,ISNUMBER(VALUE(SUBSTITUTE(TRIM(C464),".","")))),TRIM(C464),B463))</f>
        <v/>
      </c>
      <c r="C464" s="267" t="inlineStr">
        <is>
          <t xml:space="preserve">AYUDANTE </t>
        </is>
      </c>
      <c r="D464" s="268" t="n"/>
      <c r="E464" s="269">
        <f>+_xlfn.XLOOKUP(C464,'BASE DATOS MANO DE OBRA'!A:A,'BASE DATOS MANO DE OBRA'!B:B)</f>
        <v/>
      </c>
      <c r="F464" s="270">
        <f>+F463</f>
        <v/>
      </c>
      <c r="G464" s="271">
        <f>+_xlfn.XLOOKUP(C464,'BASE DATOS MANO DE OBRA'!A:A,'BASE DATOS MANO DE OBRA'!C:C)</f>
        <v/>
      </c>
      <c r="H464" s="272" t="n">
        <v>0</v>
      </c>
      <c r="I464" s="272">
        <f>+_xlfn.XLOOKUP(C464,'BASE DATOS MANO DE OBRA'!A:A,'BASE DATOS MANO DE OBRA'!E:E)</f>
        <v/>
      </c>
      <c r="J464" s="272" t="n">
        <v>0</v>
      </c>
      <c r="K464" s="272">
        <f>+F464*H464</f>
        <v/>
      </c>
      <c r="L464" s="272">
        <f>+F464*I464</f>
        <v/>
      </c>
      <c r="M464" s="272">
        <f>+F464*J464</f>
        <v/>
      </c>
      <c r="N464" s="272">
        <f>SUM(K464:M464)</f>
        <v/>
      </c>
      <c r="O464" s="273">
        <f>SUM(K464:M464)/tc</f>
        <v/>
      </c>
    </row>
    <row r="465">
      <c r="A465" s="16" t="n"/>
      <c r="B465" s="1134">
        <f>VALUE(IF(AND(LEN(TRIM(C465))-LEN(SUBSTITUTE(TRIM(C465),".",""))=1,ISNUMBER(VALUE(SUBSTITUTE(TRIM(C465),".","")))),TRIM(C465),B464))</f>
        <v/>
      </c>
      <c r="C465" s="306" t="inlineStr">
        <is>
          <t>2.4</t>
        </is>
      </c>
      <c r="D465" s="227" t="n"/>
      <c r="E465" s="228" t="inlineStr">
        <is>
          <t>MADERAS</t>
        </is>
      </c>
      <c r="F465" s="229" t="n">
        <v>1</v>
      </c>
      <c r="G465" s="227" t="inlineStr">
        <is>
          <t>UND</t>
        </is>
      </c>
      <c r="H465" s="227" t="n"/>
      <c r="I465" s="227" t="n"/>
      <c r="J465" s="227" t="n"/>
      <c r="K465" s="230">
        <f>+SUBTOTAL(9,K466:K470)</f>
        <v/>
      </c>
      <c r="L465" s="230">
        <f>+SUBTOTAL(9,L466:L470)</f>
        <v/>
      </c>
      <c r="M465" s="230">
        <f>+SUBTOTAL(9,M466:M470)</f>
        <v/>
      </c>
      <c r="N465" s="230">
        <f>+SUBTOTAL(9,N466:N470)</f>
        <v/>
      </c>
      <c r="O465" s="1135">
        <f>+SUBTOTAL(9,O466:O470)</f>
        <v/>
      </c>
    </row>
    <row r="466">
      <c r="A466" s="233" t="n"/>
      <c r="B466" s="1134">
        <f>VALUE(IF(AND(LEN(TRIM(C466))-LEN(SUBSTITUTE(TRIM(C466),".",""))=1,ISNUMBER(VALUE(SUBSTITUTE(TRIM(C466),".","")))),TRIM(C466),B465))</f>
        <v/>
      </c>
      <c r="C466" s="234" t="inlineStr">
        <is>
          <t>2.4.1</t>
        </is>
      </c>
      <c r="D466" s="235" t="n"/>
      <c r="E466" s="236" t="inlineStr">
        <is>
          <t xml:space="preserve">MUEBLES </t>
        </is>
      </c>
      <c r="F466" s="237" t="n">
        <v>1</v>
      </c>
      <c r="G466" s="235" t="inlineStr">
        <is>
          <t>gb</t>
        </is>
      </c>
      <c r="H466" s="235" t="n"/>
      <c r="I466" s="235" t="n"/>
      <c r="J466" s="235" t="n"/>
      <c r="K466" s="238">
        <f>+SUBTOTAL(9,K467:K470)</f>
        <v/>
      </c>
      <c r="L466" s="238">
        <f>+SUBTOTAL(9,L467:L470)</f>
        <v/>
      </c>
      <c r="M466" s="238">
        <f>+SUBTOTAL(9,M467:M470)</f>
        <v/>
      </c>
      <c r="N466" s="238">
        <f>+SUBTOTAL(9,N467:N470)</f>
        <v/>
      </c>
      <c r="O466" s="1136">
        <f>+SUBTOTAL(9,O467:O470)</f>
        <v/>
      </c>
      <c r="P466" s="1137" t="n"/>
    </row>
    <row r="467">
      <c r="A467" s="16" t="n"/>
      <c r="B467" s="1134">
        <f>VALUE(IF(AND(LEN(TRIM(C467))-LEN(SUBSTITUTE(TRIM(C467),".",""))=1,ISNUMBER(VALUE(SUBSTITUTE(TRIM(C467),".","")))),TRIM(C467),B466))</f>
        <v/>
      </c>
      <c r="C467" s="285" t="n"/>
      <c r="D467" s="286" t="n"/>
      <c r="E467" s="335" t="inlineStr">
        <is>
          <t>MADERAS MUEBLE</t>
        </is>
      </c>
      <c r="F467" s="288" t="n">
        <v>1</v>
      </c>
      <c r="G467" s="289" t="inlineStr">
        <is>
          <t>UND</t>
        </is>
      </c>
      <c r="H467" s="289" t="n"/>
      <c r="I467" s="289" t="n"/>
      <c r="J467" s="289" t="n"/>
      <c r="K467" s="290" t="n"/>
      <c r="L467" s="290" t="n"/>
      <c r="M467" s="290" t="n"/>
      <c r="N467" s="290" t="n"/>
      <c r="O467" s="291" t="n"/>
    </row>
    <row r="468">
      <c r="A468" s="16" t="n"/>
      <c r="B468" s="1134">
        <f>VALUE(IF(AND(LEN(TRIM(C468))-LEN(SUBSTITUTE(TRIM(C468),".",""))=1,ISNUMBER(VALUE(SUBSTITUTE(TRIM(C468),".","")))),TRIM(C468),B467))</f>
        <v/>
      </c>
      <c r="C468" s="301" t="n"/>
      <c r="D468" s="346" t="n"/>
      <c r="E468" s="311" t="n"/>
      <c r="F468" s="299" t="n"/>
      <c r="G468" s="321" t="n"/>
      <c r="H468" s="322" t="n"/>
      <c r="I468" s="322" t="n"/>
      <c r="J468" s="322" t="n"/>
      <c r="K468" s="322" t="n"/>
      <c r="L468" s="322" t="n"/>
      <c r="M468" s="322" t="n"/>
      <c r="N468" s="322" t="n"/>
      <c r="O468" s="323" t="n"/>
    </row>
    <row r="469">
      <c r="A469" s="16" t="n"/>
      <c r="B469" s="1134">
        <f>VALUE(IF(AND(LEN(TRIM(C469))-LEN(SUBSTITUTE(TRIM(C469),".",""))=1,ISNUMBER(VALUE(SUBSTITUTE(TRIM(C469),".","")))),TRIM(C469),B468))</f>
        <v/>
      </c>
      <c r="C469" s="301" t="n"/>
      <c r="D469" s="346" t="n"/>
      <c r="E469" s="311" t="n"/>
      <c r="F469" s="299" t="n"/>
      <c r="G469" s="321" t="n"/>
      <c r="H469" s="322" t="n"/>
      <c r="I469" s="322" t="n"/>
      <c r="J469" s="322" t="n"/>
      <c r="K469" s="322" t="n"/>
      <c r="L469" s="322" t="n"/>
      <c r="M469" s="322" t="n"/>
      <c r="N469" s="322" t="n"/>
      <c r="O469" s="323" t="n"/>
    </row>
    <row r="470">
      <c r="A470" s="16" t="n"/>
      <c r="B470" s="1134">
        <f>VALUE(IF(AND(LEN(TRIM(C470))-LEN(SUBSTITUTE(TRIM(C470),".",""))=1,ISNUMBER(VALUE(SUBSTITUTE(TRIM(C470),".","")))),TRIM(C470),B469))</f>
        <v/>
      </c>
      <c r="C470" s="301" t="n"/>
      <c r="D470" s="346" t="n"/>
      <c r="E470" s="311" t="n"/>
      <c r="F470" s="299" t="n"/>
      <c r="G470" s="321" t="n"/>
      <c r="H470" s="322" t="n"/>
      <c r="I470" s="322" t="n"/>
      <c r="J470" s="322" t="n"/>
      <c r="K470" s="322" t="n"/>
      <c r="L470" s="322" t="n"/>
      <c r="M470" s="322" t="n"/>
      <c r="N470" s="322" t="n"/>
      <c r="O470" s="323" t="n"/>
    </row>
    <row r="471">
      <c r="A471" s="233" t="n"/>
      <c r="B471" s="1134">
        <f>VALUE(IF(AND(LEN(TRIM(C471))-LEN(SUBSTITUTE(TRIM(C471),".",""))=1,ISNUMBER(VALUE(SUBSTITUTE(TRIM(C471),".","")))),TRIM(C471),B470))</f>
        <v/>
      </c>
      <c r="C471" s="306" t="inlineStr">
        <is>
          <t>2.5</t>
        </is>
      </c>
      <c r="D471" s="227" t="n"/>
      <c r="E471" s="228" t="inlineStr">
        <is>
          <t xml:space="preserve">VENTANERIA </t>
        </is>
      </c>
      <c r="F471" s="229">
        <f>+'1_OG y 2_ACA'!G1666</f>
        <v/>
      </c>
      <c r="G471" s="227" t="inlineStr">
        <is>
          <t>m2</t>
        </is>
      </c>
      <c r="H471" s="227" t="n"/>
      <c r="I471" s="227" t="n"/>
      <c r="J471" s="227" t="n"/>
      <c r="K471" s="230">
        <f>+SUBTOTAL(9,K472:K475)</f>
        <v/>
      </c>
      <c r="L471" s="230">
        <f>+SUBTOTAL(9,L472:L475)</f>
        <v/>
      </c>
      <c r="M471" s="230">
        <f>+SUBTOTAL(9,M472:M475)</f>
        <v/>
      </c>
      <c r="N471" s="230">
        <f>+SUBTOTAL(9,N472:N475)</f>
        <v/>
      </c>
      <c r="O471" s="1135">
        <f>+SUBTOTAL(9,O472:O475)</f>
        <v/>
      </c>
    </row>
    <row r="472">
      <c r="A472" s="16" t="n"/>
      <c r="B472" s="1134">
        <f>VALUE(IF(AND(LEN(TRIM(C472))-LEN(SUBSTITUTE(TRIM(C472),".",""))=1,ISNUMBER(VALUE(SUBSTITUTE(TRIM(C472),".","")))),TRIM(C472),B471))</f>
        <v/>
      </c>
      <c r="C472" s="234" t="inlineStr">
        <is>
          <t>2.5.1</t>
        </is>
      </c>
      <c r="D472" s="235" t="n"/>
      <c r="E472" s="236" t="inlineStr">
        <is>
          <t xml:space="preserve">VENTANERIA (INCLUYE PUERTAS DE ALUMINIO) </t>
        </is>
      </c>
      <c r="F472" s="237" t="n">
        <v>1</v>
      </c>
      <c r="G472" s="235" t="inlineStr">
        <is>
          <t>gb</t>
        </is>
      </c>
      <c r="H472" s="235" t="n"/>
      <c r="I472" s="235" t="n"/>
      <c r="J472" s="235" t="n"/>
      <c r="K472" s="238">
        <f>+SUBTOTAL(9,K473:K475)</f>
        <v/>
      </c>
      <c r="L472" s="238">
        <f>+SUBTOTAL(9,L473:L475)</f>
        <v/>
      </c>
      <c r="M472" s="238">
        <f>+SUBTOTAL(9,M473:M475)</f>
        <v/>
      </c>
      <c r="N472" s="238">
        <f>+SUBTOTAL(9,N473:N475)</f>
        <v/>
      </c>
      <c r="O472" s="1136">
        <f>+SUBTOTAL(9,O473:O475)</f>
        <v/>
      </c>
    </row>
    <row r="473">
      <c r="A473" s="16" t="n"/>
      <c r="B473" s="1134">
        <f>VALUE(IF(AND(LEN(TRIM(C473))-LEN(SUBSTITUTE(TRIM(C473),".",""))=1,ISNUMBER(VALUE(SUBSTITUTE(TRIM(C473),".","")))),TRIM(C473),B472))</f>
        <v/>
      </c>
      <c r="C473" s="347" t="inlineStr">
        <is>
          <t>VENTANERIA NEOTRIPOLI</t>
        </is>
      </c>
      <c r="D473" s="348" t="n"/>
      <c r="E473" s="63">
        <f>+_xlfn.XLOOKUP(C473,'BASE DATOS EQUIPOS Y SUBCONTRAT'!A:A,'BASE DATOS EQUIPOS Y SUBCONTRAT'!B:B)</f>
        <v/>
      </c>
      <c r="F473" s="349" t="n">
        <v>1</v>
      </c>
      <c r="G473" s="350">
        <f>+_xlfn.XLOOKUP(C473,'BASE DATOS EQUIPOS Y SUBCONTRAT'!A:A,'BASE DATOS EQUIPOS Y SUBCONTRAT'!C:C)</f>
        <v/>
      </c>
      <c r="H473" s="351" t="n">
        <v>0</v>
      </c>
      <c r="I473" s="350" t="n"/>
      <c r="J473" s="351">
        <f>+'1_OG y 2_ACA'!D1673</f>
        <v/>
      </c>
      <c r="K473" s="351">
        <f>+F473*H473</f>
        <v/>
      </c>
      <c r="L473" s="351">
        <f>+F473*I473</f>
        <v/>
      </c>
      <c r="M473" s="351">
        <f>+F473*J473</f>
        <v/>
      </c>
      <c r="N473" s="351">
        <f>SUM(K473:M473)</f>
        <v/>
      </c>
      <c r="O473" s="352">
        <f>SUM(K473:M473)/tc</f>
        <v/>
      </c>
    </row>
    <row r="474">
      <c r="A474" s="16" t="n"/>
      <c r="B474" s="1134">
        <f>VALUE(IF(AND(LEN(TRIM(C474))-LEN(SUBSTITUTE(TRIM(C474),".",""))=1,ISNUMBER(VALUE(SUBSTITUTE(TRIM(C474),".","")))),TRIM(C474),B473))</f>
        <v/>
      </c>
      <c r="C474" s="267" t="inlineStr">
        <is>
          <t xml:space="preserve">OPERARIO </t>
        </is>
      </c>
      <c r="D474" s="268" t="n"/>
      <c r="E474" s="269">
        <f>+_xlfn.XLOOKUP(C474,'BASE DATOS MANO DE OBRA'!A:A,'BASE DATOS MANO DE OBRA'!B:B)</f>
        <v/>
      </c>
      <c r="F474" s="270" t="n">
        <v>0</v>
      </c>
      <c r="G474" s="271">
        <f>+_xlfn.XLOOKUP(C474,'BASE DATOS MANO DE OBRA'!A:A,'BASE DATOS MANO DE OBRA'!C:C)</f>
        <v/>
      </c>
      <c r="H474" s="272" t="n">
        <v>0</v>
      </c>
      <c r="I474" s="272">
        <f>+_xlfn.XLOOKUP(C474,'BASE DATOS MANO DE OBRA'!A:A,'BASE DATOS MANO DE OBRA'!E:E)</f>
        <v/>
      </c>
      <c r="J474" s="272" t="n">
        <v>0</v>
      </c>
      <c r="K474" s="272">
        <f>+F474*H474</f>
        <v/>
      </c>
      <c r="L474" s="272">
        <f>+F474*I474</f>
        <v/>
      </c>
      <c r="M474" s="272">
        <f>+F474*J474</f>
        <v/>
      </c>
      <c r="N474" s="272">
        <f>SUM(K474:M474)</f>
        <v/>
      </c>
      <c r="O474" s="273">
        <f>SUM(K474:M474)/tc</f>
        <v/>
      </c>
    </row>
    <row r="475">
      <c r="A475" s="16" t="n"/>
      <c r="B475" s="1134">
        <f>VALUE(IF(AND(LEN(TRIM(C475))-LEN(SUBSTITUTE(TRIM(C475),".",""))=1,ISNUMBER(VALUE(SUBSTITUTE(TRIM(C475),".","")))),TRIM(C475),B474))</f>
        <v/>
      </c>
      <c r="C475" s="267" t="inlineStr">
        <is>
          <t xml:space="preserve">AYUDANTE </t>
        </is>
      </c>
      <c r="D475" s="268" t="n"/>
      <c r="E475" s="269">
        <f>+_xlfn.XLOOKUP(C475,'BASE DATOS MANO DE OBRA'!A:A,'BASE DATOS MANO DE OBRA'!B:B)</f>
        <v/>
      </c>
      <c r="F475" s="270" t="n">
        <v>0</v>
      </c>
      <c r="G475" s="271">
        <f>+_xlfn.XLOOKUP(C475,'BASE DATOS MANO DE OBRA'!A:A,'BASE DATOS MANO DE OBRA'!C:C)</f>
        <v/>
      </c>
      <c r="H475" s="272" t="n">
        <v>0</v>
      </c>
      <c r="I475" s="272">
        <f>+_xlfn.XLOOKUP(C475,'BASE DATOS MANO DE OBRA'!A:A,'BASE DATOS MANO DE OBRA'!E:E)</f>
        <v/>
      </c>
      <c r="J475" s="272" t="n">
        <v>0</v>
      </c>
      <c r="K475" s="272">
        <f>+F475*H475</f>
        <v/>
      </c>
      <c r="L475" s="272">
        <f>+F475*I475</f>
        <v/>
      </c>
      <c r="M475" s="272">
        <f>+F475*J475</f>
        <v/>
      </c>
      <c r="N475" s="272">
        <f>SUM(K475:M475)</f>
        <v/>
      </c>
      <c r="O475" s="273">
        <f>SUM(K475:M475)/tc</f>
        <v/>
      </c>
    </row>
    <row r="476">
      <c r="A476" s="16" t="n"/>
      <c r="B476" s="1134">
        <f>VALUE(IF(AND(LEN(TRIM(C476))-LEN(SUBSTITUTE(TRIM(C476),".",""))=1,ISNUMBER(VALUE(SUBSTITUTE(TRIM(C476),".","")))),TRIM(C476),B475))</f>
        <v/>
      </c>
      <c r="C476" s="306" t="inlineStr">
        <is>
          <t>2.6</t>
        </is>
      </c>
      <c r="D476" s="227" t="n"/>
      <c r="E476" s="228" t="inlineStr">
        <is>
          <t xml:space="preserve">MUEBLES Y PUERTAS </t>
        </is>
      </c>
      <c r="F476" s="229" t="n">
        <v>1</v>
      </c>
      <c r="G476" s="227" t="inlineStr">
        <is>
          <t>UND</t>
        </is>
      </c>
      <c r="H476" s="227" t="n"/>
      <c r="I476" s="227" t="n"/>
      <c r="J476" s="227" t="n"/>
      <c r="K476" s="230">
        <f>+SUBTOTAL(9,K477:K524)</f>
        <v/>
      </c>
      <c r="L476" s="230">
        <f>+SUBTOTAL(9,L477:L524)</f>
        <v/>
      </c>
      <c r="M476" s="230">
        <f>+SUBTOTAL(9,M477:M524)</f>
        <v/>
      </c>
      <c r="N476" s="230">
        <f>+SUBTOTAL(9,N477:N524)</f>
        <v/>
      </c>
      <c r="O476" s="1135">
        <f>+SUBTOTAL(9,O477:O524)</f>
        <v/>
      </c>
    </row>
    <row r="477">
      <c r="A477" s="16" t="n"/>
      <c r="B477" s="1134">
        <f>VALUE(IF(AND(LEN(TRIM(C477))-LEN(SUBSTITUTE(TRIM(C477),".",""))=1,ISNUMBER(VALUE(SUBSTITUTE(TRIM(C477),".","")))),TRIM(C477),B476))</f>
        <v/>
      </c>
      <c r="C477" s="234" t="inlineStr">
        <is>
          <t>2.6.1</t>
        </is>
      </c>
      <c r="D477" s="235" t="n"/>
      <c r="E477" s="236" t="inlineStr">
        <is>
          <t xml:space="preserve">MUEBLES </t>
        </is>
      </c>
      <c r="F477" s="237" t="n">
        <v>1</v>
      </c>
      <c r="G477" s="235" t="inlineStr">
        <is>
          <t>gb</t>
        </is>
      </c>
      <c r="H477" s="235" t="n"/>
      <c r="I477" s="235" t="n"/>
      <c r="J477" s="235" t="n"/>
      <c r="K477" s="238">
        <f>+SUBTOTAL(9,K478:K512)</f>
        <v/>
      </c>
      <c r="L477" s="238">
        <f>+SUBTOTAL(9,L478:L512)</f>
        <v/>
      </c>
      <c r="M477" s="238">
        <f>+SUBTOTAL(9,M478:M512)</f>
        <v/>
      </c>
      <c r="N477" s="238">
        <f>+SUBTOTAL(9,N478:N512)</f>
        <v/>
      </c>
      <c r="O477" s="1136">
        <f>+SUBTOTAL(9,O478:O512)</f>
        <v/>
      </c>
    </row>
    <row r="478">
      <c r="A478" s="16" t="n"/>
      <c r="B478" s="1134">
        <f>VALUE(IF(AND(LEN(TRIM(C478))-LEN(SUBSTITUTE(TRIM(C478),".",""))=1,ISNUMBER(VALUE(SUBSTITUTE(TRIM(C478),".","")))),TRIM(C478),B477))</f>
        <v/>
      </c>
      <c r="C478" s="285" t="n"/>
      <c r="D478" s="286" t="n"/>
      <c r="E478" s="335" t="inlineStr">
        <is>
          <t xml:space="preserve">Closets, mueble baño, muebles de cocina </t>
        </is>
      </c>
      <c r="F478" s="288" t="n"/>
      <c r="G478" s="289" t="inlineStr">
        <is>
          <t>m</t>
        </is>
      </c>
      <c r="H478" s="289" t="n"/>
      <c r="I478" s="289" t="n"/>
      <c r="J478" s="289" t="n"/>
      <c r="K478" s="290" t="n"/>
      <c r="L478" s="290" t="n"/>
      <c r="M478" s="290" t="n"/>
      <c r="N478" s="290" t="n"/>
      <c r="O478" s="291" t="n"/>
    </row>
    <row r="479">
      <c r="A479" s="16" t="n"/>
      <c r="B479" s="1134">
        <f>VALUE(IF(AND(LEN(TRIM(C479))-LEN(SUBSTITUTE(TRIM(C479),".",""))=1,ISNUMBER(VALUE(SUBSTITUTE(TRIM(C479),".","")))),TRIM(C479),B478))</f>
        <v/>
      </c>
      <c r="C479" s="16" t="inlineStr">
        <is>
          <t>M03-0022</t>
        </is>
      </c>
      <c r="D479" s="292" t="n"/>
      <c r="E479" s="252">
        <f>+_xlfn.XLOOKUP(C479,'BASE DATOS PRECIOS '!B:B,'BASE DATOS PRECIOS '!E:E)</f>
        <v/>
      </c>
      <c r="F479" s="218">
        <f>+'1_OG y 2_ACA'!D1704</f>
        <v/>
      </c>
      <c r="G479" s="250">
        <f>+_xlfn.XLOOKUP(C479,'BASE DATOS PRECIOS '!B:B,'BASE DATOS PRECIOS '!F:F)</f>
        <v/>
      </c>
      <c r="H479" s="249">
        <f>+_xlfn.XLOOKUP(E479,'BASE DATOS PRECIOS '!E:E,'BASE DATOS PRECIOS '!H:H)</f>
        <v/>
      </c>
      <c r="I479" s="250" t="n"/>
      <c r="J479" s="250" t="n"/>
      <c r="K479" s="249">
        <f>+F479*H479</f>
        <v/>
      </c>
      <c r="L479" s="249">
        <f>+F479*I479</f>
        <v/>
      </c>
      <c r="M479" s="249">
        <f>+F479*J479</f>
        <v/>
      </c>
      <c r="N479" s="249">
        <f>SUM(K479:M479)</f>
        <v/>
      </c>
      <c r="O479" s="353">
        <f>SUM(K479:M479)/tc</f>
        <v/>
      </c>
    </row>
    <row r="480">
      <c r="A480" s="16" t="n"/>
      <c r="B480" s="1134">
        <f>VALUE(IF(AND(LEN(TRIM(C480))-LEN(SUBSTITUTE(TRIM(C480),".",""))=1,ISNUMBER(VALUE(SUBSTITUTE(TRIM(C480),".","")))),TRIM(C480),B479))</f>
        <v/>
      </c>
      <c r="C480" s="317" t="inlineStr">
        <is>
          <t>M03-0005</t>
        </is>
      </c>
      <c r="D480" s="318" t="n"/>
      <c r="E480" s="252">
        <f>+_xlfn.XLOOKUP(C480,'BASE DATOS PRECIOS '!B:B,'BASE DATOS PRECIOS '!E:E)</f>
        <v/>
      </c>
      <c r="F480" s="218">
        <f>+'1_OG y 2_ACA'!D1705</f>
        <v/>
      </c>
      <c r="G480" s="250">
        <f>+_xlfn.XLOOKUP(C480,'BASE DATOS PRECIOS '!B:B,'BASE DATOS PRECIOS '!F:F)</f>
        <v/>
      </c>
      <c r="H480" s="249">
        <f>+_xlfn.XLOOKUP(E480,'BASE DATOS PRECIOS '!E:E,'BASE DATOS PRECIOS '!H:H)</f>
        <v/>
      </c>
      <c r="I480" s="250" t="n"/>
      <c r="J480" s="250" t="n"/>
      <c r="K480" s="249">
        <f>+F480*H480</f>
        <v/>
      </c>
      <c r="L480" s="249">
        <f>+F480*I480</f>
        <v/>
      </c>
      <c r="M480" s="249">
        <f>+F480*J480</f>
        <v/>
      </c>
      <c r="N480" s="249">
        <f>SUM(K480:M480)</f>
        <v/>
      </c>
      <c r="O480" s="353">
        <f>SUM(K480:M480)/tc</f>
        <v/>
      </c>
    </row>
    <row r="481">
      <c r="A481" s="16" t="n"/>
      <c r="B481" s="1134">
        <f>VALUE(IF(AND(LEN(TRIM(C481))-LEN(SUBSTITUTE(TRIM(C481),".",""))=1,ISNUMBER(VALUE(SUBSTITUTE(TRIM(C481),".","")))),TRIM(C481),B480))</f>
        <v/>
      </c>
      <c r="C481" s="317" t="inlineStr">
        <is>
          <t>M03-0036</t>
        </is>
      </c>
      <c r="D481" s="318" t="n"/>
      <c r="E481" s="252">
        <f>+_xlfn.XLOOKUP(C481,'BASE DATOS PRECIOS '!B:B,'BASE DATOS PRECIOS '!E:E)</f>
        <v/>
      </c>
      <c r="F481" s="218">
        <f>+'1_OG y 2_ACA'!D1706</f>
        <v/>
      </c>
      <c r="G481" s="250">
        <f>+_xlfn.XLOOKUP(C481,'BASE DATOS PRECIOS '!B:B,'BASE DATOS PRECIOS '!F:F)</f>
        <v/>
      </c>
      <c r="H481" s="249">
        <f>+_xlfn.XLOOKUP(E481,'BASE DATOS PRECIOS '!E:E,'BASE DATOS PRECIOS '!H:H)</f>
        <v/>
      </c>
      <c r="I481" s="250" t="n"/>
      <c r="J481" s="250" t="n"/>
      <c r="K481" s="249">
        <f>+F481*H481</f>
        <v/>
      </c>
      <c r="L481" s="249">
        <f>+F481*I481</f>
        <v/>
      </c>
      <c r="M481" s="249">
        <f>+F481*J481</f>
        <v/>
      </c>
      <c r="N481" s="249">
        <f>SUM(K481:M481)</f>
        <v/>
      </c>
      <c r="O481" s="353">
        <f>SUM(K481:M481)/tc</f>
        <v/>
      </c>
    </row>
    <row r="482">
      <c r="A482" s="16" t="n"/>
      <c r="B482" s="1134">
        <f>VALUE(IF(AND(LEN(TRIM(C482))-LEN(SUBSTITUTE(TRIM(C482),".",""))=1,ISNUMBER(VALUE(SUBSTITUTE(TRIM(C482),".","")))),TRIM(C482),B481))</f>
        <v/>
      </c>
      <c r="C482" s="317" t="inlineStr">
        <is>
          <t>M03-0014</t>
        </is>
      </c>
      <c r="D482" s="318" t="n"/>
      <c r="E482" s="252">
        <f>+_xlfn.XLOOKUP(C482,'BASE DATOS PRECIOS '!B:B,'BASE DATOS PRECIOS '!E:E)</f>
        <v/>
      </c>
      <c r="F482" s="218">
        <f>+'1_OG y 2_ACA'!D1707</f>
        <v/>
      </c>
      <c r="G482" s="250">
        <f>+_xlfn.XLOOKUP(C482,'BASE DATOS PRECIOS '!B:B,'BASE DATOS PRECIOS '!F:F)</f>
        <v/>
      </c>
      <c r="H482" s="249">
        <f>+_xlfn.XLOOKUP(E482,'BASE DATOS PRECIOS '!E:E,'BASE DATOS PRECIOS '!H:H)</f>
        <v/>
      </c>
      <c r="I482" s="250" t="n"/>
      <c r="J482" s="250" t="n"/>
      <c r="K482" s="249">
        <f>+F482*H482</f>
        <v/>
      </c>
      <c r="L482" s="249">
        <f>+F482*I482</f>
        <v/>
      </c>
      <c r="M482" s="249">
        <f>+F482*J482</f>
        <v/>
      </c>
      <c r="N482" s="249">
        <f>SUM(K482:M482)</f>
        <v/>
      </c>
      <c r="O482" s="353">
        <f>SUM(K482:M482)/tc</f>
        <v/>
      </c>
    </row>
    <row r="483">
      <c r="A483" s="16" t="n"/>
      <c r="B483" s="1134">
        <f>VALUE(IF(AND(LEN(TRIM(C483))-LEN(SUBSTITUTE(TRIM(C483),".",""))=1,ISNUMBER(VALUE(SUBSTITUTE(TRIM(C483),".","")))),TRIM(C483),B482))</f>
        <v/>
      </c>
      <c r="C483" s="317" t="inlineStr">
        <is>
          <t>M03-0019</t>
        </is>
      </c>
      <c r="D483" s="318" t="n"/>
      <c r="E483" s="252">
        <f>+_xlfn.XLOOKUP(C483,'BASE DATOS PRECIOS '!B:B,'BASE DATOS PRECIOS '!E:E)</f>
        <v/>
      </c>
      <c r="F483" s="218">
        <f>+'1_OG y 2_ACA'!D1708</f>
        <v/>
      </c>
      <c r="G483" s="250">
        <f>+_xlfn.XLOOKUP(C483,'BASE DATOS PRECIOS '!B:B,'BASE DATOS PRECIOS '!F:F)</f>
        <v/>
      </c>
      <c r="H483" s="249">
        <f>+_xlfn.XLOOKUP(E483,'BASE DATOS PRECIOS '!E:E,'BASE DATOS PRECIOS '!H:H)</f>
        <v/>
      </c>
      <c r="I483" s="250" t="n"/>
      <c r="J483" s="250" t="n"/>
      <c r="K483" s="249">
        <f>+F483*H483</f>
        <v/>
      </c>
      <c r="L483" s="249">
        <f>+F483*I483</f>
        <v/>
      </c>
      <c r="M483" s="249">
        <f>+F483*J483</f>
        <v/>
      </c>
      <c r="N483" s="249">
        <f>SUM(K483:M483)</f>
        <v/>
      </c>
      <c r="O483" s="353">
        <f>SUM(K483:M483)/tc</f>
        <v/>
      </c>
    </row>
    <row r="484">
      <c r="A484" s="16" t="n"/>
      <c r="B484" s="1134">
        <f>VALUE(IF(AND(LEN(TRIM(C484))-LEN(SUBSTITUTE(TRIM(C484),".",""))=1,ISNUMBER(VALUE(SUBSTITUTE(TRIM(C484),".","")))),TRIM(C484),B483))</f>
        <v/>
      </c>
      <c r="C484" s="317" t="inlineStr">
        <is>
          <t>M03-0031</t>
        </is>
      </c>
      <c r="D484" s="318" t="n"/>
      <c r="E484" s="252">
        <f>+_xlfn.XLOOKUP(C484,'BASE DATOS PRECIOS '!B:B,'BASE DATOS PRECIOS '!E:E)</f>
        <v/>
      </c>
      <c r="F484" s="218">
        <f>+'1_OG y 2_ACA'!D1709</f>
        <v/>
      </c>
      <c r="G484" s="250">
        <f>+_xlfn.XLOOKUP(C484,'BASE DATOS PRECIOS '!B:B,'BASE DATOS PRECIOS '!F:F)</f>
        <v/>
      </c>
      <c r="H484" s="249">
        <f>+_xlfn.XLOOKUP(E484,'BASE DATOS PRECIOS '!E:E,'BASE DATOS PRECIOS '!H:H)</f>
        <v/>
      </c>
      <c r="I484" s="250" t="n"/>
      <c r="J484" s="250" t="n"/>
      <c r="K484" s="249">
        <f>+F484*H484</f>
        <v/>
      </c>
      <c r="L484" s="249">
        <f>+F484*I484</f>
        <v/>
      </c>
      <c r="M484" s="249">
        <f>+F484*J484</f>
        <v/>
      </c>
      <c r="N484" s="249">
        <f>SUM(K484:M484)</f>
        <v/>
      </c>
      <c r="O484" s="353">
        <f>SUM(K484:M484)/tc</f>
        <v/>
      </c>
    </row>
    <row r="485">
      <c r="A485" s="16" t="n"/>
      <c r="B485" s="1134">
        <f>VALUE(IF(AND(LEN(TRIM(C485))-LEN(SUBSTITUTE(TRIM(C485),".",""))=1,ISNUMBER(VALUE(SUBSTITUTE(TRIM(C485),".","")))),TRIM(C485),B484))</f>
        <v/>
      </c>
      <c r="C485" s="317" t="inlineStr">
        <is>
          <t>M03-0033</t>
        </is>
      </c>
      <c r="D485" s="318" t="n"/>
      <c r="E485" s="252">
        <f>+_xlfn.XLOOKUP(C485,'BASE DATOS PRECIOS '!B:B,'BASE DATOS PRECIOS '!E:E)</f>
        <v/>
      </c>
      <c r="F485" s="218">
        <f>+'1_OG y 2_ACA'!D1710</f>
        <v/>
      </c>
      <c r="G485" s="250">
        <f>+_xlfn.XLOOKUP(C485,'BASE DATOS PRECIOS '!B:B,'BASE DATOS PRECIOS '!F:F)</f>
        <v/>
      </c>
      <c r="H485" s="249">
        <f>+_xlfn.XLOOKUP(E485,'BASE DATOS PRECIOS '!E:E,'BASE DATOS PRECIOS '!H:H)</f>
        <v/>
      </c>
      <c r="I485" s="250" t="n"/>
      <c r="J485" s="250" t="n"/>
      <c r="K485" s="249">
        <f>+F485*H485</f>
        <v/>
      </c>
      <c r="L485" s="249">
        <f>+F485*I485</f>
        <v/>
      </c>
      <c r="M485" s="249">
        <f>+F485*J485</f>
        <v/>
      </c>
      <c r="N485" s="249">
        <f>SUM(K485:M485)</f>
        <v/>
      </c>
      <c r="O485" s="353">
        <f>SUM(K485:M485)/tc</f>
        <v/>
      </c>
    </row>
    <row r="486">
      <c r="A486" s="16" t="n"/>
      <c r="B486" s="1134">
        <f>VALUE(IF(AND(LEN(TRIM(C486))-LEN(SUBSTITUTE(TRIM(C486),".",""))=1,ISNUMBER(VALUE(SUBSTITUTE(TRIM(C486),".","")))),TRIM(C486),B485))</f>
        <v/>
      </c>
      <c r="C486" s="317" t="inlineStr">
        <is>
          <t>M03-0010</t>
        </is>
      </c>
      <c r="D486" s="318" t="n"/>
      <c r="E486" s="252">
        <f>+_xlfn.XLOOKUP(C486,'BASE DATOS PRECIOS '!B:B,'BASE DATOS PRECIOS '!E:E)</f>
        <v/>
      </c>
      <c r="F486" s="218">
        <f>+'1_OG y 2_ACA'!D1711</f>
        <v/>
      </c>
      <c r="G486" s="250">
        <f>+_xlfn.XLOOKUP(C486,'BASE DATOS PRECIOS '!B:B,'BASE DATOS PRECIOS '!F:F)</f>
        <v/>
      </c>
      <c r="H486" s="249">
        <f>+_xlfn.XLOOKUP(E486,'BASE DATOS PRECIOS '!E:E,'BASE DATOS PRECIOS '!H:H)</f>
        <v/>
      </c>
      <c r="I486" s="250" t="n"/>
      <c r="J486" s="250" t="n"/>
      <c r="K486" s="249">
        <f>+F486*H486</f>
        <v/>
      </c>
      <c r="L486" s="249">
        <f>+F486*I486</f>
        <v/>
      </c>
      <c r="M486" s="249">
        <f>+F486*J486</f>
        <v/>
      </c>
      <c r="N486" s="249">
        <f>SUM(K486:M486)</f>
        <v/>
      </c>
      <c r="O486" s="353">
        <f>SUM(K486:M486)/tc</f>
        <v/>
      </c>
    </row>
    <row r="487">
      <c r="A487" s="16" t="n"/>
      <c r="B487" s="1134">
        <f>VALUE(IF(AND(LEN(TRIM(C487))-LEN(SUBSTITUTE(TRIM(C487),".",""))=1,ISNUMBER(VALUE(SUBSTITUTE(TRIM(C487),".","")))),TRIM(C487),B486))</f>
        <v/>
      </c>
      <c r="C487" s="317" t="inlineStr">
        <is>
          <t>M14-0018</t>
        </is>
      </c>
      <c r="D487" s="318" t="n"/>
      <c r="E487" s="252">
        <f>+_xlfn.XLOOKUP(C487,'BASE DATOS PRECIOS '!B:B,'BASE DATOS PRECIOS '!E:E)</f>
        <v/>
      </c>
      <c r="F487" s="218">
        <f>+'1_OG y 2_ACA'!D1712</f>
        <v/>
      </c>
      <c r="G487" s="250">
        <f>+_xlfn.XLOOKUP(C487,'BASE DATOS PRECIOS '!B:B,'BASE DATOS PRECIOS '!F:F)</f>
        <v/>
      </c>
      <c r="H487" s="249">
        <f>+_xlfn.XLOOKUP(E487,'BASE DATOS PRECIOS '!E:E,'BASE DATOS PRECIOS '!H:H)</f>
        <v/>
      </c>
      <c r="I487" s="250" t="n"/>
      <c r="J487" s="250" t="n"/>
      <c r="K487" s="249">
        <f>+F487*H487</f>
        <v/>
      </c>
      <c r="L487" s="249">
        <f>+F487*I487</f>
        <v/>
      </c>
      <c r="M487" s="249">
        <f>+F487*J487</f>
        <v/>
      </c>
      <c r="N487" s="249">
        <f>SUM(K487:M487)</f>
        <v/>
      </c>
      <c r="O487" s="353">
        <f>SUM(K487:M487)/tc</f>
        <v/>
      </c>
    </row>
    <row r="488">
      <c r="A488" s="16" t="n"/>
      <c r="B488" s="1134">
        <f>VALUE(IF(AND(LEN(TRIM(C488))-LEN(SUBSTITUTE(TRIM(C488),".",""))=1,ISNUMBER(VALUE(SUBSTITUTE(TRIM(C488),".","")))),TRIM(C488),B487))</f>
        <v/>
      </c>
      <c r="C488" s="317" t="inlineStr">
        <is>
          <t>M14-0015</t>
        </is>
      </c>
      <c r="D488" s="318" t="n"/>
      <c r="E488" s="252">
        <f>+_xlfn.XLOOKUP(C488,'BASE DATOS PRECIOS '!B:B,'BASE DATOS PRECIOS '!E:E)</f>
        <v/>
      </c>
      <c r="F488" s="218">
        <f>+'1_OG y 2_ACA'!D1713</f>
        <v/>
      </c>
      <c r="G488" s="250">
        <f>+_xlfn.XLOOKUP(C488,'BASE DATOS PRECIOS '!B:B,'BASE DATOS PRECIOS '!F:F)</f>
        <v/>
      </c>
      <c r="H488" s="249">
        <f>+_xlfn.XLOOKUP(E488,'BASE DATOS PRECIOS '!E:E,'BASE DATOS PRECIOS '!H:H)</f>
        <v/>
      </c>
      <c r="I488" s="250" t="n"/>
      <c r="J488" s="250" t="n"/>
      <c r="K488" s="249">
        <f>+F488*H488</f>
        <v/>
      </c>
      <c r="L488" s="249">
        <f>+F488*I488</f>
        <v/>
      </c>
      <c r="M488" s="249">
        <f>+F488*J488</f>
        <v/>
      </c>
      <c r="N488" s="249">
        <f>SUM(K488:M488)</f>
        <v/>
      </c>
      <c r="O488" s="353">
        <f>SUM(K488:M488)/tc</f>
        <v/>
      </c>
    </row>
    <row r="489">
      <c r="A489" s="16" t="n"/>
      <c r="B489" s="1134">
        <f>VALUE(IF(AND(LEN(TRIM(C489))-LEN(SUBSTITUTE(TRIM(C489),".",""))=1,ISNUMBER(VALUE(SUBSTITUTE(TRIM(C489),".","")))),TRIM(C489),B488))</f>
        <v/>
      </c>
      <c r="C489" s="324" t="inlineStr">
        <is>
          <t>M09-0027</t>
        </is>
      </c>
      <c r="D489" s="325" t="n"/>
      <c r="E489" s="252">
        <f>+_xlfn.XLOOKUP(C489,'BASE DATOS PRECIOS '!B:B,'BASE DATOS PRECIOS '!E:E)</f>
        <v/>
      </c>
      <c r="F489" s="218">
        <f>'1_OG y 2_ACA'!F1714</f>
        <v/>
      </c>
      <c r="G489" s="250">
        <f>+_xlfn.XLOOKUP(C489,'BASE DATOS PRECIOS '!B:B,'BASE DATOS PRECIOS '!F:F)</f>
        <v/>
      </c>
      <c r="H489" s="249">
        <f>+_xlfn.XLOOKUP(E489,'BASE DATOS PRECIOS '!E:E,'BASE DATOS PRECIOS '!H:H)*1.1</f>
        <v/>
      </c>
      <c r="I489" s="250" t="n"/>
      <c r="J489" s="250" t="n"/>
      <c r="K489" s="249">
        <f>+F489*H489</f>
        <v/>
      </c>
      <c r="L489" s="249">
        <f>+F489*I489</f>
        <v/>
      </c>
      <c r="M489" s="249">
        <f>+F489*J489</f>
        <v/>
      </c>
      <c r="N489" s="249">
        <f>SUM(K489:M489)</f>
        <v/>
      </c>
      <c r="O489" s="353">
        <f>SUM(K489:M489)/tc</f>
        <v/>
      </c>
    </row>
    <row r="490">
      <c r="A490" s="16" t="n"/>
      <c r="B490" s="1134">
        <f>VALUE(IF(AND(LEN(TRIM(C490))-LEN(SUBSTITUTE(TRIM(C490),".",""))=1,ISNUMBER(VALUE(SUBSTITUTE(TRIM(C490),".","")))),TRIM(C490),B489))</f>
        <v/>
      </c>
      <c r="C490" s="317" t="inlineStr">
        <is>
          <t>M03-0017</t>
        </is>
      </c>
      <c r="D490" s="318" t="n"/>
      <c r="E490" s="252">
        <f>+_xlfn.XLOOKUP(C490,'BASE DATOS PRECIOS '!B:B,'BASE DATOS PRECIOS '!E:E)</f>
        <v/>
      </c>
      <c r="F490" s="218">
        <f>+ROUNDUP('1_OG y 2_ACA'!D1715,0)</f>
        <v/>
      </c>
      <c r="G490" s="250">
        <f>+_xlfn.XLOOKUP(C490,'BASE DATOS PRECIOS '!B:B,'BASE DATOS PRECIOS '!F:F)</f>
        <v/>
      </c>
      <c r="H490" s="249">
        <f>+_xlfn.XLOOKUP(E490,'BASE DATOS PRECIOS '!E:E,'BASE DATOS PRECIOS '!H:H)</f>
        <v/>
      </c>
      <c r="I490" s="250" t="n"/>
      <c r="J490" s="250" t="n"/>
      <c r="K490" s="249">
        <f>+F490*H490</f>
        <v/>
      </c>
      <c r="L490" s="249">
        <f>+F490*I490</f>
        <v/>
      </c>
      <c r="M490" s="249">
        <f>+F490*J490</f>
        <v/>
      </c>
      <c r="N490" s="249">
        <f>SUM(K490:M490)</f>
        <v/>
      </c>
      <c r="O490" s="353">
        <f>SUM(K490:M490)/tc</f>
        <v/>
      </c>
    </row>
    <row r="491">
      <c r="A491" s="16" t="n"/>
      <c r="B491" s="1134">
        <f>VALUE(IF(AND(LEN(TRIM(C491))-LEN(SUBSTITUTE(TRIM(C491),".",""))=1,ISNUMBER(VALUE(SUBSTITUTE(TRIM(C491),".","")))),TRIM(C491),B490))</f>
        <v/>
      </c>
      <c r="C491" s="324" t="inlineStr">
        <is>
          <t>M03-0030</t>
        </is>
      </c>
      <c r="D491" s="325" t="n"/>
      <c r="E491" s="252">
        <f>+_xlfn.XLOOKUP(C491,'BASE DATOS PRECIOS '!B:B,'BASE DATOS PRECIOS '!E:E)</f>
        <v/>
      </c>
      <c r="F491" s="218">
        <f>+'1_OG y 2_ACA'!D1716</f>
        <v/>
      </c>
      <c r="G491" s="250">
        <f>+_xlfn.XLOOKUP(C491,'BASE DATOS PRECIOS '!B:B,'BASE DATOS PRECIOS '!F:F)</f>
        <v/>
      </c>
      <c r="H491" s="249">
        <f>+_xlfn.XLOOKUP(E491,'BASE DATOS PRECIOS '!E:E,'BASE DATOS PRECIOS '!H:H)</f>
        <v/>
      </c>
      <c r="I491" s="250" t="n"/>
      <c r="J491" s="250" t="n"/>
      <c r="K491" s="249">
        <f>+F491*H491</f>
        <v/>
      </c>
      <c r="L491" s="249">
        <f>+F491*I491</f>
        <v/>
      </c>
      <c r="M491" s="249">
        <f>+F491*J491</f>
        <v/>
      </c>
      <c r="N491" s="249">
        <f>SUM(K491:M491)</f>
        <v/>
      </c>
      <c r="O491" s="353">
        <f>SUM(K491:M491)/tc</f>
        <v/>
      </c>
    </row>
    <row r="492">
      <c r="A492" s="16" t="n"/>
      <c r="B492" s="1134">
        <f>VALUE(IF(AND(LEN(TRIM(C492))-LEN(SUBSTITUTE(TRIM(C492),".",""))=1,ISNUMBER(VALUE(SUBSTITUTE(TRIM(C492),".","")))),TRIM(C492),B491))</f>
        <v/>
      </c>
      <c r="C492" s="347" t="inlineStr">
        <is>
          <t xml:space="preserve">GRANITO </t>
        </is>
      </c>
      <c r="D492" s="348" t="n"/>
      <c r="E492" s="63">
        <f>+_xlfn.XLOOKUP(C492,'BASE DATOS EQUIPOS Y SUBCONTRAT'!A:A,'BASE DATOS EQUIPOS Y SUBCONTRAT'!B:B)</f>
        <v/>
      </c>
      <c r="F492" s="349">
        <f>ROUNDUP('1_OG y 2_ACA'!D1701,0)</f>
        <v/>
      </c>
      <c r="G492" s="350">
        <f>+_xlfn.XLOOKUP(C492,'BASE DATOS EQUIPOS Y SUBCONTRAT'!A:A,'BASE DATOS EQUIPOS Y SUBCONTRAT'!C:C)</f>
        <v/>
      </c>
      <c r="H492" s="351" t="n">
        <v>0</v>
      </c>
      <c r="I492" s="350" t="n"/>
      <c r="J492" s="351" t="n">
        <v>67000</v>
      </c>
      <c r="K492" s="351">
        <f>+F492*H492</f>
        <v/>
      </c>
      <c r="L492" s="351">
        <f>+F492*I492</f>
        <v/>
      </c>
      <c r="M492" s="351">
        <f>+F492*J492</f>
        <v/>
      </c>
      <c r="N492" s="351">
        <f>SUM(K492:M492)</f>
        <v/>
      </c>
      <c r="O492" s="352">
        <f>SUM(K492:M492)/tc</f>
        <v/>
      </c>
    </row>
    <row r="493">
      <c r="A493" s="16" t="n"/>
      <c r="B493" s="1134">
        <f>VALUE(IF(AND(LEN(TRIM(C493))-LEN(SUBSTITUTE(TRIM(C493),".",""))=1,ISNUMBER(VALUE(SUBSTITUTE(TRIM(C493),".","")))),TRIM(C493),B492))</f>
        <v/>
      </c>
      <c r="C493" s="317" t="inlineStr">
        <is>
          <t>M03-0016</t>
        </is>
      </c>
      <c r="D493" s="318" t="n"/>
      <c r="E493" s="252">
        <f>+_xlfn.XLOOKUP(C493,'BASE DATOS PRECIOS '!B:B,'BASE DATOS PRECIOS '!E:E)</f>
        <v/>
      </c>
      <c r="F493" s="218">
        <f>+'1_OG y 2_ACA'!D1718</f>
        <v/>
      </c>
      <c r="G493" s="250">
        <f>+_xlfn.XLOOKUP(C493,'BASE DATOS PRECIOS '!B:B,'BASE DATOS PRECIOS '!F:F)</f>
        <v/>
      </c>
      <c r="H493" s="249">
        <f>+_xlfn.XLOOKUP(E493,'BASE DATOS PRECIOS '!E:E,'BASE DATOS PRECIOS '!H:H)</f>
        <v/>
      </c>
      <c r="I493" s="250" t="n"/>
      <c r="J493" s="250" t="n"/>
      <c r="K493" s="249">
        <f>+F493*H493</f>
        <v/>
      </c>
      <c r="L493" s="249">
        <f>+F493*I493</f>
        <v/>
      </c>
      <c r="M493" s="249">
        <f>+F493*J493</f>
        <v/>
      </c>
      <c r="N493" s="249">
        <f>SUM(K493:M493)</f>
        <v/>
      </c>
      <c r="O493" s="353">
        <f>SUM(K493:M493)/tc</f>
        <v/>
      </c>
    </row>
    <row r="494">
      <c r="A494" s="16" t="n"/>
      <c r="B494" s="1134">
        <f>VALUE(IF(AND(LEN(TRIM(C494))-LEN(SUBSTITUTE(TRIM(C494),".",""))=1,ISNUMBER(VALUE(SUBSTITUTE(TRIM(C494),".","")))),TRIM(C494),B493))</f>
        <v/>
      </c>
      <c r="C494" s="324" t="inlineStr">
        <is>
          <t>M06-0091</t>
        </is>
      </c>
      <c r="D494" s="325" t="n"/>
      <c r="E494" s="252">
        <f>+_xlfn.XLOOKUP(C494,'BASE DATOS PRECIOS '!B:B,'BASE DATOS PRECIOS '!E:E)</f>
        <v/>
      </c>
      <c r="F494" s="218">
        <f>+'1_OG y 2_ACA'!D1719</f>
        <v/>
      </c>
      <c r="G494" s="250">
        <f>+_xlfn.XLOOKUP(C494,'BASE DATOS PRECIOS '!B:B,'BASE DATOS PRECIOS '!F:F)</f>
        <v/>
      </c>
      <c r="H494" s="249">
        <f>+_xlfn.XLOOKUP(E494,'BASE DATOS PRECIOS '!E:E,'BASE DATOS PRECIOS '!H:H)</f>
        <v/>
      </c>
      <c r="I494" s="250" t="n"/>
      <c r="J494" s="250" t="n"/>
      <c r="K494" s="249">
        <f>+F494*H494</f>
        <v/>
      </c>
      <c r="L494" s="249">
        <f>+F494*I494</f>
        <v/>
      </c>
      <c r="M494" s="249">
        <f>+F494*J494</f>
        <v/>
      </c>
      <c r="N494" s="249">
        <f>SUM(K494:M494)</f>
        <v/>
      </c>
      <c r="O494" s="353">
        <f>SUM(K494:M494)/tc</f>
        <v/>
      </c>
    </row>
    <row r="495">
      <c r="A495" s="16" t="n"/>
      <c r="B495" s="1134">
        <f>VALUE(IF(AND(LEN(TRIM(C495))-LEN(SUBSTITUTE(TRIM(C495),".",""))=1,ISNUMBER(VALUE(SUBSTITUTE(TRIM(C495),".","")))),TRIM(C495),B494))</f>
        <v/>
      </c>
      <c r="C495" s="317" t="inlineStr">
        <is>
          <t>M06-0093</t>
        </is>
      </c>
      <c r="D495" s="318" t="n"/>
      <c r="E495" s="252">
        <f>+_xlfn.XLOOKUP(C495,'BASE DATOS PRECIOS '!B:B,'BASE DATOS PRECIOS '!E:E)</f>
        <v/>
      </c>
      <c r="F495" s="218">
        <f>+'1_OG y 2_ACA'!D1720</f>
        <v/>
      </c>
      <c r="G495" s="250">
        <f>+_xlfn.XLOOKUP(C495,'BASE DATOS PRECIOS '!B:B,'BASE DATOS PRECIOS '!F:F)</f>
        <v/>
      </c>
      <c r="H495" s="249">
        <f>+_xlfn.XLOOKUP(E495,'BASE DATOS PRECIOS '!E:E,'BASE DATOS PRECIOS '!H:H)</f>
        <v/>
      </c>
      <c r="I495" s="250" t="n"/>
      <c r="J495" s="250" t="n"/>
      <c r="K495" s="249">
        <f>+F495*H495</f>
        <v/>
      </c>
      <c r="L495" s="249">
        <f>+F495*I495</f>
        <v/>
      </c>
      <c r="M495" s="249">
        <f>+F495*J495</f>
        <v/>
      </c>
      <c r="N495" s="249">
        <f>SUM(K495:M495)</f>
        <v/>
      </c>
      <c r="O495" s="353">
        <f>SUM(K495:M495)/tc</f>
        <v/>
      </c>
    </row>
    <row r="496">
      <c r="A496" s="16" t="n"/>
      <c r="B496" s="1134">
        <f>VALUE(IF(AND(LEN(TRIM(C496))-LEN(SUBSTITUTE(TRIM(C496),".",""))=1,ISNUMBER(VALUE(SUBSTITUTE(TRIM(C496),".","")))),TRIM(C496),B495))</f>
        <v/>
      </c>
      <c r="C496" s="317" t="inlineStr">
        <is>
          <t>M06-0090</t>
        </is>
      </c>
      <c r="D496" s="318" t="n"/>
      <c r="E496" s="252">
        <f>+_xlfn.XLOOKUP(C496,'BASE DATOS PRECIOS '!B:B,'BASE DATOS PRECIOS '!E:E)</f>
        <v/>
      </c>
      <c r="F496" s="218">
        <f>+'1_OG y 2_ACA'!D1721</f>
        <v/>
      </c>
      <c r="G496" s="250">
        <f>+_xlfn.XLOOKUP(C496,'BASE DATOS PRECIOS '!B:B,'BASE DATOS PRECIOS '!F:F)</f>
        <v/>
      </c>
      <c r="H496" s="249">
        <f>+_xlfn.XLOOKUP(E496,'BASE DATOS PRECIOS '!E:E,'BASE DATOS PRECIOS '!H:H)</f>
        <v/>
      </c>
      <c r="I496" s="250" t="n"/>
      <c r="J496" s="250" t="n"/>
      <c r="K496" s="249">
        <f>+F496*H496</f>
        <v/>
      </c>
      <c r="L496" s="249">
        <f>+F496*I496</f>
        <v/>
      </c>
      <c r="M496" s="249">
        <f>+F496*J496</f>
        <v/>
      </c>
      <c r="N496" s="249">
        <f>SUM(K496:M496)</f>
        <v/>
      </c>
      <c r="O496" s="353">
        <f>SUM(K496:M496)/tc</f>
        <v/>
      </c>
    </row>
    <row r="497">
      <c r="A497" s="16" t="n"/>
      <c r="B497" s="1134">
        <f>VALUE(IF(AND(LEN(TRIM(C497))-LEN(SUBSTITUTE(TRIM(C497),".",""))=1,ISNUMBER(VALUE(SUBSTITUTE(TRIM(C497),".","")))),TRIM(C497),B496))</f>
        <v/>
      </c>
      <c r="C497" s="317" t="inlineStr">
        <is>
          <t>M06-0089</t>
        </is>
      </c>
      <c r="D497" s="318" t="n"/>
      <c r="E497" s="252">
        <f>+_xlfn.XLOOKUP(C497,'BASE DATOS PRECIOS '!B:B,'BASE DATOS PRECIOS '!E:E)</f>
        <v/>
      </c>
      <c r="F497" s="218">
        <f>+'1_OG y 2_ACA'!D1722</f>
        <v/>
      </c>
      <c r="G497" s="250">
        <f>+_xlfn.XLOOKUP(C497,'BASE DATOS PRECIOS '!B:B,'BASE DATOS PRECIOS '!F:F)</f>
        <v/>
      </c>
      <c r="H497" s="249">
        <f>+_xlfn.XLOOKUP(E497,'BASE DATOS PRECIOS '!E:E,'BASE DATOS PRECIOS '!H:H)</f>
        <v/>
      </c>
      <c r="I497" s="250" t="n"/>
      <c r="J497" s="250" t="n"/>
      <c r="K497" s="249">
        <f>+F497*H497</f>
        <v/>
      </c>
      <c r="L497" s="249">
        <f>+F497*I497</f>
        <v/>
      </c>
      <c r="M497" s="249">
        <f>+F497*J497</f>
        <v/>
      </c>
      <c r="N497" s="249">
        <f>SUM(K497:M497)</f>
        <v/>
      </c>
      <c r="O497" s="353">
        <f>SUM(K497:M497)/tc</f>
        <v/>
      </c>
    </row>
    <row r="498">
      <c r="A498" s="16" t="n"/>
      <c r="B498" s="1134">
        <f>VALUE(IF(AND(LEN(TRIM(C498))-LEN(SUBSTITUTE(TRIM(C498),".",""))=1,ISNUMBER(VALUE(SUBSTITUTE(TRIM(C498),".","")))),TRIM(C498),B497))</f>
        <v/>
      </c>
      <c r="C498" s="317" t="inlineStr">
        <is>
          <t>M06-0192</t>
        </is>
      </c>
      <c r="D498" s="318" t="n"/>
      <c r="E498" s="252">
        <f>+_xlfn.XLOOKUP(C498,'BASE DATOS PRECIOS '!B:B,'BASE DATOS PRECIOS '!E:E)</f>
        <v/>
      </c>
      <c r="F498" s="218">
        <f>+'1_OG y 2_ACA'!D1723</f>
        <v/>
      </c>
      <c r="G498" s="250">
        <f>+_xlfn.XLOOKUP(C498,'BASE DATOS PRECIOS '!B:B,'BASE DATOS PRECIOS '!F:F)</f>
        <v/>
      </c>
      <c r="H498" s="249">
        <f>+_xlfn.XLOOKUP(E498,'BASE DATOS PRECIOS '!E:E,'BASE DATOS PRECIOS '!H:H)</f>
        <v/>
      </c>
      <c r="I498" s="250" t="n"/>
      <c r="J498" s="250" t="n"/>
      <c r="K498" s="249">
        <f>+F498*H498</f>
        <v/>
      </c>
      <c r="L498" s="249">
        <f>+F498*I498</f>
        <v/>
      </c>
      <c r="M498" s="249">
        <f>+F498*J498</f>
        <v/>
      </c>
      <c r="N498" s="249">
        <f>SUM(K498:M498)</f>
        <v/>
      </c>
      <c r="O498" s="353">
        <f>SUM(K498:M498)/tc</f>
        <v/>
      </c>
    </row>
    <row r="499">
      <c r="A499" s="16" t="n"/>
      <c r="B499" s="1134">
        <f>VALUE(IF(AND(LEN(TRIM(C499))-LEN(SUBSTITUTE(TRIM(C499),".",""))=1,ISNUMBER(VALUE(SUBSTITUTE(TRIM(C499),".","")))),TRIM(C499),B498))</f>
        <v/>
      </c>
      <c r="C499" s="324" t="inlineStr">
        <is>
          <t>M06-0091</t>
        </is>
      </c>
      <c r="D499" s="325" t="n"/>
      <c r="E499" s="252">
        <f>+_xlfn.XLOOKUP(C499,'BASE DATOS PRECIOS '!B:B,'BASE DATOS PRECIOS '!E:E)</f>
        <v/>
      </c>
      <c r="F499" s="218">
        <f>+'1_OG y 2_ACA'!D1724</f>
        <v/>
      </c>
      <c r="G499" s="250">
        <f>+_xlfn.XLOOKUP(C499,'BASE DATOS PRECIOS '!B:B,'BASE DATOS PRECIOS '!F:F)</f>
        <v/>
      </c>
      <c r="H499" s="249">
        <f>+_xlfn.XLOOKUP(E499,'BASE DATOS PRECIOS '!E:E,'BASE DATOS PRECIOS '!H:H)</f>
        <v/>
      </c>
      <c r="I499" s="250" t="n"/>
      <c r="J499" s="250" t="n"/>
      <c r="K499" s="249">
        <f>+F499*H499</f>
        <v/>
      </c>
      <c r="L499" s="249">
        <f>+F499*I499</f>
        <v/>
      </c>
      <c r="M499" s="249">
        <f>+F499*J499</f>
        <v/>
      </c>
      <c r="N499" s="249">
        <f>SUM(K499:M499)</f>
        <v/>
      </c>
      <c r="O499" s="353">
        <f>SUM(K499:M499)/tc</f>
        <v/>
      </c>
    </row>
    <row r="500">
      <c r="A500" s="16" t="n"/>
      <c r="B500" s="1134">
        <f>VALUE(IF(AND(LEN(TRIM(C500))-LEN(SUBSTITUTE(TRIM(C500),".",""))=1,ISNUMBER(VALUE(SUBSTITUTE(TRIM(C500),".","")))),TRIM(C500),B499))</f>
        <v/>
      </c>
      <c r="C500" s="317" t="inlineStr">
        <is>
          <t>M06-0036</t>
        </is>
      </c>
      <c r="D500" s="318" t="n"/>
      <c r="E500" s="252">
        <f>+_xlfn.XLOOKUP(C500,'BASE DATOS PRECIOS '!B:B,'BASE DATOS PRECIOS '!E:E)</f>
        <v/>
      </c>
      <c r="F500" s="218">
        <f>+'1_OG y 2_ACA'!D1725</f>
        <v/>
      </c>
      <c r="G500" s="250">
        <f>+_xlfn.XLOOKUP(C500,'BASE DATOS PRECIOS '!B:B,'BASE DATOS PRECIOS '!F:F)</f>
        <v/>
      </c>
      <c r="H500" s="249">
        <f>+_xlfn.XLOOKUP(E500,'BASE DATOS PRECIOS '!E:E,'BASE DATOS PRECIOS '!H:H)</f>
        <v/>
      </c>
      <c r="I500" s="250" t="n"/>
      <c r="J500" s="250" t="n"/>
      <c r="K500" s="249">
        <f>+F500*H500</f>
        <v/>
      </c>
      <c r="L500" s="249">
        <f>+F500*I500</f>
        <v/>
      </c>
      <c r="M500" s="249">
        <f>+F500*J500</f>
        <v/>
      </c>
      <c r="N500" s="249">
        <f>SUM(K500:M500)</f>
        <v/>
      </c>
      <c r="O500" s="353">
        <f>SUM(K500:M500)/tc</f>
        <v/>
      </c>
    </row>
    <row r="501">
      <c r="A501" s="16" t="n"/>
      <c r="B501" s="1134">
        <f>VALUE(IF(AND(LEN(TRIM(C501))-LEN(SUBSTITUTE(TRIM(C501),".",""))=1,ISNUMBER(VALUE(SUBSTITUTE(TRIM(C501),".","")))),TRIM(C501),B500))</f>
        <v/>
      </c>
      <c r="C501" s="317" t="inlineStr">
        <is>
          <t>M06-0193</t>
        </is>
      </c>
      <c r="D501" s="318" t="n"/>
      <c r="E501" s="252">
        <f>+_xlfn.XLOOKUP(C501,'BASE DATOS PRECIOS '!B:B,'BASE DATOS PRECIOS '!E:E)</f>
        <v/>
      </c>
      <c r="F501" s="218">
        <f>+'1_OG y 2_ACA'!D1726</f>
        <v/>
      </c>
      <c r="G501" s="250">
        <f>+_xlfn.XLOOKUP(C501,'BASE DATOS PRECIOS '!B:B,'BASE DATOS PRECIOS '!F:F)</f>
        <v/>
      </c>
      <c r="H501" s="249">
        <f>+_xlfn.XLOOKUP(E501,'BASE DATOS PRECIOS '!E:E,'BASE DATOS PRECIOS '!H:H)</f>
        <v/>
      </c>
      <c r="I501" s="250" t="n"/>
      <c r="J501" s="250" t="n"/>
      <c r="K501" s="249">
        <f>+F501*H501</f>
        <v/>
      </c>
      <c r="L501" s="249">
        <f>+F501*I501</f>
        <v/>
      </c>
      <c r="M501" s="249">
        <f>+F501*J501</f>
        <v/>
      </c>
      <c r="N501" s="249">
        <f>SUM(K501:M501)</f>
        <v/>
      </c>
      <c r="O501" s="353">
        <f>SUM(K501:M501)/tc</f>
        <v/>
      </c>
    </row>
    <row r="502">
      <c r="A502" s="16" t="n"/>
      <c r="B502" s="1134">
        <f>VALUE(IF(AND(LEN(TRIM(C502))-LEN(SUBSTITUTE(TRIM(C502),".",""))=1,ISNUMBER(VALUE(SUBSTITUTE(TRIM(C502),".","")))),TRIM(C502),B501))</f>
        <v/>
      </c>
      <c r="C502" s="326" t="inlineStr">
        <is>
          <t>M04-0047</t>
        </is>
      </c>
      <c r="D502" s="327" t="n"/>
      <c r="E502" s="252">
        <f>+_xlfn.XLOOKUP(C502,'BASE DATOS PRECIOS '!B:B,'BASE DATOS PRECIOS '!E:E)</f>
        <v/>
      </c>
      <c r="F502" s="218">
        <f>+'1_OG y 2_ACA'!D1727</f>
        <v/>
      </c>
      <c r="G502" s="250">
        <f>+_xlfn.XLOOKUP(C502,'BASE DATOS PRECIOS '!B:B,'BASE DATOS PRECIOS '!F:F)</f>
        <v/>
      </c>
      <c r="H502" s="249">
        <f>+_xlfn.XLOOKUP(E502,'BASE DATOS PRECIOS '!E:E,'BASE DATOS PRECIOS '!H:H)</f>
        <v/>
      </c>
      <c r="I502" s="250" t="n"/>
      <c r="J502" s="250" t="n"/>
      <c r="K502" s="249">
        <f>+F502*H502</f>
        <v/>
      </c>
      <c r="L502" s="249">
        <f>+F502*I502</f>
        <v/>
      </c>
      <c r="M502" s="249">
        <f>+F502*J502</f>
        <v/>
      </c>
      <c r="N502" s="249">
        <f>SUM(K502:M502)</f>
        <v/>
      </c>
      <c r="O502" s="353">
        <f>SUM(K502:M502)/tc</f>
        <v/>
      </c>
    </row>
    <row r="503">
      <c r="A503" s="16" t="n"/>
      <c r="B503" s="1134">
        <f>VALUE(IF(AND(LEN(TRIM(C503))-LEN(SUBSTITUTE(TRIM(C503),".",""))=1,ISNUMBER(VALUE(SUBSTITUTE(TRIM(C503),".","")))),TRIM(C503),B502))</f>
        <v/>
      </c>
      <c r="C503" s="326" t="inlineStr">
        <is>
          <t>M03-0015</t>
        </is>
      </c>
      <c r="D503" s="327" t="n"/>
      <c r="E503" s="252">
        <f>+_xlfn.XLOOKUP(C503,'BASE DATOS PRECIOS '!B:B,'BASE DATOS PRECIOS '!E:E)</f>
        <v/>
      </c>
      <c r="F503" s="218">
        <f>+'1_OG y 2_ACA'!D1728</f>
        <v/>
      </c>
      <c r="G503" s="250">
        <f>+_xlfn.XLOOKUP(C503,'BASE DATOS PRECIOS '!B:B,'BASE DATOS PRECIOS '!F:F)</f>
        <v/>
      </c>
      <c r="H503" s="249">
        <f>+_xlfn.XLOOKUP(E503,'BASE DATOS PRECIOS '!E:E,'BASE DATOS PRECIOS '!H:H)</f>
        <v/>
      </c>
      <c r="I503" s="250" t="n"/>
      <c r="J503" s="250" t="n"/>
      <c r="K503" s="249">
        <f>+F503*H503</f>
        <v/>
      </c>
      <c r="L503" s="249">
        <f>+F503*I503</f>
        <v/>
      </c>
      <c r="M503" s="249">
        <f>+F503*J503</f>
        <v/>
      </c>
      <c r="N503" s="249">
        <f>SUM(K503:M503)</f>
        <v/>
      </c>
      <c r="O503" s="353">
        <f>SUM(K503:M503)/tc</f>
        <v/>
      </c>
    </row>
    <row r="504">
      <c r="A504" s="16" t="n"/>
      <c r="B504" s="1134">
        <f>VALUE(IF(AND(LEN(TRIM(C504))-LEN(SUBSTITUTE(TRIM(C504),".",""))=1,ISNUMBER(VALUE(SUBSTITUTE(TRIM(C504),".","")))),TRIM(C504),B503))</f>
        <v/>
      </c>
      <c r="C504" s="326" t="inlineStr">
        <is>
          <t>M06-0226</t>
        </is>
      </c>
      <c r="D504" s="327" t="n"/>
      <c r="E504" s="252">
        <f>+_xlfn.XLOOKUP(C504,'BASE DATOS PRECIOS '!B:B,'BASE DATOS PRECIOS '!E:E)</f>
        <v/>
      </c>
      <c r="F504" s="218">
        <f>+'1_OG y 2_ACA'!D1729</f>
        <v/>
      </c>
      <c r="G504" s="250">
        <f>+_xlfn.XLOOKUP(C504,'BASE DATOS PRECIOS '!B:B,'BASE DATOS PRECIOS '!F:F)</f>
        <v/>
      </c>
      <c r="H504" s="249">
        <f>+_xlfn.XLOOKUP(E504,'BASE DATOS PRECIOS '!E:E,'BASE DATOS PRECIOS '!H:H)</f>
        <v/>
      </c>
      <c r="I504" s="250" t="n"/>
      <c r="J504" s="250" t="n"/>
      <c r="K504" s="249">
        <f>+F504*H504</f>
        <v/>
      </c>
      <c r="L504" s="249">
        <f>+F504*I504</f>
        <v/>
      </c>
      <c r="M504" s="249">
        <f>+F504*J504</f>
        <v/>
      </c>
      <c r="N504" s="249">
        <f>SUM(K504:M504)</f>
        <v/>
      </c>
      <c r="O504" s="353">
        <f>SUM(K504:M504)/tc</f>
        <v/>
      </c>
    </row>
    <row r="505">
      <c r="A505" s="16" t="n"/>
      <c r="B505" s="1134">
        <f>VALUE(IF(AND(LEN(TRIM(C505))-LEN(SUBSTITUTE(TRIM(C505),".",""))=1,ISNUMBER(VALUE(SUBSTITUTE(TRIM(C505),".","")))),TRIM(C505),B504))</f>
        <v/>
      </c>
      <c r="C505" s="317" t="inlineStr">
        <is>
          <t>M06-0231</t>
        </is>
      </c>
      <c r="D505" s="318" t="n"/>
      <c r="E505" s="252">
        <f>+_xlfn.XLOOKUP(C505,'BASE DATOS PRECIOS '!B:B,'BASE DATOS PRECIOS '!E:E)</f>
        <v/>
      </c>
      <c r="F505" s="218">
        <f>+'1_OG y 2_ACA'!D1730</f>
        <v/>
      </c>
      <c r="G505" s="250">
        <f>+_xlfn.XLOOKUP(C505,'BASE DATOS PRECIOS '!B:B,'BASE DATOS PRECIOS '!F:F)</f>
        <v/>
      </c>
      <c r="H505" s="249">
        <f>+_xlfn.XLOOKUP(E505,'BASE DATOS PRECIOS '!E:E,'BASE DATOS PRECIOS '!H:H)</f>
        <v/>
      </c>
      <c r="I505" s="250" t="n"/>
      <c r="J505" s="250" t="n"/>
      <c r="K505" s="249">
        <f>+F505*H505</f>
        <v/>
      </c>
      <c r="L505" s="249">
        <f>+F505*I505</f>
        <v/>
      </c>
      <c r="M505" s="249">
        <f>+F505*J505</f>
        <v/>
      </c>
      <c r="N505" s="249">
        <f>SUM(K505:M505)</f>
        <v/>
      </c>
      <c r="O505" s="353">
        <f>SUM(K505:M505)/tc</f>
        <v/>
      </c>
    </row>
    <row r="506">
      <c r="A506" s="16" t="n"/>
      <c r="B506" s="1134">
        <f>VALUE(IF(AND(LEN(TRIM(C506))-LEN(SUBSTITUTE(TRIM(C506),".",""))=1,ISNUMBER(VALUE(SUBSTITUTE(TRIM(C506),".","")))),TRIM(C506),B505))</f>
        <v/>
      </c>
      <c r="C506" s="324" t="inlineStr">
        <is>
          <t>M06-0016</t>
        </is>
      </c>
      <c r="D506" s="325" t="n"/>
      <c r="E506" s="252">
        <f>+_xlfn.XLOOKUP(C506,'BASE DATOS PRECIOS '!B:B,'BASE DATOS PRECIOS '!E:E)</f>
        <v/>
      </c>
      <c r="F506" s="218">
        <f>+'1_OG y 2_ACA'!D1731</f>
        <v/>
      </c>
      <c r="G506" s="250">
        <f>+_xlfn.XLOOKUP(C506,'BASE DATOS PRECIOS '!B:B,'BASE DATOS PRECIOS '!F:F)</f>
        <v/>
      </c>
      <c r="H506" s="249">
        <f>+_xlfn.XLOOKUP(E506,'BASE DATOS PRECIOS '!E:E,'BASE DATOS PRECIOS '!H:H)</f>
        <v/>
      </c>
      <c r="I506" s="250" t="n"/>
      <c r="J506" s="250" t="n"/>
      <c r="K506" s="249">
        <f>+F506*H506</f>
        <v/>
      </c>
      <c r="L506" s="249">
        <f>+F506*I506</f>
        <v/>
      </c>
      <c r="M506" s="249">
        <f>+F506*J506</f>
        <v/>
      </c>
      <c r="N506" s="249">
        <f>SUM(K506:M506)</f>
        <v/>
      </c>
      <c r="O506" s="353">
        <f>SUM(K506:M506)/tc</f>
        <v/>
      </c>
    </row>
    <row r="507">
      <c r="A507" s="233" t="n"/>
      <c r="B507" s="1134">
        <f>VALUE(IF(AND(LEN(TRIM(C507))-LEN(SUBSTITUTE(TRIM(C507),".",""))=1,ISNUMBER(VALUE(SUBSTITUTE(TRIM(C507),".","")))),TRIM(C507),B506))</f>
        <v/>
      </c>
      <c r="C507" s="333" t="inlineStr">
        <is>
          <t>M06-0244</t>
        </is>
      </c>
      <c r="D507" s="334" t="n"/>
      <c r="E507" s="252">
        <f>+_xlfn.XLOOKUP(C507,'BASE DATOS PRECIOS '!B:B,'BASE DATOS PRECIOS '!E:E)</f>
        <v/>
      </c>
      <c r="F507" s="218">
        <f>+'1_OG y 2_ACA'!D1732</f>
        <v/>
      </c>
      <c r="G507" s="250">
        <f>+_xlfn.XLOOKUP(C507,'BASE DATOS PRECIOS '!B:B,'BASE DATOS PRECIOS '!F:F)</f>
        <v/>
      </c>
      <c r="H507" s="249">
        <f>+_xlfn.XLOOKUP(E507,'BASE DATOS PRECIOS '!E:E,'BASE DATOS PRECIOS '!H:H)</f>
        <v/>
      </c>
      <c r="I507" s="250" t="n"/>
      <c r="J507" s="250" t="n"/>
      <c r="K507" s="249">
        <f>+F507*H507</f>
        <v/>
      </c>
      <c r="L507" s="249">
        <f>+F507*I507</f>
        <v/>
      </c>
      <c r="M507" s="249">
        <f>+F507*J507</f>
        <v/>
      </c>
      <c r="N507" s="249">
        <f>SUM(K507:M507)</f>
        <v/>
      </c>
      <c r="O507" s="353">
        <f>SUM(K507:M507)/tc</f>
        <v/>
      </c>
    </row>
    <row r="508">
      <c r="A508" s="16" t="n"/>
      <c r="B508" s="1134">
        <f>VALUE(IF(AND(LEN(TRIM(C508))-LEN(SUBSTITUTE(TRIM(C508),".",""))=1,ISNUMBER(VALUE(SUBSTITUTE(TRIM(C508),".","")))),TRIM(C508),B507))</f>
        <v/>
      </c>
      <c r="C508" s="16" t="inlineStr">
        <is>
          <t>M11-0019</t>
        </is>
      </c>
      <c r="D508" s="292" t="n"/>
      <c r="E508" s="252">
        <f>+_xlfn.XLOOKUP(C508,'BASE DATOS PRECIOS '!B:B,'BASE DATOS PRECIOS '!E:E)</f>
        <v/>
      </c>
      <c r="F508" s="218">
        <f>+'1_OG y 2_ACA'!D1733</f>
        <v/>
      </c>
      <c r="G508" s="250">
        <f>+_xlfn.XLOOKUP(C508,'BASE DATOS PRECIOS '!B:B,'BASE DATOS PRECIOS '!F:F)</f>
        <v/>
      </c>
      <c r="H508" s="249">
        <f>+_xlfn.XLOOKUP(E508,'BASE DATOS PRECIOS '!E:E,'BASE DATOS PRECIOS '!H:H)</f>
        <v/>
      </c>
      <c r="I508" s="250" t="n"/>
      <c r="J508" s="250" t="n"/>
      <c r="K508" s="249">
        <f>+F508*H508</f>
        <v/>
      </c>
      <c r="L508" s="249">
        <f>+F508*I508</f>
        <v/>
      </c>
      <c r="M508" s="249">
        <f>+F508*J508</f>
        <v/>
      </c>
      <c r="N508" s="249">
        <f>SUM(K508:M508)</f>
        <v/>
      </c>
      <c r="O508" s="353">
        <f>SUM(K508:M508)/tc</f>
        <v/>
      </c>
    </row>
    <row r="509">
      <c r="A509" s="316" t="inlineStr">
        <is>
          <t>Fabricación Muebles</t>
        </is>
      </c>
      <c r="B509" s="1134">
        <f>VALUE(IF(AND(LEN(TRIM(C509))-LEN(SUBSTITUTE(TRIM(C509),".",""))=1,ISNUMBER(VALUE(SUBSTITUTE(TRIM(C509),".","")))),TRIM(C509),B508))</f>
        <v/>
      </c>
      <c r="C509" s="267" t="inlineStr">
        <is>
          <t xml:space="preserve">OP CALIFICADO </t>
        </is>
      </c>
      <c r="D509" s="268" t="n"/>
      <c r="E509" s="269">
        <f>+_xlfn.XLOOKUP(C509,'BASE DATOS MANO DE OBRA'!A:A,'BASE DATOS MANO DE OBRA'!B:B)</f>
        <v/>
      </c>
      <c r="F509" s="270">
        <f>+ROUNDUP('1_OG y 2_ACA'!F1736,0)/2</f>
        <v/>
      </c>
      <c r="G509" s="271">
        <f>+_xlfn.XLOOKUP(C509,'BASE DATOS MANO DE OBRA'!A:A,'BASE DATOS MANO DE OBRA'!C:C)</f>
        <v/>
      </c>
      <c r="H509" s="272" t="n">
        <v>0</v>
      </c>
      <c r="I509" s="272">
        <f>+_xlfn.XLOOKUP(C509,'BASE DATOS MANO DE OBRA'!A:A,'BASE DATOS MANO DE OBRA'!E:E)</f>
        <v/>
      </c>
      <c r="J509" s="272" t="n">
        <v>0</v>
      </c>
      <c r="K509" s="272">
        <f>+F509*H509</f>
        <v/>
      </c>
      <c r="L509" s="272">
        <f>+F509*I509</f>
        <v/>
      </c>
      <c r="M509" s="272">
        <f>+F509*J509</f>
        <v/>
      </c>
      <c r="N509" s="272">
        <f>SUM(K509:M509)</f>
        <v/>
      </c>
      <c r="O509" s="273">
        <f>SUM(K509:M509)/tc</f>
        <v/>
      </c>
    </row>
    <row r="510">
      <c r="A510" s="316" t="inlineStr">
        <is>
          <t>Fabricación Muebles</t>
        </is>
      </c>
      <c r="B510" s="1134">
        <f>VALUE(IF(AND(LEN(TRIM(C510))-LEN(SUBSTITUTE(TRIM(C510),".",""))=1,ISNUMBER(VALUE(SUBSTITUTE(TRIM(C510),".","")))),TRIM(C510),B509))</f>
        <v/>
      </c>
      <c r="C510" s="267" t="inlineStr">
        <is>
          <t xml:space="preserve">OP CALIFICADO </t>
        </is>
      </c>
      <c r="D510" s="268" t="n"/>
      <c r="E510" s="269">
        <f>+_xlfn.XLOOKUP(C510,'BASE DATOS MANO DE OBRA'!A:A,'BASE DATOS MANO DE OBRA'!B:B)</f>
        <v/>
      </c>
      <c r="F510" s="270">
        <f>+F509</f>
        <v/>
      </c>
      <c r="G510" s="271">
        <f>+_xlfn.XLOOKUP(C510,'BASE DATOS MANO DE OBRA'!A:A,'BASE DATOS MANO DE OBRA'!C:C)</f>
        <v/>
      </c>
      <c r="H510" s="272" t="n">
        <v>0</v>
      </c>
      <c r="I510" s="272">
        <f>+_xlfn.XLOOKUP(C510,'BASE DATOS MANO DE OBRA'!A:A,'BASE DATOS MANO DE OBRA'!E:E)</f>
        <v/>
      </c>
      <c r="J510" s="272" t="n">
        <v>0</v>
      </c>
      <c r="K510" s="272">
        <f>+F510*H510</f>
        <v/>
      </c>
      <c r="L510" s="272">
        <f>+F510*I510</f>
        <v/>
      </c>
      <c r="M510" s="272">
        <f>+F510*J510</f>
        <v/>
      </c>
      <c r="N510" s="272">
        <f>SUM(K510:M510)</f>
        <v/>
      </c>
      <c r="O510" s="273">
        <f>SUM(K510:M510)/tc</f>
        <v/>
      </c>
    </row>
    <row r="511">
      <c r="A511" s="16" t="n"/>
      <c r="B511" s="1134">
        <f>VALUE(IF(AND(LEN(TRIM(C511))-LEN(SUBSTITUTE(TRIM(C511),".",""))=1,ISNUMBER(VALUE(SUBSTITUTE(TRIM(C511),".","")))),TRIM(C511),B510))</f>
        <v/>
      </c>
      <c r="C511" s="267" t="inlineStr">
        <is>
          <t xml:space="preserve">OP CALIFICADO </t>
        </is>
      </c>
      <c r="D511" s="268" t="n"/>
      <c r="E511" s="269">
        <f>+_xlfn.XLOOKUP(C511,'BASE DATOS MANO DE OBRA'!A:A,'BASE DATOS MANO DE OBRA'!B:B)</f>
        <v/>
      </c>
      <c r="F511" s="270" t="n">
        <v>0</v>
      </c>
      <c r="G511" s="271">
        <f>+_xlfn.XLOOKUP(C511,'BASE DATOS MANO DE OBRA'!A:A,'BASE DATOS MANO DE OBRA'!C:C)</f>
        <v/>
      </c>
      <c r="H511" s="272" t="n">
        <v>0</v>
      </c>
      <c r="I511" s="272">
        <f>+_xlfn.XLOOKUP(C511,'BASE DATOS MANO DE OBRA'!A:A,'BASE DATOS MANO DE OBRA'!E:E)</f>
        <v/>
      </c>
      <c r="J511" s="272" t="n">
        <v>0</v>
      </c>
      <c r="K511" s="272">
        <f>+F511*H511</f>
        <v/>
      </c>
      <c r="L511" s="272">
        <f>+F511*I511</f>
        <v/>
      </c>
      <c r="M511" s="272">
        <f>+F511*J511</f>
        <v/>
      </c>
      <c r="N511" s="272">
        <f>SUM(K511:M511)</f>
        <v/>
      </c>
      <c r="O511" s="273">
        <f>SUM(K511:M511)/tc</f>
        <v/>
      </c>
    </row>
    <row r="512">
      <c r="A512" s="16" t="n"/>
      <c r="B512" s="1134">
        <f>VALUE(IF(AND(LEN(TRIM(C512))-LEN(SUBSTITUTE(TRIM(C512),".",""))=1,ISNUMBER(VALUE(SUBSTITUTE(TRIM(C512),".","")))),TRIM(C512),B511))</f>
        <v/>
      </c>
      <c r="C512" s="267" t="inlineStr">
        <is>
          <t xml:space="preserve">OP CALIFICADO </t>
        </is>
      </c>
      <c r="D512" s="268" t="n"/>
      <c r="E512" s="269">
        <f>+_xlfn.XLOOKUP(C512,'BASE DATOS MANO DE OBRA'!A:A,'BASE DATOS MANO DE OBRA'!B:B)</f>
        <v/>
      </c>
      <c r="F512" s="270" t="n">
        <v>0</v>
      </c>
      <c r="G512" s="271">
        <f>+_xlfn.XLOOKUP(C512,'BASE DATOS MANO DE OBRA'!A:A,'BASE DATOS MANO DE OBRA'!C:C)</f>
        <v/>
      </c>
      <c r="H512" s="272" t="n">
        <v>0</v>
      </c>
      <c r="I512" s="272">
        <f>+_xlfn.XLOOKUP(C512,'BASE DATOS MANO DE OBRA'!A:A,'BASE DATOS MANO DE OBRA'!E:E)</f>
        <v/>
      </c>
      <c r="J512" s="272" t="n">
        <v>0</v>
      </c>
      <c r="K512" s="272">
        <f>+F512*H512</f>
        <v/>
      </c>
      <c r="L512" s="272">
        <f>+F512*I512</f>
        <v/>
      </c>
      <c r="M512" s="272">
        <f>+F512*J512</f>
        <v/>
      </c>
      <c r="N512" s="272">
        <f>SUM(K512:M512)</f>
        <v/>
      </c>
      <c r="O512" s="273">
        <f>SUM(K512:M512)/tc</f>
        <v/>
      </c>
    </row>
    <row r="513">
      <c r="A513" s="16" t="n"/>
      <c r="B513" s="1134">
        <f>VALUE(IF(AND(LEN(TRIM(C513))-LEN(SUBSTITUTE(TRIM(C513),".",""))=1,ISNUMBER(VALUE(SUBSTITUTE(TRIM(C513),".","")))),TRIM(C513),B512))</f>
        <v/>
      </c>
      <c r="C513" s="234" t="inlineStr">
        <is>
          <t>2.6.2</t>
        </is>
      </c>
      <c r="D513" s="235" t="n"/>
      <c r="E513" s="236" t="inlineStr">
        <is>
          <t xml:space="preserve">PUERTAS Y RODAPIE </t>
        </is>
      </c>
      <c r="F513" s="237" t="n">
        <v>1</v>
      </c>
      <c r="G513" s="235" t="inlineStr">
        <is>
          <t>gb</t>
        </is>
      </c>
      <c r="H513" s="235" t="n"/>
      <c r="I513" s="235" t="n"/>
      <c r="J513" s="235" t="n"/>
      <c r="K513" s="238">
        <f>+SUBTOTAL(9,K514:K524)</f>
        <v/>
      </c>
      <c r="L513" s="238">
        <f>+SUBTOTAL(9,L514:L524)</f>
        <v/>
      </c>
      <c r="M513" s="238">
        <f>+SUBTOTAL(9,M514:M524)</f>
        <v/>
      </c>
      <c r="N513" s="238">
        <f>+SUBTOTAL(9,N514:N524)</f>
        <v/>
      </c>
      <c r="O513" s="1136">
        <f>+SUBTOTAL(9,O514:O524)</f>
        <v/>
      </c>
    </row>
    <row r="514">
      <c r="A514" s="16" t="n"/>
      <c r="B514" s="1134">
        <f>VALUE(IF(AND(LEN(TRIM(C514))-LEN(SUBSTITUTE(TRIM(C514),".",""))=1,ISNUMBER(VALUE(SUBSTITUTE(TRIM(C514),".","")))),TRIM(C514),B513))</f>
        <v/>
      </c>
      <c r="C514" s="326" t="inlineStr">
        <is>
          <t>M14-0012</t>
        </is>
      </c>
      <c r="D514" s="327" t="n"/>
      <c r="E514" s="252">
        <f>+_xlfn.XLOOKUP(C514,'BASE DATOS PRECIOS '!B:B,'BASE DATOS PRECIOS '!E:E)</f>
        <v/>
      </c>
      <c r="F514" s="218">
        <f>+'1_OG y 2_ACA'!D1761</f>
        <v/>
      </c>
      <c r="G514" s="250">
        <f>+_xlfn.XLOOKUP(C514,'BASE DATOS PRECIOS '!B:B,'BASE DATOS PRECIOS '!F:F)</f>
        <v/>
      </c>
      <c r="H514" s="249">
        <f>+_xlfn.XLOOKUP(E514,'BASE DATOS PRECIOS '!E:E,'BASE DATOS PRECIOS '!H:H)</f>
        <v/>
      </c>
      <c r="I514" s="250" t="n"/>
      <c r="J514" s="250" t="n"/>
      <c r="K514" s="249">
        <f>+F514*H514</f>
        <v/>
      </c>
      <c r="L514" s="249">
        <f>+F514*I514</f>
        <v/>
      </c>
      <c r="M514" s="249">
        <f>+F514*J514</f>
        <v/>
      </c>
      <c r="N514" s="249">
        <f>SUM(K514:M514)</f>
        <v/>
      </c>
      <c r="O514" s="251">
        <f>SUM(K514:M514)/tc</f>
        <v/>
      </c>
    </row>
    <row r="515">
      <c r="A515" s="16" t="n"/>
      <c r="B515" s="1134">
        <f>VALUE(IF(AND(LEN(TRIM(C515))-LEN(SUBSTITUTE(TRIM(C515),".",""))=1,ISNUMBER(VALUE(SUBSTITUTE(TRIM(C515),".","")))),TRIM(C515),B514))</f>
        <v/>
      </c>
      <c r="C515" s="354" t="inlineStr">
        <is>
          <t>M14-0013</t>
        </is>
      </c>
      <c r="D515" s="355" t="n"/>
      <c r="E515" s="252">
        <f>+_xlfn.XLOOKUP(C515,'BASE DATOS PRECIOS '!B:B,'BASE DATOS PRECIOS '!E:E)</f>
        <v/>
      </c>
      <c r="F515" s="218">
        <f>+'1_OG y 2_ACA'!D1762</f>
        <v/>
      </c>
      <c r="G515" s="250">
        <f>+_xlfn.XLOOKUP(C515,'BASE DATOS PRECIOS '!B:B,'BASE DATOS PRECIOS '!F:F)</f>
        <v/>
      </c>
      <c r="H515" s="249">
        <f>+_xlfn.XLOOKUP(E515,'BASE DATOS PRECIOS '!E:E,'BASE DATOS PRECIOS '!H:H)</f>
        <v/>
      </c>
      <c r="I515" s="250" t="n"/>
      <c r="J515" s="250" t="n"/>
      <c r="K515" s="249">
        <f>+F515*H515</f>
        <v/>
      </c>
      <c r="L515" s="249">
        <f>+F515*I515</f>
        <v/>
      </c>
      <c r="M515" s="249">
        <f>+F515*J515</f>
        <v/>
      </c>
      <c r="N515" s="249">
        <f>SUM(K515:M515)</f>
        <v/>
      </c>
      <c r="O515" s="251">
        <f>SUM(K515:M515)/tc</f>
        <v/>
      </c>
    </row>
    <row r="516">
      <c r="A516" s="16" t="n"/>
      <c r="B516" s="1134">
        <f>VALUE(IF(AND(LEN(TRIM(C516))-LEN(SUBSTITUTE(TRIM(C516),".",""))=1,ISNUMBER(VALUE(SUBSTITUTE(TRIM(C516),".","")))),TRIM(C516),B515))</f>
        <v/>
      </c>
      <c r="C516" s="317" t="inlineStr">
        <is>
          <t>M06-0193</t>
        </is>
      </c>
      <c r="D516" s="318" t="n"/>
      <c r="E516" s="311">
        <f>+_xlfn.XLOOKUP(C516,'BASE DATOS PRECIOS '!B:B,'BASE DATOS PRECIOS '!E:E)</f>
        <v/>
      </c>
      <c r="F516" s="218">
        <f>+'1_OG y 2_ACA'!D1763</f>
        <v/>
      </c>
      <c r="G516" s="312">
        <f>+_xlfn.XLOOKUP(C516,'BASE DATOS PRECIOS '!B:B,'BASE DATOS PRECIOS '!F:F)</f>
        <v/>
      </c>
      <c r="H516" s="249">
        <f>+_xlfn.XLOOKUP(E516,'BASE DATOS PRECIOS '!E:E,'BASE DATOS PRECIOS '!H:H)</f>
        <v/>
      </c>
      <c r="I516" s="312" t="n"/>
      <c r="J516" s="312" t="n"/>
      <c r="K516" s="313">
        <f>+F516*H516</f>
        <v/>
      </c>
      <c r="L516" s="313">
        <f>+F516*I516</f>
        <v/>
      </c>
      <c r="M516" s="313">
        <f>+F516*J516</f>
        <v/>
      </c>
      <c r="N516" s="313">
        <f>SUM(K516:M516)</f>
        <v/>
      </c>
      <c r="O516" s="314">
        <f>SUM(K516:M516)/tc</f>
        <v/>
      </c>
    </row>
    <row r="517">
      <c r="A517" s="16" t="n"/>
      <c r="B517" s="1134">
        <f>VALUE(IF(AND(LEN(TRIM(C517))-LEN(SUBSTITUTE(TRIM(C517),".",""))=1,ISNUMBER(VALUE(SUBSTITUTE(TRIM(C517),".","")))),TRIM(C517),B516))</f>
        <v/>
      </c>
      <c r="C517" s="326" t="inlineStr">
        <is>
          <t>M06-0090</t>
        </is>
      </c>
      <c r="D517" s="327" t="n"/>
      <c r="E517" s="252">
        <f>+_xlfn.XLOOKUP(C517,'BASE DATOS PRECIOS '!B:B,'BASE DATOS PRECIOS '!E:E)</f>
        <v/>
      </c>
      <c r="F517" s="218">
        <f>+'1_OG y 2_ACA'!D1764</f>
        <v/>
      </c>
      <c r="G517" s="250">
        <f>+_xlfn.XLOOKUP(C517,'BASE DATOS PRECIOS '!B:B,'BASE DATOS PRECIOS '!F:F)</f>
        <v/>
      </c>
      <c r="H517" s="249">
        <f>+_xlfn.XLOOKUP(E517,'BASE DATOS PRECIOS '!E:E,'BASE DATOS PRECIOS '!H:H)</f>
        <v/>
      </c>
      <c r="I517" s="250" t="n"/>
      <c r="J517" s="250" t="n"/>
      <c r="K517" s="249">
        <f>+F517*H517</f>
        <v/>
      </c>
      <c r="L517" s="249">
        <f>+F517*I517</f>
        <v/>
      </c>
      <c r="M517" s="249">
        <f>+F517*J517</f>
        <v/>
      </c>
      <c r="N517" s="249">
        <f>SUM(K517:M517)</f>
        <v/>
      </c>
      <c r="O517" s="251">
        <f>SUM(K517:M517)/tc</f>
        <v/>
      </c>
    </row>
    <row r="518">
      <c r="A518" s="16" t="n"/>
      <c r="B518" s="1134">
        <f>VALUE(IF(AND(LEN(TRIM(C518))-LEN(SUBSTITUTE(TRIM(C518),".",""))=1,ISNUMBER(VALUE(SUBSTITUTE(TRIM(C518),".","")))),TRIM(C518),B517))</f>
        <v/>
      </c>
      <c r="C518" s="324" t="inlineStr">
        <is>
          <t>M09-0077</t>
        </is>
      </c>
      <c r="D518" s="325" t="n"/>
      <c r="E518" s="252">
        <f>+_xlfn.XLOOKUP(C518,'BASE DATOS PRECIOS '!B:B,'BASE DATOS PRECIOS '!E:E)</f>
        <v/>
      </c>
      <c r="F518" s="218">
        <f>+'1_OG y 2_ACA'!D1765</f>
        <v/>
      </c>
      <c r="G518" s="250">
        <f>+_xlfn.XLOOKUP(C518,'BASE DATOS PRECIOS '!B:B,'BASE DATOS PRECIOS '!F:F)</f>
        <v/>
      </c>
      <c r="H518" s="249">
        <f>+_xlfn.XLOOKUP(E518,'BASE DATOS PRECIOS '!E:E,'BASE DATOS PRECIOS '!H:H)</f>
        <v/>
      </c>
      <c r="I518" s="250" t="n"/>
      <c r="J518" s="250" t="n"/>
      <c r="K518" s="249">
        <f>+F518*H518</f>
        <v/>
      </c>
      <c r="L518" s="249">
        <f>+F518*I518</f>
        <v/>
      </c>
      <c r="M518" s="249">
        <f>+F518*J518</f>
        <v/>
      </c>
      <c r="N518" s="249">
        <f>SUM(K518:M518)</f>
        <v/>
      </c>
      <c r="O518" s="251">
        <f>SUM(K518:M518)/tc</f>
        <v/>
      </c>
    </row>
    <row r="519">
      <c r="A519" s="16" t="n"/>
      <c r="B519" s="1134">
        <f>VALUE(IF(AND(LEN(TRIM(C519))-LEN(SUBSTITUTE(TRIM(C519),".",""))=1,ISNUMBER(VALUE(SUBSTITUTE(TRIM(C519),".","")))),TRIM(C519),B518))</f>
        <v/>
      </c>
      <c r="C519" s="297" t="inlineStr">
        <is>
          <t>M06-0036</t>
        </is>
      </c>
      <c r="D519" s="298" t="n"/>
      <c r="E519" s="252">
        <f>+_xlfn.XLOOKUP(C519,'BASE DATOS PRECIOS '!B:B,'BASE DATOS PRECIOS '!E:E)</f>
        <v/>
      </c>
      <c r="F519" s="218">
        <f>+ROUNDUP('1_OG y 2_ACA'!D1766,0)</f>
        <v/>
      </c>
      <c r="G519" s="312">
        <f>+_xlfn.XLOOKUP(C519,'BASE DATOS PRECIOS '!B:B,'BASE DATOS PRECIOS '!F:F)</f>
        <v/>
      </c>
      <c r="H519" s="249">
        <f>+_xlfn.XLOOKUP(E519,'BASE DATOS PRECIOS '!E:E,'BASE DATOS PRECIOS '!H:H)</f>
        <v/>
      </c>
      <c r="I519" s="312" t="n"/>
      <c r="J519" s="312" t="n"/>
      <c r="K519" s="313">
        <f>+F519*H519</f>
        <v/>
      </c>
      <c r="L519" s="313">
        <f>+F519*I519</f>
        <v/>
      </c>
      <c r="M519" s="313">
        <f>+F519*J519</f>
        <v/>
      </c>
      <c r="N519" s="313">
        <f>SUM(K519:M519)</f>
        <v/>
      </c>
      <c r="O519" s="314">
        <f>SUM(K519:M519)/tc</f>
        <v/>
      </c>
    </row>
    <row r="520">
      <c r="A520" s="233" t="n"/>
      <c r="B520" s="1134">
        <f>VALUE(IF(AND(LEN(TRIM(C520))-LEN(SUBSTITUTE(TRIM(C520),".",""))=1,ISNUMBER(VALUE(SUBSTITUTE(TRIM(C520),".","")))),TRIM(C520),B519))</f>
        <v/>
      </c>
      <c r="C520" s="16" t="inlineStr">
        <is>
          <t>M14-0020</t>
        </is>
      </c>
      <c r="D520" s="292" t="n"/>
      <c r="E520" s="252">
        <f>+_xlfn.XLOOKUP(C520,'BASE DATOS PRECIOS '!B:B,'BASE DATOS PRECIOS '!E:E)</f>
        <v/>
      </c>
      <c r="F520" s="218">
        <f>+'1_OG y 2_ACA'!D1767</f>
        <v/>
      </c>
      <c r="G520" s="250">
        <f>+_xlfn.XLOOKUP(C520,'BASE DATOS PRECIOS '!B:B,'BASE DATOS PRECIOS '!F:F)</f>
        <v/>
      </c>
      <c r="H520" s="249">
        <f>+_xlfn.XLOOKUP(E520,'BASE DATOS PRECIOS '!E:E,'BASE DATOS PRECIOS '!H:H)</f>
        <v/>
      </c>
      <c r="I520" s="250" t="n"/>
      <c r="J520" s="250" t="n"/>
      <c r="K520" s="249">
        <f>+F520*H520</f>
        <v/>
      </c>
      <c r="L520" s="249">
        <f>+F520*I520</f>
        <v/>
      </c>
      <c r="M520" s="249">
        <f>+F520*J520</f>
        <v/>
      </c>
      <c r="N520" s="249">
        <f>SUM(K520:M520)</f>
        <v/>
      </c>
      <c r="O520" s="251">
        <f>SUM(K520:M520)/tc</f>
        <v/>
      </c>
    </row>
    <row r="521">
      <c r="A521" s="16" t="n"/>
      <c r="B521" s="1134">
        <f>VALUE(IF(AND(LEN(TRIM(C521))-LEN(SUBSTITUTE(TRIM(C521),".",""))=1,ISNUMBER(VALUE(SUBSTITUTE(TRIM(C521),".","")))),TRIM(C521),B520))</f>
        <v/>
      </c>
      <c r="C521" s="16" t="inlineStr">
        <is>
          <t>M14-0021</t>
        </is>
      </c>
      <c r="D521" s="292" t="n"/>
      <c r="E521" s="252">
        <f>+_xlfn.XLOOKUP(C521,'BASE DATOS PRECIOS '!B:B,'BASE DATOS PRECIOS '!E:E)</f>
        <v/>
      </c>
      <c r="F521" s="218">
        <f>+'1_OG y 2_ACA'!D1768</f>
        <v/>
      </c>
      <c r="G521" s="250">
        <f>+_xlfn.XLOOKUP(C521,'BASE DATOS PRECIOS '!B:B,'BASE DATOS PRECIOS '!F:F)</f>
        <v/>
      </c>
      <c r="H521" s="249">
        <f>+_xlfn.XLOOKUP(E521,'BASE DATOS PRECIOS '!E:E,'BASE DATOS PRECIOS '!H:H)</f>
        <v/>
      </c>
      <c r="I521" s="250" t="n"/>
      <c r="J521" s="250" t="n"/>
      <c r="K521" s="249">
        <f>+F521*H521</f>
        <v/>
      </c>
      <c r="L521" s="249">
        <f>+F521*I521</f>
        <v/>
      </c>
      <c r="M521" s="249">
        <f>+F521*J521</f>
        <v/>
      </c>
      <c r="N521" s="249">
        <f>SUM(K521:M521)</f>
        <v/>
      </c>
      <c r="O521" s="251">
        <f>SUM(K521:M521)/tc</f>
        <v/>
      </c>
    </row>
    <row r="522">
      <c r="A522" s="16" t="n"/>
      <c r="B522" s="1134">
        <f>VALUE(IF(AND(LEN(TRIM(C522))-LEN(SUBSTITUTE(TRIM(C522),".",""))=1,ISNUMBER(VALUE(SUBSTITUTE(TRIM(C522),".","")))),TRIM(C522),B521))</f>
        <v/>
      </c>
      <c r="C522" s="16" t="inlineStr">
        <is>
          <t>M14-0022</t>
        </is>
      </c>
      <c r="D522" s="292" t="n"/>
      <c r="E522" s="252">
        <f>+_xlfn.XLOOKUP(C522,'BASE DATOS PRECIOS '!B:B,'BASE DATOS PRECIOS '!E:E)</f>
        <v/>
      </c>
      <c r="F522" s="218">
        <f>+'1_OG y 2_ACA'!D1769</f>
        <v/>
      </c>
      <c r="G522" s="250">
        <f>+_xlfn.XLOOKUP(C522,'BASE DATOS PRECIOS '!B:B,'BASE DATOS PRECIOS '!F:F)</f>
        <v/>
      </c>
      <c r="H522" s="249">
        <f>+_xlfn.XLOOKUP(E522,'BASE DATOS PRECIOS '!E:E,'BASE DATOS PRECIOS '!H:H)</f>
        <v/>
      </c>
      <c r="I522" s="250" t="n"/>
      <c r="J522" s="250" t="n"/>
      <c r="K522" s="249">
        <f>+F522*H522</f>
        <v/>
      </c>
      <c r="L522" s="249">
        <f>+F522*I522</f>
        <v/>
      </c>
      <c r="M522" s="249">
        <f>+F522*J522</f>
        <v/>
      </c>
      <c r="N522" s="249">
        <f>SUM(K522:M522)</f>
        <v/>
      </c>
      <c r="O522" s="251">
        <f>SUM(K522:M522)/tc</f>
        <v/>
      </c>
    </row>
    <row r="523">
      <c r="A523" s="316" t="inlineStr">
        <is>
          <t>Instalación Muebles y Puertas</t>
        </is>
      </c>
      <c r="B523" s="1134">
        <f>VALUE(IF(AND(LEN(TRIM(C523))-LEN(SUBSTITUTE(TRIM(C523),".",""))=1,ISNUMBER(VALUE(SUBSTITUTE(TRIM(C523),".","")))),TRIM(C523),B522))</f>
        <v/>
      </c>
      <c r="C523" s="267" t="inlineStr">
        <is>
          <t xml:space="preserve">OPERARIO </t>
        </is>
      </c>
      <c r="D523" s="268" t="n"/>
      <c r="E523" s="269">
        <f>+_xlfn.XLOOKUP(C523,'BASE DATOS MANO DE OBRA'!A:A,'BASE DATOS MANO DE OBRA'!B:B)</f>
        <v/>
      </c>
      <c r="F523" s="270">
        <f>+ROUNDUP(('1_OG y 2_ACA'!F1772+'1_OG y 2_ACA'!F1773),0)/2</f>
        <v/>
      </c>
      <c r="G523" s="271">
        <f>+_xlfn.XLOOKUP(C523,'BASE DATOS MANO DE OBRA'!A:A,'BASE DATOS MANO DE OBRA'!C:C)</f>
        <v/>
      </c>
      <c r="H523" s="272" t="n">
        <v>0</v>
      </c>
      <c r="I523" s="272">
        <f>+_xlfn.XLOOKUP(C523,'BASE DATOS MANO DE OBRA'!A:A,'BASE DATOS MANO DE OBRA'!E:E)</f>
        <v/>
      </c>
      <c r="J523" s="272" t="n">
        <v>0</v>
      </c>
      <c r="K523" s="272">
        <f>+F523*H523</f>
        <v/>
      </c>
      <c r="L523" s="272">
        <f>+F523*I523</f>
        <v/>
      </c>
      <c r="M523" s="272">
        <f>+F523*J523</f>
        <v/>
      </c>
      <c r="N523" s="272">
        <f>SUM(K523:M523)</f>
        <v/>
      </c>
      <c r="O523" s="273">
        <f>SUM(K523:M523)/tc</f>
        <v/>
      </c>
    </row>
    <row r="524">
      <c r="A524" s="316" t="inlineStr">
        <is>
          <t>Instalación Muebles y Puertas</t>
        </is>
      </c>
      <c r="B524" s="1134">
        <f>VALUE(IF(AND(LEN(TRIM(C524))-LEN(SUBSTITUTE(TRIM(C524),".",""))=1,ISNUMBER(VALUE(SUBSTITUTE(TRIM(C524),".","")))),TRIM(C524),B523))</f>
        <v/>
      </c>
      <c r="C524" s="267" t="inlineStr">
        <is>
          <t xml:space="preserve">AYUDANTE </t>
        </is>
      </c>
      <c r="D524" s="268" t="n"/>
      <c r="E524" s="269">
        <f>+_xlfn.XLOOKUP(C524,'BASE DATOS MANO DE OBRA'!A:A,'BASE DATOS MANO DE OBRA'!B:B)</f>
        <v/>
      </c>
      <c r="F524" s="270">
        <f>+F523</f>
        <v/>
      </c>
      <c r="G524" s="271">
        <f>+_xlfn.XLOOKUP(C524,'BASE DATOS MANO DE OBRA'!A:A,'BASE DATOS MANO DE OBRA'!C:C)</f>
        <v/>
      </c>
      <c r="H524" s="272" t="n">
        <v>0</v>
      </c>
      <c r="I524" s="272">
        <f>+_xlfn.XLOOKUP(C524,'BASE DATOS MANO DE OBRA'!A:A,'BASE DATOS MANO DE OBRA'!E:E)</f>
        <v/>
      </c>
      <c r="J524" s="272" t="n">
        <v>0</v>
      </c>
      <c r="K524" s="272">
        <f>+F524*H524</f>
        <v/>
      </c>
      <c r="L524" s="272">
        <f>+F524*I524</f>
        <v/>
      </c>
      <c r="M524" s="272">
        <f>+F524*J524</f>
        <v/>
      </c>
      <c r="N524" s="272">
        <f>SUM(K524:M524)</f>
        <v/>
      </c>
      <c r="O524" s="273">
        <f>SUM(K524:M524)/tc</f>
        <v/>
      </c>
    </row>
    <row r="525">
      <c r="A525" s="16" t="n"/>
      <c r="B525" s="1134">
        <f>VALUE(IF(AND(LEN(TRIM(C525))-LEN(SUBSTITUTE(TRIM(C525),".",""))=1,ISNUMBER(VALUE(SUBSTITUTE(TRIM(C525),".","")))),TRIM(C525),B524))</f>
        <v/>
      </c>
      <c r="C525" s="306" t="inlineStr">
        <is>
          <t>2.7</t>
        </is>
      </c>
      <c r="D525" s="227" t="n"/>
      <c r="E525" s="228" t="inlineStr">
        <is>
          <t>LOSA SANITARIA, GRIFERIA</t>
        </is>
      </c>
      <c r="F525" s="229" t="n">
        <v>1</v>
      </c>
      <c r="G525" s="227" t="inlineStr">
        <is>
          <t>UND</t>
        </is>
      </c>
      <c r="H525" s="227" t="n"/>
      <c r="I525" s="227" t="n"/>
      <c r="J525" s="227" t="n"/>
      <c r="K525" s="230">
        <f>+SUBTOTAL(9,K526:K547)</f>
        <v/>
      </c>
      <c r="L525" s="230">
        <f>+SUBTOTAL(9,L526:L547)</f>
        <v/>
      </c>
      <c r="M525" s="230">
        <f>+SUBTOTAL(9,M526:M547)</f>
        <v/>
      </c>
      <c r="N525" s="230">
        <f>+SUBTOTAL(9,N526:N547)</f>
        <v/>
      </c>
      <c r="O525" s="1135">
        <f>+SUBTOTAL(9,O526:O547)</f>
        <v/>
      </c>
    </row>
    <row r="526">
      <c r="A526" s="16" t="n"/>
      <c r="B526" s="1134">
        <f>VALUE(IF(AND(LEN(TRIM(C526))-LEN(SUBSTITUTE(TRIM(C526),".",""))=1,ISNUMBER(VALUE(SUBSTITUTE(TRIM(C526),".","")))),TRIM(C526),B525))</f>
        <v/>
      </c>
      <c r="C526" s="234" t="inlineStr">
        <is>
          <t>2.7.1</t>
        </is>
      </c>
      <c r="D526" s="235" t="n"/>
      <c r="E526" s="236" t="inlineStr">
        <is>
          <t>LOSA SANITARIA, GRIFERIA</t>
        </is>
      </c>
      <c r="F526" s="237" t="n">
        <v>1</v>
      </c>
      <c r="G526" s="235" t="inlineStr">
        <is>
          <t>gb</t>
        </is>
      </c>
      <c r="H526" s="235" t="n"/>
      <c r="I526" s="235" t="n"/>
      <c r="J526" s="235" t="n"/>
      <c r="K526" s="238">
        <f>+SUBTOTAL(9,K527:K547)</f>
        <v/>
      </c>
      <c r="L526" s="238">
        <f>+SUBTOTAL(9,L527:L547)</f>
        <v/>
      </c>
      <c r="M526" s="238">
        <f>+SUBTOTAL(9,M527:M547)</f>
        <v/>
      </c>
      <c r="N526" s="238">
        <f>+SUBTOTAL(9,N527:N547)</f>
        <v/>
      </c>
      <c r="O526" s="1136">
        <f>+SUBTOTAL(9,O527:O547)</f>
        <v/>
      </c>
    </row>
    <row r="527">
      <c r="A527" s="16" t="n"/>
      <c r="B527" s="1134">
        <f>VALUE(IF(AND(LEN(TRIM(C527))-LEN(SUBSTITUTE(TRIM(C527),".",""))=1,ISNUMBER(VALUE(SUBSTITUTE(TRIM(C527),".","")))),TRIM(C527),B526))</f>
        <v/>
      </c>
      <c r="C527" s="16" t="inlineStr">
        <is>
          <t>M02-0028</t>
        </is>
      </c>
      <c r="D527" s="292" t="n"/>
      <c r="E527" s="252">
        <f>+_xlfn.XLOOKUP(C527,'BASE DATOS PRECIOS '!B:B,'BASE DATOS PRECIOS '!E:E)</f>
        <v/>
      </c>
      <c r="F527" s="218">
        <f>+'1_OG y 2_ACA'!D1787</f>
        <v/>
      </c>
      <c r="G527" s="250">
        <f>+_xlfn.XLOOKUP(C527,'BASE DATOS PRECIOS '!B:B,'BASE DATOS PRECIOS '!F:F)</f>
        <v/>
      </c>
      <c r="H527" s="249">
        <f>+_xlfn.XLOOKUP(E527,'BASE DATOS PRECIOS '!E:E,'BASE DATOS PRECIOS '!H:H)</f>
        <v/>
      </c>
      <c r="I527" s="250" t="n"/>
      <c r="J527" s="250" t="n"/>
      <c r="K527" s="249">
        <f>+F527*H527</f>
        <v/>
      </c>
      <c r="L527" s="249">
        <f>+F527*I527</f>
        <v/>
      </c>
      <c r="M527" s="249">
        <f>+F527*J527</f>
        <v/>
      </c>
      <c r="N527" s="249">
        <f>SUM(K527:M527)</f>
        <v/>
      </c>
      <c r="O527" s="251">
        <f>SUM(K527:M527)/tc</f>
        <v/>
      </c>
    </row>
    <row r="528">
      <c r="A528" s="16" t="n"/>
      <c r="B528" s="1134">
        <f>VALUE(IF(AND(LEN(TRIM(C528))-LEN(SUBSTITUTE(TRIM(C528),".",""))=1,ISNUMBER(VALUE(SUBSTITUTE(TRIM(C528),".","")))),TRIM(C528),B527))</f>
        <v/>
      </c>
      <c r="C528" s="16" t="inlineStr">
        <is>
          <t>M13-0072</t>
        </is>
      </c>
      <c r="D528" s="292" t="n"/>
      <c r="E528" s="252">
        <f>+_xlfn.XLOOKUP(C528,'BASE DATOS PRECIOS '!B:B,'BASE DATOS PRECIOS '!E:E)</f>
        <v/>
      </c>
      <c r="F528" s="218">
        <f>+'1_OG y 2_ACA'!D1788</f>
        <v/>
      </c>
      <c r="G528" s="250">
        <f>+_xlfn.XLOOKUP(C528,'BASE DATOS PRECIOS '!B:B,'BASE DATOS PRECIOS '!F:F)</f>
        <v/>
      </c>
      <c r="H528" s="249">
        <f>+_xlfn.XLOOKUP(E528,'BASE DATOS PRECIOS '!E:E,'BASE DATOS PRECIOS '!H:H)</f>
        <v/>
      </c>
      <c r="I528" s="250" t="n"/>
      <c r="J528" s="250" t="n"/>
      <c r="K528" s="249">
        <f>+F528*H528</f>
        <v/>
      </c>
      <c r="L528" s="249">
        <f>+F528*I528</f>
        <v/>
      </c>
      <c r="M528" s="249">
        <f>+F528*J528</f>
        <v/>
      </c>
      <c r="N528" s="249">
        <f>SUM(K528:M528)</f>
        <v/>
      </c>
      <c r="O528" s="251">
        <f>SUM(K528:M528)/tc</f>
        <v/>
      </c>
    </row>
    <row r="529">
      <c r="A529" s="16" t="n"/>
      <c r="B529" s="1134">
        <f>VALUE(IF(AND(LEN(TRIM(C529))-LEN(SUBSTITUTE(TRIM(C529),".",""))=1,ISNUMBER(VALUE(SUBSTITUTE(TRIM(C529),".","")))),TRIM(C529),B528))</f>
        <v/>
      </c>
      <c r="C529" s="16" t="inlineStr">
        <is>
          <t>M02-0026</t>
        </is>
      </c>
      <c r="D529" s="292" t="n"/>
      <c r="E529" s="252">
        <f>+_xlfn.XLOOKUP(C529,'BASE DATOS PRECIOS '!B:B,'BASE DATOS PRECIOS '!E:E)</f>
        <v/>
      </c>
      <c r="F529" s="218">
        <f>+'1_OG y 2_ACA'!D1789</f>
        <v/>
      </c>
      <c r="G529" s="250">
        <f>+_xlfn.XLOOKUP(C529,'BASE DATOS PRECIOS '!B:B,'BASE DATOS PRECIOS '!F:F)</f>
        <v/>
      </c>
      <c r="H529" s="249">
        <f>+_xlfn.XLOOKUP(E529,'BASE DATOS PRECIOS '!E:E,'BASE DATOS PRECIOS '!H:H)</f>
        <v/>
      </c>
      <c r="I529" s="250" t="n"/>
      <c r="J529" s="250" t="n"/>
      <c r="K529" s="249">
        <f>+F529*H529</f>
        <v/>
      </c>
      <c r="L529" s="249">
        <f>+F529*I529</f>
        <v/>
      </c>
      <c r="M529" s="249">
        <f>+F529*J529</f>
        <v/>
      </c>
      <c r="N529" s="249">
        <f>SUM(K529:M529)</f>
        <v/>
      </c>
      <c r="O529" s="251">
        <f>SUM(K529:M529)/tc</f>
        <v/>
      </c>
    </row>
    <row r="530">
      <c r="A530" s="16" t="n"/>
      <c r="B530" s="1134">
        <f>VALUE(IF(AND(LEN(TRIM(C530))-LEN(SUBSTITUTE(TRIM(C530),".",""))=1,ISNUMBER(VALUE(SUBSTITUTE(TRIM(C530),".","")))),TRIM(C530),B529))</f>
        <v/>
      </c>
      <c r="C530" s="326" t="inlineStr">
        <is>
          <t>M02-0042</t>
        </is>
      </c>
      <c r="D530" s="327" t="n"/>
      <c r="E530" s="252">
        <f>+_xlfn.XLOOKUP(C530,'BASE DATOS PRECIOS '!B:B,'BASE DATOS PRECIOS '!E:E)</f>
        <v/>
      </c>
      <c r="F530" s="218">
        <f>+'1_OG y 2_ACA'!D1790</f>
        <v/>
      </c>
      <c r="G530" s="250">
        <f>+_xlfn.XLOOKUP(C530,'BASE DATOS PRECIOS '!B:B,'BASE DATOS PRECIOS '!F:F)</f>
        <v/>
      </c>
      <c r="H530" s="249">
        <f>+_xlfn.XLOOKUP(E530,'BASE DATOS PRECIOS '!E:E,'BASE DATOS PRECIOS '!H:H)</f>
        <v/>
      </c>
      <c r="I530" s="250" t="n"/>
      <c r="J530" s="250" t="n"/>
      <c r="K530" s="249">
        <f>+F530*H530</f>
        <v/>
      </c>
      <c r="L530" s="249">
        <f>+F530*I530</f>
        <v/>
      </c>
      <c r="M530" s="249">
        <f>+F530*J530</f>
        <v/>
      </c>
      <c r="N530" s="249">
        <f>SUM(K530:M530)</f>
        <v/>
      </c>
      <c r="O530" s="251">
        <f>SUM(K530:M530)/tc</f>
        <v/>
      </c>
    </row>
    <row r="531">
      <c r="A531" s="16" t="n"/>
      <c r="B531" s="1134">
        <f>VALUE(IF(AND(LEN(TRIM(C531))-LEN(SUBSTITUTE(TRIM(C531),".",""))=1,ISNUMBER(VALUE(SUBSTITUTE(TRIM(C531),".","")))),TRIM(C531),B530))</f>
        <v/>
      </c>
      <c r="C531" s="326" t="inlineStr">
        <is>
          <t>M02-0044</t>
        </is>
      </c>
      <c r="D531" s="327" t="n"/>
      <c r="E531" s="252">
        <f>+_xlfn.XLOOKUP(C531,'BASE DATOS PRECIOS '!B:B,'BASE DATOS PRECIOS '!E:E)</f>
        <v/>
      </c>
      <c r="F531" s="218">
        <f>+'1_OG y 2_ACA'!D1791</f>
        <v/>
      </c>
      <c r="G531" s="250">
        <f>+_xlfn.XLOOKUP(C531,'BASE DATOS PRECIOS '!B:B,'BASE DATOS PRECIOS '!F:F)</f>
        <v/>
      </c>
      <c r="H531" s="249">
        <f>+_xlfn.XLOOKUP(E531,'BASE DATOS PRECIOS '!E:E,'BASE DATOS PRECIOS '!H:H)</f>
        <v/>
      </c>
      <c r="I531" s="250" t="n"/>
      <c r="J531" s="250" t="n"/>
      <c r="K531" s="249">
        <f>+F531*H531</f>
        <v/>
      </c>
      <c r="L531" s="249">
        <f>+F531*I531</f>
        <v/>
      </c>
      <c r="M531" s="249">
        <f>+F531*J531</f>
        <v/>
      </c>
      <c r="N531" s="249">
        <f>SUM(K531:M531)</f>
        <v/>
      </c>
      <c r="O531" s="251">
        <f>SUM(K531:M531)/tc</f>
        <v/>
      </c>
    </row>
    <row r="532">
      <c r="A532" s="16" t="n"/>
      <c r="B532" s="1134">
        <f>VALUE(IF(AND(LEN(TRIM(C532))-LEN(SUBSTITUTE(TRIM(C532),".",""))=1,ISNUMBER(VALUE(SUBSTITUTE(TRIM(C532),".","")))),TRIM(C532),B531))</f>
        <v/>
      </c>
      <c r="C532" s="326" t="inlineStr">
        <is>
          <t>M02-0038</t>
        </is>
      </c>
      <c r="D532" s="327" t="n"/>
      <c r="E532" s="252">
        <f>+_xlfn.XLOOKUP(C532,'BASE DATOS PRECIOS '!B:B,'BASE DATOS PRECIOS '!E:E)</f>
        <v/>
      </c>
      <c r="F532" s="218">
        <f>+'1_OG y 2_ACA'!D1792</f>
        <v/>
      </c>
      <c r="G532" s="250">
        <f>+_xlfn.XLOOKUP(C532,'BASE DATOS PRECIOS '!B:B,'BASE DATOS PRECIOS '!F:F)</f>
        <v/>
      </c>
      <c r="H532" s="249">
        <f>+_xlfn.XLOOKUP(E532,'BASE DATOS PRECIOS '!E:E,'BASE DATOS PRECIOS '!H:H)</f>
        <v/>
      </c>
      <c r="I532" s="250" t="n"/>
      <c r="J532" s="250" t="n"/>
      <c r="K532" s="249">
        <f>+F532*H532</f>
        <v/>
      </c>
      <c r="L532" s="249">
        <f>+F532*I532</f>
        <v/>
      </c>
      <c r="M532" s="249">
        <f>+F532*J532</f>
        <v/>
      </c>
      <c r="N532" s="249">
        <f>SUM(K532:M532)</f>
        <v/>
      </c>
      <c r="O532" s="251">
        <f>SUM(K532:M532)/tc</f>
        <v/>
      </c>
    </row>
    <row r="533">
      <c r="A533" s="16" t="n"/>
      <c r="B533" s="1134">
        <f>VALUE(IF(AND(LEN(TRIM(C533))-LEN(SUBSTITUTE(TRIM(C533),".",""))=1,ISNUMBER(VALUE(SUBSTITUTE(TRIM(C533),".","")))),TRIM(C533),B532))</f>
        <v/>
      </c>
      <c r="C533" s="297" t="inlineStr">
        <is>
          <t>M03-0025</t>
        </is>
      </c>
      <c r="D533" s="298" t="n"/>
      <c r="E533" s="252">
        <f>+_xlfn.XLOOKUP(C533,'BASE DATOS PRECIOS '!B:B,'BASE DATOS PRECIOS '!E:E)</f>
        <v/>
      </c>
      <c r="F533" s="218">
        <f>+'1_OG y 2_ACA'!D1793</f>
        <v/>
      </c>
      <c r="G533" s="250">
        <f>+_xlfn.XLOOKUP(C533,'BASE DATOS PRECIOS '!B:B,'BASE DATOS PRECIOS '!F:F)</f>
        <v/>
      </c>
      <c r="H533" s="249">
        <f>+_xlfn.XLOOKUP(E533,'BASE DATOS PRECIOS '!E:E,'BASE DATOS PRECIOS '!H:H)</f>
        <v/>
      </c>
      <c r="I533" s="250" t="n"/>
      <c r="J533" s="250" t="n"/>
      <c r="K533" s="249">
        <f>+F533*H533</f>
        <v/>
      </c>
      <c r="L533" s="249">
        <f>+F533*I533</f>
        <v/>
      </c>
      <c r="M533" s="249">
        <f>+F533*J533</f>
        <v/>
      </c>
      <c r="N533" s="249">
        <f>SUM(K533:M533)</f>
        <v/>
      </c>
      <c r="O533" s="251">
        <f>SUM(K533:M533)/tc</f>
        <v/>
      </c>
    </row>
    <row r="534">
      <c r="A534" s="16" t="n"/>
      <c r="B534" s="1134">
        <f>VALUE(IF(AND(LEN(TRIM(C534))-LEN(SUBSTITUTE(TRIM(C534),".",""))=1,ISNUMBER(VALUE(SUBSTITUTE(TRIM(C534),".","")))),TRIM(C534),B533))</f>
        <v/>
      </c>
      <c r="C534" s="16" t="inlineStr">
        <is>
          <t>M02-0032</t>
        </is>
      </c>
      <c r="D534" s="292" t="n"/>
      <c r="E534" s="252">
        <f>+_xlfn.XLOOKUP(C534,'BASE DATOS PRECIOS '!B:B,'BASE DATOS PRECIOS '!E:E)</f>
        <v/>
      </c>
      <c r="F534" s="218">
        <f>+'1_OG y 2_ACA'!D1794</f>
        <v/>
      </c>
      <c r="G534" s="250">
        <f>+_xlfn.XLOOKUP(C534,'BASE DATOS PRECIOS '!B:B,'BASE DATOS PRECIOS '!F:F)</f>
        <v/>
      </c>
      <c r="H534" s="249">
        <f>+_xlfn.XLOOKUP(E534,'BASE DATOS PRECIOS '!E:E,'BASE DATOS PRECIOS '!H:H)</f>
        <v/>
      </c>
      <c r="I534" s="250" t="n"/>
      <c r="J534" s="250" t="n"/>
      <c r="K534" s="249">
        <f>+F534*H534</f>
        <v/>
      </c>
      <c r="L534" s="249">
        <f>+F534*I534</f>
        <v/>
      </c>
      <c r="M534" s="249">
        <f>+F534*J534</f>
        <v/>
      </c>
      <c r="N534" s="249">
        <f>SUM(K534:M534)</f>
        <v/>
      </c>
      <c r="O534" s="251">
        <f>SUM(K534:M534)/tc</f>
        <v/>
      </c>
    </row>
    <row r="535">
      <c r="A535" s="16" t="n"/>
      <c r="B535" s="1134">
        <f>VALUE(IF(AND(LEN(TRIM(C535))-LEN(SUBSTITUTE(TRIM(C535),".",""))=1,ISNUMBER(VALUE(SUBSTITUTE(TRIM(C535),".","")))),TRIM(C535),B534))</f>
        <v/>
      </c>
      <c r="C535" s="16" t="inlineStr">
        <is>
          <t>M06-0026</t>
        </is>
      </c>
      <c r="D535" s="292" t="n"/>
      <c r="E535" s="252">
        <f>+_xlfn.XLOOKUP(C535,'BASE DATOS PRECIOS '!B:B,'BASE DATOS PRECIOS '!E:E)</f>
        <v/>
      </c>
      <c r="F535" s="218">
        <f>+'1_OG y 2_ACA'!D1795</f>
        <v/>
      </c>
      <c r="G535" s="250">
        <f>+_xlfn.XLOOKUP(C535,'BASE DATOS PRECIOS '!B:B,'BASE DATOS PRECIOS '!F:F)</f>
        <v/>
      </c>
      <c r="H535" s="249">
        <f>+_xlfn.XLOOKUP(E535,'BASE DATOS PRECIOS '!E:E,'BASE DATOS PRECIOS '!H:H)</f>
        <v/>
      </c>
      <c r="I535" s="250" t="n"/>
      <c r="J535" s="250" t="n"/>
      <c r="K535" s="249">
        <f>+F535*H535</f>
        <v/>
      </c>
      <c r="L535" s="249">
        <f>+F535*I535</f>
        <v/>
      </c>
      <c r="M535" s="249">
        <f>+F535*J535</f>
        <v/>
      </c>
      <c r="N535" s="249">
        <f>SUM(K535:M535)</f>
        <v/>
      </c>
      <c r="O535" s="251">
        <f>SUM(K535:M535)/tc</f>
        <v/>
      </c>
    </row>
    <row r="536">
      <c r="A536" s="16" t="n"/>
      <c r="B536" s="1134">
        <f>VALUE(IF(AND(LEN(TRIM(C536))-LEN(SUBSTITUTE(TRIM(C536),".",""))=1,ISNUMBER(VALUE(SUBSTITUTE(TRIM(C536),".","")))),TRIM(C536),B535))</f>
        <v/>
      </c>
      <c r="C536" s="324" t="inlineStr">
        <is>
          <t>M13-0046</t>
        </is>
      </c>
      <c r="D536" s="325" t="n"/>
      <c r="E536" s="252">
        <f>+_xlfn.XLOOKUP(C536,'BASE DATOS PRECIOS '!B:B,'BASE DATOS PRECIOS '!E:E)</f>
        <v/>
      </c>
      <c r="F536" s="218">
        <f>+'1_OG y 2_ACA'!D1796</f>
        <v/>
      </c>
      <c r="G536" s="250">
        <f>+_xlfn.XLOOKUP(C536,'BASE DATOS PRECIOS '!B:B,'BASE DATOS PRECIOS '!F:F)</f>
        <v/>
      </c>
      <c r="H536" s="249">
        <f>+_xlfn.XLOOKUP(E536,'BASE DATOS PRECIOS '!E:E,'BASE DATOS PRECIOS '!H:H)</f>
        <v/>
      </c>
      <c r="I536" s="250" t="n"/>
      <c r="J536" s="250" t="n"/>
      <c r="K536" s="249">
        <f>+F536*H536</f>
        <v/>
      </c>
      <c r="L536" s="249">
        <f>+F536*I536</f>
        <v/>
      </c>
      <c r="M536" s="249">
        <f>+F536*J536</f>
        <v/>
      </c>
      <c r="N536" s="249">
        <f>SUM(K536:M536)</f>
        <v/>
      </c>
      <c r="O536" s="251">
        <f>SUM(K536:M536)/tc</f>
        <v/>
      </c>
    </row>
    <row r="537">
      <c r="A537" s="16" t="n"/>
      <c r="B537" s="1134">
        <f>VALUE(IF(AND(LEN(TRIM(C537))-LEN(SUBSTITUTE(TRIM(C537),".",""))=1,ISNUMBER(VALUE(SUBSTITUTE(TRIM(C537),".","")))),TRIM(C537),B536))</f>
        <v/>
      </c>
      <c r="C537" s="16" t="inlineStr">
        <is>
          <t>M13-0045</t>
        </is>
      </c>
      <c r="D537" s="292" t="n"/>
      <c r="E537" s="252">
        <f>+_xlfn.XLOOKUP(C537,'BASE DATOS PRECIOS '!B:B,'BASE DATOS PRECIOS '!E:E)</f>
        <v/>
      </c>
      <c r="F537" s="218">
        <f>+'1_OG y 2_ACA'!D1797</f>
        <v/>
      </c>
      <c r="G537" s="250">
        <f>+_xlfn.XLOOKUP(C537,'BASE DATOS PRECIOS '!B:B,'BASE DATOS PRECIOS '!F:F)</f>
        <v/>
      </c>
      <c r="H537" s="249">
        <f>+_xlfn.XLOOKUP(E537,'BASE DATOS PRECIOS '!E:E,'BASE DATOS PRECIOS '!H:H)</f>
        <v/>
      </c>
      <c r="I537" s="250" t="n"/>
      <c r="J537" s="250" t="n"/>
      <c r="K537" s="249">
        <f>+F537*H537</f>
        <v/>
      </c>
      <c r="L537" s="249">
        <f>+F537*I537</f>
        <v/>
      </c>
      <c r="M537" s="249">
        <f>+F537*J537</f>
        <v/>
      </c>
      <c r="N537" s="249">
        <f>SUM(K537:M537)</f>
        <v/>
      </c>
      <c r="O537" s="251">
        <f>SUM(K537:M537)/tc</f>
        <v/>
      </c>
    </row>
    <row r="538">
      <c r="A538" s="16" t="n"/>
      <c r="B538" s="1134">
        <f>VALUE(IF(AND(LEN(TRIM(C538))-LEN(SUBSTITUTE(TRIM(C538),".",""))=1,ISNUMBER(VALUE(SUBSTITUTE(TRIM(C538),".","")))),TRIM(C538),B537))</f>
        <v/>
      </c>
      <c r="C538" s="324" t="inlineStr">
        <is>
          <t>M13-0059</t>
        </is>
      </c>
      <c r="D538" s="325" t="n"/>
      <c r="E538" s="252">
        <f>+_xlfn.XLOOKUP(C538,'BASE DATOS PRECIOS '!B:B,'BASE DATOS PRECIOS '!E:E)</f>
        <v/>
      </c>
      <c r="F538" s="218">
        <f>+'1_OG y 2_ACA'!D1798</f>
        <v/>
      </c>
      <c r="G538" s="250">
        <f>+_xlfn.XLOOKUP(C538,'BASE DATOS PRECIOS '!B:B,'BASE DATOS PRECIOS '!F:F)</f>
        <v/>
      </c>
      <c r="H538" s="249">
        <f>+_xlfn.XLOOKUP(E538,'BASE DATOS PRECIOS '!E:E,'BASE DATOS PRECIOS '!H:H)</f>
        <v/>
      </c>
      <c r="I538" s="250" t="n"/>
      <c r="J538" s="250" t="n"/>
      <c r="K538" s="249">
        <f>+F538*H538</f>
        <v/>
      </c>
      <c r="L538" s="249">
        <f>+F538*I538</f>
        <v/>
      </c>
      <c r="M538" s="249">
        <f>+F538*J538</f>
        <v/>
      </c>
      <c r="N538" s="249">
        <f>SUM(K538:M538)</f>
        <v/>
      </c>
      <c r="O538" s="251">
        <f>SUM(K538:M538)/tc</f>
        <v/>
      </c>
    </row>
    <row r="539">
      <c r="A539" s="16" t="n"/>
      <c r="B539" s="1134">
        <f>VALUE(IF(AND(LEN(TRIM(C539))-LEN(SUBSTITUTE(TRIM(C539),".",""))=1,ISNUMBER(VALUE(SUBSTITUTE(TRIM(C539),".","")))),TRIM(C539),B538))</f>
        <v/>
      </c>
      <c r="C539" s="16" t="inlineStr">
        <is>
          <t>M13-0245</t>
        </is>
      </c>
      <c r="D539" s="292" t="n"/>
      <c r="E539" s="252">
        <f>+_xlfn.XLOOKUP(C539,'BASE DATOS PRECIOS '!B:B,'BASE DATOS PRECIOS '!E:E)</f>
        <v/>
      </c>
      <c r="F539" s="218">
        <f>+'1_OG y 2_ACA'!D1799</f>
        <v/>
      </c>
      <c r="G539" s="250">
        <f>+_xlfn.XLOOKUP(C539,'BASE DATOS PRECIOS '!B:B,'BASE DATOS PRECIOS '!F:F)</f>
        <v/>
      </c>
      <c r="H539" s="249">
        <f>+_xlfn.XLOOKUP(E539,'BASE DATOS PRECIOS '!E:E,'BASE DATOS PRECIOS '!H:H)</f>
        <v/>
      </c>
      <c r="I539" s="250" t="n"/>
      <c r="J539" s="250" t="n"/>
      <c r="K539" s="249">
        <f>+F539*H539</f>
        <v/>
      </c>
      <c r="L539" s="249">
        <f>+F539*I539</f>
        <v/>
      </c>
      <c r="M539" s="249">
        <f>+F539*J539</f>
        <v/>
      </c>
      <c r="N539" s="249">
        <f>SUM(K539:M539)</f>
        <v/>
      </c>
      <c r="O539" s="251">
        <f>SUM(K539:M539)/tc</f>
        <v/>
      </c>
    </row>
    <row r="540">
      <c r="A540" s="16" t="n"/>
      <c r="B540" s="1134">
        <f>VALUE(IF(AND(LEN(TRIM(C540))-LEN(SUBSTITUTE(TRIM(C540),".",""))=1,ISNUMBER(VALUE(SUBSTITUTE(TRIM(C540),".","")))),TRIM(C540),B539))</f>
        <v/>
      </c>
      <c r="C540" s="324" t="inlineStr">
        <is>
          <t>M02-0036</t>
        </is>
      </c>
      <c r="D540" s="325" t="n"/>
      <c r="E540" s="252">
        <f>+_xlfn.XLOOKUP(C540,'BASE DATOS PRECIOS '!B:B,'BASE DATOS PRECIOS '!E:E)</f>
        <v/>
      </c>
      <c r="F540" s="218">
        <f>+'1_OG y 2_ACA'!D1800</f>
        <v/>
      </c>
      <c r="G540" s="250">
        <f>+_xlfn.XLOOKUP(C540,'BASE DATOS PRECIOS '!B:B,'BASE DATOS PRECIOS '!F:F)</f>
        <v/>
      </c>
      <c r="H540" s="249">
        <f>+_xlfn.XLOOKUP(E540,'BASE DATOS PRECIOS '!E:E,'BASE DATOS PRECIOS '!H:H)</f>
        <v/>
      </c>
      <c r="I540" s="250" t="n"/>
      <c r="J540" s="250" t="n"/>
      <c r="K540" s="249">
        <f>+F540*H540</f>
        <v/>
      </c>
      <c r="L540" s="249">
        <f>+F540*I540</f>
        <v/>
      </c>
      <c r="M540" s="249">
        <f>+F540*J540</f>
        <v/>
      </c>
      <c r="N540" s="249">
        <f>SUM(K540:M540)</f>
        <v/>
      </c>
      <c r="O540" s="251">
        <f>SUM(K540:M540)/tc</f>
        <v/>
      </c>
    </row>
    <row r="541">
      <c r="A541" s="16" t="n"/>
      <c r="B541" s="1134">
        <f>VALUE(IF(AND(LEN(TRIM(C541))-LEN(SUBSTITUTE(TRIM(C541),".",""))=1,ISNUMBER(VALUE(SUBSTITUTE(TRIM(C541),".","")))),TRIM(C541),B540))</f>
        <v/>
      </c>
      <c r="C541" s="297" t="inlineStr">
        <is>
          <t>M03-0023</t>
        </is>
      </c>
      <c r="D541" s="298" t="n"/>
      <c r="E541" s="252">
        <f>+_xlfn.XLOOKUP(C541,'BASE DATOS PRECIOS '!B:B,'BASE DATOS PRECIOS '!E:E)</f>
        <v/>
      </c>
      <c r="F541" s="218">
        <f>+'1_OG y 2_ACA'!D1801</f>
        <v/>
      </c>
      <c r="G541" s="250">
        <f>+_xlfn.XLOOKUP(C541,'BASE DATOS PRECIOS '!B:B,'BASE DATOS PRECIOS '!F:F)</f>
        <v/>
      </c>
      <c r="H541" s="249">
        <f>+_xlfn.XLOOKUP(E541,'BASE DATOS PRECIOS '!E:E,'BASE DATOS PRECIOS '!H:H)</f>
        <v/>
      </c>
      <c r="I541" s="250" t="n"/>
      <c r="J541" s="250" t="n"/>
      <c r="K541" s="249">
        <f>+F541*H541</f>
        <v/>
      </c>
      <c r="L541" s="249">
        <f>+F541*I541</f>
        <v/>
      </c>
      <c r="M541" s="249">
        <f>+F541*J541</f>
        <v/>
      </c>
      <c r="N541" s="249">
        <f>SUM(K541:M541)</f>
        <v/>
      </c>
      <c r="O541" s="251">
        <f>SUM(K541:M541)/tc</f>
        <v/>
      </c>
    </row>
    <row r="542">
      <c r="A542" s="16" t="n"/>
      <c r="B542" s="1134">
        <f>VALUE(IF(AND(LEN(TRIM(C542))-LEN(SUBSTITUTE(TRIM(C542),".",""))=1,ISNUMBER(VALUE(SUBSTITUTE(TRIM(C542),".","")))),TRIM(C542),B541))</f>
        <v/>
      </c>
      <c r="C542" s="324" t="inlineStr">
        <is>
          <t>M02-0035</t>
        </is>
      </c>
      <c r="D542" s="325" t="n"/>
      <c r="E542" s="252">
        <f>+_xlfn.XLOOKUP(C542,'BASE DATOS PRECIOS '!B:B,'BASE DATOS PRECIOS '!E:E)</f>
        <v/>
      </c>
      <c r="F542" s="218">
        <f>+'1_OG y 2_ACA'!D1802</f>
        <v/>
      </c>
      <c r="G542" s="250">
        <f>+_xlfn.XLOOKUP(C542,'BASE DATOS PRECIOS '!B:B,'BASE DATOS PRECIOS '!F:F)</f>
        <v/>
      </c>
      <c r="H542" s="249">
        <f>+_xlfn.XLOOKUP(E542,'BASE DATOS PRECIOS '!E:E,'BASE DATOS PRECIOS '!H:H)</f>
        <v/>
      </c>
      <c r="I542" s="250" t="n"/>
      <c r="J542" s="250" t="n"/>
      <c r="K542" s="249">
        <f>+F542*H542</f>
        <v/>
      </c>
      <c r="L542" s="249">
        <f>+F542*I542</f>
        <v/>
      </c>
      <c r="M542" s="249">
        <f>+F542*J542</f>
        <v/>
      </c>
      <c r="N542" s="249">
        <f>SUM(K542:M542)</f>
        <v/>
      </c>
      <c r="O542" s="251">
        <f>SUM(K542:M542)/tc</f>
        <v/>
      </c>
    </row>
    <row r="543">
      <c r="A543" s="16" t="n"/>
      <c r="B543" s="1134">
        <f>VALUE(IF(AND(LEN(TRIM(C543))-LEN(SUBSTITUTE(TRIM(C543),".",""))=1,ISNUMBER(VALUE(SUBSTITUTE(TRIM(C543),".","")))),TRIM(C543),B542))</f>
        <v/>
      </c>
      <c r="C543" s="326" t="inlineStr">
        <is>
          <t>M02-0043</t>
        </is>
      </c>
      <c r="D543" s="327" t="n"/>
      <c r="E543" s="252">
        <f>+_xlfn.XLOOKUP(C543,'BASE DATOS PRECIOS '!B:B,'BASE DATOS PRECIOS '!E:E)</f>
        <v/>
      </c>
      <c r="F543" s="218">
        <f>+'1_OG y 2_ACA'!D1803</f>
        <v/>
      </c>
      <c r="G543" s="250">
        <f>+_xlfn.XLOOKUP(C543,'BASE DATOS PRECIOS '!B:B,'BASE DATOS PRECIOS '!F:F)</f>
        <v/>
      </c>
      <c r="H543" s="249">
        <f>+_xlfn.XLOOKUP(E543,'BASE DATOS PRECIOS '!E:E,'BASE DATOS PRECIOS '!H:H)</f>
        <v/>
      </c>
      <c r="I543" s="250" t="n"/>
      <c r="J543" s="250" t="n"/>
      <c r="K543" s="249">
        <f>+F543*H543</f>
        <v/>
      </c>
      <c r="L543" s="249">
        <f>+F543*I543</f>
        <v/>
      </c>
      <c r="M543" s="249">
        <f>+F543*J543</f>
        <v/>
      </c>
      <c r="N543" s="249">
        <f>SUM(K543:M543)</f>
        <v/>
      </c>
      <c r="O543" s="251">
        <f>SUM(K543:M543)/tc</f>
        <v/>
      </c>
    </row>
    <row r="544">
      <c r="A544" s="266" t="inlineStr">
        <is>
          <t>Losa Sanitaria</t>
        </is>
      </c>
      <c r="B544" s="1134">
        <f>VALUE(IF(AND(LEN(TRIM(C544))-LEN(SUBSTITUTE(TRIM(C544),".",""))=1,ISNUMBER(VALUE(SUBSTITUTE(TRIM(C544),".","")))),TRIM(C544),B543))</f>
        <v/>
      </c>
      <c r="C544" s="267" t="inlineStr">
        <is>
          <t xml:space="preserve">OPERARIO </t>
        </is>
      </c>
      <c r="D544" s="268" t="n"/>
      <c r="E544" s="269">
        <f>+_xlfn.XLOOKUP(C544,'BASE DATOS MANO DE OBRA'!A:A,'BASE DATOS MANO DE OBRA'!B:B)</f>
        <v/>
      </c>
      <c r="F544" s="270">
        <f>ROUNDUP('1_OG y 2_ACA'!F1811,0)/2</f>
        <v/>
      </c>
      <c r="G544" s="271">
        <f>+_xlfn.XLOOKUP(C544,'BASE DATOS MANO DE OBRA'!A:A,'BASE DATOS MANO DE OBRA'!C:C)</f>
        <v/>
      </c>
      <c r="H544" s="272" t="n">
        <v>0</v>
      </c>
      <c r="I544" s="272">
        <f>+_xlfn.XLOOKUP(C544,'BASE DATOS MANO DE OBRA'!A:A,'BASE DATOS MANO DE OBRA'!E:E)</f>
        <v/>
      </c>
      <c r="J544" s="272" t="n">
        <v>0</v>
      </c>
      <c r="K544" s="272">
        <f>+F544*H544</f>
        <v/>
      </c>
      <c r="L544" s="272">
        <f>+F544*I544</f>
        <v/>
      </c>
      <c r="M544" s="272">
        <f>+F544*J544</f>
        <v/>
      </c>
      <c r="N544" s="272">
        <f>SUM(K544:M544)</f>
        <v/>
      </c>
      <c r="O544" s="273">
        <f>SUM(K544:M544)/tc</f>
        <v/>
      </c>
    </row>
    <row r="545">
      <c r="A545" s="266" t="inlineStr">
        <is>
          <t>Losa Sanitaria</t>
        </is>
      </c>
      <c r="B545" s="1134">
        <f>VALUE(IF(AND(LEN(TRIM(C545))-LEN(SUBSTITUTE(TRIM(C545),".",""))=1,ISNUMBER(VALUE(SUBSTITUTE(TRIM(C545),".","")))),TRIM(C545),B544))</f>
        <v/>
      </c>
      <c r="C545" s="267" t="inlineStr">
        <is>
          <t xml:space="preserve">AYUDANTE </t>
        </is>
      </c>
      <c r="D545" s="268" t="n"/>
      <c r="E545" s="269">
        <f>+_xlfn.XLOOKUP(C545,'BASE DATOS MANO DE OBRA'!A:A,'BASE DATOS MANO DE OBRA'!B:B)</f>
        <v/>
      </c>
      <c r="F545" s="270">
        <f>+F544</f>
        <v/>
      </c>
      <c r="G545" s="271">
        <f>+_xlfn.XLOOKUP(C545,'BASE DATOS MANO DE OBRA'!A:A,'BASE DATOS MANO DE OBRA'!C:C)</f>
        <v/>
      </c>
      <c r="H545" s="272" t="n">
        <v>0</v>
      </c>
      <c r="I545" s="272">
        <f>+_xlfn.XLOOKUP(C545,'BASE DATOS MANO DE OBRA'!A:A,'BASE DATOS MANO DE OBRA'!E:E)</f>
        <v/>
      </c>
      <c r="J545" s="272" t="n">
        <v>0</v>
      </c>
      <c r="K545" s="272">
        <f>+F545*H545</f>
        <v/>
      </c>
      <c r="L545" s="272">
        <f>+F545*I545</f>
        <v/>
      </c>
      <c r="M545" s="272">
        <f>+F545*J545</f>
        <v/>
      </c>
      <c r="N545" s="272">
        <f>SUM(K545:M545)</f>
        <v/>
      </c>
      <c r="O545" s="273">
        <f>SUM(K545:M545)/tc</f>
        <v/>
      </c>
    </row>
    <row r="546">
      <c r="A546" s="266" t="inlineStr">
        <is>
          <t>Griferia y pilas</t>
        </is>
      </c>
      <c r="B546" s="1134">
        <f>VALUE(IF(AND(LEN(TRIM(C546))-LEN(SUBSTITUTE(TRIM(C546),".",""))=1,ISNUMBER(VALUE(SUBSTITUTE(TRIM(C546),".","")))),TRIM(C546),B545))</f>
        <v/>
      </c>
      <c r="C546" s="267" t="inlineStr">
        <is>
          <t xml:space="preserve">OPERARIO </t>
        </is>
      </c>
      <c r="D546" s="268" t="n"/>
      <c r="E546" s="269">
        <f>+_xlfn.XLOOKUP(C546,'BASE DATOS MANO DE OBRA'!A:A,'BASE DATOS MANO DE OBRA'!B:B)</f>
        <v/>
      </c>
      <c r="F546" s="270">
        <f>ROUND('1_OG y 2_ACA'!F1815,0)/2</f>
        <v/>
      </c>
      <c r="G546" s="271">
        <f>+_xlfn.XLOOKUP(C546,'BASE DATOS MANO DE OBRA'!A:A,'BASE DATOS MANO DE OBRA'!C:C)</f>
        <v/>
      </c>
      <c r="H546" s="272" t="n">
        <v>0</v>
      </c>
      <c r="I546" s="272">
        <f>+_xlfn.XLOOKUP(C546,'BASE DATOS MANO DE OBRA'!A:A,'BASE DATOS MANO DE OBRA'!E:E)</f>
        <v/>
      </c>
      <c r="J546" s="272" t="n">
        <v>0</v>
      </c>
      <c r="K546" s="272">
        <f>+F546*H546</f>
        <v/>
      </c>
      <c r="L546" s="272">
        <f>+F546*I546</f>
        <v/>
      </c>
      <c r="M546" s="272">
        <f>+F546*J546</f>
        <v/>
      </c>
      <c r="N546" s="272">
        <f>SUM(K546:M546)</f>
        <v/>
      </c>
      <c r="O546" s="273">
        <f>SUM(K546:M546)/tc</f>
        <v/>
      </c>
    </row>
    <row r="547">
      <c r="A547" s="266" t="inlineStr">
        <is>
          <t>Griferia y pilas</t>
        </is>
      </c>
      <c r="B547" s="1134">
        <f>VALUE(IF(AND(LEN(TRIM(C547))-LEN(SUBSTITUTE(TRIM(C547),".",""))=1,ISNUMBER(VALUE(SUBSTITUTE(TRIM(C547),".","")))),TRIM(C547),B546))</f>
        <v/>
      </c>
      <c r="C547" s="267" t="inlineStr">
        <is>
          <t xml:space="preserve">AYUDANTE </t>
        </is>
      </c>
      <c r="D547" s="268" t="n"/>
      <c r="E547" s="269">
        <f>+_xlfn.XLOOKUP(C547,'BASE DATOS MANO DE OBRA'!A:A,'BASE DATOS MANO DE OBRA'!B:B)</f>
        <v/>
      </c>
      <c r="F547" s="270">
        <f>+F546</f>
        <v/>
      </c>
      <c r="G547" s="271">
        <f>+_xlfn.XLOOKUP(C547,'BASE DATOS MANO DE OBRA'!A:A,'BASE DATOS MANO DE OBRA'!C:C)</f>
        <v/>
      </c>
      <c r="H547" s="272" t="n">
        <v>0</v>
      </c>
      <c r="I547" s="272">
        <f>+_xlfn.XLOOKUP(C547,'BASE DATOS MANO DE OBRA'!A:A,'BASE DATOS MANO DE OBRA'!E:E)</f>
        <v/>
      </c>
      <c r="J547" s="272" t="n">
        <v>0</v>
      </c>
      <c r="K547" s="272">
        <f>+F547*H547</f>
        <v/>
      </c>
      <c r="L547" s="272">
        <f>+F547*I547</f>
        <v/>
      </c>
      <c r="M547" s="272">
        <f>+F547*J547</f>
        <v/>
      </c>
      <c r="N547" s="272">
        <f>SUM(K547:M547)</f>
        <v/>
      </c>
      <c r="O547" s="273">
        <f>SUM(K547:M547)/tc</f>
        <v/>
      </c>
    </row>
    <row r="548">
      <c r="A548" s="16" t="n"/>
      <c r="B548" s="1134">
        <f>VALUE(IF(AND(LEN(TRIM(C548))-LEN(SUBSTITUTE(TRIM(C548),".",""))=1,ISNUMBER(VALUE(SUBSTITUTE(TRIM(C548),".","")))),TRIM(C548),B547))</f>
        <v/>
      </c>
      <c r="C548" s="306" t="inlineStr">
        <is>
          <t>2.8</t>
        </is>
      </c>
      <c r="D548" s="227" t="n"/>
      <c r="E548" s="228" t="inlineStr">
        <is>
          <t>ZACATE</t>
        </is>
      </c>
      <c r="F548" s="229" t="n">
        <v>1</v>
      </c>
      <c r="G548" s="227" t="inlineStr">
        <is>
          <t>UND</t>
        </is>
      </c>
      <c r="H548" s="227" t="n"/>
      <c r="I548" s="227" t="n"/>
      <c r="J548" s="227" t="n"/>
      <c r="K548" s="230">
        <f>+SUBTOTAL(9,K549:K556)</f>
        <v/>
      </c>
      <c r="L548" s="230">
        <f>+SUBTOTAL(9,L549:L556)</f>
        <v/>
      </c>
      <c r="M548" s="230">
        <f>+SUBTOTAL(9,M549:M556)</f>
        <v/>
      </c>
      <c r="N548" s="230">
        <f>+SUBTOTAL(9,N549:N556)</f>
        <v/>
      </c>
      <c r="O548" s="1135">
        <f>+SUBTOTAL(9,O549:O556)</f>
        <v/>
      </c>
    </row>
    <row r="549">
      <c r="A549" s="328" t="n"/>
      <c r="B549" s="1134">
        <f>VALUE(IF(AND(LEN(TRIM(C549))-LEN(SUBSTITUTE(TRIM(C549),".",""))=1,ISNUMBER(VALUE(SUBSTITUTE(TRIM(C549),".","")))),TRIM(C549),B548))</f>
        <v/>
      </c>
      <c r="C549" s="234" t="inlineStr">
        <is>
          <t>2.8.1</t>
        </is>
      </c>
      <c r="D549" s="235" t="n"/>
      <c r="E549" s="236" t="inlineStr">
        <is>
          <t xml:space="preserve">ZACATE </t>
        </is>
      </c>
      <c r="F549" s="237">
        <f>+'1_OG y 2_ACA'!D1821</f>
        <v/>
      </c>
      <c r="G549" s="235" t="inlineStr">
        <is>
          <t>m2</t>
        </is>
      </c>
      <c r="H549" s="235" t="n"/>
      <c r="I549" s="235" t="n"/>
      <c r="J549" s="235" t="n"/>
      <c r="K549" s="238">
        <f>+SUBTOTAL(9,K550:K556)</f>
        <v/>
      </c>
      <c r="L549" s="238">
        <f>+SUBTOTAL(9,L550:L556)</f>
        <v/>
      </c>
      <c r="M549" s="238">
        <f>+SUBTOTAL(9,M550:M556)</f>
        <v/>
      </c>
      <c r="N549" s="238">
        <f>+SUBTOTAL(9,N550:N556)</f>
        <v/>
      </c>
      <c r="O549" s="1136">
        <f>+SUBTOTAL(9,O550:O556)</f>
        <v/>
      </c>
    </row>
    <row r="550">
      <c r="A550" s="16" t="n"/>
      <c r="B550" s="1134">
        <f>VALUE(IF(AND(LEN(TRIM(C550))-LEN(SUBSTITUTE(TRIM(C550),".",""))=1,ISNUMBER(VALUE(SUBSTITUTE(TRIM(C550),".","")))),TRIM(C550),B549))</f>
        <v/>
      </c>
      <c r="C550" s="317" t="inlineStr">
        <is>
          <t>M19-0005</t>
        </is>
      </c>
      <c r="D550" s="318" t="n"/>
      <c r="E550" s="252">
        <f>+_xlfn.XLOOKUP(C550,'BASE DATOS PRECIOS '!B:B,'BASE DATOS PRECIOS '!E:E)</f>
        <v/>
      </c>
      <c r="F550" s="218">
        <f>ROUNDUP('1_OG y 2_ACA'!D1831,0)</f>
        <v/>
      </c>
      <c r="G550" s="250">
        <f>+_xlfn.XLOOKUP(C550,'BASE DATOS PRECIOS '!B:B,'BASE DATOS PRECIOS '!F:F)</f>
        <v/>
      </c>
      <c r="H550" s="249">
        <f>+_xlfn.XLOOKUP(E550,'BASE DATOS PRECIOS '!E:E,'BASE DATOS PRECIOS '!H:H)</f>
        <v/>
      </c>
      <c r="I550" s="250" t="n"/>
      <c r="J550" s="250" t="n"/>
      <c r="K550" s="249">
        <f>+F550*H550</f>
        <v/>
      </c>
      <c r="L550" s="249">
        <f>+F550*I550</f>
        <v/>
      </c>
      <c r="M550" s="249">
        <f>+F550*J550</f>
        <v/>
      </c>
      <c r="N550" s="249">
        <f>SUM(K550:M550)</f>
        <v/>
      </c>
      <c r="O550" s="251">
        <f>SUM(K550:M550)/tc</f>
        <v/>
      </c>
    </row>
    <row r="551">
      <c r="A551" s="16" t="n"/>
      <c r="B551" s="1134">
        <f>VALUE(IF(AND(LEN(TRIM(C551))-LEN(SUBSTITUTE(TRIM(C551),".",""))=1,ISNUMBER(VALUE(SUBSTITUTE(TRIM(C551),".","")))),TRIM(C551),B550))</f>
        <v/>
      </c>
      <c r="C551" s="317" t="inlineStr">
        <is>
          <t>M16-0001</t>
        </is>
      </c>
      <c r="D551" s="318" t="n"/>
      <c r="E551" s="252">
        <f>+_xlfn.XLOOKUP(C551,'BASE DATOS PRECIOS '!B:B,'BASE DATOS PRECIOS '!E:E)</f>
        <v/>
      </c>
      <c r="F551" s="218">
        <f>ROUNDUP('1_OG y 2_ACA'!D1832,0)</f>
        <v/>
      </c>
      <c r="G551" s="250">
        <f>+_xlfn.XLOOKUP(C551,'BASE DATOS PRECIOS '!B:B,'BASE DATOS PRECIOS '!F:F)</f>
        <v/>
      </c>
      <c r="H551" s="249">
        <f>+_xlfn.XLOOKUP(E551,'BASE DATOS PRECIOS '!E:E,'BASE DATOS PRECIOS '!H:H)</f>
        <v/>
      </c>
      <c r="I551" s="250" t="n"/>
      <c r="J551" s="250" t="n"/>
      <c r="K551" s="249">
        <f>+F551*H551</f>
        <v/>
      </c>
      <c r="L551" s="249">
        <f>+F551*I551</f>
        <v/>
      </c>
      <c r="M551" s="249">
        <f>+F551*J551</f>
        <v/>
      </c>
      <c r="N551" s="249">
        <f>SUM(K551:M551)</f>
        <v/>
      </c>
      <c r="O551" s="251">
        <f>SUM(K551:M551)/tc</f>
        <v/>
      </c>
    </row>
    <row r="552">
      <c r="A552" s="16" t="n"/>
      <c r="B552" s="1134">
        <f>VALUE(IF(AND(LEN(TRIM(C552))-LEN(SUBSTITUTE(TRIM(C552),".",""))=1,ISNUMBER(VALUE(SUBSTITUTE(TRIM(C552),".","")))),TRIM(C552),B551))</f>
        <v/>
      </c>
      <c r="C552" s="333" t="inlineStr">
        <is>
          <t>M10-0015</t>
        </is>
      </c>
      <c r="D552" s="334" t="n"/>
      <c r="E552" s="252">
        <f>+_xlfn.XLOOKUP(C552,'BASE DATOS PRECIOS '!B:B,'BASE DATOS PRECIOS '!E:E)</f>
        <v/>
      </c>
      <c r="F552" s="218">
        <f>ROUNDUP('1_OG y 2_ACA'!D1833,0)</f>
        <v/>
      </c>
      <c r="G552" s="250">
        <f>+_xlfn.XLOOKUP(C552,'BASE DATOS PRECIOS '!B:B,'BASE DATOS PRECIOS '!F:F)</f>
        <v/>
      </c>
      <c r="H552" s="249">
        <f>+_xlfn.XLOOKUP(E552,'BASE DATOS PRECIOS '!E:E,'BASE DATOS PRECIOS '!H:H)</f>
        <v/>
      </c>
      <c r="I552" s="250" t="n"/>
      <c r="J552" s="250" t="n"/>
      <c r="K552" s="249">
        <f>+F552*H552</f>
        <v/>
      </c>
      <c r="L552" s="249">
        <f>+F552*I552</f>
        <v/>
      </c>
      <c r="M552" s="249">
        <f>+F552*J552</f>
        <v/>
      </c>
      <c r="N552" s="249">
        <f>SUM(K552:M552)</f>
        <v/>
      </c>
      <c r="O552" s="251">
        <f>SUM(K552:M552)/tc</f>
        <v/>
      </c>
    </row>
    <row r="553">
      <c r="A553" s="233" t="n"/>
      <c r="B553" s="1134">
        <f>VALUE(IF(AND(LEN(TRIM(C553))-LEN(SUBSTITUTE(TRIM(C553),".",""))=1,ISNUMBER(VALUE(SUBSTITUTE(TRIM(C553),".","")))),TRIM(C553),B552))</f>
        <v/>
      </c>
      <c r="C553" s="333" t="inlineStr">
        <is>
          <t>M13-0177</t>
        </is>
      </c>
      <c r="D553" s="334" t="n"/>
      <c r="E553" s="252">
        <f>+_xlfn.XLOOKUP(C553,'BASE DATOS PRECIOS '!B:B,'BASE DATOS PRECIOS '!E:E)</f>
        <v/>
      </c>
      <c r="F553" s="218">
        <f>ROUNDUP('1_OG y 2_ACA'!D1834,0)</f>
        <v/>
      </c>
      <c r="G553" s="250">
        <f>+_xlfn.XLOOKUP(C553,'BASE DATOS PRECIOS '!B:B,'BASE DATOS PRECIOS '!F:F)</f>
        <v/>
      </c>
      <c r="H553" s="249">
        <f>+_xlfn.XLOOKUP(E553,'BASE DATOS PRECIOS '!E:E,'BASE DATOS PRECIOS '!H:H)</f>
        <v/>
      </c>
      <c r="I553" s="250" t="n"/>
      <c r="J553" s="250" t="n"/>
      <c r="K553" s="249">
        <f>+F553*H553</f>
        <v/>
      </c>
      <c r="L553" s="249">
        <f>+F553*I553</f>
        <v/>
      </c>
      <c r="M553" s="249">
        <f>+F553*J553</f>
        <v/>
      </c>
      <c r="N553" s="249">
        <f>SUM(K553:M553)</f>
        <v/>
      </c>
      <c r="O553" s="251">
        <f>SUM(K553:M553)/tc</f>
        <v/>
      </c>
    </row>
    <row r="554">
      <c r="A554" s="16" t="n"/>
      <c r="B554" s="1134">
        <f>VALUE(IF(AND(LEN(TRIM(C554))-LEN(SUBSTITUTE(TRIM(C554),".",""))=1,ISNUMBER(VALUE(SUBSTITUTE(TRIM(C554),".","")))),TRIM(C554),B553))</f>
        <v/>
      </c>
      <c r="C554" s="333" t="inlineStr">
        <is>
          <t>M08-0047</t>
        </is>
      </c>
      <c r="D554" s="334" t="n"/>
      <c r="E554" s="252">
        <f>+_xlfn.XLOOKUP(C554,'BASE DATOS PRECIOS '!B:B,'BASE DATOS PRECIOS '!E:E)</f>
        <v/>
      </c>
      <c r="F554" s="218">
        <f>ROUNDUP('1_OG y 2_ACA'!D1835,0)</f>
        <v/>
      </c>
      <c r="G554" s="250">
        <f>+_xlfn.XLOOKUP(C554,'BASE DATOS PRECIOS '!B:B,'BASE DATOS PRECIOS '!F:F)</f>
        <v/>
      </c>
      <c r="H554" s="249">
        <f>+_xlfn.XLOOKUP(E554,'BASE DATOS PRECIOS '!E:E,'BASE DATOS PRECIOS '!H:H)</f>
        <v/>
      </c>
      <c r="I554" s="250" t="n"/>
      <c r="J554" s="250" t="n"/>
      <c r="K554" s="249">
        <f>+F554*H554</f>
        <v/>
      </c>
      <c r="L554" s="249">
        <f>+F554*I554</f>
        <v/>
      </c>
      <c r="M554" s="249">
        <f>+F554*J554</f>
        <v/>
      </c>
      <c r="N554" s="249">
        <f>SUM(K554:M554)</f>
        <v/>
      </c>
      <c r="O554" s="251">
        <f>SUM(K554:M554)/tc</f>
        <v/>
      </c>
    </row>
    <row r="555">
      <c r="A555" s="266" t="inlineStr">
        <is>
          <t>Zacate Geocelda y Detalles</t>
        </is>
      </c>
      <c r="B555" s="1134">
        <f>VALUE(IF(AND(LEN(TRIM(C555))-LEN(SUBSTITUTE(TRIM(C555),".",""))=1,ISNUMBER(VALUE(SUBSTITUTE(TRIM(C555),".","")))),TRIM(C555),B554))</f>
        <v/>
      </c>
      <c r="C555" s="267" t="inlineStr">
        <is>
          <t xml:space="preserve">OPERARIO </t>
        </is>
      </c>
      <c r="D555" s="268" t="n"/>
      <c r="E555" s="269">
        <f>+_xlfn.XLOOKUP(C555,'BASE DATOS MANO DE OBRA'!A:A,'BASE DATOS MANO DE OBRA'!B:B)</f>
        <v/>
      </c>
      <c r="F555" s="270">
        <f>+ROUNDUP('1_OG y 2_ACA'!F1838,0)/2</f>
        <v/>
      </c>
      <c r="G555" s="271">
        <f>+_xlfn.XLOOKUP(C555,'BASE DATOS MANO DE OBRA'!A:A,'BASE DATOS MANO DE OBRA'!C:C)</f>
        <v/>
      </c>
      <c r="H555" s="272" t="n">
        <v>0</v>
      </c>
      <c r="I555" s="272">
        <f>+_xlfn.XLOOKUP(C555,'BASE DATOS MANO DE OBRA'!A:A,'BASE DATOS MANO DE OBRA'!E:E)</f>
        <v/>
      </c>
      <c r="J555" s="272" t="n">
        <v>0</v>
      </c>
      <c r="K555" s="272">
        <f>+F555*H555</f>
        <v/>
      </c>
      <c r="L555" s="272">
        <f>+F555*I555</f>
        <v/>
      </c>
      <c r="M555" s="272">
        <f>+F555*J555</f>
        <v/>
      </c>
      <c r="N555" s="272">
        <f>SUM(K555:M555)</f>
        <v/>
      </c>
      <c r="O555" s="273">
        <f>SUM(K555:M555)/tc</f>
        <v/>
      </c>
    </row>
    <row r="556">
      <c r="A556" s="266" t="inlineStr">
        <is>
          <t>Zacate Geocelda y Detalles</t>
        </is>
      </c>
      <c r="B556" s="1134">
        <f>VALUE(IF(AND(LEN(TRIM(C556))-LEN(SUBSTITUTE(TRIM(C556),".",""))=1,ISNUMBER(VALUE(SUBSTITUTE(TRIM(C556),".","")))),TRIM(C556),B555))</f>
        <v/>
      </c>
      <c r="C556" s="267" t="inlineStr">
        <is>
          <t xml:space="preserve">AYUDANTE </t>
        </is>
      </c>
      <c r="D556" s="268" t="n"/>
      <c r="E556" s="269">
        <f>+_xlfn.XLOOKUP(C556,'BASE DATOS MANO DE OBRA'!A:A,'BASE DATOS MANO DE OBRA'!B:B)</f>
        <v/>
      </c>
      <c r="F556" s="270">
        <f>+F555</f>
        <v/>
      </c>
      <c r="G556" s="271">
        <f>+_xlfn.XLOOKUP(C556,'BASE DATOS MANO DE OBRA'!A:A,'BASE DATOS MANO DE OBRA'!C:C)</f>
        <v/>
      </c>
      <c r="H556" s="272" t="n">
        <v>0</v>
      </c>
      <c r="I556" s="272">
        <f>+_xlfn.XLOOKUP(C556,'BASE DATOS MANO DE OBRA'!A:A,'BASE DATOS MANO DE OBRA'!E:E)</f>
        <v/>
      </c>
      <c r="J556" s="272" t="n">
        <v>0</v>
      </c>
      <c r="K556" s="272">
        <f>+F556*H556</f>
        <v/>
      </c>
      <c r="L556" s="272">
        <f>+F556*I556</f>
        <v/>
      </c>
      <c r="M556" s="272">
        <f>+F556*J556</f>
        <v/>
      </c>
      <c r="N556" s="272">
        <f>SUM(K556:M556)</f>
        <v/>
      </c>
      <c r="O556" s="273">
        <f>SUM(K556:M556)/tc</f>
        <v/>
      </c>
    </row>
    <row r="557">
      <c r="A557" s="16" t="n"/>
      <c r="B557" s="1134">
        <f>VALUE(IF(AND(LEN(TRIM(C557))-LEN(SUBSTITUTE(TRIM(C557),".",""))=1,ISNUMBER(VALUE(SUBSTITUTE(TRIM(C557),".","")))),TRIM(C557),B556))</f>
        <v/>
      </c>
      <c r="C557" s="344" t="n">
        <v>3</v>
      </c>
      <c r="D557" s="219" t="n"/>
      <c r="E557" s="220" t="inlineStr">
        <is>
          <t>ELECTROMECANICO</t>
        </is>
      </c>
      <c r="F557" s="221" t="n"/>
      <c r="G557" s="222" t="n"/>
      <c r="H557" s="223" t="n"/>
      <c r="I557" s="223" t="n"/>
      <c r="J557" s="223" t="n"/>
      <c r="K557" s="223">
        <f>+SUBTOTAL(9,K558:K950)</f>
        <v/>
      </c>
      <c r="L557" s="223">
        <f>+SUBTOTAL(9,L558:L950)</f>
        <v/>
      </c>
      <c r="M557" s="223">
        <f>+SUBTOTAL(9,M558:M950)</f>
        <v/>
      </c>
      <c r="N557" s="223">
        <f>+SUBTOTAL(9,N558:N950)</f>
        <v/>
      </c>
      <c r="O557" s="224">
        <f>+SUBTOTAL(9,O558:O950)</f>
        <v/>
      </c>
    </row>
    <row r="558">
      <c r="A558" s="16" t="n"/>
      <c r="B558" s="1134">
        <f>VALUE(IF(AND(LEN(TRIM(C558))-LEN(SUBSTITUTE(TRIM(C558),".",""))=1,ISNUMBER(VALUE(SUBSTITUTE(TRIM(C558),".","")))),TRIM(C558),B557))</f>
        <v/>
      </c>
      <c r="C558" s="306" t="inlineStr">
        <is>
          <t>3.1</t>
        </is>
      </c>
      <c r="D558" s="227" t="n"/>
      <c r="E558" s="228" t="inlineStr">
        <is>
          <t xml:space="preserve">ELÉCTRICO </t>
        </is>
      </c>
      <c r="F558" s="229" t="n">
        <v>1</v>
      </c>
      <c r="G558" s="227" t="inlineStr">
        <is>
          <t>UND</t>
        </is>
      </c>
      <c r="H558" s="227" t="n"/>
      <c r="I558" s="227" t="n"/>
      <c r="J558" s="227" t="n"/>
      <c r="K558" s="230">
        <f>+SUBTOTAL(9,K559:K820)</f>
        <v/>
      </c>
      <c r="L558" s="230">
        <f>+SUBTOTAL(9,L559:L820)</f>
        <v/>
      </c>
      <c r="M558" s="230">
        <f>+SUBTOTAL(9,M559:M820)</f>
        <v/>
      </c>
      <c r="N558" s="230">
        <f>+SUBTOTAL(9,N559:N820)</f>
        <v/>
      </c>
      <c r="O558" s="1135">
        <f>+SUBTOTAL(9,O559:O820)</f>
        <v/>
      </c>
    </row>
    <row r="559">
      <c r="A559" s="16" t="n"/>
      <c r="B559" s="1134">
        <f>VALUE(IF(AND(LEN(TRIM(C559))-LEN(SUBSTITUTE(TRIM(C559),".",""))=1,ISNUMBER(VALUE(SUBSTITUTE(TRIM(C559),".","")))),TRIM(C559),B558))</f>
        <v/>
      </c>
      <c r="C559" s="234" t="inlineStr">
        <is>
          <t>3.1.1</t>
        </is>
      </c>
      <c r="D559" s="235" t="n"/>
      <c r="E559" s="236" t="inlineStr">
        <is>
          <t>ACOMETIDA &amp; ELECTRICO LOSA</t>
        </is>
      </c>
      <c r="F559" s="237" t="n">
        <v>1</v>
      </c>
      <c r="G559" s="235" t="inlineStr">
        <is>
          <t>gb</t>
        </is>
      </c>
      <c r="H559" s="235" t="n"/>
      <c r="I559" s="235" t="n"/>
      <c r="J559" s="235" t="n"/>
      <c r="K559" s="238">
        <f>+SUBTOTAL(9,K560:K582)</f>
        <v/>
      </c>
      <c r="L559" s="238">
        <f>+SUBTOTAL(9,L560:L582)</f>
        <v/>
      </c>
      <c r="M559" s="238">
        <f>+SUBTOTAL(9,M560:M582)</f>
        <v/>
      </c>
      <c r="N559" s="238">
        <f>+SUBTOTAL(9,N560:N582)</f>
        <v/>
      </c>
      <c r="O559" s="1136">
        <f>+SUBTOTAL(9,O560:O582)</f>
        <v/>
      </c>
    </row>
    <row r="560">
      <c r="A560" s="16" t="n"/>
      <c r="B560" s="1134">
        <f>VALUE(IF(AND(LEN(TRIM(C560))-LEN(SUBSTITUTE(TRIM(C560),".",""))=1,ISNUMBER(VALUE(SUBSTITUTE(TRIM(C560),".","")))),TRIM(C560),B559))</f>
        <v/>
      </c>
      <c r="C560" s="16" t="inlineStr">
        <is>
          <t>M05-0362</t>
        </is>
      </c>
      <c r="D560" s="292" t="n"/>
      <c r="E560" s="252">
        <f>+_xlfn.XLOOKUP(C560,'BASE DATOS PRECIOS '!B:B,'BASE DATOS PRECIOS '!E:E)</f>
        <v/>
      </c>
      <c r="F560" s="218">
        <f>'3.1_ELEC'!E14</f>
        <v/>
      </c>
      <c r="G560" s="250">
        <f>+_xlfn.XLOOKUP(C560,'BASE DATOS PRECIOS '!B:B,'BASE DATOS PRECIOS '!F:F)</f>
        <v/>
      </c>
      <c r="H560" s="249">
        <f>+_xlfn.XLOOKUP(E560,'BASE DATOS PRECIOS '!E:E,'BASE DATOS PRECIOS '!H:H)</f>
        <v/>
      </c>
      <c r="I560" s="250" t="n"/>
      <c r="J560" s="250" t="n"/>
      <c r="K560" s="249">
        <f>+F560*H560</f>
        <v/>
      </c>
      <c r="L560" s="249">
        <f>+F560*I560</f>
        <v/>
      </c>
      <c r="M560" s="249">
        <f>+F560*J560</f>
        <v/>
      </c>
      <c r="N560" s="249">
        <f>SUM(K560:M560)</f>
        <v/>
      </c>
      <c r="O560" s="251">
        <f>SUM(K560:M560)/tc</f>
        <v/>
      </c>
    </row>
    <row r="561">
      <c r="A561" s="16" t="n"/>
      <c r="B561" s="1134">
        <f>VALUE(IF(AND(LEN(TRIM(C561))-LEN(SUBSTITUTE(TRIM(C561),".",""))=1,ISNUMBER(VALUE(SUBSTITUTE(TRIM(C561),".","")))),TRIM(C561),B560))</f>
        <v/>
      </c>
      <c r="C561" s="16" t="inlineStr">
        <is>
          <t>M05-0366</t>
        </is>
      </c>
      <c r="D561" s="292" t="n"/>
      <c r="E561" s="252">
        <f>+_xlfn.XLOOKUP(C561,'BASE DATOS PRECIOS '!B:B,'BASE DATOS PRECIOS '!E:E)</f>
        <v/>
      </c>
      <c r="F561" s="218">
        <f>'3.1_ELEC'!E15</f>
        <v/>
      </c>
      <c r="G561" s="250">
        <f>+_xlfn.XLOOKUP(C561,'BASE DATOS PRECIOS '!B:B,'BASE DATOS PRECIOS '!F:F)</f>
        <v/>
      </c>
      <c r="H561" s="249">
        <f>+_xlfn.XLOOKUP(E561,'BASE DATOS PRECIOS '!E:E,'BASE DATOS PRECIOS '!H:H)</f>
        <v/>
      </c>
      <c r="I561" s="250" t="n"/>
      <c r="J561" s="250" t="n"/>
      <c r="K561" s="249">
        <f>+F561*H561</f>
        <v/>
      </c>
      <c r="L561" s="249">
        <f>+F561*I561</f>
        <v/>
      </c>
      <c r="M561" s="249">
        <f>+F561*J561</f>
        <v/>
      </c>
      <c r="N561" s="249">
        <f>SUM(K561:M561)</f>
        <v/>
      </c>
      <c r="O561" s="251">
        <f>SUM(K561:M561)/tc</f>
        <v/>
      </c>
    </row>
    <row r="562">
      <c r="A562" s="16" t="n"/>
      <c r="B562" s="1134">
        <f>VALUE(IF(AND(LEN(TRIM(C562))-LEN(SUBSTITUTE(TRIM(C562),".",""))=1,ISNUMBER(VALUE(SUBSTITUTE(TRIM(C562),".","")))),TRIM(C562),B561))</f>
        <v/>
      </c>
      <c r="C562" s="16" t="inlineStr">
        <is>
          <t>M05-0361</t>
        </is>
      </c>
      <c r="D562" s="292" t="n"/>
      <c r="E562" s="252">
        <f>+_xlfn.XLOOKUP(C562,'BASE DATOS PRECIOS '!B:B,'BASE DATOS PRECIOS '!E:E)</f>
        <v/>
      </c>
      <c r="F562" s="218">
        <f>'3.1_ELEC'!E16</f>
        <v/>
      </c>
      <c r="G562" s="250">
        <f>+_xlfn.XLOOKUP(C562,'BASE DATOS PRECIOS '!B:B,'BASE DATOS PRECIOS '!F:F)</f>
        <v/>
      </c>
      <c r="H562" s="249">
        <f>+_xlfn.XLOOKUP(E562,'BASE DATOS PRECIOS '!E:E,'BASE DATOS PRECIOS '!H:H)</f>
        <v/>
      </c>
      <c r="I562" s="250" t="n"/>
      <c r="J562" s="250" t="n"/>
      <c r="K562" s="249">
        <f>+F562*H562</f>
        <v/>
      </c>
      <c r="L562" s="249">
        <f>+F562*I562</f>
        <v/>
      </c>
      <c r="M562" s="249">
        <f>+F562*J562</f>
        <v/>
      </c>
      <c r="N562" s="249">
        <f>SUM(K562:M562)</f>
        <v/>
      </c>
      <c r="O562" s="251">
        <f>SUM(K562:M562)/tc</f>
        <v/>
      </c>
    </row>
    <row r="563">
      <c r="A563" s="16" t="n"/>
      <c r="B563" s="1134">
        <f>VALUE(IF(AND(LEN(TRIM(C563))-LEN(SUBSTITUTE(TRIM(C563),".",""))=1,ISNUMBER(VALUE(SUBSTITUTE(TRIM(C563),".","")))),TRIM(C563),B562))</f>
        <v/>
      </c>
      <c r="C563" s="16" t="inlineStr">
        <is>
          <t>M05-0367</t>
        </is>
      </c>
      <c r="D563" s="292" t="n"/>
      <c r="E563" s="252">
        <f>+_xlfn.XLOOKUP(C563,'BASE DATOS PRECIOS '!B:B,'BASE DATOS PRECIOS '!E:E)</f>
        <v/>
      </c>
      <c r="F563" s="218">
        <f>'3.1_ELEC'!E17</f>
        <v/>
      </c>
      <c r="G563" s="250">
        <f>+_xlfn.XLOOKUP(C563,'BASE DATOS PRECIOS '!B:B,'BASE DATOS PRECIOS '!F:F)</f>
        <v/>
      </c>
      <c r="H563" s="249">
        <f>+_xlfn.XLOOKUP(E563,'BASE DATOS PRECIOS '!E:E,'BASE DATOS PRECIOS '!H:H)</f>
        <v/>
      </c>
      <c r="I563" s="250" t="n"/>
      <c r="J563" s="250" t="n"/>
      <c r="K563" s="249">
        <f>+F563*H563</f>
        <v/>
      </c>
      <c r="L563" s="249">
        <f>+F563*I563</f>
        <v/>
      </c>
      <c r="M563" s="249">
        <f>+F563*J563</f>
        <v/>
      </c>
      <c r="N563" s="249">
        <f>SUM(K563:M563)</f>
        <v/>
      </c>
      <c r="O563" s="251">
        <f>SUM(K563:M563)/tc</f>
        <v/>
      </c>
    </row>
    <row r="564">
      <c r="A564" s="16" t="n"/>
      <c r="B564" s="1134">
        <f>VALUE(IF(AND(LEN(TRIM(C564))-LEN(SUBSTITUTE(TRIM(C564),".",""))=1,ISNUMBER(VALUE(SUBSTITUTE(TRIM(C564),".","")))),TRIM(C564),B563))</f>
        <v/>
      </c>
      <c r="C564" s="16" t="inlineStr">
        <is>
          <t>M05-0368</t>
        </is>
      </c>
      <c r="D564" s="292" t="n"/>
      <c r="E564" s="252">
        <f>+_xlfn.XLOOKUP(C564,'BASE DATOS PRECIOS '!B:B,'BASE DATOS PRECIOS '!E:E)</f>
        <v/>
      </c>
      <c r="F564" s="218">
        <f>'3.1_ELEC'!E18</f>
        <v/>
      </c>
      <c r="G564" s="250">
        <f>+_xlfn.XLOOKUP(C564,'BASE DATOS PRECIOS '!B:B,'BASE DATOS PRECIOS '!F:F)</f>
        <v/>
      </c>
      <c r="H564" s="249">
        <f>+_xlfn.XLOOKUP(E564,'BASE DATOS PRECIOS '!E:E,'BASE DATOS PRECIOS '!H:H)</f>
        <v/>
      </c>
      <c r="I564" s="250" t="n"/>
      <c r="J564" s="250" t="n"/>
      <c r="K564" s="249">
        <f>+F564*H564</f>
        <v/>
      </c>
      <c r="L564" s="249">
        <f>+F564*I564</f>
        <v/>
      </c>
      <c r="M564" s="249">
        <f>+F564*J564</f>
        <v/>
      </c>
      <c r="N564" s="249">
        <f>SUM(K564:M564)</f>
        <v/>
      </c>
      <c r="O564" s="251">
        <f>SUM(K564:M564)/tc</f>
        <v/>
      </c>
    </row>
    <row r="565">
      <c r="A565" s="16" t="n"/>
      <c r="B565" s="1134">
        <f>VALUE(IF(AND(LEN(TRIM(C565))-LEN(SUBSTITUTE(TRIM(C565),".",""))=1,ISNUMBER(VALUE(SUBSTITUTE(TRIM(C565),".","")))),TRIM(C565),B564))</f>
        <v/>
      </c>
      <c r="C565" s="16" t="inlineStr">
        <is>
          <t>M05-0369</t>
        </is>
      </c>
      <c r="D565" s="292" t="n"/>
      <c r="E565" s="252">
        <f>+_xlfn.XLOOKUP(C565,'BASE DATOS PRECIOS '!B:B,'BASE DATOS PRECIOS '!E:E)</f>
        <v/>
      </c>
      <c r="F565" s="218">
        <f>'3.1_ELEC'!E19</f>
        <v/>
      </c>
      <c r="G565" s="250">
        <f>+_xlfn.XLOOKUP(C565,'BASE DATOS PRECIOS '!B:B,'BASE DATOS PRECIOS '!F:F)</f>
        <v/>
      </c>
      <c r="H565" s="249">
        <f>+_xlfn.XLOOKUP(E565,'BASE DATOS PRECIOS '!E:E,'BASE DATOS PRECIOS '!H:H)</f>
        <v/>
      </c>
      <c r="I565" s="250" t="n"/>
      <c r="J565" s="250" t="n"/>
      <c r="K565" s="249">
        <f>+F565*H565</f>
        <v/>
      </c>
      <c r="L565" s="249">
        <f>+F565*I565</f>
        <v/>
      </c>
      <c r="M565" s="249">
        <f>+F565*J565</f>
        <v/>
      </c>
      <c r="N565" s="249">
        <f>SUM(K565:M565)</f>
        <v/>
      </c>
      <c r="O565" s="251">
        <f>SUM(K565:M565)/tc</f>
        <v/>
      </c>
    </row>
    <row r="566">
      <c r="A566" s="16" t="n"/>
      <c r="B566" s="1134">
        <f>VALUE(IF(AND(LEN(TRIM(C566))-LEN(SUBSTITUTE(TRIM(C566),".",""))=1,ISNUMBER(VALUE(SUBSTITUTE(TRIM(C566),".","")))),TRIM(C566),B565))</f>
        <v/>
      </c>
      <c r="C566" s="16" t="inlineStr">
        <is>
          <t>M05-0370</t>
        </is>
      </c>
      <c r="D566" s="292" t="n"/>
      <c r="E566" s="252">
        <f>+_xlfn.XLOOKUP(C566,'BASE DATOS PRECIOS '!B:B,'BASE DATOS PRECIOS '!E:E)</f>
        <v/>
      </c>
      <c r="F566" s="218">
        <f>'3.1_ELEC'!E20</f>
        <v/>
      </c>
      <c r="G566" s="250">
        <f>+_xlfn.XLOOKUP(C566,'BASE DATOS PRECIOS '!B:B,'BASE DATOS PRECIOS '!F:F)</f>
        <v/>
      </c>
      <c r="H566" s="249">
        <f>+_xlfn.XLOOKUP(E566,'BASE DATOS PRECIOS '!E:E,'BASE DATOS PRECIOS '!H:H)</f>
        <v/>
      </c>
      <c r="I566" s="250" t="n"/>
      <c r="J566" s="250" t="n"/>
      <c r="K566" s="249">
        <f>+F566*H566</f>
        <v/>
      </c>
      <c r="L566" s="249">
        <f>+F566*I566</f>
        <v/>
      </c>
      <c r="M566" s="249">
        <f>+F566*J566</f>
        <v/>
      </c>
      <c r="N566" s="249">
        <f>SUM(K566:M566)</f>
        <v/>
      </c>
      <c r="O566" s="251">
        <f>SUM(K566:M566)/tc</f>
        <v/>
      </c>
    </row>
    <row r="567">
      <c r="A567" s="16" t="n"/>
      <c r="B567" s="1134">
        <f>VALUE(IF(AND(LEN(TRIM(C567))-LEN(SUBSTITUTE(TRIM(C567),".",""))=1,ISNUMBER(VALUE(SUBSTITUTE(TRIM(C567),".","")))),TRIM(C567),B566))</f>
        <v/>
      </c>
      <c r="C567" s="274" t="inlineStr">
        <is>
          <t>M05-0371</t>
        </is>
      </c>
      <c r="D567" s="275" t="n"/>
      <c r="E567" s="252">
        <f>+_xlfn.XLOOKUP(C567,'BASE DATOS PRECIOS '!B:B,'BASE DATOS PRECIOS '!E:E)</f>
        <v/>
      </c>
      <c r="F567" s="218">
        <f>'3.1_ELEC'!E21</f>
        <v/>
      </c>
      <c r="G567" s="250">
        <f>+_xlfn.XLOOKUP(C567,'BASE DATOS PRECIOS '!B:B,'BASE DATOS PRECIOS '!F:F)</f>
        <v/>
      </c>
      <c r="H567" s="249">
        <f>+_xlfn.XLOOKUP(E567,'BASE DATOS PRECIOS '!E:E,'BASE DATOS PRECIOS '!H:H)</f>
        <v/>
      </c>
      <c r="I567" s="250" t="n"/>
      <c r="J567" s="250" t="n"/>
      <c r="K567" s="249">
        <f>+F567*H567</f>
        <v/>
      </c>
      <c r="L567" s="249">
        <f>+F567*I567</f>
        <v/>
      </c>
      <c r="M567" s="249">
        <f>+F567*J567</f>
        <v/>
      </c>
      <c r="N567" s="249">
        <f>SUM(K567:M567)</f>
        <v/>
      </c>
      <c r="O567" s="251">
        <f>SUM(K567:M567)/tc</f>
        <v/>
      </c>
    </row>
    <row r="568">
      <c r="A568" s="16" t="n"/>
      <c r="B568" s="1134">
        <f>VALUE(IF(AND(LEN(TRIM(C568))-LEN(SUBSTITUTE(TRIM(C568),".",""))=1,ISNUMBER(VALUE(SUBSTITUTE(TRIM(C568),".","")))),TRIM(C568),B567))</f>
        <v/>
      </c>
      <c r="C568" s="274" t="inlineStr">
        <is>
          <t>M05-0372</t>
        </is>
      </c>
      <c r="D568" s="275" t="n"/>
      <c r="E568" s="252">
        <f>+_xlfn.XLOOKUP(C568,'BASE DATOS PRECIOS '!B:B,'BASE DATOS PRECIOS '!E:E)</f>
        <v/>
      </c>
      <c r="F568" s="218">
        <f>'3.1_ELEC'!E22</f>
        <v/>
      </c>
      <c r="G568" s="250">
        <f>+_xlfn.XLOOKUP(C568,'BASE DATOS PRECIOS '!B:B,'BASE DATOS PRECIOS '!F:F)</f>
        <v/>
      </c>
      <c r="H568" s="249">
        <f>+_xlfn.XLOOKUP(E568,'BASE DATOS PRECIOS '!E:E,'BASE DATOS PRECIOS '!H:H)</f>
        <v/>
      </c>
      <c r="I568" s="250" t="n"/>
      <c r="J568" s="250" t="n"/>
      <c r="K568" s="249">
        <f>+F568*H568</f>
        <v/>
      </c>
      <c r="L568" s="249">
        <f>+F568*I568</f>
        <v/>
      </c>
      <c r="M568" s="249">
        <f>+F568*J568</f>
        <v/>
      </c>
      <c r="N568" s="249">
        <f>SUM(K568:M568)</f>
        <v/>
      </c>
      <c r="O568" s="251">
        <f>SUM(K568:M568)/tc</f>
        <v/>
      </c>
    </row>
    <row r="569">
      <c r="A569" s="16" t="n"/>
      <c r="B569" s="1134">
        <f>VALUE(IF(AND(LEN(TRIM(C569))-LEN(SUBSTITUTE(TRIM(C569),".",""))=1,ISNUMBER(VALUE(SUBSTITUTE(TRIM(C569),".","")))),TRIM(C569),B568))</f>
        <v/>
      </c>
      <c r="C569" s="324" t="inlineStr">
        <is>
          <t>M05-0373</t>
        </is>
      </c>
      <c r="D569" s="325" t="n"/>
      <c r="E569" s="252">
        <f>+_xlfn.XLOOKUP(C569,'BASE DATOS PRECIOS '!B:B,'BASE DATOS PRECIOS '!E:E)</f>
        <v/>
      </c>
      <c r="F569" s="218">
        <f>'3.1_ELEC'!E23</f>
        <v/>
      </c>
      <c r="G569" s="250">
        <f>+_xlfn.XLOOKUP(C569,'BASE DATOS PRECIOS '!B:B,'BASE DATOS PRECIOS '!F:F)</f>
        <v/>
      </c>
      <c r="H569" s="249">
        <f>+_xlfn.XLOOKUP(E569,'BASE DATOS PRECIOS '!E:E,'BASE DATOS PRECIOS '!H:H)</f>
        <v/>
      </c>
      <c r="I569" s="250" t="n"/>
      <c r="J569" s="250" t="n"/>
      <c r="K569" s="249">
        <f>+F569*H569</f>
        <v/>
      </c>
      <c r="L569" s="249">
        <f>+F569*I569</f>
        <v/>
      </c>
      <c r="M569" s="249">
        <f>+F569*J569</f>
        <v/>
      </c>
      <c r="N569" s="249">
        <f>SUM(K569:M569)</f>
        <v/>
      </c>
      <c r="O569" s="251">
        <f>SUM(K569:M569)/tc</f>
        <v/>
      </c>
    </row>
    <row r="570">
      <c r="A570" s="16" t="n"/>
      <c r="B570" s="1134">
        <f>VALUE(IF(AND(LEN(TRIM(C570))-LEN(SUBSTITUTE(TRIM(C570),".",""))=1,ISNUMBER(VALUE(SUBSTITUTE(TRIM(C570),".","")))),TRIM(C570),B569))</f>
        <v/>
      </c>
      <c r="C570" s="16" t="inlineStr">
        <is>
          <t>M05-0374</t>
        </is>
      </c>
      <c r="D570" s="292" t="n"/>
      <c r="E570" s="252">
        <f>+_xlfn.XLOOKUP(C570,'BASE DATOS PRECIOS '!B:B,'BASE DATOS PRECIOS '!E:E)</f>
        <v/>
      </c>
      <c r="F570" s="218">
        <f>'3.1_ELEC'!E24</f>
        <v/>
      </c>
      <c r="G570" s="250">
        <f>+_xlfn.XLOOKUP(C570,'BASE DATOS PRECIOS '!B:B,'BASE DATOS PRECIOS '!F:F)</f>
        <v/>
      </c>
      <c r="H570" s="249">
        <f>+_xlfn.XLOOKUP(E570,'BASE DATOS PRECIOS '!E:E,'BASE DATOS PRECIOS '!H:H)</f>
        <v/>
      </c>
      <c r="I570" s="250" t="n"/>
      <c r="J570" s="250" t="n"/>
      <c r="K570" s="249">
        <f>+F570*H570</f>
        <v/>
      </c>
      <c r="L570" s="249">
        <f>+F570*I570</f>
        <v/>
      </c>
      <c r="M570" s="249">
        <f>+F570*J570</f>
        <v/>
      </c>
      <c r="N570" s="249">
        <f>SUM(K570:M570)</f>
        <v/>
      </c>
      <c r="O570" s="251">
        <f>SUM(K570:M570)/tc</f>
        <v/>
      </c>
    </row>
    <row r="571">
      <c r="A571" s="16" t="n"/>
      <c r="B571" s="1134">
        <f>VALUE(IF(AND(LEN(TRIM(C571))-LEN(SUBSTITUTE(TRIM(C571),".",""))=1,ISNUMBER(VALUE(SUBSTITUTE(TRIM(C571),".","")))),TRIM(C571),B570))</f>
        <v/>
      </c>
      <c r="C571" s="16" t="inlineStr">
        <is>
          <t>M05-0375</t>
        </is>
      </c>
      <c r="D571" s="292" t="n"/>
      <c r="E571" s="252">
        <f>+_xlfn.XLOOKUP(C571,'BASE DATOS PRECIOS '!B:B,'BASE DATOS PRECIOS '!E:E)</f>
        <v/>
      </c>
      <c r="F571" s="218">
        <f>'3.1_ELEC'!E25</f>
        <v/>
      </c>
      <c r="G571" s="250">
        <f>+_xlfn.XLOOKUP(C571,'BASE DATOS PRECIOS '!B:B,'BASE DATOS PRECIOS '!F:F)</f>
        <v/>
      </c>
      <c r="H571" s="249">
        <f>+_xlfn.XLOOKUP(E571,'BASE DATOS PRECIOS '!E:E,'BASE DATOS PRECIOS '!H:H)</f>
        <v/>
      </c>
      <c r="I571" s="250" t="n"/>
      <c r="J571" s="250" t="n"/>
      <c r="K571" s="249">
        <f>+F571*H571</f>
        <v/>
      </c>
      <c r="L571" s="249">
        <f>+F571*I571</f>
        <v/>
      </c>
      <c r="M571" s="249">
        <f>+F571*J571</f>
        <v/>
      </c>
      <c r="N571" s="249">
        <f>SUM(K571:M571)</f>
        <v/>
      </c>
      <c r="O571" s="251">
        <f>SUM(K571:M571)/tc</f>
        <v/>
      </c>
    </row>
    <row r="572">
      <c r="A572" s="16" t="n"/>
      <c r="B572" s="1134">
        <f>VALUE(IF(AND(LEN(TRIM(C572))-LEN(SUBSTITUTE(TRIM(C572),".",""))=1,ISNUMBER(VALUE(SUBSTITUTE(TRIM(C572),".","")))),TRIM(C572),B571))</f>
        <v/>
      </c>
      <c r="C572" s="274" t="inlineStr">
        <is>
          <t>M05-0476</t>
        </is>
      </c>
      <c r="D572" s="275" t="n"/>
      <c r="E572" s="252">
        <f>+_xlfn.XLOOKUP(C572,'BASE DATOS PRECIOS '!B:B,'BASE DATOS PRECIOS '!E:E)</f>
        <v/>
      </c>
      <c r="F572" s="218">
        <f>'3.1_ELEC'!E26</f>
        <v/>
      </c>
      <c r="G572" s="250">
        <f>+_xlfn.XLOOKUP(C572,'BASE DATOS PRECIOS '!B:B,'BASE DATOS PRECIOS '!F:F)</f>
        <v/>
      </c>
      <c r="H572" s="249">
        <f>+_xlfn.XLOOKUP(E572,'BASE DATOS PRECIOS '!E:E,'BASE DATOS PRECIOS '!H:H)</f>
        <v/>
      </c>
      <c r="I572" s="250" t="n"/>
      <c r="J572" s="250" t="n"/>
      <c r="K572" s="249">
        <f>+F572*H572</f>
        <v/>
      </c>
      <c r="L572" s="249">
        <f>+F572*I572</f>
        <v/>
      </c>
      <c r="M572" s="249">
        <f>+F572*J572</f>
        <v/>
      </c>
      <c r="N572" s="249">
        <f>SUM(K572:M572)</f>
        <v/>
      </c>
      <c r="O572" s="251">
        <f>SUM(K572:M572)/tc</f>
        <v/>
      </c>
    </row>
    <row r="573">
      <c r="A573" s="16" t="n"/>
      <c r="B573" s="1134">
        <f>VALUE(IF(AND(LEN(TRIM(C573))-LEN(SUBSTITUTE(TRIM(C573),".",""))=1,ISNUMBER(VALUE(SUBSTITUTE(TRIM(C573),".","")))),TRIM(C573),B572))</f>
        <v/>
      </c>
      <c r="C573" s="324" t="inlineStr">
        <is>
          <t>M11-0071</t>
        </is>
      </c>
      <c r="D573" s="325" t="n"/>
      <c r="E573" s="252">
        <f>+_xlfn.XLOOKUP(C573,'BASE DATOS PRECIOS '!B:B,'BASE DATOS PRECIOS '!E:E)</f>
        <v/>
      </c>
      <c r="F573" s="218">
        <f>'3.1_ELEC'!E27</f>
        <v/>
      </c>
      <c r="G573" s="250">
        <f>+_xlfn.XLOOKUP(C573,'BASE DATOS PRECIOS '!B:B,'BASE DATOS PRECIOS '!F:F)</f>
        <v/>
      </c>
      <c r="H573" s="249">
        <f>+_xlfn.XLOOKUP(E573,'BASE DATOS PRECIOS '!E:E,'BASE DATOS PRECIOS '!H:H)</f>
        <v/>
      </c>
      <c r="I573" s="250" t="n"/>
      <c r="J573" s="250" t="n"/>
      <c r="K573" s="249">
        <f>+F573*H573</f>
        <v/>
      </c>
      <c r="L573" s="249">
        <f>+F573*I573</f>
        <v/>
      </c>
      <c r="M573" s="249">
        <f>+F573*J573</f>
        <v/>
      </c>
      <c r="N573" s="249">
        <f>SUM(K573:M573)</f>
        <v/>
      </c>
      <c r="O573" s="251">
        <f>SUM(K573:M573)/tc</f>
        <v/>
      </c>
    </row>
    <row r="574">
      <c r="A574" s="16" t="n"/>
      <c r="B574" s="1134">
        <f>VALUE(IF(AND(LEN(TRIM(C574))-LEN(SUBSTITUTE(TRIM(C574),".",""))=1,ISNUMBER(VALUE(SUBSTITUTE(TRIM(C574),".","")))),TRIM(C574),B573))</f>
        <v/>
      </c>
      <c r="C574" s="16" t="inlineStr">
        <is>
          <t>M06-0175</t>
        </is>
      </c>
      <c r="D574" s="292" t="n"/>
      <c r="E574" s="252">
        <f>+_xlfn.XLOOKUP(C574,'BASE DATOS PRECIOS '!B:B,'BASE DATOS PRECIOS '!E:E)</f>
        <v/>
      </c>
      <c r="F574" s="218">
        <f>'3.1_ELEC'!E28</f>
        <v/>
      </c>
      <c r="G574" s="250">
        <f>+_xlfn.XLOOKUP(C574,'BASE DATOS PRECIOS '!B:B,'BASE DATOS PRECIOS '!F:F)</f>
        <v/>
      </c>
      <c r="H574" s="249">
        <f>+_xlfn.XLOOKUP(E574,'BASE DATOS PRECIOS '!E:E,'BASE DATOS PRECIOS '!H:H)</f>
        <v/>
      </c>
      <c r="I574" s="250" t="n"/>
      <c r="J574" s="250" t="n"/>
      <c r="K574" s="249">
        <f>+F574*H574</f>
        <v/>
      </c>
      <c r="L574" s="249">
        <f>+F574*I574</f>
        <v/>
      </c>
      <c r="M574" s="249">
        <f>+F574*J574</f>
        <v/>
      </c>
      <c r="N574" s="249">
        <f>SUM(K574:M574)</f>
        <v/>
      </c>
      <c r="O574" s="251">
        <f>SUM(K574:M574)/tc</f>
        <v/>
      </c>
    </row>
    <row r="575">
      <c r="A575" s="16" t="n"/>
      <c r="B575" s="1134">
        <f>VALUE(IF(AND(LEN(TRIM(C575))-LEN(SUBSTITUTE(TRIM(C575),".",""))=1,ISNUMBER(VALUE(SUBSTITUTE(TRIM(C575),".","")))),TRIM(C575),B574))</f>
        <v/>
      </c>
      <c r="C575" s="16" t="inlineStr">
        <is>
          <t>M06-0013</t>
        </is>
      </c>
      <c r="D575" s="292" t="n"/>
      <c r="E575" s="252">
        <f>+_xlfn.XLOOKUP(C575,'BASE DATOS PRECIOS '!B:B,'BASE DATOS PRECIOS '!E:E)</f>
        <v/>
      </c>
      <c r="F575" s="218">
        <f>'3.1_ELEC'!E29</f>
        <v/>
      </c>
      <c r="G575" s="250">
        <f>+_xlfn.XLOOKUP(C575,'BASE DATOS PRECIOS '!B:B,'BASE DATOS PRECIOS '!F:F)</f>
        <v/>
      </c>
      <c r="H575" s="249">
        <f>+_xlfn.XLOOKUP(E575,'BASE DATOS PRECIOS '!E:E,'BASE DATOS PRECIOS '!H:H)</f>
        <v/>
      </c>
      <c r="I575" s="250" t="n"/>
      <c r="J575" s="250" t="n"/>
      <c r="K575" s="249">
        <f>+F575*H575</f>
        <v/>
      </c>
      <c r="L575" s="249">
        <f>+F575*I575</f>
        <v/>
      </c>
      <c r="M575" s="249">
        <f>+F575*J575</f>
        <v/>
      </c>
      <c r="N575" s="249">
        <f>SUM(K575:M575)</f>
        <v/>
      </c>
      <c r="O575" s="251">
        <f>SUM(K575:M575)/tc</f>
        <v/>
      </c>
    </row>
    <row r="576">
      <c r="A576" s="16" t="n"/>
      <c r="B576" s="1134">
        <f>VALUE(IF(AND(LEN(TRIM(C576))-LEN(SUBSTITUTE(TRIM(C576),".",""))=1,ISNUMBER(VALUE(SUBSTITUTE(TRIM(C576),".","")))),TRIM(C576),B575))</f>
        <v/>
      </c>
      <c r="C576" s="274" t="inlineStr">
        <is>
          <t>M06-0210</t>
        </is>
      </c>
      <c r="D576" s="275" t="n"/>
      <c r="E576" s="252">
        <f>+_xlfn.XLOOKUP(C576,'BASE DATOS PRECIOS '!B:B,'BASE DATOS PRECIOS '!E:E)</f>
        <v/>
      </c>
      <c r="F576" s="218">
        <f>'3.1_ELEC'!E30</f>
        <v/>
      </c>
      <c r="G576" s="250">
        <f>+_xlfn.XLOOKUP(C576,'BASE DATOS PRECIOS '!B:B,'BASE DATOS PRECIOS '!F:F)</f>
        <v/>
      </c>
      <c r="H576" s="249">
        <f>+_xlfn.XLOOKUP(E576,'BASE DATOS PRECIOS '!E:E,'BASE DATOS PRECIOS '!H:H)</f>
        <v/>
      </c>
      <c r="I576" s="250" t="n"/>
      <c r="J576" s="250" t="n"/>
      <c r="K576" s="249">
        <f>+F576*H576</f>
        <v/>
      </c>
      <c r="L576" s="249">
        <f>+F576*I576</f>
        <v/>
      </c>
      <c r="M576" s="249">
        <f>+F576*J576</f>
        <v/>
      </c>
      <c r="N576" s="249">
        <f>SUM(K576:M576)</f>
        <v/>
      </c>
      <c r="O576" s="251">
        <f>SUM(K576:M576)/tc</f>
        <v/>
      </c>
    </row>
    <row r="577">
      <c r="A577" s="233" t="n"/>
      <c r="B577" s="1134">
        <f>VALUE(IF(AND(LEN(TRIM(C577))-LEN(SUBSTITUTE(TRIM(C577),".",""))=1,ISNUMBER(VALUE(SUBSTITUTE(TRIM(C577),".","")))),TRIM(C577),B576))</f>
        <v/>
      </c>
      <c r="C577" s="274" t="inlineStr">
        <is>
          <t>M04-0003</t>
        </is>
      </c>
      <c r="D577" s="275" t="n"/>
      <c r="E577" s="252">
        <f>+_xlfn.XLOOKUP(C577,'BASE DATOS PRECIOS '!B:B,'BASE DATOS PRECIOS '!E:E)</f>
        <v/>
      </c>
      <c r="F577" s="218">
        <f>'3.1_ELEC'!E31</f>
        <v/>
      </c>
      <c r="G577" s="250">
        <f>+_xlfn.XLOOKUP(C577,'BASE DATOS PRECIOS '!B:B,'BASE DATOS PRECIOS '!F:F)</f>
        <v/>
      </c>
      <c r="H577" s="249">
        <f>+_xlfn.XLOOKUP(E577,'BASE DATOS PRECIOS '!E:E,'BASE DATOS PRECIOS '!H:H)</f>
        <v/>
      </c>
      <c r="I577" s="250" t="n"/>
      <c r="J577" s="250" t="n"/>
      <c r="K577" s="249">
        <f>+F577*H577</f>
        <v/>
      </c>
      <c r="L577" s="249">
        <f>+F577*I577</f>
        <v/>
      </c>
      <c r="M577" s="249">
        <f>+F577*J577</f>
        <v/>
      </c>
      <c r="N577" s="249">
        <f>SUM(K577:M577)</f>
        <v/>
      </c>
      <c r="O577" s="251">
        <f>SUM(K577:M577)/tc</f>
        <v/>
      </c>
    </row>
    <row r="578">
      <c r="A578" s="16" t="n"/>
      <c r="B578" s="1134">
        <f>VALUE(IF(AND(LEN(TRIM(C578))-LEN(SUBSTITUTE(TRIM(C578),".",""))=1,ISNUMBER(VALUE(SUBSTITUTE(TRIM(C578),".","")))),TRIM(C578),B577))</f>
        <v/>
      </c>
      <c r="C578" s="324" t="inlineStr">
        <is>
          <t>M05-0389</t>
        </is>
      </c>
      <c r="D578" s="325" t="n"/>
      <c r="E578" s="252">
        <f>+_xlfn.XLOOKUP(C578,'BASE DATOS PRECIOS '!B:B,'BASE DATOS PRECIOS '!E:E)</f>
        <v/>
      </c>
      <c r="F578" s="218">
        <f>'3.1_ELEC'!E32</f>
        <v/>
      </c>
      <c r="G578" s="250">
        <f>+_xlfn.XLOOKUP(C578,'BASE DATOS PRECIOS '!B:B,'BASE DATOS PRECIOS '!F:F)</f>
        <v/>
      </c>
      <c r="H578" s="249">
        <f>+_xlfn.XLOOKUP(E578,'BASE DATOS PRECIOS '!E:E,'BASE DATOS PRECIOS '!H:H)</f>
        <v/>
      </c>
      <c r="I578" s="250" t="n"/>
      <c r="J578" s="250" t="n"/>
      <c r="K578" s="249">
        <f>+F578*H578</f>
        <v/>
      </c>
      <c r="L578" s="249">
        <f>+F578*I578</f>
        <v/>
      </c>
      <c r="M578" s="249">
        <f>+F578*J578</f>
        <v/>
      </c>
      <c r="N578" s="249">
        <f>SUM(K578:M578)</f>
        <v/>
      </c>
      <c r="O578" s="251">
        <f>SUM(K578:M578)/tc</f>
        <v/>
      </c>
    </row>
    <row r="579">
      <c r="A579" s="16" t="n"/>
      <c r="B579" s="1134">
        <f>VALUE(IF(AND(LEN(TRIM(C579))-LEN(SUBSTITUTE(TRIM(C579),".",""))=1,ISNUMBER(VALUE(SUBSTITUTE(TRIM(C579),".","")))),TRIM(C579),B578))</f>
        <v/>
      </c>
      <c r="C579" s="274" t="inlineStr">
        <is>
          <t>M06-0197</t>
        </is>
      </c>
      <c r="D579" s="275" t="n"/>
      <c r="E579" s="252">
        <f>+_xlfn.XLOOKUP(C579,'BASE DATOS PRECIOS '!B:B,'BASE DATOS PRECIOS '!E:E)</f>
        <v/>
      </c>
      <c r="F579" s="218">
        <f>'3.1_ELEC'!E33</f>
        <v/>
      </c>
      <c r="G579" s="250">
        <f>+_xlfn.XLOOKUP(C579,'BASE DATOS PRECIOS '!B:B,'BASE DATOS PRECIOS '!F:F)</f>
        <v/>
      </c>
      <c r="H579" s="249">
        <f>+_xlfn.XLOOKUP(E579,'BASE DATOS PRECIOS '!E:E,'BASE DATOS PRECIOS '!H:H)</f>
        <v/>
      </c>
      <c r="I579" s="250" t="n"/>
      <c r="J579" s="250" t="n"/>
      <c r="K579" s="249">
        <f>+F579*H579</f>
        <v/>
      </c>
      <c r="L579" s="249">
        <f>+F579*I579</f>
        <v/>
      </c>
      <c r="M579" s="249">
        <f>+F579*J579</f>
        <v/>
      </c>
      <c r="N579" s="249">
        <f>SUM(K579:M579)</f>
        <v/>
      </c>
      <c r="O579" s="251">
        <f>SUM(K579:M579)/tc</f>
        <v/>
      </c>
    </row>
    <row r="580">
      <c r="A580" s="16" t="n"/>
      <c r="B580" s="1134">
        <f>VALUE(IF(AND(LEN(TRIM(C580))-LEN(SUBSTITUTE(TRIM(C580),".",""))=1,ISNUMBER(VALUE(SUBSTITUTE(TRIM(C580),".","")))),TRIM(C580),B579))</f>
        <v/>
      </c>
      <c r="C580" s="267" t="inlineStr">
        <is>
          <t xml:space="preserve">SUB ACOMETIDA </t>
        </is>
      </c>
      <c r="D580" s="268" t="n"/>
      <c r="E580" s="269">
        <f>+_xlfn.XLOOKUP(C580,'BASE DATOS EQUIPOS Y SUBCONTRAT'!A:A,'BASE DATOS EQUIPOS Y SUBCONTRAT'!B:B)</f>
        <v/>
      </c>
      <c r="F580" s="356" t="n">
        <v>1</v>
      </c>
      <c r="G580" s="357">
        <f>+_xlfn.XLOOKUP(C580,'BASE DATOS EQUIPOS Y SUBCONTRAT'!A:A,'BASE DATOS EQUIPOS Y SUBCONTRAT'!C:C)</f>
        <v/>
      </c>
      <c r="H580" s="358" t="n">
        <v>0</v>
      </c>
      <c r="I580" s="357" t="n"/>
      <c r="J580" s="358">
        <f>+'3.1_ELEC'!D35</f>
        <v/>
      </c>
      <c r="K580" s="358">
        <f>+F580*H580</f>
        <v/>
      </c>
      <c r="L580" s="358">
        <f>+F580*I580</f>
        <v/>
      </c>
      <c r="M580" s="358">
        <f>+F580*J580</f>
        <v/>
      </c>
      <c r="N580" s="358">
        <f>SUM(K580:M580)</f>
        <v/>
      </c>
      <c r="O580" s="359">
        <f>SUM(K580:M580)/tc</f>
        <v/>
      </c>
    </row>
    <row r="581">
      <c r="A581" s="16" t="n"/>
      <c r="B581" s="1134">
        <f>VALUE(IF(AND(LEN(TRIM(C581))-LEN(SUBSTITUTE(TRIM(C581),".",""))=1,ISNUMBER(VALUE(SUBSTITUTE(TRIM(C581),".","")))),TRIM(C581),B580))</f>
        <v/>
      </c>
      <c r="C581" s="267" t="inlineStr">
        <is>
          <t xml:space="preserve">OPERARIO </t>
        </is>
      </c>
      <c r="D581" s="268" t="n"/>
      <c r="E581" s="269">
        <f>+_xlfn.XLOOKUP(C581,'BASE DATOS MANO DE OBRA'!A:A,'BASE DATOS MANO DE OBRA'!B:B)</f>
        <v/>
      </c>
      <c r="F581" s="270" t="n">
        <v>0</v>
      </c>
      <c r="G581" s="271">
        <f>+_xlfn.XLOOKUP(C581,'BASE DATOS MANO DE OBRA'!A:A,'BASE DATOS MANO DE OBRA'!C:C)</f>
        <v/>
      </c>
      <c r="H581" s="272" t="n">
        <v>0</v>
      </c>
      <c r="I581" s="272">
        <f>+_xlfn.XLOOKUP(C581,'BASE DATOS MANO DE OBRA'!A:A,'BASE DATOS MANO DE OBRA'!E:E)</f>
        <v/>
      </c>
      <c r="J581" s="272" t="n">
        <v>0</v>
      </c>
      <c r="K581" s="272">
        <f>+F581*H581</f>
        <v/>
      </c>
      <c r="L581" s="272">
        <f>+F581*I581</f>
        <v/>
      </c>
      <c r="M581" s="272">
        <f>+F581*J581</f>
        <v/>
      </c>
      <c r="N581" s="272">
        <f>SUM(K581:M581)</f>
        <v/>
      </c>
      <c r="O581" s="273">
        <f>SUM(K581:M581)/tc</f>
        <v/>
      </c>
    </row>
    <row r="582">
      <c r="A582" s="16" t="n"/>
      <c r="B582" s="1134">
        <f>VALUE(IF(AND(LEN(TRIM(C582))-LEN(SUBSTITUTE(TRIM(C582),".",""))=1,ISNUMBER(VALUE(SUBSTITUTE(TRIM(C582),".","")))),TRIM(C582),B581))</f>
        <v/>
      </c>
      <c r="C582" s="267" t="inlineStr">
        <is>
          <t xml:space="preserve">AYUDANTE </t>
        </is>
      </c>
      <c r="D582" s="268" t="n"/>
      <c r="E582" s="269">
        <f>+_xlfn.XLOOKUP(C582,'BASE DATOS MANO DE OBRA'!A:A,'BASE DATOS MANO DE OBRA'!B:B)</f>
        <v/>
      </c>
      <c r="F582" s="270" t="n">
        <v>0</v>
      </c>
      <c r="G582" s="271">
        <f>+_xlfn.XLOOKUP(C582,'BASE DATOS MANO DE OBRA'!A:A,'BASE DATOS MANO DE OBRA'!C:C)</f>
        <v/>
      </c>
      <c r="H582" s="272" t="n">
        <v>0</v>
      </c>
      <c r="I582" s="272">
        <f>+_xlfn.XLOOKUP(C582,'BASE DATOS MANO DE OBRA'!A:A,'BASE DATOS MANO DE OBRA'!E:E)</f>
        <v/>
      </c>
      <c r="J582" s="272" t="n">
        <v>0</v>
      </c>
      <c r="K582" s="272">
        <f>+F582*H582</f>
        <v/>
      </c>
      <c r="L582" s="272">
        <f>+F582*I582</f>
        <v/>
      </c>
      <c r="M582" s="272">
        <f>+F582*J582</f>
        <v/>
      </c>
      <c r="N582" s="272">
        <f>SUM(K582:M582)</f>
        <v/>
      </c>
      <c r="O582" s="273">
        <f>SUM(K582:M582)/tc</f>
        <v/>
      </c>
    </row>
    <row r="583">
      <c r="A583" s="16" t="n"/>
      <c r="B583" s="1134">
        <f>VALUE(IF(AND(LEN(TRIM(C583))-LEN(SUBSTITUTE(TRIM(C583),".",""))=1,ISNUMBER(VALUE(SUBSTITUTE(TRIM(C583),".","")))),TRIM(C583),B582))</f>
        <v/>
      </c>
      <c r="C583" s="234" t="inlineStr">
        <is>
          <t>3.1.2</t>
        </is>
      </c>
      <c r="D583" s="235" t="n"/>
      <c r="E583" s="236" t="inlineStr">
        <is>
          <t xml:space="preserve">ELÉCTRICO MUROS </t>
        </is>
      </c>
      <c r="F583" s="237" t="n">
        <v>1</v>
      </c>
      <c r="G583" s="235" t="inlineStr">
        <is>
          <t>gb</t>
        </is>
      </c>
      <c r="H583" s="235" t="n"/>
      <c r="I583" s="235" t="n"/>
      <c r="J583" s="235" t="n"/>
      <c r="K583" s="238">
        <f>+SUBTOTAL(9,K584:K608)</f>
        <v/>
      </c>
      <c r="L583" s="238">
        <f>+SUBTOTAL(9,L584:L608)</f>
        <v/>
      </c>
      <c r="M583" s="238">
        <f>+SUBTOTAL(9,M584:M608)</f>
        <v/>
      </c>
      <c r="N583" s="238">
        <f>+SUBTOTAL(9,N584:N608)</f>
        <v/>
      </c>
      <c r="O583" s="1136">
        <f>+SUBTOTAL(9,O584:O608)</f>
        <v/>
      </c>
    </row>
    <row r="584">
      <c r="A584" s="16" t="n"/>
      <c r="B584" s="1134">
        <f>VALUE(IF(AND(LEN(TRIM(C584))-LEN(SUBSTITUTE(TRIM(C584),".",""))=1,ISNUMBER(VALUE(SUBSTITUTE(TRIM(C584),".","")))),TRIM(C584),B583))</f>
        <v/>
      </c>
      <c r="C584" s="274" t="inlineStr">
        <is>
          <t>M05-0372</t>
        </is>
      </c>
      <c r="D584" s="275" t="n"/>
      <c r="E584" s="252">
        <f>+_xlfn.XLOOKUP(C584,'BASE DATOS PRECIOS '!B:B,'BASE DATOS PRECIOS '!E:E)</f>
        <v/>
      </c>
      <c r="F584" s="299">
        <f>'3.1_ELEC'!E42</f>
        <v/>
      </c>
      <c r="G584" s="321">
        <f>+_xlfn.XLOOKUP(C584,'BASE DATOS PRECIOS '!B:B,'BASE DATOS PRECIOS '!F:F)</f>
        <v/>
      </c>
      <c r="H584" s="322">
        <f>+_xlfn.XLOOKUP(E584,'BASE DATOS PRECIOS '!E:E,'BASE DATOS PRECIOS '!H:H)</f>
        <v/>
      </c>
      <c r="I584" s="321" t="n"/>
      <c r="J584" s="321" t="n"/>
      <c r="K584" s="322">
        <f>+F584*H584</f>
        <v/>
      </c>
      <c r="L584" s="322">
        <f>+F584*I584</f>
        <v/>
      </c>
      <c r="M584" s="322">
        <f>+F584*J584</f>
        <v/>
      </c>
      <c r="N584" s="322">
        <f>SUM(K584:M584)</f>
        <v/>
      </c>
      <c r="O584" s="323">
        <f>SUM(K584:M584)/tc</f>
        <v/>
      </c>
    </row>
    <row r="585">
      <c r="A585" s="16" t="n"/>
      <c r="B585" s="1134">
        <f>VALUE(IF(AND(LEN(TRIM(C585))-LEN(SUBSTITUTE(TRIM(C585),".",""))=1,ISNUMBER(VALUE(SUBSTITUTE(TRIM(C585),".","")))),TRIM(C585),B584))</f>
        <v/>
      </c>
      <c r="C585" s="301" t="inlineStr">
        <is>
          <t>M05-0373</t>
        </is>
      </c>
      <c r="D585" s="302" t="n"/>
      <c r="E585" s="252">
        <f>+_xlfn.XLOOKUP(C585,'BASE DATOS PRECIOS '!B:B,'BASE DATOS PRECIOS '!E:E)</f>
        <v/>
      </c>
      <c r="F585" s="299">
        <f>'3.1_ELEC'!E43</f>
        <v/>
      </c>
      <c r="G585" s="321">
        <f>+_xlfn.XLOOKUP(C585,'BASE DATOS PRECIOS '!B:B,'BASE DATOS PRECIOS '!F:F)</f>
        <v/>
      </c>
      <c r="H585" s="322">
        <f>+_xlfn.XLOOKUP(E585,'BASE DATOS PRECIOS '!E:E,'BASE DATOS PRECIOS '!H:H)</f>
        <v/>
      </c>
      <c r="I585" s="321" t="n"/>
      <c r="J585" s="321" t="n"/>
      <c r="K585" s="322">
        <f>+F585*H585</f>
        <v/>
      </c>
      <c r="L585" s="322">
        <f>+F585*I585</f>
        <v/>
      </c>
      <c r="M585" s="322">
        <f>+F585*J585</f>
        <v/>
      </c>
      <c r="N585" s="322">
        <f>SUM(K585:M585)</f>
        <v/>
      </c>
      <c r="O585" s="323">
        <f>SUM(K585:M585)/tc</f>
        <v/>
      </c>
    </row>
    <row r="586">
      <c r="A586" s="16" t="n"/>
      <c r="B586" s="1134">
        <f>VALUE(IF(AND(LEN(TRIM(C586))-LEN(SUBSTITUTE(TRIM(C586),".",""))=1,ISNUMBER(VALUE(SUBSTITUTE(TRIM(C586),".","")))),TRIM(C586),B585))</f>
        <v/>
      </c>
      <c r="C586" s="274" t="inlineStr">
        <is>
          <t>M05-0374</t>
        </is>
      </c>
      <c r="D586" s="275" t="n"/>
      <c r="E586" s="252">
        <f>+_xlfn.XLOOKUP(C586,'BASE DATOS PRECIOS '!B:B,'BASE DATOS PRECIOS '!E:E)</f>
        <v/>
      </c>
      <c r="F586" s="299">
        <f>'3.1_ELEC'!E44</f>
        <v/>
      </c>
      <c r="G586" s="321">
        <f>+_xlfn.XLOOKUP(C586,'BASE DATOS PRECIOS '!B:B,'BASE DATOS PRECIOS '!F:F)</f>
        <v/>
      </c>
      <c r="H586" s="322">
        <f>+_xlfn.XLOOKUP(E586,'BASE DATOS PRECIOS '!E:E,'BASE DATOS PRECIOS '!H:H)</f>
        <v/>
      </c>
      <c r="I586" s="321" t="n"/>
      <c r="J586" s="321" t="n"/>
      <c r="K586" s="322">
        <f>+F586*H586</f>
        <v/>
      </c>
      <c r="L586" s="322">
        <f>+F586*I586</f>
        <v/>
      </c>
      <c r="M586" s="322">
        <f>+F586*J586</f>
        <v/>
      </c>
      <c r="N586" s="322">
        <f>SUM(K586:M586)</f>
        <v/>
      </c>
      <c r="O586" s="323">
        <f>SUM(K586:M586)/tc</f>
        <v/>
      </c>
    </row>
    <row r="587">
      <c r="A587" s="16" t="n"/>
      <c r="B587" s="1134">
        <f>VALUE(IF(AND(LEN(TRIM(C587))-LEN(SUBSTITUTE(TRIM(C587),".",""))=1,ISNUMBER(VALUE(SUBSTITUTE(TRIM(C587),".","")))),TRIM(C587),B586))</f>
        <v/>
      </c>
      <c r="C587" s="274" t="inlineStr">
        <is>
          <t>M05-0375</t>
        </is>
      </c>
      <c r="D587" s="275" t="n"/>
      <c r="E587" s="252">
        <f>+_xlfn.XLOOKUP(C587,'BASE DATOS PRECIOS '!B:B,'BASE DATOS PRECIOS '!E:E)</f>
        <v/>
      </c>
      <c r="F587" s="299">
        <f>'3.1_ELEC'!E45</f>
        <v/>
      </c>
      <c r="G587" s="321">
        <f>+_xlfn.XLOOKUP(C587,'BASE DATOS PRECIOS '!B:B,'BASE DATOS PRECIOS '!F:F)</f>
        <v/>
      </c>
      <c r="H587" s="322">
        <f>+_xlfn.XLOOKUP(E587,'BASE DATOS PRECIOS '!E:E,'BASE DATOS PRECIOS '!H:H)</f>
        <v/>
      </c>
      <c r="I587" s="321" t="n"/>
      <c r="J587" s="321" t="n"/>
      <c r="K587" s="322">
        <f>+F587*H587</f>
        <v/>
      </c>
      <c r="L587" s="322">
        <f>+F587*I587</f>
        <v/>
      </c>
      <c r="M587" s="322">
        <f>+F587*J587</f>
        <v/>
      </c>
      <c r="N587" s="322">
        <f>SUM(K587:M587)</f>
        <v/>
      </c>
      <c r="O587" s="323">
        <f>SUM(K587:M587)/tc</f>
        <v/>
      </c>
    </row>
    <row r="588">
      <c r="A588" s="16" t="n"/>
      <c r="B588" s="1134">
        <f>VALUE(IF(AND(LEN(TRIM(C588))-LEN(SUBSTITUTE(TRIM(C588),".",""))=1,ISNUMBER(VALUE(SUBSTITUTE(TRIM(C588),".","")))),TRIM(C588),B587))</f>
        <v/>
      </c>
      <c r="C588" s="274" t="inlineStr">
        <is>
          <t>M11-0071</t>
        </is>
      </c>
      <c r="D588" s="275" t="n"/>
      <c r="E588" s="252">
        <f>+_xlfn.XLOOKUP(C588,'BASE DATOS PRECIOS '!B:B,'BASE DATOS PRECIOS '!E:E)</f>
        <v/>
      </c>
      <c r="F588" s="299">
        <f>'3.1_ELEC'!E46</f>
        <v/>
      </c>
      <c r="G588" s="321">
        <f>+_xlfn.XLOOKUP(C588,'BASE DATOS PRECIOS '!B:B,'BASE DATOS PRECIOS '!F:F)</f>
        <v/>
      </c>
      <c r="H588" s="322">
        <f>+_xlfn.XLOOKUP(E588,'BASE DATOS PRECIOS '!E:E,'BASE DATOS PRECIOS '!H:H)</f>
        <v/>
      </c>
      <c r="I588" s="321" t="n"/>
      <c r="J588" s="321" t="n"/>
      <c r="K588" s="322">
        <f>+F588*H588</f>
        <v/>
      </c>
      <c r="L588" s="322">
        <f>+F588*I588</f>
        <v/>
      </c>
      <c r="M588" s="322">
        <f>+F588*J588</f>
        <v/>
      </c>
      <c r="N588" s="322">
        <f>SUM(K588:M588)</f>
        <v/>
      </c>
      <c r="O588" s="323">
        <f>SUM(K588:M588)/tc</f>
        <v/>
      </c>
    </row>
    <row r="589">
      <c r="A589" s="16" t="n"/>
      <c r="B589" s="1134">
        <f>VALUE(IF(AND(LEN(TRIM(C589))-LEN(SUBSTITUTE(TRIM(C589),".",""))=1,ISNUMBER(VALUE(SUBSTITUTE(TRIM(C589),".","")))),TRIM(C589),B588))</f>
        <v/>
      </c>
      <c r="C589" s="301" t="inlineStr">
        <is>
          <t>M06-0175</t>
        </is>
      </c>
      <c r="D589" s="302" t="n"/>
      <c r="E589" s="252">
        <f>+_xlfn.XLOOKUP(C589,'BASE DATOS PRECIOS '!B:B,'BASE DATOS PRECIOS '!E:E)</f>
        <v/>
      </c>
      <c r="F589" s="299">
        <f>'3.1_ELEC'!E47</f>
        <v/>
      </c>
      <c r="G589" s="321">
        <f>+_xlfn.XLOOKUP(C589,'BASE DATOS PRECIOS '!B:B,'BASE DATOS PRECIOS '!F:F)</f>
        <v/>
      </c>
      <c r="H589" s="322">
        <f>+_xlfn.XLOOKUP(E589,'BASE DATOS PRECIOS '!E:E,'BASE DATOS PRECIOS '!H:H)</f>
        <v/>
      </c>
      <c r="I589" s="321" t="n"/>
      <c r="J589" s="321" t="n"/>
      <c r="K589" s="322">
        <f>+F589*H589</f>
        <v/>
      </c>
      <c r="L589" s="322">
        <f>+F589*I589</f>
        <v/>
      </c>
      <c r="M589" s="322">
        <f>+F589*J589</f>
        <v/>
      </c>
      <c r="N589" s="322">
        <f>SUM(K589:M589)</f>
        <v/>
      </c>
      <c r="O589" s="323">
        <f>SUM(K589:M589)/tc</f>
        <v/>
      </c>
    </row>
    <row r="590">
      <c r="A590" s="16" t="n"/>
      <c r="B590" s="1134">
        <f>VALUE(IF(AND(LEN(TRIM(C590))-LEN(SUBSTITUTE(TRIM(C590),".",""))=1,ISNUMBER(VALUE(SUBSTITUTE(TRIM(C590),".","")))),TRIM(C590),B589))</f>
        <v/>
      </c>
      <c r="C590" s="301" t="inlineStr">
        <is>
          <t>M06-0013</t>
        </is>
      </c>
      <c r="D590" s="302" t="n"/>
      <c r="E590" s="252">
        <f>+_xlfn.XLOOKUP(C590,'BASE DATOS PRECIOS '!B:B,'BASE DATOS PRECIOS '!E:E)</f>
        <v/>
      </c>
      <c r="F590" s="299">
        <f>'3.1_ELEC'!E48</f>
        <v/>
      </c>
      <c r="G590" s="321">
        <f>+_xlfn.XLOOKUP(C590,'BASE DATOS PRECIOS '!B:B,'BASE DATOS PRECIOS '!F:F)</f>
        <v/>
      </c>
      <c r="H590" s="322">
        <f>+_xlfn.XLOOKUP(E590,'BASE DATOS PRECIOS '!E:E,'BASE DATOS PRECIOS '!H:H)</f>
        <v/>
      </c>
      <c r="I590" s="321" t="n"/>
      <c r="J590" s="321" t="n"/>
      <c r="K590" s="322">
        <f>+F590*H590</f>
        <v/>
      </c>
      <c r="L590" s="322">
        <f>+F590*I590</f>
        <v/>
      </c>
      <c r="M590" s="322">
        <f>+F590*J590</f>
        <v/>
      </c>
      <c r="N590" s="322">
        <f>SUM(K590:M590)</f>
        <v/>
      </c>
      <c r="O590" s="323">
        <f>SUM(K590:M590)/tc</f>
        <v/>
      </c>
    </row>
    <row r="591">
      <c r="A591" s="16" t="n"/>
      <c r="B591" s="1134">
        <f>VALUE(IF(AND(LEN(TRIM(C591))-LEN(SUBSTITUTE(TRIM(C591),".",""))=1,ISNUMBER(VALUE(SUBSTITUTE(TRIM(C591),".","")))),TRIM(C591),B590))</f>
        <v/>
      </c>
      <c r="C591" s="274" t="inlineStr">
        <is>
          <t>M06-0210</t>
        </is>
      </c>
      <c r="D591" s="275" t="n"/>
      <c r="E591" s="252">
        <f>+_xlfn.XLOOKUP(C591,'BASE DATOS PRECIOS '!B:B,'BASE DATOS PRECIOS '!E:E)</f>
        <v/>
      </c>
      <c r="F591" s="299">
        <f>'3.1_ELEC'!E49</f>
        <v/>
      </c>
      <c r="G591" s="321">
        <f>+_xlfn.XLOOKUP(C591,'BASE DATOS PRECIOS '!B:B,'BASE DATOS PRECIOS '!F:F)</f>
        <v/>
      </c>
      <c r="H591" s="322">
        <f>+_xlfn.XLOOKUP(E591,'BASE DATOS PRECIOS '!E:E,'BASE DATOS PRECIOS '!H:H)</f>
        <v/>
      </c>
      <c r="I591" s="321" t="n"/>
      <c r="J591" s="321" t="n"/>
      <c r="K591" s="322">
        <f>+F591*H591</f>
        <v/>
      </c>
      <c r="L591" s="322">
        <f>+F591*I591</f>
        <v/>
      </c>
      <c r="M591" s="322">
        <f>+F591*J591</f>
        <v/>
      </c>
      <c r="N591" s="322">
        <f>SUM(K591:M591)</f>
        <v/>
      </c>
      <c r="O591" s="323">
        <f>SUM(K591:M591)/tc</f>
        <v/>
      </c>
    </row>
    <row r="592">
      <c r="A592" s="16" t="n"/>
      <c r="B592" s="1134">
        <f>VALUE(IF(AND(LEN(TRIM(C592))-LEN(SUBSTITUTE(TRIM(C592),".",""))=1,ISNUMBER(VALUE(SUBSTITUTE(TRIM(C592),".","")))),TRIM(C592),B591))</f>
        <v/>
      </c>
      <c r="C592" s="333" t="inlineStr">
        <is>
          <t>M04-0003</t>
        </is>
      </c>
      <c r="D592" s="334" t="n"/>
      <c r="E592" s="252">
        <f>+_xlfn.XLOOKUP(C592,'BASE DATOS PRECIOS '!B:B,'BASE DATOS PRECIOS '!E:E)</f>
        <v/>
      </c>
      <c r="F592" s="299">
        <f>'3.1_ELEC'!E50</f>
        <v/>
      </c>
      <c r="G592" s="321">
        <f>+_xlfn.XLOOKUP(C592,'BASE DATOS PRECIOS '!B:B,'BASE DATOS PRECIOS '!F:F)</f>
        <v/>
      </c>
      <c r="H592" s="322">
        <f>+_xlfn.XLOOKUP(E592,'BASE DATOS PRECIOS '!E:E,'BASE DATOS PRECIOS '!H:H)</f>
        <v/>
      </c>
      <c r="I592" s="321" t="n"/>
      <c r="J592" s="321" t="n"/>
      <c r="K592" s="322">
        <f>+F592*H592</f>
        <v/>
      </c>
      <c r="L592" s="322">
        <f>+F592*I592</f>
        <v/>
      </c>
      <c r="M592" s="322">
        <f>+F592*J592</f>
        <v/>
      </c>
      <c r="N592" s="322">
        <f>SUM(K592:M592)</f>
        <v/>
      </c>
      <c r="O592" s="323">
        <f>SUM(K592:M592)/tc</f>
        <v/>
      </c>
    </row>
    <row r="593">
      <c r="A593" s="16" t="n"/>
      <c r="B593" s="1134">
        <f>VALUE(IF(AND(LEN(TRIM(C593))-LEN(SUBSTITUTE(TRIM(C593),".",""))=1,ISNUMBER(VALUE(SUBSTITUTE(TRIM(C593),".","")))),TRIM(C593),B592))</f>
        <v/>
      </c>
      <c r="C593" s="274" t="inlineStr">
        <is>
          <t>M06-0197</t>
        </is>
      </c>
      <c r="D593" s="275" t="n"/>
      <c r="E593" s="252">
        <f>+_xlfn.XLOOKUP(C593,'BASE DATOS PRECIOS '!B:B,'BASE DATOS PRECIOS '!E:E)</f>
        <v/>
      </c>
      <c r="F593" s="299">
        <f>'3.1_ELEC'!E51</f>
        <v/>
      </c>
      <c r="G593" s="321">
        <f>+_xlfn.XLOOKUP(C593,'BASE DATOS PRECIOS '!B:B,'BASE DATOS PRECIOS '!F:F)</f>
        <v/>
      </c>
      <c r="H593" s="322">
        <f>+_xlfn.XLOOKUP(E593,'BASE DATOS PRECIOS '!E:E,'BASE DATOS PRECIOS '!H:H)</f>
        <v/>
      </c>
      <c r="I593" s="321" t="n"/>
      <c r="J593" s="321" t="n"/>
      <c r="K593" s="322">
        <f>+F593*H593</f>
        <v/>
      </c>
      <c r="L593" s="322">
        <f>+F593*I593</f>
        <v/>
      </c>
      <c r="M593" s="322">
        <f>+F593*J593</f>
        <v/>
      </c>
      <c r="N593" s="322">
        <f>SUM(K593:M593)</f>
        <v/>
      </c>
      <c r="O593" s="323">
        <f>SUM(K593:M593)/tc</f>
        <v/>
      </c>
    </row>
    <row r="594">
      <c r="A594" s="16" t="n"/>
      <c r="B594" s="1134">
        <f>VALUE(IF(AND(LEN(TRIM(C594))-LEN(SUBSTITUTE(TRIM(C594),".",""))=1,ISNUMBER(VALUE(SUBSTITUTE(TRIM(C594),".","")))),TRIM(C594),B593))</f>
        <v/>
      </c>
      <c r="C594" s="274" t="inlineStr">
        <is>
          <t>M05-0388</t>
        </is>
      </c>
      <c r="D594" s="275" t="n"/>
      <c r="E594" s="252">
        <f>+_xlfn.XLOOKUP(C594,'BASE DATOS PRECIOS '!B:B,'BASE DATOS PRECIOS '!E:E)</f>
        <v/>
      </c>
      <c r="F594" s="299">
        <f>'3.1_ELEC'!E52</f>
        <v/>
      </c>
      <c r="G594" s="321">
        <f>+_xlfn.XLOOKUP(C594,'BASE DATOS PRECIOS '!B:B,'BASE DATOS PRECIOS '!F:F)</f>
        <v/>
      </c>
      <c r="H594" s="322">
        <f>+_xlfn.XLOOKUP(E594,'BASE DATOS PRECIOS '!E:E,'BASE DATOS PRECIOS '!H:H)</f>
        <v/>
      </c>
      <c r="I594" s="321" t="n"/>
      <c r="J594" s="321" t="n"/>
      <c r="K594" s="322">
        <f>+F594*H594</f>
        <v/>
      </c>
      <c r="L594" s="322">
        <f>+F594*I594</f>
        <v/>
      </c>
      <c r="M594" s="322">
        <f>+F594*J594</f>
        <v/>
      </c>
      <c r="N594" s="322">
        <f>SUM(K594:M594)</f>
        <v/>
      </c>
      <c r="O594" s="323">
        <f>SUM(K594:M594)/tc</f>
        <v/>
      </c>
    </row>
    <row r="595">
      <c r="A595" s="16" t="n"/>
      <c r="B595" s="1134">
        <f>VALUE(IF(AND(LEN(TRIM(C595))-LEN(SUBSTITUTE(TRIM(C595),".",""))=1,ISNUMBER(VALUE(SUBSTITUTE(TRIM(C595),".","")))),TRIM(C595),B594))</f>
        <v/>
      </c>
      <c r="C595" s="16" t="inlineStr">
        <is>
          <t>M05-0385</t>
        </is>
      </c>
      <c r="D595" s="292" t="n"/>
      <c r="E595" s="252">
        <f>+_xlfn.XLOOKUP(C595,'BASE DATOS PRECIOS '!B:B,'BASE DATOS PRECIOS '!E:E)</f>
        <v/>
      </c>
      <c r="F595" s="299">
        <f>'3.1_ELEC'!E53</f>
        <v/>
      </c>
      <c r="G595" s="321">
        <f>+_xlfn.XLOOKUP(C595,'BASE DATOS PRECIOS '!B:B,'BASE DATOS PRECIOS '!F:F)</f>
        <v/>
      </c>
      <c r="H595" s="322">
        <f>+_xlfn.XLOOKUP(E595,'BASE DATOS PRECIOS '!E:E,'BASE DATOS PRECIOS '!H:H)</f>
        <v/>
      </c>
      <c r="I595" s="321" t="n"/>
      <c r="J595" s="321" t="n"/>
      <c r="K595" s="322">
        <f>+F595*H595</f>
        <v/>
      </c>
      <c r="L595" s="322">
        <f>+F595*I595</f>
        <v/>
      </c>
      <c r="M595" s="322">
        <f>+F595*J595</f>
        <v/>
      </c>
      <c r="N595" s="322">
        <f>SUM(K595:M595)</f>
        <v/>
      </c>
      <c r="O595" s="323">
        <f>SUM(K595:M595)/tc</f>
        <v/>
      </c>
    </row>
    <row r="596">
      <c r="A596" s="16" t="n"/>
      <c r="B596" s="1134">
        <f>VALUE(IF(AND(LEN(TRIM(C596))-LEN(SUBSTITUTE(TRIM(C596),".",""))=1,ISNUMBER(VALUE(SUBSTITUTE(TRIM(C596),".","")))),TRIM(C596),B595))</f>
        <v/>
      </c>
      <c r="C596" s="16" t="inlineStr">
        <is>
          <t>M05-0390</t>
        </is>
      </c>
      <c r="D596" s="292" t="n"/>
      <c r="E596" s="252">
        <f>+_xlfn.XLOOKUP(C596,'BASE DATOS PRECIOS '!B:B,'BASE DATOS PRECIOS '!E:E)</f>
        <v/>
      </c>
      <c r="F596" s="299">
        <f>'3.1_ELEC'!E54</f>
        <v/>
      </c>
      <c r="G596" s="321">
        <f>+_xlfn.XLOOKUP(C596,'BASE DATOS PRECIOS '!B:B,'BASE DATOS PRECIOS '!F:F)</f>
        <v/>
      </c>
      <c r="H596" s="322">
        <f>+_xlfn.XLOOKUP(E596,'BASE DATOS PRECIOS '!E:E,'BASE DATOS PRECIOS '!H:H)</f>
        <v/>
      </c>
      <c r="I596" s="321" t="n"/>
      <c r="J596" s="321" t="n"/>
      <c r="K596" s="322">
        <f>+F596*H596</f>
        <v/>
      </c>
      <c r="L596" s="322">
        <f>+F596*I596</f>
        <v/>
      </c>
      <c r="M596" s="322">
        <f>+F596*J596</f>
        <v/>
      </c>
      <c r="N596" s="322">
        <f>SUM(K596:M596)</f>
        <v/>
      </c>
      <c r="O596" s="323">
        <f>SUM(K596:M596)/tc</f>
        <v/>
      </c>
    </row>
    <row r="597">
      <c r="A597" s="16" t="n"/>
      <c r="B597" s="1134">
        <f>VALUE(IF(AND(LEN(TRIM(C597))-LEN(SUBSTITUTE(TRIM(C597),".",""))=1,ISNUMBER(VALUE(SUBSTITUTE(TRIM(C597),".","")))),TRIM(C597),B596))</f>
        <v/>
      </c>
      <c r="C597" s="274" t="inlineStr">
        <is>
          <t>M05-0223</t>
        </is>
      </c>
      <c r="D597" s="275" t="n"/>
      <c r="E597" s="252">
        <f>+_xlfn.XLOOKUP(C597,'BASE DATOS PRECIOS '!B:B,'BASE DATOS PRECIOS '!E:E)</f>
        <v/>
      </c>
      <c r="F597" s="299">
        <f>'3.1_ELEC'!E55</f>
        <v/>
      </c>
      <c r="G597" s="321">
        <f>+_xlfn.XLOOKUP(C597,'BASE DATOS PRECIOS '!B:B,'BASE DATOS PRECIOS '!F:F)</f>
        <v/>
      </c>
      <c r="H597" s="322">
        <f>+_xlfn.XLOOKUP(E597,'BASE DATOS PRECIOS '!E:E,'BASE DATOS PRECIOS '!H:H)</f>
        <v/>
      </c>
      <c r="I597" s="321" t="n"/>
      <c r="J597" s="321" t="n"/>
      <c r="K597" s="322">
        <f>+F597*H597</f>
        <v/>
      </c>
      <c r="L597" s="322">
        <f>+F597*I597</f>
        <v/>
      </c>
      <c r="M597" s="322">
        <f>+F597*J597</f>
        <v/>
      </c>
      <c r="N597" s="322">
        <f>SUM(K597:M597)</f>
        <v/>
      </c>
      <c r="O597" s="323">
        <f>SUM(K597:M597)/tc</f>
        <v/>
      </c>
    </row>
    <row r="598">
      <c r="A598" s="16" t="n"/>
      <c r="B598" s="1134">
        <f>VALUE(IF(AND(LEN(TRIM(C598))-LEN(SUBSTITUTE(TRIM(C598),".",""))=1,ISNUMBER(VALUE(SUBSTITUTE(TRIM(C598),".","")))),TRIM(C598),B597))</f>
        <v/>
      </c>
      <c r="C598" s="297" t="inlineStr">
        <is>
          <t>M05-0363</t>
        </is>
      </c>
      <c r="D598" s="298" t="n"/>
      <c r="E598" s="252">
        <f>+_xlfn.XLOOKUP(C598,'BASE DATOS PRECIOS '!B:B,'BASE DATOS PRECIOS '!E:E)</f>
        <v/>
      </c>
      <c r="F598" s="299">
        <f>'3.1_ELEC'!E56</f>
        <v/>
      </c>
      <c r="G598" s="321">
        <f>+_xlfn.XLOOKUP(C598,'BASE DATOS PRECIOS '!B:B,'BASE DATOS PRECIOS '!F:F)</f>
        <v/>
      </c>
      <c r="H598" s="322">
        <f>+_xlfn.XLOOKUP(E598,'BASE DATOS PRECIOS '!E:E,'BASE DATOS PRECIOS '!H:H)</f>
        <v/>
      </c>
      <c r="I598" s="321" t="n"/>
      <c r="J598" s="321" t="n"/>
      <c r="K598" s="322">
        <f>+F598*H598</f>
        <v/>
      </c>
      <c r="L598" s="322">
        <f>+F598*I598</f>
        <v/>
      </c>
      <c r="M598" s="322">
        <f>+F598*J598</f>
        <v/>
      </c>
      <c r="N598" s="322">
        <f>SUM(K598:M598)</f>
        <v/>
      </c>
      <c r="O598" s="323">
        <f>SUM(K598:M598)/tc</f>
        <v/>
      </c>
    </row>
    <row r="599">
      <c r="A599" s="16" t="n"/>
      <c r="B599" s="1134">
        <f>VALUE(IF(AND(LEN(TRIM(C599))-LEN(SUBSTITUTE(TRIM(C599),".",""))=1,ISNUMBER(VALUE(SUBSTITUTE(TRIM(C599),".","")))),TRIM(C599),B598))</f>
        <v/>
      </c>
      <c r="C599" s="274" t="inlineStr">
        <is>
          <t>M05-0364</t>
        </is>
      </c>
      <c r="D599" s="275" t="n"/>
      <c r="E599" s="252">
        <f>+_xlfn.XLOOKUP(C599,'BASE DATOS PRECIOS '!B:B,'BASE DATOS PRECIOS '!E:E)</f>
        <v/>
      </c>
      <c r="F599" s="299">
        <f>'3.1_ELEC'!E57</f>
        <v/>
      </c>
      <c r="G599" s="321">
        <f>+_xlfn.XLOOKUP(C599,'BASE DATOS PRECIOS '!B:B,'BASE DATOS PRECIOS '!F:F)</f>
        <v/>
      </c>
      <c r="H599" s="322">
        <f>+_xlfn.XLOOKUP(E599,'BASE DATOS PRECIOS '!E:E,'BASE DATOS PRECIOS '!H:H)</f>
        <v/>
      </c>
      <c r="I599" s="321" t="n"/>
      <c r="J599" s="321" t="n"/>
      <c r="K599" s="322">
        <f>+F599*H599</f>
        <v/>
      </c>
      <c r="L599" s="322">
        <f>+F599*I599</f>
        <v/>
      </c>
      <c r="M599" s="322">
        <f>+F599*J599</f>
        <v/>
      </c>
      <c r="N599" s="322">
        <f>SUM(K599:M599)</f>
        <v/>
      </c>
      <c r="O599" s="323">
        <f>SUM(K599:M599)/tc</f>
        <v/>
      </c>
    </row>
    <row r="600">
      <c r="A600" s="16" t="n"/>
      <c r="B600" s="1134">
        <f>VALUE(IF(AND(LEN(TRIM(C600))-LEN(SUBSTITUTE(TRIM(C600),".",""))=1,ISNUMBER(VALUE(SUBSTITUTE(TRIM(C600),".","")))),TRIM(C600),B599))</f>
        <v/>
      </c>
      <c r="C600" s="16" t="inlineStr">
        <is>
          <t>M05-0476</t>
        </is>
      </c>
      <c r="D600" s="292" t="n"/>
      <c r="E600" s="252">
        <f>+_xlfn.XLOOKUP(C600,'BASE DATOS PRECIOS '!B:B,'BASE DATOS PRECIOS '!E:E)</f>
        <v/>
      </c>
      <c r="F600" s="299">
        <f>'3.1_ELEC'!E58</f>
        <v/>
      </c>
      <c r="G600" s="321">
        <f>+_xlfn.XLOOKUP(C600,'BASE DATOS PRECIOS '!B:B,'BASE DATOS PRECIOS '!F:F)</f>
        <v/>
      </c>
      <c r="H600" s="322">
        <f>+_xlfn.XLOOKUP(E600,'BASE DATOS PRECIOS '!E:E,'BASE DATOS PRECIOS '!H:H)</f>
        <v/>
      </c>
      <c r="I600" s="321" t="n"/>
      <c r="J600" s="321" t="n"/>
      <c r="K600" s="322">
        <f>+F600*H600</f>
        <v/>
      </c>
      <c r="L600" s="322">
        <f>+F600*I600</f>
        <v/>
      </c>
      <c r="M600" s="322">
        <f>+F600*J600</f>
        <v/>
      </c>
      <c r="N600" s="322">
        <f>SUM(K600:M600)</f>
        <v/>
      </c>
      <c r="O600" s="323">
        <f>SUM(K600:M600)/tc</f>
        <v/>
      </c>
    </row>
    <row r="601">
      <c r="A601" s="16" t="n"/>
      <c r="B601" s="1134">
        <f>VALUE(IF(AND(LEN(TRIM(C601))-LEN(SUBSTITUTE(TRIM(C601),".",""))=1,ISNUMBER(VALUE(SUBSTITUTE(TRIM(C601),".","")))),TRIM(C601),B600))</f>
        <v/>
      </c>
      <c r="C601" s="16" t="inlineStr">
        <is>
          <t>M05-0477</t>
        </is>
      </c>
      <c r="D601" s="292" t="n"/>
      <c r="E601" s="252">
        <f>+_xlfn.XLOOKUP(C601,'BASE DATOS PRECIOS '!B:B,'BASE DATOS PRECIOS '!E:E)</f>
        <v/>
      </c>
      <c r="F601" s="299">
        <f>'3.1_ELEC'!E59</f>
        <v/>
      </c>
      <c r="G601" s="321">
        <f>+_xlfn.XLOOKUP(C601,'BASE DATOS PRECIOS '!B:B,'BASE DATOS PRECIOS '!F:F)</f>
        <v/>
      </c>
      <c r="H601" s="322">
        <f>+_xlfn.XLOOKUP(E601,'BASE DATOS PRECIOS '!E:E,'BASE DATOS PRECIOS '!H:H)</f>
        <v/>
      </c>
      <c r="I601" s="321" t="n"/>
      <c r="J601" s="321" t="n"/>
      <c r="K601" s="322">
        <f>+F601*H601</f>
        <v/>
      </c>
      <c r="L601" s="322">
        <f>+F601*I601</f>
        <v/>
      </c>
      <c r="M601" s="322">
        <f>+F601*J601</f>
        <v/>
      </c>
      <c r="N601" s="322">
        <f>SUM(K601:M601)</f>
        <v/>
      </c>
      <c r="O601" s="323">
        <f>SUM(K601:M601)/tc</f>
        <v/>
      </c>
    </row>
    <row r="602">
      <c r="A602" s="233" t="n"/>
      <c r="B602" s="1134">
        <f>VALUE(IF(AND(LEN(TRIM(C602))-LEN(SUBSTITUTE(TRIM(C602),".",""))=1,ISNUMBER(VALUE(SUBSTITUTE(TRIM(C602),".","")))),TRIM(C602),B601))</f>
        <v/>
      </c>
      <c r="C602" s="16" t="inlineStr">
        <is>
          <t>M05-0405</t>
        </is>
      </c>
      <c r="D602" s="292" t="n"/>
      <c r="E602" s="252">
        <f>+_xlfn.XLOOKUP(C602,'BASE DATOS PRECIOS '!B:B,'BASE DATOS PRECIOS '!E:E)</f>
        <v/>
      </c>
      <c r="F602" s="299">
        <f>'3.1_ELEC'!E60</f>
        <v/>
      </c>
      <c r="G602" s="321">
        <f>+_xlfn.XLOOKUP(C602,'BASE DATOS PRECIOS '!B:B,'BASE DATOS PRECIOS '!F:F)</f>
        <v/>
      </c>
      <c r="H602" s="322">
        <f>+_xlfn.XLOOKUP(E602,'BASE DATOS PRECIOS '!E:E,'BASE DATOS PRECIOS '!H:H)</f>
        <v/>
      </c>
      <c r="I602" s="321" t="n"/>
      <c r="J602" s="321" t="n"/>
      <c r="K602" s="322">
        <f>+F602*H602</f>
        <v/>
      </c>
      <c r="L602" s="322">
        <f>+F602*I602</f>
        <v/>
      </c>
      <c r="M602" s="322">
        <f>+F602*J602</f>
        <v/>
      </c>
      <c r="N602" s="322">
        <f>SUM(K602:M602)</f>
        <v/>
      </c>
      <c r="O602" s="323">
        <f>SUM(K602:M602)/tc</f>
        <v/>
      </c>
    </row>
    <row r="603">
      <c r="A603" s="16" t="n"/>
      <c r="B603" s="1134">
        <f>VALUE(IF(AND(LEN(TRIM(C603))-LEN(SUBSTITUTE(TRIM(C603),".",""))=1,ISNUMBER(VALUE(SUBSTITUTE(TRIM(C603),".","")))),TRIM(C603),B602))</f>
        <v/>
      </c>
      <c r="C603" s="16" t="inlineStr">
        <is>
          <t>M05-0386</t>
        </is>
      </c>
      <c r="D603" s="292" t="n"/>
      <c r="E603" s="252">
        <f>+_xlfn.XLOOKUP(C603,'BASE DATOS PRECIOS '!B:B,'BASE DATOS PRECIOS '!E:E)</f>
        <v/>
      </c>
      <c r="F603" s="299">
        <f>'3.1_ELEC'!E61</f>
        <v/>
      </c>
      <c r="G603" s="321">
        <f>+_xlfn.XLOOKUP(C603,'BASE DATOS PRECIOS '!B:B,'BASE DATOS PRECIOS '!F:F)</f>
        <v/>
      </c>
      <c r="H603" s="322">
        <f>+_xlfn.XLOOKUP(E603,'BASE DATOS PRECIOS '!E:E,'BASE DATOS PRECIOS '!H:H)</f>
        <v/>
      </c>
      <c r="I603" s="321" t="n"/>
      <c r="J603" s="321" t="n"/>
      <c r="K603" s="322">
        <f>+F603*H603</f>
        <v/>
      </c>
      <c r="L603" s="322">
        <f>+F603*I603</f>
        <v/>
      </c>
      <c r="M603" s="322">
        <f>+F603*J603</f>
        <v/>
      </c>
      <c r="N603" s="322">
        <f>SUM(K603:M603)</f>
        <v/>
      </c>
      <c r="O603" s="323">
        <f>SUM(K603:M603)/tc</f>
        <v/>
      </c>
    </row>
    <row r="604">
      <c r="A604" s="16" t="n"/>
      <c r="B604" s="1134">
        <f>VALUE(IF(AND(LEN(TRIM(C604))-LEN(SUBSTITUTE(TRIM(C604),".",""))=1,ISNUMBER(VALUE(SUBSTITUTE(TRIM(C604),".","")))),TRIM(C604),B603))</f>
        <v/>
      </c>
      <c r="C604" s="16" t="inlineStr">
        <is>
          <t>M01-0147</t>
        </is>
      </c>
      <c r="D604" s="246" t="inlineStr">
        <is>
          <t>01</t>
        </is>
      </c>
      <c r="E604" s="252" t="inlineStr">
        <is>
          <t>VARILLA DEFORME #3</t>
        </is>
      </c>
      <c r="F604" s="299">
        <f>'3.1_ELEC'!E62</f>
        <v/>
      </c>
      <c r="G604" s="321">
        <f>+_xlfn.XLOOKUP(C604,'BASE DATOS PRECIOS '!B:B,'BASE DATOS PRECIOS '!F:F)</f>
        <v/>
      </c>
      <c r="H604" s="322">
        <f>+_xlfn.XLOOKUP(E604,'BASE DATOS PRECIOS '!E:E,'BASE DATOS PRECIOS '!H:H)</f>
        <v/>
      </c>
      <c r="I604" s="321" t="n"/>
      <c r="J604" s="321" t="n"/>
      <c r="K604" s="322">
        <f>+F604*H604</f>
        <v/>
      </c>
      <c r="L604" s="322">
        <f>+F604*I604</f>
        <v/>
      </c>
      <c r="M604" s="322">
        <f>+F604*J604</f>
        <v/>
      </c>
      <c r="N604" s="322">
        <f>SUM(K604:M604)</f>
        <v/>
      </c>
      <c r="O604" s="323">
        <f>SUM(K604:M604)/tc</f>
        <v/>
      </c>
    </row>
    <row r="605">
      <c r="A605" s="16" t="n"/>
      <c r="B605" s="1134">
        <f>VALUE(IF(AND(LEN(TRIM(C605))-LEN(SUBSTITUTE(TRIM(C605),".",""))=1,ISNUMBER(VALUE(SUBSTITUTE(TRIM(C605),".","")))),TRIM(C605),B604))</f>
        <v/>
      </c>
      <c r="C605" s="16" t="inlineStr">
        <is>
          <t>M05-0371</t>
        </is>
      </c>
      <c r="D605" s="246" t="n"/>
      <c r="E605" s="252">
        <f>+_xlfn.XLOOKUP(C605,'BASE DATOS PRECIOS '!B:B,'BASE DATOS PRECIOS '!E:E)</f>
        <v/>
      </c>
      <c r="F605" s="299">
        <f>'3.1_ELEC'!E63</f>
        <v/>
      </c>
      <c r="G605" s="321">
        <f>+_xlfn.XLOOKUP(C605,'BASE DATOS PRECIOS '!B:B,'BASE DATOS PRECIOS '!F:F)</f>
        <v/>
      </c>
      <c r="H605" s="322">
        <f>+_xlfn.XLOOKUP(E605,'BASE DATOS PRECIOS '!E:E,'BASE DATOS PRECIOS '!H:H)</f>
        <v/>
      </c>
      <c r="I605" s="321" t="n"/>
      <c r="J605" s="321" t="n"/>
      <c r="K605" s="322">
        <f>+F605*H605</f>
        <v/>
      </c>
      <c r="L605" s="322">
        <f>+F605*I605</f>
        <v/>
      </c>
      <c r="M605" s="322">
        <f>+F605*J605</f>
        <v/>
      </c>
      <c r="N605" s="322">
        <f>SUM(K605:M605)</f>
        <v/>
      </c>
      <c r="O605" s="323">
        <f>SUM(K605:M605)/tc</f>
        <v/>
      </c>
    </row>
    <row r="606">
      <c r="A606" s="16" t="n"/>
      <c r="B606" s="1134">
        <f>VALUE(IF(AND(LEN(TRIM(C606))-LEN(SUBSTITUTE(TRIM(C606),".",""))=1,ISNUMBER(VALUE(SUBSTITUTE(TRIM(C606),".","")))),TRIM(C606),B605))</f>
        <v/>
      </c>
      <c r="C606" s="267" t="inlineStr">
        <is>
          <t>SUB ELECTRICO MUROS</t>
        </is>
      </c>
      <c r="D606" s="268" t="n"/>
      <c r="E606" s="269">
        <f>+_xlfn.XLOOKUP(C606,'BASE DATOS EQUIPOS Y SUBCONTRAT'!A:A,'BASE DATOS EQUIPOS Y SUBCONTRAT'!B:B)</f>
        <v/>
      </c>
      <c r="F606" s="356" t="n">
        <v>1</v>
      </c>
      <c r="G606" s="357">
        <f>+_xlfn.XLOOKUP(C606,'BASE DATOS EQUIPOS Y SUBCONTRAT'!A:A,'BASE DATOS EQUIPOS Y SUBCONTRAT'!C:C)</f>
        <v/>
      </c>
      <c r="H606" s="358" t="n">
        <v>0</v>
      </c>
      <c r="I606" s="357" t="n"/>
      <c r="J606" s="358">
        <f>+'3.1_ELEC'!D65</f>
        <v/>
      </c>
      <c r="K606" s="358">
        <f>+F606*H606</f>
        <v/>
      </c>
      <c r="L606" s="358">
        <f>+F606*I606</f>
        <v/>
      </c>
      <c r="M606" s="358">
        <f>+F606*J606</f>
        <v/>
      </c>
      <c r="N606" s="358">
        <f>SUM(K606:M606)</f>
        <v/>
      </c>
      <c r="O606" s="359">
        <f>SUM(K606:M606)/tc</f>
        <v/>
      </c>
    </row>
    <row r="607">
      <c r="A607" s="16" t="n"/>
      <c r="B607" s="1134">
        <f>VALUE(IF(AND(LEN(TRIM(C607))-LEN(SUBSTITUTE(TRIM(C607),".",""))=1,ISNUMBER(VALUE(SUBSTITUTE(TRIM(C607),".","")))),TRIM(C607),B606))</f>
        <v/>
      </c>
      <c r="C607" s="267" t="inlineStr">
        <is>
          <t xml:space="preserve">OPERARIO </t>
        </is>
      </c>
      <c r="D607" s="268" t="n"/>
      <c r="E607" s="269">
        <f>+_xlfn.XLOOKUP(C607,'BASE DATOS MANO DE OBRA'!A:A,'BASE DATOS MANO DE OBRA'!B:B)</f>
        <v/>
      </c>
      <c r="F607" s="270" t="n">
        <v>0</v>
      </c>
      <c r="G607" s="271">
        <f>+_xlfn.XLOOKUP(C607,'BASE DATOS MANO DE OBRA'!A:A,'BASE DATOS MANO DE OBRA'!C:C)</f>
        <v/>
      </c>
      <c r="H607" s="272" t="n">
        <v>0</v>
      </c>
      <c r="I607" s="272">
        <f>+_xlfn.XLOOKUP(C607,'BASE DATOS MANO DE OBRA'!A:A,'BASE DATOS MANO DE OBRA'!E:E)</f>
        <v/>
      </c>
      <c r="J607" s="272" t="n">
        <v>0</v>
      </c>
      <c r="K607" s="272">
        <f>+F607*H607</f>
        <v/>
      </c>
      <c r="L607" s="272">
        <f>+F607*I607</f>
        <v/>
      </c>
      <c r="M607" s="272">
        <f>+F607*J607</f>
        <v/>
      </c>
      <c r="N607" s="272">
        <f>SUM(K607:M607)</f>
        <v/>
      </c>
      <c r="O607" s="273">
        <f>SUM(K607:M607)/tc</f>
        <v/>
      </c>
    </row>
    <row r="608">
      <c r="A608" s="16" t="n"/>
      <c r="B608" s="1134">
        <f>VALUE(IF(AND(LEN(TRIM(C608))-LEN(SUBSTITUTE(TRIM(C608),".",""))=1,ISNUMBER(VALUE(SUBSTITUTE(TRIM(C608),".","")))),TRIM(C608),B607))</f>
        <v/>
      </c>
      <c r="C608" s="267" t="inlineStr">
        <is>
          <t xml:space="preserve">AYUDANTE </t>
        </is>
      </c>
      <c r="D608" s="268" t="n"/>
      <c r="E608" s="269">
        <f>+_xlfn.XLOOKUP(C608,'BASE DATOS MANO DE OBRA'!A:A,'BASE DATOS MANO DE OBRA'!B:B)</f>
        <v/>
      </c>
      <c r="F608" s="270" t="n">
        <v>0</v>
      </c>
      <c r="G608" s="271">
        <f>+_xlfn.XLOOKUP(C608,'BASE DATOS MANO DE OBRA'!A:A,'BASE DATOS MANO DE OBRA'!C:C)</f>
        <v/>
      </c>
      <c r="H608" s="272" t="n">
        <v>0</v>
      </c>
      <c r="I608" s="272">
        <f>+_xlfn.XLOOKUP(C608,'BASE DATOS MANO DE OBRA'!A:A,'BASE DATOS MANO DE OBRA'!E:E)</f>
        <v/>
      </c>
      <c r="J608" s="272" t="n">
        <v>0</v>
      </c>
      <c r="K608" s="272">
        <f>+F608*H608</f>
        <v/>
      </c>
      <c r="L608" s="272">
        <f>+F608*I608</f>
        <v/>
      </c>
      <c r="M608" s="272">
        <f>+F608*J608</f>
        <v/>
      </c>
      <c r="N608" s="272">
        <f>SUM(K608:M608)</f>
        <v/>
      </c>
      <c r="O608" s="273">
        <f>SUM(K608:M608)/tc</f>
        <v/>
      </c>
    </row>
    <row r="609">
      <c r="A609" s="16" t="n"/>
      <c r="B609" s="1134">
        <f>VALUE(IF(AND(LEN(TRIM(C609))-LEN(SUBSTITUTE(TRIM(C609),".",""))=1,ISNUMBER(VALUE(SUBSTITUTE(TRIM(C609),".","")))),TRIM(C609),B608))</f>
        <v/>
      </c>
      <c r="C609" s="234" t="inlineStr">
        <is>
          <t>3.1.3</t>
        </is>
      </c>
      <c r="D609" s="235" t="n"/>
      <c r="E609" s="236" t="inlineStr">
        <is>
          <t>ELECTRICO ENTREPISO</t>
        </is>
      </c>
      <c r="F609" s="237" t="n">
        <v>1</v>
      </c>
      <c r="G609" s="235" t="inlineStr">
        <is>
          <t>gb</t>
        </is>
      </c>
      <c r="H609" s="235" t="n"/>
      <c r="I609" s="235" t="n"/>
      <c r="J609" s="235" t="n"/>
      <c r="K609" s="238">
        <f>+SUBTOTAL(9,K610:K634)</f>
        <v/>
      </c>
      <c r="L609" s="238">
        <f>+SUBTOTAL(9,L610:L634)</f>
        <v/>
      </c>
      <c r="M609" s="238">
        <f>+SUBTOTAL(9,M610:M634)</f>
        <v/>
      </c>
      <c r="N609" s="238">
        <f>+SUBTOTAL(9,N610:N634)</f>
        <v/>
      </c>
      <c r="O609" s="1136">
        <f>+SUBTOTAL(9,O610:O634)</f>
        <v/>
      </c>
    </row>
    <row r="610">
      <c r="A610" s="16" t="n"/>
      <c r="B610" s="1134">
        <f>VALUE(IF(AND(LEN(TRIM(C610))-LEN(SUBSTITUTE(TRIM(C610),".",""))=1,ISNUMBER(VALUE(SUBSTITUTE(TRIM(C610),".","")))),TRIM(C610),B609))</f>
        <v/>
      </c>
      <c r="C610" s="274" t="inlineStr">
        <is>
          <t>M05-0362</t>
        </is>
      </c>
      <c r="D610" s="275" t="n"/>
      <c r="E610" s="252">
        <f>+_xlfn.XLOOKUP(C610,'BASE DATOS PRECIOS '!B:B,'BASE DATOS PRECIOS '!E:E)</f>
        <v/>
      </c>
      <c r="F610" s="299">
        <f>'3.1_ELEC'!E72</f>
        <v/>
      </c>
      <c r="G610" s="321">
        <f>+_xlfn.XLOOKUP(C610,'BASE DATOS PRECIOS '!B:B,'BASE DATOS PRECIOS '!F:F)</f>
        <v/>
      </c>
      <c r="H610" s="322">
        <f>+_xlfn.XLOOKUP(E610,'BASE DATOS PRECIOS '!E:E,'BASE DATOS PRECIOS '!H:H)</f>
        <v/>
      </c>
      <c r="I610" s="321" t="n"/>
      <c r="J610" s="321" t="n"/>
      <c r="K610" s="322">
        <f>+F610*H610</f>
        <v/>
      </c>
      <c r="L610" s="322">
        <f>+F610*I610</f>
        <v/>
      </c>
      <c r="M610" s="322">
        <f>+F610*J610</f>
        <v/>
      </c>
      <c r="N610" s="322">
        <f>SUM(K610:M610)</f>
        <v/>
      </c>
      <c r="O610" s="323">
        <f>SUM(K610:M610)/tc</f>
        <v/>
      </c>
    </row>
    <row r="611">
      <c r="A611" s="16" t="n"/>
      <c r="B611" s="1134">
        <f>VALUE(IF(AND(LEN(TRIM(C611))-LEN(SUBSTITUTE(TRIM(C611),".",""))=1,ISNUMBER(VALUE(SUBSTITUTE(TRIM(C611),".","")))),TRIM(C611),B610))</f>
        <v/>
      </c>
      <c r="C611" s="301" t="inlineStr">
        <is>
          <t>M05-0366</t>
        </is>
      </c>
      <c r="D611" s="302" t="n"/>
      <c r="E611" s="252">
        <f>+_xlfn.XLOOKUP(C611,'BASE DATOS PRECIOS '!B:B,'BASE DATOS PRECIOS '!E:E)</f>
        <v/>
      </c>
      <c r="F611" s="299">
        <f>'3.1_ELEC'!E73</f>
        <v/>
      </c>
      <c r="G611" s="321">
        <f>+_xlfn.XLOOKUP(C611,'BASE DATOS PRECIOS '!B:B,'BASE DATOS PRECIOS '!F:F)</f>
        <v/>
      </c>
      <c r="H611" s="322">
        <f>+_xlfn.XLOOKUP(E611,'BASE DATOS PRECIOS '!E:E,'BASE DATOS PRECIOS '!H:H)</f>
        <v/>
      </c>
      <c r="I611" s="321" t="n"/>
      <c r="J611" s="321" t="n"/>
      <c r="K611" s="322">
        <f>+F611*H611</f>
        <v/>
      </c>
      <c r="L611" s="322">
        <f>+F611*I611</f>
        <v/>
      </c>
      <c r="M611" s="322">
        <f>+F611*J611</f>
        <v/>
      </c>
      <c r="N611" s="322">
        <f>SUM(K611:M611)</f>
        <v/>
      </c>
      <c r="O611" s="323">
        <f>SUM(K611:M611)/tc</f>
        <v/>
      </c>
    </row>
    <row r="612">
      <c r="A612" s="16" t="n"/>
      <c r="B612" s="1134">
        <f>VALUE(IF(AND(LEN(TRIM(C612))-LEN(SUBSTITUTE(TRIM(C612),".",""))=1,ISNUMBER(VALUE(SUBSTITUTE(TRIM(C612),".","")))),TRIM(C612),B611))</f>
        <v/>
      </c>
      <c r="C612" s="274" t="inlineStr">
        <is>
          <t>M05-0361</t>
        </is>
      </c>
      <c r="D612" s="275" t="n"/>
      <c r="E612" s="252">
        <f>+_xlfn.XLOOKUP(C612,'BASE DATOS PRECIOS '!B:B,'BASE DATOS PRECIOS '!E:E)</f>
        <v/>
      </c>
      <c r="F612" s="299">
        <f>'3.1_ELEC'!E74</f>
        <v/>
      </c>
      <c r="G612" s="321">
        <f>+_xlfn.XLOOKUP(C612,'BASE DATOS PRECIOS '!B:B,'BASE DATOS PRECIOS '!F:F)</f>
        <v/>
      </c>
      <c r="H612" s="322">
        <f>+_xlfn.XLOOKUP(E612,'BASE DATOS PRECIOS '!E:E,'BASE DATOS PRECIOS '!H:H)</f>
        <v/>
      </c>
      <c r="I612" s="321" t="n"/>
      <c r="J612" s="321" t="n"/>
      <c r="K612" s="322">
        <f>+F612*H612</f>
        <v/>
      </c>
      <c r="L612" s="322">
        <f>+F612*I612</f>
        <v/>
      </c>
      <c r="M612" s="322">
        <f>+F612*J612</f>
        <v/>
      </c>
      <c r="N612" s="322">
        <f>SUM(K612:M612)</f>
        <v/>
      </c>
      <c r="O612" s="323">
        <f>SUM(K612:M612)/tc</f>
        <v/>
      </c>
    </row>
    <row r="613">
      <c r="A613" s="16" t="n"/>
      <c r="B613" s="1134">
        <f>VALUE(IF(AND(LEN(TRIM(C613))-LEN(SUBSTITUTE(TRIM(C613),".",""))=1,ISNUMBER(VALUE(SUBSTITUTE(TRIM(C613),".","")))),TRIM(C613),B612))</f>
        <v/>
      </c>
      <c r="C613" s="274" t="inlineStr">
        <is>
          <t>M05-0367</t>
        </is>
      </c>
      <c r="D613" s="275" t="n"/>
      <c r="E613" s="252">
        <f>+_xlfn.XLOOKUP(C613,'BASE DATOS PRECIOS '!B:B,'BASE DATOS PRECIOS '!E:E)</f>
        <v/>
      </c>
      <c r="F613" s="299">
        <f>'3.1_ELEC'!E75</f>
        <v/>
      </c>
      <c r="G613" s="321">
        <f>+_xlfn.XLOOKUP(C613,'BASE DATOS PRECIOS '!B:B,'BASE DATOS PRECIOS '!F:F)</f>
        <v/>
      </c>
      <c r="H613" s="322">
        <f>+_xlfn.XLOOKUP(E613,'BASE DATOS PRECIOS '!E:E,'BASE DATOS PRECIOS '!H:H)</f>
        <v/>
      </c>
      <c r="I613" s="321" t="n"/>
      <c r="J613" s="321" t="n"/>
      <c r="K613" s="322">
        <f>+F613*H613</f>
        <v/>
      </c>
      <c r="L613" s="322">
        <f>+F613*I613</f>
        <v/>
      </c>
      <c r="M613" s="322">
        <f>+F613*J613</f>
        <v/>
      </c>
      <c r="N613" s="322">
        <f>SUM(K613:M613)</f>
        <v/>
      </c>
      <c r="O613" s="323">
        <f>SUM(K613:M613)/tc</f>
        <v/>
      </c>
    </row>
    <row r="614">
      <c r="A614" s="16" t="n"/>
      <c r="B614" s="1134">
        <f>VALUE(IF(AND(LEN(TRIM(C614))-LEN(SUBSTITUTE(TRIM(C614),".",""))=1,ISNUMBER(VALUE(SUBSTITUTE(TRIM(C614),".","")))),TRIM(C614),B613))</f>
        <v/>
      </c>
      <c r="C614" s="274" t="inlineStr">
        <is>
          <t>M05-0368</t>
        </is>
      </c>
      <c r="D614" s="275" t="n"/>
      <c r="E614" s="252">
        <f>+_xlfn.XLOOKUP(C614,'BASE DATOS PRECIOS '!B:B,'BASE DATOS PRECIOS '!E:E)</f>
        <v/>
      </c>
      <c r="F614" s="299">
        <f>'3.1_ELEC'!E76</f>
        <v/>
      </c>
      <c r="G614" s="321">
        <f>+_xlfn.XLOOKUP(C614,'BASE DATOS PRECIOS '!B:B,'BASE DATOS PRECIOS '!F:F)</f>
        <v/>
      </c>
      <c r="H614" s="322">
        <f>+_xlfn.XLOOKUP(E614,'BASE DATOS PRECIOS '!E:E,'BASE DATOS PRECIOS '!H:H)</f>
        <v/>
      </c>
      <c r="I614" s="321" t="n"/>
      <c r="J614" s="321" t="n"/>
      <c r="K614" s="322">
        <f>+F614*H614</f>
        <v/>
      </c>
      <c r="L614" s="322">
        <f>+F614*I614</f>
        <v/>
      </c>
      <c r="M614" s="322">
        <f>+F614*J614</f>
        <v/>
      </c>
      <c r="N614" s="322">
        <f>SUM(K614:M614)</f>
        <v/>
      </c>
      <c r="O614" s="323">
        <f>SUM(K614:M614)/tc</f>
        <v/>
      </c>
    </row>
    <row r="615">
      <c r="A615" s="16" t="n"/>
      <c r="B615" s="1134">
        <f>VALUE(IF(AND(LEN(TRIM(C615))-LEN(SUBSTITUTE(TRIM(C615),".",""))=1,ISNUMBER(VALUE(SUBSTITUTE(TRIM(C615),".","")))),TRIM(C615),B614))</f>
        <v/>
      </c>
      <c r="C615" s="301" t="inlineStr">
        <is>
          <t>M05-0369</t>
        </is>
      </c>
      <c r="D615" s="302" t="n"/>
      <c r="E615" s="252">
        <f>+_xlfn.XLOOKUP(C615,'BASE DATOS PRECIOS '!B:B,'BASE DATOS PRECIOS '!E:E)</f>
        <v/>
      </c>
      <c r="F615" s="299">
        <f>'3.1_ELEC'!E77</f>
        <v/>
      </c>
      <c r="G615" s="321">
        <f>+_xlfn.XLOOKUP(C615,'BASE DATOS PRECIOS '!B:B,'BASE DATOS PRECIOS '!F:F)</f>
        <v/>
      </c>
      <c r="H615" s="322">
        <f>+_xlfn.XLOOKUP(E615,'BASE DATOS PRECIOS '!E:E,'BASE DATOS PRECIOS '!H:H)</f>
        <v/>
      </c>
      <c r="I615" s="321" t="n"/>
      <c r="J615" s="321" t="n"/>
      <c r="K615" s="322">
        <f>+F615*H615</f>
        <v/>
      </c>
      <c r="L615" s="322">
        <f>+F615*I615</f>
        <v/>
      </c>
      <c r="M615" s="322">
        <f>+F615*J615</f>
        <v/>
      </c>
      <c r="N615" s="322">
        <f>SUM(K615:M615)</f>
        <v/>
      </c>
      <c r="O615" s="323">
        <f>SUM(K615:M615)/tc</f>
        <v/>
      </c>
    </row>
    <row r="616">
      <c r="A616" s="16" t="n"/>
      <c r="B616" s="1134">
        <f>VALUE(IF(AND(LEN(TRIM(C616))-LEN(SUBSTITUTE(TRIM(C616),".",""))=1,ISNUMBER(VALUE(SUBSTITUTE(TRIM(C616),".","")))),TRIM(C616),B615))</f>
        <v/>
      </c>
      <c r="C616" s="301" t="inlineStr">
        <is>
          <t>M05-0370</t>
        </is>
      </c>
      <c r="D616" s="302" t="n"/>
      <c r="E616" s="252">
        <f>+_xlfn.XLOOKUP(C616,'BASE DATOS PRECIOS '!B:B,'BASE DATOS PRECIOS '!E:E)</f>
        <v/>
      </c>
      <c r="F616" s="299">
        <f>'3.1_ELEC'!E78</f>
        <v/>
      </c>
      <c r="G616" s="321">
        <f>+_xlfn.XLOOKUP(C616,'BASE DATOS PRECIOS '!B:B,'BASE DATOS PRECIOS '!F:F)</f>
        <v/>
      </c>
      <c r="H616" s="322">
        <f>+_xlfn.XLOOKUP(E616,'BASE DATOS PRECIOS '!E:E,'BASE DATOS PRECIOS '!H:H)</f>
        <v/>
      </c>
      <c r="I616" s="321" t="n"/>
      <c r="J616" s="321" t="n"/>
      <c r="K616" s="322">
        <f>+F616*H616</f>
        <v/>
      </c>
      <c r="L616" s="322">
        <f>+F616*I616</f>
        <v/>
      </c>
      <c r="M616" s="322">
        <f>+F616*J616</f>
        <v/>
      </c>
      <c r="N616" s="322">
        <f>SUM(K616:M616)</f>
        <v/>
      </c>
      <c r="O616" s="323">
        <f>SUM(K616:M616)/tc</f>
        <v/>
      </c>
    </row>
    <row r="617">
      <c r="A617" s="16" t="n"/>
      <c r="B617" s="1134">
        <f>VALUE(IF(AND(LEN(TRIM(C617))-LEN(SUBSTITUTE(TRIM(C617),".",""))=1,ISNUMBER(VALUE(SUBSTITUTE(TRIM(C617),".","")))),TRIM(C617),B616))</f>
        <v/>
      </c>
      <c r="C617" s="274" t="inlineStr">
        <is>
          <t>M05-0371</t>
        </is>
      </c>
      <c r="D617" s="275" t="n"/>
      <c r="E617" s="252">
        <f>+_xlfn.XLOOKUP(C617,'BASE DATOS PRECIOS '!B:B,'BASE DATOS PRECIOS '!E:E)</f>
        <v/>
      </c>
      <c r="F617" s="299">
        <f>'3.1_ELEC'!E79</f>
        <v/>
      </c>
      <c r="G617" s="321">
        <f>+_xlfn.XLOOKUP(C617,'BASE DATOS PRECIOS '!B:B,'BASE DATOS PRECIOS '!F:F)</f>
        <v/>
      </c>
      <c r="H617" s="322">
        <f>+_xlfn.XLOOKUP(E617,'BASE DATOS PRECIOS '!E:E,'BASE DATOS PRECIOS '!H:H)</f>
        <v/>
      </c>
      <c r="I617" s="321" t="n"/>
      <c r="J617" s="321" t="n"/>
      <c r="K617" s="322">
        <f>+F617*H617</f>
        <v/>
      </c>
      <c r="L617" s="322">
        <f>+F617*I617</f>
        <v/>
      </c>
      <c r="M617" s="322">
        <f>+F617*J617</f>
        <v/>
      </c>
      <c r="N617" s="322">
        <f>SUM(K617:M617)</f>
        <v/>
      </c>
      <c r="O617" s="323">
        <f>SUM(K617:M617)/tc</f>
        <v/>
      </c>
    </row>
    <row r="618">
      <c r="A618" s="16" t="n"/>
      <c r="B618" s="1134">
        <f>VALUE(IF(AND(LEN(TRIM(C618))-LEN(SUBSTITUTE(TRIM(C618),".",""))=1,ISNUMBER(VALUE(SUBSTITUTE(TRIM(C618),".","")))),TRIM(C618),B617))</f>
        <v/>
      </c>
      <c r="C618" s="333" t="inlineStr">
        <is>
          <t>M05-0372</t>
        </is>
      </c>
      <c r="D618" s="334" t="n"/>
      <c r="E618" s="252">
        <f>+_xlfn.XLOOKUP(C618,'BASE DATOS PRECIOS '!B:B,'BASE DATOS PRECIOS '!E:E)</f>
        <v/>
      </c>
      <c r="F618" s="299">
        <f>'3.1_ELEC'!E80</f>
        <v/>
      </c>
      <c r="G618" s="321">
        <f>+_xlfn.XLOOKUP(C618,'BASE DATOS PRECIOS '!B:B,'BASE DATOS PRECIOS '!F:F)</f>
        <v/>
      </c>
      <c r="H618" s="322">
        <f>+_xlfn.XLOOKUP(E618,'BASE DATOS PRECIOS '!E:E,'BASE DATOS PRECIOS '!H:H)</f>
        <v/>
      </c>
      <c r="I618" s="321" t="n"/>
      <c r="J618" s="321" t="n"/>
      <c r="K618" s="322">
        <f>+F618*H618</f>
        <v/>
      </c>
      <c r="L618" s="322">
        <f>+F618*I618</f>
        <v/>
      </c>
      <c r="M618" s="322">
        <f>+F618*J618</f>
        <v/>
      </c>
      <c r="N618" s="322">
        <f>SUM(K618:M618)</f>
        <v/>
      </c>
      <c r="O618" s="323">
        <f>SUM(K618:M618)/tc</f>
        <v/>
      </c>
    </row>
    <row r="619">
      <c r="A619" s="16" t="n"/>
      <c r="B619" s="1134">
        <f>VALUE(IF(AND(LEN(TRIM(C619))-LEN(SUBSTITUTE(TRIM(C619),".",""))=1,ISNUMBER(VALUE(SUBSTITUTE(TRIM(C619),".","")))),TRIM(C619),B618))</f>
        <v/>
      </c>
      <c r="C619" s="274" t="inlineStr">
        <is>
          <t>M05-0373</t>
        </is>
      </c>
      <c r="D619" s="275" t="n"/>
      <c r="E619" s="252">
        <f>+_xlfn.XLOOKUP(C619,'BASE DATOS PRECIOS '!B:B,'BASE DATOS PRECIOS '!E:E)</f>
        <v/>
      </c>
      <c r="F619" s="299">
        <f>'3.1_ELEC'!E81</f>
        <v/>
      </c>
      <c r="G619" s="321">
        <f>+_xlfn.XLOOKUP(C619,'BASE DATOS PRECIOS '!B:B,'BASE DATOS PRECIOS '!F:F)</f>
        <v/>
      </c>
      <c r="H619" s="322">
        <f>+_xlfn.XLOOKUP(E619,'BASE DATOS PRECIOS '!E:E,'BASE DATOS PRECIOS '!H:H)</f>
        <v/>
      </c>
      <c r="I619" s="321" t="n"/>
      <c r="J619" s="321" t="n"/>
      <c r="K619" s="322">
        <f>+F619*H619</f>
        <v/>
      </c>
      <c r="L619" s="322">
        <f>+F619*I619</f>
        <v/>
      </c>
      <c r="M619" s="322">
        <f>+F619*J619</f>
        <v/>
      </c>
      <c r="N619" s="322">
        <f>SUM(K619:M619)</f>
        <v/>
      </c>
      <c r="O619" s="323">
        <f>SUM(K619:M619)/tc</f>
        <v/>
      </c>
    </row>
    <row r="620">
      <c r="A620" s="16" t="n"/>
      <c r="B620" s="1134">
        <f>VALUE(IF(AND(LEN(TRIM(C620))-LEN(SUBSTITUTE(TRIM(C620),".",""))=1,ISNUMBER(VALUE(SUBSTITUTE(TRIM(C620),".","")))),TRIM(C620),B619))</f>
        <v/>
      </c>
      <c r="C620" s="274" t="inlineStr">
        <is>
          <t>M05-0374</t>
        </is>
      </c>
      <c r="D620" s="275" t="n"/>
      <c r="E620" s="252">
        <f>+_xlfn.XLOOKUP(C620,'BASE DATOS PRECIOS '!B:B,'BASE DATOS PRECIOS '!E:E)</f>
        <v/>
      </c>
      <c r="F620" s="299">
        <f>'3.1_ELEC'!E82</f>
        <v/>
      </c>
      <c r="G620" s="321">
        <f>+_xlfn.XLOOKUP(C620,'BASE DATOS PRECIOS '!B:B,'BASE DATOS PRECIOS '!F:F)</f>
        <v/>
      </c>
      <c r="H620" s="322">
        <f>+_xlfn.XLOOKUP(E620,'BASE DATOS PRECIOS '!E:E,'BASE DATOS PRECIOS '!H:H)</f>
        <v/>
      </c>
      <c r="I620" s="321" t="n"/>
      <c r="J620" s="321" t="n"/>
      <c r="K620" s="322">
        <f>+F620*H620</f>
        <v/>
      </c>
      <c r="L620" s="322">
        <f>+F620*I620</f>
        <v/>
      </c>
      <c r="M620" s="322">
        <f>+F620*J620</f>
        <v/>
      </c>
      <c r="N620" s="322">
        <f>SUM(K620:M620)</f>
        <v/>
      </c>
      <c r="O620" s="323">
        <f>SUM(K620:M620)/tc</f>
        <v/>
      </c>
    </row>
    <row r="621">
      <c r="A621" s="16" t="n"/>
      <c r="B621" s="1134">
        <f>VALUE(IF(AND(LEN(TRIM(C621))-LEN(SUBSTITUTE(TRIM(C621),".",""))=1,ISNUMBER(VALUE(SUBSTITUTE(TRIM(C621),".","")))),TRIM(C621),B620))</f>
        <v/>
      </c>
      <c r="C621" s="16" t="inlineStr">
        <is>
          <t>M05-0375</t>
        </is>
      </c>
      <c r="D621" s="292" t="n"/>
      <c r="E621" s="252">
        <f>+_xlfn.XLOOKUP(C621,'BASE DATOS PRECIOS '!B:B,'BASE DATOS PRECIOS '!E:E)</f>
        <v/>
      </c>
      <c r="F621" s="299">
        <f>'3.1_ELEC'!E83</f>
        <v/>
      </c>
      <c r="G621" s="321">
        <f>+_xlfn.XLOOKUP(C621,'BASE DATOS PRECIOS '!B:B,'BASE DATOS PRECIOS '!F:F)</f>
        <v/>
      </c>
      <c r="H621" s="322">
        <f>+_xlfn.XLOOKUP(E621,'BASE DATOS PRECIOS '!E:E,'BASE DATOS PRECIOS '!H:H)</f>
        <v/>
      </c>
      <c r="I621" s="321" t="n"/>
      <c r="J621" s="321" t="n"/>
      <c r="K621" s="322">
        <f>+F621*H621</f>
        <v/>
      </c>
      <c r="L621" s="322">
        <f>+F621*I621</f>
        <v/>
      </c>
      <c r="M621" s="322">
        <f>+F621*J621</f>
        <v/>
      </c>
      <c r="N621" s="322">
        <f>SUM(K621:M621)</f>
        <v/>
      </c>
      <c r="O621" s="323">
        <f>SUM(K621:M621)/tc</f>
        <v/>
      </c>
    </row>
    <row r="622">
      <c r="A622" s="16" t="n"/>
      <c r="B622" s="1134">
        <f>VALUE(IF(AND(LEN(TRIM(C622))-LEN(SUBSTITUTE(TRIM(C622),".",""))=1,ISNUMBER(VALUE(SUBSTITUTE(TRIM(C622),".","")))),TRIM(C622),B621))</f>
        <v/>
      </c>
      <c r="C622" s="16" t="inlineStr">
        <is>
          <t>M05-0476</t>
        </is>
      </c>
      <c r="D622" s="292" t="n"/>
      <c r="E622" s="252">
        <f>+_xlfn.XLOOKUP(C622,'BASE DATOS PRECIOS '!B:B,'BASE DATOS PRECIOS '!E:E)</f>
        <v/>
      </c>
      <c r="F622" s="299">
        <f>'3.1_ELEC'!E84</f>
        <v/>
      </c>
      <c r="G622" s="321">
        <f>+_xlfn.XLOOKUP(C622,'BASE DATOS PRECIOS '!B:B,'BASE DATOS PRECIOS '!F:F)</f>
        <v/>
      </c>
      <c r="H622" s="322">
        <f>+_xlfn.XLOOKUP(E622,'BASE DATOS PRECIOS '!E:E,'BASE DATOS PRECIOS '!H:H)</f>
        <v/>
      </c>
      <c r="I622" s="321" t="n"/>
      <c r="J622" s="321" t="n"/>
      <c r="K622" s="322">
        <f>+F622*H622</f>
        <v/>
      </c>
      <c r="L622" s="322">
        <f>+F622*I622</f>
        <v/>
      </c>
      <c r="M622" s="322">
        <f>+F622*J622</f>
        <v/>
      </c>
      <c r="N622" s="322">
        <f>SUM(K622:M622)</f>
        <v/>
      </c>
      <c r="O622" s="323">
        <f>SUM(K622:M622)/tc</f>
        <v/>
      </c>
    </row>
    <row r="623">
      <c r="A623" s="16" t="n"/>
      <c r="B623" s="1134">
        <f>VALUE(IF(AND(LEN(TRIM(C623))-LEN(SUBSTITUTE(TRIM(C623),".",""))=1,ISNUMBER(VALUE(SUBSTITUTE(TRIM(C623),".","")))),TRIM(C623),B622))</f>
        <v/>
      </c>
      <c r="C623" s="274" t="inlineStr">
        <is>
          <t>M11-0071</t>
        </is>
      </c>
      <c r="D623" s="275" t="n"/>
      <c r="E623" s="252">
        <f>+_xlfn.XLOOKUP(C623,'BASE DATOS PRECIOS '!B:B,'BASE DATOS PRECIOS '!E:E)</f>
        <v/>
      </c>
      <c r="F623" s="299">
        <f>'3.1_ELEC'!E85</f>
        <v/>
      </c>
      <c r="G623" s="321">
        <f>+_xlfn.XLOOKUP(C623,'BASE DATOS PRECIOS '!B:B,'BASE DATOS PRECIOS '!F:F)</f>
        <v/>
      </c>
      <c r="H623" s="322">
        <f>+_xlfn.XLOOKUP(E623,'BASE DATOS PRECIOS '!E:E,'BASE DATOS PRECIOS '!H:H)</f>
        <v/>
      </c>
      <c r="I623" s="321" t="n"/>
      <c r="J623" s="321" t="n"/>
      <c r="K623" s="322">
        <f>+F623*H623</f>
        <v/>
      </c>
      <c r="L623" s="322">
        <f>+F623*I623</f>
        <v/>
      </c>
      <c r="M623" s="322">
        <f>+F623*J623</f>
        <v/>
      </c>
      <c r="N623" s="322">
        <f>SUM(K623:M623)</f>
        <v/>
      </c>
      <c r="O623" s="323">
        <f>SUM(K623:M623)/tc</f>
        <v/>
      </c>
    </row>
    <row r="624">
      <c r="A624" s="16" t="n"/>
      <c r="B624" s="1134">
        <f>VALUE(IF(AND(LEN(TRIM(C624))-LEN(SUBSTITUTE(TRIM(C624),".",""))=1,ISNUMBER(VALUE(SUBSTITUTE(TRIM(C624),".","")))),TRIM(C624),B623))</f>
        <v/>
      </c>
      <c r="C624" s="297" t="inlineStr">
        <is>
          <t>M06-0175</t>
        </is>
      </c>
      <c r="D624" s="298" t="n"/>
      <c r="E624" s="252">
        <f>+_xlfn.XLOOKUP(C624,'BASE DATOS PRECIOS '!B:B,'BASE DATOS PRECIOS '!E:E)</f>
        <v/>
      </c>
      <c r="F624" s="299">
        <f>'3.1_ELEC'!E86</f>
        <v/>
      </c>
      <c r="G624" s="321">
        <f>+_xlfn.XLOOKUP(C624,'BASE DATOS PRECIOS '!B:B,'BASE DATOS PRECIOS '!F:F)</f>
        <v/>
      </c>
      <c r="H624" s="322">
        <f>+_xlfn.XLOOKUP(E624,'BASE DATOS PRECIOS '!E:E,'BASE DATOS PRECIOS '!H:H)</f>
        <v/>
      </c>
      <c r="I624" s="321" t="n"/>
      <c r="J624" s="321" t="n"/>
      <c r="K624" s="322">
        <f>+F624*H624</f>
        <v/>
      </c>
      <c r="L624" s="322">
        <f>+F624*I624</f>
        <v/>
      </c>
      <c r="M624" s="322">
        <f>+F624*J624</f>
        <v/>
      </c>
      <c r="N624" s="322">
        <f>SUM(K624:M624)</f>
        <v/>
      </c>
      <c r="O624" s="323">
        <f>SUM(K624:M624)/tc</f>
        <v/>
      </c>
    </row>
    <row r="625">
      <c r="A625" s="16" t="n"/>
      <c r="B625" s="1134">
        <f>VALUE(IF(AND(LEN(TRIM(C625))-LEN(SUBSTITUTE(TRIM(C625),".",""))=1,ISNUMBER(VALUE(SUBSTITUTE(TRIM(C625),".","")))),TRIM(C625),B624))</f>
        <v/>
      </c>
      <c r="C625" s="297" t="inlineStr">
        <is>
          <t>M06-0013</t>
        </is>
      </c>
      <c r="D625" s="298" t="n"/>
      <c r="E625" s="252">
        <f>+_xlfn.XLOOKUP(C625,'BASE DATOS PRECIOS '!B:B,'BASE DATOS PRECIOS '!E:E)</f>
        <v/>
      </c>
      <c r="F625" s="299">
        <f>'3.1_ELEC'!E87</f>
        <v/>
      </c>
      <c r="G625" s="321">
        <f>+_xlfn.XLOOKUP(C625,'BASE DATOS PRECIOS '!B:B,'BASE DATOS PRECIOS '!F:F)</f>
        <v/>
      </c>
      <c r="H625" s="322">
        <f>+_xlfn.XLOOKUP(E625,'BASE DATOS PRECIOS '!E:E,'BASE DATOS PRECIOS '!H:H)</f>
        <v/>
      </c>
      <c r="I625" s="321" t="n"/>
      <c r="J625" s="321" t="n"/>
      <c r="K625" s="322">
        <f>+F625*H625</f>
        <v/>
      </c>
      <c r="L625" s="322">
        <f>+F625*I625</f>
        <v/>
      </c>
      <c r="M625" s="322">
        <f>+F625*J625</f>
        <v/>
      </c>
      <c r="N625" s="322">
        <f>SUM(K625:M625)</f>
        <v/>
      </c>
      <c r="O625" s="323">
        <f>SUM(K625:M625)/tc</f>
        <v/>
      </c>
    </row>
    <row r="626">
      <c r="A626" s="16" t="n"/>
      <c r="B626" s="1134">
        <f>VALUE(IF(AND(LEN(TRIM(C626))-LEN(SUBSTITUTE(TRIM(C626),".",""))=1,ISNUMBER(VALUE(SUBSTITUTE(TRIM(C626),".","")))),TRIM(C626),B625))</f>
        <v/>
      </c>
      <c r="C626" s="274" t="inlineStr">
        <is>
          <t>M06-0210</t>
        </is>
      </c>
      <c r="D626" s="275" t="n"/>
      <c r="E626" s="252">
        <f>+_xlfn.XLOOKUP(C626,'BASE DATOS PRECIOS '!B:B,'BASE DATOS PRECIOS '!E:E)</f>
        <v/>
      </c>
      <c r="F626" s="299">
        <f>'3.1_ELEC'!E88</f>
        <v/>
      </c>
      <c r="G626" s="321">
        <f>+_xlfn.XLOOKUP(C626,'BASE DATOS PRECIOS '!B:B,'BASE DATOS PRECIOS '!F:F)</f>
        <v/>
      </c>
      <c r="H626" s="322">
        <f>+_xlfn.XLOOKUP(E626,'BASE DATOS PRECIOS '!E:E,'BASE DATOS PRECIOS '!H:H)</f>
        <v/>
      </c>
      <c r="I626" s="321" t="n"/>
      <c r="J626" s="321" t="n"/>
      <c r="K626" s="322">
        <f>+F626*H626</f>
        <v/>
      </c>
      <c r="L626" s="322">
        <f>+F626*I626</f>
        <v/>
      </c>
      <c r="M626" s="322">
        <f>+F626*J626</f>
        <v/>
      </c>
      <c r="N626" s="322">
        <f>SUM(K626:M626)</f>
        <v/>
      </c>
      <c r="O626" s="323">
        <f>SUM(K626:M626)/tc</f>
        <v/>
      </c>
    </row>
    <row r="627">
      <c r="A627" s="16" t="n"/>
      <c r="B627" s="1134">
        <f>VALUE(IF(AND(LEN(TRIM(C627))-LEN(SUBSTITUTE(TRIM(C627),".",""))=1,ISNUMBER(VALUE(SUBSTITUTE(TRIM(C627),".","")))),TRIM(C627),B626))</f>
        <v/>
      </c>
      <c r="C627" s="16" t="inlineStr">
        <is>
          <t>M04-0003</t>
        </is>
      </c>
      <c r="D627" s="292" t="n"/>
      <c r="E627" s="252">
        <f>+_xlfn.XLOOKUP(C627,'BASE DATOS PRECIOS '!B:B,'BASE DATOS PRECIOS '!E:E)</f>
        <v/>
      </c>
      <c r="F627" s="299">
        <f>'3.1_ELEC'!E89</f>
        <v/>
      </c>
      <c r="G627" s="321">
        <f>+_xlfn.XLOOKUP(C627,'BASE DATOS PRECIOS '!B:B,'BASE DATOS PRECIOS '!F:F)</f>
        <v/>
      </c>
      <c r="H627" s="322">
        <f>+_xlfn.XLOOKUP(E627,'BASE DATOS PRECIOS '!E:E,'BASE DATOS PRECIOS '!H:H)</f>
        <v/>
      </c>
      <c r="I627" s="321" t="n"/>
      <c r="J627" s="321" t="n"/>
      <c r="K627" s="322">
        <f>+F627*H627</f>
        <v/>
      </c>
      <c r="L627" s="322">
        <f>+F627*I627</f>
        <v/>
      </c>
      <c r="M627" s="322">
        <f>+F627*J627</f>
        <v/>
      </c>
      <c r="N627" s="322">
        <f>SUM(K627:M627)</f>
        <v/>
      </c>
      <c r="O627" s="323">
        <f>SUM(K627:M627)/tc</f>
        <v/>
      </c>
    </row>
    <row r="628">
      <c r="A628" s="233" t="n"/>
      <c r="B628" s="1134">
        <f>VALUE(IF(AND(LEN(TRIM(C628))-LEN(SUBSTITUTE(TRIM(C628),".",""))=1,ISNUMBER(VALUE(SUBSTITUTE(TRIM(C628),".","")))),TRIM(C628),B627))</f>
        <v/>
      </c>
      <c r="C628" s="16" t="inlineStr">
        <is>
          <t>M05-0389</t>
        </is>
      </c>
      <c r="D628" s="292" t="n"/>
      <c r="E628" s="252">
        <f>+_xlfn.XLOOKUP(C628,'BASE DATOS PRECIOS '!B:B,'BASE DATOS PRECIOS '!E:E)</f>
        <v/>
      </c>
      <c r="F628" s="299">
        <f>'3.1_ELEC'!E90</f>
        <v/>
      </c>
      <c r="G628" s="321">
        <f>+_xlfn.XLOOKUP(C628,'BASE DATOS PRECIOS '!B:B,'BASE DATOS PRECIOS '!F:F)</f>
        <v/>
      </c>
      <c r="H628" s="322">
        <f>+_xlfn.XLOOKUP(E628,'BASE DATOS PRECIOS '!E:E,'BASE DATOS PRECIOS '!H:H)</f>
        <v/>
      </c>
      <c r="I628" s="321" t="n"/>
      <c r="J628" s="321" t="n"/>
      <c r="K628" s="322">
        <f>+F628*H628</f>
        <v/>
      </c>
      <c r="L628" s="322">
        <f>+F628*I628</f>
        <v/>
      </c>
      <c r="M628" s="322">
        <f>+F628*J628</f>
        <v/>
      </c>
      <c r="N628" s="322">
        <f>SUM(K628:M628)</f>
        <v/>
      </c>
      <c r="O628" s="323">
        <f>SUM(K628:M628)/tc</f>
        <v/>
      </c>
    </row>
    <row r="629">
      <c r="A629" s="16" t="n"/>
      <c r="B629" s="1134">
        <f>VALUE(IF(AND(LEN(TRIM(C629))-LEN(SUBSTITUTE(TRIM(C629),".",""))=1,ISNUMBER(VALUE(SUBSTITUTE(TRIM(C629),".","")))),TRIM(C629),B628))</f>
        <v/>
      </c>
      <c r="C629" s="16" t="inlineStr">
        <is>
          <t>M06-0197</t>
        </is>
      </c>
      <c r="D629" s="292" t="n"/>
      <c r="E629" s="252">
        <f>+_xlfn.XLOOKUP(C629,'BASE DATOS PRECIOS '!B:B,'BASE DATOS PRECIOS '!E:E)</f>
        <v/>
      </c>
      <c r="F629" s="299">
        <f>'3.1_ELEC'!E91</f>
        <v/>
      </c>
      <c r="G629" s="321">
        <f>+_xlfn.XLOOKUP(C629,'BASE DATOS PRECIOS '!B:B,'BASE DATOS PRECIOS '!F:F)</f>
        <v/>
      </c>
      <c r="H629" s="322">
        <f>+_xlfn.XLOOKUP(E629,'BASE DATOS PRECIOS '!E:E,'BASE DATOS PRECIOS '!H:H)</f>
        <v/>
      </c>
      <c r="I629" s="321" t="n"/>
      <c r="J629" s="321" t="n"/>
      <c r="K629" s="322">
        <f>+F629*H629</f>
        <v/>
      </c>
      <c r="L629" s="322">
        <f>+F629*I629</f>
        <v/>
      </c>
      <c r="M629" s="322">
        <f>+F629*J629</f>
        <v/>
      </c>
      <c r="N629" s="322">
        <f>SUM(K629:M629)</f>
        <v/>
      </c>
      <c r="O629" s="323">
        <f>SUM(K629:M629)/tc</f>
        <v/>
      </c>
    </row>
    <row r="630">
      <c r="A630" s="16" t="n"/>
      <c r="B630" s="1134">
        <f>VALUE(IF(AND(LEN(TRIM(C630))-LEN(SUBSTITUTE(TRIM(C630),".",""))=1,ISNUMBER(VALUE(SUBSTITUTE(TRIM(C630),".","")))),TRIM(C630),B629))</f>
        <v/>
      </c>
      <c r="C630" s="16" t="inlineStr">
        <is>
          <t>M05-0160</t>
        </is>
      </c>
      <c r="D630" s="292" t="n"/>
      <c r="E630" s="252">
        <f>+_xlfn.XLOOKUP(C630,'BASE DATOS PRECIOS '!B:B,'BASE DATOS PRECIOS '!E:E)</f>
        <v/>
      </c>
      <c r="F630" s="299">
        <f>'3.1_ELEC'!E92</f>
        <v/>
      </c>
      <c r="G630" s="321">
        <f>+_xlfn.XLOOKUP(C630,'BASE DATOS PRECIOS '!B:B,'BASE DATOS PRECIOS '!F:F)</f>
        <v/>
      </c>
      <c r="H630" s="322">
        <f>+_xlfn.XLOOKUP(E630,'BASE DATOS PRECIOS '!E:E,'BASE DATOS PRECIOS '!H:H)</f>
        <v/>
      </c>
      <c r="I630" s="321" t="n"/>
      <c r="J630" s="321" t="n"/>
      <c r="K630" s="322">
        <f>+F630*H630</f>
        <v/>
      </c>
      <c r="L630" s="322">
        <f>+F630*I630</f>
        <v/>
      </c>
      <c r="M630" s="322">
        <f>+F630*J630</f>
        <v/>
      </c>
      <c r="N630" s="322">
        <f>SUM(K630:M630)</f>
        <v/>
      </c>
      <c r="O630" s="323">
        <f>SUM(K630:M630)/tc</f>
        <v/>
      </c>
    </row>
    <row r="631">
      <c r="A631" s="16" t="n"/>
      <c r="B631" s="1134">
        <f>VALUE(IF(AND(LEN(TRIM(C631))-LEN(SUBSTITUTE(TRIM(C631),".",""))=1,ISNUMBER(VALUE(SUBSTITUTE(TRIM(C631),".","")))),TRIM(C631),B630))</f>
        <v/>
      </c>
      <c r="C631" s="16" t="inlineStr">
        <is>
          <t>M05-0477</t>
        </is>
      </c>
      <c r="D631" s="292" t="n"/>
      <c r="E631" s="252">
        <f>+_xlfn.XLOOKUP(C631,'BASE DATOS PRECIOS '!B:B,'BASE DATOS PRECIOS '!E:E)</f>
        <v/>
      </c>
      <c r="F631" s="299">
        <f>'3.1_ELEC'!E93</f>
        <v/>
      </c>
      <c r="G631" s="321">
        <f>+_xlfn.XLOOKUP(C631,'BASE DATOS PRECIOS '!B:B,'BASE DATOS PRECIOS '!F:F)</f>
        <v/>
      </c>
      <c r="H631" s="322">
        <f>+_xlfn.XLOOKUP(E631,'BASE DATOS PRECIOS '!E:E,'BASE DATOS PRECIOS '!H:H)</f>
        <v/>
      </c>
      <c r="I631" s="321" t="n"/>
      <c r="J631" s="321" t="n"/>
      <c r="K631" s="322">
        <f>+F631*H631</f>
        <v/>
      </c>
      <c r="L631" s="322">
        <f>+F631*I631</f>
        <v/>
      </c>
      <c r="M631" s="322">
        <f>+F631*J631</f>
        <v/>
      </c>
      <c r="N631" s="322">
        <f>SUM(K631:M631)</f>
        <v/>
      </c>
      <c r="O631" s="323">
        <f>SUM(K631:M631)/tc</f>
        <v/>
      </c>
    </row>
    <row r="632">
      <c r="A632" s="16" t="n"/>
      <c r="B632" s="1134">
        <f>VALUE(IF(AND(LEN(TRIM(C632))-LEN(SUBSTITUTE(TRIM(C632),".",""))=1,ISNUMBER(VALUE(SUBSTITUTE(TRIM(C632),".","")))),TRIM(C632),B631))</f>
        <v/>
      </c>
      <c r="C632" s="267" t="inlineStr">
        <is>
          <t>SUB ELECTRICO MUROS</t>
        </is>
      </c>
      <c r="D632" s="268" t="n"/>
      <c r="E632" s="269">
        <f>+_xlfn.XLOOKUP(C632,'BASE DATOS EQUIPOS Y SUBCONTRAT'!A:A,'BASE DATOS EQUIPOS Y SUBCONTRAT'!B:B)</f>
        <v/>
      </c>
      <c r="F632" s="356" t="n">
        <v>1</v>
      </c>
      <c r="G632" s="357">
        <f>+_xlfn.XLOOKUP(C632,'BASE DATOS EQUIPOS Y SUBCONTRAT'!A:A,'BASE DATOS EQUIPOS Y SUBCONTRAT'!C:C)</f>
        <v/>
      </c>
      <c r="H632" s="358" t="n">
        <v>0</v>
      </c>
      <c r="I632" s="357" t="n"/>
      <c r="J632" s="358" t="n">
        <v>0</v>
      </c>
      <c r="K632" s="358">
        <f>+F632*H632</f>
        <v/>
      </c>
      <c r="L632" s="358">
        <f>+F632*I632</f>
        <v/>
      </c>
      <c r="M632" s="358">
        <f>+F632*J632</f>
        <v/>
      </c>
      <c r="N632" s="358">
        <f>SUM(K632:M632)</f>
        <v/>
      </c>
      <c r="O632" s="359">
        <f>SUM(K632:M632)/tc</f>
        <v/>
      </c>
    </row>
    <row r="633">
      <c r="A633" s="16" t="n"/>
      <c r="B633" s="1134">
        <f>VALUE(IF(AND(LEN(TRIM(C633))-LEN(SUBSTITUTE(TRIM(C633),".",""))=1,ISNUMBER(VALUE(SUBSTITUTE(TRIM(C633),".","")))),TRIM(C633),B632))</f>
        <v/>
      </c>
      <c r="C633" s="267" t="inlineStr">
        <is>
          <t xml:space="preserve">OPERARIO </t>
        </is>
      </c>
      <c r="D633" s="268" t="n"/>
      <c r="E633" s="269">
        <f>+_xlfn.XLOOKUP(C633,'BASE DATOS MANO DE OBRA'!A:A,'BASE DATOS MANO DE OBRA'!B:B)</f>
        <v/>
      </c>
      <c r="F633" s="270" t="n">
        <v>0</v>
      </c>
      <c r="G633" s="271">
        <f>+_xlfn.XLOOKUP(C633,'BASE DATOS MANO DE OBRA'!A:A,'BASE DATOS MANO DE OBRA'!C:C)</f>
        <v/>
      </c>
      <c r="H633" s="272" t="n">
        <v>0</v>
      </c>
      <c r="I633" s="272">
        <f>+_xlfn.XLOOKUP(C633,'BASE DATOS MANO DE OBRA'!A:A,'BASE DATOS MANO DE OBRA'!E:E)</f>
        <v/>
      </c>
      <c r="J633" s="272" t="n">
        <v>0</v>
      </c>
      <c r="K633" s="272">
        <f>+F633*H633</f>
        <v/>
      </c>
      <c r="L633" s="272">
        <f>+F633*I633</f>
        <v/>
      </c>
      <c r="M633" s="272">
        <f>+F633*J633</f>
        <v/>
      </c>
      <c r="N633" s="272">
        <f>SUM(K633:M633)</f>
        <v/>
      </c>
      <c r="O633" s="273">
        <f>SUM(K633:M633)/tc</f>
        <v/>
      </c>
    </row>
    <row r="634">
      <c r="A634" s="16" t="n"/>
      <c r="B634" s="1134">
        <f>VALUE(IF(AND(LEN(TRIM(C634))-LEN(SUBSTITUTE(TRIM(C634),".",""))=1,ISNUMBER(VALUE(SUBSTITUTE(TRIM(C634),".","")))),TRIM(C634),B633))</f>
        <v/>
      </c>
      <c r="C634" s="267" t="inlineStr">
        <is>
          <t xml:space="preserve">AYUDANTE </t>
        </is>
      </c>
      <c r="D634" s="268" t="n"/>
      <c r="E634" s="269">
        <f>+_xlfn.XLOOKUP(C634,'BASE DATOS MANO DE OBRA'!A:A,'BASE DATOS MANO DE OBRA'!B:B)</f>
        <v/>
      </c>
      <c r="F634" s="270" t="n">
        <v>0</v>
      </c>
      <c r="G634" s="271">
        <f>+_xlfn.XLOOKUP(C634,'BASE DATOS MANO DE OBRA'!A:A,'BASE DATOS MANO DE OBRA'!C:C)</f>
        <v/>
      </c>
      <c r="H634" s="272" t="n">
        <v>0</v>
      </c>
      <c r="I634" s="272">
        <f>+_xlfn.XLOOKUP(C634,'BASE DATOS MANO DE OBRA'!A:A,'BASE DATOS MANO DE OBRA'!E:E)</f>
        <v/>
      </c>
      <c r="J634" s="272" t="n">
        <v>0</v>
      </c>
      <c r="K634" s="272">
        <f>+F634*H634</f>
        <v/>
      </c>
      <c r="L634" s="272">
        <f>+F634*I634</f>
        <v/>
      </c>
      <c r="M634" s="272">
        <f>+F634*J634</f>
        <v/>
      </c>
      <c r="N634" s="272">
        <f>SUM(K634:M634)</f>
        <v/>
      </c>
      <c r="O634" s="273">
        <f>SUM(K634:M634)/tc</f>
        <v/>
      </c>
    </row>
    <row r="635">
      <c r="A635" s="16" t="n"/>
      <c r="B635" s="1134">
        <f>VALUE(IF(AND(LEN(TRIM(C635))-LEN(SUBSTITUTE(TRIM(C635),".",""))=1,ISNUMBER(VALUE(SUBSTITUTE(TRIM(C635),".","")))),TRIM(C635),B634))</f>
        <v/>
      </c>
      <c r="C635" s="234" t="inlineStr">
        <is>
          <t>3.1.4</t>
        </is>
      </c>
      <c r="D635" s="235" t="n"/>
      <c r="E635" s="236" t="inlineStr">
        <is>
          <t>ELECTRICO AZOTEA</t>
        </is>
      </c>
      <c r="F635" s="237" t="n">
        <v>1</v>
      </c>
      <c r="G635" s="235" t="inlineStr">
        <is>
          <t>gb</t>
        </is>
      </c>
      <c r="H635" s="235" t="n"/>
      <c r="I635" s="235" t="n"/>
      <c r="J635" s="235" t="n"/>
      <c r="K635" s="238">
        <f>+SUBTOTAL(9,K636:K661)</f>
        <v/>
      </c>
      <c r="L635" s="238">
        <f>+SUBTOTAL(9,L636:L661)</f>
        <v/>
      </c>
      <c r="M635" s="238">
        <f>+SUBTOTAL(9,M636:M661)</f>
        <v/>
      </c>
      <c r="N635" s="238">
        <f>+SUBTOTAL(9,N636:N661)</f>
        <v/>
      </c>
      <c r="O635" s="1136">
        <f>+SUBTOTAL(9,O636:O661)</f>
        <v/>
      </c>
    </row>
    <row r="636">
      <c r="A636" s="16" t="n"/>
      <c r="B636" s="1134">
        <f>VALUE(IF(AND(LEN(TRIM(C636))-LEN(SUBSTITUTE(TRIM(C636),".",""))=1,ISNUMBER(VALUE(SUBSTITUTE(TRIM(C636),".","")))),TRIM(C636),B635))</f>
        <v/>
      </c>
      <c r="C636" s="274" t="inlineStr">
        <is>
          <t>M05-0362</t>
        </is>
      </c>
      <c r="D636" s="275" t="n"/>
      <c r="E636" s="252">
        <f>+_xlfn.XLOOKUP(C636,'BASE DATOS PRECIOS '!B:B,'BASE DATOS PRECIOS '!E:E)</f>
        <v/>
      </c>
      <c r="F636" s="299">
        <f>'3.1_ELEC'!E101</f>
        <v/>
      </c>
      <c r="G636" s="321">
        <f>+_xlfn.XLOOKUP(C636,'BASE DATOS PRECIOS '!B:B,'BASE DATOS PRECIOS '!F:F)</f>
        <v/>
      </c>
      <c r="H636" s="322">
        <f>+_xlfn.XLOOKUP(E636,'BASE DATOS PRECIOS '!E:E,'BASE DATOS PRECIOS '!H:H)</f>
        <v/>
      </c>
      <c r="I636" s="321" t="n"/>
      <c r="J636" s="321" t="n"/>
      <c r="K636" s="322">
        <f>+F636*H636</f>
        <v/>
      </c>
      <c r="L636" s="322">
        <f>+F636*I636</f>
        <v/>
      </c>
      <c r="M636" s="322">
        <f>+F636*J636</f>
        <v/>
      </c>
      <c r="N636" s="322">
        <f>SUM(K636:M636)</f>
        <v/>
      </c>
      <c r="O636" s="323">
        <f>SUM(K636:M636)/tc</f>
        <v/>
      </c>
    </row>
    <row r="637">
      <c r="A637" s="16" t="n"/>
      <c r="B637" s="1134">
        <f>VALUE(IF(AND(LEN(TRIM(C637))-LEN(SUBSTITUTE(TRIM(C637),".",""))=1,ISNUMBER(VALUE(SUBSTITUTE(TRIM(C637),".","")))),TRIM(C637),B636))</f>
        <v/>
      </c>
      <c r="C637" s="301" t="inlineStr">
        <is>
          <t>M05-0366</t>
        </is>
      </c>
      <c r="D637" s="302" t="n"/>
      <c r="E637" s="252">
        <f>+_xlfn.XLOOKUP(C637,'BASE DATOS PRECIOS '!B:B,'BASE DATOS PRECIOS '!E:E)</f>
        <v/>
      </c>
      <c r="F637" s="299">
        <f>'3.1_ELEC'!E102</f>
        <v/>
      </c>
      <c r="G637" s="321">
        <f>+_xlfn.XLOOKUP(C637,'BASE DATOS PRECIOS '!B:B,'BASE DATOS PRECIOS '!F:F)</f>
        <v/>
      </c>
      <c r="H637" s="322">
        <f>+_xlfn.XLOOKUP(E637,'BASE DATOS PRECIOS '!E:E,'BASE DATOS PRECIOS '!H:H)</f>
        <v/>
      </c>
      <c r="I637" s="321" t="n"/>
      <c r="J637" s="321" t="n"/>
      <c r="K637" s="322">
        <f>+F637*H637</f>
        <v/>
      </c>
      <c r="L637" s="322">
        <f>+F637*I637</f>
        <v/>
      </c>
      <c r="M637" s="322">
        <f>+F637*J637</f>
        <v/>
      </c>
      <c r="N637" s="322">
        <f>SUM(K637:M637)</f>
        <v/>
      </c>
      <c r="O637" s="323">
        <f>SUM(K637:M637)/tc</f>
        <v/>
      </c>
    </row>
    <row r="638">
      <c r="A638" s="16" t="n"/>
      <c r="B638" s="1134">
        <f>VALUE(IF(AND(LEN(TRIM(C638))-LEN(SUBSTITUTE(TRIM(C638),".",""))=1,ISNUMBER(VALUE(SUBSTITUTE(TRIM(C638),".","")))),TRIM(C638),B637))</f>
        <v/>
      </c>
      <c r="C638" s="274" t="inlineStr">
        <is>
          <t>M05-0361</t>
        </is>
      </c>
      <c r="D638" s="275" t="n"/>
      <c r="E638" s="252">
        <f>+_xlfn.XLOOKUP(C638,'BASE DATOS PRECIOS '!B:B,'BASE DATOS PRECIOS '!E:E)</f>
        <v/>
      </c>
      <c r="F638" s="299">
        <f>'3.1_ELEC'!E103</f>
        <v/>
      </c>
      <c r="G638" s="321">
        <f>+_xlfn.XLOOKUP(C638,'BASE DATOS PRECIOS '!B:B,'BASE DATOS PRECIOS '!F:F)</f>
        <v/>
      </c>
      <c r="H638" s="322">
        <f>+_xlfn.XLOOKUP(E638,'BASE DATOS PRECIOS '!E:E,'BASE DATOS PRECIOS '!H:H)</f>
        <v/>
      </c>
      <c r="I638" s="321" t="n"/>
      <c r="J638" s="321" t="n"/>
      <c r="K638" s="322">
        <f>+F638*H638</f>
        <v/>
      </c>
      <c r="L638" s="322">
        <f>+F638*I638</f>
        <v/>
      </c>
      <c r="M638" s="322">
        <f>+F638*J638</f>
        <v/>
      </c>
      <c r="N638" s="322">
        <f>SUM(K638:M638)</f>
        <v/>
      </c>
      <c r="O638" s="323">
        <f>SUM(K638:M638)/tc</f>
        <v/>
      </c>
    </row>
    <row r="639">
      <c r="A639" s="16" t="n"/>
      <c r="B639" s="1134">
        <f>VALUE(IF(AND(LEN(TRIM(C639))-LEN(SUBSTITUTE(TRIM(C639),".",""))=1,ISNUMBER(VALUE(SUBSTITUTE(TRIM(C639),".","")))),TRIM(C639),B638))</f>
        <v/>
      </c>
      <c r="C639" s="274" t="inlineStr">
        <is>
          <t>M05-0367</t>
        </is>
      </c>
      <c r="D639" s="275" t="n"/>
      <c r="E639" s="252">
        <f>+_xlfn.XLOOKUP(C639,'BASE DATOS PRECIOS '!B:B,'BASE DATOS PRECIOS '!E:E)</f>
        <v/>
      </c>
      <c r="F639" s="299">
        <f>'3.1_ELEC'!E104</f>
        <v/>
      </c>
      <c r="G639" s="321">
        <f>+_xlfn.XLOOKUP(C639,'BASE DATOS PRECIOS '!B:B,'BASE DATOS PRECIOS '!F:F)</f>
        <v/>
      </c>
      <c r="H639" s="322">
        <f>+_xlfn.XLOOKUP(E639,'BASE DATOS PRECIOS '!E:E,'BASE DATOS PRECIOS '!H:H)</f>
        <v/>
      </c>
      <c r="I639" s="321" t="n"/>
      <c r="J639" s="321" t="n"/>
      <c r="K639" s="322">
        <f>+F639*H639</f>
        <v/>
      </c>
      <c r="L639" s="322">
        <f>+F639*I639</f>
        <v/>
      </c>
      <c r="M639" s="322">
        <f>+F639*J639</f>
        <v/>
      </c>
      <c r="N639" s="322">
        <f>SUM(K639:M639)</f>
        <v/>
      </c>
      <c r="O639" s="323">
        <f>SUM(K639:M639)/tc</f>
        <v/>
      </c>
    </row>
    <row r="640">
      <c r="A640" s="16" t="n"/>
      <c r="B640" s="1134">
        <f>VALUE(IF(AND(LEN(TRIM(C640))-LEN(SUBSTITUTE(TRIM(C640),".",""))=1,ISNUMBER(VALUE(SUBSTITUTE(TRIM(C640),".","")))),TRIM(C640),B639))</f>
        <v/>
      </c>
      <c r="C640" s="274" t="inlineStr">
        <is>
          <t>M05-0368</t>
        </is>
      </c>
      <c r="D640" s="275" t="n"/>
      <c r="E640" s="252">
        <f>+_xlfn.XLOOKUP(C640,'BASE DATOS PRECIOS '!B:B,'BASE DATOS PRECIOS '!E:E)</f>
        <v/>
      </c>
      <c r="F640" s="299">
        <f>'3.1_ELEC'!E105</f>
        <v/>
      </c>
      <c r="G640" s="321">
        <f>+_xlfn.XLOOKUP(C640,'BASE DATOS PRECIOS '!B:B,'BASE DATOS PRECIOS '!F:F)</f>
        <v/>
      </c>
      <c r="H640" s="322">
        <f>+_xlfn.XLOOKUP(E640,'BASE DATOS PRECIOS '!E:E,'BASE DATOS PRECIOS '!H:H)</f>
        <v/>
      </c>
      <c r="I640" s="321" t="n"/>
      <c r="J640" s="321" t="n"/>
      <c r="K640" s="322">
        <f>+F640*H640</f>
        <v/>
      </c>
      <c r="L640" s="322">
        <f>+F640*I640</f>
        <v/>
      </c>
      <c r="M640" s="322">
        <f>+F640*J640</f>
        <v/>
      </c>
      <c r="N640" s="322">
        <f>SUM(K640:M640)</f>
        <v/>
      </c>
      <c r="O640" s="323">
        <f>SUM(K640:M640)/tc</f>
        <v/>
      </c>
    </row>
    <row r="641">
      <c r="A641" s="16" t="n"/>
      <c r="B641" s="1134">
        <f>VALUE(IF(AND(LEN(TRIM(C641))-LEN(SUBSTITUTE(TRIM(C641),".",""))=1,ISNUMBER(VALUE(SUBSTITUTE(TRIM(C641),".","")))),TRIM(C641),B640))</f>
        <v/>
      </c>
      <c r="C641" s="301" t="inlineStr">
        <is>
          <t>M05-0369</t>
        </is>
      </c>
      <c r="D641" s="302" t="n"/>
      <c r="E641" s="252">
        <f>+_xlfn.XLOOKUP(C641,'BASE DATOS PRECIOS '!B:B,'BASE DATOS PRECIOS '!E:E)</f>
        <v/>
      </c>
      <c r="F641" s="299">
        <f>'3.1_ELEC'!E106</f>
        <v/>
      </c>
      <c r="G641" s="321">
        <f>+_xlfn.XLOOKUP(C641,'BASE DATOS PRECIOS '!B:B,'BASE DATOS PRECIOS '!F:F)</f>
        <v/>
      </c>
      <c r="H641" s="322">
        <f>+_xlfn.XLOOKUP(E641,'BASE DATOS PRECIOS '!E:E,'BASE DATOS PRECIOS '!H:H)</f>
        <v/>
      </c>
      <c r="I641" s="321" t="n"/>
      <c r="J641" s="321" t="n"/>
      <c r="K641" s="322">
        <f>+F641*H641</f>
        <v/>
      </c>
      <c r="L641" s="322">
        <f>+F641*I641</f>
        <v/>
      </c>
      <c r="M641" s="322">
        <f>+F641*J641</f>
        <v/>
      </c>
      <c r="N641" s="322">
        <f>SUM(K641:M641)</f>
        <v/>
      </c>
      <c r="O641" s="323">
        <f>SUM(K641:M641)/tc</f>
        <v/>
      </c>
    </row>
    <row r="642">
      <c r="A642" s="16" t="n"/>
      <c r="B642" s="1134">
        <f>VALUE(IF(AND(LEN(TRIM(C642))-LEN(SUBSTITUTE(TRIM(C642),".",""))=1,ISNUMBER(VALUE(SUBSTITUTE(TRIM(C642),".","")))),TRIM(C642),B641))</f>
        <v/>
      </c>
      <c r="C642" s="301" t="inlineStr">
        <is>
          <t>M05-0370</t>
        </is>
      </c>
      <c r="D642" s="302" t="n"/>
      <c r="E642" s="252">
        <f>+_xlfn.XLOOKUP(C642,'BASE DATOS PRECIOS '!B:B,'BASE DATOS PRECIOS '!E:E)</f>
        <v/>
      </c>
      <c r="F642" s="299">
        <f>'3.1_ELEC'!E107</f>
        <v/>
      </c>
      <c r="G642" s="321">
        <f>+_xlfn.XLOOKUP(C642,'BASE DATOS PRECIOS '!B:B,'BASE DATOS PRECIOS '!F:F)</f>
        <v/>
      </c>
      <c r="H642" s="322">
        <f>+_xlfn.XLOOKUP(E642,'BASE DATOS PRECIOS '!E:E,'BASE DATOS PRECIOS '!H:H)</f>
        <v/>
      </c>
      <c r="I642" s="321" t="n"/>
      <c r="J642" s="321" t="n"/>
      <c r="K642" s="322">
        <f>+F642*H642</f>
        <v/>
      </c>
      <c r="L642" s="322">
        <f>+F642*I642</f>
        <v/>
      </c>
      <c r="M642" s="322">
        <f>+F642*J642</f>
        <v/>
      </c>
      <c r="N642" s="322">
        <f>SUM(K642:M642)</f>
        <v/>
      </c>
      <c r="O642" s="323">
        <f>SUM(K642:M642)/tc</f>
        <v/>
      </c>
    </row>
    <row r="643">
      <c r="A643" s="16" t="n"/>
      <c r="B643" s="1134">
        <f>VALUE(IF(AND(LEN(TRIM(C643))-LEN(SUBSTITUTE(TRIM(C643),".",""))=1,ISNUMBER(VALUE(SUBSTITUTE(TRIM(C643),".","")))),TRIM(C643),B642))</f>
        <v/>
      </c>
      <c r="C643" s="274" t="inlineStr">
        <is>
          <t>M05-0371</t>
        </is>
      </c>
      <c r="D643" s="275" t="n"/>
      <c r="E643" s="252">
        <f>+_xlfn.XLOOKUP(C643,'BASE DATOS PRECIOS '!B:B,'BASE DATOS PRECIOS '!E:E)</f>
        <v/>
      </c>
      <c r="F643" s="299">
        <f>'3.1_ELEC'!E108</f>
        <v/>
      </c>
      <c r="G643" s="321">
        <f>+_xlfn.XLOOKUP(C643,'BASE DATOS PRECIOS '!B:B,'BASE DATOS PRECIOS '!F:F)</f>
        <v/>
      </c>
      <c r="H643" s="322">
        <f>+_xlfn.XLOOKUP(E643,'BASE DATOS PRECIOS '!E:E,'BASE DATOS PRECIOS '!H:H)</f>
        <v/>
      </c>
      <c r="I643" s="321" t="n"/>
      <c r="J643" s="321" t="n"/>
      <c r="K643" s="322">
        <f>+F643*H643</f>
        <v/>
      </c>
      <c r="L643" s="322">
        <f>+F643*I643</f>
        <v/>
      </c>
      <c r="M643" s="322">
        <f>+F643*J643</f>
        <v/>
      </c>
      <c r="N643" s="322">
        <f>SUM(K643:M643)</f>
        <v/>
      </c>
      <c r="O643" s="323">
        <f>SUM(K643:M643)/tc</f>
        <v/>
      </c>
    </row>
    <row r="644">
      <c r="A644" s="16" t="n"/>
      <c r="B644" s="1134">
        <f>VALUE(IF(AND(LEN(TRIM(C644))-LEN(SUBSTITUTE(TRIM(C644),".",""))=1,ISNUMBER(VALUE(SUBSTITUTE(TRIM(C644),".","")))),TRIM(C644),B643))</f>
        <v/>
      </c>
      <c r="C644" s="333" t="inlineStr">
        <is>
          <t>M05-0372</t>
        </is>
      </c>
      <c r="D644" s="334" t="n"/>
      <c r="E644" s="252">
        <f>+_xlfn.XLOOKUP(C644,'BASE DATOS PRECIOS '!B:B,'BASE DATOS PRECIOS '!E:E)</f>
        <v/>
      </c>
      <c r="F644" s="299">
        <f>'3.1_ELEC'!E109</f>
        <v/>
      </c>
      <c r="G644" s="321">
        <f>+_xlfn.XLOOKUP(C644,'BASE DATOS PRECIOS '!B:B,'BASE DATOS PRECIOS '!F:F)</f>
        <v/>
      </c>
      <c r="H644" s="322">
        <f>+_xlfn.XLOOKUP(E644,'BASE DATOS PRECIOS '!E:E,'BASE DATOS PRECIOS '!H:H)</f>
        <v/>
      </c>
      <c r="I644" s="321" t="n"/>
      <c r="J644" s="321" t="n"/>
      <c r="K644" s="322">
        <f>+F644*H644</f>
        <v/>
      </c>
      <c r="L644" s="322">
        <f>+F644*I644</f>
        <v/>
      </c>
      <c r="M644" s="322">
        <f>+F644*J644</f>
        <v/>
      </c>
      <c r="N644" s="322">
        <f>SUM(K644:M644)</f>
        <v/>
      </c>
      <c r="O644" s="323">
        <f>SUM(K644:M644)/tc</f>
        <v/>
      </c>
    </row>
    <row r="645">
      <c r="A645" s="16" t="n"/>
      <c r="B645" s="1134">
        <f>VALUE(IF(AND(LEN(TRIM(C645))-LEN(SUBSTITUTE(TRIM(C645),".",""))=1,ISNUMBER(VALUE(SUBSTITUTE(TRIM(C645),".","")))),TRIM(C645),B644))</f>
        <v/>
      </c>
      <c r="C645" s="274" t="inlineStr">
        <is>
          <t>M05-0373</t>
        </is>
      </c>
      <c r="D645" s="275" t="n"/>
      <c r="E645" s="252">
        <f>+_xlfn.XLOOKUP(C645,'BASE DATOS PRECIOS '!B:B,'BASE DATOS PRECIOS '!E:E)</f>
        <v/>
      </c>
      <c r="F645" s="299">
        <f>'3.1_ELEC'!E110</f>
        <v/>
      </c>
      <c r="G645" s="321">
        <f>+_xlfn.XLOOKUP(C645,'BASE DATOS PRECIOS '!B:B,'BASE DATOS PRECIOS '!F:F)</f>
        <v/>
      </c>
      <c r="H645" s="322">
        <f>+_xlfn.XLOOKUP(E645,'BASE DATOS PRECIOS '!E:E,'BASE DATOS PRECIOS '!H:H)</f>
        <v/>
      </c>
      <c r="I645" s="321" t="n"/>
      <c r="J645" s="321" t="n"/>
      <c r="K645" s="322">
        <f>+F645*H645</f>
        <v/>
      </c>
      <c r="L645" s="322">
        <f>+F645*I645</f>
        <v/>
      </c>
      <c r="M645" s="322">
        <f>+F645*J645</f>
        <v/>
      </c>
      <c r="N645" s="322">
        <f>SUM(K645:M645)</f>
        <v/>
      </c>
      <c r="O645" s="323">
        <f>SUM(K645:M645)/tc</f>
        <v/>
      </c>
    </row>
    <row r="646">
      <c r="A646" s="16" t="n"/>
      <c r="B646" s="1134">
        <f>VALUE(IF(AND(LEN(TRIM(C646))-LEN(SUBSTITUTE(TRIM(C646),".",""))=1,ISNUMBER(VALUE(SUBSTITUTE(TRIM(C646),".","")))),TRIM(C646),B645))</f>
        <v/>
      </c>
      <c r="C646" s="274" t="inlineStr">
        <is>
          <t>M05-0374</t>
        </is>
      </c>
      <c r="D646" s="275" t="n"/>
      <c r="E646" s="252">
        <f>+_xlfn.XLOOKUP(C646,'BASE DATOS PRECIOS '!B:B,'BASE DATOS PRECIOS '!E:E)</f>
        <v/>
      </c>
      <c r="F646" s="299">
        <f>'3.1_ELEC'!E111</f>
        <v/>
      </c>
      <c r="G646" s="321">
        <f>+_xlfn.XLOOKUP(C646,'BASE DATOS PRECIOS '!B:B,'BASE DATOS PRECIOS '!F:F)</f>
        <v/>
      </c>
      <c r="H646" s="322">
        <f>+_xlfn.XLOOKUP(E646,'BASE DATOS PRECIOS '!E:E,'BASE DATOS PRECIOS '!H:H)</f>
        <v/>
      </c>
      <c r="I646" s="321" t="n"/>
      <c r="J646" s="321" t="n"/>
      <c r="K646" s="322">
        <f>+F646*H646</f>
        <v/>
      </c>
      <c r="L646" s="322">
        <f>+F646*I646</f>
        <v/>
      </c>
      <c r="M646" s="322">
        <f>+F646*J646</f>
        <v/>
      </c>
      <c r="N646" s="322">
        <f>SUM(K646:M646)</f>
        <v/>
      </c>
      <c r="O646" s="323">
        <f>SUM(K646:M646)/tc</f>
        <v/>
      </c>
    </row>
    <row r="647">
      <c r="A647" s="16" t="n"/>
      <c r="B647" s="1134">
        <f>VALUE(IF(AND(LEN(TRIM(C647))-LEN(SUBSTITUTE(TRIM(C647),".",""))=1,ISNUMBER(VALUE(SUBSTITUTE(TRIM(C647),".","")))),TRIM(C647),B646))</f>
        <v/>
      </c>
      <c r="C647" s="16" t="inlineStr">
        <is>
          <t>M05-0375</t>
        </is>
      </c>
      <c r="D647" s="292" t="n"/>
      <c r="E647" s="252">
        <f>+_xlfn.XLOOKUP(C647,'BASE DATOS PRECIOS '!B:B,'BASE DATOS PRECIOS '!E:E)</f>
        <v/>
      </c>
      <c r="F647" s="299">
        <f>'3.1_ELEC'!E112</f>
        <v/>
      </c>
      <c r="G647" s="321">
        <f>+_xlfn.XLOOKUP(C647,'BASE DATOS PRECIOS '!B:B,'BASE DATOS PRECIOS '!F:F)</f>
        <v/>
      </c>
      <c r="H647" s="322">
        <f>+_xlfn.XLOOKUP(E647,'BASE DATOS PRECIOS '!E:E,'BASE DATOS PRECIOS '!H:H)</f>
        <v/>
      </c>
      <c r="I647" s="321" t="n"/>
      <c r="J647" s="321" t="n"/>
      <c r="K647" s="322">
        <f>+F647*H647</f>
        <v/>
      </c>
      <c r="L647" s="322">
        <f>+F647*I647</f>
        <v/>
      </c>
      <c r="M647" s="322">
        <f>+F647*J647</f>
        <v/>
      </c>
      <c r="N647" s="322">
        <f>SUM(K647:M647)</f>
        <v/>
      </c>
      <c r="O647" s="323">
        <f>SUM(K647:M647)/tc</f>
        <v/>
      </c>
    </row>
    <row r="648">
      <c r="A648" s="16" t="n"/>
      <c r="B648" s="1134">
        <f>VALUE(IF(AND(LEN(TRIM(C648))-LEN(SUBSTITUTE(TRIM(C648),".",""))=1,ISNUMBER(VALUE(SUBSTITUTE(TRIM(C648),".","")))),TRIM(C648),B647))</f>
        <v/>
      </c>
      <c r="C648" s="16" t="inlineStr">
        <is>
          <t>M05-0476</t>
        </is>
      </c>
      <c r="D648" s="292" t="n"/>
      <c r="E648" s="252">
        <f>+_xlfn.XLOOKUP(C648,'BASE DATOS PRECIOS '!B:B,'BASE DATOS PRECIOS '!E:E)</f>
        <v/>
      </c>
      <c r="F648" s="299">
        <f>'3.1_ELEC'!E113</f>
        <v/>
      </c>
      <c r="G648" s="321">
        <f>+_xlfn.XLOOKUP(C648,'BASE DATOS PRECIOS '!B:B,'BASE DATOS PRECIOS '!F:F)</f>
        <v/>
      </c>
      <c r="H648" s="322">
        <f>+_xlfn.XLOOKUP(E648,'BASE DATOS PRECIOS '!E:E,'BASE DATOS PRECIOS '!H:H)</f>
        <v/>
      </c>
      <c r="I648" s="321" t="n"/>
      <c r="J648" s="321" t="n"/>
      <c r="K648" s="322">
        <f>+F648*H648</f>
        <v/>
      </c>
      <c r="L648" s="322">
        <f>+F648*I648</f>
        <v/>
      </c>
      <c r="M648" s="322">
        <f>+F648*J648</f>
        <v/>
      </c>
      <c r="N648" s="322">
        <f>SUM(K648:M648)</f>
        <v/>
      </c>
      <c r="O648" s="323">
        <f>SUM(K648:M648)/tc</f>
        <v/>
      </c>
    </row>
    <row r="649">
      <c r="A649" s="16" t="n"/>
      <c r="B649" s="1134">
        <f>VALUE(IF(AND(LEN(TRIM(C649))-LEN(SUBSTITUTE(TRIM(C649),".",""))=1,ISNUMBER(VALUE(SUBSTITUTE(TRIM(C649),".","")))),TRIM(C649),B648))</f>
        <v/>
      </c>
      <c r="C649" s="274" t="inlineStr">
        <is>
          <t>M11-0071</t>
        </is>
      </c>
      <c r="D649" s="275" t="n"/>
      <c r="E649" s="252">
        <f>+_xlfn.XLOOKUP(C649,'BASE DATOS PRECIOS '!B:B,'BASE DATOS PRECIOS '!E:E)</f>
        <v/>
      </c>
      <c r="F649" s="299">
        <f>'3.1_ELEC'!E114</f>
        <v/>
      </c>
      <c r="G649" s="321">
        <f>+_xlfn.XLOOKUP(C649,'BASE DATOS PRECIOS '!B:B,'BASE DATOS PRECIOS '!F:F)</f>
        <v/>
      </c>
      <c r="H649" s="322">
        <f>+_xlfn.XLOOKUP(E649,'BASE DATOS PRECIOS '!E:E,'BASE DATOS PRECIOS '!H:H)</f>
        <v/>
      </c>
      <c r="I649" s="321" t="n"/>
      <c r="J649" s="321" t="n"/>
      <c r="K649" s="322">
        <f>+F649*H649</f>
        <v/>
      </c>
      <c r="L649" s="322">
        <f>+F649*I649</f>
        <v/>
      </c>
      <c r="M649" s="322">
        <f>+F649*J649</f>
        <v/>
      </c>
      <c r="N649" s="322">
        <f>SUM(K649:M649)</f>
        <v/>
      </c>
      <c r="O649" s="323">
        <f>SUM(K649:M649)/tc</f>
        <v/>
      </c>
    </row>
    <row r="650">
      <c r="A650" s="16" t="n"/>
      <c r="B650" s="1134">
        <f>VALUE(IF(AND(LEN(TRIM(C650))-LEN(SUBSTITUTE(TRIM(C650),".",""))=1,ISNUMBER(VALUE(SUBSTITUTE(TRIM(C650),".","")))),TRIM(C650),B649))</f>
        <v/>
      </c>
      <c r="C650" s="297" t="inlineStr">
        <is>
          <t>M06-0175</t>
        </is>
      </c>
      <c r="D650" s="298" t="n"/>
      <c r="E650" s="252">
        <f>+_xlfn.XLOOKUP(C650,'BASE DATOS PRECIOS '!B:B,'BASE DATOS PRECIOS '!E:E)</f>
        <v/>
      </c>
      <c r="F650" s="299">
        <f>'3.1_ELEC'!E115</f>
        <v/>
      </c>
      <c r="G650" s="321">
        <f>+_xlfn.XLOOKUP(C650,'BASE DATOS PRECIOS '!B:B,'BASE DATOS PRECIOS '!F:F)</f>
        <v/>
      </c>
      <c r="H650" s="322">
        <f>+_xlfn.XLOOKUP(E650,'BASE DATOS PRECIOS '!E:E,'BASE DATOS PRECIOS '!H:H)</f>
        <v/>
      </c>
      <c r="I650" s="321" t="n"/>
      <c r="J650" s="321" t="n"/>
      <c r="K650" s="322">
        <f>+F650*H650</f>
        <v/>
      </c>
      <c r="L650" s="322">
        <f>+F650*I650</f>
        <v/>
      </c>
      <c r="M650" s="322">
        <f>+F650*J650</f>
        <v/>
      </c>
      <c r="N650" s="322">
        <f>SUM(K650:M650)</f>
        <v/>
      </c>
      <c r="O650" s="323">
        <f>SUM(K650:M650)/tc</f>
        <v/>
      </c>
    </row>
    <row r="651">
      <c r="A651" s="16" t="n"/>
      <c r="B651" s="1134">
        <f>VALUE(IF(AND(LEN(TRIM(C651))-LEN(SUBSTITUTE(TRIM(C651),".",""))=1,ISNUMBER(VALUE(SUBSTITUTE(TRIM(C651),".","")))),TRIM(C651),B650))</f>
        <v/>
      </c>
      <c r="C651" s="297" t="inlineStr">
        <is>
          <t>M06-0013</t>
        </is>
      </c>
      <c r="D651" s="298" t="n"/>
      <c r="E651" s="252">
        <f>+_xlfn.XLOOKUP(C651,'BASE DATOS PRECIOS '!B:B,'BASE DATOS PRECIOS '!E:E)</f>
        <v/>
      </c>
      <c r="F651" s="299">
        <f>'3.1_ELEC'!E116</f>
        <v/>
      </c>
      <c r="G651" s="321">
        <f>+_xlfn.XLOOKUP(C651,'BASE DATOS PRECIOS '!B:B,'BASE DATOS PRECIOS '!F:F)</f>
        <v/>
      </c>
      <c r="H651" s="322">
        <f>+_xlfn.XLOOKUP(E651,'BASE DATOS PRECIOS '!E:E,'BASE DATOS PRECIOS '!H:H)</f>
        <v/>
      </c>
      <c r="I651" s="321" t="n"/>
      <c r="J651" s="321" t="n"/>
      <c r="K651" s="322">
        <f>+F651*H651</f>
        <v/>
      </c>
      <c r="L651" s="322">
        <f>+F651*I651</f>
        <v/>
      </c>
      <c r="M651" s="322">
        <f>+F651*J651</f>
        <v/>
      </c>
      <c r="N651" s="322">
        <f>SUM(K651:M651)</f>
        <v/>
      </c>
      <c r="O651" s="323">
        <f>SUM(K651:M651)/tc</f>
        <v/>
      </c>
    </row>
    <row r="652">
      <c r="A652" s="233" t="n"/>
      <c r="B652" s="1134">
        <f>VALUE(IF(AND(LEN(TRIM(C652))-LEN(SUBSTITUTE(TRIM(C652),".",""))=1,ISNUMBER(VALUE(SUBSTITUTE(TRIM(C652),".","")))),TRIM(C652),B651))</f>
        <v/>
      </c>
      <c r="C652" s="274" t="inlineStr">
        <is>
          <t>M06-0210</t>
        </is>
      </c>
      <c r="D652" s="275" t="n"/>
      <c r="E652" s="252">
        <f>+_xlfn.XLOOKUP(C652,'BASE DATOS PRECIOS '!B:B,'BASE DATOS PRECIOS '!E:E)</f>
        <v/>
      </c>
      <c r="F652" s="299">
        <f>'3.1_ELEC'!E117</f>
        <v/>
      </c>
      <c r="G652" s="321">
        <f>+_xlfn.XLOOKUP(C652,'BASE DATOS PRECIOS '!B:B,'BASE DATOS PRECIOS '!F:F)</f>
        <v/>
      </c>
      <c r="H652" s="322">
        <f>+_xlfn.XLOOKUP(E652,'BASE DATOS PRECIOS '!E:E,'BASE DATOS PRECIOS '!H:H)</f>
        <v/>
      </c>
      <c r="I652" s="321" t="n"/>
      <c r="J652" s="321" t="n"/>
      <c r="K652" s="322">
        <f>+F652*H652</f>
        <v/>
      </c>
      <c r="L652" s="322">
        <f>+F652*I652</f>
        <v/>
      </c>
      <c r="M652" s="322">
        <f>+F652*J652</f>
        <v/>
      </c>
      <c r="N652" s="322">
        <f>SUM(K652:M652)</f>
        <v/>
      </c>
      <c r="O652" s="323">
        <f>SUM(K652:M652)/tc</f>
        <v/>
      </c>
    </row>
    <row r="653">
      <c r="A653" s="16" t="n"/>
      <c r="B653" s="1134">
        <f>VALUE(IF(AND(LEN(TRIM(C653))-LEN(SUBSTITUTE(TRIM(C653),".",""))=1,ISNUMBER(VALUE(SUBSTITUTE(TRIM(C653),".","")))),TRIM(C653),B652))</f>
        <v/>
      </c>
      <c r="C653" s="16" t="inlineStr">
        <is>
          <t>M04-0003</t>
        </is>
      </c>
      <c r="D653" s="292" t="n"/>
      <c r="E653" s="252">
        <f>+_xlfn.XLOOKUP(C653,'BASE DATOS PRECIOS '!B:B,'BASE DATOS PRECIOS '!E:E)</f>
        <v/>
      </c>
      <c r="F653" s="299">
        <f>'3.1_ELEC'!E118</f>
        <v/>
      </c>
      <c r="G653" s="321">
        <f>+_xlfn.XLOOKUP(C653,'BASE DATOS PRECIOS '!B:B,'BASE DATOS PRECIOS '!F:F)</f>
        <v/>
      </c>
      <c r="H653" s="322">
        <f>+_xlfn.XLOOKUP(E653,'BASE DATOS PRECIOS '!E:E,'BASE DATOS PRECIOS '!H:H)</f>
        <v/>
      </c>
      <c r="I653" s="321" t="n"/>
      <c r="J653" s="321" t="n"/>
      <c r="K653" s="322">
        <f>+F653*H653</f>
        <v/>
      </c>
      <c r="L653" s="322">
        <f>+F653*I653</f>
        <v/>
      </c>
      <c r="M653" s="322">
        <f>+F653*J653</f>
        <v/>
      </c>
      <c r="N653" s="322">
        <f>SUM(K653:M653)</f>
        <v/>
      </c>
      <c r="O653" s="323">
        <f>SUM(K653:M653)/tc</f>
        <v/>
      </c>
    </row>
    <row r="654">
      <c r="A654" s="16" t="n"/>
      <c r="B654" s="1134">
        <f>VALUE(IF(AND(LEN(TRIM(C654))-LEN(SUBSTITUTE(TRIM(C654),".",""))=1,ISNUMBER(VALUE(SUBSTITUTE(TRIM(C654),".","")))),TRIM(C654),B653))</f>
        <v/>
      </c>
      <c r="C654" s="16" t="inlineStr">
        <is>
          <t>M05-0389</t>
        </is>
      </c>
      <c r="D654" s="292" t="n"/>
      <c r="E654" s="252">
        <f>+_xlfn.XLOOKUP(C654,'BASE DATOS PRECIOS '!B:B,'BASE DATOS PRECIOS '!E:E)</f>
        <v/>
      </c>
      <c r="F654" s="299">
        <f>'3.1_ELEC'!E119</f>
        <v/>
      </c>
      <c r="G654" s="321">
        <f>+_xlfn.XLOOKUP(C654,'BASE DATOS PRECIOS '!B:B,'BASE DATOS PRECIOS '!F:F)</f>
        <v/>
      </c>
      <c r="H654" s="322">
        <f>+_xlfn.XLOOKUP(E654,'BASE DATOS PRECIOS '!E:E,'BASE DATOS PRECIOS '!H:H)</f>
        <v/>
      </c>
      <c r="I654" s="321" t="n"/>
      <c r="J654" s="321" t="n"/>
      <c r="K654" s="322">
        <f>+F654*H654</f>
        <v/>
      </c>
      <c r="L654" s="322">
        <f>+F654*I654</f>
        <v/>
      </c>
      <c r="M654" s="322">
        <f>+F654*J654</f>
        <v/>
      </c>
      <c r="N654" s="322">
        <f>SUM(K654:M654)</f>
        <v/>
      </c>
      <c r="O654" s="323">
        <f>SUM(K654:M654)/tc</f>
        <v/>
      </c>
    </row>
    <row r="655">
      <c r="A655" s="16" t="n"/>
      <c r="B655" s="1134">
        <f>VALUE(IF(AND(LEN(TRIM(C655))-LEN(SUBSTITUTE(TRIM(C655),".",""))=1,ISNUMBER(VALUE(SUBSTITUTE(TRIM(C655),".","")))),TRIM(C655),B654))</f>
        <v/>
      </c>
      <c r="C655" s="16" t="inlineStr">
        <is>
          <t>M06-0197</t>
        </is>
      </c>
      <c r="D655" s="292" t="n"/>
      <c r="E655" s="252">
        <f>+_xlfn.XLOOKUP(C655,'BASE DATOS PRECIOS '!B:B,'BASE DATOS PRECIOS '!E:E)</f>
        <v/>
      </c>
      <c r="F655" s="299">
        <f>'3.1_ELEC'!E120</f>
        <v/>
      </c>
      <c r="G655" s="321">
        <f>+_xlfn.XLOOKUP(C655,'BASE DATOS PRECIOS '!B:B,'BASE DATOS PRECIOS '!F:F)</f>
        <v/>
      </c>
      <c r="H655" s="322">
        <f>+_xlfn.XLOOKUP(E655,'BASE DATOS PRECIOS '!E:E,'BASE DATOS PRECIOS '!H:H)</f>
        <v/>
      </c>
      <c r="I655" s="321" t="n"/>
      <c r="J655" s="321" t="n"/>
      <c r="K655" s="322">
        <f>+F655*H655</f>
        <v/>
      </c>
      <c r="L655" s="322">
        <f>+F655*I655</f>
        <v/>
      </c>
      <c r="M655" s="322">
        <f>+F655*J655</f>
        <v/>
      </c>
      <c r="N655" s="322">
        <f>SUM(K655:M655)</f>
        <v/>
      </c>
      <c r="O655" s="323">
        <f>SUM(K655:M655)/tc</f>
        <v/>
      </c>
    </row>
    <row r="656">
      <c r="A656" s="16" t="n"/>
      <c r="B656" s="1134">
        <f>VALUE(IF(AND(LEN(TRIM(C656))-LEN(SUBSTITUTE(TRIM(C656),".",""))=1,ISNUMBER(VALUE(SUBSTITUTE(TRIM(C656),".","")))),TRIM(C656),B655))</f>
        <v/>
      </c>
      <c r="C656" s="16" t="inlineStr">
        <is>
          <t>M05-0390</t>
        </is>
      </c>
      <c r="D656" s="292" t="n"/>
      <c r="E656" s="252">
        <f>+_xlfn.XLOOKUP(C656,'BASE DATOS PRECIOS '!B:B,'BASE DATOS PRECIOS '!E:E)</f>
        <v/>
      </c>
      <c r="F656" s="299">
        <f>'3.1_ELEC'!E121</f>
        <v/>
      </c>
      <c r="G656" s="321">
        <f>+_xlfn.XLOOKUP(C656,'BASE DATOS PRECIOS '!B:B,'BASE DATOS PRECIOS '!F:F)</f>
        <v/>
      </c>
      <c r="H656" s="322">
        <f>+_xlfn.XLOOKUP(E656,'BASE DATOS PRECIOS '!E:E,'BASE DATOS PRECIOS '!H:H)</f>
        <v/>
      </c>
      <c r="I656" s="321" t="n"/>
      <c r="J656" s="321" t="n"/>
      <c r="K656" s="322">
        <f>+F656*H656</f>
        <v/>
      </c>
      <c r="L656" s="322">
        <f>+F656*I656</f>
        <v/>
      </c>
      <c r="M656" s="322">
        <f>+F656*J656</f>
        <v/>
      </c>
      <c r="N656" s="322">
        <f>SUM(K656:M656)</f>
        <v/>
      </c>
      <c r="O656" s="323">
        <f>SUM(K656:M656)/tc</f>
        <v/>
      </c>
    </row>
    <row r="657">
      <c r="A657" s="16" t="n"/>
      <c r="B657" s="1134">
        <f>VALUE(IF(AND(LEN(TRIM(C657))-LEN(SUBSTITUTE(TRIM(C657),".",""))=1,ISNUMBER(VALUE(SUBSTITUTE(TRIM(C657),".","")))),TRIM(C657),B656))</f>
        <v/>
      </c>
      <c r="C657" s="16" t="inlineStr">
        <is>
          <t>M05-0385</t>
        </is>
      </c>
      <c r="D657" s="292" t="n"/>
      <c r="E657" s="252">
        <f>+_xlfn.XLOOKUP(C657,'BASE DATOS PRECIOS '!B:B,'BASE DATOS PRECIOS '!E:E)</f>
        <v/>
      </c>
      <c r="F657" s="299">
        <f>'3.1_ELEC'!E122</f>
        <v/>
      </c>
      <c r="G657" s="321">
        <f>+_xlfn.XLOOKUP(C657,'BASE DATOS PRECIOS '!B:B,'BASE DATOS PRECIOS '!F:F)</f>
        <v/>
      </c>
      <c r="H657" s="322">
        <f>+_xlfn.XLOOKUP(E657,'BASE DATOS PRECIOS '!E:E,'BASE DATOS PRECIOS '!H:H)</f>
        <v/>
      </c>
      <c r="I657" s="321" t="n"/>
      <c r="J657" s="321" t="n"/>
      <c r="K657" s="322">
        <f>+F657*H657</f>
        <v/>
      </c>
      <c r="L657" s="322">
        <f>+F657*I657</f>
        <v/>
      </c>
      <c r="M657" s="322">
        <f>+F657*J657</f>
        <v/>
      </c>
      <c r="N657" s="322">
        <f>SUM(K657:M657)</f>
        <v/>
      </c>
      <c r="O657" s="323">
        <f>SUM(K657:M657)/tc</f>
        <v/>
      </c>
    </row>
    <row r="658">
      <c r="A658" s="16" t="n"/>
      <c r="B658" s="1134">
        <f>VALUE(IF(AND(LEN(TRIM(C658))-LEN(SUBSTITUTE(TRIM(C658),".",""))=1,ISNUMBER(VALUE(SUBSTITUTE(TRIM(C658),".","")))),TRIM(C658),B657))</f>
        <v/>
      </c>
      <c r="C658" s="16" t="inlineStr">
        <is>
          <t>M05-0477</t>
        </is>
      </c>
      <c r="D658" s="292" t="n"/>
      <c r="E658" s="252">
        <f>+_xlfn.XLOOKUP(C658,'BASE DATOS PRECIOS '!B:B,'BASE DATOS PRECIOS '!E:E)</f>
        <v/>
      </c>
      <c r="F658" s="299">
        <f>'3.1_ELEC'!E123</f>
        <v/>
      </c>
      <c r="G658" s="321">
        <f>+_xlfn.XLOOKUP(C658,'BASE DATOS PRECIOS '!B:B,'BASE DATOS PRECIOS '!F:F)</f>
        <v/>
      </c>
      <c r="H658" s="322">
        <f>+_xlfn.XLOOKUP(E658,'BASE DATOS PRECIOS '!E:E,'BASE DATOS PRECIOS '!H:H)</f>
        <v/>
      </c>
      <c r="I658" s="321" t="n"/>
      <c r="J658" s="321" t="n"/>
      <c r="K658" s="322">
        <f>+F658*H658</f>
        <v/>
      </c>
      <c r="L658" s="322">
        <f>+F658*I658</f>
        <v/>
      </c>
      <c r="M658" s="322">
        <f>+F658*J658</f>
        <v/>
      </c>
      <c r="N658" s="322">
        <f>SUM(K658:M658)</f>
        <v/>
      </c>
      <c r="O658" s="323">
        <f>SUM(K658:M658)/tc</f>
        <v/>
      </c>
    </row>
    <row r="659">
      <c r="A659" s="16" t="n"/>
      <c r="B659" s="1134">
        <f>VALUE(IF(AND(LEN(TRIM(C659))-LEN(SUBSTITUTE(TRIM(C659),".",""))=1,ISNUMBER(VALUE(SUBSTITUTE(TRIM(C659),".","")))),TRIM(C659),B655))</f>
        <v/>
      </c>
      <c r="C659" s="267" t="inlineStr">
        <is>
          <t>SUB ELECTRICO MUROS</t>
        </is>
      </c>
      <c r="D659" s="268" t="n"/>
      <c r="E659" s="269">
        <f>+_xlfn.XLOOKUP(C659,'BASE DATOS EQUIPOS Y SUBCONTRAT'!A:A,'BASE DATOS EQUIPOS Y SUBCONTRAT'!B:B)</f>
        <v/>
      </c>
      <c r="F659" s="356" t="n">
        <v>1</v>
      </c>
      <c r="G659" s="357">
        <f>+_xlfn.XLOOKUP(C659,'BASE DATOS EQUIPOS Y SUBCONTRAT'!A:A,'BASE DATOS EQUIPOS Y SUBCONTRAT'!C:C)</f>
        <v/>
      </c>
      <c r="H659" s="358" t="n">
        <v>0</v>
      </c>
      <c r="I659" s="357" t="n"/>
      <c r="J659" s="358" t="n">
        <v>0</v>
      </c>
      <c r="K659" s="358">
        <f>+F659*H659</f>
        <v/>
      </c>
      <c r="L659" s="358">
        <f>+F659*I659</f>
        <v/>
      </c>
      <c r="M659" s="358">
        <f>+F659*J659</f>
        <v/>
      </c>
      <c r="N659" s="358">
        <f>SUM(K659:M659)</f>
        <v/>
      </c>
      <c r="O659" s="359">
        <f>SUM(K659:M659)/tc</f>
        <v/>
      </c>
    </row>
    <row r="660">
      <c r="A660" s="16" t="n"/>
      <c r="B660" s="1134">
        <f>VALUE(IF(AND(LEN(TRIM(C660))-LEN(SUBSTITUTE(TRIM(C660),".",""))=1,ISNUMBER(VALUE(SUBSTITUTE(TRIM(C660),".","")))),TRIM(C660),B659))</f>
        <v/>
      </c>
      <c r="C660" s="267" t="inlineStr">
        <is>
          <t xml:space="preserve">OPERARIO </t>
        </is>
      </c>
      <c r="D660" s="268" t="n"/>
      <c r="E660" s="269">
        <f>+_xlfn.XLOOKUP(C660,'BASE DATOS MANO DE OBRA'!A:A,'BASE DATOS MANO DE OBRA'!B:B)</f>
        <v/>
      </c>
      <c r="F660" s="270" t="n">
        <v>0</v>
      </c>
      <c r="G660" s="271">
        <f>+_xlfn.XLOOKUP(C660,'BASE DATOS MANO DE OBRA'!A:A,'BASE DATOS MANO DE OBRA'!C:C)</f>
        <v/>
      </c>
      <c r="H660" s="272" t="n">
        <v>0</v>
      </c>
      <c r="I660" s="272">
        <f>+_xlfn.XLOOKUP(C660,'BASE DATOS MANO DE OBRA'!A:A,'BASE DATOS MANO DE OBRA'!E:E)</f>
        <v/>
      </c>
      <c r="J660" s="272" t="n">
        <v>0</v>
      </c>
      <c r="K660" s="272">
        <f>+F660*H660</f>
        <v/>
      </c>
      <c r="L660" s="272">
        <f>+F660*I660</f>
        <v/>
      </c>
      <c r="M660" s="272">
        <f>+F660*J660</f>
        <v/>
      </c>
      <c r="N660" s="272">
        <f>SUM(K660:M660)</f>
        <v/>
      </c>
      <c r="O660" s="273">
        <f>SUM(K660:M660)/tc</f>
        <v/>
      </c>
    </row>
    <row r="661">
      <c r="A661" s="16" t="n"/>
      <c r="B661" s="1134">
        <f>VALUE(IF(AND(LEN(TRIM(C661))-LEN(SUBSTITUTE(TRIM(C661),".",""))=1,ISNUMBER(VALUE(SUBSTITUTE(TRIM(C661),".","")))),TRIM(C661),B660))</f>
        <v/>
      </c>
      <c r="C661" s="267" t="inlineStr">
        <is>
          <t xml:space="preserve">AYUDANTE </t>
        </is>
      </c>
      <c r="D661" s="268" t="n"/>
      <c r="E661" s="269">
        <f>+_xlfn.XLOOKUP(C661,'BASE DATOS MANO DE OBRA'!A:A,'BASE DATOS MANO DE OBRA'!B:B)</f>
        <v/>
      </c>
      <c r="F661" s="270" t="n">
        <v>0</v>
      </c>
      <c r="G661" s="271">
        <f>+_xlfn.XLOOKUP(C661,'BASE DATOS MANO DE OBRA'!A:A,'BASE DATOS MANO DE OBRA'!C:C)</f>
        <v/>
      </c>
      <c r="H661" s="272" t="n">
        <v>0</v>
      </c>
      <c r="I661" s="272">
        <f>+_xlfn.XLOOKUP(C661,'BASE DATOS MANO DE OBRA'!A:A,'BASE DATOS MANO DE OBRA'!E:E)</f>
        <v/>
      </c>
      <c r="J661" s="272" t="n">
        <v>0</v>
      </c>
      <c r="K661" s="272">
        <f>+F661*H661</f>
        <v/>
      </c>
      <c r="L661" s="272">
        <f>+F661*I661</f>
        <v/>
      </c>
      <c r="M661" s="272">
        <f>+F661*J661</f>
        <v/>
      </c>
      <c r="N661" s="272">
        <f>SUM(K661:M661)</f>
        <v/>
      </c>
      <c r="O661" s="273">
        <f>SUM(K661:M661)/tc</f>
        <v/>
      </c>
    </row>
    <row r="662">
      <c r="A662" s="16" t="n"/>
      <c r="B662" s="1134">
        <f>VALUE(IF(AND(LEN(TRIM(C662))-LEN(SUBSTITUTE(TRIM(C662),".",""))=1,ISNUMBER(VALUE(SUBSTITUTE(TRIM(C662),".","")))),TRIM(C662),B661))</f>
        <v/>
      </c>
      <c r="C662" s="234" t="inlineStr">
        <is>
          <t>3.1.5</t>
        </is>
      </c>
      <c r="D662" s="235" t="n"/>
      <c r="E662" s="236" t="inlineStr">
        <is>
          <t xml:space="preserve">ELÉCTRICO ILUMINACIÓN </t>
        </is>
      </c>
      <c r="F662" s="237" t="n">
        <v>1</v>
      </c>
      <c r="G662" s="235" t="inlineStr">
        <is>
          <t>gb</t>
        </is>
      </c>
      <c r="H662" s="235" t="n"/>
      <c r="I662" s="235" t="n"/>
      <c r="J662" s="235" t="n"/>
      <c r="K662" s="238">
        <f>+SUBTOTAL(9,K663:K695)</f>
        <v/>
      </c>
      <c r="L662" s="238">
        <f>+SUBTOTAL(9,L663:L695)</f>
        <v/>
      </c>
      <c r="M662" s="238">
        <f>+SUBTOTAL(9,M663:M695)</f>
        <v/>
      </c>
      <c r="N662" s="238">
        <f>+SUBTOTAL(9,N663:N695)</f>
        <v/>
      </c>
      <c r="O662" s="1136">
        <f>+SUBTOTAL(9,O663:O695)</f>
        <v/>
      </c>
    </row>
    <row r="663">
      <c r="A663" s="16" t="n"/>
      <c r="B663" s="1134">
        <f>VALUE(IF(AND(LEN(TRIM(C663))-LEN(SUBSTITUTE(TRIM(C663),".",""))=1,ISNUMBER(VALUE(SUBSTITUTE(TRIM(C663),".","")))),TRIM(C663),B662))</f>
        <v/>
      </c>
      <c r="C663" s="16" t="inlineStr">
        <is>
          <t>M05-0361</t>
        </is>
      </c>
      <c r="D663" s="292" t="n"/>
      <c r="E663" s="252">
        <f>+_xlfn.XLOOKUP(C663,'BASE DATOS PRECIOS '!B:B,'BASE DATOS PRECIOS '!E:E)</f>
        <v/>
      </c>
      <c r="F663" s="218">
        <f>'3.1_ELEC'!E130</f>
        <v/>
      </c>
      <c r="G663" s="250">
        <f>+_xlfn.XLOOKUP(C663,'BASE DATOS PRECIOS '!B:B,'BASE DATOS PRECIOS '!F:F)</f>
        <v/>
      </c>
      <c r="H663" s="249">
        <f>+_xlfn.XLOOKUP(E663,'BASE DATOS PRECIOS '!E:E,'BASE DATOS PRECIOS '!H:H)</f>
        <v/>
      </c>
      <c r="I663" s="250" t="n"/>
      <c r="J663" s="250" t="n"/>
      <c r="K663" s="249">
        <f>+F663*H663</f>
        <v/>
      </c>
      <c r="L663" s="249">
        <f>+F663*I663</f>
        <v/>
      </c>
      <c r="M663" s="249">
        <f>+F663*J663</f>
        <v/>
      </c>
      <c r="N663" s="249">
        <f>SUM(K663:M663)</f>
        <v/>
      </c>
      <c r="O663" s="360">
        <f>SUM(K663:M663)/tc</f>
        <v/>
      </c>
    </row>
    <row r="664">
      <c r="A664" s="16" t="n"/>
      <c r="B664" s="1134">
        <f>VALUE(IF(AND(LEN(TRIM(C664))-LEN(SUBSTITUTE(TRIM(C664),".",""))=1,ISNUMBER(VALUE(SUBSTITUTE(TRIM(C664),".","")))),TRIM(C664),B663))</f>
        <v/>
      </c>
      <c r="C664" s="16" t="inlineStr">
        <is>
          <t>M05-0370</t>
        </is>
      </c>
      <c r="D664" s="292" t="n"/>
      <c r="E664" s="252">
        <f>+_xlfn.XLOOKUP(C664,'BASE DATOS PRECIOS '!B:B,'BASE DATOS PRECIOS '!E:E)</f>
        <v/>
      </c>
      <c r="F664" s="218">
        <f>'3.1_ELEC'!E131</f>
        <v/>
      </c>
      <c r="G664" s="250">
        <f>+_xlfn.XLOOKUP(C664,'BASE DATOS PRECIOS '!B:B,'BASE DATOS PRECIOS '!F:F)</f>
        <v/>
      </c>
      <c r="H664" s="249">
        <f>+_xlfn.XLOOKUP(E664,'BASE DATOS PRECIOS '!E:E,'BASE DATOS PRECIOS '!H:H)</f>
        <v/>
      </c>
      <c r="I664" s="250" t="n"/>
      <c r="J664" s="250" t="n"/>
      <c r="K664" s="249">
        <f>+F664*H664</f>
        <v/>
      </c>
      <c r="L664" s="249">
        <f>+F664*I664</f>
        <v/>
      </c>
      <c r="M664" s="249">
        <f>+F664*J664</f>
        <v/>
      </c>
      <c r="N664" s="249">
        <f>SUM(K664:M664)</f>
        <v/>
      </c>
      <c r="O664" s="360">
        <f>SUM(K664:M664)/tc</f>
        <v/>
      </c>
    </row>
    <row r="665">
      <c r="A665" s="16" t="n"/>
      <c r="B665" s="1134">
        <f>VALUE(IF(AND(LEN(TRIM(C665))-LEN(SUBSTITUTE(TRIM(C665),".",""))=1,ISNUMBER(VALUE(SUBSTITUTE(TRIM(C665),".","")))),TRIM(C665),B664))</f>
        <v/>
      </c>
      <c r="C665" s="16" t="inlineStr">
        <is>
          <t>M05-0374</t>
        </is>
      </c>
      <c r="D665" s="292" t="n"/>
      <c r="E665" s="252">
        <f>+_xlfn.XLOOKUP(C665,'BASE DATOS PRECIOS '!B:B,'BASE DATOS PRECIOS '!E:E)</f>
        <v/>
      </c>
      <c r="F665" s="218">
        <f>'3.1_ELEC'!E132</f>
        <v/>
      </c>
      <c r="G665" s="250">
        <f>+_xlfn.XLOOKUP(C665,'BASE DATOS PRECIOS '!B:B,'BASE DATOS PRECIOS '!F:F)</f>
        <v/>
      </c>
      <c r="H665" s="249">
        <f>+_xlfn.XLOOKUP(E665,'BASE DATOS PRECIOS '!E:E,'BASE DATOS PRECIOS '!H:H)</f>
        <v/>
      </c>
      <c r="I665" s="250" t="n"/>
      <c r="J665" s="250" t="n"/>
      <c r="K665" s="249">
        <f>+F665*H665</f>
        <v/>
      </c>
      <c r="L665" s="249">
        <f>+F665*I665</f>
        <v/>
      </c>
      <c r="M665" s="249">
        <f>+F665*J665</f>
        <v/>
      </c>
      <c r="N665" s="249">
        <f>SUM(K665:M665)</f>
        <v/>
      </c>
      <c r="O665" s="360">
        <f>SUM(K665:M665)/tc</f>
        <v/>
      </c>
    </row>
    <row r="666">
      <c r="A666" s="16" t="n"/>
      <c r="B666" s="1134">
        <f>VALUE(IF(AND(LEN(TRIM(C666))-LEN(SUBSTITUTE(TRIM(C666),".",""))=1,ISNUMBER(VALUE(SUBSTITUTE(TRIM(C666),".","")))),TRIM(C666),B665))</f>
        <v/>
      </c>
      <c r="C666" s="16" t="inlineStr">
        <is>
          <t>M05-0476</t>
        </is>
      </c>
      <c r="D666" s="292" t="n"/>
      <c r="E666" s="252">
        <f>+_xlfn.XLOOKUP(C666,'BASE DATOS PRECIOS '!B:B,'BASE DATOS PRECIOS '!E:E)</f>
        <v/>
      </c>
      <c r="F666" s="218">
        <f>'3.1_ELEC'!E133</f>
        <v/>
      </c>
      <c r="G666" s="250">
        <f>+_xlfn.XLOOKUP(C666,'BASE DATOS PRECIOS '!B:B,'BASE DATOS PRECIOS '!F:F)</f>
        <v/>
      </c>
      <c r="H666" s="249">
        <f>+_xlfn.XLOOKUP(E666,'BASE DATOS PRECIOS '!E:E,'BASE DATOS PRECIOS '!H:H)</f>
        <v/>
      </c>
      <c r="I666" s="250" t="n"/>
      <c r="J666" s="250" t="n"/>
      <c r="K666" s="249">
        <f>+F666*H666</f>
        <v/>
      </c>
      <c r="L666" s="249">
        <f>+F666*I666</f>
        <v/>
      </c>
      <c r="M666" s="249">
        <f>+F666*J666</f>
        <v/>
      </c>
      <c r="N666" s="249">
        <f>SUM(K666:M666)</f>
        <v/>
      </c>
      <c r="O666" s="360">
        <f>SUM(K666:M666)/tc</f>
        <v/>
      </c>
    </row>
    <row r="667">
      <c r="A667" s="16" t="n"/>
      <c r="B667" s="1134">
        <f>VALUE(IF(AND(LEN(TRIM(C667))-LEN(SUBSTITUTE(TRIM(C667),".",""))=1,ISNUMBER(VALUE(SUBSTITUTE(TRIM(C667),".","")))),TRIM(C667),B666))</f>
        <v/>
      </c>
      <c r="C667" s="297" t="inlineStr">
        <is>
          <t>M05-0264</t>
        </is>
      </c>
      <c r="D667" s="298" t="n"/>
      <c r="E667" s="252">
        <f>+_xlfn.XLOOKUP(C667,'BASE DATOS PRECIOS '!B:B,'BASE DATOS PRECIOS '!E:E)</f>
        <v/>
      </c>
      <c r="F667" s="218">
        <f>'3.1_ELEC'!E134</f>
        <v/>
      </c>
      <c r="G667" s="250">
        <f>+_xlfn.XLOOKUP(C667,'BASE DATOS PRECIOS '!B:B,'BASE DATOS PRECIOS '!F:F)</f>
        <v/>
      </c>
      <c r="H667" s="249">
        <f>+_xlfn.XLOOKUP(E667,'BASE DATOS PRECIOS '!E:E,'BASE DATOS PRECIOS '!H:H)</f>
        <v/>
      </c>
      <c r="I667" s="250" t="n"/>
      <c r="J667" s="250" t="n"/>
      <c r="K667" s="249">
        <f>+F667*H667</f>
        <v/>
      </c>
      <c r="L667" s="249">
        <f>+F667*I667</f>
        <v/>
      </c>
      <c r="M667" s="249">
        <f>+F667*J667</f>
        <v/>
      </c>
      <c r="N667" s="249">
        <f>SUM(K667:M667)</f>
        <v/>
      </c>
      <c r="O667" s="360">
        <f>SUM(K667:M667)/tc</f>
        <v/>
      </c>
    </row>
    <row r="668">
      <c r="A668" s="16" t="n"/>
      <c r="B668" s="1134">
        <f>VALUE(IF(AND(LEN(TRIM(C668))-LEN(SUBSTITUTE(TRIM(C668),".",""))=1,ISNUMBER(VALUE(SUBSTITUTE(TRIM(C668),".","")))),TRIM(C668),B667))</f>
        <v/>
      </c>
      <c r="C668" s="16" t="inlineStr">
        <is>
          <t>M05-0389</t>
        </is>
      </c>
      <c r="D668" s="292" t="n"/>
      <c r="E668" s="252">
        <f>+_xlfn.XLOOKUP(C668,'BASE DATOS PRECIOS '!B:B,'BASE DATOS PRECIOS '!E:E)</f>
        <v/>
      </c>
      <c r="F668" s="218">
        <f>'3.1_ELEC'!E135</f>
        <v/>
      </c>
      <c r="G668" s="250">
        <f>+_xlfn.XLOOKUP(C668,'BASE DATOS PRECIOS '!B:B,'BASE DATOS PRECIOS '!F:F)</f>
        <v/>
      </c>
      <c r="H668" s="249">
        <f>+_xlfn.XLOOKUP(E668,'BASE DATOS PRECIOS '!E:E,'BASE DATOS PRECIOS '!H:H)</f>
        <v/>
      </c>
      <c r="I668" s="250" t="n"/>
      <c r="J668" s="250" t="n"/>
      <c r="K668" s="249">
        <f>+F668*H668</f>
        <v/>
      </c>
      <c r="L668" s="249">
        <f>+F668*I668</f>
        <v/>
      </c>
      <c r="M668" s="249">
        <f>+F668*J668</f>
        <v/>
      </c>
      <c r="N668" s="249">
        <f>SUM(K668:M668)</f>
        <v/>
      </c>
      <c r="O668" s="360">
        <f>SUM(K668:M668)/tc</f>
        <v/>
      </c>
    </row>
    <row r="669">
      <c r="A669" s="16" t="n"/>
      <c r="B669" s="1134">
        <f>VALUE(IF(AND(LEN(TRIM(C669))-LEN(SUBSTITUTE(TRIM(C669),".",""))=1,ISNUMBER(VALUE(SUBSTITUTE(TRIM(C669),".","")))),TRIM(C669),B668))</f>
        <v/>
      </c>
      <c r="C669" s="16" t="inlineStr">
        <is>
          <t>M05-0407</t>
        </is>
      </c>
      <c r="D669" s="292" t="n"/>
      <c r="E669" s="252">
        <f>+_xlfn.XLOOKUP(C669,'BASE DATOS PRECIOS '!B:B,'BASE DATOS PRECIOS '!E:E)</f>
        <v/>
      </c>
      <c r="F669" s="218">
        <f>'3.1_ELEC'!E136</f>
        <v/>
      </c>
      <c r="G669" s="250">
        <f>+_xlfn.XLOOKUP(C669,'BASE DATOS PRECIOS '!B:B,'BASE DATOS PRECIOS '!F:F)</f>
        <v/>
      </c>
      <c r="H669" s="249">
        <f>+_xlfn.XLOOKUP(E669,'BASE DATOS PRECIOS '!E:E,'BASE DATOS PRECIOS '!H:H)</f>
        <v/>
      </c>
      <c r="I669" s="250" t="n"/>
      <c r="J669" s="250" t="n"/>
      <c r="K669" s="249">
        <f>+F669*H669</f>
        <v/>
      </c>
      <c r="L669" s="249">
        <f>+F669*I669</f>
        <v/>
      </c>
      <c r="M669" s="249">
        <f>+F669*J669</f>
        <v/>
      </c>
      <c r="N669" s="249">
        <f>SUM(K669:M669)</f>
        <v/>
      </c>
      <c r="O669" s="360">
        <f>SUM(K669:M669)/tc</f>
        <v/>
      </c>
    </row>
    <row r="670">
      <c r="A670" s="16" t="n"/>
      <c r="B670" s="1134">
        <f>VALUE(IF(AND(LEN(TRIM(C670))-LEN(SUBSTITUTE(TRIM(C670),".",""))=1,ISNUMBER(VALUE(SUBSTITUTE(TRIM(C670),".","")))),TRIM(C670),B669))</f>
        <v/>
      </c>
      <c r="C670" s="16" t="inlineStr">
        <is>
          <t>M05-0223</t>
        </is>
      </c>
      <c r="D670" s="292" t="n"/>
      <c r="E670" s="252">
        <f>+_xlfn.XLOOKUP(C670,'BASE DATOS PRECIOS '!B:B,'BASE DATOS PRECIOS '!E:E)</f>
        <v/>
      </c>
      <c r="F670" s="218">
        <f>'3.1_ELEC'!E137</f>
        <v/>
      </c>
      <c r="G670" s="250">
        <f>+_xlfn.XLOOKUP(C670,'BASE DATOS PRECIOS '!B:B,'BASE DATOS PRECIOS '!F:F)</f>
        <v/>
      </c>
      <c r="H670" s="249">
        <f>+_xlfn.XLOOKUP(E670,'BASE DATOS PRECIOS '!E:E,'BASE DATOS PRECIOS '!H:H)</f>
        <v/>
      </c>
      <c r="I670" s="250" t="n"/>
      <c r="J670" s="250" t="n"/>
      <c r="K670" s="249">
        <f>+F670*H670</f>
        <v/>
      </c>
      <c r="L670" s="249">
        <f>+F670*I670</f>
        <v/>
      </c>
      <c r="M670" s="249">
        <f>+F670*J670</f>
        <v/>
      </c>
      <c r="N670" s="249">
        <f>SUM(K670:M670)</f>
        <v/>
      </c>
      <c r="O670" s="360">
        <f>SUM(K670:M670)/tc</f>
        <v/>
      </c>
    </row>
    <row r="671">
      <c r="A671" s="16" t="n"/>
      <c r="B671" s="1134">
        <f>VALUE(IF(AND(LEN(TRIM(C671))-LEN(SUBSTITUTE(TRIM(C671),".",""))=1,ISNUMBER(VALUE(SUBSTITUTE(TRIM(C671),".","")))),TRIM(C671),B670))</f>
        <v/>
      </c>
      <c r="C671" s="16" t="inlineStr">
        <is>
          <t>M05-0015</t>
        </is>
      </c>
      <c r="D671" s="292" t="n"/>
      <c r="E671" s="252">
        <f>+_xlfn.XLOOKUP(C671,'BASE DATOS PRECIOS '!B:B,'BASE DATOS PRECIOS '!E:E)</f>
        <v/>
      </c>
      <c r="F671" s="218">
        <f>'3.1_ELEC'!E138</f>
        <v/>
      </c>
      <c r="G671" s="250">
        <f>+_xlfn.XLOOKUP(C671,'BASE DATOS PRECIOS '!B:B,'BASE DATOS PRECIOS '!F:F)</f>
        <v/>
      </c>
      <c r="H671" s="249">
        <f>+_xlfn.XLOOKUP(E671,'BASE DATOS PRECIOS '!E:E,'BASE DATOS PRECIOS '!H:H)</f>
        <v/>
      </c>
      <c r="I671" s="250" t="n"/>
      <c r="J671" s="250" t="n"/>
      <c r="K671" s="249">
        <f>+F671*H671</f>
        <v/>
      </c>
      <c r="L671" s="249">
        <f>+F671*I671</f>
        <v/>
      </c>
      <c r="M671" s="249">
        <f>+F671*J671</f>
        <v/>
      </c>
      <c r="N671" s="249">
        <f>SUM(K671:M671)</f>
        <v/>
      </c>
      <c r="O671" s="360">
        <f>SUM(K671:M671)/tc</f>
        <v/>
      </c>
    </row>
    <row r="672">
      <c r="A672" s="16" t="n"/>
      <c r="B672" s="1134">
        <f>VALUE(IF(AND(LEN(TRIM(C672))-LEN(SUBSTITUTE(TRIM(C672),".",""))=1,ISNUMBER(VALUE(SUBSTITUTE(TRIM(C672),".","")))),TRIM(C672),B671))</f>
        <v/>
      </c>
      <c r="C672" s="297" t="inlineStr">
        <is>
          <t>M05-0410</t>
        </is>
      </c>
      <c r="D672" s="298" t="n"/>
      <c r="E672" s="252">
        <f>+_xlfn.XLOOKUP(C672,'BASE DATOS PRECIOS '!B:B,'BASE DATOS PRECIOS '!E:E)</f>
        <v/>
      </c>
      <c r="F672" s="218">
        <f>'3.1_ELEC'!E139</f>
        <v/>
      </c>
      <c r="G672" s="250">
        <f>+_xlfn.XLOOKUP(C672,'BASE DATOS PRECIOS '!B:B,'BASE DATOS PRECIOS '!F:F)</f>
        <v/>
      </c>
      <c r="H672" s="249">
        <f>+_xlfn.XLOOKUP(E672,'BASE DATOS PRECIOS '!E:E,'BASE DATOS PRECIOS '!H:H)</f>
        <v/>
      </c>
      <c r="I672" s="250" t="n"/>
      <c r="J672" s="250" t="n"/>
      <c r="K672" s="249">
        <f>+F672*H672</f>
        <v/>
      </c>
      <c r="L672" s="249">
        <f>+F672*I672</f>
        <v/>
      </c>
      <c r="M672" s="249">
        <f>+F672*J672</f>
        <v/>
      </c>
      <c r="N672" s="249">
        <f>SUM(K672:M672)</f>
        <v/>
      </c>
      <c r="O672" s="360">
        <f>SUM(K672:M672)/tc</f>
        <v/>
      </c>
    </row>
    <row r="673">
      <c r="A673" s="16" t="n"/>
      <c r="B673" s="1134">
        <f>VALUE(IF(AND(LEN(TRIM(C673))-LEN(SUBSTITUTE(TRIM(C673),".",""))=1,ISNUMBER(VALUE(SUBSTITUTE(TRIM(C673),".","")))),TRIM(C673),B672))</f>
        <v/>
      </c>
      <c r="C673" s="16" t="inlineStr">
        <is>
          <t>M05-0007</t>
        </is>
      </c>
      <c r="D673" s="292" t="n"/>
      <c r="E673" s="252">
        <f>+_xlfn.XLOOKUP(C673,'BASE DATOS PRECIOS '!B:B,'BASE DATOS PRECIOS '!E:E)</f>
        <v/>
      </c>
      <c r="F673" s="218">
        <f>'3.1_ELEC'!E140</f>
        <v/>
      </c>
      <c r="G673" s="250">
        <f>+_xlfn.XLOOKUP(C673,'BASE DATOS PRECIOS '!B:B,'BASE DATOS PRECIOS '!F:F)</f>
        <v/>
      </c>
      <c r="H673" s="249">
        <f>+_xlfn.XLOOKUP(E673,'BASE DATOS PRECIOS '!E:E,'BASE DATOS PRECIOS '!H:H)</f>
        <v/>
      </c>
      <c r="I673" s="250" t="n"/>
      <c r="J673" s="250" t="n"/>
      <c r="K673" s="249">
        <f>+F673*H673</f>
        <v/>
      </c>
      <c r="L673" s="249">
        <f>+F673*I673</f>
        <v/>
      </c>
      <c r="M673" s="249">
        <f>+F673*J673</f>
        <v/>
      </c>
      <c r="N673" s="249">
        <f>SUM(K673:M673)</f>
        <v/>
      </c>
      <c r="O673" s="360">
        <f>SUM(K673:M673)/tc</f>
        <v/>
      </c>
    </row>
    <row r="674">
      <c r="A674" s="16" t="n"/>
      <c r="B674" s="1134">
        <f>VALUE(IF(AND(LEN(TRIM(C674))-LEN(SUBSTITUTE(TRIM(C674),".",""))=1,ISNUMBER(VALUE(SUBSTITUTE(TRIM(C674),".","")))),TRIM(C674),B673))</f>
        <v/>
      </c>
      <c r="C674" s="16" t="inlineStr">
        <is>
          <t>M05-0008</t>
        </is>
      </c>
      <c r="D674" s="292" t="n"/>
      <c r="E674" s="252">
        <f>+_xlfn.XLOOKUP(C674,'BASE DATOS PRECIOS '!B:B,'BASE DATOS PRECIOS '!E:E)</f>
        <v/>
      </c>
      <c r="F674" s="218">
        <f>'3.1_ELEC'!E141</f>
        <v/>
      </c>
      <c r="G674" s="250">
        <f>+_xlfn.XLOOKUP(C674,'BASE DATOS PRECIOS '!B:B,'BASE DATOS PRECIOS '!F:F)</f>
        <v/>
      </c>
      <c r="H674" s="249">
        <f>+_xlfn.XLOOKUP(E674,'BASE DATOS PRECIOS '!E:E,'BASE DATOS PRECIOS '!H:H)</f>
        <v/>
      </c>
      <c r="I674" s="250" t="n"/>
      <c r="J674" s="250" t="n"/>
      <c r="K674" s="249">
        <f>+F674*H674</f>
        <v/>
      </c>
      <c r="L674" s="249">
        <f>+F674*I674</f>
        <v/>
      </c>
      <c r="M674" s="249">
        <f>+F674*J674</f>
        <v/>
      </c>
      <c r="N674" s="249">
        <f>SUM(K674:M674)</f>
        <v/>
      </c>
      <c r="O674" s="360">
        <f>SUM(K674:M674)/tc</f>
        <v/>
      </c>
    </row>
    <row r="675">
      <c r="A675" s="16" t="n"/>
      <c r="B675" s="1134">
        <f>VALUE(IF(AND(LEN(TRIM(C675))-LEN(SUBSTITUTE(TRIM(C675),".",""))=1,ISNUMBER(VALUE(SUBSTITUTE(TRIM(C675),".","")))),TRIM(C675),B674))</f>
        <v/>
      </c>
      <c r="C675" s="16" t="inlineStr">
        <is>
          <t>M05-0019</t>
        </is>
      </c>
      <c r="D675" s="292" t="n"/>
      <c r="E675" s="252">
        <f>+_xlfn.XLOOKUP(C675,'BASE DATOS PRECIOS '!B:B,'BASE DATOS PRECIOS '!E:E)</f>
        <v/>
      </c>
      <c r="F675" s="218">
        <f>'3.1_ELEC'!E142</f>
        <v/>
      </c>
      <c r="G675" s="250">
        <f>+_xlfn.XLOOKUP(C675,'BASE DATOS PRECIOS '!B:B,'BASE DATOS PRECIOS '!F:F)</f>
        <v/>
      </c>
      <c r="H675" s="249">
        <f>+_xlfn.XLOOKUP(E675,'BASE DATOS PRECIOS '!E:E,'BASE DATOS PRECIOS '!H:H)</f>
        <v/>
      </c>
      <c r="I675" s="250" t="n"/>
      <c r="J675" s="250" t="n"/>
      <c r="K675" s="249">
        <f>+F675*H675</f>
        <v/>
      </c>
      <c r="L675" s="249">
        <f>+F675*I675</f>
        <v/>
      </c>
      <c r="M675" s="249">
        <f>+F675*J675</f>
        <v/>
      </c>
      <c r="N675" s="249">
        <f>SUM(K675:M675)</f>
        <v/>
      </c>
      <c r="O675" s="360">
        <f>SUM(K675:M675)/tc</f>
        <v/>
      </c>
    </row>
    <row r="676">
      <c r="A676" s="16" t="n"/>
      <c r="B676" s="1134">
        <f>VALUE(IF(AND(LEN(TRIM(C676))-LEN(SUBSTITUTE(TRIM(C676),".",""))=1,ISNUMBER(VALUE(SUBSTITUTE(TRIM(C676),".","")))),TRIM(C676),B675))</f>
        <v/>
      </c>
      <c r="C676" s="16" t="inlineStr">
        <is>
          <t>M05-0259</t>
        </is>
      </c>
      <c r="D676" s="292" t="inlineStr">
        <is>
          <t>01</t>
        </is>
      </c>
      <c r="E676" s="252">
        <f>+_xlfn.XLOOKUP(C676,'BASE DATOS PRECIOS '!B:B,'BASE DATOS PRECIOS '!E:E)</f>
        <v/>
      </c>
      <c r="F676" s="218">
        <f>'3.1_ELEC'!E143</f>
        <v/>
      </c>
      <c r="G676" s="250">
        <f>+_xlfn.XLOOKUP(C676,'BASE DATOS PRECIOS '!B:B,'BASE DATOS PRECIOS '!F:F)</f>
        <v/>
      </c>
      <c r="H676" s="249">
        <f>+_xlfn.XLOOKUP(E676,'BASE DATOS PRECIOS '!E:E,'BASE DATOS PRECIOS '!H:H)</f>
        <v/>
      </c>
      <c r="I676" s="250" t="n"/>
      <c r="J676" s="250" t="n"/>
      <c r="K676" s="249">
        <f>+F676*H676</f>
        <v/>
      </c>
      <c r="L676" s="249">
        <f>+F676*I676</f>
        <v/>
      </c>
      <c r="M676" s="249">
        <f>+F676*J676</f>
        <v/>
      </c>
      <c r="N676" s="249">
        <f>SUM(K676:M676)</f>
        <v/>
      </c>
      <c r="O676" s="360">
        <f>SUM(K676:M676)/tc</f>
        <v/>
      </c>
    </row>
    <row r="677">
      <c r="A677" s="16" t="n"/>
      <c r="B677" s="1134">
        <f>VALUE(IF(AND(LEN(TRIM(C677))-LEN(SUBSTITUTE(TRIM(C677),".",""))=1,ISNUMBER(VALUE(SUBSTITUTE(TRIM(C677),".","")))),TRIM(C677),B676))</f>
        <v/>
      </c>
      <c r="C677" s="297" t="inlineStr">
        <is>
          <t>M05-0259</t>
        </is>
      </c>
      <c r="D677" s="298" t="inlineStr">
        <is>
          <t>02</t>
        </is>
      </c>
      <c r="E677" s="252">
        <f>+_xlfn.XLOOKUP(C677,'BASE DATOS PRECIOS '!B:B,'BASE DATOS PRECIOS '!E:E)</f>
        <v/>
      </c>
      <c r="F677" s="218">
        <f>'3.1_ELEC'!E144</f>
        <v/>
      </c>
      <c r="G677" s="250">
        <f>+_xlfn.XLOOKUP(C677,'BASE DATOS PRECIOS '!B:B,'BASE DATOS PRECIOS '!F:F)</f>
        <v/>
      </c>
      <c r="H677" s="249">
        <f>+_xlfn.XLOOKUP(E677,'BASE DATOS PRECIOS '!E:E,'BASE DATOS PRECIOS '!H:H)</f>
        <v/>
      </c>
      <c r="I677" s="250" t="n"/>
      <c r="J677" s="250" t="n"/>
      <c r="K677" s="249">
        <f>+F677*H677</f>
        <v/>
      </c>
      <c r="L677" s="249">
        <f>+F677*I677</f>
        <v/>
      </c>
      <c r="M677" s="249">
        <f>+F677*J677</f>
        <v/>
      </c>
      <c r="N677" s="249">
        <f>SUM(K677:M677)</f>
        <v/>
      </c>
      <c r="O677" s="360">
        <f>SUM(K677:M677)/tc</f>
        <v/>
      </c>
    </row>
    <row r="678">
      <c r="A678" s="16" t="n"/>
      <c r="B678" s="1134">
        <f>VALUE(IF(AND(LEN(TRIM(C678))-LEN(SUBSTITUTE(TRIM(C678),".",""))=1,ISNUMBER(VALUE(SUBSTITUTE(TRIM(C678),".","")))),TRIM(C678),B677))</f>
        <v/>
      </c>
      <c r="C678" s="16" t="inlineStr">
        <is>
          <t>M05-0259</t>
        </is>
      </c>
      <c r="D678" s="292" t="inlineStr">
        <is>
          <t>03</t>
        </is>
      </c>
      <c r="E678" s="252">
        <f>+_xlfn.XLOOKUP(C678,'BASE DATOS PRECIOS '!B:B,'BASE DATOS PRECIOS '!E:E)</f>
        <v/>
      </c>
      <c r="F678" s="218">
        <f>'3.1_ELEC'!E145</f>
        <v/>
      </c>
      <c r="G678" s="250">
        <f>+_xlfn.XLOOKUP(C678,'BASE DATOS PRECIOS '!B:B,'BASE DATOS PRECIOS '!F:F)</f>
        <v/>
      </c>
      <c r="H678" s="249">
        <f>+_xlfn.XLOOKUP(E678,'BASE DATOS PRECIOS '!E:E,'BASE DATOS PRECIOS '!H:H)</f>
        <v/>
      </c>
      <c r="I678" s="250" t="n"/>
      <c r="J678" s="250" t="n"/>
      <c r="K678" s="249">
        <f>+F678*H678</f>
        <v/>
      </c>
      <c r="L678" s="249">
        <f>+F678*I678</f>
        <v/>
      </c>
      <c r="M678" s="249">
        <f>+F678*J678</f>
        <v/>
      </c>
      <c r="N678" s="249">
        <f>SUM(K678:M678)</f>
        <v/>
      </c>
      <c r="O678" s="360">
        <f>SUM(K678:M678)/tc</f>
        <v/>
      </c>
    </row>
    <row r="679">
      <c r="A679" s="16" t="n"/>
      <c r="B679" s="1134">
        <f>VALUE(IF(AND(LEN(TRIM(C679))-LEN(SUBSTITUTE(TRIM(C679),".",""))=1,ISNUMBER(VALUE(SUBSTITUTE(TRIM(C679),".","")))),TRIM(C679),B678))</f>
        <v/>
      </c>
      <c r="C679" s="16" t="inlineStr">
        <is>
          <t>M05-0259</t>
        </is>
      </c>
      <c r="D679" s="292" t="inlineStr">
        <is>
          <t>05</t>
        </is>
      </c>
      <c r="E679" s="252">
        <f>+_xlfn.XLOOKUP(C679,'BASE DATOS PRECIOS '!B:B,'BASE DATOS PRECIOS '!E:E)</f>
        <v/>
      </c>
      <c r="F679" s="218">
        <f>'3.1_ELEC'!E146</f>
        <v/>
      </c>
      <c r="G679" s="250">
        <f>+_xlfn.XLOOKUP(C679,'BASE DATOS PRECIOS '!B:B,'BASE DATOS PRECIOS '!F:F)</f>
        <v/>
      </c>
      <c r="H679" s="249">
        <f>+_xlfn.XLOOKUP(E679,'BASE DATOS PRECIOS '!E:E,'BASE DATOS PRECIOS '!H:H)</f>
        <v/>
      </c>
      <c r="I679" s="250" t="n"/>
      <c r="J679" s="250" t="n"/>
      <c r="K679" s="249">
        <f>+F679*H679</f>
        <v/>
      </c>
      <c r="L679" s="249">
        <f>+F679*I679</f>
        <v/>
      </c>
      <c r="M679" s="249">
        <f>+F679*J679</f>
        <v/>
      </c>
      <c r="N679" s="249">
        <f>SUM(K679:M679)</f>
        <v/>
      </c>
      <c r="O679" s="360">
        <f>SUM(K679:M679)/tc</f>
        <v/>
      </c>
    </row>
    <row r="680">
      <c r="A680" s="16" t="n"/>
      <c r="B680" s="1134">
        <f>VALUE(IF(AND(LEN(TRIM(C680))-LEN(SUBSTITUTE(TRIM(C680),".",""))=1,ISNUMBER(VALUE(SUBSTITUTE(TRIM(C680),".","")))),TRIM(C680),B679))</f>
        <v/>
      </c>
      <c r="C680" s="16" t="inlineStr">
        <is>
          <t>M05-0399</t>
        </is>
      </c>
      <c r="D680" s="292" t="n"/>
      <c r="E680" s="252">
        <f>+_xlfn.XLOOKUP(C680,'BASE DATOS PRECIOS '!B:B,'BASE DATOS PRECIOS '!E:E)</f>
        <v/>
      </c>
      <c r="F680" s="218">
        <f>'3.1_ELEC'!E147</f>
        <v/>
      </c>
      <c r="G680" s="250">
        <f>+_xlfn.XLOOKUP(C680,'BASE DATOS PRECIOS '!B:B,'BASE DATOS PRECIOS '!F:F)</f>
        <v/>
      </c>
      <c r="H680" s="249">
        <f>+_xlfn.XLOOKUP(E680,'BASE DATOS PRECIOS '!E:E,'BASE DATOS PRECIOS '!H:H)</f>
        <v/>
      </c>
      <c r="I680" s="250" t="n"/>
      <c r="J680" s="250" t="n"/>
      <c r="K680" s="249">
        <f>+F680*H680</f>
        <v/>
      </c>
      <c r="L680" s="249">
        <f>+F680*I680</f>
        <v/>
      </c>
      <c r="M680" s="249">
        <f>+F680*J680</f>
        <v/>
      </c>
      <c r="N680" s="249">
        <f>SUM(K680:M680)</f>
        <v/>
      </c>
      <c r="O680" s="360">
        <f>SUM(K680:M680)/tc</f>
        <v/>
      </c>
    </row>
    <row r="681">
      <c r="A681" s="16" t="n"/>
      <c r="B681" s="1134">
        <f>VALUE(IF(AND(LEN(TRIM(C681))-LEN(SUBSTITUTE(TRIM(C681),".",""))=1,ISNUMBER(VALUE(SUBSTITUTE(TRIM(C681),".","")))),TRIM(C681),B680))</f>
        <v/>
      </c>
      <c r="C681" s="16" t="inlineStr">
        <is>
          <t>M05-0011</t>
        </is>
      </c>
      <c r="D681" s="292" t="n"/>
      <c r="E681" s="252">
        <f>+_xlfn.XLOOKUP(C681,'BASE DATOS PRECIOS '!B:B,'BASE DATOS PRECIOS '!E:E)</f>
        <v/>
      </c>
      <c r="F681" s="218">
        <f>'3.1_ELEC'!E148</f>
        <v/>
      </c>
      <c r="G681" s="250">
        <f>+_xlfn.XLOOKUP(C681,'BASE DATOS PRECIOS '!B:B,'BASE DATOS PRECIOS '!F:F)</f>
        <v/>
      </c>
      <c r="H681" s="249">
        <f>+_xlfn.XLOOKUP(E681,'BASE DATOS PRECIOS '!E:E,'BASE DATOS PRECIOS '!H:H)</f>
        <v/>
      </c>
      <c r="I681" s="250" t="n"/>
      <c r="J681" s="250" t="n"/>
      <c r="K681" s="249">
        <f>+F681*H681</f>
        <v/>
      </c>
      <c r="L681" s="249">
        <f>+F681*I681</f>
        <v/>
      </c>
      <c r="M681" s="249">
        <f>+F681*J681</f>
        <v/>
      </c>
      <c r="N681" s="249">
        <f>SUM(K681:M681)</f>
        <v/>
      </c>
      <c r="O681" s="360">
        <f>SUM(K681:M681)/tc</f>
        <v/>
      </c>
    </row>
    <row r="682">
      <c r="A682" s="16" t="n"/>
      <c r="B682" s="1134">
        <f>VALUE(IF(AND(LEN(TRIM(C682))-LEN(SUBSTITUTE(TRIM(C682),".",""))=1,ISNUMBER(VALUE(SUBSTITUTE(TRIM(C682),".","")))),TRIM(C682),B681))</f>
        <v/>
      </c>
      <c r="C682" s="297" t="inlineStr">
        <is>
          <t>M06-0197</t>
        </is>
      </c>
      <c r="D682" s="298" t="n"/>
      <c r="E682" s="252">
        <f>+_xlfn.XLOOKUP(C682,'BASE DATOS PRECIOS '!B:B,'BASE DATOS PRECIOS '!E:E)</f>
        <v/>
      </c>
      <c r="F682" s="218">
        <f>'3.1_ELEC'!E149</f>
        <v/>
      </c>
      <c r="G682" s="250">
        <f>+_xlfn.XLOOKUP(C682,'BASE DATOS PRECIOS '!B:B,'BASE DATOS PRECIOS '!F:F)</f>
        <v/>
      </c>
      <c r="H682" s="249">
        <f>+_xlfn.XLOOKUP(E682,'BASE DATOS PRECIOS '!E:E,'BASE DATOS PRECIOS '!H:H)</f>
        <v/>
      </c>
      <c r="I682" s="250" t="n"/>
      <c r="J682" s="250" t="n"/>
      <c r="K682" s="249">
        <f>+F682*H682</f>
        <v/>
      </c>
      <c r="L682" s="249">
        <f>+F682*I682</f>
        <v/>
      </c>
      <c r="M682" s="249">
        <f>+F682*J682</f>
        <v/>
      </c>
      <c r="N682" s="249">
        <f>SUM(K682:M682)</f>
        <v/>
      </c>
      <c r="O682" s="360">
        <f>SUM(K682:M682)/tc</f>
        <v/>
      </c>
    </row>
    <row r="683">
      <c r="A683" s="16" t="n"/>
      <c r="B683" s="1134">
        <f>VALUE(IF(AND(LEN(TRIM(C683))-LEN(SUBSTITUTE(TRIM(C683),".",""))=1,ISNUMBER(VALUE(SUBSTITUTE(TRIM(C683),".","")))),TRIM(C683),B682))</f>
        <v/>
      </c>
      <c r="C683" s="16" t="inlineStr">
        <is>
          <t>M09-0042</t>
        </is>
      </c>
      <c r="D683" s="292" t="n"/>
      <c r="E683" s="252">
        <f>+_xlfn.XLOOKUP(C683,'BASE DATOS PRECIOS '!B:B,'BASE DATOS PRECIOS '!E:E)</f>
        <v/>
      </c>
      <c r="F683" s="218">
        <f>'3.1_ELEC'!E150</f>
        <v/>
      </c>
      <c r="G683" s="250">
        <f>+_xlfn.XLOOKUP(C683,'BASE DATOS PRECIOS '!B:B,'BASE DATOS PRECIOS '!F:F)</f>
        <v/>
      </c>
      <c r="H683" s="249">
        <f>+_xlfn.XLOOKUP(E683,'BASE DATOS PRECIOS '!E:E,'BASE DATOS PRECIOS '!H:H)</f>
        <v/>
      </c>
      <c r="I683" s="250" t="n"/>
      <c r="J683" s="250" t="n"/>
      <c r="K683" s="249">
        <f>+F683*H683</f>
        <v/>
      </c>
      <c r="L683" s="249">
        <f>+F683*I683</f>
        <v/>
      </c>
      <c r="M683" s="249">
        <f>+F683*J683</f>
        <v/>
      </c>
      <c r="N683" s="249">
        <f>SUM(K683:M683)</f>
        <v/>
      </c>
      <c r="O683" s="360">
        <f>SUM(K683:M683)/tc</f>
        <v/>
      </c>
    </row>
    <row r="684">
      <c r="A684" s="16" t="n"/>
      <c r="B684" s="1134">
        <f>VALUE(IF(AND(LEN(TRIM(C684))-LEN(SUBSTITUTE(TRIM(C684),".",""))=1,ISNUMBER(VALUE(SUBSTITUTE(TRIM(C684),".","")))),TRIM(C684),B683))</f>
        <v/>
      </c>
      <c r="C684" s="16" t="inlineStr">
        <is>
          <t>M06-0061</t>
        </is>
      </c>
      <c r="D684" s="292" t="n"/>
      <c r="E684" s="252">
        <f>+_xlfn.XLOOKUP(C684,'BASE DATOS PRECIOS '!B:B,'BASE DATOS PRECIOS '!E:E)</f>
        <v/>
      </c>
      <c r="F684" s="218">
        <f>'3.1_ELEC'!E151</f>
        <v/>
      </c>
      <c r="G684" s="250">
        <f>+_xlfn.XLOOKUP(C684,'BASE DATOS PRECIOS '!B:B,'BASE DATOS PRECIOS '!F:F)</f>
        <v/>
      </c>
      <c r="H684" s="249">
        <f>+_xlfn.XLOOKUP(E684,'BASE DATOS PRECIOS '!E:E,'BASE DATOS PRECIOS '!H:H)</f>
        <v/>
      </c>
      <c r="I684" s="250" t="n"/>
      <c r="J684" s="250" t="n"/>
      <c r="K684" s="249">
        <f>+F684*H684</f>
        <v/>
      </c>
      <c r="L684" s="249">
        <f>+F684*I684</f>
        <v/>
      </c>
      <c r="M684" s="249">
        <f>+F684*J684</f>
        <v/>
      </c>
      <c r="N684" s="249">
        <f>SUM(K684:M684)</f>
        <v/>
      </c>
      <c r="O684" s="360">
        <f>SUM(K684:M684)/tc</f>
        <v/>
      </c>
    </row>
    <row r="685">
      <c r="A685" s="16" t="n"/>
      <c r="B685" s="1134">
        <f>VALUE(IF(AND(LEN(TRIM(C685))-LEN(SUBSTITUTE(TRIM(C685),".",""))=1,ISNUMBER(VALUE(SUBSTITUTE(TRIM(C685),".","")))),TRIM(C685),B684))</f>
        <v/>
      </c>
      <c r="C685" s="16" t="inlineStr">
        <is>
          <t>M05-0371</t>
        </is>
      </c>
      <c r="D685" s="292" t="n"/>
      <c r="E685" s="252">
        <f>+_xlfn.XLOOKUP(C685,'BASE DATOS PRECIOS '!B:B,'BASE DATOS PRECIOS '!E:E)</f>
        <v/>
      </c>
      <c r="F685" s="218">
        <f>'3.1_ELEC'!E152</f>
        <v/>
      </c>
      <c r="G685" s="250">
        <f>+_xlfn.XLOOKUP(C685,'BASE DATOS PRECIOS '!B:B,'BASE DATOS PRECIOS '!F:F)</f>
        <v/>
      </c>
      <c r="H685" s="249">
        <f>+_xlfn.XLOOKUP(E685,'BASE DATOS PRECIOS '!E:E,'BASE DATOS PRECIOS '!H:H)</f>
        <v/>
      </c>
      <c r="I685" s="250" t="n"/>
      <c r="J685" s="250" t="n"/>
      <c r="K685" s="249">
        <f>+F685*H685</f>
        <v/>
      </c>
      <c r="L685" s="249">
        <f>+F685*I685</f>
        <v/>
      </c>
      <c r="M685" s="249">
        <f>+F685*J685</f>
        <v/>
      </c>
      <c r="N685" s="249">
        <f>SUM(K685:M685)</f>
        <v/>
      </c>
      <c r="O685" s="360">
        <f>SUM(K685:M685)/tc</f>
        <v/>
      </c>
    </row>
    <row r="686">
      <c r="A686" s="16" t="n"/>
      <c r="B686" s="1134">
        <f>VALUE(IF(AND(LEN(TRIM(C686))-LEN(SUBSTITUTE(TRIM(C686),".",""))=1,ISNUMBER(VALUE(SUBSTITUTE(TRIM(C686),".","")))),TRIM(C686),B685))</f>
        <v/>
      </c>
      <c r="C686" s="16" t="inlineStr">
        <is>
          <t>M05-0477</t>
        </is>
      </c>
      <c r="D686" s="292" t="n"/>
      <c r="E686" s="252">
        <f>+_xlfn.XLOOKUP(C686,'BASE DATOS PRECIOS '!B:B,'BASE DATOS PRECIOS '!E:E)</f>
        <v/>
      </c>
      <c r="F686" s="218">
        <f>'3.1_ELEC'!E153</f>
        <v/>
      </c>
      <c r="G686" s="250">
        <f>+_xlfn.XLOOKUP(C686,'BASE DATOS PRECIOS '!B:B,'BASE DATOS PRECIOS '!F:F)</f>
        <v/>
      </c>
      <c r="H686" s="249">
        <f>+_xlfn.XLOOKUP(E686,'BASE DATOS PRECIOS '!E:E,'BASE DATOS PRECIOS '!H:H)</f>
        <v/>
      </c>
      <c r="I686" s="250" t="n"/>
      <c r="J686" s="250" t="n"/>
      <c r="K686" s="249">
        <f>+F686*H686</f>
        <v/>
      </c>
      <c r="L686" s="249">
        <f>+F686*I686</f>
        <v/>
      </c>
      <c r="M686" s="249">
        <f>+F686*J686</f>
        <v/>
      </c>
      <c r="N686" s="249">
        <f>SUM(K686:M686)</f>
        <v/>
      </c>
      <c r="O686" s="360">
        <f>SUM(K686:M686)/tc</f>
        <v/>
      </c>
    </row>
    <row r="687">
      <c r="A687" s="233" t="n"/>
      <c r="B687" s="1134">
        <f>VALUE(IF(AND(LEN(TRIM(C687))-LEN(SUBSTITUTE(TRIM(C687),".",""))=1,ISNUMBER(VALUE(SUBSTITUTE(TRIM(C687),".","")))),TRIM(C687),B686))</f>
        <v/>
      </c>
      <c r="C687" s="297" t="inlineStr">
        <is>
          <t>M05-0375</t>
        </is>
      </c>
      <c r="D687" s="298" t="n"/>
      <c r="E687" s="252">
        <f>+_xlfn.XLOOKUP(C687,'BASE DATOS PRECIOS '!B:B,'BASE DATOS PRECIOS '!E:E)</f>
        <v/>
      </c>
      <c r="F687" s="218">
        <f>'3.1_ELEC'!E154</f>
        <v/>
      </c>
      <c r="G687" s="250">
        <f>+_xlfn.XLOOKUP(C687,'BASE DATOS PRECIOS '!B:B,'BASE DATOS PRECIOS '!F:F)</f>
        <v/>
      </c>
      <c r="H687" s="249">
        <f>+_xlfn.XLOOKUP(E687,'BASE DATOS PRECIOS '!E:E,'BASE DATOS PRECIOS '!H:H)</f>
        <v/>
      </c>
      <c r="I687" s="250" t="n"/>
      <c r="J687" s="250" t="n"/>
      <c r="K687" s="249">
        <f>+F687*H687</f>
        <v/>
      </c>
      <c r="L687" s="249">
        <f>+F687*I687</f>
        <v/>
      </c>
      <c r="M687" s="249">
        <f>+F687*J687</f>
        <v/>
      </c>
      <c r="N687" s="249">
        <f>SUM(K687:M687)</f>
        <v/>
      </c>
      <c r="O687" s="360">
        <f>SUM(K687:M687)/tc</f>
        <v/>
      </c>
    </row>
    <row r="688">
      <c r="A688" s="16" t="n"/>
      <c r="B688" s="1134">
        <f>VALUE(IF(AND(LEN(TRIM(C688))-LEN(SUBSTITUTE(TRIM(C688),".",""))=1,ISNUMBER(VALUE(SUBSTITUTE(TRIM(C688),".","")))),TRIM(C688),B687))</f>
        <v/>
      </c>
      <c r="C688" s="16" t="inlineStr">
        <is>
          <t>M05-0367</t>
        </is>
      </c>
      <c r="D688" s="292" t="n"/>
      <c r="E688" s="252">
        <f>+_xlfn.XLOOKUP(C688,'BASE DATOS PRECIOS '!B:B,'BASE DATOS PRECIOS '!E:E)</f>
        <v/>
      </c>
      <c r="F688" s="218">
        <f>'3.1_ELEC'!E155</f>
        <v/>
      </c>
      <c r="G688" s="250">
        <f>+_xlfn.XLOOKUP(C688,'BASE DATOS PRECIOS '!B:B,'BASE DATOS PRECIOS '!F:F)</f>
        <v/>
      </c>
      <c r="H688" s="249">
        <f>+_xlfn.XLOOKUP(E688,'BASE DATOS PRECIOS '!E:E,'BASE DATOS PRECIOS '!H:H)</f>
        <v/>
      </c>
      <c r="I688" s="250" t="n"/>
      <c r="J688" s="250" t="n"/>
      <c r="K688" s="249">
        <f>+F688*H688</f>
        <v/>
      </c>
      <c r="L688" s="249">
        <f>+F688*I688</f>
        <v/>
      </c>
      <c r="M688" s="249">
        <f>+F688*J688</f>
        <v/>
      </c>
      <c r="N688" s="249">
        <f>SUM(K688:M688)</f>
        <v/>
      </c>
      <c r="O688" s="360">
        <f>SUM(K688:M688)/tc</f>
        <v/>
      </c>
    </row>
    <row r="689">
      <c r="A689" s="16" t="n"/>
      <c r="B689" s="1134">
        <f>VALUE(IF(AND(LEN(TRIM(C689))-LEN(SUBSTITUTE(TRIM(C689),".",""))=1,ISNUMBER(VALUE(SUBSTITUTE(TRIM(C689),".","")))),TRIM(C689),B688))</f>
        <v/>
      </c>
      <c r="C689" s="16" t="inlineStr">
        <is>
          <t>M05-0385</t>
        </is>
      </c>
      <c r="D689" s="292" t="n"/>
      <c r="E689" s="252">
        <f>+_xlfn.XLOOKUP(C689,'BASE DATOS PRECIOS '!B:B,'BASE DATOS PRECIOS '!E:E)</f>
        <v/>
      </c>
      <c r="F689" s="218">
        <f>'3.1_ELEC'!E156</f>
        <v/>
      </c>
      <c r="G689" s="250">
        <f>+_xlfn.XLOOKUP(C689,'BASE DATOS PRECIOS '!B:B,'BASE DATOS PRECIOS '!F:F)</f>
        <v/>
      </c>
      <c r="H689" s="249">
        <f>+_xlfn.XLOOKUP(E689,'BASE DATOS PRECIOS '!E:E,'BASE DATOS PRECIOS '!H:H)</f>
        <v/>
      </c>
      <c r="I689" s="250" t="n"/>
      <c r="J689" s="250" t="n"/>
      <c r="K689" s="249">
        <f>+F689*H689</f>
        <v/>
      </c>
      <c r="L689" s="249">
        <f>+F689*I689</f>
        <v/>
      </c>
      <c r="M689" s="249">
        <f>+F689*J689</f>
        <v/>
      </c>
      <c r="N689" s="249">
        <f>SUM(K689:M689)</f>
        <v/>
      </c>
      <c r="O689" s="360">
        <f>SUM(K689:M689)/tc</f>
        <v/>
      </c>
    </row>
    <row r="690">
      <c r="A690" s="16" t="n"/>
      <c r="B690" s="1134">
        <f>VALUE(IF(AND(LEN(TRIM(C690))-LEN(SUBSTITUTE(TRIM(C690),".",""))=1,ISNUMBER(VALUE(SUBSTITUTE(TRIM(C690),".","")))),TRIM(C690),B689))</f>
        <v/>
      </c>
      <c r="C690" s="16" t="inlineStr">
        <is>
          <t>M06-0496</t>
        </is>
      </c>
      <c r="D690" s="292" t="n"/>
      <c r="E690" s="252">
        <f>+_xlfn.XLOOKUP(C690,'BASE DATOS PRECIOS '!B:B,'BASE DATOS PRECIOS '!E:E)</f>
        <v/>
      </c>
      <c r="F690" s="218">
        <f>'3.1_ELEC'!E157</f>
        <v/>
      </c>
      <c r="G690" s="250">
        <f>+_xlfn.XLOOKUP(C690,'BASE DATOS PRECIOS '!B:B,'BASE DATOS PRECIOS '!F:F)</f>
        <v/>
      </c>
      <c r="H690" s="249">
        <f>+_xlfn.XLOOKUP(E690,'BASE DATOS PRECIOS '!E:E,'BASE DATOS PRECIOS '!H:H)</f>
        <v/>
      </c>
      <c r="I690" s="250" t="n"/>
      <c r="J690" s="250" t="n"/>
      <c r="K690" s="249">
        <f>+F690*H690</f>
        <v/>
      </c>
      <c r="L690" s="249">
        <f>+F690*I690</f>
        <v/>
      </c>
      <c r="M690" s="249">
        <f>+F690*J690</f>
        <v/>
      </c>
      <c r="N690" s="249">
        <f>SUM(K690:M690)</f>
        <v/>
      </c>
      <c r="O690" s="360">
        <f>SUM(K690:M690)/tc</f>
        <v/>
      </c>
    </row>
    <row r="691">
      <c r="A691" s="16" t="n"/>
      <c r="B691" s="1134">
        <f>VALUE(IF(AND(LEN(TRIM(C691))-LEN(SUBSTITUTE(TRIM(C691),".",""))=1,ISNUMBER(VALUE(SUBSTITUTE(TRIM(C691),".","")))),TRIM(C691),B690))</f>
        <v/>
      </c>
      <c r="C691" s="16" t="inlineStr">
        <is>
          <t>M05-0390</t>
        </is>
      </c>
      <c r="D691" s="292" t="n"/>
      <c r="E691" s="252">
        <f>+_xlfn.XLOOKUP(C691,'BASE DATOS PRECIOS '!B:B,'BASE DATOS PRECIOS '!E:E)</f>
        <v/>
      </c>
      <c r="F691" s="218">
        <f>'3.1_ELEC'!E158</f>
        <v/>
      </c>
      <c r="G691" s="250">
        <f>+_xlfn.XLOOKUP(C691,'BASE DATOS PRECIOS '!B:B,'BASE DATOS PRECIOS '!F:F)</f>
        <v/>
      </c>
      <c r="H691" s="249">
        <f>+_xlfn.XLOOKUP(E691,'BASE DATOS PRECIOS '!E:E,'BASE DATOS PRECIOS '!H:H)</f>
        <v/>
      </c>
      <c r="I691" s="250" t="n"/>
      <c r="J691" s="250" t="n"/>
      <c r="K691" s="249">
        <f>+F691*H691</f>
        <v/>
      </c>
      <c r="L691" s="249">
        <f>+F691*I691</f>
        <v/>
      </c>
      <c r="M691" s="249">
        <f>+F691*J691</f>
        <v/>
      </c>
      <c r="N691" s="249">
        <f>SUM(K691:M691)</f>
        <v/>
      </c>
      <c r="O691" s="360">
        <f>SUM(K691:M691)/tc</f>
        <v/>
      </c>
    </row>
    <row r="692">
      <c r="A692" s="16" t="n"/>
      <c r="B692" s="1134">
        <f>VALUE(IF(AND(LEN(TRIM(C692))-LEN(SUBSTITUTE(TRIM(C692),".",""))=1,ISNUMBER(VALUE(SUBSTITUTE(TRIM(C692),".","")))),TRIM(C692),B691))</f>
        <v/>
      </c>
      <c r="C692" s="16" t="inlineStr">
        <is>
          <t>M05-0258</t>
        </is>
      </c>
      <c r="D692" s="292" t="inlineStr">
        <is>
          <t>04</t>
        </is>
      </c>
      <c r="E692" s="252">
        <f>+_xlfn.XLOOKUP(C692,'BASE DATOS PRECIOS '!B:B,'BASE DATOS PRECIOS '!E:E)</f>
        <v/>
      </c>
      <c r="F692" s="218">
        <f>'3.1_ELEC'!E159</f>
        <v/>
      </c>
      <c r="G692" s="250">
        <f>+_xlfn.XLOOKUP(C692,'BASE DATOS PRECIOS '!B:B,'BASE DATOS PRECIOS '!F:F)</f>
        <v/>
      </c>
      <c r="H692" s="249">
        <f>+_xlfn.XLOOKUP(E692,'BASE DATOS PRECIOS '!E:E,'BASE DATOS PRECIOS '!H:H)</f>
        <v/>
      </c>
      <c r="I692" s="250" t="n"/>
      <c r="J692" s="250" t="n"/>
      <c r="K692" s="249">
        <f>+F692*H692</f>
        <v/>
      </c>
      <c r="L692" s="249">
        <f>+F692*I692</f>
        <v/>
      </c>
      <c r="M692" s="249">
        <f>+F692*J692</f>
        <v/>
      </c>
      <c r="N692" s="249">
        <f>SUM(K692:M692)</f>
        <v/>
      </c>
      <c r="O692" s="360">
        <f>SUM(K692:M692)/tc</f>
        <v/>
      </c>
    </row>
    <row r="693">
      <c r="A693" s="16" t="n"/>
      <c r="B693" s="1134">
        <f>VALUE(IF(AND(LEN(TRIM(C693))-LEN(SUBSTITUTE(TRIM(C693),".",""))=1,ISNUMBER(VALUE(SUBSTITUTE(TRIM(C693),".","")))),TRIM(C693),B692))</f>
        <v/>
      </c>
      <c r="C693" s="267" t="inlineStr">
        <is>
          <t>SUB ILUMINACION</t>
        </is>
      </c>
      <c r="D693" s="268" t="n"/>
      <c r="E693" s="269">
        <f>+_xlfn.XLOOKUP(C693,'BASE DATOS EQUIPOS Y SUBCONTRAT'!A:A,'BASE DATOS EQUIPOS Y SUBCONTRAT'!B:B)</f>
        <v/>
      </c>
      <c r="F693" s="270" t="n">
        <v>1</v>
      </c>
      <c r="G693" s="271">
        <f>+_xlfn.XLOOKUP(C693,'BASE DATOS EQUIPOS Y SUBCONTRAT'!A:A,'BASE DATOS EQUIPOS Y SUBCONTRAT'!C:C)</f>
        <v/>
      </c>
      <c r="H693" s="272" t="n">
        <v>0</v>
      </c>
      <c r="I693" s="272" t="n"/>
      <c r="J693" s="272">
        <f>+'3.1_ELEC'!D161</f>
        <v/>
      </c>
      <c r="K693" s="272">
        <f>+F693*H693</f>
        <v/>
      </c>
      <c r="L693" s="272">
        <f>+F693*I693</f>
        <v/>
      </c>
      <c r="M693" s="272">
        <f>+F693*J693</f>
        <v/>
      </c>
      <c r="N693" s="272">
        <f>SUM(K693:M693)</f>
        <v/>
      </c>
      <c r="O693" s="359">
        <f>SUM(K693:M693)/tc</f>
        <v/>
      </c>
    </row>
    <row r="694">
      <c r="A694" s="16" t="n"/>
      <c r="B694" s="1134">
        <f>VALUE(IF(AND(LEN(TRIM(C694))-LEN(SUBSTITUTE(TRIM(C694),".",""))=1,ISNUMBER(VALUE(SUBSTITUTE(TRIM(C694),".","")))),TRIM(C694),B693))</f>
        <v/>
      </c>
      <c r="C694" s="267" t="inlineStr">
        <is>
          <t xml:space="preserve">OPERARIO </t>
        </is>
      </c>
      <c r="D694" s="268" t="n"/>
      <c r="E694" s="269">
        <f>+_xlfn.XLOOKUP(C694,'BASE DATOS MANO DE OBRA'!A:A,'BASE DATOS MANO DE OBRA'!B:B)</f>
        <v/>
      </c>
      <c r="F694" s="270" t="n">
        <v>0</v>
      </c>
      <c r="G694" s="271">
        <f>+_xlfn.XLOOKUP(C694,'BASE DATOS MANO DE OBRA'!A:A,'BASE DATOS MANO DE OBRA'!C:C)</f>
        <v/>
      </c>
      <c r="H694" s="272" t="n">
        <v>0</v>
      </c>
      <c r="I694" s="272">
        <f>+_xlfn.XLOOKUP(C694,'BASE DATOS MANO DE OBRA'!A:A,'BASE DATOS MANO DE OBRA'!E:E)</f>
        <v/>
      </c>
      <c r="J694" s="272" t="n">
        <v>0</v>
      </c>
      <c r="K694" s="272">
        <f>+F694*H694</f>
        <v/>
      </c>
      <c r="L694" s="272">
        <f>+F694*I694</f>
        <v/>
      </c>
      <c r="M694" s="272">
        <f>+F694*J694</f>
        <v/>
      </c>
      <c r="N694" s="272">
        <f>SUM(K694:M694)</f>
        <v/>
      </c>
      <c r="O694" s="273">
        <f>SUM(K694:M694)/tc</f>
        <v/>
      </c>
    </row>
    <row r="695">
      <c r="A695" s="16" t="n"/>
      <c r="B695" s="1134">
        <f>VALUE(IF(AND(LEN(TRIM(C695))-LEN(SUBSTITUTE(TRIM(C695),".",""))=1,ISNUMBER(VALUE(SUBSTITUTE(TRIM(C695),".","")))),TRIM(C695),B694))</f>
        <v/>
      </c>
      <c r="C695" s="267" t="inlineStr">
        <is>
          <t xml:space="preserve">AYUDANTE </t>
        </is>
      </c>
      <c r="D695" s="268" t="n"/>
      <c r="E695" s="269">
        <f>+_xlfn.XLOOKUP(C695,'BASE DATOS MANO DE OBRA'!A:A,'BASE DATOS MANO DE OBRA'!B:B)</f>
        <v/>
      </c>
      <c r="F695" s="270" t="n">
        <v>0</v>
      </c>
      <c r="G695" s="271">
        <f>+_xlfn.XLOOKUP(C695,'BASE DATOS MANO DE OBRA'!A:A,'BASE DATOS MANO DE OBRA'!C:C)</f>
        <v/>
      </c>
      <c r="H695" s="272" t="n">
        <v>0</v>
      </c>
      <c r="I695" s="272">
        <f>+_xlfn.XLOOKUP(C695,'BASE DATOS MANO DE OBRA'!A:A,'BASE DATOS MANO DE OBRA'!E:E)</f>
        <v/>
      </c>
      <c r="J695" s="272" t="n">
        <v>0</v>
      </c>
      <c r="K695" s="272">
        <f>+F695*H695</f>
        <v/>
      </c>
      <c r="L695" s="272">
        <f>+F695*I695</f>
        <v/>
      </c>
      <c r="M695" s="272">
        <f>+F695*J695</f>
        <v/>
      </c>
      <c r="N695" s="272">
        <f>SUM(K695:M695)</f>
        <v/>
      </c>
      <c r="O695" s="273">
        <f>SUM(K695:M695)/tc</f>
        <v/>
      </c>
    </row>
    <row r="696">
      <c r="A696" s="16" t="n"/>
      <c r="B696" s="1134">
        <f>VALUE(IF(AND(LEN(TRIM(C696))-LEN(SUBSTITUTE(TRIM(C696),".",""))=1,ISNUMBER(VALUE(SUBSTITUTE(TRIM(C696),".","")))),TRIM(C696),B695))</f>
        <v/>
      </c>
      <c r="C696" s="234" t="inlineStr">
        <is>
          <t>3.1.6</t>
        </is>
      </c>
      <c r="D696" s="235" t="n"/>
      <c r="E696" s="236" t="inlineStr">
        <is>
          <t xml:space="preserve">BASE MEDIDOR </t>
        </is>
      </c>
      <c r="F696" s="237" t="n">
        <v>1</v>
      </c>
      <c r="G696" s="235" t="inlineStr">
        <is>
          <t>gb</t>
        </is>
      </c>
      <c r="H696" s="235" t="n"/>
      <c r="I696" s="235" t="n"/>
      <c r="J696" s="235" t="n"/>
      <c r="K696" s="238">
        <f>+SUBTOTAL(9,K697:K728)</f>
        <v/>
      </c>
      <c r="L696" s="238">
        <f>+SUBTOTAL(9,L697:L728)</f>
        <v/>
      </c>
      <c r="M696" s="238">
        <f>+SUBTOTAL(9,M697:M728)</f>
        <v/>
      </c>
      <c r="N696" s="238">
        <f>+SUBTOTAL(9,N697:N728)</f>
        <v/>
      </c>
      <c r="O696" s="1136">
        <f>+SUBTOTAL(9,O697:O728)</f>
        <v/>
      </c>
    </row>
    <row r="697">
      <c r="A697" s="16" t="n"/>
      <c r="B697" s="1134">
        <f>VALUE(IF(AND(LEN(TRIM(C697))-LEN(SUBSTITUTE(TRIM(C697),".",""))=1,ISNUMBER(VALUE(SUBSTITUTE(TRIM(C697),".","")))),TRIM(C697),B696))</f>
        <v/>
      </c>
      <c r="C697" s="285" t="n"/>
      <c r="D697" s="286" t="n"/>
      <c r="E697" s="332" t="inlineStr">
        <is>
          <t xml:space="preserve">MATERIAL ELÉCTRICO ACOMETICA </t>
        </is>
      </c>
      <c r="F697" s="288" t="n"/>
      <c r="G697" s="289" t="n"/>
      <c r="H697" s="289" t="n"/>
      <c r="I697" s="289" t="n"/>
      <c r="J697" s="289" t="n"/>
      <c r="K697" s="290" t="n"/>
      <c r="L697" s="290" t="n"/>
      <c r="M697" s="290" t="n"/>
      <c r="N697" s="290" t="n"/>
      <c r="O697" s="291" t="n"/>
    </row>
    <row r="698">
      <c r="A698" s="16" t="n"/>
      <c r="B698" s="1134">
        <f>VALUE(IF(AND(LEN(TRIM(C698))-LEN(SUBSTITUTE(TRIM(C698),".",""))=1,ISNUMBER(VALUE(SUBSTITUTE(TRIM(C698),".","")))),TRIM(C698),B697))</f>
        <v/>
      </c>
      <c r="C698" s="16" t="inlineStr">
        <is>
          <t>M05-0362</t>
        </is>
      </c>
      <c r="D698" s="292" t="n"/>
      <c r="E698" s="252">
        <f>+_xlfn.XLOOKUP(C698,'BASE DATOS PRECIOS '!B:B,'BASE DATOS PRECIOS '!E:E)</f>
        <v/>
      </c>
      <c r="F698" s="308">
        <f>'3.1_ELEC'!E168</f>
        <v/>
      </c>
      <c r="G698" s="257">
        <f>+_xlfn.XLOOKUP(C698,'BASE DATOS PRECIOS '!B:B,'BASE DATOS PRECIOS '!F:F)</f>
        <v/>
      </c>
      <c r="H698" s="256">
        <f>+_xlfn.XLOOKUP(E698,'BASE DATOS PRECIOS '!E:E,'BASE DATOS PRECIOS '!H:H)</f>
        <v/>
      </c>
      <c r="I698" s="257" t="n"/>
      <c r="J698" s="257" t="n"/>
      <c r="K698" s="256">
        <f>+F698*H698</f>
        <v/>
      </c>
      <c r="L698" s="256">
        <f>+F698*I698</f>
        <v/>
      </c>
      <c r="M698" s="256">
        <f>+F698*J698</f>
        <v/>
      </c>
      <c r="N698" s="256">
        <f>SUM(K698:M698)</f>
        <v/>
      </c>
      <c r="O698" s="258">
        <f>SUM(K698:M698)/tc</f>
        <v/>
      </c>
    </row>
    <row r="699">
      <c r="A699" s="16" t="n"/>
      <c r="B699" s="1134">
        <f>VALUE(IF(AND(LEN(TRIM(C699))-LEN(SUBSTITUTE(TRIM(C699),".",""))=1,ISNUMBER(VALUE(SUBSTITUTE(TRIM(C699),".","")))),TRIM(C699),B698))</f>
        <v/>
      </c>
      <c r="C699" s="16" t="inlineStr">
        <is>
          <t>M05-0366</t>
        </is>
      </c>
      <c r="D699" s="292" t="n"/>
      <c r="E699" s="252">
        <f>+_xlfn.XLOOKUP(C699,'BASE DATOS PRECIOS '!B:B,'BASE DATOS PRECIOS '!E:E)</f>
        <v/>
      </c>
      <c r="F699" s="308">
        <f>'3.1_ELEC'!E169</f>
        <v/>
      </c>
      <c r="G699" s="257">
        <f>+_xlfn.XLOOKUP(C699,'BASE DATOS PRECIOS '!B:B,'BASE DATOS PRECIOS '!F:F)</f>
        <v/>
      </c>
      <c r="H699" s="256">
        <f>+_xlfn.XLOOKUP(E699,'BASE DATOS PRECIOS '!E:E,'BASE DATOS PRECIOS '!H:H)</f>
        <v/>
      </c>
      <c r="I699" s="257" t="n"/>
      <c r="J699" s="257" t="n"/>
      <c r="K699" s="256">
        <f>+F699*H699</f>
        <v/>
      </c>
      <c r="L699" s="256">
        <f>+F699*I699</f>
        <v/>
      </c>
      <c r="M699" s="256">
        <f>+F699*J699</f>
        <v/>
      </c>
      <c r="N699" s="256">
        <f>SUM(K699:M699)</f>
        <v/>
      </c>
      <c r="O699" s="258">
        <f>SUM(K699:M699)/tc</f>
        <v/>
      </c>
    </row>
    <row r="700">
      <c r="A700" s="16" t="n"/>
      <c r="B700" s="1134">
        <f>VALUE(IF(AND(LEN(TRIM(C700))-LEN(SUBSTITUTE(TRIM(C700),".",""))=1,ISNUMBER(VALUE(SUBSTITUTE(TRIM(C700),".","")))),TRIM(C700),B699))</f>
        <v/>
      </c>
      <c r="C700" s="16" t="inlineStr">
        <is>
          <t>M05-0361</t>
        </is>
      </c>
      <c r="D700" s="292" t="n"/>
      <c r="E700" s="252">
        <f>+_xlfn.XLOOKUP(C700,'BASE DATOS PRECIOS '!B:B,'BASE DATOS PRECIOS '!E:E)</f>
        <v/>
      </c>
      <c r="F700" s="308">
        <f>'3.1_ELEC'!E170</f>
        <v/>
      </c>
      <c r="G700" s="257">
        <f>+_xlfn.XLOOKUP(C700,'BASE DATOS PRECIOS '!B:B,'BASE DATOS PRECIOS '!F:F)</f>
        <v/>
      </c>
      <c r="H700" s="256">
        <f>+_xlfn.XLOOKUP(E700,'BASE DATOS PRECIOS '!E:E,'BASE DATOS PRECIOS '!H:H)</f>
        <v/>
      </c>
      <c r="I700" s="257" t="n"/>
      <c r="J700" s="257" t="n"/>
      <c r="K700" s="256">
        <f>+F700*H700</f>
        <v/>
      </c>
      <c r="L700" s="256">
        <f>+F700*I700</f>
        <v/>
      </c>
      <c r="M700" s="256">
        <f>+F700*J700</f>
        <v/>
      </c>
      <c r="N700" s="256">
        <f>SUM(K700:M700)</f>
        <v/>
      </c>
      <c r="O700" s="258">
        <f>SUM(K700:M700)/tc</f>
        <v/>
      </c>
    </row>
    <row r="701">
      <c r="A701" s="16" t="n"/>
      <c r="B701" s="1134">
        <f>VALUE(IF(AND(LEN(TRIM(C701))-LEN(SUBSTITUTE(TRIM(C701),".",""))=1,ISNUMBER(VALUE(SUBSTITUTE(TRIM(C701),".","")))),TRIM(C701),B700))</f>
        <v/>
      </c>
      <c r="C701" s="324" t="inlineStr">
        <is>
          <t>M05-0367</t>
        </is>
      </c>
      <c r="D701" s="325" t="n"/>
      <c r="E701" s="252">
        <f>+_xlfn.XLOOKUP(C701,'BASE DATOS PRECIOS '!B:B,'BASE DATOS PRECIOS '!E:E)</f>
        <v/>
      </c>
      <c r="F701" s="308">
        <f>'3.1_ELEC'!E171</f>
        <v/>
      </c>
      <c r="G701" s="257">
        <f>+_xlfn.XLOOKUP(C701,'BASE DATOS PRECIOS '!B:B,'BASE DATOS PRECIOS '!F:F)</f>
        <v/>
      </c>
      <c r="H701" s="256">
        <f>+_xlfn.XLOOKUP(E701,'BASE DATOS PRECIOS '!E:E,'BASE DATOS PRECIOS '!H:H)</f>
        <v/>
      </c>
      <c r="I701" s="257" t="n"/>
      <c r="J701" s="257" t="n"/>
      <c r="K701" s="256">
        <f>+F701*H701</f>
        <v/>
      </c>
      <c r="L701" s="256">
        <f>+F701*I701</f>
        <v/>
      </c>
      <c r="M701" s="256">
        <f>+F701*J701</f>
        <v/>
      </c>
      <c r="N701" s="256">
        <f>SUM(K701:M701)</f>
        <v/>
      </c>
      <c r="O701" s="258">
        <f>SUM(K701:M701)/tc</f>
        <v/>
      </c>
    </row>
    <row r="702">
      <c r="A702" s="16" t="n"/>
      <c r="B702" s="1134">
        <f>VALUE(IF(AND(LEN(TRIM(C702))-LEN(SUBSTITUTE(TRIM(C702),".",""))=1,ISNUMBER(VALUE(SUBSTITUTE(TRIM(C702),".","")))),TRIM(C702),B701))</f>
        <v/>
      </c>
      <c r="C702" s="16" t="inlineStr">
        <is>
          <t>M05-0368</t>
        </is>
      </c>
      <c r="D702" s="292" t="n"/>
      <c r="E702" s="252">
        <f>+_xlfn.XLOOKUP(C702,'BASE DATOS PRECIOS '!B:B,'BASE DATOS PRECIOS '!E:E)</f>
        <v/>
      </c>
      <c r="F702" s="308">
        <f>'3.1_ELEC'!E172</f>
        <v/>
      </c>
      <c r="G702" s="257">
        <f>+_xlfn.XLOOKUP(C702,'BASE DATOS PRECIOS '!B:B,'BASE DATOS PRECIOS '!F:F)</f>
        <v/>
      </c>
      <c r="H702" s="256">
        <f>+_xlfn.XLOOKUP(E702,'BASE DATOS PRECIOS '!E:E,'BASE DATOS PRECIOS '!H:H)</f>
        <v/>
      </c>
      <c r="I702" s="257" t="n"/>
      <c r="J702" s="257" t="n"/>
      <c r="K702" s="256">
        <f>+F702*H702</f>
        <v/>
      </c>
      <c r="L702" s="256">
        <f>+F702*I702</f>
        <v/>
      </c>
      <c r="M702" s="256">
        <f>+F702*J702</f>
        <v/>
      </c>
      <c r="N702" s="256">
        <f>SUM(K702:M702)</f>
        <v/>
      </c>
      <c r="O702" s="258">
        <f>SUM(K702:M702)/tc</f>
        <v/>
      </c>
    </row>
    <row r="703">
      <c r="A703" s="16" t="n"/>
      <c r="B703" s="1134">
        <f>VALUE(IF(AND(LEN(TRIM(C703))-LEN(SUBSTITUTE(TRIM(C703),".",""))=1,ISNUMBER(VALUE(SUBSTITUTE(TRIM(C703),".","")))),TRIM(C703),B702))</f>
        <v/>
      </c>
      <c r="C703" s="16" t="inlineStr">
        <is>
          <t>M05-0369</t>
        </is>
      </c>
      <c r="D703" s="292" t="n"/>
      <c r="E703" s="252">
        <f>+_xlfn.XLOOKUP(C703,'BASE DATOS PRECIOS '!B:B,'BASE DATOS PRECIOS '!E:E)</f>
        <v/>
      </c>
      <c r="F703" s="308">
        <f>'3.1_ELEC'!E173</f>
        <v/>
      </c>
      <c r="G703" s="257">
        <f>+_xlfn.XLOOKUP(C703,'BASE DATOS PRECIOS '!B:B,'BASE DATOS PRECIOS '!F:F)</f>
        <v/>
      </c>
      <c r="H703" s="256">
        <f>+_xlfn.XLOOKUP(E703,'BASE DATOS PRECIOS '!E:E,'BASE DATOS PRECIOS '!H:H)</f>
        <v/>
      </c>
      <c r="I703" s="257" t="n"/>
      <c r="J703" s="257" t="n"/>
      <c r="K703" s="256">
        <f>+F703*H703</f>
        <v/>
      </c>
      <c r="L703" s="256">
        <f>+F703*I703</f>
        <v/>
      </c>
      <c r="M703" s="256">
        <f>+F703*J703</f>
        <v/>
      </c>
      <c r="N703" s="256">
        <f>SUM(K703:M703)</f>
        <v/>
      </c>
      <c r="O703" s="258">
        <f>SUM(K703:M703)/tc</f>
        <v/>
      </c>
    </row>
    <row r="704">
      <c r="A704" s="16" t="n"/>
      <c r="B704" s="1134">
        <f>VALUE(IF(AND(LEN(TRIM(C704))-LEN(SUBSTITUTE(TRIM(C704),".",""))=1,ISNUMBER(VALUE(SUBSTITUTE(TRIM(C704),".","")))),TRIM(C704),B703))</f>
        <v/>
      </c>
      <c r="C704" s="301" t="inlineStr">
        <is>
          <t>M05-0370</t>
        </is>
      </c>
      <c r="D704" s="302" t="n"/>
      <c r="E704" s="252">
        <f>+_xlfn.XLOOKUP(C704,'BASE DATOS PRECIOS '!B:B,'BASE DATOS PRECIOS '!E:E)</f>
        <v/>
      </c>
      <c r="F704" s="308">
        <f>'3.1_ELEC'!E174</f>
        <v/>
      </c>
      <c r="G704" s="257">
        <f>+_xlfn.XLOOKUP(C704,'BASE DATOS PRECIOS '!B:B,'BASE DATOS PRECIOS '!F:F)</f>
        <v/>
      </c>
      <c r="H704" s="256">
        <f>+_xlfn.XLOOKUP(E704,'BASE DATOS PRECIOS '!E:E,'BASE DATOS PRECIOS '!H:H)</f>
        <v/>
      </c>
      <c r="I704" s="257" t="n"/>
      <c r="J704" s="257" t="n"/>
      <c r="K704" s="256">
        <f>+F704*H704</f>
        <v/>
      </c>
      <c r="L704" s="256">
        <f>+F704*I704</f>
        <v/>
      </c>
      <c r="M704" s="256">
        <f>+F704*J704</f>
        <v/>
      </c>
      <c r="N704" s="256">
        <f>SUM(K704:M704)</f>
        <v/>
      </c>
      <c r="O704" s="258">
        <f>SUM(K704:M704)/tc</f>
        <v/>
      </c>
    </row>
    <row r="705">
      <c r="A705" s="16" t="n"/>
      <c r="B705" s="1134">
        <f>VALUE(IF(AND(LEN(TRIM(C705))-LEN(SUBSTITUTE(TRIM(C705),".",""))=1,ISNUMBER(VALUE(SUBSTITUTE(TRIM(C705),".","")))),TRIM(C705),B704))</f>
        <v/>
      </c>
      <c r="C705" s="301" t="inlineStr">
        <is>
          <t>M05-0372</t>
        </is>
      </c>
      <c r="D705" s="302" t="n"/>
      <c r="E705" s="252">
        <f>+_xlfn.XLOOKUP(C705,'BASE DATOS PRECIOS '!B:B,'BASE DATOS PRECIOS '!E:E)</f>
        <v/>
      </c>
      <c r="F705" s="308">
        <f>'3.1_ELEC'!E175</f>
        <v/>
      </c>
      <c r="G705" s="257">
        <f>+_xlfn.XLOOKUP(C705,'BASE DATOS PRECIOS '!B:B,'BASE DATOS PRECIOS '!F:F)</f>
        <v/>
      </c>
      <c r="H705" s="256">
        <f>+_xlfn.XLOOKUP(E705,'BASE DATOS PRECIOS '!E:E,'BASE DATOS PRECIOS '!H:H)</f>
        <v/>
      </c>
      <c r="I705" s="257" t="n"/>
      <c r="J705" s="257" t="n"/>
      <c r="K705" s="256">
        <f>+F705*H705</f>
        <v/>
      </c>
      <c r="L705" s="256">
        <f>+F705*I705</f>
        <v/>
      </c>
      <c r="M705" s="256">
        <f>+F705*J705</f>
        <v/>
      </c>
      <c r="N705" s="256">
        <f>SUM(K705:M705)</f>
        <v/>
      </c>
      <c r="O705" s="258">
        <f>SUM(K705:M705)/tc</f>
        <v/>
      </c>
    </row>
    <row r="706">
      <c r="A706" s="16" t="n"/>
      <c r="B706" s="1134">
        <f>VALUE(IF(AND(LEN(TRIM(C706))-LEN(SUBSTITUTE(TRIM(C706),".",""))=1,ISNUMBER(VALUE(SUBSTITUTE(TRIM(C706),".","")))),TRIM(C706),B705))</f>
        <v/>
      </c>
      <c r="C706" s="274" t="inlineStr">
        <is>
          <t>M05-0373</t>
        </is>
      </c>
      <c r="D706" s="275" t="n"/>
      <c r="E706" s="252">
        <f>+_xlfn.XLOOKUP(C706,'BASE DATOS PRECIOS '!B:B,'BASE DATOS PRECIOS '!E:E)</f>
        <v/>
      </c>
      <c r="F706" s="308">
        <f>'3.1_ELEC'!E176</f>
        <v/>
      </c>
      <c r="G706" s="257">
        <f>+_xlfn.XLOOKUP(C706,'BASE DATOS PRECIOS '!B:B,'BASE DATOS PRECIOS '!F:F)</f>
        <v/>
      </c>
      <c r="H706" s="256">
        <f>+_xlfn.XLOOKUP(E706,'BASE DATOS PRECIOS '!E:E,'BASE DATOS PRECIOS '!H:H)</f>
        <v/>
      </c>
      <c r="I706" s="257" t="n"/>
      <c r="J706" s="257" t="n"/>
      <c r="K706" s="256">
        <f>+F706*H706</f>
        <v/>
      </c>
      <c r="L706" s="256">
        <f>+F706*I706</f>
        <v/>
      </c>
      <c r="M706" s="256">
        <f>+F706*J706</f>
        <v/>
      </c>
      <c r="N706" s="256">
        <f>SUM(K706:M706)</f>
        <v/>
      </c>
      <c r="O706" s="258">
        <f>SUM(K706:M706)/tc</f>
        <v/>
      </c>
    </row>
    <row r="707">
      <c r="A707" s="16" t="n"/>
      <c r="B707" s="1134">
        <f>VALUE(IF(AND(LEN(TRIM(C707))-LEN(SUBSTITUTE(TRIM(C707),".",""))=1,ISNUMBER(VALUE(SUBSTITUTE(TRIM(C707),".","")))),TRIM(C707),B706))</f>
        <v/>
      </c>
      <c r="C707" s="274" t="inlineStr">
        <is>
          <t>M05-0374</t>
        </is>
      </c>
      <c r="D707" s="275" t="n"/>
      <c r="E707" s="252">
        <f>+_xlfn.XLOOKUP(C707,'BASE DATOS PRECIOS '!B:B,'BASE DATOS PRECIOS '!E:E)</f>
        <v/>
      </c>
      <c r="F707" s="308">
        <f>'3.1_ELEC'!E177</f>
        <v/>
      </c>
      <c r="G707" s="257">
        <f>+_xlfn.XLOOKUP(C707,'BASE DATOS PRECIOS '!B:B,'BASE DATOS PRECIOS '!F:F)</f>
        <v/>
      </c>
      <c r="H707" s="256">
        <f>+_xlfn.XLOOKUP(E707,'BASE DATOS PRECIOS '!E:E,'BASE DATOS PRECIOS '!H:H)</f>
        <v/>
      </c>
      <c r="I707" s="257" t="n"/>
      <c r="J707" s="257" t="n"/>
      <c r="K707" s="256">
        <f>+F707*H707</f>
        <v/>
      </c>
      <c r="L707" s="256">
        <f>+F707*I707</f>
        <v/>
      </c>
      <c r="M707" s="256">
        <f>+F707*J707</f>
        <v/>
      </c>
      <c r="N707" s="256">
        <f>SUM(K707:M707)</f>
        <v/>
      </c>
      <c r="O707" s="258">
        <f>SUM(K707:M707)/tc</f>
        <v/>
      </c>
    </row>
    <row r="708">
      <c r="A708" s="16" t="n"/>
      <c r="B708" s="1134">
        <f>VALUE(IF(AND(LEN(TRIM(C708))-LEN(SUBSTITUTE(TRIM(C708),".",""))=1,ISNUMBER(VALUE(SUBSTITUTE(TRIM(C708),".","")))),TRIM(C708),B707))</f>
        <v/>
      </c>
      <c r="C708" s="274" t="inlineStr">
        <is>
          <t>M05-0363</t>
        </is>
      </c>
      <c r="D708" s="275" t="n"/>
      <c r="E708" s="252">
        <f>+_xlfn.XLOOKUP(C708,'BASE DATOS PRECIOS '!B:B,'BASE DATOS PRECIOS '!E:E)</f>
        <v/>
      </c>
      <c r="F708" s="308">
        <f>'3.1_ELEC'!E178</f>
        <v/>
      </c>
      <c r="G708" s="257">
        <f>+_xlfn.XLOOKUP(C708,'BASE DATOS PRECIOS '!B:B,'BASE DATOS PRECIOS '!F:F)</f>
        <v/>
      </c>
      <c r="H708" s="256">
        <f>+_xlfn.XLOOKUP(E708,'BASE DATOS PRECIOS '!E:E,'BASE DATOS PRECIOS '!H:H)</f>
        <v/>
      </c>
      <c r="I708" s="257" t="n"/>
      <c r="J708" s="257" t="n"/>
      <c r="K708" s="256">
        <f>+F708*H708</f>
        <v/>
      </c>
      <c r="L708" s="256">
        <f>+F708*I708</f>
        <v/>
      </c>
      <c r="M708" s="256">
        <f>+F708*J708</f>
        <v/>
      </c>
      <c r="N708" s="256">
        <f>SUM(K708:M708)</f>
        <v/>
      </c>
      <c r="O708" s="258">
        <f>SUM(K708:M708)/tc</f>
        <v/>
      </c>
    </row>
    <row r="709">
      <c r="A709" s="16" t="n"/>
      <c r="B709" s="1134">
        <f>VALUE(IF(AND(LEN(TRIM(C709))-LEN(SUBSTITUTE(TRIM(C709),".",""))=1,ISNUMBER(VALUE(SUBSTITUTE(TRIM(C709),".","")))),TRIM(C709),B708))</f>
        <v/>
      </c>
      <c r="C709" s="16" t="inlineStr">
        <is>
          <t>M05-0364</t>
        </is>
      </c>
      <c r="D709" s="292" t="n"/>
      <c r="E709" s="252">
        <f>+_xlfn.XLOOKUP(C709,'BASE DATOS PRECIOS '!B:B,'BASE DATOS PRECIOS '!E:E)</f>
        <v/>
      </c>
      <c r="F709" s="308">
        <f>'3.1_ELEC'!E179</f>
        <v/>
      </c>
      <c r="G709" s="257">
        <f>+_xlfn.XLOOKUP(C709,'BASE DATOS PRECIOS '!B:B,'BASE DATOS PRECIOS '!F:F)</f>
        <v/>
      </c>
      <c r="H709" s="256">
        <f>+_xlfn.XLOOKUP(E709,'BASE DATOS PRECIOS '!E:E,'BASE DATOS PRECIOS '!H:H)</f>
        <v/>
      </c>
      <c r="I709" s="257" t="n"/>
      <c r="J709" s="257" t="n"/>
      <c r="K709" s="256">
        <f>+F709*H709</f>
        <v/>
      </c>
      <c r="L709" s="256">
        <f>+F709*I709</f>
        <v/>
      </c>
      <c r="M709" s="256">
        <f>+F709*J709</f>
        <v/>
      </c>
      <c r="N709" s="256">
        <f>SUM(K709:M709)</f>
        <v/>
      </c>
      <c r="O709" s="258">
        <f>SUM(K709:M709)/tc</f>
        <v/>
      </c>
    </row>
    <row r="710">
      <c r="A710" s="16" t="n"/>
      <c r="B710" s="1134">
        <f>VALUE(IF(AND(LEN(TRIM(C710))-LEN(SUBSTITUTE(TRIM(C710),".",""))=1,ISNUMBER(VALUE(SUBSTITUTE(TRIM(C710),".","")))),TRIM(C710),B709))</f>
        <v/>
      </c>
      <c r="C710" s="274" t="inlineStr">
        <is>
          <t>M05-0476</t>
        </is>
      </c>
      <c r="D710" s="275" t="n"/>
      <c r="E710" s="252">
        <f>+_xlfn.XLOOKUP(C710,'BASE DATOS PRECIOS '!B:B,'BASE DATOS PRECIOS '!E:E)</f>
        <v/>
      </c>
      <c r="F710" s="308">
        <f>'3.1_ELEC'!E180</f>
        <v/>
      </c>
      <c r="G710" s="257">
        <f>+_xlfn.XLOOKUP(C710,'BASE DATOS PRECIOS '!B:B,'BASE DATOS PRECIOS '!F:F)</f>
        <v/>
      </c>
      <c r="H710" s="256">
        <f>+_xlfn.XLOOKUP(E710,'BASE DATOS PRECIOS '!E:E,'BASE DATOS PRECIOS '!H:H)</f>
        <v/>
      </c>
      <c r="I710" s="257" t="n"/>
      <c r="J710" s="257" t="n"/>
      <c r="K710" s="256">
        <f>+F710*H710</f>
        <v/>
      </c>
      <c r="L710" s="256">
        <f>+F710*I710</f>
        <v/>
      </c>
      <c r="M710" s="256">
        <f>+F710*J710</f>
        <v/>
      </c>
      <c r="N710" s="256">
        <f>SUM(K710:M710)</f>
        <v/>
      </c>
      <c r="O710" s="258">
        <f>SUM(K710:M710)/tc</f>
        <v/>
      </c>
    </row>
    <row r="711">
      <c r="A711" s="16" t="n"/>
      <c r="B711" s="1134">
        <f>VALUE(IF(AND(LEN(TRIM(C711))-LEN(SUBSTITUTE(TRIM(C711),".",""))=1,ISNUMBER(VALUE(SUBSTITUTE(TRIM(C711),".","")))),TRIM(C711),B710))</f>
        <v/>
      </c>
      <c r="C711" s="274" t="inlineStr">
        <is>
          <t>M05-0392</t>
        </is>
      </c>
      <c r="D711" s="275" t="n"/>
      <c r="E711" s="252">
        <f>+_xlfn.XLOOKUP(C711,'BASE DATOS PRECIOS '!B:B,'BASE DATOS PRECIOS '!E:E)</f>
        <v/>
      </c>
      <c r="F711" s="308">
        <f>'3.1_ELEC'!E181</f>
        <v/>
      </c>
      <c r="G711" s="257">
        <f>+_xlfn.XLOOKUP(C711,'BASE DATOS PRECIOS '!B:B,'BASE DATOS PRECIOS '!F:F)</f>
        <v/>
      </c>
      <c r="H711" s="256">
        <f>+_xlfn.XLOOKUP(E711,'BASE DATOS PRECIOS '!E:E,'BASE DATOS PRECIOS '!H:H)</f>
        <v/>
      </c>
      <c r="I711" s="257" t="n"/>
      <c r="J711" s="257" t="n"/>
      <c r="K711" s="256">
        <f>+F711*H711</f>
        <v/>
      </c>
      <c r="L711" s="256">
        <f>+F711*I711</f>
        <v/>
      </c>
      <c r="M711" s="256">
        <f>+F711*J711</f>
        <v/>
      </c>
      <c r="N711" s="256">
        <f>SUM(K711:M711)</f>
        <v/>
      </c>
      <c r="O711" s="258">
        <f>SUM(K711:M711)/tc</f>
        <v/>
      </c>
    </row>
    <row r="712">
      <c r="A712" s="16" t="n"/>
      <c r="B712" s="1134">
        <f>VALUE(IF(AND(LEN(TRIM(C712))-LEN(SUBSTITUTE(TRIM(C712),".",""))=1,ISNUMBER(VALUE(SUBSTITUTE(TRIM(C712),".","")))),TRIM(C712),B711))</f>
        <v/>
      </c>
      <c r="C712" s="16" t="inlineStr">
        <is>
          <t>M05-0393</t>
        </is>
      </c>
      <c r="D712" s="292" t="n"/>
      <c r="E712" s="252">
        <f>+_xlfn.XLOOKUP(C712,'BASE DATOS PRECIOS '!B:B,'BASE DATOS PRECIOS '!E:E)</f>
        <v/>
      </c>
      <c r="F712" s="308">
        <f>'3.1_ELEC'!E182</f>
        <v/>
      </c>
      <c r="G712" s="257">
        <f>+_xlfn.XLOOKUP(C712,'BASE DATOS PRECIOS '!B:B,'BASE DATOS PRECIOS '!F:F)</f>
        <v/>
      </c>
      <c r="H712" s="256">
        <f>+_xlfn.XLOOKUP(E712,'BASE DATOS PRECIOS '!E:E,'BASE DATOS PRECIOS '!H:H)</f>
        <v/>
      </c>
      <c r="I712" s="257" t="n"/>
      <c r="J712" s="257" t="n"/>
      <c r="K712" s="256">
        <f>+F712*H712</f>
        <v/>
      </c>
      <c r="L712" s="256">
        <f>+F712*I712</f>
        <v/>
      </c>
      <c r="M712" s="256">
        <f>+F712*J712</f>
        <v/>
      </c>
      <c r="N712" s="256">
        <f>SUM(K712:M712)</f>
        <v/>
      </c>
      <c r="O712" s="258">
        <f>SUM(K712:M712)/tc</f>
        <v/>
      </c>
    </row>
    <row r="713">
      <c r="A713" s="16" t="n"/>
      <c r="B713" s="1134">
        <f>VALUE(IF(AND(LEN(TRIM(C713))-LEN(SUBSTITUTE(TRIM(C713),".",""))=1,ISNUMBER(VALUE(SUBSTITUTE(TRIM(C713),".","")))),TRIM(C713),B712))</f>
        <v/>
      </c>
      <c r="C713" s="16" t="inlineStr">
        <is>
          <t>M05-0006</t>
        </is>
      </c>
      <c r="D713" s="292" t="n"/>
      <c r="E713" s="252">
        <f>+_xlfn.XLOOKUP(C713,'BASE DATOS PRECIOS '!B:B,'BASE DATOS PRECIOS '!E:E)</f>
        <v/>
      </c>
      <c r="F713" s="308">
        <f>'3.1_ELEC'!E183</f>
        <v/>
      </c>
      <c r="G713" s="257">
        <f>+_xlfn.XLOOKUP(C713,'BASE DATOS PRECIOS '!B:B,'BASE DATOS PRECIOS '!F:F)</f>
        <v/>
      </c>
      <c r="H713" s="256">
        <f>+_xlfn.XLOOKUP(E713,'BASE DATOS PRECIOS '!E:E,'BASE DATOS PRECIOS '!H:H)</f>
        <v/>
      </c>
      <c r="I713" s="257" t="n"/>
      <c r="J713" s="257" t="n"/>
      <c r="K713" s="256">
        <f>+F713*H713</f>
        <v/>
      </c>
      <c r="L713" s="256">
        <f>+F713*I713</f>
        <v/>
      </c>
      <c r="M713" s="256">
        <f>+F713*J713</f>
        <v/>
      </c>
      <c r="N713" s="256">
        <f>SUM(K713:M713)</f>
        <v/>
      </c>
      <c r="O713" s="258">
        <f>SUM(K713:M713)/tc</f>
        <v/>
      </c>
    </row>
    <row r="714">
      <c r="A714" s="16" t="n"/>
      <c r="B714" s="1134">
        <f>VALUE(IF(AND(LEN(TRIM(C714))-LEN(SUBSTITUTE(TRIM(C714),".",""))=1,ISNUMBER(VALUE(SUBSTITUTE(TRIM(C714),".","")))),TRIM(C714),B713))</f>
        <v/>
      </c>
      <c r="C714" s="16" t="inlineStr">
        <is>
          <t>M05-0396</t>
        </is>
      </c>
      <c r="D714" s="292" t="n"/>
      <c r="E714" s="252">
        <f>+_xlfn.XLOOKUP(C714,'BASE DATOS PRECIOS '!B:B,'BASE DATOS PRECIOS '!E:E)</f>
        <v/>
      </c>
      <c r="F714" s="308">
        <f>'3.1_ELEC'!E184</f>
        <v/>
      </c>
      <c r="G714" s="257">
        <f>+_xlfn.XLOOKUP(C714,'BASE DATOS PRECIOS '!B:B,'BASE DATOS PRECIOS '!F:F)</f>
        <v/>
      </c>
      <c r="H714" s="256">
        <f>+_xlfn.XLOOKUP(E714,'BASE DATOS PRECIOS '!E:E,'BASE DATOS PRECIOS '!H:H)</f>
        <v/>
      </c>
      <c r="I714" s="257" t="n"/>
      <c r="J714" s="257" t="n"/>
      <c r="K714" s="256">
        <f>+F714*H714</f>
        <v/>
      </c>
      <c r="L714" s="256">
        <f>+F714*I714</f>
        <v/>
      </c>
      <c r="M714" s="256">
        <f>+F714*J714</f>
        <v/>
      </c>
      <c r="N714" s="256">
        <f>SUM(K714:M714)</f>
        <v/>
      </c>
      <c r="O714" s="258">
        <f>SUM(K714:M714)/tc</f>
        <v/>
      </c>
    </row>
    <row r="715">
      <c r="A715" s="16" t="n"/>
      <c r="B715" s="1134">
        <f>VALUE(IF(AND(LEN(TRIM(C715))-LEN(SUBSTITUTE(TRIM(C715),".",""))=1,ISNUMBER(VALUE(SUBSTITUTE(TRIM(C715),".","")))),TRIM(C715),B714))</f>
        <v/>
      </c>
      <c r="C715" s="16" t="inlineStr">
        <is>
          <t>M05-0014</t>
        </is>
      </c>
      <c r="D715" s="292" t="n"/>
      <c r="E715" s="252">
        <f>+_xlfn.XLOOKUP(C715,'BASE DATOS PRECIOS '!B:B,'BASE DATOS PRECIOS '!E:E)</f>
        <v/>
      </c>
      <c r="F715" s="308">
        <f>'3.1_ELEC'!E185</f>
        <v/>
      </c>
      <c r="G715" s="257">
        <f>+_xlfn.XLOOKUP(C715,'BASE DATOS PRECIOS '!B:B,'BASE DATOS PRECIOS '!F:F)</f>
        <v/>
      </c>
      <c r="H715" s="256">
        <f>+_xlfn.XLOOKUP(E715,'BASE DATOS PRECIOS '!E:E,'BASE DATOS PRECIOS '!H:H)</f>
        <v/>
      </c>
      <c r="I715" s="257" t="n"/>
      <c r="J715" s="257" t="n"/>
      <c r="K715" s="256">
        <f>+F715*H715</f>
        <v/>
      </c>
      <c r="L715" s="256">
        <f>+F715*I715</f>
        <v/>
      </c>
      <c r="M715" s="256">
        <f>+F715*J715</f>
        <v/>
      </c>
      <c r="N715" s="256">
        <f>SUM(K715:M715)</f>
        <v/>
      </c>
      <c r="O715" s="258">
        <f>SUM(K715:M715)/tc</f>
        <v/>
      </c>
    </row>
    <row r="716">
      <c r="A716" s="16" t="n"/>
      <c r="B716" s="1134">
        <f>VALUE(IF(AND(LEN(TRIM(C716))-LEN(SUBSTITUTE(TRIM(C716),".",""))=1,ISNUMBER(VALUE(SUBSTITUTE(TRIM(C716),".","")))),TRIM(C716),B715))</f>
        <v/>
      </c>
      <c r="C716" s="274" t="inlineStr">
        <is>
          <t>M05-0402</t>
        </is>
      </c>
      <c r="D716" s="275" t="n"/>
      <c r="E716" s="252">
        <f>+_xlfn.XLOOKUP(C716,'BASE DATOS PRECIOS '!B:B,'BASE DATOS PRECIOS '!E:E)</f>
        <v/>
      </c>
      <c r="F716" s="308">
        <f>'3.1_ELEC'!E186</f>
        <v/>
      </c>
      <c r="G716" s="257">
        <f>+_xlfn.XLOOKUP(C716,'BASE DATOS PRECIOS '!B:B,'BASE DATOS PRECIOS '!F:F)</f>
        <v/>
      </c>
      <c r="H716" s="256">
        <f>+_xlfn.XLOOKUP(E716,'BASE DATOS PRECIOS '!E:E,'BASE DATOS PRECIOS '!H:H)</f>
        <v/>
      </c>
      <c r="I716" s="257" t="n"/>
      <c r="J716" s="257" t="n"/>
      <c r="K716" s="256">
        <f>+F716*H716</f>
        <v/>
      </c>
      <c r="L716" s="256">
        <f>+F716*I716</f>
        <v/>
      </c>
      <c r="M716" s="256">
        <f>+F716*J716</f>
        <v/>
      </c>
      <c r="N716" s="256">
        <f>SUM(K716:M716)</f>
        <v/>
      </c>
      <c r="O716" s="258">
        <f>SUM(K716:M716)/tc</f>
        <v/>
      </c>
    </row>
    <row r="717">
      <c r="A717" s="16" t="n"/>
      <c r="B717" s="1134">
        <f>VALUE(IF(AND(LEN(TRIM(C717))-LEN(SUBSTITUTE(TRIM(C717),".",""))=1,ISNUMBER(VALUE(SUBSTITUTE(TRIM(C717),".","")))),TRIM(C717),B716))</f>
        <v/>
      </c>
      <c r="C717" s="274" t="inlineStr">
        <is>
          <t>M05-0021</t>
        </is>
      </c>
      <c r="D717" s="275" t="n"/>
      <c r="E717" s="252">
        <f>+_xlfn.XLOOKUP(C717,'BASE DATOS PRECIOS '!B:B,'BASE DATOS PRECIOS '!E:E)</f>
        <v/>
      </c>
      <c r="F717" s="308">
        <f>'3.1_ELEC'!E187</f>
        <v/>
      </c>
      <c r="G717" s="257">
        <f>+_xlfn.XLOOKUP(C717,'BASE DATOS PRECIOS '!B:B,'BASE DATOS PRECIOS '!F:F)</f>
        <v/>
      </c>
      <c r="H717" s="256">
        <f>+_xlfn.XLOOKUP(E717,'BASE DATOS PRECIOS '!E:E,'BASE DATOS PRECIOS '!H:H)</f>
        <v/>
      </c>
      <c r="I717" s="257" t="n"/>
      <c r="J717" s="257" t="n"/>
      <c r="K717" s="256">
        <f>+F717*H717</f>
        <v/>
      </c>
      <c r="L717" s="256">
        <f>+F717*I717</f>
        <v/>
      </c>
      <c r="M717" s="256">
        <f>+F717*J717</f>
        <v/>
      </c>
      <c r="N717" s="256">
        <f>SUM(K717:M717)</f>
        <v/>
      </c>
      <c r="O717" s="258">
        <f>SUM(K717:M717)/tc</f>
        <v/>
      </c>
    </row>
    <row r="718">
      <c r="A718" s="16" t="n"/>
      <c r="B718" s="1134">
        <f>VALUE(IF(AND(LEN(TRIM(C718))-LEN(SUBSTITUTE(TRIM(C718),".",""))=1,ISNUMBER(VALUE(SUBSTITUTE(TRIM(C718),".","")))),TRIM(C718),B717))</f>
        <v/>
      </c>
      <c r="C718" s="274" t="inlineStr">
        <is>
          <t>M05-0411</t>
        </is>
      </c>
      <c r="D718" s="275" t="n"/>
      <c r="E718" s="252">
        <f>+_xlfn.XLOOKUP(C718,'BASE DATOS PRECIOS '!B:B,'BASE DATOS PRECIOS '!E:E)</f>
        <v/>
      </c>
      <c r="F718" s="308">
        <f>'3.1_ELEC'!E188</f>
        <v/>
      </c>
      <c r="G718" s="257">
        <f>+_xlfn.XLOOKUP(C718,'BASE DATOS PRECIOS '!B:B,'BASE DATOS PRECIOS '!F:F)</f>
        <v/>
      </c>
      <c r="H718" s="256">
        <f>+_xlfn.XLOOKUP(E718,'BASE DATOS PRECIOS '!E:E,'BASE DATOS PRECIOS '!H:H)</f>
        <v/>
      </c>
      <c r="I718" s="257" t="n"/>
      <c r="J718" s="257" t="n"/>
      <c r="K718" s="256">
        <f>+F718*H718</f>
        <v/>
      </c>
      <c r="L718" s="256">
        <f>+F718*I718</f>
        <v/>
      </c>
      <c r="M718" s="256">
        <f>+F718*J718</f>
        <v/>
      </c>
      <c r="N718" s="256">
        <f>SUM(K718:M718)</f>
        <v/>
      </c>
      <c r="O718" s="258">
        <f>SUM(K718:M718)/tc</f>
        <v/>
      </c>
    </row>
    <row r="719">
      <c r="A719" s="16" t="n"/>
      <c r="B719" s="1134">
        <f>VALUE(IF(AND(LEN(TRIM(C719))-LEN(SUBSTITUTE(TRIM(C719),".",""))=1,ISNUMBER(VALUE(SUBSTITUTE(TRIM(C719),".","")))),TRIM(C719),B718))</f>
        <v/>
      </c>
      <c r="C719" s="274" t="inlineStr">
        <is>
          <t>M05-0412</t>
        </is>
      </c>
      <c r="D719" s="275" t="n"/>
      <c r="E719" s="252">
        <f>+_xlfn.XLOOKUP(C719,'BASE DATOS PRECIOS '!B:B,'BASE DATOS PRECIOS '!E:E)</f>
        <v/>
      </c>
      <c r="F719" s="308">
        <f>'3.1_ELEC'!E189</f>
        <v/>
      </c>
      <c r="G719" s="257">
        <f>+_xlfn.XLOOKUP(C719,'BASE DATOS PRECIOS '!B:B,'BASE DATOS PRECIOS '!F:F)</f>
        <v/>
      </c>
      <c r="H719" s="256">
        <f>+_xlfn.XLOOKUP(E719,'BASE DATOS PRECIOS '!E:E,'BASE DATOS PRECIOS '!H:H)</f>
        <v/>
      </c>
      <c r="I719" s="257" t="n"/>
      <c r="J719" s="257" t="n"/>
      <c r="K719" s="256">
        <f>+F719*H719</f>
        <v/>
      </c>
      <c r="L719" s="256">
        <f>+F719*I719</f>
        <v/>
      </c>
      <c r="M719" s="256">
        <f>+F719*J719</f>
        <v/>
      </c>
      <c r="N719" s="256">
        <f>SUM(K719:M719)</f>
        <v/>
      </c>
      <c r="O719" s="258">
        <f>SUM(K719:M719)/tc</f>
        <v/>
      </c>
    </row>
    <row r="720">
      <c r="A720" s="233" t="n"/>
      <c r="B720" s="1134">
        <f>VALUE(IF(AND(LEN(TRIM(C720))-LEN(SUBSTITUTE(TRIM(C720),".",""))=1,ISNUMBER(VALUE(SUBSTITUTE(TRIM(C720),".","")))),TRIM(C720),B719))</f>
        <v/>
      </c>
      <c r="C720" s="16" t="inlineStr">
        <is>
          <t>M05-0305</t>
        </is>
      </c>
      <c r="D720" s="292" t="n"/>
      <c r="E720" s="252">
        <f>+_xlfn.XLOOKUP(C720,'BASE DATOS PRECIOS '!B:B,'BASE DATOS PRECIOS '!E:E)</f>
        <v/>
      </c>
      <c r="F720" s="308">
        <f>'3.1_ELEC'!E190</f>
        <v/>
      </c>
      <c r="G720" s="257">
        <f>+_xlfn.XLOOKUP(C720,'BASE DATOS PRECIOS '!B:B,'BASE DATOS PRECIOS '!F:F)</f>
        <v/>
      </c>
      <c r="H720" s="256">
        <f>+_xlfn.XLOOKUP(E720,'BASE DATOS PRECIOS '!E:E,'BASE DATOS PRECIOS '!H:H)</f>
        <v/>
      </c>
      <c r="I720" s="257" t="n"/>
      <c r="J720" s="257" t="n"/>
      <c r="K720" s="256">
        <f>+F720*H720</f>
        <v/>
      </c>
      <c r="L720" s="256">
        <f>+F720*I720</f>
        <v/>
      </c>
      <c r="M720" s="256">
        <f>+F720*J720</f>
        <v/>
      </c>
      <c r="N720" s="256">
        <f>SUM(K720:M720)</f>
        <v/>
      </c>
      <c r="O720" s="258">
        <f>SUM(K720:M720)/tc</f>
        <v/>
      </c>
    </row>
    <row r="721">
      <c r="A721" s="16" t="n"/>
      <c r="B721" s="1134">
        <f>VALUE(IF(AND(LEN(TRIM(C721))-LEN(SUBSTITUTE(TRIM(C721),".",""))=1,ISNUMBER(VALUE(SUBSTITUTE(TRIM(C721),".","")))),TRIM(C721),B720))</f>
        <v/>
      </c>
      <c r="C721" s="274" t="inlineStr">
        <is>
          <t>M05-0261</t>
        </is>
      </c>
      <c r="D721" s="275" t="inlineStr">
        <is>
          <t>01</t>
        </is>
      </c>
      <c r="E721" s="252">
        <f>+_xlfn.XLOOKUP(C721,'BASE DATOS PRECIOS '!B:B,'BASE DATOS PRECIOS '!E:E)</f>
        <v/>
      </c>
      <c r="F721" s="308">
        <f>'3.1_ELEC'!E191</f>
        <v/>
      </c>
      <c r="G721" s="257">
        <f>+_xlfn.XLOOKUP(C721,'BASE DATOS PRECIOS '!B:B,'BASE DATOS PRECIOS '!F:F)</f>
        <v/>
      </c>
      <c r="H721" s="256">
        <f>+_xlfn.XLOOKUP(E721,'BASE DATOS PRECIOS '!E:E,'BASE DATOS PRECIOS '!H:H)</f>
        <v/>
      </c>
      <c r="I721" s="257" t="n"/>
      <c r="J721" s="257" t="n"/>
      <c r="K721" s="256">
        <f>+F721*H721</f>
        <v/>
      </c>
      <c r="L721" s="256">
        <f>+F721*I721</f>
        <v/>
      </c>
      <c r="M721" s="256">
        <f>+F721*J721</f>
        <v/>
      </c>
      <c r="N721" s="256">
        <f>SUM(K721:M721)</f>
        <v/>
      </c>
      <c r="O721" s="258">
        <f>SUM(K721:M721)/tc</f>
        <v/>
      </c>
    </row>
    <row r="722">
      <c r="A722" s="16" t="n"/>
      <c r="B722" s="1134">
        <f>VALUE(IF(AND(LEN(TRIM(C722))-LEN(SUBSTITUTE(TRIM(C722),".",""))=1,ISNUMBER(VALUE(SUBSTITUTE(TRIM(C722),".","")))),TRIM(C722),B721))</f>
        <v/>
      </c>
      <c r="C722" s="274" t="inlineStr">
        <is>
          <t>M05-0262</t>
        </is>
      </c>
      <c r="D722" s="275" t="n"/>
      <c r="E722" s="252">
        <f>+_xlfn.XLOOKUP(C722,'BASE DATOS PRECIOS '!B:B,'BASE DATOS PRECIOS '!E:E)</f>
        <v/>
      </c>
      <c r="F722" s="308">
        <f>'3.1_ELEC'!E192</f>
        <v/>
      </c>
      <c r="G722" s="257">
        <f>+_xlfn.XLOOKUP(C722,'BASE DATOS PRECIOS '!B:B,'BASE DATOS PRECIOS '!F:F)</f>
        <v/>
      </c>
      <c r="H722" s="256">
        <f>+_xlfn.XLOOKUP(E722,'BASE DATOS PRECIOS '!E:E,'BASE DATOS PRECIOS '!H:H)</f>
        <v/>
      </c>
      <c r="I722" s="257" t="n"/>
      <c r="J722" s="257" t="n"/>
      <c r="K722" s="256">
        <f>+F722*H722</f>
        <v/>
      </c>
      <c r="L722" s="256">
        <f>+F722*I722</f>
        <v/>
      </c>
      <c r="M722" s="256">
        <f>+F722*J722</f>
        <v/>
      </c>
      <c r="N722" s="256">
        <f>SUM(K722:M722)</f>
        <v/>
      </c>
      <c r="O722" s="258">
        <f>SUM(K722:M722)/tc</f>
        <v/>
      </c>
    </row>
    <row r="723">
      <c r="A723" s="16" t="n"/>
      <c r="B723" s="1134">
        <f>VALUE(IF(AND(LEN(TRIM(C723))-LEN(SUBSTITUTE(TRIM(C723),".",""))=1,ISNUMBER(VALUE(SUBSTITUTE(TRIM(C723),".","")))),TRIM(C723),B722))</f>
        <v/>
      </c>
      <c r="C723" s="274" t="inlineStr">
        <is>
          <t>M13-0061</t>
        </is>
      </c>
      <c r="D723" s="275" t="n"/>
      <c r="E723" s="252">
        <f>+_xlfn.XLOOKUP(C723,'BASE DATOS PRECIOS '!B:B,'BASE DATOS PRECIOS '!E:E)</f>
        <v/>
      </c>
      <c r="F723" s="308">
        <f>'3.1_ELEC'!E193</f>
        <v/>
      </c>
      <c r="G723" s="257">
        <f>+_xlfn.XLOOKUP(C723,'BASE DATOS PRECIOS '!B:B,'BASE DATOS PRECIOS '!F:F)</f>
        <v/>
      </c>
      <c r="H723" s="256">
        <f>+_xlfn.XLOOKUP(E723,'BASE DATOS PRECIOS '!E:E,'BASE DATOS PRECIOS '!H:H)</f>
        <v/>
      </c>
      <c r="I723" s="257" t="n"/>
      <c r="J723" s="257" t="n"/>
      <c r="K723" s="256">
        <f>+F723*H723</f>
        <v/>
      </c>
      <c r="L723" s="256">
        <f>+F723*I723</f>
        <v/>
      </c>
      <c r="M723" s="256">
        <f>+F723*J723</f>
        <v/>
      </c>
      <c r="N723" s="256">
        <f>SUM(K723:M723)</f>
        <v/>
      </c>
      <c r="O723" s="258">
        <f>SUM(K723:M723)/tc</f>
        <v/>
      </c>
    </row>
    <row r="724">
      <c r="A724" s="16" t="n"/>
      <c r="B724" s="1134">
        <f>VALUE(IF(AND(LEN(TRIM(C724))-LEN(SUBSTITUTE(TRIM(C724),".",""))=1,ISNUMBER(VALUE(SUBSTITUTE(TRIM(C724),".","")))),TRIM(C724),B723))</f>
        <v/>
      </c>
      <c r="C724" s="267" t="inlineStr">
        <is>
          <t xml:space="preserve">SUB BASE MEDIDOR </t>
        </is>
      </c>
      <c r="D724" s="268" t="n"/>
      <c r="E724" s="269">
        <f>+_xlfn.XLOOKUP(C724,'BASE DATOS EQUIPOS Y SUBCONTRAT'!A:A,'BASE DATOS EQUIPOS Y SUBCONTRAT'!B:B)</f>
        <v/>
      </c>
      <c r="F724" s="356" t="n">
        <v>1</v>
      </c>
      <c r="G724" s="357">
        <f>+_xlfn.XLOOKUP(C724,'BASE DATOS EQUIPOS Y SUBCONTRAT'!A:A,'BASE DATOS EQUIPOS Y SUBCONTRAT'!C:C)</f>
        <v/>
      </c>
      <c r="H724" s="358" t="n">
        <v>0</v>
      </c>
      <c r="I724" s="357" t="n"/>
      <c r="J724" s="358">
        <f>+'3.1_ELEC'!D195</f>
        <v/>
      </c>
      <c r="K724" s="358">
        <f>+F724*H724</f>
        <v/>
      </c>
      <c r="L724" s="358">
        <f>+F724*I724</f>
        <v/>
      </c>
      <c r="M724" s="358">
        <f>+F724*J724</f>
        <v/>
      </c>
      <c r="N724" s="358">
        <f>SUM(K724:M724)</f>
        <v/>
      </c>
      <c r="O724" s="359">
        <f>SUM(K724:M724)/tc</f>
        <v/>
      </c>
    </row>
    <row r="725">
      <c r="A725" s="16" t="n"/>
      <c r="B725" s="1134">
        <f>VALUE(IF(AND(LEN(TRIM(C725))-LEN(SUBSTITUTE(TRIM(C725),".",""))=1,ISNUMBER(VALUE(SUBSTITUTE(TRIM(C725),".","")))),TRIM(C725),B724))</f>
        <v/>
      </c>
      <c r="C725" s="267" t="inlineStr">
        <is>
          <t xml:space="preserve">OPERARIO </t>
        </is>
      </c>
      <c r="D725" s="268" t="n"/>
      <c r="E725" s="269">
        <f>+_xlfn.XLOOKUP(C725,'BASE DATOS MANO DE OBRA'!A:A,'BASE DATOS MANO DE OBRA'!B:B)</f>
        <v/>
      </c>
      <c r="F725" s="270" t="n">
        <v>0</v>
      </c>
      <c r="G725" s="271">
        <f>+_xlfn.XLOOKUP(C725,'BASE DATOS MANO DE OBRA'!A:A,'BASE DATOS MANO DE OBRA'!C:C)</f>
        <v/>
      </c>
      <c r="H725" s="272" t="n">
        <v>0</v>
      </c>
      <c r="I725" s="272">
        <f>+_xlfn.XLOOKUP(C725,'BASE DATOS MANO DE OBRA'!A:A,'BASE DATOS MANO DE OBRA'!E:E)</f>
        <v/>
      </c>
      <c r="J725" s="272" t="n">
        <v>0</v>
      </c>
      <c r="K725" s="272">
        <f>+F725*H725</f>
        <v/>
      </c>
      <c r="L725" s="272">
        <f>+F725*I725</f>
        <v/>
      </c>
      <c r="M725" s="272">
        <f>+F725*J725</f>
        <v/>
      </c>
      <c r="N725" s="272">
        <f>SUM(K725:M725)</f>
        <v/>
      </c>
      <c r="O725" s="273">
        <f>SUM(K725:M725)/tc</f>
        <v/>
      </c>
    </row>
    <row r="726">
      <c r="A726" s="16" t="n"/>
      <c r="B726" s="1134">
        <f>VALUE(IF(AND(LEN(TRIM(C726))-LEN(SUBSTITUTE(TRIM(C726),".",""))=1,ISNUMBER(VALUE(SUBSTITUTE(TRIM(C726),".","")))),TRIM(C726),B725))</f>
        <v/>
      </c>
      <c r="C726" s="267" t="inlineStr">
        <is>
          <t xml:space="preserve">AYUDANTE </t>
        </is>
      </c>
      <c r="D726" s="268" t="n"/>
      <c r="E726" s="269">
        <f>+_xlfn.XLOOKUP(C726,'BASE DATOS MANO DE OBRA'!A:A,'BASE DATOS MANO DE OBRA'!B:B)</f>
        <v/>
      </c>
      <c r="F726" s="270" t="n">
        <v>0</v>
      </c>
      <c r="G726" s="271">
        <f>+_xlfn.XLOOKUP(C726,'BASE DATOS MANO DE OBRA'!A:A,'BASE DATOS MANO DE OBRA'!C:C)</f>
        <v/>
      </c>
      <c r="H726" s="272" t="n">
        <v>0</v>
      </c>
      <c r="I726" s="272">
        <f>+_xlfn.XLOOKUP(C726,'BASE DATOS MANO DE OBRA'!A:A,'BASE DATOS MANO DE OBRA'!E:E)</f>
        <v/>
      </c>
      <c r="J726" s="272" t="n">
        <v>0</v>
      </c>
      <c r="K726" s="272">
        <f>+F726*H726</f>
        <v/>
      </c>
      <c r="L726" s="272">
        <f>+F726*I726</f>
        <v/>
      </c>
      <c r="M726" s="272">
        <f>+F726*J726</f>
        <v/>
      </c>
      <c r="N726" s="272">
        <f>SUM(K726:M726)</f>
        <v/>
      </c>
      <c r="O726" s="273">
        <f>SUM(K726:M726)/tc</f>
        <v/>
      </c>
    </row>
    <row r="727">
      <c r="A727" s="16" t="n"/>
      <c r="B727" s="1134">
        <f>VALUE(IF(AND(LEN(TRIM(C727))-LEN(SUBSTITUTE(TRIM(C727),".",""))=1,ISNUMBER(VALUE(SUBSTITUTE(TRIM(C727),".","")))),TRIM(C727),B726))</f>
        <v/>
      </c>
      <c r="C727" s="267" t="inlineStr">
        <is>
          <t xml:space="preserve">OPERARIO </t>
        </is>
      </c>
      <c r="D727" s="268" t="n"/>
      <c r="E727" s="269">
        <f>+_xlfn.XLOOKUP(C727,'BASE DATOS MANO DE OBRA'!A:A,'BASE DATOS MANO DE OBRA'!B:B)</f>
        <v/>
      </c>
      <c r="F727" s="270" t="n">
        <v>0</v>
      </c>
      <c r="G727" s="271">
        <f>+_xlfn.XLOOKUP(C727,'BASE DATOS MANO DE OBRA'!A:A,'BASE DATOS MANO DE OBRA'!C:C)</f>
        <v/>
      </c>
      <c r="H727" s="272" t="n">
        <v>0</v>
      </c>
      <c r="I727" s="272">
        <f>+_xlfn.XLOOKUP(C727,'BASE DATOS MANO DE OBRA'!A:A,'BASE DATOS MANO DE OBRA'!E:E)</f>
        <v/>
      </c>
      <c r="J727" s="272" t="n">
        <v>0</v>
      </c>
      <c r="K727" s="272">
        <f>+F727*H727</f>
        <v/>
      </c>
      <c r="L727" s="272">
        <f>+F727*I727</f>
        <v/>
      </c>
      <c r="M727" s="272">
        <f>+F727*J727</f>
        <v/>
      </c>
      <c r="N727" s="272">
        <f>SUM(K727:M727)</f>
        <v/>
      </c>
      <c r="O727" s="273">
        <f>SUM(K727:M727)/tc</f>
        <v/>
      </c>
    </row>
    <row r="728">
      <c r="A728" s="16" t="n"/>
      <c r="B728" s="1134">
        <f>VALUE(IF(AND(LEN(TRIM(C728))-LEN(SUBSTITUTE(TRIM(C728),".",""))=1,ISNUMBER(VALUE(SUBSTITUTE(TRIM(C728),".","")))),TRIM(C728),B727))</f>
        <v/>
      </c>
      <c r="C728" s="267" t="inlineStr">
        <is>
          <t xml:space="preserve">AYUDANTE </t>
        </is>
      </c>
      <c r="D728" s="268" t="n"/>
      <c r="E728" s="269">
        <f>+_xlfn.XLOOKUP(C728,'BASE DATOS MANO DE OBRA'!A:A,'BASE DATOS MANO DE OBRA'!B:B)</f>
        <v/>
      </c>
      <c r="F728" s="270" t="n">
        <v>0</v>
      </c>
      <c r="G728" s="271">
        <f>+_xlfn.XLOOKUP(C728,'BASE DATOS MANO DE OBRA'!A:A,'BASE DATOS MANO DE OBRA'!C:C)</f>
        <v/>
      </c>
      <c r="H728" s="272" t="n">
        <v>0</v>
      </c>
      <c r="I728" s="272">
        <f>+_xlfn.XLOOKUP(C728,'BASE DATOS MANO DE OBRA'!A:A,'BASE DATOS MANO DE OBRA'!E:E)</f>
        <v/>
      </c>
      <c r="J728" s="272" t="n">
        <v>0</v>
      </c>
      <c r="K728" s="272">
        <f>+F728*H728</f>
        <v/>
      </c>
      <c r="L728" s="272">
        <f>+F728*I728</f>
        <v/>
      </c>
      <c r="M728" s="272">
        <f>+F728*J728</f>
        <v/>
      </c>
      <c r="N728" s="272">
        <f>SUM(K728:M728)</f>
        <v/>
      </c>
      <c r="O728" s="273">
        <f>SUM(K728:M728)/tc</f>
        <v/>
      </c>
    </row>
    <row r="729">
      <c r="A729" s="16" t="n"/>
      <c r="B729" s="1134">
        <f>VALUE(IF(AND(LEN(TRIM(C729))-LEN(SUBSTITUTE(TRIM(C729),".",""))=1,ISNUMBER(VALUE(SUBSTITUTE(TRIM(C729),".","")))),TRIM(C729),B728))</f>
        <v/>
      </c>
      <c r="C729" s="234" t="inlineStr">
        <is>
          <t>3.1.7</t>
        </is>
      </c>
      <c r="D729" s="235" t="n"/>
      <c r="E729" s="236" t="inlineStr">
        <is>
          <t xml:space="preserve">TABLERO ELÉCTRICO </t>
        </is>
      </c>
      <c r="F729" s="237" t="n">
        <v>1</v>
      </c>
      <c r="G729" s="235" t="inlineStr">
        <is>
          <t>gb</t>
        </is>
      </c>
      <c r="H729" s="235" t="n"/>
      <c r="I729" s="235" t="n"/>
      <c r="J729" s="235" t="n"/>
      <c r="K729" s="238">
        <f>+SUBTOTAL(9,K730:K746)</f>
        <v/>
      </c>
      <c r="L729" s="238">
        <f>+SUBTOTAL(9,L730:L746)</f>
        <v/>
      </c>
      <c r="M729" s="238">
        <f>+SUBTOTAL(9,M730:M746)</f>
        <v/>
      </c>
      <c r="N729" s="238">
        <f>+SUBTOTAL(9,N730:N746)</f>
        <v/>
      </c>
      <c r="O729" s="1136">
        <f>+SUBTOTAL(9,O730:O746)</f>
        <v/>
      </c>
    </row>
    <row r="730">
      <c r="A730" s="16" t="n"/>
      <c r="B730" s="1134">
        <f>VALUE(IF(AND(LEN(TRIM(C730))-LEN(SUBSTITUTE(TRIM(C730),".",""))=1,ISNUMBER(VALUE(SUBSTITUTE(TRIM(C730),".","")))),TRIM(C730),B729))</f>
        <v/>
      </c>
      <c r="C730" s="16" t="inlineStr">
        <is>
          <t>M05-0363</t>
        </is>
      </c>
      <c r="D730" s="292" t="n"/>
      <c r="E730" s="252">
        <f>+_xlfn.XLOOKUP(C730,'BASE DATOS PRECIOS '!B:B,'BASE DATOS PRECIOS '!E:E)</f>
        <v/>
      </c>
      <c r="F730" s="218">
        <f>'3.1_ELEC'!E202</f>
        <v/>
      </c>
      <c r="G730" s="250">
        <f>+_xlfn.XLOOKUP(C730,'BASE DATOS PRECIOS '!B:B,'BASE DATOS PRECIOS '!F:F)</f>
        <v/>
      </c>
      <c r="H730" s="249">
        <f>+_xlfn.XLOOKUP(E730,'BASE DATOS PRECIOS '!E:E,'BASE DATOS PRECIOS '!H:H)</f>
        <v/>
      </c>
      <c r="I730" s="250" t="n"/>
      <c r="J730" s="249" t="n"/>
      <c r="K730" s="249">
        <f>+F730*H730</f>
        <v/>
      </c>
      <c r="L730" s="249">
        <f>+F730*I730</f>
        <v/>
      </c>
      <c r="M730" s="249">
        <f>+F730*J730</f>
        <v/>
      </c>
      <c r="N730" s="249">
        <f>SUM(K730:M730)</f>
        <v/>
      </c>
      <c r="O730" s="251">
        <f>SUM(K730:M730)/tc</f>
        <v/>
      </c>
    </row>
    <row r="731">
      <c r="A731" s="16" t="n"/>
      <c r="B731" s="1134">
        <f>VALUE(IF(AND(LEN(TRIM(C731))-LEN(SUBSTITUTE(TRIM(C731),".",""))=1,ISNUMBER(VALUE(SUBSTITUTE(TRIM(C731),".","")))),TRIM(C731),B730))</f>
        <v/>
      </c>
      <c r="C731" s="16" t="inlineStr">
        <is>
          <t>M05-0364</t>
        </is>
      </c>
      <c r="D731" s="292" t="n"/>
      <c r="E731" s="252">
        <f>+_xlfn.XLOOKUP(C731,'BASE DATOS PRECIOS '!B:B,'BASE DATOS PRECIOS '!E:E)</f>
        <v/>
      </c>
      <c r="F731" s="218">
        <f>'3.1_ELEC'!E203</f>
        <v/>
      </c>
      <c r="G731" s="250">
        <f>+_xlfn.XLOOKUP(C731,'BASE DATOS PRECIOS '!B:B,'BASE DATOS PRECIOS '!F:F)</f>
        <v/>
      </c>
      <c r="H731" s="249">
        <f>+_xlfn.XLOOKUP(E731,'BASE DATOS PRECIOS '!E:E,'BASE DATOS PRECIOS '!H:H)</f>
        <v/>
      </c>
      <c r="I731" s="250" t="n"/>
      <c r="J731" s="249" t="n"/>
      <c r="K731" s="249">
        <f>+F731*H731</f>
        <v/>
      </c>
      <c r="L731" s="249">
        <f>+F731*I731</f>
        <v/>
      </c>
      <c r="M731" s="249">
        <f>+F731*J731</f>
        <v/>
      </c>
      <c r="N731" s="249">
        <f>SUM(K731:M731)</f>
        <v/>
      </c>
      <c r="O731" s="251">
        <f>SUM(K731:M731)/tc</f>
        <v/>
      </c>
    </row>
    <row r="732">
      <c r="A732" s="16" t="n"/>
      <c r="B732" s="1134">
        <f>VALUE(IF(AND(LEN(TRIM(C732))-LEN(SUBSTITUTE(TRIM(C732),".",""))=1,ISNUMBER(VALUE(SUBSTITUTE(TRIM(C732),".","")))),TRIM(C732),B731))</f>
        <v/>
      </c>
      <c r="C732" s="16" t="inlineStr">
        <is>
          <t>M05-0476</t>
        </is>
      </c>
      <c r="D732" s="292" t="n"/>
      <c r="E732" s="252">
        <f>+_xlfn.XLOOKUP(C732,'BASE DATOS PRECIOS '!B:B,'BASE DATOS PRECIOS '!E:E)</f>
        <v/>
      </c>
      <c r="F732" s="218">
        <f>'3.1_ELEC'!E204</f>
        <v/>
      </c>
      <c r="G732" s="250">
        <f>+_xlfn.XLOOKUP(C732,'BASE DATOS PRECIOS '!B:B,'BASE DATOS PRECIOS '!F:F)</f>
        <v/>
      </c>
      <c r="H732" s="249">
        <f>+_xlfn.XLOOKUP(E732,'BASE DATOS PRECIOS '!E:E,'BASE DATOS PRECIOS '!H:H)</f>
        <v/>
      </c>
      <c r="I732" s="250" t="n"/>
      <c r="J732" s="249" t="n"/>
      <c r="K732" s="249">
        <f>+F732*H732</f>
        <v/>
      </c>
      <c r="L732" s="249">
        <f>+F732*I732</f>
        <v/>
      </c>
      <c r="M732" s="249">
        <f>+F732*J732</f>
        <v/>
      </c>
      <c r="N732" s="249">
        <f>SUM(K732:M732)</f>
        <v/>
      </c>
      <c r="O732" s="251">
        <f>SUM(K732:M732)/tc</f>
        <v/>
      </c>
    </row>
    <row r="733">
      <c r="A733" s="16" t="n"/>
      <c r="B733" s="1134">
        <f>VALUE(IF(AND(LEN(TRIM(C733))-LEN(SUBSTITUTE(TRIM(C733),".",""))=1,ISNUMBER(VALUE(SUBSTITUTE(TRIM(C733),".","")))),TRIM(C733),B732))</f>
        <v/>
      </c>
      <c r="C733" s="16" t="inlineStr">
        <is>
          <t>M05-0477</t>
        </is>
      </c>
      <c r="D733" s="292" t="n"/>
      <c r="E733" s="252">
        <f>+_xlfn.XLOOKUP(C733,'BASE DATOS PRECIOS '!B:B,'BASE DATOS PRECIOS '!E:E)</f>
        <v/>
      </c>
      <c r="F733" s="218">
        <f>'3.1_ELEC'!E205</f>
        <v/>
      </c>
      <c r="G733" s="250">
        <f>+_xlfn.XLOOKUP(C733,'BASE DATOS PRECIOS '!B:B,'BASE DATOS PRECIOS '!F:F)</f>
        <v/>
      </c>
      <c r="H733" s="249">
        <f>+_xlfn.XLOOKUP(E733,'BASE DATOS PRECIOS '!E:E,'BASE DATOS PRECIOS '!H:H)</f>
        <v/>
      </c>
      <c r="I733" s="250" t="n"/>
      <c r="J733" s="249" t="n"/>
      <c r="K733" s="249">
        <f>+F733*H733</f>
        <v/>
      </c>
      <c r="L733" s="249">
        <f>+F733*I733</f>
        <v/>
      </c>
      <c r="M733" s="249">
        <f>+F733*J733</f>
        <v/>
      </c>
      <c r="N733" s="249">
        <f>SUM(K733:M733)</f>
        <v/>
      </c>
      <c r="O733" s="251">
        <f>SUM(K733:M733)/tc</f>
        <v/>
      </c>
    </row>
    <row r="734">
      <c r="A734" s="16" t="n"/>
      <c r="B734" s="1134">
        <f>VALUE(IF(AND(LEN(TRIM(C734))-LEN(SUBSTITUTE(TRIM(C734),".",""))=1,ISNUMBER(VALUE(SUBSTITUTE(TRIM(C734),".","")))),TRIM(C734),B733))</f>
        <v/>
      </c>
      <c r="C734" s="16" t="inlineStr">
        <is>
          <t>M05-0372</t>
        </is>
      </c>
      <c r="D734" s="292" t="n"/>
      <c r="E734" s="252">
        <f>+_xlfn.XLOOKUP(C734,'BASE DATOS PRECIOS '!B:B,'BASE DATOS PRECIOS '!E:E)</f>
        <v/>
      </c>
      <c r="F734" s="218">
        <f>'3.1_ELEC'!E206</f>
        <v/>
      </c>
      <c r="G734" s="250">
        <f>+_xlfn.XLOOKUP(C734,'BASE DATOS PRECIOS '!B:B,'BASE DATOS PRECIOS '!F:F)</f>
        <v/>
      </c>
      <c r="H734" s="249">
        <f>+_xlfn.XLOOKUP(E734,'BASE DATOS PRECIOS '!E:E,'BASE DATOS PRECIOS '!H:H)</f>
        <v/>
      </c>
      <c r="I734" s="250" t="n"/>
      <c r="J734" s="249" t="n"/>
      <c r="K734" s="249">
        <f>+F734*H734</f>
        <v/>
      </c>
      <c r="L734" s="249">
        <f>+F734*I734</f>
        <v/>
      </c>
      <c r="M734" s="249">
        <f>+F734*J734</f>
        <v/>
      </c>
      <c r="N734" s="249">
        <f>SUM(K734:M734)</f>
        <v/>
      </c>
      <c r="O734" s="251">
        <f>SUM(K734:M734)/tc</f>
        <v/>
      </c>
    </row>
    <row r="735">
      <c r="A735" s="16" t="n"/>
      <c r="B735" s="1134">
        <f>VALUE(IF(AND(LEN(TRIM(C735))-LEN(SUBSTITUTE(TRIM(C735),".",""))=1,ISNUMBER(VALUE(SUBSTITUTE(TRIM(C735),".","")))),TRIM(C735),B734))</f>
        <v/>
      </c>
      <c r="C735" s="16" t="inlineStr">
        <is>
          <t>M05-0373</t>
        </is>
      </c>
      <c r="D735" s="292" t="n"/>
      <c r="E735" s="252">
        <f>+_xlfn.XLOOKUP(C735,'BASE DATOS PRECIOS '!B:B,'BASE DATOS PRECIOS '!E:E)</f>
        <v/>
      </c>
      <c r="F735" s="218">
        <f>'3.1_ELEC'!E207</f>
        <v/>
      </c>
      <c r="G735" s="250">
        <f>+_xlfn.XLOOKUP(C735,'BASE DATOS PRECIOS '!B:B,'BASE DATOS PRECIOS '!F:F)</f>
        <v/>
      </c>
      <c r="H735" s="249">
        <f>+_xlfn.XLOOKUP(E735,'BASE DATOS PRECIOS '!E:E,'BASE DATOS PRECIOS '!H:H)</f>
        <v/>
      </c>
      <c r="I735" s="250" t="n"/>
      <c r="J735" s="249" t="n"/>
      <c r="K735" s="249">
        <f>+F735*H735</f>
        <v/>
      </c>
      <c r="L735" s="249">
        <f>+F735*I735</f>
        <v/>
      </c>
      <c r="M735" s="249">
        <f>+F735*J735</f>
        <v/>
      </c>
      <c r="N735" s="249">
        <f>SUM(K735:M735)</f>
        <v/>
      </c>
      <c r="O735" s="251">
        <f>SUM(K735:M735)/tc</f>
        <v/>
      </c>
    </row>
    <row r="736">
      <c r="A736" s="16" t="n"/>
      <c r="B736" s="1134">
        <f>VALUE(IF(AND(LEN(TRIM(C736))-LEN(SUBSTITUTE(TRIM(C736),".",""))=1,ISNUMBER(VALUE(SUBSTITUTE(TRIM(C736),".","")))),TRIM(C736),B735))</f>
        <v/>
      </c>
      <c r="C736" s="16" t="inlineStr">
        <is>
          <t>M05-0374</t>
        </is>
      </c>
      <c r="D736" s="292" t="n"/>
      <c r="E736" s="252">
        <f>+_xlfn.XLOOKUP(C736,'BASE DATOS PRECIOS '!B:B,'BASE DATOS PRECIOS '!E:E)</f>
        <v/>
      </c>
      <c r="F736" s="218">
        <f>'3.1_ELEC'!E208</f>
        <v/>
      </c>
      <c r="G736" s="250">
        <f>+_xlfn.XLOOKUP(C736,'BASE DATOS PRECIOS '!B:B,'BASE DATOS PRECIOS '!F:F)</f>
        <v/>
      </c>
      <c r="H736" s="249">
        <f>+_xlfn.XLOOKUP(E736,'BASE DATOS PRECIOS '!E:E,'BASE DATOS PRECIOS '!H:H)</f>
        <v/>
      </c>
      <c r="I736" s="250" t="n"/>
      <c r="J736" s="249" t="n"/>
      <c r="K736" s="249">
        <f>+F736*H736</f>
        <v/>
      </c>
      <c r="L736" s="249">
        <f>+F736*I736</f>
        <v/>
      </c>
      <c r="M736" s="249">
        <f>+F736*J736</f>
        <v/>
      </c>
      <c r="N736" s="249">
        <f>SUM(K736:M736)</f>
        <v/>
      </c>
      <c r="O736" s="251">
        <f>SUM(K736:M736)/tc</f>
        <v/>
      </c>
    </row>
    <row r="737">
      <c r="A737" s="16" t="n"/>
      <c r="B737" s="1134">
        <f>VALUE(IF(AND(LEN(TRIM(C737))-LEN(SUBSTITUTE(TRIM(C737),".",""))=1,ISNUMBER(VALUE(SUBSTITUTE(TRIM(C737),".","")))),TRIM(C737),B736))</f>
        <v/>
      </c>
      <c r="C737" s="16" t="inlineStr">
        <is>
          <t>M05-0375</t>
        </is>
      </c>
      <c r="D737" s="292" t="n"/>
      <c r="E737" s="252">
        <f>+_xlfn.XLOOKUP(C737,'BASE DATOS PRECIOS '!B:B,'BASE DATOS PRECIOS '!E:E)</f>
        <v/>
      </c>
      <c r="F737" s="218">
        <f>'3.1_ELEC'!E209</f>
        <v/>
      </c>
      <c r="G737" s="250">
        <f>+_xlfn.XLOOKUP(C737,'BASE DATOS PRECIOS '!B:B,'BASE DATOS PRECIOS '!F:F)</f>
        <v/>
      </c>
      <c r="H737" s="249">
        <f>+_xlfn.XLOOKUP(E737,'BASE DATOS PRECIOS '!E:E,'BASE DATOS PRECIOS '!H:H)</f>
        <v/>
      </c>
      <c r="I737" s="250" t="n"/>
      <c r="J737" s="249" t="n"/>
      <c r="K737" s="249">
        <f>+F737*H737</f>
        <v/>
      </c>
      <c r="L737" s="249">
        <f>+F737*I737</f>
        <v/>
      </c>
      <c r="M737" s="249">
        <f>+F737*J737</f>
        <v/>
      </c>
      <c r="N737" s="249">
        <f>SUM(K737:M737)</f>
        <v/>
      </c>
      <c r="O737" s="251">
        <f>SUM(K737:M737)/tc</f>
        <v/>
      </c>
    </row>
    <row r="738">
      <c r="A738" s="233" t="n"/>
      <c r="B738" s="1134">
        <f>VALUE(IF(AND(LEN(TRIM(C738))-LEN(SUBSTITUTE(TRIM(C738),".",""))=1,ISNUMBER(VALUE(SUBSTITUTE(TRIM(C738),".","")))),TRIM(C738),B737))</f>
        <v/>
      </c>
      <c r="C738" s="16" t="inlineStr">
        <is>
          <t>M09-0042</t>
        </is>
      </c>
      <c r="D738" s="292" t="n"/>
      <c r="E738" s="252">
        <f>+_xlfn.XLOOKUP(C738,'BASE DATOS PRECIOS '!B:B,'BASE DATOS PRECIOS '!E:E)</f>
        <v/>
      </c>
      <c r="F738" s="218">
        <f>'3.1_ELEC'!E210</f>
        <v/>
      </c>
      <c r="G738" s="250">
        <f>+_xlfn.XLOOKUP(C738,'BASE DATOS PRECIOS '!B:B,'BASE DATOS PRECIOS '!F:F)</f>
        <v/>
      </c>
      <c r="H738" s="249">
        <f>+_xlfn.XLOOKUP(E738,'BASE DATOS PRECIOS '!E:E,'BASE DATOS PRECIOS '!H:H)</f>
        <v/>
      </c>
      <c r="I738" s="250" t="n"/>
      <c r="J738" s="249" t="n"/>
      <c r="K738" s="249">
        <f>+F738*H738</f>
        <v/>
      </c>
      <c r="L738" s="249">
        <f>+F738*I738</f>
        <v/>
      </c>
      <c r="M738" s="249">
        <f>+F738*J738</f>
        <v/>
      </c>
      <c r="N738" s="249">
        <f>SUM(K738:M738)</f>
        <v/>
      </c>
      <c r="O738" s="251">
        <f>SUM(K738:M738)/tc</f>
        <v/>
      </c>
    </row>
    <row r="739">
      <c r="A739" s="233" t="n"/>
      <c r="B739" s="1134">
        <f>VALUE(IF(AND(LEN(TRIM(C739))-LEN(SUBSTITUTE(TRIM(C739),".",""))=1,ISNUMBER(VALUE(SUBSTITUTE(TRIM(C739),".","")))),TRIM(C739),B738))</f>
        <v/>
      </c>
      <c r="C739" s="16" t="inlineStr">
        <is>
          <t>M05-0390</t>
        </is>
      </c>
      <c r="D739" s="292" t="n"/>
      <c r="E739" s="252">
        <f>+_xlfn.XLOOKUP(C739,'BASE DATOS PRECIOS '!B:B,'BASE DATOS PRECIOS '!E:E)</f>
        <v/>
      </c>
      <c r="F739" s="218">
        <f>'3.1_ELEC'!E211</f>
        <v/>
      </c>
      <c r="G739" s="250">
        <f>+_xlfn.XLOOKUP(C739,'BASE DATOS PRECIOS '!B:B,'BASE DATOS PRECIOS '!F:F)</f>
        <v/>
      </c>
      <c r="H739" s="249">
        <f>+_xlfn.XLOOKUP(E739,'BASE DATOS PRECIOS '!E:E,'BASE DATOS PRECIOS '!H:H)</f>
        <v/>
      </c>
      <c r="I739" s="250" t="n"/>
      <c r="J739" s="249" t="n"/>
      <c r="K739" s="249">
        <f>+F739*H739</f>
        <v/>
      </c>
      <c r="L739" s="249">
        <f>+F739*I739</f>
        <v/>
      </c>
      <c r="M739" s="249">
        <f>+F739*J739</f>
        <v/>
      </c>
      <c r="N739" s="249">
        <f>SUM(K739:M739)</f>
        <v/>
      </c>
      <c r="O739" s="251">
        <f>SUM(K739:M739)/tc</f>
        <v/>
      </c>
    </row>
    <row r="740">
      <c r="A740" s="16" t="n"/>
      <c r="B740" s="1134">
        <f>VALUE(IF(AND(LEN(TRIM(C740))-LEN(SUBSTITUTE(TRIM(C740),".",""))=1,ISNUMBER(VALUE(SUBSTITUTE(TRIM(C740),".","")))),TRIM(C740),B739))</f>
        <v/>
      </c>
      <c r="C740" s="16" t="inlineStr">
        <is>
          <t>M05-0315</t>
        </is>
      </c>
      <c r="D740" s="292" t="n"/>
      <c r="E740" s="252">
        <f>+_xlfn.XLOOKUP(C740,'BASE DATOS PRECIOS '!B:B,'BASE DATOS PRECIOS '!E:E)</f>
        <v/>
      </c>
      <c r="F740" s="218">
        <f>'3.1_ELEC'!E212</f>
        <v/>
      </c>
      <c r="G740" s="250">
        <f>+_xlfn.XLOOKUP(C740,'BASE DATOS PRECIOS '!B:B,'BASE DATOS PRECIOS '!F:F)</f>
        <v/>
      </c>
      <c r="H740" s="249">
        <f>+_xlfn.XLOOKUP(E740,'BASE DATOS PRECIOS '!E:E,'BASE DATOS PRECIOS '!H:H)</f>
        <v/>
      </c>
      <c r="I740" s="250" t="n"/>
      <c r="J740" s="249" t="n"/>
      <c r="K740" s="249">
        <f>+F740*H740</f>
        <v/>
      </c>
      <c r="L740" s="249">
        <f>+F740*I740</f>
        <v/>
      </c>
      <c r="M740" s="249">
        <f>+F740*J740</f>
        <v/>
      </c>
      <c r="N740" s="249">
        <f>SUM(K740:M740)</f>
        <v/>
      </c>
      <c r="O740" s="251">
        <f>SUM(K740:M740)/tc</f>
        <v/>
      </c>
    </row>
    <row r="741">
      <c r="A741" s="16" t="n"/>
      <c r="B741" s="1134">
        <f>VALUE(IF(AND(LEN(TRIM(C741))-LEN(SUBSTITUTE(TRIM(C741),".",""))=1,ISNUMBER(VALUE(SUBSTITUTE(TRIM(C741),".","")))),TRIM(C741),B740))</f>
        <v/>
      </c>
      <c r="C741" s="16" t="inlineStr">
        <is>
          <t>M05-0013</t>
        </is>
      </c>
      <c r="D741" s="292" t="n"/>
      <c r="E741" s="252">
        <f>+_xlfn.XLOOKUP(C741,'BASE DATOS PRECIOS '!B:B,'BASE DATOS PRECIOS '!E:E)</f>
        <v/>
      </c>
      <c r="F741" s="218">
        <f>'3.1_ELEC'!E213</f>
        <v/>
      </c>
      <c r="G741" s="250">
        <f>+_xlfn.XLOOKUP(C741,'BASE DATOS PRECIOS '!B:B,'BASE DATOS PRECIOS '!F:F)</f>
        <v/>
      </c>
      <c r="H741" s="249">
        <f>+_xlfn.XLOOKUP(E741,'BASE DATOS PRECIOS '!E:E,'BASE DATOS PRECIOS '!H:H)</f>
        <v/>
      </c>
      <c r="I741" s="250" t="n"/>
      <c r="J741" s="249" t="n"/>
      <c r="K741" s="249">
        <f>+F741*H741</f>
        <v/>
      </c>
      <c r="L741" s="249">
        <f>+F741*I741</f>
        <v/>
      </c>
      <c r="M741" s="249">
        <f>+F741*J741</f>
        <v/>
      </c>
      <c r="N741" s="249">
        <f>SUM(K741:M741)</f>
        <v/>
      </c>
      <c r="O741" s="251">
        <f>SUM(K741:M741)/tc</f>
        <v/>
      </c>
    </row>
    <row r="742">
      <c r="A742" s="16" t="n"/>
      <c r="B742" s="1134">
        <f>VALUE(IF(AND(LEN(TRIM(C742))-LEN(SUBSTITUTE(TRIM(C742),".",""))=1,ISNUMBER(VALUE(SUBSTITUTE(TRIM(C742),".","")))),TRIM(C742),B741))</f>
        <v/>
      </c>
      <c r="C742" s="16" t="inlineStr">
        <is>
          <t>M05-0361</t>
        </is>
      </c>
      <c r="D742" s="292" t="n"/>
      <c r="E742" s="252">
        <f>+_xlfn.XLOOKUP(C742,'BASE DATOS PRECIOS '!B:B,'BASE DATOS PRECIOS '!E:E)</f>
        <v/>
      </c>
      <c r="F742" s="218">
        <f>'3.1_ELEC'!E214</f>
        <v/>
      </c>
      <c r="G742" s="250">
        <f>+_xlfn.XLOOKUP(C742,'BASE DATOS PRECIOS '!B:B,'BASE DATOS PRECIOS '!F:F)</f>
        <v/>
      </c>
      <c r="H742" s="249">
        <f>+_xlfn.XLOOKUP(E742,'BASE DATOS PRECIOS '!E:E,'BASE DATOS PRECIOS '!H:H)</f>
        <v/>
      </c>
      <c r="I742" s="250" t="n"/>
      <c r="J742" s="249" t="n"/>
      <c r="K742" s="249">
        <f>+F742*H742</f>
        <v/>
      </c>
      <c r="L742" s="249">
        <f>+F742*I742</f>
        <v/>
      </c>
      <c r="M742" s="249">
        <f>+F742*J742</f>
        <v/>
      </c>
      <c r="N742" s="249">
        <f>SUM(K742:M742)</f>
        <v/>
      </c>
      <c r="O742" s="251">
        <f>SUM(K742:M742)/tc</f>
        <v/>
      </c>
    </row>
    <row r="743">
      <c r="A743" s="16" t="n"/>
      <c r="B743" s="1134">
        <f>VALUE(IF(AND(LEN(TRIM(C743))-LEN(SUBSTITUTE(TRIM(C743),".",""))=1,ISNUMBER(VALUE(SUBSTITUTE(TRIM(C743),".","")))),TRIM(C743),B742))</f>
        <v/>
      </c>
      <c r="C743" s="16" t="inlineStr">
        <is>
          <t>M05-0331</t>
        </is>
      </c>
      <c r="D743" s="292" t="n"/>
      <c r="E743" s="252">
        <f>+_xlfn.XLOOKUP(C743,'BASE DATOS PRECIOS '!B:B,'BASE DATOS PRECIOS '!E:E)</f>
        <v/>
      </c>
      <c r="F743" s="218">
        <f>'3.1_ELEC'!E215</f>
        <v/>
      </c>
      <c r="G743" s="250">
        <f>+_xlfn.XLOOKUP(C743,'BASE DATOS PRECIOS '!B:B,'BASE DATOS PRECIOS '!F:F)</f>
        <v/>
      </c>
      <c r="H743" s="249">
        <f>+_xlfn.XLOOKUP(E743,'BASE DATOS PRECIOS '!E:E,'BASE DATOS PRECIOS '!H:H)</f>
        <v/>
      </c>
      <c r="I743" s="250" t="n"/>
      <c r="J743" s="249" t="n"/>
      <c r="K743" s="249">
        <f>+F743*H743</f>
        <v/>
      </c>
      <c r="L743" s="249">
        <f>+F743*I743</f>
        <v/>
      </c>
      <c r="M743" s="249">
        <f>+F743*J743</f>
        <v/>
      </c>
      <c r="N743" s="249">
        <f>SUM(K743:M743)</f>
        <v/>
      </c>
      <c r="O743" s="251">
        <f>SUM(K743:M743)/tc</f>
        <v/>
      </c>
    </row>
    <row r="744">
      <c r="A744" s="16" t="n"/>
      <c r="B744" s="1134">
        <f>VALUE(IF(AND(LEN(TRIM(C744))-LEN(SUBSTITUTE(TRIM(C744),".",""))=1,ISNUMBER(VALUE(SUBSTITUTE(TRIM(C744),".","")))),TRIM(C744),B743))</f>
        <v/>
      </c>
      <c r="C744" s="361" t="inlineStr">
        <is>
          <t xml:space="preserve">SUB TABLEROS </t>
        </is>
      </c>
      <c r="D744" s="362" t="n"/>
      <c r="E744" s="269">
        <f>+_xlfn.XLOOKUP(C744,'BASE DATOS EQUIPOS Y SUBCONTRAT'!A:A,'BASE DATOS EQUIPOS Y SUBCONTRAT'!B:B)</f>
        <v/>
      </c>
      <c r="F744" s="356" t="n">
        <v>1</v>
      </c>
      <c r="G744" s="357">
        <f>+_xlfn.XLOOKUP(C744,'BASE DATOS EQUIPOS Y SUBCONTRAT'!A:A,'BASE DATOS EQUIPOS Y SUBCONTRAT'!C:C)</f>
        <v/>
      </c>
      <c r="H744" s="358" t="n">
        <v>0</v>
      </c>
      <c r="I744" s="357" t="n"/>
      <c r="J744" s="358">
        <f>+'3.1_ELEC'!D218</f>
        <v/>
      </c>
      <c r="K744" s="358">
        <f>+F744*H744</f>
        <v/>
      </c>
      <c r="L744" s="358">
        <f>+F744*I744</f>
        <v/>
      </c>
      <c r="M744" s="358">
        <f>+F744*J744</f>
        <v/>
      </c>
      <c r="N744" s="358">
        <f>SUM(K744:M744)</f>
        <v/>
      </c>
      <c r="O744" s="359">
        <f>SUM(K744:M744)/tc</f>
        <v/>
      </c>
    </row>
    <row r="745">
      <c r="A745" s="16" t="n"/>
      <c r="B745" s="1134">
        <f>VALUE(IF(AND(LEN(TRIM(C745))-LEN(SUBSTITUTE(TRIM(C745),".",""))=1,ISNUMBER(VALUE(SUBSTITUTE(TRIM(C745),".","")))),TRIM(C745),B744))</f>
        <v/>
      </c>
      <c r="C745" s="267" t="inlineStr">
        <is>
          <t xml:space="preserve">OPERARIO </t>
        </is>
      </c>
      <c r="D745" s="268" t="n"/>
      <c r="E745" s="269">
        <f>+_xlfn.XLOOKUP(C745,'BASE DATOS MANO DE OBRA'!A:A,'BASE DATOS MANO DE OBRA'!B:B)</f>
        <v/>
      </c>
      <c r="F745" s="270" t="n">
        <v>0</v>
      </c>
      <c r="G745" s="271">
        <f>+_xlfn.XLOOKUP(C745,'BASE DATOS MANO DE OBRA'!A:A,'BASE DATOS MANO DE OBRA'!C:C)</f>
        <v/>
      </c>
      <c r="H745" s="272" t="n">
        <v>0</v>
      </c>
      <c r="I745" s="272">
        <f>+_xlfn.XLOOKUP(C745,'BASE DATOS MANO DE OBRA'!A:A,'BASE DATOS MANO DE OBRA'!E:E)</f>
        <v/>
      </c>
      <c r="J745" s="272" t="n">
        <v>0</v>
      </c>
      <c r="K745" s="272">
        <f>+F745*H745</f>
        <v/>
      </c>
      <c r="L745" s="272">
        <f>+F745*I745</f>
        <v/>
      </c>
      <c r="M745" s="272">
        <f>+F745*J745</f>
        <v/>
      </c>
      <c r="N745" s="272">
        <f>SUM(K745:M745)</f>
        <v/>
      </c>
      <c r="O745" s="273">
        <f>SUM(K745:M745)/tc</f>
        <v/>
      </c>
    </row>
    <row r="746">
      <c r="A746" s="16" t="n"/>
      <c r="B746" s="1134">
        <f>VALUE(IF(AND(LEN(TRIM(C746))-LEN(SUBSTITUTE(TRIM(C746),".",""))=1,ISNUMBER(VALUE(SUBSTITUTE(TRIM(C746),".","")))),TRIM(C746),B745))</f>
        <v/>
      </c>
      <c r="C746" s="267" t="inlineStr">
        <is>
          <t xml:space="preserve">AYUDANTE </t>
        </is>
      </c>
      <c r="D746" s="268" t="n"/>
      <c r="E746" s="269">
        <f>+_xlfn.XLOOKUP(C746,'BASE DATOS MANO DE OBRA'!A:A,'BASE DATOS MANO DE OBRA'!B:B)</f>
        <v/>
      </c>
      <c r="F746" s="270" t="n">
        <v>0</v>
      </c>
      <c r="G746" s="271">
        <f>+_xlfn.XLOOKUP(C746,'BASE DATOS MANO DE OBRA'!A:A,'BASE DATOS MANO DE OBRA'!C:C)</f>
        <v/>
      </c>
      <c r="H746" s="272" t="n">
        <v>0</v>
      </c>
      <c r="I746" s="272">
        <f>+_xlfn.XLOOKUP(C746,'BASE DATOS MANO DE OBRA'!A:A,'BASE DATOS MANO DE OBRA'!E:E)</f>
        <v/>
      </c>
      <c r="J746" s="272" t="n">
        <v>0</v>
      </c>
      <c r="K746" s="272">
        <f>+F746*H746</f>
        <v/>
      </c>
      <c r="L746" s="272">
        <f>+F746*I746</f>
        <v/>
      </c>
      <c r="M746" s="272">
        <f>+F746*J746</f>
        <v/>
      </c>
      <c r="N746" s="272">
        <f>SUM(K746:M746)</f>
        <v/>
      </c>
      <c r="O746" s="273">
        <f>SUM(K746:M746)/tc</f>
        <v/>
      </c>
    </row>
    <row r="747">
      <c r="A747" s="16" t="n"/>
      <c r="B747" s="1134">
        <f>VALUE(IF(AND(LEN(TRIM(C747))-LEN(SUBSTITUTE(TRIM(C747),".",""))=1,ISNUMBER(VALUE(SUBSTITUTE(TRIM(C747),".","")))),TRIM(C747),B746))</f>
        <v/>
      </c>
      <c r="C747" s="234" t="inlineStr">
        <is>
          <t>3.1.8</t>
        </is>
      </c>
      <c r="D747" s="363" t="n"/>
      <c r="E747" s="236" t="inlineStr">
        <is>
          <t xml:space="preserve">CABLEADO ELÉCTRICO </t>
        </is>
      </c>
      <c r="F747" s="237" t="n">
        <v>1</v>
      </c>
      <c r="G747" s="235" t="inlineStr">
        <is>
          <t>gb</t>
        </is>
      </c>
      <c r="H747" s="235" t="n"/>
      <c r="I747" s="235" t="n"/>
      <c r="J747" s="235" t="n"/>
      <c r="K747" s="238">
        <f>+SUBTOTAL(9,K748:K768)</f>
        <v/>
      </c>
      <c r="L747" s="238">
        <f>+SUBTOTAL(9,L748:L768)</f>
        <v/>
      </c>
      <c r="M747" s="238">
        <f>+SUBTOTAL(9,M748:M768)</f>
        <v/>
      </c>
      <c r="N747" s="238">
        <f>+SUBTOTAL(9,N748:N768)</f>
        <v/>
      </c>
      <c r="O747" s="1136">
        <f>+SUBTOTAL(9,O748:O768)</f>
        <v/>
      </c>
    </row>
    <row r="748">
      <c r="A748" s="16" t="n"/>
      <c r="B748" s="1134">
        <f>VALUE(IF(AND(LEN(TRIM(C748))-LEN(SUBSTITUTE(TRIM(C748),".",""))=1,ISNUMBER(VALUE(SUBSTITUTE(TRIM(C748),".","")))),TRIM(C748),B747))</f>
        <v/>
      </c>
      <c r="C748" s="364" t="n"/>
      <c r="D748" s="365" t="n"/>
      <c r="E748" s="366" t="inlineStr">
        <is>
          <t>CABLE DELGADO</t>
        </is>
      </c>
      <c r="F748" s="367" t="n"/>
      <c r="G748" s="368" t="n"/>
      <c r="H748" s="368" t="n"/>
      <c r="I748" s="368" t="n"/>
      <c r="J748" s="368" t="n"/>
      <c r="K748" s="369" t="n"/>
      <c r="L748" s="369" t="n"/>
      <c r="M748" s="369" t="n"/>
      <c r="N748" s="369" t="n"/>
      <c r="O748" s="1139" t="n"/>
    </row>
    <row r="749">
      <c r="A749" s="233" t="n"/>
      <c r="B749" s="1134">
        <f>VALUE(IF(AND(LEN(TRIM(C749))-LEN(SUBSTITUTE(TRIM(C749),".",""))=1,ISNUMBER(VALUE(SUBSTITUTE(TRIM(C749),".","")))),TRIM(C749),B748))</f>
        <v/>
      </c>
      <c r="C749" s="274" t="inlineStr">
        <is>
          <t>M05-0259</t>
        </is>
      </c>
      <c r="D749" s="334" t="inlineStr">
        <is>
          <t>04</t>
        </is>
      </c>
      <c r="E749" s="252">
        <f>+_xlfn.XLOOKUP(C749,'BASE DATOS PRECIOS '!B:B,'BASE DATOS PRECIOS '!E:E)</f>
        <v/>
      </c>
      <c r="F749" s="218">
        <f>'3.1_ELEC'!D225</f>
        <v/>
      </c>
      <c r="G749" s="250">
        <f>+_xlfn.XLOOKUP(C749,'BASE DATOS PRECIOS '!B:B,'BASE DATOS PRECIOS '!F:F)</f>
        <v/>
      </c>
      <c r="H749" s="249">
        <f>+_xlfn.XLOOKUP(E749,'BASE DATOS PRECIOS '!E:E,'BASE DATOS PRECIOS '!H:H)</f>
        <v/>
      </c>
      <c r="I749" s="250" t="n"/>
      <c r="J749" s="250" t="n"/>
      <c r="K749" s="249">
        <f>+F749*H749</f>
        <v/>
      </c>
      <c r="L749" s="249">
        <f>+F749*I749</f>
        <v/>
      </c>
      <c r="M749" s="249">
        <f>+F749*J749</f>
        <v/>
      </c>
      <c r="N749" s="249">
        <f>SUM(K749:M749)</f>
        <v/>
      </c>
      <c r="O749" s="251">
        <f>SUM(K749:M749)/tc</f>
        <v/>
      </c>
    </row>
    <row r="750">
      <c r="A750" s="16" t="n"/>
      <c r="B750" s="1134">
        <f>VALUE(IF(AND(LEN(TRIM(C750))-LEN(SUBSTITUTE(TRIM(C750),".",""))=1,ISNUMBER(VALUE(SUBSTITUTE(TRIM(C750),".","")))),TRIM(C750),B749))</f>
        <v/>
      </c>
      <c r="C750" s="274" t="inlineStr">
        <is>
          <t>M05-0259</t>
        </is>
      </c>
      <c r="D750" s="334" t="inlineStr">
        <is>
          <t>02</t>
        </is>
      </c>
      <c r="E750" s="252">
        <f>+_xlfn.XLOOKUP(C750,'BASE DATOS PRECIOS '!B:B,'BASE DATOS PRECIOS '!E:E)</f>
        <v/>
      </c>
      <c r="F750" s="218">
        <f>'3.1_ELEC'!D226</f>
        <v/>
      </c>
      <c r="G750" s="250">
        <f>+_xlfn.XLOOKUP(C750,'BASE DATOS PRECIOS '!B:B,'BASE DATOS PRECIOS '!F:F)</f>
        <v/>
      </c>
      <c r="H750" s="249">
        <f>+_xlfn.XLOOKUP(E750,'BASE DATOS PRECIOS '!E:E,'BASE DATOS PRECIOS '!H:H)</f>
        <v/>
      </c>
      <c r="I750" s="250" t="n"/>
      <c r="J750" s="250" t="n"/>
      <c r="K750" s="249">
        <f>+F750*H750</f>
        <v/>
      </c>
      <c r="L750" s="249">
        <f>+F750*I750</f>
        <v/>
      </c>
      <c r="M750" s="249">
        <f>+F750*J750</f>
        <v/>
      </c>
      <c r="N750" s="249">
        <f>SUM(K750:M750)</f>
        <v/>
      </c>
      <c r="O750" s="251">
        <f>SUM(K750:M750)/tc</f>
        <v/>
      </c>
    </row>
    <row r="751">
      <c r="A751" s="16" t="n"/>
      <c r="B751" s="1134">
        <f>VALUE(IF(AND(LEN(TRIM(C751))-LEN(SUBSTITUTE(TRIM(C751),".",""))=1,ISNUMBER(VALUE(SUBSTITUTE(TRIM(C751),".","")))),TRIM(C751),B750))</f>
        <v/>
      </c>
      <c r="C751" s="333" t="inlineStr">
        <is>
          <t>M05-0259</t>
        </is>
      </c>
      <c r="D751" s="334" t="inlineStr">
        <is>
          <t>05</t>
        </is>
      </c>
      <c r="E751" s="252">
        <f>+_xlfn.XLOOKUP(C751,'BASE DATOS PRECIOS '!B:B,'BASE DATOS PRECIOS '!E:E)</f>
        <v/>
      </c>
      <c r="F751" s="218">
        <f>'3.1_ELEC'!D227</f>
        <v/>
      </c>
      <c r="G751" s="250">
        <f>+_xlfn.XLOOKUP(C751,'BASE DATOS PRECIOS '!B:B,'BASE DATOS PRECIOS '!F:F)</f>
        <v/>
      </c>
      <c r="H751" s="249">
        <f>+_xlfn.XLOOKUP(E751,'BASE DATOS PRECIOS '!E:E,'BASE DATOS PRECIOS '!H:H)</f>
        <v/>
      </c>
      <c r="I751" s="250" t="n"/>
      <c r="J751" s="250" t="n"/>
      <c r="K751" s="249">
        <f>+F751*H751</f>
        <v/>
      </c>
      <c r="L751" s="249">
        <f>+F751*I751</f>
        <v/>
      </c>
      <c r="M751" s="249">
        <f>+F751*J751</f>
        <v/>
      </c>
      <c r="N751" s="249">
        <f>SUM(K751:M751)</f>
        <v/>
      </c>
      <c r="O751" s="251">
        <f>SUM(K751:M751)/tc</f>
        <v/>
      </c>
    </row>
    <row r="752">
      <c r="A752" s="16" t="n"/>
      <c r="B752" s="1134">
        <f>VALUE(IF(AND(LEN(TRIM(C752))-LEN(SUBSTITUTE(TRIM(C752),".",""))=1,ISNUMBER(VALUE(SUBSTITUTE(TRIM(C752),".","")))),TRIM(C752),B751))</f>
        <v/>
      </c>
      <c r="C752" s="333" t="inlineStr">
        <is>
          <t>M05-0262</t>
        </is>
      </c>
      <c r="D752" s="334" t="n"/>
      <c r="E752" s="252">
        <f>+_xlfn.XLOOKUP(C752,'BASE DATOS PRECIOS '!B:B,'BASE DATOS PRECIOS '!E:E)</f>
        <v/>
      </c>
      <c r="F752" s="218">
        <f>+'3.1_ELEC'!E235</f>
        <v/>
      </c>
      <c r="G752" s="250">
        <f>+_xlfn.XLOOKUP(C752,'BASE DATOS PRECIOS '!B:B,'BASE DATOS PRECIOS '!F:F)</f>
        <v/>
      </c>
      <c r="H752" s="249">
        <f>+_xlfn.XLOOKUP(E752,'BASE DATOS PRECIOS '!E:E,'BASE DATOS PRECIOS '!H:H)</f>
        <v/>
      </c>
      <c r="I752" s="250" t="n"/>
      <c r="J752" s="250" t="n"/>
      <c r="K752" s="249">
        <f>+F752*H752</f>
        <v/>
      </c>
      <c r="L752" s="249">
        <f>+F752*I752</f>
        <v/>
      </c>
      <c r="M752" s="249">
        <f>+F752*J752</f>
        <v/>
      </c>
      <c r="N752" s="249">
        <f>SUM(K752:M752)</f>
        <v/>
      </c>
      <c r="O752" s="251">
        <f>SUM(K752:M752)/tc</f>
        <v/>
      </c>
    </row>
    <row r="753">
      <c r="A753" s="16" t="n"/>
      <c r="B753" s="1134">
        <f>VALUE(IF(AND(LEN(TRIM(C753))-LEN(SUBSTITUTE(TRIM(C753),".",""))=1,ISNUMBER(VALUE(SUBSTITUTE(TRIM(C753),".","")))),TRIM(C753),B752))</f>
        <v/>
      </c>
      <c r="C753" s="333" t="inlineStr">
        <is>
          <t>M05-0263</t>
        </is>
      </c>
      <c r="D753" s="334" t="n"/>
      <c r="E753" s="252">
        <f>+_xlfn.XLOOKUP(C753,'BASE DATOS PRECIOS '!B:B,'BASE DATOS PRECIOS '!E:E)</f>
        <v/>
      </c>
      <c r="F753" s="218">
        <f>+'3.1_ELEC'!E236</f>
        <v/>
      </c>
      <c r="G753" s="250">
        <f>+_xlfn.XLOOKUP(C753,'BASE DATOS PRECIOS '!B:B,'BASE DATOS PRECIOS '!F:F)</f>
        <v/>
      </c>
      <c r="H753" s="249">
        <f>+_xlfn.XLOOKUP(E753,'BASE DATOS PRECIOS '!E:E,'BASE DATOS PRECIOS '!H:H)</f>
        <v/>
      </c>
      <c r="I753" s="250" t="n"/>
      <c r="J753" s="250" t="n"/>
      <c r="K753" s="249">
        <f>+F753*H753</f>
        <v/>
      </c>
      <c r="L753" s="249">
        <f>+F753*I753</f>
        <v/>
      </c>
      <c r="M753" s="249">
        <f>+F753*J753</f>
        <v/>
      </c>
      <c r="N753" s="249">
        <f>SUM(K753:M753)</f>
        <v/>
      </c>
      <c r="O753" s="251">
        <f>SUM(K753:M753)/tc</f>
        <v/>
      </c>
    </row>
    <row r="754">
      <c r="A754" s="16" t="n"/>
      <c r="B754" s="1134">
        <f>VALUE(IF(AND(LEN(TRIM(C754))-LEN(SUBSTITUTE(TRIM(C754),".",""))=1,ISNUMBER(VALUE(SUBSTITUTE(TRIM(C754),".","")))),TRIM(C754),B753))</f>
        <v/>
      </c>
      <c r="C754" s="333" t="inlineStr">
        <is>
          <t>M05-0269</t>
        </is>
      </c>
      <c r="D754" s="334" t="n"/>
      <c r="E754" s="252">
        <f>+_xlfn.XLOOKUP(C754,'BASE DATOS PRECIOS '!B:B,'BASE DATOS PRECIOS '!E:E)</f>
        <v/>
      </c>
      <c r="F754" s="218">
        <f>+'3.1_ELEC'!E237</f>
        <v/>
      </c>
      <c r="G754" s="250">
        <f>+_xlfn.XLOOKUP(C754,'BASE DATOS PRECIOS '!B:B,'BASE DATOS PRECIOS '!F:F)</f>
        <v/>
      </c>
      <c r="H754" s="249">
        <f>+_xlfn.XLOOKUP(E754,'BASE DATOS PRECIOS '!E:E,'BASE DATOS PRECIOS '!H:H)</f>
        <v/>
      </c>
      <c r="I754" s="250" t="n"/>
      <c r="J754" s="250" t="n"/>
      <c r="K754" s="249">
        <f>+F754*H754</f>
        <v/>
      </c>
      <c r="L754" s="249">
        <f>+F754*I754</f>
        <v/>
      </c>
      <c r="M754" s="249">
        <f>+F754*J754</f>
        <v/>
      </c>
      <c r="N754" s="249">
        <f>SUM(K754:M754)</f>
        <v/>
      </c>
      <c r="O754" s="251">
        <f>SUM(K754:M754)/tc</f>
        <v/>
      </c>
    </row>
    <row r="755">
      <c r="A755" s="16" t="n"/>
      <c r="B755" s="1134">
        <f>VALUE(IF(AND(LEN(TRIM(C755))-LEN(SUBSTITUTE(TRIM(C755),".",""))=1,ISNUMBER(VALUE(SUBSTITUTE(TRIM(C755),".","")))),TRIM(C755),B754))</f>
        <v/>
      </c>
      <c r="C755" s="333" t="inlineStr">
        <is>
          <t>M05-0017</t>
        </is>
      </c>
      <c r="D755" s="334" t="n"/>
      <c r="E755" s="252">
        <f>+_xlfn.XLOOKUP(C755,'BASE DATOS PRECIOS '!B:B,'BASE DATOS PRECIOS '!E:E)</f>
        <v/>
      </c>
      <c r="F755" s="218">
        <f>+'3.1_ELEC'!E238</f>
        <v/>
      </c>
      <c r="G755" s="250">
        <f>+_xlfn.XLOOKUP(C755,'BASE DATOS PRECIOS '!B:B,'BASE DATOS PRECIOS '!F:F)</f>
        <v/>
      </c>
      <c r="H755" s="249">
        <f>+_xlfn.XLOOKUP(E755,'BASE DATOS PRECIOS '!E:E,'BASE DATOS PRECIOS '!H:H)</f>
        <v/>
      </c>
      <c r="I755" s="250" t="n"/>
      <c r="J755" s="250" t="n"/>
      <c r="K755" s="249">
        <f>+F755*H755</f>
        <v/>
      </c>
      <c r="L755" s="249">
        <f>+F755*I755</f>
        <v/>
      </c>
      <c r="M755" s="249">
        <f>+F755*J755</f>
        <v/>
      </c>
      <c r="N755" s="249">
        <f>SUM(K755:M755)</f>
        <v/>
      </c>
      <c r="O755" s="251">
        <f>SUM(K755:M755)/tc</f>
        <v/>
      </c>
    </row>
    <row r="756">
      <c r="A756" s="16" t="n"/>
      <c r="B756" s="1134">
        <f>VALUE(IF(AND(LEN(TRIM(C756))-LEN(SUBSTITUTE(TRIM(C756),".",""))=1,ISNUMBER(VALUE(SUBSTITUTE(TRIM(C756),".","")))),TRIM(C756),B755))</f>
        <v/>
      </c>
      <c r="C756" s="301" t="inlineStr">
        <is>
          <t>M05-0018</t>
        </is>
      </c>
      <c r="D756" s="302" t="n"/>
      <c r="E756" s="252">
        <f>+_xlfn.XLOOKUP(C756,'BASE DATOS PRECIOS '!B:B,'BASE DATOS PRECIOS '!E:E)</f>
        <v/>
      </c>
      <c r="F756" s="218">
        <f>+'3.1_ELEC'!D240</f>
        <v/>
      </c>
      <c r="G756" s="250">
        <f>+_xlfn.XLOOKUP(C756,'BASE DATOS PRECIOS '!B:B,'BASE DATOS PRECIOS '!F:F)</f>
        <v/>
      </c>
      <c r="H756" s="249">
        <f>+_xlfn.XLOOKUP(E756,'BASE DATOS PRECIOS '!E:E,'BASE DATOS PRECIOS '!H:H)</f>
        <v/>
      </c>
      <c r="I756" s="250" t="n"/>
      <c r="J756" s="250" t="n"/>
      <c r="K756" s="249">
        <f>+F756*H756</f>
        <v/>
      </c>
      <c r="L756" s="249">
        <f>+F756*I756</f>
        <v/>
      </c>
      <c r="M756" s="249">
        <f>+F756*J756</f>
        <v/>
      </c>
      <c r="N756" s="249">
        <f>SUM(K756:M756)</f>
        <v/>
      </c>
      <c r="O756" s="251">
        <f>SUM(K756:M756)/tc</f>
        <v/>
      </c>
    </row>
    <row r="757">
      <c r="A757" s="16" t="n"/>
      <c r="B757" s="1134">
        <f>VALUE(IF(AND(LEN(TRIM(C757))-LEN(SUBSTITUTE(TRIM(C757),".",""))=1,ISNUMBER(VALUE(SUBSTITUTE(TRIM(C757),".","")))),TRIM(C757),B756))</f>
        <v/>
      </c>
      <c r="C757" s="274" t="inlineStr">
        <is>
          <t>M05-0019</t>
        </is>
      </c>
      <c r="D757" s="275" t="n"/>
      <c r="E757" s="252">
        <f>+_xlfn.XLOOKUP(C757,'BASE DATOS PRECIOS '!B:B,'BASE DATOS PRECIOS '!E:E)</f>
        <v/>
      </c>
      <c r="F757" s="218">
        <f>+'3.1_ELEC'!E241</f>
        <v/>
      </c>
      <c r="G757" s="250">
        <f>+_xlfn.XLOOKUP(C757,'BASE DATOS PRECIOS '!B:B,'BASE DATOS PRECIOS '!F:F)</f>
        <v/>
      </c>
      <c r="H757" s="249">
        <f>+_xlfn.XLOOKUP(E757,'BASE DATOS PRECIOS '!E:E,'BASE DATOS PRECIOS '!H:H)</f>
        <v/>
      </c>
      <c r="I757" s="250" t="n"/>
      <c r="J757" s="250" t="n"/>
      <c r="K757" s="249">
        <f>+F757*H757</f>
        <v/>
      </c>
      <c r="L757" s="249">
        <f>+F757*I757</f>
        <v/>
      </c>
      <c r="M757" s="249">
        <f>+F757*J757</f>
        <v/>
      </c>
      <c r="N757" s="249">
        <f>SUM(K757:M757)</f>
        <v/>
      </c>
      <c r="O757" s="251">
        <f>SUM(K757:M757)/tc</f>
        <v/>
      </c>
    </row>
    <row r="758">
      <c r="A758" s="16" t="n"/>
      <c r="B758" s="1134">
        <f>VALUE(IF(AND(LEN(TRIM(C758))-LEN(SUBSTITUTE(TRIM(C758),".",""))=1,ISNUMBER(VALUE(SUBSTITUTE(TRIM(C758),".","")))),TRIM(C758),B757))</f>
        <v/>
      </c>
      <c r="C758" s="364" t="n"/>
      <c r="D758" s="365" t="n"/>
      <c r="E758" s="366" t="inlineStr">
        <is>
          <t>CABLE GRUESO</t>
        </is>
      </c>
      <c r="F758" s="367" t="n"/>
      <c r="G758" s="368" t="n"/>
      <c r="H758" s="368" t="n"/>
      <c r="I758" s="368" t="n"/>
      <c r="J758" s="368" t="n"/>
      <c r="K758" s="369" t="n"/>
      <c r="L758" s="369" t="n"/>
      <c r="M758" s="369" t="n"/>
      <c r="N758" s="369" t="n"/>
      <c r="O758" s="1139" t="n"/>
    </row>
    <row r="759">
      <c r="A759" s="16" t="n"/>
      <c r="B759" s="1134">
        <f>VALUE(IF(AND(LEN(TRIM(C759))-LEN(SUBSTITUTE(TRIM(C759),".",""))=1,ISNUMBER(VALUE(SUBSTITUTE(TRIM(C759),".","")))),TRIM(C759),B758))</f>
        <v/>
      </c>
      <c r="C759" s="274" t="inlineStr">
        <is>
          <t>M05-0258</t>
        </is>
      </c>
      <c r="D759" s="275" t="inlineStr">
        <is>
          <t>02</t>
        </is>
      </c>
      <c r="E759" s="252">
        <f>+_xlfn.XLOOKUP(C759,'BASE DATOS PRECIOS '!B:B,'BASE DATOS PRECIOS '!E:E)</f>
        <v/>
      </c>
      <c r="F759" s="218">
        <f>+'3.1_ELEC'!E248</f>
        <v/>
      </c>
      <c r="G759" s="250">
        <f>+_xlfn.XLOOKUP(C759,'BASE DATOS PRECIOS '!B:B,'BASE DATOS PRECIOS '!F:F)</f>
        <v/>
      </c>
      <c r="H759" s="249">
        <f>+_xlfn.XLOOKUP(E759,'BASE DATOS PRECIOS '!E:E,'BASE DATOS PRECIOS '!H:H)</f>
        <v/>
      </c>
      <c r="I759" s="250" t="n"/>
      <c r="J759" s="250" t="n"/>
      <c r="K759" s="249">
        <f>+F759*H759</f>
        <v/>
      </c>
      <c r="L759" s="249">
        <f>+F759*I759</f>
        <v/>
      </c>
      <c r="M759" s="249">
        <f>+F759*J759</f>
        <v/>
      </c>
      <c r="N759" s="249">
        <f>SUM(K759:M759)</f>
        <v/>
      </c>
      <c r="O759" s="251">
        <f>SUM(K759:M759)/tc</f>
        <v/>
      </c>
    </row>
    <row r="760">
      <c r="A760" s="233" t="n"/>
      <c r="B760" s="1134">
        <f>VALUE(IF(AND(LEN(TRIM(C760))-LEN(SUBSTITUTE(TRIM(C760),".",""))=1,ISNUMBER(VALUE(SUBSTITUTE(TRIM(C760),".","")))),TRIM(C760),B759))</f>
        <v/>
      </c>
      <c r="C760" s="274" t="inlineStr">
        <is>
          <t>M05-0258</t>
        </is>
      </c>
      <c r="D760" s="275" t="inlineStr">
        <is>
          <t>01</t>
        </is>
      </c>
      <c r="E760" s="252">
        <f>+_xlfn.XLOOKUP(C760,'BASE DATOS PRECIOS '!B:B,'BASE DATOS PRECIOS '!E:E)</f>
        <v/>
      </c>
      <c r="F760" s="218">
        <f>+'3.1_ELEC'!E249</f>
        <v/>
      </c>
      <c r="G760" s="250">
        <f>+_xlfn.XLOOKUP(C760,'BASE DATOS PRECIOS '!B:B,'BASE DATOS PRECIOS '!F:F)</f>
        <v/>
      </c>
      <c r="H760" s="249">
        <f>+_xlfn.XLOOKUP(E760,'BASE DATOS PRECIOS '!E:E,'BASE DATOS PRECIOS '!H:H)</f>
        <v/>
      </c>
      <c r="I760" s="250" t="n"/>
      <c r="J760" s="250" t="n"/>
      <c r="K760" s="249">
        <f>+F760*H760</f>
        <v/>
      </c>
      <c r="L760" s="249">
        <f>+F760*I760</f>
        <v/>
      </c>
      <c r="M760" s="249">
        <f>+F760*J760</f>
        <v/>
      </c>
      <c r="N760" s="249">
        <f>SUM(K760:M760)</f>
        <v/>
      </c>
      <c r="O760" s="251">
        <f>SUM(K760:M760)/tc</f>
        <v/>
      </c>
    </row>
    <row r="761">
      <c r="A761" s="16" t="n"/>
      <c r="B761" s="1134">
        <f>VALUE(IF(AND(LEN(TRIM(C761))-LEN(SUBSTITUTE(TRIM(C761),".",""))=1,ISNUMBER(VALUE(SUBSTITUTE(TRIM(C761),".","")))),TRIM(C761),B760))</f>
        <v/>
      </c>
      <c r="C761" s="274" t="inlineStr">
        <is>
          <t>M05-0258</t>
        </is>
      </c>
      <c r="D761" s="275" t="inlineStr">
        <is>
          <t>03</t>
        </is>
      </c>
      <c r="E761" s="252">
        <f>+_xlfn.XLOOKUP(C761,'BASE DATOS PRECIOS '!B:B,'BASE DATOS PRECIOS '!E:E)</f>
        <v/>
      </c>
      <c r="F761" s="218">
        <f>+'3.1_ELEC'!E250</f>
        <v/>
      </c>
      <c r="G761" s="250">
        <f>+_xlfn.XLOOKUP(C761,'BASE DATOS PRECIOS '!B:B,'BASE DATOS PRECIOS '!F:F)</f>
        <v/>
      </c>
      <c r="H761" s="249">
        <f>+_xlfn.XLOOKUP(E761,'BASE DATOS PRECIOS '!E:E,'BASE DATOS PRECIOS '!H:H)</f>
        <v/>
      </c>
      <c r="I761" s="250" t="n"/>
      <c r="J761" s="250" t="n"/>
      <c r="K761" s="249">
        <f>+F761*H761</f>
        <v/>
      </c>
      <c r="L761" s="249">
        <f>+F761*I761</f>
        <v/>
      </c>
      <c r="M761" s="249">
        <f>+F761*J761</f>
        <v/>
      </c>
      <c r="N761" s="249">
        <f>SUM(K761:M761)</f>
        <v/>
      </c>
      <c r="O761" s="251">
        <f>SUM(K761:M761)/tc</f>
        <v/>
      </c>
    </row>
    <row r="762">
      <c r="A762" s="16" t="n"/>
      <c r="B762" s="1134">
        <f>VALUE(IF(AND(LEN(TRIM(C762))-LEN(SUBSTITUTE(TRIM(C762),".",""))=1,ISNUMBER(VALUE(SUBSTITUTE(TRIM(C762),".","")))),TRIM(C762),B761))</f>
        <v/>
      </c>
      <c r="C762" s="274" t="inlineStr">
        <is>
          <t>M05-0261</t>
        </is>
      </c>
      <c r="D762" s="275" t="inlineStr">
        <is>
          <t>01</t>
        </is>
      </c>
      <c r="E762" s="252">
        <f>+_xlfn.XLOOKUP(C762,'BASE DATOS PRECIOS '!B:B,'BASE DATOS PRECIOS '!E:E)</f>
        <v/>
      </c>
      <c r="F762" s="218">
        <f>+'3.1_ELEC'!E251</f>
        <v/>
      </c>
      <c r="G762" s="250">
        <f>+_xlfn.XLOOKUP(C762,'BASE DATOS PRECIOS '!B:B,'BASE DATOS PRECIOS '!F:F)</f>
        <v/>
      </c>
      <c r="H762" s="249">
        <f>+_xlfn.XLOOKUP(E762,'BASE DATOS PRECIOS '!E:E,'BASE DATOS PRECIOS '!H:H)</f>
        <v/>
      </c>
      <c r="I762" s="250" t="n"/>
      <c r="J762" s="250" t="n"/>
      <c r="K762" s="249">
        <f>+F762*H762</f>
        <v/>
      </c>
      <c r="L762" s="249">
        <f>+F762*I762</f>
        <v/>
      </c>
      <c r="M762" s="249">
        <f>+F762*J762</f>
        <v/>
      </c>
      <c r="N762" s="249">
        <f>SUM(K762:M762)</f>
        <v/>
      </c>
      <c r="O762" s="251">
        <f>SUM(K762:M762)/tc</f>
        <v/>
      </c>
    </row>
    <row r="763">
      <c r="A763" s="16" t="n"/>
      <c r="B763" s="1134">
        <f>VALUE(IF(AND(LEN(TRIM(C763))-LEN(SUBSTITUTE(TRIM(C763),".",""))=1,ISNUMBER(VALUE(SUBSTITUTE(TRIM(C763),".","")))),TRIM(C763),B762))</f>
        <v/>
      </c>
      <c r="C763" s="274" t="inlineStr">
        <is>
          <t>M05-0261</t>
        </is>
      </c>
      <c r="D763" s="275" t="inlineStr">
        <is>
          <t>02</t>
        </is>
      </c>
      <c r="E763" s="252">
        <f>+_xlfn.XLOOKUP(C763,'BASE DATOS PRECIOS '!B:B,'BASE DATOS PRECIOS '!E:E)</f>
        <v/>
      </c>
      <c r="F763" s="218">
        <f>+'3.1_ELEC'!E252</f>
        <v/>
      </c>
      <c r="G763" s="250">
        <f>+_xlfn.XLOOKUP(C763,'BASE DATOS PRECIOS '!B:B,'BASE DATOS PRECIOS '!F:F)</f>
        <v/>
      </c>
      <c r="H763" s="249">
        <f>+_xlfn.XLOOKUP(E763,'BASE DATOS PRECIOS '!E:E,'BASE DATOS PRECIOS '!H:H)</f>
        <v/>
      </c>
      <c r="I763" s="250" t="n"/>
      <c r="J763" s="250" t="n"/>
      <c r="K763" s="249">
        <f>+F763*H763</f>
        <v/>
      </c>
      <c r="L763" s="249">
        <f>+F763*I763</f>
        <v/>
      </c>
      <c r="M763" s="249">
        <f>+F763*J763</f>
        <v/>
      </c>
      <c r="N763" s="249">
        <f>SUM(K763:M763)</f>
        <v/>
      </c>
      <c r="O763" s="251">
        <f>SUM(K763:M763)/tc</f>
        <v/>
      </c>
    </row>
    <row r="764">
      <c r="A764" s="16" t="n"/>
      <c r="B764" s="1134">
        <f>VALUE(IF(AND(LEN(TRIM(C764))-LEN(SUBSTITUTE(TRIM(C764),".",""))=1,ISNUMBER(VALUE(SUBSTITUTE(TRIM(C764),".","")))),TRIM(C764),B763))</f>
        <v/>
      </c>
      <c r="C764" s="301" t="inlineStr">
        <is>
          <t>M05-0261</t>
        </is>
      </c>
      <c r="D764" s="302" t="inlineStr">
        <is>
          <t>03</t>
        </is>
      </c>
      <c r="E764" s="252">
        <f>+_xlfn.XLOOKUP(C764,'BASE DATOS PRECIOS '!B:B,'BASE DATOS PRECIOS '!E:E)</f>
        <v/>
      </c>
      <c r="F764" s="218">
        <f>+'3.1_ELEC'!E253</f>
        <v/>
      </c>
      <c r="G764" s="250">
        <f>+_xlfn.XLOOKUP(C764,'BASE DATOS PRECIOS '!B:B,'BASE DATOS PRECIOS '!F:F)</f>
        <v/>
      </c>
      <c r="H764" s="249">
        <f>+_xlfn.XLOOKUP(E764,'BASE DATOS PRECIOS '!E:E,'BASE DATOS PRECIOS '!H:H)</f>
        <v/>
      </c>
      <c r="I764" s="250" t="n"/>
      <c r="J764" s="250" t="n"/>
      <c r="K764" s="249">
        <f>+F764*H764</f>
        <v/>
      </c>
      <c r="L764" s="249">
        <f>+F764*I764</f>
        <v/>
      </c>
      <c r="M764" s="249">
        <f>+F764*J764</f>
        <v/>
      </c>
      <c r="N764" s="249">
        <f>SUM(K764:M764)</f>
        <v/>
      </c>
      <c r="O764" s="251">
        <f>SUM(K764:M764)/tc</f>
        <v/>
      </c>
    </row>
    <row r="765">
      <c r="A765" s="16" t="n"/>
      <c r="B765" s="1134">
        <f>VALUE(IF(AND(LEN(TRIM(C765))-LEN(SUBSTITUTE(TRIM(C765),".",""))=1,ISNUMBER(VALUE(SUBSTITUTE(TRIM(C765),".","")))),TRIM(C765),B764))</f>
        <v/>
      </c>
      <c r="C765" s="267" t="inlineStr">
        <is>
          <t>SUB CALENTADOR</t>
        </is>
      </c>
      <c r="D765" s="268" t="n"/>
      <c r="E765" s="269" t="inlineStr">
        <is>
          <t>M.O. CALENTADOR</t>
        </is>
      </c>
      <c r="F765" s="356" t="n">
        <v>1</v>
      </c>
      <c r="G765" s="271">
        <f>+_xlfn.XLOOKUP(C765,'BASE DATOS MANO DE OBRA'!A:A,'BASE DATOS MANO DE OBRA'!C:C)</f>
        <v/>
      </c>
      <c r="H765" s="358" t="n">
        <v>0</v>
      </c>
      <c r="I765" s="357" t="n"/>
      <c r="J765" s="358">
        <f>+'3.1_ELEC'!D336</f>
        <v/>
      </c>
      <c r="K765" s="358">
        <f>+F765*H765</f>
        <v/>
      </c>
      <c r="L765" s="358">
        <f>+F765*I765</f>
        <v/>
      </c>
      <c r="M765" s="358">
        <f>+F765*J765</f>
        <v/>
      </c>
      <c r="N765" s="358">
        <f>SUM(K765:M765)</f>
        <v/>
      </c>
      <c r="O765" s="359">
        <f>SUM(K765:M765)/tc</f>
        <v/>
      </c>
    </row>
    <row r="766">
      <c r="A766" s="16" t="n"/>
      <c r="B766" s="1134">
        <f>VALUE(IF(AND(LEN(TRIM(C766))-LEN(SUBSTITUTE(TRIM(C766),".",""))=1,ISNUMBER(VALUE(SUBSTITUTE(TRIM(C766),".","")))),TRIM(C766),B765))</f>
        <v/>
      </c>
      <c r="C766" s="267" t="inlineStr">
        <is>
          <t xml:space="preserve">SUB CABLEADO </t>
        </is>
      </c>
      <c r="D766" s="371" t="n"/>
      <c r="E766" s="269">
        <f>+_xlfn.XLOOKUP(C766,'BASE DATOS EQUIPOS Y SUBCONTRAT'!A:A,'BASE DATOS EQUIPOS Y SUBCONTRAT'!B:B)</f>
        <v/>
      </c>
      <c r="F766" s="356" t="n">
        <v>1</v>
      </c>
      <c r="G766" s="357">
        <f>+_xlfn.XLOOKUP(C766,'BASE DATOS EQUIPOS Y SUBCONTRAT'!A:A,'BASE DATOS EQUIPOS Y SUBCONTRAT'!C:C)</f>
        <v/>
      </c>
      <c r="H766" s="358" t="n">
        <v>0</v>
      </c>
      <c r="I766" s="357" t="n"/>
      <c r="J766" s="358">
        <f>+'3.1_ELEC'!D262</f>
        <v/>
      </c>
      <c r="K766" s="358">
        <f>+F766*H766</f>
        <v/>
      </c>
      <c r="L766" s="358">
        <f>+F766*I766</f>
        <v/>
      </c>
      <c r="M766" s="358">
        <f>+F766*J766</f>
        <v/>
      </c>
      <c r="N766" s="358">
        <f>SUM(K766:M766)</f>
        <v/>
      </c>
      <c r="O766" s="359">
        <f>SUM(K766:M766)/tc</f>
        <v/>
      </c>
    </row>
    <row r="767">
      <c r="A767" s="16" t="n"/>
      <c r="B767" s="1134">
        <f>VALUE(IF(AND(LEN(TRIM(C767))-LEN(SUBSTITUTE(TRIM(C767),".",""))=1,ISNUMBER(VALUE(SUBSTITUTE(TRIM(C767),".","")))),TRIM(C767),B766))</f>
        <v/>
      </c>
      <c r="C767" s="267" t="inlineStr">
        <is>
          <t xml:space="preserve">OPERARIO </t>
        </is>
      </c>
      <c r="D767" s="268" t="n"/>
      <c r="E767" s="269">
        <f>+_xlfn.XLOOKUP(C767,'BASE DATOS MANO DE OBRA'!A:A,'BASE DATOS MANO DE OBRA'!B:B)</f>
        <v/>
      </c>
      <c r="F767" s="270" t="n">
        <v>0</v>
      </c>
      <c r="G767" s="271">
        <f>+_xlfn.XLOOKUP(C767,'BASE DATOS MANO DE OBRA'!A:A,'BASE DATOS MANO DE OBRA'!C:C)</f>
        <v/>
      </c>
      <c r="H767" s="272" t="n">
        <v>0</v>
      </c>
      <c r="I767" s="272">
        <f>+_xlfn.XLOOKUP(C767,'BASE DATOS MANO DE OBRA'!A:A,'BASE DATOS MANO DE OBRA'!E:E)</f>
        <v/>
      </c>
      <c r="J767" s="272" t="n">
        <v>0</v>
      </c>
      <c r="K767" s="272">
        <f>+F767*H767</f>
        <v/>
      </c>
      <c r="L767" s="272">
        <f>+F767*I767</f>
        <v/>
      </c>
      <c r="M767" s="272">
        <f>+F767*J767</f>
        <v/>
      </c>
      <c r="N767" s="272">
        <f>SUM(K767:M767)</f>
        <v/>
      </c>
      <c r="O767" s="273">
        <f>SUM(K767:M767)/tc</f>
        <v/>
      </c>
    </row>
    <row r="768">
      <c r="A768" s="16" t="n"/>
      <c r="B768" s="1134">
        <f>VALUE(IF(AND(LEN(TRIM(C768))-LEN(SUBSTITUTE(TRIM(C768),".",""))=1,ISNUMBER(VALUE(SUBSTITUTE(TRIM(C768),".","")))),TRIM(C768),B767))</f>
        <v/>
      </c>
      <c r="C768" s="267" t="inlineStr">
        <is>
          <t xml:space="preserve">AYUDANTE </t>
        </is>
      </c>
      <c r="D768" s="268" t="n"/>
      <c r="E768" s="269">
        <f>+_xlfn.XLOOKUP(C768,'BASE DATOS MANO DE OBRA'!A:A,'BASE DATOS MANO DE OBRA'!B:B)</f>
        <v/>
      </c>
      <c r="F768" s="270" t="n">
        <v>0</v>
      </c>
      <c r="G768" s="271">
        <f>+_xlfn.XLOOKUP(C768,'BASE DATOS MANO DE OBRA'!A:A,'BASE DATOS MANO DE OBRA'!C:C)</f>
        <v/>
      </c>
      <c r="H768" s="272" t="n">
        <v>0</v>
      </c>
      <c r="I768" s="272">
        <f>+_xlfn.XLOOKUP(C768,'BASE DATOS MANO DE OBRA'!A:A,'BASE DATOS MANO DE OBRA'!E:E)</f>
        <v/>
      </c>
      <c r="J768" s="272" t="n">
        <v>0</v>
      </c>
      <c r="K768" s="272">
        <f>+F768*H768</f>
        <v/>
      </c>
      <c r="L768" s="272">
        <f>+F768*I768</f>
        <v/>
      </c>
      <c r="M768" s="272">
        <f>+F768*J768</f>
        <v/>
      </c>
      <c r="N768" s="272">
        <f>SUM(K768:M768)</f>
        <v/>
      </c>
      <c r="O768" s="273">
        <f>SUM(K768:M768)/tc</f>
        <v/>
      </c>
    </row>
    <row r="769">
      <c r="A769" s="16" t="n"/>
      <c r="B769" s="1134">
        <f>VALUE(IF(AND(LEN(TRIM(C769))-LEN(SUBSTITUTE(TRIM(C769),".",""))=1,ISNUMBER(VALUE(SUBSTITUTE(TRIM(C769),".","")))),TRIM(C769),B768))</f>
        <v/>
      </c>
      <c r="C769" s="234" t="inlineStr">
        <is>
          <t>3.1.9</t>
        </is>
      </c>
      <c r="D769" s="235" t="n"/>
      <c r="E769" s="236" t="inlineStr">
        <is>
          <t xml:space="preserve">PLAQUERIA </t>
        </is>
      </c>
      <c r="F769" s="237" t="n">
        <v>1</v>
      </c>
      <c r="G769" s="235" t="inlineStr">
        <is>
          <t>gb</t>
        </is>
      </c>
      <c r="H769" s="235" t="n"/>
      <c r="I769" s="235" t="n"/>
      <c r="J769" s="235" t="n"/>
      <c r="K769" s="238">
        <f>+SUBTOTAL(9,K770:K799)</f>
        <v/>
      </c>
      <c r="L769" s="238">
        <f>+SUBTOTAL(9,L770:L799)</f>
        <v/>
      </c>
      <c r="M769" s="238">
        <f>+SUBTOTAL(9,M770:M799)</f>
        <v/>
      </c>
      <c r="N769" s="238">
        <f>+SUBTOTAL(9,N770:N799)</f>
        <v/>
      </c>
      <c r="O769" s="1136">
        <f>+SUBTOTAL(9,O770:O799)</f>
        <v/>
      </c>
    </row>
    <row r="770">
      <c r="A770" s="16" t="n"/>
      <c r="B770" s="1134">
        <f>VALUE(IF(AND(LEN(TRIM(C770))-LEN(SUBSTITUTE(TRIM(C770),".",""))=1,ISNUMBER(VALUE(SUBSTITUTE(TRIM(C770),".","")))),TRIM(C770),B769))</f>
        <v/>
      </c>
      <c r="C770" s="301" t="inlineStr">
        <is>
          <t>M05-0230</t>
        </is>
      </c>
      <c r="D770" s="302" t="n"/>
      <c r="E770" s="252">
        <f>+_xlfn.XLOOKUP(C770,'BASE DATOS PRECIOS '!B:B,'BASE DATOS PRECIOS '!E:E)</f>
        <v/>
      </c>
      <c r="F770" s="218">
        <f>'3.1_ELEC'!E269</f>
        <v/>
      </c>
      <c r="G770" s="250">
        <f>+_xlfn.XLOOKUP(C770,'BASE DATOS PRECIOS '!B:B,'BASE DATOS PRECIOS '!F:F)</f>
        <v/>
      </c>
      <c r="H770" s="249">
        <f>+_xlfn.XLOOKUP(E770,'BASE DATOS PRECIOS '!E:E,'BASE DATOS PRECIOS '!H:H)</f>
        <v/>
      </c>
      <c r="I770" s="250" t="n"/>
      <c r="J770" s="250" t="n"/>
      <c r="K770" s="249">
        <f>+F770*H770</f>
        <v/>
      </c>
      <c r="L770" s="249">
        <f>+F770*I770</f>
        <v/>
      </c>
      <c r="M770" s="249">
        <f>+F770*J770</f>
        <v/>
      </c>
      <c r="N770" s="249">
        <f>SUM(K770:M770)</f>
        <v/>
      </c>
      <c r="O770" s="251">
        <f>SUM(K770:M770)/tc</f>
        <v/>
      </c>
    </row>
    <row r="771">
      <c r="A771" s="16" t="n"/>
      <c r="B771" s="1134">
        <f>VALUE(IF(AND(LEN(TRIM(C771))-LEN(SUBSTITUTE(TRIM(C771),".",""))=1,ISNUMBER(VALUE(SUBSTITUTE(TRIM(C771),".","")))),TRIM(C771),B770))</f>
        <v/>
      </c>
      <c r="C771" s="274" t="inlineStr">
        <is>
          <t>M05-0231</t>
        </is>
      </c>
      <c r="D771" s="275" t="n"/>
      <c r="E771" s="252">
        <f>+_xlfn.XLOOKUP(C771,'BASE DATOS PRECIOS '!B:B,'BASE DATOS PRECIOS '!E:E)</f>
        <v/>
      </c>
      <c r="F771" s="218">
        <f>'3.1_ELEC'!E270</f>
        <v/>
      </c>
      <c r="G771" s="250">
        <f>+_xlfn.XLOOKUP(C771,'BASE DATOS PRECIOS '!B:B,'BASE DATOS PRECIOS '!F:F)</f>
        <v/>
      </c>
      <c r="H771" s="249">
        <f>+_xlfn.XLOOKUP(E771,'BASE DATOS PRECIOS '!E:E,'BASE DATOS PRECIOS '!H:H)</f>
        <v/>
      </c>
      <c r="I771" s="250" t="n"/>
      <c r="J771" s="250" t="n"/>
      <c r="K771" s="249">
        <f>+F771*H771</f>
        <v/>
      </c>
      <c r="L771" s="249">
        <f>+F771*I771</f>
        <v/>
      </c>
      <c r="M771" s="249">
        <f>+F771*J771</f>
        <v/>
      </c>
      <c r="N771" s="249">
        <f>SUM(K771:M771)</f>
        <v/>
      </c>
      <c r="O771" s="251">
        <f>SUM(K771:M771)/tc</f>
        <v/>
      </c>
    </row>
    <row r="772">
      <c r="A772" s="16" t="n"/>
      <c r="B772" s="1134">
        <f>VALUE(IF(AND(LEN(TRIM(C772))-LEN(SUBSTITUTE(TRIM(C772),".",""))=1,ISNUMBER(VALUE(SUBSTITUTE(TRIM(C772),".","")))),TRIM(C772),B771))</f>
        <v/>
      </c>
      <c r="C772" s="274" t="inlineStr">
        <is>
          <t>M05-0232</t>
        </is>
      </c>
      <c r="D772" s="275" t="n"/>
      <c r="E772" s="252">
        <f>+_xlfn.XLOOKUP(C772,'BASE DATOS PRECIOS '!B:B,'BASE DATOS PRECIOS '!E:E)</f>
        <v/>
      </c>
      <c r="F772" s="218">
        <f>'3.1_ELEC'!E271</f>
        <v/>
      </c>
      <c r="G772" s="250">
        <f>+_xlfn.XLOOKUP(C772,'BASE DATOS PRECIOS '!B:B,'BASE DATOS PRECIOS '!F:F)</f>
        <v/>
      </c>
      <c r="H772" s="249">
        <f>+_xlfn.XLOOKUP(E772,'BASE DATOS PRECIOS '!E:E,'BASE DATOS PRECIOS '!H:H)</f>
        <v/>
      </c>
      <c r="I772" s="250" t="n"/>
      <c r="J772" s="250" t="n"/>
      <c r="K772" s="249">
        <f>+F772*H772</f>
        <v/>
      </c>
      <c r="L772" s="249">
        <f>+F772*I772</f>
        <v/>
      </c>
      <c r="M772" s="249">
        <f>+F772*J772</f>
        <v/>
      </c>
      <c r="N772" s="249">
        <f>SUM(K772:M772)</f>
        <v/>
      </c>
      <c r="O772" s="251">
        <f>SUM(K772:M772)/tc</f>
        <v/>
      </c>
    </row>
    <row r="773">
      <c r="A773" s="16" t="n"/>
      <c r="B773" s="1134">
        <f>VALUE(IF(AND(LEN(TRIM(C773))-LEN(SUBSTITUTE(TRIM(C773),".",""))=1,ISNUMBER(VALUE(SUBSTITUTE(TRIM(C773),".","")))),TRIM(C773),B772))</f>
        <v/>
      </c>
      <c r="C773" s="274" t="inlineStr">
        <is>
          <t>M05-0233</t>
        </is>
      </c>
      <c r="D773" s="275" t="n"/>
      <c r="E773" s="252">
        <f>+_xlfn.XLOOKUP(C773,'BASE DATOS PRECIOS '!B:B,'BASE DATOS PRECIOS '!E:E)</f>
        <v/>
      </c>
      <c r="F773" s="218">
        <f>'3.1_ELEC'!E272</f>
        <v/>
      </c>
      <c r="G773" s="250">
        <f>+_xlfn.XLOOKUP(C773,'BASE DATOS PRECIOS '!B:B,'BASE DATOS PRECIOS '!F:F)</f>
        <v/>
      </c>
      <c r="H773" s="249">
        <f>+_xlfn.XLOOKUP(E773,'BASE DATOS PRECIOS '!E:E,'BASE DATOS PRECIOS '!H:H)</f>
        <v/>
      </c>
      <c r="I773" s="250" t="n"/>
      <c r="J773" s="250" t="n"/>
      <c r="K773" s="249">
        <f>+F773*H773</f>
        <v/>
      </c>
      <c r="L773" s="249">
        <f>+F773*I773</f>
        <v/>
      </c>
      <c r="M773" s="249">
        <f>+F773*J773</f>
        <v/>
      </c>
      <c r="N773" s="249">
        <f>SUM(K773:M773)</f>
        <v/>
      </c>
      <c r="O773" s="251">
        <f>SUM(K773:M773)/tc</f>
        <v/>
      </c>
    </row>
    <row r="774">
      <c r="A774" s="16" t="n"/>
      <c r="B774" s="1134">
        <f>VALUE(IF(AND(LEN(TRIM(C774))-LEN(SUBSTITUTE(TRIM(C774),".",""))=1,ISNUMBER(VALUE(SUBSTITUTE(TRIM(C774),".","")))),TRIM(C774),B773))</f>
        <v/>
      </c>
      <c r="C774" s="301" t="inlineStr">
        <is>
          <t>M05-0234</t>
        </is>
      </c>
      <c r="D774" s="302" t="n"/>
      <c r="E774" s="252">
        <f>+_xlfn.XLOOKUP(C774,'BASE DATOS PRECIOS '!B:B,'BASE DATOS PRECIOS '!E:E)</f>
        <v/>
      </c>
      <c r="F774" s="218">
        <f>'3.1_ELEC'!E273</f>
        <v/>
      </c>
      <c r="G774" s="250">
        <f>+_xlfn.XLOOKUP(C774,'BASE DATOS PRECIOS '!B:B,'BASE DATOS PRECIOS '!F:F)</f>
        <v/>
      </c>
      <c r="H774" s="249">
        <f>+_xlfn.XLOOKUP(E774,'BASE DATOS PRECIOS '!E:E,'BASE DATOS PRECIOS '!H:H)</f>
        <v/>
      </c>
      <c r="I774" s="250" t="n"/>
      <c r="J774" s="250" t="n"/>
      <c r="K774" s="249">
        <f>+F774*H774</f>
        <v/>
      </c>
      <c r="L774" s="249">
        <f>+F774*I774</f>
        <v/>
      </c>
      <c r="M774" s="249">
        <f>+F774*J774</f>
        <v/>
      </c>
      <c r="N774" s="249">
        <f>SUM(K774:M774)</f>
        <v/>
      </c>
      <c r="O774" s="251">
        <f>SUM(K774:M774)/tc</f>
        <v/>
      </c>
    </row>
    <row r="775">
      <c r="A775" s="16" t="n"/>
      <c r="B775" s="1134">
        <f>VALUE(IF(AND(LEN(TRIM(C775))-LEN(SUBSTITUTE(TRIM(C775),".",""))=1,ISNUMBER(VALUE(SUBSTITUTE(TRIM(C775),".","")))),TRIM(C775),B774))</f>
        <v/>
      </c>
      <c r="C775" s="274" t="inlineStr">
        <is>
          <t>M05-0235</t>
        </is>
      </c>
      <c r="D775" s="275" t="n"/>
      <c r="E775" s="252">
        <f>+_xlfn.XLOOKUP(C775,'BASE DATOS PRECIOS '!B:B,'BASE DATOS PRECIOS '!E:E)</f>
        <v/>
      </c>
      <c r="F775" s="218">
        <f>'3.1_ELEC'!E274</f>
        <v/>
      </c>
      <c r="G775" s="250">
        <f>+_xlfn.XLOOKUP(C775,'BASE DATOS PRECIOS '!B:B,'BASE DATOS PRECIOS '!F:F)</f>
        <v/>
      </c>
      <c r="H775" s="249">
        <f>+_xlfn.XLOOKUP(E775,'BASE DATOS PRECIOS '!E:E,'BASE DATOS PRECIOS '!H:H)</f>
        <v/>
      </c>
      <c r="I775" s="250" t="n"/>
      <c r="J775" s="250" t="n"/>
      <c r="K775" s="249">
        <f>+F775*H775</f>
        <v/>
      </c>
      <c r="L775" s="249">
        <f>+F775*I775</f>
        <v/>
      </c>
      <c r="M775" s="249">
        <f>+F775*J775</f>
        <v/>
      </c>
      <c r="N775" s="249">
        <f>SUM(K775:M775)</f>
        <v/>
      </c>
      <c r="O775" s="251">
        <f>SUM(K775:M775)/tc</f>
        <v/>
      </c>
    </row>
    <row r="776">
      <c r="A776" s="16" t="n"/>
      <c r="B776" s="1134">
        <f>VALUE(IF(AND(LEN(TRIM(C776))-LEN(SUBSTITUTE(TRIM(C776),".",""))=1,ISNUMBER(VALUE(SUBSTITUTE(TRIM(C776),".","")))),TRIM(C776),B775))</f>
        <v/>
      </c>
      <c r="C776" s="274" t="inlineStr">
        <is>
          <t>M05-0236</t>
        </is>
      </c>
      <c r="D776" s="275" t="n"/>
      <c r="E776" s="252">
        <f>+_xlfn.XLOOKUP(C776,'BASE DATOS PRECIOS '!B:B,'BASE DATOS PRECIOS '!E:E)</f>
        <v/>
      </c>
      <c r="F776" s="218">
        <f>'3.1_ELEC'!E275</f>
        <v/>
      </c>
      <c r="G776" s="250">
        <f>+_xlfn.XLOOKUP(C776,'BASE DATOS PRECIOS '!B:B,'BASE DATOS PRECIOS '!F:F)</f>
        <v/>
      </c>
      <c r="H776" s="249">
        <f>+_xlfn.XLOOKUP(E776,'BASE DATOS PRECIOS '!E:E,'BASE DATOS PRECIOS '!H:H)</f>
        <v/>
      </c>
      <c r="I776" s="250" t="n"/>
      <c r="J776" s="250" t="n"/>
      <c r="K776" s="249">
        <f>+F776*H776</f>
        <v/>
      </c>
      <c r="L776" s="249">
        <f>+F776*I776</f>
        <v/>
      </c>
      <c r="M776" s="249">
        <f>+F776*J776</f>
        <v/>
      </c>
      <c r="N776" s="249">
        <f>SUM(K776:M776)</f>
        <v/>
      </c>
      <c r="O776" s="251">
        <f>SUM(K776:M776)/tc</f>
        <v/>
      </c>
    </row>
    <row r="777">
      <c r="A777" s="16" t="n"/>
      <c r="B777" s="1134">
        <f>VALUE(IF(AND(LEN(TRIM(C777))-LEN(SUBSTITUTE(TRIM(C777),".",""))=1,ISNUMBER(VALUE(SUBSTITUTE(TRIM(C777),".","")))),TRIM(C777),B776))</f>
        <v/>
      </c>
      <c r="C777" s="274" t="inlineStr">
        <is>
          <t>M05-0387</t>
        </is>
      </c>
      <c r="D777" s="275" t="n"/>
      <c r="E777" s="252">
        <f>+_xlfn.XLOOKUP(C777,'BASE DATOS PRECIOS '!B:B,'BASE DATOS PRECIOS '!E:E)</f>
        <v/>
      </c>
      <c r="F777" s="218">
        <f>'3.1_ELEC'!E276</f>
        <v/>
      </c>
      <c r="G777" s="250">
        <f>+_xlfn.XLOOKUP(C777,'BASE DATOS PRECIOS '!B:B,'BASE DATOS PRECIOS '!F:F)</f>
        <v/>
      </c>
      <c r="H777" s="249">
        <f>+_xlfn.XLOOKUP(E777,'BASE DATOS PRECIOS '!E:E,'BASE DATOS PRECIOS '!H:H)</f>
        <v/>
      </c>
      <c r="I777" s="250" t="n"/>
      <c r="J777" s="250" t="n"/>
      <c r="K777" s="249">
        <f>+F777*H777</f>
        <v/>
      </c>
      <c r="L777" s="249">
        <f>+F777*I777</f>
        <v/>
      </c>
      <c r="M777" s="249">
        <f>+F777*J777</f>
        <v/>
      </c>
      <c r="N777" s="249">
        <f>SUM(K777:M777)</f>
        <v/>
      </c>
      <c r="O777" s="251">
        <f>SUM(K777:M777)/tc</f>
        <v/>
      </c>
    </row>
    <row r="778">
      <c r="A778" s="16" t="n"/>
      <c r="B778" s="1134">
        <f>VALUE(IF(AND(LEN(TRIM(C778))-LEN(SUBSTITUTE(TRIM(C778),".",""))=1,ISNUMBER(VALUE(SUBSTITUTE(TRIM(C778),".","")))),TRIM(C778),B777))</f>
        <v/>
      </c>
      <c r="C778" s="274" t="inlineStr">
        <is>
          <t>M05-0436</t>
        </is>
      </c>
      <c r="D778" s="275" t="n"/>
      <c r="E778" s="252">
        <f>+_xlfn.XLOOKUP(C778,'BASE DATOS PRECIOS '!B:B,'BASE DATOS PRECIOS '!E:E)</f>
        <v/>
      </c>
      <c r="F778" s="218">
        <f>'3.1_ELEC'!E277</f>
        <v/>
      </c>
      <c r="G778" s="250">
        <f>+_xlfn.XLOOKUP(C778,'BASE DATOS PRECIOS '!B:B,'BASE DATOS PRECIOS '!F:F)</f>
        <v/>
      </c>
      <c r="H778" s="249">
        <f>+_xlfn.XLOOKUP(E778,'BASE DATOS PRECIOS '!E:E,'BASE DATOS PRECIOS '!H:H)</f>
        <v/>
      </c>
      <c r="I778" s="250" t="n"/>
      <c r="J778" s="250" t="n"/>
      <c r="K778" s="249">
        <f>+F778*H778</f>
        <v/>
      </c>
      <c r="L778" s="249">
        <f>+F778*I778</f>
        <v/>
      </c>
      <c r="M778" s="249">
        <f>+F778*J778</f>
        <v/>
      </c>
      <c r="N778" s="249">
        <f>SUM(K778:M778)</f>
        <v/>
      </c>
      <c r="O778" s="251">
        <f>SUM(K778:M778)/tc</f>
        <v/>
      </c>
    </row>
    <row r="779">
      <c r="A779" s="16" t="n"/>
      <c r="B779" s="1134">
        <f>VALUE(IF(AND(LEN(TRIM(C779))-LEN(SUBSTITUTE(TRIM(C779),".",""))=1,ISNUMBER(VALUE(SUBSTITUTE(TRIM(C779),".","")))),TRIM(C779),B778))</f>
        <v/>
      </c>
      <c r="C779" s="274" t="inlineStr">
        <is>
          <t>M05-0238</t>
        </is>
      </c>
      <c r="D779" s="275" t="n"/>
      <c r="E779" s="252">
        <f>+_xlfn.XLOOKUP(C779,'BASE DATOS PRECIOS '!B:B,'BASE DATOS PRECIOS '!E:E)</f>
        <v/>
      </c>
      <c r="F779" s="218">
        <f>'3.1_ELEC'!E278</f>
        <v/>
      </c>
      <c r="G779" s="250">
        <f>+_xlfn.XLOOKUP(C779,'BASE DATOS PRECIOS '!B:B,'BASE DATOS PRECIOS '!F:F)</f>
        <v/>
      </c>
      <c r="H779" s="249">
        <f>+_xlfn.XLOOKUP(E779,'BASE DATOS PRECIOS '!E:E,'BASE DATOS PRECIOS '!H:H)</f>
        <v/>
      </c>
      <c r="I779" s="250" t="n"/>
      <c r="J779" s="250" t="n"/>
      <c r="K779" s="249">
        <f>+F779*H779</f>
        <v/>
      </c>
      <c r="L779" s="249">
        <f>+F779*I779</f>
        <v/>
      </c>
      <c r="M779" s="249">
        <f>+F779*J779</f>
        <v/>
      </c>
      <c r="N779" s="249">
        <f>SUM(K779:M779)</f>
        <v/>
      </c>
      <c r="O779" s="251">
        <f>SUM(K779:M779)/tc</f>
        <v/>
      </c>
    </row>
    <row r="780">
      <c r="A780" s="16" t="n"/>
      <c r="B780" s="1134">
        <f>VALUE(IF(AND(LEN(TRIM(C780))-LEN(SUBSTITUTE(TRIM(C780),".",""))=1,ISNUMBER(VALUE(SUBSTITUTE(TRIM(C780),".","")))),TRIM(C780),B779))</f>
        <v/>
      </c>
      <c r="C780" s="301" t="inlineStr">
        <is>
          <t>M05-0239</t>
        </is>
      </c>
      <c r="D780" s="302" t="n"/>
      <c r="E780" s="252">
        <f>+_xlfn.XLOOKUP(C780,'BASE DATOS PRECIOS '!B:B,'BASE DATOS PRECIOS '!E:E)</f>
        <v/>
      </c>
      <c r="F780" s="218">
        <f>'3.1_ELEC'!E279</f>
        <v/>
      </c>
      <c r="G780" s="250">
        <f>+_xlfn.XLOOKUP(C780,'BASE DATOS PRECIOS '!B:B,'BASE DATOS PRECIOS '!F:F)</f>
        <v/>
      </c>
      <c r="H780" s="249">
        <f>+_xlfn.XLOOKUP(E780,'BASE DATOS PRECIOS '!E:E,'BASE DATOS PRECIOS '!H:H)</f>
        <v/>
      </c>
      <c r="I780" s="250" t="n"/>
      <c r="J780" s="250" t="n"/>
      <c r="K780" s="249">
        <f>+F780*H780</f>
        <v/>
      </c>
      <c r="L780" s="249">
        <f>+F780*I780</f>
        <v/>
      </c>
      <c r="M780" s="249">
        <f>+F780*J780</f>
        <v/>
      </c>
      <c r="N780" s="249">
        <f>SUM(K780:M780)</f>
        <v/>
      </c>
      <c r="O780" s="251">
        <f>SUM(K780:M780)/tc</f>
        <v/>
      </c>
    </row>
    <row r="781">
      <c r="A781" s="16" t="n"/>
      <c r="B781" s="1134">
        <f>VALUE(IF(AND(LEN(TRIM(C781))-LEN(SUBSTITUTE(TRIM(C781),".",""))=1,ISNUMBER(VALUE(SUBSTITUTE(TRIM(C781),".","")))),TRIM(C781),B780))</f>
        <v/>
      </c>
      <c r="C781" s="274" t="inlineStr">
        <is>
          <t>M05-0240</t>
        </is>
      </c>
      <c r="D781" s="275" t="n"/>
      <c r="E781" s="252">
        <f>+_xlfn.XLOOKUP(C781,'BASE DATOS PRECIOS '!B:B,'BASE DATOS PRECIOS '!E:E)</f>
        <v/>
      </c>
      <c r="F781" s="218">
        <f>'3.1_ELEC'!E280</f>
        <v/>
      </c>
      <c r="G781" s="250">
        <f>+_xlfn.XLOOKUP(C781,'BASE DATOS PRECIOS '!B:B,'BASE DATOS PRECIOS '!F:F)</f>
        <v/>
      </c>
      <c r="H781" s="249">
        <f>+_xlfn.XLOOKUP(E781,'BASE DATOS PRECIOS '!E:E,'BASE DATOS PRECIOS '!H:H)</f>
        <v/>
      </c>
      <c r="I781" s="250" t="n"/>
      <c r="J781" s="250" t="n"/>
      <c r="K781" s="249">
        <f>+F781*H781</f>
        <v/>
      </c>
      <c r="L781" s="249">
        <f>+F781*I781</f>
        <v/>
      </c>
      <c r="M781" s="249">
        <f>+F781*J781</f>
        <v/>
      </c>
      <c r="N781" s="249">
        <f>SUM(K781:M781)</f>
        <v/>
      </c>
      <c r="O781" s="251">
        <f>SUM(K781:M781)/tc</f>
        <v/>
      </c>
    </row>
    <row r="782">
      <c r="A782" s="16" t="n"/>
      <c r="B782" s="1134">
        <f>VALUE(IF(AND(LEN(TRIM(C782))-LEN(SUBSTITUTE(TRIM(C782),".",""))=1,ISNUMBER(VALUE(SUBSTITUTE(TRIM(C782),".","")))),TRIM(C782),B781))</f>
        <v/>
      </c>
      <c r="C782" s="274" t="inlineStr">
        <is>
          <t>M05-0458</t>
        </is>
      </c>
      <c r="D782" s="275" t="n"/>
      <c r="E782" s="252">
        <f>+_xlfn.XLOOKUP(C782,'BASE DATOS PRECIOS '!B:B,'BASE DATOS PRECIOS '!E:E)</f>
        <v/>
      </c>
      <c r="F782" s="218">
        <f>'3.1_ELEC'!E281</f>
        <v/>
      </c>
      <c r="G782" s="250">
        <f>+_xlfn.XLOOKUP(C782,'BASE DATOS PRECIOS '!B:B,'BASE DATOS PRECIOS '!F:F)</f>
        <v/>
      </c>
      <c r="H782" s="249">
        <f>+_xlfn.XLOOKUP(E782,'BASE DATOS PRECIOS '!E:E,'BASE DATOS PRECIOS '!H:H)</f>
        <v/>
      </c>
      <c r="I782" s="250" t="n"/>
      <c r="J782" s="250" t="n"/>
      <c r="K782" s="249">
        <f>+F782*H782</f>
        <v/>
      </c>
      <c r="L782" s="249">
        <f>+F782*I782</f>
        <v/>
      </c>
      <c r="M782" s="249">
        <f>+F782*J782</f>
        <v/>
      </c>
      <c r="N782" s="249">
        <f>SUM(K782:M782)</f>
        <v/>
      </c>
      <c r="O782" s="251">
        <f>SUM(K782:M782)/tc</f>
        <v/>
      </c>
    </row>
    <row r="783">
      <c r="A783" s="16" t="n"/>
      <c r="B783" s="1134">
        <f>VALUE(IF(AND(LEN(TRIM(C783))-LEN(SUBSTITUTE(TRIM(C783),".",""))=1,ISNUMBER(VALUE(SUBSTITUTE(TRIM(C783),".","")))),TRIM(C783),B782))</f>
        <v/>
      </c>
      <c r="C783" s="274" t="inlineStr">
        <is>
          <t>M05-0482</t>
        </is>
      </c>
      <c r="D783" s="275" t="n"/>
      <c r="E783" s="252">
        <f>+_xlfn.XLOOKUP(C783,'BASE DATOS PRECIOS '!B:B,'BASE DATOS PRECIOS '!E:E)</f>
        <v/>
      </c>
      <c r="F783" s="218">
        <f>'3.1_ELEC'!E282</f>
        <v/>
      </c>
      <c r="G783" s="250">
        <f>+_xlfn.XLOOKUP(C783,'BASE DATOS PRECIOS '!B:B,'BASE DATOS PRECIOS '!F:F)</f>
        <v/>
      </c>
      <c r="H783" s="249">
        <f>+_xlfn.XLOOKUP(E783,'BASE DATOS PRECIOS '!E:E,'BASE DATOS PRECIOS '!H:H)</f>
        <v/>
      </c>
      <c r="I783" s="250" t="n"/>
      <c r="J783" s="250" t="n"/>
      <c r="K783" s="249">
        <f>+F783*H783</f>
        <v/>
      </c>
      <c r="L783" s="249">
        <f>+F783*I783</f>
        <v/>
      </c>
      <c r="M783" s="249">
        <f>+F783*J783</f>
        <v/>
      </c>
      <c r="N783" s="249">
        <f>SUM(K783:M783)</f>
        <v/>
      </c>
      <c r="O783" s="251">
        <f>SUM(K783:M783)/tc</f>
        <v/>
      </c>
    </row>
    <row r="784">
      <c r="A784" s="16" t="n"/>
      <c r="B784" s="1134">
        <f>VALUE(IF(AND(LEN(TRIM(C784))-LEN(SUBSTITUTE(TRIM(C784),".",""))=1,ISNUMBER(VALUE(SUBSTITUTE(TRIM(C784),".","")))),TRIM(C784),B783))</f>
        <v/>
      </c>
      <c r="C784" s="301" t="inlineStr">
        <is>
          <t>M05-0242</t>
        </is>
      </c>
      <c r="D784" s="302" t="n"/>
      <c r="E784" s="252">
        <f>+_xlfn.XLOOKUP(C784,'BASE DATOS PRECIOS '!B:B,'BASE DATOS PRECIOS '!E:E)</f>
        <v/>
      </c>
      <c r="F784" s="218">
        <f>'3.1_ELEC'!E283</f>
        <v/>
      </c>
      <c r="G784" s="250">
        <f>+_xlfn.XLOOKUP(C784,'BASE DATOS PRECIOS '!B:B,'BASE DATOS PRECIOS '!F:F)</f>
        <v/>
      </c>
      <c r="H784" s="249">
        <f>+_xlfn.XLOOKUP(E784,'BASE DATOS PRECIOS '!E:E,'BASE DATOS PRECIOS '!H:H)</f>
        <v/>
      </c>
      <c r="I784" s="250" t="n"/>
      <c r="J784" s="250" t="n"/>
      <c r="K784" s="249">
        <f>+F784*H784</f>
        <v/>
      </c>
      <c r="L784" s="249">
        <f>+F784*I784</f>
        <v/>
      </c>
      <c r="M784" s="249">
        <f>+F784*J784</f>
        <v/>
      </c>
      <c r="N784" s="249">
        <f>SUM(K784:M784)</f>
        <v/>
      </c>
      <c r="O784" s="251">
        <f>SUM(K784:M784)/tc</f>
        <v/>
      </c>
    </row>
    <row r="785">
      <c r="A785" s="16" t="n"/>
      <c r="B785" s="1134">
        <f>VALUE(IF(AND(LEN(TRIM(C785))-LEN(SUBSTITUTE(TRIM(C785),".",""))=1,ISNUMBER(VALUE(SUBSTITUTE(TRIM(C785),".","")))),TRIM(C785),B784))</f>
        <v/>
      </c>
      <c r="C785" s="274" t="inlineStr">
        <is>
          <t>M05-0446</t>
        </is>
      </c>
      <c r="D785" s="275" t="n"/>
      <c r="E785" s="252">
        <f>+_xlfn.XLOOKUP(C785,'BASE DATOS PRECIOS '!B:B,'BASE DATOS PRECIOS '!E:E)</f>
        <v/>
      </c>
      <c r="F785" s="218">
        <f>'3.1_ELEC'!E284</f>
        <v/>
      </c>
      <c r="G785" s="250">
        <f>+_xlfn.XLOOKUP(C785,'BASE DATOS PRECIOS '!B:B,'BASE DATOS PRECIOS '!F:F)</f>
        <v/>
      </c>
      <c r="H785" s="249">
        <f>+_xlfn.XLOOKUP(E785,'BASE DATOS PRECIOS '!E:E,'BASE DATOS PRECIOS '!H:H)</f>
        <v/>
      </c>
      <c r="I785" s="250" t="n"/>
      <c r="J785" s="250" t="n"/>
      <c r="K785" s="249">
        <f>+F785*H785</f>
        <v/>
      </c>
      <c r="L785" s="249">
        <f>+F785*I785</f>
        <v/>
      </c>
      <c r="M785" s="249">
        <f>+F785*J785</f>
        <v/>
      </c>
      <c r="N785" s="249">
        <f>SUM(K785:M785)</f>
        <v/>
      </c>
      <c r="O785" s="251">
        <f>SUM(K785:M785)/tc</f>
        <v/>
      </c>
    </row>
    <row r="786">
      <c r="A786" s="16" t="n"/>
      <c r="B786" s="1134">
        <f>VALUE(IF(AND(LEN(TRIM(C786))-LEN(SUBSTITUTE(TRIM(C786),".",""))=1,ISNUMBER(VALUE(SUBSTITUTE(TRIM(C786),".","")))),TRIM(C786),B785))</f>
        <v/>
      </c>
      <c r="C786" s="274" t="inlineStr">
        <is>
          <t>M05-0009</t>
        </is>
      </c>
      <c r="D786" s="275" t="n"/>
      <c r="E786" s="252">
        <f>+_xlfn.XLOOKUP(C786,'BASE DATOS PRECIOS '!B:B,'BASE DATOS PRECIOS '!E:E)</f>
        <v/>
      </c>
      <c r="F786" s="218">
        <f>'3.1_ELEC'!E285</f>
        <v/>
      </c>
      <c r="G786" s="250">
        <f>+_xlfn.XLOOKUP(C786,'BASE DATOS PRECIOS '!B:B,'BASE DATOS PRECIOS '!F:F)</f>
        <v/>
      </c>
      <c r="H786" s="249">
        <f>+_xlfn.XLOOKUP(E786,'BASE DATOS PRECIOS '!E:E,'BASE DATOS PRECIOS '!H:H)</f>
        <v/>
      </c>
      <c r="I786" s="250" t="n"/>
      <c r="J786" s="250" t="n"/>
      <c r="K786" s="249">
        <f>+F786*H786</f>
        <v/>
      </c>
      <c r="L786" s="249">
        <f>+F786*I786</f>
        <v/>
      </c>
      <c r="M786" s="249">
        <f>+F786*J786</f>
        <v/>
      </c>
      <c r="N786" s="249">
        <f>SUM(K786:M786)</f>
        <v/>
      </c>
      <c r="O786" s="251">
        <f>SUM(K786:M786)/tc</f>
        <v/>
      </c>
    </row>
    <row r="787">
      <c r="A787" s="16" t="n"/>
      <c r="B787" s="1134">
        <f>VALUE(IF(AND(LEN(TRIM(C787))-LEN(SUBSTITUTE(TRIM(C787),".",""))=1,ISNUMBER(VALUE(SUBSTITUTE(TRIM(C787),".","")))),TRIM(C787),B786))</f>
        <v/>
      </c>
      <c r="C787" s="274" t="inlineStr">
        <is>
          <t>M05-0012</t>
        </is>
      </c>
      <c r="D787" s="275" t="n"/>
      <c r="E787" s="252">
        <f>+_xlfn.XLOOKUP(C787,'BASE DATOS PRECIOS '!B:B,'BASE DATOS PRECIOS '!E:E)</f>
        <v/>
      </c>
      <c r="F787" s="218">
        <f>'3.1_ELEC'!E286</f>
        <v/>
      </c>
      <c r="G787" s="250">
        <f>+_xlfn.XLOOKUP(C787,'BASE DATOS PRECIOS '!B:B,'BASE DATOS PRECIOS '!F:F)</f>
        <v/>
      </c>
      <c r="H787" s="249">
        <f>+_xlfn.XLOOKUP(E787,'BASE DATOS PRECIOS '!E:E,'BASE DATOS PRECIOS '!H:H)</f>
        <v/>
      </c>
      <c r="I787" s="250" t="n"/>
      <c r="J787" s="250" t="n"/>
      <c r="K787" s="249">
        <f>+F787*H787</f>
        <v/>
      </c>
      <c r="L787" s="249">
        <f>+F787*I787</f>
        <v/>
      </c>
      <c r="M787" s="249">
        <f>+F787*J787</f>
        <v/>
      </c>
      <c r="N787" s="249">
        <f>SUM(K787:M787)</f>
        <v/>
      </c>
      <c r="O787" s="251">
        <f>SUM(K787:M787)/tc</f>
        <v/>
      </c>
    </row>
    <row r="788">
      <c r="A788" s="16" t="n"/>
      <c r="B788" s="1134">
        <f>VALUE(IF(AND(LEN(TRIM(C788))-LEN(SUBSTITUTE(TRIM(C788),".",""))=1,ISNUMBER(VALUE(SUBSTITUTE(TRIM(C788),".","")))),TRIM(C788),B787))</f>
        <v/>
      </c>
      <c r="C788" s="274" t="inlineStr">
        <is>
          <t>M05-0019</t>
        </is>
      </c>
      <c r="D788" s="275" t="n"/>
      <c r="E788" s="252">
        <f>+_xlfn.XLOOKUP(C788,'BASE DATOS PRECIOS '!B:B,'BASE DATOS PRECIOS '!E:E)</f>
        <v/>
      </c>
      <c r="F788" s="218">
        <f>'3.1_ELEC'!E287</f>
        <v/>
      </c>
      <c r="G788" s="250">
        <f>+_xlfn.XLOOKUP(C788,'BASE DATOS PRECIOS '!B:B,'BASE DATOS PRECIOS '!F:F)</f>
        <v/>
      </c>
      <c r="H788" s="249">
        <f>+_xlfn.XLOOKUP(E788,'BASE DATOS PRECIOS '!E:E,'BASE DATOS PRECIOS '!H:H)</f>
        <v/>
      </c>
      <c r="I788" s="250" t="n"/>
      <c r="J788" s="250" t="n"/>
      <c r="K788" s="249">
        <f>+F788*H788</f>
        <v/>
      </c>
      <c r="L788" s="249">
        <f>+F788*I788</f>
        <v/>
      </c>
      <c r="M788" s="249">
        <f>+F788*J788</f>
        <v/>
      </c>
      <c r="N788" s="249">
        <f>SUM(K788:M788)</f>
        <v/>
      </c>
      <c r="O788" s="251">
        <f>SUM(K788:M788)/tc</f>
        <v/>
      </c>
    </row>
    <row r="789">
      <c r="A789" s="16" t="n"/>
      <c r="B789" s="1134">
        <f>VALUE(IF(AND(LEN(TRIM(C789))-LEN(SUBSTITUTE(TRIM(C789),".",""))=1,ISNUMBER(VALUE(SUBSTITUTE(TRIM(C789),".","")))),TRIM(C789),B788))</f>
        <v/>
      </c>
      <c r="C789" s="274" t="inlineStr">
        <is>
          <t>M06-0496</t>
        </is>
      </c>
      <c r="D789" s="275" t="n"/>
      <c r="E789" s="252">
        <f>+_xlfn.XLOOKUP(C789,'BASE DATOS PRECIOS '!B:B,'BASE DATOS PRECIOS '!E:E)</f>
        <v/>
      </c>
      <c r="F789" s="218">
        <f>'3.1_ELEC'!E288</f>
        <v/>
      </c>
      <c r="G789" s="250">
        <f>+_xlfn.XLOOKUP(C789,'BASE DATOS PRECIOS '!B:B,'BASE DATOS PRECIOS '!F:F)</f>
        <v/>
      </c>
      <c r="H789" s="249">
        <f>+_xlfn.XLOOKUP(E789,'BASE DATOS PRECIOS '!E:E,'BASE DATOS PRECIOS '!H:H)</f>
        <v/>
      </c>
      <c r="I789" s="250" t="n"/>
      <c r="J789" s="250" t="n"/>
      <c r="K789" s="249">
        <f>+F789*H789</f>
        <v/>
      </c>
      <c r="L789" s="249">
        <f>+F789*I789</f>
        <v/>
      </c>
      <c r="M789" s="249">
        <f>+F789*J789</f>
        <v/>
      </c>
      <c r="N789" s="249">
        <f>SUM(K789:M789)</f>
        <v/>
      </c>
      <c r="O789" s="251">
        <f>SUM(K789:M789)/tc</f>
        <v/>
      </c>
    </row>
    <row r="790">
      <c r="A790" s="16" t="n"/>
      <c r="B790" s="1134">
        <f>VALUE(IF(AND(LEN(TRIM(C790))-LEN(SUBSTITUTE(TRIM(C790),".",""))=1,ISNUMBER(VALUE(SUBSTITUTE(TRIM(C790),".","")))),TRIM(C790),B789))</f>
        <v/>
      </c>
      <c r="C790" s="301" t="inlineStr">
        <is>
          <t>M05-0007</t>
        </is>
      </c>
      <c r="D790" s="302" t="n"/>
      <c r="E790" s="252">
        <f>+_xlfn.XLOOKUP(C790,'BASE DATOS PRECIOS '!B:B,'BASE DATOS PRECIOS '!E:E)</f>
        <v/>
      </c>
      <c r="F790" s="218">
        <f>'3.1_ELEC'!E289</f>
        <v/>
      </c>
      <c r="G790" s="250">
        <f>+_xlfn.XLOOKUP(C790,'BASE DATOS PRECIOS '!B:B,'BASE DATOS PRECIOS '!F:F)</f>
        <v/>
      </c>
      <c r="H790" s="249">
        <f>+_xlfn.XLOOKUP(E790,'BASE DATOS PRECIOS '!E:E,'BASE DATOS PRECIOS '!H:H)</f>
        <v/>
      </c>
      <c r="I790" s="250" t="n"/>
      <c r="J790" s="250" t="n"/>
      <c r="K790" s="249">
        <f>+F790*H790</f>
        <v/>
      </c>
      <c r="L790" s="249">
        <f>+F790*I790</f>
        <v/>
      </c>
      <c r="M790" s="249">
        <f>+F790*J790</f>
        <v/>
      </c>
      <c r="N790" s="249">
        <f>SUM(K790:M790)</f>
        <v/>
      </c>
      <c r="O790" s="251">
        <f>SUM(K790:M790)/tc</f>
        <v/>
      </c>
    </row>
    <row r="791">
      <c r="A791" s="233" t="n"/>
      <c r="B791" s="1134">
        <f>VALUE(IF(AND(LEN(TRIM(C791))-LEN(SUBSTITUTE(TRIM(C791),".",""))=1,ISNUMBER(VALUE(SUBSTITUTE(TRIM(C791),".","")))),TRIM(C791),B790))</f>
        <v/>
      </c>
      <c r="C791" s="274" t="inlineStr">
        <is>
          <t>M05-0016</t>
        </is>
      </c>
      <c r="D791" s="275" t="n"/>
      <c r="E791" s="252">
        <f>+_xlfn.XLOOKUP(C791,'BASE DATOS PRECIOS '!B:B,'BASE DATOS PRECIOS '!E:E)</f>
        <v/>
      </c>
      <c r="F791" s="218">
        <f>'3.1_ELEC'!E290</f>
        <v/>
      </c>
      <c r="G791" s="250">
        <f>+_xlfn.XLOOKUP(C791,'BASE DATOS PRECIOS '!B:B,'BASE DATOS PRECIOS '!F:F)</f>
        <v/>
      </c>
      <c r="H791" s="249">
        <f>+_xlfn.XLOOKUP(E791,'BASE DATOS PRECIOS '!E:E,'BASE DATOS PRECIOS '!H:H)</f>
        <v/>
      </c>
      <c r="I791" s="250" t="n"/>
      <c r="J791" s="250" t="n"/>
      <c r="K791" s="249">
        <f>+F791*H791</f>
        <v/>
      </c>
      <c r="L791" s="249">
        <f>+F791*I791</f>
        <v/>
      </c>
      <c r="M791" s="249">
        <f>+F791*J791</f>
        <v/>
      </c>
      <c r="N791" s="249">
        <f>SUM(K791:M791)</f>
        <v/>
      </c>
      <c r="O791" s="251">
        <f>SUM(K791:M791)/tc</f>
        <v/>
      </c>
    </row>
    <row r="792">
      <c r="A792" s="16" t="n"/>
      <c r="B792" s="1134">
        <f>VALUE(IF(AND(LEN(TRIM(C792))-LEN(SUBSTITUTE(TRIM(C792),".",""))=1,ISNUMBER(VALUE(SUBSTITUTE(TRIM(C792),".","")))),TRIM(C792),B791))</f>
        <v/>
      </c>
      <c r="C792" s="274" t="inlineStr">
        <is>
          <t>M05-0482</t>
        </is>
      </c>
      <c r="D792" s="275" t="n"/>
      <c r="E792" s="252">
        <f>+_xlfn.XLOOKUP(C792,'BASE DATOS PRECIOS '!B:B,'BASE DATOS PRECIOS '!E:E)</f>
        <v/>
      </c>
      <c r="F792" s="218">
        <f>'3.1_ELEC'!E291</f>
        <v/>
      </c>
      <c r="G792" s="250">
        <f>+_xlfn.XLOOKUP(C792,'BASE DATOS PRECIOS '!B:B,'BASE DATOS PRECIOS '!F:F)</f>
        <v/>
      </c>
      <c r="H792" s="249">
        <f>+_xlfn.XLOOKUP(E792,'BASE DATOS PRECIOS '!E:E,'BASE DATOS PRECIOS '!H:H)</f>
        <v/>
      </c>
      <c r="I792" s="250" t="n"/>
      <c r="J792" s="250" t="n"/>
      <c r="K792" s="249">
        <f>+F792*H792</f>
        <v/>
      </c>
      <c r="L792" s="249">
        <f>+F792*I792</f>
        <v/>
      </c>
      <c r="M792" s="249">
        <f>+F792*J792</f>
        <v/>
      </c>
      <c r="N792" s="249">
        <f>SUM(K792:M792)</f>
        <v/>
      </c>
      <c r="O792" s="251">
        <f>SUM(K792:M792)/tc</f>
        <v/>
      </c>
    </row>
    <row r="793">
      <c r="A793" s="16" t="n"/>
      <c r="B793" s="1134">
        <f>VALUE(IF(AND(LEN(TRIM(C793))-LEN(SUBSTITUTE(TRIM(C793),".",""))=1,ISNUMBER(VALUE(SUBSTITUTE(TRIM(C793),".","")))),TRIM(C793),B792))</f>
        <v/>
      </c>
      <c r="C793" s="274" t="inlineStr">
        <is>
          <t>M05-0011</t>
        </is>
      </c>
      <c r="D793" s="275" t="n"/>
      <c r="E793" s="252">
        <f>+_xlfn.XLOOKUP(C793,'BASE DATOS PRECIOS '!B:B,'BASE DATOS PRECIOS '!E:E)</f>
        <v/>
      </c>
      <c r="F793" s="218">
        <f>'3.1_ELEC'!E292</f>
        <v/>
      </c>
      <c r="G793" s="250">
        <f>+_xlfn.XLOOKUP(C793,'BASE DATOS PRECIOS '!B:B,'BASE DATOS PRECIOS '!F:F)</f>
        <v/>
      </c>
      <c r="H793" s="249">
        <f>+_xlfn.XLOOKUP(E793,'BASE DATOS PRECIOS '!E:E,'BASE DATOS PRECIOS '!H:H)</f>
        <v/>
      </c>
      <c r="I793" s="250" t="n"/>
      <c r="J793" s="250" t="n"/>
      <c r="K793" s="249">
        <f>+F793*H793</f>
        <v/>
      </c>
      <c r="L793" s="249">
        <f>+F793*I793</f>
        <v/>
      </c>
      <c r="M793" s="249">
        <f>+F793*J793</f>
        <v/>
      </c>
      <c r="N793" s="249">
        <f>SUM(K793:M793)</f>
        <v/>
      </c>
      <c r="O793" s="251">
        <f>SUM(K793:M793)/tc</f>
        <v/>
      </c>
    </row>
    <row r="794">
      <c r="A794" s="16" t="n"/>
      <c r="B794" s="1134">
        <f>VALUE(IF(AND(LEN(TRIM(C794))-LEN(SUBSTITUTE(TRIM(C794),".",""))=1,ISNUMBER(VALUE(SUBSTITUTE(TRIM(C794),".","")))),TRIM(C794),B793))</f>
        <v/>
      </c>
      <c r="C794" s="274" t="inlineStr">
        <is>
          <t>M05-0024</t>
        </is>
      </c>
      <c r="D794" s="275" t="n"/>
      <c r="E794" s="252">
        <f>+_xlfn.XLOOKUP(C794,'BASE DATOS PRECIOS '!B:B,'BASE DATOS PRECIOS '!E:E)</f>
        <v/>
      </c>
      <c r="F794" s="218">
        <f>'3.1_ELEC'!E293</f>
        <v/>
      </c>
      <c r="G794" s="250">
        <f>+_xlfn.XLOOKUP(C794,'BASE DATOS PRECIOS '!B:B,'BASE DATOS PRECIOS '!F:F)</f>
        <v/>
      </c>
      <c r="H794" s="249">
        <f>+_xlfn.XLOOKUP(E794,'BASE DATOS PRECIOS '!E:E,'BASE DATOS PRECIOS '!H:H)</f>
        <v/>
      </c>
      <c r="I794" s="250" t="n"/>
      <c r="J794" s="250" t="n"/>
      <c r="K794" s="249">
        <f>+F794*H794</f>
        <v/>
      </c>
      <c r="L794" s="249">
        <f>+F794*I794</f>
        <v/>
      </c>
      <c r="M794" s="249">
        <f>+F794*J794</f>
        <v/>
      </c>
      <c r="N794" s="249">
        <f>SUM(K794:M794)</f>
        <v/>
      </c>
      <c r="O794" s="251">
        <f>SUM(K794:M794)/tc</f>
        <v/>
      </c>
    </row>
    <row r="795">
      <c r="A795" s="16" t="n"/>
      <c r="B795" s="1134">
        <f>VALUE(IF(AND(LEN(TRIM(C795))-LEN(SUBSTITUTE(TRIM(C795),".",""))=1,ISNUMBER(VALUE(SUBSTITUTE(TRIM(C795),".","")))),TRIM(C795),B794))</f>
        <v/>
      </c>
      <c r="C795" s="274" t="inlineStr">
        <is>
          <t>M06-0497</t>
        </is>
      </c>
      <c r="D795" s="275" t="n"/>
      <c r="E795" s="252">
        <f>+_xlfn.XLOOKUP(C795,'BASE DATOS PRECIOS '!B:B,'BASE DATOS PRECIOS '!E:E)</f>
        <v/>
      </c>
      <c r="F795" s="218">
        <f>'3.1_ELEC'!E294</f>
        <v/>
      </c>
      <c r="G795" s="250">
        <f>+_xlfn.XLOOKUP(C795,'BASE DATOS PRECIOS '!B:B,'BASE DATOS PRECIOS '!F:F)</f>
        <v/>
      </c>
      <c r="H795" s="249">
        <f>+_xlfn.XLOOKUP(E795,'BASE DATOS PRECIOS '!E:E,'BASE DATOS PRECIOS '!H:H)</f>
        <v/>
      </c>
      <c r="I795" s="250" t="n"/>
      <c r="J795" s="250" t="n"/>
      <c r="K795" s="249">
        <f>+F795*H795</f>
        <v/>
      </c>
      <c r="L795" s="249">
        <f>+F795*I795</f>
        <v/>
      </c>
      <c r="M795" s="249">
        <f>+F795*J795</f>
        <v/>
      </c>
      <c r="N795" s="249">
        <f>SUM(K795:M795)</f>
        <v/>
      </c>
      <c r="O795" s="251">
        <f>SUM(K795:M795)/tc</f>
        <v/>
      </c>
    </row>
    <row r="796">
      <c r="A796" s="16" t="n"/>
      <c r="B796" s="1134">
        <f>VALUE(IF(AND(LEN(TRIM(C796))-LEN(SUBSTITUTE(TRIM(C796),".",""))=1,ISNUMBER(VALUE(SUBSTITUTE(TRIM(C796),".","")))),TRIM(C796),B795))</f>
        <v/>
      </c>
      <c r="C796" s="274" t="inlineStr">
        <is>
          <t>M06-0084</t>
        </is>
      </c>
      <c r="D796" s="275" t="n"/>
      <c r="E796" s="252">
        <f>+_xlfn.XLOOKUP(C796,'BASE DATOS PRECIOS '!B:B,'BASE DATOS PRECIOS '!E:E)</f>
        <v/>
      </c>
      <c r="F796" s="218">
        <f>'3.1_ELEC'!E295</f>
        <v/>
      </c>
      <c r="G796" s="250">
        <f>+_xlfn.XLOOKUP(C796,'BASE DATOS PRECIOS '!B:B,'BASE DATOS PRECIOS '!F:F)</f>
        <v/>
      </c>
      <c r="H796" s="249">
        <f>+_xlfn.XLOOKUP(E796,'BASE DATOS PRECIOS '!E:E,'BASE DATOS PRECIOS '!H:H)</f>
        <v/>
      </c>
      <c r="I796" s="250" t="n"/>
      <c r="J796" s="250" t="n"/>
      <c r="K796" s="249">
        <f>+F796*H796</f>
        <v/>
      </c>
      <c r="L796" s="249">
        <f>+F796*I796</f>
        <v/>
      </c>
      <c r="M796" s="249">
        <f>+F796*J796</f>
        <v/>
      </c>
      <c r="N796" s="249">
        <f>SUM(K796:M796)</f>
        <v/>
      </c>
      <c r="O796" s="251">
        <f>SUM(K796:M796)/tc</f>
        <v/>
      </c>
    </row>
    <row r="797">
      <c r="A797" s="16" t="n"/>
      <c r="B797" s="1134">
        <f>VALUE(IF(AND(LEN(TRIM(C797))-LEN(SUBSTITUTE(TRIM(C797),".",""))=1,ISNUMBER(VALUE(SUBSTITUTE(TRIM(C797),".","")))),TRIM(C797),B796))</f>
        <v/>
      </c>
      <c r="C797" s="267" t="inlineStr">
        <is>
          <t xml:space="preserve">SUB PLAQUERIA </t>
        </is>
      </c>
      <c r="D797" s="268" t="n"/>
      <c r="E797" s="269">
        <f>+_xlfn.XLOOKUP(C797,'BASE DATOS EQUIPOS Y SUBCONTRAT'!A:A,'BASE DATOS EQUIPOS Y SUBCONTRAT'!B:B)</f>
        <v/>
      </c>
      <c r="F797" s="356" t="n">
        <v>1</v>
      </c>
      <c r="G797" s="357">
        <f>+_xlfn.XLOOKUP(C797,'BASE DATOS EQUIPOS Y SUBCONTRAT'!A:A,'BASE DATOS EQUIPOS Y SUBCONTRAT'!C:C)</f>
        <v/>
      </c>
      <c r="H797" s="358" t="n">
        <v>0</v>
      </c>
      <c r="I797" s="357" t="n"/>
      <c r="J797" s="358">
        <f>+'3.1_ELEC'!D297</f>
        <v/>
      </c>
      <c r="K797" s="358">
        <f>+F797*H797</f>
        <v/>
      </c>
      <c r="L797" s="358">
        <f>+F797*I797</f>
        <v/>
      </c>
      <c r="M797" s="358">
        <f>+F797*J797</f>
        <v/>
      </c>
      <c r="N797" s="358">
        <f>SUM(K797:M797)</f>
        <v/>
      </c>
      <c r="O797" s="359">
        <f>SUM(K797:M797)/tc</f>
        <v/>
      </c>
    </row>
    <row r="798">
      <c r="A798" s="16" t="n"/>
      <c r="B798" s="1134">
        <f>VALUE(IF(AND(LEN(TRIM(C798))-LEN(SUBSTITUTE(TRIM(C798),".",""))=1,ISNUMBER(VALUE(SUBSTITUTE(TRIM(C798),".","")))),TRIM(C798),B797))</f>
        <v/>
      </c>
      <c r="C798" s="267" t="inlineStr">
        <is>
          <t xml:space="preserve">OPERARIO </t>
        </is>
      </c>
      <c r="D798" s="268" t="n"/>
      <c r="E798" s="269">
        <f>+_xlfn.XLOOKUP(C798,'BASE DATOS MANO DE OBRA'!A:A,'BASE DATOS MANO DE OBRA'!B:B)</f>
        <v/>
      </c>
      <c r="F798" s="270" t="n">
        <v>0</v>
      </c>
      <c r="G798" s="271">
        <f>+_xlfn.XLOOKUP(C798,'BASE DATOS MANO DE OBRA'!A:A,'BASE DATOS MANO DE OBRA'!C:C)</f>
        <v/>
      </c>
      <c r="H798" s="272" t="n">
        <v>0</v>
      </c>
      <c r="I798" s="272">
        <f>+_xlfn.XLOOKUP(C798,'BASE DATOS MANO DE OBRA'!A:A,'BASE DATOS MANO DE OBRA'!E:E)</f>
        <v/>
      </c>
      <c r="J798" s="272" t="n">
        <v>0</v>
      </c>
      <c r="K798" s="272">
        <f>+F798*H798</f>
        <v/>
      </c>
      <c r="L798" s="272">
        <f>+F798*I798</f>
        <v/>
      </c>
      <c r="M798" s="272">
        <f>+F798*J798</f>
        <v/>
      </c>
      <c r="N798" s="272">
        <f>SUM(K798:M798)</f>
        <v/>
      </c>
      <c r="O798" s="273">
        <f>SUM(K798:M798)/tc</f>
        <v/>
      </c>
    </row>
    <row r="799">
      <c r="A799" s="16" t="n"/>
      <c r="B799" s="1134">
        <f>VALUE(IF(AND(LEN(TRIM(C799))-LEN(SUBSTITUTE(TRIM(C799),".",""))=1,ISNUMBER(VALUE(SUBSTITUTE(TRIM(C799),".","")))),TRIM(C799),B798))</f>
        <v/>
      </c>
      <c r="C799" s="267" t="inlineStr">
        <is>
          <t xml:space="preserve">AYUDANTE </t>
        </is>
      </c>
      <c r="D799" s="268" t="n"/>
      <c r="E799" s="269">
        <f>+_xlfn.XLOOKUP(C799,'BASE DATOS MANO DE OBRA'!A:A,'BASE DATOS MANO DE OBRA'!B:B)</f>
        <v/>
      </c>
      <c r="F799" s="270" t="n">
        <v>0</v>
      </c>
      <c r="G799" s="271">
        <f>+_xlfn.XLOOKUP(C799,'BASE DATOS MANO DE OBRA'!A:A,'BASE DATOS MANO DE OBRA'!C:C)</f>
        <v/>
      </c>
      <c r="H799" s="272" t="n">
        <v>0</v>
      </c>
      <c r="I799" s="272">
        <f>+_xlfn.XLOOKUP(C799,'BASE DATOS MANO DE OBRA'!A:A,'BASE DATOS MANO DE OBRA'!E:E)</f>
        <v/>
      </c>
      <c r="J799" s="272" t="n">
        <v>0</v>
      </c>
      <c r="K799" s="272">
        <f>+F799*H799</f>
        <v/>
      </c>
      <c r="L799" s="272">
        <f>+F799*I799</f>
        <v/>
      </c>
      <c r="M799" s="272">
        <f>+F799*J799</f>
        <v/>
      </c>
      <c r="N799" s="272">
        <f>SUM(K799:M799)</f>
        <v/>
      </c>
      <c r="O799" s="273">
        <f>SUM(K799:M799)/tc</f>
        <v/>
      </c>
    </row>
    <row r="800">
      <c r="A800" s="16" t="n"/>
      <c r="B800" s="1134">
        <f>VALUE(IF(AND(LEN(TRIM(C800))-LEN(SUBSTITUTE(TRIM(C800),".",""))=1,ISNUMBER(VALUE(SUBSTITUTE(TRIM(C800),".","")))),TRIM(C800),B799))</f>
        <v/>
      </c>
      <c r="C800" s="234" t="inlineStr">
        <is>
          <t>3.1.10</t>
        </is>
      </c>
      <c r="D800" s="235" t="n"/>
      <c r="E800" s="236" t="inlineStr">
        <is>
          <t>ACABADOS FINALES Y BREAKERS</t>
        </is>
      </c>
      <c r="F800" s="237" t="n">
        <v>1</v>
      </c>
      <c r="G800" s="235" t="inlineStr">
        <is>
          <t>gb</t>
        </is>
      </c>
      <c r="H800" s="235" t="n"/>
      <c r="I800" s="235" t="n"/>
      <c r="J800" s="235" t="n"/>
      <c r="K800" s="238">
        <f>+SUBTOTAL(9,K801:K820)</f>
        <v/>
      </c>
      <c r="L800" s="238">
        <f>+SUBTOTAL(9,L801:L820)</f>
        <v/>
      </c>
      <c r="M800" s="238">
        <f>+SUBTOTAL(9,M801:M820)</f>
        <v/>
      </c>
      <c r="N800" s="238">
        <f>+SUBTOTAL(9,N801:N820)</f>
        <v/>
      </c>
      <c r="O800" s="1136">
        <f>+SUBTOTAL(9,O801:O820)</f>
        <v/>
      </c>
    </row>
    <row r="801">
      <c r="A801" s="16" t="n"/>
      <c r="B801" s="1134">
        <f>VALUE(IF(AND(LEN(TRIM(C801))-LEN(SUBSTITUTE(TRIM(C801),".",""))=1,ISNUMBER(VALUE(SUBSTITUTE(TRIM(C801),".","")))),TRIM(C801),B800))</f>
        <v/>
      </c>
      <c r="C801" s="274" t="inlineStr">
        <is>
          <t>M05-0306</t>
        </is>
      </c>
      <c r="D801" s="275" t="n"/>
      <c r="E801" s="252">
        <f>+_xlfn.XLOOKUP(C801,'BASE DATOS PRECIOS '!B:B,'BASE DATOS PRECIOS '!E:E)</f>
        <v/>
      </c>
      <c r="F801" s="218">
        <f>'3.1_ELEC'!D303</f>
        <v/>
      </c>
      <c r="G801" s="250">
        <f>+_xlfn.XLOOKUP(C801,'BASE DATOS PRECIOS '!B:B,'BASE DATOS PRECIOS '!F:F)</f>
        <v/>
      </c>
      <c r="H801" s="249">
        <f>+_xlfn.XLOOKUP(E801,'BASE DATOS PRECIOS '!E:E,'BASE DATOS PRECIOS '!H:H)</f>
        <v/>
      </c>
      <c r="I801" s="250" t="n"/>
      <c r="J801" s="250" t="n"/>
      <c r="K801" s="249">
        <f>+F801*H801</f>
        <v/>
      </c>
      <c r="L801" s="249">
        <f>+F801*I801</f>
        <v/>
      </c>
      <c r="M801" s="249">
        <f>+F801*J801</f>
        <v/>
      </c>
      <c r="N801" s="249">
        <f>SUM(K801:M801)</f>
        <v/>
      </c>
      <c r="O801" s="251">
        <f>SUM(K801:M801)/tc</f>
        <v/>
      </c>
    </row>
    <row r="802">
      <c r="A802" s="16" t="n"/>
      <c r="B802" s="1134">
        <f>VALUE(IF(AND(LEN(TRIM(C802))-LEN(SUBSTITUTE(TRIM(C802),".",""))=1,ISNUMBER(VALUE(SUBSTITUTE(TRIM(C802),".","")))),TRIM(C802),B801))</f>
        <v/>
      </c>
      <c r="C802" s="16" t="inlineStr">
        <is>
          <t>M05-0322</t>
        </is>
      </c>
      <c r="D802" s="292" t="n"/>
      <c r="E802" s="252">
        <f>+_xlfn.XLOOKUP(C802,'BASE DATOS PRECIOS '!B:B,'BASE DATOS PRECIOS '!E:E)</f>
        <v/>
      </c>
      <c r="F802" s="218">
        <f>'3.1_ELEC'!D304</f>
        <v/>
      </c>
      <c r="G802" s="250">
        <f>+_xlfn.XLOOKUP(C802,'BASE DATOS PRECIOS '!B:B,'BASE DATOS PRECIOS '!F:F)</f>
        <v/>
      </c>
      <c r="H802" s="249">
        <f>+_xlfn.XLOOKUP(E802,'BASE DATOS PRECIOS '!E:E,'BASE DATOS PRECIOS '!H:H)</f>
        <v/>
      </c>
      <c r="I802" s="250" t="n"/>
      <c r="J802" s="250" t="n"/>
      <c r="K802" s="249">
        <f>+F802*H802</f>
        <v/>
      </c>
      <c r="L802" s="249">
        <f>+F802*I802</f>
        <v/>
      </c>
      <c r="M802" s="249">
        <f>+F802*J802</f>
        <v/>
      </c>
      <c r="N802" s="249">
        <f>SUM(K802:M802)</f>
        <v/>
      </c>
      <c r="O802" s="251">
        <f>SUM(K802:M802)/tc</f>
        <v/>
      </c>
    </row>
    <row r="803">
      <c r="A803" s="16" t="n"/>
      <c r="B803" s="1134">
        <f>VALUE(IF(AND(LEN(TRIM(C803))-LEN(SUBSTITUTE(TRIM(C803),".",""))=1,ISNUMBER(VALUE(SUBSTITUTE(TRIM(C803),".","")))),TRIM(C803),B802))</f>
        <v/>
      </c>
      <c r="C803" s="274" t="inlineStr">
        <is>
          <t>M05-0471</t>
        </is>
      </c>
      <c r="D803" s="275" t="n"/>
      <c r="E803" s="252">
        <f>+_xlfn.XLOOKUP(C803,'BASE DATOS PRECIOS '!B:B,'BASE DATOS PRECIOS '!E:E)</f>
        <v/>
      </c>
      <c r="F803" s="218">
        <f>'3.1_ELEC'!D305</f>
        <v/>
      </c>
      <c r="G803" s="250">
        <f>+_xlfn.XLOOKUP(C803,'BASE DATOS PRECIOS '!B:B,'BASE DATOS PRECIOS '!F:F)</f>
        <v/>
      </c>
      <c r="H803" s="249">
        <f>+_xlfn.XLOOKUP(E803,'BASE DATOS PRECIOS '!E:E,'BASE DATOS PRECIOS '!H:H)</f>
        <v/>
      </c>
      <c r="I803" s="250" t="n"/>
      <c r="J803" s="250" t="n"/>
      <c r="K803" s="249">
        <f>+F803*H803</f>
        <v/>
      </c>
      <c r="L803" s="249">
        <f>+F803*I803</f>
        <v/>
      </c>
      <c r="M803" s="249">
        <f>+F803*J803</f>
        <v/>
      </c>
      <c r="N803" s="249">
        <f>SUM(K803:M803)</f>
        <v/>
      </c>
      <c r="O803" s="251">
        <f>SUM(K803:M803)/tc</f>
        <v/>
      </c>
    </row>
    <row r="804">
      <c r="A804" s="16" t="n"/>
      <c r="B804" s="1134">
        <f>VALUE(IF(AND(LEN(TRIM(C804))-LEN(SUBSTITUTE(TRIM(C804),".",""))=1,ISNUMBER(VALUE(SUBSTITUTE(TRIM(C804),".","")))),TRIM(C804),B803))</f>
        <v/>
      </c>
      <c r="C804" s="16" t="inlineStr">
        <is>
          <t>M05-0307</t>
        </is>
      </c>
      <c r="D804" s="292" t="n"/>
      <c r="E804" s="252">
        <f>+_xlfn.XLOOKUP(C804,'BASE DATOS PRECIOS '!B:B,'BASE DATOS PRECIOS '!E:E)</f>
        <v/>
      </c>
      <c r="F804" s="218">
        <f>'3.1_ELEC'!D306</f>
        <v/>
      </c>
      <c r="G804" s="250">
        <f>+_xlfn.XLOOKUP(C804,'BASE DATOS PRECIOS '!B:B,'BASE DATOS PRECIOS '!F:F)</f>
        <v/>
      </c>
      <c r="H804" s="249">
        <f>+_xlfn.XLOOKUP(E804,'BASE DATOS PRECIOS '!E:E,'BASE DATOS PRECIOS '!H:H)</f>
        <v/>
      </c>
      <c r="I804" s="250" t="n"/>
      <c r="J804" s="250" t="n"/>
      <c r="K804" s="249">
        <f>+F804*H804</f>
        <v/>
      </c>
      <c r="L804" s="249">
        <f>+F804*I804</f>
        <v/>
      </c>
      <c r="M804" s="249">
        <f>+F804*J804</f>
        <v/>
      </c>
      <c r="N804" s="249">
        <f>SUM(K804:M804)</f>
        <v/>
      </c>
      <c r="O804" s="251">
        <f>SUM(K804:M804)/tc</f>
        <v/>
      </c>
    </row>
    <row r="805">
      <c r="A805" s="16" t="n"/>
      <c r="B805" s="1134">
        <f>VALUE(IF(AND(LEN(TRIM(C805))-LEN(SUBSTITUTE(TRIM(C805),".",""))=1,ISNUMBER(VALUE(SUBSTITUTE(TRIM(C805),".","")))),TRIM(C805),B804))</f>
        <v/>
      </c>
      <c r="C805" s="274" t="inlineStr">
        <is>
          <t>M05-0471</t>
        </is>
      </c>
      <c r="D805" s="275" t="n"/>
      <c r="E805" s="252">
        <f>+_xlfn.XLOOKUP(C805,'BASE DATOS PRECIOS '!B:B,'BASE DATOS PRECIOS '!E:E)</f>
        <v/>
      </c>
      <c r="F805" s="218">
        <f>'3.1_ELEC'!D307</f>
        <v/>
      </c>
      <c r="G805" s="250">
        <f>+_xlfn.XLOOKUP(C805,'BASE DATOS PRECIOS '!B:B,'BASE DATOS PRECIOS '!F:F)</f>
        <v/>
      </c>
      <c r="H805" s="249">
        <f>+_xlfn.XLOOKUP(E805,'BASE DATOS PRECIOS '!E:E,'BASE DATOS PRECIOS '!H:H)</f>
        <v/>
      </c>
      <c r="I805" s="250" t="n"/>
      <c r="J805" s="250" t="n"/>
      <c r="K805" s="249">
        <f>+F805*H805</f>
        <v/>
      </c>
      <c r="L805" s="249">
        <f>+F805*I805</f>
        <v/>
      </c>
      <c r="M805" s="249">
        <f>+F805*J805</f>
        <v/>
      </c>
      <c r="N805" s="249">
        <f>SUM(K805:M805)</f>
        <v/>
      </c>
      <c r="O805" s="251">
        <f>SUM(K805:M805)/tc</f>
        <v/>
      </c>
    </row>
    <row r="806">
      <c r="A806" s="16" t="n"/>
      <c r="B806" s="1134">
        <f>VALUE(IF(AND(LEN(TRIM(C806))-LEN(SUBSTITUTE(TRIM(C806),".",""))=1,ISNUMBER(VALUE(SUBSTITUTE(TRIM(C806),".","")))),TRIM(C806),B805))</f>
        <v/>
      </c>
      <c r="C806" s="16" t="inlineStr">
        <is>
          <t>M05-0472</t>
        </is>
      </c>
      <c r="D806" s="292" t="n"/>
      <c r="E806" s="252">
        <f>+_xlfn.XLOOKUP(C806,'BASE DATOS PRECIOS '!B:B,'BASE DATOS PRECIOS '!E:E)</f>
        <v/>
      </c>
      <c r="F806" s="218">
        <f>'3.1_ELEC'!D308</f>
        <v/>
      </c>
      <c r="G806" s="250">
        <f>+_xlfn.XLOOKUP(C806,'BASE DATOS PRECIOS '!B:B,'BASE DATOS PRECIOS '!F:F)</f>
        <v/>
      </c>
      <c r="H806" s="249">
        <f>+_xlfn.XLOOKUP(E806,'BASE DATOS PRECIOS '!E:E,'BASE DATOS PRECIOS '!H:H)</f>
        <v/>
      </c>
      <c r="I806" s="250" t="n"/>
      <c r="J806" s="250" t="n"/>
      <c r="K806" s="249">
        <f>+F806*H806</f>
        <v/>
      </c>
      <c r="L806" s="249">
        <f>+F806*I806</f>
        <v/>
      </c>
      <c r="M806" s="249">
        <f>+F806*J806</f>
        <v/>
      </c>
      <c r="N806" s="249">
        <f>SUM(K806:M806)</f>
        <v/>
      </c>
      <c r="O806" s="251">
        <f>SUM(K806:M806)/tc</f>
        <v/>
      </c>
    </row>
    <row r="807">
      <c r="A807" s="16" t="n"/>
      <c r="B807" s="1134">
        <f>VALUE(IF(AND(LEN(TRIM(C807))-LEN(SUBSTITUTE(TRIM(C807),".",""))=1,ISNUMBER(VALUE(SUBSTITUTE(TRIM(C807),".","")))),TRIM(C807),B806))</f>
        <v/>
      </c>
      <c r="C807" s="274" t="inlineStr">
        <is>
          <t>M05-0079</t>
        </is>
      </c>
      <c r="D807" s="275" t="n"/>
      <c r="E807" s="252">
        <f>+_xlfn.XLOOKUP(C807,'BASE DATOS PRECIOS '!B:B,'BASE DATOS PRECIOS '!E:E)</f>
        <v/>
      </c>
      <c r="F807" s="218">
        <f>'3.1_ELEC'!D309</f>
        <v/>
      </c>
      <c r="G807" s="250">
        <f>+_xlfn.XLOOKUP(C807,'BASE DATOS PRECIOS '!B:B,'BASE DATOS PRECIOS '!F:F)</f>
        <v/>
      </c>
      <c r="H807" s="249">
        <f>+_xlfn.XLOOKUP(E807,'BASE DATOS PRECIOS '!E:E,'BASE DATOS PRECIOS '!H:H)</f>
        <v/>
      </c>
      <c r="I807" s="250" t="n"/>
      <c r="J807" s="250" t="n"/>
      <c r="K807" s="249">
        <f>+F807*H807</f>
        <v/>
      </c>
      <c r="L807" s="249">
        <f>+F807*I807</f>
        <v/>
      </c>
      <c r="M807" s="249">
        <f>+F807*J807</f>
        <v/>
      </c>
      <c r="N807" s="249">
        <f>SUM(K807:M807)</f>
        <v/>
      </c>
      <c r="O807" s="251">
        <f>SUM(K807:M807)/tc</f>
        <v/>
      </c>
    </row>
    <row r="808">
      <c r="A808" s="16" t="n"/>
      <c r="B808" s="1134">
        <f>VALUE(IF(AND(LEN(TRIM(C808))-LEN(SUBSTITUTE(TRIM(C808),".",""))=1,ISNUMBER(VALUE(SUBSTITUTE(TRIM(C808),".","")))),TRIM(C808),B807))</f>
        <v/>
      </c>
      <c r="C808" s="16" t="inlineStr">
        <is>
          <t>M05-0475</t>
        </is>
      </c>
      <c r="D808" s="292" t="n"/>
      <c r="E808" s="252">
        <f>+_xlfn.XLOOKUP(C808,'BASE DATOS PRECIOS '!B:B,'BASE DATOS PRECIOS '!E:E)</f>
        <v/>
      </c>
      <c r="F808" s="218">
        <f>'3.1_ELEC'!D310</f>
        <v/>
      </c>
      <c r="G808" s="250">
        <f>+_xlfn.XLOOKUP(C808,'BASE DATOS PRECIOS '!B:B,'BASE DATOS PRECIOS '!F:F)</f>
        <v/>
      </c>
      <c r="H808" s="249">
        <f>+_xlfn.XLOOKUP(E808,'BASE DATOS PRECIOS '!E:E,'BASE DATOS PRECIOS '!H:H)</f>
        <v/>
      </c>
      <c r="I808" s="250" t="n"/>
      <c r="J808" s="250" t="n"/>
      <c r="K808" s="249">
        <f>+F808*H808</f>
        <v/>
      </c>
      <c r="L808" s="249">
        <f>+F808*I808</f>
        <v/>
      </c>
      <c r="M808" s="249">
        <f>+F808*J808</f>
        <v/>
      </c>
      <c r="N808" s="249">
        <f>SUM(K808:M808)</f>
        <v/>
      </c>
      <c r="O808" s="251">
        <f>SUM(K808:M808)/tc</f>
        <v/>
      </c>
    </row>
    <row r="809">
      <c r="A809" s="16" t="n"/>
      <c r="B809" s="1134">
        <f>VALUE(IF(AND(LEN(TRIM(C809))-LEN(SUBSTITUTE(TRIM(C809),".",""))=1,ISNUMBER(VALUE(SUBSTITUTE(TRIM(C809),".","")))),TRIM(C809),B808))</f>
        <v/>
      </c>
      <c r="C809" s="274" t="inlineStr">
        <is>
          <t>M05-0474</t>
        </is>
      </c>
      <c r="D809" s="275" t="n"/>
      <c r="E809" s="252">
        <f>+_xlfn.XLOOKUP(C809,'BASE DATOS PRECIOS '!B:B,'BASE DATOS PRECIOS '!E:E)</f>
        <v/>
      </c>
      <c r="F809" s="218">
        <f>'3.1_ELEC'!D311</f>
        <v/>
      </c>
      <c r="G809" s="250">
        <f>+_xlfn.XLOOKUP(C809,'BASE DATOS PRECIOS '!B:B,'BASE DATOS PRECIOS '!F:F)</f>
        <v/>
      </c>
      <c r="H809" s="249">
        <f>+_xlfn.XLOOKUP(E809,'BASE DATOS PRECIOS '!E:E,'BASE DATOS PRECIOS '!H:H)</f>
        <v/>
      </c>
      <c r="I809" s="250" t="n"/>
      <c r="J809" s="250" t="n"/>
      <c r="K809" s="249">
        <f>+F809*H809</f>
        <v/>
      </c>
      <c r="L809" s="249">
        <f>+F809*I809</f>
        <v/>
      </c>
      <c r="M809" s="249">
        <f>+F809*J809</f>
        <v/>
      </c>
      <c r="N809" s="249">
        <f>SUM(K809:M809)</f>
        <v/>
      </c>
      <c r="O809" s="251">
        <f>SUM(K809:M809)/tc</f>
        <v/>
      </c>
    </row>
    <row r="810">
      <c r="A810" s="16" t="n"/>
      <c r="B810" s="1134">
        <f>VALUE(IF(AND(LEN(TRIM(C810))-LEN(SUBSTITUTE(TRIM(C810),".",""))=1,ISNUMBER(VALUE(SUBSTITUTE(TRIM(C810),".","")))),TRIM(C810),B809))</f>
        <v/>
      </c>
      <c r="C810" s="16" t="inlineStr">
        <is>
          <t>M05-0463</t>
        </is>
      </c>
      <c r="D810" s="292" t="n"/>
      <c r="E810" s="252">
        <f>+_xlfn.XLOOKUP(C810,'BASE DATOS PRECIOS '!B:B,'BASE DATOS PRECIOS '!E:E)</f>
        <v/>
      </c>
      <c r="F810" s="218">
        <f>'3.1_ELEC'!D312</f>
        <v/>
      </c>
      <c r="G810" s="250">
        <f>+_xlfn.XLOOKUP(C810,'BASE DATOS PRECIOS '!B:B,'BASE DATOS PRECIOS '!F:F)</f>
        <v/>
      </c>
      <c r="H810" s="249">
        <f>+_xlfn.XLOOKUP(E810,'BASE DATOS PRECIOS '!E:E,'BASE DATOS PRECIOS '!H:H)</f>
        <v/>
      </c>
      <c r="I810" s="250" t="n"/>
      <c r="J810" s="250" t="n"/>
      <c r="K810" s="249">
        <f>+F810*H810</f>
        <v/>
      </c>
      <c r="L810" s="249">
        <f>+F810*I810</f>
        <v/>
      </c>
      <c r="M810" s="249">
        <f>+F810*J810</f>
        <v/>
      </c>
      <c r="N810" s="249">
        <f>SUM(K810:M810)</f>
        <v/>
      </c>
      <c r="O810" s="251">
        <f>SUM(K810:M810)/tc</f>
        <v/>
      </c>
    </row>
    <row r="811">
      <c r="A811" s="16" t="n"/>
      <c r="B811" s="1134">
        <f>VALUE(IF(AND(LEN(TRIM(C811))-LEN(SUBSTITUTE(TRIM(C811),".",""))=1,ISNUMBER(VALUE(SUBSTITUTE(TRIM(C811),".","")))),TRIM(C811),B810))</f>
        <v/>
      </c>
      <c r="C811" s="274" t="inlineStr">
        <is>
          <t>M05-0024</t>
        </is>
      </c>
      <c r="D811" s="275" t="n"/>
      <c r="E811" s="252">
        <f>+_xlfn.XLOOKUP(C811,'BASE DATOS PRECIOS '!B:B,'BASE DATOS PRECIOS '!E:E)</f>
        <v/>
      </c>
      <c r="F811" s="218">
        <f>'3.1_ELEC'!D313</f>
        <v/>
      </c>
      <c r="G811" s="250">
        <f>+_xlfn.XLOOKUP(C811,'BASE DATOS PRECIOS '!B:B,'BASE DATOS PRECIOS '!F:F)</f>
        <v/>
      </c>
      <c r="H811" s="249">
        <f>+_xlfn.XLOOKUP(E811,'BASE DATOS PRECIOS '!E:E,'BASE DATOS PRECIOS '!H:H)</f>
        <v/>
      </c>
      <c r="I811" s="250" t="n"/>
      <c r="J811" s="250" t="n"/>
      <c r="K811" s="249">
        <f>+F811*H811</f>
        <v/>
      </c>
      <c r="L811" s="249">
        <f>+F811*I811</f>
        <v/>
      </c>
      <c r="M811" s="249">
        <f>+F811*J811</f>
        <v/>
      </c>
      <c r="N811" s="249">
        <f>SUM(K811:M811)</f>
        <v/>
      </c>
      <c r="O811" s="251">
        <f>SUM(K811:M811)/tc</f>
        <v/>
      </c>
    </row>
    <row r="812">
      <c r="A812" s="16" t="n"/>
      <c r="B812" s="1134">
        <f>VALUE(IF(AND(LEN(TRIM(C812))-LEN(SUBSTITUTE(TRIM(C812),".",""))=1,ISNUMBER(VALUE(SUBSTITUTE(TRIM(C812),".","")))),TRIM(C812),B811))</f>
        <v/>
      </c>
      <c r="C812" s="16" t="inlineStr">
        <is>
          <t>M05-0465</t>
        </is>
      </c>
      <c r="D812" s="292" t="n"/>
      <c r="E812" s="252">
        <f>+_xlfn.XLOOKUP(C812,'BASE DATOS PRECIOS '!B:B,'BASE DATOS PRECIOS '!E:E)</f>
        <v/>
      </c>
      <c r="F812" s="218">
        <f>'3.1_ELEC'!D314</f>
        <v/>
      </c>
      <c r="G812" s="250">
        <f>+_xlfn.XLOOKUP(C812,'BASE DATOS PRECIOS '!B:B,'BASE DATOS PRECIOS '!F:F)</f>
        <v/>
      </c>
      <c r="H812" s="249">
        <f>+_xlfn.XLOOKUP(E812,'BASE DATOS PRECIOS '!E:E,'BASE DATOS PRECIOS '!H:H)</f>
        <v/>
      </c>
      <c r="I812" s="250" t="n"/>
      <c r="J812" s="250" t="n"/>
      <c r="K812" s="249">
        <f>+F812*H812</f>
        <v/>
      </c>
      <c r="L812" s="249">
        <f>+F812*I812</f>
        <v/>
      </c>
      <c r="M812" s="249">
        <f>+F812*J812</f>
        <v/>
      </c>
      <c r="N812" s="249">
        <f>SUM(K812:M812)</f>
        <v/>
      </c>
      <c r="O812" s="251">
        <f>SUM(K812:M812)/tc</f>
        <v/>
      </c>
    </row>
    <row r="813">
      <c r="A813" s="233" t="n"/>
      <c r="B813" s="1134">
        <f>VALUE(IF(AND(LEN(TRIM(C813))-LEN(SUBSTITUTE(TRIM(C813),".",""))=1,ISNUMBER(VALUE(SUBSTITUTE(TRIM(C813),".","")))),TRIM(C813),B812))</f>
        <v/>
      </c>
      <c r="C813" s="317" t="inlineStr">
        <is>
          <t>M06-0271</t>
        </is>
      </c>
      <c r="D813" s="318" t="n"/>
      <c r="E813" s="252">
        <f>+_xlfn.XLOOKUP(C813,'BASE DATOS PRECIOS '!B:B,'BASE DATOS PRECIOS '!E:E)</f>
        <v/>
      </c>
      <c r="F813" s="218">
        <f>'3.1_ELEC'!D315</f>
        <v/>
      </c>
      <c r="G813" s="250">
        <f>+_xlfn.XLOOKUP(C813,'BASE DATOS PRECIOS '!B:B,'BASE DATOS PRECIOS '!F:F)</f>
        <v/>
      </c>
      <c r="H813" s="249">
        <f>+_xlfn.XLOOKUP(E813,'BASE DATOS PRECIOS '!E:E,'BASE DATOS PRECIOS '!H:H)</f>
        <v/>
      </c>
      <c r="I813" s="250" t="n"/>
      <c r="J813" s="250" t="n"/>
      <c r="K813" s="249">
        <f>+F813*H813</f>
        <v/>
      </c>
      <c r="L813" s="249">
        <f>+F813*I813</f>
        <v/>
      </c>
      <c r="M813" s="249">
        <f>+F813*J813</f>
        <v/>
      </c>
      <c r="N813" s="249">
        <f>SUM(K813:M813)</f>
        <v/>
      </c>
      <c r="O813" s="251">
        <f>SUM(K813:M813)/tc</f>
        <v/>
      </c>
    </row>
    <row r="814">
      <c r="A814" s="16" t="n"/>
      <c r="B814" s="1134">
        <f>VALUE(IF(AND(LEN(TRIM(C814))-LEN(SUBSTITUTE(TRIM(C814),".",""))=1,ISNUMBER(VALUE(SUBSTITUTE(TRIM(C814),".","")))),TRIM(C814),B813))</f>
        <v/>
      </c>
      <c r="C814" s="274" t="inlineStr">
        <is>
          <t>M05-0017</t>
        </is>
      </c>
      <c r="D814" s="275" t="n"/>
      <c r="E814" s="252">
        <f>+_xlfn.XLOOKUP(C814,'BASE DATOS PRECIOS '!B:B,'BASE DATOS PRECIOS '!E:E)</f>
        <v/>
      </c>
      <c r="F814" s="218">
        <f>'3.1_ELEC'!D316</f>
        <v/>
      </c>
      <c r="G814" s="250">
        <f>+_xlfn.XLOOKUP(C814,'BASE DATOS PRECIOS '!B:B,'BASE DATOS PRECIOS '!F:F)</f>
        <v/>
      </c>
      <c r="H814" s="249">
        <f>+_xlfn.XLOOKUP(E814,'BASE DATOS PRECIOS '!E:E,'BASE DATOS PRECIOS '!H:H)</f>
        <v/>
      </c>
      <c r="I814" s="250" t="n"/>
      <c r="J814" s="250" t="n"/>
      <c r="K814" s="249">
        <f>+F814*H814</f>
        <v/>
      </c>
      <c r="L814" s="249">
        <f>+F814*I814</f>
        <v/>
      </c>
      <c r="M814" s="249">
        <f>+F814*J814</f>
        <v/>
      </c>
      <c r="N814" s="249">
        <f>SUM(K814:M814)</f>
        <v/>
      </c>
      <c r="O814" s="251">
        <f>SUM(K814:M814)/tc</f>
        <v/>
      </c>
    </row>
    <row r="815">
      <c r="A815" s="16" t="n"/>
      <c r="B815" s="1134">
        <f>VALUE(IF(AND(LEN(TRIM(C815))-LEN(SUBSTITUTE(TRIM(C815),".",""))=1,ISNUMBER(VALUE(SUBSTITUTE(TRIM(C815),".","")))),TRIM(C815),B814))</f>
        <v/>
      </c>
      <c r="C815" s="16" t="inlineStr">
        <is>
          <t>M05-0018</t>
        </is>
      </c>
      <c r="D815" s="292" t="n"/>
      <c r="E815" s="252">
        <f>+_xlfn.XLOOKUP(C815,'BASE DATOS PRECIOS '!B:B,'BASE DATOS PRECIOS '!E:E)</f>
        <v/>
      </c>
      <c r="F815" s="218">
        <f>'3.1_ELEC'!D317</f>
        <v/>
      </c>
      <c r="G815" s="250">
        <f>+_xlfn.XLOOKUP(C815,'BASE DATOS PRECIOS '!B:B,'BASE DATOS PRECIOS '!F:F)</f>
        <v/>
      </c>
      <c r="H815" s="249">
        <f>+_xlfn.XLOOKUP(E815,'BASE DATOS PRECIOS '!E:E,'BASE DATOS PRECIOS '!H:H)</f>
        <v/>
      </c>
      <c r="I815" s="250" t="n"/>
      <c r="J815" s="250" t="n"/>
      <c r="K815" s="249">
        <f>+F815*H815</f>
        <v/>
      </c>
      <c r="L815" s="249">
        <f>+F815*I815</f>
        <v/>
      </c>
      <c r="M815" s="249">
        <f>+F815*J815</f>
        <v/>
      </c>
      <c r="N815" s="249">
        <f>SUM(K815:M815)</f>
        <v/>
      </c>
      <c r="O815" s="251">
        <f>SUM(K815:M815)/tc</f>
        <v/>
      </c>
    </row>
    <row r="816">
      <c r="A816" s="16" t="n"/>
      <c r="B816" s="1134">
        <f>VALUE(IF(AND(LEN(TRIM(C816))-LEN(SUBSTITUTE(TRIM(C816),".",""))=1,ISNUMBER(VALUE(SUBSTITUTE(TRIM(C816),".","")))),TRIM(C816),B815))</f>
        <v/>
      </c>
      <c r="C816" s="267" t="inlineStr">
        <is>
          <t xml:space="preserve">SUB ENTREGA FINAL </t>
        </is>
      </c>
      <c r="D816" s="268" t="n"/>
      <c r="E816" s="269">
        <f>+_xlfn.XLOOKUP(C816,'BASE DATOS EQUIPOS Y SUBCONTRAT'!A:A,'BASE DATOS EQUIPOS Y SUBCONTRAT'!B:B)</f>
        <v/>
      </c>
      <c r="F816" s="356" t="n">
        <v>1</v>
      </c>
      <c r="G816" s="357">
        <f>+_xlfn.XLOOKUP(C816,'BASE DATOS EQUIPOS Y SUBCONTRAT'!A:A,'BASE DATOS EQUIPOS Y SUBCONTRAT'!C:C)</f>
        <v/>
      </c>
      <c r="H816" s="358" t="n">
        <v>0</v>
      </c>
      <c r="I816" s="357" t="n"/>
      <c r="J816" s="358">
        <f>+'3.1_ELEC'!D319</f>
        <v/>
      </c>
      <c r="K816" s="358">
        <f>+F816*H816</f>
        <v/>
      </c>
      <c r="L816" s="358">
        <f>+F816*I816</f>
        <v/>
      </c>
      <c r="M816" s="358">
        <f>+F816*J816</f>
        <v/>
      </c>
      <c r="N816" s="358">
        <f>SUM(K816:M816)</f>
        <v/>
      </c>
      <c r="O816" s="359">
        <f>SUM(K816:M816)/tc</f>
        <v/>
      </c>
    </row>
    <row r="817">
      <c r="A817" s="16" t="n"/>
      <c r="B817" s="1134">
        <f>VALUE(IF(AND(LEN(TRIM(C817))-LEN(SUBSTITUTE(TRIM(C817),".",""))=1,ISNUMBER(VALUE(SUBSTITUTE(TRIM(C817),".","")))),TRIM(C817),B816))</f>
        <v/>
      </c>
      <c r="C817" s="267" t="inlineStr">
        <is>
          <t xml:space="preserve">OPERARIO </t>
        </is>
      </c>
      <c r="D817" s="268" t="n"/>
      <c r="E817" s="269">
        <f>+_xlfn.XLOOKUP(C817,'BASE DATOS MANO DE OBRA'!A:A,'BASE DATOS MANO DE OBRA'!B:B)</f>
        <v/>
      </c>
      <c r="F817" s="270" t="n">
        <v>0</v>
      </c>
      <c r="G817" s="271">
        <f>+_xlfn.XLOOKUP(C817,'BASE DATOS MANO DE OBRA'!A:A,'BASE DATOS MANO DE OBRA'!C:C)</f>
        <v/>
      </c>
      <c r="H817" s="272" t="n">
        <v>0</v>
      </c>
      <c r="I817" s="272">
        <f>+_xlfn.XLOOKUP(C817,'BASE DATOS MANO DE OBRA'!A:A,'BASE DATOS MANO DE OBRA'!E:E)</f>
        <v/>
      </c>
      <c r="J817" s="272" t="n">
        <v>0</v>
      </c>
      <c r="K817" s="272">
        <f>+F817*H817</f>
        <v/>
      </c>
      <c r="L817" s="272">
        <f>+F817*I817</f>
        <v/>
      </c>
      <c r="M817" s="272">
        <f>+F817*J817</f>
        <v/>
      </c>
      <c r="N817" s="272">
        <f>SUM(K817:M817)</f>
        <v/>
      </c>
      <c r="O817" s="273">
        <f>SUM(K817:M817)/tc</f>
        <v/>
      </c>
    </row>
    <row r="818">
      <c r="A818" s="16" t="n"/>
      <c r="B818" s="1134">
        <f>VALUE(IF(AND(LEN(TRIM(C818))-LEN(SUBSTITUTE(TRIM(C818),".",""))=1,ISNUMBER(VALUE(SUBSTITUTE(TRIM(C818),".","")))),TRIM(C818),B817))</f>
        <v/>
      </c>
      <c r="C818" s="267" t="inlineStr">
        <is>
          <t xml:space="preserve">AYUDANTE </t>
        </is>
      </c>
      <c r="D818" s="268" t="n"/>
      <c r="E818" s="269">
        <f>+_xlfn.XLOOKUP(C818,'BASE DATOS MANO DE OBRA'!A:A,'BASE DATOS MANO DE OBRA'!B:B)</f>
        <v/>
      </c>
      <c r="F818" s="270" t="n">
        <v>0</v>
      </c>
      <c r="G818" s="271">
        <f>+_xlfn.XLOOKUP(C818,'BASE DATOS MANO DE OBRA'!A:A,'BASE DATOS MANO DE OBRA'!C:C)</f>
        <v/>
      </c>
      <c r="H818" s="272" t="n">
        <v>0</v>
      </c>
      <c r="I818" s="272">
        <f>+_xlfn.XLOOKUP(C818,'BASE DATOS MANO DE OBRA'!A:A,'BASE DATOS MANO DE OBRA'!E:E)</f>
        <v/>
      </c>
      <c r="J818" s="272" t="n">
        <v>0</v>
      </c>
      <c r="K818" s="272">
        <f>+F818*H818</f>
        <v/>
      </c>
      <c r="L818" s="272">
        <f>+F818*I818</f>
        <v/>
      </c>
      <c r="M818" s="272">
        <f>+F818*J818</f>
        <v/>
      </c>
      <c r="N818" s="272">
        <f>SUM(K818:M818)</f>
        <v/>
      </c>
      <c r="O818" s="273">
        <f>SUM(K818:M818)/tc</f>
        <v/>
      </c>
    </row>
    <row r="819">
      <c r="A819" s="16" t="n"/>
      <c r="B819" s="1134">
        <f>VALUE(IF(AND(LEN(TRIM(C819))-LEN(SUBSTITUTE(TRIM(C819),".",""))=1,ISNUMBER(VALUE(SUBSTITUTE(TRIM(C819),".","")))),TRIM(C819),B818))</f>
        <v/>
      </c>
      <c r="C819" s="267" t="inlineStr">
        <is>
          <t xml:space="preserve">OPERARIO </t>
        </is>
      </c>
      <c r="D819" s="268" t="n"/>
      <c r="E819" s="269">
        <f>+_xlfn.XLOOKUP(C819,'BASE DATOS MANO DE OBRA'!A:A,'BASE DATOS MANO DE OBRA'!B:B)</f>
        <v/>
      </c>
      <c r="F819" s="270" t="n">
        <v>0</v>
      </c>
      <c r="G819" s="271">
        <f>+_xlfn.XLOOKUP(C819,'BASE DATOS MANO DE OBRA'!A:A,'BASE DATOS MANO DE OBRA'!C:C)</f>
        <v/>
      </c>
      <c r="H819" s="272" t="n">
        <v>0</v>
      </c>
      <c r="I819" s="272">
        <f>+_xlfn.XLOOKUP(C819,'BASE DATOS MANO DE OBRA'!A:A,'BASE DATOS MANO DE OBRA'!E:E)</f>
        <v/>
      </c>
      <c r="J819" s="272" t="n">
        <v>0</v>
      </c>
      <c r="K819" s="272">
        <f>+F819*H819</f>
        <v/>
      </c>
      <c r="L819" s="272">
        <f>+F819*I819</f>
        <v/>
      </c>
      <c r="M819" s="272">
        <f>+F819*J819</f>
        <v/>
      </c>
      <c r="N819" s="272">
        <f>SUM(K819:M819)</f>
        <v/>
      </c>
      <c r="O819" s="273">
        <f>SUM(K819:M819)/tc</f>
        <v/>
      </c>
    </row>
    <row r="820">
      <c r="A820" s="16" t="n"/>
      <c r="B820" s="1134">
        <f>VALUE(IF(AND(LEN(TRIM(C820))-LEN(SUBSTITUTE(TRIM(C820),".",""))=1,ISNUMBER(VALUE(SUBSTITUTE(TRIM(C820),".","")))),TRIM(C820),B819))</f>
        <v/>
      </c>
      <c r="C820" s="267" t="inlineStr">
        <is>
          <t xml:space="preserve">AYUDANTE </t>
        </is>
      </c>
      <c r="D820" s="268" t="n"/>
      <c r="E820" s="269">
        <f>+_xlfn.XLOOKUP(C820,'BASE DATOS MANO DE OBRA'!A:A,'BASE DATOS MANO DE OBRA'!B:B)</f>
        <v/>
      </c>
      <c r="F820" s="270" t="n">
        <v>0</v>
      </c>
      <c r="G820" s="271">
        <f>+_xlfn.XLOOKUP(C820,'BASE DATOS MANO DE OBRA'!A:A,'BASE DATOS MANO DE OBRA'!C:C)</f>
        <v/>
      </c>
      <c r="H820" s="272" t="n">
        <v>0</v>
      </c>
      <c r="I820" s="272">
        <f>+_xlfn.XLOOKUP(C820,'BASE DATOS MANO DE OBRA'!A:A,'BASE DATOS MANO DE OBRA'!E:E)</f>
        <v/>
      </c>
      <c r="J820" s="272" t="n">
        <v>0</v>
      </c>
      <c r="K820" s="272">
        <f>+F820*H820</f>
        <v/>
      </c>
      <c r="L820" s="272">
        <f>+F820*I820</f>
        <v/>
      </c>
      <c r="M820" s="272">
        <f>+F820*J820</f>
        <v/>
      </c>
      <c r="N820" s="272">
        <f>SUM(K820:M820)</f>
        <v/>
      </c>
      <c r="O820" s="273">
        <f>SUM(K820:M820)/tc</f>
        <v/>
      </c>
    </row>
    <row r="821">
      <c r="A821" s="16" t="n"/>
      <c r="B821" s="1134">
        <f>VALUE(IF(AND(LEN(TRIM(C821))-LEN(SUBSTITUTE(TRIM(C821),".",""))=1,ISNUMBER(VALUE(SUBSTITUTE(TRIM(C821),".","")))),TRIM(C821),B820))</f>
        <v/>
      </c>
      <c r="C821" s="306" t="inlineStr">
        <is>
          <t>3.2</t>
        </is>
      </c>
      <c r="D821" s="227" t="n"/>
      <c r="E821" s="228" t="inlineStr">
        <is>
          <t xml:space="preserve">MECÁNICO </t>
        </is>
      </c>
      <c r="F821" s="229" t="n">
        <v>1</v>
      </c>
      <c r="G821" s="227" t="inlineStr">
        <is>
          <t>UND</t>
        </is>
      </c>
      <c r="H821" s="227" t="n"/>
      <c r="I821" s="227" t="n"/>
      <c r="J821" s="227" t="n"/>
      <c r="K821" s="230">
        <f>+SUBTOTAL(9,K822:K950)</f>
        <v/>
      </c>
      <c r="L821" s="230">
        <f>+SUBTOTAL(9,L822:L950)</f>
        <v/>
      </c>
      <c r="M821" s="230">
        <f>+SUBTOTAL(9,M822:M950)</f>
        <v/>
      </c>
      <c r="N821" s="230">
        <f>+SUBTOTAL(9,N822:N950)</f>
        <v/>
      </c>
      <c r="O821" s="1135">
        <f>+SUBTOTAL(9,O822:O950)</f>
        <v/>
      </c>
    </row>
    <row r="822">
      <c r="A822" s="16" t="n"/>
      <c r="B822" s="1134">
        <f>VALUE(IF(AND(LEN(TRIM(C822))-LEN(SUBSTITUTE(TRIM(C822),".",""))=1,ISNUMBER(VALUE(SUBSTITUTE(TRIM(C822),".","")))),TRIM(C822),B821))</f>
        <v/>
      </c>
      <c r="C822" s="234" t="inlineStr">
        <is>
          <t>3.2.1</t>
        </is>
      </c>
      <c r="D822" s="235" t="n"/>
      <c r="E822" s="236" t="inlineStr">
        <is>
          <t xml:space="preserve">EXCAVACION TUBERIA SANITARIA </t>
        </is>
      </c>
      <c r="F822" s="237" t="n">
        <v>1</v>
      </c>
      <c r="G822" s="235" t="inlineStr">
        <is>
          <t>gb</t>
        </is>
      </c>
      <c r="H822" s="235" t="n"/>
      <c r="I822" s="235" t="n"/>
      <c r="J822" s="235" t="n"/>
      <c r="K822" s="238">
        <f>+SUBTOTAL(9,K823:K842)</f>
        <v/>
      </c>
      <c r="L822" s="238">
        <f>+SUBTOTAL(9,L823:L842)</f>
        <v/>
      </c>
      <c r="M822" s="238">
        <f>+SUBTOTAL(9,M823:M842)</f>
        <v/>
      </c>
      <c r="N822" s="238">
        <f>+SUBTOTAL(9,N823:N842)</f>
        <v/>
      </c>
      <c r="O822" s="1136">
        <f>+SUBTOTAL(9,O823:O842)</f>
        <v/>
      </c>
    </row>
    <row r="823">
      <c r="A823" s="16" t="n"/>
      <c r="B823" s="1134">
        <f>VALUE(IF(AND(LEN(TRIM(C823))-LEN(SUBSTITUTE(TRIM(C823),".",""))=1,ISNUMBER(VALUE(SUBSTITUTE(TRIM(C823),".","")))),TRIM(C823),B822))</f>
        <v/>
      </c>
      <c r="C823" s="372" t="n"/>
      <c r="D823" s="373" t="n"/>
      <c r="E823" s="374" t="inlineStr">
        <is>
          <t>TUBERIA</t>
        </is>
      </c>
      <c r="F823" s="375" t="n"/>
      <c r="G823" s="376" t="n"/>
      <c r="H823" s="377" t="n"/>
      <c r="I823" s="376" t="n"/>
      <c r="J823" s="376" t="n"/>
      <c r="K823" s="377" t="n"/>
      <c r="L823" s="377" t="n"/>
      <c r="M823" s="377" t="n"/>
      <c r="N823" s="377" t="n"/>
      <c r="O823" s="378" t="n"/>
    </row>
    <row r="824">
      <c r="A824" s="16" t="n"/>
      <c r="B824" s="1134">
        <f>VALUE(IF(AND(LEN(TRIM(C824))-LEN(SUBSTITUTE(TRIM(C824),".",""))=1,ISNUMBER(VALUE(SUBSTITUTE(TRIM(C824),".","")))),TRIM(C824),B823))</f>
        <v/>
      </c>
      <c r="C824" s="274" t="inlineStr">
        <is>
          <t>M13-0179</t>
        </is>
      </c>
      <c r="D824" s="275" t="n"/>
      <c r="E824" s="252">
        <f>+_xlfn.XLOOKUP(C824,'BASE DATOS PRECIOS '!B:B,'BASE DATOS PRECIOS '!E:E)</f>
        <v/>
      </c>
      <c r="F824" s="308">
        <f>+'3.2_MEC'!E19</f>
        <v/>
      </c>
      <c r="G824" s="250">
        <f>+_xlfn.XLOOKUP(C824,'BASE DATOS PRECIOS '!B:B,'BASE DATOS PRECIOS '!F:F)</f>
        <v/>
      </c>
      <c r="H824" s="249">
        <f>+_xlfn.XLOOKUP(E824,'BASE DATOS PRECIOS '!E:E,'BASE DATOS PRECIOS '!H:H)</f>
        <v/>
      </c>
      <c r="I824" s="250" t="n"/>
      <c r="J824" s="250" t="n"/>
      <c r="K824" s="249">
        <f>+F824*H824</f>
        <v/>
      </c>
      <c r="L824" s="249">
        <f>+F824*I824</f>
        <v/>
      </c>
      <c r="M824" s="249">
        <f>+F824*J824</f>
        <v/>
      </c>
      <c r="N824" s="249">
        <f>SUM(K824:M824)</f>
        <v/>
      </c>
      <c r="O824" s="251">
        <f>SUM(K824:M824)/tc</f>
        <v/>
      </c>
    </row>
    <row r="825">
      <c r="A825" s="16" t="n"/>
      <c r="B825" s="1134">
        <f>VALUE(IF(AND(LEN(TRIM(C825))-LEN(SUBSTITUTE(TRIM(C825),".",""))=1,ISNUMBER(VALUE(SUBSTITUTE(TRIM(C825),".","")))),TRIM(C825),B824))</f>
        <v/>
      </c>
      <c r="C825" s="274" t="inlineStr">
        <is>
          <t>M13-0190</t>
        </is>
      </c>
      <c r="D825" s="275" t="n"/>
      <c r="E825" s="252">
        <f>+_xlfn.XLOOKUP(C825,'BASE DATOS PRECIOS '!B:B,'BASE DATOS PRECIOS '!E:E)</f>
        <v/>
      </c>
      <c r="F825" s="308">
        <f>+'3.2_MEC'!E20</f>
        <v/>
      </c>
      <c r="G825" s="250">
        <f>+_xlfn.XLOOKUP(C825,'BASE DATOS PRECIOS '!B:B,'BASE DATOS PRECIOS '!F:F)</f>
        <v/>
      </c>
      <c r="H825" s="249">
        <f>+_xlfn.XLOOKUP(E825,'BASE DATOS PRECIOS '!E:E,'BASE DATOS PRECIOS '!H:H)</f>
        <v/>
      </c>
      <c r="I825" s="250" t="n"/>
      <c r="J825" s="250" t="n"/>
      <c r="K825" s="249">
        <f>+F825*H825</f>
        <v/>
      </c>
      <c r="L825" s="249">
        <f>+F825*I825</f>
        <v/>
      </c>
      <c r="M825" s="249">
        <f>+F825*J825</f>
        <v/>
      </c>
      <c r="N825" s="249">
        <f>SUM(K825:M825)</f>
        <v/>
      </c>
      <c r="O825" s="251">
        <f>SUM(K825:M825)/tc</f>
        <v/>
      </c>
    </row>
    <row r="826">
      <c r="A826" s="16" t="n"/>
      <c r="B826" s="1134">
        <f>VALUE(IF(AND(LEN(TRIM(C826))-LEN(SUBSTITUTE(TRIM(C826),".",""))=1,ISNUMBER(VALUE(SUBSTITUTE(TRIM(C826),".","")))),TRIM(C826),B825))</f>
        <v/>
      </c>
      <c r="C826" s="274" t="inlineStr">
        <is>
          <t>M13-0173</t>
        </is>
      </c>
      <c r="D826" s="275" t="n"/>
      <c r="E826" s="252">
        <f>+_xlfn.XLOOKUP(C826,'BASE DATOS PRECIOS '!B:B,'BASE DATOS PRECIOS '!E:E)</f>
        <v/>
      </c>
      <c r="F826" s="308">
        <f>+'3.2_MEC'!E21</f>
        <v/>
      </c>
      <c r="G826" s="250">
        <f>+_xlfn.XLOOKUP(C826,'BASE DATOS PRECIOS '!B:B,'BASE DATOS PRECIOS '!F:F)</f>
        <v/>
      </c>
      <c r="H826" s="249">
        <f>+_xlfn.XLOOKUP(E826,'BASE DATOS PRECIOS '!E:E,'BASE DATOS PRECIOS '!H:H)</f>
        <v/>
      </c>
      <c r="I826" s="250" t="n"/>
      <c r="J826" s="250" t="n"/>
      <c r="K826" s="249">
        <f>+F826*H826</f>
        <v/>
      </c>
      <c r="L826" s="249">
        <f>+F826*I826</f>
        <v/>
      </c>
      <c r="M826" s="249">
        <f>+F826*J826</f>
        <v/>
      </c>
      <c r="N826" s="249">
        <f>SUM(K826:M826)</f>
        <v/>
      </c>
      <c r="O826" s="251">
        <f>SUM(K826:M826)/tc</f>
        <v/>
      </c>
    </row>
    <row r="827">
      <c r="A827" s="16" t="n"/>
      <c r="B827" s="1134">
        <f>VALUE(IF(AND(LEN(TRIM(C827))-LEN(SUBSTITUTE(TRIM(C827),".",""))=1,ISNUMBER(VALUE(SUBSTITUTE(TRIM(C827),".","")))),TRIM(C827),B826))</f>
        <v/>
      </c>
      <c r="C827" s="372" t="n"/>
      <c r="D827" s="373" t="n"/>
      <c r="E827" s="374" t="inlineStr">
        <is>
          <t>ACCESORIOS</t>
        </is>
      </c>
      <c r="F827" s="375" t="n"/>
      <c r="G827" s="376" t="n"/>
      <c r="H827" s="377" t="n"/>
      <c r="I827" s="376" t="n"/>
      <c r="J827" s="376" t="n"/>
      <c r="K827" s="377" t="n"/>
      <c r="L827" s="377" t="n"/>
      <c r="M827" s="377" t="n"/>
      <c r="N827" s="377" t="n"/>
      <c r="O827" s="378" t="n"/>
    </row>
    <row r="828">
      <c r="A828" s="16" t="n"/>
      <c r="B828" s="1134">
        <f>VALUE(IF(AND(LEN(TRIM(C828))-LEN(SUBSTITUTE(TRIM(C828),".",""))=1,ISNUMBER(VALUE(SUBSTITUTE(TRIM(C828),".","")))),TRIM(C828),B827))</f>
        <v/>
      </c>
      <c r="C828" s="274" t="inlineStr">
        <is>
          <t>M13-0096</t>
        </is>
      </c>
      <c r="D828" s="275" t="n"/>
      <c r="E828" s="252">
        <f>+_xlfn.XLOOKUP(C828,'BASE DATOS PRECIOS '!B:B,'BASE DATOS PRECIOS '!E:E)</f>
        <v/>
      </c>
      <c r="F828" s="308">
        <f>+'3.2_MEC'!E23</f>
        <v/>
      </c>
      <c r="G828" s="250">
        <f>+_xlfn.XLOOKUP(C828,'BASE DATOS PRECIOS '!B:B,'BASE DATOS PRECIOS '!F:F)</f>
        <v/>
      </c>
      <c r="H828" s="249">
        <f>+_xlfn.XLOOKUP(E828,'BASE DATOS PRECIOS '!E:E,'BASE DATOS PRECIOS '!H:H)</f>
        <v/>
      </c>
      <c r="I828" s="250" t="n"/>
      <c r="J828" s="250" t="n"/>
      <c r="K828" s="249">
        <f>+F828*H828</f>
        <v/>
      </c>
      <c r="L828" s="249">
        <f>+F828*I828</f>
        <v/>
      </c>
      <c r="M828" s="249">
        <f>+F828*J828</f>
        <v/>
      </c>
      <c r="N828" s="249">
        <f>SUM(K828:M828)</f>
        <v/>
      </c>
      <c r="O828" s="251">
        <f>SUM(K828:M828)/tc</f>
        <v/>
      </c>
    </row>
    <row r="829">
      <c r="A829" s="16" t="n"/>
      <c r="B829" s="1134">
        <f>VALUE(IF(AND(LEN(TRIM(C829))-LEN(SUBSTITUTE(TRIM(C829),".",""))=1,ISNUMBER(VALUE(SUBSTITUTE(TRIM(C829),".","")))),TRIM(C829),B828))</f>
        <v/>
      </c>
      <c r="C829" s="274" t="inlineStr">
        <is>
          <t>M13-0118</t>
        </is>
      </c>
      <c r="D829" s="275" t="n"/>
      <c r="E829" s="252">
        <f>+_xlfn.XLOOKUP(C829,'BASE DATOS PRECIOS '!B:B,'BASE DATOS PRECIOS '!E:E)</f>
        <v/>
      </c>
      <c r="F829" s="308">
        <f>+'3.2_MEC'!E24</f>
        <v/>
      </c>
      <c r="G829" s="250">
        <f>+_xlfn.XLOOKUP(C829,'BASE DATOS PRECIOS '!B:B,'BASE DATOS PRECIOS '!F:F)</f>
        <v/>
      </c>
      <c r="H829" s="249">
        <f>+_xlfn.XLOOKUP(E829,'BASE DATOS PRECIOS '!E:E,'BASE DATOS PRECIOS '!H:H)</f>
        <v/>
      </c>
      <c r="I829" s="250" t="n"/>
      <c r="J829" s="250" t="n"/>
      <c r="K829" s="249">
        <f>+F829*H829</f>
        <v/>
      </c>
      <c r="L829" s="249">
        <f>+F829*I829</f>
        <v/>
      </c>
      <c r="M829" s="249">
        <f>+F829*J829</f>
        <v/>
      </c>
      <c r="N829" s="249">
        <f>SUM(K829:M829)</f>
        <v/>
      </c>
      <c r="O829" s="251">
        <f>SUM(K829:M829)/tc</f>
        <v/>
      </c>
    </row>
    <row r="830">
      <c r="A830" s="16" t="n"/>
      <c r="B830" s="1134">
        <f>VALUE(IF(AND(LEN(TRIM(C830))-LEN(SUBSTITUTE(TRIM(C830),".",""))=1,ISNUMBER(VALUE(SUBSTITUTE(TRIM(C830),".","")))),TRIM(C830),B829))</f>
        <v/>
      </c>
      <c r="C830" s="317" t="inlineStr">
        <is>
          <t>M13-0124</t>
        </is>
      </c>
      <c r="D830" s="318" t="n"/>
      <c r="E830" s="252">
        <f>+_xlfn.XLOOKUP(C830,'BASE DATOS PRECIOS '!B:B,'BASE DATOS PRECIOS '!E:E)</f>
        <v/>
      </c>
      <c r="F830" s="308">
        <f>+'3.2_MEC'!E25</f>
        <v/>
      </c>
      <c r="G830" s="250">
        <f>+_xlfn.XLOOKUP(C830,'BASE DATOS PRECIOS '!B:B,'BASE DATOS PRECIOS '!F:F)</f>
        <v/>
      </c>
      <c r="H830" s="249">
        <f>+_xlfn.XLOOKUP(E830,'BASE DATOS PRECIOS '!E:E,'BASE DATOS PRECIOS '!H:H)</f>
        <v/>
      </c>
      <c r="I830" s="250" t="n"/>
      <c r="J830" s="250" t="n"/>
      <c r="K830" s="249">
        <f>+F830*H830</f>
        <v/>
      </c>
      <c r="L830" s="249">
        <f>+F830*I830</f>
        <v/>
      </c>
      <c r="M830" s="249">
        <f>+F830*J830</f>
        <v/>
      </c>
      <c r="N830" s="249">
        <f>SUM(K830:M830)</f>
        <v/>
      </c>
      <c r="O830" s="251">
        <f>SUM(K830:M830)/tc</f>
        <v/>
      </c>
    </row>
    <row r="831">
      <c r="A831" s="16" t="n"/>
      <c r="B831" s="1134">
        <f>VALUE(IF(AND(LEN(TRIM(C831))-LEN(SUBSTITUTE(TRIM(C831),".",""))=1,ISNUMBER(VALUE(SUBSTITUTE(TRIM(C831),".","")))),TRIM(C831),B830))</f>
        <v/>
      </c>
      <c r="C831" s="317" t="inlineStr">
        <is>
          <t>M13-0117</t>
        </is>
      </c>
      <c r="D831" s="318" t="n"/>
      <c r="E831" s="252">
        <f>+_xlfn.XLOOKUP(C831,'BASE DATOS PRECIOS '!B:B,'BASE DATOS PRECIOS '!E:E)</f>
        <v/>
      </c>
      <c r="F831" s="308">
        <f>+'3.2_MEC'!E26</f>
        <v/>
      </c>
      <c r="G831" s="250">
        <f>+_xlfn.XLOOKUP(C831,'BASE DATOS PRECIOS '!B:B,'BASE DATOS PRECIOS '!F:F)</f>
        <v/>
      </c>
      <c r="H831" s="249">
        <f>+_xlfn.XLOOKUP(E831,'BASE DATOS PRECIOS '!E:E,'BASE DATOS PRECIOS '!H:H)</f>
        <v/>
      </c>
      <c r="I831" s="250" t="n"/>
      <c r="J831" s="250" t="n"/>
      <c r="K831" s="249">
        <f>+F831*H831</f>
        <v/>
      </c>
      <c r="L831" s="249">
        <f>+F831*I831</f>
        <v/>
      </c>
      <c r="M831" s="249">
        <f>+F831*J831</f>
        <v/>
      </c>
      <c r="N831" s="249">
        <f>SUM(K831:M831)</f>
        <v/>
      </c>
      <c r="O831" s="251">
        <f>SUM(K831:M831)/tc</f>
        <v/>
      </c>
    </row>
    <row r="832">
      <c r="A832" s="16" t="n"/>
      <c r="B832" s="1134">
        <f>VALUE(IF(AND(LEN(TRIM(C832))-LEN(SUBSTITUTE(TRIM(C832),".",""))=1,ISNUMBER(VALUE(SUBSTITUTE(TRIM(C832),".","")))),TRIM(C832),B831))</f>
        <v/>
      </c>
      <c r="C832" s="274" t="inlineStr">
        <is>
          <t>M13-0211</t>
        </is>
      </c>
      <c r="D832" s="275" t="n"/>
      <c r="E832" s="252">
        <f>+_xlfn.XLOOKUP(C832,'BASE DATOS PRECIOS '!B:B,'BASE DATOS PRECIOS '!E:E)</f>
        <v/>
      </c>
      <c r="F832" s="308">
        <f>+'3.2_MEC'!E27</f>
        <v/>
      </c>
      <c r="G832" s="250">
        <f>+_xlfn.XLOOKUP(C832,'BASE DATOS PRECIOS '!B:B,'BASE DATOS PRECIOS '!F:F)</f>
        <v/>
      </c>
      <c r="H832" s="249">
        <f>+_xlfn.XLOOKUP(E832,'BASE DATOS PRECIOS '!E:E,'BASE DATOS PRECIOS '!H:H)</f>
        <v/>
      </c>
      <c r="I832" s="250" t="n"/>
      <c r="J832" s="250" t="n"/>
      <c r="K832" s="249">
        <f>+F832*H832</f>
        <v/>
      </c>
      <c r="L832" s="249">
        <f>+F832*I832</f>
        <v/>
      </c>
      <c r="M832" s="249">
        <f>+F832*J832</f>
        <v/>
      </c>
      <c r="N832" s="249">
        <f>SUM(K832:M832)</f>
        <v/>
      </c>
      <c r="O832" s="251">
        <f>SUM(K832:M832)/tc</f>
        <v/>
      </c>
    </row>
    <row r="833">
      <c r="A833" s="16" t="n"/>
      <c r="B833" s="1134">
        <f>VALUE(IF(AND(LEN(TRIM(C833))-LEN(SUBSTITUTE(TRIM(C833),".",""))=1,ISNUMBER(VALUE(SUBSTITUTE(TRIM(C833),".","")))),TRIM(C833),B832))</f>
        <v/>
      </c>
      <c r="C833" s="274" t="inlineStr">
        <is>
          <t>M13-0119</t>
        </is>
      </c>
      <c r="D833" s="275" t="n"/>
      <c r="E833" s="252">
        <f>+_xlfn.XLOOKUP(C833,'BASE DATOS PRECIOS '!B:B,'BASE DATOS PRECIOS '!E:E)</f>
        <v/>
      </c>
      <c r="F833" s="308">
        <f>+'3.2_MEC'!E28</f>
        <v/>
      </c>
      <c r="G833" s="250">
        <f>+_xlfn.XLOOKUP(C833,'BASE DATOS PRECIOS '!B:B,'BASE DATOS PRECIOS '!F:F)</f>
        <v/>
      </c>
      <c r="H833" s="249">
        <f>+_xlfn.XLOOKUP(E833,'BASE DATOS PRECIOS '!E:E,'BASE DATOS PRECIOS '!H:H)</f>
        <v/>
      </c>
      <c r="I833" s="250" t="n"/>
      <c r="J833" s="250" t="n"/>
      <c r="K833" s="249">
        <f>+F833*H833</f>
        <v/>
      </c>
      <c r="L833" s="249">
        <f>+F833*I833</f>
        <v/>
      </c>
      <c r="M833" s="249">
        <f>+F833*J833</f>
        <v/>
      </c>
      <c r="N833" s="249">
        <f>SUM(K833:M833)</f>
        <v/>
      </c>
      <c r="O833" s="251">
        <f>SUM(K833:M833)/tc</f>
        <v/>
      </c>
    </row>
    <row r="834">
      <c r="A834" s="233" t="n"/>
      <c r="B834" s="1134">
        <f>VALUE(IF(AND(LEN(TRIM(C834))-LEN(SUBSTITUTE(TRIM(C834),".",""))=1,ISNUMBER(VALUE(SUBSTITUTE(TRIM(C834),".","")))),TRIM(C834),B833))</f>
        <v/>
      </c>
      <c r="C834" s="274" t="inlineStr">
        <is>
          <t>M13-0193</t>
        </is>
      </c>
      <c r="D834" s="275" t="n"/>
      <c r="E834" s="252">
        <f>+_xlfn.XLOOKUP(C834,'BASE DATOS PRECIOS '!B:B,'BASE DATOS PRECIOS '!E:E)</f>
        <v/>
      </c>
      <c r="F834" s="308">
        <f>+'3.2_MEC'!E29</f>
        <v/>
      </c>
      <c r="G834" s="250">
        <f>+_xlfn.XLOOKUP(C834,'BASE DATOS PRECIOS '!B:B,'BASE DATOS PRECIOS '!F:F)</f>
        <v/>
      </c>
      <c r="H834" s="249">
        <f>+_xlfn.XLOOKUP(E834,'BASE DATOS PRECIOS '!E:E,'BASE DATOS PRECIOS '!H:H)</f>
        <v/>
      </c>
      <c r="I834" s="250" t="n"/>
      <c r="J834" s="250" t="n"/>
      <c r="K834" s="249">
        <f>+F834*H834</f>
        <v/>
      </c>
      <c r="L834" s="249">
        <f>+F834*I834</f>
        <v/>
      </c>
      <c r="M834" s="249">
        <f>+F834*J834</f>
        <v/>
      </c>
      <c r="N834" s="249">
        <f>SUM(K834:M834)</f>
        <v/>
      </c>
      <c r="O834" s="251">
        <f>SUM(K834:M834)/tc</f>
        <v/>
      </c>
    </row>
    <row r="835">
      <c r="A835" s="16" t="n"/>
      <c r="B835" s="1134">
        <f>VALUE(IF(AND(LEN(TRIM(C835))-LEN(SUBSTITUTE(TRIM(C835),".",""))=1,ISNUMBER(VALUE(SUBSTITUTE(TRIM(C835),".","")))),TRIM(C835),B834))</f>
        <v/>
      </c>
      <c r="C835" s="274" t="inlineStr">
        <is>
          <t>M13-0192</t>
        </is>
      </c>
      <c r="D835" s="275" t="n"/>
      <c r="E835" s="252">
        <f>+_xlfn.XLOOKUP(C835,'BASE DATOS PRECIOS '!B:B,'BASE DATOS PRECIOS '!E:E)</f>
        <v/>
      </c>
      <c r="F835" s="308">
        <f>+'3.2_MEC'!E30</f>
        <v/>
      </c>
      <c r="G835" s="250">
        <f>+_xlfn.XLOOKUP(C835,'BASE DATOS PRECIOS '!B:B,'BASE DATOS PRECIOS '!F:F)</f>
        <v/>
      </c>
      <c r="H835" s="249">
        <f>+_xlfn.XLOOKUP(E835,'BASE DATOS PRECIOS '!E:E,'BASE DATOS PRECIOS '!H:H)</f>
        <v/>
      </c>
      <c r="I835" s="250" t="n"/>
      <c r="J835" s="250" t="n"/>
      <c r="K835" s="249">
        <f>+F835*H835</f>
        <v/>
      </c>
      <c r="L835" s="249">
        <f>+F835*I835</f>
        <v/>
      </c>
      <c r="M835" s="249">
        <f>+F835*J835</f>
        <v/>
      </c>
      <c r="N835" s="249">
        <f>SUM(K835:M835)</f>
        <v/>
      </c>
      <c r="O835" s="251">
        <f>SUM(K835:M835)/tc</f>
        <v/>
      </c>
    </row>
    <row r="836">
      <c r="A836" s="16" t="n"/>
      <c r="B836" s="1134">
        <f>VALUE(IF(AND(LEN(TRIM(C836))-LEN(SUBSTITUTE(TRIM(C836),".",""))=1,ISNUMBER(VALUE(SUBSTITUTE(TRIM(C836),".","")))),TRIM(C836),B835))</f>
        <v/>
      </c>
      <c r="C836" s="274" t="inlineStr">
        <is>
          <t>M13-0191</t>
        </is>
      </c>
      <c r="D836" s="275" t="n"/>
      <c r="E836" s="252">
        <f>+_xlfn.XLOOKUP(C836,'BASE DATOS PRECIOS '!B:B,'BASE DATOS PRECIOS '!E:E)</f>
        <v/>
      </c>
      <c r="F836" s="308">
        <f>+'3.2_MEC'!E31</f>
        <v/>
      </c>
      <c r="G836" s="250">
        <f>+_xlfn.XLOOKUP(C836,'BASE DATOS PRECIOS '!B:B,'BASE DATOS PRECIOS '!F:F)</f>
        <v/>
      </c>
      <c r="H836" s="249">
        <f>+_xlfn.XLOOKUP(E836,'BASE DATOS PRECIOS '!E:E,'BASE DATOS PRECIOS '!H:H)</f>
        <v/>
      </c>
      <c r="I836" s="250" t="n"/>
      <c r="J836" s="250" t="n"/>
      <c r="K836" s="249">
        <f>+F836*H836</f>
        <v/>
      </c>
      <c r="L836" s="249">
        <f>+F836*I836</f>
        <v/>
      </c>
      <c r="M836" s="249">
        <f>+F836*J836</f>
        <v/>
      </c>
      <c r="N836" s="249">
        <f>SUM(K836:M836)</f>
        <v/>
      </c>
      <c r="O836" s="251">
        <f>SUM(K836:M836)/tc</f>
        <v/>
      </c>
    </row>
    <row r="837">
      <c r="A837" s="16" t="n"/>
      <c r="B837" s="1134">
        <f>VALUE(IF(AND(LEN(TRIM(C837))-LEN(SUBSTITUTE(TRIM(C837),".",""))=1,ISNUMBER(VALUE(SUBSTITUTE(TRIM(C837),".","")))),TRIM(C837),B836))</f>
        <v/>
      </c>
      <c r="C837" s="317" t="inlineStr">
        <is>
          <t>M13-0132</t>
        </is>
      </c>
      <c r="D837" s="318" t="n"/>
      <c r="E837" s="252">
        <f>+_xlfn.XLOOKUP(C837,'BASE DATOS PRECIOS '!B:B,'BASE DATOS PRECIOS '!E:E)</f>
        <v/>
      </c>
      <c r="F837" s="308">
        <f>+'3.2_MEC'!E32</f>
        <v/>
      </c>
      <c r="G837" s="250">
        <f>+_xlfn.XLOOKUP(C837,'BASE DATOS PRECIOS '!B:B,'BASE DATOS PRECIOS '!F:F)</f>
        <v/>
      </c>
      <c r="H837" s="249">
        <f>+_xlfn.XLOOKUP(E837,'BASE DATOS PRECIOS '!E:E,'BASE DATOS PRECIOS '!H:H)</f>
        <v/>
      </c>
      <c r="I837" s="250" t="n"/>
      <c r="J837" s="250" t="n"/>
      <c r="K837" s="249">
        <f>+F837*H837</f>
        <v/>
      </c>
      <c r="L837" s="249">
        <f>+F837*I837</f>
        <v/>
      </c>
      <c r="M837" s="249">
        <f>+F837*J837</f>
        <v/>
      </c>
      <c r="N837" s="249">
        <f>SUM(K837:M837)</f>
        <v/>
      </c>
      <c r="O837" s="251">
        <f>SUM(K837:M837)/tc</f>
        <v/>
      </c>
    </row>
    <row r="838">
      <c r="A838" s="16" t="n"/>
      <c r="B838" s="1134">
        <f>VALUE(IF(AND(LEN(TRIM(C838))-LEN(SUBSTITUTE(TRIM(C838),".",""))=1,ISNUMBER(VALUE(SUBSTITUTE(TRIM(C838),".","")))),TRIM(C838),B837))</f>
        <v/>
      </c>
      <c r="C838" s="317" t="inlineStr">
        <is>
          <t>M13-0134</t>
        </is>
      </c>
      <c r="D838" s="318" t="n"/>
      <c r="E838" s="252">
        <f>+_xlfn.XLOOKUP(C838,'BASE DATOS PRECIOS '!B:B,'BASE DATOS PRECIOS '!E:E)</f>
        <v/>
      </c>
      <c r="F838" s="308">
        <f>+'3.2_MEC'!E33</f>
        <v/>
      </c>
      <c r="G838" s="250">
        <f>+_xlfn.XLOOKUP(C838,'BASE DATOS PRECIOS '!B:B,'BASE DATOS PRECIOS '!F:F)</f>
        <v/>
      </c>
      <c r="H838" s="249">
        <f>+_xlfn.XLOOKUP(E838,'BASE DATOS PRECIOS '!E:E,'BASE DATOS PRECIOS '!H:H)</f>
        <v/>
      </c>
      <c r="I838" s="250" t="n"/>
      <c r="J838" s="250" t="n"/>
      <c r="K838" s="249">
        <f>+F838*H838</f>
        <v/>
      </c>
      <c r="L838" s="249">
        <f>+F838*I838</f>
        <v/>
      </c>
      <c r="M838" s="249">
        <f>+F838*J838</f>
        <v/>
      </c>
      <c r="N838" s="249">
        <f>SUM(K838:M838)</f>
        <v/>
      </c>
      <c r="O838" s="251">
        <f>SUM(K838:M838)/tc</f>
        <v/>
      </c>
    </row>
    <row r="839">
      <c r="A839" s="266" t="inlineStr">
        <is>
          <t>Fontanería Losa</t>
        </is>
      </c>
      <c r="B839" s="1134">
        <f>VALUE(IF(AND(LEN(TRIM(C839))-LEN(SUBSTITUTE(TRIM(C839),".",""))=1,ISNUMBER(VALUE(SUBSTITUTE(TRIM(C839),".","")))),TRIM(C839),B838))</f>
        <v/>
      </c>
      <c r="C839" s="267" t="inlineStr">
        <is>
          <t xml:space="preserve">OPERARIO </t>
        </is>
      </c>
      <c r="D839" s="268" t="n"/>
      <c r="E839" s="269">
        <f>+_xlfn.XLOOKUP(C839,'BASE DATOS MANO DE OBRA'!A:A,'BASE DATOS MANO DE OBRA'!B:B)</f>
        <v/>
      </c>
      <c r="F839" s="270">
        <f>+ROUND('3.2_MEC'!F36,0)/2</f>
        <v/>
      </c>
      <c r="G839" s="271">
        <f>+_xlfn.XLOOKUP(C839,'BASE DATOS MANO DE OBRA'!A:A,'BASE DATOS MANO DE OBRA'!C:C)</f>
        <v/>
      </c>
      <c r="H839" s="272" t="n">
        <v>0</v>
      </c>
      <c r="I839" s="272">
        <f>+_xlfn.XLOOKUP(C839,'BASE DATOS MANO DE OBRA'!A:A,'BASE DATOS MANO DE OBRA'!E:E)</f>
        <v/>
      </c>
      <c r="J839" s="272" t="n">
        <v>0</v>
      </c>
      <c r="K839" s="272">
        <f>+F839*H839</f>
        <v/>
      </c>
      <c r="L839" s="272">
        <f>+F839*I839</f>
        <v/>
      </c>
      <c r="M839" s="272">
        <f>+F839*J839</f>
        <v/>
      </c>
      <c r="N839" s="272">
        <f>SUM(K839:M839)</f>
        <v/>
      </c>
      <c r="O839" s="273">
        <f>SUM(K839:M839)/tc</f>
        <v/>
      </c>
    </row>
    <row r="840">
      <c r="A840" s="266" t="inlineStr">
        <is>
          <t>Fontanería Losa</t>
        </is>
      </c>
      <c r="B840" s="1134">
        <f>VALUE(IF(AND(LEN(TRIM(C840))-LEN(SUBSTITUTE(TRIM(C840),".",""))=1,ISNUMBER(VALUE(SUBSTITUTE(TRIM(C840),".","")))),TRIM(C840),B839))</f>
        <v/>
      </c>
      <c r="C840" s="267" t="inlineStr">
        <is>
          <t xml:space="preserve">AYUDANTE </t>
        </is>
      </c>
      <c r="D840" s="268" t="n"/>
      <c r="E840" s="269">
        <f>+_xlfn.XLOOKUP(C840,'BASE DATOS MANO DE OBRA'!A:A,'BASE DATOS MANO DE OBRA'!B:B)</f>
        <v/>
      </c>
      <c r="F840" s="270">
        <f>+F839</f>
        <v/>
      </c>
      <c r="G840" s="271">
        <f>+_xlfn.XLOOKUP(C840,'BASE DATOS MANO DE OBRA'!A:A,'BASE DATOS MANO DE OBRA'!C:C)</f>
        <v/>
      </c>
      <c r="H840" s="272" t="n">
        <v>0</v>
      </c>
      <c r="I840" s="272">
        <f>+_xlfn.XLOOKUP(C840,'BASE DATOS MANO DE OBRA'!A:A,'BASE DATOS MANO DE OBRA'!E:E)</f>
        <v/>
      </c>
      <c r="J840" s="272" t="n">
        <v>0</v>
      </c>
      <c r="K840" s="272">
        <f>+F840*H840</f>
        <v/>
      </c>
      <c r="L840" s="272">
        <f>+F840*I840</f>
        <v/>
      </c>
      <c r="M840" s="272">
        <f>+F840*J840</f>
        <v/>
      </c>
      <c r="N840" s="272">
        <f>SUM(K840:M840)</f>
        <v/>
      </c>
      <c r="O840" s="273">
        <f>SUM(K840:M840)/tc</f>
        <v/>
      </c>
    </row>
    <row r="841">
      <c r="A841" s="266" t="inlineStr">
        <is>
          <t>Fontanería Losa</t>
        </is>
      </c>
      <c r="B841" s="1134">
        <f>VALUE(IF(AND(LEN(TRIM(C841))-LEN(SUBSTITUTE(TRIM(C841),".",""))=1,ISNUMBER(VALUE(SUBSTITUTE(TRIM(C841),".","")))),TRIM(C841),B840))</f>
        <v/>
      </c>
      <c r="C841" s="267" t="inlineStr">
        <is>
          <t xml:space="preserve">OPERARIO </t>
        </is>
      </c>
      <c r="D841" s="268" t="n"/>
      <c r="E841" s="269">
        <f>+_xlfn.XLOOKUP(C841,'BASE DATOS MANO DE OBRA'!A:A,'BASE DATOS MANO DE OBRA'!B:B)</f>
        <v/>
      </c>
      <c r="F841" s="270">
        <f>+ROUNDUP('3.2_MEC'!F37,0)/2</f>
        <v/>
      </c>
      <c r="G841" s="271">
        <f>+_xlfn.XLOOKUP(C841,'BASE DATOS MANO DE OBRA'!A:A,'BASE DATOS MANO DE OBRA'!C:C)</f>
        <v/>
      </c>
      <c r="H841" s="272" t="n">
        <v>0</v>
      </c>
      <c r="I841" s="272">
        <f>+_xlfn.XLOOKUP(C841,'BASE DATOS MANO DE OBRA'!A:A,'BASE DATOS MANO DE OBRA'!E:E)</f>
        <v/>
      </c>
      <c r="J841" s="272" t="n">
        <v>0</v>
      </c>
      <c r="K841" s="272">
        <f>+F841*H841</f>
        <v/>
      </c>
      <c r="L841" s="272">
        <f>+F841*I841</f>
        <v/>
      </c>
      <c r="M841" s="272">
        <f>+F841*J841</f>
        <v/>
      </c>
      <c r="N841" s="272">
        <f>SUM(K841:M841)</f>
        <v/>
      </c>
      <c r="O841" s="273">
        <f>SUM(K841:M841)/tc</f>
        <v/>
      </c>
    </row>
    <row r="842">
      <c r="A842" s="266" t="inlineStr">
        <is>
          <t>Fontanería Losa</t>
        </is>
      </c>
      <c r="B842" s="1134">
        <f>VALUE(IF(AND(LEN(TRIM(C842))-LEN(SUBSTITUTE(TRIM(C842),".",""))=1,ISNUMBER(VALUE(SUBSTITUTE(TRIM(C842),".","")))),TRIM(C842),B841))</f>
        <v/>
      </c>
      <c r="C842" s="267" t="inlineStr">
        <is>
          <t xml:space="preserve">AYUDANTE </t>
        </is>
      </c>
      <c r="D842" s="268" t="n"/>
      <c r="E842" s="269">
        <f>+_xlfn.XLOOKUP(C842,'BASE DATOS MANO DE OBRA'!A:A,'BASE DATOS MANO DE OBRA'!B:B)</f>
        <v/>
      </c>
      <c r="F842" s="270">
        <f>+F841</f>
        <v/>
      </c>
      <c r="G842" s="271">
        <f>+_xlfn.XLOOKUP(C842,'BASE DATOS MANO DE OBRA'!A:A,'BASE DATOS MANO DE OBRA'!C:C)</f>
        <v/>
      </c>
      <c r="H842" s="272" t="n">
        <v>0</v>
      </c>
      <c r="I842" s="272">
        <f>+_xlfn.XLOOKUP(C842,'BASE DATOS MANO DE OBRA'!A:A,'BASE DATOS MANO DE OBRA'!E:E)</f>
        <v/>
      </c>
      <c r="J842" s="272" t="n">
        <v>0</v>
      </c>
      <c r="K842" s="272">
        <f>+F842*H842</f>
        <v/>
      </c>
      <c r="L842" s="272">
        <f>+F842*I842</f>
        <v/>
      </c>
      <c r="M842" s="272">
        <f>+F842*J842</f>
        <v/>
      </c>
      <c r="N842" s="272">
        <f>SUM(K842:M842)</f>
        <v/>
      </c>
      <c r="O842" s="273">
        <f>SUM(K842:M842)/tc</f>
        <v/>
      </c>
    </row>
    <row r="843">
      <c r="A843" s="16" t="n"/>
      <c r="B843" s="1134">
        <f>VALUE(IF(AND(LEN(TRIM(C843))-LEN(SUBSTITUTE(TRIM(C843),".",""))=1,ISNUMBER(VALUE(SUBSTITUTE(TRIM(C843),".","")))),TRIM(C843),B842))</f>
        <v/>
      </c>
      <c r="C843" s="234" t="inlineStr">
        <is>
          <t>3.2.2</t>
        </is>
      </c>
      <c r="D843" s="235" t="n"/>
      <c r="E843" s="236" t="inlineStr">
        <is>
          <t>POTABLE DE LOSA</t>
        </is>
      </c>
      <c r="F843" s="237" t="n">
        <v>1</v>
      </c>
      <c r="G843" s="235" t="inlineStr">
        <is>
          <t>gb</t>
        </is>
      </c>
      <c r="H843" s="235" t="n"/>
      <c r="I843" s="235" t="n"/>
      <c r="J843" s="235" t="n"/>
      <c r="K843" s="238">
        <f>+SUBTOTAL(9,K844:K859)</f>
        <v/>
      </c>
      <c r="L843" s="238">
        <f>+SUBTOTAL(9,L844:L859)</f>
        <v/>
      </c>
      <c r="M843" s="238">
        <f>+SUBTOTAL(9,M844:M859)</f>
        <v/>
      </c>
      <c r="N843" s="238">
        <f>+SUBTOTAL(9,N844:N859)</f>
        <v/>
      </c>
      <c r="O843" s="1136">
        <f>+SUBTOTAL(9,O844:O859)</f>
        <v/>
      </c>
    </row>
    <row r="844">
      <c r="A844" s="16" t="n"/>
      <c r="B844" s="1134">
        <f>VALUE(IF(AND(LEN(TRIM(C844))-LEN(SUBSTITUTE(TRIM(C844),".",""))=1,ISNUMBER(VALUE(SUBSTITUTE(TRIM(C844),".","")))),TRIM(C844),B843))</f>
        <v/>
      </c>
      <c r="C844" s="285" t="n"/>
      <c r="D844" s="286" t="n"/>
      <c r="E844" s="332" t="inlineStr">
        <is>
          <t xml:space="preserve">TUBERÍA </t>
        </is>
      </c>
      <c r="F844" s="288" t="n"/>
      <c r="G844" s="289" t="n"/>
      <c r="H844" s="289" t="n"/>
      <c r="I844" s="289" t="n"/>
      <c r="J844" s="289" t="n"/>
      <c r="K844" s="290" t="n"/>
      <c r="L844" s="290" t="n"/>
      <c r="M844" s="290" t="n"/>
      <c r="N844" s="290" t="n"/>
      <c r="O844" s="291" t="n"/>
    </row>
    <row r="845">
      <c r="A845" s="16" t="n"/>
      <c r="B845" s="1134">
        <f>VALUE(IF(AND(LEN(TRIM(C845))-LEN(SUBSTITUTE(TRIM(C845),".",""))=1,ISNUMBER(VALUE(SUBSTITUTE(TRIM(C845),".","")))),TRIM(C845),B844))</f>
        <v/>
      </c>
      <c r="C845" s="16" t="inlineStr">
        <is>
          <t>M13-0170</t>
        </is>
      </c>
      <c r="D845" s="292" t="n"/>
      <c r="E845" s="252">
        <f>+_xlfn.XLOOKUP(C845,'BASE DATOS PRECIOS '!B:B,'BASE DATOS PRECIOS '!E:E)</f>
        <v/>
      </c>
      <c r="F845" s="276">
        <f>+'3.2_MEC'!E45</f>
        <v/>
      </c>
      <c r="G845" s="250">
        <f>+_xlfn.XLOOKUP(C845,'BASE DATOS PRECIOS '!B:B,'BASE DATOS PRECIOS '!F:F)</f>
        <v/>
      </c>
      <c r="H845" s="249">
        <f>+_xlfn.XLOOKUP(E845,'BASE DATOS PRECIOS '!E:E,'BASE DATOS PRECIOS '!H:H)</f>
        <v/>
      </c>
      <c r="I845" s="250" t="n"/>
      <c r="J845" s="250" t="n"/>
      <c r="K845" s="249">
        <f>+F845*H845</f>
        <v/>
      </c>
      <c r="L845" s="249">
        <f>+F845*I845</f>
        <v/>
      </c>
      <c r="M845" s="249">
        <f>+F845*J845</f>
        <v/>
      </c>
      <c r="N845" s="249">
        <f>SUM(K845:M845)</f>
        <v/>
      </c>
      <c r="O845" s="251">
        <f>SUM(K845:M845)/tc</f>
        <v/>
      </c>
    </row>
    <row r="846">
      <c r="A846" s="16" t="n"/>
      <c r="B846" s="1134">
        <f>VALUE(IF(AND(LEN(TRIM(C846))-LEN(SUBSTITUTE(TRIM(C846),".",""))=1,ISNUMBER(VALUE(SUBSTITUTE(TRIM(C846),".","")))),TRIM(C846),B845))</f>
        <v/>
      </c>
      <c r="C846" s="16" t="inlineStr">
        <is>
          <t>M13-0166</t>
        </is>
      </c>
      <c r="D846" s="292" t="n"/>
      <c r="E846" s="252">
        <f>+_xlfn.XLOOKUP(C846,'BASE DATOS PRECIOS '!B:B,'BASE DATOS PRECIOS '!E:E)</f>
        <v/>
      </c>
      <c r="F846" s="276">
        <f>+'3.2_MEC'!E46</f>
        <v/>
      </c>
      <c r="G846" s="250">
        <f>+_xlfn.XLOOKUP(C846,'BASE DATOS PRECIOS '!B:B,'BASE DATOS PRECIOS '!F:F)</f>
        <v/>
      </c>
      <c r="H846" s="249">
        <f>+_xlfn.XLOOKUP(E846,'BASE DATOS PRECIOS '!E:E,'BASE DATOS PRECIOS '!H:H)</f>
        <v/>
      </c>
      <c r="I846" s="250" t="n"/>
      <c r="J846" s="250" t="n"/>
      <c r="K846" s="249">
        <f>+F846*H846</f>
        <v/>
      </c>
      <c r="L846" s="249">
        <f>+F846*I846</f>
        <v/>
      </c>
      <c r="M846" s="249">
        <f>+F846*J846</f>
        <v/>
      </c>
      <c r="N846" s="249">
        <f>SUM(K846:M846)</f>
        <v/>
      </c>
      <c r="O846" s="251">
        <f>SUM(K846:M846)/tc</f>
        <v/>
      </c>
    </row>
    <row r="847">
      <c r="A847" s="16" t="n"/>
      <c r="B847" s="1134">
        <f>VALUE(IF(AND(LEN(TRIM(C847))-LEN(SUBSTITUTE(TRIM(C847),".",""))=1,ISNUMBER(VALUE(SUBSTITUTE(TRIM(C847),".","")))),TRIM(C847),B846))</f>
        <v/>
      </c>
      <c r="C847" s="285" t="n"/>
      <c r="D847" s="286" t="n"/>
      <c r="E847" s="332" t="inlineStr">
        <is>
          <t>ACCESORIOS</t>
        </is>
      </c>
      <c r="F847" s="288" t="n"/>
      <c r="G847" s="289" t="n"/>
      <c r="H847" s="289" t="n"/>
      <c r="I847" s="289" t="n"/>
      <c r="J847" s="289" t="n"/>
      <c r="K847" s="290" t="n"/>
      <c r="L847" s="290" t="n"/>
      <c r="M847" s="290" t="n"/>
      <c r="N847" s="290" t="n"/>
      <c r="O847" s="291" t="n"/>
    </row>
    <row r="848">
      <c r="A848" s="16" t="n"/>
      <c r="B848" s="1134">
        <f>VALUE(IF(AND(LEN(TRIM(C848))-LEN(SUBSTITUTE(TRIM(C848),".",""))=1,ISNUMBER(VALUE(SUBSTITUTE(TRIM(C848),".","")))),TRIM(C848),B847))</f>
        <v/>
      </c>
      <c r="C848" s="16" t="inlineStr">
        <is>
          <t>M13-0120</t>
        </is>
      </c>
      <c r="D848" s="292" t="n"/>
      <c r="E848" s="252">
        <f>+_xlfn.XLOOKUP(C848,'BASE DATOS PRECIOS '!B:B,'BASE DATOS PRECIOS '!E:E)</f>
        <v/>
      </c>
      <c r="F848" s="276">
        <f>+'3.2_MEC'!E48</f>
        <v/>
      </c>
      <c r="G848" s="250">
        <f>+_xlfn.XLOOKUP(C848,'BASE DATOS PRECIOS '!B:B,'BASE DATOS PRECIOS '!F:F)</f>
        <v/>
      </c>
      <c r="H848" s="249">
        <f>+_xlfn.XLOOKUP(E848,'BASE DATOS PRECIOS '!E:E,'BASE DATOS PRECIOS '!H:H)</f>
        <v/>
      </c>
      <c r="I848" s="250" t="n"/>
      <c r="J848" s="250" t="n"/>
      <c r="K848" s="249">
        <f>+F848*H848</f>
        <v/>
      </c>
      <c r="L848" s="249">
        <f>+F848*I848</f>
        <v/>
      </c>
      <c r="M848" s="249">
        <f>+F848*J848</f>
        <v/>
      </c>
      <c r="N848" s="249">
        <f>SUM(K848:M848)</f>
        <v/>
      </c>
      <c r="O848" s="251">
        <f>SUM(K848:M848)/tc</f>
        <v/>
      </c>
    </row>
    <row r="849">
      <c r="A849" s="16" t="n"/>
      <c r="B849" s="1134">
        <f>VALUE(IF(AND(LEN(TRIM(C849))-LEN(SUBSTITUTE(TRIM(C849),".",""))=1,ISNUMBER(VALUE(SUBSTITUTE(TRIM(C849),".","")))),TRIM(C849),B848))</f>
        <v/>
      </c>
      <c r="C849" s="16" t="inlineStr">
        <is>
          <t>M13-0094</t>
        </is>
      </c>
      <c r="D849" s="292" t="n"/>
      <c r="E849" s="252">
        <f>+_xlfn.XLOOKUP(C849,'BASE DATOS PRECIOS '!B:B,'BASE DATOS PRECIOS '!E:E)</f>
        <v/>
      </c>
      <c r="F849" s="276">
        <f>+'3.2_MEC'!E49</f>
        <v/>
      </c>
      <c r="G849" s="250">
        <f>+_xlfn.XLOOKUP(C849,'BASE DATOS PRECIOS '!B:B,'BASE DATOS PRECIOS '!F:F)</f>
        <v/>
      </c>
      <c r="H849" s="249">
        <f>+_xlfn.XLOOKUP(E849,'BASE DATOS PRECIOS '!E:E,'BASE DATOS PRECIOS '!H:H)</f>
        <v/>
      </c>
      <c r="I849" s="250" t="n"/>
      <c r="J849" s="250" t="n"/>
      <c r="K849" s="249">
        <f>+F849*H849</f>
        <v/>
      </c>
      <c r="L849" s="249">
        <f>+F849*I849</f>
        <v/>
      </c>
      <c r="M849" s="249">
        <f>+F849*J849</f>
        <v/>
      </c>
      <c r="N849" s="249">
        <f>SUM(K849:M849)</f>
        <v/>
      </c>
      <c r="O849" s="251">
        <f>SUM(K849:M849)/tc</f>
        <v/>
      </c>
    </row>
    <row r="850">
      <c r="A850" s="16" t="n"/>
      <c r="B850" s="1134">
        <f>VALUE(IF(AND(LEN(TRIM(C850))-LEN(SUBSTITUTE(TRIM(C850),".",""))=1,ISNUMBER(VALUE(SUBSTITUTE(TRIM(C850),".","")))),TRIM(C850),B849))</f>
        <v/>
      </c>
      <c r="C850" s="16" t="inlineStr">
        <is>
          <t>M13-0159</t>
        </is>
      </c>
      <c r="D850" s="292" t="n"/>
      <c r="E850" s="252">
        <f>+_xlfn.XLOOKUP(C850,'BASE DATOS PRECIOS '!B:B,'BASE DATOS PRECIOS '!E:E)</f>
        <v/>
      </c>
      <c r="F850" s="276">
        <f>+'3.2_MEC'!E50</f>
        <v/>
      </c>
      <c r="G850" s="250">
        <f>+_xlfn.XLOOKUP(C850,'BASE DATOS PRECIOS '!B:B,'BASE DATOS PRECIOS '!F:F)</f>
        <v/>
      </c>
      <c r="H850" s="249">
        <f>+_xlfn.XLOOKUP(E850,'BASE DATOS PRECIOS '!E:E,'BASE DATOS PRECIOS '!H:H)</f>
        <v/>
      </c>
      <c r="I850" s="250" t="n"/>
      <c r="J850" s="250" t="n"/>
      <c r="K850" s="249">
        <f>+F850*H850</f>
        <v/>
      </c>
      <c r="L850" s="249">
        <f>+F850*I850</f>
        <v/>
      </c>
      <c r="M850" s="249">
        <f>+F850*J850</f>
        <v/>
      </c>
      <c r="N850" s="249">
        <f>SUM(K850:M850)</f>
        <v/>
      </c>
      <c r="O850" s="251">
        <f>SUM(K850:M850)/tc</f>
        <v/>
      </c>
    </row>
    <row r="851">
      <c r="A851" s="233" t="n"/>
      <c r="B851" s="1134">
        <f>VALUE(IF(AND(LEN(TRIM(C851))-LEN(SUBSTITUTE(TRIM(C851),".",""))=1,ISNUMBER(VALUE(SUBSTITUTE(TRIM(C851),".","")))),TRIM(C851),B850))</f>
        <v/>
      </c>
      <c r="C851" s="16" t="inlineStr">
        <is>
          <t>M13-0157</t>
        </is>
      </c>
      <c r="D851" s="292" t="n"/>
      <c r="E851" s="252">
        <f>+_xlfn.XLOOKUP(C851,'BASE DATOS PRECIOS '!B:B,'BASE DATOS PRECIOS '!E:E)</f>
        <v/>
      </c>
      <c r="F851" s="276">
        <f>+'3.2_MEC'!E51</f>
        <v/>
      </c>
      <c r="G851" s="250">
        <f>+_xlfn.XLOOKUP(C851,'BASE DATOS PRECIOS '!B:B,'BASE DATOS PRECIOS '!F:F)</f>
        <v/>
      </c>
      <c r="H851" s="249">
        <f>+_xlfn.XLOOKUP(E851,'BASE DATOS PRECIOS '!E:E,'BASE DATOS PRECIOS '!H:H)</f>
        <v/>
      </c>
      <c r="I851" s="250" t="n"/>
      <c r="J851" s="250" t="n"/>
      <c r="K851" s="249">
        <f>+F851*H851</f>
        <v/>
      </c>
      <c r="L851" s="249">
        <f>+F851*I851</f>
        <v/>
      </c>
      <c r="M851" s="249">
        <f>+F851*J851</f>
        <v/>
      </c>
      <c r="N851" s="249">
        <f>SUM(K851:M851)</f>
        <v/>
      </c>
      <c r="O851" s="251">
        <f>SUM(K851:M851)/tc</f>
        <v/>
      </c>
    </row>
    <row r="852">
      <c r="A852" s="16" t="n"/>
      <c r="B852" s="1134">
        <f>VALUE(IF(AND(LEN(TRIM(C852))-LEN(SUBSTITUTE(TRIM(C852),".",""))=1,ISNUMBER(VALUE(SUBSTITUTE(TRIM(C852),".","")))),TRIM(C852),B851))</f>
        <v/>
      </c>
      <c r="C852" s="16" t="inlineStr">
        <is>
          <t>M13-0091</t>
        </is>
      </c>
      <c r="D852" s="292" t="n"/>
      <c r="E852" s="252">
        <f>+_xlfn.XLOOKUP(C852,'BASE DATOS PRECIOS '!B:B,'BASE DATOS PRECIOS '!E:E)</f>
        <v/>
      </c>
      <c r="F852" s="276">
        <f>+'3.2_MEC'!E52</f>
        <v/>
      </c>
      <c r="G852" s="250">
        <f>+_xlfn.XLOOKUP(C852,'BASE DATOS PRECIOS '!B:B,'BASE DATOS PRECIOS '!F:F)</f>
        <v/>
      </c>
      <c r="H852" s="249">
        <f>+_xlfn.XLOOKUP(E852,'BASE DATOS PRECIOS '!E:E,'BASE DATOS PRECIOS '!H:H)</f>
        <v/>
      </c>
      <c r="I852" s="250" t="n"/>
      <c r="J852" s="250" t="n"/>
      <c r="K852" s="249">
        <f>+F852*H852</f>
        <v/>
      </c>
      <c r="L852" s="249">
        <f>+F852*I852</f>
        <v/>
      </c>
      <c r="M852" s="249">
        <f>+F852*J852</f>
        <v/>
      </c>
      <c r="N852" s="249">
        <f>SUM(K852:M852)</f>
        <v/>
      </c>
      <c r="O852" s="251">
        <f>SUM(K852:M852)/tc</f>
        <v/>
      </c>
    </row>
    <row r="853">
      <c r="A853" s="16" t="n"/>
      <c r="B853" s="1134">
        <f>VALUE(IF(AND(LEN(TRIM(C853))-LEN(SUBSTITUTE(TRIM(C853),".",""))=1,ISNUMBER(VALUE(SUBSTITUTE(TRIM(C853),".","")))),TRIM(C853),B852))</f>
        <v/>
      </c>
      <c r="C853" s="16" t="inlineStr">
        <is>
          <t>M13-0090</t>
        </is>
      </c>
      <c r="D853" s="292" t="n"/>
      <c r="E853" s="252">
        <f>+_xlfn.XLOOKUP(C853,'BASE DATOS PRECIOS '!B:B,'BASE DATOS PRECIOS '!E:E)</f>
        <v/>
      </c>
      <c r="F853" s="276">
        <f>+'3.2_MEC'!E53</f>
        <v/>
      </c>
      <c r="G853" s="250">
        <f>+_xlfn.XLOOKUP(C853,'BASE DATOS PRECIOS '!B:B,'BASE DATOS PRECIOS '!F:F)</f>
        <v/>
      </c>
      <c r="H853" s="249">
        <f>+_xlfn.XLOOKUP(E853,'BASE DATOS PRECIOS '!E:E,'BASE DATOS PRECIOS '!H:H)</f>
        <v/>
      </c>
      <c r="I853" s="250" t="n"/>
      <c r="J853" s="250" t="n"/>
      <c r="K853" s="249">
        <f>+F853*H853</f>
        <v/>
      </c>
      <c r="L853" s="249">
        <f>+F853*I853</f>
        <v/>
      </c>
      <c r="M853" s="249">
        <f>+F853*J853</f>
        <v/>
      </c>
      <c r="N853" s="249">
        <f>SUM(K853:M853)</f>
        <v/>
      </c>
      <c r="O853" s="251">
        <f>SUM(K853:M853)/tc</f>
        <v/>
      </c>
    </row>
    <row r="854">
      <c r="A854" s="16" t="n"/>
      <c r="B854" s="1134">
        <f>VALUE(IF(AND(LEN(TRIM(C854))-LEN(SUBSTITUTE(TRIM(C854),".",""))=1,ISNUMBER(VALUE(SUBSTITUTE(TRIM(C854),".","")))),TRIM(C854),B853))</f>
        <v/>
      </c>
      <c r="C854" s="16" t="inlineStr">
        <is>
          <t>M13-0255</t>
        </is>
      </c>
      <c r="D854" s="292" t="n"/>
      <c r="E854" s="252">
        <f>+_xlfn.XLOOKUP(C854,'BASE DATOS PRECIOS '!B:B,'BASE DATOS PRECIOS '!E:E)</f>
        <v/>
      </c>
      <c r="F854" s="276">
        <f>+'3.2_MEC'!E54</f>
        <v/>
      </c>
      <c r="G854" s="250">
        <f>+_xlfn.XLOOKUP(C854,'BASE DATOS PRECIOS '!B:B,'BASE DATOS PRECIOS '!F:F)</f>
        <v/>
      </c>
      <c r="H854" s="249">
        <f>+_xlfn.XLOOKUP(E854,'BASE DATOS PRECIOS '!E:E,'BASE DATOS PRECIOS '!H:H)</f>
        <v/>
      </c>
      <c r="I854" s="250" t="n"/>
      <c r="J854" s="250" t="n"/>
      <c r="K854" s="249">
        <f>+F854*H854</f>
        <v/>
      </c>
      <c r="L854" s="249">
        <f>+F854*I854</f>
        <v/>
      </c>
      <c r="M854" s="249">
        <f>+F854*J854</f>
        <v/>
      </c>
      <c r="N854" s="249">
        <f>SUM(K854:M854)</f>
        <v/>
      </c>
      <c r="O854" s="251">
        <f>SUM(K854:M854)/tc</f>
        <v/>
      </c>
    </row>
    <row r="855">
      <c r="A855" s="16" t="n"/>
      <c r="B855" s="1134">
        <f>VALUE(IF(AND(LEN(TRIM(C855))-LEN(SUBSTITUTE(TRIM(C855),".",""))=1,ISNUMBER(VALUE(SUBSTITUTE(TRIM(C855),".","")))),TRIM(C855),B854))</f>
        <v/>
      </c>
      <c r="C855" s="16" t="inlineStr">
        <is>
          <t>M13-0245</t>
        </is>
      </c>
      <c r="D855" s="292" t="n"/>
      <c r="E855" s="252">
        <f>+_xlfn.XLOOKUP(C855,'BASE DATOS PRECIOS '!B:B,'BASE DATOS PRECIOS '!E:E)</f>
        <v/>
      </c>
      <c r="F855" s="276">
        <f>+'3.2_MEC'!E55</f>
        <v/>
      </c>
      <c r="G855" s="250">
        <f>+_xlfn.XLOOKUP(C855,'BASE DATOS PRECIOS '!B:B,'BASE DATOS PRECIOS '!F:F)</f>
        <v/>
      </c>
      <c r="H855" s="249">
        <f>+_xlfn.XLOOKUP(E855,'BASE DATOS PRECIOS '!E:E,'BASE DATOS PRECIOS '!H:H)</f>
        <v/>
      </c>
      <c r="I855" s="250" t="n"/>
      <c r="J855" s="250" t="n"/>
      <c r="K855" s="249">
        <f>+F855*H855</f>
        <v/>
      </c>
      <c r="L855" s="249">
        <f>+F855*I855</f>
        <v/>
      </c>
      <c r="M855" s="249">
        <f>+F855*J855</f>
        <v/>
      </c>
      <c r="N855" s="249">
        <f>SUM(K855:M855)</f>
        <v/>
      </c>
      <c r="O855" s="251">
        <f>SUM(K855:M855)/tc</f>
        <v/>
      </c>
    </row>
    <row r="856">
      <c r="A856" s="266" t="inlineStr">
        <is>
          <t>Fontanería Losa</t>
        </is>
      </c>
      <c r="B856" s="1134">
        <f>VALUE(IF(AND(LEN(TRIM(C856))-LEN(SUBSTITUTE(TRIM(C856),".",""))=1,ISNUMBER(VALUE(SUBSTITUTE(TRIM(C856),".","")))),TRIM(C856),B855))</f>
        <v/>
      </c>
      <c r="C856" s="267" t="inlineStr">
        <is>
          <t xml:space="preserve">OPERARIO </t>
        </is>
      </c>
      <c r="D856" s="268" t="n"/>
      <c r="E856" s="269">
        <f>+_xlfn.XLOOKUP(C856,'BASE DATOS MANO DE OBRA'!A:A,'BASE DATOS MANO DE OBRA'!B:B)</f>
        <v/>
      </c>
      <c r="F856" s="270">
        <f>+ROUNDUP('3.2_MEC'!F58,0)/2</f>
        <v/>
      </c>
      <c r="G856" s="271">
        <f>+_xlfn.XLOOKUP(C856,'BASE DATOS MANO DE OBRA'!A:A,'BASE DATOS MANO DE OBRA'!C:C)</f>
        <v/>
      </c>
      <c r="H856" s="272" t="n">
        <v>0</v>
      </c>
      <c r="I856" s="272">
        <f>+_xlfn.XLOOKUP(C856,'BASE DATOS MANO DE OBRA'!A:A,'BASE DATOS MANO DE OBRA'!E:E)</f>
        <v/>
      </c>
      <c r="J856" s="272" t="n">
        <v>0</v>
      </c>
      <c r="K856" s="272">
        <f>+F856*H856</f>
        <v/>
      </c>
      <c r="L856" s="272">
        <f>+F856*I856</f>
        <v/>
      </c>
      <c r="M856" s="272">
        <f>+F856*J856</f>
        <v/>
      </c>
      <c r="N856" s="272">
        <f>SUM(K856:M856)</f>
        <v/>
      </c>
      <c r="O856" s="273">
        <f>SUM(K856:M856)/tc</f>
        <v/>
      </c>
    </row>
    <row r="857">
      <c r="A857" s="266" t="inlineStr">
        <is>
          <t>Fontanería Losa</t>
        </is>
      </c>
      <c r="B857" s="1134">
        <f>VALUE(IF(AND(LEN(TRIM(C857))-LEN(SUBSTITUTE(TRIM(C857),".",""))=1,ISNUMBER(VALUE(SUBSTITUTE(TRIM(C857),".","")))),TRIM(C857),B856))</f>
        <v/>
      </c>
      <c r="C857" s="267" t="inlineStr">
        <is>
          <t xml:space="preserve">AYUDANTE </t>
        </is>
      </c>
      <c r="D857" s="268" t="n"/>
      <c r="E857" s="269">
        <f>+_xlfn.XLOOKUP(C857,'BASE DATOS MANO DE OBRA'!A:A,'BASE DATOS MANO DE OBRA'!B:B)</f>
        <v/>
      </c>
      <c r="F857" s="270">
        <f>+F856</f>
        <v/>
      </c>
      <c r="G857" s="271">
        <f>+_xlfn.XLOOKUP(C857,'BASE DATOS MANO DE OBRA'!A:A,'BASE DATOS MANO DE OBRA'!C:C)</f>
        <v/>
      </c>
      <c r="H857" s="272" t="n">
        <v>0</v>
      </c>
      <c r="I857" s="272">
        <f>+_xlfn.XLOOKUP(C857,'BASE DATOS MANO DE OBRA'!A:A,'BASE DATOS MANO DE OBRA'!E:E)</f>
        <v/>
      </c>
      <c r="J857" s="272" t="n">
        <v>0</v>
      </c>
      <c r="K857" s="272">
        <f>+F857*H857</f>
        <v/>
      </c>
      <c r="L857" s="272">
        <f>+F857*I857</f>
        <v/>
      </c>
      <c r="M857" s="272">
        <f>+F857*J857</f>
        <v/>
      </c>
      <c r="N857" s="272">
        <f>SUM(K857:M857)</f>
        <v/>
      </c>
      <c r="O857" s="273">
        <f>SUM(K857:M857)/tc</f>
        <v/>
      </c>
    </row>
    <row r="858">
      <c r="A858" s="266" t="inlineStr">
        <is>
          <t>Fontanería Losa</t>
        </is>
      </c>
      <c r="B858" s="1134">
        <f>VALUE(IF(AND(LEN(TRIM(C858))-LEN(SUBSTITUTE(TRIM(C858),".",""))=1,ISNUMBER(VALUE(SUBSTITUTE(TRIM(C858),".","")))),TRIM(C858),B857))</f>
        <v/>
      </c>
      <c r="C858" s="267" t="inlineStr">
        <is>
          <t xml:space="preserve">OPERARIO </t>
        </is>
      </c>
      <c r="D858" s="268" t="n"/>
      <c r="E858" s="269">
        <f>+_xlfn.XLOOKUP(C858,'BASE DATOS MANO DE OBRA'!A:A,'BASE DATOS MANO DE OBRA'!B:B)</f>
        <v/>
      </c>
      <c r="F858" s="270">
        <f>+ROUNDUP('3.2_MEC'!F59,0)/2</f>
        <v/>
      </c>
      <c r="G858" s="271">
        <f>+_xlfn.XLOOKUP(C858,'BASE DATOS MANO DE OBRA'!A:A,'BASE DATOS MANO DE OBRA'!C:C)</f>
        <v/>
      </c>
      <c r="H858" s="272" t="n">
        <v>0</v>
      </c>
      <c r="I858" s="272">
        <f>+_xlfn.XLOOKUP(C858,'BASE DATOS MANO DE OBRA'!A:A,'BASE DATOS MANO DE OBRA'!E:E)</f>
        <v/>
      </c>
      <c r="J858" s="272" t="n">
        <v>0</v>
      </c>
      <c r="K858" s="272">
        <f>+F858*H858</f>
        <v/>
      </c>
      <c r="L858" s="272">
        <f>+F858*I858</f>
        <v/>
      </c>
      <c r="M858" s="272">
        <f>+F858*J858</f>
        <v/>
      </c>
      <c r="N858" s="272">
        <f>SUM(K858:M858)</f>
        <v/>
      </c>
      <c r="O858" s="273">
        <f>SUM(K858:M858)/tc</f>
        <v/>
      </c>
    </row>
    <row r="859">
      <c r="A859" s="266" t="inlineStr">
        <is>
          <t>Fontanería Losa</t>
        </is>
      </c>
      <c r="B859" s="1134">
        <f>VALUE(IF(AND(LEN(TRIM(C859))-LEN(SUBSTITUTE(TRIM(C859),".",""))=1,ISNUMBER(VALUE(SUBSTITUTE(TRIM(C859),".","")))),TRIM(C859),B858))</f>
        <v/>
      </c>
      <c r="C859" s="267" t="inlineStr">
        <is>
          <t xml:space="preserve">AYUDANTE </t>
        </is>
      </c>
      <c r="D859" s="268" t="n"/>
      <c r="E859" s="269">
        <f>+_xlfn.XLOOKUP(C859,'BASE DATOS MANO DE OBRA'!A:A,'BASE DATOS MANO DE OBRA'!B:B)</f>
        <v/>
      </c>
      <c r="F859" s="270">
        <f>+F858</f>
        <v/>
      </c>
      <c r="G859" s="271">
        <f>+_xlfn.XLOOKUP(C859,'BASE DATOS MANO DE OBRA'!A:A,'BASE DATOS MANO DE OBRA'!C:C)</f>
        <v/>
      </c>
      <c r="H859" s="272" t="n">
        <v>0</v>
      </c>
      <c r="I859" s="272">
        <f>+_xlfn.XLOOKUP(C859,'BASE DATOS MANO DE OBRA'!A:A,'BASE DATOS MANO DE OBRA'!E:E)</f>
        <v/>
      </c>
      <c r="J859" s="272" t="n">
        <v>0</v>
      </c>
      <c r="K859" s="272">
        <f>+F859*H859</f>
        <v/>
      </c>
      <c r="L859" s="272">
        <f>+F859*I859</f>
        <v/>
      </c>
      <c r="M859" s="272">
        <f>+F859*J859</f>
        <v/>
      </c>
      <c r="N859" s="272">
        <f>SUM(K859:M859)</f>
        <v/>
      </c>
      <c r="O859" s="273">
        <f>SUM(K859:M859)/tc</f>
        <v/>
      </c>
    </row>
    <row r="860">
      <c r="A860" s="16" t="n"/>
      <c r="B860" s="1134">
        <f>VALUE(IF(AND(LEN(TRIM(C860))-LEN(SUBSTITUTE(TRIM(C860),".",""))=1,ISNUMBER(VALUE(SUBSTITUTE(TRIM(C860),".","")))),TRIM(C860),B859))</f>
        <v/>
      </c>
      <c r="C860" s="234" t="inlineStr">
        <is>
          <t>3.2.2.1</t>
        </is>
      </c>
      <c r="D860" s="235" t="n"/>
      <c r="E860" s="236" t="inlineStr">
        <is>
          <t>POTABLE DE ENTREPISO</t>
        </is>
      </c>
      <c r="F860" s="237" t="n">
        <v>1</v>
      </c>
      <c r="G860" s="235" t="inlineStr">
        <is>
          <t>gb</t>
        </is>
      </c>
      <c r="H860" s="235" t="n"/>
      <c r="I860" s="235" t="n"/>
      <c r="J860" s="235" t="n"/>
      <c r="K860" s="238">
        <f>+SUBTOTAL(9,K861:K874)</f>
        <v/>
      </c>
      <c r="L860" s="238">
        <f>+SUBTOTAL(9,L861:L874)</f>
        <v/>
      </c>
      <c r="M860" s="238">
        <f>+SUBTOTAL(9,M861:M874)</f>
        <v/>
      </c>
      <c r="N860" s="238">
        <f>+SUBTOTAL(9,N861:N874)</f>
        <v/>
      </c>
      <c r="O860" s="1136">
        <f>+SUBTOTAL(9,O861:O874)</f>
        <v/>
      </c>
    </row>
    <row r="861">
      <c r="A861" s="16" t="n"/>
      <c r="B861" s="1134">
        <f>VALUE(IF(AND(LEN(TRIM(C861))-LEN(SUBSTITUTE(TRIM(C861),".",""))=1,ISNUMBER(VALUE(SUBSTITUTE(TRIM(C861),".","")))),TRIM(C861),B860))</f>
        <v/>
      </c>
      <c r="C861" s="285" t="n"/>
      <c r="D861" s="286" t="n"/>
      <c r="E861" s="332" t="inlineStr">
        <is>
          <t xml:space="preserve">TUBERÍA </t>
        </is>
      </c>
      <c r="F861" s="288" t="n"/>
      <c r="G861" s="289" t="n"/>
      <c r="H861" s="289" t="n"/>
      <c r="I861" s="289" t="n"/>
      <c r="J861" s="289" t="n"/>
      <c r="K861" s="290" t="n"/>
      <c r="L861" s="290" t="n"/>
      <c r="M861" s="290" t="n"/>
      <c r="N861" s="290" t="n"/>
      <c r="O861" s="291" t="n"/>
    </row>
    <row r="862">
      <c r="A862" s="16" t="n"/>
      <c r="B862" s="1134">
        <f>VALUE(IF(AND(LEN(TRIM(C862))-LEN(SUBSTITUTE(TRIM(C862),".",""))=1,ISNUMBER(VALUE(SUBSTITUTE(TRIM(C862),".","")))),TRIM(C862),B861))</f>
        <v/>
      </c>
      <c r="C862" s="16" t="inlineStr">
        <is>
          <t>M13-0170</t>
        </is>
      </c>
      <c r="D862" s="292" t="n"/>
      <c r="E862" s="252">
        <f>+_xlfn.XLOOKUP(C862,'BASE DATOS PRECIOS '!B:B,'BASE DATOS PRECIOS '!E:E)</f>
        <v/>
      </c>
      <c r="F862" s="276">
        <f>+'3.2_MEC'!E67</f>
        <v/>
      </c>
      <c r="G862" s="250">
        <f>+_xlfn.XLOOKUP(C862,'BASE DATOS PRECIOS '!B:B,'BASE DATOS PRECIOS '!F:F)</f>
        <v/>
      </c>
      <c r="H862" s="249">
        <f>+_xlfn.XLOOKUP(E862,'BASE DATOS PRECIOS '!E:E,'BASE DATOS PRECIOS '!H:H)</f>
        <v/>
      </c>
      <c r="I862" s="250" t="n"/>
      <c r="J862" s="250" t="n"/>
      <c r="K862" s="249">
        <f>+F862*H862</f>
        <v/>
      </c>
      <c r="L862" s="249">
        <f>+F862*I862</f>
        <v/>
      </c>
      <c r="M862" s="249">
        <f>+F862*J862</f>
        <v/>
      </c>
      <c r="N862" s="249">
        <f>SUM(K862:M862)</f>
        <v/>
      </c>
      <c r="O862" s="251">
        <f>SUM(K862:M862)/tc</f>
        <v/>
      </c>
    </row>
    <row r="863">
      <c r="A863" s="16" t="n"/>
      <c r="B863" s="1134">
        <f>VALUE(IF(AND(LEN(TRIM(C863))-LEN(SUBSTITUTE(TRIM(C863),".",""))=1,ISNUMBER(VALUE(SUBSTITUTE(TRIM(C863),".","")))),TRIM(C863),B862))</f>
        <v/>
      </c>
      <c r="C863" s="16" t="inlineStr">
        <is>
          <t>M13-0166</t>
        </is>
      </c>
      <c r="D863" s="292" t="n"/>
      <c r="E863" s="252">
        <f>+_xlfn.XLOOKUP(C863,'BASE DATOS PRECIOS '!B:B,'BASE DATOS PRECIOS '!E:E)</f>
        <v/>
      </c>
      <c r="F863" s="276">
        <f>+'3.2_MEC'!E68</f>
        <v/>
      </c>
      <c r="G863" s="250">
        <f>+_xlfn.XLOOKUP(C863,'BASE DATOS PRECIOS '!B:B,'BASE DATOS PRECIOS '!F:F)</f>
        <v/>
      </c>
      <c r="H863" s="249">
        <f>+_xlfn.XLOOKUP(E863,'BASE DATOS PRECIOS '!E:E,'BASE DATOS PRECIOS '!H:H)</f>
        <v/>
      </c>
      <c r="I863" s="250" t="n"/>
      <c r="J863" s="250" t="n"/>
      <c r="K863" s="249">
        <f>+F863*H863</f>
        <v/>
      </c>
      <c r="L863" s="249">
        <f>+F863*I863</f>
        <v/>
      </c>
      <c r="M863" s="249">
        <f>+F863*J863</f>
        <v/>
      </c>
      <c r="N863" s="249">
        <f>SUM(K863:M863)</f>
        <v/>
      </c>
      <c r="O863" s="251">
        <f>SUM(K863:M863)/tc</f>
        <v/>
      </c>
    </row>
    <row r="864">
      <c r="A864" s="16" t="n"/>
      <c r="B864" s="1134">
        <f>VALUE(IF(AND(LEN(TRIM(C864))-LEN(SUBSTITUTE(TRIM(C864),".",""))=1,ISNUMBER(VALUE(SUBSTITUTE(TRIM(C864),".","")))),TRIM(C864),B863))</f>
        <v/>
      </c>
      <c r="C864" s="285" t="n"/>
      <c r="D864" s="286" t="n"/>
      <c r="E864" s="332" t="inlineStr">
        <is>
          <t>ACCESORIOS</t>
        </is>
      </c>
      <c r="F864" s="288" t="n"/>
      <c r="G864" s="289" t="n"/>
      <c r="H864" s="289" t="n"/>
      <c r="I864" s="289" t="n"/>
      <c r="J864" s="289" t="n"/>
      <c r="K864" s="290" t="n"/>
      <c r="L864" s="290" t="n"/>
      <c r="M864" s="290" t="n"/>
      <c r="N864" s="290" t="n"/>
      <c r="O864" s="291" t="n"/>
    </row>
    <row r="865">
      <c r="A865" s="16" t="n"/>
      <c r="B865" s="1134">
        <f>VALUE(IF(AND(LEN(TRIM(C865))-LEN(SUBSTITUTE(TRIM(C865),".",""))=1,ISNUMBER(VALUE(SUBSTITUTE(TRIM(C865),".","")))),TRIM(C865),B864))</f>
        <v/>
      </c>
      <c r="C865" s="16" t="inlineStr">
        <is>
          <t>M13-0120</t>
        </is>
      </c>
      <c r="D865" s="292" t="n"/>
      <c r="E865" s="252">
        <f>+_xlfn.XLOOKUP(C865,'BASE DATOS PRECIOS '!B:B,'BASE DATOS PRECIOS '!E:E)</f>
        <v/>
      </c>
      <c r="F865" s="276">
        <f>+'3.2_MEC'!E70</f>
        <v/>
      </c>
      <c r="G865" s="250">
        <f>+_xlfn.XLOOKUP(C865,'BASE DATOS PRECIOS '!B:B,'BASE DATOS PRECIOS '!F:F)</f>
        <v/>
      </c>
      <c r="H865" s="249">
        <f>+_xlfn.XLOOKUP(E865,'BASE DATOS PRECIOS '!E:E,'BASE DATOS PRECIOS '!H:H)</f>
        <v/>
      </c>
      <c r="I865" s="250" t="n"/>
      <c r="J865" s="250" t="n"/>
      <c r="K865" s="249">
        <f>+F865*H865</f>
        <v/>
      </c>
      <c r="L865" s="249">
        <f>+F865*I865</f>
        <v/>
      </c>
      <c r="M865" s="249">
        <f>+F865*J865</f>
        <v/>
      </c>
      <c r="N865" s="249">
        <f>SUM(K865:M865)</f>
        <v/>
      </c>
      <c r="O865" s="251">
        <f>SUM(K865:M865)/tc</f>
        <v/>
      </c>
    </row>
    <row r="866">
      <c r="A866" s="233" t="n"/>
      <c r="B866" s="1134">
        <f>VALUE(IF(AND(LEN(TRIM(C866))-LEN(SUBSTITUTE(TRIM(C866),".",""))=1,ISNUMBER(VALUE(SUBSTITUTE(TRIM(C866),".","")))),TRIM(C866),B865))</f>
        <v/>
      </c>
      <c r="C866" s="16" t="inlineStr">
        <is>
          <t>M13-0094</t>
        </is>
      </c>
      <c r="D866" s="292" t="n"/>
      <c r="E866" s="252">
        <f>+_xlfn.XLOOKUP(C866,'BASE DATOS PRECIOS '!B:B,'BASE DATOS PRECIOS '!E:E)</f>
        <v/>
      </c>
      <c r="F866" s="276">
        <f>+'3.2_MEC'!E71</f>
        <v/>
      </c>
      <c r="G866" s="250">
        <f>+_xlfn.XLOOKUP(C866,'BASE DATOS PRECIOS '!B:B,'BASE DATOS PRECIOS '!F:F)</f>
        <v/>
      </c>
      <c r="H866" s="249">
        <f>+_xlfn.XLOOKUP(E866,'BASE DATOS PRECIOS '!E:E,'BASE DATOS PRECIOS '!H:H)</f>
        <v/>
      </c>
      <c r="I866" s="250" t="n"/>
      <c r="J866" s="250" t="n"/>
      <c r="K866" s="249">
        <f>+F866*H866</f>
        <v/>
      </c>
      <c r="L866" s="249">
        <f>+F866*I866</f>
        <v/>
      </c>
      <c r="M866" s="249">
        <f>+F866*J866</f>
        <v/>
      </c>
      <c r="N866" s="249">
        <f>SUM(K866:M866)</f>
        <v/>
      </c>
      <c r="O866" s="251">
        <f>SUM(K866:M866)/tc</f>
        <v/>
      </c>
    </row>
    <row r="867">
      <c r="A867" s="16" t="n"/>
      <c r="B867" s="1134">
        <f>VALUE(IF(AND(LEN(TRIM(C867))-LEN(SUBSTITUTE(TRIM(C867),".",""))=1,ISNUMBER(VALUE(SUBSTITUTE(TRIM(C867),".","")))),TRIM(C867),B866))</f>
        <v/>
      </c>
      <c r="C867" s="16" t="inlineStr">
        <is>
          <t>M13-0159</t>
        </is>
      </c>
      <c r="D867" s="292" t="n"/>
      <c r="E867" s="252">
        <f>+_xlfn.XLOOKUP(C867,'BASE DATOS PRECIOS '!B:B,'BASE DATOS PRECIOS '!E:E)</f>
        <v/>
      </c>
      <c r="F867" s="276">
        <f>+'3.2_MEC'!E72</f>
        <v/>
      </c>
      <c r="G867" s="250">
        <f>+_xlfn.XLOOKUP(C867,'BASE DATOS PRECIOS '!B:B,'BASE DATOS PRECIOS '!F:F)</f>
        <v/>
      </c>
      <c r="H867" s="249">
        <f>+_xlfn.XLOOKUP(E867,'BASE DATOS PRECIOS '!E:E,'BASE DATOS PRECIOS '!H:H)</f>
        <v/>
      </c>
      <c r="I867" s="250" t="n"/>
      <c r="J867" s="250" t="n"/>
      <c r="K867" s="249">
        <f>+F867*H867</f>
        <v/>
      </c>
      <c r="L867" s="249">
        <f>+F867*I867</f>
        <v/>
      </c>
      <c r="M867" s="249">
        <f>+F867*J867</f>
        <v/>
      </c>
      <c r="N867" s="249">
        <f>SUM(K867:M867)</f>
        <v/>
      </c>
      <c r="O867" s="251">
        <f>SUM(K867:M867)/tc</f>
        <v/>
      </c>
    </row>
    <row r="868">
      <c r="A868" s="16" t="n"/>
      <c r="B868" s="1134">
        <f>VALUE(IF(AND(LEN(TRIM(C868))-LEN(SUBSTITUTE(TRIM(C868),".",""))=1,ISNUMBER(VALUE(SUBSTITUTE(TRIM(C868),".","")))),TRIM(C868),B867))</f>
        <v/>
      </c>
      <c r="C868" s="16" t="inlineStr">
        <is>
          <t>M13-0157</t>
        </is>
      </c>
      <c r="D868" s="292" t="n"/>
      <c r="E868" s="252">
        <f>+_xlfn.XLOOKUP(C868,'BASE DATOS PRECIOS '!B:B,'BASE DATOS PRECIOS '!E:E)</f>
        <v/>
      </c>
      <c r="F868" s="276">
        <f>+'3.2_MEC'!E73</f>
        <v/>
      </c>
      <c r="G868" s="250">
        <f>+_xlfn.XLOOKUP(C868,'BASE DATOS PRECIOS '!B:B,'BASE DATOS PRECIOS '!F:F)</f>
        <v/>
      </c>
      <c r="H868" s="249">
        <f>+_xlfn.XLOOKUP(E868,'BASE DATOS PRECIOS '!E:E,'BASE DATOS PRECIOS '!H:H)</f>
        <v/>
      </c>
      <c r="I868" s="250" t="n"/>
      <c r="J868" s="250" t="n"/>
      <c r="K868" s="249">
        <f>+F868*H868</f>
        <v/>
      </c>
      <c r="L868" s="249">
        <f>+F868*I868</f>
        <v/>
      </c>
      <c r="M868" s="249">
        <f>+F868*J868</f>
        <v/>
      </c>
      <c r="N868" s="249">
        <f>SUM(K868:M868)</f>
        <v/>
      </c>
      <c r="O868" s="251">
        <f>SUM(K868:M868)/tc</f>
        <v/>
      </c>
    </row>
    <row r="869">
      <c r="A869" s="16" t="n"/>
      <c r="B869" s="1134">
        <f>VALUE(IF(AND(LEN(TRIM(C869))-LEN(SUBSTITUTE(TRIM(C869),".",""))=1,ISNUMBER(VALUE(SUBSTITUTE(TRIM(C869),".","")))),TRIM(C869),B868))</f>
        <v/>
      </c>
      <c r="C869" s="16" t="inlineStr">
        <is>
          <t>M13-0091</t>
        </is>
      </c>
      <c r="D869" s="292" t="n"/>
      <c r="E869" s="252">
        <f>+_xlfn.XLOOKUP(C869,'BASE DATOS PRECIOS '!B:B,'BASE DATOS PRECIOS '!E:E)</f>
        <v/>
      </c>
      <c r="F869" s="276">
        <f>+'3.2_MEC'!E74</f>
        <v/>
      </c>
      <c r="G869" s="250">
        <f>+_xlfn.XLOOKUP(C869,'BASE DATOS PRECIOS '!B:B,'BASE DATOS PRECIOS '!F:F)</f>
        <v/>
      </c>
      <c r="H869" s="249">
        <f>+_xlfn.XLOOKUP(E869,'BASE DATOS PRECIOS '!E:E,'BASE DATOS PRECIOS '!H:H)</f>
        <v/>
      </c>
      <c r="I869" s="250" t="n"/>
      <c r="J869" s="250" t="n"/>
      <c r="K869" s="249">
        <f>+F869*H869</f>
        <v/>
      </c>
      <c r="L869" s="249">
        <f>+F869*I869</f>
        <v/>
      </c>
      <c r="M869" s="249">
        <f>+F869*J869</f>
        <v/>
      </c>
      <c r="N869" s="249">
        <f>SUM(K869:M869)</f>
        <v/>
      </c>
      <c r="O869" s="251">
        <f>SUM(K869:M869)/tc</f>
        <v/>
      </c>
    </row>
    <row r="870">
      <c r="A870" s="16" t="n"/>
      <c r="B870" s="1134">
        <f>VALUE(IF(AND(LEN(TRIM(C870))-LEN(SUBSTITUTE(TRIM(C870),".",""))=1,ISNUMBER(VALUE(SUBSTITUTE(TRIM(C870),".","")))),TRIM(C870),B869))</f>
        <v/>
      </c>
      <c r="C870" s="16" t="inlineStr">
        <is>
          <t>M13-0090</t>
        </is>
      </c>
      <c r="D870" s="292" t="n"/>
      <c r="E870" s="252">
        <f>+_xlfn.XLOOKUP(C870,'BASE DATOS PRECIOS '!B:B,'BASE DATOS PRECIOS '!E:E)</f>
        <v/>
      </c>
      <c r="F870" s="276">
        <f>+'3.2_MEC'!E75</f>
        <v/>
      </c>
      <c r="G870" s="250">
        <f>+_xlfn.XLOOKUP(C870,'BASE DATOS PRECIOS '!B:B,'BASE DATOS PRECIOS '!F:F)</f>
        <v/>
      </c>
      <c r="H870" s="249">
        <f>+_xlfn.XLOOKUP(E870,'BASE DATOS PRECIOS '!E:E,'BASE DATOS PRECIOS '!H:H)</f>
        <v/>
      </c>
      <c r="I870" s="250" t="n"/>
      <c r="J870" s="250" t="n"/>
      <c r="K870" s="249">
        <f>+F870*H870</f>
        <v/>
      </c>
      <c r="L870" s="249">
        <f>+F870*I870</f>
        <v/>
      </c>
      <c r="M870" s="249">
        <f>+F870*J870</f>
        <v/>
      </c>
      <c r="N870" s="249">
        <f>SUM(K870:M870)</f>
        <v/>
      </c>
      <c r="O870" s="251">
        <f>SUM(K870:M870)/tc</f>
        <v/>
      </c>
    </row>
    <row r="871">
      <c r="A871" s="266" t="inlineStr">
        <is>
          <t>Fontanería Muros</t>
        </is>
      </c>
      <c r="B871" s="1134">
        <f>VALUE(IF(AND(LEN(TRIM(C871))-LEN(SUBSTITUTE(TRIM(C871),".",""))=1,ISNUMBER(VALUE(SUBSTITUTE(TRIM(C871),".","")))),TRIM(C871),B870))</f>
        <v/>
      </c>
      <c r="C871" s="267" t="inlineStr">
        <is>
          <t xml:space="preserve">OPERARIO </t>
        </is>
      </c>
      <c r="D871" s="268" t="n"/>
      <c r="E871" s="269">
        <f>+_xlfn.XLOOKUP(C871,'BASE DATOS MANO DE OBRA'!A:A,'BASE DATOS MANO DE OBRA'!B:B)</f>
        <v/>
      </c>
      <c r="F871" s="270">
        <f>+ROUND('3.2_MEC'!F78,0)/2</f>
        <v/>
      </c>
      <c r="G871" s="271">
        <f>+_xlfn.XLOOKUP(C871,'BASE DATOS MANO DE OBRA'!A:A,'BASE DATOS MANO DE OBRA'!C:C)</f>
        <v/>
      </c>
      <c r="H871" s="272" t="n">
        <v>0</v>
      </c>
      <c r="I871" s="272">
        <f>+_xlfn.XLOOKUP(C871,'BASE DATOS MANO DE OBRA'!A:A,'BASE DATOS MANO DE OBRA'!E:E)</f>
        <v/>
      </c>
      <c r="J871" s="272" t="n">
        <v>0</v>
      </c>
      <c r="K871" s="272">
        <f>+F871*H871</f>
        <v/>
      </c>
      <c r="L871" s="272">
        <f>+F871*I871</f>
        <v/>
      </c>
      <c r="M871" s="272">
        <f>+F871*J871</f>
        <v/>
      </c>
      <c r="N871" s="272">
        <f>SUM(K871:M871)</f>
        <v/>
      </c>
      <c r="O871" s="273">
        <f>SUM(K871:M871)/tc</f>
        <v/>
      </c>
    </row>
    <row r="872">
      <c r="A872" s="266" t="inlineStr">
        <is>
          <t>Fontanería Muros</t>
        </is>
      </c>
      <c r="B872" s="1134">
        <f>VALUE(IF(AND(LEN(TRIM(C872))-LEN(SUBSTITUTE(TRIM(C872),".",""))=1,ISNUMBER(VALUE(SUBSTITUTE(TRIM(C872),".","")))),TRIM(C872),B871))</f>
        <v/>
      </c>
      <c r="C872" s="267" t="inlineStr">
        <is>
          <t xml:space="preserve">AYUDANTE </t>
        </is>
      </c>
      <c r="D872" s="268" t="n"/>
      <c r="E872" s="269">
        <f>+_xlfn.XLOOKUP(C872,'BASE DATOS MANO DE OBRA'!A:A,'BASE DATOS MANO DE OBRA'!B:B)</f>
        <v/>
      </c>
      <c r="F872" s="270">
        <f>+F871</f>
        <v/>
      </c>
      <c r="G872" s="271">
        <f>+_xlfn.XLOOKUP(C872,'BASE DATOS MANO DE OBRA'!A:A,'BASE DATOS MANO DE OBRA'!C:C)</f>
        <v/>
      </c>
      <c r="H872" s="272" t="n">
        <v>0</v>
      </c>
      <c r="I872" s="272">
        <f>+_xlfn.XLOOKUP(C872,'BASE DATOS MANO DE OBRA'!A:A,'BASE DATOS MANO DE OBRA'!E:E)</f>
        <v/>
      </c>
      <c r="J872" s="272" t="n">
        <v>0</v>
      </c>
      <c r="K872" s="272">
        <f>+F872*H872</f>
        <v/>
      </c>
      <c r="L872" s="272">
        <f>+F872*I872</f>
        <v/>
      </c>
      <c r="M872" s="272">
        <f>+F872*J872</f>
        <v/>
      </c>
      <c r="N872" s="272">
        <f>SUM(K872:M872)</f>
        <v/>
      </c>
      <c r="O872" s="273">
        <f>SUM(K872:M872)/tc</f>
        <v/>
      </c>
    </row>
    <row r="873">
      <c r="A873" s="266" t="inlineStr">
        <is>
          <t>Fontanería Muros</t>
        </is>
      </c>
      <c r="B873" s="1134">
        <f>VALUE(IF(AND(LEN(TRIM(C873))-LEN(SUBSTITUTE(TRIM(C873),".",""))=1,ISNUMBER(VALUE(SUBSTITUTE(TRIM(C873),".","")))),TRIM(C873),B872))</f>
        <v/>
      </c>
      <c r="C873" s="267" t="inlineStr">
        <is>
          <t xml:space="preserve">OPERARIO </t>
        </is>
      </c>
      <c r="D873" s="268" t="n"/>
      <c r="E873" s="269">
        <f>+_xlfn.XLOOKUP(C873,'BASE DATOS MANO DE OBRA'!A:A,'BASE DATOS MANO DE OBRA'!B:B)</f>
        <v/>
      </c>
      <c r="F873" s="270">
        <f>+ROUNDUP('3.2_MEC'!F79,0)/2</f>
        <v/>
      </c>
      <c r="G873" s="271">
        <f>+_xlfn.XLOOKUP(C873,'BASE DATOS MANO DE OBRA'!A:A,'BASE DATOS MANO DE OBRA'!C:C)</f>
        <v/>
      </c>
      <c r="H873" s="272" t="n">
        <v>0</v>
      </c>
      <c r="I873" s="272">
        <f>+_xlfn.XLOOKUP(C873,'BASE DATOS MANO DE OBRA'!A:A,'BASE DATOS MANO DE OBRA'!E:E)</f>
        <v/>
      </c>
      <c r="J873" s="272" t="n">
        <v>0</v>
      </c>
      <c r="K873" s="272">
        <f>+F873*H873</f>
        <v/>
      </c>
      <c r="L873" s="272">
        <f>+F873*I873</f>
        <v/>
      </c>
      <c r="M873" s="272">
        <f>+F873*J873</f>
        <v/>
      </c>
      <c r="N873" s="272">
        <f>SUM(K873:M873)</f>
        <v/>
      </c>
      <c r="O873" s="273">
        <f>SUM(K873:M873)/tc</f>
        <v/>
      </c>
    </row>
    <row r="874">
      <c r="A874" s="266" t="inlineStr">
        <is>
          <t>Fontanería Muros</t>
        </is>
      </c>
      <c r="B874" s="1134">
        <f>VALUE(IF(AND(LEN(TRIM(C874))-LEN(SUBSTITUTE(TRIM(C874),".",""))=1,ISNUMBER(VALUE(SUBSTITUTE(TRIM(C874),".","")))),TRIM(C874),B873))</f>
        <v/>
      </c>
      <c r="C874" s="267" t="inlineStr">
        <is>
          <t xml:space="preserve">AYUDANTE </t>
        </is>
      </c>
      <c r="D874" s="268" t="n"/>
      <c r="E874" s="269">
        <f>+_xlfn.XLOOKUP(C874,'BASE DATOS MANO DE OBRA'!A:A,'BASE DATOS MANO DE OBRA'!B:B)</f>
        <v/>
      </c>
      <c r="F874" s="270">
        <f>+F873</f>
        <v/>
      </c>
      <c r="G874" s="271">
        <f>+_xlfn.XLOOKUP(C874,'BASE DATOS MANO DE OBRA'!A:A,'BASE DATOS MANO DE OBRA'!C:C)</f>
        <v/>
      </c>
      <c r="H874" s="272" t="n">
        <v>0</v>
      </c>
      <c r="I874" s="272">
        <f>+_xlfn.XLOOKUP(C874,'BASE DATOS MANO DE OBRA'!A:A,'BASE DATOS MANO DE OBRA'!E:E)</f>
        <v/>
      </c>
      <c r="J874" s="272" t="n">
        <v>0</v>
      </c>
      <c r="K874" s="272">
        <f>+F874*H874</f>
        <v/>
      </c>
      <c r="L874" s="272">
        <f>+F874*I874</f>
        <v/>
      </c>
      <c r="M874" s="272">
        <f>+F874*J874</f>
        <v/>
      </c>
      <c r="N874" s="272">
        <f>SUM(K874:M874)</f>
        <v/>
      </c>
      <c r="O874" s="273">
        <f>SUM(K874:M874)/tc</f>
        <v/>
      </c>
    </row>
    <row r="875">
      <c r="A875" s="16" t="n"/>
      <c r="B875" s="1134">
        <f>VALUE(IF(AND(LEN(TRIM(C875))-LEN(SUBSTITUTE(TRIM(C875),".",""))=1,ISNUMBER(VALUE(SUBSTITUTE(TRIM(C875),".","")))),TRIM(C875),B874))</f>
        <v/>
      </c>
      <c r="C875" s="234" t="inlineStr">
        <is>
          <t>3.2.2.2</t>
        </is>
      </c>
      <c r="D875" s="235" t="n"/>
      <c r="E875" s="236" t="inlineStr">
        <is>
          <t>SANITARIO DE ENTREPISO</t>
        </is>
      </c>
      <c r="F875" s="237" t="n">
        <v>1</v>
      </c>
      <c r="G875" s="235" t="inlineStr">
        <is>
          <t>gb</t>
        </is>
      </c>
      <c r="H875" s="235" t="n"/>
      <c r="I875" s="235" t="n"/>
      <c r="J875" s="235" t="n"/>
      <c r="K875" s="238">
        <f>+SUBTOTAL(9,K876:K890)</f>
        <v/>
      </c>
      <c r="L875" s="238">
        <f>+SUBTOTAL(9,L876:L890)</f>
        <v/>
      </c>
      <c r="M875" s="238">
        <f>+SUBTOTAL(9,M876:M890)</f>
        <v/>
      </c>
      <c r="N875" s="238">
        <f>+SUBTOTAL(9,N876:N890)</f>
        <v/>
      </c>
      <c r="O875" s="1136">
        <f>+SUBTOTAL(9,O876:O890)</f>
        <v/>
      </c>
    </row>
    <row r="876">
      <c r="A876" s="16" t="n"/>
      <c r="B876" s="1134">
        <f>VALUE(IF(AND(LEN(TRIM(C876))-LEN(SUBSTITUTE(TRIM(C876),".",""))=1,ISNUMBER(VALUE(SUBSTITUTE(TRIM(C876),".","")))),TRIM(C876),B875))</f>
        <v/>
      </c>
      <c r="C876" s="285" t="n"/>
      <c r="D876" s="286" t="n"/>
      <c r="E876" s="332" t="inlineStr">
        <is>
          <t xml:space="preserve">TUBERÍA </t>
        </is>
      </c>
      <c r="F876" s="288" t="n"/>
      <c r="G876" s="289" t="n"/>
      <c r="H876" s="289" t="n"/>
      <c r="I876" s="289" t="n"/>
      <c r="J876" s="289" t="n"/>
      <c r="K876" s="290" t="n"/>
      <c r="L876" s="290" t="n"/>
      <c r="M876" s="290" t="n"/>
      <c r="N876" s="290" t="n"/>
      <c r="O876" s="291" t="n"/>
    </row>
    <row r="877">
      <c r="A877" s="16" t="n"/>
      <c r="B877" s="1134">
        <f>VALUE(IF(AND(LEN(TRIM(C877))-LEN(SUBSTITUTE(TRIM(C877),".",""))=1,ISNUMBER(VALUE(SUBSTITUTE(TRIM(C877),".","")))),TRIM(C877),B876))</f>
        <v/>
      </c>
      <c r="C877" s="16" t="inlineStr">
        <is>
          <t>M13-0190</t>
        </is>
      </c>
      <c r="D877" s="292" t="n"/>
      <c r="E877" s="252">
        <f>+_xlfn.XLOOKUP(C877,'BASE DATOS PRECIOS '!B:B,'BASE DATOS PRECIOS '!E:E)</f>
        <v/>
      </c>
      <c r="F877" s="276">
        <f>+'3.2_MEC'!E87</f>
        <v/>
      </c>
      <c r="G877" s="250">
        <f>+_xlfn.XLOOKUP(C877,'BASE DATOS PRECIOS '!B:B,'BASE DATOS PRECIOS '!F:F)</f>
        <v/>
      </c>
      <c r="H877" s="249">
        <f>+_xlfn.XLOOKUP(E877,'BASE DATOS PRECIOS '!E:E,'BASE DATOS PRECIOS '!H:H)</f>
        <v/>
      </c>
      <c r="I877" s="250" t="n"/>
      <c r="J877" s="250" t="n"/>
      <c r="K877" s="249">
        <f>+F877*H877</f>
        <v/>
      </c>
      <c r="L877" s="249">
        <f>+F877*I877</f>
        <v/>
      </c>
      <c r="M877" s="249">
        <f>+F877*J877</f>
        <v/>
      </c>
      <c r="N877" s="249">
        <f>SUM(K877:M877)</f>
        <v/>
      </c>
      <c r="O877" s="251">
        <f>SUM(K877:M877)/tc</f>
        <v/>
      </c>
    </row>
    <row r="878">
      <c r="A878" s="16" t="n"/>
      <c r="B878" s="1134">
        <f>VALUE(IF(AND(LEN(TRIM(C878))-LEN(SUBSTITUTE(TRIM(C878),".",""))=1,ISNUMBER(VALUE(SUBSTITUTE(TRIM(C878),".","")))),TRIM(C878),B877))</f>
        <v/>
      </c>
      <c r="C878" s="16" t="inlineStr">
        <is>
          <t>M13-0173</t>
        </is>
      </c>
      <c r="D878" s="292" t="n"/>
      <c r="E878" s="252">
        <f>+_xlfn.XLOOKUP(C878,'BASE DATOS PRECIOS '!B:B,'BASE DATOS PRECIOS '!E:E)</f>
        <v/>
      </c>
      <c r="F878" s="276">
        <f>+'3.2_MEC'!E88</f>
        <v/>
      </c>
      <c r="G878" s="250">
        <f>+_xlfn.XLOOKUP(C878,'BASE DATOS PRECIOS '!B:B,'BASE DATOS PRECIOS '!F:F)</f>
        <v/>
      </c>
      <c r="H878" s="249">
        <f>+_xlfn.XLOOKUP(E878,'BASE DATOS PRECIOS '!E:E,'BASE DATOS PRECIOS '!H:H)</f>
        <v/>
      </c>
      <c r="I878" s="250" t="n"/>
      <c r="J878" s="250" t="n"/>
      <c r="K878" s="249">
        <f>+F878*H878</f>
        <v/>
      </c>
      <c r="L878" s="249">
        <f>+F878*I878</f>
        <v/>
      </c>
      <c r="M878" s="249">
        <f>+F878*J878</f>
        <v/>
      </c>
      <c r="N878" s="249">
        <f>SUM(K878:M878)</f>
        <v/>
      </c>
      <c r="O878" s="251">
        <f>SUM(K878:M878)/tc</f>
        <v/>
      </c>
    </row>
    <row r="879">
      <c r="A879" s="16" t="n"/>
      <c r="B879" s="1134">
        <f>VALUE(IF(AND(LEN(TRIM(C879))-LEN(SUBSTITUTE(TRIM(C879),".",""))=1,ISNUMBER(VALUE(SUBSTITUTE(TRIM(C879),".","")))),TRIM(C879),B878))</f>
        <v/>
      </c>
      <c r="C879" s="285" t="n"/>
      <c r="D879" s="286" t="n"/>
      <c r="E879" s="332" t="inlineStr">
        <is>
          <t>ACCESORIOS</t>
        </is>
      </c>
      <c r="F879" s="288" t="n"/>
      <c r="G879" s="289" t="n"/>
      <c r="H879" s="289" t="n"/>
      <c r="I879" s="289" t="n"/>
      <c r="J879" s="289" t="n"/>
      <c r="K879" s="290" t="n"/>
      <c r="L879" s="290" t="n"/>
      <c r="M879" s="290" t="n"/>
      <c r="N879" s="290" t="n"/>
      <c r="O879" s="291" t="n"/>
    </row>
    <row r="880">
      <c r="A880" s="16" t="n"/>
      <c r="B880" s="1134">
        <f>VALUE(IF(AND(LEN(TRIM(C880))-LEN(SUBSTITUTE(TRIM(C880),".",""))=1,ISNUMBER(VALUE(SUBSTITUTE(TRIM(C880),".","")))),TRIM(C880),B879))</f>
        <v/>
      </c>
      <c r="C880" s="16" t="inlineStr">
        <is>
          <t>M13-0124</t>
        </is>
      </c>
      <c r="D880" s="292" t="n"/>
      <c r="E880" s="252">
        <f>+_xlfn.XLOOKUP(C880,'BASE DATOS PRECIOS '!B:B,'BASE DATOS PRECIOS '!E:E)</f>
        <v/>
      </c>
      <c r="F880" s="276">
        <f>+'3.2_MEC'!E90</f>
        <v/>
      </c>
      <c r="G880" s="250">
        <f>+_xlfn.XLOOKUP(C880,'BASE DATOS PRECIOS '!B:B,'BASE DATOS PRECIOS '!F:F)</f>
        <v/>
      </c>
      <c r="H880" s="249">
        <f>+_xlfn.XLOOKUP(E880,'BASE DATOS PRECIOS '!E:E,'BASE DATOS PRECIOS '!H:H)</f>
        <v/>
      </c>
      <c r="I880" s="250" t="n"/>
      <c r="J880" s="250" t="n"/>
      <c r="K880" s="249">
        <f>+F880*H880</f>
        <v/>
      </c>
      <c r="L880" s="249">
        <f>+F880*I880</f>
        <v/>
      </c>
      <c r="M880" s="249">
        <f>+F880*J880</f>
        <v/>
      </c>
      <c r="N880" s="249">
        <f>SUM(K880:M880)</f>
        <v/>
      </c>
      <c r="O880" s="251">
        <f>SUM(K880:M880)/tc</f>
        <v/>
      </c>
    </row>
    <row r="881">
      <c r="A881" s="16" t="n"/>
      <c r="B881" s="1134">
        <f>VALUE(IF(AND(LEN(TRIM(C881))-LEN(SUBSTITUTE(TRIM(C881),".",""))=1,ISNUMBER(VALUE(SUBSTITUTE(TRIM(C881),".","")))),TRIM(C881),B880))</f>
        <v/>
      </c>
      <c r="C881" s="16" t="inlineStr">
        <is>
          <t>M13-0117</t>
        </is>
      </c>
      <c r="D881" s="292" t="n"/>
      <c r="E881" s="252">
        <f>+_xlfn.XLOOKUP(C881,'BASE DATOS PRECIOS '!B:B,'BASE DATOS PRECIOS '!E:E)</f>
        <v/>
      </c>
      <c r="F881" s="276">
        <f>+'3.2_MEC'!E91</f>
        <v/>
      </c>
      <c r="G881" s="250">
        <f>+_xlfn.XLOOKUP(C881,'BASE DATOS PRECIOS '!B:B,'BASE DATOS PRECIOS '!F:F)</f>
        <v/>
      </c>
      <c r="H881" s="249">
        <f>+_xlfn.XLOOKUP(E881,'BASE DATOS PRECIOS '!E:E,'BASE DATOS PRECIOS '!H:H)</f>
        <v/>
      </c>
      <c r="I881" s="250" t="n"/>
      <c r="J881" s="250" t="n"/>
      <c r="K881" s="249">
        <f>+F881*H881</f>
        <v/>
      </c>
      <c r="L881" s="249">
        <f>+F881*I881</f>
        <v/>
      </c>
      <c r="M881" s="249">
        <f>+F881*J881</f>
        <v/>
      </c>
      <c r="N881" s="249">
        <f>SUM(K881:M881)</f>
        <v/>
      </c>
      <c r="O881" s="251">
        <f>SUM(K881:M881)/tc</f>
        <v/>
      </c>
    </row>
    <row r="882">
      <c r="A882" s="233" t="n"/>
      <c r="B882" s="1134">
        <f>VALUE(IF(AND(LEN(TRIM(C882))-LEN(SUBSTITUTE(TRIM(C882),".",""))=1,ISNUMBER(VALUE(SUBSTITUTE(TRIM(C882),".","")))),TRIM(C882),B881))</f>
        <v/>
      </c>
      <c r="C882" s="16" t="inlineStr">
        <is>
          <t>M13-0211</t>
        </is>
      </c>
      <c r="D882" s="292" t="n"/>
      <c r="E882" s="252">
        <f>+_xlfn.XLOOKUP(C882,'BASE DATOS PRECIOS '!B:B,'BASE DATOS PRECIOS '!E:E)</f>
        <v/>
      </c>
      <c r="F882" s="276">
        <f>+'3.2_MEC'!E92</f>
        <v/>
      </c>
      <c r="G882" s="250">
        <f>+_xlfn.XLOOKUP(C882,'BASE DATOS PRECIOS '!B:B,'BASE DATOS PRECIOS '!F:F)</f>
        <v/>
      </c>
      <c r="H882" s="249">
        <f>+_xlfn.XLOOKUP(E882,'BASE DATOS PRECIOS '!E:E,'BASE DATOS PRECIOS '!H:H)</f>
        <v/>
      </c>
      <c r="I882" s="250" t="n"/>
      <c r="J882" s="250" t="n"/>
      <c r="K882" s="249">
        <f>+F882*H882</f>
        <v/>
      </c>
      <c r="L882" s="249">
        <f>+F882*I882</f>
        <v/>
      </c>
      <c r="M882" s="249">
        <f>+F882*J882</f>
        <v/>
      </c>
      <c r="N882" s="249">
        <f>SUM(K882:M882)</f>
        <v/>
      </c>
      <c r="O882" s="251">
        <f>SUM(K882:M882)/tc</f>
        <v/>
      </c>
    </row>
    <row r="883">
      <c r="A883" s="16" t="n"/>
      <c r="B883" s="1134">
        <f>VALUE(IF(AND(LEN(TRIM(C883))-LEN(SUBSTITUTE(TRIM(C883),".",""))=1,ISNUMBER(VALUE(SUBSTITUTE(TRIM(C883),".","")))),TRIM(C883),B882))</f>
        <v/>
      </c>
      <c r="C883" s="16" t="inlineStr">
        <is>
          <t>M13-0119</t>
        </is>
      </c>
      <c r="D883" s="292" t="n"/>
      <c r="E883" s="252">
        <f>+_xlfn.XLOOKUP(C883,'BASE DATOS PRECIOS '!B:B,'BASE DATOS PRECIOS '!E:E)</f>
        <v/>
      </c>
      <c r="F883" s="276">
        <f>+'3.2_MEC'!E93</f>
        <v/>
      </c>
      <c r="G883" s="250">
        <f>+_xlfn.XLOOKUP(C883,'BASE DATOS PRECIOS '!B:B,'BASE DATOS PRECIOS '!F:F)</f>
        <v/>
      </c>
      <c r="H883" s="249">
        <f>+_xlfn.XLOOKUP(E883,'BASE DATOS PRECIOS '!E:E,'BASE DATOS PRECIOS '!H:H)</f>
        <v/>
      </c>
      <c r="I883" s="250" t="n"/>
      <c r="J883" s="250" t="n"/>
      <c r="K883" s="249">
        <f>+F883*H883</f>
        <v/>
      </c>
      <c r="L883" s="249">
        <f>+F883*I883</f>
        <v/>
      </c>
      <c r="M883" s="249">
        <f>+F883*J883</f>
        <v/>
      </c>
      <c r="N883" s="249">
        <f>SUM(K883:M883)</f>
        <v/>
      </c>
      <c r="O883" s="251">
        <f>SUM(K883:M883)/tc</f>
        <v/>
      </c>
    </row>
    <row r="884">
      <c r="A884" s="16" t="n"/>
      <c r="B884" s="1134">
        <f>VALUE(IF(AND(LEN(TRIM(C884))-LEN(SUBSTITUTE(TRIM(C884),".",""))=1,ISNUMBER(VALUE(SUBSTITUTE(TRIM(C884),".","")))),TRIM(C884),B883))</f>
        <v/>
      </c>
      <c r="C884" s="16" t="inlineStr">
        <is>
          <t>M13-0192</t>
        </is>
      </c>
      <c r="D884" s="292" t="n"/>
      <c r="E884" s="252">
        <f>+_xlfn.XLOOKUP(C884,'BASE DATOS PRECIOS '!B:B,'BASE DATOS PRECIOS '!E:E)</f>
        <v/>
      </c>
      <c r="F884" s="276">
        <f>+'3.2_MEC'!E94</f>
        <v/>
      </c>
      <c r="G884" s="250">
        <f>+_xlfn.XLOOKUP(C884,'BASE DATOS PRECIOS '!B:B,'BASE DATOS PRECIOS '!F:F)</f>
        <v/>
      </c>
      <c r="H884" s="249">
        <f>+_xlfn.XLOOKUP(E884,'BASE DATOS PRECIOS '!E:E,'BASE DATOS PRECIOS '!H:H)</f>
        <v/>
      </c>
      <c r="I884" s="250" t="n"/>
      <c r="J884" s="250" t="n"/>
      <c r="K884" s="249">
        <f>+F884*H884</f>
        <v/>
      </c>
      <c r="L884" s="249">
        <f>+F884*I884</f>
        <v/>
      </c>
      <c r="M884" s="249">
        <f>+F884*J884</f>
        <v/>
      </c>
      <c r="N884" s="249">
        <f>SUM(K884:M884)</f>
        <v/>
      </c>
      <c r="O884" s="251">
        <f>SUM(K884:M884)/tc</f>
        <v/>
      </c>
    </row>
    <row r="885">
      <c r="A885" s="16" t="n"/>
      <c r="B885" s="1134">
        <f>VALUE(IF(AND(LEN(TRIM(C885))-LEN(SUBSTITUTE(TRIM(C885),".",""))=1,ISNUMBER(VALUE(SUBSTITUTE(TRIM(C885),".","")))),TRIM(C885),B884))</f>
        <v/>
      </c>
      <c r="C885" s="16" t="inlineStr">
        <is>
          <t>M13-0191</t>
        </is>
      </c>
      <c r="D885" s="292" t="n"/>
      <c r="E885" s="252">
        <f>+_xlfn.XLOOKUP(C885,'BASE DATOS PRECIOS '!B:B,'BASE DATOS PRECIOS '!E:E)</f>
        <v/>
      </c>
      <c r="F885" s="276">
        <f>+'3.2_MEC'!E95</f>
        <v/>
      </c>
      <c r="G885" s="250">
        <f>+_xlfn.XLOOKUP(C885,'BASE DATOS PRECIOS '!B:B,'BASE DATOS PRECIOS '!F:F)</f>
        <v/>
      </c>
      <c r="H885" s="249">
        <f>+_xlfn.XLOOKUP(E885,'BASE DATOS PRECIOS '!E:E,'BASE DATOS PRECIOS '!H:H)</f>
        <v/>
      </c>
      <c r="I885" s="250" t="n"/>
      <c r="J885" s="250" t="n"/>
      <c r="K885" s="249">
        <f>+F885*H885</f>
        <v/>
      </c>
      <c r="L885" s="249">
        <f>+F885*I885</f>
        <v/>
      </c>
      <c r="M885" s="249">
        <f>+F885*J885</f>
        <v/>
      </c>
      <c r="N885" s="249">
        <f>SUM(K885:M885)</f>
        <v/>
      </c>
      <c r="O885" s="251">
        <f>SUM(K885:M885)/tc</f>
        <v/>
      </c>
    </row>
    <row r="886">
      <c r="A886" s="16" t="n"/>
      <c r="B886" s="1134">
        <f>VALUE(IF(AND(LEN(TRIM(C886))-LEN(SUBSTITUTE(TRIM(C886),".",""))=1,ISNUMBER(VALUE(SUBSTITUTE(TRIM(C886),".","")))),TRIM(C886),B885))</f>
        <v/>
      </c>
      <c r="C886" s="16" t="inlineStr">
        <is>
          <t>M13-0134</t>
        </is>
      </c>
      <c r="D886" s="292" t="n"/>
      <c r="E886" s="252">
        <f>+_xlfn.XLOOKUP(C886,'BASE DATOS PRECIOS '!B:B,'BASE DATOS PRECIOS '!E:E)</f>
        <v/>
      </c>
      <c r="F886" s="276">
        <f>+'3.2_MEC'!E96</f>
        <v/>
      </c>
      <c r="G886" s="250">
        <f>+_xlfn.XLOOKUP(C886,'BASE DATOS PRECIOS '!B:B,'BASE DATOS PRECIOS '!F:F)</f>
        <v/>
      </c>
      <c r="H886" s="249">
        <f>+_xlfn.XLOOKUP(E886,'BASE DATOS PRECIOS '!E:E,'BASE DATOS PRECIOS '!H:H)</f>
        <v/>
      </c>
      <c r="I886" s="250" t="n"/>
      <c r="J886" s="250" t="n"/>
      <c r="K886" s="249">
        <f>+F886*H886</f>
        <v/>
      </c>
      <c r="L886" s="249">
        <f>+F886*I886</f>
        <v/>
      </c>
      <c r="M886" s="249">
        <f>+F886*J886</f>
        <v/>
      </c>
      <c r="N886" s="249">
        <f>SUM(K886:M886)</f>
        <v/>
      </c>
      <c r="O886" s="251">
        <f>SUM(K886:M886)/tc</f>
        <v/>
      </c>
    </row>
    <row r="887">
      <c r="A887" s="266" t="inlineStr">
        <is>
          <t>Fontanería Muros</t>
        </is>
      </c>
      <c r="B887" s="1134">
        <f>VALUE(IF(AND(LEN(TRIM(C887))-LEN(SUBSTITUTE(TRIM(C887),".",""))=1,ISNUMBER(VALUE(SUBSTITUTE(TRIM(C887),".","")))),TRIM(C887),B886))</f>
        <v/>
      </c>
      <c r="C887" s="267" t="inlineStr">
        <is>
          <t xml:space="preserve">OPERARIO </t>
        </is>
      </c>
      <c r="D887" s="268" t="n"/>
      <c r="E887" s="269">
        <f>+_xlfn.XLOOKUP(C887,'BASE DATOS MANO DE OBRA'!A:A,'BASE DATOS MANO DE OBRA'!B:B)</f>
        <v/>
      </c>
      <c r="F887" s="270">
        <f>+ROUNDUP('3.2_MEC'!F99,0)/2</f>
        <v/>
      </c>
      <c r="G887" s="271">
        <f>+_xlfn.XLOOKUP(C887,'BASE DATOS MANO DE OBRA'!A:A,'BASE DATOS MANO DE OBRA'!C:C)</f>
        <v/>
      </c>
      <c r="H887" s="272" t="n">
        <v>0</v>
      </c>
      <c r="I887" s="272">
        <f>+_xlfn.XLOOKUP(C887,'BASE DATOS MANO DE OBRA'!A:A,'BASE DATOS MANO DE OBRA'!E:E)</f>
        <v/>
      </c>
      <c r="J887" s="272" t="n">
        <v>0</v>
      </c>
      <c r="K887" s="272">
        <f>+F887*H887</f>
        <v/>
      </c>
      <c r="L887" s="272">
        <f>+F887*I887</f>
        <v/>
      </c>
      <c r="M887" s="272">
        <f>+F887*J887</f>
        <v/>
      </c>
      <c r="N887" s="272">
        <f>SUM(K887:M887)</f>
        <v/>
      </c>
      <c r="O887" s="273">
        <f>SUM(K887:M887)/tc</f>
        <v/>
      </c>
    </row>
    <row r="888">
      <c r="A888" s="266" t="inlineStr">
        <is>
          <t>Fontanería Muros</t>
        </is>
      </c>
      <c r="B888" s="1134">
        <f>VALUE(IF(AND(LEN(TRIM(C888))-LEN(SUBSTITUTE(TRIM(C888),".",""))=1,ISNUMBER(VALUE(SUBSTITUTE(TRIM(C888),".","")))),TRIM(C888),B887))</f>
        <v/>
      </c>
      <c r="C888" s="267" t="inlineStr">
        <is>
          <t xml:space="preserve">AYUDANTE </t>
        </is>
      </c>
      <c r="D888" s="268" t="n"/>
      <c r="E888" s="269">
        <f>+_xlfn.XLOOKUP(C888,'BASE DATOS MANO DE OBRA'!A:A,'BASE DATOS MANO DE OBRA'!B:B)</f>
        <v/>
      </c>
      <c r="F888" s="270">
        <f>+F887</f>
        <v/>
      </c>
      <c r="G888" s="271">
        <f>+_xlfn.XLOOKUP(C888,'BASE DATOS MANO DE OBRA'!A:A,'BASE DATOS MANO DE OBRA'!C:C)</f>
        <v/>
      </c>
      <c r="H888" s="272" t="n">
        <v>0</v>
      </c>
      <c r="I888" s="272">
        <f>+_xlfn.XLOOKUP(C888,'BASE DATOS MANO DE OBRA'!A:A,'BASE DATOS MANO DE OBRA'!E:E)</f>
        <v/>
      </c>
      <c r="J888" s="272" t="n">
        <v>0</v>
      </c>
      <c r="K888" s="272">
        <f>+F888*H888</f>
        <v/>
      </c>
      <c r="L888" s="272">
        <f>+F888*I888</f>
        <v/>
      </c>
      <c r="M888" s="272">
        <f>+F888*J888</f>
        <v/>
      </c>
      <c r="N888" s="272">
        <f>SUM(K888:M888)</f>
        <v/>
      </c>
      <c r="O888" s="273">
        <f>SUM(K888:M888)/tc</f>
        <v/>
      </c>
    </row>
    <row r="889">
      <c r="A889" s="266" t="inlineStr">
        <is>
          <t>Fontanería Muros</t>
        </is>
      </c>
      <c r="B889" s="1134">
        <f>VALUE(IF(AND(LEN(TRIM(C889))-LEN(SUBSTITUTE(TRIM(C889),".",""))=1,ISNUMBER(VALUE(SUBSTITUTE(TRIM(C889),".","")))),TRIM(C889),B888))</f>
        <v/>
      </c>
      <c r="C889" s="267" t="inlineStr">
        <is>
          <t xml:space="preserve">OPERARIO </t>
        </is>
      </c>
      <c r="D889" s="268" t="n"/>
      <c r="E889" s="269">
        <f>+_xlfn.XLOOKUP(C889,'BASE DATOS MANO DE OBRA'!A:A,'BASE DATOS MANO DE OBRA'!B:B)</f>
        <v/>
      </c>
      <c r="F889" s="270">
        <f>+ROUNDUP('3.2_MEC'!F100,0)/2</f>
        <v/>
      </c>
      <c r="G889" s="271">
        <f>+_xlfn.XLOOKUP(C889,'BASE DATOS MANO DE OBRA'!A:A,'BASE DATOS MANO DE OBRA'!C:C)</f>
        <v/>
      </c>
      <c r="H889" s="272" t="n">
        <v>0</v>
      </c>
      <c r="I889" s="272">
        <f>+_xlfn.XLOOKUP(C889,'BASE DATOS MANO DE OBRA'!A:A,'BASE DATOS MANO DE OBRA'!E:E)</f>
        <v/>
      </c>
      <c r="J889" s="272" t="n">
        <v>0</v>
      </c>
      <c r="K889" s="272">
        <f>+F889*H889</f>
        <v/>
      </c>
      <c r="L889" s="272">
        <f>+F889*I889</f>
        <v/>
      </c>
      <c r="M889" s="272">
        <f>+F889*J889</f>
        <v/>
      </c>
      <c r="N889" s="272">
        <f>SUM(K889:M889)</f>
        <v/>
      </c>
      <c r="O889" s="273">
        <f>SUM(K889:M889)/tc</f>
        <v/>
      </c>
    </row>
    <row r="890">
      <c r="A890" s="266" t="inlineStr">
        <is>
          <t>Fontanería Muros</t>
        </is>
      </c>
      <c r="B890" s="1134">
        <f>VALUE(IF(AND(LEN(TRIM(C890))-LEN(SUBSTITUTE(TRIM(C890),".",""))=1,ISNUMBER(VALUE(SUBSTITUTE(TRIM(C890),".","")))),TRIM(C890),B889))</f>
        <v/>
      </c>
      <c r="C890" s="267" t="inlineStr">
        <is>
          <t xml:space="preserve">AYUDANTE </t>
        </is>
      </c>
      <c r="D890" s="268" t="n"/>
      <c r="E890" s="269">
        <f>+_xlfn.XLOOKUP(C890,'BASE DATOS MANO DE OBRA'!A:A,'BASE DATOS MANO DE OBRA'!B:B)</f>
        <v/>
      </c>
      <c r="F890" s="270">
        <f>+F889</f>
        <v/>
      </c>
      <c r="G890" s="271">
        <f>+_xlfn.XLOOKUP(C890,'BASE DATOS MANO DE OBRA'!A:A,'BASE DATOS MANO DE OBRA'!C:C)</f>
        <v/>
      </c>
      <c r="H890" s="272" t="n">
        <v>0</v>
      </c>
      <c r="I890" s="272">
        <f>+_xlfn.XLOOKUP(C890,'BASE DATOS MANO DE OBRA'!A:A,'BASE DATOS MANO DE OBRA'!E:E)</f>
        <v/>
      </c>
      <c r="J890" s="272" t="n">
        <v>0</v>
      </c>
      <c r="K890" s="272">
        <f>+F890*H890</f>
        <v/>
      </c>
      <c r="L890" s="272">
        <f>+F890*I890</f>
        <v/>
      </c>
      <c r="M890" s="272">
        <f>+F890*J890</f>
        <v/>
      </c>
      <c r="N890" s="272">
        <f>SUM(K890:M890)</f>
        <v/>
      </c>
      <c r="O890" s="273">
        <f>SUM(K890:M890)/tc</f>
        <v/>
      </c>
    </row>
    <row r="891">
      <c r="A891" s="16" t="n"/>
      <c r="B891" s="1134">
        <f>VALUE(IF(AND(LEN(TRIM(C891))-LEN(SUBSTITUTE(TRIM(C891),".",""))=1,ISNUMBER(VALUE(SUBSTITUTE(TRIM(C891),".","")))),TRIM(C891),B890))</f>
        <v/>
      </c>
      <c r="C891" s="234" t="inlineStr">
        <is>
          <t>3.2.3</t>
        </is>
      </c>
      <c r="D891" s="235" t="n"/>
      <c r="E891" s="236" t="inlineStr">
        <is>
          <t>TUBERÍA MECÁNICA MUROS</t>
        </is>
      </c>
      <c r="F891" s="237" t="n">
        <v>1</v>
      </c>
      <c r="G891" s="235" t="inlineStr">
        <is>
          <t>gb</t>
        </is>
      </c>
      <c r="H891" s="235" t="n"/>
      <c r="I891" s="235" t="n"/>
      <c r="J891" s="235" t="n"/>
      <c r="K891" s="238">
        <f>+SUBTOTAL(9,K892:K910)</f>
        <v/>
      </c>
      <c r="L891" s="238">
        <f>+SUBTOTAL(9,L892:L910)</f>
        <v/>
      </c>
      <c r="M891" s="238">
        <f>+SUBTOTAL(9,M892:M910)</f>
        <v/>
      </c>
      <c r="N891" s="238">
        <f>+SUBTOTAL(9,N892:N910)</f>
        <v/>
      </c>
      <c r="O891" s="1136">
        <f>+SUBTOTAL(9,O892:O910)</f>
        <v/>
      </c>
    </row>
    <row r="892">
      <c r="A892" s="16" t="n"/>
      <c r="B892" s="1134">
        <f>VALUE(IF(AND(LEN(TRIM(C892))-LEN(SUBSTITUTE(TRIM(C892),".",""))=1,ISNUMBER(VALUE(SUBSTITUTE(TRIM(C892),".","")))),TRIM(C892),B891))</f>
        <v/>
      </c>
      <c r="C892" s="372" t="n"/>
      <c r="D892" s="373" t="n"/>
      <c r="E892" s="374" t="inlineStr">
        <is>
          <t>MECÁNICO PAREDES PRIMER NIVEL &amp; SEGUNDO NIVEL</t>
        </is>
      </c>
      <c r="F892" s="379" t="n"/>
      <c r="G892" s="376" t="n"/>
      <c r="H892" s="377" t="n"/>
      <c r="I892" s="376" t="n"/>
      <c r="J892" s="377" t="n"/>
      <c r="K892" s="377" t="n"/>
      <c r="L892" s="377" t="n"/>
      <c r="M892" s="377" t="n"/>
      <c r="N892" s="377" t="n"/>
      <c r="O892" s="378" t="n"/>
    </row>
    <row r="893">
      <c r="A893" s="16" t="n"/>
      <c r="B893" s="1134">
        <f>VALUE(IF(AND(LEN(TRIM(C893))-LEN(SUBSTITUTE(TRIM(C893),".",""))=1,ISNUMBER(VALUE(SUBSTITUTE(TRIM(C893),".","")))),TRIM(C893),B892))</f>
        <v/>
      </c>
      <c r="C893" s="274" t="inlineStr">
        <is>
          <t>M13-0172</t>
        </is>
      </c>
      <c r="D893" s="275" t="n"/>
      <c r="E893" s="252">
        <f>+_xlfn.XLOOKUP(C893,'BASE DATOS PRECIOS '!B:B,'BASE DATOS PRECIOS '!E:E)</f>
        <v/>
      </c>
      <c r="F893" s="308">
        <f>+'3.2_MEC'!D135</f>
        <v/>
      </c>
      <c r="G893" s="257">
        <f>+_xlfn.XLOOKUP(C893,'BASE DATOS PRECIOS '!B:B,'BASE DATOS PRECIOS '!F:F)</f>
        <v/>
      </c>
      <c r="H893" s="256">
        <f>+_xlfn.XLOOKUP(E893,'BASE DATOS PRECIOS '!E:E,'BASE DATOS PRECIOS '!H:H)</f>
        <v/>
      </c>
      <c r="I893" s="257" t="n"/>
      <c r="J893" s="257" t="n"/>
      <c r="K893" s="256">
        <f>+F893*H893</f>
        <v/>
      </c>
      <c r="L893" s="256">
        <f>+F893*I893</f>
        <v/>
      </c>
      <c r="M893" s="256">
        <f>+F893*J893</f>
        <v/>
      </c>
      <c r="N893" s="256">
        <f>SUM(K893:M893)</f>
        <v/>
      </c>
      <c r="O893" s="258">
        <f>SUM(K893:M893)/tc</f>
        <v/>
      </c>
    </row>
    <row r="894">
      <c r="A894" s="16" t="n"/>
      <c r="B894" s="1134">
        <f>VALUE(IF(AND(LEN(TRIM(C894))-LEN(SUBSTITUTE(TRIM(C894),".",""))=1,ISNUMBER(VALUE(SUBSTITUTE(TRIM(C894),".","")))),TRIM(C894),B893))</f>
        <v/>
      </c>
      <c r="C894" s="274" t="inlineStr">
        <is>
          <t>M13-0170</t>
        </is>
      </c>
      <c r="D894" s="275" t="n"/>
      <c r="E894" s="252">
        <f>+_xlfn.XLOOKUP(C894,'BASE DATOS PRECIOS '!B:B,'BASE DATOS PRECIOS '!E:E)</f>
        <v/>
      </c>
      <c r="F894" s="308">
        <f>+'3.2_MEC'!D136</f>
        <v/>
      </c>
      <c r="G894" s="257">
        <f>+_xlfn.XLOOKUP(C894,'BASE DATOS PRECIOS '!B:B,'BASE DATOS PRECIOS '!F:F)</f>
        <v/>
      </c>
      <c r="H894" s="256">
        <f>+_xlfn.XLOOKUP(E894,'BASE DATOS PRECIOS '!E:E,'BASE DATOS PRECIOS '!H:H)</f>
        <v/>
      </c>
      <c r="I894" s="257" t="n"/>
      <c r="J894" s="257" t="n"/>
      <c r="K894" s="256">
        <f>+F894*H894</f>
        <v/>
      </c>
      <c r="L894" s="256">
        <f>+F894*I894</f>
        <v/>
      </c>
      <c r="M894" s="256">
        <f>+F894*J894</f>
        <v/>
      </c>
      <c r="N894" s="256">
        <f>SUM(K894:M894)</f>
        <v/>
      </c>
      <c r="O894" s="258">
        <f>SUM(K894:M894)/tc</f>
        <v/>
      </c>
    </row>
    <row r="895">
      <c r="A895" s="16" t="n"/>
      <c r="B895" s="1134">
        <f>VALUE(IF(AND(LEN(TRIM(C895))-LEN(SUBSTITUTE(TRIM(C895),".",""))=1,ISNUMBER(VALUE(SUBSTITUTE(TRIM(C895),".","")))),TRIM(C895),B894))</f>
        <v/>
      </c>
      <c r="C895" s="274" t="inlineStr">
        <is>
          <t>M13-0166</t>
        </is>
      </c>
      <c r="D895" s="275" t="n"/>
      <c r="E895" s="252">
        <f>+_xlfn.XLOOKUP(C895,'BASE DATOS PRECIOS '!B:B,'BASE DATOS PRECIOS '!E:E)</f>
        <v/>
      </c>
      <c r="F895" s="308">
        <f>+'3.2_MEC'!D137</f>
        <v/>
      </c>
      <c r="G895" s="257">
        <f>+_xlfn.XLOOKUP(C895,'BASE DATOS PRECIOS '!B:B,'BASE DATOS PRECIOS '!F:F)</f>
        <v/>
      </c>
      <c r="H895" s="256">
        <f>+_xlfn.XLOOKUP(E895,'BASE DATOS PRECIOS '!E:E,'BASE DATOS PRECIOS '!H:H)</f>
        <v/>
      </c>
      <c r="I895" s="257" t="n"/>
      <c r="J895" s="257" t="n"/>
      <c r="K895" s="256">
        <f>+F895*H895</f>
        <v/>
      </c>
      <c r="L895" s="256">
        <f>+F895*I895</f>
        <v/>
      </c>
      <c r="M895" s="256">
        <f>+F895*J895</f>
        <v/>
      </c>
      <c r="N895" s="256">
        <f>SUM(K895:M895)</f>
        <v/>
      </c>
      <c r="O895" s="258">
        <f>SUM(K895:M895)/tc</f>
        <v/>
      </c>
    </row>
    <row r="896">
      <c r="A896" s="233" t="n"/>
      <c r="B896" s="1134">
        <f>VALUE(IF(AND(LEN(TRIM(C896))-LEN(SUBSTITUTE(TRIM(C896),".",""))=1,ISNUMBER(VALUE(SUBSTITUTE(TRIM(C896),".","")))),TRIM(C896),B895))</f>
        <v/>
      </c>
      <c r="C896" s="274" t="inlineStr">
        <is>
          <t>M13-0120</t>
        </is>
      </c>
      <c r="D896" s="275" t="n"/>
      <c r="E896" s="252">
        <f>+_xlfn.XLOOKUP(C896,'BASE DATOS PRECIOS '!B:B,'BASE DATOS PRECIOS '!E:E)</f>
        <v/>
      </c>
      <c r="F896" s="308">
        <f>+'3.2_MEC'!D138</f>
        <v/>
      </c>
      <c r="G896" s="257">
        <f>+_xlfn.XLOOKUP(C896,'BASE DATOS PRECIOS '!B:B,'BASE DATOS PRECIOS '!F:F)</f>
        <v/>
      </c>
      <c r="H896" s="256">
        <f>+_xlfn.XLOOKUP(E896,'BASE DATOS PRECIOS '!E:E,'BASE DATOS PRECIOS '!H:H)</f>
        <v/>
      </c>
      <c r="I896" s="257" t="n"/>
      <c r="J896" s="257" t="n"/>
      <c r="K896" s="256">
        <f>+F896*H896</f>
        <v/>
      </c>
      <c r="L896" s="256">
        <f>+F896*I896</f>
        <v/>
      </c>
      <c r="M896" s="256">
        <f>+F896*J896</f>
        <v/>
      </c>
      <c r="N896" s="256">
        <f>SUM(K896:M896)</f>
        <v/>
      </c>
      <c r="O896" s="258">
        <f>SUM(K896:M896)/tc</f>
        <v/>
      </c>
    </row>
    <row r="897">
      <c r="A897" s="16" t="n"/>
      <c r="B897" s="1134">
        <f>VALUE(IF(AND(LEN(TRIM(C897))-LEN(SUBSTITUTE(TRIM(C897),".",""))=1,ISNUMBER(VALUE(SUBSTITUTE(TRIM(C897),".","")))),TRIM(C897),B896))</f>
        <v/>
      </c>
      <c r="C897" s="274" t="inlineStr">
        <is>
          <t>M13-0094</t>
        </is>
      </c>
      <c r="D897" s="275" t="n"/>
      <c r="E897" s="252">
        <f>+_xlfn.XLOOKUP(C897,'BASE DATOS PRECIOS '!B:B,'BASE DATOS PRECIOS '!E:E)</f>
        <v/>
      </c>
      <c r="F897" s="308">
        <f>+'3.2_MEC'!D139</f>
        <v/>
      </c>
      <c r="G897" s="257">
        <f>+_xlfn.XLOOKUP(C897,'BASE DATOS PRECIOS '!B:B,'BASE DATOS PRECIOS '!F:F)</f>
        <v/>
      </c>
      <c r="H897" s="256">
        <f>+_xlfn.XLOOKUP(E897,'BASE DATOS PRECIOS '!E:E,'BASE DATOS PRECIOS '!H:H)</f>
        <v/>
      </c>
      <c r="I897" s="257" t="n"/>
      <c r="J897" s="257" t="n"/>
      <c r="K897" s="256">
        <f>+F897*H897</f>
        <v/>
      </c>
      <c r="L897" s="256">
        <f>+F897*I897</f>
        <v/>
      </c>
      <c r="M897" s="256">
        <f>+F897*J897</f>
        <v/>
      </c>
      <c r="N897" s="256">
        <f>SUM(K897:M897)</f>
        <v/>
      </c>
      <c r="O897" s="258">
        <f>SUM(K897:M897)/tc</f>
        <v/>
      </c>
    </row>
    <row r="898">
      <c r="A898" s="16" t="n"/>
      <c r="B898" s="1134">
        <f>VALUE(IF(AND(LEN(TRIM(C898))-LEN(SUBSTITUTE(TRIM(C898),".",""))=1,ISNUMBER(VALUE(SUBSTITUTE(TRIM(C898),".","")))),TRIM(C898),B897))</f>
        <v/>
      </c>
      <c r="C898" s="274" t="inlineStr">
        <is>
          <t>M13-0091</t>
        </is>
      </c>
      <c r="D898" s="275" t="n"/>
      <c r="E898" s="252">
        <f>+_xlfn.XLOOKUP(C898,'BASE DATOS PRECIOS '!B:B,'BASE DATOS PRECIOS '!E:E)</f>
        <v/>
      </c>
      <c r="F898" s="308">
        <f>+'3.2_MEC'!D140</f>
        <v/>
      </c>
      <c r="G898" s="257">
        <f>+_xlfn.XLOOKUP(C898,'BASE DATOS PRECIOS '!B:B,'BASE DATOS PRECIOS '!F:F)</f>
        <v/>
      </c>
      <c r="H898" s="256">
        <f>+_xlfn.XLOOKUP(E898,'BASE DATOS PRECIOS '!E:E,'BASE DATOS PRECIOS '!H:H)</f>
        <v/>
      </c>
      <c r="I898" s="257" t="n"/>
      <c r="J898" s="257" t="n"/>
      <c r="K898" s="256">
        <f>+F898*H898</f>
        <v/>
      </c>
      <c r="L898" s="256">
        <f>+F898*I898</f>
        <v/>
      </c>
      <c r="M898" s="256">
        <f>+F898*J898</f>
        <v/>
      </c>
      <c r="N898" s="256">
        <f>SUM(K898:M898)</f>
        <v/>
      </c>
      <c r="O898" s="258">
        <f>SUM(K898:M898)/tc</f>
        <v/>
      </c>
    </row>
    <row r="899">
      <c r="A899" s="16" t="n"/>
      <c r="B899" s="1134">
        <f>VALUE(IF(AND(LEN(TRIM(C899))-LEN(SUBSTITUTE(TRIM(C899),".",""))=1,ISNUMBER(VALUE(SUBSTITUTE(TRIM(C899),".","")))),TRIM(C899),B898))</f>
        <v/>
      </c>
      <c r="C899" s="274" t="inlineStr">
        <is>
          <t>M13-0090</t>
        </is>
      </c>
      <c r="D899" s="275" t="n"/>
      <c r="E899" s="252">
        <f>+_xlfn.XLOOKUP(C899,'BASE DATOS PRECIOS '!B:B,'BASE DATOS PRECIOS '!E:E)</f>
        <v/>
      </c>
      <c r="F899" s="308">
        <f>+'3.2_MEC'!D141</f>
        <v/>
      </c>
      <c r="G899" s="257">
        <f>+_xlfn.XLOOKUP(C899,'BASE DATOS PRECIOS '!B:B,'BASE DATOS PRECIOS '!F:F)</f>
        <v/>
      </c>
      <c r="H899" s="256">
        <f>+_xlfn.XLOOKUP(E899,'BASE DATOS PRECIOS '!E:E,'BASE DATOS PRECIOS '!H:H)</f>
        <v/>
      </c>
      <c r="I899" s="257" t="n"/>
      <c r="J899" s="257" t="n"/>
      <c r="K899" s="256">
        <f>+F899*H899</f>
        <v/>
      </c>
      <c r="L899" s="256">
        <f>+F899*I899</f>
        <v/>
      </c>
      <c r="M899" s="256">
        <f>+F899*J899</f>
        <v/>
      </c>
      <c r="N899" s="256">
        <f>SUM(K899:M899)</f>
        <v/>
      </c>
      <c r="O899" s="258">
        <f>SUM(K899:M899)/tc</f>
        <v/>
      </c>
    </row>
    <row r="900">
      <c r="A900" s="16" t="n"/>
      <c r="B900" s="1134">
        <f>VALUE(IF(AND(LEN(TRIM(C900))-LEN(SUBSTITUTE(TRIM(C900),".",""))=1,ISNUMBER(VALUE(SUBSTITUTE(TRIM(C900),".","")))),TRIM(C900),B899))</f>
        <v/>
      </c>
      <c r="C900" s="274" t="inlineStr">
        <is>
          <t>M13-0147</t>
        </is>
      </c>
      <c r="D900" s="275" t="n"/>
      <c r="E900" s="252">
        <f>+_xlfn.XLOOKUP(C900,'BASE DATOS PRECIOS '!B:B,'BASE DATOS PRECIOS '!E:E)</f>
        <v/>
      </c>
      <c r="F900" s="308">
        <f>+'3.2_MEC'!D142</f>
        <v/>
      </c>
      <c r="G900" s="257">
        <f>+_xlfn.XLOOKUP(C900,'BASE DATOS PRECIOS '!B:B,'BASE DATOS PRECIOS '!F:F)</f>
        <v/>
      </c>
      <c r="H900" s="256">
        <f>+_xlfn.XLOOKUP(E900,'BASE DATOS PRECIOS '!E:E,'BASE DATOS PRECIOS '!H:H)</f>
        <v/>
      </c>
      <c r="I900" s="257" t="n"/>
      <c r="J900" s="257" t="n"/>
      <c r="K900" s="256">
        <f>+F900*H900</f>
        <v/>
      </c>
      <c r="L900" s="256">
        <f>+F900*I900</f>
        <v/>
      </c>
      <c r="M900" s="256">
        <f>+F900*J900</f>
        <v/>
      </c>
      <c r="N900" s="256">
        <f>SUM(K900:M900)</f>
        <v/>
      </c>
      <c r="O900" s="258">
        <f>SUM(K900:M900)/tc</f>
        <v/>
      </c>
    </row>
    <row r="901">
      <c r="A901" s="16" t="n"/>
      <c r="B901" s="1134">
        <f>VALUE(IF(AND(LEN(TRIM(C901))-LEN(SUBSTITUTE(TRIM(C901),".",""))=1,ISNUMBER(VALUE(SUBSTITUTE(TRIM(C901),".","")))),TRIM(C901),B900))</f>
        <v/>
      </c>
      <c r="C901" s="301" t="inlineStr">
        <is>
          <t>M13-0100</t>
        </is>
      </c>
      <c r="D901" s="302" t="n"/>
      <c r="E901" s="311">
        <f>+_xlfn.XLOOKUP(C901,'BASE DATOS PRECIOS '!B:B,'BASE DATOS PRECIOS '!E:E)</f>
        <v/>
      </c>
      <c r="F901" s="308">
        <f>+'3.2_MEC'!D143</f>
        <v/>
      </c>
      <c r="G901" s="321">
        <f>+_xlfn.XLOOKUP(C901,'BASE DATOS PRECIOS '!B:B,'BASE DATOS PRECIOS '!F:F)</f>
        <v/>
      </c>
      <c r="H901" s="322">
        <f>+_xlfn.XLOOKUP(E901,'BASE DATOS PRECIOS '!E:E,'BASE DATOS PRECIOS '!H:H)</f>
        <v/>
      </c>
      <c r="I901" s="321" t="n"/>
      <c r="J901" s="321" t="n"/>
      <c r="K901" s="322">
        <f>+F901*H901</f>
        <v/>
      </c>
      <c r="L901" s="322">
        <f>+F901*I901</f>
        <v/>
      </c>
      <c r="M901" s="322">
        <f>+F901*J901</f>
        <v/>
      </c>
      <c r="N901" s="322">
        <f>SUM(K901:M901)</f>
        <v/>
      </c>
      <c r="O901" s="323">
        <f>SUM(K901:M901)/tc</f>
        <v/>
      </c>
    </row>
    <row r="902">
      <c r="A902" s="16" t="n"/>
      <c r="B902" s="1134">
        <f>VALUE(IF(AND(LEN(TRIM(C902))-LEN(SUBSTITUTE(TRIM(C902),".",""))=1,ISNUMBER(VALUE(SUBSTITUTE(TRIM(C902),".","")))),TRIM(C902),B901))</f>
        <v/>
      </c>
      <c r="C902" s="301" t="inlineStr">
        <is>
          <t>M13-0199</t>
        </is>
      </c>
      <c r="D902" s="302" t="n"/>
      <c r="E902" s="311">
        <f>+_xlfn.XLOOKUP(C902,'BASE DATOS PRECIOS '!B:B,'BASE DATOS PRECIOS '!E:E)</f>
        <v/>
      </c>
      <c r="F902" s="308">
        <f>+'3.2_MEC'!D144</f>
        <v/>
      </c>
      <c r="G902" s="321">
        <f>+_xlfn.XLOOKUP(C902,'BASE DATOS PRECIOS '!B:B,'BASE DATOS PRECIOS '!F:F)</f>
        <v/>
      </c>
      <c r="H902" s="322">
        <f>+_xlfn.XLOOKUP(E902,'BASE DATOS PRECIOS '!E:E,'BASE DATOS PRECIOS '!H:H)</f>
        <v/>
      </c>
      <c r="I902" s="321" t="n"/>
      <c r="J902" s="321" t="n"/>
      <c r="K902" s="322">
        <f>+F902*H902</f>
        <v/>
      </c>
      <c r="L902" s="322">
        <f>+F902*I902</f>
        <v/>
      </c>
      <c r="M902" s="322">
        <f>+F902*J902</f>
        <v/>
      </c>
      <c r="N902" s="322">
        <f>SUM(K902:M902)</f>
        <v/>
      </c>
      <c r="O902" s="323">
        <f>SUM(K902:M902)/tc</f>
        <v/>
      </c>
    </row>
    <row r="903">
      <c r="A903" s="16" t="n"/>
      <c r="B903" s="1134">
        <f>VALUE(IF(AND(LEN(TRIM(C903))-LEN(SUBSTITUTE(TRIM(C903),".",""))=1,ISNUMBER(VALUE(SUBSTITUTE(TRIM(C903),".","")))),TRIM(C903),B902))</f>
        <v/>
      </c>
      <c r="C903" s="301" t="inlineStr">
        <is>
          <t>M06-0013</t>
        </is>
      </c>
      <c r="D903" s="302" t="n"/>
      <c r="E903" s="311">
        <f>+_xlfn.XLOOKUP(C903,'BASE DATOS PRECIOS '!B:B,'BASE DATOS PRECIOS '!E:E)</f>
        <v/>
      </c>
      <c r="F903" s="308">
        <f>+'3.2_MEC'!D145</f>
        <v/>
      </c>
      <c r="G903" s="321">
        <f>+_xlfn.XLOOKUP(C903,'BASE DATOS PRECIOS '!B:B,'BASE DATOS PRECIOS '!F:F)</f>
        <v/>
      </c>
      <c r="H903" s="322">
        <f>+_xlfn.XLOOKUP(E903,'BASE DATOS PRECIOS '!E:E,'BASE DATOS PRECIOS '!H:H)</f>
        <v/>
      </c>
      <c r="I903" s="321" t="n"/>
      <c r="J903" s="321" t="n"/>
      <c r="K903" s="322">
        <f>+F903*H903</f>
        <v/>
      </c>
      <c r="L903" s="322">
        <f>+F903*I903</f>
        <v/>
      </c>
      <c r="M903" s="322">
        <f>+F903*J903</f>
        <v/>
      </c>
      <c r="N903" s="322">
        <f>SUM(K903:M903)</f>
        <v/>
      </c>
      <c r="O903" s="323">
        <f>SUM(K903:M903)/tc</f>
        <v/>
      </c>
    </row>
    <row r="904">
      <c r="A904" s="16" t="n"/>
      <c r="B904" s="1134">
        <f>VALUE(IF(AND(LEN(TRIM(C904))-LEN(SUBSTITUTE(TRIM(C904),".",""))=1,ISNUMBER(VALUE(SUBSTITUTE(TRIM(C904),".","")))),TRIM(C904),B903))</f>
        <v/>
      </c>
      <c r="C904" s="301" t="inlineStr">
        <is>
          <t>M04-0003</t>
        </is>
      </c>
      <c r="D904" s="302" t="n"/>
      <c r="E904" s="311">
        <f>+_xlfn.XLOOKUP(C904,'BASE DATOS PRECIOS '!B:B,'BASE DATOS PRECIOS '!E:E)</f>
        <v/>
      </c>
      <c r="F904" s="308">
        <f>+'3.2_MEC'!D146</f>
        <v/>
      </c>
      <c r="G904" s="321">
        <f>+_xlfn.XLOOKUP(C904,'BASE DATOS PRECIOS '!B:B,'BASE DATOS PRECIOS '!F:F)</f>
        <v/>
      </c>
      <c r="H904" s="322">
        <f>+_xlfn.XLOOKUP(E904,'BASE DATOS PRECIOS '!E:E,'BASE DATOS PRECIOS '!H:H)</f>
        <v/>
      </c>
      <c r="I904" s="321" t="n"/>
      <c r="J904" s="321" t="n"/>
      <c r="K904" s="322">
        <f>+F904*H904</f>
        <v/>
      </c>
      <c r="L904" s="322">
        <f>+F904*I904</f>
        <v/>
      </c>
      <c r="M904" s="322">
        <f>+F904*J904</f>
        <v/>
      </c>
      <c r="N904" s="322">
        <f>SUM(K904:M904)</f>
        <v/>
      </c>
      <c r="O904" s="323">
        <f>SUM(K904:M904)/tc</f>
        <v/>
      </c>
    </row>
    <row r="905">
      <c r="A905" s="16" t="n"/>
      <c r="B905" s="1134">
        <f>VALUE(IF(AND(LEN(TRIM(C905))-LEN(SUBSTITUTE(TRIM(C905),".",""))=1,ISNUMBER(VALUE(SUBSTITUTE(TRIM(C905),".","")))),TRIM(C905),B904))</f>
        <v/>
      </c>
      <c r="C905" s="301" t="inlineStr">
        <is>
          <t>M11-0141</t>
        </is>
      </c>
      <c r="D905" s="302" t="n"/>
      <c r="E905" s="311">
        <f>+_xlfn.XLOOKUP(C905,'BASE DATOS PRECIOS '!B:B,'BASE DATOS PRECIOS '!E:E)</f>
        <v/>
      </c>
      <c r="F905" s="308">
        <f>+'3.2_MEC'!D147</f>
        <v/>
      </c>
      <c r="G905" s="321">
        <f>+_xlfn.XLOOKUP(C905,'BASE DATOS PRECIOS '!B:B,'BASE DATOS PRECIOS '!F:F)</f>
        <v/>
      </c>
      <c r="H905" s="322">
        <f>+_xlfn.XLOOKUP(E905,'BASE DATOS PRECIOS '!E:E,'BASE DATOS PRECIOS '!H:H)</f>
        <v/>
      </c>
      <c r="I905" s="321" t="n"/>
      <c r="J905" s="321" t="n"/>
      <c r="K905" s="322">
        <f>+F905*H905</f>
        <v/>
      </c>
      <c r="L905" s="322">
        <f>+F905*I905</f>
        <v/>
      </c>
      <c r="M905" s="322">
        <f>+F905*J905</f>
        <v/>
      </c>
      <c r="N905" s="322">
        <f>SUM(K905:M905)</f>
        <v/>
      </c>
      <c r="O905" s="323">
        <f>SUM(K905:M905)/tc</f>
        <v/>
      </c>
    </row>
    <row r="906">
      <c r="A906" s="16" t="n"/>
      <c r="B906" s="1134">
        <f>VALUE(IF(AND(LEN(TRIM(C906))-LEN(SUBSTITUTE(TRIM(C906),".",""))=1,ISNUMBER(VALUE(SUBSTITUTE(TRIM(C906),".","")))),TRIM(C906),B905))</f>
        <v/>
      </c>
      <c r="C906" s="301" t="inlineStr">
        <is>
          <t>M05-0027</t>
        </is>
      </c>
      <c r="D906" s="302" t="n"/>
      <c r="E906" s="311">
        <f>+_xlfn.XLOOKUP(C906,'BASE DATOS PRECIOS '!B:B,'BASE DATOS PRECIOS '!E:E)</f>
        <v/>
      </c>
      <c r="F906" s="308">
        <f>+'3.2_MEC'!D148</f>
        <v/>
      </c>
      <c r="G906" s="321">
        <f>+_xlfn.XLOOKUP(C906,'BASE DATOS PRECIOS '!B:B,'BASE DATOS PRECIOS '!F:F)</f>
        <v/>
      </c>
      <c r="H906" s="322">
        <f>+_xlfn.XLOOKUP(E906,'BASE DATOS PRECIOS '!E:E,'BASE DATOS PRECIOS '!H:H)</f>
        <v/>
      </c>
      <c r="I906" s="321" t="n"/>
      <c r="J906" s="321" t="n"/>
      <c r="K906" s="322">
        <f>+F906*H906</f>
        <v/>
      </c>
      <c r="L906" s="322">
        <f>+F906*I906</f>
        <v/>
      </c>
      <c r="M906" s="322">
        <f>+F906*J906</f>
        <v/>
      </c>
      <c r="N906" s="322">
        <f>SUM(K906:M906)</f>
        <v/>
      </c>
      <c r="O906" s="323">
        <f>SUM(K906:M906)/tc</f>
        <v/>
      </c>
    </row>
    <row r="907">
      <c r="A907" s="16" t="n"/>
      <c r="B907" s="1134">
        <f>VALUE(IF(AND(LEN(TRIM(C907))-LEN(SUBSTITUTE(TRIM(C907),".",""))=1,ISNUMBER(VALUE(SUBSTITUTE(TRIM(C907),".","")))),TRIM(C907),B906))</f>
        <v/>
      </c>
      <c r="C907" s="301" t="inlineStr">
        <is>
          <t>M13-0021</t>
        </is>
      </c>
      <c r="D907" s="302" t="n"/>
      <c r="E907" s="311">
        <f>+_xlfn.XLOOKUP(C907,'BASE DATOS PRECIOS '!B:B,'BASE DATOS PRECIOS '!E:E)</f>
        <v/>
      </c>
      <c r="F907" s="308">
        <f>+'3.2_MEC'!D149</f>
        <v/>
      </c>
      <c r="G907" s="321">
        <f>+_xlfn.XLOOKUP(C907,'BASE DATOS PRECIOS '!B:B,'BASE DATOS PRECIOS '!F:F)</f>
        <v/>
      </c>
      <c r="H907" s="322">
        <f>+_xlfn.XLOOKUP(E907,'BASE DATOS PRECIOS '!E:E,'BASE DATOS PRECIOS '!H:H)</f>
        <v/>
      </c>
      <c r="I907" s="321" t="n"/>
      <c r="J907" s="321" t="n"/>
      <c r="K907" s="322">
        <f>+F907*H907</f>
        <v/>
      </c>
      <c r="L907" s="322">
        <f>+F907*I907</f>
        <v/>
      </c>
      <c r="M907" s="322">
        <f>+F907*J907</f>
        <v/>
      </c>
      <c r="N907" s="322">
        <f>SUM(K907:M907)</f>
        <v/>
      </c>
      <c r="O907" s="323">
        <f>SUM(K907:M907)/tc</f>
        <v/>
      </c>
    </row>
    <row r="908">
      <c r="A908" s="16" t="n"/>
      <c r="B908" s="1134">
        <f>VALUE(IF(AND(LEN(TRIM(C908))-LEN(SUBSTITUTE(TRIM(C908),".",""))=1,ISNUMBER(VALUE(SUBSTITUTE(TRIM(C908),".","")))),TRIM(C908),B907))</f>
        <v/>
      </c>
      <c r="C908" s="301" t="inlineStr">
        <is>
          <t>M05-0026</t>
        </is>
      </c>
      <c r="D908" s="302" t="n"/>
      <c r="E908" s="311">
        <f>+_xlfn.XLOOKUP(C908,'BASE DATOS PRECIOS '!B:B,'BASE DATOS PRECIOS '!E:E)</f>
        <v/>
      </c>
      <c r="F908" s="308">
        <f>+'3.2_MEC'!D150</f>
        <v/>
      </c>
      <c r="G908" s="321">
        <f>+_xlfn.XLOOKUP(C908,'BASE DATOS PRECIOS '!B:B,'BASE DATOS PRECIOS '!F:F)</f>
        <v/>
      </c>
      <c r="H908" s="322">
        <f>+_xlfn.XLOOKUP(E908,'BASE DATOS PRECIOS '!E:E,'BASE DATOS PRECIOS '!H:H)</f>
        <v/>
      </c>
      <c r="I908" s="321" t="n"/>
      <c r="J908" s="321" t="n"/>
      <c r="K908" s="322">
        <f>+F908*H908</f>
        <v/>
      </c>
      <c r="L908" s="322">
        <f>+F908*I908</f>
        <v/>
      </c>
      <c r="M908" s="322">
        <f>+F908*J908</f>
        <v/>
      </c>
      <c r="N908" s="322">
        <f>SUM(K908:M908)</f>
        <v/>
      </c>
      <c r="O908" s="323">
        <f>SUM(K908:M908)/tc</f>
        <v/>
      </c>
    </row>
    <row r="909">
      <c r="A909" s="266" t="inlineStr">
        <is>
          <t>Fontanería Muros</t>
        </is>
      </c>
      <c r="B909" s="1134">
        <f>VALUE(IF(AND(LEN(TRIM(C909))-LEN(SUBSTITUTE(TRIM(C909),".",""))=1,ISNUMBER(VALUE(SUBSTITUTE(TRIM(C909),".","")))),TRIM(C909),B902))</f>
        <v/>
      </c>
      <c r="C909" s="267" t="inlineStr">
        <is>
          <t xml:space="preserve">OPERARIO </t>
        </is>
      </c>
      <c r="D909" s="268" t="n"/>
      <c r="E909" s="269">
        <f>+_xlfn.XLOOKUP(C909,'BASE DATOS MANO DE OBRA'!A:A,'BASE DATOS MANO DE OBRA'!B:B)</f>
        <v/>
      </c>
      <c r="F909" s="270">
        <f>+ROUNDUP(('3.2_MEC'!F154+'3.2_MEC'!F155),0)/2</f>
        <v/>
      </c>
      <c r="G909" s="271">
        <f>+_xlfn.XLOOKUP(C909,'BASE DATOS MANO DE OBRA'!A:A,'BASE DATOS MANO DE OBRA'!C:C)</f>
        <v/>
      </c>
      <c r="H909" s="272" t="n">
        <v>0</v>
      </c>
      <c r="I909" s="272">
        <f>+_xlfn.XLOOKUP(C909,'BASE DATOS MANO DE OBRA'!A:A,'BASE DATOS MANO DE OBRA'!E:E)</f>
        <v/>
      </c>
      <c r="J909" s="272" t="n">
        <v>0</v>
      </c>
      <c r="K909" s="272">
        <f>+F909*H909</f>
        <v/>
      </c>
      <c r="L909" s="272">
        <f>+F909*I909</f>
        <v/>
      </c>
      <c r="M909" s="272">
        <f>+F909*J909</f>
        <v/>
      </c>
      <c r="N909" s="272">
        <f>SUM(K909:M909)</f>
        <v/>
      </c>
      <c r="O909" s="273">
        <f>SUM(K909:M909)/tc</f>
        <v/>
      </c>
    </row>
    <row r="910">
      <c r="A910" s="266" t="inlineStr">
        <is>
          <t>Fontanería Muros</t>
        </is>
      </c>
      <c r="B910" s="1134">
        <f>VALUE(IF(AND(LEN(TRIM(C910))-LEN(SUBSTITUTE(TRIM(C910),".",""))=1,ISNUMBER(VALUE(SUBSTITUTE(TRIM(C910),".","")))),TRIM(C910),B909))</f>
        <v/>
      </c>
      <c r="C910" s="267" t="inlineStr">
        <is>
          <t xml:space="preserve">AYUDANTE </t>
        </is>
      </c>
      <c r="D910" s="268" t="n"/>
      <c r="E910" s="269">
        <f>+_xlfn.XLOOKUP(C910,'BASE DATOS MANO DE OBRA'!A:A,'BASE DATOS MANO DE OBRA'!B:B)</f>
        <v/>
      </c>
      <c r="F910" s="270">
        <f>+F909</f>
        <v/>
      </c>
      <c r="G910" s="271">
        <f>+_xlfn.XLOOKUP(C910,'BASE DATOS MANO DE OBRA'!A:A,'BASE DATOS MANO DE OBRA'!C:C)</f>
        <v/>
      </c>
      <c r="H910" s="272" t="n">
        <v>0</v>
      </c>
      <c r="I910" s="272">
        <f>+_xlfn.XLOOKUP(C910,'BASE DATOS MANO DE OBRA'!A:A,'BASE DATOS MANO DE OBRA'!E:E)</f>
        <v/>
      </c>
      <c r="J910" s="272" t="n">
        <v>0</v>
      </c>
      <c r="K910" s="272">
        <f>+F910*H910</f>
        <v/>
      </c>
      <c r="L910" s="272">
        <f>+F910*I910</f>
        <v/>
      </c>
      <c r="M910" s="272">
        <f>+F910*J910</f>
        <v/>
      </c>
      <c r="N910" s="272">
        <f>SUM(K910:M910)</f>
        <v/>
      </c>
      <c r="O910" s="273">
        <f>SUM(K910:M910)/tc</f>
        <v/>
      </c>
    </row>
    <row r="911">
      <c r="A911" s="16" t="n"/>
      <c r="B911" s="1134">
        <f>VALUE(IF(AND(LEN(TRIM(C911))-LEN(SUBSTITUTE(TRIM(C911),".",""))=1,ISNUMBER(VALUE(SUBSTITUTE(TRIM(C911),".","")))),TRIM(C911),B910))</f>
        <v/>
      </c>
      <c r="C911" s="234" t="inlineStr">
        <is>
          <t>3.2.4</t>
        </is>
      </c>
      <c r="D911" s="235" t="n"/>
      <c r="E911" s="236" t="inlineStr">
        <is>
          <t xml:space="preserve">CAJAS Y TUBERIAS MECÁNICAS </t>
        </is>
      </c>
      <c r="F911" s="237" t="n">
        <v>1</v>
      </c>
      <c r="G911" s="235" t="inlineStr">
        <is>
          <t>gb</t>
        </is>
      </c>
      <c r="H911" s="235" t="n"/>
      <c r="I911" s="235" t="n"/>
      <c r="J911" s="235" t="n"/>
      <c r="K911" s="238">
        <f>+SUBTOTAL(9,K912:K929)</f>
        <v/>
      </c>
      <c r="L911" s="238">
        <f>+SUBTOTAL(9,L912:L929)</f>
        <v/>
      </c>
      <c r="M911" s="238">
        <f>+SUBTOTAL(9,M912:M929)</f>
        <v/>
      </c>
      <c r="N911" s="238">
        <f>+SUBTOTAL(9,N912:N929)</f>
        <v/>
      </c>
      <c r="O911" s="1136">
        <f>+SUBTOTAL(9,O912:O929)</f>
        <v/>
      </c>
      <c r="T911" s="232">
        <f>2850*25/68</f>
        <v/>
      </c>
    </row>
    <row r="912">
      <c r="A912" s="16" t="n"/>
      <c r="B912" s="1134">
        <f>VALUE(IF(AND(LEN(TRIM(C912))-LEN(SUBSTITUTE(TRIM(C912),".",""))=1,ISNUMBER(VALUE(SUBSTITUTE(TRIM(C912),".","")))),TRIM(C912),B911))</f>
        <v/>
      </c>
      <c r="C912" s="16" t="inlineStr">
        <is>
          <t>M13-0060</t>
        </is>
      </c>
      <c r="D912" s="292" t="n"/>
      <c r="E912" s="252">
        <f>+_xlfn.XLOOKUP(C912,'BASE DATOS PRECIOS '!B:B,'BASE DATOS PRECIOS '!E:E)</f>
        <v/>
      </c>
      <c r="F912" s="218">
        <f>+'3.2_MEC'!D167</f>
        <v/>
      </c>
      <c r="G912" s="250">
        <f>+_xlfn.XLOOKUP(C912,'BASE DATOS PRECIOS '!B:B,'BASE DATOS PRECIOS '!F:F)</f>
        <v/>
      </c>
      <c r="H912" s="249">
        <f>+_xlfn.XLOOKUP(E912,'BASE DATOS PRECIOS '!E:E,'BASE DATOS PRECIOS '!H:H)</f>
        <v/>
      </c>
      <c r="I912" s="250" t="n"/>
      <c r="J912" s="250" t="n"/>
      <c r="K912" s="249">
        <f>+F912*H912</f>
        <v/>
      </c>
      <c r="L912" s="249">
        <f>+F912*I912</f>
        <v/>
      </c>
      <c r="M912" s="249">
        <f>+F912*J912</f>
        <v/>
      </c>
      <c r="N912" s="249">
        <f>SUM(K912:M912)</f>
        <v/>
      </c>
      <c r="O912" s="251">
        <f>SUM(K912:M912)/tc</f>
        <v/>
      </c>
    </row>
    <row r="913">
      <c r="A913" s="16" t="n"/>
      <c r="B913" s="1134">
        <f>VALUE(IF(AND(LEN(TRIM(C913))-LEN(SUBSTITUTE(TRIM(C913),".",""))=1,ISNUMBER(VALUE(SUBSTITUTE(TRIM(C913),".","")))),TRIM(C913),B912))</f>
        <v/>
      </c>
      <c r="C913" s="16" t="inlineStr">
        <is>
          <t>M10-0070</t>
        </is>
      </c>
      <c r="D913" s="292" t="n"/>
      <c r="E913" s="252">
        <f>+_xlfn.XLOOKUP(C913,'BASE DATOS PRECIOS '!B:B,'BASE DATOS PRECIOS '!E:E)</f>
        <v/>
      </c>
      <c r="F913" s="218">
        <f>+'3.2_MEC'!D168</f>
        <v/>
      </c>
      <c r="G913" s="250">
        <f>+_xlfn.XLOOKUP(C913,'BASE DATOS PRECIOS '!B:B,'BASE DATOS PRECIOS '!F:F)</f>
        <v/>
      </c>
      <c r="H913" s="249">
        <f>+_xlfn.XLOOKUP(E913,'BASE DATOS PRECIOS '!E:E,'BASE DATOS PRECIOS '!H:H)</f>
        <v/>
      </c>
      <c r="I913" s="250" t="n"/>
      <c r="J913" s="250" t="n"/>
      <c r="K913" s="249">
        <f>+F913*H913</f>
        <v/>
      </c>
      <c r="L913" s="249">
        <f>+F913*I913</f>
        <v/>
      </c>
      <c r="M913" s="249">
        <f>+F913*J913</f>
        <v/>
      </c>
      <c r="N913" s="249">
        <f>SUM(K913:M913)</f>
        <v/>
      </c>
      <c r="O913" s="251">
        <f>SUM(K913:M913)/tc</f>
        <v/>
      </c>
    </row>
    <row r="914">
      <c r="A914" s="16" t="n"/>
      <c r="B914" s="1134">
        <f>VALUE(IF(AND(LEN(TRIM(C914))-LEN(SUBSTITUTE(TRIM(C914),".",""))=1,ISNUMBER(VALUE(SUBSTITUTE(TRIM(C914),".","")))),TRIM(C914),B913))</f>
        <v/>
      </c>
      <c r="C914" s="16" t="inlineStr">
        <is>
          <t>M10-0047</t>
        </is>
      </c>
      <c r="D914" s="292" t="n"/>
      <c r="E914" s="252">
        <f>+_xlfn.XLOOKUP(C914,'BASE DATOS PRECIOS '!B:B,'BASE DATOS PRECIOS '!E:E)</f>
        <v/>
      </c>
      <c r="F914" s="218">
        <f>+'3.2_MEC'!D169</f>
        <v/>
      </c>
      <c r="G914" s="250">
        <f>+_xlfn.XLOOKUP(C914,'BASE DATOS PRECIOS '!B:B,'BASE DATOS PRECIOS '!F:F)</f>
        <v/>
      </c>
      <c r="H914" s="249">
        <f>+_xlfn.XLOOKUP(E914,'BASE DATOS PRECIOS '!E:E,'BASE DATOS PRECIOS '!H:H)</f>
        <v/>
      </c>
      <c r="I914" s="250" t="n"/>
      <c r="J914" s="250" t="n"/>
      <c r="K914" s="249">
        <f>+F914*H914</f>
        <v/>
      </c>
      <c r="L914" s="249">
        <f>+F914*I914</f>
        <v/>
      </c>
      <c r="M914" s="249">
        <f>+F914*J914</f>
        <v/>
      </c>
      <c r="N914" s="249">
        <f>SUM(K914:M914)</f>
        <v/>
      </c>
      <c r="O914" s="251">
        <f>SUM(K914:M914)/tc</f>
        <v/>
      </c>
    </row>
    <row r="915">
      <c r="A915" s="16" t="n"/>
      <c r="B915" s="1134">
        <f>VALUE(IF(AND(LEN(TRIM(C915))-LEN(SUBSTITUTE(TRIM(C915),".",""))=1,ISNUMBER(VALUE(SUBSTITUTE(TRIM(C915),".","")))),TRIM(C915),B914))</f>
        <v/>
      </c>
      <c r="C915" s="16" t="inlineStr">
        <is>
          <t>M10-0015</t>
        </is>
      </c>
      <c r="D915" s="292" t="n"/>
      <c r="E915" s="252">
        <f>+_xlfn.XLOOKUP(C915,'BASE DATOS PRECIOS '!B:B,'BASE DATOS PRECIOS '!E:E)</f>
        <v/>
      </c>
      <c r="F915" s="218">
        <f>+'3.2_MEC'!D170</f>
        <v/>
      </c>
      <c r="G915" s="250">
        <f>+_xlfn.XLOOKUP(C915,'BASE DATOS PRECIOS '!B:B,'BASE DATOS PRECIOS '!F:F)</f>
        <v/>
      </c>
      <c r="H915" s="249">
        <f>+_xlfn.XLOOKUP(E915,'BASE DATOS PRECIOS '!E:E,'BASE DATOS PRECIOS '!H:H)</f>
        <v/>
      </c>
      <c r="I915" s="250" t="n"/>
      <c r="J915" s="250" t="n"/>
      <c r="K915" s="249">
        <f>+F915*H915</f>
        <v/>
      </c>
      <c r="L915" s="249">
        <f>+F915*I915</f>
        <v/>
      </c>
      <c r="M915" s="249">
        <f>+F915*J915</f>
        <v/>
      </c>
      <c r="N915" s="249">
        <f>SUM(K915:M915)</f>
        <v/>
      </c>
      <c r="O915" s="251">
        <f>SUM(K915:M915)/tc</f>
        <v/>
      </c>
    </row>
    <row r="916">
      <c r="A916" s="16" t="n"/>
      <c r="B916" s="1134">
        <f>VALUE(IF(AND(LEN(TRIM(C916))-LEN(SUBSTITUTE(TRIM(C916),".",""))=1,ISNUMBER(VALUE(SUBSTITUTE(TRIM(C916),".","")))),TRIM(C916),B915))</f>
        <v/>
      </c>
      <c r="C916" s="16" t="inlineStr">
        <is>
          <t>M10-0010</t>
        </is>
      </c>
      <c r="D916" s="292" t="n"/>
      <c r="E916" s="252">
        <f>+_xlfn.XLOOKUP(C916,'BASE DATOS PRECIOS '!B:B,'BASE DATOS PRECIOS '!E:E)</f>
        <v/>
      </c>
      <c r="F916" s="218">
        <f>+'3.2_MEC'!D171</f>
        <v/>
      </c>
      <c r="G916" s="250">
        <f>+_xlfn.XLOOKUP(C916,'BASE DATOS PRECIOS '!B:B,'BASE DATOS PRECIOS '!F:F)</f>
        <v/>
      </c>
      <c r="H916" s="249">
        <f>+_xlfn.XLOOKUP(E916,'BASE DATOS PRECIOS '!E:E,'BASE DATOS PRECIOS '!H:H)</f>
        <v/>
      </c>
      <c r="I916" s="250" t="n"/>
      <c r="J916" s="250" t="n"/>
      <c r="K916" s="249">
        <f>+F916*H916</f>
        <v/>
      </c>
      <c r="L916" s="249">
        <f>+F916*I916</f>
        <v/>
      </c>
      <c r="M916" s="249">
        <f>+F916*J916</f>
        <v/>
      </c>
      <c r="N916" s="249">
        <f>SUM(K916:M916)</f>
        <v/>
      </c>
      <c r="O916" s="251">
        <f>SUM(K916:M916)/tc</f>
        <v/>
      </c>
    </row>
    <row r="917">
      <c r="A917" s="16" t="n"/>
      <c r="B917" s="1134">
        <f>VALUE(IF(AND(LEN(TRIM(C917))-LEN(SUBSTITUTE(TRIM(C917),".",""))=1,ISNUMBER(VALUE(SUBSTITUTE(TRIM(C917),".","")))),TRIM(C917),B916))</f>
        <v/>
      </c>
      <c r="C917" s="285" t="n"/>
      <c r="D917" s="286" t="n"/>
      <c r="E917" s="332" t="inlineStr">
        <is>
          <t>TUBERIA</t>
        </is>
      </c>
      <c r="F917" s="288" t="n"/>
      <c r="G917" s="289" t="n"/>
      <c r="H917" s="289" t="n"/>
      <c r="I917" s="289" t="n"/>
      <c r="J917" s="289" t="n"/>
      <c r="K917" s="290" t="n"/>
      <c r="L917" s="290" t="n"/>
      <c r="M917" s="290" t="n"/>
      <c r="N917" s="290" t="n"/>
      <c r="O917" s="291" t="n"/>
    </row>
    <row r="918">
      <c r="A918" s="16" t="n"/>
      <c r="B918" s="1134">
        <f>VALUE(IF(AND(LEN(TRIM(C918))-LEN(SUBSTITUTE(TRIM(C918),".",""))=1,ISNUMBER(VALUE(SUBSTITUTE(TRIM(C918),".","")))),TRIM(C918),B917))</f>
        <v/>
      </c>
      <c r="C918" s="16" t="inlineStr">
        <is>
          <t>M13-0179</t>
        </is>
      </c>
      <c r="D918" s="292" t="n"/>
      <c r="E918" s="252">
        <f>+_xlfn.XLOOKUP(C918,'BASE DATOS PRECIOS '!B:B,'BASE DATOS PRECIOS '!E:E)</f>
        <v/>
      </c>
      <c r="F918" s="218">
        <f>+'3.2_MEC'!E176</f>
        <v/>
      </c>
      <c r="G918" s="250">
        <f>+_xlfn.XLOOKUP(C918,'BASE DATOS PRECIOS '!B:B,'BASE DATOS PRECIOS '!F:F)</f>
        <v/>
      </c>
      <c r="H918" s="249">
        <f>+_xlfn.XLOOKUP(E918,'BASE DATOS PRECIOS '!E:E,'BASE DATOS PRECIOS '!H:H)</f>
        <v/>
      </c>
      <c r="I918" s="250" t="n"/>
      <c r="J918" s="250" t="n"/>
      <c r="K918" s="249">
        <f>+F918*H918</f>
        <v/>
      </c>
      <c r="L918" s="249">
        <f>+F918*I918</f>
        <v/>
      </c>
      <c r="M918" s="249">
        <f>+F918*J918</f>
        <v/>
      </c>
      <c r="N918" s="249">
        <f>SUM(K918:M918)</f>
        <v/>
      </c>
      <c r="O918" s="251">
        <f>SUM(K918:M918)/tc</f>
        <v/>
      </c>
    </row>
    <row r="919">
      <c r="A919" s="16" t="n"/>
      <c r="B919" s="1134">
        <f>VALUE(IF(AND(LEN(TRIM(C919))-LEN(SUBSTITUTE(TRIM(C919),".",""))=1,ISNUMBER(VALUE(SUBSTITUTE(TRIM(C919),".","")))),TRIM(C919),B918))</f>
        <v/>
      </c>
      <c r="C919" s="16" t="inlineStr">
        <is>
          <t>M13-0190</t>
        </is>
      </c>
      <c r="D919" s="292" t="n"/>
      <c r="E919" s="252">
        <f>+_xlfn.XLOOKUP(C919,'BASE DATOS PRECIOS '!B:B,'BASE DATOS PRECIOS '!E:E)</f>
        <v/>
      </c>
      <c r="F919" s="218">
        <f>+'3.2_MEC'!E177</f>
        <v/>
      </c>
      <c r="G919" s="250">
        <f>+_xlfn.XLOOKUP(C919,'BASE DATOS PRECIOS '!B:B,'BASE DATOS PRECIOS '!F:F)</f>
        <v/>
      </c>
      <c r="H919" s="249">
        <f>+_xlfn.XLOOKUP(E919,'BASE DATOS PRECIOS '!E:E,'BASE DATOS PRECIOS '!H:H)</f>
        <v/>
      </c>
      <c r="I919" s="250" t="n"/>
      <c r="J919" s="250" t="n"/>
      <c r="K919" s="249">
        <f>+F919*H919</f>
        <v/>
      </c>
      <c r="L919" s="249">
        <f>+F919*I919</f>
        <v/>
      </c>
      <c r="M919" s="249">
        <f>+F919*J919</f>
        <v/>
      </c>
      <c r="N919" s="249">
        <f>SUM(K919:M919)</f>
        <v/>
      </c>
      <c r="O919" s="251">
        <f>SUM(K919:M919)/tc</f>
        <v/>
      </c>
    </row>
    <row r="920">
      <c r="A920" s="16" t="n"/>
      <c r="B920" s="1134">
        <f>VALUE(IF(AND(LEN(TRIM(C920))-LEN(SUBSTITUTE(TRIM(C920),".",""))=1,ISNUMBER(VALUE(SUBSTITUTE(TRIM(C920),".","")))),TRIM(C920),B919))</f>
        <v/>
      </c>
      <c r="C920" s="285" t="n"/>
      <c r="D920" s="286" t="n"/>
      <c r="E920" s="332" t="inlineStr">
        <is>
          <t>ACCESORIOS</t>
        </is>
      </c>
      <c r="F920" s="288" t="n"/>
      <c r="G920" s="289" t="n"/>
      <c r="H920" s="289" t="n"/>
      <c r="I920" s="289" t="n"/>
      <c r="J920" s="289" t="n"/>
      <c r="K920" s="290" t="n"/>
      <c r="L920" s="290" t="n"/>
      <c r="M920" s="290" t="n"/>
      <c r="N920" s="290" t="n"/>
      <c r="O920" s="291" t="n"/>
    </row>
    <row r="921">
      <c r="A921" s="233" t="n"/>
      <c r="B921" s="1134">
        <f>VALUE(IF(AND(LEN(TRIM(C921))-LEN(SUBSTITUTE(TRIM(C921),".",""))=1,ISNUMBER(VALUE(SUBSTITUTE(TRIM(C921),".","")))),TRIM(C921),B920))</f>
        <v/>
      </c>
      <c r="C921" s="16" t="inlineStr">
        <is>
          <t>M13-0096</t>
        </is>
      </c>
      <c r="D921" s="292" t="n"/>
      <c r="E921" s="252">
        <f>+_xlfn.XLOOKUP(C921,'BASE DATOS PRECIOS '!B:B,'BASE DATOS PRECIOS '!E:E)</f>
        <v/>
      </c>
      <c r="F921" s="218">
        <f>+'3.2_MEC'!E179</f>
        <v/>
      </c>
      <c r="G921" s="250">
        <f>+_xlfn.XLOOKUP(C921,'BASE DATOS PRECIOS '!B:B,'BASE DATOS PRECIOS '!F:F)</f>
        <v/>
      </c>
      <c r="H921" s="249">
        <f>+_xlfn.XLOOKUP(E921,'BASE DATOS PRECIOS '!E:E,'BASE DATOS PRECIOS '!H:H)</f>
        <v/>
      </c>
      <c r="I921" s="250" t="n"/>
      <c r="J921" s="250" t="n"/>
      <c r="K921" s="249">
        <f>+F921*H921</f>
        <v/>
      </c>
      <c r="L921" s="249">
        <f>+F921*I921</f>
        <v/>
      </c>
      <c r="M921" s="249">
        <f>+F921*J921</f>
        <v/>
      </c>
      <c r="N921" s="249">
        <f>SUM(K921:M921)</f>
        <v/>
      </c>
      <c r="O921" s="251">
        <f>SUM(K921:M921)/tc</f>
        <v/>
      </c>
    </row>
    <row r="922">
      <c r="A922" s="16" t="n"/>
      <c r="B922" s="1134">
        <f>VALUE(IF(AND(LEN(TRIM(C922))-LEN(SUBSTITUTE(TRIM(C922),".",""))=1,ISNUMBER(VALUE(SUBSTITUTE(TRIM(C922),".","")))),TRIM(C922),B921))</f>
        <v/>
      </c>
      <c r="C922" s="16" t="inlineStr">
        <is>
          <t>M13-0118</t>
        </is>
      </c>
      <c r="D922" s="292" t="n"/>
      <c r="E922" s="252">
        <f>+_xlfn.XLOOKUP(C922,'BASE DATOS PRECIOS '!B:B,'BASE DATOS PRECIOS '!E:E)</f>
        <v/>
      </c>
      <c r="F922" s="218">
        <f>+'3.2_MEC'!E180</f>
        <v/>
      </c>
      <c r="G922" s="250">
        <f>+_xlfn.XLOOKUP(C922,'BASE DATOS PRECIOS '!B:B,'BASE DATOS PRECIOS '!F:F)</f>
        <v/>
      </c>
      <c r="H922" s="249">
        <f>+_xlfn.XLOOKUP(E922,'BASE DATOS PRECIOS '!E:E,'BASE DATOS PRECIOS '!H:H)</f>
        <v/>
      </c>
      <c r="I922" s="250" t="n"/>
      <c r="J922" s="250" t="n"/>
      <c r="K922" s="249">
        <f>+F922*H922</f>
        <v/>
      </c>
      <c r="L922" s="249">
        <f>+F922*I922</f>
        <v/>
      </c>
      <c r="M922" s="249">
        <f>+F922*J922</f>
        <v/>
      </c>
      <c r="N922" s="249">
        <f>SUM(K922:M922)</f>
        <v/>
      </c>
      <c r="O922" s="251">
        <f>SUM(K922:M922)/tc</f>
        <v/>
      </c>
    </row>
    <row r="923">
      <c r="A923" s="16" t="n"/>
      <c r="B923" s="1134">
        <f>VALUE(IF(AND(LEN(TRIM(C923))-LEN(SUBSTITUTE(TRIM(C923),".",""))=1,ISNUMBER(VALUE(SUBSTITUTE(TRIM(C923),".","")))),TRIM(C923),B922))</f>
        <v/>
      </c>
      <c r="C923" s="16" t="inlineStr">
        <is>
          <t>M13-0124</t>
        </is>
      </c>
      <c r="D923" s="292" t="n"/>
      <c r="E923" s="252">
        <f>+_xlfn.XLOOKUP(C923,'BASE DATOS PRECIOS '!B:B,'BASE DATOS PRECIOS '!E:E)</f>
        <v/>
      </c>
      <c r="F923" s="218">
        <f>+'3.2_MEC'!E181</f>
        <v/>
      </c>
      <c r="G923" s="250">
        <f>+_xlfn.XLOOKUP(C923,'BASE DATOS PRECIOS '!B:B,'BASE DATOS PRECIOS '!F:F)</f>
        <v/>
      </c>
      <c r="H923" s="249">
        <f>+_xlfn.XLOOKUP(E923,'BASE DATOS PRECIOS '!E:E,'BASE DATOS PRECIOS '!H:H)</f>
        <v/>
      </c>
      <c r="I923" s="250" t="n"/>
      <c r="J923" s="250" t="n"/>
      <c r="K923" s="249">
        <f>+F923*H923</f>
        <v/>
      </c>
      <c r="L923" s="249">
        <f>+F923*I923</f>
        <v/>
      </c>
      <c r="M923" s="249">
        <f>+F923*J923</f>
        <v/>
      </c>
      <c r="N923" s="249">
        <f>SUM(K923:M923)</f>
        <v/>
      </c>
      <c r="O923" s="251">
        <f>SUM(K923:M923)/tc</f>
        <v/>
      </c>
    </row>
    <row r="924">
      <c r="A924" s="16" t="n"/>
      <c r="B924" s="1134">
        <f>VALUE(IF(AND(LEN(TRIM(C924))-LEN(SUBSTITUTE(TRIM(C924),".",""))=1,ISNUMBER(VALUE(SUBSTITUTE(TRIM(C924),".","")))),TRIM(C924),B923))</f>
        <v/>
      </c>
      <c r="C924" s="16" t="inlineStr">
        <is>
          <t>M13-0117</t>
        </is>
      </c>
      <c r="D924" s="292" t="n"/>
      <c r="E924" s="252">
        <f>+_xlfn.XLOOKUP(C924,'BASE DATOS PRECIOS '!B:B,'BASE DATOS PRECIOS '!E:E)</f>
        <v/>
      </c>
      <c r="F924" s="218">
        <f>+'3.2_MEC'!E182</f>
        <v/>
      </c>
      <c r="G924" s="250">
        <f>+_xlfn.XLOOKUP(C924,'BASE DATOS PRECIOS '!B:B,'BASE DATOS PRECIOS '!F:F)</f>
        <v/>
      </c>
      <c r="H924" s="249">
        <f>+_xlfn.XLOOKUP(E924,'BASE DATOS PRECIOS '!E:E,'BASE DATOS PRECIOS '!H:H)</f>
        <v/>
      </c>
      <c r="I924" s="250" t="n"/>
      <c r="J924" s="250" t="n"/>
      <c r="K924" s="249">
        <f>+F924*H924</f>
        <v/>
      </c>
      <c r="L924" s="249">
        <f>+F924*I924</f>
        <v/>
      </c>
      <c r="M924" s="249">
        <f>+F924*J924</f>
        <v/>
      </c>
      <c r="N924" s="249">
        <f>SUM(K924:M924)</f>
        <v/>
      </c>
      <c r="O924" s="251">
        <f>SUM(K924:M924)/tc</f>
        <v/>
      </c>
    </row>
    <row r="925">
      <c r="A925" s="16" t="n"/>
      <c r="B925" s="1134">
        <f>VALUE(IF(AND(LEN(TRIM(C925))-LEN(SUBSTITUTE(TRIM(C925),".",""))=1,ISNUMBER(VALUE(SUBSTITUTE(TRIM(C925),".","")))),TRIM(C925),B924))</f>
        <v/>
      </c>
      <c r="C925" s="16" t="inlineStr">
        <is>
          <t>M13-0193</t>
        </is>
      </c>
      <c r="D925" s="292" t="n"/>
      <c r="E925" s="252">
        <f>+_xlfn.XLOOKUP(C925,'BASE DATOS PRECIOS '!B:B,'BASE DATOS PRECIOS '!E:E)</f>
        <v/>
      </c>
      <c r="F925" s="218">
        <f>+'3.2_MEC'!E183</f>
        <v/>
      </c>
      <c r="G925" s="250">
        <f>+_xlfn.XLOOKUP(C925,'BASE DATOS PRECIOS '!B:B,'BASE DATOS PRECIOS '!F:F)</f>
        <v/>
      </c>
      <c r="H925" s="249">
        <f>+_xlfn.XLOOKUP(E925,'BASE DATOS PRECIOS '!E:E,'BASE DATOS PRECIOS '!H:H)</f>
        <v/>
      </c>
      <c r="I925" s="250" t="n"/>
      <c r="J925" s="250" t="n"/>
      <c r="K925" s="249">
        <f>+F925*H925</f>
        <v/>
      </c>
      <c r="L925" s="249">
        <f>+F925*I925</f>
        <v/>
      </c>
      <c r="M925" s="249">
        <f>+F925*J925</f>
        <v/>
      </c>
      <c r="N925" s="249">
        <f>SUM(K925:M925)</f>
        <v/>
      </c>
      <c r="O925" s="251">
        <f>SUM(K925:M925)/tc</f>
        <v/>
      </c>
    </row>
    <row r="926">
      <c r="A926" s="16" t="n"/>
      <c r="B926" s="1134">
        <f>VALUE(IF(AND(LEN(TRIM(C926))-LEN(SUBSTITUTE(TRIM(C926),".",""))=1,ISNUMBER(VALUE(SUBSTITUTE(TRIM(C926),".","")))),TRIM(C926),B925))</f>
        <v/>
      </c>
      <c r="C926" s="16" t="inlineStr">
        <is>
          <t>M13-0192</t>
        </is>
      </c>
      <c r="D926" s="292" t="n"/>
      <c r="E926" s="252">
        <f>+_xlfn.XLOOKUP(C926,'BASE DATOS PRECIOS '!B:B,'BASE DATOS PRECIOS '!E:E)</f>
        <v/>
      </c>
      <c r="F926" s="218">
        <f>+'3.2_MEC'!E184</f>
        <v/>
      </c>
      <c r="G926" s="250">
        <f>+_xlfn.XLOOKUP(C926,'BASE DATOS PRECIOS '!B:B,'BASE DATOS PRECIOS '!F:F)</f>
        <v/>
      </c>
      <c r="H926" s="249">
        <f>+_xlfn.XLOOKUP(E926,'BASE DATOS PRECIOS '!E:E,'BASE DATOS PRECIOS '!H:H)</f>
        <v/>
      </c>
      <c r="I926" s="250" t="n"/>
      <c r="J926" s="250" t="n"/>
      <c r="K926" s="249">
        <f>+F926*H926</f>
        <v/>
      </c>
      <c r="L926" s="249">
        <f>+F926*I926</f>
        <v/>
      </c>
      <c r="M926" s="249">
        <f>+F926*J926</f>
        <v/>
      </c>
      <c r="N926" s="249">
        <f>SUM(K926:M926)</f>
        <v/>
      </c>
      <c r="O926" s="251">
        <f>SUM(K926:M926)/tc</f>
        <v/>
      </c>
    </row>
    <row r="927">
      <c r="A927" s="16" t="n"/>
      <c r="B927" s="1134">
        <f>VALUE(IF(AND(LEN(TRIM(C927))-LEN(SUBSTITUTE(TRIM(C927),".",""))=1,ISNUMBER(VALUE(SUBSTITUTE(TRIM(C927),".","")))),TRIM(C927),B926))</f>
        <v/>
      </c>
      <c r="C927" s="16" t="inlineStr">
        <is>
          <t>M13-0132</t>
        </is>
      </c>
      <c r="D927" s="292" t="n"/>
      <c r="E927" s="252">
        <f>+_xlfn.XLOOKUP(C927,'BASE DATOS PRECIOS '!B:B,'BASE DATOS PRECIOS '!E:E)</f>
        <v/>
      </c>
      <c r="F927" s="218">
        <f>+'3.2_MEC'!E185</f>
        <v/>
      </c>
      <c r="G927" s="250">
        <f>+_xlfn.XLOOKUP(C927,'BASE DATOS PRECIOS '!B:B,'BASE DATOS PRECIOS '!F:F)</f>
        <v/>
      </c>
      <c r="H927" s="249">
        <f>+_xlfn.XLOOKUP(E927,'BASE DATOS PRECIOS '!E:E,'BASE DATOS PRECIOS '!H:H)</f>
        <v/>
      </c>
      <c r="I927" s="250" t="n"/>
      <c r="J927" s="250" t="n"/>
      <c r="K927" s="249">
        <f>+F927*H927</f>
        <v/>
      </c>
      <c r="L927" s="249">
        <f>+F927*I927</f>
        <v/>
      </c>
      <c r="M927" s="249">
        <f>+F927*J927</f>
        <v/>
      </c>
      <c r="N927" s="249">
        <f>SUM(K927:M927)</f>
        <v/>
      </c>
      <c r="O927" s="251">
        <f>SUM(K927:M927)/tc</f>
        <v/>
      </c>
    </row>
    <row r="928">
      <c r="A928" s="266" t="inlineStr">
        <is>
          <t>Cajas y Tuberías Mecánicas</t>
        </is>
      </c>
      <c r="B928" s="1134">
        <f>VALUE(IF(AND(LEN(TRIM(C928))-LEN(SUBSTITUTE(TRIM(C928),".",""))=1,ISNUMBER(VALUE(SUBSTITUTE(TRIM(C928),".","")))),TRIM(C928),B927))</f>
        <v/>
      </c>
      <c r="C928" s="267" t="inlineStr">
        <is>
          <t xml:space="preserve">OPERARIO </t>
        </is>
      </c>
      <c r="D928" s="268" t="n"/>
      <c r="E928" s="269">
        <f>+_xlfn.XLOOKUP(C928,'BASE DATOS MANO DE OBRA'!A:A,'BASE DATOS MANO DE OBRA'!B:B)</f>
        <v/>
      </c>
      <c r="F928" s="270">
        <f>+ROUNDUP(('3.2_MEC'!F188+'3.2_MEC'!F189+'3.2_MEC'!F190),0)/2</f>
        <v/>
      </c>
      <c r="G928" s="271">
        <f>+_xlfn.XLOOKUP(C928,'BASE DATOS MANO DE OBRA'!A:A,'BASE DATOS MANO DE OBRA'!C:C)</f>
        <v/>
      </c>
      <c r="H928" s="272" t="n">
        <v>0</v>
      </c>
      <c r="I928" s="272">
        <f>+_xlfn.XLOOKUP(C928,'BASE DATOS MANO DE OBRA'!A:A,'BASE DATOS MANO DE OBRA'!E:E)</f>
        <v/>
      </c>
      <c r="J928" s="272" t="n">
        <v>0</v>
      </c>
      <c r="K928" s="272">
        <f>+F928*H928</f>
        <v/>
      </c>
      <c r="L928" s="272">
        <f>+F928*I928</f>
        <v/>
      </c>
      <c r="M928" s="272">
        <f>+F928*J928</f>
        <v/>
      </c>
      <c r="N928" s="272">
        <f>SUM(K928:M928)</f>
        <v/>
      </c>
      <c r="O928" s="273">
        <f>SUM(K928:M928)/tc</f>
        <v/>
      </c>
    </row>
    <row r="929">
      <c r="A929" s="266" t="inlineStr">
        <is>
          <t>Cajas y Tuberías Mecánicas</t>
        </is>
      </c>
      <c r="B929" s="1134">
        <f>VALUE(IF(AND(LEN(TRIM(C929))-LEN(SUBSTITUTE(TRIM(C929),".",""))=1,ISNUMBER(VALUE(SUBSTITUTE(TRIM(C929),".","")))),TRIM(C929),B928))</f>
        <v/>
      </c>
      <c r="C929" s="267" t="inlineStr">
        <is>
          <t xml:space="preserve">AYUDANTE </t>
        </is>
      </c>
      <c r="D929" s="268" t="n"/>
      <c r="E929" s="269">
        <f>+_xlfn.XLOOKUP(C929,'BASE DATOS MANO DE OBRA'!A:A,'BASE DATOS MANO DE OBRA'!B:B)</f>
        <v/>
      </c>
      <c r="F929" s="270">
        <f>+F928</f>
        <v/>
      </c>
      <c r="G929" s="271">
        <f>+_xlfn.XLOOKUP(C929,'BASE DATOS MANO DE OBRA'!A:A,'BASE DATOS MANO DE OBRA'!C:C)</f>
        <v/>
      </c>
      <c r="H929" s="272" t="n">
        <v>0</v>
      </c>
      <c r="I929" s="272">
        <f>+_xlfn.XLOOKUP(C929,'BASE DATOS MANO DE OBRA'!A:A,'BASE DATOS MANO DE OBRA'!E:E)</f>
        <v/>
      </c>
      <c r="J929" s="272" t="n">
        <v>0</v>
      </c>
      <c r="K929" s="272">
        <f>+F929*H929</f>
        <v/>
      </c>
      <c r="L929" s="272">
        <f>+F929*I929</f>
        <v/>
      </c>
      <c r="M929" s="272">
        <f>+F929*J929</f>
        <v/>
      </c>
      <c r="N929" s="272">
        <f>SUM(K929:M929)</f>
        <v/>
      </c>
      <c r="O929" s="273">
        <f>SUM(K929:M929)/tc</f>
        <v/>
      </c>
    </row>
    <row r="930">
      <c r="A930" s="16" t="n"/>
      <c r="B930" s="1134">
        <f>VALUE(IF(AND(LEN(TRIM(C930))-LEN(SUBSTITUTE(TRIM(C930),".",""))=1,ISNUMBER(VALUE(SUBSTITUTE(TRIM(C930),".","")))),TRIM(C930),B929))</f>
        <v/>
      </c>
      <c r="C930" s="234" t="inlineStr">
        <is>
          <t>3.2.5</t>
        </is>
      </c>
      <c r="D930" s="235" t="n"/>
      <c r="E930" s="236" t="inlineStr">
        <is>
          <t xml:space="preserve">ACABADOS MECÁNICOS </t>
        </is>
      </c>
      <c r="F930" s="237" t="n">
        <v>1</v>
      </c>
      <c r="G930" s="235" t="inlineStr">
        <is>
          <t>gb</t>
        </is>
      </c>
      <c r="H930" s="235" t="n"/>
      <c r="I930" s="235" t="n"/>
      <c r="J930" s="235" t="n"/>
      <c r="K930" s="238">
        <f>+SUBTOTAL(9,K931:K942)</f>
        <v/>
      </c>
      <c r="L930" s="238">
        <f>+SUBTOTAL(9,L931:L942)</f>
        <v/>
      </c>
      <c r="M930" s="238">
        <f>+SUBTOTAL(9,M931:M942)</f>
        <v/>
      </c>
      <c r="N930" s="238">
        <f>+SUBTOTAL(9,N931:N942)</f>
        <v/>
      </c>
      <c r="O930" s="1136">
        <f>+SUBTOTAL(9,O931:O942)</f>
        <v/>
      </c>
    </row>
    <row r="931">
      <c r="A931" s="16" t="n"/>
      <c r="B931" s="1134">
        <f>VALUE(IF(AND(LEN(TRIM(C931))-LEN(SUBSTITUTE(TRIM(C931),".",""))=1,ISNUMBER(VALUE(SUBSTITUTE(TRIM(C931),".","")))),TRIM(C931),B930))</f>
        <v/>
      </c>
      <c r="C931" s="16" t="inlineStr">
        <is>
          <t>M13-0004</t>
        </is>
      </c>
      <c r="D931" s="292" t="n"/>
      <c r="E931" s="252">
        <f>+_xlfn.XLOOKUP(C931,'BASE DATOS PRECIOS '!B:B,'BASE DATOS PRECIOS '!E:E)</f>
        <v/>
      </c>
      <c r="F931" s="218">
        <f>+'3.2_MEC'!D197</f>
        <v/>
      </c>
      <c r="G931" s="250">
        <f>+_xlfn.XLOOKUP(C931,'BASE DATOS PRECIOS '!B:B,'BASE DATOS PRECIOS '!F:F)</f>
        <v/>
      </c>
      <c r="H931" s="249">
        <f>+_xlfn.XLOOKUP(E931,'BASE DATOS PRECIOS '!E:E,'BASE DATOS PRECIOS '!H:H)</f>
        <v/>
      </c>
      <c r="I931" s="250" t="n"/>
      <c r="J931" s="250" t="n"/>
      <c r="K931" s="249">
        <f>+F931*H931</f>
        <v/>
      </c>
      <c r="L931" s="249">
        <f>+F931*I931</f>
        <v/>
      </c>
      <c r="M931" s="249">
        <f>+F931*J931</f>
        <v/>
      </c>
      <c r="N931" s="249">
        <f>SUM(K931:M931)</f>
        <v/>
      </c>
      <c r="O931" s="251">
        <f>SUM(K931:M931)/tc</f>
        <v/>
      </c>
    </row>
    <row r="932">
      <c r="A932" s="16" t="n"/>
      <c r="B932" s="1134">
        <f>VALUE(IF(AND(LEN(TRIM(C932))-LEN(SUBSTITUTE(TRIM(C932),".",""))=1,ISNUMBER(VALUE(SUBSTITUTE(TRIM(C932),".","")))),TRIM(C932),B931))</f>
        <v/>
      </c>
      <c r="C932" s="16" t="inlineStr">
        <is>
          <t>M13-0053</t>
        </is>
      </c>
      <c r="D932" s="292" t="n"/>
      <c r="E932" s="252">
        <f>+_xlfn.XLOOKUP(C932,'BASE DATOS PRECIOS '!B:B,'BASE DATOS PRECIOS '!E:E)</f>
        <v/>
      </c>
      <c r="F932" s="218">
        <f>+'3.2_MEC'!D198</f>
        <v/>
      </c>
      <c r="G932" s="250">
        <f>+_xlfn.XLOOKUP(C932,'BASE DATOS PRECIOS '!B:B,'BASE DATOS PRECIOS '!F:F)</f>
        <v/>
      </c>
      <c r="H932" s="249">
        <f>+_xlfn.XLOOKUP(E932,'BASE DATOS PRECIOS '!E:E,'BASE DATOS PRECIOS '!H:H)</f>
        <v/>
      </c>
      <c r="I932" s="250" t="n"/>
      <c r="J932" s="250" t="n"/>
      <c r="K932" s="249">
        <f>+F932*H932</f>
        <v/>
      </c>
      <c r="L932" s="249">
        <f>+F932*I932</f>
        <v/>
      </c>
      <c r="M932" s="249">
        <f>+F932*J932</f>
        <v/>
      </c>
      <c r="N932" s="249">
        <f>SUM(K932:M932)</f>
        <v/>
      </c>
      <c r="O932" s="251">
        <f>SUM(K932:M932)/tc</f>
        <v/>
      </c>
    </row>
    <row r="933">
      <c r="A933" s="16" t="n"/>
      <c r="B933" s="1134">
        <f>VALUE(IF(AND(LEN(TRIM(C933))-LEN(SUBSTITUTE(TRIM(C933),".",""))=1,ISNUMBER(VALUE(SUBSTITUTE(TRIM(C933),".","")))),TRIM(C933),B932))</f>
        <v/>
      </c>
      <c r="C933" s="16" t="inlineStr">
        <is>
          <t>M13-0101</t>
        </is>
      </c>
      <c r="D933" s="292" t="n"/>
      <c r="E933" s="252">
        <f>+_xlfn.XLOOKUP(C933,'BASE DATOS PRECIOS '!B:B,'BASE DATOS PRECIOS '!E:E)</f>
        <v/>
      </c>
      <c r="F933" s="218">
        <f>+'3.2_MEC'!D199</f>
        <v/>
      </c>
      <c r="G933" s="250">
        <f>+_xlfn.XLOOKUP(C933,'BASE DATOS PRECIOS '!B:B,'BASE DATOS PRECIOS '!F:F)</f>
        <v/>
      </c>
      <c r="H933" s="249">
        <f>+_xlfn.XLOOKUP(E933,'BASE DATOS PRECIOS '!E:E,'BASE DATOS PRECIOS '!H:H)</f>
        <v/>
      </c>
      <c r="I933" s="250" t="n"/>
      <c r="J933" s="250" t="n"/>
      <c r="K933" s="249">
        <f>+F933*H933</f>
        <v/>
      </c>
      <c r="L933" s="249">
        <f>+F933*I933</f>
        <v/>
      </c>
      <c r="M933" s="249">
        <f>+F933*J933</f>
        <v/>
      </c>
      <c r="N933" s="249">
        <f>SUM(K933:M933)</f>
        <v/>
      </c>
      <c r="O933" s="251">
        <f>SUM(K933:M933)/tc</f>
        <v/>
      </c>
    </row>
    <row r="934">
      <c r="A934" s="16" t="n"/>
      <c r="B934" s="1134">
        <f>VALUE(IF(AND(LEN(TRIM(C934))-LEN(SUBSTITUTE(TRIM(C934),".",""))=1,ISNUMBER(VALUE(SUBSTITUTE(TRIM(C934),".","")))),TRIM(C934),B933))</f>
        <v/>
      </c>
      <c r="C934" s="16" t="inlineStr">
        <is>
          <t>M13-0138</t>
        </is>
      </c>
      <c r="D934" s="292" t="n"/>
      <c r="E934" s="252">
        <f>+_xlfn.XLOOKUP(C934,'BASE DATOS PRECIOS '!B:B,'BASE DATOS PRECIOS '!E:E)</f>
        <v/>
      </c>
      <c r="F934" s="218">
        <f>+'3.2_MEC'!D200</f>
        <v/>
      </c>
      <c r="G934" s="250">
        <f>+_xlfn.XLOOKUP(C934,'BASE DATOS PRECIOS '!B:B,'BASE DATOS PRECIOS '!F:F)</f>
        <v/>
      </c>
      <c r="H934" s="249">
        <f>+_xlfn.XLOOKUP(E934,'BASE DATOS PRECIOS '!E:E,'BASE DATOS PRECIOS '!H:H)</f>
        <v/>
      </c>
      <c r="I934" s="250" t="n"/>
      <c r="J934" s="250" t="n"/>
      <c r="K934" s="249">
        <f>+F934*H934</f>
        <v/>
      </c>
      <c r="L934" s="249">
        <f>+F934*I934</f>
        <v/>
      </c>
      <c r="M934" s="249">
        <f>+F934*J934</f>
        <v/>
      </c>
      <c r="N934" s="249">
        <f>SUM(K934:M934)</f>
        <v/>
      </c>
      <c r="O934" s="251">
        <f>SUM(K934:M934)/tc</f>
        <v/>
      </c>
    </row>
    <row r="935">
      <c r="A935" s="16" t="n"/>
      <c r="B935" s="1134">
        <f>VALUE(IF(AND(LEN(TRIM(C935))-LEN(SUBSTITUTE(TRIM(C935),".",""))=1,ISNUMBER(VALUE(SUBSTITUTE(TRIM(C935),".","")))),TRIM(C935),B934))</f>
        <v/>
      </c>
      <c r="C935" s="16" t="inlineStr">
        <is>
          <t>M13-0160</t>
        </is>
      </c>
      <c r="D935" s="292" t="n"/>
      <c r="E935" s="252">
        <f>+_xlfn.XLOOKUP(C935,'BASE DATOS PRECIOS '!B:B,'BASE DATOS PRECIOS '!E:E)</f>
        <v/>
      </c>
      <c r="F935" s="218">
        <f>+'3.2_MEC'!D201</f>
        <v/>
      </c>
      <c r="G935" s="250">
        <f>+_xlfn.XLOOKUP(C935,'BASE DATOS PRECIOS '!B:B,'BASE DATOS PRECIOS '!F:F)</f>
        <v/>
      </c>
      <c r="H935" s="249">
        <f>+_xlfn.XLOOKUP(E935,'BASE DATOS PRECIOS '!E:E,'BASE DATOS PRECIOS '!H:H)</f>
        <v/>
      </c>
      <c r="I935" s="250" t="n"/>
      <c r="J935" s="250" t="n"/>
      <c r="K935" s="249">
        <f>+F935*H935</f>
        <v/>
      </c>
      <c r="L935" s="249">
        <f>+F935*I935</f>
        <v/>
      </c>
      <c r="M935" s="249">
        <f>+F935*J935</f>
        <v/>
      </c>
      <c r="N935" s="249">
        <f>SUM(K935:M935)</f>
        <v/>
      </c>
      <c r="O935" s="251">
        <f>SUM(K935:M935)/tc</f>
        <v/>
      </c>
    </row>
    <row r="936">
      <c r="A936" s="16" t="n"/>
      <c r="B936" s="1134">
        <f>VALUE(IF(AND(LEN(TRIM(C936))-LEN(SUBSTITUTE(TRIM(C936),".",""))=1,ISNUMBER(VALUE(SUBSTITUTE(TRIM(C936),".","")))),TRIM(C936),B935))</f>
        <v/>
      </c>
      <c r="C936" s="16" t="inlineStr">
        <is>
          <t>M13-0007</t>
        </is>
      </c>
      <c r="D936" s="292" t="n"/>
      <c r="E936" s="252">
        <f>+_xlfn.XLOOKUP(C936,'BASE DATOS PRECIOS '!B:B,'BASE DATOS PRECIOS '!E:E)</f>
        <v/>
      </c>
      <c r="F936" s="218">
        <f>+'3.2_MEC'!D202</f>
        <v/>
      </c>
      <c r="G936" s="250">
        <f>+_xlfn.XLOOKUP(C936,'BASE DATOS PRECIOS '!B:B,'BASE DATOS PRECIOS '!F:F)</f>
        <v/>
      </c>
      <c r="H936" s="249">
        <f>+_xlfn.XLOOKUP(E936,'BASE DATOS PRECIOS '!E:E,'BASE DATOS PRECIOS '!H:H)</f>
        <v/>
      </c>
      <c r="I936" s="250" t="n"/>
      <c r="J936" s="250" t="n"/>
      <c r="K936" s="249">
        <f>+F936*H936</f>
        <v/>
      </c>
      <c r="L936" s="249">
        <f>+F936*I936</f>
        <v/>
      </c>
      <c r="M936" s="249">
        <f>+F936*J936</f>
        <v/>
      </c>
      <c r="N936" s="249">
        <f>SUM(K936:M936)</f>
        <v/>
      </c>
      <c r="O936" s="251">
        <f>SUM(K936:M936)/tc</f>
        <v/>
      </c>
    </row>
    <row r="937">
      <c r="A937" s="16" t="n"/>
      <c r="B937" s="1134">
        <f>VALUE(IF(AND(LEN(TRIM(C937))-LEN(SUBSTITUTE(TRIM(C937),".",""))=1,ISNUMBER(VALUE(SUBSTITUTE(TRIM(C937),".","")))),TRIM(C937),B936))</f>
        <v/>
      </c>
      <c r="C937" s="16" t="inlineStr">
        <is>
          <t>M13-0255</t>
        </is>
      </c>
      <c r="D937" s="292" t="n"/>
      <c r="E937" s="252">
        <f>+_xlfn.XLOOKUP(C937,'BASE DATOS PRECIOS '!B:B,'BASE DATOS PRECIOS '!E:E)</f>
        <v/>
      </c>
      <c r="F937" s="218">
        <f>+'3.2_MEC'!D203</f>
        <v/>
      </c>
      <c r="G937" s="250">
        <f>+_xlfn.XLOOKUP(C937,'BASE DATOS PRECIOS '!B:B,'BASE DATOS PRECIOS '!F:F)</f>
        <v/>
      </c>
      <c r="H937" s="249">
        <f>+_xlfn.XLOOKUP(E937,'BASE DATOS PRECIOS '!E:E,'BASE DATOS PRECIOS '!H:H)</f>
        <v/>
      </c>
      <c r="I937" s="250" t="n"/>
      <c r="J937" s="250" t="n"/>
      <c r="K937" s="249">
        <f>+F937*H937</f>
        <v/>
      </c>
      <c r="L937" s="249">
        <f>+F937*I937</f>
        <v/>
      </c>
      <c r="M937" s="249">
        <f>+F937*J937</f>
        <v/>
      </c>
      <c r="N937" s="249">
        <f>SUM(K937:M937)</f>
        <v/>
      </c>
      <c r="O937" s="251">
        <f>SUM(K937:M937)/tc</f>
        <v/>
      </c>
    </row>
    <row r="938">
      <c r="A938" s="16" t="n"/>
      <c r="B938" s="1134">
        <f>VALUE(IF(AND(LEN(TRIM(C938))-LEN(SUBSTITUTE(TRIM(C938),".",""))=1,ISNUMBER(VALUE(SUBSTITUTE(TRIM(C938),".","")))),TRIM(C938),B937))</f>
        <v/>
      </c>
      <c r="C938" s="16" t="inlineStr">
        <is>
          <t>M13-0062</t>
        </is>
      </c>
      <c r="D938" s="292" t="n"/>
      <c r="E938" s="252">
        <f>+_xlfn.XLOOKUP(C938,'BASE DATOS PRECIOS '!B:B,'BASE DATOS PRECIOS '!E:E)</f>
        <v/>
      </c>
      <c r="F938" s="218">
        <f>+'3.2_MEC'!D204</f>
        <v/>
      </c>
      <c r="G938" s="250">
        <f>+_xlfn.XLOOKUP(C938,'BASE DATOS PRECIOS '!B:B,'BASE DATOS PRECIOS '!F:F)</f>
        <v/>
      </c>
      <c r="H938" s="249">
        <f>+_xlfn.XLOOKUP(E938,'BASE DATOS PRECIOS '!E:E,'BASE DATOS PRECIOS '!H:H)</f>
        <v/>
      </c>
      <c r="I938" s="250" t="n"/>
      <c r="J938" s="250" t="n"/>
      <c r="K938" s="249">
        <f>+F938*H938</f>
        <v/>
      </c>
      <c r="L938" s="249">
        <f>+F938*I938</f>
        <v/>
      </c>
      <c r="M938" s="249">
        <f>+F938*J938</f>
        <v/>
      </c>
      <c r="N938" s="249">
        <f>SUM(K938:M938)</f>
        <v/>
      </c>
      <c r="O938" s="251">
        <f>SUM(K938:M938)/tc</f>
        <v/>
      </c>
    </row>
    <row r="939">
      <c r="A939" s="16" t="n"/>
      <c r="B939" s="1134">
        <f>VALUE(IF(AND(LEN(TRIM(C939))-LEN(SUBSTITUTE(TRIM(C939),".",""))=1,ISNUMBER(VALUE(SUBSTITUTE(TRIM(C939),".","")))),TRIM(C939),B938))</f>
        <v/>
      </c>
      <c r="C939" s="297" t="inlineStr">
        <is>
          <t>M13-0041</t>
        </is>
      </c>
      <c r="D939" s="298" t="n"/>
      <c r="E939" s="252">
        <f>+_xlfn.XLOOKUP(C939,'BASE DATOS PRECIOS '!B:B,'BASE DATOS PRECIOS '!E:E)</f>
        <v/>
      </c>
      <c r="F939" s="218">
        <f>+'3.2_MEC'!D205</f>
        <v/>
      </c>
      <c r="G939" s="250">
        <f>+_xlfn.XLOOKUP(C939,'BASE DATOS PRECIOS '!B:B,'BASE DATOS PRECIOS '!F:F)</f>
        <v/>
      </c>
      <c r="H939" s="249">
        <f>+_xlfn.XLOOKUP(E939,'BASE DATOS PRECIOS '!E:E,'BASE DATOS PRECIOS '!H:H)</f>
        <v/>
      </c>
      <c r="I939" s="250" t="n"/>
      <c r="J939" s="250" t="n"/>
      <c r="K939" s="249">
        <f>+F939*H939</f>
        <v/>
      </c>
      <c r="L939" s="249">
        <f>+F939*I939</f>
        <v/>
      </c>
      <c r="M939" s="249">
        <f>+F939*J939</f>
        <v/>
      </c>
      <c r="N939" s="249">
        <f>SUM(K939:M939)</f>
        <v/>
      </c>
      <c r="O939" s="251">
        <f>SUM(K939:M939)/tc</f>
        <v/>
      </c>
    </row>
    <row r="940">
      <c r="A940" s="16" t="n"/>
      <c r="B940" s="1134">
        <f>VALUE(IF(AND(LEN(TRIM(C940))-LEN(SUBSTITUTE(TRIM(C940),".",""))=1,ISNUMBER(VALUE(SUBSTITUTE(TRIM(C940),".","")))),TRIM(C940),B939))</f>
        <v/>
      </c>
      <c r="C940" s="16" t="inlineStr">
        <is>
          <t>M13-0055</t>
        </is>
      </c>
      <c r="D940" s="292" t="n"/>
      <c r="E940" s="252">
        <f>+_xlfn.XLOOKUP(C940,'BASE DATOS PRECIOS '!B:B,'BASE DATOS PRECIOS '!E:E)</f>
        <v/>
      </c>
      <c r="F940" s="218">
        <f>+'3.2_MEC'!D206</f>
        <v/>
      </c>
      <c r="G940" s="250">
        <f>+_xlfn.XLOOKUP(C940,'BASE DATOS PRECIOS '!B:B,'BASE DATOS PRECIOS '!F:F)</f>
        <v/>
      </c>
      <c r="H940" s="249">
        <f>+_xlfn.XLOOKUP(E940,'BASE DATOS PRECIOS '!E:E,'BASE DATOS PRECIOS '!H:H)</f>
        <v/>
      </c>
      <c r="I940" s="250" t="n"/>
      <c r="J940" s="250" t="n"/>
      <c r="K940" s="249">
        <f>+F940*H940</f>
        <v/>
      </c>
      <c r="L940" s="249">
        <f>+F940*I940</f>
        <v/>
      </c>
      <c r="M940" s="249">
        <f>+F940*J940</f>
        <v/>
      </c>
      <c r="N940" s="249">
        <f>SUM(K940:M940)</f>
        <v/>
      </c>
      <c r="O940" s="251">
        <f>SUM(K940:M940)/tc</f>
        <v/>
      </c>
    </row>
    <row r="941">
      <c r="A941" s="266" t="inlineStr">
        <is>
          <t>Fontanería Muros</t>
        </is>
      </c>
      <c r="B941" s="1134">
        <f>VALUE(IF(AND(LEN(TRIM(C941))-LEN(SUBSTITUTE(TRIM(C941),".",""))=1,ISNUMBER(VALUE(SUBSTITUTE(TRIM(C941),".","")))),TRIM(C941),B940))</f>
        <v/>
      </c>
      <c r="C941" s="267" t="inlineStr">
        <is>
          <t xml:space="preserve">OPERARIO </t>
        </is>
      </c>
      <c r="D941" s="268" t="n"/>
      <c r="E941" s="269">
        <f>+_xlfn.XLOOKUP(C941,'BASE DATOS MANO DE OBRA'!A:A,'BASE DATOS MANO DE OBRA'!B:B)</f>
        <v/>
      </c>
      <c r="F941" s="270">
        <f>ROUND('3.2_MEC'!F209,0)/2</f>
        <v/>
      </c>
      <c r="G941" s="271">
        <f>+_xlfn.XLOOKUP(C941,'BASE DATOS MANO DE OBRA'!A:A,'BASE DATOS MANO DE OBRA'!C:C)</f>
        <v/>
      </c>
      <c r="H941" s="272" t="n">
        <v>0</v>
      </c>
      <c r="I941" s="272">
        <f>+_xlfn.XLOOKUP(C941,'BASE DATOS MANO DE OBRA'!A:A,'BASE DATOS MANO DE OBRA'!E:E)</f>
        <v/>
      </c>
      <c r="J941" s="272" t="n">
        <v>0</v>
      </c>
      <c r="K941" s="272">
        <f>+F941*H941</f>
        <v/>
      </c>
      <c r="L941" s="272">
        <f>+F941*I941</f>
        <v/>
      </c>
      <c r="M941" s="272">
        <f>+F941*J941</f>
        <v/>
      </c>
      <c r="N941" s="272">
        <f>SUM(K941:M941)</f>
        <v/>
      </c>
      <c r="O941" s="273">
        <f>SUM(K941:M941)/tc</f>
        <v/>
      </c>
    </row>
    <row r="942">
      <c r="A942" s="266" t="inlineStr">
        <is>
          <t>Fontanería Muros</t>
        </is>
      </c>
      <c r="B942" s="1134">
        <f>VALUE(IF(AND(LEN(TRIM(C942))-LEN(SUBSTITUTE(TRIM(C942),".",""))=1,ISNUMBER(VALUE(SUBSTITUTE(TRIM(C942),".","")))),TRIM(C942),B941))</f>
        <v/>
      </c>
      <c r="C942" s="267" t="inlineStr">
        <is>
          <t xml:space="preserve">AYUDANTE </t>
        </is>
      </c>
      <c r="D942" s="268" t="n"/>
      <c r="E942" s="269">
        <f>+_xlfn.XLOOKUP(C942,'BASE DATOS MANO DE OBRA'!A:A,'BASE DATOS MANO DE OBRA'!B:B)</f>
        <v/>
      </c>
      <c r="F942" s="270">
        <f>+F941</f>
        <v/>
      </c>
      <c r="G942" s="271">
        <f>+_xlfn.XLOOKUP(C942,'BASE DATOS MANO DE OBRA'!A:A,'BASE DATOS MANO DE OBRA'!C:C)</f>
        <v/>
      </c>
      <c r="H942" s="272" t="n">
        <v>0</v>
      </c>
      <c r="I942" s="272">
        <f>+_xlfn.XLOOKUP(C942,'BASE DATOS MANO DE OBRA'!A:A,'BASE DATOS MANO DE OBRA'!E:E)</f>
        <v/>
      </c>
      <c r="J942" s="272" t="n">
        <v>0</v>
      </c>
      <c r="K942" s="272">
        <f>+F942*H942</f>
        <v/>
      </c>
      <c r="L942" s="272">
        <f>+F942*I942</f>
        <v/>
      </c>
      <c r="M942" s="272">
        <f>+F942*J942</f>
        <v/>
      </c>
      <c r="N942" s="272">
        <f>SUM(K942:M942)</f>
        <v/>
      </c>
      <c r="O942" s="273">
        <f>SUM(K942:M942)/tc</f>
        <v/>
      </c>
    </row>
    <row r="943">
      <c r="A943" s="233" t="n"/>
      <c r="B943" s="1134">
        <f>VALUE(IF(AND(LEN(TRIM(C943))-LEN(SUBSTITUTE(TRIM(C943),".",""))=1,ISNUMBER(VALUE(SUBSTITUTE(TRIM(C943),".","")))),TRIM(C943),B942))</f>
        <v/>
      </c>
      <c r="C943" s="234" t="inlineStr">
        <is>
          <t>3.2.6</t>
        </is>
      </c>
      <c r="D943" s="235" t="n"/>
      <c r="E943" s="236" t="inlineStr">
        <is>
          <t>MEDIDOR</t>
        </is>
      </c>
      <c r="F943" s="237" t="n">
        <v>1</v>
      </c>
      <c r="G943" s="235" t="inlineStr">
        <is>
          <t>gb</t>
        </is>
      </c>
      <c r="H943" s="235" t="n"/>
      <c r="I943" s="235" t="n"/>
      <c r="J943" s="235" t="n"/>
      <c r="K943" s="238">
        <f>+SUBTOTAL(9,K944:K949)</f>
        <v/>
      </c>
      <c r="L943" s="238">
        <f>+SUBTOTAL(9,L944:L949)</f>
        <v/>
      </c>
      <c r="M943" s="238">
        <f>+SUBTOTAL(9,M944:M949)</f>
        <v/>
      </c>
      <c r="N943" s="238">
        <f>+SUBTOTAL(9,N944:N949)</f>
        <v/>
      </c>
      <c r="O943" s="1136">
        <f>+SUBTOTAL(9,O944:O949)</f>
        <v/>
      </c>
    </row>
    <row r="944">
      <c r="A944" s="16" t="n"/>
      <c r="B944" s="1134">
        <f>VALUE(IF(AND(LEN(TRIM(C944))-LEN(SUBSTITUTE(TRIM(C944),".",""))=1,ISNUMBER(VALUE(SUBSTITUTE(TRIM(C944),".","")))),TRIM(C944),B943))</f>
        <v/>
      </c>
      <c r="C944" s="16" t="inlineStr">
        <is>
          <t>M13-0003</t>
        </is>
      </c>
      <c r="D944" s="292" t="n"/>
      <c r="E944" s="252">
        <f>+_xlfn.XLOOKUP(C944,'BASE DATOS PRECIOS '!B:B,'BASE DATOS PRECIOS '!E:E)</f>
        <v/>
      </c>
      <c r="F944" s="218">
        <f>+'3.2_MEC'!D216</f>
        <v/>
      </c>
      <c r="G944" s="250">
        <f>+_xlfn.XLOOKUP(C944,'BASE DATOS PRECIOS '!B:B,'BASE DATOS PRECIOS '!F:F)</f>
        <v/>
      </c>
      <c r="H944" s="249">
        <f>+_xlfn.XLOOKUP(E944,'BASE DATOS PRECIOS '!E:E,'BASE DATOS PRECIOS '!H:H)</f>
        <v/>
      </c>
      <c r="I944" s="250" t="n"/>
      <c r="J944" s="250" t="n"/>
      <c r="K944" s="249">
        <f>+F944*H944</f>
        <v/>
      </c>
      <c r="L944" s="249">
        <f>+F944*I944</f>
        <v/>
      </c>
      <c r="M944" s="249">
        <f>+F944*J944</f>
        <v/>
      </c>
      <c r="N944" s="249">
        <f>SUM(K944:M944)</f>
        <v/>
      </c>
      <c r="O944" s="251">
        <f>SUM(K944:M944)/tc</f>
        <v/>
      </c>
    </row>
    <row r="945">
      <c r="A945" s="16" t="n"/>
      <c r="B945" s="1134">
        <f>VALUE(IF(AND(LEN(TRIM(C945))-LEN(SUBSTITUTE(TRIM(C945),".",""))=1,ISNUMBER(VALUE(SUBSTITUTE(TRIM(C945),".","")))),TRIM(C945),B944))</f>
        <v/>
      </c>
      <c r="C945" s="16" t="inlineStr">
        <is>
          <t>M06-0211</t>
        </is>
      </c>
      <c r="D945" s="292" t="n"/>
      <c r="E945" s="252">
        <f>+_xlfn.XLOOKUP(C945,'BASE DATOS PRECIOS '!B:B,'BASE DATOS PRECIOS '!E:E)</f>
        <v/>
      </c>
      <c r="F945" s="218">
        <f>+'3.2_MEC'!D217</f>
        <v/>
      </c>
      <c r="G945" s="250">
        <f>+_xlfn.XLOOKUP(C945,'BASE DATOS PRECIOS '!B:B,'BASE DATOS PRECIOS '!F:F)</f>
        <v/>
      </c>
      <c r="H945" s="249">
        <f>+_xlfn.XLOOKUP(E945,'BASE DATOS PRECIOS '!E:E,'BASE DATOS PRECIOS '!H:H)</f>
        <v/>
      </c>
      <c r="I945" s="250" t="n"/>
      <c r="J945" s="250" t="n"/>
      <c r="K945" s="249">
        <f>+F945*H945</f>
        <v/>
      </c>
      <c r="L945" s="249">
        <f>+F945*I945</f>
        <v/>
      </c>
      <c r="M945" s="249">
        <f>+F945*J945</f>
        <v/>
      </c>
      <c r="N945" s="249">
        <f>SUM(K945:M945)</f>
        <v/>
      </c>
      <c r="O945" s="251">
        <f>SUM(K945:M945)/tc</f>
        <v/>
      </c>
    </row>
    <row r="946">
      <c r="A946" s="16" t="n"/>
      <c r="B946" s="1134">
        <f>VALUE(IF(AND(LEN(TRIM(C946))-LEN(SUBSTITUTE(TRIM(C946),".",""))=1,ISNUMBER(VALUE(SUBSTITUTE(TRIM(C946),".","")))),TRIM(C946),B945))</f>
        <v/>
      </c>
      <c r="C946" s="16" t="inlineStr">
        <is>
          <t>M13-0001</t>
        </is>
      </c>
      <c r="D946" s="292" t="n"/>
      <c r="E946" s="252">
        <f>+_xlfn.XLOOKUP(C946,'BASE DATOS PRECIOS '!B:B,'BASE DATOS PRECIOS '!E:E)</f>
        <v/>
      </c>
      <c r="F946" s="218">
        <f>+'3.2_MEC'!D218</f>
        <v/>
      </c>
      <c r="G946" s="250">
        <f>+_xlfn.XLOOKUP(C946,'BASE DATOS PRECIOS '!B:B,'BASE DATOS PRECIOS '!F:F)</f>
        <v/>
      </c>
      <c r="H946" s="249">
        <f>+_xlfn.XLOOKUP(E946,'BASE DATOS PRECIOS '!E:E,'BASE DATOS PRECIOS '!H:H)</f>
        <v/>
      </c>
      <c r="I946" s="250" t="n"/>
      <c r="J946" s="250" t="n"/>
      <c r="K946" s="249">
        <f>+F946*H946</f>
        <v/>
      </c>
      <c r="L946" s="249">
        <f>+F946*I946</f>
        <v/>
      </c>
      <c r="M946" s="249">
        <f>+F946*J946</f>
        <v/>
      </c>
      <c r="N946" s="249">
        <f>SUM(K946:M946)</f>
        <v/>
      </c>
      <c r="O946" s="251">
        <f>SUM(K946:M946)/tc</f>
        <v/>
      </c>
    </row>
    <row r="947">
      <c r="A947" s="16" t="n"/>
      <c r="B947" s="1134">
        <f>VALUE(IF(AND(LEN(TRIM(C947))-LEN(SUBSTITUTE(TRIM(C947),".",""))=1,ISNUMBER(VALUE(SUBSTITUTE(TRIM(C947),".","")))),TRIM(C947),B946))</f>
        <v/>
      </c>
      <c r="C947" s="16" t="inlineStr">
        <is>
          <t>M09-0042</t>
        </is>
      </c>
      <c r="D947" s="292" t="n"/>
      <c r="E947" s="252">
        <f>+_xlfn.XLOOKUP(C947,'BASE DATOS PRECIOS '!B:B,'BASE DATOS PRECIOS '!E:E)</f>
        <v/>
      </c>
      <c r="F947" s="218">
        <f>+'3.2_MEC'!D219</f>
        <v/>
      </c>
      <c r="G947" s="250">
        <f>+_xlfn.XLOOKUP(C947,'BASE DATOS PRECIOS '!B:B,'BASE DATOS PRECIOS '!F:F)</f>
        <v/>
      </c>
      <c r="H947" s="249">
        <f>+_xlfn.XLOOKUP(E947,'BASE DATOS PRECIOS '!E:E,'BASE DATOS PRECIOS '!H:H)</f>
        <v/>
      </c>
      <c r="I947" s="250" t="n"/>
      <c r="J947" s="250" t="n"/>
      <c r="K947" s="249">
        <f>+F947*H947</f>
        <v/>
      </c>
      <c r="L947" s="249">
        <f>+F947*I947</f>
        <v/>
      </c>
      <c r="M947" s="249">
        <f>+F947*J947</f>
        <v/>
      </c>
      <c r="N947" s="249">
        <f>SUM(K947:M947)</f>
        <v/>
      </c>
      <c r="O947" s="251">
        <f>SUM(K947:M947)/tc</f>
        <v/>
      </c>
      <c r="S947" s="380">
        <f>L8/17</f>
        <v/>
      </c>
    </row>
    <row r="948">
      <c r="A948" s="266" t="inlineStr">
        <is>
          <t>Fontanería Muros</t>
        </is>
      </c>
      <c r="B948" s="1134">
        <f>VALUE(IF(AND(LEN(TRIM(C948))-LEN(SUBSTITUTE(TRIM(C948),".",""))=1,ISNUMBER(VALUE(SUBSTITUTE(TRIM(C948),".","")))),TRIM(C948),B947))</f>
        <v/>
      </c>
      <c r="C948" s="267" t="inlineStr">
        <is>
          <t xml:space="preserve">OPERARIO </t>
        </is>
      </c>
      <c r="D948" s="268" t="n"/>
      <c r="E948" s="269">
        <f>+_xlfn.XLOOKUP(C948,'BASE DATOS MANO DE OBRA'!A:A,'BASE DATOS MANO DE OBRA'!B:B)</f>
        <v/>
      </c>
      <c r="F948" s="270">
        <f>+ROUNDUP('3.2_MEC'!F222,0)/2</f>
        <v/>
      </c>
      <c r="G948" s="271">
        <f>+_xlfn.XLOOKUP(C948,'BASE DATOS MANO DE OBRA'!A:A,'BASE DATOS MANO DE OBRA'!C:C)</f>
        <v/>
      </c>
      <c r="H948" s="272" t="n">
        <v>0</v>
      </c>
      <c r="I948" s="272">
        <f>+_xlfn.XLOOKUP(C948,'BASE DATOS MANO DE OBRA'!A:A,'BASE DATOS MANO DE OBRA'!E:E)</f>
        <v/>
      </c>
      <c r="J948" s="272" t="n">
        <v>0</v>
      </c>
      <c r="K948" s="272">
        <f>+F948*H948</f>
        <v/>
      </c>
      <c r="L948" s="272">
        <f>+F948*I948</f>
        <v/>
      </c>
      <c r="M948" s="272">
        <f>+F948*J948</f>
        <v/>
      </c>
      <c r="N948" s="272">
        <f>SUM(K948:M948)</f>
        <v/>
      </c>
      <c r="O948" s="273">
        <f>SUM(K948:M948)/tc</f>
        <v/>
      </c>
    </row>
    <row r="949">
      <c r="A949" s="381" t="inlineStr">
        <is>
          <t>Fontanería Muros</t>
        </is>
      </c>
      <c r="B949" s="1140">
        <f>VALUE(IF(AND(LEN(TRIM(C949))-LEN(SUBSTITUTE(TRIM(C949),".",""))=1,ISNUMBER(VALUE(SUBSTITUTE(TRIM(C949),".","")))),TRIM(C949),B948))</f>
        <v/>
      </c>
      <c r="C949" s="383" t="inlineStr">
        <is>
          <t xml:space="preserve">AYUDANTE </t>
        </is>
      </c>
      <c r="D949" s="384" t="n"/>
      <c r="E949" s="385">
        <f>+_xlfn.XLOOKUP(C949,'BASE DATOS MANO DE OBRA'!A:A,'BASE DATOS MANO DE OBRA'!B:B)</f>
        <v/>
      </c>
      <c r="F949" s="386">
        <f>+F948</f>
        <v/>
      </c>
      <c r="G949" s="387">
        <f>+_xlfn.XLOOKUP(C949,'BASE DATOS MANO DE OBRA'!A:A,'BASE DATOS MANO DE OBRA'!C:C)</f>
        <v/>
      </c>
      <c r="H949" s="388" t="n">
        <v>0</v>
      </c>
      <c r="I949" s="388">
        <f>+_xlfn.XLOOKUP(C949,'BASE DATOS MANO DE OBRA'!A:A,'BASE DATOS MANO DE OBRA'!E:E)</f>
        <v/>
      </c>
      <c r="J949" s="388" t="n">
        <v>0</v>
      </c>
      <c r="K949" s="388">
        <f>+F949*H949</f>
        <v/>
      </c>
      <c r="L949" s="388">
        <f>+F949*I949</f>
        <v/>
      </c>
      <c r="M949" s="388">
        <f>+F949*J949</f>
        <v/>
      </c>
      <c r="N949" s="388">
        <f>SUM(K949:M949)</f>
        <v/>
      </c>
      <c r="O949" s="389">
        <f>SUM(K949:M949)/tc</f>
        <v/>
      </c>
    </row>
    <row r="950">
      <c r="A950" s="13" t="n"/>
      <c r="B950" s="218" t="n"/>
      <c r="C950" s="390" t="n"/>
      <c r="D950" s="186" t="n"/>
      <c r="E950" s="247" t="n"/>
      <c r="F950" s="218" t="n"/>
      <c r="G950" s="250" t="n"/>
      <c r="H950" s="250" t="n"/>
      <c r="I950" s="250" t="n"/>
      <c r="J950" s="250" t="n"/>
      <c r="K950" s="249" t="n"/>
      <c r="L950" s="249" t="n"/>
      <c r="M950" s="249" t="n"/>
      <c r="N950" s="249" t="n"/>
      <c r="O950" s="1141" t="n"/>
    </row>
    <row r="951">
      <c r="D951" s="183" t="n"/>
      <c r="K951" s="392">
        <f>+SUBTOTAL(9,K8:K950)</f>
        <v/>
      </c>
      <c r="L951" s="392">
        <f>+SUBTOTAL(9,L8:L950)</f>
        <v/>
      </c>
      <c r="M951" s="392">
        <f>+SUBTOTAL(9,M8:M950)</f>
        <v/>
      </c>
      <c r="N951" s="392">
        <f>+SUBTOTAL(9,N8:N950)</f>
        <v/>
      </c>
      <c r="O951" s="1142">
        <f>+SUBTOTAL(9,O8:O950)</f>
        <v/>
      </c>
    </row>
    <row r="952">
      <c r="D952" s="183" t="n"/>
      <c r="K952" s="392">
        <f>+K951/F964</f>
        <v/>
      </c>
      <c r="L952" s="392">
        <f>+L951/F964</f>
        <v/>
      </c>
      <c r="M952" s="392">
        <f>+M951/F964</f>
        <v/>
      </c>
      <c r="N952" s="1142" t="n"/>
      <c r="O952" s="1142" t="n"/>
    </row>
    <row r="953">
      <c r="D953" s="183" t="n"/>
      <c r="K953" s="394">
        <f>+K951/N951</f>
        <v/>
      </c>
      <c r="L953" s="394">
        <f>+L951/N951</f>
        <v/>
      </c>
      <c r="M953" s="394">
        <f>+M951/N951</f>
        <v/>
      </c>
      <c r="N953" s="394">
        <f>SUM(K953:M953)</f>
        <v/>
      </c>
    </row>
    <row r="954">
      <c r="D954" s="183" t="n"/>
      <c r="E954" s="183">
        <f>+E2</f>
        <v/>
      </c>
      <c r="L954" s="392" t="n"/>
    </row>
    <row r="955">
      <c r="D955" s="183" t="n"/>
      <c r="E955" s="183" t="inlineStr">
        <is>
          <t xml:space="preserve">Resumen de costos </t>
        </is>
      </c>
      <c r="K955" s="392">
        <f>K951-K8</f>
        <v/>
      </c>
      <c r="L955" s="392">
        <f>L951-L8</f>
        <v/>
      </c>
      <c r="M955" s="392">
        <f>M951-M8</f>
        <v/>
      </c>
      <c r="N955" s="392">
        <f>N951-N8</f>
        <v/>
      </c>
      <c r="O955" s="392">
        <f>O951-O8</f>
        <v/>
      </c>
    </row>
    <row r="956">
      <c r="D956" s="183" t="n"/>
      <c r="E956" s="395" t="inlineStr">
        <is>
          <t>Actividad</t>
        </is>
      </c>
      <c r="F956" s="395" t="inlineStr">
        <is>
          <t>Monto</t>
        </is>
      </c>
      <c r="G956" s="395" t="inlineStr">
        <is>
          <t>COSTO POR M2</t>
        </is>
      </c>
      <c r="J956" s="392" t="n"/>
    </row>
    <row r="957">
      <c r="D957" s="183" t="n"/>
      <c r="E957" s="396" t="inlineStr">
        <is>
          <t xml:space="preserve">Materiales </t>
        </is>
      </c>
      <c r="F957" s="248">
        <f>+K951</f>
        <v/>
      </c>
      <c r="G957" s="397">
        <f>+F957/F964</f>
        <v/>
      </c>
    </row>
    <row r="958">
      <c r="D958" s="183" t="n"/>
      <c r="E958" s="396" t="inlineStr">
        <is>
          <t xml:space="preserve">Mano de obra </t>
        </is>
      </c>
      <c r="F958" s="248">
        <f>+L951</f>
        <v/>
      </c>
      <c r="G958" s="397">
        <f>+F958/F964</f>
        <v/>
      </c>
    </row>
    <row r="959">
      <c r="D959" s="183" t="n"/>
      <c r="E959" s="396" t="inlineStr">
        <is>
          <t>Subcontrato</t>
        </is>
      </c>
      <c r="F959" s="248">
        <f>+M951</f>
        <v/>
      </c>
      <c r="G959" s="397">
        <f>+F959/F964</f>
        <v/>
      </c>
    </row>
    <row r="960">
      <c r="D960" s="183" t="n"/>
      <c r="E960" s="398" t="inlineStr">
        <is>
          <t>Subtotal</t>
        </is>
      </c>
      <c r="F960" s="399">
        <f>SUM(F957:F959)</f>
        <v/>
      </c>
      <c r="G960" s="400">
        <f>SUM(G957:G959)</f>
        <v/>
      </c>
      <c r="H960" s="401">
        <f>+F960-'Resumen Presupuesto'!F131</f>
        <v/>
      </c>
    </row>
    <row r="962">
      <c r="E962" s="398" t="inlineStr">
        <is>
          <t>Total</t>
        </is>
      </c>
      <c r="F962" s="399">
        <f>SUM(F960:F960)</f>
        <v/>
      </c>
    </row>
    <row r="963">
      <c r="E963" s="402" t="inlineStr">
        <is>
          <t>Hora de Mano de Obra</t>
        </is>
      </c>
      <c r="F963" s="403">
        <f>+F19+F20+F26+F27+F35+F36+F48+F49+F50+F51+F52+F53+F64+F65+F66+F67+F78+F79+F80+F81+F82+F83+F97+F98+F99+F100+F109+F110+F111+F112+F113+F114+F140+F141+F164+F165+F173+F174+F185+F186+F227+F228+F242+F243+F244+F245+F251+F252+F261+F262+F263+F264+F265+F266+F267+F268+F274+F275+F276+F277+F278+F279+F280+F281+F291+F292+F293+F294+F295+F296+F297+F298+F308+F309+F310+F311+F318+F319+F320+F321+F357+F358+F359+F360+F389+F390+F391+F392+F397+F398+F404+F405+F422+F423+F424+F425+F426+F427+F450+F451+F460+F461+F463+F464+F509+F510+F523+F524+F544+F545+F546+F547+F555+F556+F839+F840+F841+F842+F856+F857+F858+F859+F871+F872+F873+F874+F887+F888+F889+F890+F909+F910+F928+F929+F941+F942+F948+F949+F209+F210+F211+F212</f>
        <v/>
      </c>
    </row>
    <row r="964">
      <c r="E964" s="286">
        <f>+'1_OG y 2_ACA'!C11</f>
        <v/>
      </c>
      <c r="F964" s="286">
        <f>+'1_OG y 2_ACA'!D11</f>
        <v/>
      </c>
    </row>
    <row r="965">
      <c r="E965" s="13" t="inlineStr">
        <is>
          <t>Costo unitario $/m2</t>
        </is>
      </c>
      <c r="F965" s="404">
        <f>+F962/F964</f>
        <v/>
      </c>
    </row>
    <row r="970">
      <c r="J970" s="405" t="n">
        <v>3372</v>
      </c>
      <c r="L970" s="1143" t="n">
        <v>8955225</v>
      </c>
      <c r="M970" s="394">
        <f>L970/L976</f>
        <v/>
      </c>
    </row>
    <row r="971">
      <c r="J971" s="405" t="n">
        <v>1575</v>
      </c>
      <c r="L971" s="1143" t="n">
        <v>4590112.5</v>
      </c>
      <c r="M971" s="394">
        <f>L971/L976</f>
        <v/>
      </c>
    </row>
    <row r="972">
      <c r="J972" s="405" t="n">
        <v>187</v>
      </c>
      <c r="L972" s="1143" t="n">
        <v>1157468</v>
      </c>
      <c r="M972" s="394">
        <f>L972/L976</f>
        <v/>
      </c>
    </row>
    <row r="976">
      <c r="L976" s="1143">
        <f>SUM(L970:L972)</f>
        <v/>
      </c>
    </row>
    <row r="978">
      <c r="J978" s="405">
        <f>J970+J971+J972</f>
        <v/>
      </c>
    </row>
    <row r="983">
      <c r="J983" s="405">
        <f>J971/J978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Q1844"/>
  <sheetViews>
    <sheetView workbookViewId="0">
      <selection activeCell="A1" sqref="A1"/>
    </sheetView>
  </sheetViews>
  <sheetFormatPr baseColWidth="8" defaultRowHeight="15"/>
  <sheetData>
    <row r="3">
      <c r="C3" s="407" t="inlineStr">
        <is>
          <t>Modelo</t>
        </is>
      </c>
      <c r="D3" s="407" t="inlineStr">
        <is>
          <t>Modelo Casa</t>
        </is>
      </c>
      <c r="E3" s="407" t="inlineStr">
        <is>
          <t>VN-L.32</t>
        </is>
      </c>
    </row>
    <row r="6">
      <c r="C6" s="408" t="inlineStr">
        <is>
          <t>MODELO DE CASA</t>
        </is>
      </c>
      <c r="D6" s="409" t="inlineStr">
        <is>
          <t>DATOS GENERALES</t>
        </is>
      </c>
    </row>
    <row r="8">
      <c r="C8" s="410" t="inlineStr">
        <is>
          <t>DIMENSIONES</t>
        </is>
      </c>
      <c r="D8" s="59" t="n"/>
      <c r="E8" s="60" t="n"/>
    </row>
    <row r="9">
      <c r="C9" s="411" t="inlineStr">
        <is>
          <t>Área total de casa</t>
        </is>
      </c>
      <c r="D9" s="412">
        <f>87.57+39.22</f>
        <v/>
      </c>
      <c r="E9" s="413" t="inlineStr">
        <is>
          <t>m2</t>
        </is>
      </c>
      <c r="F9" s="414" t="inlineStr">
        <is>
          <t>Incluye: Area total N1 y N2  interna, pilas, terrazas, ducto de escaleras SIN AZOTEA</t>
        </is>
      </c>
    </row>
    <row r="10">
      <c r="C10" s="411" t="inlineStr">
        <is>
          <t>Área interna de casa</t>
        </is>
      </c>
      <c r="D10" s="412">
        <f>48.12+39.22+(3.5+2.15)</f>
        <v/>
      </c>
      <c r="E10" s="413" t="inlineStr">
        <is>
          <t>m2</t>
        </is>
      </c>
      <c r="F10" s="414" t="inlineStr">
        <is>
          <t>Incluye: Area N1 y N2 sin garage, azotea, pilas ni terraza. Sí se debe incluir area de ducto de escalera (monitor de azotea)</t>
        </is>
      </c>
    </row>
    <row r="11">
      <c r="C11" s="411" t="inlineStr">
        <is>
          <t>Área prorrateada</t>
        </is>
      </c>
      <c r="D11" s="415">
        <f>+D10+0.6*(D13+D14)</f>
        <v/>
      </c>
      <c r="E11" s="413" t="inlineStr">
        <is>
          <t>m2</t>
        </is>
      </c>
      <c r="F11" s="414" t="inlineStr">
        <is>
          <t>Incluye: area total + area cochera * 60% + pila * 60% + terraza * 60%</t>
        </is>
      </c>
      <c r="G11" s="416" t="n"/>
    </row>
    <row r="12">
      <c r="C12" s="411" t="inlineStr">
        <is>
          <t>Área losa de fundación</t>
        </is>
      </c>
      <c r="D12" s="412" t="n">
        <v>48.12</v>
      </c>
      <c r="E12" s="413" t="inlineStr">
        <is>
          <t>m2</t>
        </is>
      </c>
      <c r="F12" s="417" t="inlineStr">
        <is>
          <t>*medida a borde externo</t>
        </is>
      </c>
      <c r="G12" s="416" t="n"/>
    </row>
    <row r="13">
      <c r="C13" s="411" t="inlineStr">
        <is>
          <t>Áreas de pilas+terraza</t>
        </is>
      </c>
      <c r="D13" s="418">
        <f>4.13+5.37</f>
        <v/>
      </c>
      <c r="E13" s="413" t="inlineStr">
        <is>
          <t>m2</t>
        </is>
      </c>
      <c r="F13" s="419" t="inlineStr">
        <is>
          <t>*medida a borde externo</t>
        </is>
      </c>
      <c r="G13" s="416" t="n"/>
    </row>
    <row r="14">
      <c r="C14" s="411" t="inlineStr">
        <is>
          <t>Áreas externas de casa (cochera)</t>
        </is>
      </c>
      <c r="D14" s="418" t="n">
        <v>29.8</v>
      </c>
      <c r="E14" s="413" t="inlineStr">
        <is>
          <t>m2</t>
        </is>
      </c>
      <c r="F14" s="419" t="inlineStr">
        <is>
          <t>*medida a borde externo</t>
        </is>
      </c>
      <c r="G14" s="416" t="n"/>
    </row>
    <row r="15">
      <c r="C15" s="411" t="inlineStr">
        <is>
          <t>Perímetro Losa flotante</t>
        </is>
      </c>
      <c r="D15" s="418" t="n">
        <v>34.36</v>
      </c>
      <c r="E15" s="413" t="inlineStr">
        <is>
          <t>m</t>
        </is>
      </c>
      <c r="F15" s="416" t="n"/>
    </row>
    <row r="16">
      <c r="C16" s="411" t="inlineStr">
        <is>
          <t>Área pilas mas losa de fundacion</t>
        </is>
      </c>
      <c r="D16" s="420">
        <f>+D13+D12</f>
        <v/>
      </c>
      <c r="E16" s="413" t="inlineStr">
        <is>
          <t>m2</t>
        </is>
      </c>
      <c r="F16" s="416" t="n"/>
    </row>
    <row r="17">
      <c r="C17" s="411" t="inlineStr">
        <is>
          <t>Área total de nivel 1</t>
        </is>
      </c>
      <c r="D17" s="420">
        <f>+D16+D14</f>
        <v/>
      </c>
      <c r="E17" s="413" t="inlineStr">
        <is>
          <t>m2</t>
        </is>
      </c>
      <c r="F17" s="416" t="n"/>
    </row>
    <row r="18">
      <c r="C18" s="411" t="inlineStr">
        <is>
          <t>Área total de azotea</t>
        </is>
      </c>
      <c r="D18" s="412" t="n">
        <v>31.5</v>
      </c>
      <c r="E18" s="413" t="inlineStr">
        <is>
          <t>m2</t>
        </is>
      </c>
      <c r="F18" s="416" t="n"/>
    </row>
    <row r="19">
      <c r="C19" s="411" t="inlineStr">
        <is>
          <t xml:space="preserve">Área entrepiso de nivel 2 </t>
        </is>
      </c>
      <c r="D19" s="412" t="n">
        <v>39.22</v>
      </c>
      <c r="E19" s="413" t="inlineStr">
        <is>
          <t>m2</t>
        </is>
      </c>
      <c r="F19" s="416" t="n"/>
    </row>
    <row r="20">
      <c r="C20" s="411" t="inlineStr">
        <is>
          <t>Área total de la casa</t>
        </is>
      </c>
      <c r="D20" s="420">
        <f>+D19+D18+D17</f>
        <v/>
      </c>
      <c r="E20" s="413" t="inlineStr">
        <is>
          <t>m2</t>
        </is>
      </c>
      <c r="F20" s="416" t="n"/>
    </row>
    <row r="21">
      <c r="C21" s="411" t="inlineStr">
        <is>
          <t>Área de techo de casa</t>
        </is>
      </c>
      <c r="D21" s="412" t="n">
        <v>44.8</v>
      </c>
      <c r="E21" s="413" t="inlineStr">
        <is>
          <t>m2</t>
        </is>
      </c>
      <c r="F21" s="416" t="n"/>
    </row>
    <row r="22">
      <c r="C22" s="411" t="inlineStr">
        <is>
          <t>Área de techo de cochera</t>
        </is>
      </c>
      <c r="D22" s="412" t="n">
        <v>16</v>
      </c>
      <c r="E22" s="413" t="inlineStr">
        <is>
          <t>m2</t>
        </is>
      </c>
      <c r="F22" s="416" t="n"/>
    </row>
    <row r="23">
      <c r="C23" s="411" t="inlineStr">
        <is>
          <t>Área de lote</t>
        </is>
      </c>
      <c r="D23" s="412">
        <f>6.8*18.2</f>
        <v/>
      </c>
      <c r="E23" s="413" t="inlineStr">
        <is>
          <t>m2</t>
        </is>
      </c>
      <c r="F23" s="416" t="n"/>
    </row>
    <row r="24">
      <c r="C24" s="411" t="inlineStr">
        <is>
          <t>Niveles</t>
        </is>
      </c>
      <c r="D24" s="412" t="n">
        <v>2</v>
      </c>
      <c r="E24" s="413" t="n"/>
    </row>
    <row r="25">
      <c r="C25" s="411" t="inlineStr">
        <is>
          <t>Azotea</t>
        </is>
      </c>
      <c r="D25" s="412" t="inlineStr">
        <is>
          <t>Sí</t>
        </is>
      </c>
      <c r="E25" s="413" t="n"/>
    </row>
    <row r="26">
      <c r="C26" s="411" t="inlineStr">
        <is>
          <t xml:space="preserve">Longitud de paredes nivel 1 </t>
        </is>
      </c>
      <c r="D26" s="412" t="n">
        <v>49.8</v>
      </c>
      <c r="E26" s="413" t="inlineStr">
        <is>
          <t>m</t>
        </is>
      </c>
      <c r="F26" s="421" t="n"/>
    </row>
    <row r="27">
      <c r="C27" s="411" t="inlineStr">
        <is>
          <t xml:space="preserve">Altura paredes nivel 1 </t>
        </is>
      </c>
      <c r="D27" s="422" t="n">
        <v>2.6</v>
      </c>
      <c r="E27" s="413" t="inlineStr">
        <is>
          <t>m</t>
        </is>
      </c>
      <c r="F27" s="421" t="n"/>
    </row>
    <row r="28">
      <c r="C28" s="411" t="inlineStr">
        <is>
          <t>Longitud de paredes nivel 2</t>
        </is>
      </c>
      <c r="D28" s="418" t="n">
        <v>41.8</v>
      </c>
      <c r="E28" s="413" t="inlineStr">
        <is>
          <t>m</t>
        </is>
      </c>
      <c r="F28" s="421" t="n"/>
    </row>
    <row r="29">
      <c r="C29" s="411" t="inlineStr">
        <is>
          <t>Altura paredes nivel 2</t>
        </is>
      </c>
      <c r="D29" s="422" t="n">
        <v>2.6</v>
      </c>
      <c r="E29" s="413" t="inlineStr">
        <is>
          <t>m</t>
        </is>
      </c>
      <c r="F29" s="421" t="n"/>
    </row>
    <row r="30">
      <c r="C30" s="411" t="inlineStr">
        <is>
          <t>Longitud de paredes nivel 3 azotea</t>
        </is>
      </c>
      <c r="D30" s="418" t="n">
        <v>24.2</v>
      </c>
      <c r="E30" s="413" t="inlineStr">
        <is>
          <t>m</t>
        </is>
      </c>
      <c r="F30" s="421" t="n"/>
    </row>
    <row r="31">
      <c r="C31" s="411" t="inlineStr">
        <is>
          <t>Altura paredes nivel 3 azotea</t>
        </is>
      </c>
      <c r="D31" s="423" t="n">
        <v>1</v>
      </c>
      <c r="E31" s="413" t="inlineStr">
        <is>
          <t>m</t>
        </is>
      </c>
      <c r="F31" s="421" t="n"/>
    </row>
    <row r="32">
      <c r="C32" s="411" t="inlineStr">
        <is>
          <t>Área de Muros</t>
        </is>
      </c>
      <c r="D32" s="415">
        <f>+D343+D547</f>
        <v/>
      </c>
      <c r="E32" s="413" t="inlineStr">
        <is>
          <t>m2</t>
        </is>
      </c>
    </row>
    <row r="33">
      <c r="C33" s="424" t="inlineStr">
        <is>
          <t>Cantidad de esquinas</t>
        </is>
      </c>
      <c r="D33" s="412" t="n">
        <v>35</v>
      </c>
      <c r="E33" s="425" t="inlineStr">
        <is>
          <t>u</t>
        </is>
      </c>
      <c r="F33" s="421" t="n"/>
    </row>
    <row r="34">
      <c r="C34" s="424" t="inlineStr">
        <is>
          <t>Area losa cenital</t>
        </is>
      </c>
      <c r="D34" s="412" t="n">
        <v>0</v>
      </c>
      <c r="E34" s="425" t="inlineStr">
        <is>
          <t>m2</t>
        </is>
      </c>
      <c r="F34" s="421" t="n"/>
    </row>
    <row r="36">
      <c r="C36" s="1" t="inlineStr">
        <is>
          <t>TOTAL PUERTAS Y VENTANAS</t>
        </is>
      </c>
      <c r="D36" s="59" t="n"/>
      <c r="E36" s="59" t="n"/>
      <c r="F36" s="60" t="n"/>
    </row>
    <row r="37">
      <c r="C37" s="426" t="inlineStr">
        <is>
          <t>Codigo</t>
        </is>
      </c>
      <c r="D37" s="426" t="inlineStr">
        <is>
          <t>Altura</t>
        </is>
      </c>
      <c r="E37" s="426" t="inlineStr">
        <is>
          <t>Ancho</t>
        </is>
      </c>
      <c r="F37" s="426" t="inlineStr">
        <is>
          <t>Cantidad</t>
        </is>
      </c>
      <c r="G37" s="427" t="n"/>
    </row>
    <row r="38">
      <c r="C38" s="428" t="inlineStr">
        <is>
          <t>Puertas Nivel 1</t>
        </is>
      </c>
      <c r="D38" s="429" t="n"/>
      <c r="E38" s="429" t="n"/>
      <c r="F38" s="430" t="n"/>
      <c r="G38" s="427" t="n"/>
    </row>
    <row r="39">
      <c r="C39" s="431" t="inlineStr">
        <is>
          <t>P01</t>
        </is>
      </c>
      <c r="D39" s="432" t="n">
        <v>2.15</v>
      </c>
      <c r="E39" s="432" t="n">
        <v>1</v>
      </c>
      <c r="F39" s="433" t="n">
        <v>1</v>
      </c>
    </row>
    <row r="40">
      <c r="C40" s="434" t="inlineStr">
        <is>
          <t>P02</t>
        </is>
      </c>
      <c r="D40" s="435" t="n">
        <v>2.15</v>
      </c>
      <c r="E40" s="435" t="n">
        <v>0.8</v>
      </c>
      <c r="F40" s="436" t="n">
        <v>1</v>
      </c>
    </row>
    <row r="41">
      <c r="C41" s="434" t="inlineStr">
        <is>
          <t>P03</t>
        </is>
      </c>
      <c r="D41" s="435" t="n">
        <v>1.15</v>
      </c>
      <c r="E41" s="435" t="n">
        <v>0.8</v>
      </c>
      <c r="F41" s="436" t="n">
        <v>1</v>
      </c>
    </row>
    <row r="42">
      <c r="C42" s="434" t="inlineStr">
        <is>
          <t>P05</t>
        </is>
      </c>
      <c r="D42" s="435" t="n">
        <v>2.15</v>
      </c>
      <c r="E42" s="435" t="n">
        <v>1.8</v>
      </c>
      <c r="F42" s="436" t="n">
        <v>1</v>
      </c>
    </row>
    <row r="43">
      <c r="C43" s="434" t="inlineStr">
        <is>
          <t>P06</t>
        </is>
      </c>
      <c r="D43" s="435" t="n">
        <v>2.15</v>
      </c>
      <c r="E43" s="435" t="n">
        <v>0.9</v>
      </c>
      <c r="F43" s="436" t="n">
        <v>1</v>
      </c>
    </row>
    <row r="44">
      <c r="C44" s="434" t="inlineStr">
        <is>
          <t>P07</t>
        </is>
      </c>
      <c r="D44" s="435" t="n">
        <v>2.15</v>
      </c>
      <c r="E44" s="435" t="n">
        <v>1.5</v>
      </c>
      <c r="F44" s="436" t="n">
        <v>1</v>
      </c>
    </row>
    <row r="45">
      <c r="C45" s="434" t="inlineStr">
        <is>
          <t>P08</t>
        </is>
      </c>
      <c r="D45" s="435" t="n">
        <v>2.15</v>
      </c>
      <c r="E45" s="435" t="n">
        <v>0.7</v>
      </c>
      <c r="F45" s="436" t="n">
        <v>1</v>
      </c>
    </row>
    <row r="46">
      <c r="C46" s="434" t="inlineStr">
        <is>
          <t>P08</t>
        </is>
      </c>
      <c r="D46" s="435" t="n">
        <v>2.15</v>
      </c>
      <c r="E46" s="435" t="n">
        <v>0.8</v>
      </c>
      <c r="F46" s="436" t="n">
        <v>1</v>
      </c>
    </row>
    <row r="47">
      <c r="C47" s="434" t="inlineStr">
        <is>
          <t>P08</t>
        </is>
      </c>
      <c r="D47" s="435" t="n">
        <v>2.15</v>
      </c>
      <c r="E47" s="435" t="n">
        <v>0.7</v>
      </c>
      <c r="F47" s="436" t="n">
        <v>1</v>
      </c>
    </row>
    <row r="48">
      <c r="C48" s="434" t="n"/>
      <c r="D48" s="435" t="n"/>
      <c r="E48" s="435" t="n"/>
      <c r="F48" s="436" t="n"/>
    </row>
    <row r="49">
      <c r="C49" s="434" t="n"/>
      <c r="D49" s="435" t="n"/>
      <c r="E49" s="435" t="n"/>
      <c r="F49" s="436" t="n"/>
    </row>
    <row r="50">
      <c r="C50" s="434" t="n"/>
      <c r="D50" s="435" t="n"/>
      <c r="E50" s="435" t="n"/>
      <c r="F50" s="436" t="n"/>
    </row>
    <row r="51">
      <c r="C51" s="434" t="n"/>
      <c r="D51" s="435" t="n"/>
      <c r="E51" s="435" t="n"/>
      <c r="F51" s="436" t="n"/>
    </row>
    <row r="52">
      <c r="C52" s="434" t="n"/>
      <c r="D52" s="435" t="n"/>
      <c r="E52" s="435" t="n"/>
      <c r="F52" s="436" t="n"/>
    </row>
    <row r="53">
      <c r="C53" s="434" t="n"/>
      <c r="D53" s="435" t="n"/>
      <c r="E53" s="435" t="n"/>
      <c r="F53" s="436" t="n"/>
    </row>
    <row r="54">
      <c r="C54" s="428" t="inlineStr">
        <is>
          <t>Puertas Nivel 2</t>
        </is>
      </c>
      <c r="D54" s="429" t="n"/>
      <c r="E54" s="429" t="n"/>
      <c r="F54" s="430" t="n"/>
      <c r="G54" s="427" t="n"/>
    </row>
    <row r="55">
      <c r="C55" s="431" t="inlineStr">
        <is>
          <t>P11</t>
        </is>
      </c>
      <c r="D55" s="432" t="n">
        <v>2.15</v>
      </c>
      <c r="E55" s="432" t="n">
        <v>0.9</v>
      </c>
      <c r="F55" s="433" t="n">
        <v>1</v>
      </c>
    </row>
    <row r="56">
      <c r="C56" s="434" t="inlineStr">
        <is>
          <t>P12</t>
        </is>
      </c>
      <c r="D56" s="435" t="n">
        <v>2.15</v>
      </c>
      <c r="E56" s="435" t="n">
        <v>0.8</v>
      </c>
      <c r="F56" s="436" t="n">
        <v>1</v>
      </c>
    </row>
    <row r="57">
      <c r="C57" s="434" t="inlineStr">
        <is>
          <t>P13</t>
        </is>
      </c>
      <c r="D57" s="435" t="n">
        <v>2.15</v>
      </c>
      <c r="E57" s="435" t="n">
        <v>0.9</v>
      </c>
      <c r="F57" s="436" t="n">
        <v>1</v>
      </c>
    </row>
    <row r="58">
      <c r="C58" s="434" t="inlineStr">
        <is>
          <t>P14</t>
        </is>
      </c>
      <c r="D58" s="435" t="n">
        <v>2.15</v>
      </c>
      <c r="E58" s="435" t="n">
        <v>0.9</v>
      </c>
      <c r="F58" s="436" t="n">
        <v>1</v>
      </c>
    </row>
    <row r="59">
      <c r="C59" s="434" t="inlineStr">
        <is>
          <t>P15</t>
        </is>
      </c>
      <c r="D59" s="435" t="n">
        <v>2.15</v>
      </c>
      <c r="E59" s="435" t="n">
        <v>0.9</v>
      </c>
      <c r="F59" s="436" t="n">
        <v>1</v>
      </c>
    </row>
    <row r="60">
      <c r="C60" s="434" t="n"/>
      <c r="D60" s="435" t="n"/>
      <c r="E60" s="435" t="n"/>
      <c r="F60" s="436" t="n"/>
    </row>
    <row r="61">
      <c r="C61" s="434" t="n"/>
      <c r="D61" s="435" t="n"/>
      <c r="E61" s="435" t="n"/>
      <c r="F61" s="436" t="n"/>
    </row>
    <row r="62">
      <c r="C62" s="434" t="n"/>
      <c r="D62" s="435" t="n"/>
      <c r="E62" s="435" t="n"/>
      <c r="F62" s="436" t="n"/>
    </row>
    <row r="63">
      <c r="C63" s="437" t="n"/>
      <c r="D63" s="438" t="n"/>
      <c r="E63" s="438" t="n"/>
      <c r="F63" s="439" t="n"/>
    </row>
    <row r="64">
      <c r="C64" s="437" t="n"/>
      <c r="D64" s="438" t="n"/>
      <c r="E64" s="438" t="n"/>
      <c r="F64" s="439" t="n"/>
    </row>
    <row r="65">
      <c r="C65" s="437" t="n"/>
      <c r="D65" s="438" t="n"/>
      <c r="E65" s="438" t="n"/>
      <c r="F65" s="439" t="n"/>
    </row>
    <row r="66">
      <c r="C66" s="437" t="n"/>
      <c r="D66" s="438" t="n"/>
      <c r="E66" s="438" t="n"/>
      <c r="F66" s="439" t="n"/>
    </row>
    <row r="67">
      <c r="C67" s="437" t="n"/>
      <c r="D67" s="438" t="n"/>
      <c r="E67" s="438" t="n"/>
      <c r="F67" s="439" t="n"/>
    </row>
    <row r="68">
      <c r="C68" s="437" t="n"/>
      <c r="D68" s="438" t="n"/>
      <c r="E68" s="438" t="n"/>
      <c r="F68" s="439" t="n"/>
    </row>
    <row r="69">
      <c r="C69" s="440" t="n"/>
      <c r="D69" s="441" t="n"/>
      <c r="E69" s="441" t="n"/>
      <c r="F69" s="442" t="n"/>
    </row>
    <row r="70">
      <c r="C70" s="428" t="inlineStr">
        <is>
          <t>Ventanas Nivel 1</t>
        </is>
      </c>
      <c r="D70" s="443" t="n"/>
      <c r="E70" s="443" t="n"/>
      <c r="F70" s="444" t="n"/>
    </row>
    <row r="71">
      <c r="C71" s="431" t="n"/>
      <c r="D71" s="432" t="n">
        <v>2.15</v>
      </c>
      <c r="E71" s="432" t="n">
        <v>0.6</v>
      </c>
      <c r="F71" s="433" t="n">
        <v>1</v>
      </c>
    </row>
    <row r="72">
      <c r="C72" s="434" t="n"/>
      <c r="D72" s="435" t="n">
        <v>0.55</v>
      </c>
      <c r="E72" s="435" t="n">
        <v>0.55</v>
      </c>
      <c r="F72" s="436" t="n">
        <v>1</v>
      </c>
    </row>
    <row r="73">
      <c r="C73" s="434" t="n"/>
      <c r="D73" s="435" t="n">
        <v>0.55</v>
      </c>
      <c r="E73" s="435" t="n">
        <v>0.55</v>
      </c>
      <c r="F73" s="436" t="n">
        <v>1</v>
      </c>
    </row>
    <row r="74">
      <c r="C74" s="434" t="n"/>
      <c r="D74" s="435" t="n"/>
      <c r="E74" s="435" t="n"/>
      <c r="F74" s="436" t="n"/>
    </row>
    <row r="75">
      <c r="C75" s="434" t="n"/>
      <c r="D75" s="435" t="n"/>
      <c r="E75" s="435" t="n"/>
      <c r="F75" s="436" t="n"/>
    </row>
    <row r="76">
      <c r="C76" s="434" t="n"/>
      <c r="D76" s="435" t="n"/>
      <c r="E76" s="435" t="n"/>
      <c r="F76" s="436" t="n"/>
    </row>
    <row r="77">
      <c r="C77" s="434" t="n"/>
      <c r="D77" s="435" t="n"/>
      <c r="E77" s="435" t="n"/>
      <c r="F77" s="436" t="n"/>
    </row>
    <row r="78">
      <c r="C78" s="434" t="n"/>
      <c r="D78" s="435" t="n"/>
      <c r="E78" s="435" t="n"/>
      <c r="F78" s="436" t="n"/>
    </row>
    <row r="79">
      <c r="C79" s="434" t="n"/>
      <c r="D79" s="435" t="n"/>
      <c r="E79" s="435" t="n"/>
      <c r="F79" s="436" t="n"/>
    </row>
    <row r="80">
      <c r="C80" s="434" t="n"/>
      <c r="D80" s="435" t="n"/>
      <c r="E80" s="435" t="n"/>
      <c r="F80" s="436" t="n"/>
    </row>
    <row r="81">
      <c r="C81" s="445" t="n"/>
      <c r="D81" s="446" t="n"/>
      <c r="E81" s="446" t="n"/>
      <c r="F81" s="447" t="n"/>
    </row>
    <row r="82">
      <c r="C82" s="428" t="inlineStr">
        <is>
          <t>Ventanas Nivel 2</t>
        </is>
      </c>
      <c r="D82" s="443" t="n"/>
      <c r="E82" s="443" t="n"/>
      <c r="F82" s="444" t="n"/>
    </row>
    <row r="83">
      <c r="C83" s="448" t="n"/>
      <c r="D83" s="435" t="n">
        <v>1.95</v>
      </c>
      <c r="E83" s="435" t="n">
        <v>1.35</v>
      </c>
      <c r="F83" s="436" t="n">
        <v>1</v>
      </c>
    </row>
    <row r="84">
      <c r="C84" s="437" t="n"/>
      <c r="D84" s="435" t="n">
        <v>1.95</v>
      </c>
      <c r="E84" s="435" t="n">
        <v>1.2</v>
      </c>
      <c r="F84" s="436" t="n">
        <v>1</v>
      </c>
    </row>
    <row r="85">
      <c r="C85" s="434" t="n"/>
      <c r="D85" s="435" t="n">
        <v>1.5</v>
      </c>
      <c r="E85" s="435" t="n">
        <v>1.5</v>
      </c>
      <c r="F85" s="436" t="n">
        <v>1</v>
      </c>
    </row>
    <row r="86">
      <c r="C86" s="434" t="n"/>
      <c r="D86" s="435" t="n">
        <v>1.5</v>
      </c>
      <c r="E86" s="435" t="n">
        <v>1.5</v>
      </c>
      <c r="F86" s="436" t="n">
        <v>1</v>
      </c>
    </row>
    <row r="87">
      <c r="C87" s="434" t="n"/>
      <c r="D87" s="435" t="n">
        <v>2.1</v>
      </c>
      <c r="E87" s="435" t="n">
        <v>1.2</v>
      </c>
      <c r="F87" s="436" t="n">
        <v>1</v>
      </c>
    </row>
    <row r="88">
      <c r="C88" s="434" t="n"/>
      <c r="D88" s="435" t="n"/>
      <c r="E88" s="435" t="n"/>
      <c r="F88" s="436" t="n"/>
    </row>
    <row r="89">
      <c r="C89" s="434" t="n"/>
      <c r="D89" s="435" t="n"/>
      <c r="E89" s="435" t="n"/>
      <c r="F89" s="436" t="n"/>
    </row>
    <row r="90">
      <c r="C90" s="434" t="n"/>
      <c r="D90" s="435" t="n"/>
      <c r="E90" s="435" t="n"/>
      <c r="F90" s="436" t="n"/>
    </row>
    <row r="91">
      <c r="C91" s="437" t="n"/>
      <c r="D91" s="438" t="n"/>
      <c r="E91" s="438" t="n"/>
      <c r="F91" s="439" t="n"/>
    </row>
    <row r="92">
      <c r="C92" s="449" t="n"/>
      <c r="D92" s="450" t="n"/>
      <c r="E92" s="450" t="n"/>
      <c r="F92" s="451" t="n"/>
    </row>
    <row r="94">
      <c r="C94" s="410" t="inlineStr">
        <is>
          <t>FACTORES</t>
        </is>
      </c>
      <c r="D94" s="59" t="n"/>
      <c r="E94" s="60" t="n"/>
    </row>
    <row r="95">
      <c r="C95" s="411" t="inlineStr">
        <is>
          <t>Factor de compactación</t>
        </is>
      </c>
      <c r="D95" s="452" t="n">
        <v>0.3</v>
      </c>
      <c r="E95" s="413" t="n"/>
    </row>
    <row r="96">
      <c r="C96" s="411" t="inlineStr">
        <is>
          <t>Factor de desperdicio general</t>
        </is>
      </c>
      <c r="D96" s="452" t="n">
        <v>0.05</v>
      </c>
      <c r="E96" s="413" t="n"/>
    </row>
    <row r="97">
      <c r="C97" s="411" t="inlineStr">
        <is>
          <t>Factor MO para muros de concreto</t>
        </is>
      </c>
      <c r="D97" s="452">
        <f>IF(D33/D32&gt;0.2,1.1,1)</f>
        <v/>
      </c>
      <c r="E97" s="425" t="n"/>
    </row>
    <row r="98">
      <c r="C98" s="410" t="inlineStr">
        <is>
          <t>DOSIFICACIONES /m3</t>
        </is>
      </c>
      <c r="D98" s="59" t="n"/>
      <c r="E98" s="60" t="n"/>
    </row>
    <row r="99">
      <c r="C99" s="411" t="inlineStr">
        <is>
          <t>Sello Arena</t>
        </is>
      </c>
      <c r="D99" s="413">
        <f>ROUNDUP(1083*(1+FDG)/1600,2)</f>
        <v/>
      </c>
      <c r="E99" s="413" t="inlineStr">
        <is>
          <t>m3</t>
        </is>
      </c>
    </row>
    <row r="100">
      <c r="C100" s="411" t="inlineStr">
        <is>
          <t>Sello Piedra cuartilla</t>
        </is>
      </c>
      <c r="D100" s="413">
        <f>ROUNDUP(852*(1+FDG)/1600,2)</f>
        <v/>
      </c>
      <c r="E100" s="413" t="inlineStr">
        <is>
          <t>m3</t>
        </is>
      </c>
    </row>
    <row r="101">
      <c r="C101" s="411" t="inlineStr">
        <is>
          <t>Sello Cemento</t>
        </is>
      </c>
      <c r="D101" s="413" t="n">
        <v>180</v>
      </c>
      <c r="E101" s="413" t="inlineStr">
        <is>
          <t>kg</t>
        </is>
      </c>
    </row>
    <row r="102">
      <c r="C102" s="411" t="inlineStr">
        <is>
          <t>Losas Arena</t>
        </is>
      </c>
      <c r="D102" s="413">
        <f>ROUNDUP(872*(1+FDG)/1600,2)</f>
        <v/>
      </c>
      <c r="E102" s="413" t="inlineStr">
        <is>
          <t>m3</t>
        </is>
      </c>
    </row>
    <row r="103">
      <c r="C103" s="411" t="inlineStr">
        <is>
          <t>Losas Piedra cuartilla</t>
        </is>
      </c>
      <c r="D103" s="413">
        <f>ROUNDUP(952*(1+FDG)/1600,2)</f>
        <v/>
      </c>
      <c r="E103" s="413" t="inlineStr">
        <is>
          <t>m3</t>
        </is>
      </c>
    </row>
    <row r="104">
      <c r="C104" s="411" t="inlineStr">
        <is>
          <t>Losas Cemento</t>
        </is>
      </c>
      <c r="D104" s="413" t="n">
        <v>333</v>
      </c>
      <c r="E104" s="413" t="inlineStr">
        <is>
          <t>kg</t>
        </is>
      </c>
    </row>
    <row r="105">
      <c r="C105" s="411" t="inlineStr">
        <is>
          <t xml:space="preserve">Losas Aditivo </t>
        </is>
      </c>
      <c r="D105" s="413" t="n">
        <v>0.8</v>
      </c>
      <c r="E105" s="413" t="inlineStr">
        <is>
          <t>litros</t>
        </is>
      </c>
    </row>
    <row r="106">
      <c r="C106" s="411" t="inlineStr">
        <is>
          <t>Muros Arena</t>
        </is>
      </c>
      <c r="D106" s="413">
        <f>ROUNDUP(1050*(1+FDG)/1600,2)</f>
        <v/>
      </c>
      <c r="E106" s="413" t="inlineStr">
        <is>
          <t>m3</t>
        </is>
      </c>
    </row>
    <row r="107">
      <c r="C107" s="411" t="inlineStr">
        <is>
          <t>Muros Piedra quintilla</t>
        </is>
      </c>
      <c r="D107" s="413">
        <f>ROUNDUP(810*(1+FDG)/1600,2)</f>
        <v/>
      </c>
      <c r="E107" s="413" t="inlineStr">
        <is>
          <t>m3</t>
        </is>
      </c>
    </row>
    <row r="108">
      <c r="C108" s="411" t="inlineStr">
        <is>
          <t>Muros Cemento</t>
        </is>
      </c>
      <c r="D108" s="413" t="n">
        <v>340</v>
      </c>
      <c r="E108" s="413" t="inlineStr">
        <is>
          <t>kg</t>
        </is>
      </c>
    </row>
    <row r="109">
      <c r="C109" s="411" t="inlineStr">
        <is>
          <t>Muros Aditivo</t>
        </is>
      </c>
      <c r="D109" s="413" t="n">
        <v>2.4</v>
      </c>
      <c r="E109" s="413" t="inlineStr">
        <is>
          <t>litros</t>
        </is>
      </c>
    </row>
    <row r="110">
      <c r="C110" s="424" t="inlineStr">
        <is>
          <t>Muros Fibra</t>
        </is>
      </c>
      <c r="D110" s="453" t="n">
        <v>1</v>
      </c>
      <c r="E110" s="425" t="inlineStr">
        <is>
          <t>kg</t>
        </is>
      </c>
    </row>
    <row r="111">
      <c r="C111" s="410" t="inlineStr">
        <is>
          <t>ACEROS</t>
        </is>
      </c>
      <c r="D111" s="59" t="n"/>
      <c r="E111" s="60" t="n"/>
    </row>
    <row r="112">
      <c r="C112" s="411" t="inlineStr">
        <is>
          <t>Alambre negro</t>
        </is>
      </c>
      <c r="D112" s="1144" t="n">
        <v>0.045</v>
      </c>
      <c r="E112" s="413" t="n"/>
    </row>
    <row r="113">
      <c r="C113" s="411" t="inlineStr">
        <is>
          <t>Soldadura</t>
        </is>
      </c>
      <c r="D113" s="1144">
        <f>2.2/550</f>
        <v/>
      </c>
      <c r="E113" s="413" t="n"/>
    </row>
    <row r="114">
      <c r="C114" s="411" t="inlineStr">
        <is>
          <t>Thinner</t>
        </is>
      </c>
      <c r="D114" s="1144">
        <f>+D113</f>
        <v/>
      </c>
      <c r="E114" s="413" t="n"/>
    </row>
    <row r="115">
      <c r="C115" s="411" t="inlineStr">
        <is>
          <t>Disco corte metal</t>
        </is>
      </c>
      <c r="D115" s="1144">
        <f>+D114</f>
        <v/>
      </c>
      <c r="E115" s="413" t="n"/>
    </row>
    <row r="116">
      <c r="C116" s="411" t="inlineStr">
        <is>
          <t>Mecha</t>
        </is>
      </c>
      <c r="D116" s="1144">
        <f>+D115</f>
        <v/>
      </c>
      <c r="E116" s="413" t="n"/>
    </row>
    <row r="117">
      <c r="C117" s="410" t="inlineStr">
        <is>
          <t>CIELOS DE GYPSUM</t>
        </is>
      </c>
      <c r="D117" s="59" t="n"/>
      <c r="E117" s="60" t="n"/>
    </row>
    <row r="118">
      <c r="C118" s="411" t="inlineStr">
        <is>
          <t>Láminas (a una cara)</t>
        </is>
      </c>
      <c r="D118" s="455">
        <f>1.1/1.22/2.44</f>
        <v/>
      </c>
      <c r="E118" s="413" t="inlineStr">
        <is>
          <t>/m2</t>
        </is>
      </c>
    </row>
    <row r="119">
      <c r="C119" s="411" t="inlineStr">
        <is>
          <t>Perfil omega</t>
        </is>
      </c>
      <c r="D119" s="455">
        <f>1.1/0.4/3.5</f>
        <v/>
      </c>
      <c r="E119" s="413" t="inlineStr">
        <is>
          <t>/m2</t>
        </is>
      </c>
    </row>
    <row r="120">
      <c r="C120" s="411" t="inlineStr">
        <is>
          <t>Canal para cielo</t>
        </is>
      </c>
      <c r="D120" s="455">
        <f>1.1/1.2/4.5</f>
        <v/>
      </c>
      <c r="E120" s="413" t="inlineStr">
        <is>
          <t>/m2</t>
        </is>
      </c>
    </row>
    <row r="121">
      <c r="C121" s="411" t="inlineStr">
        <is>
          <t>Angular de metal</t>
        </is>
      </c>
      <c r="D121" s="455" t="n">
        <v>0.25</v>
      </c>
      <c r="E121" s="413" t="inlineStr">
        <is>
          <t>/m2</t>
        </is>
      </c>
    </row>
    <row r="122">
      <c r="C122" s="411" t="inlineStr">
        <is>
          <t>Cinta papel de 2"x76m</t>
        </is>
      </c>
      <c r="D122" s="455">
        <f>+D118*3.66/76*1.1</f>
        <v/>
      </c>
      <c r="E122" s="413" t="inlineStr">
        <is>
          <t>/m2</t>
        </is>
      </c>
    </row>
    <row r="123">
      <c r="C123" s="411" t="inlineStr">
        <is>
          <t>Pasta para cielo (cubeta)</t>
        </is>
      </c>
      <c r="D123" s="455" t="n">
        <v>0.06666666666666667</v>
      </c>
      <c r="E123" s="413" t="inlineStr">
        <is>
          <t>/m2</t>
        </is>
      </c>
    </row>
    <row r="124">
      <c r="C124" s="411" t="inlineStr">
        <is>
          <t>Tornillo frijolillo</t>
        </is>
      </c>
      <c r="D124" s="455" t="n">
        <v>25</v>
      </c>
      <c r="E124" s="413" t="inlineStr">
        <is>
          <t>/m2</t>
        </is>
      </c>
    </row>
    <row r="125">
      <c r="C125" s="411" t="inlineStr">
        <is>
          <t>Tornillo de forro</t>
        </is>
      </c>
      <c r="D125" s="455" t="n">
        <v>12</v>
      </c>
      <c r="E125" s="413" t="inlineStr">
        <is>
          <t>/m2</t>
        </is>
      </c>
    </row>
    <row r="126">
      <c r="C126" s="410" t="inlineStr">
        <is>
          <t>MURO SECO</t>
        </is>
      </c>
      <c r="D126" s="59" t="n"/>
      <c r="E126" s="60" t="n"/>
    </row>
    <row r="127">
      <c r="C127" s="411" t="inlineStr">
        <is>
          <t>Láminas (a dos caras)</t>
        </is>
      </c>
      <c r="D127" s="455">
        <f>2*1.1/1.22/2.44</f>
        <v/>
      </c>
      <c r="E127" s="413" t="inlineStr">
        <is>
          <t>/m2</t>
        </is>
      </c>
    </row>
    <row r="128">
      <c r="C128" s="411" t="inlineStr">
        <is>
          <t>Stud</t>
        </is>
      </c>
      <c r="D128" s="455">
        <f>1.1/0.4/3</f>
        <v/>
      </c>
      <c r="E128" s="413" t="inlineStr">
        <is>
          <t>/m2</t>
        </is>
      </c>
    </row>
    <row r="129">
      <c r="C129" s="411" t="inlineStr">
        <is>
          <t>Track</t>
        </is>
      </c>
      <c r="D129" s="455">
        <f>1.1*2/D27/3</f>
        <v/>
      </c>
      <c r="E129" s="413" t="inlineStr">
        <is>
          <t>/m2</t>
        </is>
      </c>
    </row>
    <row r="130">
      <c r="C130" s="411" t="inlineStr">
        <is>
          <t>Clavo de impacto</t>
        </is>
      </c>
      <c r="D130" s="455">
        <f>+D129*3/0.2</f>
        <v/>
      </c>
      <c r="E130" s="413" t="inlineStr">
        <is>
          <t>/m2</t>
        </is>
      </c>
    </row>
    <row r="131">
      <c r="C131" s="411" t="inlineStr">
        <is>
          <t>Tiro verde</t>
        </is>
      </c>
      <c r="D131" s="455">
        <f>+D130</f>
        <v/>
      </c>
      <c r="E131" s="413" t="inlineStr">
        <is>
          <t>/m2</t>
        </is>
      </c>
    </row>
    <row r="132">
      <c r="C132" s="411" t="inlineStr">
        <is>
          <t xml:space="preserve">Cinta malla </t>
        </is>
      </c>
      <c r="D132" s="455">
        <f>+D118*2*3.66/45*1.1</f>
        <v/>
      </c>
      <c r="E132" s="413" t="inlineStr">
        <is>
          <t>/m2</t>
        </is>
      </c>
    </row>
    <row r="133">
      <c r="C133" s="411" t="inlineStr">
        <is>
          <t>Jota de plástico</t>
        </is>
      </c>
      <c r="D133" s="455">
        <f>1.1/3.05</f>
        <v/>
      </c>
      <c r="E133" s="413" t="inlineStr">
        <is>
          <t>/m2</t>
        </is>
      </c>
    </row>
    <row r="134">
      <c r="C134" s="411" t="inlineStr">
        <is>
          <t>Esquinero de plástico</t>
        </is>
      </c>
      <c r="D134" s="455">
        <f>1.1/3.05</f>
        <v/>
      </c>
      <c r="E134" s="413" t="inlineStr">
        <is>
          <t>/m2</t>
        </is>
      </c>
    </row>
    <row r="135">
      <c r="C135" s="411" t="inlineStr">
        <is>
          <t>Tornillo frijolillo</t>
        </is>
      </c>
      <c r="D135" s="455" t="n">
        <v>25</v>
      </c>
      <c r="E135" s="413" t="inlineStr">
        <is>
          <t>/m2</t>
        </is>
      </c>
    </row>
    <row r="136">
      <c r="C136" s="411" t="inlineStr">
        <is>
          <t>Tornillo de forro</t>
        </is>
      </c>
      <c r="D136" s="455" t="n">
        <v>24</v>
      </c>
      <c r="E136" s="413" t="inlineStr">
        <is>
          <t>/m2</t>
        </is>
      </c>
    </row>
    <row r="137">
      <c r="C137" s="411" t="inlineStr">
        <is>
          <t>Muro seco</t>
        </is>
      </c>
      <c r="D137" s="455">
        <f>1/3.3</f>
        <v/>
      </c>
      <c r="E137" s="413" t="inlineStr">
        <is>
          <t>/m2</t>
        </is>
      </c>
    </row>
    <row r="138">
      <c r="C138" s="411" t="inlineStr">
        <is>
          <t>Maxiempaste liso 25kg</t>
        </is>
      </c>
      <c r="D138" s="455">
        <f>1.1/12</f>
        <v/>
      </c>
      <c r="E138" s="413" t="inlineStr">
        <is>
          <t>/m2</t>
        </is>
      </c>
    </row>
    <row r="139">
      <c r="C139" s="410" t="inlineStr">
        <is>
          <t>ENCHAPES</t>
        </is>
      </c>
      <c r="D139" s="59" t="n"/>
      <c r="E139" s="60" t="n"/>
    </row>
    <row r="140">
      <c r="C140" s="411" t="inlineStr">
        <is>
          <t>Bondex Plus 40 kg INTACO</t>
        </is>
      </c>
      <c r="D140" s="455">
        <f>1/6.45*1.1</f>
        <v/>
      </c>
      <c r="E140" s="413" t="inlineStr">
        <is>
          <t>/m2</t>
        </is>
      </c>
    </row>
    <row r="141">
      <c r="C141" s="411" t="inlineStr">
        <is>
          <t>Fragua 2kg</t>
        </is>
      </c>
      <c r="D141" s="455" t="n">
        <v>0.15</v>
      </c>
      <c r="E141" s="413" t="inlineStr">
        <is>
          <t>/m2</t>
        </is>
      </c>
    </row>
    <row r="142">
      <c r="C142" s="411" t="inlineStr">
        <is>
          <t>Cruz para sisa</t>
        </is>
      </c>
      <c r="D142" s="455">
        <f>1/15</f>
        <v/>
      </c>
      <c r="E142" s="413" t="inlineStr">
        <is>
          <t>/m2</t>
        </is>
      </c>
    </row>
    <row r="143">
      <c r="C143" s="411" t="inlineStr">
        <is>
          <t>Espuma para limpiar</t>
        </is>
      </c>
      <c r="D143" s="455">
        <f>1/60</f>
        <v/>
      </c>
      <c r="E143" s="413" t="inlineStr">
        <is>
          <t>/m2</t>
        </is>
      </c>
    </row>
    <row r="144">
      <c r="C144" s="411" t="inlineStr">
        <is>
          <t>Chispa para cortar ceramica</t>
        </is>
      </c>
      <c r="D144" s="455">
        <f>1/75</f>
        <v/>
      </c>
      <c r="E144" s="413" t="inlineStr">
        <is>
          <t>/m2</t>
        </is>
      </c>
    </row>
    <row r="145">
      <c r="A145" s="456">
        <f>+Detallado!Y7</f>
        <v/>
      </c>
      <c r="C145" s="411" t="inlineStr">
        <is>
          <t>Disco diamantado 4-1/2"</t>
        </is>
      </c>
      <c r="D145" s="455">
        <f>1/120</f>
        <v/>
      </c>
      <c r="E145" s="413" t="inlineStr">
        <is>
          <t>/m2</t>
        </is>
      </c>
    </row>
    <row r="146">
      <c r="A146" s="419" t="inlineStr">
        <is>
          <t>Precio anterior</t>
        </is>
      </c>
      <c r="C146" s="410" t="inlineStr">
        <is>
          <t>MANO DE OBRA</t>
        </is>
      </c>
      <c r="D146" s="59" t="n"/>
      <c r="E146" s="60" t="n"/>
      <c r="F146" s="457" t="n"/>
    </row>
    <row r="147">
      <c r="A147" s="458" t="n">
        <v>600</v>
      </c>
      <c r="C147" s="411" t="inlineStr">
        <is>
          <t>Trazo</t>
        </is>
      </c>
      <c r="D147" s="459" t="n">
        <v>600</v>
      </c>
      <c r="E147" s="413" t="inlineStr">
        <is>
          <t>/m2</t>
        </is>
      </c>
    </row>
    <row r="148">
      <c r="A148" s="458" t="n">
        <v>2250</v>
      </c>
      <c r="C148" s="411" t="inlineStr">
        <is>
          <t>Excavación manual</t>
        </is>
      </c>
      <c r="D148" s="459" t="n">
        <v>2500</v>
      </c>
      <c r="E148" s="413" t="inlineStr">
        <is>
          <t>/m2</t>
        </is>
      </c>
    </row>
    <row r="149">
      <c r="A149" s="458" t="n">
        <v>7850</v>
      </c>
      <c r="C149" s="411" t="inlineStr">
        <is>
          <t>Relleno de lastre</t>
        </is>
      </c>
      <c r="D149" s="459" t="n">
        <v>8000</v>
      </c>
      <c r="E149" s="413" t="inlineStr">
        <is>
          <t>/m3</t>
        </is>
      </c>
    </row>
    <row r="150">
      <c r="A150" s="458" t="n">
        <v>10000</v>
      </c>
      <c r="C150" s="411" t="inlineStr">
        <is>
          <t>Sello de concreto</t>
        </is>
      </c>
      <c r="D150" s="459" t="n">
        <v>11000</v>
      </c>
      <c r="E150" s="413" t="inlineStr">
        <is>
          <t>/m3</t>
        </is>
      </c>
    </row>
    <row r="151">
      <c r="A151" s="458" t="n">
        <v>10000</v>
      </c>
      <c r="C151" s="411" t="inlineStr">
        <is>
          <t>Concreto losas</t>
        </is>
      </c>
      <c r="D151" s="459" t="n">
        <v>11000</v>
      </c>
      <c r="E151" s="413" t="inlineStr">
        <is>
          <t>/m3</t>
        </is>
      </c>
    </row>
    <row r="152">
      <c r="A152" s="458" t="n">
        <v>450</v>
      </c>
      <c r="C152" s="411" t="inlineStr">
        <is>
          <t>Armadura</t>
        </is>
      </c>
      <c r="D152" s="459" t="n">
        <v>600</v>
      </c>
      <c r="E152" s="413" t="inlineStr">
        <is>
          <t>/kg</t>
        </is>
      </c>
    </row>
    <row r="153">
      <c r="A153" s="458" t="n">
        <v>4000</v>
      </c>
      <c r="C153" s="411" t="inlineStr">
        <is>
          <t>Formaleta de losas</t>
        </is>
      </c>
      <c r="D153" s="459" t="n">
        <v>6000</v>
      </c>
      <c r="E153" s="413" t="inlineStr">
        <is>
          <t>/m2</t>
        </is>
      </c>
    </row>
    <row r="154">
      <c r="A154" s="458" t="n">
        <v>1000</v>
      </c>
      <c r="C154" s="411" t="inlineStr">
        <is>
          <t>Tuberia sanitaria_losa</t>
        </is>
      </c>
      <c r="D154" s="459" t="n">
        <v>1200</v>
      </c>
      <c r="E154" s="413" t="inlineStr">
        <is>
          <t>/ml</t>
        </is>
      </c>
    </row>
    <row r="155">
      <c r="A155" s="458" t="n">
        <v>375</v>
      </c>
      <c r="C155" s="411" t="inlineStr">
        <is>
          <t>Accesorios sanitarios_losa</t>
        </is>
      </c>
      <c r="D155" s="459" t="n">
        <v>500</v>
      </c>
      <c r="E155" s="413" t="inlineStr">
        <is>
          <t>/und</t>
        </is>
      </c>
    </row>
    <row r="156">
      <c r="A156" s="458" t="n">
        <v>1000</v>
      </c>
      <c r="C156" s="411" t="inlineStr">
        <is>
          <t>Tuberia sanitaria_entrepiso</t>
        </is>
      </c>
      <c r="D156" s="459" t="n">
        <v>1200</v>
      </c>
      <c r="E156" s="413" t="inlineStr">
        <is>
          <t>/ml</t>
        </is>
      </c>
    </row>
    <row r="157">
      <c r="A157" s="458" t="n">
        <v>385</v>
      </c>
      <c r="C157" s="411" t="inlineStr">
        <is>
          <t>Accesorios sanitarios_entrepiso</t>
        </is>
      </c>
      <c r="D157" s="459" t="n">
        <v>400</v>
      </c>
      <c r="E157" s="413" t="inlineStr">
        <is>
          <t>/und</t>
        </is>
      </c>
    </row>
    <row r="158">
      <c r="A158" s="458" t="n">
        <v>500</v>
      </c>
      <c r="C158" s="411" t="inlineStr">
        <is>
          <t>Tuberia potable</t>
        </is>
      </c>
      <c r="D158" s="459" t="n">
        <v>600</v>
      </c>
      <c r="E158" s="413" t="inlineStr">
        <is>
          <t>/ml</t>
        </is>
      </c>
    </row>
    <row r="159">
      <c r="A159" s="458" t="n">
        <v>200</v>
      </c>
      <c r="C159" s="411" t="inlineStr">
        <is>
          <t>Accesorios potable</t>
        </is>
      </c>
      <c r="D159" s="459" t="n">
        <v>485</v>
      </c>
      <c r="E159" s="413" t="inlineStr">
        <is>
          <t>/und</t>
        </is>
      </c>
    </row>
    <row r="160">
      <c r="A160" s="458" t="n">
        <v>1000</v>
      </c>
      <c r="C160" s="411" t="inlineStr">
        <is>
          <t>Tuberia pluvial</t>
        </is>
      </c>
      <c r="D160" s="459" t="n">
        <v>1200</v>
      </c>
      <c r="E160" s="413" t="inlineStr">
        <is>
          <t>/ml</t>
        </is>
      </c>
    </row>
    <row r="161">
      <c r="A161" s="458" t="n">
        <v>375</v>
      </c>
      <c r="C161" s="411" t="inlineStr">
        <is>
          <t>Accesorios pluvial</t>
        </is>
      </c>
      <c r="D161" s="459" t="n">
        <v>485</v>
      </c>
      <c r="E161" s="413" t="inlineStr">
        <is>
          <t>/und</t>
        </is>
      </c>
    </row>
    <row r="162">
      <c r="A162" s="458" t="n">
        <v>300</v>
      </c>
      <c r="C162" s="411" t="inlineStr">
        <is>
          <t>Tubería eléctrica en muros</t>
        </is>
      </c>
      <c r="D162" s="459" t="n">
        <v>400</v>
      </c>
      <c r="E162" s="413" t="inlineStr">
        <is>
          <t>/m2</t>
        </is>
      </c>
    </row>
    <row r="163">
      <c r="A163" s="458" t="n">
        <v>450</v>
      </c>
      <c r="C163" s="411" t="inlineStr">
        <is>
          <t>Armadura de muros</t>
        </is>
      </c>
      <c r="D163" s="459" t="n">
        <v>550</v>
      </c>
      <c r="E163" s="413" t="inlineStr">
        <is>
          <t>/kg</t>
        </is>
      </c>
    </row>
    <row r="164">
      <c r="A164" s="458" t="n">
        <v>1320</v>
      </c>
      <c r="C164" s="411" t="inlineStr">
        <is>
          <t>Formaleta de muros</t>
        </is>
      </c>
      <c r="D164" s="459" t="n">
        <v>1320</v>
      </c>
      <c r="E164" s="413" t="inlineStr">
        <is>
          <t>/m2</t>
        </is>
      </c>
    </row>
    <row r="165">
      <c r="A165" s="458" t="n">
        <v>10000</v>
      </c>
      <c r="C165" s="411" t="inlineStr">
        <is>
          <t>Concreto de muros</t>
        </is>
      </c>
      <c r="D165" s="459" t="n">
        <v>11000</v>
      </c>
      <c r="E165" s="413" t="inlineStr">
        <is>
          <t>/m3</t>
        </is>
      </c>
    </row>
    <row r="166">
      <c r="A166" s="458" t="n">
        <v>330</v>
      </c>
      <c r="C166" s="411" t="inlineStr">
        <is>
          <t>Trazo formaleta de muros</t>
        </is>
      </c>
      <c r="D166" s="459" t="n">
        <v>330</v>
      </c>
      <c r="E166" s="413" t="inlineStr">
        <is>
          <t>/m2</t>
        </is>
      </c>
    </row>
    <row r="167">
      <c r="A167" s="458" t="n">
        <v>550</v>
      </c>
      <c r="C167" s="411" t="inlineStr">
        <is>
          <t>Desencofrado de muros</t>
        </is>
      </c>
      <c r="D167" s="459" t="n">
        <v>550</v>
      </c>
      <c r="E167" s="413" t="inlineStr">
        <is>
          <t>/m2</t>
        </is>
      </c>
    </row>
    <row r="168">
      <c r="A168" s="458" t="n">
        <v>583.1314440250154</v>
      </c>
      <c r="C168" s="460" t="inlineStr">
        <is>
          <t>RESANE DE MUROS N1</t>
        </is>
      </c>
      <c r="D168" s="459" t="n">
        <v>650</v>
      </c>
      <c r="E168" s="413" t="inlineStr">
        <is>
          <t>/m3</t>
        </is>
      </c>
    </row>
    <row r="169">
      <c r="A169" s="458" t="n">
        <v>10000</v>
      </c>
      <c r="C169" s="411" t="inlineStr">
        <is>
          <t>Concreto de gradas</t>
        </is>
      </c>
      <c r="D169" s="459" t="n">
        <v>15000</v>
      </c>
      <c r="E169" s="413" t="inlineStr">
        <is>
          <t>/m3</t>
        </is>
      </c>
    </row>
    <row r="170">
      <c r="A170" s="458" t="n">
        <v>12000</v>
      </c>
      <c r="C170" s="411" t="inlineStr">
        <is>
          <t>Formaleta de gradas</t>
        </is>
      </c>
      <c r="D170" s="459" t="n">
        <v>16000</v>
      </c>
      <c r="E170" s="413" t="inlineStr">
        <is>
          <t>/m2</t>
        </is>
      </c>
    </row>
    <row r="171">
      <c r="A171" s="458" t="n">
        <v>3000</v>
      </c>
      <c r="C171" s="411" t="inlineStr">
        <is>
          <t>Trazo formaleta de gradas</t>
        </is>
      </c>
      <c r="D171" s="459" t="n">
        <v>3200</v>
      </c>
      <c r="E171" s="413" t="inlineStr">
        <is>
          <t>/m2</t>
        </is>
      </c>
    </row>
    <row r="172">
      <c r="A172" s="458" t="n">
        <v>6000</v>
      </c>
      <c r="C172" s="411" t="inlineStr">
        <is>
          <t>Desencofrado de gradas</t>
        </is>
      </c>
      <c r="D172" s="459" t="n">
        <v>6500</v>
      </c>
      <c r="E172" s="413" t="inlineStr">
        <is>
          <t>/m2</t>
        </is>
      </c>
    </row>
    <row r="173">
      <c r="A173" s="458" t="n">
        <v>2500</v>
      </c>
      <c r="C173" s="411" t="inlineStr">
        <is>
          <t>Acabado lavado de losa</t>
        </is>
      </c>
      <c r="D173" s="459" t="n">
        <v>3100</v>
      </c>
      <c r="E173" s="413" t="inlineStr">
        <is>
          <t>/m2</t>
        </is>
      </c>
    </row>
    <row r="174">
      <c r="A174" s="458" t="n">
        <v>750</v>
      </c>
      <c r="C174" s="411" t="inlineStr">
        <is>
          <t>Soldadura</t>
        </is>
      </c>
      <c r="D174" s="459" t="n">
        <v>1500</v>
      </c>
      <c r="E174" s="413" t="inlineStr">
        <is>
          <t>/kg</t>
        </is>
      </c>
    </row>
    <row r="175">
      <c r="A175" s="458" t="n">
        <v>2200</v>
      </c>
      <c r="C175" s="411" t="inlineStr">
        <is>
          <t>Instalación cubierta de techo</t>
        </is>
      </c>
      <c r="D175" s="459" t="n">
        <v>12500</v>
      </c>
      <c r="E175" s="413" t="inlineStr">
        <is>
          <t>/m2</t>
        </is>
      </c>
    </row>
    <row r="176">
      <c r="A176" s="458" t="n">
        <v>1400</v>
      </c>
      <c r="C176" s="411" t="inlineStr">
        <is>
          <t>Instalación de hojalatería</t>
        </is>
      </c>
      <c r="D176" s="459" t="n">
        <v>5000</v>
      </c>
      <c r="E176" s="413" t="inlineStr">
        <is>
          <t>/m</t>
        </is>
      </c>
    </row>
    <row r="177">
      <c r="A177" s="458" t="n">
        <v>2500</v>
      </c>
      <c r="C177" s="411" t="inlineStr">
        <is>
          <t>Tapicheles livianos</t>
        </is>
      </c>
      <c r="D177" s="459" t="n">
        <v>4500</v>
      </c>
      <c r="E177" s="413" t="inlineStr">
        <is>
          <t>/m2</t>
        </is>
      </c>
    </row>
    <row r="178">
      <c r="A178" s="458" t="n">
        <v>2500</v>
      </c>
      <c r="C178" s="411" t="inlineStr">
        <is>
          <t>Cielos de gypsum</t>
        </is>
      </c>
      <c r="D178" s="459" t="n">
        <v>6000</v>
      </c>
      <c r="E178" s="413" t="inlineStr">
        <is>
          <t>/m2</t>
        </is>
      </c>
    </row>
    <row r="179">
      <c r="A179" s="458" t="n">
        <v>5000</v>
      </c>
      <c r="C179" s="411" t="inlineStr">
        <is>
          <t>Paredes livianas doble forro</t>
        </is>
      </c>
      <c r="D179" s="459" t="n">
        <v>6500</v>
      </c>
      <c r="E179" s="413" t="inlineStr">
        <is>
          <t>/m2</t>
        </is>
      </c>
    </row>
    <row r="180">
      <c r="A180" s="458" t="n">
        <v>3500</v>
      </c>
      <c r="C180" s="411" t="inlineStr">
        <is>
          <t>Enchapes de baño</t>
        </is>
      </c>
      <c r="D180" s="459" t="n">
        <v>6500</v>
      </c>
      <c r="E180" s="413" t="inlineStr">
        <is>
          <t>/m2</t>
        </is>
      </c>
    </row>
    <row r="181">
      <c r="A181" s="458" t="n">
        <v>3500</v>
      </c>
      <c r="C181" s="411" t="inlineStr">
        <is>
          <t>Enchape de piso</t>
        </is>
      </c>
      <c r="D181" s="459" t="n">
        <v>6500</v>
      </c>
      <c r="E181" s="413" t="inlineStr">
        <is>
          <t>/m2</t>
        </is>
      </c>
    </row>
    <row r="182">
      <c r="A182" s="458" t="n">
        <v>5000</v>
      </c>
      <c r="C182" s="411" t="inlineStr">
        <is>
          <t>Enchapes externos</t>
        </is>
      </c>
      <c r="D182" s="459" t="n">
        <v>6500</v>
      </c>
      <c r="E182" s="413" t="inlineStr">
        <is>
          <t>/m2</t>
        </is>
      </c>
    </row>
    <row r="183">
      <c r="A183" s="458" t="n">
        <v>4500</v>
      </c>
      <c r="C183" s="411" t="inlineStr">
        <is>
          <t>Enchape de gradas</t>
        </is>
      </c>
      <c r="D183" s="459" t="n">
        <v>6500</v>
      </c>
      <c r="E183" s="413" t="inlineStr">
        <is>
          <t>/m3</t>
        </is>
      </c>
    </row>
    <row r="184">
      <c r="A184" s="458" t="n">
        <v>2300</v>
      </c>
      <c r="C184" s="411" t="inlineStr">
        <is>
          <t>Repello</t>
        </is>
      </c>
      <c r="D184" s="459" t="n">
        <v>2500</v>
      </c>
      <c r="E184" s="413" t="inlineStr">
        <is>
          <t>/m2</t>
        </is>
      </c>
    </row>
    <row r="185">
      <c r="A185" s="458" t="n">
        <v>1200</v>
      </c>
      <c r="C185" s="411" t="inlineStr">
        <is>
          <t>Empaste</t>
        </is>
      </c>
      <c r="D185" s="459" t="n">
        <v>1500</v>
      </c>
      <c r="E185" s="413" t="inlineStr">
        <is>
          <t>/m2</t>
        </is>
      </c>
    </row>
    <row r="186">
      <c r="A186" s="458" t="n">
        <v>2200</v>
      </c>
      <c r="C186" s="411" t="inlineStr">
        <is>
          <t>Instalación de zacate</t>
        </is>
      </c>
      <c r="D186" s="459" t="n">
        <v>4000</v>
      </c>
      <c r="E186" s="413" t="inlineStr">
        <is>
          <t>/m2</t>
        </is>
      </c>
      <c r="F186" s="461" t="n"/>
    </row>
    <row r="187">
      <c r="A187" s="458" t="n">
        <v>600</v>
      </c>
      <c r="C187" s="460" t="inlineStr">
        <is>
          <t>Pintura SELLADOR</t>
        </is>
      </c>
      <c r="D187" s="459" t="n">
        <v>800</v>
      </c>
      <c r="E187" s="413" t="inlineStr">
        <is>
          <t>/m2</t>
        </is>
      </c>
    </row>
    <row r="188">
      <c r="A188" s="458" t="n">
        <v>1200</v>
      </c>
      <c r="C188" s="460" t="inlineStr">
        <is>
          <t>Pintura INTERNA</t>
        </is>
      </c>
      <c r="D188" s="459" t="n">
        <v>1200</v>
      </c>
      <c r="E188" s="413" t="inlineStr">
        <is>
          <t>/m2</t>
        </is>
      </c>
    </row>
    <row r="189">
      <c r="A189" s="458" t="n">
        <v>1200</v>
      </c>
      <c r="C189" s="460" t="inlineStr">
        <is>
          <t>Pintura EXTERNA</t>
        </is>
      </c>
      <c r="D189" s="459" t="n">
        <v>1200</v>
      </c>
      <c r="E189" s="413" t="inlineStr">
        <is>
          <t>/m2</t>
        </is>
      </c>
    </row>
    <row r="190">
      <c r="A190" s="458" t="n">
        <v>1000</v>
      </c>
      <c r="C190" s="460" t="inlineStr">
        <is>
          <t>RESANE Y GRIETAS</t>
        </is>
      </c>
      <c r="D190" s="459" t="n">
        <v>1000</v>
      </c>
      <c r="E190" s="413" t="inlineStr">
        <is>
          <t>/m2</t>
        </is>
      </c>
    </row>
    <row r="191">
      <c r="A191" s="458" t="n">
        <v>10350</v>
      </c>
      <c r="C191" s="411" t="inlineStr">
        <is>
          <t>Instalación de puertas</t>
        </is>
      </c>
      <c r="D191" s="459" t="n">
        <v>13500</v>
      </c>
      <c r="E191" s="413" t="inlineStr">
        <is>
          <t>/u</t>
        </is>
      </c>
    </row>
    <row r="192">
      <c r="A192" s="458" t="n">
        <v>1300</v>
      </c>
      <c r="C192" s="411" t="inlineStr">
        <is>
          <t>Instalación de rodapiés</t>
        </is>
      </c>
      <c r="D192" s="459" t="n">
        <v>3500</v>
      </c>
      <c r="E192" s="413" t="inlineStr">
        <is>
          <t>/m</t>
        </is>
      </c>
    </row>
    <row r="193">
      <c r="A193" s="458" t="n">
        <v>7800</v>
      </c>
      <c r="C193" s="411" t="inlineStr">
        <is>
          <t>Instalación inodoro</t>
        </is>
      </c>
      <c r="D193" s="459" t="n">
        <v>7800</v>
      </c>
      <c r="E193" s="413" t="inlineStr">
        <is>
          <t>/u</t>
        </is>
      </c>
    </row>
    <row r="194">
      <c r="A194" s="458" t="n">
        <v>5175</v>
      </c>
      <c r="C194" s="411" t="inlineStr">
        <is>
          <t>Instalación lavatorio</t>
        </is>
      </c>
      <c r="D194" s="459" t="n">
        <v>5500</v>
      </c>
      <c r="E194" s="413" t="inlineStr">
        <is>
          <t>/u</t>
        </is>
      </c>
    </row>
    <row r="195">
      <c r="A195" s="458" t="n">
        <v>5175</v>
      </c>
      <c r="C195" s="411" t="inlineStr">
        <is>
          <t>Instalación fregadero</t>
        </is>
      </c>
      <c r="D195" s="459" t="n">
        <v>5500</v>
      </c>
      <c r="E195" s="413" t="inlineStr">
        <is>
          <t>/u</t>
        </is>
      </c>
    </row>
    <row r="196">
      <c r="A196" s="458" t="n">
        <v>5175</v>
      </c>
      <c r="C196" s="411" t="inlineStr">
        <is>
          <t>Instalación pila</t>
        </is>
      </c>
      <c r="D196" s="459" t="n">
        <v>5500</v>
      </c>
      <c r="E196" s="413" t="inlineStr">
        <is>
          <t>/u</t>
        </is>
      </c>
    </row>
    <row r="197">
      <c r="A197" s="458" t="n">
        <v>2570</v>
      </c>
      <c r="C197" s="411" t="inlineStr">
        <is>
          <t>Instalación ducha</t>
        </is>
      </c>
      <c r="D197" s="459" t="n">
        <v>2570</v>
      </c>
      <c r="E197" s="413" t="inlineStr">
        <is>
          <t>/u</t>
        </is>
      </c>
    </row>
    <row r="198">
      <c r="A198" s="458" t="n">
        <v>5175</v>
      </c>
      <c r="C198" s="411" t="inlineStr">
        <is>
          <t>Instalación de griferia</t>
        </is>
      </c>
      <c r="D198" s="459" t="n">
        <v>5175</v>
      </c>
      <c r="E198" s="413" t="inlineStr">
        <is>
          <t>/u</t>
        </is>
      </c>
    </row>
    <row r="199">
      <c r="A199" s="458" t="n">
        <v>1800</v>
      </c>
      <c r="C199" s="411" t="inlineStr">
        <is>
          <t>Acabado de azotea</t>
        </is>
      </c>
      <c r="D199" s="459" t="n">
        <v>2500</v>
      </c>
      <c r="E199" s="413" t="inlineStr">
        <is>
          <t>/m2</t>
        </is>
      </c>
    </row>
    <row r="200">
      <c r="A200" s="458" t="n">
        <v>850</v>
      </c>
      <c r="C200" s="411" t="inlineStr">
        <is>
          <t>Revisión y limpieza final (poncheo)</t>
        </is>
      </c>
      <c r="D200" s="459" t="n">
        <v>2000</v>
      </c>
      <c r="E200" s="413" t="inlineStr">
        <is>
          <t>/m2</t>
        </is>
      </c>
    </row>
    <row r="201">
      <c r="A201" s="458" t="n">
        <v>11600</v>
      </c>
      <c r="C201" s="462" t="inlineStr">
        <is>
          <t>Instalación de tapia prefa</t>
        </is>
      </c>
      <c r="D201" s="463" t="n">
        <v>14500</v>
      </c>
      <c r="E201" s="464" t="inlineStr">
        <is>
          <t>/m</t>
        </is>
      </c>
    </row>
    <row r="202">
      <c r="A202" s="458" t="n">
        <v>4500</v>
      </c>
      <c r="C202" s="462" t="inlineStr">
        <is>
          <t>Cajas mecanicas</t>
        </is>
      </c>
      <c r="D202" s="463" t="n">
        <v>12000</v>
      </c>
      <c r="E202" s="413" t="inlineStr">
        <is>
          <t>/u</t>
        </is>
      </c>
    </row>
    <row r="203">
      <c r="A203" s="458" t="n">
        <v>1000</v>
      </c>
      <c r="C203" s="411" t="inlineStr">
        <is>
          <t>Tuberia sanitaria_losa</t>
        </is>
      </c>
      <c r="D203" s="459" t="n">
        <v>2000</v>
      </c>
      <c r="E203" s="413" t="inlineStr">
        <is>
          <t>/ml</t>
        </is>
      </c>
    </row>
    <row r="204">
      <c r="A204" s="458" t="n">
        <v>400</v>
      </c>
      <c r="C204" s="411" t="inlineStr">
        <is>
          <t>Accesorios sanitarios_losa</t>
        </is>
      </c>
      <c r="D204" s="459" t="n">
        <v>2000</v>
      </c>
      <c r="E204" s="413" t="inlineStr">
        <is>
          <t>/und</t>
        </is>
      </c>
    </row>
    <row r="205">
      <c r="A205" s="458" t="n">
        <v>5000</v>
      </c>
      <c r="C205" s="462" t="inlineStr">
        <is>
          <t>Bajantes</t>
        </is>
      </c>
      <c r="D205" s="463" t="n">
        <v>15000</v>
      </c>
      <c r="E205" s="413" t="inlineStr">
        <is>
          <t>/baño</t>
        </is>
      </c>
    </row>
    <row r="206">
      <c r="A206" s="458" t="n">
        <v>15600</v>
      </c>
      <c r="C206" s="462" t="inlineStr">
        <is>
          <t>Acabados mecánicos</t>
        </is>
      </c>
      <c r="D206" s="463" t="n">
        <v>25000</v>
      </c>
      <c r="E206" s="413" t="inlineStr">
        <is>
          <t>/u</t>
        </is>
      </c>
    </row>
    <row r="207">
      <c r="A207" s="458" t="n">
        <v>4000</v>
      </c>
      <c r="C207" s="462" t="inlineStr">
        <is>
          <t>Medidor</t>
        </is>
      </c>
      <c r="D207" s="463" t="n">
        <v>15000</v>
      </c>
      <c r="E207" s="413" t="inlineStr">
        <is>
          <t>/u</t>
        </is>
      </c>
    </row>
    <row r="208">
      <c r="A208" s="458" t="n">
        <v>1338.8</v>
      </c>
      <c r="C208" s="462" t="inlineStr">
        <is>
          <t>Fabricación de Hojalateria</t>
        </is>
      </c>
      <c r="D208" s="463" t="n">
        <v>6000</v>
      </c>
      <c r="E208" s="464" t="inlineStr">
        <is>
          <t>/m</t>
        </is>
      </c>
    </row>
    <row r="209">
      <c r="A209" s="458" t="n">
        <v>3327.97427652733</v>
      </c>
      <c r="C209" s="411" t="inlineStr">
        <is>
          <t>Geocelda</t>
        </is>
      </c>
      <c r="D209" s="459" t="n">
        <v>18000</v>
      </c>
      <c r="E209" s="413" t="inlineStr">
        <is>
          <t>/m</t>
        </is>
      </c>
    </row>
    <row r="212">
      <c r="C212" s="465" t="n">
        <v>1</v>
      </c>
      <c r="D212" s="465" t="inlineStr">
        <is>
          <t>OBRA GRIS</t>
        </is>
      </c>
    </row>
    <row r="214">
      <c r="C214" s="466" t="n">
        <v>1.1</v>
      </c>
      <c r="D214" s="466" t="inlineStr">
        <is>
          <t>FUNDACIONES</t>
        </is>
      </c>
    </row>
    <row r="215">
      <c r="C215" s="467" t="n"/>
      <c r="D215" s="467" t="n"/>
    </row>
    <row r="216">
      <c r="C216" s="468" t="inlineStr">
        <is>
          <t>1.1.1</t>
        </is>
      </c>
      <c r="D216" s="468" t="inlineStr">
        <is>
          <t xml:space="preserve">TRAZADO Y RELLENOS </t>
        </is>
      </c>
    </row>
    <row r="218">
      <c r="B218" s="469" t="n"/>
      <c r="C218" s="470" t="inlineStr">
        <is>
          <t>Espesor lastre:</t>
        </is>
      </c>
      <c r="D218" s="470" t="n">
        <v>0.25</v>
      </c>
      <c r="E218" s="470" t="inlineStr">
        <is>
          <t xml:space="preserve">m </t>
        </is>
      </c>
      <c r="F218" s="421" t="n"/>
    </row>
    <row r="219">
      <c r="B219" s="469" t="n"/>
      <c r="C219" s="471" t="inlineStr">
        <is>
          <t xml:space="preserve">Área casa (incluye área de pilas) </t>
        </is>
      </c>
      <c r="D219" s="472">
        <f>+D16</f>
        <v/>
      </c>
      <c r="E219" s="470" t="inlineStr">
        <is>
          <t xml:space="preserve">m2 </t>
        </is>
      </c>
    </row>
    <row r="220">
      <c r="B220" s="469" t="n"/>
      <c r="C220" s="473" t="n"/>
      <c r="D220" s="474" t="n"/>
      <c r="E220" s="427" t="n"/>
    </row>
    <row r="221">
      <c r="B221" s="469" t="n"/>
      <c r="C221" s="475" t="inlineStr">
        <is>
          <t>Elemento</t>
        </is>
      </c>
      <c r="D221" s="475" t="inlineStr">
        <is>
          <t>Cantidad</t>
        </is>
      </c>
      <c r="E221" s="475" t="inlineStr">
        <is>
          <t>Uni</t>
        </is>
      </c>
    </row>
    <row r="222">
      <c r="B222" s="476" t="inlineStr">
        <is>
          <t>M10-0023</t>
        </is>
      </c>
      <c r="C222" s="475" t="inlineStr">
        <is>
          <t>M3 totales de lastres</t>
        </is>
      </c>
      <c r="D222" s="477">
        <f>D218*D219*(1+FCL)</f>
        <v/>
      </c>
      <c r="E222" s="475" t="inlineStr">
        <is>
          <t>m3</t>
        </is>
      </c>
    </row>
    <row r="223">
      <c r="B223" s="476" t="inlineStr">
        <is>
          <t>M06-0163</t>
        </is>
      </c>
      <c r="C223" s="475" t="inlineStr">
        <is>
          <t>Bolsa cal</t>
        </is>
      </c>
      <c r="D223" s="475" t="n">
        <v>2</v>
      </c>
      <c r="E223" s="475" t="inlineStr">
        <is>
          <t>Bolsa</t>
        </is>
      </c>
    </row>
    <row r="224">
      <c r="B224" s="476" t="inlineStr">
        <is>
          <t>M06-0179</t>
        </is>
      </c>
      <c r="C224" s="475" t="inlineStr">
        <is>
          <t>Crayon lyra amarillo</t>
        </is>
      </c>
      <c r="D224" s="475" t="n">
        <v>6</v>
      </c>
      <c r="E224" s="475" t="inlineStr">
        <is>
          <t>und</t>
        </is>
      </c>
    </row>
    <row r="225">
      <c r="B225" s="476" t="inlineStr">
        <is>
          <t>M06-0180</t>
        </is>
      </c>
      <c r="C225" s="475" t="inlineStr">
        <is>
          <t>Cuerda albañil blanca</t>
        </is>
      </c>
      <c r="D225" s="475" t="n">
        <v>3</v>
      </c>
      <c r="E225" s="475" t="inlineStr">
        <is>
          <t>und</t>
        </is>
      </c>
    </row>
    <row r="226">
      <c r="B226" s="478" t="n"/>
    </row>
    <row r="227">
      <c r="B227" s="469" t="n"/>
      <c r="C227" s="475" t="n"/>
      <c r="D227" s="475" t="inlineStr">
        <is>
          <t>Costo</t>
        </is>
      </c>
      <c r="E227" s="475" t="inlineStr">
        <is>
          <t xml:space="preserve">Costo Total </t>
        </is>
      </c>
      <c r="F227" s="475" t="inlineStr">
        <is>
          <t>Horas</t>
        </is>
      </c>
    </row>
    <row r="228">
      <c r="B228" s="469" t="n"/>
      <c r="C228" s="475" t="inlineStr">
        <is>
          <t>Mano de obra (trazado) (m2)</t>
        </is>
      </c>
      <c r="D228" s="479">
        <f>+D147</f>
        <v/>
      </c>
      <c r="E228" s="479">
        <f>D228*D219</f>
        <v/>
      </c>
      <c r="F228" s="480">
        <f>+E228/'COSTOS MO CUADRILLA'!K5</f>
        <v/>
      </c>
    </row>
    <row r="229">
      <c r="B229" s="469" t="n"/>
      <c r="C229" s="475" t="inlineStr">
        <is>
          <t>Mano de obra (relleno ) (m3)</t>
        </is>
      </c>
      <c r="D229" s="479">
        <f>+D149</f>
        <v/>
      </c>
      <c r="E229" s="479">
        <f>D229*D222</f>
        <v/>
      </c>
      <c r="F229" s="480">
        <f>+E229/'COSTOS MO CUADRILLA'!K5</f>
        <v/>
      </c>
    </row>
    <row r="230">
      <c r="B230" s="469" t="n"/>
      <c r="C230" s="475" t="n"/>
      <c r="D230" s="475" t="inlineStr">
        <is>
          <t xml:space="preserve">Total </t>
        </is>
      </c>
      <c r="E230" s="479">
        <f>SUM(E228:E229)</f>
        <v/>
      </c>
      <c r="F230" s="480">
        <f>+E230/'COSTOS MO CUADRILLA'!K5</f>
        <v/>
      </c>
    </row>
    <row r="231">
      <c r="B231" s="469" t="n"/>
      <c r="E231" s="481" t="n"/>
    </row>
    <row r="232">
      <c r="B232" s="469" t="n"/>
      <c r="C232" s="475" t="n"/>
      <c r="D232" s="475" t="inlineStr">
        <is>
          <t>Costo</t>
        </is>
      </c>
      <c r="E232" s="475" t="inlineStr">
        <is>
          <t xml:space="preserve">Costo Total </t>
        </is>
      </c>
      <c r="F232" s="475" t="inlineStr">
        <is>
          <t>Horas</t>
        </is>
      </c>
      <c r="G232" s="482" t="inlineStr">
        <is>
          <t>DATOS OVET 02/09/2025_CONFORMACION DE TERRAZA &amp; EXCAVACION</t>
        </is>
      </c>
      <c r="H232" s="482" t="n"/>
    </row>
    <row r="233">
      <c r="B233" s="469" t="n"/>
      <c r="C233" s="475" t="inlineStr">
        <is>
          <t>Horas de Back hoe</t>
        </is>
      </c>
      <c r="D233" s="475" t="n"/>
      <c r="E233" s="475" t="n"/>
      <c r="F233" s="477" t="n">
        <v>6</v>
      </c>
      <c r="G233" s="482" t="inlineStr">
        <is>
          <t>6 horas</t>
        </is>
      </c>
      <c r="H233" s="482" t="inlineStr">
        <is>
          <t>Back hoe peque</t>
        </is>
      </c>
    </row>
    <row r="234">
      <c r="B234" s="469" t="n"/>
      <c r="C234" s="475" t="inlineStr">
        <is>
          <t>Compactador</t>
        </is>
      </c>
      <c r="D234" s="475" t="n"/>
      <c r="E234" s="475" t="n"/>
      <c r="F234" s="477" t="n">
        <v>1</v>
      </c>
      <c r="G234" s="482" t="inlineStr">
        <is>
          <t>1hora</t>
        </is>
      </c>
      <c r="H234" s="482" t="inlineStr">
        <is>
          <t>Rodillo</t>
        </is>
      </c>
    </row>
    <row r="235">
      <c r="B235" s="469" t="n"/>
      <c r="C235" s="475" t="inlineStr">
        <is>
          <t>Vagoneta</t>
        </is>
      </c>
      <c r="D235" s="475" t="n"/>
      <c r="E235" s="475" t="n"/>
      <c r="F235" s="477" t="n">
        <v>2</v>
      </c>
      <c r="G235" s="482" t="inlineStr">
        <is>
          <t>2 horas</t>
        </is>
      </c>
      <c r="H235" s="482" t="inlineStr">
        <is>
          <t>Vagoneta</t>
        </is>
      </c>
    </row>
    <row r="236">
      <c r="B236" s="469" t="n"/>
      <c r="C236" s="475" t="n"/>
      <c r="D236" s="475" t="inlineStr">
        <is>
          <t>Total</t>
        </is>
      </c>
      <c r="E236" s="479">
        <f>SUM(E233:E234)</f>
        <v/>
      </c>
      <c r="F236" s="477">
        <f>SUM(F233:F234)</f>
        <v/>
      </c>
    </row>
    <row r="237">
      <c r="B237" s="469" t="n"/>
      <c r="E237" s="481" t="n"/>
    </row>
    <row r="238">
      <c r="C238" s="468" t="inlineStr">
        <is>
          <t>1.1.2</t>
        </is>
      </c>
      <c r="D238" s="483" t="inlineStr">
        <is>
          <t>EXCAVACIÓN</t>
        </is>
      </c>
    </row>
    <row r="239">
      <c r="C239" s="51" t="n"/>
      <c r="D239" s="51" t="n"/>
    </row>
    <row r="240">
      <c r="B240" s="469" t="n"/>
      <c r="C240" s="475" t="inlineStr">
        <is>
          <t>Elemento</t>
        </is>
      </c>
      <c r="D240" s="475" t="inlineStr">
        <is>
          <t>Cantidad</t>
        </is>
      </c>
      <c r="E240" s="475" t="inlineStr">
        <is>
          <t>Uni</t>
        </is>
      </c>
    </row>
    <row r="241">
      <c r="B241" s="476" t="inlineStr">
        <is>
          <t>M10-0010</t>
        </is>
      </c>
      <c r="C241" s="475" t="inlineStr">
        <is>
          <t>Arena lavada</t>
        </is>
      </c>
      <c r="D241" s="477" t="n">
        <v>0.5</v>
      </c>
      <c r="E241" s="475" t="inlineStr">
        <is>
          <t>m3</t>
        </is>
      </c>
    </row>
    <row r="242">
      <c r="B242" s="476" t="inlineStr">
        <is>
          <t>M06-0231</t>
        </is>
      </c>
      <c r="C242" s="475" t="inlineStr">
        <is>
          <t>Mecha blanca</t>
        </is>
      </c>
      <c r="D242" s="475" t="n">
        <v>1</v>
      </c>
      <c r="E242" s="475" t="inlineStr">
        <is>
          <t>kg</t>
        </is>
      </c>
    </row>
    <row r="243">
      <c r="B243" s="476" t="inlineStr">
        <is>
          <t>M06-0180</t>
        </is>
      </c>
      <c r="C243" s="475" t="inlineStr">
        <is>
          <t>Cuerda albañil blanca</t>
        </is>
      </c>
      <c r="D243" s="475" t="n">
        <v>1</v>
      </c>
      <c r="E243" s="475" t="inlineStr">
        <is>
          <t>un</t>
        </is>
      </c>
    </row>
    <row r="244">
      <c r="B244" s="476" t="inlineStr">
        <is>
          <t>M06-0123</t>
        </is>
      </c>
      <c r="C244" s="475" t="inlineStr">
        <is>
          <t>Acetona</t>
        </is>
      </c>
      <c r="D244" s="475" t="n">
        <v>1</v>
      </c>
      <c r="E244" s="475" t="inlineStr">
        <is>
          <t>litro</t>
        </is>
      </c>
    </row>
    <row r="245">
      <c r="B245" s="469" t="n"/>
      <c r="C245" s="484" t="n"/>
      <c r="D245" s="484" t="n"/>
      <c r="E245" s="481" t="n"/>
    </row>
    <row r="246">
      <c r="B246" s="469" t="n"/>
      <c r="C246" s="475" t="n"/>
      <c r="D246" s="475" t="inlineStr">
        <is>
          <t>Costo</t>
        </is>
      </c>
      <c r="E246" s="475" t="inlineStr">
        <is>
          <t xml:space="preserve">Costo Total </t>
        </is>
      </c>
      <c r="F246" s="475" t="inlineStr">
        <is>
          <t>Horas</t>
        </is>
      </c>
    </row>
    <row r="247">
      <c r="B247" s="469" t="n"/>
      <c r="C247" s="475" t="inlineStr">
        <is>
          <t>Mano de obra (excavación) (m2)</t>
        </is>
      </c>
      <c r="D247" s="479">
        <f>+D148</f>
        <v/>
      </c>
      <c r="E247" s="479">
        <f>D247*D219</f>
        <v/>
      </c>
      <c r="F247" s="480">
        <f>+E247/'COSTOS MO CUADRILLA'!K6</f>
        <v/>
      </c>
    </row>
    <row r="248">
      <c r="B248" s="469" t="n"/>
      <c r="C248" s="475" t="n"/>
      <c r="D248" s="475" t="inlineStr">
        <is>
          <t xml:space="preserve">Total </t>
        </is>
      </c>
      <c r="E248" s="479">
        <f>SUM(E247)</f>
        <v/>
      </c>
      <c r="F248" s="480">
        <f>+E248/'COSTOS MO CUADRILLA'!K6</f>
        <v/>
      </c>
    </row>
    <row r="249">
      <c r="B249" s="469" t="n"/>
      <c r="E249" s="481" t="n"/>
    </row>
    <row r="250">
      <c r="C250" s="468" t="inlineStr">
        <is>
          <t>1.1.3</t>
        </is>
      </c>
      <c r="D250" s="483" t="inlineStr">
        <is>
          <t xml:space="preserve">SELLO DE CONCRETO </t>
        </is>
      </c>
    </row>
    <row r="252">
      <c r="B252" s="469" t="n"/>
      <c r="C252" s="411" t="inlineStr">
        <is>
          <t xml:space="preserve">Espesor: </t>
        </is>
      </c>
      <c r="D252" s="413" t="n">
        <v>0.05</v>
      </c>
      <c r="E252" s="413" t="inlineStr">
        <is>
          <t xml:space="preserve">m </t>
        </is>
      </c>
      <c r="F252" s="421" t="n"/>
    </row>
    <row r="253">
      <c r="B253" s="469" t="n"/>
      <c r="C253" s="485" t="inlineStr">
        <is>
          <t xml:space="preserve">Área casa (NO incluye área de pilas) </t>
        </is>
      </c>
      <c r="D253" s="470">
        <f>+D12</f>
        <v/>
      </c>
      <c r="E253" s="470" t="inlineStr">
        <is>
          <t xml:space="preserve">m2 </t>
        </is>
      </c>
    </row>
    <row r="254">
      <c r="B254" s="469" t="n"/>
      <c r="E254" s="481" t="n"/>
    </row>
    <row r="255">
      <c r="B255" s="469" t="n"/>
      <c r="C255" s="486" t="inlineStr">
        <is>
          <t>Concreto</t>
        </is>
      </c>
      <c r="D255" s="487">
        <f>D252*D253</f>
        <v/>
      </c>
      <c r="E255" s="488" t="inlineStr">
        <is>
          <t>m3</t>
        </is>
      </c>
    </row>
    <row r="256">
      <c r="B256" s="469" t="n"/>
      <c r="E256" s="481" t="n"/>
    </row>
    <row r="257">
      <c r="B257" s="469" t="n"/>
      <c r="C257" s="488" t="inlineStr">
        <is>
          <t>Elemento</t>
        </is>
      </c>
      <c r="D257" s="488" t="inlineStr">
        <is>
          <t>Cantidad</t>
        </is>
      </c>
      <c r="E257" s="488" t="inlineStr">
        <is>
          <t>Uni</t>
        </is>
      </c>
    </row>
    <row r="258">
      <c r="B258" s="476" t="inlineStr">
        <is>
          <t>M10-0047</t>
        </is>
      </c>
      <c r="C258" s="486" t="inlineStr">
        <is>
          <t xml:space="preserve">Cemento </t>
        </is>
      </c>
      <c r="D258" s="488">
        <f>ROUND(D255*selloc,0)</f>
        <v/>
      </c>
      <c r="E258" s="488" t="inlineStr">
        <is>
          <t xml:space="preserve">kilos </t>
        </is>
      </c>
    </row>
    <row r="259">
      <c r="B259" s="476" t="inlineStr">
        <is>
          <t>M10-0015</t>
        </is>
      </c>
      <c r="C259" s="486" t="inlineStr">
        <is>
          <t xml:space="preserve">Arena </t>
        </is>
      </c>
      <c r="D259" s="487">
        <f>ROUND(D255*selloa,1)</f>
        <v/>
      </c>
      <c r="E259" s="488" t="inlineStr">
        <is>
          <t>m3</t>
        </is>
      </c>
    </row>
    <row r="260">
      <c r="B260" s="476" t="inlineStr">
        <is>
          <t>M10-0010</t>
        </is>
      </c>
      <c r="C260" s="486" t="inlineStr">
        <is>
          <t xml:space="preserve">Piedra </t>
        </is>
      </c>
      <c r="D260" s="488">
        <f>ROUND(D255*sellop,1)</f>
        <v/>
      </c>
      <c r="E260" s="488" t="inlineStr">
        <is>
          <t>m3</t>
        </is>
      </c>
    </row>
    <row r="261">
      <c r="B261" s="476" t="inlineStr">
        <is>
          <t>M01-0067</t>
        </is>
      </c>
      <c r="C261" s="486" t="inlineStr">
        <is>
          <t>Tubo 1X2X1.5MM HN</t>
        </is>
      </c>
      <c r="D261" s="488" t="n">
        <v>1</v>
      </c>
      <c r="E261" s="488" t="inlineStr">
        <is>
          <t>und</t>
        </is>
      </c>
    </row>
    <row r="262">
      <c r="B262" s="476" t="inlineStr">
        <is>
          <t>M01-0148</t>
        </is>
      </c>
      <c r="C262" s="486" t="inlineStr">
        <is>
          <t>Varilla deforme #4</t>
        </is>
      </c>
      <c r="D262" s="488" t="n">
        <v>1</v>
      </c>
      <c r="E262" s="488" t="inlineStr">
        <is>
          <t>und</t>
        </is>
      </c>
    </row>
    <row r="263">
      <c r="B263" s="476" t="inlineStr">
        <is>
          <t>M06-0180</t>
        </is>
      </c>
      <c r="C263" s="486" t="inlineStr">
        <is>
          <t>Cuerda albañil blanca</t>
        </is>
      </c>
      <c r="D263" s="488" t="n">
        <v>3</v>
      </c>
      <c r="E263" s="488" t="inlineStr">
        <is>
          <t>und</t>
        </is>
      </c>
    </row>
    <row r="264">
      <c r="B264" s="476" t="inlineStr">
        <is>
          <t>M09-0042</t>
        </is>
      </c>
      <c r="C264" s="486" t="inlineStr">
        <is>
          <t>Regla semiduro 1X3X4 sin cepillar</t>
        </is>
      </c>
      <c r="D264" s="488" t="n">
        <v>5</v>
      </c>
      <c r="E264" s="488" t="inlineStr">
        <is>
          <t>und</t>
        </is>
      </c>
    </row>
    <row r="265">
      <c r="B265" s="469" t="n"/>
      <c r="E265" s="481" t="n"/>
    </row>
    <row r="266">
      <c r="B266" s="469" t="n"/>
      <c r="C266" s="486" t="n"/>
      <c r="D266" s="488" t="inlineStr">
        <is>
          <t>Costo</t>
        </is>
      </c>
      <c r="E266" s="488" t="inlineStr">
        <is>
          <t xml:space="preserve">Costo Total </t>
        </is>
      </c>
      <c r="F266" s="488" t="inlineStr">
        <is>
          <t>Horas</t>
        </is>
      </c>
    </row>
    <row r="267">
      <c r="B267" s="469" t="n"/>
      <c r="C267" s="486" t="inlineStr">
        <is>
          <t>Mano de obra (concreto) (m3)</t>
        </is>
      </c>
      <c r="D267" s="489">
        <f>+D150</f>
        <v/>
      </c>
      <c r="E267" s="489">
        <f>D267*D255</f>
        <v/>
      </c>
      <c r="F267" s="490">
        <f>+E267/'COSTOS MO CUADRILLA'!K7</f>
        <v/>
      </c>
    </row>
    <row r="268">
      <c r="B268" s="469" t="n"/>
      <c r="C268" s="486" t="n"/>
      <c r="D268" s="489" t="inlineStr">
        <is>
          <t>Total</t>
        </is>
      </c>
      <c r="E268" s="489">
        <f>+SUM(E267)</f>
        <v/>
      </c>
      <c r="F268" s="490">
        <f>+E268/'COSTOS MO CUADRILLA'!K7</f>
        <v/>
      </c>
    </row>
    <row r="269">
      <c r="B269" s="469" t="n"/>
      <c r="E269" s="481" t="n"/>
    </row>
    <row r="270">
      <c r="C270" s="468" t="inlineStr">
        <is>
          <t>1.1.4</t>
        </is>
      </c>
      <c r="D270" s="483" t="inlineStr">
        <is>
          <t xml:space="preserve">LOSA FLOTANTE (ACERO, CONCRETO) </t>
        </is>
      </c>
    </row>
    <row r="272">
      <c r="C272" s="491" t="inlineStr">
        <is>
          <t xml:space="preserve">CONCRETO </t>
        </is>
      </c>
    </row>
    <row r="274">
      <c r="B274" s="469" t="n"/>
      <c r="C274" s="411" t="inlineStr">
        <is>
          <t xml:space="preserve">Espesor: </t>
        </is>
      </c>
      <c r="D274" s="413" t="n">
        <v>0.2</v>
      </c>
      <c r="E274" s="413" t="inlineStr">
        <is>
          <t xml:space="preserve">m </t>
        </is>
      </c>
      <c r="F274" s="421" t="n"/>
    </row>
    <row r="275">
      <c r="B275" s="469" t="n"/>
      <c r="C275" s="485" t="inlineStr">
        <is>
          <t xml:space="preserve">Área casa (NO incluye área de pilas) </t>
        </is>
      </c>
      <c r="D275" s="470">
        <f>+D253</f>
        <v/>
      </c>
      <c r="E275" s="470" t="inlineStr">
        <is>
          <t xml:space="preserve">m2 </t>
        </is>
      </c>
    </row>
    <row r="276">
      <c r="B276" s="469" t="n"/>
      <c r="E276" s="481" t="n"/>
    </row>
    <row r="277">
      <c r="B277" s="469" t="n"/>
      <c r="C277" s="475" t="inlineStr">
        <is>
          <t>Concreto</t>
        </is>
      </c>
      <c r="D277" s="477">
        <f>D274*D275*(1+FDG)</f>
        <v/>
      </c>
      <c r="E277" s="475" t="inlineStr">
        <is>
          <t>m3</t>
        </is>
      </c>
    </row>
    <row r="278">
      <c r="B278" s="469" t="n"/>
      <c r="E278" s="481" t="n"/>
    </row>
    <row r="279">
      <c r="B279" s="469" t="n"/>
      <c r="C279" s="475" t="inlineStr">
        <is>
          <t>Elemento</t>
        </is>
      </c>
      <c r="D279" s="475" t="inlineStr">
        <is>
          <t>Cantidad</t>
        </is>
      </c>
      <c r="E279" s="475" t="inlineStr">
        <is>
          <t>Uni</t>
        </is>
      </c>
    </row>
    <row r="280">
      <c r="B280" s="476" t="inlineStr">
        <is>
          <t>M10-0047</t>
        </is>
      </c>
      <c r="C280" s="475" t="inlineStr">
        <is>
          <t xml:space="preserve">Cemento </t>
        </is>
      </c>
      <c r="D280" s="477">
        <f>ROUND(D277*losac,0)</f>
        <v/>
      </c>
      <c r="E280" s="475" t="inlineStr">
        <is>
          <t xml:space="preserve">kilos </t>
        </is>
      </c>
    </row>
    <row r="281">
      <c r="B281" s="476" t="inlineStr">
        <is>
          <t>M10-0015</t>
        </is>
      </c>
      <c r="C281" s="475" t="inlineStr">
        <is>
          <t xml:space="preserve">Arena </t>
        </is>
      </c>
      <c r="D281" s="477">
        <f>ROUND(D277*losaa,1)</f>
        <v/>
      </c>
      <c r="E281" s="475" t="inlineStr">
        <is>
          <t>m3</t>
        </is>
      </c>
    </row>
    <row r="282">
      <c r="B282" s="476" t="inlineStr">
        <is>
          <t>M10-0010</t>
        </is>
      </c>
      <c r="C282" s="475" t="inlineStr">
        <is>
          <t xml:space="preserve">Piedra </t>
        </is>
      </c>
      <c r="D282" s="477">
        <f>ROUND(D277*losap,1)</f>
        <v/>
      </c>
      <c r="E282" s="475" t="inlineStr">
        <is>
          <t>m3</t>
        </is>
      </c>
    </row>
    <row r="283">
      <c r="B283" s="476" t="inlineStr">
        <is>
          <t>M10-0009</t>
        </is>
      </c>
      <c r="C283" s="475" t="inlineStr">
        <is>
          <t>ADITIVO</t>
        </is>
      </c>
      <c r="D283" s="477">
        <f>ROUND(D277*losaad,0)</f>
        <v/>
      </c>
      <c r="E283" s="475" t="inlineStr">
        <is>
          <t>litro</t>
        </is>
      </c>
    </row>
    <row r="284">
      <c r="B284" s="478" t="n"/>
    </row>
    <row r="285">
      <c r="C285" s="491" t="inlineStr">
        <is>
          <t>VIGAS DE FUNDACION</t>
        </is>
      </c>
    </row>
    <row r="287">
      <c r="B287" s="469" t="n"/>
      <c r="C287" s="411" t="inlineStr">
        <is>
          <t xml:space="preserve">LARGO </t>
        </is>
      </c>
      <c r="D287" s="418" t="n">
        <v>51.6</v>
      </c>
      <c r="E287" s="455" t="inlineStr">
        <is>
          <t xml:space="preserve">m </t>
        </is>
      </c>
      <c r="F287" s="492" t="inlineStr">
        <is>
          <t>VF1 - VF2 - VF3 - VF4  / 0.20mX0.20m</t>
        </is>
      </c>
    </row>
    <row r="288">
      <c r="B288" s="469" t="n"/>
      <c r="C288" s="411" t="inlineStr">
        <is>
          <t xml:space="preserve">ANCHO </t>
        </is>
      </c>
      <c r="D288" s="422" t="n">
        <v>0.2</v>
      </c>
      <c r="E288" s="413" t="inlineStr">
        <is>
          <t xml:space="preserve">m </t>
        </is>
      </c>
      <c r="F288" s="493" t="n"/>
    </row>
    <row r="289">
      <c r="B289" s="469" t="n"/>
      <c r="C289" s="485" t="inlineStr">
        <is>
          <t xml:space="preserve">ESPESOR </t>
        </is>
      </c>
      <c r="D289" s="494" t="n">
        <v>0.2</v>
      </c>
      <c r="E289" s="470" t="inlineStr">
        <is>
          <t xml:space="preserve">m </t>
        </is>
      </c>
      <c r="F289" s="493" t="n"/>
    </row>
    <row r="291">
      <c r="C291" s="411" t="inlineStr">
        <is>
          <t xml:space="preserve">LARGO </t>
        </is>
      </c>
      <c r="D291" s="418" t="n">
        <v>12.8</v>
      </c>
      <c r="E291" s="455" t="inlineStr">
        <is>
          <t xml:space="preserve">m </t>
        </is>
      </c>
      <c r="F291" s="492" t="inlineStr">
        <is>
          <t>VF5 - VF6 - VF7 / 0.53mx0.20m</t>
        </is>
      </c>
    </row>
    <row r="292">
      <c r="C292" s="411" t="inlineStr">
        <is>
          <t xml:space="preserve">ANCHO </t>
        </is>
      </c>
      <c r="D292" s="422" t="n">
        <v>0.2</v>
      </c>
      <c r="E292" s="413" t="inlineStr">
        <is>
          <t xml:space="preserve">m </t>
        </is>
      </c>
    </row>
    <row r="293">
      <c r="C293" s="485" t="inlineStr">
        <is>
          <t xml:space="preserve">ESPESOR </t>
        </is>
      </c>
      <c r="D293" s="494" t="n">
        <v>0.53</v>
      </c>
      <c r="E293" s="470" t="inlineStr">
        <is>
          <t xml:space="preserve">m </t>
        </is>
      </c>
    </row>
    <row r="295">
      <c r="C295" s="491" t="inlineStr">
        <is>
          <t>PAREDES</t>
        </is>
      </c>
    </row>
    <row r="297">
      <c r="C297" s="411" t="inlineStr">
        <is>
          <t xml:space="preserve">LARGO </t>
        </is>
      </c>
      <c r="D297" s="413">
        <f>+D26</f>
        <v/>
      </c>
      <c r="E297" s="455" t="inlineStr">
        <is>
          <t xml:space="preserve">m </t>
        </is>
      </c>
    </row>
    <row r="299">
      <c r="C299" s="491" t="inlineStr">
        <is>
          <t>REFUERZO DE LOSA DE FUNDACION</t>
        </is>
      </c>
    </row>
    <row r="301">
      <c r="C301" s="470" t="inlineStr">
        <is>
          <t>Elemento</t>
        </is>
      </c>
      <c r="D301" s="470" t="inlineStr">
        <is>
          <t>Cantidad/espaciamiento</t>
        </is>
      </c>
      <c r="E301" s="470" t="inlineStr">
        <is>
          <t># Varilla</t>
        </is>
      </c>
      <c r="F301" s="470" t="inlineStr">
        <is>
          <t>Total</t>
        </is>
      </c>
      <c r="G301" s="470" t="inlineStr">
        <is>
          <t>Peso</t>
        </is>
      </c>
    </row>
    <row r="302">
      <c r="C302" s="470" t="inlineStr">
        <is>
          <t>Longitudinal de viga de fundacion 1-4</t>
        </is>
      </c>
      <c r="D302" s="472" t="n">
        <v>4</v>
      </c>
      <c r="E302" s="470" t="inlineStr">
        <is>
          <t>#3</t>
        </is>
      </c>
      <c r="F302" s="472">
        <f>+D302*D287/5.7</f>
        <v/>
      </c>
      <c r="G302" s="472">
        <f>IF(E302="#2",1.494,IF(E302="#3",3.36,IF(E302="#4",5.964,IF(E302="#5",9.312,IF(E302="#2 de 4.11",18.56,IF(E302="#2 de 4.88",26.17,IF(E302="#2 de 5.3",30.87,IF(E302="#2 DE 6.35",50.28,0))))))))*F302</f>
        <v/>
      </c>
    </row>
    <row r="303">
      <c r="C303" s="470" t="inlineStr">
        <is>
          <t>Aros de viga de fundacion 1-4</t>
        </is>
      </c>
      <c r="D303" s="472" t="n">
        <v>0.2</v>
      </c>
      <c r="E303" s="470" t="inlineStr">
        <is>
          <t>#2</t>
        </is>
      </c>
      <c r="F303" s="472">
        <f>+D287/D303*(D288+D289)*2*(1+FDG)/6</f>
        <v/>
      </c>
      <c r="G303" s="472">
        <f>IF(E303="#2",1.494,IF(E303="#3",3.36,IF(E303="#4",5.964,IF(E303="#5",9.312,IF(E303="#2 de 4.11",18.56,IF(E303="#2 de 4.88",26.17,IF(E303="#2 de 5.3",30.87,IF(E303="#2 DE 6.35",50.28,0))))))))*F303</f>
        <v/>
      </c>
    </row>
    <row r="304">
      <c r="C304" s="470" t="inlineStr">
        <is>
          <t>Longitudinal de viga de fundacion 5-7</t>
        </is>
      </c>
      <c r="D304" s="472" t="n">
        <v>6</v>
      </c>
      <c r="E304" s="470" t="inlineStr">
        <is>
          <t>#3</t>
        </is>
      </c>
      <c r="F304" s="472">
        <f>+D304*D291/5.7</f>
        <v/>
      </c>
      <c r="G304" s="472">
        <f>IF(E304="#2",1.494,IF(E304="#3",3.36,IF(E304="#4",5.964,IF(E304="#5",9.312,IF(E304="#2 de 4.11",18.56,IF(E304="#2 de 4.88",26.17,IF(E304="#2 de 5.3",30.87,IF(E304="#2 DE 6.35",50.28,0))))))))*F304</f>
        <v/>
      </c>
    </row>
    <row r="305">
      <c r="C305" s="470" t="inlineStr">
        <is>
          <t>Aros de viga de fundacion 5-7</t>
        </is>
      </c>
      <c r="D305" s="472" t="n">
        <v>0.2</v>
      </c>
      <c r="E305" s="470" t="inlineStr">
        <is>
          <t>#2</t>
        </is>
      </c>
      <c r="F305" s="472">
        <f>D291/D305*(D292+D293)*2*(1+FDG)/6</f>
        <v/>
      </c>
      <c r="G305" s="472">
        <f>IF(E305="#2",1.494,IF(E305="#3",3.36,IF(E305="#4",5.964,IF(E305="#5",9.312,IF(E305="#2 de 4.11",18.56,IF(E305="#2 de 4.88",26.17,IF(E305="#2 de 5.3",30.87,IF(E305="#2 DE 6.35",50.28,0))))))))*F305</f>
        <v/>
      </c>
    </row>
    <row r="306">
      <c r="C306" s="470" t="inlineStr">
        <is>
          <t>Doble malla #3</t>
        </is>
      </c>
      <c r="D306" s="472" t="n">
        <v>0.2</v>
      </c>
      <c r="E306" s="470" t="inlineStr">
        <is>
          <t>#3</t>
        </is>
      </c>
      <c r="F306" s="472">
        <f>D275/0.2*4/5.5</f>
        <v/>
      </c>
      <c r="G306" s="472">
        <f>IF(E306="#2",1.494,IF(E306="#3",3.36,IF(E306="#4",5.964,IF(E306="#5",9.312,IF(E306="#2 de 4.11",18.56,IF(E306="#2 de 4.88",26.17,IF(E306="#2 de 5.3",30.87,IF(E306="#2 DE 6.35",50.28,0))))))))*F306</f>
        <v/>
      </c>
    </row>
    <row r="307">
      <c r="C307" s="470" t="inlineStr">
        <is>
          <t>Malla electrosoldada #2</t>
        </is>
      </c>
      <c r="D307" s="472" t="n">
        <v>0</v>
      </c>
      <c r="E307" s="470" t="inlineStr">
        <is>
          <t>#2 de 5.3</t>
        </is>
      </c>
      <c r="F307" s="470">
        <f>ROUNDUP(D307/0.5,0)*2</f>
        <v/>
      </c>
      <c r="G307" s="472">
        <f>IF(E307="#2",1.494,IF(E307="#3",3.36,IF(E307="#4",5.964,IF(E307="#5",9.312,IF(E307="#2 de 4.11",18.56,IF(E307="#2 de 4.88",26.17,IF(E307="#2 de 5.3",30.87,IF(E307="#2 DE 6.35",50.28,0))))))))*F307</f>
        <v/>
      </c>
    </row>
    <row r="308">
      <c r="C308" s="470" t="inlineStr">
        <is>
          <t>Arranques de muros</t>
        </is>
      </c>
      <c r="D308" s="472" t="n">
        <v>0.3</v>
      </c>
      <c r="E308" s="470" t="inlineStr">
        <is>
          <t>#3</t>
        </is>
      </c>
      <c r="F308" s="472">
        <f>ROUNDUP(D297/D308,0)*(D27+0.9)/6</f>
        <v/>
      </c>
      <c r="G308" s="472">
        <f>IF(E308="#2",1.494,IF(E308="#3",3.36,IF(E308="#4",5.964,IF(E308="#5",9.312,IF(E308="#2 de 4.11",18.56,IF(E308="#2 de 4.88",26.17,IF(E308="#2 de 5.3",30.87,IF(E308="#2 DE 6.35",50.28,0))))))))*F308</f>
        <v/>
      </c>
    </row>
    <row r="309">
      <c r="C309" s="470" t="inlineStr">
        <is>
          <t>Bastones de 1,2m</t>
        </is>
      </c>
      <c r="D309" s="495">
        <f>+ROUNDUP(((34.43)/0.2),0)</f>
        <v/>
      </c>
      <c r="E309" s="470" t="inlineStr">
        <is>
          <t>#3</t>
        </is>
      </c>
      <c r="F309" s="472">
        <f>D309*1/6</f>
        <v/>
      </c>
      <c r="G309" s="472">
        <f>IF(E309="#2",1.494,IF(E309="#3",3.36,IF(E309="#4",5.964,IF(E309="#5",9.312,IF(E309="#2 de 4.11",18.56,IF(E309="#2 de 4.88",26.17,IF(E309="#2 de 5.3",30.87,0)))))))*F309</f>
        <v/>
      </c>
    </row>
    <row r="310">
      <c r="C310" s="470" t="inlineStr">
        <is>
          <t>Bastones de 1,5m</t>
        </is>
      </c>
      <c r="D310" s="495">
        <f>+ROUNDUP(((2.67+5.31)/0.2),0)</f>
        <v/>
      </c>
      <c r="E310" s="470" t="inlineStr">
        <is>
          <t>#3</t>
        </is>
      </c>
      <c r="F310" s="470">
        <f>D310*1.5/6</f>
        <v/>
      </c>
      <c r="G310" s="472">
        <f>IF(E310="#2",1.494,IF(E310="#3",3.36,IF(E310="#4",5.964,IF(E310="#5",9.312,IF(E310="#2 de 4.11",18.56,IF(E310="#2 de 4.88",26.17,IF(E310="#2 de 5.3",30.87,IF(E310="#2 DE 6.35",50.28,0))))))))*F310</f>
        <v/>
      </c>
    </row>
    <row r="311">
      <c r="E311" s="481" t="n"/>
      <c r="G311" s="496">
        <f>SUM(G302:G310)</f>
        <v/>
      </c>
    </row>
    <row r="312">
      <c r="B312" s="469" t="n"/>
      <c r="C312" s="488" t="inlineStr">
        <is>
          <t>Elemento</t>
        </is>
      </c>
      <c r="D312" s="488" t="inlineStr">
        <is>
          <t>Cantidad</t>
        </is>
      </c>
      <c r="E312" s="488" t="inlineStr">
        <is>
          <t>Uni</t>
        </is>
      </c>
    </row>
    <row r="313">
      <c r="B313" s="476" t="inlineStr">
        <is>
          <t>M01-0146</t>
        </is>
      </c>
      <c r="C313" s="497" t="inlineStr">
        <is>
          <t>Varilla #2</t>
        </is>
      </c>
      <c r="D313" s="487">
        <f>+ROUNDUP(F303+F305,0)</f>
        <v/>
      </c>
      <c r="E313" s="488" t="inlineStr">
        <is>
          <t>und</t>
        </is>
      </c>
      <c r="F313" s="416" t="n"/>
    </row>
    <row r="314">
      <c r="B314" s="476" t="inlineStr">
        <is>
          <t>M01-0147</t>
        </is>
      </c>
      <c r="C314" s="497" t="inlineStr">
        <is>
          <t>Varilla #3</t>
        </is>
      </c>
      <c r="D314" s="487">
        <f>ROUNDUP(F302+F304+F306+F308+F309+F310,0)</f>
        <v/>
      </c>
      <c r="E314" s="488" t="inlineStr">
        <is>
          <t>und</t>
        </is>
      </c>
      <c r="F314" s="416" t="n"/>
    </row>
    <row r="315">
      <c r="B315" s="476" t="inlineStr">
        <is>
          <t>M01-0145</t>
        </is>
      </c>
      <c r="C315" s="497" t="inlineStr">
        <is>
          <t>Malla electrosoldada</t>
        </is>
      </c>
      <c r="D315" s="487">
        <f>+F307</f>
        <v/>
      </c>
      <c r="E315" s="488" t="inlineStr">
        <is>
          <t>und</t>
        </is>
      </c>
      <c r="F315" s="416" t="n"/>
    </row>
    <row r="316">
      <c r="B316" s="476" t="inlineStr">
        <is>
          <t>M01-0001</t>
        </is>
      </c>
      <c r="C316" s="497" t="inlineStr">
        <is>
          <t>Alambre negro</t>
        </is>
      </c>
      <c r="D316" s="487">
        <f>ROUND(SUM(G302:G310)*FAN,0)</f>
        <v/>
      </c>
      <c r="E316" s="488" t="inlineStr">
        <is>
          <t>kg</t>
        </is>
      </c>
      <c r="F316" s="416" t="n"/>
    </row>
    <row r="317">
      <c r="B317" s="476" t="inlineStr">
        <is>
          <t>M06-0261</t>
        </is>
      </c>
      <c r="C317" s="497" t="inlineStr">
        <is>
          <t>Separador tipo cono 2.5cm (1") SP125</t>
        </is>
      </c>
      <c r="D317" s="487">
        <f>+D275</f>
        <v/>
      </c>
      <c r="E317" s="488" t="inlineStr">
        <is>
          <t>und</t>
        </is>
      </c>
      <c r="F317" s="416" t="n"/>
    </row>
    <row r="318">
      <c r="B318" s="476" t="inlineStr">
        <is>
          <t>M06-0264</t>
        </is>
      </c>
      <c r="C318" s="497" t="inlineStr">
        <is>
          <t>Separadores tipo cono 12CM SP450</t>
        </is>
      </c>
      <c r="D318" s="487">
        <f>+D317</f>
        <v/>
      </c>
      <c r="E318" s="488" t="inlineStr">
        <is>
          <t>und</t>
        </is>
      </c>
      <c r="F318" s="416" t="n"/>
    </row>
    <row r="319">
      <c r="B319" s="476" t="inlineStr">
        <is>
          <t>M08-0037</t>
        </is>
      </c>
      <c r="C319" s="497" t="inlineStr">
        <is>
          <t>Disco corte metal fino 9"</t>
        </is>
      </c>
      <c r="D319" s="487">
        <f>+ROUND(SUM(D313:D315)/60,0)</f>
        <v/>
      </c>
      <c r="E319" s="488" t="inlineStr">
        <is>
          <t>und</t>
        </is>
      </c>
      <c r="F319" s="416" t="n"/>
    </row>
    <row r="321">
      <c r="C321" s="491" t="inlineStr">
        <is>
          <t xml:space="preserve">FORMALETA </t>
        </is>
      </c>
    </row>
    <row r="323">
      <c r="C323" s="485" t="inlineStr">
        <is>
          <t xml:space="preserve">Largo </t>
        </is>
      </c>
      <c r="D323" s="472">
        <f>+D15</f>
        <v/>
      </c>
      <c r="E323" s="470" t="inlineStr">
        <is>
          <t xml:space="preserve">m </t>
        </is>
      </c>
    </row>
    <row r="324">
      <c r="C324" s="485" t="inlineStr">
        <is>
          <t xml:space="preserve">Ancho </t>
        </is>
      </c>
      <c r="D324" s="470" t="n">
        <v>0.2</v>
      </c>
      <c r="E324" s="470" t="inlineStr">
        <is>
          <t xml:space="preserve">m </t>
        </is>
      </c>
    </row>
    <row r="325">
      <c r="E325" s="481" t="n"/>
    </row>
    <row r="326">
      <c r="C326" s="488" t="inlineStr">
        <is>
          <t xml:space="preserve">Area formaleta </t>
        </is>
      </c>
      <c r="D326" s="487">
        <f>(D323*D324)</f>
        <v/>
      </c>
      <c r="E326" s="488" t="inlineStr">
        <is>
          <t>m2</t>
        </is>
      </c>
      <c r="F326" s="416" t="n"/>
    </row>
    <row r="328">
      <c r="C328" s="486" t="n"/>
      <c r="D328" s="488" t="inlineStr">
        <is>
          <t>Costo</t>
        </is>
      </c>
      <c r="E328" s="488" t="inlineStr">
        <is>
          <t xml:space="preserve">Costo Total </t>
        </is>
      </c>
      <c r="F328" s="488" t="inlineStr">
        <is>
          <t>Horas</t>
        </is>
      </c>
      <c r="H328" s="481" t="n"/>
    </row>
    <row r="329">
      <c r="C329" s="486" t="inlineStr">
        <is>
          <t>Mano de obra (concreto) (m3)</t>
        </is>
      </c>
      <c r="D329" s="489">
        <f>+D151</f>
        <v/>
      </c>
      <c r="E329" s="489">
        <f>D329*D277</f>
        <v/>
      </c>
      <c r="F329" s="490">
        <f>+E329/'COSTOS MO CUADRILLA'!K8</f>
        <v/>
      </c>
      <c r="H329" s="481" t="n"/>
      <c r="J329" s="481" t="n"/>
    </row>
    <row r="330">
      <c r="C330" s="486" t="inlineStr">
        <is>
          <t>Mano de obra (acero) (kilo)</t>
        </is>
      </c>
      <c r="D330" s="489">
        <f>+D152</f>
        <v/>
      </c>
      <c r="E330" s="489">
        <f>SUM(G311)*D330</f>
        <v/>
      </c>
      <c r="F330" s="490">
        <f>+E330/'COSTOS MO CUADRILLA'!K8</f>
        <v/>
      </c>
      <c r="G330" s="481" t="n"/>
      <c r="H330" s="481" t="n"/>
      <c r="I330" s="498" t="n"/>
      <c r="J330" s="499" t="n"/>
    </row>
    <row r="331">
      <c r="C331" s="486" t="inlineStr">
        <is>
          <t>Mano de obra (formaleta ) (m2)</t>
        </is>
      </c>
      <c r="D331" s="489">
        <f>+D153</f>
        <v/>
      </c>
      <c r="E331" s="489">
        <f>D331*D326</f>
        <v/>
      </c>
      <c r="F331" s="490">
        <f>+E331/'COSTOS MO CUADRILLA'!K8</f>
        <v/>
      </c>
      <c r="G331" s="481" t="n"/>
      <c r="H331" s="481" t="n"/>
      <c r="I331" s="498" t="n"/>
      <c r="J331" s="499" t="n"/>
    </row>
    <row r="332">
      <c r="C332" s="486" t="n"/>
      <c r="D332" s="488" t="inlineStr">
        <is>
          <t xml:space="preserve">Total </t>
        </is>
      </c>
      <c r="E332" s="489">
        <f>SUM(E329:E331)</f>
        <v/>
      </c>
      <c r="F332" s="490">
        <f>+E332/'COSTOS MO CUADRILLA'!K8</f>
        <v/>
      </c>
      <c r="G332" s="481" t="n"/>
      <c r="H332" s="481" t="n"/>
      <c r="I332" s="498" t="n"/>
      <c r="J332" s="499" t="n"/>
    </row>
    <row r="335">
      <c r="C335" s="466" t="n">
        <v>1.2</v>
      </c>
      <c r="D335" s="466" t="inlineStr">
        <is>
          <t>MUROS N1 &amp; N2, ENTREPISO &amp; AZOTEA</t>
        </is>
      </c>
      <c r="E335" s="1145" t="n"/>
    </row>
    <row r="336">
      <c r="C336" s="324" t="n"/>
      <c r="D336" s="324" t="n"/>
    </row>
    <row r="337">
      <c r="C337" s="468" t="inlineStr">
        <is>
          <t xml:space="preserve">1.2.1 </t>
        </is>
      </c>
      <c r="D337" s="468" t="inlineStr">
        <is>
          <t xml:space="preserve">ACERO EN PAREDES MUROS N1 </t>
        </is>
      </c>
    </row>
    <row r="339">
      <c r="C339" s="501" t="inlineStr">
        <is>
          <t>MALLA DE MUROS</t>
        </is>
      </c>
      <c r="D339" s="501" t="inlineStr">
        <is>
          <t xml:space="preserve">Varilla # 3 @ 30 cm </t>
        </is>
      </c>
    </row>
    <row r="341">
      <c r="B341" s="469" t="n"/>
      <c r="C341" s="411" t="inlineStr">
        <is>
          <t>Largo</t>
        </is>
      </c>
      <c r="D341" s="413">
        <f>+D26</f>
        <v/>
      </c>
      <c r="E341" s="455" t="inlineStr">
        <is>
          <t xml:space="preserve">m </t>
        </is>
      </c>
      <c r="F341" s="416" t="n"/>
    </row>
    <row r="342">
      <c r="B342" s="469" t="n"/>
      <c r="C342" s="411" t="inlineStr">
        <is>
          <t>Alto</t>
        </is>
      </c>
      <c r="D342" s="455">
        <f>+D27</f>
        <v/>
      </c>
      <c r="E342" s="455" t="inlineStr">
        <is>
          <t xml:space="preserve">m </t>
        </is>
      </c>
      <c r="F342" s="416" t="n"/>
    </row>
    <row r="343">
      <c r="B343" s="469" t="n"/>
      <c r="C343" s="411" t="inlineStr">
        <is>
          <t>Area</t>
        </is>
      </c>
      <c r="D343" s="413">
        <f>+D342*D341</f>
        <v/>
      </c>
      <c r="E343" s="455" t="inlineStr">
        <is>
          <t>m2</t>
        </is>
      </c>
      <c r="F343" s="416" t="n"/>
    </row>
    <row r="344">
      <c r="B344" s="469" t="n"/>
      <c r="C344" s="485" t="inlineStr">
        <is>
          <t xml:space="preserve"># varillas horizontales </t>
        </is>
      </c>
      <c r="D344" s="1146">
        <f>ROUND(D342/0.3,0)</f>
        <v/>
      </c>
      <c r="E344" s="470" t="inlineStr">
        <is>
          <t xml:space="preserve">un </t>
        </is>
      </c>
      <c r="F344" s="416" t="n"/>
    </row>
    <row r="345">
      <c r="B345" s="469" t="n"/>
      <c r="C345" s="485" t="inlineStr">
        <is>
          <t># varillas verticales</t>
        </is>
      </c>
      <c r="D345" s="1146">
        <f>ROUND(D341/0.3,0)</f>
        <v/>
      </c>
      <c r="E345" s="470" t="inlineStr">
        <is>
          <t xml:space="preserve">un </t>
        </is>
      </c>
      <c r="F345" s="421" t="n"/>
    </row>
    <row r="346">
      <c r="C346" s="503" t="n"/>
      <c r="D346" s="1147" t="n"/>
      <c r="E346" s="324" t="n"/>
    </row>
    <row r="347">
      <c r="C347" s="491" t="inlineStr">
        <is>
          <t>REFUERZO EN BUQUES</t>
        </is>
      </c>
      <c r="D347" s="1148" t="n"/>
      <c r="E347" s="324" t="n"/>
    </row>
    <row r="348">
      <c r="C348" s="503" t="n"/>
      <c r="D348" s="1147" t="n"/>
      <c r="E348" s="324" t="n"/>
    </row>
    <row r="349">
      <c r="C349" s="438" t="inlineStr">
        <is>
          <t>NIVEL 1  ***Se debe borrar los busques en paredes livianas para cada presupuesto***</t>
        </is>
      </c>
      <c r="D349" s="1149" t="n"/>
      <c r="E349" s="324" t="n"/>
    </row>
    <row r="350">
      <c r="B350" s="469" t="n"/>
      <c r="C350" s="470" t="inlineStr">
        <is>
          <t>Alto</t>
        </is>
      </c>
      <c r="D350" s="470" t="inlineStr">
        <is>
          <t>Ancho</t>
        </is>
      </c>
      <c r="E350" s="470" t="inlineStr">
        <is>
          <t>Cantidad</t>
        </is>
      </c>
      <c r="F350" s="470" t="inlineStr">
        <is>
          <t>Perimetral</t>
        </is>
      </c>
      <c r="G350" s="470" t="inlineStr">
        <is>
          <t>Esquinas</t>
        </is>
      </c>
      <c r="H350" s="470" t="inlineStr">
        <is>
          <t>Total</t>
        </is>
      </c>
    </row>
    <row r="351">
      <c r="A351" s="507" t="inlineStr">
        <is>
          <t>PUERTAS</t>
        </is>
      </c>
      <c r="B351" s="419">
        <f>C39</f>
        <v/>
      </c>
      <c r="C351" s="508">
        <f>D39</f>
        <v/>
      </c>
      <c r="D351" s="508">
        <f>E39</f>
        <v/>
      </c>
      <c r="E351" s="508">
        <f>F39</f>
        <v/>
      </c>
      <c r="F351" s="472">
        <f>(SUM(C351:D351)*2+1.6)*E351</f>
        <v/>
      </c>
      <c r="G351" s="472">
        <f>0.8*4*E351</f>
        <v/>
      </c>
      <c r="H351" s="472">
        <f>+G351+F351</f>
        <v/>
      </c>
      <c r="I351" s="416" t="n"/>
    </row>
    <row r="352">
      <c r="A352" s="509" t="n"/>
      <c r="C352" s="508" t="n"/>
      <c r="D352" s="508" t="n"/>
      <c r="E352" s="508" t="n"/>
      <c r="F352" s="472">
        <f>(SUM(C352:D352)*2+1.6)*E352</f>
        <v/>
      </c>
      <c r="G352" s="472">
        <f>0.8*4*E352</f>
        <v/>
      </c>
      <c r="H352" s="472">
        <f>+G352+F352</f>
        <v/>
      </c>
      <c r="I352" s="416" t="n"/>
    </row>
    <row r="353">
      <c r="A353" s="509" t="n"/>
      <c r="B353" s="419">
        <f>C41</f>
        <v/>
      </c>
      <c r="C353" s="508">
        <f>D41</f>
        <v/>
      </c>
      <c r="D353" s="508">
        <f>E41</f>
        <v/>
      </c>
      <c r="E353" s="508">
        <f>F41</f>
        <v/>
      </c>
      <c r="F353" s="472">
        <f>(SUM(C353:D353)*2+1.6)*E353</f>
        <v/>
      </c>
      <c r="G353" s="472">
        <f>0.8*4*E353</f>
        <v/>
      </c>
      <c r="H353" s="472">
        <f>+G353+F353</f>
        <v/>
      </c>
      <c r="I353" s="416" t="n"/>
    </row>
    <row r="354">
      <c r="A354" s="509" t="n"/>
      <c r="B354" s="419">
        <f>C42</f>
        <v/>
      </c>
      <c r="C354" s="508">
        <f>D42</f>
        <v/>
      </c>
      <c r="D354" s="508">
        <f>E42</f>
        <v/>
      </c>
      <c r="E354" s="508">
        <f>F42</f>
        <v/>
      </c>
      <c r="F354" s="472">
        <f>(SUM(C354:D354)*2+1.6)*E354</f>
        <v/>
      </c>
      <c r="G354" s="472">
        <f>0.8*4*E354</f>
        <v/>
      </c>
      <c r="H354" s="472">
        <f>+G354+F354</f>
        <v/>
      </c>
      <c r="I354" s="416" t="n"/>
    </row>
    <row r="355">
      <c r="A355" s="509" t="n"/>
      <c r="B355" s="419">
        <f>C43</f>
        <v/>
      </c>
      <c r="C355" s="508">
        <f>D43</f>
        <v/>
      </c>
      <c r="D355" s="508">
        <f>E43</f>
        <v/>
      </c>
      <c r="E355" s="508">
        <f>F43</f>
        <v/>
      </c>
      <c r="F355" s="472">
        <f>(SUM(C355:D355)*2+1.6)*E355</f>
        <v/>
      </c>
      <c r="G355" s="472">
        <f>0.8*4*E355</f>
        <v/>
      </c>
      <c r="H355" s="472">
        <f>+G355+F355</f>
        <v/>
      </c>
      <c r="I355" s="416" t="n"/>
    </row>
    <row r="356">
      <c r="A356" s="509" t="n"/>
      <c r="B356" s="419">
        <f>C44</f>
        <v/>
      </c>
      <c r="C356" s="508">
        <f>D44</f>
        <v/>
      </c>
      <c r="D356" s="508">
        <f>E44</f>
        <v/>
      </c>
      <c r="E356" s="508">
        <f>F44</f>
        <v/>
      </c>
      <c r="F356" s="472">
        <f>(SUM(C356:D356)*2+1.6)*E356</f>
        <v/>
      </c>
      <c r="G356" s="472">
        <f>0.8*4*E356</f>
        <v/>
      </c>
      <c r="H356" s="472">
        <f>+G356+F356</f>
        <v/>
      </c>
      <c r="I356" s="416" t="n"/>
    </row>
    <row r="357">
      <c r="A357" s="509" t="n"/>
      <c r="B357" s="419">
        <f>C45</f>
        <v/>
      </c>
      <c r="C357" s="508">
        <f>D45</f>
        <v/>
      </c>
      <c r="D357" s="508">
        <f>E45</f>
        <v/>
      </c>
      <c r="E357" s="508">
        <f>F45</f>
        <v/>
      </c>
      <c r="F357" s="472">
        <f>(SUM(C357:D357)*2+1.6)*E357</f>
        <v/>
      </c>
      <c r="G357" s="472">
        <f>0.8*4*E357</f>
        <v/>
      </c>
      <c r="H357" s="472">
        <f>+G357+F357</f>
        <v/>
      </c>
      <c r="I357" s="416" t="n"/>
    </row>
    <row r="358">
      <c r="A358" s="509" t="n"/>
      <c r="B358" s="419">
        <f>C46</f>
        <v/>
      </c>
      <c r="C358" s="508">
        <f>D46</f>
        <v/>
      </c>
      <c r="D358" s="508">
        <f>E46</f>
        <v/>
      </c>
      <c r="E358" s="508">
        <f>F46</f>
        <v/>
      </c>
      <c r="F358" s="472">
        <f>(SUM(C358:D358)*2+1.6)*E358</f>
        <v/>
      </c>
      <c r="G358" s="472">
        <f>0.8*4*E358</f>
        <v/>
      </c>
      <c r="H358" s="472">
        <f>+G358+F358</f>
        <v/>
      </c>
      <c r="I358" s="416" t="n"/>
    </row>
    <row r="359">
      <c r="A359" s="509" t="n"/>
      <c r="B359" s="419">
        <f>C47</f>
        <v/>
      </c>
      <c r="C359" s="508">
        <f>D47</f>
        <v/>
      </c>
      <c r="D359" s="508">
        <f>E47</f>
        <v/>
      </c>
      <c r="E359" s="508">
        <f>F47</f>
        <v/>
      </c>
      <c r="F359" s="472">
        <f>(SUM(C359:D359)*2+1.6)*E359</f>
        <v/>
      </c>
      <c r="G359" s="472">
        <f>0.8*4*E359</f>
        <v/>
      </c>
      <c r="H359" s="472">
        <f>+G359+F359</f>
        <v/>
      </c>
      <c r="I359" s="416" t="n"/>
    </row>
    <row r="360">
      <c r="A360" s="509" t="n"/>
      <c r="B360" s="419">
        <f>C48</f>
        <v/>
      </c>
      <c r="C360" s="508">
        <f>D48</f>
        <v/>
      </c>
      <c r="D360" s="508">
        <f>E48</f>
        <v/>
      </c>
      <c r="E360" s="508">
        <f>F48</f>
        <v/>
      </c>
      <c r="F360" s="472">
        <f>(SUM(C360:D360)*2+1.6)*E360</f>
        <v/>
      </c>
      <c r="G360" s="472">
        <f>0.8*4*E360</f>
        <v/>
      </c>
      <c r="H360" s="472">
        <f>+G360+F360</f>
        <v/>
      </c>
      <c r="I360" s="416" t="n"/>
    </row>
    <row r="361">
      <c r="A361" s="509" t="n"/>
      <c r="B361" s="419">
        <f>C49</f>
        <v/>
      </c>
      <c r="C361" s="508">
        <f>D49</f>
        <v/>
      </c>
      <c r="D361" s="508">
        <f>E49</f>
        <v/>
      </c>
      <c r="E361" s="508">
        <f>F49</f>
        <v/>
      </c>
      <c r="F361" s="472">
        <f>(SUM(C361:D361)*2+1.6)*E361</f>
        <v/>
      </c>
      <c r="G361" s="472">
        <f>0.8*4*E361</f>
        <v/>
      </c>
      <c r="H361" s="472">
        <f>+G361+F361</f>
        <v/>
      </c>
      <c r="I361" s="416" t="n"/>
    </row>
    <row r="362">
      <c r="A362" s="509" t="n"/>
      <c r="B362" s="419">
        <f>C50</f>
        <v/>
      </c>
      <c r="C362" s="508">
        <f>D50</f>
        <v/>
      </c>
      <c r="D362" s="508">
        <f>E50</f>
        <v/>
      </c>
      <c r="E362" s="508">
        <f>F50</f>
        <v/>
      </c>
      <c r="F362" s="472">
        <f>(SUM(C362:D362)*2+1.6)*E362</f>
        <v/>
      </c>
      <c r="G362" s="472">
        <f>0.8*4*E362</f>
        <v/>
      </c>
      <c r="H362" s="472">
        <f>+G362+F362</f>
        <v/>
      </c>
      <c r="I362" s="416" t="n"/>
    </row>
    <row r="363">
      <c r="A363" s="509" t="n"/>
      <c r="B363" s="419">
        <f>C51</f>
        <v/>
      </c>
      <c r="C363" s="508">
        <f>D51</f>
        <v/>
      </c>
      <c r="D363" s="508">
        <f>E51</f>
        <v/>
      </c>
      <c r="E363" s="508">
        <f>F51</f>
        <v/>
      </c>
      <c r="F363" s="472">
        <f>(SUM(C363:D363)*2+1.6)*E363</f>
        <v/>
      </c>
      <c r="G363" s="472">
        <f>0.8*4*E363</f>
        <v/>
      </c>
      <c r="H363" s="472">
        <f>+G363+F363</f>
        <v/>
      </c>
      <c r="I363" s="416" t="n"/>
    </row>
    <row r="364">
      <c r="A364" s="509" t="n"/>
      <c r="B364" s="419">
        <f>C52</f>
        <v/>
      </c>
      <c r="C364" s="508">
        <f>D52</f>
        <v/>
      </c>
      <c r="D364" s="508">
        <f>E52</f>
        <v/>
      </c>
      <c r="E364" s="508">
        <f>F52</f>
        <v/>
      </c>
      <c r="F364" s="472">
        <f>(SUM(C364:D364)*2+1.6)*E364</f>
        <v/>
      </c>
      <c r="G364" s="472">
        <f>0.8*4*E364</f>
        <v/>
      </c>
      <c r="H364" s="472">
        <f>+G364+F364</f>
        <v/>
      </c>
      <c r="I364" s="416" t="n"/>
    </row>
    <row r="365">
      <c r="A365" s="5" t="n"/>
      <c r="B365" s="419">
        <f>C53</f>
        <v/>
      </c>
      <c r="C365" s="508">
        <f>D53</f>
        <v/>
      </c>
      <c r="D365" s="508">
        <f>E53</f>
        <v/>
      </c>
      <c r="E365" s="508">
        <f>F53</f>
        <v/>
      </c>
      <c r="F365" s="472">
        <f>(SUM(C365:D365)*2+1.6)*E365</f>
        <v/>
      </c>
      <c r="G365" s="472">
        <f>0.8*4*E365</f>
        <v/>
      </c>
      <c r="H365" s="472">
        <f>+G365+F365</f>
        <v/>
      </c>
      <c r="I365" s="416" t="n"/>
    </row>
    <row r="366">
      <c r="A366" s="507" t="inlineStr">
        <is>
          <t>VENTANAS</t>
        </is>
      </c>
      <c r="B366" s="419">
        <f>C71</f>
        <v/>
      </c>
      <c r="C366" s="508">
        <f>D71</f>
        <v/>
      </c>
      <c r="D366" s="508">
        <f>E71</f>
        <v/>
      </c>
      <c r="E366" s="508">
        <f>F71</f>
        <v/>
      </c>
      <c r="F366" s="472">
        <f>(SUM(C366:D366)*2+1.6)*E366</f>
        <v/>
      </c>
      <c r="G366" s="472">
        <f>0.8*4*E366</f>
        <v/>
      </c>
      <c r="H366" s="472">
        <f>+G366+F366</f>
        <v/>
      </c>
      <c r="I366" s="416" t="n"/>
    </row>
    <row r="367">
      <c r="A367" s="509" t="n"/>
      <c r="B367" s="419">
        <f>C72</f>
        <v/>
      </c>
      <c r="C367" s="508">
        <f>D72</f>
        <v/>
      </c>
      <c r="D367" s="508">
        <f>E72</f>
        <v/>
      </c>
      <c r="E367" s="508">
        <f>F72</f>
        <v/>
      </c>
      <c r="F367" s="472">
        <f>(SUM(C367:D367)*2+1.6)*E367</f>
        <v/>
      </c>
      <c r="G367" s="472">
        <f>0.8*4*E367</f>
        <v/>
      </c>
      <c r="H367" s="472">
        <f>+G367+F367</f>
        <v/>
      </c>
      <c r="I367" s="416" t="n"/>
    </row>
    <row r="368">
      <c r="A368" s="509" t="n"/>
      <c r="B368" s="419">
        <f>C73</f>
        <v/>
      </c>
      <c r="C368" s="508">
        <f>D73</f>
        <v/>
      </c>
      <c r="D368" s="508">
        <f>E73</f>
        <v/>
      </c>
      <c r="E368" s="508">
        <f>F73</f>
        <v/>
      </c>
      <c r="F368" s="472">
        <f>(SUM(C368:D368)*2+1.6)*E368</f>
        <v/>
      </c>
      <c r="G368" s="472">
        <f>0.8*4*E368</f>
        <v/>
      </c>
      <c r="H368" s="472">
        <f>+G368+F368</f>
        <v/>
      </c>
      <c r="I368" s="416" t="n"/>
    </row>
    <row r="369">
      <c r="A369" s="509" t="n"/>
      <c r="B369" s="419">
        <f>C74</f>
        <v/>
      </c>
      <c r="C369" s="508">
        <f>D74</f>
        <v/>
      </c>
      <c r="D369" s="508">
        <f>E74</f>
        <v/>
      </c>
      <c r="E369" s="508">
        <f>F74</f>
        <v/>
      </c>
      <c r="F369" s="472">
        <f>(SUM(C369:D369)*2+1.6)*E369</f>
        <v/>
      </c>
      <c r="G369" s="472">
        <f>0.8*4*E369</f>
        <v/>
      </c>
      <c r="H369" s="472">
        <f>+G369+F369</f>
        <v/>
      </c>
      <c r="I369" s="416" t="n"/>
    </row>
    <row r="370">
      <c r="A370" s="509" t="n"/>
      <c r="B370" s="419">
        <f>C75</f>
        <v/>
      </c>
      <c r="C370" s="508">
        <f>D75</f>
        <v/>
      </c>
      <c r="D370" s="508">
        <f>E75</f>
        <v/>
      </c>
      <c r="E370" s="508">
        <f>F75</f>
        <v/>
      </c>
      <c r="F370" s="472">
        <f>(SUM(C370:D370)*2+1.6)*E370</f>
        <v/>
      </c>
      <c r="G370" s="472">
        <f>0.8*4*E370</f>
        <v/>
      </c>
      <c r="H370" s="472">
        <f>+G370+F370</f>
        <v/>
      </c>
      <c r="I370" s="416" t="n"/>
    </row>
    <row r="371">
      <c r="A371" s="509" t="n"/>
      <c r="B371" s="419">
        <f>C76</f>
        <v/>
      </c>
      <c r="C371" s="508">
        <f>D76</f>
        <v/>
      </c>
      <c r="D371" s="508">
        <f>E76</f>
        <v/>
      </c>
      <c r="E371" s="508">
        <f>F76</f>
        <v/>
      </c>
      <c r="F371" s="472">
        <f>(SUM(C371:D371)*2+1.6)*E371</f>
        <v/>
      </c>
      <c r="G371" s="472">
        <f>0.8*4*E371</f>
        <v/>
      </c>
      <c r="H371" s="472">
        <f>+G371+F371</f>
        <v/>
      </c>
      <c r="I371" s="416" t="n"/>
    </row>
    <row r="372">
      <c r="A372" s="509" t="n"/>
      <c r="B372" s="419">
        <f>C77</f>
        <v/>
      </c>
      <c r="C372" s="508">
        <f>D77</f>
        <v/>
      </c>
      <c r="D372" s="508">
        <f>E77</f>
        <v/>
      </c>
      <c r="E372" s="508">
        <f>F77</f>
        <v/>
      </c>
      <c r="F372" s="472">
        <f>(SUM(C372:D372)*2+1.6)*E372</f>
        <v/>
      </c>
      <c r="G372" s="472">
        <f>0.8*4*E372</f>
        <v/>
      </c>
      <c r="H372" s="472">
        <f>+G372+F372</f>
        <v/>
      </c>
      <c r="I372" s="416" t="n"/>
    </row>
    <row r="373">
      <c r="A373" s="509" t="n"/>
      <c r="B373" s="419">
        <f>C78</f>
        <v/>
      </c>
      <c r="C373" s="508">
        <f>D78</f>
        <v/>
      </c>
      <c r="D373" s="508">
        <f>E78</f>
        <v/>
      </c>
      <c r="E373" s="508">
        <f>F78</f>
        <v/>
      </c>
      <c r="F373" s="472">
        <f>(SUM(C373:D373)*2+1.6)*E373</f>
        <v/>
      </c>
      <c r="G373" s="472">
        <f>0.8*4*E373</f>
        <v/>
      </c>
      <c r="H373" s="472">
        <f>+G373+F373</f>
        <v/>
      </c>
      <c r="I373" s="416" t="n"/>
    </row>
    <row r="374">
      <c r="A374" s="509" t="n"/>
      <c r="B374" s="419">
        <f>C79</f>
        <v/>
      </c>
      <c r="C374" s="508">
        <f>D79</f>
        <v/>
      </c>
      <c r="D374" s="508">
        <f>E79</f>
        <v/>
      </c>
      <c r="E374" s="508">
        <f>F79</f>
        <v/>
      </c>
      <c r="F374" s="472">
        <f>(SUM(C374:D374)*2+1.6)*E374</f>
        <v/>
      </c>
      <c r="G374" s="472">
        <f>0.8*4*E374</f>
        <v/>
      </c>
      <c r="H374" s="472">
        <f>+G374+F374</f>
        <v/>
      </c>
      <c r="I374" s="416" t="n"/>
    </row>
    <row r="375">
      <c r="A375" s="5" t="n"/>
      <c r="B375" s="419">
        <f>C80</f>
        <v/>
      </c>
      <c r="C375" s="508">
        <f>D80</f>
        <v/>
      </c>
      <c r="D375" s="508">
        <f>E80</f>
        <v/>
      </c>
      <c r="E375" s="508">
        <f>F80</f>
        <v/>
      </c>
      <c r="F375" s="472">
        <f>(SUM(C375:D375)*2+1.6)*E375</f>
        <v/>
      </c>
      <c r="G375" s="472">
        <f>0.8*4*E375</f>
        <v/>
      </c>
      <c r="H375" s="472">
        <f>+G375+F375</f>
        <v/>
      </c>
      <c r="I375" s="416" t="n"/>
    </row>
    <row r="376">
      <c r="C376" s="503" t="n"/>
      <c r="D376" s="1147" t="n"/>
      <c r="E376" s="324" t="n"/>
      <c r="H376" s="510">
        <f>SUM(H351:H375)</f>
        <v/>
      </c>
    </row>
    <row r="378">
      <c r="C378" s="491" t="inlineStr">
        <is>
          <t>REFUERZO EN COLUMNAS Y VIGAS</t>
        </is>
      </c>
      <c r="D378" s="1150" t="n"/>
      <c r="E378" s="324" t="n"/>
    </row>
    <row r="379">
      <c r="C379" s="503" t="n"/>
      <c r="D379" s="1147" t="n"/>
      <c r="E379" s="324" t="n"/>
    </row>
    <row r="380">
      <c r="C380" s="470" t="inlineStr">
        <is>
          <t>ELEMENTO</t>
        </is>
      </c>
      <c r="D380" s="470" t="inlineStr">
        <is>
          <t>CANTIDAD</t>
        </is>
      </c>
      <c r="E380" s="512" t="inlineStr">
        <is>
          <t>SUBELEMENTO</t>
        </is>
      </c>
      <c r="F380" s="464" t="inlineStr">
        <is>
          <t># Varilla</t>
        </is>
      </c>
      <c r="G380" s="513" t="inlineStr">
        <is>
          <t>Total</t>
        </is>
      </c>
      <c r="H380" s="464" t="inlineStr">
        <is>
          <t>Peso</t>
        </is>
      </c>
      <c r="I380" s="464" t="inlineStr">
        <is>
          <t>Características</t>
        </is>
      </c>
      <c r="J380" s="514" t="n"/>
      <c r="K380" s="514" t="n"/>
      <c r="L380" s="515" t="n"/>
    </row>
    <row r="381">
      <c r="C381" s="470" t="inlineStr">
        <is>
          <t>EB-1</t>
        </is>
      </c>
      <c r="D381" s="516" t="n">
        <v>13</v>
      </c>
      <c r="E381" s="512" t="inlineStr">
        <is>
          <t>Longitudinal</t>
        </is>
      </c>
      <c r="F381" s="464" t="inlineStr">
        <is>
          <t>#3</t>
        </is>
      </c>
      <c r="G381" s="517">
        <f>+D381*($D$27+0.9)*J381/5.7</f>
        <v/>
      </c>
      <c r="H381" s="518">
        <f>IF(F381="#2",1.494,IF(F381="#3",3.36,IF(F381="#4",5.964,IF(F381="#5",9.312,IF(F381="#2 de 4.11",18.56,IF(F381="#2 de 4.88",26.17,IF(F381="#2 de 5.3",30.87,0)))))))*G381</f>
        <v/>
      </c>
      <c r="I381" s="512" t="inlineStr">
        <is>
          <t>Cantidad:</t>
        </is>
      </c>
      <c r="J381" s="519" t="n">
        <v>0</v>
      </c>
      <c r="K381" s="520" t="n"/>
      <c r="L381" s="519" t="n"/>
      <c r="M381" s="416" t="n"/>
    </row>
    <row r="382">
      <c r="C382" s="5" t="n"/>
      <c r="D382" s="521" t="n"/>
      <c r="E382" s="522" t="inlineStr">
        <is>
          <t>Aros</t>
        </is>
      </c>
      <c r="F382" s="523" t="inlineStr">
        <is>
          <t>#3</t>
        </is>
      </c>
      <c r="G382" s="524">
        <f>ROUNDUP($D$27/J382+1,0)*L382*D381/5.7</f>
        <v/>
      </c>
      <c r="H382" s="525">
        <f>IF(F382="#2",1.494,IF(F382="#3",3.36,IF(F382="#4",5.964,IF(F382="#5",9.312,IF(F382="#2 de 4.11",18.56,IF(F382="#2 de 4.88",26.17,IF(F382="#2 de 5.3",30.87,0)))))))*G382</f>
        <v/>
      </c>
      <c r="I382" s="522" t="inlineStr">
        <is>
          <t>Espaciamiento:</t>
        </is>
      </c>
      <c r="J382" s="526" t="n">
        <v>0.25</v>
      </c>
      <c r="K382" s="527" t="inlineStr">
        <is>
          <t>Tamaño:</t>
        </is>
      </c>
      <c r="L382" s="526" t="n">
        <v>0.6</v>
      </c>
      <c r="M382" s="416" t="n"/>
    </row>
    <row r="383">
      <c r="C383" s="470" t="inlineStr">
        <is>
          <t>EB-2</t>
        </is>
      </c>
      <c r="D383" s="516" t="n">
        <v>9</v>
      </c>
      <c r="E383" s="512" t="inlineStr">
        <is>
          <t>Longitudinal</t>
        </is>
      </c>
      <c r="F383" s="464" t="inlineStr">
        <is>
          <t>#3</t>
        </is>
      </c>
      <c r="G383" s="517">
        <f>+D383*($D$27+0.9)*J383/5.7</f>
        <v/>
      </c>
      <c r="H383" s="518">
        <f>IF(F383="#2",1.494,IF(F383="#3",3.36,IF(F383="#4",5.964,IF(F383="#5",9.312,IF(F383="#2 de 4.11",18.56,IF(F383="#2 de 4.88",26.17,IF(F383="#2 de 5.3",30.87,0)))))))*G383</f>
        <v/>
      </c>
      <c r="I383" s="512" t="inlineStr">
        <is>
          <t>Cantidad:</t>
        </is>
      </c>
      <c r="J383" s="519" t="n">
        <v>0</v>
      </c>
      <c r="K383" s="520" t="n"/>
      <c r="L383" s="519" t="n"/>
      <c r="M383" s="416" t="n"/>
    </row>
    <row r="384">
      <c r="C384" s="5" t="n"/>
      <c r="D384" s="521" t="n"/>
      <c r="E384" s="522" t="inlineStr">
        <is>
          <t>Aros</t>
        </is>
      </c>
      <c r="F384" s="523" t="inlineStr">
        <is>
          <t>#3</t>
        </is>
      </c>
      <c r="G384" s="524">
        <f>ROUNDUP($D$27/J384+1,0)*L384*D383/5.7</f>
        <v/>
      </c>
      <c r="H384" s="525">
        <f>IF(F384="#2",1.494,IF(F384="#3",3.36,IF(F384="#4",5.964,IF(F384="#5",9.312,IF(F384="#2 de 4.11",18.56,IF(F384="#2 de 4.88",26.17,IF(F384="#2 de 5.3",30.87,0)))))))*G384</f>
        <v/>
      </c>
      <c r="I384" s="522" t="inlineStr">
        <is>
          <t>Espaciamiento:</t>
        </is>
      </c>
      <c r="J384" s="526" t="n">
        <v>0.25</v>
      </c>
      <c r="K384" s="527" t="inlineStr">
        <is>
          <t>Tamaño:</t>
        </is>
      </c>
      <c r="L384" s="526" t="n">
        <v>1.1</v>
      </c>
      <c r="M384" s="416" t="n"/>
    </row>
    <row r="385">
      <c r="C385" s="470" t="inlineStr">
        <is>
          <t>EB-3</t>
        </is>
      </c>
      <c r="D385" s="516" t="n">
        <v>5</v>
      </c>
      <c r="E385" s="512" t="inlineStr">
        <is>
          <t>Longitudinal</t>
        </is>
      </c>
      <c r="F385" s="464" t="inlineStr">
        <is>
          <t>#3</t>
        </is>
      </c>
      <c r="G385" s="517">
        <f>+D385*($D$27+0.9)*J385/5.7</f>
        <v/>
      </c>
      <c r="H385" s="518">
        <f>IF(F385="#2",1.494,IF(F385="#3",3.36,IF(F385="#4",5.964,IF(F385="#5",9.312,IF(F385="#2 de 4.11",18.56,IF(F385="#2 de 4.88",26.17,IF(F385="#2 de 5.3",30.87,0)))))))*G385</f>
        <v/>
      </c>
      <c r="I385" s="512" t="inlineStr">
        <is>
          <t>Cantidad:</t>
        </is>
      </c>
      <c r="J385" s="519" t="n">
        <v>0</v>
      </c>
      <c r="K385" s="520" t="n"/>
      <c r="L385" s="519" t="n"/>
      <c r="M385" s="416" t="n"/>
    </row>
    <row r="386">
      <c r="C386" s="5" t="n"/>
      <c r="D386" s="521" t="n"/>
      <c r="E386" s="522" t="inlineStr">
        <is>
          <t>Aros</t>
        </is>
      </c>
      <c r="F386" s="523" t="inlineStr">
        <is>
          <t>#3</t>
        </is>
      </c>
      <c r="G386" s="524">
        <f>ROUNDUP($D$27/J386+1,0)*L386*D385/5.7</f>
        <v/>
      </c>
      <c r="H386" s="525">
        <f>IF(F386="#2",1.494,IF(F386="#3",3.36,IF(F386="#4",5.964,IF(F386="#5",9.312,IF(F386="#2 de 4.11",18.56,IF(F386="#2 de 4.88",26.17,IF(F386="#2 de 5.3",30.87,0)))))))*G386</f>
        <v/>
      </c>
      <c r="I386" s="522" t="inlineStr">
        <is>
          <t>Espaciamiento:</t>
        </is>
      </c>
      <c r="J386" s="526" t="n">
        <v>0.25</v>
      </c>
      <c r="K386" s="527" t="inlineStr">
        <is>
          <t>Tamaño:</t>
        </is>
      </c>
      <c r="L386" s="526" t="n">
        <v>1.2</v>
      </c>
      <c r="M386" s="416" t="n"/>
    </row>
    <row r="387">
      <c r="C387" s="470" t="inlineStr">
        <is>
          <t>EB-4</t>
        </is>
      </c>
      <c r="D387" s="516" t="n"/>
      <c r="E387" s="512" t="inlineStr">
        <is>
          <t>Longitudinal</t>
        </is>
      </c>
      <c r="F387" s="464" t="inlineStr">
        <is>
          <t>#3</t>
        </is>
      </c>
      <c r="G387" s="517">
        <f>+D387*($D$27+0.9)*J387/5.7</f>
        <v/>
      </c>
      <c r="H387" s="518">
        <f>IF(F387="#2",1.494,IF(F387="#3",3.36,IF(F387="#4",5.964,IF(F387="#5",9.312,IF(F387="#2 de 4.11",18.56,IF(F387="#2 de 4.88",26.17,IF(F387="#2 de 5.3",30.87,0)))))))*G387</f>
        <v/>
      </c>
      <c r="I387" s="512" t="inlineStr">
        <is>
          <t>Cantidad:</t>
        </is>
      </c>
      <c r="J387" s="519" t="n">
        <v>0</v>
      </c>
      <c r="K387" s="520" t="n"/>
      <c r="L387" s="519" t="n"/>
      <c r="M387" s="416" t="n"/>
    </row>
    <row r="388">
      <c r="C388" s="5" t="n"/>
      <c r="D388" s="521" t="n"/>
      <c r="E388" s="522" t="inlineStr">
        <is>
          <t>Aros</t>
        </is>
      </c>
      <c r="F388" s="523" t="inlineStr">
        <is>
          <t>#3</t>
        </is>
      </c>
      <c r="G388" s="524">
        <f>ROUNDUP($D$27/J388+1,0)*L388*D387/5.7</f>
        <v/>
      </c>
      <c r="H388" s="525">
        <f>IF(F388="#2",1.494,IF(F388="#3",3.36,IF(F388="#4",5.964,IF(F388="#5",9.312,IF(F388="#2 de 4.11",18.56,IF(F388="#2 de 4.88",26.17,IF(F388="#2 de 5.3",30.87,0)))))))*G388</f>
        <v/>
      </c>
      <c r="I388" s="522" t="inlineStr">
        <is>
          <t>Espaciamiento:</t>
        </is>
      </c>
      <c r="J388" s="526" t="n">
        <v>0.2</v>
      </c>
      <c r="K388" s="527" t="inlineStr">
        <is>
          <t>Tamaño:</t>
        </is>
      </c>
      <c r="L388" s="526" t="n">
        <v>2.1</v>
      </c>
      <c r="M388" s="416" t="n"/>
    </row>
    <row r="389">
      <c r="C389" s="470" t="inlineStr">
        <is>
          <t>EB-5</t>
        </is>
      </c>
      <c r="D389" s="516" t="n"/>
      <c r="E389" s="512" t="inlineStr">
        <is>
          <t>Longitudinal</t>
        </is>
      </c>
      <c r="F389" s="464" t="inlineStr">
        <is>
          <t>#3</t>
        </is>
      </c>
      <c r="G389" s="517">
        <f>+D389*($D$27+0.9)*J389/5.7</f>
        <v/>
      </c>
      <c r="H389" s="518">
        <f>IF(F389="#2",1.494,IF(F389="#3",3.36,IF(F389="#4",5.964,IF(F389="#5",9.312,IF(F389="#2 de 4.11",18.56,IF(F389="#2 de 4.88",26.17,IF(F389="#2 de 5.3",30.87,0)))))))*G389</f>
        <v/>
      </c>
      <c r="I389" s="512" t="inlineStr">
        <is>
          <t>Cantidad:</t>
        </is>
      </c>
      <c r="J389" s="519" t="n">
        <v>0</v>
      </c>
      <c r="K389" s="520" t="n"/>
      <c r="L389" s="519" t="n"/>
      <c r="M389" s="416" t="n"/>
    </row>
    <row r="390">
      <c r="C390" s="5" t="n"/>
      <c r="D390" s="521" t="n"/>
      <c r="E390" s="522" t="inlineStr">
        <is>
          <t>Aros</t>
        </is>
      </c>
      <c r="F390" s="523" t="inlineStr">
        <is>
          <t>#3</t>
        </is>
      </c>
      <c r="G390" s="524">
        <f>ROUNDUP($D$27/J390+1,0)*L390*D389/5.7</f>
        <v/>
      </c>
      <c r="H390" s="525">
        <f>IF(F390="#2",1.494,IF(F390="#3",3.36,IF(F390="#4",5.964,IF(F390="#5",9.312,IF(F390="#2 de 4.11",18.56,IF(F390="#2 de 4.88",26.17,IF(F390="#2 de 5.3",30.87,0)))))))*G390</f>
        <v/>
      </c>
      <c r="I390" s="522" t="inlineStr">
        <is>
          <t>Espaciamiento:</t>
        </is>
      </c>
      <c r="J390" s="526" t="n">
        <v>0.2</v>
      </c>
      <c r="K390" s="527" t="inlineStr">
        <is>
          <t>Tamaño:</t>
        </is>
      </c>
      <c r="L390" s="526" t="n">
        <v>1</v>
      </c>
      <c r="M390" s="416" t="n"/>
    </row>
    <row r="391">
      <c r="C391" s="470" t="inlineStr">
        <is>
          <t>EB-6</t>
        </is>
      </c>
      <c r="D391" s="516" t="n"/>
      <c r="E391" s="512" t="inlineStr">
        <is>
          <t>Longitudinal</t>
        </is>
      </c>
      <c r="F391" s="464" t="inlineStr">
        <is>
          <t>#3</t>
        </is>
      </c>
      <c r="G391" s="517">
        <f>+D391*($D$27+0.9)*J391/5.7</f>
        <v/>
      </c>
      <c r="H391" s="518">
        <f>IF(F391="#2",1.494,IF(F391="#3",3.36,IF(F391="#4",5.964,IF(F391="#5",9.312,IF(F391="#2 de 4.11",18.56,IF(F391="#2 de 4.88",26.17,IF(F391="#2 de 5.3",30.87,0)))))))*G391</f>
        <v/>
      </c>
      <c r="I391" s="512" t="inlineStr">
        <is>
          <t>Cantidad:</t>
        </is>
      </c>
      <c r="J391" s="519" t="n">
        <v>0</v>
      </c>
      <c r="K391" s="520" t="n"/>
      <c r="L391" s="519" t="n"/>
      <c r="M391" s="416" t="n"/>
    </row>
    <row r="392">
      <c r="C392" s="5" t="n"/>
      <c r="D392" s="521" t="n"/>
      <c r="E392" s="522" t="inlineStr">
        <is>
          <t>Aros</t>
        </is>
      </c>
      <c r="F392" s="523" t="inlineStr">
        <is>
          <t>#3</t>
        </is>
      </c>
      <c r="G392" s="524">
        <f>ROUNDUP($D$27/J392+1,0)*L392*D391/5.7</f>
        <v/>
      </c>
      <c r="H392" s="525">
        <f>IF(F392="#2",1.494,IF(F392="#3",3.36,IF(F392="#4",5.964,IF(F392="#5",9.312,IF(F392="#2 de 4.11",18.56,IF(F392="#2 de 4.88",26.17,IF(F392="#2 de 5.3",30.87,0)))))))*G392</f>
        <v/>
      </c>
      <c r="I392" s="522" t="inlineStr">
        <is>
          <t>Espaciamiento:</t>
        </is>
      </c>
      <c r="J392" s="526" t="n">
        <v>0.5</v>
      </c>
      <c r="K392" s="527" t="inlineStr">
        <is>
          <t>Tamaño:</t>
        </is>
      </c>
      <c r="L392" s="526" t="n">
        <v>1.2</v>
      </c>
      <c r="M392" s="416" t="n"/>
    </row>
    <row r="393">
      <c r="C393" s="470" t="inlineStr">
        <is>
          <t>PA-1</t>
        </is>
      </c>
      <c r="D393" s="516" t="n">
        <v>1</v>
      </c>
      <c r="E393" s="512" t="inlineStr">
        <is>
          <t>Longitudinal</t>
        </is>
      </c>
      <c r="F393" s="464" t="inlineStr">
        <is>
          <t>#3</t>
        </is>
      </c>
      <c r="G393" s="517">
        <f>+D393*($D$27+0.9)*J393/5.7</f>
        <v/>
      </c>
      <c r="H393" s="518">
        <f>IF(F393="#2",1.494,IF(F393="#3",3.36,IF(F393="#4",5.964,IF(F393="#5",9.312,IF(F393="#2 de 4.11",18.56,IF(F393="#2 de 4.88",26.17,IF(F393="#2 de 5.3",30.87,0)))))))*G393</f>
        <v/>
      </c>
      <c r="I393" s="512" t="inlineStr">
        <is>
          <t>Cantidad:</t>
        </is>
      </c>
      <c r="J393" s="519" t="n">
        <v>10</v>
      </c>
      <c r="K393" s="520" t="n"/>
      <c r="L393" s="519" t="n"/>
      <c r="M393" s="416" t="n"/>
    </row>
    <row r="394">
      <c r="C394" s="5" t="n"/>
      <c r="D394" s="521" t="n"/>
      <c r="E394" s="522" t="inlineStr">
        <is>
          <t>Aros</t>
        </is>
      </c>
      <c r="F394" s="523" t="inlineStr">
        <is>
          <t>#2</t>
        </is>
      </c>
      <c r="G394" s="524">
        <f>ROUNDUP($D$27/J394+1,0)*L394*D393/5.7</f>
        <v/>
      </c>
      <c r="H394" s="525">
        <f>IF(F394="#2",1.494,IF(F394="#3",3.36,IF(F394="#4",5.964,IF(F394="#5",9.312,IF(F394="#2 de 4.11",18.56,IF(F394="#2 de 4.88",26.17,IF(F394="#2 de 5.3",30.87,0)))))))*G394</f>
        <v/>
      </c>
      <c r="I394" s="522" t="inlineStr">
        <is>
          <t>Espaciamiento:</t>
        </is>
      </c>
      <c r="J394" s="526" t="n">
        <v>0.2</v>
      </c>
      <c r="K394" s="527" t="inlineStr">
        <is>
          <t>Tamaño:</t>
        </is>
      </c>
      <c r="L394" s="526" t="n">
        <v>2.35</v>
      </c>
      <c r="M394" s="416" t="n"/>
    </row>
    <row r="395">
      <c r="C395" s="470" t="inlineStr">
        <is>
          <t>C-1</t>
        </is>
      </c>
      <c r="D395" s="516" t="n">
        <v>2</v>
      </c>
      <c r="E395" s="512" t="inlineStr">
        <is>
          <t>Longitudinal</t>
        </is>
      </c>
      <c r="F395" s="464" t="inlineStr">
        <is>
          <t>#4</t>
        </is>
      </c>
      <c r="G395" s="517">
        <f>+D395*($D$27+0.9)*J395/5.7</f>
        <v/>
      </c>
      <c r="H395" s="518">
        <f>IF(F395="#2",1.494,IF(F395="#3",3.36,IF(F395="#4",5.964,IF(F395="#5",9.312,IF(F395="#2 de 4.11",18.56,IF(F395="#2 de 4.88",26.17,IF(F395="#2 de 5.3",30.87,0)))))))*G395</f>
        <v/>
      </c>
      <c r="I395" s="512" t="inlineStr">
        <is>
          <t>Cantidad:</t>
        </is>
      </c>
      <c r="J395" s="519" t="n">
        <v>8</v>
      </c>
      <c r="K395" s="520" t="n"/>
      <c r="L395" s="519" t="n"/>
      <c r="M395" s="416" t="n"/>
    </row>
    <row r="396">
      <c r="C396" s="5" t="n"/>
      <c r="D396" s="521" t="n"/>
      <c r="E396" s="522" t="inlineStr">
        <is>
          <t>Aros</t>
        </is>
      </c>
      <c r="F396" s="523" t="inlineStr">
        <is>
          <t>#3</t>
        </is>
      </c>
      <c r="G396" s="524">
        <f>ROUNDUP($D$27/J396+1,0)*L396*D395/5.7</f>
        <v/>
      </c>
      <c r="H396" s="525">
        <f>IF(F396="#2",1.494,IF(F396="#3",3.36,IF(F396="#4",5.964,IF(F396="#5",9.312,IF(F396="#2 de 4.11",18.56,IF(F396="#2 de 4.88",26.17,IF(F396="#2 de 5.3",30.87,0)))))))*G396</f>
        <v/>
      </c>
      <c r="I396" s="522" t="inlineStr">
        <is>
          <t>Espaciamiento:</t>
        </is>
      </c>
      <c r="J396" s="526" t="n">
        <v>0.2</v>
      </c>
      <c r="K396" s="527" t="inlineStr">
        <is>
          <t>Tamaño:</t>
        </is>
      </c>
      <c r="L396" s="526" t="n">
        <v>2.35</v>
      </c>
      <c r="M396" s="416" t="n"/>
    </row>
    <row r="397">
      <c r="C397" s="471" t="inlineStr">
        <is>
          <t>V-1
m. lineales</t>
        </is>
      </c>
      <c r="D397" s="516" t="n">
        <v>8.4</v>
      </c>
      <c r="E397" s="512" t="inlineStr">
        <is>
          <t>Longitudinal</t>
        </is>
      </c>
      <c r="F397" s="464" t="inlineStr">
        <is>
          <t>#3</t>
        </is>
      </c>
      <c r="G397" s="517">
        <f>+D397*J397*1.1/5.7</f>
        <v/>
      </c>
      <c r="H397" s="518">
        <f>IF(F397="#2",1.494,IF(F397="#3",3.36,IF(F397="#4",5.964,IF(F397="#5",9.312,IF(F397="#2 de 4.11",18.56,IF(F397="#2 de 4.88",26.17,IF(F397="#2 de 5.3",30.87,0)))))))*G397</f>
        <v/>
      </c>
      <c r="I397" s="512" t="inlineStr">
        <is>
          <t>Cantidad:</t>
        </is>
      </c>
      <c r="J397" s="519" t="n">
        <v>0</v>
      </c>
      <c r="K397" s="520" t="n"/>
      <c r="L397" s="519" t="n"/>
      <c r="M397" s="416" t="n"/>
    </row>
    <row r="398">
      <c r="C398" s="509" t="n"/>
      <c r="D398" s="528" t="n"/>
      <c r="E398" s="529" t="inlineStr">
        <is>
          <t>Longitudinal</t>
        </is>
      </c>
      <c r="F398" s="530" t="inlineStr">
        <is>
          <t>#4</t>
        </is>
      </c>
      <c r="G398" s="531">
        <f>+D397*J398*1.1/5.7</f>
        <v/>
      </c>
      <c r="H398" s="532">
        <f>IF(F398="#2",1.494,IF(F398="#3",3.36,IF(F398="#4",5.964,IF(F398="#5",9.312,IF(F398="#2 de 4.11",18.56,IF(F398="#2 de 4.88",26.17,IF(F398="#2 de 5.3",30.87,0)))))))*G398</f>
        <v/>
      </c>
      <c r="I398" s="529" t="inlineStr">
        <is>
          <t>Cantidad:</t>
        </is>
      </c>
      <c r="J398" s="533" t="n">
        <v>2</v>
      </c>
      <c r="K398" s="427" t="n"/>
      <c r="L398" s="533" t="n"/>
      <c r="M398" s="421" t="n"/>
    </row>
    <row r="399">
      <c r="C399" s="5" t="n"/>
      <c r="D399" s="521" t="n"/>
      <c r="E399" s="522" t="inlineStr">
        <is>
          <t>Aros</t>
        </is>
      </c>
      <c r="F399" s="523" t="inlineStr">
        <is>
          <t>#3</t>
        </is>
      </c>
      <c r="G399" s="524">
        <f>ROUNDUP(0.9/J399+1,0)*L399*D397/5.7</f>
        <v/>
      </c>
      <c r="H399" s="525">
        <f>IF(F399="#2",1.494,IF(F399="#3",3.36,IF(F399="#4",5.964,IF(F399="#5",9.312,IF(F399="#2 de 4.11",18.56,IF(F399="#2 de 4.88",26.17,IF(F399="#2 de 5.3",30.87,0)))))))*G399</f>
        <v/>
      </c>
      <c r="I399" s="522" t="inlineStr">
        <is>
          <t>Espaciamiento:</t>
        </is>
      </c>
      <c r="J399" s="526" t="n">
        <v>0.1</v>
      </c>
      <c r="K399" s="527" t="inlineStr">
        <is>
          <t>Tamaño:</t>
        </is>
      </c>
      <c r="L399" s="526" t="n">
        <v>0.7</v>
      </c>
      <c r="M399" s="421" t="n"/>
    </row>
    <row r="400">
      <c r="C400" s="471" t="inlineStr">
        <is>
          <t>V-2
m. lineales</t>
        </is>
      </c>
      <c r="D400" s="534" t="n"/>
      <c r="E400" s="512" t="inlineStr">
        <is>
          <t>Longitudinal</t>
        </is>
      </c>
      <c r="F400" s="464" t="inlineStr">
        <is>
          <t>#4</t>
        </is>
      </c>
      <c r="G400" s="517">
        <f>+D400*J400*1.1/5.7</f>
        <v/>
      </c>
      <c r="H400" s="518">
        <f>IF(F400="#2",1.494,IF(F400="#3",3.36,IF(F400="#4",5.964,IF(F400="#5",9.312,IF(F400="#2 de 4.11",18.56,IF(F400="#2 de 4.88",26.17,IF(F400="#2 de 5.3",30.87,0)))))))*G400</f>
        <v/>
      </c>
      <c r="I400" s="512" t="inlineStr">
        <is>
          <t>Cantidad:</t>
        </is>
      </c>
      <c r="J400" s="519" t="n">
        <v>2</v>
      </c>
      <c r="K400" s="520" t="n"/>
      <c r="L400" s="519" t="n"/>
      <c r="M400" s="421" t="n"/>
    </row>
    <row r="401">
      <c r="C401" s="509" t="n"/>
      <c r="D401" s="528" t="n"/>
      <c r="E401" s="529" t="inlineStr">
        <is>
          <t>Longitudinal</t>
        </is>
      </c>
      <c r="F401" s="530" t="inlineStr">
        <is>
          <t>#3</t>
        </is>
      </c>
      <c r="G401" s="531">
        <f>+D400*J401*1.1/5.7</f>
        <v/>
      </c>
      <c r="H401" s="532">
        <f>IF(F401="#2",1.494,IF(F401="#3",3.36,IF(F401="#4",5.964,IF(F401="#5",9.312,IF(F401="#2 de 4.11",18.56,IF(F401="#2 de 4.88",26.17,IF(F401="#2 de 5.3",30.87,0)))))))*G401</f>
        <v/>
      </c>
      <c r="I401" s="529" t="inlineStr">
        <is>
          <t>Cantidad:</t>
        </is>
      </c>
      <c r="J401" s="533" t="n">
        <v>0</v>
      </c>
      <c r="K401" s="427" t="n"/>
      <c r="L401" s="533" t="n"/>
      <c r="M401" s="421" t="n"/>
    </row>
    <row r="402">
      <c r="C402" s="5" t="n"/>
      <c r="D402" s="521" t="n"/>
      <c r="E402" s="522" t="inlineStr">
        <is>
          <t>Aros</t>
        </is>
      </c>
      <c r="F402" s="523" t="inlineStr">
        <is>
          <t>#3</t>
        </is>
      </c>
      <c r="G402" s="524">
        <f>ROUNDUP(D400/J402+1,0)*L402/5.7</f>
        <v/>
      </c>
      <c r="H402" s="525">
        <f>IF(F402="#2",1.494,IF(F402="#3",3.36,IF(F402="#4",5.964,IF(F402="#5",9.312,IF(F402="#2 de 4.11",18.56,IF(F402="#2 de 4.88",26.17,IF(F402="#2 de 5.3",30.87,0)))))))*G402</f>
        <v/>
      </c>
      <c r="I402" s="522" t="inlineStr">
        <is>
          <t>Espaciamiento:</t>
        </is>
      </c>
      <c r="J402" s="526" t="n">
        <v>0.1</v>
      </c>
      <c r="K402" s="527" t="inlineStr">
        <is>
          <t>Tamaño:</t>
        </is>
      </c>
      <c r="L402" s="526" t="n"/>
      <c r="M402" s="421" t="n"/>
    </row>
    <row r="403">
      <c r="C403" s="471" t="inlineStr">
        <is>
          <t>V-3
m. lineales</t>
        </is>
      </c>
      <c r="D403" s="516" t="n"/>
      <c r="E403" s="512" t="inlineStr">
        <is>
          <t>Longitudinal</t>
        </is>
      </c>
      <c r="F403" s="464" t="inlineStr">
        <is>
          <t>#4</t>
        </is>
      </c>
      <c r="G403" s="517">
        <f>+D403*J403*1.1/5.7</f>
        <v/>
      </c>
      <c r="H403" s="518">
        <f>IF(F403="#2",1.494,IF(F403="#3",3.36,IF(F403="#4",5.964,IF(F403="#5",9.312,IF(F403="#2 de 4.11",18.56,IF(F403="#2 de 4.88",26.17,IF(F403="#2 de 5.3",30.87,0)))))))*G403</f>
        <v/>
      </c>
      <c r="I403" s="512" t="inlineStr">
        <is>
          <t>Cantidad:</t>
        </is>
      </c>
      <c r="J403" s="519" t="n">
        <v>4</v>
      </c>
      <c r="K403" s="520" t="n"/>
      <c r="L403" s="519" t="n"/>
      <c r="M403" s="421" t="n"/>
    </row>
    <row r="404">
      <c r="C404" s="509" t="n"/>
      <c r="D404" s="528" t="n"/>
      <c r="E404" s="529" t="inlineStr">
        <is>
          <t>Longitudinal</t>
        </is>
      </c>
      <c r="F404" s="530" t="inlineStr">
        <is>
          <t>#3</t>
        </is>
      </c>
      <c r="G404" s="531">
        <f>+D403*J404*1.1/5.7</f>
        <v/>
      </c>
      <c r="H404" s="532">
        <f>IF(F404="#2",1.494,IF(F404="#3",3.36,IF(F404="#4",5.964,IF(F404="#5",9.312,IF(F404="#2 de 4.11",18.56,IF(F404="#2 de 4.88",26.17,IF(F404="#2 de 5.3",30.87,0)))))))*G404</f>
        <v/>
      </c>
      <c r="I404" s="529" t="inlineStr">
        <is>
          <t>Cantidad:</t>
        </is>
      </c>
      <c r="J404" s="533" t="n">
        <v>0</v>
      </c>
      <c r="K404" s="427" t="n"/>
      <c r="L404" s="533" t="n"/>
      <c r="M404" s="421" t="n"/>
    </row>
    <row r="405">
      <c r="C405" s="5" t="n"/>
      <c r="D405" s="521" t="n"/>
      <c r="E405" s="522" t="inlineStr">
        <is>
          <t>Aros</t>
        </is>
      </c>
      <c r="F405" s="523" t="inlineStr">
        <is>
          <t>#3</t>
        </is>
      </c>
      <c r="G405" s="524">
        <f>ROUNDUP(D403/J405+1,0)*L405/5.7</f>
        <v/>
      </c>
      <c r="H405" s="525">
        <f>IF(F405="#2",1.494,IF(F405="#3",3.36,IF(F405="#4",5.964,IF(F405="#5",9.312,IF(F405="#2 de 4.11",18.56,IF(F405="#2 de 4.88",26.17,IF(F405="#2 de 5.3",30.87,0)))))))*G405</f>
        <v/>
      </c>
      <c r="I405" s="522" t="inlineStr">
        <is>
          <t>Espaciamiento:</t>
        </is>
      </c>
      <c r="J405" s="526" t="n">
        <v>0.15</v>
      </c>
      <c r="K405" s="527" t="inlineStr">
        <is>
          <t>Tamaño:</t>
        </is>
      </c>
      <c r="L405" s="526" t="n"/>
      <c r="M405" s="421" t="n"/>
    </row>
    <row r="406">
      <c r="C406" s="471" t="inlineStr">
        <is>
          <t>V-4
m. lineales</t>
        </is>
      </c>
      <c r="D406" s="516" t="n">
        <v>3.9</v>
      </c>
      <c r="E406" s="512" t="inlineStr">
        <is>
          <t>Longitudinal</t>
        </is>
      </c>
      <c r="F406" s="464" t="inlineStr">
        <is>
          <t>#4</t>
        </is>
      </c>
      <c r="G406" s="517">
        <f>+D406*J406*1.1/5.7</f>
        <v/>
      </c>
      <c r="H406" s="518">
        <f>IF(F406="#2",1.494,IF(F406="#3",3.36,IF(F406="#4",5.964,IF(F406="#5",9.312,IF(F406="#2 de 4.11",18.56,IF(F406="#2 de 4.88",26.17,IF(F406="#2 de 5.3",30.87,0)))))))*G406</f>
        <v/>
      </c>
      <c r="I406" s="512" t="inlineStr">
        <is>
          <t>Cantidad:</t>
        </is>
      </c>
      <c r="J406" s="519" t="n">
        <v>4</v>
      </c>
      <c r="K406" s="520" t="n"/>
      <c r="L406" s="519" t="n"/>
      <c r="M406" s="421" t="n"/>
    </row>
    <row r="407">
      <c r="C407" s="5" t="n"/>
      <c r="D407" s="521" t="n"/>
      <c r="E407" s="522" t="inlineStr">
        <is>
          <t>Aros</t>
        </is>
      </c>
      <c r="F407" s="523" t="inlineStr">
        <is>
          <t>#3</t>
        </is>
      </c>
      <c r="G407" s="524">
        <f>ROUNDUP(D406/J407+1,0)*L407/5.7</f>
        <v/>
      </c>
      <c r="H407" s="525">
        <f>IF(F407="#2",1.494,IF(F407="#3",3.36,IF(F407="#4",5.964,IF(F407="#5",9.312,IF(F407="#2 de 4.11",18.56,IF(F407="#2 de 4.88",26.17,IF(F407="#2 de 5.3",30.87,0)))))))*G407</f>
        <v/>
      </c>
      <c r="I407" s="522" t="inlineStr">
        <is>
          <t>Espaciamiento:</t>
        </is>
      </c>
      <c r="J407" s="526" t="n">
        <v>0.15</v>
      </c>
      <c r="K407" s="527" t="inlineStr">
        <is>
          <t>Tamaño:</t>
        </is>
      </c>
      <c r="L407" s="526" t="n">
        <v>0.7</v>
      </c>
      <c r="M407" s="421" t="n"/>
    </row>
    <row r="408">
      <c r="C408" s="471" t="inlineStr">
        <is>
          <t>V-5
m. lineales</t>
        </is>
      </c>
      <c r="D408" s="516" t="n">
        <v>9.9</v>
      </c>
      <c r="E408" s="512" t="inlineStr">
        <is>
          <t>Longitudinal</t>
        </is>
      </c>
      <c r="F408" s="464" t="inlineStr">
        <is>
          <t>#4</t>
        </is>
      </c>
      <c r="G408" s="517">
        <f>+D408*J408*1.1/5.7</f>
        <v/>
      </c>
      <c r="H408" s="518">
        <f>IF(F408="#2",1.494,IF(F408="#3",3.36,IF(F408="#4",5.964,IF(F408="#5",9.312,IF(F408="#2 de 4.11",18.56,IF(F408="#2 de 4.88",26.17,IF(F408="#2 de 5.3",30.87,0)))))))*G408</f>
        <v/>
      </c>
      <c r="I408" s="512" t="inlineStr">
        <is>
          <t>Cantidad:</t>
        </is>
      </c>
      <c r="J408" s="519" t="n">
        <v>8</v>
      </c>
      <c r="K408" s="520" t="n"/>
      <c r="L408" s="519" t="n"/>
      <c r="M408" s="421" t="n"/>
    </row>
    <row r="409">
      <c r="C409" s="5" t="n"/>
      <c r="D409" s="521" t="n"/>
      <c r="E409" s="522" t="inlineStr">
        <is>
          <t>Aros</t>
        </is>
      </c>
      <c r="F409" s="523" t="inlineStr">
        <is>
          <t>#3</t>
        </is>
      </c>
      <c r="G409" s="524">
        <f>ROUNDUP(D408/J409+1,0)*L409/5.7</f>
        <v/>
      </c>
      <c r="H409" s="525">
        <f>IF(F409="#2",1.494,IF(F409="#3",3.36,IF(F409="#4",5.964,IF(F409="#5",9.312,IF(F409="#2 de 4.11",18.56,IF(F409="#2 de 4.88",26.17,IF(F409="#2 de 5.3",30.87,0)))))))*G409</f>
        <v/>
      </c>
      <c r="I409" s="522" t="inlineStr">
        <is>
          <t>Espaciamiento:</t>
        </is>
      </c>
      <c r="J409" s="526" t="n">
        <v>0.2</v>
      </c>
      <c r="K409" s="527" t="inlineStr">
        <is>
          <t>Tamaño:</t>
        </is>
      </c>
      <c r="L409" s="526" t="n">
        <v>1.5</v>
      </c>
      <c r="M409" s="421" t="n"/>
    </row>
    <row r="410">
      <c r="C410" s="471" t="inlineStr">
        <is>
          <t>V-6
m. lineales</t>
        </is>
      </c>
      <c r="D410" s="516" t="n"/>
      <c r="E410" s="512" t="inlineStr">
        <is>
          <t>Longitudinal</t>
        </is>
      </c>
      <c r="F410" s="464" t="inlineStr">
        <is>
          <t>#4</t>
        </is>
      </c>
      <c r="G410" s="517">
        <f>+D410*J410*1.1/5.7</f>
        <v/>
      </c>
      <c r="H410" s="518">
        <f>IF(F410="#2",1.494,IF(F410="#3",3.36,IF(F410="#4",5.964,IF(F410="#5",9.312,IF(F410="#2 de 4.11",18.56,IF(F410="#2 de 4.88",26.17,IF(F410="#2 de 5.3",30.87,0)))))))*G410</f>
        <v/>
      </c>
      <c r="I410" s="512" t="inlineStr">
        <is>
          <t>Cantidad:</t>
        </is>
      </c>
      <c r="J410" s="519" t="n">
        <v>4</v>
      </c>
      <c r="K410" s="520" t="n"/>
      <c r="L410" s="519" t="n"/>
      <c r="M410" s="421" t="n"/>
    </row>
    <row r="411">
      <c r="C411" s="5" t="n"/>
      <c r="D411" s="521" t="n"/>
      <c r="E411" s="522" t="inlineStr">
        <is>
          <t>Aros</t>
        </is>
      </c>
      <c r="F411" s="523" t="inlineStr">
        <is>
          <t>#3</t>
        </is>
      </c>
      <c r="G411" s="524">
        <f>ROUNDUP(D410/J411+1,0)*L411/5.7</f>
        <v/>
      </c>
      <c r="H411" s="525">
        <f>IF(F411="#2",1.494,IF(F411="#3",3.36,IF(F411="#4",5.964,IF(F411="#5",9.312,IF(F411="#2 de 4.11",18.56,IF(F411="#2 de 4.88",26.17,IF(F411="#2 de 5.3",30.87,0)))))))*G411</f>
        <v/>
      </c>
      <c r="I411" s="522" t="inlineStr">
        <is>
          <t>Espaciamiento:</t>
        </is>
      </c>
      <c r="J411" s="526" t="n">
        <v>0.2</v>
      </c>
      <c r="K411" s="527" t="inlineStr">
        <is>
          <t>Tamaño:</t>
        </is>
      </c>
      <c r="L411" s="526" t="n">
        <v>1.2</v>
      </c>
      <c r="M411" s="421" t="n"/>
    </row>
    <row r="412">
      <c r="C412" s="471" t="inlineStr">
        <is>
          <t>V-7
m. lineales</t>
        </is>
      </c>
      <c r="D412" s="516" t="n">
        <v>2.4</v>
      </c>
      <c r="E412" s="512" t="inlineStr">
        <is>
          <t>Longitudinal</t>
        </is>
      </c>
      <c r="F412" s="464" t="inlineStr">
        <is>
          <t>#4</t>
        </is>
      </c>
      <c r="G412" s="517">
        <f>+D412*J412*1.1/5.7</f>
        <v/>
      </c>
      <c r="H412" s="518">
        <f>IF(F412="#2",1.494,IF(F412="#3",3.36,IF(F412="#4",5.964,IF(F412="#5",9.312,IF(F412="#2 de 4.11",18.56,IF(F412="#2 de 4.88",26.17,IF(F412="#2 de 5.3",30.87,0)))))))*G412</f>
        <v/>
      </c>
      <c r="I412" s="512" t="inlineStr">
        <is>
          <t>Cantidad:</t>
        </is>
      </c>
      <c r="J412" s="519" t="n">
        <v>2</v>
      </c>
      <c r="K412" s="520" t="n"/>
      <c r="L412" s="519" t="n"/>
      <c r="M412" s="421" t="n"/>
    </row>
    <row r="413">
      <c r="C413" s="5" t="n"/>
      <c r="D413" s="521" t="n"/>
      <c r="E413" s="522" t="inlineStr">
        <is>
          <t>Aros</t>
        </is>
      </c>
      <c r="F413" s="523" t="inlineStr">
        <is>
          <t>#3</t>
        </is>
      </c>
      <c r="G413" s="524">
        <f>ROUNDUP(D412/J413+1,0)*L413/5.7</f>
        <v/>
      </c>
      <c r="H413" s="525">
        <f>IF(F413="#2",1.494,IF(F413="#3",3.36,IF(F413="#4",5.964,IF(F413="#5",9.312,IF(F413="#2 de 4.11",18.56,IF(F413="#2 de 4.88",26.17,IF(F413="#2 de 5.3",30.87,0)))))))*G413</f>
        <v/>
      </c>
      <c r="I413" s="522" t="inlineStr">
        <is>
          <t>Espaciamiento:</t>
        </is>
      </c>
      <c r="J413" s="526" t="n">
        <v>0.15</v>
      </c>
      <c r="K413" s="527" t="inlineStr">
        <is>
          <t>Tamaño:</t>
        </is>
      </c>
      <c r="L413" s="526" t="n">
        <v>0.9</v>
      </c>
      <c r="M413" s="421" t="n"/>
    </row>
    <row r="414">
      <c r="C414" s="471" t="inlineStr">
        <is>
          <t>VK-1
m. lineales</t>
        </is>
      </c>
      <c r="D414" s="516" t="n">
        <v>10.2</v>
      </c>
      <c r="E414" s="512" t="inlineStr">
        <is>
          <t>Longitudinal</t>
        </is>
      </c>
      <c r="F414" s="464" t="inlineStr">
        <is>
          <t>#4</t>
        </is>
      </c>
      <c r="G414" s="517">
        <f>+D414*J414*1.1/5.7</f>
        <v/>
      </c>
      <c r="H414" s="518">
        <f>IF(F414="#2",1.494,IF(F414="#3",3.36,IF(F414="#4",5.964,IF(F414="#5",9.312,IF(F414="#2 de 4.11",18.56,IF(F414="#2 de 4.88",26.17,IF(F414="#2 de 5.3",30.87,0)))))))*G414</f>
        <v/>
      </c>
      <c r="I414" s="512" t="inlineStr">
        <is>
          <t>Cantidad:</t>
        </is>
      </c>
      <c r="J414" s="519" t="n">
        <v>2</v>
      </c>
      <c r="K414" s="520" t="n"/>
      <c r="L414" s="519" t="n"/>
      <c r="M414" s="421" t="n"/>
    </row>
    <row r="415">
      <c r="C415" s="509" t="n"/>
      <c r="D415" s="528" t="n"/>
      <c r="E415" s="529" t="inlineStr">
        <is>
          <t>Longitudinal</t>
        </is>
      </c>
      <c r="F415" s="530" t="inlineStr">
        <is>
          <t>#3</t>
        </is>
      </c>
      <c r="G415" s="531">
        <f>+D414*J415*1.1/5.7</f>
        <v/>
      </c>
      <c r="H415" s="532">
        <f>IF(F415="#2",1.494,IF(F415="#3",3.36,IF(F415="#4",5.964,IF(F415="#5",9.312,IF(F415="#2 de 4.11",18.56,IF(F415="#2 de 4.88",26.17,IF(F415="#2 de 5.3",30.87,0)))))))*G415</f>
        <v/>
      </c>
      <c r="I415" s="529" t="inlineStr">
        <is>
          <t>Cantidad:</t>
        </is>
      </c>
      <c r="J415" s="533" t="n">
        <v>0</v>
      </c>
      <c r="K415" s="427" t="n"/>
      <c r="L415" s="533" t="n"/>
      <c r="M415" s="421" t="n"/>
    </row>
    <row r="416">
      <c r="C416" s="5" t="n"/>
      <c r="D416" s="521" t="n"/>
      <c r="E416" s="522" t="inlineStr">
        <is>
          <t>Aros</t>
        </is>
      </c>
      <c r="F416" s="523" t="inlineStr">
        <is>
          <t>#3</t>
        </is>
      </c>
      <c r="G416" s="524">
        <f>ROUNDUP(D414/J416+1,0)*L416/5.7</f>
        <v/>
      </c>
      <c r="H416" s="525">
        <f>IF(F416="#2",1.494,IF(F416="#3",3.36,IF(F416="#4",5.964,IF(F416="#5",9.312,IF(F416="#2 de 4.11",18.56,IF(F416="#2 de 4.88",26.17,IF(F416="#2 de 5.3",30.87,0)))))))*G416</f>
        <v/>
      </c>
      <c r="I416" s="522" t="inlineStr">
        <is>
          <t>Espaciamiento:</t>
        </is>
      </c>
      <c r="J416" s="526" t="n">
        <v>0.1</v>
      </c>
      <c r="K416" s="527" t="inlineStr">
        <is>
          <t>Tamaño:</t>
        </is>
      </c>
      <c r="L416" s="526" t="n">
        <v>0.8</v>
      </c>
      <c r="M416" s="421" t="n"/>
    </row>
    <row r="417">
      <c r="C417" s="471" t="inlineStr">
        <is>
          <t>VK-2
m. lineales</t>
        </is>
      </c>
      <c r="D417" s="516" t="n"/>
      <c r="E417" s="512" t="inlineStr">
        <is>
          <t>Longitudinal</t>
        </is>
      </c>
      <c r="F417" s="464" t="inlineStr">
        <is>
          <t>#4</t>
        </is>
      </c>
      <c r="G417" s="517">
        <f>+D417*J417*1.1/5.7</f>
        <v/>
      </c>
      <c r="H417" s="518">
        <f>IF(F417="#2",1.494,IF(F417="#3",3.36,IF(F417="#4",5.964,IF(F417="#5",9.312,IF(F417="#2 de 4.11",18.56,IF(F417="#2 de 4.88",26.17,IF(F417="#2 de 5.3",30.87,0)))))))*G417</f>
        <v/>
      </c>
      <c r="I417" s="512" t="inlineStr">
        <is>
          <t>Cantidad:</t>
        </is>
      </c>
      <c r="J417" s="519" t="n">
        <v>2</v>
      </c>
      <c r="K417" s="520" t="n"/>
      <c r="L417" s="519" t="n"/>
      <c r="M417" s="421" t="n"/>
    </row>
    <row r="418">
      <c r="C418" s="509" t="n"/>
      <c r="D418" s="528" t="n"/>
      <c r="E418" s="529" t="inlineStr">
        <is>
          <t>Longitudinal</t>
        </is>
      </c>
      <c r="F418" s="530" t="inlineStr">
        <is>
          <t>#3</t>
        </is>
      </c>
      <c r="G418" s="531">
        <f>+D417*J418*1.1/5.7</f>
        <v/>
      </c>
      <c r="H418" s="532">
        <f>IF(F418="#2",1.494,IF(F418="#3",3.36,IF(F418="#4",5.964,IF(F418="#5",9.312,IF(F418="#2 de 4.11",18.56,IF(F418="#2 de 4.88",26.17,IF(F418="#2 de 5.3",30.87,0)))))))*G418</f>
        <v/>
      </c>
      <c r="I418" s="529" t="inlineStr">
        <is>
          <t>Cantidad:</t>
        </is>
      </c>
      <c r="J418" s="533" t="n">
        <v>0</v>
      </c>
      <c r="K418" s="427" t="n"/>
      <c r="L418" s="533" t="n"/>
      <c r="M418" s="421" t="n"/>
    </row>
    <row r="419">
      <c r="C419" s="5" t="n"/>
      <c r="D419" s="521" t="n"/>
      <c r="E419" s="522" t="inlineStr">
        <is>
          <t>Aros</t>
        </is>
      </c>
      <c r="F419" s="523" t="inlineStr">
        <is>
          <t>#3</t>
        </is>
      </c>
      <c r="G419" s="524">
        <f>ROUNDUP(D417/J419+1,0)*L419/5.7</f>
        <v/>
      </c>
      <c r="H419" s="525">
        <f>IF(F419="#2",1.494,IF(F419="#3",3.36,IF(F419="#4",5.964,IF(F419="#5",9.312,IF(F419="#2 de 4.11",18.56,IF(F419="#2 de 4.88",26.17,IF(F419="#2 de 5.3",30.87,0)))))))*G419</f>
        <v/>
      </c>
      <c r="I419" s="522" t="inlineStr">
        <is>
          <t>Espaciamiento:</t>
        </is>
      </c>
      <c r="J419" s="526" t="n">
        <v>0.1</v>
      </c>
      <c r="K419" s="527" t="inlineStr">
        <is>
          <t>Tamaño:</t>
        </is>
      </c>
      <c r="L419" s="526" t="n">
        <v>0.85</v>
      </c>
      <c r="M419" s="421" t="n"/>
    </row>
    <row r="420">
      <c r="C420" s="503" t="n"/>
      <c r="D420" s="1147" t="n"/>
      <c r="E420" s="324" t="n"/>
      <c r="H420" s="535">
        <f>SUM(H381:H419)</f>
        <v/>
      </c>
    </row>
    <row r="421">
      <c r="C421" s="503" t="n"/>
      <c r="D421" s="1147" t="n"/>
      <c r="E421" s="324" t="n"/>
      <c r="H421" s="324" t="n"/>
    </row>
    <row r="422">
      <c r="C422" s="491" t="inlineStr">
        <is>
          <t>ACERO DE VIGA BANQUINA</t>
        </is>
      </c>
      <c r="D422" s="1147" t="n"/>
      <c r="E422" s="324" t="n"/>
      <c r="H422" s="324" t="n"/>
    </row>
    <row r="424">
      <c r="C424" s="411" t="inlineStr">
        <is>
          <t xml:space="preserve">Longitud </t>
        </is>
      </c>
      <c r="D424" s="412" t="n">
        <v>0</v>
      </c>
      <c r="E424" s="455" t="inlineStr">
        <is>
          <t xml:space="preserve">m </t>
        </is>
      </c>
      <c r="F424" s="421" t="n"/>
      <c r="H424" s="427" t="n"/>
    </row>
    <row r="425">
      <c r="C425" s="536" t="inlineStr">
        <is>
          <t xml:space="preserve">Largo gancho </t>
        </is>
      </c>
      <c r="D425" s="537" t="n">
        <v>0.35</v>
      </c>
      <c r="E425" s="537" t="inlineStr">
        <is>
          <t xml:space="preserve">m </t>
        </is>
      </c>
      <c r="F425" s="421" t="n"/>
      <c r="H425" s="427" t="n"/>
    </row>
    <row r="426">
      <c r="C426" s="503" t="n"/>
      <c r="D426" s="1147" t="n"/>
      <c r="E426" s="324" t="n"/>
      <c r="H426" s="324" t="n"/>
    </row>
    <row r="427">
      <c r="C427" s="491" t="inlineStr">
        <is>
          <t>REFUERZO DE LOSA CENITAL</t>
        </is>
      </c>
      <c r="D427" s="1147" t="n"/>
      <c r="E427" s="324" t="n"/>
      <c r="H427" s="324" t="n"/>
    </row>
    <row r="428">
      <c r="C428" s="503" t="n"/>
      <c r="D428" s="1147" t="n"/>
      <c r="E428" s="324" t="n"/>
      <c r="H428" s="324" t="n"/>
    </row>
    <row r="429">
      <c r="C429" s="411" t="inlineStr">
        <is>
          <t>Área</t>
        </is>
      </c>
      <c r="D429" s="413">
        <f>D34</f>
        <v/>
      </c>
      <c r="E429" s="455" t="inlineStr">
        <is>
          <t>m2</t>
        </is>
      </c>
      <c r="F429" s="421" t="n"/>
      <c r="H429" s="427" t="n"/>
    </row>
    <row r="431">
      <c r="C431" s="491" t="inlineStr">
        <is>
          <t>REFUERZO DE ENTREPISO</t>
        </is>
      </c>
      <c r="D431" s="1147" t="n"/>
      <c r="E431" s="324" t="n"/>
      <c r="F431" s="538" t="n"/>
      <c r="H431" s="324" t="n"/>
    </row>
    <row r="432">
      <c r="C432" s="503" t="n"/>
      <c r="D432" s="1147" t="n"/>
      <c r="E432" s="324" t="n"/>
      <c r="F432" s="538" t="n"/>
      <c r="H432" s="324" t="n"/>
    </row>
    <row r="433">
      <c r="B433" s="469" t="n"/>
      <c r="C433" s="411" t="inlineStr">
        <is>
          <t>Área</t>
        </is>
      </c>
      <c r="D433" s="413">
        <f>+D19</f>
        <v/>
      </c>
      <c r="E433" s="455" t="inlineStr">
        <is>
          <t>m2</t>
        </is>
      </c>
      <c r="F433" s="421" t="n"/>
      <c r="H433" s="427" t="n"/>
    </row>
    <row r="434">
      <c r="C434" s="503" t="n"/>
      <c r="D434" s="1147" t="n"/>
      <c r="E434" s="324" t="n"/>
      <c r="F434" s="538" t="n"/>
      <c r="H434" s="324" t="n"/>
    </row>
    <row r="435">
      <c r="F435" s="46" t="n"/>
      <c r="G435" s="46" t="n"/>
    </row>
    <row r="436">
      <c r="B436" s="469" t="n"/>
      <c r="C436" s="488" t="inlineStr">
        <is>
          <t>Elemento</t>
        </is>
      </c>
      <c r="D436" s="488" t="inlineStr">
        <is>
          <t>Cantidad/espaciamiento</t>
        </is>
      </c>
      <c r="E436" s="488" t="inlineStr">
        <is>
          <t># Varilla</t>
        </is>
      </c>
      <c r="F436" s="488" t="inlineStr">
        <is>
          <t>Total</t>
        </is>
      </c>
      <c r="G436" s="488" t="inlineStr">
        <is>
          <t>Peso</t>
        </is>
      </c>
    </row>
    <row r="437">
      <c r="B437" s="469" t="n"/>
      <c r="C437" s="486" t="inlineStr">
        <is>
          <t>Longitudinal de muros</t>
        </is>
      </c>
      <c r="D437" s="487">
        <f>+D344</f>
        <v/>
      </c>
      <c r="E437" s="488" t="inlineStr">
        <is>
          <t>#3</t>
        </is>
      </c>
      <c r="F437" s="487">
        <f>+D437*D341/5.7</f>
        <v/>
      </c>
      <c r="G437" s="487">
        <f>IF(E437="#2",1.494,IF(E437="#3",3.36,IF(E437="#4",5.964,IF(E437="#5",9.312,IF(E437="#2 de 4.11",18.56,IF(E437="#2 de 4.88",26.17,IF(E437="#2 de 5.3",30.87,0)))))))*F437</f>
        <v/>
      </c>
      <c r="H437" s="421" t="n"/>
    </row>
    <row r="438">
      <c r="B438" s="469" t="n"/>
      <c r="C438" s="486" t="inlineStr">
        <is>
          <t>Longitudinal de muros (verticales)</t>
        </is>
      </c>
      <c r="D438" s="487">
        <f>D345</f>
        <v/>
      </c>
      <c r="E438" s="488" t="inlineStr">
        <is>
          <t>#3</t>
        </is>
      </c>
      <c r="F438" s="487">
        <f>+D438*D342/5.7</f>
        <v/>
      </c>
      <c r="G438" s="487">
        <f>IF(E438="#2",1.494,IF(E438="#3",3.36,IF(E438="#4",5.964,IF(E438="#5",9.312,IF(E438="#2 de 4.11",18.56,IF(E438="#2 de 4.88",26.17,IF(E438="#2 de 5.3",30.87,0)))))))*F438</f>
        <v/>
      </c>
      <c r="H438" s="421" t="n"/>
    </row>
    <row r="439">
      <c r="B439" s="469" t="n"/>
      <c r="C439" s="486" t="inlineStr">
        <is>
          <t>Aros de viga corona</t>
        </is>
      </c>
      <c r="D439" s="487" t="n">
        <v>0.125</v>
      </c>
      <c r="E439" s="488" t="inlineStr">
        <is>
          <t>#3</t>
        </is>
      </c>
      <c r="F439" s="487">
        <f>D424/D439*D425*(1+FDG)/6</f>
        <v/>
      </c>
      <c r="G439" s="487">
        <f>IF(E439="#2",1.494,IF(E439="#3",3.36,IF(E439="#4",5.964,IF(E439="#5",9.312,IF(E439="#2 de 4.11",18.56,IF(E439="#2 de 4.88",26.17,IF(E439="#2 de 5.3",30.87,0)))))))*F439</f>
        <v/>
      </c>
      <c r="H439" s="421" t="n"/>
    </row>
    <row r="440">
      <c r="B440" s="469" t="n"/>
      <c r="C440" s="486" t="inlineStr">
        <is>
          <t>Refuerzos en buques</t>
        </is>
      </c>
      <c r="D440" s="487">
        <f>+H376*(1+FDG)/6</f>
        <v/>
      </c>
      <c r="E440" s="488" t="inlineStr">
        <is>
          <t>#4</t>
        </is>
      </c>
      <c r="F440" s="488">
        <f>ROUNDUP(D440/0.5,0)*0.5</f>
        <v/>
      </c>
      <c r="G440" s="487">
        <f>IF(E440="#2",1.494,IF(E440="#3",3.36,IF(E440="#4",5.964,IF(E440="#5",9.312,IF(E440="#2 de 4.11",18.56,IF(E440="#2 de 4.88",26.17,IF(E440="#2 de 5.3",30.87,0)))))))*F440</f>
        <v/>
      </c>
      <c r="H440" s="421" t="n"/>
    </row>
    <row r="441">
      <c r="B441" s="469" t="n"/>
      <c r="C441" s="486" t="inlineStr">
        <is>
          <t>Malla de azotea</t>
        </is>
      </c>
      <c r="D441" s="487">
        <f>D429/(1.9*5.7)*2</f>
        <v/>
      </c>
      <c r="E441" s="488" t="inlineStr">
        <is>
          <t>#2 de 4.88</t>
        </is>
      </c>
      <c r="F441" s="488">
        <f>ROUNDUP(D441/0.5,0)*0.5</f>
        <v/>
      </c>
      <c r="G441" s="487">
        <f>IF(E441="#2",1.494,IF(E441="#3",3.36,IF(E441="#4",5.964,IF(E441="#5",9.312,IF(E441="#2 de 4.11",18.56,IF(E441="#2 de 4.88",26.17,IF(E441="#2 de 5.3",30.87,0)))))))*F441</f>
        <v/>
      </c>
      <c r="H441" s="421" t="n"/>
    </row>
    <row r="442">
      <c r="B442" s="469" t="n"/>
      <c r="C442" s="486" t="inlineStr">
        <is>
          <t>Malla de entrepiso</t>
        </is>
      </c>
      <c r="D442" s="487">
        <f>D433/(1.9*5.7)*2</f>
        <v/>
      </c>
      <c r="E442" s="488" t="inlineStr">
        <is>
          <t>#2 de 4.88</t>
        </is>
      </c>
      <c r="F442" s="488">
        <f>ROUNDUP(D442/0.5,0)*0.5</f>
        <v/>
      </c>
      <c r="G442" s="487">
        <f>IF(E442="#2",1.494,IF(E442="#3",3.36,IF(E442="#4",5.964,IF(E442="#5",9.312,IF(E442="#2 de 4.11",18.56,IF(E442="#2 de 4.88",26.17,IF(E442="#2 de 5.3",30.87,0)))))))*F442</f>
        <v/>
      </c>
      <c r="H442" s="421" t="n"/>
    </row>
    <row r="443">
      <c r="B443" s="469" t="n"/>
      <c r="E443" s="481" t="n"/>
      <c r="F443" s="481" t="n"/>
      <c r="G443" s="496">
        <f>SUM(G437:G442)</f>
        <v/>
      </c>
    </row>
    <row r="444">
      <c r="B444" s="469" t="n"/>
      <c r="C444" s="488" t="inlineStr">
        <is>
          <t>Elemento</t>
        </is>
      </c>
      <c r="D444" s="488" t="inlineStr">
        <is>
          <t>Cantidad</t>
        </is>
      </c>
      <c r="E444" s="488" t="inlineStr">
        <is>
          <t>Uni</t>
        </is>
      </c>
    </row>
    <row r="445">
      <c r="B445" s="476" t="inlineStr">
        <is>
          <t>M01-0146</t>
        </is>
      </c>
      <c r="C445" s="497" t="inlineStr">
        <is>
          <t>Varilla #2</t>
        </is>
      </c>
      <c r="D445" s="487">
        <f>ROUNDUP(SUMIF(F381:F420,"#2",G381:G420),0)</f>
        <v/>
      </c>
      <c r="E445" s="488" t="inlineStr">
        <is>
          <t>Uni</t>
        </is>
      </c>
      <c r="F445" s="421" t="n"/>
    </row>
    <row r="446">
      <c r="B446" s="476" t="inlineStr">
        <is>
          <t>M01-0147</t>
        </is>
      </c>
      <c r="C446" s="497" t="inlineStr">
        <is>
          <t>Varilla #3 G40</t>
        </is>
      </c>
      <c r="D446" s="487">
        <f>ROUNDUP(SUMIFS(G381:G419,F381:F419,"#3",E381:E419,"Aros")+F439,0)</f>
        <v/>
      </c>
      <c r="E446" s="488" t="inlineStr">
        <is>
          <t>Uni</t>
        </is>
      </c>
      <c r="F446" s="421" t="n"/>
    </row>
    <row r="447">
      <c r="B447" s="476" t="inlineStr">
        <is>
          <t>M01-0147</t>
        </is>
      </c>
      <c r="C447" s="497" t="inlineStr">
        <is>
          <t>Varilla #3 G60</t>
        </is>
      </c>
      <c r="D447" s="487">
        <f>ROUNDUP(SUMIFS(G381:G419,F381:F419,"#3",E381:E419,"Longitudinal")+F437+F438,0)</f>
        <v/>
      </c>
      <c r="E447" s="488" t="inlineStr">
        <is>
          <t>Uni</t>
        </is>
      </c>
      <c r="F447" s="421" t="n"/>
    </row>
    <row r="448">
      <c r="B448" s="476" t="inlineStr">
        <is>
          <t>M01-0148</t>
        </is>
      </c>
      <c r="C448" s="497" t="inlineStr">
        <is>
          <t>Varilla #4</t>
        </is>
      </c>
      <c r="D448" s="487">
        <f>ROUNDUP(SUMIF(F381:F420,"#4",G381:G420),0)+F440</f>
        <v/>
      </c>
      <c r="E448" s="488" t="inlineStr">
        <is>
          <t>Uni</t>
        </is>
      </c>
      <c r="F448" s="421" t="n"/>
    </row>
    <row r="449">
      <c r="B449" s="476" t="inlineStr">
        <is>
          <t>M01-0145</t>
        </is>
      </c>
      <c r="C449" s="497" t="inlineStr">
        <is>
          <t>Malla electrosoldada</t>
        </is>
      </c>
      <c r="D449" s="487">
        <f>+F442+F441</f>
        <v/>
      </c>
      <c r="E449" s="488" t="inlineStr">
        <is>
          <t>Uni</t>
        </is>
      </c>
      <c r="F449" s="421" t="n"/>
    </row>
    <row r="450">
      <c r="B450" s="476" t="inlineStr">
        <is>
          <t>M01-0001</t>
        </is>
      </c>
      <c r="C450" s="497" t="inlineStr">
        <is>
          <t>Alambre negro</t>
        </is>
      </c>
      <c r="D450" s="487">
        <f>ROUND((SUM(G437:G442)+H420)*FAN,0)</f>
        <v/>
      </c>
      <c r="E450" s="488" t="inlineStr">
        <is>
          <t>kg</t>
        </is>
      </c>
      <c r="F450" s="421" t="n"/>
    </row>
    <row r="451">
      <c r="B451" s="476" t="inlineStr">
        <is>
          <t>M08-0051</t>
        </is>
      </c>
      <c r="C451" s="497" t="inlineStr">
        <is>
          <t>Disco corte fino metal 4-1/2</t>
        </is>
      </c>
      <c r="D451" s="487">
        <f>ROUNDUP((D445*1.494+D447*3.36+D448*5.964)*0.004,0)</f>
        <v/>
      </c>
      <c r="E451" s="488" t="inlineStr">
        <is>
          <t>Uni</t>
        </is>
      </c>
      <c r="F451" s="421" t="n"/>
    </row>
    <row r="452">
      <c r="B452" s="476" t="inlineStr">
        <is>
          <t>M08-0037</t>
        </is>
      </c>
      <c r="C452" s="497" t="inlineStr">
        <is>
          <t>Disco corte metal fino 9"</t>
        </is>
      </c>
      <c r="D452" s="487">
        <f>+D451</f>
        <v/>
      </c>
      <c r="E452" s="488" t="inlineStr">
        <is>
          <t>Uni</t>
        </is>
      </c>
      <c r="F452" s="421" t="n"/>
    </row>
    <row r="454">
      <c r="B454" s="469" t="n"/>
      <c r="C454" s="488" t="n"/>
      <c r="D454" s="488" t="inlineStr">
        <is>
          <t>Costo</t>
        </is>
      </c>
      <c r="E454" s="488" t="inlineStr">
        <is>
          <t>Total</t>
        </is>
      </c>
      <c r="F454" s="488" t="inlineStr">
        <is>
          <t>Horas</t>
        </is>
      </c>
    </row>
    <row r="455">
      <c r="C455" s="488" t="inlineStr">
        <is>
          <t>Acero muros</t>
        </is>
      </c>
      <c r="D455" s="489">
        <f>+D163</f>
        <v/>
      </c>
      <c r="E455" s="489">
        <f>+D455*(SUM(G437:G442)+H420)</f>
        <v/>
      </c>
      <c r="F455" s="488">
        <f>ROUND(E455/'COSTOS MO CUADRILLA'!K10,0)</f>
        <v/>
      </c>
    </row>
    <row r="456">
      <c r="C456" s="486" t="n"/>
      <c r="D456" s="488" t="inlineStr">
        <is>
          <t xml:space="preserve">Total </t>
        </is>
      </c>
      <c r="E456" s="489">
        <f>SUM(E455:E455)</f>
        <v/>
      </c>
      <c r="F456" s="490">
        <f>+E456/'COSTOS MO CUADRILLA'!K10</f>
        <v/>
      </c>
    </row>
    <row r="458">
      <c r="C458" s="468" t="inlineStr">
        <is>
          <t>1.2.2</t>
        </is>
      </c>
      <c r="D458" s="468" t="inlineStr">
        <is>
          <t>PAREDES, MUROS N1 (FORMALETA, CONCRETO, DESENCOFRADO)</t>
        </is>
      </c>
      <c r="E458" s="59" t="n"/>
      <c r="F458" s="60" t="n"/>
    </row>
    <row r="460">
      <c r="C460" s="491" t="inlineStr">
        <is>
          <t xml:space="preserve">CONCRETO MUROS </t>
        </is>
      </c>
    </row>
    <row r="461">
      <c r="C461" s="539" t="n"/>
      <c r="D461" s="539" t="n"/>
      <c r="E461" s="540" t="n"/>
      <c r="F461" s="539" t="n"/>
    </row>
    <row r="462">
      <c r="C462" s="485" t="inlineStr">
        <is>
          <t>AREA DE MUROS</t>
        </is>
      </c>
      <c r="D462" s="470">
        <f>+D463*D464</f>
        <v/>
      </c>
      <c r="E462" s="470" t="inlineStr">
        <is>
          <t>m2</t>
        </is>
      </c>
    </row>
    <row r="463">
      <c r="C463" s="485" t="inlineStr">
        <is>
          <t xml:space="preserve">LARGO </t>
        </is>
      </c>
      <c r="D463" s="470">
        <f>+D26</f>
        <v/>
      </c>
      <c r="E463" s="470" t="inlineStr">
        <is>
          <t xml:space="preserve">m </t>
        </is>
      </c>
      <c r="F463" s="541" t="n"/>
    </row>
    <row r="464">
      <c r="C464" s="411" t="inlineStr">
        <is>
          <t xml:space="preserve">ALTO </t>
        </is>
      </c>
      <c r="D464" s="455">
        <f>+D27</f>
        <v/>
      </c>
      <c r="E464" s="413" t="inlineStr">
        <is>
          <t xml:space="preserve">m </t>
        </is>
      </c>
    </row>
    <row r="465">
      <c r="C465" s="485" t="inlineStr">
        <is>
          <t xml:space="preserve">ESPESOR </t>
        </is>
      </c>
      <c r="D465" s="470" t="n">
        <v>0.1</v>
      </c>
      <c r="E465" s="470" t="inlineStr">
        <is>
          <t xml:space="preserve">m </t>
        </is>
      </c>
    </row>
    <row r="466">
      <c r="E466" s="481" t="n"/>
    </row>
    <row r="467">
      <c r="C467" s="486" t="inlineStr">
        <is>
          <t xml:space="preserve">CONCRETO MUROS </t>
        </is>
      </c>
      <c r="D467" s="487">
        <f>D463*D464*D465*1.05</f>
        <v/>
      </c>
      <c r="E467" s="488" t="inlineStr">
        <is>
          <t xml:space="preserve">m3 </t>
        </is>
      </c>
      <c r="F467" s="416" t="n"/>
    </row>
    <row r="469">
      <c r="C469" s="491" t="inlineStr">
        <is>
          <t>CONCRETO LOSA CENITAL</t>
        </is>
      </c>
    </row>
    <row r="471">
      <c r="C471" s="411" t="inlineStr">
        <is>
          <t xml:space="preserve">AREA LOSA CENITAL </t>
        </is>
      </c>
      <c r="D471" s="455">
        <f>D429</f>
        <v/>
      </c>
      <c r="E471" s="413" t="inlineStr">
        <is>
          <t xml:space="preserve">m2 </t>
        </is>
      </c>
    </row>
    <row r="472">
      <c r="C472" s="485" t="inlineStr">
        <is>
          <t xml:space="preserve">ESPESOR </t>
        </is>
      </c>
      <c r="D472" s="470" t="n">
        <v>0.15</v>
      </c>
      <c r="E472" s="470" t="inlineStr">
        <is>
          <t xml:space="preserve">m </t>
        </is>
      </c>
    </row>
    <row r="473">
      <c r="F473" s="542" t="n"/>
    </row>
    <row r="474">
      <c r="C474" s="486" t="inlineStr">
        <is>
          <t>CONCRETO LOSA CENITAL</t>
        </is>
      </c>
      <c r="D474" s="487">
        <f>D472*D471*1.05</f>
        <v/>
      </c>
      <c r="E474" s="488" t="inlineStr">
        <is>
          <t xml:space="preserve">m3 </t>
        </is>
      </c>
      <c r="F474" s="416" t="n"/>
    </row>
    <row r="475">
      <c r="F475" s="542" t="n"/>
    </row>
    <row r="476">
      <c r="C476" s="491" t="inlineStr">
        <is>
          <t>CONCRETO ENTREPISO</t>
        </is>
      </c>
      <c r="F476" s="542" t="n"/>
    </row>
    <row r="478">
      <c r="C478" s="411" t="inlineStr">
        <is>
          <t>AREA ENTREPISO</t>
        </is>
      </c>
      <c r="D478" s="455">
        <f>+D433</f>
        <v/>
      </c>
      <c r="E478" s="413" t="inlineStr">
        <is>
          <t xml:space="preserve">m2 </t>
        </is>
      </c>
      <c r="F478" s="543" t="n"/>
    </row>
    <row r="479">
      <c r="C479" s="485" t="inlineStr">
        <is>
          <t xml:space="preserve">ESPESOR </t>
        </is>
      </c>
      <c r="D479" s="470" t="n">
        <v>0.15</v>
      </c>
      <c r="E479" s="470" t="inlineStr">
        <is>
          <t xml:space="preserve">m </t>
        </is>
      </c>
      <c r="F479" s="543" t="n"/>
    </row>
    <row r="480">
      <c r="F480" s="542" t="n"/>
    </row>
    <row r="481">
      <c r="C481" s="486" t="inlineStr">
        <is>
          <t>CONCRETO LOSA ENTREPISO</t>
        </is>
      </c>
      <c r="D481" s="487">
        <f>D479*D478*1.05</f>
        <v/>
      </c>
      <c r="E481" s="488" t="inlineStr">
        <is>
          <t xml:space="preserve">m3 </t>
        </is>
      </c>
      <c r="F481" s="416" t="n"/>
    </row>
    <row r="483">
      <c r="C483" s="491" t="inlineStr">
        <is>
          <t xml:space="preserve">CONCRETO VIGA BANQUINA </t>
        </is>
      </c>
    </row>
    <row r="485">
      <c r="C485" s="485" t="inlineStr">
        <is>
          <t xml:space="preserve">LARGO </t>
        </is>
      </c>
      <c r="D485" s="413">
        <f>+D424</f>
        <v/>
      </c>
      <c r="E485" s="470" t="inlineStr">
        <is>
          <t xml:space="preserve">m </t>
        </is>
      </c>
    </row>
    <row r="486">
      <c r="B486" s="469" t="n"/>
      <c r="C486" s="411" t="inlineStr">
        <is>
          <t xml:space="preserve">ALTO </t>
        </is>
      </c>
      <c r="D486" s="413" t="n">
        <v>0.15</v>
      </c>
      <c r="E486" s="413" t="inlineStr">
        <is>
          <t xml:space="preserve">m </t>
        </is>
      </c>
    </row>
    <row r="487">
      <c r="B487" s="469" t="n"/>
      <c r="C487" s="485" t="inlineStr">
        <is>
          <t xml:space="preserve">ESPESOR </t>
        </is>
      </c>
      <c r="D487" s="470" t="n">
        <v>0.1</v>
      </c>
      <c r="E487" s="470" t="inlineStr">
        <is>
          <t xml:space="preserve">m </t>
        </is>
      </c>
    </row>
    <row r="488">
      <c r="B488" s="469" t="n"/>
      <c r="E488" s="481" t="n"/>
    </row>
    <row r="489">
      <c r="B489" s="469" t="n"/>
      <c r="C489" s="486" t="inlineStr">
        <is>
          <t xml:space="preserve">CONCRETO </t>
        </is>
      </c>
      <c r="D489" s="487">
        <f>(D485*D486*D487)*1.05</f>
        <v/>
      </c>
      <c r="E489" s="488" t="inlineStr">
        <is>
          <t xml:space="preserve">m3 </t>
        </is>
      </c>
    </row>
    <row r="490">
      <c r="B490" s="469" t="n"/>
      <c r="E490" s="481" t="n"/>
    </row>
    <row r="491">
      <c r="B491" s="469" t="n"/>
      <c r="C491" s="486" t="inlineStr">
        <is>
          <t>CONCRETO  SUPERESTRUCTURA N1</t>
        </is>
      </c>
      <c r="D491" s="487">
        <f>+D489+D467+D474+D481</f>
        <v/>
      </c>
      <c r="E491" s="488" t="inlineStr">
        <is>
          <t xml:space="preserve">m3 </t>
        </is>
      </c>
      <c r="F491" s="416" t="n"/>
    </row>
    <row r="492">
      <c r="B492" s="469" t="n"/>
      <c r="D492" s="419" t="inlineStr">
        <is>
          <t xml:space="preserve"> </t>
        </is>
      </c>
      <c r="E492" s="481" t="n"/>
    </row>
    <row r="493">
      <c r="B493" s="469" t="n"/>
      <c r="C493" s="488" t="inlineStr">
        <is>
          <t>Elemento</t>
        </is>
      </c>
      <c r="D493" s="488" t="inlineStr">
        <is>
          <t>Cantidad</t>
        </is>
      </c>
      <c r="E493" s="488" t="inlineStr">
        <is>
          <t>Uni</t>
        </is>
      </c>
    </row>
    <row r="494">
      <c r="B494" s="476" t="inlineStr">
        <is>
          <t>M10-0047</t>
        </is>
      </c>
      <c r="C494" s="486" t="inlineStr">
        <is>
          <t xml:space="preserve">Cemento </t>
        </is>
      </c>
      <c r="D494" s="487">
        <f>ROUND(D491*muroc,0)</f>
        <v/>
      </c>
      <c r="E494" s="488" t="inlineStr">
        <is>
          <t xml:space="preserve">kilos </t>
        </is>
      </c>
    </row>
    <row r="495">
      <c r="B495" s="476" t="inlineStr">
        <is>
          <t>M10-0010</t>
        </is>
      </c>
      <c r="C495" s="486" t="inlineStr">
        <is>
          <t xml:space="preserve">Arena </t>
        </is>
      </c>
      <c r="D495" s="487">
        <f>ROUND(D491*muroa,1)</f>
        <v/>
      </c>
      <c r="E495" s="488" t="inlineStr">
        <is>
          <t>m3</t>
        </is>
      </c>
    </row>
    <row r="496">
      <c r="B496" s="476" t="inlineStr">
        <is>
          <t>M10-0030</t>
        </is>
      </c>
      <c r="C496" s="486" t="inlineStr">
        <is>
          <t xml:space="preserve">Piedra </t>
        </is>
      </c>
      <c r="D496" s="487">
        <f>ROUND(D491*murop,1)</f>
        <v/>
      </c>
      <c r="E496" s="488" t="inlineStr">
        <is>
          <t>m3</t>
        </is>
      </c>
    </row>
    <row r="497">
      <c r="B497" s="476" t="inlineStr">
        <is>
          <t>M10-0009</t>
        </is>
      </c>
      <c r="C497" s="486" t="inlineStr">
        <is>
          <t>Aditivo Ergo 4000 PG50</t>
        </is>
      </c>
      <c r="D497" s="487">
        <f>ROUND(D491*muroad,0)</f>
        <v/>
      </c>
      <c r="E497" s="488" t="inlineStr">
        <is>
          <t>litro</t>
        </is>
      </c>
    </row>
    <row r="498">
      <c r="B498" s="476" t="inlineStr">
        <is>
          <t>M10-0003</t>
        </is>
      </c>
      <c r="C498" s="486" t="inlineStr">
        <is>
          <t>Fibra de vidrio</t>
        </is>
      </c>
      <c r="D498" s="487">
        <f>ROUND(D491*murof,0)</f>
        <v/>
      </c>
      <c r="E498" s="488" t="inlineStr">
        <is>
          <t>litro</t>
        </is>
      </c>
    </row>
    <row r="499">
      <c r="B499" s="476" t="inlineStr">
        <is>
          <t>M06-0193</t>
        </is>
      </c>
      <c r="C499" s="486" t="inlineStr">
        <is>
          <t>Espuma expansiva 750ML</t>
        </is>
      </c>
      <c r="D499" s="487" t="n">
        <v>4</v>
      </c>
      <c r="E499" s="488" t="inlineStr">
        <is>
          <t>Uni</t>
        </is>
      </c>
    </row>
    <row r="502">
      <c r="C502" s="491" t="inlineStr">
        <is>
          <t>FORMALETA MUROS</t>
        </is>
      </c>
    </row>
    <row r="504">
      <c r="C504" s="411" t="inlineStr">
        <is>
          <t>ALTO</t>
        </is>
      </c>
      <c r="D504" s="455">
        <f>+D27</f>
        <v/>
      </c>
      <c r="E504" s="413" t="inlineStr">
        <is>
          <t xml:space="preserve">m </t>
        </is>
      </c>
    </row>
    <row r="505">
      <c r="C505" s="485" t="inlineStr">
        <is>
          <t xml:space="preserve">LARGO </t>
        </is>
      </c>
      <c r="D505" s="470">
        <f>D26</f>
        <v/>
      </c>
      <c r="E505" s="470" t="inlineStr">
        <is>
          <t xml:space="preserve">m </t>
        </is>
      </c>
    </row>
    <row r="507">
      <c r="C507" s="486" t="inlineStr">
        <is>
          <t xml:space="preserve">FORMALETA </t>
        </is>
      </c>
      <c r="D507" s="487">
        <f>(D504*D505)*2</f>
        <v/>
      </c>
      <c r="E507" s="488" t="inlineStr">
        <is>
          <t xml:space="preserve">m2 </t>
        </is>
      </c>
      <c r="F507" s="416" t="n"/>
    </row>
    <row r="509">
      <c r="C509" s="491" t="inlineStr">
        <is>
          <t>FORMALETA LOSA CENITAL</t>
        </is>
      </c>
    </row>
    <row r="511">
      <c r="C511" s="411" t="inlineStr">
        <is>
          <t>AREA</t>
        </is>
      </c>
      <c r="D511" s="455">
        <f>+D471</f>
        <v/>
      </c>
      <c r="E511" s="413" t="inlineStr">
        <is>
          <t>m2</t>
        </is>
      </c>
    </row>
    <row r="513">
      <c r="C513" s="486" t="inlineStr">
        <is>
          <t xml:space="preserve">FORMALETA </t>
        </is>
      </c>
      <c r="D513" s="487">
        <f>+D511</f>
        <v/>
      </c>
      <c r="E513" s="488" t="inlineStr">
        <is>
          <t xml:space="preserve">m2 </t>
        </is>
      </c>
      <c r="F513" s="416" t="n"/>
    </row>
    <row r="515">
      <c r="C515" s="491" t="inlineStr">
        <is>
          <t>FORMALETA ENTREPISO</t>
        </is>
      </c>
    </row>
    <row r="517">
      <c r="C517" s="411" t="inlineStr">
        <is>
          <t>AREA</t>
        </is>
      </c>
      <c r="D517" s="455">
        <f>+D478</f>
        <v/>
      </c>
      <c r="E517" s="413" t="inlineStr">
        <is>
          <t>m2</t>
        </is>
      </c>
    </row>
    <row r="519">
      <c r="C519" s="486" t="inlineStr">
        <is>
          <t xml:space="preserve">FORMALETA </t>
        </is>
      </c>
      <c r="D519" s="487">
        <f>+D517</f>
        <v/>
      </c>
      <c r="E519" s="488" t="inlineStr">
        <is>
          <t xml:space="preserve">m2 </t>
        </is>
      </c>
    </row>
    <row r="521">
      <c r="C521" s="486" t="inlineStr">
        <is>
          <t>FORMALETA  SUPERESTRUCTURA N1</t>
        </is>
      </c>
      <c r="D521" s="487">
        <f>+D519+D513+D507</f>
        <v/>
      </c>
      <c r="E521" s="488" t="inlineStr">
        <is>
          <t>m2</t>
        </is>
      </c>
      <c r="F521" s="416" t="n"/>
    </row>
    <row r="523">
      <c r="B523" s="476" t="inlineStr">
        <is>
          <t>M06-0195</t>
        </is>
      </c>
      <c r="C523" s="486">
        <f>_xlfn.XLOOKUP(B523,'BASE DATOS PRECIOS '!B:B,'BASE DATOS PRECIOS '!E:E,0,0,1)</f>
        <v/>
      </c>
      <c r="D523" s="487" t="n">
        <v>600</v>
      </c>
      <c r="E523" s="488">
        <f>_xlfn.XLOOKUP(B523,'BASE DATOS PRECIOS '!B:B,'BASE DATOS PRECIOS '!F:F,0,0,1)</f>
        <v/>
      </c>
    </row>
    <row r="524">
      <c r="B524" s="476" t="inlineStr">
        <is>
          <t>M09-0042</t>
        </is>
      </c>
      <c r="C524" s="486">
        <f>_xlfn.XLOOKUP(B524,'BASE DATOS PRECIOS '!B:B,'BASE DATOS PRECIOS '!E:E,0,0,1)</f>
        <v/>
      </c>
      <c r="D524" s="487" t="n">
        <v>10</v>
      </c>
      <c r="E524" s="488">
        <f>_xlfn.XLOOKUP(B524,'BASE DATOS PRECIOS '!B:B,'BASE DATOS PRECIOS '!F:F,0,0,1)</f>
        <v/>
      </c>
    </row>
    <row r="525">
      <c r="B525" s="476" t="inlineStr">
        <is>
          <t>M06-0040</t>
        </is>
      </c>
      <c r="C525" s="486">
        <f>_xlfn.XLOOKUP(B525,'BASE DATOS PRECIOS '!B:B,'BASE DATOS PRECIOS '!E:E,0,0,1)</f>
        <v/>
      </c>
      <c r="D525" s="487" t="n">
        <v>1</v>
      </c>
      <c r="E525" s="488">
        <f>_xlfn.XLOOKUP(B525,'BASE DATOS PRECIOS '!B:B,'BASE DATOS PRECIOS '!F:F,0,0,1)</f>
        <v/>
      </c>
    </row>
    <row r="526">
      <c r="B526" s="476" t="inlineStr">
        <is>
          <t>M10-0090</t>
        </is>
      </c>
      <c r="C526" s="486">
        <f>_xlfn.XLOOKUP(B526,'BASE DATOS PRECIOS '!B:B,'BASE DATOS PRECIOS '!E:E,0,0,1)</f>
        <v/>
      </c>
      <c r="D526" s="487" t="n">
        <v>3</v>
      </c>
      <c r="E526" s="488">
        <f>_xlfn.XLOOKUP(B526,'BASE DATOS PRECIOS '!B:B,'BASE DATOS PRECIOS '!F:F,0,0,1)</f>
        <v/>
      </c>
    </row>
    <row r="527">
      <c r="B527" s="476" t="inlineStr">
        <is>
          <t>M06-0240</t>
        </is>
      </c>
      <c r="C527" s="486">
        <f>_xlfn.XLOOKUP(B527,'BASE DATOS PRECIOS '!B:B,'BASE DATOS PRECIOS '!E:E,0,0,1)</f>
        <v/>
      </c>
      <c r="D527" s="487" t="n">
        <v>60</v>
      </c>
      <c r="E527" s="488">
        <f>_xlfn.XLOOKUP(B527,'BASE DATOS PRECIOS '!B:B,'BASE DATOS PRECIOS '!F:F,0,0,1)</f>
        <v/>
      </c>
    </row>
    <row r="528">
      <c r="B528" s="476" t="inlineStr">
        <is>
          <t>M06-0179</t>
        </is>
      </c>
      <c r="C528" s="486">
        <f>_xlfn.XLOOKUP(B528,'BASE DATOS PRECIOS '!B:B,'BASE DATOS PRECIOS '!E:E,0,0,1)</f>
        <v/>
      </c>
      <c r="D528" s="487" t="n">
        <v>10</v>
      </c>
      <c r="E528" s="488">
        <f>_xlfn.XLOOKUP(B528,'BASE DATOS PRECIOS '!B:B,'BASE DATOS PRECIOS '!F:F,0,0,1)</f>
        <v/>
      </c>
    </row>
    <row r="530">
      <c r="C530" s="488" t="n"/>
      <c r="D530" s="488" t="inlineStr">
        <is>
          <t>Costo</t>
        </is>
      </c>
      <c r="E530" s="488" t="inlineStr">
        <is>
          <t>Total</t>
        </is>
      </c>
      <c r="F530" s="488" t="inlineStr">
        <is>
          <t>Horas</t>
        </is>
      </c>
    </row>
    <row r="531">
      <c r="C531" s="488" t="inlineStr">
        <is>
          <t xml:space="preserve">FORMALETA </t>
        </is>
      </c>
      <c r="D531" s="489">
        <f>+D164</f>
        <v/>
      </c>
      <c r="E531" s="489">
        <f>+D531*D521</f>
        <v/>
      </c>
      <c r="F531" s="488">
        <f>ROUND(E531/'COSTOS MO CUADRILLA'!K11,0)</f>
        <v/>
      </c>
    </row>
    <row r="532">
      <c r="C532" s="488" t="inlineStr">
        <is>
          <t xml:space="preserve">COLADO MUROS </t>
        </is>
      </c>
      <c r="D532" s="489">
        <f>+D165</f>
        <v/>
      </c>
      <c r="E532" s="489">
        <f>+D532*D491</f>
        <v/>
      </c>
      <c r="F532" s="488">
        <f>ROUND(E532/'COSTOS MO CUADRILLA'!K11,0)</f>
        <v/>
      </c>
    </row>
    <row r="533">
      <c r="C533" s="488" t="inlineStr">
        <is>
          <t xml:space="preserve">TRAZO FORMALETA N1 </t>
        </is>
      </c>
      <c r="D533" s="489">
        <f>+D166</f>
        <v/>
      </c>
      <c r="E533" s="489">
        <f>+D533*D521</f>
        <v/>
      </c>
      <c r="F533" s="488">
        <f>ROUND(E533/'COSTOS MO CUADRILLA'!K11,0)</f>
        <v/>
      </c>
    </row>
    <row r="534">
      <c r="C534" s="488" t="inlineStr">
        <is>
          <t xml:space="preserve">DESENCOFRE MUROS N1 </t>
        </is>
      </c>
      <c r="D534" s="489">
        <f>+D167</f>
        <v/>
      </c>
      <c r="E534" s="489">
        <f>+D534*D521</f>
        <v/>
      </c>
      <c r="F534" s="488">
        <f>ROUND(E534/'COSTOS MO CUADRILLA'!K11,0)</f>
        <v/>
      </c>
    </row>
    <row r="535">
      <c r="C535" s="488" t="inlineStr">
        <is>
          <t>RESANE N1</t>
        </is>
      </c>
      <c r="D535" s="489">
        <f>+D168</f>
        <v/>
      </c>
      <c r="E535" s="489">
        <f>+D535*D521</f>
        <v/>
      </c>
      <c r="F535" s="488">
        <f>ROUND(E535/'COSTOS MO CUADRILLA'!K11,0)</f>
        <v/>
      </c>
    </row>
    <row r="536">
      <c r="C536" s="486" t="n"/>
      <c r="D536" s="488" t="inlineStr">
        <is>
          <t xml:space="preserve">Total </t>
        </is>
      </c>
      <c r="E536" s="489">
        <f>SUM(E531:E535)</f>
        <v/>
      </c>
      <c r="F536" s="487">
        <f>+E536/'COSTOS MO CUADRILLA'!K11</f>
        <v/>
      </c>
    </row>
    <row r="539">
      <c r="C539" s="468" t="inlineStr">
        <is>
          <t>1.2.4</t>
        </is>
      </c>
      <c r="D539" s="468" t="inlineStr">
        <is>
          <t xml:space="preserve">ACERO EN PAREDES MUROS N2 </t>
        </is>
      </c>
      <c r="E539" s="59" t="n"/>
      <c r="F539" s="60" t="n"/>
    </row>
    <row r="541">
      <c r="C541" s="491" t="inlineStr">
        <is>
          <t>ACERO MURETE DE AZOTEA</t>
        </is>
      </c>
    </row>
    <row r="543">
      <c r="C543" s="470" t="inlineStr">
        <is>
          <t xml:space="preserve">MALLA </t>
        </is>
      </c>
      <c r="D543" s="470" t="inlineStr">
        <is>
          <t xml:space="preserve">Varilla # 3 @ 30 cm </t>
        </is>
      </c>
      <c r="E543" s="481" t="n"/>
    </row>
    <row r="544">
      <c r="E544" s="481" t="n"/>
    </row>
    <row r="545">
      <c r="C545" s="411" t="inlineStr">
        <is>
          <t xml:space="preserve">LARGO </t>
        </is>
      </c>
      <c r="D545" s="455">
        <f>+D30</f>
        <v/>
      </c>
      <c r="E545" s="455" t="inlineStr">
        <is>
          <t xml:space="preserve">m </t>
        </is>
      </c>
      <c r="F545" s="416" t="n"/>
    </row>
    <row r="546">
      <c r="C546" s="411" t="inlineStr">
        <is>
          <t>ALTO</t>
        </is>
      </c>
      <c r="D546" s="413">
        <f>+D31</f>
        <v/>
      </c>
      <c r="E546" s="455" t="inlineStr">
        <is>
          <t xml:space="preserve">m </t>
        </is>
      </c>
      <c r="F546" s="416" t="n"/>
    </row>
    <row r="547">
      <c r="C547" s="411" t="inlineStr">
        <is>
          <t>AREA</t>
        </is>
      </c>
      <c r="D547" s="413">
        <f>+D546*D545</f>
        <v/>
      </c>
      <c r="E547" s="455" t="inlineStr">
        <is>
          <t>m2</t>
        </is>
      </c>
      <c r="F547" s="543" t="n"/>
    </row>
    <row r="548">
      <c r="C548" s="485" t="inlineStr">
        <is>
          <t># varillas horizontales</t>
        </is>
      </c>
      <c r="D548" s="1146">
        <f>ROUND(D546/0.3,0)</f>
        <v/>
      </c>
      <c r="E548" s="470" t="inlineStr">
        <is>
          <t xml:space="preserve">un </t>
        </is>
      </c>
      <c r="F548" s="416" t="n"/>
    </row>
    <row r="549">
      <c r="C549" s="485" t="inlineStr">
        <is>
          <t xml:space="preserve"># varillas verticales </t>
        </is>
      </c>
      <c r="D549" s="1146">
        <f>ROUND(D545/0.3,0)</f>
        <v/>
      </c>
      <c r="E549" s="470" t="inlineStr">
        <is>
          <t xml:space="preserve">un </t>
        </is>
      </c>
      <c r="F549" s="416" t="n"/>
    </row>
    <row r="550">
      <c r="C550" s="503" t="n"/>
      <c r="D550" s="1147" t="n"/>
      <c r="E550" s="324" t="n"/>
      <c r="F550" s="542" t="n"/>
    </row>
    <row r="551">
      <c r="C551" s="491" t="inlineStr">
        <is>
          <t>MALLA DE MUROS</t>
        </is>
      </c>
      <c r="D551" s="491" t="inlineStr">
        <is>
          <t xml:space="preserve">Varilla # 3 @ 30 cm </t>
        </is>
      </c>
    </row>
    <row r="553">
      <c r="C553" s="411" t="inlineStr">
        <is>
          <t xml:space="preserve">LARGO </t>
        </is>
      </c>
      <c r="D553" s="455">
        <f>D28</f>
        <v/>
      </c>
      <c r="E553" s="455" t="inlineStr">
        <is>
          <t xml:space="preserve">m </t>
        </is>
      </c>
      <c r="F553" s="416" t="n"/>
    </row>
    <row r="554">
      <c r="B554" s="469" t="n"/>
      <c r="C554" s="411" t="inlineStr">
        <is>
          <t>ALTO</t>
        </is>
      </c>
      <c r="D554" s="455">
        <f>+D29</f>
        <v/>
      </c>
      <c r="E554" s="455" t="inlineStr">
        <is>
          <t xml:space="preserve">m </t>
        </is>
      </c>
      <c r="F554" s="416" t="n"/>
      <c r="J554" s="481" t="n"/>
    </row>
    <row r="555">
      <c r="B555" s="469" t="n"/>
      <c r="C555" s="411" t="inlineStr">
        <is>
          <t>AREA</t>
        </is>
      </c>
      <c r="D555" s="413">
        <f>+D554*D553</f>
        <v/>
      </c>
      <c r="E555" s="455" t="inlineStr">
        <is>
          <t>m2</t>
        </is>
      </c>
      <c r="J555" s="481" t="n"/>
    </row>
    <row r="556">
      <c r="B556" s="469" t="n"/>
      <c r="C556" s="485" t="inlineStr">
        <is>
          <t xml:space="preserve"># varillas horizontales </t>
        </is>
      </c>
      <c r="D556" s="1146">
        <f>ROUND(D554/0.3,0)</f>
        <v/>
      </c>
      <c r="E556" s="470" t="inlineStr">
        <is>
          <t xml:space="preserve">un </t>
        </is>
      </c>
      <c r="F556" s="416" t="n"/>
      <c r="J556" s="481" t="n"/>
    </row>
    <row r="557">
      <c r="B557" s="469" t="n"/>
      <c r="C557" s="485" t="inlineStr">
        <is>
          <t xml:space="preserve"># varillas verticales </t>
        </is>
      </c>
      <c r="D557" s="1146">
        <f>ROUND(D553/0.3,0)</f>
        <v/>
      </c>
      <c r="E557" s="470" t="inlineStr">
        <is>
          <t xml:space="preserve">un </t>
        </is>
      </c>
      <c r="F557" s="416" t="n"/>
      <c r="J557" s="481" t="n"/>
    </row>
    <row r="558">
      <c r="C558" s="503" t="n"/>
      <c r="D558" s="1147" t="n"/>
      <c r="E558" s="324" t="n"/>
    </row>
    <row r="559">
      <c r="C559" s="491" t="inlineStr">
        <is>
          <t>REFUERZO EN BUQUES</t>
        </is>
      </c>
      <c r="D559" s="1147" t="n"/>
      <c r="E559" s="324" t="n"/>
    </row>
    <row r="560">
      <c r="C560" s="503" t="n"/>
      <c r="D560" s="1147" t="n"/>
      <c r="E560" s="324" t="n"/>
    </row>
    <row r="561">
      <c r="C561" s="438" t="inlineStr">
        <is>
          <t>NIVEL 1  ***Se debe borrar los busques en paredes livianas para cada presupuesto***</t>
        </is>
      </c>
      <c r="D561" s="1149" t="n"/>
      <c r="E561" s="324" t="n"/>
    </row>
    <row r="562">
      <c r="B562" s="469" t="n"/>
      <c r="C562" s="470" t="inlineStr">
        <is>
          <t>Alto</t>
        </is>
      </c>
      <c r="D562" s="470" t="inlineStr">
        <is>
          <t>Ancho</t>
        </is>
      </c>
      <c r="E562" s="470" t="inlineStr">
        <is>
          <t>Cantidad</t>
        </is>
      </c>
      <c r="F562" s="470" t="inlineStr">
        <is>
          <t>Perimetral</t>
        </is>
      </c>
      <c r="G562" s="470" t="inlineStr">
        <is>
          <t>Esquinas</t>
        </is>
      </c>
      <c r="H562" s="470" t="inlineStr">
        <is>
          <t>Total</t>
        </is>
      </c>
      <c r="J562" s="481" t="n"/>
      <c r="K562" s="481" t="n"/>
      <c r="L562" s="481" t="n"/>
    </row>
    <row r="563">
      <c r="A563" s="544" t="inlineStr">
        <is>
          <t>PUERTAS</t>
        </is>
      </c>
      <c r="B563" s="469">
        <f>C55</f>
        <v/>
      </c>
      <c r="C563" s="508">
        <f>D55</f>
        <v/>
      </c>
      <c r="D563" s="508">
        <f>E55</f>
        <v/>
      </c>
      <c r="E563" s="508">
        <f>F55</f>
        <v/>
      </c>
      <c r="F563" s="472">
        <f>(SUM(C563:D563)*2+1.6)*E563</f>
        <v/>
      </c>
      <c r="G563" s="472">
        <f>0.8*4*E563</f>
        <v/>
      </c>
      <c r="H563" s="472">
        <f>+G563+F563</f>
        <v/>
      </c>
      <c r="I563" s="416" t="n"/>
      <c r="J563" s="481" t="n"/>
      <c r="K563" s="481" t="n"/>
      <c r="L563" s="481" t="n"/>
    </row>
    <row r="564">
      <c r="A564" s="509" t="n"/>
      <c r="B564" s="469">
        <f>C56</f>
        <v/>
      </c>
      <c r="C564" s="508" t="n"/>
      <c r="D564" s="508" t="n"/>
      <c r="E564" s="508" t="n"/>
      <c r="F564" s="472">
        <f>(SUM(C564:D564)*2+1.6)*E564</f>
        <v/>
      </c>
      <c r="G564" s="472">
        <f>0.8*4*E564</f>
        <v/>
      </c>
      <c r="H564" s="472">
        <f>+G564+F564</f>
        <v/>
      </c>
      <c r="I564" s="416" t="n"/>
      <c r="J564" s="481" t="n"/>
      <c r="K564" s="481" t="n"/>
      <c r="L564" s="481" t="n"/>
    </row>
    <row r="565">
      <c r="A565" s="509" t="n"/>
      <c r="B565" s="469">
        <f>C57</f>
        <v/>
      </c>
      <c r="C565" s="508">
        <f>D57</f>
        <v/>
      </c>
      <c r="D565" s="508">
        <f>E57</f>
        <v/>
      </c>
      <c r="E565" s="508">
        <f>F57</f>
        <v/>
      </c>
      <c r="F565" s="472">
        <f>(SUM(C565:D565)*2+1.6)*E565</f>
        <v/>
      </c>
      <c r="G565" s="472">
        <f>0.8*4*E565</f>
        <v/>
      </c>
      <c r="H565" s="472">
        <f>+G565+F565</f>
        <v/>
      </c>
      <c r="I565" s="416" t="n"/>
      <c r="J565" s="481" t="n"/>
    </row>
    <row r="566">
      <c r="A566" s="509" t="n"/>
      <c r="B566" s="469">
        <f>C58</f>
        <v/>
      </c>
      <c r="C566" s="508">
        <f>D58</f>
        <v/>
      </c>
      <c r="D566" s="508">
        <f>E58</f>
        <v/>
      </c>
      <c r="E566" s="508">
        <f>F58</f>
        <v/>
      </c>
      <c r="F566" s="472">
        <f>(SUM(C566:D566)*2+1.6)*E566</f>
        <v/>
      </c>
      <c r="G566" s="472">
        <f>0.8*4*E566</f>
        <v/>
      </c>
      <c r="H566" s="472">
        <f>+G566+F566</f>
        <v/>
      </c>
      <c r="I566" s="416" t="n"/>
      <c r="J566" s="481" t="n"/>
    </row>
    <row r="567">
      <c r="A567" s="509" t="n"/>
      <c r="B567" s="469">
        <f>C59</f>
        <v/>
      </c>
      <c r="C567" s="508" t="n"/>
      <c r="D567" s="508" t="n"/>
      <c r="E567" s="508" t="n"/>
      <c r="F567" s="472">
        <f>(SUM(C567:D567)*2+1.6)*E567</f>
        <v/>
      </c>
      <c r="G567" s="472">
        <f>0.8*4*E567</f>
        <v/>
      </c>
      <c r="H567" s="472">
        <f>+G567+F567</f>
        <v/>
      </c>
      <c r="I567" s="416" t="n"/>
      <c r="J567" s="481" t="n"/>
    </row>
    <row r="568">
      <c r="A568" s="509" t="n"/>
      <c r="B568" s="469">
        <f>C60</f>
        <v/>
      </c>
      <c r="C568" s="508">
        <f>D60</f>
        <v/>
      </c>
      <c r="D568" s="508">
        <f>E60</f>
        <v/>
      </c>
      <c r="E568" s="508">
        <f>F60</f>
        <v/>
      </c>
      <c r="F568" s="472">
        <f>(SUM(C568:D568)*2+1.6)*E568</f>
        <v/>
      </c>
      <c r="G568" s="472">
        <f>0.8*4*E568</f>
        <v/>
      </c>
      <c r="H568" s="472">
        <f>+G568+F568</f>
        <v/>
      </c>
      <c r="I568" s="416" t="n"/>
      <c r="J568" s="481" t="n"/>
    </row>
    <row r="569">
      <c r="A569" s="509" t="n"/>
      <c r="B569" s="469">
        <f>C61</f>
        <v/>
      </c>
      <c r="C569" s="508">
        <f>D61</f>
        <v/>
      </c>
      <c r="D569" s="508">
        <f>E61</f>
        <v/>
      </c>
      <c r="E569" s="508">
        <f>F61</f>
        <v/>
      </c>
      <c r="F569" s="472">
        <f>(SUM(C569:D569)*2+1.6)*E569</f>
        <v/>
      </c>
      <c r="G569" s="472">
        <f>0.8*4*E569</f>
        <v/>
      </c>
      <c r="H569" s="472">
        <f>+G569+F569</f>
        <v/>
      </c>
      <c r="I569" s="416" t="n"/>
      <c r="J569" s="481" t="n"/>
    </row>
    <row r="570">
      <c r="A570" s="509" t="n"/>
      <c r="B570" s="469">
        <f>C62</f>
        <v/>
      </c>
      <c r="C570" s="508">
        <f>D62</f>
        <v/>
      </c>
      <c r="D570" s="508">
        <f>E62</f>
        <v/>
      </c>
      <c r="E570" s="508">
        <f>F62</f>
        <v/>
      </c>
      <c r="F570" s="472">
        <f>(SUM(C570:D570)*2+1.6)*E570</f>
        <v/>
      </c>
      <c r="G570" s="472">
        <f>0.8*4*E570</f>
        <v/>
      </c>
      <c r="H570" s="472">
        <f>+G570+F570</f>
        <v/>
      </c>
      <c r="I570" s="416" t="n"/>
      <c r="J570" s="481" t="n"/>
    </row>
    <row r="571">
      <c r="A571" s="509" t="n"/>
      <c r="B571" s="469">
        <f>C63</f>
        <v/>
      </c>
      <c r="C571" s="508">
        <f>D63</f>
        <v/>
      </c>
      <c r="D571" s="508">
        <f>E63</f>
        <v/>
      </c>
      <c r="E571" s="508">
        <f>F63</f>
        <v/>
      </c>
      <c r="F571" s="472">
        <f>(SUM(C571:D571)*2+1.6)*E571</f>
        <v/>
      </c>
      <c r="G571" s="472">
        <f>0.8*4*E571</f>
        <v/>
      </c>
      <c r="H571" s="472">
        <f>+G571+F571</f>
        <v/>
      </c>
      <c r="I571" s="416" t="n"/>
      <c r="J571" s="481" t="n"/>
    </row>
    <row r="572">
      <c r="A572" s="509" t="n"/>
      <c r="B572" s="469">
        <f>C64</f>
        <v/>
      </c>
      <c r="C572" s="508">
        <f>D64</f>
        <v/>
      </c>
      <c r="D572" s="508">
        <f>E64</f>
        <v/>
      </c>
      <c r="E572" s="508">
        <f>F64</f>
        <v/>
      </c>
      <c r="F572" s="472">
        <f>(SUM(C572:D572)*2+1.6)*E572</f>
        <v/>
      </c>
      <c r="G572" s="472">
        <f>0.8*4*E572</f>
        <v/>
      </c>
      <c r="H572" s="472">
        <f>+G572+F572</f>
        <v/>
      </c>
      <c r="I572" s="416" t="n"/>
      <c r="J572" s="481" t="n"/>
    </row>
    <row r="573">
      <c r="A573" s="509" t="n"/>
      <c r="B573" s="469">
        <f>C65</f>
        <v/>
      </c>
      <c r="C573" s="508">
        <f>D65</f>
        <v/>
      </c>
      <c r="D573" s="508">
        <f>E65</f>
        <v/>
      </c>
      <c r="E573" s="508">
        <f>F65</f>
        <v/>
      </c>
      <c r="F573" s="472">
        <f>(SUM(C573:D573)*2+1.6)*E573</f>
        <v/>
      </c>
      <c r="G573" s="472">
        <f>0.8*4*E573</f>
        <v/>
      </c>
      <c r="H573" s="472">
        <f>+G573+F573</f>
        <v/>
      </c>
      <c r="I573" s="416" t="n"/>
      <c r="J573" s="481" t="n"/>
    </row>
    <row r="574">
      <c r="A574" s="509" t="n"/>
      <c r="B574" s="469">
        <f>C66</f>
        <v/>
      </c>
      <c r="C574" s="508">
        <f>D66</f>
        <v/>
      </c>
      <c r="D574" s="508">
        <f>E66</f>
        <v/>
      </c>
      <c r="E574" s="508">
        <f>F66</f>
        <v/>
      </c>
      <c r="F574" s="472">
        <f>(SUM(C574:D574)*2+1.6)*E574</f>
        <v/>
      </c>
      <c r="G574" s="472">
        <f>0.8*4*E574</f>
        <v/>
      </c>
      <c r="H574" s="472">
        <f>+G574+F574</f>
        <v/>
      </c>
      <c r="I574" s="416" t="n"/>
      <c r="J574" s="481" t="n"/>
    </row>
    <row r="575">
      <c r="A575" s="509" t="n"/>
      <c r="B575" s="469">
        <f>C67</f>
        <v/>
      </c>
      <c r="C575" s="508">
        <f>D67</f>
        <v/>
      </c>
      <c r="D575" s="508">
        <f>E67</f>
        <v/>
      </c>
      <c r="E575" s="508">
        <f>F67</f>
        <v/>
      </c>
      <c r="F575" s="472">
        <f>(SUM(C575:D575)*2+1.6)*E575</f>
        <v/>
      </c>
      <c r="G575" s="472">
        <f>0.8*4*E575</f>
        <v/>
      </c>
      <c r="H575" s="472">
        <f>+G575+F575</f>
        <v/>
      </c>
      <c r="I575" s="416" t="n"/>
      <c r="J575" s="481" t="n"/>
    </row>
    <row r="576">
      <c r="A576" s="509" t="n"/>
      <c r="B576" s="469">
        <f>C68</f>
        <v/>
      </c>
      <c r="C576" s="508">
        <f>D68</f>
        <v/>
      </c>
      <c r="D576" s="508">
        <f>E68</f>
        <v/>
      </c>
      <c r="E576" s="508">
        <f>F68</f>
        <v/>
      </c>
      <c r="F576" s="472">
        <f>(SUM(C576:D576)*2+1.6)*E576</f>
        <v/>
      </c>
      <c r="G576" s="472">
        <f>0.8*4*E576</f>
        <v/>
      </c>
      <c r="H576" s="472">
        <f>+G576+F576</f>
        <v/>
      </c>
      <c r="I576" s="416" t="n"/>
      <c r="J576" s="481" t="n"/>
    </row>
    <row r="577">
      <c r="A577" s="5" t="n"/>
      <c r="B577" s="469">
        <f>C69</f>
        <v/>
      </c>
      <c r="C577" s="508">
        <f>D69</f>
        <v/>
      </c>
      <c r="D577" s="508">
        <f>E69</f>
        <v/>
      </c>
      <c r="E577" s="508">
        <f>F69</f>
        <v/>
      </c>
      <c r="F577" s="472">
        <f>(SUM(C577:D577)*2+1.6)*E577</f>
        <v/>
      </c>
      <c r="G577" s="472">
        <f>0.8*4*E577</f>
        <v/>
      </c>
      <c r="H577" s="472">
        <f>+G577+F577</f>
        <v/>
      </c>
      <c r="I577" s="416" t="n"/>
      <c r="J577" s="481" t="n"/>
    </row>
    <row r="578">
      <c r="A578" s="544" t="inlineStr">
        <is>
          <t>VENTANAS</t>
        </is>
      </c>
      <c r="B578" s="469">
        <f>C83</f>
        <v/>
      </c>
      <c r="C578" s="508">
        <f>D83</f>
        <v/>
      </c>
      <c r="D578" s="508">
        <f>E83</f>
        <v/>
      </c>
      <c r="E578" s="508">
        <f>F83</f>
        <v/>
      </c>
      <c r="F578" s="472">
        <f>(SUM(C578:D578)*2+1.6)*E578</f>
        <v/>
      </c>
      <c r="G578" s="472">
        <f>0.8*4*E578</f>
        <v/>
      </c>
      <c r="H578" s="472">
        <f>+G578+F578</f>
        <v/>
      </c>
      <c r="I578" s="416" t="n"/>
      <c r="J578" s="481" t="n"/>
    </row>
    <row r="579">
      <c r="A579" s="509" t="n"/>
      <c r="B579" s="469">
        <f>C84</f>
        <v/>
      </c>
      <c r="C579" s="508">
        <f>D84</f>
        <v/>
      </c>
      <c r="D579" s="508">
        <f>E84</f>
        <v/>
      </c>
      <c r="E579" s="508">
        <f>F84</f>
        <v/>
      </c>
      <c r="F579" s="472">
        <f>(SUM(C579:D579)*2+1.6)*E579</f>
        <v/>
      </c>
      <c r="G579" s="472">
        <f>0.8*4*E579</f>
        <v/>
      </c>
      <c r="H579" s="472">
        <f>+G579+F579</f>
        <v/>
      </c>
      <c r="I579" s="416" t="n"/>
      <c r="J579" s="481" t="n"/>
    </row>
    <row r="580">
      <c r="A580" s="509" t="n"/>
      <c r="B580" s="469">
        <f>C85</f>
        <v/>
      </c>
      <c r="C580" s="508">
        <f>D85</f>
        <v/>
      </c>
      <c r="D580" s="508">
        <f>E85</f>
        <v/>
      </c>
      <c r="E580" s="508">
        <f>F85</f>
        <v/>
      </c>
      <c r="F580" s="472">
        <f>(SUM(C580:D580)*2+1.6)*E580</f>
        <v/>
      </c>
      <c r="G580" s="472">
        <f>0.8*4*E580</f>
        <v/>
      </c>
      <c r="H580" s="472">
        <f>+G580+F580</f>
        <v/>
      </c>
      <c r="I580" s="416" t="n"/>
      <c r="J580" s="481" t="n"/>
    </row>
    <row r="581">
      <c r="A581" s="509" t="n"/>
      <c r="B581" s="469">
        <f>C86</f>
        <v/>
      </c>
      <c r="C581" s="508">
        <f>D86</f>
        <v/>
      </c>
      <c r="D581" s="508">
        <f>E86</f>
        <v/>
      </c>
      <c r="E581" s="508">
        <f>F86</f>
        <v/>
      </c>
      <c r="F581" s="472">
        <f>(SUM(C581:D581)*2+1.6)*E581</f>
        <v/>
      </c>
      <c r="G581" s="472">
        <f>0.8*4*E581</f>
        <v/>
      </c>
      <c r="H581" s="472">
        <f>+G581+F581</f>
        <v/>
      </c>
      <c r="I581" s="416" t="n"/>
      <c r="J581" s="481" t="n"/>
    </row>
    <row r="582">
      <c r="A582" s="509" t="n"/>
      <c r="B582" s="469">
        <f>C87</f>
        <v/>
      </c>
      <c r="C582" s="508">
        <f>D87</f>
        <v/>
      </c>
      <c r="D582" s="508">
        <f>E87</f>
        <v/>
      </c>
      <c r="E582" s="508">
        <f>F87</f>
        <v/>
      </c>
      <c r="F582" s="472">
        <f>(SUM(C582:D582)*2+1.6)*E582</f>
        <v/>
      </c>
      <c r="G582" s="472">
        <f>0.8*4*E582</f>
        <v/>
      </c>
      <c r="H582" s="472">
        <f>+G582+F582</f>
        <v/>
      </c>
      <c r="I582" s="416" t="n"/>
      <c r="J582" s="481" t="n"/>
    </row>
    <row r="583">
      <c r="A583" s="509" t="n"/>
      <c r="B583" s="469">
        <f>C88</f>
        <v/>
      </c>
      <c r="C583" s="508">
        <f>D88</f>
        <v/>
      </c>
      <c r="D583" s="508">
        <f>E88</f>
        <v/>
      </c>
      <c r="E583" s="508">
        <f>F88</f>
        <v/>
      </c>
      <c r="F583" s="472">
        <f>(SUM(C583:D583)*2+1.6)*E583</f>
        <v/>
      </c>
      <c r="G583" s="472">
        <f>0.8*4*E583</f>
        <v/>
      </c>
      <c r="H583" s="472">
        <f>+G583+F583</f>
        <v/>
      </c>
      <c r="I583" s="416" t="n"/>
      <c r="J583" s="481" t="n"/>
    </row>
    <row r="584">
      <c r="A584" s="509" t="n"/>
      <c r="B584" s="469">
        <f>C89</f>
        <v/>
      </c>
      <c r="C584" s="508">
        <f>D89</f>
        <v/>
      </c>
      <c r="D584" s="508">
        <f>E89</f>
        <v/>
      </c>
      <c r="E584" s="508">
        <f>F89</f>
        <v/>
      </c>
      <c r="F584" s="472">
        <f>(SUM(C584:D584)*2+1.6)*E584</f>
        <v/>
      </c>
      <c r="G584" s="472">
        <f>0.8*4*E584</f>
        <v/>
      </c>
      <c r="H584" s="472">
        <f>+G584+F584</f>
        <v/>
      </c>
      <c r="I584" s="416" t="n"/>
      <c r="J584" s="481" t="n"/>
    </row>
    <row r="585">
      <c r="A585" s="509" t="n"/>
      <c r="B585" s="469">
        <f>C90</f>
        <v/>
      </c>
      <c r="C585" s="508">
        <f>D90</f>
        <v/>
      </c>
      <c r="D585" s="508">
        <f>E90</f>
        <v/>
      </c>
      <c r="E585" s="508">
        <f>F90</f>
        <v/>
      </c>
      <c r="F585" s="472">
        <f>(SUM(C585:D585)*2+1.6)*E585</f>
        <v/>
      </c>
      <c r="G585" s="472">
        <f>0.8*4*E585</f>
        <v/>
      </c>
      <c r="H585" s="472">
        <f>+G585+F585</f>
        <v/>
      </c>
      <c r="I585" s="416" t="n"/>
      <c r="J585" s="481" t="n"/>
    </row>
    <row r="586">
      <c r="A586" s="509" t="n"/>
      <c r="B586" s="469">
        <f>C91</f>
        <v/>
      </c>
      <c r="C586" s="508">
        <f>D91</f>
        <v/>
      </c>
      <c r="D586" s="508">
        <f>E91</f>
        <v/>
      </c>
      <c r="E586" s="508">
        <f>F91</f>
        <v/>
      </c>
      <c r="F586" s="472">
        <f>(SUM(C586:D586)*2+1.6)*E586</f>
        <v/>
      </c>
      <c r="G586" s="472">
        <f>0.8*4*E586</f>
        <v/>
      </c>
      <c r="H586" s="472">
        <f>+G586+F586</f>
        <v/>
      </c>
      <c r="I586" s="416" t="n"/>
      <c r="J586" s="481" t="n"/>
    </row>
    <row r="587">
      <c r="A587" s="5" t="n"/>
      <c r="B587" s="469">
        <f>C92</f>
        <v/>
      </c>
      <c r="C587" s="508">
        <f>D92</f>
        <v/>
      </c>
      <c r="D587" s="508">
        <f>E92</f>
        <v/>
      </c>
      <c r="E587" s="508">
        <f>F92</f>
        <v/>
      </c>
      <c r="F587" s="472">
        <f>(SUM(C587:D587)*2+1.6)*E587</f>
        <v/>
      </c>
      <c r="G587" s="472">
        <f>0.8*4*E587</f>
        <v/>
      </c>
      <c r="H587" s="472">
        <f>+G587+F587</f>
        <v/>
      </c>
      <c r="I587" s="416" t="n"/>
      <c r="J587" s="481" t="n"/>
    </row>
    <row r="588">
      <c r="B588" s="469" t="n"/>
      <c r="C588" s="473" t="n"/>
      <c r="D588" s="1151" t="n"/>
      <c r="E588" s="427" t="n"/>
      <c r="H588" s="546">
        <f>SUM(H563:H587)</f>
        <v/>
      </c>
      <c r="J588" s="481" t="n"/>
    </row>
    <row r="590">
      <c r="C590" s="491" t="inlineStr">
        <is>
          <t>REFUERZO EN COLUMNAS Y VIGAS</t>
        </is>
      </c>
      <c r="D590" s="1148" t="n"/>
      <c r="E590" s="324" t="n"/>
    </row>
    <row r="591">
      <c r="C591" s="503" t="n"/>
      <c r="D591" s="1147" t="n"/>
      <c r="E591" s="324" t="n"/>
    </row>
    <row r="592">
      <c r="C592" s="470" t="inlineStr">
        <is>
          <t>ELEMENTO</t>
        </is>
      </c>
      <c r="D592" s="470" t="inlineStr">
        <is>
          <t>CANTIDAD</t>
        </is>
      </c>
      <c r="E592" s="426" t="inlineStr">
        <is>
          <t>SUBELEMENTO</t>
        </is>
      </c>
      <c r="F592" s="464" t="inlineStr">
        <is>
          <t># Varilla</t>
        </is>
      </c>
      <c r="G592" s="464" t="inlineStr">
        <is>
          <t>Total</t>
        </is>
      </c>
      <c r="H592" s="464" t="inlineStr">
        <is>
          <t>Peso</t>
        </is>
      </c>
      <c r="I592" s="464" t="inlineStr">
        <is>
          <t>Características</t>
        </is>
      </c>
      <c r="J592" s="514" t="n"/>
      <c r="K592" s="514" t="n"/>
      <c r="L592" s="515" t="n"/>
    </row>
    <row r="593">
      <c r="C593" s="470" t="inlineStr">
        <is>
          <t>EB-1</t>
        </is>
      </c>
      <c r="D593" s="516" t="n">
        <v>9</v>
      </c>
      <c r="E593" s="426" t="inlineStr">
        <is>
          <t>Longitudinal</t>
        </is>
      </c>
      <c r="F593" s="464" t="inlineStr">
        <is>
          <t>#3</t>
        </is>
      </c>
      <c r="G593" s="518">
        <f>+D593*($D$27+0.9)*J593/5.7</f>
        <v/>
      </c>
      <c r="H593" s="518">
        <f>IF(F593="#2",1.494,IF(F593="#3",3.36,IF(F593="#4",5.964,IF(F593="#5",9.312,IF(F593="#2 de 4.11",18.56,IF(F593="#2 de 4.88",26.17,IF(F593="#2 de 5.3",30.87,0)))))))*G593</f>
        <v/>
      </c>
      <c r="I593" s="512" t="inlineStr">
        <is>
          <t>Cantidad:</t>
        </is>
      </c>
      <c r="J593" s="519" t="n">
        <v>0</v>
      </c>
      <c r="K593" s="520" t="n"/>
      <c r="L593" s="519" t="n"/>
      <c r="M593" s="547" t="n"/>
    </row>
    <row r="594">
      <c r="C594" s="5" t="n"/>
      <c r="D594" s="521" t="n"/>
      <c r="E594" s="548" t="inlineStr">
        <is>
          <t>Aros</t>
        </is>
      </c>
      <c r="F594" s="523" t="inlineStr">
        <is>
          <t>#3</t>
        </is>
      </c>
      <c r="G594" s="525">
        <f>ROUNDUP($D$27/J594+1,0)*L594*D593/5.7</f>
        <v/>
      </c>
      <c r="H594" s="525">
        <f>IF(F594="#2",1.494,IF(F594="#3",3.36,IF(F594="#4",5.964,IF(F594="#5",9.312,IF(F594="#2 de 4.11",18.56,IF(F594="#2 de 4.88",26.17,IF(F594="#2 de 5.3",30.87,0)))))))*G594</f>
        <v/>
      </c>
      <c r="I594" s="522" t="inlineStr">
        <is>
          <t>Espaciamiento:</t>
        </is>
      </c>
      <c r="J594" s="526" t="n">
        <v>0.25</v>
      </c>
      <c r="K594" s="527" t="inlineStr">
        <is>
          <t>Tamaño:</t>
        </is>
      </c>
      <c r="L594" s="526" t="n">
        <v>0.6</v>
      </c>
      <c r="M594" s="547" t="n"/>
    </row>
    <row r="595">
      <c r="C595" s="470" t="inlineStr">
        <is>
          <t>EB-2</t>
        </is>
      </c>
      <c r="D595" s="516" t="n">
        <v>6</v>
      </c>
      <c r="E595" s="426" t="inlineStr">
        <is>
          <t>Longitudinal</t>
        </is>
      </c>
      <c r="F595" s="464" t="inlineStr">
        <is>
          <t>#3</t>
        </is>
      </c>
      <c r="G595" s="518">
        <f>+D595*($D$27+0.9)*J595/5.7</f>
        <v/>
      </c>
      <c r="H595" s="518">
        <f>IF(F595="#2",1.494,IF(F595="#3",3.36,IF(F595="#4",5.964,IF(F595="#5",9.312,IF(F595="#2 de 4.11",18.56,IF(F595="#2 de 4.88",26.17,IF(F595="#2 de 5.3",30.87,0)))))))*G595</f>
        <v/>
      </c>
      <c r="I595" s="512" t="inlineStr">
        <is>
          <t>Cantidad:</t>
        </is>
      </c>
      <c r="J595" s="519" t="n">
        <v>0</v>
      </c>
      <c r="K595" s="520" t="n"/>
      <c r="L595" s="519" t="n"/>
      <c r="M595" s="547" t="n"/>
    </row>
    <row r="596">
      <c r="C596" s="5" t="n"/>
      <c r="D596" s="521" t="n"/>
      <c r="E596" s="548" t="inlineStr">
        <is>
          <t>Aros</t>
        </is>
      </c>
      <c r="F596" s="523" t="inlineStr">
        <is>
          <t>#3</t>
        </is>
      </c>
      <c r="G596" s="525">
        <f>ROUNDUP($D$27/J596+1,0)*L596*D595/5.7</f>
        <v/>
      </c>
      <c r="H596" s="525">
        <f>IF(F596="#2",1.494,IF(F596="#3",3.36,IF(F596="#4",5.964,IF(F596="#5",9.312,IF(F596="#2 de 4.11",18.56,IF(F596="#2 de 4.88",26.17,IF(F596="#2 de 5.3",30.87,0)))))))*G596</f>
        <v/>
      </c>
      <c r="I596" s="522" t="inlineStr">
        <is>
          <t>Espaciamiento:</t>
        </is>
      </c>
      <c r="J596" s="526" t="n">
        <v>0.25</v>
      </c>
      <c r="K596" s="527" t="inlineStr">
        <is>
          <t>Tamaño:</t>
        </is>
      </c>
      <c r="L596" s="526" t="n">
        <v>1.1</v>
      </c>
      <c r="M596" s="547" t="n"/>
    </row>
    <row r="597">
      <c r="C597" s="470" t="inlineStr">
        <is>
          <t>EB-3</t>
        </is>
      </c>
      <c r="D597" s="516" t="n">
        <v>4</v>
      </c>
      <c r="E597" s="426" t="inlineStr">
        <is>
          <t>Longitudinal</t>
        </is>
      </c>
      <c r="F597" s="464" t="inlineStr">
        <is>
          <t>#3</t>
        </is>
      </c>
      <c r="G597" s="518">
        <f>+D597*($D$27+0.9)*J597/5.7</f>
        <v/>
      </c>
      <c r="H597" s="518">
        <f>IF(F597="#2",1.494,IF(F597="#3",3.36,IF(F597="#4",5.964,IF(F597="#5",9.312,IF(F597="#2 de 4.11",18.56,IF(F597="#2 de 4.88",26.17,IF(F597="#2 de 5.3",30.87,0)))))))*G597</f>
        <v/>
      </c>
      <c r="I597" s="512" t="inlineStr">
        <is>
          <t>Cantidad:</t>
        </is>
      </c>
      <c r="J597" s="519" t="n">
        <v>0</v>
      </c>
      <c r="K597" s="520" t="n"/>
      <c r="L597" s="519" t="n"/>
      <c r="M597" s="547" t="n"/>
    </row>
    <row r="598">
      <c r="C598" s="5" t="n"/>
      <c r="D598" s="521" t="n"/>
      <c r="E598" s="548" t="inlineStr">
        <is>
          <t>Aros</t>
        </is>
      </c>
      <c r="F598" s="523" t="inlineStr">
        <is>
          <t>#3</t>
        </is>
      </c>
      <c r="G598" s="525">
        <f>ROUNDUP($D$27/J598+1,0)*L598*D597/5.7</f>
        <v/>
      </c>
      <c r="H598" s="525">
        <f>IF(F598="#2",1.494,IF(F598="#3",3.36,IF(F598="#4",5.964,IF(F598="#5",9.312,IF(F598="#2 de 4.11",18.56,IF(F598="#2 de 4.88",26.17,IF(F598="#2 de 5.3",30.87,0)))))))*G598</f>
        <v/>
      </c>
      <c r="I598" s="522" t="inlineStr">
        <is>
          <t>Espaciamiento:</t>
        </is>
      </c>
      <c r="J598" s="526" t="n">
        <v>0.25</v>
      </c>
      <c r="K598" s="527" t="inlineStr">
        <is>
          <t>Tamaño:</t>
        </is>
      </c>
      <c r="L598" s="526" t="n">
        <v>1.2</v>
      </c>
      <c r="M598" s="547" t="n"/>
    </row>
    <row r="599">
      <c r="C599" s="470" t="inlineStr">
        <is>
          <t>EB-4</t>
        </is>
      </c>
      <c r="D599" s="516" t="n"/>
      <c r="E599" s="426" t="inlineStr">
        <is>
          <t>Longitudinal</t>
        </is>
      </c>
      <c r="F599" s="464" t="inlineStr">
        <is>
          <t>#3</t>
        </is>
      </c>
      <c r="G599" s="518">
        <f>+D599*($D$27+0.9)*J599/5.7</f>
        <v/>
      </c>
      <c r="H599" s="518">
        <f>IF(F599="#2",1.494,IF(F599="#3",3.36,IF(F599="#4",5.964,IF(F599="#5",9.312,IF(F599="#2 de 4.11",18.56,IF(F599="#2 de 4.88",26.17,IF(F599="#2 de 5.3",30.87,0)))))))*G599</f>
        <v/>
      </c>
      <c r="I599" s="512" t="inlineStr">
        <is>
          <t>Cantidad:</t>
        </is>
      </c>
      <c r="J599" s="519" t="n">
        <v>0</v>
      </c>
      <c r="K599" s="520" t="n"/>
      <c r="L599" s="519" t="n"/>
      <c r="M599" s="547" t="n"/>
    </row>
    <row r="600">
      <c r="C600" s="5" t="n"/>
      <c r="D600" s="521" t="n"/>
      <c r="E600" s="548" t="inlineStr">
        <is>
          <t>Aros</t>
        </is>
      </c>
      <c r="F600" s="523" t="inlineStr">
        <is>
          <t>#3</t>
        </is>
      </c>
      <c r="G600" s="525">
        <f>ROUNDUP($D$27/J600+1,0)*L600*D599/5.7</f>
        <v/>
      </c>
      <c r="H600" s="525">
        <f>IF(F600="#2",1.494,IF(F600="#3",3.36,IF(F600="#4",5.964,IF(F600="#5",9.312,IF(F600="#2 de 4.11",18.56,IF(F600="#2 de 4.88",26.17,IF(F600="#2 de 5.3",30.87,0)))))))*G600</f>
        <v/>
      </c>
      <c r="I600" s="522" t="inlineStr">
        <is>
          <t>Espaciamiento:</t>
        </is>
      </c>
      <c r="J600" s="526" t="n">
        <v>0.2</v>
      </c>
      <c r="K600" s="527" t="inlineStr">
        <is>
          <t>Tamaño:</t>
        </is>
      </c>
      <c r="L600" s="526" t="n">
        <v>2.1</v>
      </c>
      <c r="M600" s="547" t="n"/>
    </row>
    <row r="601">
      <c r="C601" s="470" t="inlineStr">
        <is>
          <t>EB-5</t>
        </is>
      </c>
      <c r="D601" s="516" t="n"/>
      <c r="E601" s="426" t="inlineStr">
        <is>
          <t>Longitudinal</t>
        </is>
      </c>
      <c r="F601" s="464" t="inlineStr">
        <is>
          <t>#3</t>
        </is>
      </c>
      <c r="G601" s="518">
        <f>+D601*($D$27+0.9)*J601/5.7</f>
        <v/>
      </c>
      <c r="H601" s="518">
        <f>IF(F601="#2",1.494,IF(F601="#3",3.36,IF(F601="#4",5.964,IF(F601="#5",9.312,IF(F601="#2 de 4.11",18.56,IF(F601="#2 de 4.88",26.17,IF(F601="#2 de 5.3",30.87,0)))))))*G601</f>
        <v/>
      </c>
      <c r="I601" s="512" t="inlineStr">
        <is>
          <t>Cantidad:</t>
        </is>
      </c>
      <c r="J601" s="519" t="n">
        <v>0</v>
      </c>
      <c r="K601" s="520" t="n"/>
      <c r="L601" s="519" t="n"/>
      <c r="M601" s="547" t="n"/>
    </row>
    <row r="602">
      <c r="C602" s="5" t="n"/>
      <c r="D602" s="521" t="n"/>
      <c r="E602" s="548" t="inlineStr">
        <is>
          <t>Aros</t>
        </is>
      </c>
      <c r="F602" s="523" t="inlineStr">
        <is>
          <t>#3</t>
        </is>
      </c>
      <c r="G602" s="525">
        <f>ROUNDUP($D$27/J602+1,0)*L602*D601/5.7</f>
        <v/>
      </c>
      <c r="H602" s="525">
        <f>IF(F602="#2",1.494,IF(F602="#3",3.36,IF(F602="#4",5.964,IF(F602="#5",9.312,IF(F602="#2 de 4.11",18.56,IF(F602="#2 de 4.88",26.17,IF(F602="#2 de 5.3",30.87,0)))))))*G602</f>
        <v/>
      </c>
      <c r="I602" s="522" t="inlineStr">
        <is>
          <t>Espaciamiento:</t>
        </is>
      </c>
      <c r="J602" s="526" t="n">
        <v>0.2</v>
      </c>
      <c r="K602" s="527" t="inlineStr">
        <is>
          <t>Tamaño:</t>
        </is>
      </c>
      <c r="L602" s="526" t="n">
        <v>1</v>
      </c>
      <c r="M602" s="547" t="n"/>
    </row>
    <row r="603">
      <c r="C603" s="471" t="inlineStr">
        <is>
          <t>VK-1
m. lineales</t>
        </is>
      </c>
      <c r="D603" s="516" t="n">
        <v>13.3</v>
      </c>
      <c r="E603" s="426" t="inlineStr">
        <is>
          <t>Longitudinal</t>
        </is>
      </c>
      <c r="F603" s="464" t="inlineStr">
        <is>
          <t>#4</t>
        </is>
      </c>
      <c r="G603" s="518">
        <f>+D603*J603*1.1/5.7</f>
        <v/>
      </c>
      <c r="H603" s="518">
        <f>IF(F603="#2",1.494,IF(F603="#3",3.36,IF(F603="#4",5.964,IF(F603="#5",9.312,IF(F603="#2 de 4.11",18.56,IF(F603="#2 de 4.88",26.17,IF(F603="#2 de 5.3",30.87,0)))))))*G603</f>
        <v/>
      </c>
      <c r="I603" s="512" t="inlineStr">
        <is>
          <t>Cantidad:</t>
        </is>
      </c>
      <c r="J603" s="519" t="n">
        <v>2</v>
      </c>
      <c r="K603" s="520" t="n"/>
      <c r="L603" s="519" t="n"/>
      <c r="M603" s="547" t="n"/>
    </row>
    <row r="604">
      <c r="C604" s="509" t="n"/>
      <c r="D604" s="528" t="n"/>
      <c r="E604" s="549" t="inlineStr">
        <is>
          <t>Longitudinal</t>
        </is>
      </c>
      <c r="F604" s="530" t="inlineStr">
        <is>
          <t>#3</t>
        </is>
      </c>
      <c r="G604" s="532">
        <f>+D603*J604*1.1/5.7</f>
        <v/>
      </c>
      <c r="H604" s="532">
        <f>IF(F604="#2",1.494,IF(F604="#3",3.36,IF(F604="#4",5.964,IF(F604="#5",9.312,IF(F604="#2 de 4.11",18.56,IF(F604="#2 de 4.88",26.17,IF(F604="#2 de 5.3",30.87,0)))))))*G604</f>
        <v/>
      </c>
      <c r="I604" s="529" t="inlineStr">
        <is>
          <t>Cantidad:</t>
        </is>
      </c>
      <c r="J604" s="533" t="n">
        <v>2</v>
      </c>
      <c r="K604" s="427" t="n"/>
      <c r="L604" s="533" t="n"/>
      <c r="M604" s="547" t="n"/>
    </row>
    <row r="605">
      <c r="C605" s="5" t="n"/>
      <c r="D605" s="521" t="n"/>
      <c r="E605" s="548" t="inlineStr">
        <is>
          <t>Aros</t>
        </is>
      </c>
      <c r="F605" s="523" t="inlineStr">
        <is>
          <t>#3</t>
        </is>
      </c>
      <c r="G605" s="525">
        <f>ROUNDUP(D603/J605+1,0)*L605/5.7</f>
        <v/>
      </c>
      <c r="H605" s="525">
        <f>IF(F605="#2",1.494,IF(F605="#3",3.36,IF(F605="#4",5.964,IF(F605="#5",9.312,IF(F605="#2 de 4.11",18.56,IF(F605="#2 de 4.88",26.17,IF(F605="#2 de 5.3",30.87,0)))))))*G605</f>
        <v/>
      </c>
      <c r="I605" s="522" t="inlineStr">
        <is>
          <t>Espaciamiento:</t>
        </is>
      </c>
      <c r="J605" s="526" t="n">
        <v>0.1</v>
      </c>
      <c r="K605" s="527" t="inlineStr">
        <is>
          <t>Tamaño:</t>
        </is>
      </c>
      <c r="L605" s="526" t="n">
        <v>0</v>
      </c>
      <c r="M605" s="547" t="n"/>
    </row>
    <row r="606">
      <c r="C606" s="471" t="inlineStr">
        <is>
          <t>VK-2
m. lineales</t>
        </is>
      </c>
      <c r="D606" s="516" t="n"/>
      <c r="E606" s="426" t="inlineStr">
        <is>
          <t>Longitudinal</t>
        </is>
      </c>
      <c r="F606" s="464" t="inlineStr">
        <is>
          <t>#4</t>
        </is>
      </c>
      <c r="G606" s="518">
        <f>+D606*J606*1.1/5.7</f>
        <v/>
      </c>
      <c r="H606" s="518">
        <f>IF(F606="#2",1.494,IF(F606="#3",3.36,IF(F606="#4",5.964,IF(F606="#5",9.312,IF(F606="#2 de 4.11",18.56,IF(F606="#2 de 4.88",26.17,IF(F606="#2 de 5.3",30.87,0)))))))*G606</f>
        <v/>
      </c>
      <c r="I606" s="512" t="inlineStr">
        <is>
          <t>Cantidad:</t>
        </is>
      </c>
      <c r="J606" s="519" t="n">
        <v>2</v>
      </c>
      <c r="K606" s="520" t="n"/>
      <c r="L606" s="519" t="n"/>
      <c r="M606" s="547" t="n"/>
    </row>
    <row r="607">
      <c r="C607" s="509" t="n"/>
      <c r="D607" s="528" t="n"/>
      <c r="E607" s="549" t="inlineStr">
        <is>
          <t>Longitudinal</t>
        </is>
      </c>
      <c r="F607" s="530" t="inlineStr">
        <is>
          <t>#3</t>
        </is>
      </c>
      <c r="G607" s="532">
        <f>+D606*J607*1.1/5.7</f>
        <v/>
      </c>
      <c r="H607" s="532">
        <f>IF(F607="#2",1.494,IF(F607="#3",3.36,IF(F607="#4",5.964,IF(F607="#5",9.312,IF(F607="#2 de 4.11",18.56,IF(F607="#2 de 4.88",26.17,IF(F607="#2 de 5.3",30.87,0)))))))*G607</f>
        <v/>
      </c>
      <c r="I607" s="529" t="inlineStr">
        <is>
          <t>Cantidad:</t>
        </is>
      </c>
      <c r="J607" s="533" t="n">
        <v>2</v>
      </c>
      <c r="K607" s="427" t="n"/>
      <c r="L607" s="533" t="n"/>
      <c r="M607" s="547" t="n"/>
    </row>
    <row r="608">
      <c r="C608" s="5" t="n"/>
      <c r="D608" s="521" t="n"/>
      <c r="E608" s="548" t="inlineStr">
        <is>
          <t>Aros</t>
        </is>
      </c>
      <c r="F608" s="523" t="inlineStr">
        <is>
          <t>#3</t>
        </is>
      </c>
      <c r="G608" s="525">
        <f>ROUNDUP(D606/J608+1,0)*L608/5.7</f>
        <v/>
      </c>
      <c r="H608" s="525">
        <f>IF(F608="#2",1.494,IF(F608="#3",3.36,IF(F608="#4",5.964,IF(F608="#5",9.312,IF(F608="#2 de 4.11",18.56,IF(F608="#2 de 4.88",26.17,IF(F608="#2 de 5.3",30.87,0)))))))*G608</f>
        <v/>
      </c>
      <c r="I608" s="522" t="inlineStr">
        <is>
          <t>Espaciamiento:</t>
        </is>
      </c>
      <c r="J608" s="526" t="n">
        <v>0.1</v>
      </c>
      <c r="K608" s="527" t="inlineStr">
        <is>
          <t>Tamaño:</t>
        </is>
      </c>
      <c r="L608" s="526" t="n">
        <v>0</v>
      </c>
      <c r="M608" s="547" t="n"/>
    </row>
    <row r="609">
      <c r="C609" s="503" t="n"/>
      <c r="D609" s="1147" t="n"/>
      <c r="E609" s="324" t="n"/>
      <c r="H609" s="535">
        <f>SUM(H593:H608)</f>
        <v/>
      </c>
    </row>
    <row r="610">
      <c r="C610" s="491" t="inlineStr">
        <is>
          <t>ACERO DE VIGA CORONA</t>
        </is>
      </c>
      <c r="D610" s="1147" t="n"/>
      <c r="E610" s="324" t="n"/>
      <c r="H610" s="324" t="n"/>
    </row>
    <row r="611">
      <c r="C611" s="503" t="n"/>
      <c r="D611" s="1147" t="n"/>
      <c r="E611" s="324" t="n"/>
      <c r="H611" s="324" t="n"/>
    </row>
    <row r="612">
      <c r="C612" s="411" t="inlineStr">
        <is>
          <t xml:space="preserve">Longitud </t>
        </is>
      </c>
      <c r="D612" s="418" t="n">
        <v>8.9</v>
      </c>
      <c r="E612" s="455" t="inlineStr">
        <is>
          <t xml:space="preserve">m </t>
        </is>
      </c>
      <c r="F612" s="416" t="inlineStr">
        <is>
          <t>✓✓</t>
        </is>
      </c>
      <c r="H612" s="427" t="n"/>
      <c r="J612" s="481" t="n"/>
    </row>
    <row r="613">
      <c r="C613" s="536" t="inlineStr">
        <is>
          <t xml:space="preserve">Largo gancho </t>
        </is>
      </c>
      <c r="D613" s="537" t="n">
        <v>0.35</v>
      </c>
      <c r="E613" s="537" t="inlineStr">
        <is>
          <t xml:space="preserve">m </t>
        </is>
      </c>
      <c r="F613" s="416" t="inlineStr">
        <is>
          <t>✓✓</t>
        </is>
      </c>
      <c r="H613" s="427" t="n"/>
      <c r="J613" s="481" t="n"/>
    </row>
    <row r="614">
      <c r="C614" s="503" t="n"/>
      <c r="D614" s="1147" t="n"/>
      <c r="E614" s="324" t="n"/>
      <c r="H614" s="324" t="n"/>
    </row>
    <row r="615">
      <c r="C615" s="491" t="inlineStr">
        <is>
          <t>REFUERZO DE AZOTEA</t>
        </is>
      </c>
      <c r="D615" s="1147" t="n"/>
      <c r="E615" s="324" t="n"/>
      <c r="H615" s="324" t="n"/>
    </row>
    <row r="617">
      <c r="C617" s="411" t="inlineStr">
        <is>
          <t>Área</t>
        </is>
      </c>
      <c r="D617" s="455">
        <f>+D18</f>
        <v/>
      </c>
      <c r="E617" s="455" t="inlineStr">
        <is>
          <t>m2</t>
        </is>
      </c>
      <c r="F617" s="416" t="inlineStr">
        <is>
          <t>✓✓</t>
        </is>
      </c>
    </row>
    <row r="618">
      <c r="C618" s="503" t="n"/>
      <c r="D618" s="1147" t="n"/>
      <c r="E618" s="324" t="n"/>
    </row>
    <row r="619">
      <c r="F619" s="46" t="n"/>
      <c r="G619" s="46" t="n"/>
    </row>
    <row r="620">
      <c r="C620" s="488" t="inlineStr">
        <is>
          <t>Elemento</t>
        </is>
      </c>
      <c r="D620" s="488" t="inlineStr">
        <is>
          <t>Cantidad/espaciamiento</t>
        </is>
      </c>
      <c r="E620" s="488" t="inlineStr">
        <is>
          <t># Varilla</t>
        </is>
      </c>
      <c r="F620" s="488" t="inlineStr">
        <is>
          <t>Total</t>
        </is>
      </c>
      <c r="G620" s="488" t="inlineStr">
        <is>
          <t>Peso</t>
        </is>
      </c>
    </row>
    <row r="621">
      <c r="C621" s="486" t="inlineStr">
        <is>
          <t>Longitudinal de muros h=2.60 m</t>
        </is>
      </c>
      <c r="D621" s="487">
        <f>+D556</f>
        <v/>
      </c>
      <c r="E621" s="488" t="inlineStr">
        <is>
          <t>#3</t>
        </is>
      </c>
      <c r="F621" s="487">
        <f>+D621*D553/5.7</f>
        <v/>
      </c>
      <c r="G621" s="487">
        <f>IF(E621="#2",1.494,IF(E621="#3",3.36,IF(E621="#4",5.964,IF(E621="#5",9.312,IF(E621="#2 de 4.11",18.56,IF(E621="#2 de 4.88",26.17,IF(E621="#2 de 5.3",30.87,0)))))))*F621</f>
        <v/>
      </c>
    </row>
    <row r="622">
      <c r="C622" s="486" t="inlineStr">
        <is>
          <t>Longitudinal de muros (verticales) h=2.60m</t>
        </is>
      </c>
      <c r="D622" s="487">
        <f>+D557</f>
        <v/>
      </c>
      <c r="E622" s="488" t="inlineStr">
        <is>
          <t>#3</t>
        </is>
      </c>
      <c r="F622" s="487">
        <f>+D622*D554/5.7</f>
        <v/>
      </c>
      <c r="G622" s="487">
        <f>IF(E622="#2",1.494,IF(E622="#3",3.36,IF(E622="#4",5.964,IF(E622="#5",9.312,IF(E622="#2 de 4.11",18.56,IF(E622="#2 de 4.88",26.17,IF(E622="#2 de 5.3",30.87,0)))))))*F622</f>
        <v/>
      </c>
    </row>
    <row r="623">
      <c r="C623" s="486" t="inlineStr">
        <is>
          <t>Longitudinal de muros h=0.90m</t>
        </is>
      </c>
      <c r="D623" s="487">
        <f>+D548</f>
        <v/>
      </c>
      <c r="E623" s="488" t="inlineStr">
        <is>
          <t>#3</t>
        </is>
      </c>
      <c r="F623" s="487">
        <f>+D623*D545/5.7</f>
        <v/>
      </c>
      <c r="G623" s="487">
        <f>IF(E623="#2",1.494,IF(E623="#3",3.36,IF(E623="#4",5.964,IF(E623="#5",9.312,IF(E623="#2 de 4.11",18.56,IF(E623="#2 de 4.88",26.17,IF(E623="#2 de 5.3",30.87,0)))))))*F623</f>
        <v/>
      </c>
    </row>
    <row r="624">
      <c r="C624" s="486" t="inlineStr">
        <is>
          <t>Longitudinal de muros (verticales) h=0.90m</t>
        </is>
      </c>
      <c r="D624" s="487">
        <f>+D549</f>
        <v/>
      </c>
      <c r="E624" s="488" t="inlineStr">
        <is>
          <t>#3</t>
        </is>
      </c>
      <c r="F624" s="487">
        <f>+D624*D546/5.7</f>
        <v/>
      </c>
      <c r="G624" s="487">
        <f>IF(E624="#2",1.494,IF(E624="#3",3.36,IF(E624="#4",5.964,IF(E624="#5",9.312,IF(E624="#2 de 4.11",18.56,IF(E624="#2 de 4.88",26.17,IF(E624="#2 de 5.3",30.87,0)))))))*F624</f>
        <v/>
      </c>
    </row>
    <row r="625">
      <c r="B625" s="469" t="n"/>
      <c r="C625" s="486" t="inlineStr">
        <is>
          <t>Aros de viga corona</t>
        </is>
      </c>
      <c r="D625" s="487" t="n">
        <v>0.125</v>
      </c>
      <c r="E625" s="488" t="inlineStr">
        <is>
          <t>#3</t>
        </is>
      </c>
      <c r="F625" s="487">
        <f>D612/D625*D613*(1+FDG)/6</f>
        <v/>
      </c>
      <c r="G625" s="487">
        <f>IF(E625="#2",1.494,IF(E625="#3",3.36,IF(E625="#4",5.964,IF(E625="#5",9.312,IF(E625="#2 de 4.11",18.56,IF(E625="#2 de 4.88",26.17,IF(E625="#2 de 5.3",30.87,0)))))))*F625</f>
        <v/>
      </c>
    </row>
    <row r="626">
      <c r="B626" s="469" t="n"/>
      <c r="C626" s="486" t="inlineStr">
        <is>
          <t>Refuerzos en buques</t>
        </is>
      </c>
      <c r="D626" s="487">
        <f>+H588*(1+FDG)/6</f>
        <v/>
      </c>
      <c r="E626" s="488" t="inlineStr">
        <is>
          <t>#4</t>
        </is>
      </c>
      <c r="F626" s="488">
        <f>ROUNDUP(D626/0.5,0)*0.5</f>
        <v/>
      </c>
      <c r="G626" s="487">
        <f>IF(E626="#2",1.494,IF(E626="#3",3.36,IF(E626="#4",5.964,IF(E626="#5",9.312,IF(E626="#2 de 4.11",18.56,IF(E626="#2 de 4.88",26.17,IF(E626="#2 de 5.3",30.87,0)))))))*F626</f>
        <v/>
      </c>
    </row>
    <row r="627">
      <c r="B627" s="469" t="n"/>
      <c r="C627" s="486" t="inlineStr">
        <is>
          <t>Malla de azotea</t>
        </is>
      </c>
      <c r="D627" s="487" t="n">
        <v>0.2</v>
      </c>
      <c r="E627" s="488" t="inlineStr">
        <is>
          <t>#2 de 4.88</t>
        </is>
      </c>
      <c r="F627" s="487">
        <f>D617*2/(1.9*5.7)</f>
        <v/>
      </c>
      <c r="G627" s="487">
        <f>IF(E627="#2",1.494,IF(E627="#3",3.36,IF(E627="#4",5.964,IF(E627="#5",9.312,IF(E627="#2 de 4.11",18.56,IF(E627="#2 de 4.88",26.17,IF(E627="#2 de 5.3",30.87,0)))))))*F627</f>
        <v/>
      </c>
    </row>
    <row r="628">
      <c r="F628" s="46" t="n"/>
      <c r="G628" s="487">
        <f>SUM(G621:G627)</f>
        <v/>
      </c>
    </row>
    <row r="629">
      <c r="B629" s="469" t="n"/>
      <c r="C629" s="488" t="inlineStr">
        <is>
          <t>Elemento</t>
        </is>
      </c>
      <c r="D629" s="488" t="inlineStr">
        <is>
          <t>Cantidad</t>
        </is>
      </c>
      <c r="E629" s="488" t="inlineStr">
        <is>
          <t>Uni</t>
        </is>
      </c>
    </row>
    <row r="630">
      <c r="B630" s="476" t="inlineStr">
        <is>
          <t>M01-0147</t>
        </is>
      </c>
      <c r="C630" s="497" t="inlineStr">
        <is>
          <t>Varilla #3 G40</t>
        </is>
      </c>
      <c r="D630" s="487">
        <f>ROUNDUP(SUMIFS(G593:G608,F593:F608,"#3",E593:E608,"Aros")+F625,0)</f>
        <v/>
      </c>
      <c r="E630" s="488" t="inlineStr">
        <is>
          <t>UNI</t>
        </is>
      </c>
    </row>
    <row r="631">
      <c r="B631" s="476" t="inlineStr">
        <is>
          <t>M01-0147</t>
        </is>
      </c>
      <c r="C631" s="497" t="inlineStr">
        <is>
          <t>Varilla #3 G60</t>
        </is>
      </c>
      <c r="D631" s="487">
        <f>ROUNDUP(SUMIFS(G593:G608,F593:F608,"#3",E593:E608,"Longitudinal")+F621+F622+F623+F624,0)</f>
        <v/>
      </c>
      <c r="E631" s="488" t="inlineStr">
        <is>
          <t>uni</t>
        </is>
      </c>
      <c r="F631" s="416" t="n"/>
    </row>
    <row r="632">
      <c r="B632" s="476" t="inlineStr">
        <is>
          <t>M01-0148</t>
        </is>
      </c>
      <c r="C632" s="497" t="inlineStr">
        <is>
          <t>Varilla #4</t>
        </is>
      </c>
      <c r="D632" s="487">
        <f>ROUNDUP(SUMIF(F593:F608,"#4",G593:G608),0)+F626</f>
        <v/>
      </c>
      <c r="E632" s="488" t="inlineStr">
        <is>
          <t>uni</t>
        </is>
      </c>
      <c r="F632" s="416" t="n"/>
    </row>
    <row r="633">
      <c r="B633" s="476" t="inlineStr">
        <is>
          <t>M01-0145</t>
        </is>
      </c>
      <c r="C633" s="497" t="inlineStr">
        <is>
          <t>Malla electrosoldada</t>
        </is>
      </c>
      <c r="D633" s="487">
        <f>+F627</f>
        <v/>
      </c>
      <c r="E633" s="488" t="inlineStr">
        <is>
          <t>uni</t>
        </is>
      </c>
      <c r="F633" s="416" t="n"/>
    </row>
    <row r="634">
      <c r="B634" s="476" t="inlineStr">
        <is>
          <t>M01-0001</t>
        </is>
      </c>
      <c r="C634" s="497" t="inlineStr">
        <is>
          <t>Alambre negro</t>
        </is>
      </c>
      <c r="D634" s="487">
        <f>ROUND(SUM(G621:G627,H609)*FAN,0)</f>
        <v/>
      </c>
      <c r="E634" s="488" t="inlineStr">
        <is>
          <t>kg</t>
        </is>
      </c>
      <c r="F634" s="416" t="n"/>
    </row>
    <row r="635">
      <c r="B635" s="476" t="inlineStr">
        <is>
          <t>M08-0051</t>
        </is>
      </c>
      <c r="C635" s="497" t="inlineStr">
        <is>
          <t>Disco corte fino metal 4-1/2</t>
        </is>
      </c>
      <c r="D635" s="487">
        <f>ROUNDUP((D631*3.36+D632*5.964)*0.004,0)</f>
        <v/>
      </c>
      <c r="E635" s="488" t="inlineStr">
        <is>
          <t>uni</t>
        </is>
      </c>
    </row>
    <row r="636">
      <c r="B636" s="476" t="inlineStr">
        <is>
          <t>M08-0037</t>
        </is>
      </c>
      <c r="C636" s="497" t="inlineStr">
        <is>
          <t>Disco corte metal fino 9"</t>
        </is>
      </c>
      <c r="D636" s="487">
        <f>+D635</f>
        <v/>
      </c>
      <c r="E636" s="488" t="inlineStr">
        <is>
          <t>uni</t>
        </is>
      </c>
    </row>
    <row r="637">
      <c r="C637" s="51" t="n"/>
    </row>
    <row r="638">
      <c r="B638" s="469" t="n"/>
      <c r="C638" s="488" t="n"/>
      <c r="D638" s="488" t="inlineStr">
        <is>
          <t>Costo</t>
        </is>
      </c>
      <c r="E638" s="488" t="inlineStr">
        <is>
          <t>Total</t>
        </is>
      </c>
      <c r="F638" s="488" t="inlineStr">
        <is>
          <t>Horas</t>
        </is>
      </c>
    </row>
    <row r="639">
      <c r="B639" s="469" t="n"/>
      <c r="C639" s="488" t="inlineStr">
        <is>
          <t>Acero muros</t>
        </is>
      </c>
      <c r="D639" s="489">
        <f>+D163</f>
        <v/>
      </c>
      <c r="E639" s="489">
        <f>+D639*SUM(G621:G627,H609)</f>
        <v/>
      </c>
      <c r="F639" s="488">
        <f>ROUND(E639/'COSTOS MO CUADRILLA'!K13,0)</f>
        <v/>
      </c>
    </row>
    <row r="640">
      <c r="B640" s="469" t="n"/>
      <c r="C640" s="486" t="n"/>
      <c r="D640" s="488" t="inlineStr">
        <is>
          <t xml:space="preserve">Total </t>
        </is>
      </c>
      <c r="E640" s="489">
        <f>SUM(E639:E639)</f>
        <v/>
      </c>
      <c r="F640" s="490">
        <f>+E640/'COSTOS MO CUADRILLA'!K13</f>
        <v/>
      </c>
      <c r="G640" s="481" t="n"/>
    </row>
    <row r="643">
      <c r="C643" s="468" t="inlineStr">
        <is>
          <t>1.2.5</t>
        </is>
      </c>
      <c r="D643" s="468" t="inlineStr">
        <is>
          <t>PAREDES, MUROS N2 (FORMALETA, CONCRETO, DESENCOFRADO)</t>
        </is>
      </c>
      <c r="E643" s="59" t="n"/>
      <c r="F643" s="60" t="n"/>
    </row>
    <row r="645">
      <c r="C645" s="491" t="inlineStr">
        <is>
          <t>CONCRETO MURETE DE AZOTEA</t>
        </is>
      </c>
    </row>
    <row r="647">
      <c r="C647" s="485" t="inlineStr">
        <is>
          <t>AREA DE MUROS</t>
        </is>
      </c>
      <c r="D647" s="470">
        <f>+D648*D649+D656*D657</f>
        <v/>
      </c>
      <c r="E647" s="470" t="inlineStr">
        <is>
          <t>m2</t>
        </is>
      </c>
    </row>
    <row r="648">
      <c r="C648" s="485" t="inlineStr">
        <is>
          <t xml:space="preserve">LARGO </t>
        </is>
      </c>
      <c r="D648" s="472">
        <f>+D545</f>
        <v/>
      </c>
      <c r="E648" s="470" t="inlineStr">
        <is>
          <t xml:space="preserve">m </t>
        </is>
      </c>
      <c r="F648" s="416" t="n"/>
    </row>
    <row r="649">
      <c r="C649" s="411" t="inlineStr">
        <is>
          <t xml:space="preserve">ALTO </t>
        </is>
      </c>
      <c r="D649" s="413">
        <f>+D546</f>
        <v/>
      </c>
      <c r="E649" s="413" t="inlineStr">
        <is>
          <t xml:space="preserve">m </t>
        </is>
      </c>
      <c r="F649" s="416" t="n"/>
    </row>
    <row r="650">
      <c r="C650" s="485" t="inlineStr">
        <is>
          <t xml:space="preserve">ESPESOR </t>
        </is>
      </c>
      <c r="D650" s="470" t="n">
        <v>0.1</v>
      </c>
      <c r="E650" s="470" t="inlineStr">
        <is>
          <t xml:space="preserve">m </t>
        </is>
      </c>
      <c r="F650" s="416" t="n"/>
    </row>
    <row r="651">
      <c r="E651" s="481" t="n"/>
      <c r="F651" s="550" t="n"/>
    </row>
    <row r="652">
      <c r="C652" s="486" t="inlineStr">
        <is>
          <t>CONCRETO MURETE DE AZOTEA</t>
        </is>
      </c>
      <c r="D652" s="487">
        <f>D648*D649*D650</f>
        <v/>
      </c>
      <c r="E652" s="488" t="inlineStr">
        <is>
          <t xml:space="preserve">m3 </t>
        </is>
      </c>
      <c r="F652" s="416" t="n"/>
    </row>
    <row r="654">
      <c r="C654" s="491" t="inlineStr">
        <is>
          <t xml:space="preserve">CONCRETO MUROS </t>
        </is>
      </c>
    </row>
    <row r="656">
      <c r="C656" s="485" t="inlineStr">
        <is>
          <t xml:space="preserve">LARGO </t>
        </is>
      </c>
      <c r="D656" s="472">
        <f>+D553</f>
        <v/>
      </c>
      <c r="E656" s="470" t="inlineStr">
        <is>
          <t xml:space="preserve">m </t>
        </is>
      </c>
      <c r="F656" s="416" t="n"/>
    </row>
    <row r="657">
      <c r="C657" s="411" t="inlineStr">
        <is>
          <t xml:space="preserve">ALTO </t>
        </is>
      </c>
      <c r="D657" s="472">
        <f>+D554</f>
        <v/>
      </c>
      <c r="E657" s="413" t="inlineStr">
        <is>
          <t xml:space="preserve">m </t>
        </is>
      </c>
      <c r="F657" s="416" t="n"/>
    </row>
    <row r="658">
      <c r="C658" s="485" t="inlineStr">
        <is>
          <t xml:space="preserve">ESPESOR </t>
        </is>
      </c>
      <c r="D658" s="470" t="n">
        <v>0.1</v>
      </c>
      <c r="E658" s="470" t="inlineStr">
        <is>
          <t xml:space="preserve">m </t>
        </is>
      </c>
      <c r="F658" s="416" t="n"/>
    </row>
    <row r="660">
      <c r="C660" s="486" t="inlineStr">
        <is>
          <t xml:space="preserve">CONCRETO MUROS </t>
        </is>
      </c>
      <c r="D660" s="487">
        <f>D656*D657*D658</f>
        <v/>
      </c>
      <c r="E660" s="488" t="inlineStr">
        <is>
          <t xml:space="preserve">m3 </t>
        </is>
      </c>
      <c r="F660" s="416" t="n"/>
    </row>
    <row r="662">
      <c r="C662" s="491" t="inlineStr">
        <is>
          <t>CONCRETO LOSA AZOTEA</t>
        </is>
      </c>
    </row>
    <row r="664">
      <c r="C664" s="411" t="inlineStr">
        <is>
          <t>AREACONCRETO DE AZOTEA</t>
        </is>
      </c>
      <c r="D664" s="455">
        <f>+D617</f>
        <v/>
      </c>
      <c r="E664" s="413" t="inlineStr">
        <is>
          <t xml:space="preserve">m2 </t>
        </is>
      </c>
      <c r="F664" s="416" t="n"/>
    </row>
    <row r="665">
      <c r="C665" s="485" t="inlineStr">
        <is>
          <t xml:space="preserve">ESPESOR </t>
        </is>
      </c>
      <c r="D665" s="470" t="n">
        <v>0.15</v>
      </c>
      <c r="E665" s="470" t="inlineStr">
        <is>
          <t xml:space="preserve">m </t>
        </is>
      </c>
      <c r="F665" s="416" t="n"/>
    </row>
    <row r="666">
      <c r="E666" s="481" t="n"/>
      <c r="F666" s="416" t="n"/>
    </row>
    <row r="667">
      <c r="C667" s="486" t="inlineStr">
        <is>
          <t xml:space="preserve">CONCRETO LOSA AZOTEA </t>
        </is>
      </c>
      <c r="D667" s="487">
        <f>D665*D664</f>
        <v/>
      </c>
      <c r="E667" s="488" t="inlineStr">
        <is>
          <t xml:space="preserve">m3 </t>
        </is>
      </c>
      <c r="F667" s="416" t="n"/>
    </row>
    <row r="669">
      <c r="C669" s="491" t="inlineStr">
        <is>
          <t xml:space="preserve">CONCRETO VIGA CORONA </t>
        </is>
      </c>
    </row>
    <row r="671">
      <c r="C671" s="485" t="inlineStr">
        <is>
          <t xml:space="preserve">LARGO </t>
        </is>
      </c>
      <c r="D671" s="472">
        <f>+D612</f>
        <v/>
      </c>
      <c r="E671" s="470" t="inlineStr">
        <is>
          <t xml:space="preserve">m </t>
        </is>
      </c>
    </row>
    <row r="672">
      <c r="C672" s="411" t="inlineStr">
        <is>
          <t xml:space="preserve">ALTO </t>
        </is>
      </c>
      <c r="D672" s="413" t="n">
        <v>0.15</v>
      </c>
      <c r="E672" s="413" t="inlineStr">
        <is>
          <t xml:space="preserve">m </t>
        </is>
      </c>
    </row>
    <row r="673">
      <c r="C673" s="485" t="inlineStr">
        <is>
          <t xml:space="preserve">ESPESOR </t>
        </is>
      </c>
      <c r="D673" s="470" t="n">
        <v>0.1</v>
      </c>
      <c r="E673" s="470" t="inlineStr">
        <is>
          <t xml:space="preserve">m </t>
        </is>
      </c>
    </row>
    <row r="675">
      <c r="B675" s="469" t="n"/>
      <c r="C675" s="486" t="inlineStr">
        <is>
          <t xml:space="preserve">CONCRETO </t>
        </is>
      </c>
      <c r="D675" s="487">
        <f>(D671*D672*D673)*1.05</f>
        <v/>
      </c>
      <c r="E675" s="488" t="inlineStr">
        <is>
          <t xml:space="preserve">m3 </t>
        </is>
      </c>
    </row>
    <row r="676">
      <c r="B676" s="469" t="n"/>
      <c r="E676" s="481" t="n"/>
    </row>
    <row r="677">
      <c r="B677" s="469" t="n"/>
      <c r="C677" s="486" t="inlineStr">
        <is>
          <t>CONCRETO  SUPERESTRUCTURA N2</t>
        </is>
      </c>
      <c r="D677" s="487">
        <f>+D675+D660+D667+D652</f>
        <v/>
      </c>
      <c r="E677" s="488" t="inlineStr">
        <is>
          <t xml:space="preserve">m3 </t>
        </is>
      </c>
    </row>
    <row r="679">
      <c r="B679" s="469" t="n"/>
      <c r="C679" s="488" t="inlineStr">
        <is>
          <t>Elemento</t>
        </is>
      </c>
      <c r="D679" s="488" t="inlineStr">
        <is>
          <t>Cantidad</t>
        </is>
      </c>
      <c r="E679" s="488" t="inlineStr">
        <is>
          <t>Uni</t>
        </is>
      </c>
    </row>
    <row r="680">
      <c r="B680" s="476" t="inlineStr">
        <is>
          <t>M10-0047</t>
        </is>
      </c>
      <c r="C680" s="486" t="inlineStr">
        <is>
          <t xml:space="preserve">Cemento </t>
        </is>
      </c>
      <c r="D680" s="487">
        <f>ROUND(D677*muroc,0)</f>
        <v/>
      </c>
      <c r="E680" s="488" t="inlineStr">
        <is>
          <t xml:space="preserve">kilos </t>
        </is>
      </c>
    </row>
    <row r="681">
      <c r="B681" s="476" t="inlineStr">
        <is>
          <t>M10-0010</t>
        </is>
      </c>
      <c r="C681" s="486" t="inlineStr">
        <is>
          <t xml:space="preserve">Arena </t>
        </is>
      </c>
      <c r="D681" s="487">
        <f>ROUND(D677*muroa,1)</f>
        <v/>
      </c>
      <c r="E681" s="488" t="inlineStr">
        <is>
          <t>m3</t>
        </is>
      </c>
    </row>
    <row r="682">
      <c r="B682" s="476" t="inlineStr">
        <is>
          <t>M10-0030</t>
        </is>
      </c>
      <c r="C682" s="486" t="inlineStr">
        <is>
          <t xml:space="preserve">Piedra </t>
        </is>
      </c>
      <c r="D682" s="487">
        <f>ROUND(D677*murop,1)</f>
        <v/>
      </c>
      <c r="E682" s="488" t="inlineStr">
        <is>
          <t>m3</t>
        </is>
      </c>
    </row>
    <row r="683">
      <c r="B683" s="476" t="inlineStr">
        <is>
          <t>M10-0009</t>
        </is>
      </c>
      <c r="C683" s="486" t="inlineStr">
        <is>
          <t>Aditivo Ergo 4000 PG50</t>
        </is>
      </c>
      <c r="D683" s="487">
        <f>ROUND(D677*muroad,0)</f>
        <v/>
      </c>
      <c r="E683" s="488" t="inlineStr">
        <is>
          <t>litro</t>
        </is>
      </c>
    </row>
    <row r="684">
      <c r="B684" s="476" t="inlineStr">
        <is>
          <t>M10-0003</t>
        </is>
      </c>
      <c r="C684" s="486" t="inlineStr">
        <is>
          <t>Fibra de vidrio</t>
        </is>
      </c>
      <c r="D684" s="487">
        <f>ROUND(D677*murof,0)</f>
        <v/>
      </c>
      <c r="E684" s="488" t="inlineStr">
        <is>
          <t>litro</t>
        </is>
      </c>
    </row>
    <row r="686">
      <c r="C686" s="491" t="inlineStr">
        <is>
          <t>FORMALETA MURETE DE AZOTEA</t>
        </is>
      </c>
    </row>
    <row r="687">
      <c r="F687" s="542" t="n"/>
    </row>
    <row r="688">
      <c r="B688" s="469" t="n"/>
      <c r="C688" s="411" t="inlineStr">
        <is>
          <t>ALTO</t>
        </is>
      </c>
      <c r="D688" s="413">
        <f>+D649</f>
        <v/>
      </c>
      <c r="E688" s="413" t="inlineStr">
        <is>
          <t xml:space="preserve">m </t>
        </is>
      </c>
      <c r="F688" s="416" t="n"/>
    </row>
    <row r="689">
      <c r="B689" s="469" t="n"/>
      <c r="C689" s="485" t="inlineStr">
        <is>
          <t xml:space="preserve">LARGO </t>
        </is>
      </c>
      <c r="D689" s="470">
        <f>+D648</f>
        <v/>
      </c>
      <c r="E689" s="470" t="inlineStr">
        <is>
          <t xml:space="preserve">m </t>
        </is>
      </c>
      <c r="F689" s="416" t="n"/>
    </row>
    <row r="691">
      <c r="C691" s="486" t="inlineStr">
        <is>
          <t xml:space="preserve">FORMALETA </t>
        </is>
      </c>
      <c r="D691" s="487">
        <f>(D688*D689)*2</f>
        <v/>
      </c>
      <c r="E691" s="488" t="inlineStr">
        <is>
          <t xml:space="preserve">m2 </t>
        </is>
      </c>
      <c r="F691" s="416" t="n"/>
    </row>
    <row r="692">
      <c r="F692" s="542" t="n"/>
    </row>
    <row r="693">
      <c r="C693" s="491" t="inlineStr">
        <is>
          <t>FORMALETA MUROS</t>
        </is>
      </c>
      <c r="F693" s="542" t="n"/>
    </row>
    <row r="694">
      <c r="F694" s="542" t="n"/>
    </row>
    <row r="695">
      <c r="C695" s="411" t="inlineStr">
        <is>
          <t>ALTO</t>
        </is>
      </c>
      <c r="D695" s="413">
        <f>+D554</f>
        <v/>
      </c>
      <c r="E695" s="413" t="inlineStr">
        <is>
          <t xml:space="preserve">m </t>
        </is>
      </c>
      <c r="F695" s="416" t="n"/>
    </row>
    <row r="696">
      <c r="C696" s="485" t="inlineStr">
        <is>
          <t xml:space="preserve">LARGO </t>
        </is>
      </c>
      <c r="D696" s="472">
        <f>+D553</f>
        <v/>
      </c>
      <c r="E696" s="470" t="inlineStr">
        <is>
          <t xml:space="preserve">m </t>
        </is>
      </c>
      <c r="F696" s="416" t="n"/>
    </row>
    <row r="698">
      <c r="C698" s="486" t="inlineStr">
        <is>
          <t xml:space="preserve">FORMALETA </t>
        </is>
      </c>
      <c r="D698" s="487">
        <f>(D695*D696)*2</f>
        <v/>
      </c>
      <c r="E698" s="488" t="inlineStr">
        <is>
          <t xml:space="preserve">m2 </t>
        </is>
      </c>
      <c r="F698" s="416" t="n"/>
    </row>
    <row r="700">
      <c r="C700" s="491" t="inlineStr">
        <is>
          <t>FORMALETA LOSA AZOTEA</t>
        </is>
      </c>
    </row>
    <row r="702">
      <c r="C702" s="411" t="inlineStr">
        <is>
          <t>AREA LOSA AZOTEA</t>
        </is>
      </c>
      <c r="D702" s="455">
        <f>+D664</f>
        <v/>
      </c>
      <c r="E702" s="413" t="inlineStr">
        <is>
          <t>m2</t>
        </is>
      </c>
    </row>
    <row r="703">
      <c r="E703" s="481" t="n"/>
    </row>
    <row r="704">
      <c r="C704" s="486" t="inlineStr">
        <is>
          <t xml:space="preserve">FORMALETA </t>
        </is>
      </c>
      <c r="D704" s="487">
        <f>+D702</f>
        <v/>
      </c>
      <c r="E704" s="488" t="inlineStr">
        <is>
          <t xml:space="preserve">m2 </t>
        </is>
      </c>
      <c r="F704" s="547" t="n"/>
    </row>
    <row r="705">
      <c r="E705" s="481" t="n"/>
    </row>
    <row r="706">
      <c r="C706" s="486" t="inlineStr">
        <is>
          <t>FORMALETA  SUPERESTRUCTURA N2</t>
        </is>
      </c>
      <c r="D706" s="487">
        <f>D704+D698+D691</f>
        <v/>
      </c>
      <c r="E706" s="488" t="inlineStr">
        <is>
          <t>m2</t>
        </is>
      </c>
    </row>
    <row r="708">
      <c r="B708" s="476" t="inlineStr">
        <is>
          <t>M06-0195</t>
        </is>
      </c>
      <c r="C708" s="486">
        <f>_xlfn.XLOOKUP(B708,'BASE DATOS PRECIOS '!B:B,'BASE DATOS PRECIOS '!E:E,0,0,1)</f>
        <v/>
      </c>
      <c r="D708" s="487">
        <f>IF($D$24=2,600,0)</f>
        <v/>
      </c>
      <c r="E708" s="488" t="inlineStr">
        <is>
          <t>Uni</t>
        </is>
      </c>
    </row>
    <row r="709">
      <c r="B709" s="476" t="inlineStr">
        <is>
          <t>M06-0040</t>
        </is>
      </c>
      <c r="C709" s="486">
        <f>_xlfn.XLOOKUP(B709,'BASE DATOS PRECIOS '!B:B,'BASE DATOS PRECIOS '!E:E,0,0,1)</f>
        <v/>
      </c>
      <c r="D709" s="487" t="n">
        <v>1</v>
      </c>
      <c r="E709" s="488">
        <f>_xlfn.XLOOKUP(B709,'BASE DATOS PRECIOS '!B:B,'BASE DATOS PRECIOS '!F:F,0,0,1)</f>
        <v/>
      </c>
    </row>
    <row r="710">
      <c r="B710" s="476" t="inlineStr">
        <is>
          <t>M10-0090</t>
        </is>
      </c>
      <c r="C710" s="486">
        <f>_xlfn.XLOOKUP(B710,'BASE DATOS PRECIOS '!B:B,'BASE DATOS PRECIOS '!E:E,0,0,1)</f>
        <v/>
      </c>
      <c r="D710" s="487">
        <f>IF($D$24=2,3,0)</f>
        <v/>
      </c>
      <c r="E710" s="488">
        <f>_xlfn.XLOOKUP(B710,'BASE DATOS PRECIOS '!B:B,'BASE DATOS PRECIOS '!F:F,0,0,1)</f>
        <v/>
      </c>
    </row>
    <row r="711">
      <c r="B711" s="476" t="inlineStr">
        <is>
          <t>M06-0264</t>
        </is>
      </c>
      <c r="C711" s="486">
        <f>_xlfn.XLOOKUP(B711,'BASE DATOS PRECIOS '!B:B,'BASE DATOS PRECIOS '!E:E,0,0,1)</f>
        <v/>
      </c>
      <c r="D711" s="487">
        <f>IF($D$24=2,60,0)</f>
        <v/>
      </c>
      <c r="E711" s="488">
        <f>_xlfn.XLOOKUP(B711,'BASE DATOS PRECIOS '!B:B,'BASE DATOS PRECIOS '!F:F,0,0,1)</f>
        <v/>
      </c>
    </row>
    <row r="712">
      <c r="B712" s="476" t="inlineStr">
        <is>
          <t>M06-0261</t>
        </is>
      </c>
      <c r="C712" s="486">
        <f>_xlfn.XLOOKUP(B712,'BASE DATOS PRECIOS '!B:B,'BASE DATOS PRECIOS '!E:E,0,0,1)</f>
        <v/>
      </c>
      <c r="D712" s="487">
        <f>IF($D$24=2,60,0)</f>
        <v/>
      </c>
      <c r="E712" s="488">
        <f>_xlfn.XLOOKUP(B712,'BASE DATOS PRECIOS '!B:B,'BASE DATOS PRECIOS '!F:F,0,0,1)</f>
        <v/>
      </c>
    </row>
    <row r="714">
      <c r="C714" s="488" t="n"/>
      <c r="D714" s="488" t="inlineStr">
        <is>
          <t>Costo</t>
        </is>
      </c>
      <c r="E714" s="488" t="inlineStr">
        <is>
          <t>Total</t>
        </is>
      </c>
      <c r="F714" s="488" t="inlineStr">
        <is>
          <t>Horas</t>
        </is>
      </c>
    </row>
    <row r="715">
      <c r="C715" s="497" t="inlineStr">
        <is>
          <t xml:space="preserve">FORMALETA </t>
        </is>
      </c>
      <c r="D715" s="489">
        <f>+D164</f>
        <v/>
      </c>
      <c r="E715" s="489">
        <f>+D715*D706</f>
        <v/>
      </c>
      <c r="F715" s="488">
        <f>ROUND(E715/'COSTOS MO CUADRILLA'!K14,0)</f>
        <v/>
      </c>
    </row>
    <row r="716">
      <c r="C716" s="497" t="inlineStr">
        <is>
          <t xml:space="preserve">COLADO MUROS </t>
        </is>
      </c>
      <c r="D716" s="489">
        <f>+D165</f>
        <v/>
      </c>
      <c r="E716" s="489">
        <f>+D716*D677</f>
        <v/>
      </c>
      <c r="F716" s="488">
        <f>ROUND(E716/'COSTOS MO CUADRILLA'!K14,0)</f>
        <v/>
      </c>
    </row>
    <row r="717">
      <c r="C717" s="497" t="inlineStr">
        <is>
          <t>TRAZO FORMALETA N2</t>
        </is>
      </c>
      <c r="D717" s="489">
        <f>+D166</f>
        <v/>
      </c>
      <c r="E717" s="489">
        <f>+D717*D706</f>
        <v/>
      </c>
      <c r="F717" s="488">
        <f>ROUND(E717/'COSTOS MO CUADRILLA'!K14,0)</f>
        <v/>
      </c>
    </row>
    <row r="718">
      <c r="C718" s="497" t="inlineStr">
        <is>
          <t>DESENCOFRE MUROS N2</t>
        </is>
      </c>
      <c r="D718" s="489">
        <f>+D167</f>
        <v/>
      </c>
      <c r="E718" s="489">
        <f>+D718*D706</f>
        <v/>
      </c>
      <c r="F718" s="488">
        <f>ROUND(E718/'COSTOS MO CUADRILLA'!K14,0)</f>
        <v/>
      </c>
    </row>
    <row r="719">
      <c r="C719" s="486" t="n"/>
      <c r="D719" s="488" t="inlineStr">
        <is>
          <t xml:space="preserve">Total </t>
        </is>
      </c>
      <c r="E719" s="489">
        <f>SUM(E715:E718)</f>
        <v/>
      </c>
      <c r="F719" s="490">
        <f>+E719/'COSTOS MO CUADRILLA'!K14</f>
        <v/>
      </c>
    </row>
    <row r="722">
      <c r="C722" s="466" t="n">
        <v>1.3</v>
      </c>
      <c r="D722" s="466" t="inlineStr">
        <is>
          <t xml:space="preserve">ESTRUCTURA METÁLICA Y CUBIERTAS </t>
        </is>
      </c>
    </row>
    <row r="724">
      <c r="C724" s="468" t="inlineStr">
        <is>
          <t>1.3.1</t>
        </is>
      </c>
      <c r="D724" s="468" t="inlineStr">
        <is>
          <t xml:space="preserve">ESTRUCTURA TECHO CASA </t>
        </is>
      </c>
      <c r="E724" s="468">
        <f>+D21</f>
        <v/>
      </c>
      <c r="F724" s="468" t="inlineStr">
        <is>
          <t>M2</t>
        </is>
      </c>
    </row>
    <row r="726">
      <c r="C726" s="491" t="inlineStr">
        <is>
          <t>CERCHAS CH-1</t>
        </is>
      </c>
    </row>
    <row r="728">
      <c r="C728" s="470" t="inlineStr">
        <is>
          <t>Tubo cerchas (2"x4")</t>
        </is>
      </c>
      <c r="D728" s="412">
        <f>9.9+48.8</f>
        <v/>
      </c>
      <c r="E728" s="413" t="inlineStr">
        <is>
          <t xml:space="preserve">m </t>
        </is>
      </c>
      <c r="F728" s="416" t="n"/>
    </row>
    <row r="729">
      <c r="C729" s="551" t="inlineStr">
        <is>
          <t># Tubos 2" x 4", Soporte superior</t>
        </is>
      </c>
      <c r="D729" s="487">
        <f>ROUNDUP(((D728)*1.1/6),0)</f>
        <v/>
      </c>
      <c r="E729" s="488" t="inlineStr">
        <is>
          <t xml:space="preserve">un </t>
        </is>
      </c>
      <c r="F729" s="416" t="n"/>
    </row>
    <row r="730">
      <c r="F730" s="542" t="n"/>
    </row>
    <row r="731">
      <c r="C731" s="491" t="inlineStr">
        <is>
          <t>LARGUEROS</t>
        </is>
      </c>
      <c r="G731" s="552" t="n"/>
      <c r="H731" s="553" t="n"/>
      <c r="J731" s="554" t="n"/>
    </row>
    <row r="733">
      <c r="C733" s="470" t="inlineStr">
        <is>
          <t>VT-1 (2"x6")</t>
        </is>
      </c>
      <c r="D733" s="412">
        <f>I733</f>
        <v/>
      </c>
      <c r="E733" s="413" t="inlineStr">
        <is>
          <t xml:space="preserve">m </t>
        </is>
      </c>
      <c r="G733" s="552" t="n"/>
      <c r="H733" s="555" t="n"/>
      <c r="I733" s="555" t="n"/>
      <c r="J733" s="555" t="n"/>
    </row>
    <row r="734">
      <c r="C734" s="470" t="inlineStr">
        <is>
          <t>VT-2 (2"x4")</t>
        </is>
      </c>
      <c r="D734" s="412" t="n">
        <v>0</v>
      </c>
      <c r="E734" s="413" t="inlineStr">
        <is>
          <t xml:space="preserve">m </t>
        </is>
      </c>
      <c r="F734" s="416" t="n"/>
      <c r="G734" s="552" t="n"/>
      <c r="H734" s="552" t="n"/>
      <c r="I734" s="552" t="n"/>
    </row>
    <row r="735">
      <c r="C735" s="486" t="inlineStr">
        <is>
          <t xml:space="preserve"># Tubos 2" x 6" </t>
        </is>
      </c>
      <c r="D735" s="487">
        <f>D733*1.1/6</f>
        <v/>
      </c>
      <c r="E735" s="488" t="inlineStr">
        <is>
          <t xml:space="preserve">un </t>
        </is>
      </c>
      <c r="F735" s="542" t="n"/>
      <c r="G735" s="556" t="n"/>
      <c r="H735" s="556" t="n"/>
      <c r="I735" s="556" t="n"/>
    </row>
    <row r="736">
      <c r="C736" s="486" t="inlineStr">
        <is>
          <t xml:space="preserve"># Tubos 2" x 4" </t>
        </is>
      </c>
      <c r="D736" s="487">
        <f>D734*1.1/6</f>
        <v/>
      </c>
      <c r="E736" s="488" t="inlineStr">
        <is>
          <t xml:space="preserve">un </t>
        </is>
      </c>
      <c r="F736" s="416" t="n"/>
      <c r="G736" s="552" t="n"/>
      <c r="H736" s="552" t="n"/>
      <c r="I736" s="552" t="n"/>
    </row>
    <row r="738">
      <c r="C738" s="491" t="inlineStr">
        <is>
          <t xml:space="preserve">CLAVADORES </t>
        </is>
      </c>
      <c r="F738" s="542" t="n"/>
    </row>
    <row r="739">
      <c r="F739" s="542" t="n"/>
    </row>
    <row r="740">
      <c r="C740" s="557" t="inlineStr">
        <is>
          <t xml:space="preserve"># CLAVADORES </t>
        </is>
      </c>
      <c r="D740" s="412">
        <f>38.5+19.4</f>
        <v/>
      </c>
      <c r="E740" s="413" t="inlineStr">
        <is>
          <t>m</t>
        </is>
      </c>
      <c r="F740" s="416" t="n"/>
    </row>
    <row r="741">
      <c r="C741" s="486" t="inlineStr">
        <is>
          <t xml:space="preserve"># Tubos 2" x 2" CLAVADORES  HG </t>
        </is>
      </c>
      <c r="D741" s="487">
        <f>(D740/6)*1.1</f>
        <v/>
      </c>
      <c r="E741" s="488" t="inlineStr">
        <is>
          <t xml:space="preserve">un </t>
        </is>
      </c>
      <c r="F741" s="416" t="n"/>
    </row>
    <row r="742">
      <c r="F742" s="542" t="n"/>
    </row>
    <row r="743">
      <c r="C743" s="491" t="inlineStr">
        <is>
          <t>APOYOS</t>
        </is>
      </c>
      <c r="F743" s="542" t="n"/>
    </row>
    <row r="745">
      <c r="C745" s="557" t="inlineStr">
        <is>
          <t>APT-1</t>
        </is>
      </c>
      <c r="D745" s="412" t="n">
        <v>15</v>
      </c>
      <c r="E745" s="413" t="inlineStr">
        <is>
          <t>u</t>
        </is>
      </c>
      <c r="F745" s="416" t="n"/>
    </row>
    <row r="746">
      <c r="C746" s="557" t="inlineStr">
        <is>
          <t>APT-2</t>
        </is>
      </c>
      <c r="D746" s="412" t="n">
        <v>19</v>
      </c>
      <c r="E746" s="413" t="inlineStr">
        <is>
          <t>u</t>
        </is>
      </c>
      <c r="F746" s="543" t="n"/>
    </row>
    <row r="747">
      <c r="C747" s="557" t="inlineStr">
        <is>
          <t>APT-3</t>
        </is>
      </c>
      <c r="D747" s="412" t="n">
        <v>0</v>
      </c>
      <c r="E747" s="413" t="inlineStr">
        <is>
          <t>u</t>
        </is>
      </c>
      <c r="F747" s="543" t="n"/>
    </row>
    <row r="748">
      <c r="C748" s="557" t="inlineStr">
        <is>
          <t>APT-4</t>
        </is>
      </c>
      <c r="D748" s="412" t="n">
        <v>0</v>
      </c>
      <c r="E748" s="413" t="inlineStr">
        <is>
          <t>u</t>
        </is>
      </c>
      <c r="F748" s="543" t="n"/>
    </row>
    <row r="749">
      <c r="C749" s="557" t="inlineStr">
        <is>
          <t>APT-5</t>
        </is>
      </c>
      <c r="D749" s="412" t="n">
        <v>0</v>
      </c>
      <c r="E749" s="413" t="inlineStr">
        <is>
          <t>u</t>
        </is>
      </c>
    </row>
    <row r="750">
      <c r="C750" s="557" t="inlineStr">
        <is>
          <t>Apoyo de clavadores en tapichel</t>
        </is>
      </c>
      <c r="D750" s="412" t="n">
        <v>0</v>
      </c>
      <c r="E750" s="413" t="inlineStr">
        <is>
          <t>m</t>
        </is>
      </c>
    </row>
    <row r="752">
      <c r="C752" s="486" t="inlineStr">
        <is>
          <t>Platina HN 100x4,75mm</t>
        </is>
      </c>
      <c r="D752" s="487" t="n">
        <v>6</v>
      </c>
      <c r="E752" s="488" t="inlineStr">
        <is>
          <t>m</t>
        </is>
      </c>
      <c r="F752" s="416" t="n"/>
    </row>
    <row r="753">
      <c r="C753" s="486" t="inlineStr">
        <is>
          <t>Varilla #3</t>
        </is>
      </c>
      <c r="D753" s="487">
        <f>+D745*1+D746*1+D747*1+D748*1+D749*1</f>
        <v/>
      </c>
      <c r="E753" s="488" t="inlineStr">
        <is>
          <t>m</t>
        </is>
      </c>
      <c r="F753" s="416" t="n"/>
    </row>
    <row r="754">
      <c r="C754" s="486" t="inlineStr">
        <is>
          <t>Varilla #4</t>
        </is>
      </c>
      <c r="D754" s="487">
        <f>+D745*0.8+D746*0.6+D747*0.6+D748*0.5+D749*0.8</f>
        <v/>
      </c>
      <c r="E754" s="488" t="inlineStr">
        <is>
          <t>m</t>
        </is>
      </c>
      <c r="F754" s="416" t="n"/>
    </row>
    <row r="755">
      <c r="C755" s="486" t="inlineStr">
        <is>
          <t>Perno #4 con tuerca y arandela</t>
        </is>
      </c>
      <c r="D755" s="487">
        <f>ROUNDUP(D750/0.4,0)</f>
        <v/>
      </c>
      <c r="E755" s="488" t="inlineStr">
        <is>
          <t>u</t>
        </is>
      </c>
      <c r="F755" s="543" t="n"/>
    </row>
    <row r="756">
      <c r="C756" s="486" t="inlineStr">
        <is>
          <t>Angular 50x50x3mm</t>
        </is>
      </c>
      <c r="D756" s="487">
        <f>+D750</f>
        <v/>
      </c>
      <c r="E756" s="488" t="inlineStr">
        <is>
          <t>m</t>
        </is>
      </c>
    </row>
    <row r="757">
      <c r="C757" s="486" t="inlineStr">
        <is>
          <t>Epoxico Hilti RE-500 (Anchor MAX 200)</t>
        </is>
      </c>
      <c r="D757" s="487">
        <f>+D755/12</f>
        <v/>
      </c>
      <c r="E757" s="488" t="inlineStr">
        <is>
          <t>cartuchos</t>
        </is>
      </c>
    </row>
    <row r="759">
      <c r="C759" s="491" t="inlineStr">
        <is>
          <t xml:space="preserve">PRECINTA </t>
        </is>
      </c>
    </row>
    <row r="761">
      <c r="C761" s="557" t="inlineStr">
        <is>
          <t>TUBO 3" X 3" (PERIMETRO Y VERTICALES)</t>
        </is>
      </c>
      <c r="D761" s="412" t="n"/>
      <c r="E761" s="455" t="inlineStr">
        <is>
          <t xml:space="preserve">m </t>
        </is>
      </c>
      <c r="F761" s="416" t="n"/>
    </row>
    <row r="762">
      <c r="B762" s="478" t="inlineStr">
        <is>
          <t>M01-0066</t>
        </is>
      </c>
      <c r="C762" s="557" t="inlineStr">
        <is>
          <t>TUBO 1X1X1.8MM H.N.</t>
        </is>
      </c>
      <c r="D762" s="412">
        <f>27.5+9.5</f>
        <v/>
      </c>
      <c r="E762" s="455" t="inlineStr">
        <is>
          <t xml:space="preserve">m </t>
        </is>
      </c>
    </row>
    <row r="763">
      <c r="C763" s="486" t="inlineStr">
        <is>
          <t xml:space="preserve"># Tubos 3" x 3" HG </t>
        </is>
      </c>
      <c r="D763" s="487">
        <f>(D761/6)*1.1</f>
        <v/>
      </c>
      <c r="E763" s="488" t="inlineStr">
        <is>
          <t xml:space="preserve">un </t>
        </is>
      </c>
      <c r="F763" s="416" t="n"/>
    </row>
    <row r="764">
      <c r="E764" s="481" t="n"/>
    </row>
    <row r="765">
      <c r="C765" s="557" t="inlineStr">
        <is>
          <t>TUBO 2" X 2" (DIAGONALES)</t>
        </is>
      </c>
      <c r="D765" s="412" t="n">
        <v>0</v>
      </c>
      <c r="E765" s="455" t="inlineStr">
        <is>
          <t xml:space="preserve">m </t>
        </is>
      </c>
      <c r="F765" s="416" t="n"/>
    </row>
    <row r="766">
      <c r="E766" s="481" t="n"/>
    </row>
    <row r="767">
      <c r="C767" s="486" t="inlineStr">
        <is>
          <t xml:space="preserve"># Tubos 2" x 2" HG </t>
        </is>
      </c>
      <c r="D767" s="487">
        <f>(D765/6)*1.1</f>
        <v/>
      </c>
      <c r="E767" s="488" t="inlineStr">
        <is>
          <t xml:space="preserve">un </t>
        </is>
      </c>
    </row>
    <row r="769">
      <c r="G769" s="542" t="n"/>
      <c r="H769" s="558" t="n"/>
      <c r="I769" s="542" t="n"/>
      <c r="J769" s="559" t="n"/>
    </row>
    <row r="770">
      <c r="A770" s="419" t="inlineStr">
        <is>
          <t>.</t>
        </is>
      </c>
      <c r="B770" s="469" t="n"/>
      <c r="C770" s="487" t="inlineStr">
        <is>
          <t>Elemento</t>
        </is>
      </c>
      <c r="D770" s="487" t="inlineStr">
        <is>
          <t>Cantidad de tubo</t>
        </is>
      </c>
      <c r="E770" s="487" t="inlineStr">
        <is>
          <t>Peso</t>
        </is>
      </c>
      <c r="F770" s="487" t="inlineStr">
        <is>
          <t>Redondeo</t>
        </is>
      </c>
      <c r="G770" s="543" t="n"/>
      <c r="J770" s="481" t="n"/>
    </row>
    <row r="771">
      <c r="B771" s="476" t="n"/>
      <c r="C771" s="486" t="inlineStr">
        <is>
          <t># Tubos 2" x 6" x 1,8mm HG</t>
        </is>
      </c>
      <c r="D771" s="487">
        <f>D735</f>
        <v/>
      </c>
      <c r="E771" s="487">
        <f>+D771*6*0.3*0.0018*7850</f>
        <v/>
      </c>
      <c r="F771" s="487">
        <f>ROUNDUP(D771,0)</f>
        <v/>
      </c>
      <c r="G771" s="543" t="n"/>
      <c r="J771" s="481" t="n"/>
    </row>
    <row r="772">
      <c r="B772" s="476" t="inlineStr">
        <is>
          <t>M01-0098</t>
        </is>
      </c>
      <c r="C772" s="486" t="inlineStr">
        <is>
          <t># Tubos 2" x 4" x 1,8mm HG</t>
        </is>
      </c>
      <c r="D772" s="487">
        <f>+D729+D736</f>
        <v/>
      </c>
      <c r="E772" s="487">
        <f>+D772*6*0.3*0.0018*7850</f>
        <v/>
      </c>
      <c r="F772" s="487">
        <f>ROUNDUP(D772,0)</f>
        <v/>
      </c>
      <c r="G772" s="416" t="n"/>
      <c r="J772" s="481" t="n"/>
    </row>
    <row r="773">
      <c r="B773" s="476" t="inlineStr">
        <is>
          <t>M01-0096</t>
        </is>
      </c>
      <c r="C773" s="486" t="inlineStr">
        <is>
          <t># Tubos 3" x 3" x 1,8mm HG</t>
        </is>
      </c>
      <c r="D773" s="487">
        <f>+D763</f>
        <v/>
      </c>
      <c r="E773" s="487">
        <f>+D773*6*0.3*0.0018*7850</f>
        <v/>
      </c>
      <c r="F773" s="487">
        <f>ROUNDUP(D773,0)</f>
        <v/>
      </c>
      <c r="G773" s="416" t="n"/>
    </row>
    <row r="774">
      <c r="B774" s="476" t="inlineStr">
        <is>
          <t>M01-0097</t>
        </is>
      </c>
      <c r="C774" s="486" t="inlineStr">
        <is>
          <t># Tubos 2" x 2" x 1,8mm HG</t>
        </is>
      </c>
      <c r="D774" s="487">
        <f>+D767+D741</f>
        <v/>
      </c>
      <c r="E774" s="487">
        <f>+D774*6*0.2*0.0018*7850</f>
        <v/>
      </c>
      <c r="F774" s="487">
        <f>ROUNDUP(D774,0)</f>
        <v/>
      </c>
      <c r="G774" s="416" t="n"/>
    </row>
    <row r="775">
      <c r="B775" s="476" t="inlineStr">
        <is>
          <t>M01-0066</t>
        </is>
      </c>
      <c r="C775" s="486" t="inlineStr">
        <is>
          <t>TUBO 1X1X1.8MM H.N.</t>
        </is>
      </c>
      <c r="D775" s="487">
        <f>D762/6*1.1</f>
        <v/>
      </c>
      <c r="E775" s="487">
        <f>+D775*6*0.2*0.0018*7850</f>
        <v/>
      </c>
      <c r="F775" s="487">
        <f>ROUNDUP(D775,0)</f>
        <v/>
      </c>
      <c r="G775" s="416" t="n"/>
    </row>
    <row r="776">
      <c r="B776" s="476" t="inlineStr">
        <is>
          <t>M01-0009</t>
        </is>
      </c>
      <c r="C776" s="486" t="inlineStr">
        <is>
          <t>Platina HN 100x4,75mm</t>
        </is>
      </c>
      <c r="D776" s="487">
        <f>+D752/6</f>
        <v/>
      </c>
      <c r="E776" s="487">
        <f>+D776*6*0.1*0.00475*7850</f>
        <v/>
      </c>
      <c r="F776" s="487">
        <f>ROUNDUP(D776,0)</f>
        <v/>
      </c>
      <c r="G776" s="543" t="n"/>
    </row>
    <row r="777">
      <c r="B777" s="476" t="inlineStr">
        <is>
          <t>M01-0010</t>
        </is>
      </c>
      <c r="C777" s="486" t="inlineStr">
        <is>
          <t>Platina HN 100x4,75mm</t>
        </is>
      </c>
      <c r="D777" s="487" t="n">
        <v>1</v>
      </c>
      <c r="E777" s="487">
        <f>+D777*6*0.1*0.00475*7850</f>
        <v/>
      </c>
      <c r="F777" s="487">
        <f>ROUNDUP(D777,0)</f>
        <v/>
      </c>
      <c r="G777" s="543" t="n"/>
    </row>
    <row r="778">
      <c r="B778" s="476" t="inlineStr">
        <is>
          <t>M01-0018</t>
        </is>
      </c>
      <c r="C778" s="551">
        <f>_xlfn.XLOOKUP(B778,'BASE DATOS PRECIOS '!B:B,'BASE DATOS PRECIOS '!E:E,0,0,1)</f>
        <v/>
      </c>
      <c r="D778" s="487" t="n">
        <v>1</v>
      </c>
      <c r="E778" s="487">
        <f>+D778*6*0.1*0.00475*7850</f>
        <v/>
      </c>
      <c r="F778" s="487">
        <f>ROUNDUP(D778,0)</f>
        <v/>
      </c>
      <c r="G778" s="543" t="n"/>
    </row>
    <row r="779">
      <c r="B779" s="476" t="inlineStr">
        <is>
          <t>M01-0147</t>
        </is>
      </c>
      <c r="C779" s="486" t="inlineStr">
        <is>
          <t>Varilla #3 G40</t>
        </is>
      </c>
      <c r="D779" s="487">
        <f>+D753/6</f>
        <v/>
      </c>
      <c r="E779" s="487">
        <f>+D779*6*0.56</f>
        <v/>
      </c>
      <c r="F779" s="487">
        <f>ROUNDUP(D779,0)</f>
        <v/>
      </c>
    </row>
    <row r="780">
      <c r="B780" s="476" t="inlineStr">
        <is>
          <t>M01-0148</t>
        </is>
      </c>
      <c r="C780" s="486" t="inlineStr">
        <is>
          <t>Varilla #4</t>
        </is>
      </c>
      <c r="D780" s="487">
        <f>+D754/6</f>
        <v/>
      </c>
      <c r="E780" s="487">
        <f>+D780*6*0.994</f>
        <v/>
      </c>
      <c r="F780" s="487">
        <f>ROUNDUP(D780,0)</f>
        <v/>
      </c>
    </row>
    <row r="781">
      <c r="B781" s="476" t="n"/>
      <c r="C781" s="486" t="n"/>
      <c r="D781" s="560" t="inlineStr">
        <is>
          <t>Peso total de acero</t>
        </is>
      </c>
      <c r="E781" s="487">
        <f>SUM(E771:E780)</f>
        <v/>
      </c>
      <c r="F781" s="487" t="n"/>
    </row>
    <row r="782">
      <c r="B782" s="469" t="n"/>
      <c r="C782" s="476" t="inlineStr">
        <is>
          <t>M01-0055</t>
        </is>
      </c>
      <c r="D782" s="488" t="inlineStr">
        <is>
          <t>Soldadura</t>
        </is>
      </c>
      <c r="E782" s="487">
        <f>+E781*2.2/550</f>
        <v/>
      </c>
      <c r="F782" s="487">
        <f>ROUNDUP(E782,0)</f>
        <v/>
      </c>
    </row>
    <row r="783">
      <c r="B783" s="469" t="n"/>
      <c r="C783" s="476" t="inlineStr">
        <is>
          <t>M08-0037</t>
        </is>
      </c>
      <c r="D783" s="488" t="inlineStr">
        <is>
          <t>Disco corte</t>
        </is>
      </c>
      <c r="E783" s="487" t="n">
        <v>15</v>
      </c>
      <c r="F783" s="487">
        <f>ROUNDUP(E783,0)</f>
        <v/>
      </c>
    </row>
    <row r="784">
      <c r="B784" s="469" t="n"/>
      <c r="C784" s="476" t="inlineStr">
        <is>
          <t>M11-0019</t>
        </is>
      </c>
      <c r="D784" s="488" t="inlineStr">
        <is>
          <t>Thinner</t>
        </is>
      </c>
      <c r="E784" s="487">
        <f>+E782/2</f>
        <v/>
      </c>
      <c r="F784" s="487">
        <f>ROUNDUP(E784,0)</f>
        <v/>
      </c>
    </row>
    <row r="785">
      <c r="B785" s="469" t="n"/>
      <c r="C785" s="476" t="inlineStr">
        <is>
          <t>M06-0231</t>
        </is>
      </c>
      <c r="D785" s="488" t="inlineStr">
        <is>
          <t>Mecha</t>
        </is>
      </c>
      <c r="E785" s="487">
        <f>+E784</f>
        <v/>
      </c>
      <c r="F785" s="487">
        <f>ROUNDUP(E785,0)</f>
        <v/>
      </c>
    </row>
    <row r="786">
      <c r="B786" s="469" t="n"/>
      <c r="C786" s="476" t="inlineStr">
        <is>
          <t>M11-0002</t>
        </is>
      </c>
      <c r="D786" s="488" t="inlineStr">
        <is>
          <t>Brocha corriente 3"</t>
        </is>
      </c>
      <c r="E786" s="487">
        <f>+SUM(F772:F776)/10</f>
        <v/>
      </c>
      <c r="F786" s="487">
        <f>ROUNDUP(E786,0)</f>
        <v/>
      </c>
    </row>
    <row r="787">
      <c r="B787" s="469" t="n"/>
      <c r="C787" s="476" t="inlineStr">
        <is>
          <t>M11-0066</t>
        </is>
      </c>
      <c r="D787" s="488" t="inlineStr">
        <is>
          <t>Anticorrosivo minio galon</t>
        </is>
      </c>
      <c r="E787" s="487" t="n">
        <v>2</v>
      </c>
      <c r="F787" s="487">
        <f>ROUNDUP(E787,0)</f>
        <v/>
      </c>
    </row>
    <row r="788">
      <c r="B788" s="469" t="n"/>
      <c r="C788" s="476" t="inlineStr">
        <is>
          <t>M06-0526</t>
        </is>
      </c>
      <c r="D788" s="475">
        <f>_xlfn.XLOOKUP(C788,'BASE DATOS PRECIOS '!B:B,'BASE DATOS PRECIOS '!E:E,0,0,1)</f>
        <v/>
      </c>
      <c r="E788" s="487">
        <f>IF($D$24=2,2,1)</f>
        <v/>
      </c>
      <c r="F788" s="487">
        <f>ROUNDUP(E788,0)</f>
        <v/>
      </c>
    </row>
    <row r="789">
      <c r="B789" s="469" t="n"/>
      <c r="C789" s="476" t="inlineStr">
        <is>
          <t>M08-0062</t>
        </is>
      </c>
      <c r="D789" s="475">
        <f>_xlfn.XLOOKUP(C789,'BASE DATOS PRECIOS '!B:B,'BASE DATOS PRECIOS '!E:E,0,0,1)</f>
        <v/>
      </c>
      <c r="E789" s="487" t="n">
        <v>10</v>
      </c>
      <c r="F789" s="487">
        <f>ROUNDUP(E789,0)</f>
        <v/>
      </c>
    </row>
    <row r="790">
      <c r="B790" s="469" t="n"/>
      <c r="C790" s="476" t="inlineStr">
        <is>
          <t>M07-0204</t>
        </is>
      </c>
      <c r="D790" s="475">
        <f>_xlfn.XLOOKUP(C790,'BASE DATOS PRECIOS '!B:B,'BASE DATOS PRECIOS '!E:E,0,0,1)</f>
        <v/>
      </c>
      <c r="E790" s="487" t="n">
        <v>5</v>
      </c>
      <c r="F790" s="487">
        <f>ROUNDUP(E790,0)</f>
        <v/>
      </c>
    </row>
    <row r="791">
      <c r="B791" s="469" t="n"/>
      <c r="C791" s="476" t="inlineStr">
        <is>
          <t>M11-0001</t>
        </is>
      </c>
      <c r="D791" s="475">
        <f>_xlfn.XLOOKUP(C791,'BASE DATOS PRECIOS '!B:B,'BASE DATOS PRECIOS '!E:E,0,0,1)</f>
        <v/>
      </c>
      <c r="E791" s="487" t="n">
        <v>2</v>
      </c>
      <c r="F791" s="487">
        <f>ROUNDUP(E791,0)</f>
        <v/>
      </c>
    </row>
    <row r="792">
      <c r="B792" s="469" t="n"/>
      <c r="C792" s="476" t="inlineStr">
        <is>
          <t>M11-0001</t>
        </is>
      </c>
      <c r="D792" s="475">
        <f>_xlfn.XLOOKUP(C792,'BASE DATOS PRECIOS '!B:B,'BASE DATOS PRECIOS '!E:E,0,0,1)</f>
        <v/>
      </c>
      <c r="E792" s="487" t="n">
        <v>2</v>
      </c>
      <c r="F792" s="487">
        <f>ROUNDUP(E792,0)</f>
        <v/>
      </c>
    </row>
    <row r="793">
      <c r="B793" s="469" t="n"/>
      <c r="C793" s="476" t="inlineStr">
        <is>
          <t>M06-0213</t>
        </is>
      </c>
      <c r="D793" s="475">
        <f>_xlfn.XLOOKUP(C793,'BASE DATOS PRECIOS '!B:B,'BASE DATOS PRECIOS '!E:E,0,0,1)</f>
        <v/>
      </c>
      <c r="E793" s="487" t="n">
        <v>1</v>
      </c>
      <c r="F793" s="487">
        <f>ROUNDUP(E793,0)</f>
        <v/>
      </c>
    </row>
    <row r="794">
      <c r="B794" s="469" t="n"/>
      <c r="D794" s="560" t="inlineStr">
        <is>
          <t>Mano de obra</t>
        </is>
      </c>
      <c r="E794" s="489">
        <f>+E781*D174</f>
        <v/>
      </c>
      <c r="F794" s="488">
        <f>ROUND(E794/'COSTOS MO CUADRILLA'!K16,0)</f>
        <v/>
      </c>
    </row>
    <row r="797">
      <c r="C797" s="468" t="inlineStr">
        <is>
          <t>1.3.2</t>
        </is>
      </c>
      <c r="D797" s="468" t="inlineStr">
        <is>
          <t xml:space="preserve">ESTRUCTURA TECHO COCHERA </t>
        </is>
      </c>
      <c r="E797" s="468">
        <f>+D22</f>
        <v/>
      </c>
      <c r="F797" s="468" t="inlineStr">
        <is>
          <t>M2</t>
        </is>
      </c>
    </row>
    <row r="799">
      <c r="C799" s="557" t="inlineStr">
        <is>
          <t xml:space="preserve">TUBO  2" X 6"HN </t>
        </is>
      </c>
      <c r="D799" s="412" t="n">
        <v>26.4</v>
      </c>
      <c r="E799" s="455" t="inlineStr">
        <is>
          <t xml:space="preserve">m </t>
        </is>
      </c>
      <c r="F799" s="416" t="n"/>
    </row>
    <row r="800">
      <c r="C800" s="486" t="inlineStr">
        <is>
          <t xml:space="preserve"># Tubos 2" x 6" </t>
        </is>
      </c>
      <c r="D800" s="487">
        <f>D799*1.1/6</f>
        <v/>
      </c>
      <c r="E800" s="488" t="inlineStr">
        <is>
          <t xml:space="preserve">un </t>
        </is>
      </c>
      <c r="F800" s="416" t="n"/>
    </row>
    <row r="801">
      <c r="C801" s="561" t="inlineStr">
        <is>
          <t xml:space="preserve">TUBO  2" X 4"HN </t>
        </is>
      </c>
      <c r="D801" s="412" t="n">
        <v>0</v>
      </c>
      <c r="E801" s="413" t="inlineStr">
        <is>
          <t xml:space="preserve">m </t>
        </is>
      </c>
      <c r="F801" s="416" t="n"/>
    </row>
    <row r="802">
      <c r="C802" s="486" t="inlineStr">
        <is>
          <t xml:space="preserve"># Tubos 2" x 4" </t>
        </is>
      </c>
      <c r="D802" s="487">
        <f>D801*1.1/6</f>
        <v/>
      </c>
      <c r="E802" s="488" t="inlineStr">
        <is>
          <t xml:space="preserve">un </t>
        </is>
      </c>
      <c r="F802" s="416" t="n"/>
    </row>
    <row r="803">
      <c r="C803" s="557" t="inlineStr">
        <is>
          <t xml:space="preserve">TUBO  2" X 2"HN </t>
        </is>
      </c>
      <c r="D803" s="412" t="n">
        <v>21.1</v>
      </c>
      <c r="E803" s="455" t="inlineStr">
        <is>
          <t xml:space="preserve">m </t>
        </is>
      </c>
      <c r="F803" s="414" t="inlineStr">
        <is>
          <t>Clavadores</t>
        </is>
      </c>
    </row>
    <row r="804">
      <c r="C804" s="486" t="inlineStr">
        <is>
          <t xml:space="preserve"># Tubos 2" x 2" </t>
        </is>
      </c>
      <c r="D804" s="487">
        <f>D803*1.1/6</f>
        <v/>
      </c>
      <c r="E804" s="488" t="inlineStr">
        <is>
          <t xml:space="preserve">un </t>
        </is>
      </c>
      <c r="F804" s="416" t="n"/>
    </row>
    <row r="805">
      <c r="C805" s="557" t="inlineStr">
        <is>
          <t xml:space="preserve">TUBO  3" X 3"HN </t>
        </is>
      </c>
      <c r="D805" s="412" t="n">
        <v>7.8</v>
      </c>
      <c r="E805" s="455" t="inlineStr">
        <is>
          <t xml:space="preserve">m </t>
        </is>
      </c>
      <c r="F805" s="414" t="inlineStr">
        <is>
          <t>Columnas</t>
        </is>
      </c>
    </row>
    <row r="806">
      <c r="C806" s="486" t="inlineStr">
        <is>
          <t xml:space="preserve"># Tubos 3" x 3" </t>
        </is>
      </c>
      <c r="D806" s="487">
        <f>+D805*1.1/6</f>
        <v/>
      </c>
      <c r="E806" s="488" t="inlineStr">
        <is>
          <t xml:space="preserve">un </t>
        </is>
      </c>
      <c r="F806" s="416" t="n"/>
    </row>
    <row r="807">
      <c r="F807" s="542" t="n"/>
    </row>
    <row r="809">
      <c r="C809" s="491" t="inlineStr">
        <is>
          <t>APOYOS</t>
        </is>
      </c>
    </row>
    <row r="811">
      <c r="C811" s="557" t="inlineStr">
        <is>
          <t>APT-1</t>
        </is>
      </c>
      <c r="D811" s="412" t="n">
        <v>0</v>
      </c>
      <c r="E811" s="413" t="inlineStr">
        <is>
          <t>u</t>
        </is>
      </c>
      <c r="F811" s="416" t="n"/>
    </row>
    <row r="812">
      <c r="C812" s="557" t="inlineStr">
        <is>
          <t>APT-2</t>
        </is>
      </c>
      <c r="D812" s="412" t="n">
        <v>0</v>
      </c>
      <c r="E812" s="413" t="inlineStr">
        <is>
          <t>u</t>
        </is>
      </c>
    </row>
    <row r="813">
      <c r="C813" s="557" t="inlineStr">
        <is>
          <t>APT-3</t>
        </is>
      </c>
      <c r="D813" s="412" t="n">
        <v>0</v>
      </c>
      <c r="E813" s="413" t="inlineStr">
        <is>
          <t>u</t>
        </is>
      </c>
    </row>
    <row r="814">
      <c r="C814" s="557" t="inlineStr">
        <is>
          <t>APT-4</t>
        </is>
      </c>
      <c r="D814" s="412" t="n">
        <v>0</v>
      </c>
      <c r="E814" s="413" t="inlineStr">
        <is>
          <t>u</t>
        </is>
      </c>
    </row>
    <row r="815">
      <c r="C815" s="557" t="inlineStr">
        <is>
          <t>APT-5</t>
        </is>
      </c>
      <c r="D815" s="412" t="n">
        <v>0</v>
      </c>
      <c r="E815" s="413" t="inlineStr">
        <is>
          <t>u</t>
        </is>
      </c>
    </row>
    <row r="816">
      <c r="C816" s="557" t="inlineStr">
        <is>
          <t>Apoyo de clavadores en tapichel</t>
        </is>
      </c>
      <c r="D816" s="412" t="n">
        <v>0</v>
      </c>
      <c r="E816" s="413" t="inlineStr">
        <is>
          <t>m</t>
        </is>
      </c>
    </row>
    <row r="817">
      <c r="E817" s="481" t="n"/>
    </row>
    <row r="818">
      <c r="C818" s="486" t="inlineStr">
        <is>
          <t>Platina HN 100x4,75mm</t>
        </is>
      </c>
      <c r="D818" s="487">
        <f>+D811*0.12+D812*0.2+D813*0.2+D814*0.1+D815*0.25</f>
        <v/>
      </c>
      <c r="E818" s="488" t="inlineStr">
        <is>
          <t>m</t>
        </is>
      </c>
    </row>
    <row r="819">
      <c r="C819" s="486" t="inlineStr">
        <is>
          <t>Varilla #3</t>
        </is>
      </c>
      <c r="D819" s="487">
        <f>+D811*1+D812*1+D813*1+D814*1+D815*1</f>
        <v/>
      </c>
      <c r="E819" s="488" t="inlineStr">
        <is>
          <t>m</t>
        </is>
      </c>
    </row>
    <row r="820">
      <c r="B820" s="469" t="n"/>
      <c r="C820" s="486" t="inlineStr">
        <is>
          <t>Varilla #4</t>
        </is>
      </c>
      <c r="D820" s="487">
        <f>+D811*0.8+D812*0.6+D813*0.6+D814*0.5+D815*0.8</f>
        <v/>
      </c>
      <c r="E820" s="488" t="inlineStr">
        <is>
          <t>m</t>
        </is>
      </c>
    </row>
    <row r="821">
      <c r="B821" s="469" t="n"/>
      <c r="C821" s="486" t="inlineStr">
        <is>
          <t>Perno #4 con tuerca y arandela</t>
        </is>
      </c>
      <c r="D821" s="487">
        <f>ROUNDUP(D816/0.4,0)</f>
        <v/>
      </c>
      <c r="E821" s="488" t="inlineStr">
        <is>
          <t>u</t>
        </is>
      </c>
    </row>
    <row r="822">
      <c r="B822" s="469" t="n"/>
      <c r="C822" s="486" t="inlineStr">
        <is>
          <t>Angular 50x50x3mm</t>
        </is>
      </c>
      <c r="D822" s="487">
        <f>+D816</f>
        <v/>
      </c>
      <c r="E822" s="488" t="inlineStr">
        <is>
          <t>m</t>
        </is>
      </c>
    </row>
    <row r="823">
      <c r="B823" s="469" t="n"/>
      <c r="C823" s="486" t="inlineStr">
        <is>
          <t>Epoxico Hilti RE-500 (Anchor MAX 200)</t>
        </is>
      </c>
      <c r="D823" s="487">
        <f>+D821/12</f>
        <v/>
      </c>
      <c r="E823" s="488" t="inlineStr">
        <is>
          <t>cartuchos</t>
        </is>
      </c>
    </row>
    <row r="826">
      <c r="B826" s="469" t="n"/>
      <c r="C826" s="487" t="n"/>
      <c r="D826" s="487" t="inlineStr">
        <is>
          <t>Cantidad de tubo</t>
        </is>
      </c>
      <c r="E826" s="487" t="inlineStr">
        <is>
          <t>Peso</t>
        </is>
      </c>
      <c r="F826" s="487" t="inlineStr">
        <is>
          <t>Redondeo</t>
        </is>
      </c>
      <c r="G826" s="487" t="inlineStr">
        <is>
          <t>Superficie</t>
        </is>
      </c>
    </row>
    <row r="827">
      <c r="B827" s="476" t="inlineStr">
        <is>
          <t>M01-0071</t>
        </is>
      </c>
      <c r="C827" s="486" t="inlineStr">
        <is>
          <t># Tubos 2" x 6" x 1,8mm</t>
        </is>
      </c>
      <c r="D827" s="487">
        <f>+D800</f>
        <v/>
      </c>
      <c r="E827" s="487">
        <f>+D827*6*0.4*0.0018*7850</f>
        <v/>
      </c>
      <c r="F827" s="487">
        <f>ROUNDUP(D827,0)</f>
        <v/>
      </c>
      <c r="G827" s="487">
        <f>+D827*0.4*6</f>
        <v/>
      </c>
      <c r="H827" s="416" t="n"/>
    </row>
    <row r="828">
      <c r="B828" s="476" t="inlineStr">
        <is>
          <t>M01-0073</t>
        </is>
      </c>
      <c r="C828" s="486" t="inlineStr">
        <is>
          <t># Tubos 3" x 3" x 1,8mm</t>
        </is>
      </c>
      <c r="D828" s="487">
        <f>+D806</f>
        <v/>
      </c>
      <c r="E828" s="487">
        <f>+D828*6*0.3*0.0018*7850</f>
        <v/>
      </c>
      <c r="F828" s="487">
        <f>ROUNDUP(D828,0)</f>
        <v/>
      </c>
      <c r="G828" s="487">
        <f>+D828*0.3*6</f>
        <v/>
      </c>
      <c r="H828" s="416" t="n"/>
    </row>
    <row r="829">
      <c r="B829" s="476" t="inlineStr">
        <is>
          <t>M01-0069</t>
        </is>
      </c>
      <c r="C829" s="486" t="inlineStr">
        <is>
          <t># Tubos 2" x 2" x 1,8mm</t>
        </is>
      </c>
      <c r="D829" s="487">
        <f>+D804</f>
        <v/>
      </c>
      <c r="E829" s="487">
        <f>+D829*6*0.2*0.0018*7850</f>
        <v/>
      </c>
      <c r="F829" s="487">
        <f>ROUNDUP(D829,0)</f>
        <v/>
      </c>
      <c r="G829" s="487">
        <f>+D829*0.2*6</f>
        <v/>
      </c>
      <c r="H829" s="416" t="n"/>
    </row>
    <row r="830">
      <c r="B830" s="476" t="inlineStr">
        <is>
          <t>M01-0070</t>
        </is>
      </c>
      <c r="C830" s="486" t="inlineStr">
        <is>
          <t># Tubos 2" x 4" x 1,8mm HG</t>
        </is>
      </c>
      <c r="D830" s="487">
        <f>+D802</f>
        <v/>
      </c>
      <c r="E830" s="487">
        <f>+D830*6*0.3*0.0018*7850</f>
        <v/>
      </c>
      <c r="F830" s="487">
        <f>ROUNDUP(D830,0)</f>
        <v/>
      </c>
      <c r="G830" s="487">
        <f>+D830*0.2*6</f>
        <v/>
      </c>
      <c r="H830" s="416" t="n"/>
    </row>
    <row r="831">
      <c r="B831" s="476" t="inlineStr">
        <is>
          <t>M01-0009</t>
        </is>
      </c>
      <c r="C831" s="486" t="inlineStr">
        <is>
          <t>Platina HN 100x4,75mm</t>
        </is>
      </c>
      <c r="D831" s="487">
        <f>+D818/6</f>
        <v/>
      </c>
      <c r="E831" s="487">
        <f>+D831*6*0.1*0.00475*7850</f>
        <v/>
      </c>
      <c r="F831" s="487">
        <f>ROUNDUP(D831,0)</f>
        <v/>
      </c>
      <c r="G831" s="487">
        <f>+D831*6*0.2</f>
        <v/>
      </c>
    </row>
    <row r="832">
      <c r="B832" s="476" t="inlineStr">
        <is>
          <t>M01-0147</t>
        </is>
      </c>
      <c r="C832" s="486" t="inlineStr">
        <is>
          <t>Varilla #3 G60</t>
        </is>
      </c>
      <c r="D832" s="487">
        <f>+D819/6</f>
        <v/>
      </c>
      <c r="E832" s="487">
        <f>+D832*6*0.56</f>
        <v/>
      </c>
      <c r="F832" s="487">
        <f>ROUNDUP(D832,0)</f>
        <v/>
      </c>
      <c r="G832" s="487" t="n"/>
    </row>
    <row r="833">
      <c r="B833" s="476" t="inlineStr">
        <is>
          <t>M01-0148</t>
        </is>
      </c>
      <c r="C833" s="486" t="inlineStr">
        <is>
          <t>Varilla #4</t>
        </is>
      </c>
      <c r="D833" s="488">
        <f>+D820/6</f>
        <v/>
      </c>
      <c r="E833" s="487">
        <f>+D833*6*0.994</f>
        <v/>
      </c>
      <c r="F833" s="487">
        <f>ROUNDUP(D833,0)</f>
        <v/>
      </c>
      <c r="G833" s="487" t="n"/>
    </row>
    <row r="834">
      <c r="B834" s="469" t="n"/>
      <c r="C834" s="562" t="n"/>
      <c r="D834" s="560" t="inlineStr">
        <is>
          <t>Peso total de acero</t>
        </is>
      </c>
      <c r="E834" s="563">
        <f>SUM(E827:E830)</f>
        <v/>
      </c>
      <c r="F834" s="563" t="inlineStr">
        <is>
          <t>Superficie total</t>
        </is>
      </c>
      <c r="G834" s="563">
        <f>SUM(G827:G833)</f>
        <v/>
      </c>
    </row>
    <row r="835">
      <c r="B835" s="469" t="n"/>
      <c r="C835" s="476" t="inlineStr">
        <is>
          <t>M01-0055</t>
        </is>
      </c>
      <c r="D835" s="488" t="inlineStr">
        <is>
          <t>Soldadura</t>
        </is>
      </c>
      <c r="E835" s="487">
        <f>+E834*2.2/550</f>
        <v/>
      </c>
      <c r="F835" s="487">
        <f>ROUND(E835,0)</f>
        <v/>
      </c>
    </row>
    <row r="836">
      <c r="B836" s="469" t="n"/>
      <c r="C836" s="476" t="inlineStr">
        <is>
          <t>M08-0037 + M08-0043 + M08-0044 + M08-0051</t>
        </is>
      </c>
      <c r="D836" s="488" t="inlineStr">
        <is>
          <t>Disco corte</t>
        </is>
      </c>
      <c r="E836" s="487">
        <f>+E835</f>
        <v/>
      </c>
      <c r="F836" s="487">
        <f>ROUND(E836,0)</f>
        <v/>
      </c>
    </row>
    <row r="837">
      <c r="B837" s="469" t="n"/>
      <c r="C837" s="476" t="inlineStr">
        <is>
          <t>M11-0019</t>
        </is>
      </c>
      <c r="D837" s="488" t="inlineStr">
        <is>
          <t>Thinner</t>
        </is>
      </c>
      <c r="E837" s="487">
        <f>+E836</f>
        <v/>
      </c>
      <c r="F837" s="487">
        <f>ROUND(E837,0)</f>
        <v/>
      </c>
    </row>
    <row r="838">
      <c r="B838" s="469" t="n"/>
      <c r="C838" s="476" t="inlineStr">
        <is>
          <t>M06-0231</t>
        </is>
      </c>
      <c r="D838" s="488" t="inlineStr">
        <is>
          <t>Mecha</t>
        </is>
      </c>
      <c r="E838" s="487">
        <f>+E837</f>
        <v/>
      </c>
      <c r="F838" s="487">
        <f>ROUND(E838,0)</f>
        <v/>
      </c>
    </row>
    <row r="839">
      <c r="B839" s="469" t="n"/>
      <c r="C839" s="476" t="inlineStr">
        <is>
          <t>M11-0066, M11-0077</t>
        </is>
      </c>
      <c r="D839" s="488" t="inlineStr">
        <is>
          <t>Pintura</t>
        </is>
      </c>
      <c r="E839" s="487">
        <f>+G834/25</f>
        <v/>
      </c>
      <c r="F839" s="487">
        <f>ROUNDUP(E839,0)</f>
        <v/>
      </c>
    </row>
    <row r="840">
      <c r="B840" s="469" t="n"/>
      <c r="C840" s="476" t="inlineStr">
        <is>
          <t>M11-0002</t>
        </is>
      </c>
      <c r="D840" s="488" t="inlineStr">
        <is>
          <t xml:space="preserve"> Brocha corriente 3" </t>
        </is>
      </c>
      <c r="E840" s="487">
        <f>+SUM(F827:F831)/10</f>
        <v/>
      </c>
      <c r="F840" s="487">
        <f>ROUNDUP(E840,0)</f>
        <v/>
      </c>
    </row>
    <row r="841">
      <c r="B841" s="469" t="n"/>
      <c r="C841" s="476" t="inlineStr">
        <is>
          <t>M06-0008</t>
        </is>
      </c>
      <c r="D841" s="488" t="inlineStr">
        <is>
          <t xml:space="preserve"> Maxistik 590 (epoxico) </t>
        </is>
      </c>
      <c r="E841" s="487" t="n">
        <v>1</v>
      </c>
      <c r="F841" s="487">
        <f>ROUNDUP(E841,0)</f>
        <v/>
      </c>
    </row>
    <row r="842">
      <c r="B842" s="469" t="n"/>
      <c r="C842" s="476" t="inlineStr">
        <is>
          <t>M11-0063</t>
        </is>
      </c>
      <c r="D842" s="488" t="inlineStr">
        <is>
          <t xml:space="preserve"> Merula c/catalizador </t>
        </is>
      </c>
      <c r="E842" s="487" t="n">
        <v>1</v>
      </c>
      <c r="F842" s="487">
        <f>ROUNDUP(E842,0)</f>
        <v/>
      </c>
    </row>
    <row r="843">
      <c r="B843" s="469" t="n"/>
      <c r="D843" s="560" t="inlineStr">
        <is>
          <t>Mano de obra</t>
        </is>
      </c>
      <c r="E843" s="564">
        <f>+E834*D174</f>
        <v/>
      </c>
      <c r="F843" s="560">
        <f>ROUND(E843/'COSTOS MO CUADRILLA'!K17,0)</f>
        <v/>
      </c>
    </row>
    <row r="846">
      <c r="C846" s="468" t="inlineStr">
        <is>
          <t>1.3.3</t>
        </is>
      </c>
      <c r="D846" s="468" t="inlineStr">
        <is>
          <t xml:space="preserve">CUBIERTA TECHO CASA </t>
        </is>
      </c>
    </row>
    <row r="848">
      <c r="C848" s="411" t="inlineStr">
        <is>
          <t xml:space="preserve">AREA </t>
        </is>
      </c>
      <c r="D848" s="413">
        <f>+D21</f>
        <v/>
      </c>
      <c r="E848" s="413" t="inlineStr">
        <is>
          <t xml:space="preserve">m2 </t>
        </is>
      </c>
      <c r="F848" s="492" t="inlineStr">
        <is>
          <t>AREA INCLUYE UPVC, BANDEJA Y POLICARBONATO</t>
        </is>
      </c>
    </row>
    <row r="849">
      <c r="D849" s="555" t="n"/>
      <c r="E849" s="565" t="n"/>
      <c r="F849" s="543" t="n"/>
    </row>
    <row r="850">
      <c r="C850" s="471" t="inlineStr">
        <is>
          <t>Ancho de seccion de techo ANCHO DE LAMINA 60CM, APROVECHABLE 50CM</t>
        </is>
      </c>
      <c r="D850" s="471" t="inlineStr">
        <is>
          <t>Ancho total (m)</t>
        </is>
      </c>
      <c r="E850" s="566" t="inlineStr">
        <is>
          <t>Medida (largo) (m)</t>
        </is>
      </c>
      <c r="F850" s="566" t="inlineStr">
        <is>
          <t>Largo con desperdicio (m)</t>
        </is>
      </c>
      <c r="G850" s="470" t="inlineStr">
        <is>
          <t xml:space="preserve">Largo total </t>
        </is>
      </c>
    </row>
    <row r="851">
      <c r="C851" s="412" t="n">
        <v>2.26</v>
      </c>
      <c r="D851" s="567">
        <f>ROUNDUP(C851*2,0)/2</f>
        <v/>
      </c>
      <c r="E851" s="418" t="n">
        <v>1.57</v>
      </c>
      <c r="F851" s="508">
        <f>E851+0.2</f>
        <v/>
      </c>
      <c r="G851" s="413">
        <f>D851*F851</f>
        <v/>
      </c>
    </row>
    <row r="852">
      <c r="C852" s="412" t="n">
        <v>0.95</v>
      </c>
      <c r="D852" s="567">
        <f>ROUNDUP(C852*2,0)/2</f>
        <v/>
      </c>
      <c r="E852" s="418" t="n">
        <v>5.15</v>
      </c>
      <c r="F852" s="508">
        <f>E852+0.2</f>
        <v/>
      </c>
      <c r="G852" s="413">
        <f>D852*F852</f>
        <v/>
      </c>
    </row>
    <row r="853">
      <c r="C853" s="412" t="n">
        <v>2.6</v>
      </c>
      <c r="D853" s="567">
        <f>ROUNDUP(C853*2,0)/2</f>
        <v/>
      </c>
      <c r="E853" s="418" t="n">
        <v>7.4</v>
      </c>
      <c r="F853" s="508">
        <f>E853+0.2</f>
        <v/>
      </c>
      <c r="G853" s="413">
        <f>D853*F853</f>
        <v/>
      </c>
    </row>
    <row r="854">
      <c r="C854" s="412" t="n">
        <v>1.81</v>
      </c>
      <c r="D854" s="567">
        <f>ROUNDUP(C854*2,0)/2</f>
        <v/>
      </c>
      <c r="E854" s="418" t="n">
        <v>2.65</v>
      </c>
      <c r="F854" s="508">
        <f>E854+0.2</f>
        <v/>
      </c>
      <c r="G854" s="413">
        <f>D854*F854</f>
        <v/>
      </c>
    </row>
    <row r="855">
      <c r="C855" s="412" t="n">
        <v>1.5</v>
      </c>
      <c r="D855" s="567">
        <f>ROUNDUP(C855*2,0)/2</f>
        <v/>
      </c>
      <c r="E855" s="418" t="n">
        <v>2.33</v>
      </c>
      <c r="F855" s="508">
        <f>E855+0.2</f>
        <v/>
      </c>
      <c r="G855" s="413">
        <f>D855*F855</f>
        <v/>
      </c>
    </row>
    <row r="856">
      <c r="C856" s="412" t="n">
        <v>2.33</v>
      </c>
      <c r="D856" s="567">
        <f>ROUNDUP(C856*2,0)/2</f>
        <v/>
      </c>
      <c r="E856" s="418" t="n">
        <v>2.15</v>
      </c>
      <c r="F856" s="508">
        <f>E856+0.2</f>
        <v/>
      </c>
      <c r="G856" s="413">
        <f>D856*F856</f>
        <v/>
      </c>
    </row>
    <row r="857">
      <c r="C857" s="412" t="n">
        <v>5.55</v>
      </c>
      <c r="D857" s="567">
        <f>ROUNDUP(C857*2,0)/2</f>
        <v/>
      </c>
      <c r="E857" s="418" t="n">
        <v>2</v>
      </c>
      <c r="F857" s="508">
        <f>E857+0.2</f>
        <v/>
      </c>
      <c r="G857" s="413">
        <f>D857*F857</f>
        <v/>
      </c>
    </row>
    <row r="858">
      <c r="C858" s="412" t="n"/>
      <c r="D858" s="567">
        <f>ROUNDUP(C858*2,0)/2</f>
        <v/>
      </c>
      <c r="E858" s="418" t="n"/>
      <c r="F858" s="508">
        <f>E858+0.2</f>
        <v/>
      </c>
      <c r="G858" s="413">
        <f>D858*F858</f>
        <v/>
      </c>
    </row>
    <row r="859">
      <c r="C859" s="412" t="n"/>
      <c r="D859" s="567">
        <f>ROUNDUP(C859*2,0)/2</f>
        <v/>
      </c>
      <c r="E859" s="412" t="n"/>
      <c r="F859" s="508">
        <f>E859+0.2</f>
        <v/>
      </c>
      <c r="G859" s="413">
        <f>D859*F859</f>
        <v/>
      </c>
    </row>
    <row r="860">
      <c r="E860" s="46" t="n"/>
      <c r="G860" s="568">
        <f>SUM(G851:G859)</f>
        <v/>
      </c>
    </row>
    <row r="863">
      <c r="B863" s="569" t="inlineStr">
        <is>
          <t>M15-0019</t>
        </is>
      </c>
      <c r="C863" s="570" t="inlineStr">
        <is>
          <t xml:space="preserve">Total de kilos </t>
        </is>
      </c>
      <c r="D863" s="477">
        <f>G860*2.15</f>
        <v/>
      </c>
      <c r="E863" s="475" t="inlineStr">
        <is>
          <t xml:space="preserve">kg </t>
        </is>
      </c>
      <c r="F863" s="571" t="inlineStr">
        <is>
          <t>✓✓</t>
        </is>
      </c>
    </row>
    <row r="864">
      <c r="B864" s="469" t="n"/>
      <c r="E864" s="481" t="n"/>
      <c r="F864" s="543" t="n"/>
    </row>
    <row r="865">
      <c r="B865" s="469" t="n"/>
      <c r="E865" s="481" t="n"/>
      <c r="F865" s="543" t="n"/>
    </row>
    <row r="866">
      <c r="B866" s="469" t="n"/>
      <c r="E866" s="481" t="n"/>
      <c r="F866" s="543" t="n"/>
    </row>
    <row r="867">
      <c r="B867" s="469" t="n"/>
      <c r="C867" s="486" t="inlineStr">
        <is>
          <t xml:space="preserve">NOTA : 1 m equivale 2,15 kg de peso de lamina de cubierta </t>
        </is>
      </c>
      <c r="D867" s="486" t="n"/>
      <c r="E867" s="488" t="inlineStr">
        <is>
          <t xml:space="preserve">DESPERDICIO </t>
        </is>
      </c>
      <c r="F867" s="543" t="n"/>
    </row>
    <row r="868">
      <c r="B868" s="476" t="inlineStr">
        <is>
          <t>M15-0012</t>
        </is>
      </c>
      <c r="C868" s="486" t="inlineStr">
        <is>
          <t xml:space="preserve">1 clip por interseccion lamina/clavador </t>
        </is>
      </c>
      <c r="D868" s="475">
        <f>D740/0.5</f>
        <v/>
      </c>
      <c r="E868" s="490">
        <f>D868*1.28</f>
        <v/>
      </c>
      <c r="F868" s="416" t="inlineStr">
        <is>
          <t>✓✓</t>
        </is>
      </c>
    </row>
    <row r="869">
      <c r="B869" s="476" t="inlineStr">
        <is>
          <t>M06-0112</t>
        </is>
      </c>
      <c r="C869" s="486" t="inlineStr">
        <is>
          <t>2 Tornillos de 1" x clip</t>
        </is>
      </c>
      <c r="D869" s="475">
        <f>+D868*2</f>
        <v/>
      </c>
      <c r="E869" s="490">
        <f>D869*1.28</f>
        <v/>
      </c>
      <c r="F869" s="416" t="inlineStr">
        <is>
          <t>✓✓</t>
        </is>
      </c>
    </row>
    <row r="870">
      <c r="B870" s="476" t="n"/>
      <c r="E870" s="481" t="n"/>
      <c r="F870" s="543" t="n"/>
    </row>
    <row r="871">
      <c r="B871" s="476" t="n"/>
      <c r="C871" s="488" t="inlineStr">
        <is>
          <t>Elemento</t>
        </is>
      </c>
      <c r="D871" s="488" t="inlineStr">
        <is>
          <t>Cantidad</t>
        </is>
      </c>
      <c r="E871" s="488" t="inlineStr">
        <is>
          <t>Uni</t>
        </is>
      </c>
      <c r="F871" s="543" t="n"/>
    </row>
    <row r="872">
      <c r="B872" s="476" t="inlineStr">
        <is>
          <t>M15-0020</t>
        </is>
      </c>
      <c r="C872" s="497" t="inlineStr">
        <is>
          <t xml:space="preserve">Bobina acero suave blanco 4011 0.44 x 1220 mm </t>
        </is>
      </c>
      <c r="D872" s="487">
        <f>+D863</f>
        <v/>
      </c>
      <c r="E872" s="488" t="inlineStr">
        <is>
          <t>kg</t>
        </is>
      </c>
      <c r="F872" s="543" t="n"/>
    </row>
    <row r="873">
      <c r="B873" s="476" t="inlineStr">
        <is>
          <t>M15-0012</t>
        </is>
      </c>
      <c r="C873" s="497" t="inlineStr">
        <is>
          <t xml:space="preserve"> Clip esmaltado calibre 24 </t>
        </is>
      </c>
      <c r="D873" s="488">
        <f>+ROUNDUP((D868/50),0)*50</f>
        <v/>
      </c>
      <c r="E873" s="488" t="inlineStr">
        <is>
          <t>und</t>
        </is>
      </c>
      <c r="F873" s="543" t="n"/>
    </row>
    <row r="874">
      <c r="B874" s="476" t="inlineStr">
        <is>
          <t>M06-0112</t>
        </is>
      </c>
      <c r="C874" s="497" t="inlineStr">
        <is>
          <t xml:space="preserve"> Tornillo gypsum 7/16 punta fina con arandela </t>
        </is>
      </c>
      <c r="D874" s="488">
        <f>+ROUNDUP((D869/100),0)*100</f>
        <v/>
      </c>
      <c r="E874" s="488" t="inlineStr">
        <is>
          <t>und</t>
        </is>
      </c>
      <c r="F874" s="543" t="n"/>
    </row>
    <row r="875">
      <c r="B875" s="476" t="inlineStr">
        <is>
          <t>M06-0003</t>
        </is>
      </c>
      <c r="C875" s="497" t="inlineStr">
        <is>
          <t xml:space="preserve"> Duretan blanco </t>
        </is>
      </c>
      <c r="D875" s="488">
        <f>ROUNDUP(D848/50,0)</f>
        <v/>
      </c>
      <c r="E875" s="488" t="inlineStr">
        <is>
          <t>cartucho</t>
        </is>
      </c>
      <c r="F875" s="543" t="n"/>
    </row>
    <row r="876">
      <c r="B876" s="469" t="n"/>
      <c r="E876" s="481" t="n"/>
      <c r="F876" s="543" t="n"/>
    </row>
    <row r="877">
      <c r="B877" s="469" t="n"/>
      <c r="C877" s="488" t="n"/>
      <c r="D877" s="488" t="inlineStr">
        <is>
          <t>Costo</t>
        </is>
      </c>
      <c r="E877" s="488" t="inlineStr">
        <is>
          <t>Total</t>
        </is>
      </c>
      <c r="F877" s="488" t="inlineStr">
        <is>
          <t>Horas</t>
        </is>
      </c>
    </row>
    <row r="878">
      <c r="B878" s="469" t="n"/>
      <c r="C878" s="488" t="inlineStr">
        <is>
          <t>INSTALACION CUBIERTA</t>
        </is>
      </c>
      <c r="D878" s="489">
        <f>+D175</f>
        <v/>
      </c>
      <c r="E878" s="489">
        <f>+D878*D848</f>
        <v/>
      </c>
      <c r="F878" s="490">
        <f>ROUND(E878/'COSTOS MO CUADRILLA'!K18,0)</f>
        <v/>
      </c>
    </row>
    <row r="879">
      <c r="B879" s="469" t="n"/>
      <c r="C879" s="486" t="n"/>
      <c r="D879" s="488" t="inlineStr">
        <is>
          <t xml:space="preserve">Total </t>
        </is>
      </c>
      <c r="E879" s="489">
        <f>SUM(E878:E878)</f>
        <v/>
      </c>
      <c r="F879" s="490">
        <f>+E879/'COSTOS MO CUADRILLA'!K18</f>
        <v/>
      </c>
    </row>
    <row r="882">
      <c r="C882" s="468" t="inlineStr">
        <is>
          <t>1.3.4</t>
        </is>
      </c>
      <c r="D882" s="468" t="inlineStr">
        <is>
          <t xml:space="preserve">CUBIERTA TECHO COCHERA </t>
        </is>
      </c>
    </row>
    <row r="884">
      <c r="B884" s="469" t="n"/>
      <c r="C884" s="411" t="inlineStr">
        <is>
          <t>AREA UPVC</t>
        </is>
      </c>
      <c r="D884" s="412" t="n">
        <v>0</v>
      </c>
      <c r="E884" s="413" t="inlineStr">
        <is>
          <t xml:space="preserve">m2 </t>
        </is>
      </c>
      <c r="F884" s="416" t="inlineStr">
        <is>
          <t>✓✓</t>
        </is>
      </c>
    </row>
    <row r="885">
      <c r="B885" s="469" t="n"/>
      <c r="C885" s="411" t="inlineStr">
        <is>
          <t>LARGO POLICARBONATO</t>
        </is>
      </c>
      <c r="D885" s="418" t="n">
        <v>0</v>
      </c>
      <c r="E885" s="413" t="inlineStr">
        <is>
          <t>m</t>
        </is>
      </c>
      <c r="F885" s="416" t="inlineStr">
        <is>
          <t>✓✓</t>
        </is>
      </c>
    </row>
    <row r="886">
      <c r="B886" s="469" t="n"/>
      <c r="C886" s="411" t="inlineStr">
        <is>
          <t>ANCHO POLICARBONATO</t>
        </is>
      </c>
      <c r="D886" s="418" t="n">
        <v>0</v>
      </c>
      <c r="E886" s="413" t="inlineStr">
        <is>
          <t>m</t>
        </is>
      </c>
      <c r="F886" s="416" t="inlineStr">
        <is>
          <t>✓✓</t>
        </is>
      </c>
    </row>
    <row r="887">
      <c r="B887" s="469" t="n"/>
      <c r="C887" s="411" t="inlineStr">
        <is>
          <t>AREA POLICARBONATO</t>
        </is>
      </c>
      <c r="D887" s="412" t="n">
        <v>0</v>
      </c>
      <c r="E887" s="413" t="inlineStr">
        <is>
          <t xml:space="preserve">m2 </t>
        </is>
      </c>
      <c r="F887" s="416" t="inlineStr">
        <is>
          <t>✓✓</t>
        </is>
      </c>
    </row>
    <row r="888">
      <c r="B888" s="469" t="n"/>
      <c r="C888" s="411" t="inlineStr">
        <is>
          <t>AREA TOTAL</t>
        </is>
      </c>
      <c r="D888" s="413">
        <f>SUM(D884:D887)</f>
        <v/>
      </c>
      <c r="E888" s="413" t="inlineStr">
        <is>
          <t xml:space="preserve">m2 </t>
        </is>
      </c>
      <c r="F888" s="416" t="inlineStr">
        <is>
          <t>✓✓</t>
        </is>
      </c>
    </row>
    <row r="889">
      <c r="B889" s="469" t="n"/>
      <c r="E889" s="481" t="n"/>
      <c r="F889" s="543" t="n"/>
    </row>
    <row r="890">
      <c r="B890" s="469" t="n"/>
      <c r="C890" s="491" t="inlineStr">
        <is>
          <t>CUBIERTA UPVC</t>
        </is>
      </c>
      <c r="E890" s="481" t="n"/>
      <c r="F890" s="543" t="n"/>
    </row>
    <row r="891">
      <c r="B891" s="469" t="n"/>
      <c r="E891" s="481" t="n"/>
      <c r="F891" s="543" t="n"/>
    </row>
    <row r="892">
      <c r="B892" s="469" t="n"/>
      <c r="C892" s="488" t="inlineStr">
        <is>
          <t>Elemento</t>
        </is>
      </c>
      <c r="D892" s="488" t="inlineStr">
        <is>
          <t>Cantidad</t>
        </is>
      </c>
      <c r="E892" s="488" t="inlineStr">
        <is>
          <t>Uni</t>
        </is>
      </c>
      <c r="F892" s="543" t="n"/>
    </row>
    <row r="893">
      <c r="B893" s="476" t="inlineStr">
        <is>
          <t>M15-0054</t>
        </is>
      </c>
      <c r="C893" s="486" t="inlineStr">
        <is>
          <t>Lamina UPVC 1.07x11.80m</t>
        </is>
      </c>
      <c r="D893" s="488">
        <f>ROUNDUP(D884/10.86,1)</f>
        <v/>
      </c>
      <c r="E893" s="488" t="inlineStr">
        <is>
          <t>u</t>
        </is>
      </c>
      <c r="F893" s="416" t="inlineStr">
        <is>
          <t>✓✓</t>
        </is>
      </c>
    </row>
    <row r="894">
      <c r="B894" s="476" t="inlineStr">
        <is>
          <t>M06-0070</t>
        </is>
      </c>
      <c r="C894" s="486" t="inlineStr">
        <is>
          <t>Tornillo 3" con empaque para UPVC</t>
        </is>
      </c>
      <c r="D894" s="488">
        <f>ROUNDUP(D884*4,0)</f>
        <v/>
      </c>
      <c r="E894" s="488" t="inlineStr">
        <is>
          <t>u</t>
        </is>
      </c>
      <c r="F894" s="416" t="inlineStr">
        <is>
          <t>✓✓</t>
        </is>
      </c>
    </row>
    <row r="895">
      <c r="B895" s="476" t="n"/>
      <c r="E895" s="481" t="n"/>
      <c r="F895" s="543" t="n"/>
    </row>
    <row r="896">
      <c r="B896" s="476" t="n"/>
      <c r="C896" s="491" t="inlineStr">
        <is>
          <t>CUBIERTA POLICARBONATO</t>
        </is>
      </c>
      <c r="E896" s="481" t="n"/>
      <c r="F896" s="543" t="n"/>
    </row>
    <row r="897">
      <c r="B897" s="476" t="n"/>
      <c r="E897" s="481" t="n"/>
      <c r="F897" s="543" t="n"/>
    </row>
    <row r="898">
      <c r="B898" s="476" t="n"/>
      <c r="C898" s="488" t="inlineStr">
        <is>
          <t>Elemento</t>
        </is>
      </c>
      <c r="D898" s="488" t="inlineStr">
        <is>
          <t>Cantidad</t>
        </is>
      </c>
      <c r="E898" s="488" t="inlineStr">
        <is>
          <t>Uni</t>
        </is>
      </c>
      <c r="F898" s="416" t="inlineStr">
        <is>
          <t>✓✓</t>
        </is>
      </c>
    </row>
    <row r="899">
      <c r="B899" s="476" t="inlineStr">
        <is>
          <t>M15-0042</t>
        </is>
      </c>
      <c r="C899" s="486" t="inlineStr">
        <is>
          <t>Lamina policarbonato 105x1180x8mm</t>
        </is>
      </c>
      <c r="D899" s="488">
        <f>ROUNDUP(D887/11.8,1)</f>
        <v/>
      </c>
      <c r="E899" s="488" t="inlineStr">
        <is>
          <t>u</t>
        </is>
      </c>
      <c r="F899" s="416" t="inlineStr">
        <is>
          <t>✓✓</t>
        </is>
      </c>
    </row>
    <row r="900">
      <c r="B900" s="476" t="inlineStr">
        <is>
          <t>M15-0001</t>
        </is>
      </c>
      <c r="C900" s="486" t="inlineStr">
        <is>
          <t>Base aluminio para policarbonato 6.40m</t>
        </is>
      </c>
      <c r="D900" s="488">
        <f>ROUNDUP(D885/6.4,0)</f>
        <v/>
      </c>
      <c r="E900" s="488" t="inlineStr">
        <is>
          <t>u</t>
        </is>
      </c>
      <c r="F900" s="416" t="inlineStr">
        <is>
          <t>✓✓</t>
        </is>
      </c>
    </row>
    <row r="901">
      <c r="B901" s="476" t="inlineStr">
        <is>
          <t>M15-0006</t>
        </is>
      </c>
      <c r="C901" s="486" t="inlineStr">
        <is>
          <t>Tapa policarbonato humo en 11.80 metros</t>
        </is>
      </c>
      <c r="D901" s="488">
        <f>ROUNDUP(D885/11.8,0)</f>
        <v/>
      </c>
      <c r="E901" s="488" t="inlineStr">
        <is>
          <t>u</t>
        </is>
      </c>
      <c r="F901" s="416" t="inlineStr">
        <is>
          <t>✓✓</t>
        </is>
      </c>
    </row>
    <row r="902">
      <c r="B902" s="476" t="inlineStr">
        <is>
          <t>M15-0008</t>
        </is>
      </c>
      <c r="C902" s="486" t="inlineStr">
        <is>
          <t>Cinta de aluminio</t>
        </is>
      </c>
      <c r="D902" s="487">
        <f>ROUNDUP(D885,0)</f>
        <v/>
      </c>
      <c r="E902" s="488" t="inlineStr">
        <is>
          <t>m</t>
        </is>
      </c>
      <c r="F902" s="416" t="inlineStr">
        <is>
          <t>✓✓</t>
        </is>
      </c>
    </row>
    <row r="903">
      <c r="B903" s="476" t="inlineStr">
        <is>
          <t>M15-0009</t>
        </is>
      </c>
      <c r="C903" s="486" t="inlineStr">
        <is>
          <t>Cinta de ventilación</t>
        </is>
      </c>
      <c r="D903" s="487">
        <f>ROUNDUP(D885,0)</f>
        <v/>
      </c>
      <c r="E903" s="488" t="inlineStr">
        <is>
          <t>m</t>
        </is>
      </c>
      <c r="F903" s="416" t="inlineStr">
        <is>
          <t>✓✓</t>
        </is>
      </c>
    </row>
    <row r="904">
      <c r="B904" s="476" t="inlineStr">
        <is>
          <t>M15-0010</t>
        </is>
      </c>
      <c r="C904" s="486" t="inlineStr">
        <is>
          <t>Perfil tipo U para final 4.3m</t>
        </is>
      </c>
      <c r="D904" s="488">
        <f>ROUNDUP(D885*2/4.3,0)</f>
        <v/>
      </c>
      <c r="E904" s="488" t="inlineStr">
        <is>
          <t>u</t>
        </is>
      </c>
      <c r="F904" s="416" t="inlineStr">
        <is>
          <t>✓✓</t>
        </is>
      </c>
    </row>
    <row r="905">
      <c r="B905" s="476" t="inlineStr">
        <is>
          <t>M06-0070</t>
        </is>
      </c>
      <c r="C905" s="486" t="inlineStr">
        <is>
          <t>Tornillo 1" para policarbonato</t>
        </is>
      </c>
      <c r="D905" s="488">
        <f>ROUNDUP(D887*3,0)</f>
        <v/>
      </c>
      <c r="E905" s="488" t="inlineStr">
        <is>
          <t>u</t>
        </is>
      </c>
      <c r="F905" s="416" t="inlineStr">
        <is>
          <t>✓✓</t>
        </is>
      </c>
    </row>
    <row r="906">
      <c r="B906" s="469" t="n"/>
      <c r="E906" s="481" t="n"/>
    </row>
    <row r="907">
      <c r="B907" s="469" t="n"/>
      <c r="C907" s="488" t="n"/>
      <c r="D907" s="488" t="inlineStr">
        <is>
          <t>Costo</t>
        </is>
      </c>
      <c r="E907" s="488" t="inlineStr">
        <is>
          <t>Total</t>
        </is>
      </c>
      <c r="F907" s="488" t="inlineStr">
        <is>
          <t>Horas</t>
        </is>
      </c>
    </row>
    <row r="908">
      <c r="B908" s="469" t="n"/>
      <c r="C908" s="488" t="inlineStr">
        <is>
          <t>INSTALACION CUBIERTA</t>
        </is>
      </c>
      <c r="D908" s="489">
        <f>+D175</f>
        <v/>
      </c>
      <c r="E908" s="489">
        <f>+D908*D888</f>
        <v/>
      </c>
      <c r="F908" s="490">
        <f>ROUND(E908/'COSTOS MO CUADRILLA'!K19,0)</f>
        <v/>
      </c>
    </row>
    <row r="909">
      <c r="B909" s="469" t="n"/>
      <c r="C909" s="486" t="n"/>
      <c r="D909" s="488" t="inlineStr">
        <is>
          <t xml:space="preserve">Total </t>
        </is>
      </c>
      <c r="E909" s="489">
        <f>SUM(E908:E908)</f>
        <v/>
      </c>
      <c r="F909" s="490">
        <f>+E909/'COSTOS MO CUADRILLA'!K19</f>
        <v/>
      </c>
    </row>
    <row r="912">
      <c r="C912" s="468" t="inlineStr">
        <is>
          <t>1.3.5</t>
        </is>
      </c>
      <c r="D912" s="468" t="inlineStr">
        <is>
          <t xml:space="preserve">GRADAS ESTRUCTURA, PINTADO Y ACABADO </t>
        </is>
      </c>
      <c r="E912" s="59" t="n"/>
      <c r="F912" s="60" t="n"/>
    </row>
    <row r="914">
      <c r="C914" s="413" t="inlineStr">
        <is>
          <t>Aplica azotea segundo nivel:</t>
        </is>
      </c>
      <c r="D914" s="413">
        <f>IF(D24=1,IF(D25="Sí","Sí","No"),"No")</f>
        <v/>
      </c>
      <c r="E914" s="572" t="n"/>
    </row>
    <row r="915">
      <c r="E915" s="481" t="n"/>
    </row>
    <row r="916">
      <c r="E916" s="481" t="n"/>
      <c r="F916" s="488" t="inlineStr">
        <is>
          <t>Peso</t>
        </is>
      </c>
      <c r="G916" s="488" t="inlineStr">
        <is>
          <t>Superficie</t>
        </is>
      </c>
    </row>
    <row r="917">
      <c r="C917" s="486" t="inlineStr">
        <is>
          <t>Tubo HN 150x100x1,8mm</t>
        </is>
      </c>
      <c r="D917" s="488">
        <f>IF(D914="Sí",2.6,0)</f>
        <v/>
      </c>
      <c r="E917" s="488" t="inlineStr">
        <is>
          <t>m</t>
        </is>
      </c>
      <c r="F917" s="487">
        <f>+D917*0.5*0.0018*7850</f>
        <v/>
      </c>
      <c r="G917" s="487">
        <f>+D917*0.5</f>
        <v/>
      </c>
    </row>
    <row r="918">
      <c r="C918" s="486" t="inlineStr">
        <is>
          <t>Tubo HN 150x50x1,8mm</t>
        </is>
      </c>
      <c r="D918" s="488">
        <f>IF(D914="Sí",4.26+0.55,0)</f>
        <v/>
      </c>
      <c r="E918" s="488" t="inlineStr">
        <is>
          <t>m</t>
        </is>
      </c>
      <c r="F918" s="487">
        <f>+D918*0.4*0.0018*7850</f>
        <v/>
      </c>
      <c r="G918" s="487">
        <f>+D918*0.4</f>
        <v/>
      </c>
    </row>
    <row r="919">
      <c r="C919" s="486" t="inlineStr">
        <is>
          <t>Tubo HN 50x50x1,8mm</t>
        </is>
      </c>
      <c r="D919" s="488">
        <f>IF(D914="Sí",0.4*13,0)</f>
        <v/>
      </c>
      <c r="E919" s="488" t="inlineStr">
        <is>
          <t>m</t>
        </is>
      </c>
      <c r="F919" s="487">
        <f>+D919*0.2*0.0018*7850</f>
        <v/>
      </c>
      <c r="G919" s="487">
        <f>+D919*0.2</f>
        <v/>
      </c>
    </row>
    <row r="920">
      <c r="C920" s="486" t="inlineStr">
        <is>
          <t>Angular 50x50x3mm</t>
        </is>
      </c>
      <c r="D920" s="488">
        <f>IF(D914="Sí",1.9*12+0.7*4+2,0)</f>
        <v/>
      </c>
      <c r="E920" s="488" t="inlineStr">
        <is>
          <t>m</t>
        </is>
      </c>
      <c r="F920" s="487">
        <f>+D920*0.1*0.0032*7850</f>
        <v/>
      </c>
      <c r="G920" s="487">
        <f>+D920*0.2</f>
        <v/>
      </c>
    </row>
    <row r="921">
      <c r="C921" s="486" t="inlineStr">
        <is>
          <t>Varilla #3</t>
        </is>
      </c>
      <c r="D921" s="488">
        <f>IF(D914="Sí",5*0.3*12+0.5*3*2,0)</f>
        <v/>
      </c>
      <c r="E921" s="488" t="inlineStr">
        <is>
          <t>m</t>
        </is>
      </c>
      <c r="F921" s="487" t="n"/>
      <c r="G921" s="487" t="n"/>
    </row>
    <row r="922">
      <c r="C922" s="486" t="inlineStr">
        <is>
          <t>Varilla #5 lisa</t>
        </is>
      </c>
      <c r="D922" s="488">
        <f>IF(D914="Sí",15.5,0)</f>
        <v/>
      </c>
      <c r="E922" s="488" t="inlineStr">
        <is>
          <t>m</t>
        </is>
      </c>
      <c r="F922" s="487" t="n"/>
      <c r="G922" s="487" t="n"/>
    </row>
    <row r="923">
      <c r="C923" s="486" t="inlineStr">
        <is>
          <t>Tubo HN 1-1/4" en 1.8mm</t>
        </is>
      </c>
      <c r="D923" s="488">
        <f>IF(D914="Sí",11.6,0)</f>
        <v/>
      </c>
      <c r="E923" s="488" t="inlineStr">
        <is>
          <t>m</t>
        </is>
      </c>
      <c r="F923" s="487">
        <f>+D923*0.1*0.0018*7850</f>
        <v/>
      </c>
      <c r="G923" s="487">
        <f>+D923*0.1</f>
        <v/>
      </c>
    </row>
    <row r="924">
      <c r="E924" s="488" t="n"/>
      <c r="F924" s="487">
        <f>SUM(F917:F923)</f>
        <v/>
      </c>
      <c r="G924" s="487">
        <f>SUM(G917:G923)</f>
        <v/>
      </c>
      <c r="H924" s="547" t="n"/>
    </row>
    <row r="925">
      <c r="E925" s="488" t="inlineStr">
        <is>
          <t>Soldadura</t>
        </is>
      </c>
      <c r="F925" s="487">
        <f>+F924*SOL</f>
        <v/>
      </c>
      <c r="G925" s="487">
        <f>ROUNDUP(F925,0)</f>
        <v/>
      </c>
    </row>
    <row r="926">
      <c r="E926" s="488" t="inlineStr">
        <is>
          <t>Disco corte</t>
        </is>
      </c>
      <c r="F926" s="487">
        <f>+F925</f>
        <v/>
      </c>
      <c r="G926" s="487">
        <f>ROUNDUP(F926,0)</f>
        <v/>
      </c>
    </row>
    <row r="927">
      <c r="E927" s="488" t="inlineStr">
        <is>
          <t>Thinner</t>
        </is>
      </c>
      <c r="F927" s="487">
        <f>+F926</f>
        <v/>
      </c>
      <c r="G927" s="487">
        <f>ROUNDUP(F927,0)</f>
        <v/>
      </c>
    </row>
    <row r="928">
      <c r="E928" s="488" t="inlineStr">
        <is>
          <t>Mecha</t>
        </is>
      </c>
      <c r="F928" s="487">
        <f>+F927</f>
        <v/>
      </c>
      <c r="G928" s="487">
        <f>ROUNDUP(F928,0)</f>
        <v/>
      </c>
    </row>
    <row r="929">
      <c r="E929" s="481" t="n"/>
    </row>
    <row r="930">
      <c r="C930" s="411" t="inlineStr">
        <is>
          <t>Cantidad</t>
        </is>
      </c>
      <c r="D930" s="455">
        <f>IF(D914="Sí",14,0)</f>
        <v/>
      </c>
      <c r="E930" s="413" t="inlineStr">
        <is>
          <t>u</t>
        </is>
      </c>
    </row>
    <row r="931">
      <c r="C931" s="411" t="inlineStr">
        <is>
          <t>Largo</t>
        </is>
      </c>
      <c r="D931" s="455" t="n">
        <v>0.7</v>
      </c>
      <c r="E931" s="413" t="inlineStr">
        <is>
          <t>m</t>
        </is>
      </c>
    </row>
    <row r="932">
      <c r="C932" s="411" t="inlineStr">
        <is>
          <t>Ancho</t>
        </is>
      </c>
      <c r="D932" s="455" t="n">
        <v>0.28</v>
      </c>
      <c r="E932" s="413" t="inlineStr">
        <is>
          <t>m</t>
        </is>
      </c>
    </row>
    <row r="933">
      <c r="B933" s="469" t="n"/>
      <c r="C933" s="411" t="inlineStr">
        <is>
          <t>Espesor</t>
        </is>
      </c>
      <c r="D933" s="455" t="n">
        <v>0.5</v>
      </c>
      <c r="E933" s="413" t="inlineStr">
        <is>
          <t>m</t>
        </is>
      </c>
    </row>
    <row r="934">
      <c r="B934" s="469" t="n"/>
      <c r="C934" s="487" t="inlineStr">
        <is>
          <t xml:space="preserve">Concreto </t>
        </is>
      </c>
      <c r="D934" s="487">
        <f>+D933*D932*D931*D930</f>
        <v/>
      </c>
      <c r="E934" s="487" t="inlineStr">
        <is>
          <t xml:space="preserve">m3 </t>
        </is>
      </c>
    </row>
    <row r="935">
      <c r="B935" s="469" t="n"/>
      <c r="E935" s="481" t="n"/>
    </row>
    <row r="936">
      <c r="B936" s="469" t="n"/>
      <c r="C936" s="488" t="inlineStr">
        <is>
          <t>Elemento</t>
        </is>
      </c>
      <c r="D936" s="488" t="inlineStr">
        <is>
          <t>Cantidad</t>
        </is>
      </c>
      <c r="E936" s="488" t="inlineStr">
        <is>
          <t>Uni</t>
        </is>
      </c>
    </row>
    <row r="937">
      <c r="B937" s="476" t="inlineStr">
        <is>
          <t>M10-0047</t>
        </is>
      </c>
      <c r="C937" s="486" t="inlineStr">
        <is>
          <t xml:space="preserve">Cemento </t>
        </is>
      </c>
      <c r="D937" s="487">
        <f>D934*losac</f>
        <v/>
      </c>
      <c r="E937" s="488" t="inlineStr">
        <is>
          <t xml:space="preserve">kilos </t>
        </is>
      </c>
    </row>
    <row r="938">
      <c r="B938" s="476" t="inlineStr">
        <is>
          <t>M10-0010</t>
        </is>
      </c>
      <c r="C938" s="486" t="inlineStr">
        <is>
          <t xml:space="preserve">Arena </t>
        </is>
      </c>
      <c r="D938" s="487">
        <f>D934*losaa</f>
        <v/>
      </c>
      <c r="E938" s="488" t="inlineStr">
        <is>
          <t>m3</t>
        </is>
      </c>
    </row>
    <row r="939">
      <c r="B939" s="476" t="inlineStr">
        <is>
          <t>M10-0030</t>
        </is>
      </c>
      <c r="C939" s="486" t="inlineStr">
        <is>
          <t xml:space="preserve">Piedra </t>
        </is>
      </c>
      <c r="D939" s="487">
        <f>D934*losap</f>
        <v/>
      </c>
      <c r="E939" s="488" t="inlineStr">
        <is>
          <t>m3</t>
        </is>
      </c>
    </row>
    <row r="940">
      <c r="B940" s="476" t="n"/>
      <c r="E940" s="481" t="n"/>
    </row>
    <row r="941">
      <c r="B941" s="476" t="n"/>
      <c r="C941" s="488" t="inlineStr">
        <is>
          <t>Elemento</t>
        </is>
      </c>
      <c r="D941" s="488" t="inlineStr">
        <is>
          <t>Cantidad</t>
        </is>
      </c>
      <c r="E941" s="488" t="inlineStr">
        <is>
          <t>Uni</t>
        </is>
      </c>
      <c r="F941" s="493" t="n"/>
    </row>
    <row r="942">
      <c r="B942" s="476" t="inlineStr">
        <is>
          <t>M01-0074</t>
        </is>
      </c>
      <c r="C942" s="486" t="inlineStr">
        <is>
          <t>Tubo HN 150x100x1,8mm</t>
        </is>
      </c>
      <c r="D942" s="488">
        <f>ROUNDUP(D917/6,0)</f>
        <v/>
      </c>
      <c r="E942" s="488" t="inlineStr">
        <is>
          <t>u</t>
        </is>
      </c>
      <c r="F942" s="416" t="n"/>
    </row>
    <row r="943">
      <c r="B943" s="476" t="inlineStr">
        <is>
          <t>M01-0071</t>
        </is>
      </c>
      <c r="C943" s="486" t="inlineStr">
        <is>
          <t>Tubo HN 150x50x1,8mm</t>
        </is>
      </c>
      <c r="D943" s="488">
        <f>ROUNDUP(D918/6,0)</f>
        <v/>
      </c>
      <c r="E943" s="488" t="inlineStr">
        <is>
          <t>u</t>
        </is>
      </c>
      <c r="F943" s="416" t="n"/>
    </row>
    <row r="944">
      <c r="B944" s="476" t="inlineStr">
        <is>
          <t>M01-0069</t>
        </is>
      </c>
      <c r="C944" s="486" t="inlineStr">
        <is>
          <t>Tubo HN 50x50x1,8mm</t>
        </is>
      </c>
      <c r="D944" s="488">
        <f>ROUNDUP(D919/6,0)</f>
        <v/>
      </c>
      <c r="E944" s="488" t="inlineStr">
        <is>
          <t>u</t>
        </is>
      </c>
      <c r="F944" s="416" t="n"/>
    </row>
    <row r="945">
      <c r="B945" s="476" t="inlineStr">
        <is>
          <t>M01-0010</t>
        </is>
      </c>
      <c r="C945" s="486" t="inlineStr">
        <is>
          <t>Angular 50x50x3mm</t>
        </is>
      </c>
      <c r="D945" s="488">
        <f>ROUNDUP(D920/6,0)</f>
        <v/>
      </c>
      <c r="E945" s="488" t="inlineStr">
        <is>
          <t>u</t>
        </is>
      </c>
      <c r="F945" s="416" t="n"/>
    </row>
    <row r="946">
      <c r="B946" s="476" t="inlineStr">
        <is>
          <t>M01-0147</t>
        </is>
      </c>
      <c r="C946" s="486" t="inlineStr">
        <is>
          <t>Varilla #3 G40</t>
        </is>
      </c>
      <c r="D946" s="488">
        <f>ROUNDUP(D921/6,0)</f>
        <v/>
      </c>
      <c r="E946" s="488" t="inlineStr">
        <is>
          <t>u</t>
        </is>
      </c>
      <c r="F946" s="416" t="n"/>
    </row>
    <row r="947">
      <c r="B947" s="476" t="inlineStr">
        <is>
          <t>M01-0153</t>
        </is>
      </c>
      <c r="C947" s="486" t="inlineStr">
        <is>
          <t>Varilla #5 lisa</t>
        </is>
      </c>
      <c r="D947" s="488">
        <f>ROUNDUP(D922/6,0)</f>
        <v/>
      </c>
      <c r="E947" s="488" t="inlineStr">
        <is>
          <t>u</t>
        </is>
      </c>
      <c r="F947" s="416" t="n"/>
    </row>
    <row r="948">
      <c r="B948" s="476" t="inlineStr">
        <is>
          <t>M13-0088</t>
        </is>
      </c>
      <c r="C948" s="486" t="inlineStr">
        <is>
          <t>Tubo HN 1-1/4" en 1.8mm</t>
        </is>
      </c>
      <c r="D948" s="488">
        <f>ROUNDUP(D923/6,0)</f>
        <v/>
      </c>
      <c r="E948" s="488" t="inlineStr">
        <is>
          <t>u</t>
        </is>
      </c>
      <c r="F948" s="416" t="n"/>
    </row>
    <row r="949">
      <c r="B949" s="476" t="inlineStr">
        <is>
          <t>M01-0055</t>
        </is>
      </c>
      <c r="C949" s="486" t="inlineStr">
        <is>
          <t>Soldadura</t>
        </is>
      </c>
      <c r="D949" s="487">
        <f>+G925</f>
        <v/>
      </c>
      <c r="E949" s="488" t="inlineStr">
        <is>
          <t>kg</t>
        </is>
      </c>
      <c r="F949" s="416" t="n"/>
    </row>
    <row r="950">
      <c r="B950" s="476" t="inlineStr">
        <is>
          <t>M08-0037 + M08-0043 + M08-0044 + M08-0051</t>
        </is>
      </c>
      <c r="C950" s="486" t="inlineStr">
        <is>
          <t>Disco corte</t>
        </is>
      </c>
      <c r="D950" s="487">
        <f>+G926</f>
        <v/>
      </c>
      <c r="E950" s="488" t="inlineStr">
        <is>
          <t>u</t>
        </is>
      </c>
      <c r="F950" s="416" t="n"/>
    </row>
    <row r="951">
      <c r="B951" s="476" t="inlineStr">
        <is>
          <t>M11-0019</t>
        </is>
      </c>
      <c r="C951" s="486" t="inlineStr">
        <is>
          <t>Thinner</t>
        </is>
      </c>
      <c r="D951" s="487">
        <f>+G927</f>
        <v/>
      </c>
      <c r="E951" s="488" t="inlineStr">
        <is>
          <t>gal</t>
        </is>
      </c>
      <c r="F951" s="416" t="n"/>
    </row>
    <row r="952">
      <c r="B952" s="476" t="inlineStr">
        <is>
          <t>M06-0231</t>
        </is>
      </c>
      <c r="C952" s="486" t="inlineStr">
        <is>
          <t>Mecha</t>
        </is>
      </c>
      <c r="D952" s="487">
        <f>+G928</f>
        <v/>
      </c>
      <c r="E952" s="488" t="inlineStr">
        <is>
          <t>kg</t>
        </is>
      </c>
      <c r="F952" s="416" t="n"/>
    </row>
    <row r="953">
      <c r="B953" s="476" t="inlineStr">
        <is>
          <t>M11-0066</t>
        </is>
      </c>
      <c r="C953" s="486" t="inlineStr">
        <is>
          <t>Anticorrosivo rojo</t>
        </is>
      </c>
      <c r="D953" s="488">
        <f>ROUNDUP(G924/25/0.25,0)*0.25</f>
        <v/>
      </c>
      <c r="E953" s="488" t="inlineStr">
        <is>
          <t>gal</t>
        </is>
      </c>
      <c r="F953" s="416" t="n"/>
    </row>
    <row r="954">
      <c r="B954" s="476" t="inlineStr">
        <is>
          <t>M11-0073</t>
        </is>
      </c>
      <c r="C954" s="486" t="inlineStr">
        <is>
          <t>Anticorrosivo azul</t>
        </is>
      </c>
      <c r="D954" s="488">
        <f>+D953</f>
        <v/>
      </c>
      <c r="E954" s="488" t="inlineStr">
        <is>
          <t>gal</t>
        </is>
      </c>
      <c r="F954" s="416" t="n"/>
    </row>
    <row r="955">
      <c r="B955" s="469" t="n"/>
      <c r="C955" s="486" t="inlineStr">
        <is>
          <t>Pintura super dry</t>
        </is>
      </c>
      <c r="D955" s="488">
        <f>+D954</f>
        <v/>
      </c>
      <c r="E955" s="488" t="inlineStr">
        <is>
          <t>gal</t>
        </is>
      </c>
      <c r="F955" s="416" t="n"/>
    </row>
    <row r="956">
      <c r="B956" s="469" t="n"/>
      <c r="D956" s="481" t="n"/>
      <c r="E956" s="481" t="n"/>
    </row>
    <row r="957">
      <c r="B957" s="469" t="n"/>
      <c r="C957" s="488" t="n"/>
      <c r="D957" s="488" t="inlineStr">
        <is>
          <t>Costo</t>
        </is>
      </c>
      <c r="E957" s="488" t="inlineStr">
        <is>
          <t>Total</t>
        </is>
      </c>
      <c r="F957" s="488" t="inlineStr">
        <is>
          <t>Horas</t>
        </is>
      </c>
    </row>
    <row r="958">
      <c r="C958" s="488" t="inlineStr">
        <is>
          <t>SOLDADURA</t>
        </is>
      </c>
      <c r="D958" s="489">
        <f>D174</f>
        <v/>
      </c>
      <c r="E958" s="489">
        <f>D958*F924</f>
        <v/>
      </c>
      <c r="F958" s="490">
        <f>ROUND(E958/'COSTOS MO CUADRILLA'!K20,0)</f>
        <v/>
      </c>
    </row>
    <row r="959">
      <c r="C959" s="488" t="inlineStr">
        <is>
          <t>CONCRETO</t>
        </is>
      </c>
      <c r="D959" s="489">
        <f>+D151</f>
        <v/>
      </c>
      <c r="E959" s="489">
        <f>D959*D934</f>
        <v/>
      </c>
      <c r="F959" s="490">
        <f>ROUND(E959/'COSTOS MO CUADRILLA'!K27,0)</f>
        <v/>
      </c>
    </row>
    <row r="960">
      <c r="C960" s="486" t="n"/>
      <c r="D960" s="488" t="inlineStr">
        <is>
          <t xml:space="preserve">Total </t>
        </is>
      </c>
      <c r="E960" s="489">
        <f>SUM(E958:E959)</f>
        <v/>
      </c>
      <c r="F960" s="490">
        <f>+E960/5175</f>
        <v/>
      </c>
    </row>
    <row r="961">
      <c r="C961" s="484" t="n"/>
      <c r="D961" s="484" t="n"/>
      <c r="E961" s="481" t="n"/>
      <c r="F961" s="484" t="n"/>
    </row>
    <row r="962">
      <c r="C962" s="51" t="n"/>
      <c r="D962" s="51" t="n"/>
      <c r="F962" s="51" t="n"/>
    </row>
    <row r="963">
      <c r="C963" s="468" t="inlineStr">
        <is>
          <t>1.3.6</t>
        </is>
      </c>
      <c r="D963" s="468" t="inlineStr">
        <is>
          <t>BARANDAS DE GRADAS (N2)</t>
        </is>
      </c>
      <c r="E963" s="59" t="n"/>
      <c r="F963" s="60" t="n"/>
    </row>
    <row r="965">
      <c r="C965" s="413" t="inlineStr">
        <is>
          <t>Aplica segundo nivel:</t>
        </is>
      </c>
      <c r="D965" s="413">
        <f>IF(D24=1,"No","Sí")</f>
        <v/>
      </c>
      <c r="E965" s="481" t="n"/>
    </row>
    <row r="966">
      <c r="C966" s="413" t="inlineStr">
        <is>
          <t>Aplica azotea tercer nivel:</t>
        </is>
      </c>
      <c r="D966" s="413">
        <f>IF(D24=1,"No",IF(D25="Sí","Sí","No"))</f>
        <v/>
      </c>
      <c r="E966" s="481" t="n"/>
    </row>
    <row r="967">
      <c r="E967" s="481" t="n"/>
    </row>
    <row r="968">
      <c r="E968" s="481" t="n"/>
      <c r="F968" s="488" t="inlineStr">
        <is>
          <t>Peso</t>
        </is>
      </c>
      <c r="G968" s="488" t="inlineStr">
        <is>
          <t>Superficie</t>
        </is>
      </c>
      <c r="H968" s="543" t="n"/>
    </row>
    <row r="969">
      <c r="C969" s="486" t="inlineStr">
        <is>
          <t>Tubo HN 1-1/4x1,8mm</t>
        </is>
      </c>
      <c r="D969" s="488">
        <f>IF(D965="Sí",14.28,0)+IF(D966="Sí",27.05,0)</f>
        <v/>
      </c>
      <c r="E969" s="488" t="inlineStr">
        <is>
          <t>m</t>
        </is>
      </c>
      <c r="F969" s="487">
        <f>+D969*0.1*0.0018*7850</f>
        <v/>
      </c>
      <c r="G969" s="487">
        <f>+D969*0.1</f>
        <v/>
      </c>
      <c r="H969" s="416" t="inlineStr">
        <is>
          <t>✓✓</t>
        </is>
      </c>
    </row>
    <row r="970">
      <c r="C970" s="486" t="inlineStr">
        <is>
          <t>Varilla #5 lisa</t>
        </is>
      </c>
      <c r="D970" s="488">
        <f>IF(D965="Sí",21.45,0)+IF(D966="Sí",12.42,0)</f>
        <v/>
      </c>
      <c r="E970" s="488" t="inlineStr">
        <is>
          <t>m</t>
        </is>
      </c>
      <c r="F970" s="487">
        <f>+D970*1.552</f>
        <v/>
      </c>
      <c r="G970" s="487">
        <f>0.05*D970</f>
        <v/>
      </c>
      <c r="H970" s="416" t="inlineStr">
        <is>
          <t>✓✓</t>
        </is>
      </c>
    </row>
    <row r="971">
      <c r="E971" s="573" t="n"/>
      <c r="F971" s="487">
        <f>SUM(F969:F970)</f>
        <v/>
      </c>
      <c r="G971" s="487">
        <f>SUM(G969:G970)</f>
        <v/>
      </c>
      <c r="H971" s="416" t="inlineStr">
        <is>
          <t>✓✓</t>
        </is>
      </c>
    </row>
    <row r="972">
      <c r="E972" s="488" t="inlineStr">
        <is>
          <t>Soldadura</t>
        </is>
      </c>
      <c r="F972" s="487">
        <f>+F971*SOL</f>
        <v/>
      </c>
      <c r="G972" s="487">
        <f>ROUNDUP(F972,0)</f>
        <v/>
      </c>
      <c r="H972" s="416" t="inlineStr">
        <is>
          <t>✓✓</t>
        </is>
      </c>
    </row>
    <row r="973">
      <c r="E973" s="488" t="inlineStr">
        <is>
          <t>Disco corte</t>
        </is>
      </c>
      <c r="F973" s="487">
        <f>+F972</f>
        <v/>
      </c>
      <c r="G973" s="487">
        <f>ROUNDUP(F973,0)</f>
        <v/>
      </c>
      <c r="H973" s="416" t="inlineStr">
        <is>
          <t>✓✓</t>
        </is>
      </c>
    </row>
    <row r="974">
      <c r="B974" s="469" t="n"/>
      <c r="E974" s="488" t="inlineStr">
        <is>
          <t>Thinner</t>
        </is>
      </c>
      <c r="F974" s="487">
        <f>+F973</f>
        <v/>
      </c>
      <c r="G974" s="487">
        <f>ROUNDUP(F974,0)</f>
        <v/>
      </c>
      <c r="H974" s="416" t="inlineStr">
        <is>
          <t>✓✓</t>
        </is>
      </c>
    </row>
    <row r="975">
      <c r="B975" s="469" t="n"/>
      <c r="E975" s="488" t="inlineStr">
        <is>
          <t>Mecha</t>
        </is>
      </c>
      <c r="F975" s="487">
        <f>+F974</f>
        <v/>
      </c>
      <c r="G975" s="487">
        <f>ROUNDUP(F975,0)</f>
        <v/>
      </c>
      <c r="H975" s="416" t="inlineStr">
        <is>
          <t>✓✓</t>
        </is>
      </c>
    </row>
    <row r="976">
      <c r="B976" s="469" t="n"/>
      <c r="E976" s="481" t="n"/>
    </row>
    <row r="977">
      <c r="B977" s="469" t="n"/>
      <c r="C977" s="488" t="inlineStr">
        <is>
          <t>Elemento</t>
        </is>
      </c>
      <c r="D977" s="488" t="inlineStr">
        <is>
          <t>Cantidad</t>
        </is>
      </c>
      <c r="E977" s="488" t="inlineStr">
        <is>
          <t>Uni</t>
        </is>
      </c>
    </row>
    <row r="978">
      <c r="B978" s="476" t="inlineStr">
        <is>
          <t>M13-0088</t>
        </is>
      </c>
      <c r="C978" s="486" t="inlineStr">
        <is>
          <t>Tubo HN 1-1/4x1,8mm</t>
        </is>
      </c>
      <c r="D978" s="488">
        <f>ROUNDUP(D969/6,0)</f>
        <v/>
      </c>
      <c r="E978" s="488" t="inlineStr">
        <is>
          <t>u</t>
        </is>
      </c>
    </row>
    <row r="979">
      <c r="B979" s="476" t="inlineStr">
        <is>
          <t>M01-0153</t>
        </is>
      </c>
      <c r="C979" s="486" t="inlineStr">
        <is>
          <t>Varilla #5 lisa</t>
        </is>
      </c>
      <c r="D979" s="488">
        <f>ROUNDUP(D970/6,0)</f>
        <v/>
      </c>
      <c r="E979" s="488" t="inlineStr">
        <is>
          <t>u</t>
        </is>
      </c>
    </row>
    <row r="980">
      <c r="B980" s="476" t="inlineStr">
        <is>
          <t>M01-0055</t>
        </is>
      </c>
      <c r="C980" s="486" t="inlineStr">
        <is>
          <t>Soldadura</t>
        </is>
      </c>
      <c r="D980" s="487">
        <f>+G972</f>
        <v/>
      </c>
      <c r="E980" s="488" t="inlineStr">
        <is>
          <t>kg</t>
        </is>
      </c>
    </row>
    <row r="981">
      <c r="B981" s="476" t="inlineStr">
        <is>
          <t>M08-0037 + M08-0043 + M08-0044 + M08-0051</t>
        </is>
      </c>
      <c r="C981" s="486" t="inlineStr">
        <is>
          <t>Disco corte</t>
        </is>
      </c>
      <c r="D981" s="487">
        <f>+G973</f>
        <v/>
      </c>
      <c r="E981" s="488" t="inlineStr">
        <is>
          <t>u</t>
        </is>
      </c>
    </row>
    <row r="982">
      <c r="B982" s="476" t="inlineStr">
        <is>
          <t>M11-0019</t>
        </is>
      </c>
      <c r="C982" s="486" t="inlineStr">
        <is>
          <t>Thinner</t>
        </is>
      </c>
      <c r="D982" s="487">
        <f>+G974</f>
        <v/>
      </c>
      <c r="E982" s="488" t="inlineStr">
        <is>
          <t>gal</t>
        </is>
      </c>
    </row>
    <row r="983">
      <c r="B983" s="476" t="inlineStr">
        <is>
          <t>M06-0231</t>
        </is>
      </c>
      <c r="C983" s="486" t="inlineStr">
        <is>
          <t>Mecha</t>
        </is>
      </c>
      <c r="D983" s="487">
        <f>+G975</f>
        <v/>
      </c>
      <c r="E983" s="488" t="inlineStr">
        <is>
          <t>kg</t>
        </is>
      </c>
    </row>
    <row r="984">
      <c r="B984" s="476" t="inlineStr">
        <is>
          <t>M11-0066</t>
        </is>
      </c>
      <c r="C984" s="486" t="inlineStr">
        <is>
          <t>Anticorrosivo rojo</t>
        </is>
      </c>
      <c r="D984" s="488">
        <f>ROUNDUP(G971/25/0.25,0)*0.25</f>
        <v/>
      </c>
      <c r="E984" s="488" t="inlineStr">
        <is>
          <t>gal</t>
        </is>
      </c>
    </row>
    <row r="985">
      <c r="B985" s="476" t="inlineStr">
        <is>
          <t>M11-0066</t>
        </is>
      </c>
      <c r="C985" s="486" t="inlineStr">
        <is>
          <t>Anticorrosivo azul</t>
        </is>
      </c>
      <c r="D985" s="488">
        <f>+D984</f>
        <v/>
      </c>
      <c r="E985" s="488" t="inlineStr">
        <is>
          <t>gal</t>
        </is>
      </c>
    </row>
    <row r="986">
      <c r="B986" s="476" t="inlineStr">
        <is>
          <t>M11-0073</t>
        </is>
      </c>
      <c r="C986" s="486" t="inlineStr">
        <is>
          <t>Pintura super dry</t>
        </is>
      </c>
      <c r="D986" s="488">
        <f>+D985</f>
        <v/>
      </c>
      <c r="E986" s="488" t="inlineStr">
        <is>
          <t>gal</t>
        </is>
      </c>
    </row>
    <row r="987">
      <c r="B987" s="476" t="inlineStr">
        <is>
          <t>M11-0002</t>
        </is>
      </c>
      <c r="C987" s="486" t="inlineStr">
        <is>
          <t>Brocha corriente 3"</t>
        </is>
      </c>
      <c r="D987" s="488">
        <f>+ROUNDUP((D978/10),0)</f>
        <v/>
      </c>
      <c r="E987" s="488" t="inlineStr">
        <is>
          <t>und</t>
        </is>
      </c>
    </row>
    <row r="988">
      <c r="B988" s="476" t="inlineStr">
        <is>
          <t>M11-0063</t>
        </is>
      </c>
      <c r="C988" s="486" t="inlineStr">
        <is>
          <t>Merula c/catalizador</t>
        </is>
      </c>
      <c r="D988" s="487">
        <f>+D983</f>
        <v/>
      </c>
      <c r="E988" s="488" t="inlineStr">
        <is>
          <t>1/4 galon</t>
        </is>
      </c>
    </row>
    <row r="989">
      <c r="B989" s="478" t="n"/>
    </row>
    <row r="990">
      <c r="B990" s="469" t="n"/>
      <c r="C990" s="488" t="n"/>
      <c r="D990" s="488" t="inlineStr">
        <is>
          <t>Costo</t>
        </is>
      </c>
      <c r="E990" s="488" t="inlineStr">
        <is>
          <t>Total</t>
        </is>
      </c>
      <c r="F990" s="488" t="inlineStr">
        <is>
          <t>Horas</t>
        </is>
      </c>
    </row>
    <row r="991">
      <c r="B991" s="469" t="n"/>
      <c r="C991" s="488" t="inlineStr">
        <is>
          <t>SOLDADURA</t>
        </is>
      </c>
      <c r="D991" s="489">
        <f>D174*1.5</f>
        <v/>
      </c>
      <c r="E991" s="489">
        <f>D991*F971</f>
        <v/>
      </c>
      <c r="F991" s="490">
        <f>ROUND(E991/'COSTOS MO CUADRILLA'!K20,0)</f>
        <v/>
      </c>
    </row>
    <row r="992">
      <c r="B992" s="469" t="n"/>
      <c r="C992" s="486" t="n"/>
      <c r="D992" s="488" t="inlineStr">
        <is>
          <t xml:space="preserve">Total </t>
        </is>
      </c>
      <c r="E992" s="489">
        <f>SUM(E991:E991)</f>
        <v/>
      </c>
      <c r="F992" s="490">
        <f>+E992/'COSTOS MO CUADRILLA'!K20</f>
        <v/>
      </c>
    </row>
    <row r="993">
      <c r="C993" s="51" t="n"/>
      <c r="D993" s="51" t="n"/>
      <c r="F993" s="51" t="n"/>
    </row>
    <row r="995">
      <c r="C995" s="466" t="n">
        <v>1.4</v>
      </c>
      <c r="D995" s="574" t="inlineStr">
        <is>
          <t>HOJALATERIA</t>
        </is>
      </c>
    </row>
    <row r="997">
      <c r="C997" s="468" t="inlineStr">
        <is>
          <t>1.4.1</t>
        </is>
      </c>
      <c r="D997" s="468" t="inlineStr">
        <is>
          <t xml:space="preserve">BOTAGUAS Y CANOAS </t>
        </is>
      </c>
    </row>
    <row r="999">
      <c r="B999" s="476" t="inlineStr">
        <is>
          <t>M15-0057</t>
        </is>
      </c>
      <c r="C999" s="491" t="inlineStr">
        <is>
          <t xml:space="preserve">BOTAGUA 10 cm x 10 cm </t>
        </is>
      </c>
      <c r="E999" s="481" t="n"/>
    </row>
    <row r="1000">
      <c r="B1000" s="476" t="n"/>
      <c r="D1000" s="481" t="n"/>
      <c r="E1000" s="481" t="n"/>
      <c r="F1000" s="493" t="n"/>
    </row>
    <row r="1001">
      <c r="B1001" s="476" t="n"/>
      <c r="C1001" s="411" t="inlineStr">
        <is>
          <t xml:space="preserve">TOTAL </t>
        </is>
      </c>
      <c r="D1001" s="418" t="n">
        <v>42.8</v>
      </c>
      <c r="E1001" s="413" t="inlineStr">
        <is>
          <t xml:space="preserve">m </t>
        </is>
      </c>
      <c r="F1001" s="416" t="n"/>
    </row>
    <row r="1002">
      <c r="B1002" s="476" t="n"/>
      <c r="E1002" s="481" t="n"/>
      <c r="F1002" s="493" t="n"/>
    </row>
    <row r="1003">
      <c r="B1003" s="476" t="n"/>
      <c r="E1003" s="481" t="n"/>
    </row>
    <row r="1004">
      <c r="B1004" s="476" t="n"/>
      <c r="C1004" s="491" t="inlineStr">
        <is>
          <t xml:space="preserve">CANOA HG 10 cm </t>
        </is>
      </c>
      <c r="E1004" s="481" t="n"/>
    </row>
    <row r="1005">
      <c r="B1005" s="476" t="n"/>
    </row>
    <row r="1006">
      <c r="B1006" s="476" t="inlineStr">
        <is>
          <t>M15-0057</t>
        </is>
      </c>
      <c r="C1006" s="411" t="inlineStr">
        <is>
          <t xml:space="preserve">TOTAL </t>
        </is>
      </c>
      <c r="D1006" s="418" t="n">
        <v>14.1</v>
      </c>
      <c r="E1006" s="413" t="inlineStr">
        <is>
          <t xml:space="preserve">m </t>
        </is>
      </c>
      <c r="F1006" s="416" t="n"/>
    </row>
    <row r="1007">
      <c r="B1007" s="476" t="n"/>
      <c r="E1007" s="481" t="n"/>
      <c r="F1007" s="550" t="n"/>
    </row>
    <row r="1008">
      <c r="B1008" s="476" t="n"/>
      <c r="C1008" s="488" t="inlineStr">
        <is>
          <t>Elemento</t>
        </is>
      </c>
      <c r="D1008" s="488" t="inlineStr">
        <is>
          <t>Cantidad</t>
        </is>
      </c>
      <c r="E1008" s="488" t="inlineStr">
        <is>
          <t>Uni</t>
        </is>
      </c>
      <c r="F1008" s="550" t="n"/>
    </row>
    <row r="1009">
      <c r="B1009" s="476" t="inlineStr">
        <is>
          <t>M15-0057</t>
        </is>
      </c>
      <c r="C1009" s="486" t="inlineStr">
        <is>
          <t>Hojalateria de 60cm</t>
        </is>
      </c>
      <c r="D1009" s="487">
        <f>+D1001+D1006</f>
        <v/>
      </c>
      <c r="E1009" s="488" t="inlineStr">
        <is>
          <t>m</t>
        </is>
      </c>
      <c r="F1009" s="550" t="n"/>
    </row>
    <row r="1010">
      <c r="B1010" s="476" t="inlineStr">
        <is>
          <t>M01-0008</t>
        </is>
      </c>
      <c r="C1010" s="486" t="inlineStr">
        <is>
          <t>Ganchos para canoa</t>
        </is>
      </c>
      <c r="D1010" s="477" t="n">
        <v>1</v>
      </c>
      <c r="E1010" s="488" t="inlineStr">
        <is>
          <t xml:space="preserve">un </t>
        </is>
      </c>
      <c r="F1010" s="416" t="inlineStr">
        <is>
          <t>✓✓</t>
        </is>
      </c>
    </row>
    <row r="1011">
      <c r="B1011" s="476" t="inlineStr">
        <is>
          <t>M06-0105</t>
        </is>
      </c>
      <c r="C1011" s="486" t="inlineStr">
        <is>
          <t>Tornillo Torlak 1" pumta broca</t>
        </is>
      </c>
      <c r="D1011" s="477">
        <f>ROUNDUP((D1001+D1006)/0.1/100,0)*100</f>
        <v/>
      </c>
      <c r="E1011" s="488" t="inlineStr">
        <is>
          <t xml:space="preserve">un </t>
        </is>
      </c>
      <c r="F1011" s="416" t="inlineStr">
        <is>
          <t>✓✓</t>
        </is>
      </c>
    </row>
    <row r="1012">
      <c r="B1012" s="476" t="inlineStr">
        <is>
          <t>M06-0023</t>
        </is>
      </c>
      <c r="C1012" s="486" t="inlineStr">
        <is>
          <t>Sikaflex 1A plus, sellador</t>
        </is>
      </c>
      <c r="D1012" s="477">
        <f>ROUNDUP((D1001*2+D1006)/24,0)</f>
        <v/>
      </c>
      <c r="E1012" s="488" t="inlineStr">
        <is>
          <t>cartuchos</t>
        </is>
      </c>
      <c r="F1012" s="416" t="inlineStr">
        <is>
          <t>✓✓</t>
        </is>
      </c>
    </row>
    <row r="1013">
      <c r="B1013" s="476" t="n"/>
      <c r="C1013" s="484" t="n"/>
      <c r="D1013" s="484" t="n"/>
      <c r="E1013" s="481" t="n"/>
      <c r="F1013" s="416" t="n"/>
    </row>
    <row r="1014">
      <c r="B1014" s="469" t="n"/>
      <c r="C1014" s="488" t="n"/>
      <c r="D1014" s="488" t="inlineStr">
        <is>
          <t>Costo</t>
        </is>
      </c>
      <c r="E1014" s="488" t="inlineStr">
        <is>
          <t>Total</t>
        </is>
      </c>
      <c r="F1014" s="488" t="inlineStr">
        <is>
          <t>Horas</t>
        </is>
      </c>
    </row>
    <row r="1015">
      <c r="B1015" s="469" t="n"/>
      <c r="C1015" s="488" t="inlineStr">
        <is>
          <t>INSTALACION HOJALATERIA_BOTAGUA</t>
        </is>
      </c>
      <c r="D1015" s="489">
        <f>+D176</f>
        <v/>
      </c>
      <c r="E1015" s="489">
        <f>+D1015*($D$1001)</f>
        <v/>
      </c>
      <c r="F1015" s="490">
        <f>ROUND(E1015/'COSTOS MO CUADRILLA'!K24,0)</f>
        <v/>
      </c>
    </row>
    <row r="1016">
      <c r="B1016" s="469" t="n"/>
      <c r="C1016" s="488" t="inlineStr">
        <is>
          <t>FABRICACION HOJALATERIA</t>
        </is>
      </c>
      <c r="D1016" s="489">
        <f>+D208</f>
        <v/>
      </c>
      <c r="E1016" s="489">
        <f>+D1016*($D$1001)</f>
        <v/>
      </c>
      <c r="F1016" s="490">
        <f>ROUND(E1016/'COSTOS MO CUADRILLA'!K24,0)</f>
        <v/>
      </c>
    </row>
    <row r="1017">
      <c r="B1017" s="469" t="n"/>
      <c r="C1017" s="486" t="n"/>
      <c r="D1017" s="488" t="inlineStr">
        <is>
          <t xml:space="preserve">Total </t>
        </is>
      </c>
      <c r="E1017" s="489">
        <f>SUM(E1015:E1016)</f>
        <v/>
      </c>
      <c r="F1017" s="490">
        <f>+E1017/'COSTOS MO CUADRILLA'!K24</f>
        <v/>
      </c>
    </row>
    <row r="1018">
      <c r="B1018" s="469" t="n"/>
      <c r="E1018" s="481" t="n"/>
    </row>
    <row r="1019">
      <c r="B1019" s="469" t="n"/>
      <c r="C1019" s="488" t="n"/>
      <c r="D1019" s="488" t="inlineStr">
        <is>
          <t>Costo</t>
        </is>
      </c>
      <c r="E1019" s="488" t="inlineStr">
        <is>
          <t>Total</t>
        </is>
      </c>
      <c r="F1019" s="488" t="inlineStr">
        <is>
          <t>Horas</t>
        </is>
      </c>
    </row>
    <row r="1020">
      <c r="B1020" s="469" t="n"/>
      <c r="C1020" s="488" t="inlineStr">
        <is>
          <t>INSTALACION HOJALATERIA_CANOA</t>
        </is>
      </c>
      <c r="D1020" s="489">
        <f>+D176</f>
        <v/>
      </c>
      <c r="E1020" s="489">
        <f>+D1020*($D$1006)</f>
        <v/>
      </c>
      <c r="F1020" s="490">
        <f>ROUND(E1020/'COSTOS MO CUADRILLA'!K24,0)</f>
        <v/>
      </c>
    </row>
    <row r="1021">
      <c r="B1021" s="469" t="n"/>
      <c r="C1021" s="488" t="inlineStr">
        <is>
          <t>FABRICACION HOJALATERIA</t>
        </is>
      </c>
      <c r="D1021" s="489">
        <f>+D208</f>
        <v/>
      </c>
      <c r="E1021" s="489">
        <f>+D1021*(+$D$1006)</f>
        <v/>
      </c>
      <c r="F1021" s="490">
        <f>ROUND(E1021/'COSTOS MO CUADRILLA'!K24,0)</f>
        <v/>
      </c>
    </row>
    <row r="1022">
      <c r="B1022" s="469" t="n"/>
      <c r="C1022" s="486" t="n"/>
      <c r="D1022" s="488" t="inlineStr">
        <is>
          <t xml:space="preserve">Total </t>
        </is>
      </c>
      <c r="E1022" s="489">
        <f>SUM(E1020:E1021)</f>
        <v/>
      </c>
      <c r="F1022" s="490">
        <f>+E1022/'COSTOS MO CUADRILLA'!K24</f>
        <v/>
      </c>
    </row>
    <row r="1024">
      <c r="C1024" s="468" t="inlineStr">
        <is>
          <t>1.4.2</t>
        </is>
      </c>
      <c r="D1024" s="468" t="inlineStr">
        <is>
          <t xml:space="preserve">BAJANTES </t>
        </is>
      </c>
    </row>
    <row r="1026">
      <c r="C1026" s="488" t="inlineStr">
        <is>
          <t>Elemento</t>
        </is>
      </c>
      <c r="D1026" s="488" t="inlineStr">
        <is>
          <t>Cantidad</t>
        </is>
      </c>
      <c r="E1026" s="488" t="inlineStr">
        <is>
          <t>Unidad</t>
        </is>
      </c>
      <c r="F1026" s="542" t="n"/>
    </row>
    <row r="1027">
      <c r="B1027" s="478" t="inlineStr">
        <is>
          <t>M01-0013</t>
        </is>
      </c>
      <c r="C1027" s="486" t="inlineStr">
        <is>
          <t>Gaza para bajante 4"</t>
        </is>
      </c>
      <c r="D1027" s="487" t="n">
        <v>1</v>
      </c>
      <c r="E1027" s="487" t="inlineStr">
        <is>
          <t>u</t>
        </is>
      </c>
      <c r="F1027" s="416" t="n"/>
    </row>
    <row r="1028">
      <c r="B1028" s="478" t="inlineStr">
        <is>
          <t>M15-0056</t>
        </is>
      </c>
      <c r="C1028" s="486" t="inlineStr">
        <is>
          <t>Bajante metalico</t>
        </is>
      </c>
      <c r="D1028" s="487" t="n">
        <v>12</v>
      </c>
      <c r="E1028" s="487" t="inlineStr">
        <is>
          <t>m</t>
        </is>
      </c>
      <c r="F1028" s="416" t="n"/>
    </row>
    <row r="1029">
      <c r="B1029" s="478" t="n"/>
      <c r="F1029" s="542" t="n"/>
    </row>
    <row r="1030">
      <c r="C1030" s="486" t="inlineStr">
        <is>
          <t xml:space="preserve">Total de kilos </t>
        </is>
      </c>
      <c r="D1030" s="487">
        <f>D1028*1.28</f>
        <v/>
      </c>
      <c r="E1030" s="488" t="inlineStr">
        <is>
          <t xml:space="preserve">kg </t>
        </is>
      </c>
    </row>
    <row r="1032">
      <c r="C1032" s="486" t="n"/>
      <c r="D1032" s="488" t="inlineStr">
        <is>
          <t>Costo</t>
        </is>
      </c>
      <c r="E1032" s="488" t="inlineStr">
        <is>
          <t xml:space="preserve">Costo Total </t>
        </is>
      </c>
      <c r="F1032" s="488" t="inlineStr">
        <is>
          <t>Horas</t>
        </is>
      </c>
      <c r="H1032" s="46" t="n"/>
    </row>
    <row r="1033">
      <c r="C1033" s="575" t="inlineStr">
        <is>
          <t>Bajantes</t>
        </is>
      </c>
      <c r="D1033" s="489">
        <f>+D205</f>
        <v/>
      </c>
      <c r="E1033" s="489">
        <f>+D1033*D1028</f>
        <v/>
      </c>
      <c r="F1033" s="490">
        <f>+E1033/'COSTOS MO CUADRILLA'!K25</f>
        <v/>
      </c>
      <c r="H1033" s="46" t="n"/>
    </row>
    <row r="1034">
      <c r="C1034" s="486" t="n"/>
      <c r="D1034" s="488" t="inlineStr">
        <is>
          <t xml:space="preserve">Total </t>
        </is>
      </c>
      <c r="E1034" s="489">
        <f>SUM(E1033:E1033)</f>
        <v/>
      </c>
      <c r="F1034" s="490">
        <f>+E1034/'COSTOS MO CUADRILLA'!K25</f>
        <v/>
      </c>
      <c r="G1034" s="46" t="n"/>
      <c r="H1034" s="46" t="n"/>
      <c r="I1034" s="10" t="n"/>
      <c r="J1034" s="576" t="n"/>
    </row>
    <row r="1035">
      <c r="C1035" s="46" t="n"/>
      <c r="D1035" s="46" t="n"/>
      <c r="F1035" s="46" t="n"/>
      <c r="G1035" s="46" t="n"/>
      <c r="H1035" s="46" t="n"/>
      <c r="I1035" s="10" t="n"/>
      <c r="J1035" s="576" t="n"/>
    </row>
    <row r="1036">
      <c r="C1036" s="466" t="n">
        <v>1.5</v>
      </c>
      <c r="D1036" s="574" t="inlineStr">
        <is>
          <t>OBRAS COMPLEMENTARIAS</t>
        </is>
      </c>
    </row>
    <row r="1038">
      <c r="C1038" s="468" t="inlineStr">
        <is>
          <t>1.5.1</t>
        </is>
      </c>
      <c r="D1038" s="468" t="inlineStr">
        <is>
          <t xml:space="preserve">GRADAS EN CONCRETO </t>
        </is>
      </c>
    </row>
    <row r="1040">
      <c r="C1040" s="413" t="inlineStr">
        <is>
          <t>Aplica segundo nivel:</t>
        </is>
      </c>
      <c r="D1040" s="413">
        <f>IF(D24=1,"No","Sí")</f>
        <v/>
      </c>
      <c r="E1040" s="481" t="n"/>
      <c r="F1040" s="416" t="n"/>
    </row>
    <row r="1041">
      <c r="C1041" s="413" t="inlineStr">
        <is>
          <t>Aplica azotea tercer nivel:</t>
        </is>
      </c>
      <c r="D1041" s="413">
        <f>IF(D24=1,"No",IF(D25="Sí","Sí","No"))</f>
        <v/>
      </c>
      <c r="E1041" s="481" t="n"/>
      <c r="F1041" s="416" t="n"/>
    </row>
    <row r="1042">
      <c r="F1042" s="542" t="n"/>
    </row>
    <row r="1043">
      <c r="C1043" s="491" t="inlineStr">
        <is>
          <t>CONCRETO GRADAS</t>
        </is>
      </c>
      <c r="F1043" s="542" t="n"/>
    </row>
    <row r="1044">
      <c r="F1044" s="542" t="n"/>
    </row>
    <row r="1045">
      <c r="C1045" s="413" t="inlineStr">
        <is>
          <t>Gradas rectas</t>
        </is>
      </c>
      <c r="D1045" s="59" t="n"/>
      <c r="E1045" s="60" t="n"/>
      <c r="F1045" s="543" t="n"/>
    </row>
    <row r="1046">
      <c r="C1046" s="411" t="inlineStr">
        <is>
          <t>Cantidad</t>
        </is>
      </c>
      <c r="D1046" s="413">
        <f>IF(D1041="Sí",22,IF(D1040="Sí",11,0))</f>
        <v/>
      </c>
      <c r="E1046" s="413" t="inlineStr">
        <is>
          <t>u</t>
        </is>
      </c>
      <c r="F1046" s="416" t="n"/>
    </row>
    <row r="1047">
      <c r="C1047" s="411" t="inlineStr">
        <is>
          <t>Largo</t>
        </is>
      </c>
      <c r="D1047" s="413" t="n">
        <v>1.06</v>
      </c>
      <c r="E1047" s="413" t="inlineStr">
        <is>
          <t>m</t>
        </is>
      </c>
      <c r="F1047" s="416" t="n"/>
    </row>
    <row r="1048">
      <c r="C1048" s="411" t="inlineStr">
        <is>
          <t>Sección</t>
        </is>
      </c>
      <c r="D1048" s="413" t="n">
        <v>0.077</v>
      </c>
      <c r="E1048" s="413" t="inlineStr">
        <is>
          <t>m2</t>
        </is>
      </c>
      <c r="F1048" s="416" t="n"/>
    </row>
    <row r="1049">
      <c r="C1049" s="411" t="inlineStr">
        <is>
          <t>Volumen untario</t>
        </is>
      </c>
      <c r="D1049" s="413">
        <f>+D1048*D1047</f>
        <v/>
      </c>
      <c r="E1049" s="413" t="inlineStr">
        <is>
          <t>m3</t>
        </is>
      </c>
      <c r="F1049" s="416" t="n"/>
    </row>
    <row r="1050">
      <c r="C1050" s="411" t="inlineStr">
        <is>
          <t>Volumen total</t>
        </is>
      </c>
      <c r="D1050" s="413">
        <f>+D1049*D1046</f>
        <v/>
      </c>
      <c r="E1050" s="413" t="inlineStr">
        <is>
          <t>m3</t>
        </is>
      </c>
      <c r="F1050" s="416" t="n"/>
    </row>
    <row r="1051">
      <c r="E1051" s="481" t="n"/>
      <c r="F1051" s="543" t="n"/>
    </row>
    <row r="1052">
      <c r="C1052" s="413" t="inlineStr">
        <is>
          <t>Gradas en esquina</t>
        </is>
      </c>
      <c r="D1052" s="59" t="n"/>
      <c r="E1052" s="60" t="n"/>
      <c r="F1052" s="543" t="n"/>
    </row>
    <row r="1053">
      <c r="C1053" s="411" t="inlineStr">
        <is>
          <t>Cantidad</t>
        </is>
      </c>
      <c r="D1053" s="413">
        <f>IF(D1041="Sí",8,IF(D1040="Sí",4,0))</f>
        <v/>
      </c>
      <c r="E1053" s="413" t="inlineStr">
        <is>
          <t>u</t>
        </is>
      </c>
      <c r="F1053" s="416" t="n"/>
    </row>
    <row r="1054">
      <c r="C1054" s="411" t="inlineStr">
        <is>
          <t>Espesor</t>
        </is>
      </c>
      <c r="D1054" s="413" t="n">
        <v>0.1</v>
      </c>
      <c r="E1054" s="413" t="inlineStr">
        <is>
          <t>m</t>
        </is>
      </c>
      <c r="F1054" s="416" t="n"/>
    </row>
    <row r="1055">
      <c r="C1055" s="411" t="inlineStr">
        <is>
          <t>Área</t>
        </is>
      </c>
      <c r="D1055" s="413">
        <f>0.76*0.76/2</f>
        <v/>
      </c>
      <c r="E1055" s="413" t="inlineStr">
        <is>
          <t>m2</t>
        </is>
      </c>
      <c r="F1055" s="416" t="n"/>
    </row>
    <row r="1056">
      <c r="C1056" s="411" t="inlineStr">
        <is>
          <t>Largo</t>
        </is>
      </c>
      <c r="D1056" s="413" t="n">
        <v>1.5</v>
      </c>
      <c r="E1056" s="413" t="inlineStr">
        <is>
          <t>m</t>
        </is>
      </c>
      <c r="F1056" s="416" t="n"/>
    </row>
    <row r="1057">
      <c r="C1057" s="411" t="inlineStr">
        <is>
          <t>Sección</t>
        </is>
      </c>
      <c r="D1057" s="413" t="n">
        <v>0.077</v>
      </c>
      <c r="E1057" s="413" t="inlineStr">
        <is>
          <t>m2</t>
        </is>
      </c>
      <c r="F1057" s="416" t="n"/>
    </row>
    <row r="1058">
      <c r="C1058" s="411" t="inlineStr">
        <is>
          <t>Volumen untario</t>
        </is>
      </c>
      <c r="D1058" s="413">
        <f>+D1055*D1054+D1056*D1057</f>
        <v/>
      </c>
      <c r="E1058" s="413" t="inlineStr">
        <is>
          <t>m3</t>
        </is>
      </c>
      <c r="F1058" s="416" t="n"/>
    </row>
    <row r="1059">
      <c r="C1059" s="411" t="inlineStr">
        <is>
          <t>Volumen total</t>
        </is>
      </c>
      <c r="D1059" s="413">
        <f>+D1058*D1053</f>
        <v/>
      </c>
      <c r="E1059" s="413" t="inlineStr">
        <is>
          <t>m3</t>
        </is>
      </c>
      <c r="F1059" s="416" t="n"/>
    </row>
    <row r="1060">
      <c r="E1060" s="481" t="n"/>
      <c r="F1060" s="543" t="n"/>
    </row>
    <row r="1061">
      <c r="C1061" s="486" t="inlineStr">
        <is>
          <t>CONCRETO  GRADAS</t>
        </is>
      </c>
      <c r="D1061" s="487">
        <f>+D1059+D1050</f>
        <v/>
      </c>
      <c r="E1061" s="488" t="inlineStr">
        <is>
          <t xml:space="preserve">m3 </t>
        </is>
      </c>
      <c r="F1061" s="416" t="n"/>
    </row>
    <row r="1063">
      <c r="B1063" s="469" t="n"/>
      <c r="C1063" s="488" t="inlineStr">
        <is>
          <t>Elemento</t>
        </is>
      </c>
      <c r="D1063" s="488" t="inlineStr">
        <is>
          <t>Cantidad</t>
        </is>
      </c>
      <c r="E1063" s="488" t="inlineStr">
        <is>
          <t>Unidad</t>
        </is>
      </c>
      <c r="F1063" s="543" t="n"/>
    </row>
    <row r="1064">
      <c r="B1064" s="476" t="inlineStr">
        <is>
          <t>M10-0047</t>
        </is>
      </c>
      <c r="C1064" s="486" t="inlineStr">
        <is>
          <t xml:space="preserve">Cemento </t>
        </is>
      </c>
      <c r="D1064" s="487">
        <f>ROUND(D1061*losac,0)</f>
        <v/>
      </c>
      <c r="E1064" s="488" t="inlineStr">
        <is>
          <t xml:space="preserve">kilos </t>
        </is>
      </c>
    </row>
    <row r="1065">
      <c r="B1065" s="476" t="inlineStr">
        <is>
          <t>M10-0010</t>
        </is>
      </c>
      <c r="C1065" s="486" t="inlineStr">
        <is>
          <t xml:space="preserve">Arena </t>
        </is>
      </c>
      <c r="D1065" s="487">
        <f>ROUND(D1061*losaa,1)</f>
        <v/>
      </c>
      <c r="E1065" s="488" t="inlineStr">
        <is>
          <t>m3</t>
        </is>
      </c>
    </row>
    <row r="1066">
      <c r="B1066" s="476" t="inlineStr">
        <is>
          <t>M10-0030</t>
        </is>
      </c>
      <c r="C1066" s="486" t="inlineStr">
        <is>
          <t xml:space="preserve">Piedra </t>
        </is>
      </c>
      <c r="D1066" s="487">
        <f>ROUND(D1061*losap,1)</f>
        <v/>
      </c>
      <c r="E1066" s="488" t="inlineStr">
        <is>
          <t>m3</t>
        </is>
      </c>
    </row>
    <row r="1067">
      <c r="B1067" s="476" t="inlineStr">
        <is>
          <t>M10-0009</t>
        </is>
      </c>
      <c r="C1067" s="486" t="inlineStr">
        <is>
          <t>Aditivo Ergo</t>
        </is>
      </c>
      <c r="D1067" s="487">
        <f>ROUND(D1061*losaad,0)</f>
        <v/>
      </c>
      <c r="E1067" s="488" t="inlineStr">
        <is>
          <t>litro</t>
        </is>
      </c>
    </row>
    <row r="1069">
      <c r="C1069" s="491" t="inlineStr">
        <is>
          <t>FORMALETA GRADAS</t>
        </is>
      </c>
    </row>
    <row r="1070">
      <c r="B1070" s="469" t="n"/>
      <c r="E1070" s="481" t="n"/>
    </row>
    <row r="1071">
      <c r="B1071" s="469" t="n"/>
      <c r="C1071" s="411" t="inlineStr">
        <is>
          <t>Laterales</t>
        </is>
      </c>
      <c r="D1071" s="413">
        <f>0.077*8</f>
        <v/>
      </c>
      <c r="E1071" s="413" t="inlineStr">
        <is>
          <t>m2</t>
        </is>
      </c>
    </row>
    <row r="1072">
      <c r="C1072" s="485" t="inlineStr">
        <is>
          <t>Superficie</t>
        </is>
      </c>
      <c r="D1072" s="470" t="n">
        <v>5.5</v>
      </c>
      <c r="E1072" s="470" t="inlineStr">
        <is>
          <t>m2</t>
        </is>
      </c>
    </row>
    <row r="1073">
      <c r="C1073" s="411" t="inlineStr">
        <is>
          <t>Cantidad</t>
        </is>
      </c>
      <c r="D1073" s="413">
        <f>+D1046/11</f>
        <v/>
      </c>
      <c r="E1073" s="413" t="inlineStr">
        <is>
          <t>u</t>
        </is>
      </c>
    </row>
    <row r="1074">
      <c r="E1074" s="481" t="n"/>
    </row>
    <row r="1075">
      <c r="C1075" s="486" t="inlineStr">
        <is>
          <t xml:space="preserve">FORMALETA </t>
        </is>
      </c>
      <c r="D1075" s="487">
        <f>D1071*D1072*D1073</f>
        <v/>
      </c>
      <c r="E1075" s="488" t="inlineStr">
        <is>
          <t xml:space="preserve">m2 </t>
        </is>
      </c>
      <c r="F1075" s="416" t="n"/>
    </row>
    <row r="1077">
      <c r="C1077" s="491" t="inlineStr">
        <is>
          <t>ACERO DE GRADAS</t>
        </is>
      </c>
      <c r="D1077" s="1147" t="n"/>
      <c r="E1077" s="324" t="n"/>
    </row>
    <row r="1079">
      <c r="C1079" s="411" t="inlineStr">
        <is>
          <t>Cantidad</t>
        </is>
      </c>
      <c r="D1079" s="413">
        <f>+D1073</f>
        <v/>
      </c>
      <c r="E1079" s="413" t="inlineStr">
        <is>
          <t>u</t>
        </is>
      </c>
    </row>
    <row r="1080">
      <c r="C1080" s="411" t="inlineStr">
        <is>
          <t>Descansos</t>
        </is>
      </c>
      <c r="D1080" s="413" t="n">
        <v>2.11</v>
      </c>
      <c r="E1080" s="455" t="inlineStr">
        <is>
          <t>m2</t>
        </is>
      </c>
    </row>
    <row r="1081">
      <c r="C1081" s="411" t="inlineStr">
        <is>
          <t>Ancho gradas</t>
        </is>
      </c>
      <c r="D1081" s="413" t="n">
        <v>1.06</v>
      </c>
      <c r="E1081" s="455" t="inlineStr">
        <is>
          <t>m</t>
        </is>
      </c>
    </row>
    <row r="1082">
      <c r="C1082" s="536" t="inlineStr">
        <is>
          <t>Largo de gradas</t>
        </is>
      </c>
      <c r="D1082" s="537">
        <f>0.344*11</f>
        <v/>
      </c>
      <c r="E1082" s="537" t="inlineStr">
        <is>
          <t>m</t>
        </is>
      </c>
    </row>
    <row r="1083">
      <c r="C1083" s="473" t="n"/>
      <c r="D1083" s="1151" t="n"/>
      <c r="E1083" s="427" t="n"/>
    </row>
    <row r="1084">
      <c r="C1084" s="488" t="inlineStr">
        <is>
          <t>Elemento</t>
        </is>
      </c>
      <c r="D1084" s="488" t="inlineStr">
        <is>
          <t>Cantidad/espaciamiento</t>
        </is>
      </c>
      <c r="E1084" s="488" t="inlineStr">
        <is>
          <t># Varilla</t>
        </is>
      </c>
      <c r="F1084" s="488" t="inlineStr">
        <is>
          <t>Total</t>
        </is>
      </c>
      <c r="G1084" s="488" t="inlineStr">
        <is>
          <t>Peso</t>
        </is>
      </c>
    </row>
    <row r="1085">
      <c r="C1085" s="486" t="inlineStr">
        <is>
          <t>Longitudinal de gradas</t>
        </is>
      </c>
      <c r="D1085" s="487" t="n">
        <v>0.1</v>
      </c>
      <c r="E1085" s="488" t="inlineStr">
        <is>
          <t>#3</t>
        </is>
      </c>
      <c r="F1085" s="487">
        <f>ROUNDUP(D1081/D1085+1,0)*(D1082+0.6*4)*D1079/6</f>
        <v/>
      </c>
      <c r="G1085" s="487">
        <f>IF(E1085="#2",1.494,IF(E1085="#3",3.36,IF(E1085="#4",5.964,IF(E1085="#5",9.312,IF(E1085="#2 de 4.11",18.56,IF(E1085="#2 de 4.88",26.17,IF(E1085="#2 de 5.3",30.87,0)))))))*F1085</f>
        <v/>
      </c>
    </row>
    <row r="1086">
      <c r="C1086" s="486" t="inlineStr">
        <is>
          <t>Transversal de gradas</t>
        </is>
      </c>
      <c r="D1086" s="487" t="n">
        <v>0.2</v>
      </c>
      <c r="E1086" s="488" t="inlineStr">
        <is>
          <t>#3</t>
        </is>
      </c>
      <c r="F1086" s="487">
        <f>ROUNDUP(D1082/D1086+2,0)*(D1081+0.6)*D1079/6</f>
        <v/>
      </c>
      <c r="G1086" s="487">
        <f>IF(E1086="#2",1.494,IF(E1086="#3",3.36,IF(E1086="#4",5.964,IF(E1086="#5",9.312,IF(E1086="#2 de 4.11",18.56,IF(E1086="#2 de 4.88",26.17,IF(E1086="#2 de 5.3",30.87,0)))))))*F1086</f>
        <v/>
      </c>
    </row>
    <row r="1087">
      <c r="C1087" s="486" t="inlineStr">
        <is>
          <t>Malla de descansos</t>
        </is>
      </c>
      <c r="D1087" s="487" t="n">
        <v>0.1</v>
      </c>
      <c r="E1087" s="488" t="inlineStr">
        <is>
          <t>#3</t>
        </is>
      </c>
      <c r="F1087" s="488">
        <f>1.1/D1087*4*D1080/5.5*D1079</f>
        <v/>
      </c>
      <c r="G1087" s="487">
        <f>IF(E1087="#2",1.494,IF(E1087="#3",3.36,IF(E1087="#4",5.964,IF(E1087="#5",9.312,IF(E1087="#2 de 4.11",18.56,IF(E1087="#2 de 4.88",26.17,IF(E1087="#2 de 5.3",30.87,0)))))))*F1087</f>
        <v/>
      </c>
    </row>
    <row r="1089">
      <c r="B1089" s="469" t="n"/>
      <c r="C1089" s="488" t="inlineStr">
        <is>
          <t>Elemento</t>
        </is>
      </c>
      <c r="D1089" s="488" t="inlineStr">
        <is>
          <t>Cantidad</t>
        </is>
      </c>
      <c r="E1089" s="488" t="inlineStr">
        <is>
          <t>Unidad</t>
        </is>
      </c>
    </row>
    <row r="1090">
      <c r="B1090" s="476" t="inlineStr">
        <is>
          <t>M01-0147</t>
        </is>
      </c>
      <c r="C1090" s="488" t="inlineStr">
        <is>
          <t>Varilla #3 G60</t>
        </is>
      </c>
      <c r="D1090" s="487">
        <f>ROUNDUP(F1085+F1086+F1087,0)</f>
        <v/>
      </c>
      <c r="E1090" s="488" t="inlineStr">
        <is>
          <t>uni</t>
        </is>
      </c>
      <c r="F1090" s="416" t="n"/>
    </row>
    <row r="1091">
      <c r="B1091" s="476" t="inlineStr">
        <is>
          <t>M01-0001</t>
        </is>
      </c>
      <c r="C1091" s="488" t="inlineStr">
        <is>
          <t>Alambre negro</t>
        </is>
      </c>
      <c r="D1091" s="487">
        <f>ROUND(SUM(G1085:G1087)*FAN,0)</f>
        <v/>
      </c>
      <c r="E1091" s="488" t="inlineStr">
        <is>
          <t>kg</t>
        </is>
      </c>
      <c r="F1091" s="416" t="n"/>
    </row>
    <row r="1092">
      <c r="B1092" s="476" t="inlineStr">
        <is>
          <t>M08-0051</t>
        </is>
      </c>
      <c r="C1092" s="488" t="inlineStr">
        <is>
          <t>Disco corte fino metal 4-1/2</t>
        </is>
      </c>
      <c r="D1092" s="487">
        <f>ROUNDUP((D1090*3.36)*0.004,0)</f>
        <v/>
      </c>
      <c r="E1092" s="488" t="inlineStr">
        <is>
          <t>uni</t>
        </is>
      </c>
    </row>
    <row r="1093">
      <c r="B1093" s="476" t="inlineStr">
        <is>
          <t>M08-0037</t>
        </is>
      </c>
      <c r="C1093" s="488" t="inlineStr">
        <is>
          <t>Disco corte metal fino 9"</t>
        </is>
      </c>
      <c r="D1093" s="487">
        <f>+D1092</f>
        <v/>
      </c>
      <c r="E1093" s="488" t="inlineStr">
        <is>
          <t>uni</t>
        </is>
      </c>
    </row>
    <row r="1095">
      <c r="C1095" s="488" t="n"/>
      <c r="D1095" s="488" t="inlineStr">
        <is>
          <t>Costo</t>
        </is>
      </c>
      <c r="E1095" s="488" t="inlineStr">
        <is>
          <t>Total</t>
        </is>
      </c>
      <c r="F1095" s="488" t="inlineStr">
        <is>
          <t>Horas</t>
        </is>
      </c>
    </row>
    <row r="1096">
      <c r="C1096" s="488" t="inlineStr">
        <is>
          <t>FORMALETA GRADAS</t>
        </is>
      </c>
      <c r="D1096" s="489">
        <f>+D170</f>
        <v/>
      </c>
      <c r="E1096" s="489">
        <f>+D1096*D1075</f>
        <v/>
      </c>
      <c r="F1096" s="488">
        <f>ROUND(E1096/'COSTOS MO CUADRILLA'!K27,0)</f>
        <v/>
      </c>
    </row>
    <row r="1097">
      <c r="C1097" s="488" t="inlineStr">
        <is>
          <t>ARMADURA DE GRADAS</t>
        </is>
      </c>
      <c r="D1097" s="489">
        <f>+D152*2.6</f>
        <v/>
      </c>
      <c r="E1097" s="489">
        <f>+D1097*SUM(G1085:G1087)</f>
        <v/>
      </c>
      <c r="F1097" s="488">
        <f>ROUND(E1097/'COSTOS MO CUADRILLA'!K27,0)</f>
        <v/>
      </c>
    </row>
    <row r="1098">
      <c r="C1098" s="488" t="inlineStr">
        <is>
          <t xml:space="preserve">COLADO GRADAS </t>
        </is>
      </c>
      <c r="D1098" s="489">
        <f>+D169</f>
        <v/>
      </c>
      <c r="E1098" s="489">
        <f>+D1098*D1061</f>
        <v/>
      </c>
      <c r="F1098" s="488">
        <f>ROUND(E1098/'COSTOS MO CUADRILLA'!K27,0)</f>
        <v/>
      </c>
    </row>
    <row r="1099">
      <c r="C1099" s="488" t="inlineStr">
        <is>
          <t>TRAZO FORMALETA GRADAS</t>
        </is>
      </c>
      <c r="D1099" s="489">
        <f>+D171</f>
        <v/>
      </c>
      <c r="E1099" s="489">
        <f>+D1099*D1075</f>
        <v/>
      </c>
      <c r="F1099" s="488">
        <f>ROUND(E1099/'COSTOS MO CUADRILLA'!K27,0)</f>
        <v/>
      </c>
    </row>
    <row r="1100">
      <c r="C1100" s="488" t="inlineStr">
        <is>
          <t>DESENCOFRE GRADAS</t>
        </is>
      </c>
      <c r="D1100" s="489">
        <f>+D172</f>
        <v/>
      </c>
      <c r="E1100" s="489">
        <f>+D1100*D1075</f>
        <v/>
      </c>
      <c r="F1100" s="488">
        <f>ROUND(E1100/'COSTOS MO CUADRILLA'!K27,0)</f>
        <v/>
      </c>
    </row>
    <row r="1101">
      <c r="C1101" s="486" t="n"/>
      <c r="D1101" s="488" t="inlineStr">
        <is>
          <t xml:space="preserve">Total </t>
        </is>
      </c>
      <c r="E1101" s="489">
        <f>SUM(E1096:E1100)</f>
        <v/>
      </c>
      <c r="F1101" s="490">
        <f>+E1101/'COSTOS MO CUADRILLA'!K27</f>
        <v/>
      </c>
    </row>
    <row r="1103">
      <c r="C1103" s="468" t="inlineStr">
        <is>
          <t>1.5.2</t>
        </is>
      </c>
      <c r="D1103" s="468" t="inlineStr">
        <is>
          <t>COLUMNAS (MEDIDOR)</t>
        </is>
      </c>
    </row>
    <row r="1105">
      <c r="C1105" s="491" t="inlineStr">
        <is>
          <t>FUNDACIONES DE COLUMNAS</t>
        </is>
      </c>
    </row>
    <row r="1107">
      <c r="C1107" s="485" t="inlineStr">
        <is>
          <t>CANTIDAD</t>
        </is>
      </c>
      <c r="D1107" s="470" t="n">
        <v>1</v>
      </c>
      <c r="E1107" s="470" t="inlineStr">
        <is>
          <t>u</t>
        </is>
      </c>
      <c r="F1107" s="416" t="n"/>
    </row>
    <row r="1108">
      <c r="C1108" s="485" t="inlineStr">
        <is>
          <t xml:space="preserve">LARGO </t>
        </is>
      </c>
      <c r="D1108" s="470" t="n">
        <v>2.75</v>
      </c>
      <c r="E1108" s="470" t="inlineStr">
        <is>
          <t xml:space="preserve">m </t>
        </is>
      </c>
      <c r="F1108" s="416" t="n"/>
    </row>
    <row r="1109">
      <c r="C1109" s="411" t="inlineStr">
        <is>
          <t xml:space="preserve">ANCHO </t>
        </is>
      </c>
      <c r="D1109" s="455" t="n">
        <v>0.4</v>
      </c>
      <c r="E1109" s="413" t="inlineStr">
        <is>
          <t xml:space="preserve">m </t>
        </is>
      </c>
      <c r="F1109" s="416" t="n"/>
    </row>
    <row r="1110">
      <c r="C1110" s="485" t="inlineStr">
        <is>
          <t xml:space="preserve">ESPESOR </t>
        </is>
      </c>
      <c r="D1110" s="470" t="n">
        <v>0.25</v>
      </c>
      <c r="E1110" s="470" t="inlineStr">
        <is>
          <t xml:space="preserve">m </t>
        </is>
      </c>
      <c r="F1110" s="416" t="n"/>
    </row>
    <row r="1111">
      <c r="F1111" s="542" t="n"/>
    </row>
    <row r="1113">
      <c r="C1113" s="486" t="inlineStr">
        <is>
          <t xml:space="preserve">CONCRETO </t>
        </is>
      </c>
      <c r="D1113" s="487">
        <f>D1108*D1109*D1110*D1107</f>
        <v/>
      </c>
      <c r="E1113" s="488" t="inlineStr">
        <is>
          <t xml:space="preserve">m3 </t>
        </is>
      </c>
      <c r="F1113" s="577" t="n"/>
    </row>
    <row r="1114">
      <c r="D1114" s="538" t="n"/>
    </row>
    <row r="1115">
      <c r="C1115" s="491" t="inlineStr">
        <is>
          <t xml:space="preserve">ACERO FUNDACION </t>
        </is>
      </c>
      <c r="D1115" s="491" t="inlineStr">
        <is>
          <t xml:space="preserve"># Malla #3 @20  cm </t>
        </is>
      </c>
    </row>
    <row r="1117">
      <c r="C1117" s="488" t="inlineStr">
        <is>
          <t>Elemento</t>
        </is>
      </c>
      <c r="D1117" s="488" t="inlineStr">
        <is>
          <t>Cantidad/espaciamiento</t>
        </is>
      </c>
      <c r="E1117" s="488" t="inlineStr">
        <is>
          <t># Varilla</t>
        </is>
      </c>
      <c r="F1117" s="488" t="inlineStr">
        <is>
          <t>Total</t>
        </is>
      </c>
      <c r="G1117" s="488" t="inlineStr">
        <is>
          <t>Peso</t>
        </is>
      </c>
    </row>
    <row r="1118">
      <c r="C1118" s="486" t="inlineStr">
        <is>
          <t>Longitudinal de placa</t>
        </is>
      </c>
      <c r="D1118" s="487" t="n">
        <v>0.2</v>
      </c>
      <c r="E1118" s="488" t="inlineStr">
        <is>
          <t>#3</t>
        </is>
      </c>
      <c r="F1118" s="487">
        <f>(ROUNDUP(D1109/D1118,0)+1)*(D1108+D1110*2)*D1107*(1+FDG)/6</f>
        <v/>
      </c>
      <c r="G1118" s="487">
        <f>IF(E1118="#2",1.494,IF(E1118="#3",3.36,IF(E1118="#4",5.964,IF(E1118="#5",9.312,IF(E1118="#2 de 4.11",18.56,IF(E1118="#2 de 4.88",26.17,IF(E1118="#2 de 5.3",30.87,0)))))))*F1118</f>
        <v/>
      </c>
      <c r="H1118" s="416" t="n"/>
    </row>
    <row r="1119">
      <c r="C1119" s="486" t="inlineStr">
        <is>
          <t>Transversal de placa</t>
        </is>
      </c>
      <c r="D1119" s="487" t="n">
        <v>0.2</v>
      </c>
      <c r="E1119" s="488" t="inlineStr">
        <is>
          <t>#3</t>
        </is>
      </c>
      <c r="F1119" s="487">
        <f>(ROUNDUP(D1108/D1119,0)+1)*(D1109+D1110*2)*D1107*(1+FDG)/6</f>
        <v/>
      </c>
      <c r="G1119" s="487">
        <f>IF(E1119="#2",1.494,IF(E1119="#3",3.36,IF(E1119="#4",5.964,IF(E1119="#5",9.312,IF(E1119="#2 de 4.11",18.56,IF(E1119="#2 de 4.88",26.17,IF(E1119="#2 de 5.3",30.87,0)))))))*F1119</f>
        <v/>
      </c>
      <c r="H1119" s="416" t="n"/>
    </row>
    <row r="1120">
      <c r="H1120" s="542" t="n"/>
    </row>
    <row r="1121">
      <c r="C1121" s="491" t="inlineStr">
        <is>
          <t xml:space="preserve">COLUMNA COCHERA </t>
        </is>
      </c>
    </row>
    <row r="1123">
      <c r="C1123" s="485" t="inlineStr">
        <is>
          <t>CANTIDAD</t>
        </is>
      </c>
      <c r="D1123" s="470" t="n">
        <v>2</v>
      </c>
      <c r="E1123" s="470" t="inlineStr">
        <is>
          <t>u</t>
        </is>
      </c>
      <c r="F1123" s="416" t="n"/>
    </row>
    <row r="1124">
      <c r="C1124" s="485" t="inlineStr">
        <is>
          <t xml:space="preserve">ESPESOR </t>
        </is>
      </c>
      <c r="D1124" s="470" t="n">
        <v>0.12</v>
      </c>
      <c r="E1124" s="470" t="inlineStr">
        <is>
          <t xml:space="preserve">m </t>
        </is>
      </c>
      <c r="F1124" s="416" t="n"/>
    </row>
    <row r="1125">
      <c r="C1125" s="411" t="inlineStr">
        <is>
          <t>ANCHO</t>
        </is>
      </c>
      <c r="D1125" s="413" t="n">
        <v>0.6</v>
      </c>
      <c r="E1125" s="413" t="inlineStr">
        <is>
          <t xml:space="preserve">m </t>
        </is>
      </c>
      <c r="F1125" s="416" t="n"/>
    </row>
    <row r="1126">
      <c r="C1126" s="411" t="inlineStr">
        <is>
          <t xml:space="preserve">ALTO </t>
        </is>
      </c>
      <c r="D1126" s="470">
        <f>2.55+0.25</f>
        <v/>
      </c>
      <c r="E1126" s="470" t="inlineStr">
        <is>
          <t xml:space="preserve">m </t>
        </is>
      </c>
      <c r="F1126" s="416" t="n"/>
    </row>
    <row r="1127">
      <c r="E1127" s="481" t="n"/>
      <c r="F1127" s="493" t="n"/>
    </row>
    <row r="1128">
      <c r="C1128" s="486" t="inlineStr">
        <is>
          <t xml:space="preserve">CONCRETO </t>
        </is>
      </c>
      <c r="D1128" s="487">
        <f>((D1124*D1125*D1126)+(D1124*D1125*0.65))*1.05</f>
        <v/>
      </c>
      <c r="E1128" s="488" t="inlineStr">
        <is>
          <t xml:space="preserve">m3 </t>
        </is>
      </c>
      <c r="F1128" s="416" t="n"/>
    </row>
    <row r="1129">
      <c r="D1129" s="538" t="n"/>
      <c r="F1129" s="578" t="n"/>
    </row>
    <row r="1130">
      <c r="C1130" s="491" t="inlineStr">
        <is>
          <t>ACERO COLUMNA COCHERA</t>
        </is>
      </c>
      <c r="D1130" s="579" t="n"/>
    </row>
    <row r="1132">
      <c r="C1132" s="488" t="inlineStr">
        <is>
          <t>Elemento</t>
        </is>
      </c>
      <c r="D1132" s="488" t="inlineStr">
        <is>
          <t>Cantidad/espaciamiento</t>
        </is>
      </c>
      <c r="E1132" s="488" t="inlineStr">
        <is>
          <t># Varilla</t>
        </is>
      </c>
      <c r="F1132" s="488" t="inlineStr">
        <is>
          <t>Total</t>
        </is>
      </c>
      <c r="G1132" s="488" t="inlineStr">
        <is>
          <t>Peso</t>
        </is>
      </c>
    </row>
    <row r="1133">
      <c r="C1133" s="486" t="inlineStr">
        <is>
          <t>Longitudinal de columna cochera</t>
        </is>
      </c>
      <c r="D1133" s="487" t="n">
        <v>8</v>
      </c>
      <c r="E1133" s="488" t="inlineStr">
        <is>
          <t>#3</t>
        </is>
      </c>
      <c r="F1133" s="487">
        <f>+D1133*(D1126+0.5)/6*D1123</f>
        <v/>
      </c>
      <c r="G1133" s="487">
        <f>IF(E1133="#2",1.494,IF(E1133="#3",3.36,IF(E1133="#4",5.964,IF(E1133="#5",9.312,IF(E1133="#2 de 4.11",18.56,IF(E1133="#2 de 4.88",26.17,IF(E1133="#2 de 5.3",30.87,0)))))))*F1133</f>
        <v/>
      </c>
      <c r="H1133" s="416" t="n"/>
    </row>
    <row r="1134">
      <c r="C1134" s="486" t="inlineStr">
        <is>
          <t>Aros de columna cochera</t>
        </is>
      </c>
      <c r="D1134" s="1152" t="n">
        <v>0.125</v>
      </c>
      <c r="E1134" s="488" t="inlineStr">
        <is>
          <t>#2</t>
        </is>
      </c>
      <c r="F1134" s="487">
        <f>D1126/D1134*(D1125+D1124)*2*(1+FDG)/6*D1123</f>
        <v/>
      </c>
      <c r="G1134" s="487">
        <f>IF(E1134="#2",1.494,IF(E1134="#3",3.36,IF(E1134="#4",5.964,IF(E1134="#5",9.312,IF(E1134="#2 de 4.11",18.56,IF(E1134="#2 de 4.88",26.17,IF(E1134="#2 de 5.3",30.87,0)))))))*F1134</f>
        <v/>
      </c>
      <c r="H1134" s="416" t="n"/>
    </row>
    <row r="1136">
      <c r="C1136" s="491" t="inlineStr">
        <is>
          <t>FORMALETA COLUMNA COCHERA</t>
        </is>
      </c>
    </row>
    <row r="1138">
      <c r="C1138" s="411" t="inlineStr">
        <is>
          <t>PERIMETRO</t>
        </is>
      </c>
      <c r="D1138" s="413">
        <f>(D1124+D1125)*2</f>
        <v/>
      </c>
      <c r="E1138" s="413" t="inlineStr">
        <is>
          <t xml:space="preserve">m </t>
        </is>
      </c>
      <c r="F1138" s="416" t="n"/>
    </row>
    <row r="1139">
      <c r="C1139" s="485" t="inlineStr">
        <is>
          <t>ALTO</t>
        </is>
      </c>
      <c r="D1139" s="470">
        <f>+D1126</f>
        <v/>
      </c>
      <c r="E1139" s="470" t="inlineStr">
        <is>
          <t xml:space="preserve">m </t>
        </is>
      </c>
      <c r="F1139" s="416" t="n"/>
    </row>
    <row r="1140">
      <c r="C1140" s="581" t="inlineStr">
        <is>
          <t>FORMALETA</t>
        </is>
      </c>
      <c r="D1140" s="475">
        <f>+D1139*D1138</f>
        <v/>
      </c>
      <c r="E1140" s="475" t="inlineStr">
        <is>
          <t>m2</t>
        </is>
      </c>
      <c r="F1140" s="416" t="n"/>
    </row>
    <row r="1141">
      <c r="F1141" s="542" t="n"/>
    </row>
    <row r="1142">
      <c r="C1142" s="491" t="inlineStr">
        <is>
          <t xml:space="preserve">COLUMNA MEDIDOR </t>
        </is>
      </c>
      <c r="F1142" s="542" t="n"/>
    </row>
    <row r="1143">
      <c r="F1143" s="542" t="n"/>
    </row>
    <row r="1144">
      <c r="C1144" s="485" t="inlineStr">
        <is>
          <t xml:space="preserve">ESPESOR </t>
        </is>
      </c>
      <c r="D1144" s="470" t="n">
        <v>0.2</v>
      </c>
      <c r="E1144" s="470" t="inlineStr">
        <is>
          <t xml:space="preserve">m </t>
        </is>
      </c>
      <c r="F1144" s="416" t="n"/>
    </row>
    <row r="1145">
      <c r="C1145" s="411" t="inlineStr">
        <is>
          <t>ANCHO</t>
        </is>
      </c>
      <c r="D1145" s="413" t="n">
        <v>0.33</v>
      </c>
      <c r="E1145" s="413" t="inlineStr">
        <is>
          <t xml:space="preserve">m </t>
        </is>
      </c>
      <c r="F1145" s="416" t="n"/>
    </row>
    <row r="1146">
      <c r="C1146" s="411" t="inlineStr">
        <is>
          <t xml:space="preserve">ALTO </t>
        </is>
      </c>
      <c r="D1146" s="470" t="n">
        <v>2.88</v>
      </c>
      <c r="E1146" s="470" t="inlineStr">
        <is>
          <t xml:space="preserve">m </t>
        </is>
      </c>
      <c r="F1146" s="416" t="n"/>
    </row>
    <row r="1148">
      <c r="C1148" s="486" t="inlineStr">
        <is>
          <t xml:space="preserve">CONCRETO </t>
        </is>
      </c>
      <c r="D1148" s="487">
        <f>D1144*D1145*D1146</f>
        <v/>
      </c>
      <c r="E1148" s="488" t="inlineStr">
        <is>
          <t xml:space="preserve">m3 </t>
        </is>
      </c>
      <c r="F1148" s="416" t="n"/>
    </row>
    <row r="1149">
      <c r="D1149" s="538" t="n"/>
      <c r="F1149" s="542" t="n"/>
    </row>
    <row r="1150">
      <c r="C1150" s="491" t="inlineStr">
        <is>
          <t xml:space="preserve">ACERO COLUMNA MEDIDOR </t>
        </is>
      </c>
      <c r="D1150" s="579" t="n"/>
    </row>
    <row r="1152">
      <c r="C1152" s="488" t="inlineStr">
        <is>
          <t>Elemento</t>
        </is>
      </c>
      <c r="D1152" s="488" t="inlineStr">
        <is>
          <t>Cantidad/espaciamiento</t>
        </is>
      </c>
      <c r="E1152" s="488" t="inlineStr">
        <is>
          <t># Varilla</t>
        </is>
      </c>
      <c r="F1152" s="488" t="inlineStr">
        <is>
          <t>Total</t>
        </is>
      </c>
      <c r="G1152" s="488" t="inlineStr">
        <is>
          <t>Peso</t>
        </is>
      </c>
    </row>
    <row r="1153">
      <c r="C1153" s="486" t="inlineStr">
        <is>
          <t>Longitudinal de columna cochera</t>
        </is>
      </c>
      <c r="D1153" s="487" t="n">
        <v>4</v>
      </c>
      <c r="E1153" s="488" t="inlineStr">
        <is>
          <t>#3</t>
        </is>
      </c>
      <c r="F1153" s="487">
        <f>+D1153*(D1146+0.5)/6</f>
        <v/>
      </c>
      <c r="G1153" s="487">
        <f>IF(E1153="#2",1.494,IF(E1153="#3",3.36,IF(E1153="#4",5.964,IF(E1153="#5",9.312,IF(E1153="#2 de 4.11",18.56,IF(E1153="#2 de 4.88",26.17,IF(E1153="#2 de 5.3",30.87,0)))))))*F1153</f>
        <v/>
      </c>
      <c r="H1153" s="416" t="n"/>
    </row>
    <row r="1154">
      <c r="C1154" s="486" t="inlineStr">
        <is>
          <t>Aros de columna cochera</t>
        </is>
      </c>
      <c r="D1154" s="487" t="n">
        <v>0.15</v>
      </c>
      <c r="E1154" s="488" t="inlineStr">
        <is>
          <t>#2</t>
        </is>
      </c>
      <c r="F1154" s="487">
        <f>D1146/D1154*(D1145+D1144)*2*(1+FDG)/6</f>
        <v/>
      </c>
      <c r="G1154" s="487">
        <f>IF(E1154="#2",1.494,IF(E1154="#3",3.36,IF(E1154="#4",5.964,IF(E1154="#5",9.312,IF(E1154="#2 de 4.11",18.56,IF(E1154="#2 de 4.88",26.17,IF(E1154="#2 de 5.3",30.87,0)))))))*F1154</f>
        <v/>
      </c>
      <c r="H1154" s="416" t="n"/>
    </row>
    <row r="1155">
      <c r="H1155" s="542" t="n"/>
    </row>
    <row r="1156">
      <c r="C1156" s="491" t="inlineStr">
        <is>
          <t>FORMALETA COLUMNA COCHERA</t>
        </is>
      </c>
    </row>
    <row r="1158">
      <c r="C1158" s="411" t="inlineStr">
        <is>
          <t>PERIMETRO</t>
        </is>
      </c>
      <c r="D1158" s="413">
        <f>(D1144+D1145)*2</f>
        <v/>
      </c>
      <c r="E1158" s="413" t="inlineStr">
        <is>
          <t xml:space="preserve">m </t>
        </is>
      </c>
    </row>
    <row r="1159">
      <c r="C1159" s="485" t="inlineStr">
        <is>
          <t>ALTO</t>
        </is>
      </c>
      <c r="D1159" s="470">
        <f>+D1146</f>
        <v/>
      </c>
      <c r="E1159" s="470" t="inlineStr">
        <is>
          <t xml:space="preserve">m </t>
        </is>
      </c>
    </row>
    <row r="1160">
      <c r="C1160" s="581" t="inlineStr">
        <is>
          <t>FORMALETA</t>
        </is>
      </c>
      <c r="D1160" s="475">
        <f>+D1159*D1158</f>
        <v/>
      </c>
      <c r="E1160" s="475" t="inlineStr">
        <is>
          <t>m2</t>
        </is>
      </c>
      <c r="F1160" s="416" t="n"/>
    </row>
    <row r="1163">
      <c r="B1163" s="469" t="n"/>
      <c r="C1163" s="488" t="inlineStr">
        <is>
          <t>Elemento</t>
        </is>
      </c>
      <c r="D1163" s="488" t="inlineStr">
        <is>
          <t>Cantidad</t>
        </is>
      </c>
      <c r="E1163" s="488" t="inlineStr">
        <is>
          <t>Unidad</t>
        </is>
      </c>
      <c r="F1163" s="550" t="n"/>
    </row>
    <row r="1164">
      <c r="B1164" s="476" t="inlineStr">
        <is>
          <t>M10-0047</t>
        </is>
      </c>
      <c r="C1164" s="486" t="inlineStr">
        <is>
          <t xml:space="preserve">Cemento </t>
        </is>
      </c>
      <c r="D1164" s="487">
        <f>ROUND(D1174*muroc,0)</f>
        <v/>
      </c>
      <c r="E1164" s="488" t="inlineStr">
        <is>
          <t xml:space="preserve">kilos </t>
        </is>
      </c>
      <c r="F1164" s="416" t="n"/>
    </row>
    <row r="1165">
      <c r="B1165" s="476" t="inlineStr">
        <is>
          <t>M10-0010</t>
        </is>
      </c>
      <c r="C1165" s="486" t="inlineStr">
        <is>
          <t xml:space="preserve">Arena </t>
        </is>
      </c>
      <c r="D1165" s="487">
        <f>ROUND(D1174*muroa,1)</f>
        <v/>
      </c>
      <c r="E1165" s="488" t="inlineStr">
        <is>
          <t>m3</t>
        </is>
      </c>
      <c r="F1165" s="416" t="n"/>
    </row>
    <row r="1166">
      <c r="B1166" s="476" t="inlineStr">
        <is>
          <t>M10-0030</t>
        </is>
      </c>
      <c r="C1166" s="486" t="inlineStr">
        <is>
          <t xml:space="preserve">Piedra </t>
        </is>
      </c>
      <c r="D1166" s="487">
        <f>ROUND(D1174*murop,1)</f>
        <v/>
      </c>
      <c r="E1166" s="488" t="inlineStr">
        <is>
          <t>m3</t>
        </is>
      </c>
      <c r="F1166" s="416" t="n"/>
    </row>
    <row r="1167">
      <c r="B1167" s="476" t="inlineStr">
        <is>
          <t>M10-0009</t>
        </is>
      </c>
      <c r="C1167" s="486" t="inlineStr">
        <is>
          <t>Aditivo Ergo 4000</t>
        </is>
      </c>
      <c r="D1167" s="487">
        <f>ROUND(D1174*muroad,0)</f>
        <v/>
      </c>
      <c r="E1167" s="488" t="inlineStr">
        <is>
          <t>litro</t>
        </is>
      </c>
      <c r="F1167" s="416" t="n"/>
    </row>
    <row r="1168">
      <c r="B1168" s="476" t="inlineStr">
        <is>
          <t>M10-0003</t>
        </is>
      </c>
      <c r="C1168" s="486" t="inlineStr">
        <is>
          <t>Fibra</t>
        </is>
      </c>
      <c r="D1168" s="487">
        <f>ROUND(D1174*murof,0)</f>
        <v/>
      </c>
      <c r="E1168" s="488" t="inlineStr">
        <is>
          <t>litro</t>
        </is>
      </c>
      <c r="F1168" s="416" t="n"/>
    </row>
    <row r="1169">
      <c r="B1169" s="476" t="n"/>
      <c r="E1169" s="481" t="n"/>
    </row>
    <row r="1170">
      <c r="B1170" s="476" t="n"/>
      <c r="C1170" s="488" t="inlineStr">
        <is>
          <t>Elemento</t>
        </is>
      </c>
      <c r="D1170" s="488" t="inlineStr">
        <is>
          <t>Cantidad</t>
        </is>
      </c>
      <c r="E1170" s="488" t="inlineStr">
        <is>
          <t>Unidad</t>
        </is>
      </c>
    </row>
    <row r="1171">
      <c r="B1171" s="476" t="inlineStr">
        <is>
          <t>M01-0146</t>
        </is>
      </c>
      <c r="C1171" s="497" t="inlineStr">
        <is>
          <t>Varilla #2</t>
        </is>
      </c>
      <c r="D1171" s="487">
        <f>ROUNDUP(F1134+F1154,0)</f>
        <v/>
      </c>
      <c r="E1171" s="488" t="inlineStr">
        <is>
          <t>uni</t>
        </is>
      </c>
      <c r="F1171" s="416" t="n"/>
    </row>
    <row r="1172">
      <c r="B1172" s="476" t="inlineStr">
        <is>
          <t>M01-0147</t>
        </is>
      </c>
      <c r="C1172" s="497" t="inlineStr">
        <is>
          <t>Varilla #3 G60</t>
        </is>
      </c>
      <c r="D1172" s="487">
        <f>ROUNDUP(F1118+F1119+F1133+F1153,0)</f>
        <v/>
      </c>
      <c r="E1172" s="488" t="inlineStr">
        <is>
          <t>uni</t>
        </is>
      </c>
      <c r="F1172" s="416" t="n"/>
    </row>
    <row r="1173">
      <c r="B1173" s="476" t="inlineStr">
        <is>
          <t>M01-0001</t>
        </is>
      </c>
      <c r="C1173" s="497" t="inlineStr">
        <is>
          <t>Alambre negro</t>
        </is>
      </c>
      <c r="D1173" s="487">
        <f>ROUND((G1118+G1119+G1133+G1134+G1153+G1154)*FAN,0)</f>
        <v/>
      </c>
      <c r="E1173" s="488" t="inlineStr">
        <is>
          <t>kg</t>
        </is>
      </c>
      <c r="F1173" s="416" t="n"/>
    </row>
    <row r="1174">
      <c r="B1174" s="476" t="n"/>
      <c r="C1174" s="497" t="inlineStr">
        <is>
          <t>Concreto</t>
        </is>
      </c>
      <c r="D1174" s="487">
        <f>+D1148+D1128+D1113</f>
        <v/>
      </c>
      <c r="E1174" s="488" t="inlineStr">
        <is>
          <t>uni</t>
        </is>
      </c>
      <c r="F1174" s="416" t="n"/>
    </row>
    <row r="1175">
      <c r="B1175" s="469" t="n"/>
      <c r="C1175" s="497" t="inlineStr">
        <is>
          <t>Formaleta</t>
        </is>
      </c>
      <c r="D1175" s="487">
        <f>+D1160+D1140</f>
        <v/>
      </c>
      <c r="E1175" s="488" t="inlineStr">
        <is>
          <t>uni</t>
        </is>
      </c>
      <c r="F1175" s="416" t="n"/>
    </row>
    <row r="1177">
      <c r="C1177" s="488" t="n"/>
      <c r="D1177" s="488" t="inlineStr">
        <is>
          <t>Costo</t>
        </is>
      </c>
      <c r="E1177" s="488" t="inlineStr">
        <is>
          <t>Total</t>
        </is>
      </c>
      <c r="F1177" s="488" t="inlineStr">
        <is>
          <t>Horas</t>
        </is>
      </c>
    </row>
    <row r="1178">
      <c r="C1178" s="488" t="inlineStr">
        <is>
          <t>ACERO COLUMNAS</t>
        </is>
      </c>
      <c r="D1178" s="489">
        <f>+D152*2</f>
        <v/>
      </c>
      <c r="E1178" s="489">
        <f>+D1178*(G1118+G1119+G1133+G1134+G1153+G1154)</f>
        <v/>
      </c>
      <c r="F1178" s="488">
        <f>ROUNDUP(E1178/'COSTOS MO CUADRILLA'!K28,0)</f>
        <v/>
      </c>
    </row>
    <row r="1179">
      <c r="C1179" s="488" t="inlineStr">
        <is>
          <t xml:space="preserve">FORMALETA </t>
        </is>
      </c>
      <c r="D1179" s="489">
        <f>+D164*5</f>
        <v/>
      </c>
      <c r="E1179" s="489">
        <f>+D1179*D1175</f>
        <v/>
      </c>
      <c r="F1179" s="488">
        <f>ROUNDUP(E1179/'COSTOS MO CUADRILLA'!K28,0)</f>
        <v/>
      </c>
    </row>
    <row r="1180">
      <c r="C1180" s="488" t="inlineStr">
        <is>
          <t xml:space="preserve">COLADO COLUMNAS </t>
        </is>
      </c>
      <c r="D1180" s="489">
        <f>+D165</f>
        <v/>
      </c>
      <c r="E1180" s="489">
        <f>+D1180*D1174</f>
        <v/>
      </c>
      <c r="F1180" s="488">
        <f>ROUNDUP(E1180/'COSTOS MO CUADRILLA'!K28,0)</f>
        <v/>
      </c>
    </row>
    <row r="1181">
      <c r="C1181" s="488" t="inlineStr">
        <is>
          <t>DESENCOFRE COLUMNAS</t>
        </is>
      </c>
      <c r="D1181" s="489">
        <f>+D167*5</f>
        <v/>
      </c>
      <c r="E1181" s="489">
        <f>+D1181*D1175</f>
        <v/>
      </c>
      <c r="F1181" s="488">
        <f>ROUNDUP(E1181/'COSTOS MO CUADRILLA'!K28,0)</f>
        <v/>
      </c>
    </row>
    <row r="1182">
      <c r="C1182" s="486" t="n"/>
      <c r="D1182" s="488" t="inlineStr">
        <is>
          <t xml:space="preserve">Total </t>
        </is>
      </c>
      <c r="E1182" s="489">
        <f>SUM(E1178:E1181)</f>
        <v/>
      </c>
      <c r="F1182" s="488">
        <f>ROUNDUP(E1182/'COSTOS MO CUADRILLA'!K28,0)</f>
        <v/>
      </c>
    </row>
    <row r="1185">
      <c r="C1185" s="468" t="inlineStr">
        <is>
          <t>1.5.3</t>
        </is>
      </c>
      <c r="D1185" s="468" t="inlineStr">
        <is>
          <t xml:space="preserve">CHORREA DE COCHERAS Y PILAS </t>
        </is>
      </c>
    </row>
    <row r="1188">
      <c r="C1188" s="411" t="inlineStr">
        <is>
          <t xml:space="preserve">AREA PILA </t>
        </is>
      </c>
      <c r="D1188" s="455">
        <f>+D13</f>
        <v/>
      </c>
      <c r="E1188" s="413" t="inlineStr">
        <is>
          <t xml:space="preserve">m2 </t>
        </is>
      </c>
      <c r="F1188" s="416" t="n"/>
    </row>
    <row r="1189">
      <c r="C1189" s="485" t="inlineStr">
        <is>
          <t xml:space="preserve">AREA COCHERA </t>
        </is>
      </c>
      <c r="D1189" s="455">
        <f>+D14</f>
        <v/>
      </c>
      <c r="E1189" s="470" t="inlineStr">
        <is>
          <t xml:space="preserve">m2 </t>
        </is>
      </c>
      <c r="F1189" s="416" t="n"/>
    </row>
    <row r="1190">
      <c r="C1190" s="411" t="inlineStr">
        <is>
          <t xml:space="preserve">AREA TOTAL </t>
        </is>
      </c>
      <c r="D1190" s="472">
        <f>SUM(D1188:D1189)</f>
        <v/>
      </c>
      <c r="E1190" s="470" t="inlineStr">
        <is>
          <t xml:space="preserve"> m2 </t>
        </is>
      </c>
      <c r="F1190" s="416" t="n"/>
    </row>
    <row r="1192">
      <c r="A1192" s="1153">
        <f>+FCL</f>
        <v/>
      </c>
      <c r="C1192" s="491" t="inlineStr">
        <is>
          <t xml:space="preserve">Lastre </t>
        </is>
      </c>
    </row>
    <row r="1194">
      <c r="B1194" s="469" t="n"/>
      <c r="C1194" s="411" t="inlineStr">
        <is>
          <t xml:space="preserve">Espesor: </t>
        </is>
      </c>
      <c r="D1194" s="413" t="n">
        <v>0.3</v>
      </c>
      <c r="E1194" s="413" t="inlineStr">
        <is>
          <t xml:space="preserve">m </t>
        </is>
      </c>
      <c r="F1194" s="416" t="n"/>
    </row>
    <row r="1195">
      <c r="B1195" s="469" t="n"/>
      <c r="C1195" s="583" t="inlineStr">
        <is>
          <t>Área pilas y cochera</t>
        </is>
      </c>
      <c r="D1195" s="472">
        <f>D1190</f>
        <v/>
      </c>
      <c r="E1195" s="470" t="inlineStr">
        <is>
          <t xml:space="preserve">m2 </t>
        </is>
      </c>
      <c r="F1195" s="416" t="n"/>
    </row>
    <row r="1196">
      <c r="F1196" s="542" t="n"/>
    </row>
    <row r="1197">
      <c r="B1197" s="478" t="inlineStr">
        <is>
          <t>M10-0023</t>
        </is>
      </c>
      <c r="C1197" s="486" t="inlineStr">
        <is>
          <t>LASTRE</t>
        </is>
      </c>
      <c r="D1197" s="487">
        <f>D1194*D1195*(1+FCL)</f>
        <v/>
      </c>
      <c r="E1197" s="488" t="inlineStr">
        <is>
          <t>m3</t>
        </is>
      </c>
      <c r="F1197" s="416" t="n"/>
    </row>
    <row r="1199">
      <c r="C1199" s="491" t="inlineStr">
        <is>
          <t xml:space="preserve">Concreto </t>
        </is>
      </c>
    </row>
    <row r="1201">
      <c r="B1201" s="469" t="n"/>
      <c r="C1201" s="485" t="inlineStr">
        <is>
          <t xml:space="preserve">ESPESOR </t>
        </is>
      </c>
      <c r="D1201" s="470" t="n">
        <v>0.1</v>
      </c>
      <c r="E1201" s="470" t="inlineStr">
        <is>
          <t xml:space="preserve">m </t>
        </is>
      </c>
    </row>
    <row r="1202">
      <c r="B1202" s="469" t="n"/>
      <c r="E1202" s="481" t="n"/>
    </row>
    <row r="1203">
      <c r="B1203" s="469" t="n"/>
      <c r="C1203" s="486" t="inlineStr">
        <is>
          <t xml:space="preserve">CONCRETO </t>
        </is>
      </c>
      <c r="D1203" s="487">
        <f>(D1190*D1201)*1.05</f>
        <v/>
      </c>
      <c r="E1203" s="488" t="inlineStr">
        <is>
          <t xml:space="preserve">m3 </t>
        </is>
      </c>
      <c r="F1203" s="416" t="n"/>
    </row>
    <row r="1205">
      <c r="B1205" s="469" t="n"/>
      <c r="C1205" s="488" t="inlineStr">
        <is>
          <t>Elemento</t>
        </is>
      </c>
      <c r="D1205" s="488" t="inlineStr">
        <is>
          <t>Cantidad</t>
        </is>
      </c>
      <c r="E1205" s="488" t="inlineStr">
        <is>
          <t>Unidad</t>
        </is>
      </c>
      <c r="F1205" s="543" t="n"/>
    </row>
    <row r="1206">
      <c r="B1206" s="476" t="inlineStr">
        <is>
          <t>M10-0047</t>
        </is>
      </c>
      <c r="C1206" s="486" t="inlineStr">
        <is>
          <t xml:space="preserve">Cemento </t>
        </is>
      </c>
      <c r="D1206" s="487">
        <f>D1203*losac</f>
        <v/>
      </c>
      <c r="E1206" s="488" t="inlineStr">
        <is>
          <t xml:space="preserve">kilos </t>
        </is>
      </c>
      <c r="F1206" s="416" t="n"/>
    </row>
    <row r="1207">
      <c r="B1207" s="476" t="inlineStr">
        <is>
          <t>M10-0010</t>
        </is>
      </c>
      <c r="C1207" s="486" t="inlineStr">
        <is>
          <t xml:space="preserve">Arena </t>
        </is>
      </c>
      <c r="D1207" s="487">
        <f>D1203*losaa</f>
        <v/>
      </c>
      <c r="E1207" s="488" t="inlineStr">
        <is>
          <t>m3</t>
        </is>
      </c>
      <c r="F1207" s="416" t="n"/>
    </row>
    <row r="1208">
      <c r="B1208" s="476" t="inlineStr">
        <is>
          <t>M10-0015</t>
        </is>
      </c>
      <c r="C1208" s="486" t="inlineStr">
        <is>
          <t xml:space="preserve">Piedra </t>
        </is>
      </c>
      <c r="D1208" s="487">
        <f>D1203*losap</f>
        <v/>
      </c>
      <c r="E1208" s="488" t="inlineStr">
        <is>
          <t>m3</t>
        </is>
      </c>
      <c r="F1208" s="416" t="n"/>
    </row>
    <row r="1209">
      <c r="B1209" s="469" t="n"/>
      <c r="E1209" s="481" t="n"/>
    </row>
    <row r="1211">
      <c r="C1211" s="491" t="inlineStr">
        <is>
          <t xml:space="preserve">MALLA ELECTROSOLDADA #2 </t>
        </is>
      </c>
    </row>
    <row r="1213">
      <c r="B1213" s="469" t="n"/>
      <c r="C1213" s="485" t="inlineStr">
        <is>
          <t xml:space="preserve">Área cochera (incluye área de pilas) </t>
        </is>
      </c>
      <c r="D1213" s="470">
        <f>+D1190</f>
        <v/>
      </c>
      <c r="E1213" s="470" t="inlineStr">
        <is>
          <t xml:space="preserve">m2 </t>
        </is>
      </c>
    </row>
    <row r="1214">
      <c r="B1214" s="469" t="n"/>
      <c r="E1214" s="481" t="n"/>
    </row>
    <row r="1215">
      <c r="B1215" s="469" t="n"/>
      <c r="C1215" s="488" t="inlineStr">
        <is>
          <t>Elemento</t>
        </is>
      </c>
      <c r="D1215" s="488" t="inlineStr">
        <is>
          <t>Cantidad/espaciamiento</t>
        </is>
      </c>
      <c r="E1215" s="488" t="inlineStr">
        <is>
          <t># Varilla</t>
        </is>
      </c>
      <c r="F1215" s="488" t="inlineStr">
        <is>
          <t>Total</t>
        </is>
      </c>
      <c r="G1215" s="488" t="inlineStr">
        <is>
          <t>Peso</t>
        </is>
      </c>
    </row>
    <row r="1216">
      <c r="B1216" s="469" t="n"/>
      <c r="C1216" s="486" t="inlineStr">
        <is>
          <t>Malla electrosoldada #2</t>
        </is>
      </c>
      <c r="D1216" s="487">
        <f>D1213/(1.9*5.7)</f>
        <v/>
      </c>
      <c r="E1216" s="488" t="inlineStr">
        <is>
          <t>#2 de 5.3</t>
        </is>
      </c>
      <c r="F1216" s="488">
        <f>ROUNDUP(D1216/0.5,0)*1</f>
        <v/>
      </c>
      <c r="G1216" s="487">
        <f>IF(E1216="#2",1.494,IF(E1216="#3",3.36,IF(E1216="#4",5.964,IF(E1216="#5",9.312,IF(E1216="#2 de 4.11",18.56,IF(E1216="#2 de 4.88",26.17,IF(E1216="#2 de 5.3",30.87,0)))))))*F1216</f>
        <v/>
      </c>
    </row>
    <row r="1217">
      <c r="B1217" s="469" t="n"/>
      <c r="E1217" s="481" t="n"/>
    </row>
    <row r="1218">
      <c r="B1218" s="469" t="n"/>
      <c r="C1218" s="488" t="inlineStr">
        <is>
          <t>Elemento</t>
        </is>
      </c>
      <c r="D1218" s="488" t="inlineStr">
        <is>
          <t>Cantidad</t>
        </is>
      </c>
      <c r="E1218" s="488" t="inlineStr">
        <is>
          <t>Unidad</t>
        </is>
      </c>
    </row>
    <row r="1219">
      <c r="B1219" s="476" t="inlineStr">
        <is>
          <t>M01-0145</t>
        </is>
      </c>
      <c r="C1219" s="497" t="inlineStr">
        <is>
          <t>Malla electrosoldada</t>
        </is>
      </c>
      <c r="D1219" s="487">
        <f>+F1216</f>
        <v/>
      </c>
      <c r="E1219" s="488" t="inlineStr">
        <is>
          <t>uni</t>
        </is>
      </c>
      <c r="F1219" s="416" t="n"/>
    </row>
    <row r="1220">
      <c r="B1220" s="476" t="inlineStr">
        <is>
          <t>M01-0001</t>
        </is>
      </c>
      <c r="C1220" s="497" t="inlineStr">
        <is>
          <t>Alambre negro</t>
        </is>
      </c>
      <c r="D1220" s="487">
        <f>ROUND(SUM(G1216)*FAN,0)</f>
        <v/>
      </c>
      <c r="E1220" s="488" t="inlineStr">
        <is>
          <t>kg</t>
        </is>
      </c>
      <c r="F1220" s="416" t="n"/>
    </row>
    <row r="1221">
      <c r="B1221" s="476" t="inlineStr">
        <is>
          <t>M06-0242</t>
        </is>
      </c>
      <c r="C1221" s="497" t="inlineStr">
        <is>
          <t>Rollo plastico negro 3,6mx100m</t>
        </is>
      </c>
      <c r="D1221" s="487">
        <f>D1213*0.15*1.1/75</f>
        <v/>
      </c>
      <c r="E1221" s="488" t="inlineStr">
        <is>
          <t>rollo</t>
        </is>
      </c>
    </row>
    <row r="1222">
      <c r="B1222" s="476" t="inlineStr">
        <is>
          <t>M10-0021</t>
        </is>
      </c>
      <c r="C1222" s="497" t="inlineStr">
        <is>
          <t>Piedra p/lavado gruesa gris con verde</t>
        </is>
      </c>
      <c r="D1222" s="487" t="n">
        <v>10</v>
      </c>
      <c r="E1222" s="488" t="inlineStr">
        <is>
          <t>saco</t>
        </is>
      </c>
    </row>
    <row r="1223">
      <c r="B1223" s="476" t="inlineStr">
        <is>
          <t>M11-0111</t>
        </is>
      </c>
      <c r="C1223" s="497" t="inlineStr">
        <is>
          <t>Maxiclear brillante</t>
        </is>
      </c>
      <c r="D1223" s="487" t="n">
        <v>1</v>
      </c>
      <c r="E1223" s="488" t="inlineStr">
        <is>
          <t>galon</t>
        </is>
      </c>
    </row>
    <row r="1224">
      <c r="B1224" s="469" t="n"/>
      <c r="C1224" s="481" t="n"/>
      <c r="D1224" s="531" t="n"/>
      <c r="E1224" s="481" t="n"/>
    </row>
    <row r="1225">
      <c r="B1225" s="469" t="n"/>
      <c r="C1225" s="488" t="n"/>
      <c r="D1225" s="488" t="inlineStr">
        <is>
          <t>Costo</t>
        </is>
      </c>
      <c r="E1225" s="488" t="inlineStr">
        <is>
          <t>Total</t>
        </is>
      </c>
      <c r="F1225" s="488" t="inlineStr">
        <is>
          <t>Horas</t>
        </is>
      </c>
    </row>
    <row r="1226">
      <c r="B1226" s="469" t="n"/>
      <c r="C1226" s="488" t="inlineStr">
        <is>
          <t>LASTRE</t>
        </is>
      </c>
      <c r="D1226" s="489">
        <f>+D149*1.5</f>
        <v/>
      </c>
      <c r="E1226" s="489">
        <f>+D1226*D1197</f>
        <v/>
      </c>
      <c r="F1226" s="490">
        <f>ROUND(E1226/'COSTOS MO CUADRILLA'!K29,0)</f>
        <v/>
      </c>
    </row>
    <row r="1227">
      <c r="B1227" s="469" t="n"/>
      <c r="C1227" s="488" t="inlineStr">
        <is>
          <t>COLADO LOSA</t>
        </is>
      </c>
      <c r="D1227" s="489">
        <f>+D151*1.5</f>
        <v/>
      </c>
      <c r="E1227" s="489">
        <f>+D1227*D1203</f>
        <v/>
      </c>
      <c r="F1227" s="490">
        <f>ROUND(E1227/'COSTOS MO CUADRILLA'!K29,0)</f>
        <v/>
      </c>
    </row>
    <row r="1228">
      <c r="B1228" s="469" t="n"/>
      <c r="C1228" s="488" t="inlineStr">
        <is>
          <t>ACABADO LAVADO LOSA</t>
        </is>
      </c>
      <c r="D1228" s="489">
        <f>+D173*1.5</f>
        <v/>
      </c>
      <c r="E1228" s="489">
        <f>+D1228*D1190</f>
        <v/>
      </c>
      <c r="F1228" s="490">
        <f>ROUND(E1228/'COSTOS MO CUADRILLA'!K29,0)</f>
        <v/>
      </c>
    </row>
    <row r="1229">
      <c r="B1229" s="469" t="n"/>
      <c r="C1229" s="488" t="inlineStr">
        <is>
          <t>ARMADURA DE LOSA</t>
        </is>
      </c>
      <c r="D1229" s="489">
        <f>+D152*1.5</f>
        <v/>
      </c>
      <c r="E1229" s="489">
        <f>+D1229*G1216</f>
        <v/>
      </c>
      <c r="F1229" s="490">
        <f>ROUND(E1229/'COSTOS MO CUADRILLA'!K29,0)</f>
        <v/>
      </c>
    </row>
    <row r="1230">
      <c r="B1230" s="469" t="n"/>
      <c r="C1230" s="486" t="n"/>
      <c r="D1230" s="488" t="inlineStr">
        <is>
          <t xml:space="preserve">Total </t>
        </is>
      </c>
      <c r="E1230" s="489">
        <f>SUM(E1226:E1229)</f>
        <v/>
      </c>
      <c r="F1230" s="490">
        <f>+E1230/'COSTOS MO CUADRILLA'!K29</f>
        <v/>
      </c>
      <c r="G1230" s="481" t="n"/>
    </row>
    <row r="1232">
      <c r="B1232" s="469" t="n"/>
      <c r="C1232" s="486" t="n"/>
      <c r="D1232" s="488" t="inlineStr">
        <is>
          <t>Costo</t>
        </is>
      </c>
      <c r="E1232" s="488" t="inlineStr">
        <is>
          <t xml:space="preserve">Costo Total </t>
        </is>
      </c>
      <c r="F1232" s="488" t="inlineStr">
        <is>
          <t>Horas</t>
        </is>
      </c>
      <c r="G1232" s="584" t="n"/>
      <c r="H1232" s="584" t="n"/>
    </row>
    <row r="1233">
      <c r="B1233" s="469" t="n"/>
      <c r="C1233" s="486" t="inlineStr">
        <is>
          <t>Horas de Back hoe</t>
        </is>
      </c>
      <c r="D1233" s="488" t="n"/>
      <c r="E1233" s="488" t="n"/>
      <c r="F1233" s="488" t="n">
        <v>1</v>
      </c>
      <c r="G1233" s="584" t="n"/>
      <c r="H1233" s="584" t="n"/>
    </row>
    <row r="1234">
      <c r="B1234" s="469" t="n"/>
      <c r="C1234" s="486" t="n"/>
      <c r="D1234" s="585" t="inlineStr">
        <is>
          <t>Total</t>
        </is>
      </c>
      <c r="E1234" s="489">
        <f>SUM(E1233:E1233)</f>
        <v/>
      </c>
      <c r="F1234" s="487">
        <f>SUM(F1233:F1233)</f>
        <v/>
      </c>
    </row>
    <row r="1236">
      <c r="C1236" s="468" t="inlineStr">
        <is>
          <t>1.5.4</t>
        </is>
      </c>
      <c r="D1236" s="468" t="inlineStr">
        <is>
          <t xml:space="preserve">TAPIAS PREFABRICADAS </t>
        </is>
      </c>
    </row>
    <row r="1239">
      <c r="B1239" s="469" t="n"/>
      <c r="C1239" s="411" t="inlineStr">
        <is>
          <t xml:space="preserve">Largo de tapia </t>
        </is>
      </c>
      <c r="D1239" s="418" t="n">
        <v>8.5</v>
      </c>
      <c r="E1239" s="413" t="inlineStr">
        <is>
          <t xml:space="preserve">m </t>
        </is>
      </c>
      <c r="F1239" s="416" t="n"/>
    </row>
    <row r="1240">
      <c r="B1240" s="476" t="inlineStr">
        <is>
          <t>M01-0142</t>
        </is>
      </c>
      <c r="C1240" s="486" t="inlineStr">
        <is>
          <t xml:space="preserve">Perling 3 x 2 x 15 mm </t>
        </is>
      </c>
      <c r="D1240" s="487">
        <f>+ROUNDUP((D1239/6),0)</f>
        <v/>
      </c>
      <c r="E1240" s="488" t="inlineStr">
        <is>
          <t xml:space="preserve">un </t>
        </is>
      </c>
      <c r="F1240" s="411">
        <f>+D1240*12.63</f>
        <v/>
      </c>
      <c r="G1240" s="411" t="inlineStr">
        <is>
          <t>kg</t>
        </is>
      </c>
    </row>
    <row r="1241">
      <c r="B1241" s="476" t="inlineStr">
        <is>
          <t>M01-0055</t>
        </is>
      </c>
      <c r="C1241" s="486" t="inlineStr">
        <is>
          <t>Soldadura</t>
        </is>
      </c>
      <c r="D1241" s="487">
        <f>+F1240*SOL</f>
        <v/>
      </c>
      <c r="E1241" s="488" t="inlineStr">
        <is>
          <t>kg</t>
        </is>
      </c>
    </row>
    <row r="1242">
      <c r="B1242" s="476" t="n"/>
      <c r="E1242" s="481" t="n"/>
    </row>
    <row r="1243">
      <c r="B1243" s="476" t="n"/>
      <c r="E1243" s="481" t="n"/>
      <c r="H1243" s="541" t="n"/>
      <c r="I1243" s="541" t="n"/>
    </row>
    <row r="1244">
      <c r="B1244" s="476" t="n"/>
      <c r="C1244" s="488" t="inlineStr">
        <is>
          <t>Elemento</t>
        </is>
      </c>
      <c r="D1244" s="488" t="inlineStr">
        <is>
          <t>Cantidad</t>
        </is>
      </c>
      <c r="E1244" s="488" t="inlineStr">
        <is>
          <t>Unidad</t>
        </is>
      </c>
      <c r="G1244" s="586" t="n"/>
      <c r="H1244" s="586" t="n"/>
      <c r="I1244" s="587" t="n"/>
    </row>
    <row r="1245">
      <c r="B1245" s="476" t="inlineStr">
        <is>
          <t>M10-0074</t>
        </is>
      </c>
      <c r="C1245" s="486" t="inlineStr">
        <is>
          <t>Baldosa lisa 2m de largo (190X50X4)</t>
        </is>
      </c>
      <c r="D1245" s="418" t="n">
        <v>0</v>
      </c>
      <c r="E1245" s="488" t="inlineStr">
        <is>
          <t>uni</t>
        </is>
      </c>
      <c r="G1245" s="586" t="n"/>
      <c r="H1245" s="587" t="n"/>
      <c r="I1245" s="587" t="n"/>
    </row>
    <row r="1246">
      <c r="B1246" s="476" t="inlineStr">
        <is>
          <t>M10-0094</t>
        </is>
      </c>
      <c r="C1246" s="486" t="inlineStr">
        <is>
          <t>Baldosa lisa 1.5m de largo (140X50X4)</t>
        </is>
      </c>
      <c r="D1246" s="418">
        <f>6*5</f>
        <v/>
      </c>
      <c r="E1246" s="488" t="inlineStr">
        <is>
          <t>uni</t>
        </is>
      </c>
      <c r="G1246" s="541" t="n"/>
      <c r="H1246" s="565" t="n"/>
      <c r="I1246" s="587" t="n"/>
    </row>
    <row r="1247">
      <c r="B1247" s="476" t="inlineStr">
        <is>
          <t>M10-0093</t>
        </is>
      </c>
      <c r="C1247" s="486" t="inlineStr">
        <is>
          <t>Baldosa lisa 0.8m de largo (0.8X50X4)</t>
        </is>
      </c>
      <c r="D1247" s="418" t="n">
        <v>0</v>
      </c>
      <c r="E1247" s="488" t="inlineStr">
        <is>
          <t>uni</t>
        </is>
      </c>
      <c r="G1247" s="541" t="n"/>
      <c r="H1247" s="565" t="n"/>
      <c r="I1247" s="587" t="n"/>
    </row>
    <row r="1248">
      <c r="B1248" s="476" t="inlineStr">
        <is>
          <t>M10-0096</t>
        </is>
      </c>
      <c r="C1248" s="486" t="inlineStr">
        <is>
          <t>Baldosa lisa 0.7m de largo (0.70X50X4)</t>
        </is>
      </c>
      <c r="D1248" s="418" t="n">
        <v>0</v>
      </c>
      <c r="E1248" s="488" t="inlineStr">
        <is>
          <t>uni</t>
        </is>
      </c>
      <c r="G1248" s="541" t="n"/>
      <c r="H1248" s="565" t="n"/>
      <c r="I1248" s="565" t="n"/>
    </row>
    <row r="1249">
      <c r="B1249" s="476" t="inlineStr">
        <is>
          <t xml:space="preserve">M10-0095 </t>
        </is>
      </c>
      <c r="C1249" s="486" t="inlineStr">
        <is>
          <t>Columna en T prefa 3.30x12x12</t>
        </is>
      </c>
      <c r="D1249" s="418" t="n">
        <v>1</v>
      </c>
      <c r="E1249" s="488" t="inlineStr">
        <is>
          <t>uni</t>
        </is>
      </c>
    </row>
    <row r="1250">
      <c r="B1250" s="476" t="inlineStr">
        <is>
          <t xml:space="preserve">M10-0097 </t>
        </is>
      </c>
      <c r="C1250" s="486" t="inlineStr">
        <is>
          <t>Columna  prefa 3.30x12x12</t>
        </is>
      </c>
      <c r="D1250" s="418" t="n">
        <v>7</v>
      </c>
      <c r="E1250" s="488" t="inlineStr">
        <is>
          <t>uni</t>
        </is>
      </c>
    </row>
    <row r="1251">
      <c r="B1251" s="476" t="inlineStr">
        <is>
          <t>M01-0142</t>
        </is>
      </c>
      <c r="C1251" s="486" t="inlineStr">
        <is>
          <t xml:space="preserve">Perling 3 x 2 x 15 mm </t>
        </is>
      </c>
      <c r="D1251" s="487">
        <f>+D1240</f>
        <v/>
      </c>
      <c r="E1251" s="488" t="inlineStr">
        <is>
          <t>uni</t>
        </is>
      </c>
    </row>
    <row r="1252">
      <c r="B1252" s="476" t="inlineStr">
        <is>
          <t>M01-0055</t>
        </is>
      </c>
      <c r="C1252" s="486" t="inlineStr">
        <is>
          <t>Soldadura</t>
        </is>
      </c>
      <c r="D1252" s="487">
        <f>+D1241</f>
        <v/>
      </c>
      <c r="E1252" s="488" t="inlineStr">
        <is>
          <t>kg</t>
        </is>
      </c>
    </row>
    <row r="1253">
      <c r="B1253" s="469" t="n"/>
      <c r="E1253" s="481" t="n"/>
    </row>
    <row r="1254">
      <c r="B1254" s="469" t="n"/>
      <c r="C1254" s="488" t="n"/>
      <c r="D1254" s="488" t="inlineStr">
        <is>
          <t>Costo</t>
        </is>
      </c>
      <c r="E1254" s="488" t="inlineStr">
        <is>
          <t>Total</t>
        </is>
      </c>
      <c r="F1254" s="488" t="inlineStr">
        <is>
          <t>Horas</t>
        </is>
      </c>
    </row>
    <row r="1255">
      <c r="B1255" s="469" t="n"/>
      <c r="C1255" s="488" t="inlineStr">
        <is>
          <t>Instalación de tapia</t>
        </is>
      </c>
      <c r="D1255" s="489">
        <f>+D201</f>
        <v/>
      </c>
      <c r="E1255" s="489">
        <f>+D1255*D1239</f>
        <v/>
      </c>
      <c r="F1255" s="490">
        <f>ROUND(E1255/'COSTOS MO CUADRILLA'!K30,0)</f>
        <v/>
      </c>
    </row>
    <row r="1256">
      <c r="B1256" s="469" t="n"/>
      <c r="C1256" s="488">
        <f>C174</f>
        <v/>
      </c>
      <c r="D1256" s="489">
        <f>D174</f>
        <v/>
      </c>
      <c r="E1256" s="489">
        <f>+D1256*F1240</f>
        <v/>
      </c>
      <c r="F1256" s="490">
        <f>ROUND(E1256/'COSTOS MO CUADRILLA'!K30,0)</f>
        <v/>
      </c>
    </row>
    <row r="1257">
      <c r="B1257" s="469" t="n"/>
      <c r="C1257" s="486" t="n"/>
      <c r="D1257" s="488" t="inlineStr">
        <is>
          <t xml:space="preserve">Total </t>
        </is>
      </c>
      <c r="E1257" s="489">
        <f>SUM(E1255:E1256)</f>
        <v/>
      </c>
      <c r="F1257" s="490">
        <f>+E1257/'COSTOS MO CUADRILLA'!K30</f>
        <v/>
      </c>
    </row>
    <row r="1258">
      <c r="B1258" s="469" t="n"/>
      <c r="E1258" s="481" t="n"/>
    </row>
    <row r="1259">
      <c r="B1259" s="469" t="n"/>
      <c r="E1259" s="481" t="n"/>
    </row>
    <row r="1260">
      <c r="C1260" s="468" t="inlineStr">
        <is>
          <t>1.5.5</t>
        </is>
      </c>
      <c r="D1260" s="468" t="inlineStr">
        <is>
          <t>ACERAS</t>
        </is>
      </c>
    </row>
    <row r="1261">
      <c r="B1261" s="469" t="n"/>
      <c r="E1261" s="481" t="n"/>
    </row>
    <row r="1262">
      <c r="B1262" s="469" t="n"/>
      <c r="C1262" s="411" t="inlineStr">
        <is>
          <t xml:space="preserve">Area de acera </t>
        </is>
      </c>
      <c r="D1262" s="418">
        <f>6.8*1.8</f>
        <v/>
      </c>
      <c r="E1262" s="413" t="inlineStr">
        <is>
          <t xml:space="preserve">m2 </t>
        </is>
      </c>
      <c r="F1262" s="416" t="inlineStr">
        <is>
          <t>✓✓</t>
        </is>
      </c>
    </row>
    <row r="1263">
      <c r="B1263" s="469" t="n"/>
      <c r="C1263" s="411" t="inlineStr">
        <is>
          <t xml:space="preserve">Area de geocelda </t>
        </is>
      </c>
      <c r="D1263" s="418" t="n">
        <v>7.2</v>
      </c>
      <c r="E1263" s="413" t="inlineStr">
        <is>
          <t xml:space="preserve">m2 </t>
        </is>
      </c>
      <c r="F1263" s="416" t="inlineStr">
        <is>
          <t>✓✓</t>
        </is>
      </c>
    </row>
    <row r="1264">
      <c r="B1264" s="469" t="n"/>
      <c r="C1264" s="411" t="inlineStr">
        <is>
          <t># Geocelda (56 x 56)</t>
        </is>
      </c>
      <c r="D1264" s="455">
        <f>(D1263/(0.56*0.56))*1.05</f>
        <v/>
      </c>
      <c r="E1264" s="413" t="inlineStr">
        <is>
          <t xml:space="preserve">un </t>
        </is>
      </c>
      <c r="F1264" s="543" t="n"/>
    </row>
    <row r="1265">
      <c r="B1265" s="469" t="n"/>
      <c r="C1265" s="411" t="inlineStr">
        <is>
          <t xml:space="preserve">Piedra quintilla </t>
        </is>
      </c>
      <c r="D1265" s="455">
        <f>D1263*0.05*1.3</f>
        <v/>
      </c>
      <c r="E1265" s="413" t="inlineStr">
        <is>
          <t xml:space="preserve">m3 </t>
        </is>
      </c>
    </row>
    <row r="1266">
      <c r="B1266" s="469" t="n"/>
      <c r="C1266" s="411" t="inlineStr">
        <is>
          <t xml:space="preserve">Espesor de la acera </t>
        </is>
      </c>
      <c r="D1266" s="413" t="n">
        <v>0.1</v>
      </c>
      <c r="E1266" s="413" t="inlineStr">
        <is>
          <t xml:space="preserve"> m </t>
        </is>
      </c>
    </row>
    <row r="1267">
      <c r="B1267" s="469" t="n"/>
      <c r="C1267" s="486" t="inlineStr">
        <is>
          <t xml:space="preserve">Concreto </t>
        </is>
      </c>
      <c r="D1267" s="487">
        <f>D1262*D1266*1.05</f>
        <v/>
      </c>
      <c r="E1267" s="488" t="inlineStr">
        <is>
          <t xml:space="preserve">m3 </t>
        </is>
      </c>
    </row>
    <row r="1268">
      <c r="B1268" s="469" t="n"/>
      <c r="C1268" s="469" t="n"/>
      <c r="D1268" s="469" t="n"/>
      <c r="E1268" s="573" t="n"/>
      <c r="F1268" s="469" t="n"/>
    </row>
    <row r="1269">
      <c r="B1269" s="469" t="n"/>
      <c r="C1269" s="469" t="n"/>
      <c r="D1269" s="469" t="n"/>
      <c r="E1269" s="573" t="n"/>
      <c r="F1269" s="469" t="n"/>
    </row>
    <row r="1270">
      <c r="B1270" s="469" t="n"/>
      <c r="C1270" s="488" t="inlineStr">
        <is>
          <t>Elemento</t>
        </is>
      </c>
      <c r="D1270" s="488" t="inlineStr">
        <is>
          <t>Cantidad</t>
        </is>
      </c>
      <c r="E1270" s="488" t="inlineStr">
        <is>
          <t>Unidad</t>
        </is>
      </c>
    </row>
    <row r="1271">
      <c r="B1271" s="476" t="inlineStr">
        <is>
          <t>M10-0047</t>
        </is>
      </c>
      <c r="C1271" s="486" t="inlineStr">
        <is>
          <t xml:space="preserve">Cemento </t>
        </is>
      </c>
      <c r="D1271" s="487">
        <f>ROUND(D1267*losac,0)</f>
        <v/>
      </c>
      <c r="E1271" s="488" t="inlineStr">
        <is>
          <t xml:space="preserve">kilos </t>
        </is>
      </c>
      <c r="F1271" s="416" t="n"/>
    </row>
    <row r="1272">
      <c r="B1272" s="476" t="inlineStr">
        <is>
          <t>M10-0010</t>
        </is>
      </c>
      <c r="C1272" s="486" t="inlineStr">
        <is>
          <t xml:space="preserve">Arena </t>
        </is>
      </c>
      <c r="D1272" s="487">
        <f>ROUND(D1267*losaa,1)</f>
        <v/>
      </c>
      <c r="E1272" s="488" t="inlineStr">
        <is>
          <t>m3</t>
        </is>
      </c>
      <c r="F1272" s="416" t="n"/>
    </row>
    <row r="1273">
      <c r="B1273" s="476" t="inlineStr">
        <is>
          <t>M10-0015</t>
        </is>
      </c>
      <c r="C1273" s="486" t="inlineStr">
        <is>
          <t xml:space="preserve">Piedra </t>
        </is>
      </c>
      <c r="D1273" s="487">
        <f>ROUND(D1267*losap,1)</f>
        <v/>
      </c>
      <c r="E1273" s="488" t="inlineStr">
        <is>
          <t>m3</t>
        </is>
      </c>
    </row>
    <row r="1274">
      <c r="B1274" s="469" t="n"/>
      <c r="E1274" s="481" t="n"/>
    </row>
    <row r="1275">
      <c r="B1275" s="469" t="n"/>
      <c r="C1275" s="488" t="inlineStr">
        <is>
          <t>Elemento</t>
        </is>
      </c>
      <c r="D1275" s="488" t="inlineStr">
        <is>
          <t>Cantidad/espaciamiento</t>
        </is>
      </c>
      <c r="E1275" s="488" t="inlineStr">
        <is>
          <t># Varilla</t>
        </is>
      </c>
      <c r="F1275" s="488" t="inlineStr">
        <is>
          <t>Total</t>
        </is>
      </c>
      <c r="G1275" s="488" t="inlineStr">
        <is>
          <t>Peso</t>
        </is>
      </c>
    </row>
    <row r="1276">
      <c r="B1276" s="469" t="n"/>
      <c r="C1276" s="486" t="inlineStr">
        <is>
          <t>Malla electrosoldada #2</t>
        </is>
      </c>
      <c r="D1276" s="487">
        <f>D1262/(1.9*5.7)</f>
        <v/>
      </c>
      <c r="E1276" s="488" t="inlineStr">
        <is>
          <t>#2 de 5.3</t>
        </is>
      </c>
      <c r="F1276" s="488">
        <f>ROUNDUP(D1276/0.5,0)*0.5</f>
        <v/>
      </c>
      <c r="G1276" s="487">
        <f>IF(E1276="#2",1.494,IF(E1276="#3",3.36,IF(E1276="#4",5.964,IF(E1276="#5",9.312,IF(E1276="#2 de 4.11",18.56,IF(E1276="#2 de 4.88",26.17,IF(E1276="#2 de 5.3",30.87,0)))))))*F1276</f>
        <v/>
      </c>
    </row>
    <row r="1277">
      <c r="B1277" s="469" t="n"/>
      <c r="E1277" s="481" t="n"/>
    </row>
    <row r="1278">
      <c r="B1278" s="469" t="n"/>
      <c r="C1278" s="488" t="inlineStr">
        <is>
          <t>Elemento</t>
        </is>
      </c>
      <c r="D1278" s="488" t="inlineStr">
        <is>
          <t>Cantidad</t>
        </is>
      </c>
      <c r="E1278" s="488" t="inlineStr">
        <is>
          <t>Unidad</t>
        </is>
      </c>
    </row>
    <row r="1279">
      <c r="B1279" s="469" t="inlineStr">
        <is>
          <t>M01-0145</t>
        </is>
      </c>
      <c r="C1279" s="488" t="inlineStr">
        <is>
          <t>Malla electrosoldada</t>
        </is>
      </c>
      <c r="D1279" s="488">
        <f>+F1276</f>
        <v/>
      </c>
      <c r="E1279" s="488" t="inlineStr">
        <is>
          <t>uni</t>
        </is>
      </c>
      <c r="F1279" s="416" t="inlineStr">
        <is>
          <t>✓✓</t>
        </is>
      </c>
    </row>
    <row r="1280">
      <c r="B1280" s="469" t="inlineStr">
        <is>
          <t>M01-0001</t>
        </is>
      </c>
      <c r="C1280" s="488" t="inlineStr">
        <is>
          <t>Alambre negro</t>
        </is>
      </c>
      <c r="D1280" s="488">
        <f>ROUND(SUM(G1276:G1276)*FAN,1)</f>
        <v/>
      </c>
      <c r="E1280" s="488" t="inlineStr">
        <is>
          <t>kg</t>
        </is>
      </c>
      <c r="F1280" s="416" t="inlineStr">
        <is>
          <t>✓✓</t>
        </is>
      </c>
    </row>
    <row r="1281">
      <c r="B1281" s="469" t="inlineStr">
        <is>
          <t>M06-0206</t>
        </is>
      </c>
      <c r="C1281" s="488" t="inlineStr">
        <is>
          <t># Geocelda (56 x 56)</t>
        </is>
      </c>
      <c r="D1281" s="487">
        <f>+D1264</f>
        <v/>
      </c>
      <c r="E1281" s="488" t="inlineStr">
        <is>
          <t>uni</t>
        </is>
      </c>
      <c r="J1281" s="481" t="n"/>
    </row>
    <row r="1282">
      <c r="B1282" s="469" t="inlineStr">
        <is>
          <t>M10-0030</t>
        </is>
      </c>
      <c r="C1282" s="488" t="inlineStr">
        <is>
          <t xml:space="preserve">Piedra quintilla </t>
        </is>
      </c>
      <c r="D1282" s="487">
        <f>+D1265</f>
        <v/>
      </c>
      <c r="E1282" s="488" t="inlineStr">
        <is>
          <t>m3</t>
        </is>
      </c>
      <c r="J1282" s="481" t="n"/>
    </row>
    <row r="1283">
      <c r="B1283" s="469" t="n"/>
      <c r="E1283" s="481" t="n"/>
      <c r="J1283" s="481" t="n"/>
    </row>
    <row r="1284">
      <c r="B1284" s="469" t="n"/>
      <c r="C1284" s="486" t="n"/>
      <c r="D1284" s="488" t="inlineStr">
        <is>
          <t>Costo</t>
        </is>
      </c>
      <c r="E1284" s="488" t="inlineStr">
        <is>
          <t xml:space="preserve">Costo Total </t>
        </is>
      </c>
      <c r="F1284" s="488" t="inlineStr">
        <is>
          <t>Horas</t>
        </is>
      </c>
      <c r="H1284" s="481" t="n"/>
    </row>
    <row r="1285">
      <c r="B1285" s="469" t="n"/>
      <c r="C1285" s="486" t="inlineStr">
        <is>
          <t>Mano de obra (concreto) (m3)</t>
        </is>
      </c>
      <c r="D1285" s="489">
        <f>+D151</f>
        <v/>
      </c>
      <c r="E1285" s="489">
        <f>D1285*D1267</f>
        <v/>
      </c>
      <c r="F1285" s="490">
        <f>+E1285/'COSTOS MO CUADRILLA'!K31</f>
        <v/>
      </c>
      <c r="H1285" s="481" t="n"/>
      <c r="J1285" s="481" t="n"/>
    </row>
    <row r="1286">
      <c r="C1286" s="486" t="inlineStr">
        <is>
          <t>Mano de obra (acero) (kilo)</t>
        </is>
      </c>
      <c r="D1286" s="489">
        <f>+D152</f>
        <v/>
      </c>
      <c r="E1286" s="489">
        <f>SUM(G1276)*D1286</f>
        <v/>
      </c>
      <c r="F1286" s="490">
        <f>+E1286/'COSTOS MO CUADRILLA'!K31</f>
        <v/>
      </c>
      <c r="G1286" s="481" t="n"/>
      <c r="H1286" s="481" t="n"/>
      <c r="I1286" s="498" t="n"/>
      <c r="J1286" s="499" t="n"/>
    </row>
    <row r="1287">
      <c r="C1287" s="486" t="n"/>
      <c r="D1287" s="488" t="inlineStr">
        <is>
          <t xml:space="preserve">Total </t>
        </is>
      </c>
      <c r="E1287" s="489">
        <f>SUM(E1285:E1286)</f>
        <v/>
      </c>
      <c r="F1287" s="490">
        <f>+E1287/'COSTOS MO CUADRILLA'!K31</f>
        <v/>
      </c>
      <c r="G1287" s="481" t="n"/>
      <c r="H1287" s="481" t="n"/>
      <c r="I1287" s="498" t="n"/>
      <c r="J1287" s="499" t="n"/>
    </row>
    <row r="1288">
      <c r="C1288" s="469" t="n"/>
      <c r="D1288" s="469" t="n"/>
      <c r="E1288" s="573" t="n"/>
      <c r="F1288" s="469" t="n"/>
      <c r="J1288" s="481" t="n"/>
    </row>
    <row r="1289">
      <c r="C1289" s="486" t="n"/>
      <c r="D1289" s="488" t="inlineStr">
        <is>
          <t>Costo</t>
        </is>
      </c>
      <c r="E1289" s="488" t="inlineStr">
        <is>
          <t xml:space="preserve">Costo Total </t>
        </is>
      </c>
      <c r="F1289" s="488" t="inlineStr">
        <is>
          <t>Horas</t>
        </is>
      </c>
      <c r="H1289" s="481" t="n"/>
    </row>
    <row r="1290">
      <c r="C1290" s="486" t="inlineStr">
        <is>
          <t>Mano de obra (geoceldas)</t>
        </is>
      </c>
      <c r="D1290" s="489">
        <f>+D209</f>
        <v/>
      </c>
      <c r="E1290" s="489">
        <f>D1290*D1263</f>
        <v/>
      </c>
      <c r="F1290" s="490">
        <f>+E1290/'COSTOS MO CUADRILLA'!K31</f>
        <v/>
      </c>
      <c r="G1290" s="461" t="n"/>
      <c r="H1290" s="481" t="n"/>
      <c r="J1290" s="481" t="n"/>
    </row>
    <row r="1291">
      <c r="C1291" s="486" t="n"/>
      <c r="D1291" s="488" t="inlineStr">
        <is>
          <t xml:space="preserve">Total </t>
        </is>
      </c>
      <c r="E1291" s="489">
        <f>SUM(E1290:E1290)</f>
        <v/>
      </c>
      <c r="F1291" s="490">
        <f>+E1291/'COSTOS MO CUADRILLA'!K31</f>
        <v/>
      </c>
      <c r="G1291" s="481" t="n"/>
      <c r="H1291" s="481" t="n"/>
      <c r="I1291" s="498" t="n"/>
      <c r="J1291" s="499" t="n"/>
    </row>
    <row r="1293">
      <c r="C1293" s="466" t="n">
        <v>1.6</v>
      </c>
      <c r="D1293" s="574" t="inlineStr">
        <is>
          <t xml:space="preserve">LIVIANO </t>
        </is>
      </c>
    </row>
    <row r="1295">
      <c r="C1295" s="468" t="inlineStr">
        <is>
          <t>1.6.1</t>
        </is>
      </c>
      <c r="D1295" s="468" t="inlineStr">
        <is>
          <t xml:space="preserve">LIVIANO EXTERIORES </t>
        </is>
      </c>
    </row>
    <row r="1297">
      <c r="C1297" s="491" t="inlineStr">
        <is>
          <t xml:space="preserve">PRECINTA Y TAPICHELES </t>
        </is>
      </c>
      <c r="E1297" s="481" t="n"/>
      <c r="J1297" s="481" t="n"/>
    </row>
    <row r="1298">
      <c r="E1298" s="481" t="n"/>
      <c r="J1298" s="481" t="n"/>
    </row>
    <row r="1299">
      <c r="C1299" s="411" t="inlineStr">
        <is>
          <t xml:space="preserve">AREA TOTAL </t>
        </is>
      </c>
      <c r="D1299" s="418" t="n">
        <v>38.3</v>
      </c>
      <c r="E1299" s="413" t="inlineStr">
        <is>
          <t>m2</t>
        </is>
      </c>
      <c r="F1299" s="414" t="inlineStr">
        <is>
          <t>Precinta + Paredes de oficina y monitor de azotea (3er nivel)</t>
        </is>
      </c>
      <c r="J1299" s="481" t="n"/>
    </row>
    <row r="1300">
      <c r="B1300" s="469" t="n"/>
      <c r="E1300" s="481" t="n"/>
      <c r="H1300" s="588" t="n"/>
      <c r="I1300" s="565" t="n"/>
      <c r="J1300" s="565" t="n"/>
    </row>
    <row r="1301">
      <c r="B1301" s="469" t="n"/>
      <c r="C1301" s="488" t="inlineStr">
        <is>
          <t>Elemento</t>
        </is>
      </c>
      <c r="D1301" s="488" t="inlineStr">
        <is>
          <t>Cantidad</t>
        </is>
      </c>
      <c r="E1301" s="488" t="inlineStr">
        <is>
          <t>Unidad</t>
        </is>
      </c>
      <c r="G1301" s="543" t="n"/>
      <c r="H1301" s="588" t="n"/>
      <c r="I1301" s="565" t="n"/>
      <c r="J1301" s="565" t="n"/>
    </row>
    <row r="1302">
      <c r="B1302" s="476" t="inlineStr">
        <is>
          <t>M04-0016</t>
        </is>
      </c>
      <c r="C1302" s="486" t="inlineStr">
        <is>
          <t xml:space="preserve">#Lámina securock </t>
        </is>
      </c>
      <c r="D1302" s="487">
        <f>ROUNDUP((D1299/(1.22*2.44))*1.1,0)</f>
        <v/>
      </c>
      <c r="E1302" s="488" t="inlineStr">
        <is>
          <t xml:space="preserve">un </t>
        </is>
      </c>
      <c r="F1302" s="416" t="n"/>
      <c r="G1302" s="543" t="n"/>
      <c r="H1302" s="588" t="n"/>
      <c r="I1302" s="565" t="n"/>
      <c r="J1302" s="565" t="n"/>
    </row>
    <row r="1303">
      <c r="B1303" s="476" t="inlineStr">
        <is>
          <t>M04-0038</t>
        </is>
      </c>
      <c r="C1303" s="486" t="inlineStr">
        <is>
          <t>Stud</t>
        </is>
      </c>
      <c r="D1303" s="487">
        <f>ROUNDUP(D128*D1299,0)</f>
        <v/>
      </c>
      <c r="E1303" s="488" t="inlineStr">
        <is>
          <t xml:space="preserve">un </t>
        </is>
      </c>
      <c r="F1303" s="416" t="n"/>
      <c r="G1303" s="543" t="n"/>
      <c r="J1303" s="481" t="n"/>
    </row>
    <row r="1304">
      <c r="B1304" s="476" t="inlineStr">
        <is>
          <t>M04-0043</t>
        </is>
      </c>
      <c r="C1304" s="486" t="inlineStr">
        <is>
          <t>Track</t>
        </is>
      </c>
      <c r="D1304" s="487">
        <f>ROUNDUP(D129*D1299,0)</f>
        <v/>
      </c>
      <c r="E1304" s="488" t="inlineStr">
        <is>
          <t xml:space="preserve">un </t>
        </is>
      </c>
      <c r="F1304" s="416" t="n"/>
      <c r="H1304" s="589" t="n"/>
      <c r="I1304" s="565" t="n"/>
      <c r="J1304" s="565" t="n"/>
    </row>
    <row r="1305">
      <c r="B1305" s="476" t="inlineStr">
        <is>
          <t>M04-0015</t>
        </is>
      </c>
      <c r="C1305" s="486" t="inlineStr">
        <is>
          <t xml:space="preserve">Cinta malla </t>
        </is>
      </c>
      <c r="D1305" s="487">
        <f>ROUNDUP(D132*D1299/2,0)</f>
        <v/>
      </c>
      <c r="E1305" s="488" t="inlineStr">
        <is>
          <t>rollo</t>
        </is>
      </c>
      <c r="F1305" s="416" t="n"/>
      <c r="H1305" s="590" t="n"/>
      <c r="I1305" s="541" t="n"/>
      <c r="J1305" s="565" t="n"/>
    </row>
    <row r="1306">
      <c r="B1306" s="476" t="inlineStr">
        <is>
          <t>M04-0051</t>
        </is>
      </c>
      <c r="C1306" s="486" t="inlineStr">
        <is>
          <t>Jota de plástico</t>
        </is>
      </c>
      <c r="D1306" s="487">
        <f>ROUNDUP(D133*D1299,0)</f>
        <v/>
      </c>
      <c r="E1306" s="488" t="inlineStr">
        <is>
          <t xml:space="preserve">un </t>
        </is>
      </c>
      <c r="F1306" s="416" t="n"/>
      <c r="J1306" s="481" t="n"/>
    </row>
    <row r="1307">
      <c r="B1307" s="476" t="inlineStr">
        <is>
          <t>M04-0047</t>
        </is>
      </c>
      <c r="C1307" s="486" t="inlineStr">
        <is>
          <t>Esquinero de plástico</t>
        </is>
      </c>
      <c r="D1307" s="487">
        <f>ROUNDUP(D134*D1299,0)</f>
        <v/>
      </c>
      <c r="E1307" s="488" t="inlineStr">
        <is>
          <t xml:space="preserve">un </t>
        </is>
      </c>
      <c r="F1307" s="416" t="n"/>
      <c r="J1307" s="481" t="n"/>
    </row>
    <row r="1308">
      <c r="B1308" s="476" t="inlineStr">
        <is>
          <t>M06-0112</t>
        </is>
      </c>
      <c r="C1308" s="486" t="inlineStr">
        <is>
          <t>Tornillo gypsum 7/16 punta fina con arandela</t>
        </is>
      </c>
      <c r="D1308" s="487">
        <f>ROUNDUP(D135*D1299/100,0)</f>
        <v/>
      </c>
      <c r="E1308" s="488" t="inlineStr">
        <is>
          <t>paquete</t>
        </is>
      </c>
      <c r="F1308" s="416" t="n"/>
      <c r="J1308" s="481" t="n"/>
    </row>
    <row r="1309">
      <c r="B1309" s="476" t="inlineStr">
        <is>
          <t>M06-0306</t>
        </is>
      </c>
      <c r="C1309" s="486" t="inlineStr">
        <is>
          <t>Tornillo gypsum  7/16 punta broca con arandela</t>
        </is>
      </c>
      <c r="D1309" s="487">
        <f>ROUNDUP(D136*D1299/100,0)</f>
        <v/>
      </c>
      <c r="E1309" s="488" t="inlineStr">
        <is>
          <t>paquete</t>
        </is>
      </c>
      <c r="F1309" s="416" t="n"/>
      <c r="J1309" s="481" t="n"/>
    </row>
    <row r="1310">
      <c r="B1310" s="476" t="inlineStr">
        <is>
          <t>M06-0116</t>
        </is>
      </c>
      <c r="C1310" s="486" t="inlineStr">
        <is>
          <t>Tornillo de forro</t>
        </is>
      </c>
      <c r="D1310" s="487">
        <f>ROUNDUP(D136*D1299,0)</f>
        <v/>
      </c>
      <c r="E1310" s="488" t="inlineStr">
        <is>
          <t xml:space="preserve">un </t>
        </is>
      </c>
      <c r="F1310" s="416" t="n"/>
    </row>
    <row r="1311">
      <c r="B1311" s="469" t="n"/>
      <c r="E1311" s="481" t="n"/>
    </row>
    <row r="1312">
      <c r="B1312" s="469" t="n"/>
      <c r="C1312" s="488" t="n"/>
      <c r="D1312" s="488" t="inlineStr">
        <is>
          <t>Costo</t>
        </is>
      </c>
      <c r="E1312" s="488" t="inlineStr">
        <is>
          <t>Total</t>
        </is>
      </c>
      <c r="F1312" s="488" t="inlineStr">
        <is>
          <t>Horas</t>
        </is>
      </c>
    </row>
    <row r="1313">
      <c r="B1313" s="469" t="n"/>
      <c r="C1313" s="488" t="inlineStr">
        <is>
          <t>Mano de obra de tapicheles</t>
        </is>
      </c>
      <c r="D1313" s="489">
        <f>+D177</f>
        <v/>
      </c>
      <c r="E1313" s="489">
        <f>+D1313*D1299</f>
        <v/>
      </c>
      <c r="F1313" s="490">
        <f>ROUND(E1313/'COSTOS MO CUADRILLA'!K33,0)</f>
        <v/>
      </c>
    </row>
    <row r="1314">
      <c r="B1314" s="469" t="n"/>
      <c r="C1314" s="486" t="n"/>
      <c r="D1314" s="488" t="inlineStr">
        <is>
          <t xml:space="preserve">Total </t>
        </is>
      </c>
      <c r="E1314" s="489">
        <f>SUM(E1313:E1313)</f>
        <v/>
      </c>
      <c r="F1314" s="490">
        <f>+E1314/'COSTOS MO CUADRILLA'!K33</f>
        <v/>
      </c>
    </row>
    <row r="1316">
      <c r="B1316" s="469" t="n"/>
      <c r="C1316" s="491" t="inlineStr">
        <is>
          <t>ALEROS</t>
        </is>
      </c>
      <c r="E1316" s="481" t="n"/>
    </row>
    <row r="1317">
      <c r="B1317" s="469" t="n"/>
      <c r="E1317" s="481" t="n"/>
      <c r="F1317" s="493" t="n"/>
    </row>
    <row r="1318">
      <c r="B1318" s="469" t="n"/>
      <c r="C1318" s="411" t="inlineStr">
        <is>
          <t xml:space="preserve">AREA TOTAL </t>
        </is>
      </c>
      <c r="D1318" s="418" t="n">
        <v>9.699999999999999</v>
      </c>
      <c r="E1318" s="413" t="inlineStr">
        <is>
          <t>m2</t>
        </is>
      </c>
      <c r="F1318" s="416" t="n"/>
    </row>
    <row r="1319">
      <c r="B1319" s="469" t="n"/>
      <c r="C1319" s="411" t="inlineStr">
        <is>
          <t>PERIMETRO</t>
        </is>
      </c>
      <c r="D1319" s="418" t="n">
        <v>9.07</v>
      </c>
      <c r="E1319" s="413" t="inlineStr">
        <is>
          <t>m</t>
        </is>
      </c>
      <c r="F1319" s="416" t="n"/>
    </row>
    <row r="1320">
      <c r="B1320" s="469" t="n"/>
      <c r="E1320" s="481" t="n"/>
      <c r="F1320" s="543" t="n"/>
    </row>
    <row r="1321">
      <c r="B1321" s="469" t="n"/>
      <c r="C1321" s="488" t="inlineStr">
        <is>
          <t>Elemento</t>
        </is>
      </c>
      <c r="D1321" s="488" t="inlineStr">
        <is>
          <t>Cantidad</t>
        </is>
      </c>
      <c r="E1321" s="488" t="inlineStr">
        <is>
          <t>Unidad</t>
        </is>
      </c>
      <c r="F1321" s="543" t="n"/>
    </row>
    <row r="1322">
      <c r="B1322" s="476" t="inlineStr">
        <is>
          <t>M04-0055</t>
        </is>
      </c>
      <c r="C1322" s="486" t="inlineStr">
        <is>
          <t>Tablilla pvc interiores</t>
        </is>
      </c>
      <c r="D1322" s="487">
        <f>ROUNDUP(D1318*1.1,0)</f>
        <v/>
      </c>
      <c r="E1322" s="488" t="inlineStr">
        <is>
          <t xml:space="preserve">m2 </t>
        </is>
      </c>
      <c r="F1322" s="416" t="n"/>
    </row>
    <row r="1323">
      <c r="B1323" s="476" t="inlineStr">
        <is>
          <t>M04-0045</t>
        </is>
      </c>
      <c r="C1323" s="486" t="inlineStr">
        <is>
          <t>Corniza para tablilla pvc blanca</t>
        </is>
      </c>
      <c r="D1323" s="487">
        <f>ROUNDUP(D1319*1.1/5.8,0)</f>
        <v/>
      </c>
      <c r="E1323" s="488" t="inlineStr">
        <is>
          <t>und</t>
        </is>
      </c>
      <c r="F1323" s="416" t="n"/>
    </row>
    <row r="1324">
      <c r="B1324" s="476" t="inlineStr">
        <is>
          <t>M04-0033</t>
        </is>
      </c>
      <c r="C1324" s="486" t="inlineStr">
        <is>
          <t>Angular channel 1x3" 0.36mm 3.05m</t>
        </is>
      </c>
      <c r="D1324" s="487">
        <f>ROUNDUP(D1318,0)</f>
        <v/>
      </c>
      <c r="E1324" s="488" t="inlineStr">
        <is>
          <t>und</t>
        </is>
      </c>
      <c r="F1324" s="416" t="n"/>
    </row>
    <row r="1325">
      <c r="B1325" s="476" t="inlineStr">
        <is>
          <t>M04-0034</t>
        </is>
      </c>
      <c r="C1325" s="486" t="inlineStr">
        <is>
          <t>Canal u 1 1/2x16x4.88 cal #20</t>
        </is>
      </c>
      <c r="D1325" s="487">
        <f>ROUNDUP(D1318*D120,0)</f>
        <v/>
      </c>
      <c r="E1325" s="488" t="inlineStr">
        <is>
          <t>und</t>
        </is>
      </c>
      <c r="F1325" s="416" t="n"/>
    </row>
    <row r="1326">
      <c r="B1326" s="476" t="inlineStr">
        <is>
          <t>M04-0035</t>
        </is>
      </c>
      <c r="C1326" s="486" t="inlineStr">
        <is>
          <t>Furring 2 1/2x3.66m cal#25</t>
        </is>
      </c>
      <c r="D1326" s="487">
        <f>ROUNDUP(D1318*D119,0)</f>
        <v/>
      </c>
      <c r="E1326" s="488" t="inlineStr">
        <is>
          <t>und</t>
        </is>
      </c>
      <c r="F1326" s="416" t="n"/>
    </row>
    <row r="1327">
      <c r="B1327" s="476" t="inlineStr">
        <is>
          <t>M06-0112</t>
        </is>
      </c>
      <c r="C1327" s="486" t="inlineStr">
        <is>
          <t>Tornillo gypsum 7/16 punta fina con arandela</t>
        </is>
      </c>
      <c r="D1327" s="487">
        <f>ROUNDUP(D1318*D124,0)</f>
        <v/>
      </c>
      <c r="E1327" s="488" t="inlineStr">
        <is>
          <t>und</t>
        </is>
      </c>
      <c r="F1327" s="416" t="n"/>
    </row>
    <row r="1328">
      <c r="B1328" s="476" t="inlineStr">
        <is>
          <t>M06-0043</t>
        </is>
      </c>
      <c r="C1328" s="486" t="inlineStr">
        <is>
          <t>Clavo de impacto 1"</t>
        </is>
      </c>
      <c r="D1328" s="487">
        <f>ROUNDUP(D1319/0.2/100,0)</f>
        <v/>
      </c>
      <c r="E1328" s="488" t="inlineStr">
        <is>
          <t>caja</t>
        </is>
      </c>
      <c r="F1328" s="416" t="n"/>
    </row>
    <row r="1329">
      <c r="B1329" s="476" t="inlineStr">
        <is>
          <t>M06-0112</t>
        </is>
      </c>
      <c r="C1329" s="486" t="inlineStr">
        <is>
          <t>Tornillo p/gyp 8x 1/2 p/broca (100 un)</t>
        </is>
      </c>
      <c r="D1329" s="487">
        <f>ROUNDUP(D1318*D124/100,0)</f>
        <v/>
      </c>
      <c r="E1329" s="488" t="inlineStr">
        <is>
          <t xml:space="preserve">paquete </t>
        </is>
      </c>
      <c r="F1329" s="416" t="n"/>
    </row>
    <row r="1330">
      <c r="B1330" s="476" t="inlineStr">
        <is>
          <t>M06-0278</t>
        </is>
      </c>
      <c r="C1330" s="486" t="inlineStr">
        <is>
          <t>Tiro fulminante p/pistola 25mm</t>
        </is>
      </c>
      <c r="D1330" s="487">
        <f>+D1328/100</f>
        <v/>
      </c>
      <c r="E1330" s="488" t="inlineStr">
        <is>
          <t>caja</t>
        </is>
      </c>
      <c r="F1330" s="416" t="n"/>
    </row>
    <row r="1331">
      <c r="B1331" s="476" t="inlineStr">
        <is>
          <t>M06-0116</t>
        </is>
      </c>
      <c r="C1331" s="486" t="inlineStr">
        <is>
          <t>Tornillo p/gyp 1 1/4 p fina</t>
        </is>
      </c>
      <c r="D1331" s="487">
        <f>ROUNDUP(D1318*D125,0)</f>
        <v/>
      </c>
      <c r="E1331" s="488" t="inlineStr">
        <is>
          <t>und</t>
        </is>
      </c>
      <c r="F1331" s="416" t="n"/>
    </row>
    <row r="1333">
      <c r="B1333" s="469" t="n"/>
      <c r="C1333" s="488" t="n"/>
      <c r="D1333" s="488" t="inlineStr">
        <is>
          <t>Costo</t>
        </is>
      </c>
      <c r="E1333" s="488" t="inlineStr">
        <is>
          <t>Total</t>
        </is>
      </c>
      <c r="F1333" s="488" t="inlineStr">
        <is>
          <t>Horas</t>
        </is>
      </c>
    </row>
    <row r="1334">
      <c r="B1334" s="469" t="n"/>
      <c r="C1334" s="488" t="inlineStr">
        <is>
          <t>Mano de obra aleros, cielo PVC</t>
        </is>
      </c>
      <c r="D1334" s="489">
        <f>+D178</f>
        <v/>
      </c>
      <c r="E1334" s="489">
        <f>+D1334*D1318</f>
        <v/>
      </c>
      <c r="F1334" s="490">
        <f>ROUND(E1334/'COSTOS MO CUADRILLA'!K33,0)</f>
        <v/>
      </c>
      <c r="G1334" s="1154" t="n"/>
    </row>
    <row r="1335">
      <c r="B1335" s="469" t="n"/>
      <c r="C1335" s="486" t="n"/>
      <c r="D1335" s="488" t="inlineStr">
        <is>
          <t xml:space="preserve">Total </t>
        </is>
      </c>
      <c r="E1335" s="489">
        <f>SUM(E1334:E1334)</f>
        <v/>
      </c>
      <c r="F1335" s="490">
        <f>+E1335/'COSTOS MO CUADRILLA'!K33</f>
        <v/>
      </c>
      <c r="G1335" s="481" t="n"/>
    </row>
    <row r="1336">
      <c r="B1336" s="469" t="n"/>
      <c r="E1336" s="481" t="n"/>
    </row>
    <row r="1337">
      <c r="B1337" s="469" t="n"/>
      <c r="C1337" s="491" t="inlineStr">
        <is>
          <t>PARED PATIO</t>
        </is>
      </c>
      <c r="E1337" s="481" t="n"/>
    </row>
    <row r="1338">
      <c r="B1338" s="469" t="n"/>
      <c r="E1338" s="481" t="n"/>
    </row>
    <row r="1339">
      <c r="B1339" s="469" t="n"/>
      <c r="C1339" s="411" t="inlineStr">
        <is>
          <t>Largo</t>
        </is>
      </c>
      <c r="D1339" s="412" t="n">
        <v>1.75</v>
      </c>
      <c r="E1339" s="413" t="inlineStr">
        <is>
          <t>m</t>
        </is>
      </c>
      <c r="F1339" s="416" t="n"/>
    </row>
    <row r="1340">
      <c r="B1340" s="469" t="n"/>
      <c r="C1340" s="411" t="inlineStr">
        <is>
          <t>Alto</t>
        </is>
      </c>
      <c r="D1340" s="413">
        <f>+D27</f>
        <v/>
      </c>
      <c r="E1340" s="413" t="inlineStr">
        <is>
          <t>m</t>
        </is>
      </c>
      <c r="F1340" s="416" t="n"/>
    </row>
    <row r="1341">
      <c r="B1341" s="469" t="n"/>
      <c r="C1341" s="411" t="inlineStr">
        <is>
          <t xml:space="preserve">AREA TOTAL </t>
        </is>
      </c>
      <c r="D1341" s="413">
        <f>+D1340*D1339</f>
        <v/>
      </c>
      <c r="E1341" s="413" t="inlineStr">
        <is>
          <t>m2</t>
        </is>
      </c>
      <c r="F1341" s="416" t="n"/>
    </row>
    <row r="1343">
      <c r="B1343" s="476" t="n"/>
      <c r="C1343" s="488" t="inlineStr">
        <is>
          <t>Elemento</t>
        </is>
      </c>
      <c r="D1343" s="488" t="inlineStr">
        <is>
          <t>Cantidad</t>
        </is>
      </c>
      <c r="E1343" s="488" t="inlineStr">
        <is>
          <t>Unidad</t>
        </is>
      </c>
      <c r="F1343" s="543" t="n"/>
    </row>
    <row r="1344">
      <c r="B1344" s="476" t="inlineStr">
        <is>
          <t>M04-0016</t>
        </is>
      </c>
      <c r="C1344" s="486" t="inlineStr">
        <is>
          <t>Láminas densglass</t>
        </is>
      </c>
      <c r="D1344" s="487">
        <f>ROUNDUP($D$1341*D118,0)</f>
        <v/>
      </c>
      <c r="E1344" s="488" t="inlineStr">
        <is>
          <t xml:space="preserve">un </t>
        </is>
      </c>
      <c r="F1344" s="416" t="n"/>
    </row>
    <row r="1345">
      <c r="B1345" s="476" t="inlineStr">
        <is>
          <t>M04-0018</t>
        </is>
      </c>
      <c r="C1345" s="486" t="inlineStr">
        <is>
          <t>Lámina gypsum</t>
        </is>
      </c>
      <c r="D1345" s="487">
        <f>ROUNDUP($D$1341*D118,0)</f>
        <v/>
      </c>
      <c r="E1345" s="488" t="inlineStr">
        <is>
          <t xml:space="preserve">un </t>
        </is>
      </c>
      <c r="F1345" s="416" t="n"/>
    </row>
    <row r="1346">
      <c r="B1346" s="476" t="inlineStr">
        <is>
          <t>M04-0038</t>
        </is>
      </c>
      <c r="C1346" s="486" t="inlineStr">
        <is>
          <t>Stud</t>
        </is>
      </c>
      <c r="D1346" s="487">
        <f>ROUNDUP($D$1341*D128,0)</f>
        <v/>
      </c>
      <c r="E1346" s="488" t="inlineStr">
        <is>
          <t xml:space="preserve">un </t>
        </is>
      </c>
      <c r="F1346" s="416" t="n"/>
    </row>
    <row r="1347">
      <c r="B1347" s="476" t="inlineStr">
        <is>
          <t>M04-0043</t>
        </is>
      </c>
      <c r="C1347" s="486" t="inlineStr">
        <is>
          <t>Track</t>
        </is>
      </c>
      <c r="D1347" s="487">
        <f>ROUNDUP($D$1341*D129,0)</f>
        <v/>
      </c>
      <c r="E1347" s="488" t="inlineStr">
        <is>
          <t xml:space="preserve">un </t>
        </is>
      </c>
      <c r="F1347" s="416" t="n"/>
    </row>
    <row r="1348">
      <c r="B1348" s="476" t="inlineStr">
        <is>
          <t>M06-0043</t>
        </is>
      </c>
      <c r="C1348" s="486" t="inlineStr">
        <is>
          <t>Clavo de impacto</t>
        </is>
      </c>
      <c r="D1348" s="487">
        <f>ROUNDUP($D$1341*D130,0)/100</f>
        <v/>
      </c>
      <c r="E1348" s="488" t="inlineStr">
        <is>
          <t>caja</t>
        </is>
      </c>
      <c r="F1348" s="416" t="n"/>
    </row>
    <row r="1349">
      <c r="B1349" s="476" t="inlineStr">
        <is>
          <t>M06-0278</t>
        </is>
      </c>
      <c r="C1349" s="486" t="inlineStr">
        <is>
          <t>Tiro verde</t>
        </is>
      </c>
      <c r="D1349" s="487">
        <f>ROUNDUP($D$1341*D131,0)/100</f>
        <v/>
      </c>
      <c r="E1349" s="488" t="inlineStr">
        <is>
          <t>CAJA</t>
        </is>
      </c>
      <c r="F1349" s="416" t="n"/>
    </row>
    <row r="1350">
      <c r="B1350" s="476" t="inlineStr">
        <is>
          <t>M04-0015</t>
        </is>
      </c>
      <c r="C1350" s="486" t="inlineStr">
        <is>
          <t xml:space="preserve">Cinta malla </t>
        </is>
      </c>
      <c r="D1350" s="487">
        <f>ROUNDUP($D$1341*D132,0)</f>
        <v/>
      </c>
      <c r="E1350" s="488" t="inlineStr">
        <is>
          <t>rollo</t>
        </is>
      </c>
      <c r="F1350" s="416" t="n"/>
    </row>
    <row r="1351">
      <c r="B1351" s="476" t="inlineStr">
        <is>
          <t>M04-0051</t>
        </is>
      </c>
      <c r="C1351" s="486" t="inlineStr">
        <is>
          <t>Jota de plástico</t>
        </is>
      </c>
      <c r="D1351" s="487">
        <f>ROUNDUP($D$1341*D133,0)</f>
        <v/>
      </c>
      <c r="E1351" s="488" t="inlineStr">
        <is>
          <t xml:space="preserve">un </t>
        </is>
      </c>
      <c r="F1351" s="416" t="n"/>
    </row>
    <row r="1352">
      <c r="B1352" s="476" t="inlineStr">
        <is>
          <t>M04-0047</t>
        </is>
      </c>
      <c r="C1352" s="486" t="inlineStr">
        <is>
          <t>Esquinero de plástico</t>
        </is>
      </c>
      <c r="D1352" s="487">
        <f>ROUNDUP($D$1341*D134,0)</f>
        <v/>
      </c>
      <c r="E1352" s="488" t="inlineStr">
        <is>
          <t xml:space="preserve">un </t>
        </is>
      </c>
      <c r="F1352" s="416" t="n"/>
    </row>
    <row r="1353">
      <c r="B1353" s="476" t="inlineStr">
        <is>
          <t>M06-0112</t>
        </is>
      </c>
      <c r="C1353" s="486" t="inlineStr">
        <is>
          <t>Tornillo frijolillo</t>
        </is>
      </c>
      <c r="D1353" s="487">
        <f>ROUNDUP($D$1341*D135/100,0)</f>
        <v/>
      </c>
      <c r="E1353" s="488" t="inlineStr">
        <is>
          <t>paquete</t>
        </is>
      </c>
      <c r="F1353" s="416" t="n"/>
    </row>
    <row r="1354">
      <c r="B1354" s="476" t="inlineStr">
        <is>
          <t>M06-0116</t>
        </is>
      </c>
      <c r="C1354" s="486" t="inlineStr">
        <is>
          <t>Tornillo de forro</t>
        </is>
      </c>
      <c r="D1354" s="487">
        <f>ROUNDUP($D$1341*D136,0)</f>
        <v/>
      </c>
      <c r="E1354" s="488" t="inlineStr">
        <is>
          <t xml:space="preserve">un </t>
        </is>
      </c>
      <c r="F1354" s="416" t="n"/>
    </row>
    <row r="1355">
      <c r="B1355" s="469" t="n"/>
      <c r="E1355" s="481" t="n"/>
    </row>
    <row r="1356">
      <c r="B1356" s="469" t="n"/>
      <c r="C1356" s="488" t="n"/>
      <c r="D1356" s="488" t="inlineStr">
        <is>
          <t>Costo</t>
        </is>
      </c>
      <c r="E1356" s="488" t="inlineStr">
        <is>
          <t>Total</t>
        </is>
      </c>
      <c r="F1356" s="488" t="inlineStr">
        <is>
          <t>Horas</t>
        </is>
      </c>
    </row>
    <row r="1357">
      <c r="B1357" s="469" t="n"/>
      <c r="C1357" s="488" t="inlineStr">
        <is>
          <t>Mano de obra de pared de patio</t>
        </is>
      </c>
      <c r="D1357" s="489">
        <f>+D179</f>
        <v/>
      </c>
      <c r="E1357" s="489">
        <f>+D1357*D1341</f>
        <v/>
      </c>
      <c r="F1357" s="490">
        <f>ROUND(E1357/'COSTOS MO CUADRILLA'!K33,0)</f>
        <v/>
      </c>
    </row>
    <row r="1358">
      <c r="B1358" s="469" t="n"/>
      <c r="C1358" s="486" t="n"/>
      <c r="D1358" s="488" t="inlineStr">
        <is>
          <t xml:space="preserve">Total </t>
        </is>
      </c>
      <c r="E1358" s="489">
        <f>SUM(E1357:E1357)</f>
        <v/>
      </c>
      <c r="F1358" s="490">
        <f>+E1358/'COSTOS MO CUADRILLA'!K33</f>
        <v/>
      </c>
    </row>
    <row r="1360">
      <c r="C1360" s="468" t="inlineStr">
        <is>
          <t>1.6.2</t>
        </is>
      </c>
      <c r="D1360" s="468" t="inlineStr">
        <is>
          <t>LIVIANO INTERIORES ( PAREDES LIVIANAS Y CIELOS)</t>
        </is>
      </c>
      <c r="E1360" s="59" t="n"/>
      <c r="F1360" s="60" t="n"/>
    </row>
    <row r="1362">
      <c r="B1362" s="469" t="n"/>
      <c r="C1362" s="491" t="inlineStr">
        <is>
          <t xml:space="preserve">CIELOS </t>
        </is>
      </c>
      <c r="E1362" s="481" t="n"/>
    </row>
    <row r="1363">
      <c r="B1363" s="469" t="n"/>
      <c r="D1363" s="416" t="n"/>
      <c r="E1363" s="592" t="n"/>
    </row>
    <row r="1364">
      <c r="B1364" s="469" t="n"/>
      <c r="C1364" s="411" t="inlineStr">
        <is>
          <t>AREAS HUMEDAS</t>
        </is>
      </c>
      <c r="D1364" s="418" t="n">
        <v>2.9</v>
      </c>
      <c r="E1364" s="413" t="inlineStr">
        <is>
          <t>m2</t>
        </is>
      </c>
      <c r="F1364" s="416" t="n"/>
    </row>
    <row r="1365">
      <c r="B1365" s="469" t="n"/>
      <c r="C1365" s="411" t="inlineStr">
        <is>
          <t>AREAS SECAS</t>
        </is>
      </c>
      <c r="D1365" s="418" t="n">
        <v>38.3</v>
      </c>
      <c r="E1365" s="413" t="inlineStr">
        <is>
          <t>m2</t>
        </is>
      </c>
      <c r="F1365" s="416" t="n"/>
    </row>
    <row r="1366">
      <c r="B1366" s="469" t="n"/>
      <c r="C1366" s="411" t="inlineStr">
        <is>
          <t xml:space="preserve">AREA TOTAL </t>
        </is>
      </c>
      <c r="D1366" s="455">
        <f>+D1364+D1365</f>
        <v/>
      </c>
      <c r="E1366" s="413" t="inlineStr">
        <is>
          <t>m2</t>
        </is>
      </c>
      <c r="F1366" s="416" t="n"/>
    </row>
    <row r="1367">
      <c r="B1367" s="469" t="n"/>
      <c r="E1367" s="481" t="n"/>
      <c r="F1367" s="493" t="n"/>
    </row>
    <row r="1368">
      <c r="B1368" s="469" t="n"/>
      <c r="C1368" s="488" t="inlineStr">
        <is>
          <t>Elemento</t>
        </is>
      </c>
      <c r="D1368" s="488" t="inlineStr">
        <is>
          <t>Cantidad</t>
        </is>
      </c>
      <c r="E1368" s="488" t="inlineStr">
        <is>
          <t>Unidad</t>
        </is>
      </c>
      <c r="F1368" s="493" t="n"/>
    </row>
    <row r="1369">
      <c r="B1369" s="476" t="inlineStr">
        <is>
          <t>M04-0018</t>
        </is>
      </c>
      <c r="C1369" s="486" t="inlineStr">
        <is>
          <t>Lamina gypsum</t>
        </is>
      </c>
      <c r="D1369" s="487">
        <f>ROUNDUP($D$1365*D118,0)</f>
        <v/>
      </c>
      <c r="E1369" s="488" t="inlineStr">
        <is>
          <t xml:space="preserve">un </t>
        </is>
      </c>
      <c r="F1369" s="416" t="n"/>
    </row>
    <row r="1370">
      <c r="B1370" s="476" t="inlineStr">
        <is>
          <t>M04-0017</t>
        </is>
      </c>
      <c r="C1370" s="486" t="inlineStr">
        <is>
          <t>Lámina gypsum MR</t>
        </is>
      </c>
      <c r="D1370" s="487">
        <f>ROUNDUP($D$1364*D118,0)</f>
        <v/>
      </c>
      <c r="E1370" s="488" t="inlineStr">
        <is>
          <t xml:space="preserve">un </t>
        </is>
      </c>
      <c r="F1370" s="416" t="n"/>
    </row>
    <row r="1371">
      <c r="B1371" s="476" t="inlineStr">
        <is>
          <t>M04-0035</t>
        </is>
      </c>
      <c r="C1371" s="486">
        <f>+C119</f>
        <v/>
      </c>
      <c r="D1371" s="487">
        <f>ROUNDUP($D$1366*D119,0)</f>
        <v/>
      </c>
      <c r="E1371" s="488" t="inlineStr">
        <is>
          <t xml:space="preserve">un </t>
        </is>
      </c>
      <c r="F1371" s="416" t="n"/>
    </row>
    <row r="1372">
      <c r="B1372" s="476" t="inlineStr">
        <is>
          <t>M04-0034</t>
        </is>
      </c>
      <c r="C1372" s="486">
        <f>+C120</f>
        <v/>
      </c>
      <c r="D1372" s="487">
        <f>ROUNDUP($D$1366*D120,0)</f>
        <v/>
      </c>
      <c r="E1372" s="488" t="inlineStr">
        <is>
          <t xml:space="preserve">un </t>
        </is>
      </c>
      <c r="F1372" s="416" t="n"/>
    </row>
    <row r="1373">
      <c r="B1373" s="476" t="inlineStr">
        <is>
          <t>M04-0033</t>
        </is>
      </c>
      <c r="C1373" s="486">
        <f>+C121</f>
        <v/>
      </c>
      <c r="D1373" s="487">
        <f>ROUNDUP($D$1366*D121,0)</f>
        <v/>
      </c>
      <c r="E1373" s="488" t="inlineStr">
        <is>
          <t xml:space="preserve">un </t>
        </is>
      </c>
      <c r="F1373" s="416" t="n"/>
    </row>
    <row r="1374">
      <c r="B1374" s="476" t="inlineStr">
        <is>
          <t>M04-0014</t>
        </is>
      </c>
      <c r="C1374" s="486">
        <f>+C122</f>
        <v/>
      </c>
      <c r="D1374" s="487">
        <f>ROUNDUP($D$1366*D122,0)</f>
        <v/>
      </c>
      <c r="E1374" s="488" t="inlineStr">
        <is>
          <t>rollo</t>
        </is>
      </c>
      <c r="F1374" s="416" t="n"/>
    </row>
    <row r="1375">
      <c r="B1375" s="476" t="inlineStr">
        <is>
          <t>M06-0043</t>
        </is>
      </c>
      <c r="C1375" s="486" t="inlineStr">
        <is>
          <t>Clavo de impacto</t>
        </is>
      </c>
      <c r="D1375" s="487">
        <f>ROUNDUP($D$1366*D130/100,0)</f>
        <v/>
      </c>
      <c r="E1375" s="488" t="inlineStr">
        <is>
          <t>caja</t>
        </is>
      </c>
      <c r="F1375" s="416" t="n"/>
    </row>
    <row r="1376">
      <c r="B1376" s="476" t="inlineStr">
        <is>
          <t>M06-0278</t>
        </is>
      </c>
      <c r="C1376" s="486" t="inlineStr">
        <is>
          <t>Tiro verde</t>
        </is>
      </c>
      <c r="D1376" s="487">
        <f>ROUNDUP($D$1366*D131/100,0)</f>
        <v/>
      </c>
      <c r="E1376" s="488" t="inlineStr">
        <is>
          <t>caja</t>
        </is>
      </c>
      <c r="F1376" s="416" t="n"/>
    </row>
    <row r="1377">
      <c r="B1377" s="476" t="inlineStr">
        <is>
          <t>M06-0105</t>
        </is>
      </c>
      <c r="C1377" s="486">
        <f>+C124</f>
        <v/>
      </c>
      <c r="D1377" s="487">
        <f>ROUNDUP($D$1366*D124/100,0)</f>
        <v/>
      </c>
      <c r="E1377" s="488" t="inlineStr">
        <is>
          <t>paquete</t>
        </is>
      </c>
      <c r="F1377" s="416" t="n"/>
    </row>
    <row r="1378">
      <c r="B1378" s="476" t="inlineStr">
        <is>
          <t>M06-0116</t>
        </is>
      </c>
      <c r="C1378" s="486">
        <f>+C125</f>
        <v/>
      </c>
      <c r="D1378" s="487">
        <f>ROUNDUP($D$1366*D125,0)</f>
        <v/>
      </c>
      <c r="E1378" s="488" t="inlineStr">
        <is>
          <t xml:space="preserve">un </t>
        </is>
      </c>
      <c r="F1378" s="416" t="n"/>
    </row>
    <row r="1380">
      <c r="B1380" s="469" t="n"/>
      <c r="C1380" s="488" t="n"/>
      <c r="D1380" s="488" t="inlineStr">
        <is>
          <t>Costo</t>
        </is>
      </c>
      <c r="E1380" s="488" t="inlineStr">
        <is>
          <t>Total</t>
        </is>
      </c>
      <c r="F1380" s="488" t="inlineStr">
        <is>
          <t>Horas</t>
        </is>
      </c>
      <c r="J1380" s="481" t="n"/>
    </row>
    <row r="1381">
      <c r="B1381" s="469" t="n"/>
      <c r="C1381" s="488" t="inlineStr">
        <is>
          <t>Mano de obra Cielos de gypsum</t>
        </is>
      </c>
      <c r="D1381" s="489">
        <f>+D178</f>
        <v/>
      </c>
      <c r="E1381" s="489">
        <f>+D1381*D1366</f>
        <v/>
      </c>
      <c r="F1381" s="490">
        <f>ROUND(E1381/'COSTOS MO CUADRILLA'!K34,0)</f>
        <v/>
      </c>
      <c r="J1381" s="481" t="n"/>
    </row>
    <row r="1382">
      <c r="B1382" s="469" t="n"/>
      <c r="C1382" s="486" t="n"/>
      <c r="D1382" s="488" t="inlineStr">
        <is>
          <t xml:space="preserve">Total </t>
        </is>
      </c>
      <c r="E1382" s="489">
        <f>SUM(E1381:E1381)</f>
        <v/>
      </c>
      <c r="F1382" s="490">
        <f>+E1382/'COSTOS MO CUADRILLA'!K34</f>
        <v/>
      </c>
      <c r="G1382" s="481" t="n"/>
      <c r="H1382" s="481" t="n"/>
      <c r="I1382" s="498" t="n"/>
      <c r="J1382" s="499" t="n"/>
    </row>
    <row r="1383">
      <c r="B1383" s="469" t="n"/>
      <c r="E1383" s="481" t="n"/>
      <c r="J1383" s="481" t="n"/>
    </row>
    <row r="1384">
      <c r="B1384" s="469" t="n"/>
      <c r="C1384" s="491" t="inlineStr">
        <is>
          <t xml:space="preserve">PAREDES </t>
        </is>
      </c>
      <c r="E1384" s="481" t="n"/>
      <c r="J1384" s="481" t="n"/>
      <c r="L1384" s="543" t="n"/>
    </row>
    <row r="1385">
      <c r="B1385" s="469" t="n"/>
      <c r="E1385" s="481" t="n"/>
    </row>
    <row r="1386">
      <c r="B1386" s="469" t="n"/>
      <c r="C1386" s="552" t="inlineStr">
        <is>
          <t>PAREDES NORMALES (estructura 3")</t>
        </is>
      </c>
      <c r="E1386" s="481" t="n"/>
    </row>
    <row r="1387">
      <c r="B1387" s="469" t="n"/>
      <c r="C1387" s="470" t="inlineStr">
        <is>
          <t xml:space="preserve">LARGO </t>
        </is>
      </c>
      <c r="D1387" s="470" t="inlineStr">
        <is>
          <t xml:space="preserve">ALTO </t>
        </is>
      </c>
      <c r="E1387" s="470" t="inlineStr">
        <is>
          <t>AREA</t>
        </is>
      </c>
      <c r="F1387" s="413" t="inlineStr">
        <is>
          <t>MATERIAL</t>
        </is>
      </c>
      <c r="H1387" s="593" t="inlineStr">
        <is>
          <t>PUERTAS Y V.</t>
        </is>
      </c>
      <c r="I1387" s="565" t="n"/>
      <c r="J1387" s="565" t="n"/>
      <c r="K1387" s="565" t="n"/>
      <c r="L1387" s="541" t="n"/>
      <c r="M1387" s="541" t="n"/>
    </row>
    <row r="1388">
      <c r="B1388" s="469" t="n"/>
      <c r="C1388" s="435" t="n">
        <v>4.5</v>
      </c>
      <c r="D1388" s="435" t="n">
        <v>2.6</v>
      </c>
      <c r="E1388" s="472">
        <f>C1388*D1388</f>
        <v/>
      </c>
      <c r="F1388" s="413" t="inlineStr">
        <is>
          <t xml:space="preserve">2 CARAS: 1 DENGLASS  Y 1 GYPSUM </t>
        </is>
      </c>
      <c r="G1388" s="416" t="n"/>
      <c r="H1388" s="412" t="n">
        <v>0</v>
      </c>
      <c r="I1388" s="594" t="n"/>
      <c r="J1388" s="594" t="n"/>
      <c r="K1388" s="565" t="n"/>
      <c r="L1388" s="594" t="n"/>
      <c r="M1388" s="541" t="n"/>
    </row>
    <row r="1389">
      <c r="B1389" s="469" t="n"/>
      <c r="C1389" s="446" t="n"/>
      <c r="D1389" s="435" t="n"/>
      <c r="E1389" s="472">
        <f>C1389*D1389</f>
        <v/>
      </c>
      <c r="F1389" s="413" t="inlineStr">
        <is>
          <t xml:space="preserve">2 CARAS: 1 DENGLASS  Y 1 GYPSUM </t>
        </is>
      </c>
      <c r="G1389" s="416" t="n"/>
      <c r="H1389" s="565" t="n"/>
      <c r="I1389" s="594" t="n"/>
      <c r="J1389" s="594" t="n"/>
      <c r="K1389" s="565" t="n"/>
      <c r="L1389" s="594" t="n"/>
      <c r="M1389" s="541" t="n"/>
    </row>
    <row r="1390">
      <c r="B1390" s="469" t="n"/>
      <c r="C1390" s="413">
        <f>SUM(C1388:C1389)</f>
        <v/>
      </c>
      <c r="E1390" s="455">
        <f>SUM(E1388:E1389)-H1388</f>
        <v/>
      </c>
      <c r="H1390" s="565" t="n"/>
      <c r="I1390" s="594" t="n"/>
      <c r="J1390" s="594" t="n"/>
      <c r="K1390" s="565" t="n"/>
      <c r="L1390" s="594" t="n"/>
      <c r="M1390" s="541" t="n"/>
    </row>
    <row r="1391">
      <c r="B1391" s="469" t="n"/>
      <c r="D1391" s="481" t="n"/>
      <c r="E1391" s="481" t="n"/>
      <c r="H1391" s="594" t="n"/>
      <c r="I1391" s="594" t="n"/>
      <c r="J1391" s="594" t="n"/>
      <c r="K1391" s="565" t="n"/>
      <c r="L1391" s="594" t="n"/>
      <c r="M1391" s="541" t="n"/>
    </row>
    <row r="1392">
      <c r="B1392" s="469" t="n"/>
      <c r="C1392" s="552" t="inlineStr">
        <is>
          <t>PAREDES BAÑO (estructura 4")</t>
        </is>
      </c>
      <c r="D1392" s="481" t="n"/>
      <c r="E1392" s="481" t="n"/>
      <c r="H1392" s="594" t="n"/>
      <c r="I1392" s="594" t="n"/>
      <c r="J1392" s="594" t="n"/>
      <c r="K1392" s="565" t="n"/>
      <c r="L1392" s="594" t="n"/>
      <c r="M1392" s="541" t="n"/>
    </row>
    <row r="1393">
      <c r="B1393" s="469" t="n"/>
      <c r="C1393" s="470" t="inlineStr">
        <is>
          <t xml:space="preserve">LARGO </t>
        </is>
      </c>
      <c r="D1393" s="470" t="inlineStr">
        <is>
          <t xml:space="preserve">ALTO </t>
        </is>
      </c>
      <c r="E1393" s="470" t="inlineStr">
        <is>
          <t>AREA</t>
        </is>
      </c>
      <c r="F1393" s="413" t="inlineStr">
        <is>
          <t>MATERIAL</t>
        </is>
      </c>
      <c r="H1393" s="593" t="inlineStr">
        <is>
          <t>PUERTAS Y V.</t>
        </is>
      </c>
      <c r="I1393" s="565" t="n"/>
      <c r="J1393" s="565" t="n"/>
      <c r="K1393" s="565" t="n"/>
      <c r="L1393" s="541" t="n"/>
      <c r="M1393" s="541" t="n"/>
    </row>
    <row r="1394">
      <c r="B1394" s="469" t="n"/>
      <c r="C1394" s="435" t="n">
        <v>7.8</v>
      </c>
      <c r="D1394" s="435" t="n">
        <v>2.6</v>
      </c>
      <c r="E1394" s="472">
        <f>C1394*D1394</f>
        <v/>
      </c>
      <c r="F1394" s="413" t="inlineStr">
        <is>
          <t xml:space="preserve">2 CARAS: 1 DENGLASS  Y 1 GYPSUM </t>
        </is>
      </c>
      <c r="G1394" s="416" t="n"/>
      <c r="H1394" s="412">
        <f>3*1.7</f>
        <v/>
      </c>
      <c r="I1394" s="594" t="n"/>
      <c r="J1394" s="594" t="n"/>
      <c r="K1394" s="565" t="n"/>
      <c r="L1394" s="594" t="n"/>
      <c r="M1394" s="541" t="n"/>
    </row>
    <row r="1395">
      <c r="B1395" s="469" t="n"/>
      <c r="C1395" s="446" t="n">
        <v>11</v>
      </c>
      <c r="D1395" s="435" t="n">
        <v>1.6</v>
      </c>
      <c r="E1395" s="472">
        <f>C1395*D1395</f>
        <v/>
      </c>
      <c r="F1395" s="413" t="inlineStr">
        <is>
          <t xml:space="preserve">2 CARAS: 1 DENGLASS  Y 1 GYPSUM </t>
        </is>
      </c>
      <c r="G1395" s="416" t="n"/>
      <c r="H1395" s="565" t="n"/>
      <c r="I1395" s="594" t="n"/>
      <c r="J1395" s="594" t="n"/>
      <c r="K1395" s="565" t="n"/>
      <c r="L1395" s="594" t="n"/>
      <c r="M1395" s="541" t="n"/>
    </row>
    <row r="1396">
      <c r="B1396" s="469" t="n"/>
      <c r="C1396" s="413">
        <f>SUM(C1394:C1395)</f>
        <v/>
      </c>
      <c r="E1396" s="455">
        <f>SUM(E1394:E1395)-H1394</f>
        <v/>
      </c>
      <c r="H1396" s="565" t="n"/>
      <c r="I1396" s="594" t="n"/>
      <c r="J1396" s="594" t="n"/>
      <c r="K1396" s="565" t="n"/>
      <c r="L1396" s="594" t="n"/>
      <c r="M1396" s="541" t="n"/>
    </row>
    <row r="1397">
      <c r="B1397" s="469" t="n"/>
      <c r="D1397" s="481" t="n"/>
      <c r="E1397" s="481" t="n"/>
      <c r="H1397" s="594" t="n"/>
      <c r="I1397" s="594" t="n"/>
      <c r="J1397" s="594" t="n"/>
      <c r="K1397" s="565" t="n"/>
      <c r="L1397" s="594" t="n"/>
      <c r="M1397" s="541" t="n"/>
    </row>
    <row r="1398">
      <c r="B1398" s="469" t="n"/>
      <c r="C1398" s="488" t="inlineStr">
        <is>
          <t>Elemento</t>
        </is>
      </c>
      <c r="D1398" s="488" t="inlineStr">
        <is>
          <t>Cantidad</t>
        </is>
      </c>
      <c r="E1398" s="488" t="inlineStr">
        <is>
          <t>Unidad</t>
        </is>
      </c>
      <c r="F1398" s="493" t="n"/>
      <c r="H1398" s="594" t="n"/>
      <c r="I1398" s="594" t="n"/>
      <c r="J1398" s="594" t="n"/>
      <c r="K1398" s="565" t="n"/>
      <c r="L1398" s="594" t="n"/>
      <c r="M1398" s="541" t="n"/>
    </row>
    <row r="1399">
      <c r="B1399" s="476" t="inlineStr">
        <is>
          <t>M04-0016</t>
        </is>
      </c>
      <c r="C1399" s="486" t="inlineStr">
        <is>
          <t>Láminas densglass</t>
        </is>
      </c>
      <c r="D1399" s="487">
        <f>ROUNDUP(($E$1390+E1396)*D127/2,0)</f>
        <v/>
      </c>
      <c r="E1399" s="488" t="inlineStr">
        <is>
          <t xml:space="preserve">un </t>
        </is>
      </c>
      <c r="F1399" s="416" t="n"/>
      <c r="H1399" s="594" t="n"/>
      <c r="I1399" s="594" t="n"/>
      <c r="J1399" s="594" t="n"/>
      <c r="K1399" s="565" t="n"/>
      <c r="L1399" s="594" t="n"/>
      <c r="M1399" s="541" t="n"/>
    </row>
    <row r="1400">
      <c r="B1400" s="476" t="inlineStr">
        <is>
          <t>M04-0018</t>
        </is>
      </c>
      <c r="C1400" s="486" t="inlineStr">
        <is>
          <t>Lámina gypsum</t>
        </is>
      </c>
      <c r="D1400" s="487">
        <f>+D1399</f>
        <v/>
      </c>
      <c r="E1400" s="488" t="inlineStr">
        <is>
          <t xml:space="preserve">un </t>
        </is>
      </c>
      <c r="F1400" s="416" t="n"/>
      <c r="H1400" s="595" t="n"/>
      <c r="I1400" s="565" t="n"/>
      <c r="J1400" s="565" t="n"/>
      <c r="K1400" s="596" t="n"/>
      <c r="L1400" s="565" t="n"/>
      <c r="M1400" s="590" t="n"/>
    </row>
    <row r="1401">
      <c r="B1401" s="476" t="inlineStr">
        <is>
          <t>M04-0038</t>
        </is>
      </c>
      <c r="C1401" s="486">
        <f>_xlfn.XLOOKUP(B1401,'BASE DATOS PRECIOS '!B:B,'BASE DATOS PRECIOS '!E:E,0,0,1)</f>
        <v/>
      </c>
      <c r="D1401" s="487">
        <f>ROUNDUP($E$1390*D128,0)</f>
        <v/>
      </c>
      <c r="E1401" s="488" t="inlineStr">
        <is>
          <t xml:space="preserve">un </t>
        </is>
      </c>
      <c r="F1401" s="416" t="n"/>
      <c r="J1401" s="481" t="n"/>
    </row>
    <row r="1402">
      <c r="B1402" s="476" t="inlineStr">
        <is>
          <t>M04-0043</t>
        </is>
      </c>
      <c r="C1402" s="486">
        <f>_xlfn.XLOOKUP(B1402,'BASE DATOS PRECIOS '!B:B,'BASE DATOS PRECIOS '!E:E,0,0,1)</f>
        <v/>
      </c>
      <c r="D1402" s="487">
        <f>ROUNDUP(C1390*2/3,0)</f>
        <v/>
      </c>
      <c r="E1402" s="488" t="inlineStr">
        <is>
          <t xml:space="preserve">un </t>
        </is>
      </c>
      <c r="F1402" s="416" t="n"/>
      <c r="J1402" s="481" t="n"/>
    </row>
    <row r="1403">
      <c r="B1403" s="476" t="inlineStr">
        <is>
          <t>M04-0039</t>
        </is>
      </c>
      <c r="C1403" s="486">
        <f>_xlfn.XLOOKUP(B1403,'BASE DATOS PRECIOS '!B:B,'BASE DATOS PRECIOS '!E:E,0,0,1)</f>
        <v/>
      </c>
      <c r="D1403" s="487">
        <f>ROUNDUP(E$1396*$D$128,0)</f>
        <v/>
      </c>
      <c r="E1403" s="488" t="inlineStr">
        <is>
          <t xml:space="preserve">un </t>
        </is>
      </c>
      <c r="F1403" s="416" t="n"/>
      <c r="J1403" s="481" t="n"/>
    </row>
    <row r="1404">
      <c r="B1404" s="476" t="inlineStr">
        <is>
          <t>M04-0044</t>
        </is>
      </c>
      <c r="C1404" s="486">
        <f>_xlfn.XLOOKUP(B1404,'BASE DATOS PRECIOS '!B:B,'BASE DATOS PRECIOS '!E:E,0,0,1)</f>
        <v/>
      </c>
      <c r="D1404" s="487">
        <f>ROUNDUP(C1396*2/3,0)</f>
        <v/>
      </c>
      <c r="E1404" s="488" t="inlineStr">
        <is>
          <t xml:space="preserve">un </t>
        </is>
      </c>
      <c r="F1404" s="416" t="n"/>
      <c r="J1404" s="481" t="n"/>
    </row>
    <row r="1405">
      <c r="B1405" s="476" t="inlineStr">
        <is>
          <t>M06-0043</t>
        </is>
      </c>
      <c r="C1405" s="486">
        <f>+C130</f>
        <v/>
      </c>
      <c r="D1405" s="487">
        <f>ROUNDUP(($E$1390+E1396)*D130,0)</f>
        <v/>
      </c>
      <c r="E1405" s="488" t="inlineStr">
        <is>
          <t xml:space="preserve">un </t>
        </is>
      </c>
      <c r="F1405" s="416" t="n"/>
      <c r="J1405" s="481" t="n"/>
    </row>
    <row r="1406">
      <c r="B1406" s="476" t="inlineStr">
        <is>
          <t>M06-0278</t>
        </is>
      </c>
      <c r="C1406" s="486">
        <f>+C131</f>
        <v/>
      </c>
      <c r="D1406" s="487">
        <f>ROUNDUP(($E$1390+E1396)*D131,0)/100</f>
        <v/>
      </c>
      <c r="E1406" s="488" t="inlineStr">
        <is>
          <t>CAJA</t>
        </is>
      </c>
      <c r="F1406" s="416" t="n"/>
      <c r="J1406" s="481" t="n"/>
    </row>
    <row r="1407">
      <c r="B1407" s="476" t="inlineStr">
        <is>
          <t>M04-0015</t>
        </is>
      </c>
      <c r="C1407" s="486">
        <f>+C132</f>
        <v/>
      </c>
      <c r="D1407" s="487">
        <f>ROUNDUP(($E$1390+E1396)*D132,0)</f>
        <v/>
      </c>
      <c r="E1407" s="488" t="inlineStr">
        <is>
          <t>rollo</t>
        </is>
      </c>
      <c r="F1407" s="416" t="n"/>
      <c r="J1407" s="481" t="n"/>
    </row>
    <row r="1408">
      <c r="B1408" s="476" t="inlineStr">
        <is>
          <t>M04-0051</t>
        </is>
      </c>
      <c r="C1408" s="486">
        <f>+C133</f>
        <v/>
      </c>
      <c r="D1408" s="487">
        <f>ROUNDUP(($E$1390+E1396)*D133,0)</f>
        <v/>
      </c>
      <c r="E1408" s="488" t="inlineStr">
        <is>
          <t xml:space="preserve">un </t>
        </is>
      </c>
      <c r="F1408" s="416" t="n"/>
      <c r="J1408" s="481" t="n"/>
    </row>
    <row r="1409">
      <c r="B1409" s="476" t="inlineStr">
        <is>
          <t>M04-0047</t>
        </is>
      </c>
      <c r="C1409" s="486">
        <f>+C134</f>
        <v/>
      </c>
      <c r="D1409" s="487">
        <f>ROUNDUP(($E$1390+E1396)*D134,0)</f>
        <v/>
      </c>
      <c r="E1409" s="488" t="inlineStr">
        <is>
          <t xml:space="preserve">un </t>
        </is>
      </c>
      <c r="F1409" s="416" t="n"/>
      <c r="J1409" s="481" t="n"/>
    </row>
    <row r="1410">
      <c r="B1410" s="476" t="inlineStr">
        <is>
          <t>M06-0105</t>
        </is>
      </c>
      <c r="C1410" s="486">
        <f>+C135</f>
        <v/>
      </c>
      <c r="D1410" s="487">
        <f>ROUNDUP(($E$1390+E1396)*D135/100,0)</f>
        <v/>
      </c>
      <c r="E1410" s="488" t="inlineStr">
        <is>
          <t>paquete</t>
        </is>
      </c>
      <c r="F1410" s="416" t="n"/>
      <c r="J1410" s="481" t="n"/>
    </row>
    <row r="1411">
      <c r="B1411" s="476" t="inlineStr">
        <is>
          <t>M06-0116</t>
        </is>
      </c>
      <c r="C1411" s="486">
        <f>+C136</f>
        <v/>
      </c>
      <c r="D1411" s="487">
        <f>ROUNDUP(($E$1390+E1396)*D136,0)</f>
        <v/>
      </c>
      <c r="E1411" s="488" t="inlineStr">
        <is>
          <t xml:space="preserve">un </t>
        </is>
      </c>
      <c r="F1411" s="416" t="n"/>
      <c r="J1411" s="481" t="n"/>
    </row>
    <row r="1413">
      <c r="C1413" s="475" t="n"/>
      <c r="D1413" s="475" t="inlineStr">
        <is>
          <t>Costo</t>
        </is>
      </c>
      <c r="E1413" s="475" t="inlineStr">
        <is>
          <t>Total</t>
        </is>
      </c>
      <c r="F1413" s="475" t="inlineStr">
        <is>
          <t>Horas</t>
        </is>
      </c>
      <c r="J1413" s="481" t="n"/>
    </row>
    <row r="1414">
      <c r="C1414" s="475" t="inlineStr">
        <is>
          <t>Mano de obra de Paredes livianas</t>
        </is>
      </c>
      <c r="D1414" s="479">
        <f>+D179</f>
        <v/>
      </c>
      <c r="E1414" s="479">
        <f>+D1414*E1390</f>
        <v/>
      </c>
      <c r="F1414" s="480">
        <f>ROUND(E1414/'COSTOS MO CUADRILLA'!K34,0)</f>
        <v/>
      </c>
    </row>
    <row r="1415">
      <c r="C1415" s="570" t="n"/>
      <c r="D1415" s="475" t="inlineStr">
        <is>
          <t xml:space="preserve">Total </t>
        </is>
      </c>
      <c r="E1415" s="479">
        <f>SUM(E1414:E1414)</f>
        <v/>
      </c>
      <c r="F1415" s="480">
        <f>+E1415/'COSTOS MO CUADRILLA'!K34</f>
        <v/>
      </c>
      <c r="G1415" s="481" t="n"/>
    </row>
    <row r="1417">
      <c r="C1417" s="465" t="n">
        <v>2</v>
      </c>
      <c r="D1417" s="465" t="inlineStr">
        <is>
          <t>ACABADOS</t>
        </is>
      </c>
      <c r="G1417" s="51" t="n"/>
    </row>
    <row r="1418">
      <c r="G1418" s="51" t="n"/>
    </row>
    <row r="1419">
      <c r="C1419" s="466" t="n">
        <v>2.1</v>
      </c>
      <c r="D1419" s="466" t="inlineStr">
        <is>
          <t>REPELLOS &amp; EMPASTE</t>
        </is>
      </c>
      <c r="G1419" s="51" t="n"/>
    </row>
    <row r="1420">
      <c r="G1420" s="597" t="inlineStr">
        <is>
          <t>Ventanas</t>
        </is>
      </c>
      <c r="J1420" s="597" t="inlineStr">
        <is>
          <t>Puertas</t>
        </is>
      </c>
      <c r="K1420" s="597" t="n"/>
      <c r="L1420" s="577" t="n">
        <v>0.55</v>
      </c>
      <c r="M1420" s="419" t="n"/>
    </row>
    <row r="1421">
      <c r="C1421" s="491" t="inlineStr">
        <is>
          <t>PAREDES INTERNAS</t>
        </is>
      </c>
      <c r="E1421" s="481" t="n"/>
      <c r="G1421" s="598" t="inlineStr">
        <is>
          <t>Alto</t>
        </is>
      </c>
      <c r="H1421" s="598" t="inlineStr">
        <is>
          <t>Ancho</t>
        </is>
      </c>
      <c r="I1421" s="460" t="inlineStr">
        <is>
          <t>Area</t>
        </is>
      </c>
      <c r="J1421" s="598" t="inlineStr">
        <is>
          <t>Alto</t>
        </is>
      </c>
      <c r="K1421" s="598" t="inlineStr">
        <is>
          <t>Ancho</t>
        </is>
      </c>
      <c r="L1421" s="598" t="inlineStr">
        <is>
          <t>CARGADOR</t>
        </is>
      </c>
      <c r="M1421" s="598" t="inlineStr">
        <is>
          <t>Area ventana</t>
        </is>
      </c>
    </row>
    <row r="1422">
      <c r="E1422" s="481" t="n"/>
      <c r="G1422" s="508">
        <f>D71</f>
        <v/>
      </c>
      <c r="H1422" s="508">
        <f>E71</f>
        <v/>
      </c>
      <c r="I1422" s="455">
        <f>+G1422*H1422</f>
        <v/>
      </c>
      <c r="J1422" s="508">
        <f>D39</f>
        <v/>
      </c>
      <c r="K1422" s="508">
        <f>E39</f>
        <v/>
      </c>
      <c r="L1422" s="455">
        <f>$L$1420*K1422</f>
        <v/>
      </c>
      <c r="M1422" s="455">
        <f>+J1422*K1422</f>
        <v/>
      </c>
    </row>
    <row r="1423">
      <c r="C1423" s="411" t="inlineStr">
        <is>
          <t>LARGO PARED PRIMER NIVEL</t>
        </is>
      </c>
      <c r="D1423" s="413">
        <f>D26</f>
        <v/>
      </c>
      <c r="E1423" s="413" t="inlineStr">
        <is>
          <t xml:space="preserve">m </t>
        </is>
      </c>
      <c r="F1423" s="416" t="n"/>
      <c r="G1423" s="508">
        <f>D72</f>
        <v/>
      </c>
      <c r="H1423" s="508">
        <f>E72</f>
        <v/>
      </c>
      <c r="I1423" s="455">
        <f>+G1423*H1423</f>
        <v/>
      </c>
      <c r="J1423" s="508">
        <f>D40</f>
        <v/>
      </c>
      <c r="K1423" s="508">
        <f>E40</f>
        <v/>
      </c>
      <c r="L1423" s="455">
        <f>$L$1420*K1423</f>
        <v/>
      </c>
      <c r="M1423" s="455">
        <f>+J1423*K1423</f>
        <v/>
      </c>
    </row>
    <row r="1424">
      <c r="C1424" s="411" t="inlineStr">
        <is>
          <t>ALTO DE PARED PRIMER NIVEL</t>
        </is>
      </c>
      <c r="D1424" s="455">
        <f>D27</f>
        <v/>
      </c>
      <c r="E1424" s="413" t="inlineStr">
        <is>
          <t>m</t>
        </is>
      </c>
      <c r="F1424" s="416" t="n"/>
      <c r="G1424" s="508">
        <f>D73</f>
        <v/>
      </c>
      <c r="H1424" s="508">
        <f>E73</f>
        <v/>
      </c>
      <c r="I1424" s="455">
        <f>+G1424*H1424</f>
        <v/>
      </c>
      <c r="J1424" s="508">
        <f>D41</f>
        <v/>
      </c>
      <c r="K1424" s="508">
        <f>E41</f>
        <v/>
      </c>
      <c r="L1424" s="455">
        <f>$L$1420*K1424</f>
        <v/>
      </c>
      <c r="M1424" s="455">
        <f>+J1424*K1424</f>
        <v/>
      </c>
    </row>
    <row r="1425">
      <c r="C1425" s="411" t="inlineStr">
        <is>
          <t>AREA</t>
        </is>
      </c>
      <c r="D1425" s="455">
        <f>(D1423*D1424)</f>
        <v/>
      </c>
      <c r="E1425" s="413" t="inlineStr">
        <is>
          <t xml:space="preserve">m2 </t>
        </is>
      </c>
      <c r="F1425" s="416" t="n"/>
      <c r="G1425" s="508">
        <f>D74</f>
        <v/>
      </c>
      <c r="H1425" s="508">
        <f>E74</f>
        <v/>
      </c>
      <c r="I1425" s="455">
        <f>+G1425*H1425</f>
        <v/>
      </c>
      <c r="J1425" s="508">
        <f>D42</f>
        <v/>
      </c>
      <c r="K1425" s="508">
        <f>E42</f>
        <v/>
      </c>
      <c r="L1425" s="455">
        <f>$L$1420*K1425</f>
        <v/>
      </c>
      <c r="M1425" s="455">
        <f>+J1425*K1425</f>
        <v/>
      </c>
    </row>
    <row r="1426">
      <c r="C1426" s="411" t="inlineStr">
        <is>
          <t>LARGO PARED SEGUNDO NIVEL</t>
        </is>
      </c>
      <c r="D1426" s="455">
        <f>D28</f>
        <v/>
      </c>
      <c r="E1426" s="413" t="inlineStr">
        <is>
          <t xml:space="preserve">m </t>
        </is>
      </c>
      <c r="F1426" s="416" t="n"/>
      <c r="G1426" s="508">
        <f>D75</f>
        <v/>
      </c>
      <c r="H1426" s="508">
        <f>E75</f>
        <v/>
      </c>
      <c r="I1426" s="455">
        <f>+G1426*H1426</f>
        <v/>
      </c>
      <c r="J1426" s="508">
        <f>D43</f>
        <v/>
      </c>
      <c r="K1426" s="508">
        <f>E43</f>
        <v/>
      </c>
      <c r="L1426" s="455">
        <f>$L$1420*K1426</f>
        <v/>
      </c>
      <c r="M1426" s="455">
        <f>+J1426*K1426</f>
        <v/>
      </c>
    </row>
    <row r="1427">
      <c r="C1427" s="411" t="inlineStr">
        <is>
          <t>ALTO DE PARED SEGUNDO NIVEL</t>
        </is>
      </c>
      <c r="D1427" s="455">
        <f>D29</f>
        <v/>
      </c>
      <c r="E1427" s="413" t="inlineStr">
        <is>
          <t>m</t>
        </is>
      </c>
      <c r="F1427" s="416" t="n"/>
      <c r="G1427" s="508">
        <f>D76</f>
        <v/>
      </c>
      <c r="H1427" s="508">
        <f>E76</f>
        <v/>
      </c>
      <c r="I1427" s="455">
        <f>+G1427*H1427</f>
        <v/>
      </c>
      <c r="J1427" s="508">
        <f>D44</f>
        <v/>
      </c>
      <c r="K1427" s="508">
        <f>E44</f>
        <v/>
      </c>
      <c r="L1427" s="455">
        <f>$L$1420*K1427</f>
        <v/>
      </c>
      <c r="M1427" s="455">
        <f>+J1427*K1427</f>
        <v/>
      </c>
    </row>
    <row r="1428">
      <c r="C1428" s="411" t="inlineStr">
        <is>
          <t>AREA</t>
        </is>
      </c>
      <c r="D1428" s="455">
        <f>(D1426*D1427)</f>
        <v/>
      </c>
      <c r="E1428" s="413" t="inlineStr">
        <is>
          <t xml:space="preserve">m2 </t>
        </is>
      </c>
      <c r="F1428" s="416" t="n"/>
      <c r="G1428" s="508">
        <f>D77</f>
        <v/>
      </c>
      <c r="H1428" s="508">
        <f>E77</f>
        <v/>
      </c>
      <c r="I1428" s="455">
        <f>+G1428*H1428</f>
        <v/>
      </c>
      <c r="J1428" s="508">
        <f>D45</f>
        <v/>
      </c>
      <c r="K1428" s="508">
        <f>E45</f>
        <v/>
      </c>
      <c r="L1428" s="455">
        <f>$L$1420*K1428</f>
        <v/>
      </c>
      <c r="M1428" s="455">
        <f>+J1428*K1428</f>
        <v/>
      </c>
    </row>
    <row r="1429">
      <c r="C1429" s="411" t="inlineStr">
        <is>
          <t>LARGO PARED TERCER NIVEL</t>
        </is>
      </c>
      <c r="D1429" s="455">
        <f>D30</f>
        <v/>
      </c>
      <c r="E1429" s="413" t="inlineStr">
        <is>
          <t xml:space="preserve">m </t>
        </is>
      </c>
      <c r="F1429" s="543" t="n"/>
      <c r="G1429" s="508">
        <f>D78</f>
        <v/>
      </c>
      <c r="H1429" s="508">
        <f>E78</f>
        <v/>
      </c>
      <c r="I1429" s="455">
        <f>+G1429*H1429</f>
        <v/>
      </c>
      <c r="J1429" s="508">
        <f>D46</f>
        <v/>
      </c>
      <c r="K1429" s="508">
        <f>E46</f>
        <v/>
      </c>
      <c r="L1429" s="455">
        <f>$L$1420*K1429</f>
        <v/>
      </c>
      <c r="M1429" s="455">
        <f>+J1429*K1429</f>
        <v/>
      </c>
    </row>
    <row r="1430">
      <c r="C1430" s="411" t="inlineStr">
        <is>
          <t>ALTO DE PARED TERCER NIVEL</t>
        </is>
      </c>
      <c r="D1430" s="455">
        <f>D31</f>
        <v/>
      </c>
      <c r="E1430" s="413" t="inlineStr">
        <is>
          <t>m</t>
        </is>
      </c>
      <c r="G1430" s="508">
        <f>D79</f>
        <v/>
      </c>
      <c r="H1430" s="508">
        <f>E79</f>
        <v/>
      </c>
      <c r="I1430" s="455">
        <f>+G1430*H1430</f>
        <v/>
      </c>
      <c r="J1430" s="508">
        <f>D47</f>
        <v/>
      </c>
      <c r="K1430" s="508">
        <f>E47</f>
        <v/>
      </c>
      <c r="L1430" s="455">
        <f>$L$1420*K1430</f>
        <v/>
      </c>
      <c r="M1430" s="455">
        <f>+J1430*K1430</f>
        <v/>
      </c>
    </row>
    <row r="1431">
      <c r="C1431" s="411" t="inlineStr">
        <is>
          <t>AREA</t>
        </is>
      </c>
      <c r="D1431" s="455">
        <f>(D1429*D1430)</f>
        <v/>
      </c>
      <c r="E1431" s="413" t="inlineStr">
        <is>
          <t xml:space="preserve">m2 </t>
        </is>
      </c>
      <c r="G1431" s="508">
        <f>D80</f>
        <v/>
      </c>
      <c r="H1431" s="508">
        <f>E80</f>
        <v/>
      </c>
      <c r="I1431" s="455">
        <f>+G1431*H1431</f>
        <v/>
      </c>
      <c r="J1431" s="508">
        <f>D48</f>
        <v/>
      </c>
      <c r="K1431" s="508">
        <f>E48</f>
        <v/>
      </c>
      <c r="L1431" s="455">
        <f>$L$1420*K1431</f>
        <v/>
      </c>
      <c r="M1431" s="455">
        <f>+J1431*K1431</f>
        <v/>
      </c>
    </row>
    <row r="1432">
      <c r="C1432" s="599" t="inlineStr">
        <is>
          <t>AREA DE CIELOS REPELLADOS</t>
        </is>
      </c>
      <c r="D1432" s="455">
        <f>+D1366</f>
        <v/>
      </c>
      <c r="E1432" s="413" t="inlineStr">
        <is>
          <t>m3</t>
        </is>
      </c>
      <c r="F1432" s="416" t="n"/>
      <c r="G1432" s="508">
        <f>D81</f>
        <v/>
      </c>
      <c r="H1432" s="508">
        <f>E81</f>
        <v/>
      </c>
      <c r="I1432" s="455">
        <f>+G1432*H1432</f>
        <v/>
      </c>
      <c r="J1432" s="508">
        <f>D49</f>
        <v/>
      </c>
      <c r="K1432" s="508">
        <f>E49</f>
        <v/>
      </c>
      <c r="L1432" s="455">
        <f>$L$1420*K1432</f>
        <v/>
      </c>
      <c r="M1432" s="455">
        <f>+J1432*K1432</f>
        <v/>
      </c>
    </row>
    <row r="1433">
      <c r="C1433" s="486" t="inlineStr">
        <is>
          <t>AREA TOTAL INTERNA</t>
        </is>
      </c>
      <c r="D1433" s="487">
        <f>+D1425+D1428+D1431-I1444-M1453+D1432+(D1339*D1340)</f>
        <v/>
      </c>
      <c r="E1433" s="488" t="inlineStr">
        <is>
          <t xml:space="preserve">m2 </t>
        </is>
      </c>
      <c r="F1433" s="416" t="n"/>
      <c r="G1433" s="508">
        <f>D82</f>
        <v/>
      </c>
      <c r="H1433" s="508">
        <f>E82</f>
        <v/>
      </c>
      <c r="I1433" s="455">
        <f>+G1433*H1433</f>
        <v/>
      </c>
      <c r="J1433" s="508">
        <f>D50</f>
        <v/>
      </c>
      <c r="K1433" s="508">
        <f>E50</f>
        <v/>
      </c>
      <c r="L1433" s="455">
        <f>$L$1420*K1433</f>
        <v/>
      </c>
      <c r="M1433" s="455">
        <f>+J1433*K1433</f>
        <v/>
      </c>
    </row>
    <row r="1434">
      <c r="E1434" s="481" t="n"/>
      <c r="G1434" s="508">
        <f>D83</f>
        <v/>
      </c>
      <c r="H1434" s="508">
        <f>E83</f>
        <v/>
      </c>
      <c r="I1434" s="455">
        <f>+G1434*H1434</f>
        <v/>
      </c>
      <c r="J1434" s="508">
        <f>D51</f>
        <v/>
      </c>
      <c r="K1434" s="508">
        <f>E51</f>
        <v/>
      </c>
      <c r="L1434" s="455">
        <f>$L$1420*K1434</f>
        <v/>
      </c>
      <c r="M1434" s="455">
        <f>+J1434*K1434</f>
        <v/>
      </c>
    </row>
    <row r="1435">
      <c r="C1435" s="491" t="inlineStr">
        <is>
          <t>PAREDES EXTERNAS</t>
        </is>
      </c>
      <c r="E1435" s="481" t="n"/>
      <c r="G1435" s="508">
        <f>D84</f>
        <v/>
      </c>
      <c r="H1435" s="508">
        <f>E84</f>
        <v/>
      </c>
      <c r="I1435" s="455">
        <f>+G1435*H1435</f>
        <v/>
      </c>
      <c r="J1435" s="508">
        <f>D52</f>
        <v/>
      </c>
      <c r="K1435" s="508">
        <f>E52</f>
        <v/>
      </c>
      <c r="L1435" s="455">
        <f>$L$1420*K1435</f>
        <v/>
      </c>
      <c r="M1435" s="455">
        <f>+J1435*K1435</f>
        <v/>
      </c>
    </row>
    <row r="1436">
      <c r="E1436" s="481" t="n"/>
      <c r="G1436" s="508">
        <f>D85</f>
        <v/>
      </c>
      <c r="H1436" s="508">
        <f>E85</f>
        <v/>
      </c>
      <c r="I1436" s="455">
        <f>+G1436*H1436</f>
        <v/>
      </c>
      <c r="J1436" s="508">
        <f>D53</f>
        <v/>
      </c>
      <c r="K1436" s="508">
        <f>E53</f>
        <v/>
      </c>
      <c r="L1436" s="455">
        <f>$L$1420*K1436</f>
        <v/>
      </c>
      <c r="M1436" s="455">
        <f>+J1436*K1436</f>
        <v/>
      </c>
    </row>
    <row r="1437">
      <c r="C1437" s="411" t="inlineStr">
        <is>
          <t>LARGO PARED PRIMER NIVEL</t>
        </is>
      </c>
      <c r="D1437" s="455" t="n">
        <v>0</v>
      </c>
      <c r="E1437" s="413" t="inlineStr">
        <is>
          <t xml:space="preserve">m </t>
        </is>
      </c>
      <c r="G1437" s="508">
        <f>D86</f>
        <v/>
      </c>
      <c r="H1437" s="508">
        <f>E86</f>
        <v/>
      </c>
      <c r="I1437" s="455">
        <f>+G1437*H1437</f>
        <v/>
      </c>
      <c r="J1437" s="508">
        <f>D54</f>
        <v/>
      </c>
      <c r="K1437" s="508">
        <f>E54</f>
        <v/>
      </c>
      <c r="L1437" s="455">
        <f>$L$1420*K1437</f>
        <v/>
      </c>
      <c r="M1437" s="455">
        <f>+J1437*K1437</f>
        <v/>
      </c>
    </row>
    <row r="1438">
      <c r="C1438" s="411" t="inlineStr">
        <is>
          <t>ALTO DE PARED PRIMER NIVEL</t>
        </is>
      </c>
      <c r="D1438" s="455" t="n">
        <v>0</v>
      </c>
      <c r="E1438" s="413" t="inlineStr">
        <is>
          <t>m</t>
        </is>
      </c>
      <c r="F1438" s="543" t="n"/>
      <c r="G1438" s="508">
        <f>D87</f>
        <v/>
      </c>
      <c r="H1438" s="508">
        <f>E87</f>
        <v/>
      </c>
      <c r="I1438" s="455">
        <f>+G1438*H1438</f>
        <v/>
      </c>
      <c r="J1438" s="508">
        <f>D55</f>
        <v/>
      </c>
      <c r="K1438" s="508">
        <f>E55</f>
        <v/>
      </c>
      <c r="L1438" s="455">
        <f>$L$1420*K1438</f>
        <v/>
      </c>
      <c r="M1438" s="455">
        <f>+J1438*K1438</f>
        <v/>
      </c>
    </row>
    <row r="1439">
      <c r="C1439" s="411" t="inlineStr">
        <is>
          <t>AREA</t>
        </is>
      </c>
      <c r="D1439" s="418" t="n">
        <v>208.07</v>
      </c>
      <c r="E1439" s="413" t="inlineStr">
        <is>
          <t xml:space="preserve">m2 </t>
        </is>
      </c>
      <c r="F1439" s="416" t="n"/>
      <c r="G1439" s="508">
        <f>D88</f>
        <v/>
      </c>
      <c r="H1439" s="508">
        <f>E88</f>
        <v/>
      </c>
      <c r="I1439" s="455">
        <f>+G1439*H1439</f>
        <v/>
      </c>
      <c r="J1439" s="508">
        <f>D56</f>
        <v/>
      </c>
      <c r="K1439" s="508">
        <f>E56</f>
        <v/>
      </c>
      <c r="L1439" s="455">
        <f>$L$1420*K1439</f>
        <v/>
      </c>
      <c r="M1439" s="455">
        <f>+J1439*K1439</f>
        <v/>
      </c>
    </row>
    <row r="1440">
      <c r="C1440" s="411" t="inlineStr">
        <is>
          <t>LARGO PARED SEGUNDO NIVEL</t>
        </is>
      </c>
      <c r="D1440" s="455" t="n">
        <v>0</v>
      </c>
      <c r="E1440" s="413" t="inlineStr">
        <is>
          <t xml:space="preserve">m </t>
        </is>
      </c>
      <c r="F1440" s="543" t="n"/>
      <c r="G1440" s="508">
        <f>D89</f>
        <v/>
      </c>
      <c r="H1440" s="508">
        <f>E89</f>
        <v/>
      </c>
      <c r="I1440" s="455">
        <f>+G1440*H1440</f>
        <v/>
      </c>
      <c r="J1440" s="508">
        <f>D57</f>
        <v/>
      </c>
      <c r="K1440" s="508">
        <f>E57</f>
        <v/>
      </c>
      <c r="L1440" s="455">
        <f>$L$1420*K1440</f>
        <v/>
      </c>
      <c r="M1440" s="455">
        <f>+J1440*K1440</f>
        <v/>
      </c>
    </row>
    <row r="1441">
      <c r="C1441" s="411" t="inlineStr">
        <is>
          <t>ALTO DE PARED SEGUNDO NIVEL</t>
        </is>
      </c>
      <c r="D1441" s="455" t="n">
        <v>0</v>
      </c>
      <c r="E1441" s="413" t="inlineStr">
        <is>
          <t>m</t>
        </is>
      </c>
      <c r="F1441" s="543" t="n"/>
      <c r="G1441" s="508">
        <f>D90</f>
        <v/>
      </c>
      <c r="H1441" s="508">
        <f>E90</f>
        <v/>
      </c>
      <c r="I1441" s="455">
        <f>+G1441*H1441</f>
        <v/>
      </c>
      <c r="J1441" s="508">
        <f>D58</f>
        <v/>
      </c>
      <c r="K1441" s="508">
        <f>E58</f>
        <v/>
      </c>
      <c r="L1441" s="455">
        <f>$L$1420*K1441</f>
        <v/>
      </c>
      <c r="M1441" s="455">
        <f>+J1441*K1441</f>
        <v/>
      </c>
    </row>
    <row r="1442">
      <c r="C1442" s="411" t="inlineStr">
        <is>
          <t>AREA</t>
        </is>
      </c>
      <c r="D1442" s="455">
        <f>(D1440*D1441)</f>
        <v/>
      </c>
      <c r="E1442" s="413" t="inlineStr">
        <is>
          <t xml:space="preserve">m2 </t>
        </is>
      </c>
      <c r="G1442" s="508">
        <f>D91</f>
        <v/>
      </c>
      <c r="H1442" s="508">
        <f>E91</f>
        <v/>
      </c>
      <c r="I1442" s="455">
        <f>+G1442*H1442</f>
        <v/>
      </c>
      <c r="J1442" s="508">
        <f>D59</f>
        <v/>
      </c>
      <c r="K1442" s="508">
        <f>E59</f>
        <v/>
      </c>
      <c r="L1442" s="455">
        <f>$L$1420*K1442</f>
        <v/>
      </c>
      <c r="M1442" s="455">
        <f>+J1442*K1442</f>
        <v/>
      </c>
    </row>
    <row r="1443">
      <c r="C1443" s="411" t="inlineStr">
        <is>
          <t>LARGO PARED TERCER NIVEL</t>
        </is>
      </c>
      <c r="D1443" s="455" t="n">
        <v>0</v>
      </c>
      <c r="E1443" s="413" t="inlineStr">
        <is>
          <t xml:space="preserve">m </t>
        </is>
      </c>
      <c r="G1443" s="508">
        <f>D92</f>
        <v/>
      </c>
      <c r="H1443" s="508">
        <f>E92</f>
        <v/>
      </c>
      <c r="I1443" s="455">
        <f>+G1443*H1443</f>
        <v/>
      </c>
      <c r="J1443" s="508">
        <f>D60</f>
        <v/>
      </c>
      <c r="K1443" s="508">
        <f>E60</f>
        <v/>
      </c>
      <c r="L1443" s="455">
        <f>$L$1420*K1443</f>
        <v/>
      </c>
      <c r="M1443" s="455">
        <f>+J1443*K1443</f>
        <v/>
      </c>
    </row>
    <row r="1444">
      <c r="C1444" s="411" t="inlineStr">
        <is>
          <t>ALTO DE PARED TERCER NIVEL</t>
        </is>
      </c>
      <c r="D1444" s="455" t="n">
        <v>0</v>
      </c>
      <c r="E1444" s="413" t="inlineStr">
        <is>
          <t>m</t>
        </is>
      </c>
      <c r="I1444" s="594">
        <f>SUM(I1422:I1443)</f>
        <v/>
      </c>
      <c r="J1444" s="508">
        <f>D61</f>
        <v/>
      </c>
      <c r="K1444" s="508">
        <f>E61</f>
        <v/>
      </c>
      <c r="L1444" s="455">
        <f>$L$1420*K1444</f>
        <v/>
      </c>
      <c r="M1444" s="455">
        <f>+J1444*K1444</f>
        <v/>
      </c>
    </row>
    <row r="1445">
      <c r="C1445" s="411" t="inlineStr">
        <is>
          <t>AREA</t>
        </is>
      </c>
      <c r="D1445" s="455">
        <f>(D1443*D1444)</f>
        <v/>
      </c>
      <c r="E1445" s="413" t="inlineStr">
        <is>
          <t xml:space="preserve">m2 </t>
        </is>
      </c>
      <c r="I1445" s="541" t="n"/>
      <c r="J1445" s="508">
        <f>D62</f>
        <v/>
      </c>
      <c r="K1445" s="508">
        <f>E62</f>
        <v/>
      </c>
      <c r="L1445" s="455">
        <f>$L$1420*K1445</f>
        <v/>
      </c>
      <c r="M1445" s="455">
        <f>+J1445*K1445</f>
        <v/>
      </c>
    </row>
    <row r="1446">
      <c r="C1446" s="411" t="inlineStr">
        <is>
          <t>LARGO MURO AZOTEA</t>
        </is>
      </c>
      <c r="D1446" s="455" t="n">
        <v>0</v>
      </c>
      <c r="E1446" s="413" t="inlineStr">
        <is>
          <t xml:space="preserve">m </t>
        </is>
      </c>
      <c r="J1446" s="508">
        <f>D63</f>
        <v/>
      </c>
      <c r="K1446" s="508">
        <f>E63</f>
        <v/>
      </c>
      <c r="L1446" s="455">
        <f>$L$1420*K1446</f>
        <v/>
      </c>
      <c r="M1446" s="455">
        <f>+J1446*K1446</f>
        <v/>
      </c>
    </row>
    <row r="1447">
      <c r="B1447" s="469" t="n"/>
      <c r="C1447" s="411" t="inlineStr">
        <is>
          <t>ALTO DE MURO AZOTEA</t>
        </is>
      </c>
      <c r="D1447" s="455" t="n">
        <v>0</v>
      </c>
      <c r="E1447" s="413" t="inlineStr">
        <is>
          <t>m</t>
        </is>
      </c>
      <c r="J1447" s="508">
        <f>D64</f>
        <v/>
      </c>
      <c r="K1447" s="508">
        <f>E64</f>
        <v/>
      </c>
      <c r="L1447" s="455">
        <f>$L$1420*K1447</f>
        <v/>
      </c>
      <c r="M1447" s="455">
        <f>+J1447*K1447</f>
        <v/>
      </c>
    </row>
    <row r="1448">
      <c r="B1448" s="469" t="n"/>
      <c r="C1448" s="411" t="inlineStr">
        <is>
          <t>AREA</t>
        </is>
      </c>
      <c r="D1448" s="455">
        <f>(D1446*D1447)</f>
        <v/>
      </c>
      <c r="E1448" s="413" t="inlineStr">
        <is>
          <t xml:space="preserve">m2 </t>
        </is>
      </c>
      <c r="J1448" s="508">
        <f>D65</f>
        <v/>
      </c>
      <c r="K1448" s="508">
        <f>E65</f>
        <v/>
      </c>
      <c r="L1448" s="455">
        <f>$L$1420*K1448</f>
        <v/>
      </c>
      <c r="M1448" s="455">
        <f>+J1448*K1448</f>
        <v/>
      </c>
    </row>
    <row r="1449">
      <c r="B1449" s="469" t="n"/>
      <c r="C1449" s="486" t="inlineStr">
        <is>
          <t>AREA TOTAL EXTERNA</t>
        </is>
      </c>
      <c r="D1449" s="487">
        <f>+D1448+D1445+D1442+D1439</f>
        <v/>
      </c>
      <c r="E1449" s="488" t="inlineStr">
        <is>
          <t xml:space="preserve">m2 </t>
        </is>
      </c>
      <c r="F1449" s="416" t="n"/>
      <c r="J1449" s="508">
        <f>D66</f>
        <v/>
      </c>
      <c r="K1449" s="508">
        <f>E66</f>
        <v/>
      </c>
      <c r="L1449" s="455">
        <f>$L$1420*K1449</f>
        <v/>
      </c>
      <c r="M1449" s="455">
        <f>+J1449*K1449</f>
        <v/>
      </c>
    </row>
    <row r="1450">
      <c r="I1450" s="419" t="n"/>
      <c r="J1450" s="508">
        <f>D67</f>
        <v/>
      </c>
      <c r="K1450" s="508">
        <f>E67</f>
        <v/>
      </c>
      <c r="L1450" s="455">
        <f>$L$1420*K1450</f>
        <v/>
      </c>
      <c r="M1450" s="455">
        <f>+J1450*K1450</f>
        <v/>
      </c>
    </row>
    <row r="1451">
      <c r="C1451" s="468" t="inlineStr">
        <is>
          <t>2.1.1</t>
        </is>
      </c>
      <c r="D1451" s="468" t="inlineStr">
        <is>
          <t xml:space="preserve">REPELLOS INTERNO Y EXTERNO </t>
        </is>
      </c>
      <c r="I1451" s="419" t="n"/>
      <c r="J1451" s="508">
        <f>D68</f>
        <v/>
      </c>
      <c r="K1451" s="508">
        <f>E68</f>
        <v/>
      </c>
      <c r="L1451" s="455">
        <f>$L$1420*K1451</f>
        <v/>
      </c>
      <c r="M1451" s="455">
        <f>+J1451*K1451</f>
        <v/>
      </c>
    </row>
    <row r="1452">
      <c r="I1452" s="419" t="n"/>
      <c r="J1452" s="508">
        <f>D69</f>
        <v/>
      </c>
      <c r="K1452" s="508">
        <f>E69</f>
        <v/>
      </c>
      <c r="L1452" s="455">
        <f>$L$1420*K1452</f>
        <v/>
      </c>
      <c r="M1452" s="455">
        <f>+J1452*K1452</f>
        <v/>
      </c>
    </row>
    <row r="1453">
      <c r="B1453" s="469" t="n"/>
      <c r="C1453" s="411" t="inlineStr">
        <is>
          <t xml:space="preserve">Area </t>
        </is>
      </c>
      <c r="D1453" s="455">
        <f>+D1449+D1433</f>
        <v/>
      </c>
      <c r="E1453" s="413" t="inlineStr">
        <is>
          <t xml:space="preserve">m2 </t>
        </is>
      </c>
      <c r="F1453" s="416" t="n"/>
      <c r="M1453" s="594">
        <f>SUM(M1422:M1452)</f>
        <v/>
      </c>
    </row>
    <row r="1454">
      <c r="B1454" s="469" t="n"/>
      <c r="E1454" s="481" t="n"/>
      <c r="F1454" s="543" t="n"/>
    </row>
    <row r="1455">
      <c r="B1455" s="469" t="n"/>
      <c r="C1455" s="488" t="inlineStr">
        <is>
          <t>Elemento</t>
        </is>
      </c>
      <c r="D1455" s="488" t="inlineStr">
        <is>
          <t>Cantidad</t>
        </is>
      </c>
      <c r="E1455" s="488" t="inlineStr">
        <is>
          <t>Unidad</t>
        </is>
      </c>
      <c r="F1455" s="543" t="n"/>
    </row>
    <row r="1456">
      <c r="B1456" s="476" t="inlineStr">
        <is>
          <t>M10-0044</t>
        </is>
      </c>
      <c r="C1456" s="486">
        <f>+C137</f>
        <v/>
      </c>
      <c r="D1456" s="488">
        <f>ROUNDUP(D1453*D137,0)</f>
        <v/>
      </c>
      <c r="E1456" s="488" t="inlineStr">
        <is>
          <t>saco</t>
        </is>
      </c>
      <c r="F1456" s="416" t="n"/>
    </row>
    <row r="1457">
      <c r="I1457" s="419" t="n"/>
      <c r="J1457" s="419" t="n"/>
      <c r="K1457" s="419" t="n"/>
      <c r="L1457" s="419" t="n"/>
    </row>
    <row r="1458">
      <c r="B1458" s="469" t="n"/>
      <c r="C1458" s="488" t="n"/>
      <c r="D1458" s="488" t="inlineStr">
        <is>
          <t>Costo</t>
        </is>
      </c>
      <c r="E1458" s="488" t="inlineStr">
        <is>
          <t>Total</t>
        </is>
      </c>
      <c r="F1458" s="488" t="inlineStr">
        <is>
          <t>Horas</t>
        </is>
      </c>
    </row>
    <row r="1459">
      <c r="B1459" s="469" t="n"/>
      <c r="C1459" s="488" t="inlineStr">
        <is>
          <t>Mano de oBra de repellos</t>
        </is>
      </c>
      <c r="D1459" s="489">
        <f>D184</f>
        <v/>
      </c>
      <c r="E1459" s="489">
        <f>+D1459*D1453</f>
        <v/>
      </c>
      <c r="F1459" s="490">
        <f>ROUND(E1459/'COSTOS MO CUADRILLA'!K37,0)</f>
        <v/>
      </c>
    </row>
    <row r="1460">
      <c r="B1460" s="469" t="n"/>
      <c r="C1460" s="486" t="n"/>
      <c r="D1460" s="488" t="inlineStr">
        <is>
          <t xml:space="preserve">Total </t>
        </is>
      </c>
      <c r="E1460" s="489">
        <f>SUM(E1459:E1459)</f>
        <v/>
      </c>
      <c r="F1460" s="490">
        <f>+E1460/'COSTOS MO CUADRILLA'!K37</f>
        <v/>
      </c>
    </row>
    <row r="1461">
      <c r="I1461" s="419" t="n"/>
      <c r="J1461" s="419" t="n"/>
      <c r="K1461" s="419" t="n"/>
      <c r="L1461" s="419" t="n"/>
    </row>
    <row r="1462">
      <c r="I1462" s="419" t="n"/>
      <c r="J1462" s="419" t="n"/>
      <c r="K1462" s="419" t="n"/>
      <c r="L1462" s="419" t="n"/>
    </row>
    <row r="1463">
      <c r="C1463" s="468" t="inlineStr">
        <is>
          <t>2.1.2</t>
        </is>
      </c>
      <c r="D1463" s="468" t="inlineStr">
        <is>
          <t xml:space="preserve">EMPASTE </t>
        </is>
      </c>
      <c r="I1463" s="419" t="n"/>
      <c r="J1463" s="419" t="n"/>
      <c r="K1463" s="419" t="n"/>
      <c r="L1463" s="419" t="n"/>
    </row>
    <row r="1464">
      <c r="I1464" s="419" t="n"/>
      <c r="J1464" s="419" t="n"/>
      <c r="K1464" s="419" t="n"/>
      <c r="L1464" s="419" t="n"/>
    </row>
    <row r="1465">
      <c r="B1465" s="469" t="n"/>
      <c r="C1465" s="411" t="inlineStr">
        <is>
          <t xml:space="preserve">Area </t>
        </is>
      </c>
      <c r="D1465" s="455">
        <f>+D1433-D1432</f>
        <v/>
      </c>
      <c r="E1465" s="413" t="inlineStr">
        <is>
          <t xml:space="preserve">m2 </t>
        </is>
      </c>
      <c r="F1465" s="416" t="n"/>
    </row>
    <row r="1466">
      <c r="B1466" s="469" t="n"/>
      <c r="E1466" s="481" t="n"/>
      <c r="F1466" s="543" t="n"/>
    </row>
    <row r="1467">
      <c r="B1467" s="469" t="n"/>
      <c r="C1467" s="488" t="inlineStr">
        <is>
          <t>Elemento</t>
        </is>
      </c>
      <c r="D1467" s="488" t="inlineStr">
        <is>
          <t>Cantidad</t>
        </is>
      </c>
      <c r="E1467" s="488" t="inlineStr">
        <is>
          <t>Unidad</t>
        </is>
      </c>
      <c r="F1467" s="543" t="n"/>
    </row>
    <row r="1468">
      <c r="B1468" s="476" t="inlineStr">
        <is>
          <t>M10-0045</t>
        </is>
      </c>
      <c r="C1468" s="486">
        <f>+C138</f>
        <v/>
      </c>
      <c r="D1468" s="488">
        <f>ROUNDUP(D1465*D138,0)</f>
        <v/>
      </c>
      <c r="E1468" s="488" t="inlineStr">
        <is>
          <t>saco</t>
        </is>
      </c>
      <c r="F1468" s="416" t="n"/>
    </row>
    <row r="1469">
      <c r="B1469" s="476" t="inlineStr">
        <is>
          <t>M08-0062</t>
        </is>
      </c>
      <c r="C1469" s="486" t="inlineStr">
        <is>
          <t>Lija de agua #120</t>
        </is>
      </c>
      <c r="D1469" s="488">
        <f>+D1468*2</f>
        <v/>
      </c>
      <c r="E1469" s="488" t="inlineStr">
        <is>
          <t>hoja</t>
        </is>
      </c>
      <c r="F1469" s="416" t="n"/>
    </row>
    <row r="1470">
      <c r="B1470" s="476" t="inlineStr">
        <is>
          <t>M06-0227</t>
        </is>
      </c>
      <c r="C1470" s="486" t="inlineStr">
        <is>
          <t>Masking azul 2"</t>
        </is>
      </c>
      <c r="D1470" s="488">
        <f>ROUNDUP(D1465/45,0)</f>
        <v/>
      </c>
      <c r="E1470" s="488" t="inlineStr">
        <is>
          <t>uni</t>
        </is>
      </c>
      <c r="F1470" s="416" t="n"/>
    </row>
    <row r="1471">
      <c r="B1471" s="476" t="inlineStr">
        <is>
          <t>M06-0231</t>
        </is>
      </c>
      <c r="C1471" s="486" t="inlineStr">
        <is>
          <t>Mecha blanca</t>
        </is>
      </c>
      <c r="D1471" s="488">
        <f>ROUND(D1465/200,0)</f>
        <v/>
      </c>
      <c r="E1471" s="488" t="inlineStr">
        <is>
          <t>kg</t>
        </is>
      </c>
      <c r="F1471" s="416" t="n"/>
    </row>
    <row r="1472">
      <c r="B1472" s="478" t="n"/>
      <c r="I1472" s="419" t="n"/>
      <c r="J1472" s="419" t="n"/>
      <c r="K1472" s="419" t="n"/>
      <c r="L1472" s="419" t="n"/>
    </row>
    <row r="1473">
      <c r="C1473" s="488" t="n"/>
      <c r="D1473" s="488" t="inlineStr">
        <is>
          <t>Costo</t>
        </is>
      </c>
      <c r="E1473" s="488" t="inlineStr">
        <is>
          <t>Total</t>
        </is>
      </c>
      <c r="F1473" s="488" t="inlineStr">
        <is>
          <t>Horas</t>
        </is>
      </c>
    </row>
    <row r="1474">
      <c r="C1474" s="488" t="inlineStr">
        <is>
          <t>Mano de obra empaste</t>
        </is>
      </c>
      <c r="D1474" s="489">
        <f>+D185</f>
        <v/>
      </c>
      <c r="E1474" s="489">
        <f>+D1474*D1465</f>
        <v/>
      </c>
      <c r="F1474" s="490">
        <f>ROUND(E1474/'COSTOS MO CUADRILLA'!K38,0)</f>
        <v/>
      </c>
    </row>
    <row r="1475">
      <c r="C1475" s="486" t="n"/>
      <c r="D1475" s="488" t="inlineStr">
        <is>
          <t xml:space="preserve">Total </t>
        </is>
      </c>
      <c r="E1475" s="489">
        <f>SUM(E1474:E1474)</f>
        <v/>
      </c>
      <c r="F1475" s="490">
        <f>+E1475/'COSTOS MO CUADRILLA'!K38</f>
        <v/>
      </c>
    </row>
    <row r="1476">
      <c r="I1476" s="419" t="n"/>
      <c r="J1476" s="419" t="n"/>
      <c r="K1476" s="419" t="n"/>
      <c r="L1476" s="419" t="n"/>
    </row>
    <row r="1477">
      <c r="I1477" s="419" t="n"/>
      <c r="J1477" s="419" t="n"/>
      <c r="K1477" s="419" t="n"/>
      <c r="L1477" s="419" t="n"/>
    </row>
    <row r="1478">
      <c r="C1478" s="466" t="n">
        <v>2.2</v>
      </c>
      <c r="D1478" s="574" t="inlineStr">
        <is>
          <t xml:space="preserve">ENCHAPES </t>
        </is>
      </c>
      <c r="I1478" s="419" t="n"/>
      <c r="J1478" s="419" t="n"/>
      <c r="K1478" s="419" t="n"/>
      <c r="L1478" s="419" t="n"/>
    </row>
    <row r="1479">
      <c r="I1479" s="419" t="n"/>
      <c r="J1479" s="419" t="n"/>
      <c r="K1479" s="419" t="n"/>
      <c r="L1479" s="419" t="n"/>
    </row>
    <row r="1480">
      <c r="C1480" s="468" t="inlineStr">
        <is>
          <t>2.2.1</t>
        </is>
      </c>
      <c r="D1480" s="468" t="inlineStr">
        <is>
          <t>ENCHAPES (INTERNO Y EXTERNO)</t>
        </is>
      </c>
      <c r="I1480" s="419" t="n"/>
      <c r="J1480" s="419" t="n"/>
      <c r="K1480" s="419" t="n"/>
      <c r="L1480" s="419" t="n"/>
    </row>
    <row r="1481">
      <c r="I1481" s="419" t="n"/>
      <c r="J1481" s="419" t="n"/>
      <c r="K1481" s="419" t="n"/>
      <c r="L1481" s="419" t="n"/>
    </row>
    <row r="1482">
      <c r="C1482" s="491" t="inlineStr">
        <is>
          <t xml:space="preserve">PA: AZULEJO A ELEGIR  </t>
        </is>
      </c>
      <c r="I1482" s="419" t="n"/>
      <c r="J1482" s="419" t="n"/>
      <c r="K1482" s="419" t="n"/>
      <c r="L1482" s="419" t="n"/>
    </row>
    <row r="1483">
      <c r="I1483" s="419" t="n"/>
      <c r="J1483" s="419" t="n"/>
      <c r="K1483" s="419" t="n"/>
      <c r="L1483" s="419" t="n"/>
    </row>
    <row r="1484">
      <c r="C1484" s="600" t="inlineStr">
        <is>
          <t xml:space="preserve">LARGO PARED </t>
        </is>
      </c>
      <c r="D1484" s="412" t="n">
        <v>6.4</v>
      </c>
      <c r="E1484" s="413" t="inlineStr">
        <is>
          <t xml:space="preserve">m </t>
        </is>
      </c>
      <c r="F1484" s="416" t="n"/>
    </row>
    <row r="1485">
      <c r="C1485" s="411" t="inlineStr">
        <is>
          <t xml:space="preserve">ALTO DE PARED </t>
        </is>
      </c>
      <c r="D1485" s="455">
        <f>+D27</f>
        <v/>
      </c>
      <c r="E1485" s="413" t="inlineStr">
        <is>
          <t xml:space="preserve">m </t>
        </is>
      </c>
      <c r="F1485" s="416" t="n"/>
    </row>
    <row r="1486">
      <c r="C1486" s="411" t="inlineStr">
        <is>
          <t xml:space="preserve">Area </t>
        </is>
      </c>
      <c r="D1486" s="455">
        <f>+D1485*D1484</f>
        <v/>
      </c>
      <c r="E1486" s="413" t="inlineStr">
        <is>
          <t xml:space="preserve">m2 </t>
        </is>
      </c>
      <c r="F1486" s="416" t="n"/>
    </row>
    <row r="1487">
      <c r="C1487" s="411" t="inlineStr">
        <is>
          <t xml:space="preserve">Area de piso de duchas </t>
        </is>
      </c>
      <c r="D1487" s="418" t="n">
        <v>5.8</v>
      </c>
      <c r="E1487" s="413" t="inlineStr">
        <is>
          <t xml:space="preserve">m2 </t>
        </is>
      </c>
      <c r="F1487" s="416" t="n"/>
    </row>
    <row r="1488">
      <c r="I1488" s="419" t="n"/>
      <c r="J1488" s="419" t="n"/>
      <c r="K1488" s="419" t="n"/>
      <c r="L1488" s="419" t="n"/>
    </row>
    <row r="1489">
      <c r="C1489" s="411" t="inlineStr">
        <is>
          <t xml:space="preserve">AREA TOTAL DE ENCHAPES </t>
        </is>
      </c>
      <c r="D1489" s="455">
        <f>D1486+D1487</f>
        <v/>
      </c>
      <c r="E1489" s="413" t="inlineStr">
        <is>
          <t xml:space="preserve">m2 </t>
        </is>
      </c>
      <c r="F1489" s="416" t="n"/>
    </row>
    <row r="1490">
      <c r="C1490" s="411" t="inlineStr">
        <is>
          <t>Con desperdicio (7%)</t>
        </is>
      </c>
      <c r="D1490" s="455">
        <f>+ROUNDUP(D1489*1.07,0)</f>
        <v/>
      </c>
      <c r="E1490" s="413" t="inlineStr">
        <is>
          <t>m2</t>
        </is>
      </c>
      <c r="F1490" s="416" t="n"/>
    </row>
    <row r="1491">
      <c r="E1491" s="481" t="n"/>
      <c r="F1491" s="543" t="n"/>
    </row>
    <row r="1492">
      <c r="C1492" s="488" t="inlineStr">
        <is>
          <t>Elemento</t>
        </is>
      </c>
      <c r="D1492" s="488" t="inlineStr">
        <is>
          <t>Cantidad</t>
        </is>
      </c>
      <c r="E1492" s="488" t="inlineStr">
        <is>
          <t>Unidad</t>
        </is>
      </c>
      <c r="F1492" s="543" t="n"/>
    </row>
    <row r="1493">
      <c r="C1493" s="486" t="inlineStr">
        <is>
          <t>Azulejo para baño</t>
        </is>
      </c>
      <c r="D1493" s="487">
        <f>+D1490</f>
        <v/>
      </c>
      <c r="E1493" s="488" t="inlineStr">
        <is>
          <t>m2</t>
        </is>
      </c>
      <c r="F1493" s="416" t="n"/>
    </row>
    <row r="1494">
      <c r="C1494" s="486">
        <f>C140</f>
        <v/>
      </c>
      <c r="D1494" s="487">
        <f>ROUNDUP($D$1489*D140,0)</f>
        <v/>
      </c>
      <c r="E1494" s="488" t="inlineStr">
        <is>
          <t>saco</t>
        </is>
      </c>
      <c r="F1494" s="416" t="n"/>
    </row>
    <row r="1495">
      <c r="C1495" s="486">
        <f>C141</f>
        <v/>
      </c>
      <c r="D1495" s="487">
        <f>ROUNDUP($D$1489*D141,0)</f>
        <v/>
      </c>
      <c r="E1495" s="488" t="inlineStr">
        <is>
          <t>bolsa</t>
        </is>
      </c>
      <c r="F1495" s="416" t="n"/>
    </row>
    <row r="1496">
      <c r="C1496" s="486">
        <f>C142</f>
        <v/>
      </c>
      <c r="D1496" s="487">
        <f>$D$1489*D142</f>
        <v/>
      </c>
      <c r="E1496" s="488" t="inlineStr">
        <is>
          <t>bolsa</t>
        </is>
      </c>
      <c r="F1496" s="416" t="n"/>
    </row>
    <row r="1497">
      <c r="C1497" s="486">
        <f>C143</f>
        <v/>
      </c>
      <c r="D1497" s="487">
        <f>$D$1489*D143</f>
        <v/>
      </c>
      <c r="E1497" s="488" t="inlineStr">
        <is>
          <t>u</t>
        </is>
      </c>
      <c r="F1497" s="416" t="n"/>
    </row>
    <row r="1498">
      <c r="C1498" s="486">
        <f>C144</f>
        <v/>
      </c>
      <c r="D1498" s="487">
        <f>$D$1489*D144</f>
        <v/>
      </c>
      <c r="E1498" s="488" t="inlineStr">
        <is>
          <t>u</t>
        </is>
      </c>
      <c r="F1498" s="416" t="n"/>
    </row>
    <row r="1499">
      <c r="C1499" s="486">
        <f>C145</f>
        <v/>
      </c>
      <c r="D1499" s="487">
        <f>$D$1489*D145</f>
        <v/>
      </c>
      <c r="E1499" s="488" t="inlineStr">
        <is>
          <t>u</t>
        </is>
      </c>
      <c r="F1499" s="416" t="n"/>
    </row>
    <row r="1500">
      <c r="E1500" s="481" t="n"/>
      <c r="F1500" s="543" t="n"/>
    </row>
    <row r="1501">
      <c r="C1501" s="488" t="n"/>
      <c r="D1501" s="488" t="inlineStr">
        <is>
          <t>Costo</t>
        </is>
      </c>
      <c r="E1501" s="488" t="inlineStr">
        <is>
          <t>Total</t>
        </is>
      </c>
      <c r="F1501" s="488" t="inlineStr">
        <is>
          <t>Horas</t>
        </is>
      </c>
    </row>
    <row r="1502">
      <c r="C1502" s="488" t="inlineStr">
        <is>
          <t>Mano de obra de enchape de baño</t>
        </is>
      </c>
      <c r="D1502" s="489">
        <f>D180</f>
        <v/>
      </c>
      <c r="E1502" s="489">
        <f>+D1502*D1489</f>
        <v/>
      </c>
      <c r="F1502" s="490">
        <f>ROUND(E1502/'COSTOS MO CUADRILLA'!K40,0)</f>
        <v/>
      </c>
    </row>
    <row r="1503">
      <c r="C1503" s="486" t="n"/>
      <c r="D1503" s="488" t="inlineStr">
        <is>
          <t xml:space="preserve">Total </t>
        </is>
      </c>
      <c r="E1503" s="489">
        <f>SUM(E1502:E1502)</f>
        <v/>
      </c>
      <c r="F1503" s="490">
        <f>+E1503/'COSTOS MO CUADRILLA'!K40</f>
        <v/>
      </c>
    </row>
    <row r="1506">
      <c r="C1506" s="491" t="inlineStr">
        <is>
          <t xml:space="preserve">PC: PORCELANATO ELEGIR </t>
        </is>
      </c>
    </row>
    <row r="1509">
      <c r="C1509" s="411" t="inlineStr">
        <is>
          <t xml:space="preserve">AREA TOTAL PORCELANATO </t>
        </is>
      </c>
      <c r="D1509" s="455">
        <f>D12+D19</f>
        <v/>
      </c>
      <c r="E1509" s="413" t="inlineStr">
        <is>
          <t xml:space="preserve">m2 </t>
        </is>
      </c>
      <c r="F1509" s="416" t="n"/>
    </row>
    <row r="1510">
      <c r="C1510" s="411" t="inlineStr">
        <is>
          <t>Total con desperdicio (7%)</t>
        </is>
      </c>
      <c r="D1510" s="455">
        <f>ROUNDUP(+D1509*1.07,1)</f>
        <v/>
      </c>
      <c r="E1510" s="413" t="inlineStr">
        <is>
          <t xml:space="preserve">m2 </t>
        </is>
      </c>
      <c r="F1510" s="416" t="n"/>
    </row>
    <row r="1511">
      <c r="D1511" s="498" t="n"/>
      <c r="E1511" s="481" t="n"/>
      <c r="F1511" s="543" t="n"/>
    </row>
    <row r="1512">
      <c r="C1512" s="488" t="inlineStr">
        <is>
          <t>Elemento</t>
        </is>
      </c>
      <c r="D1512" s="488" t="inlineStr">
        <is>
          <t>Cantidad</t>
        </is>
      </c>
      <c r="E1512" s="488" t="inlineStr">
        <is>
          <t>Unidad</t>
        </is>
      </c>
      <c r="F1512" s="543" t="n"/>
    </row>
    <row r="1513">
      <c r="C1513" s="486" t="inlineStr">
        <is>
          <t>Porcelanato</t>
        </is>
      </c>
      <c r="D1513" s="487">
        <f>+D1510</f>
        <v/>
      </c>
      <c r="E1513" s="488" t="inlineStr">
        <is>
          <t>m2</t>
        </is>
      </c>
      <c r="F1513" s="416" t="n"/>
    </row>
    <row r="1514">
      <c r="C1514" s="486">
        <f>C140</f>
        <v/>
      </c>
      <c r="D1514" s="487">
        <f>ROUNDUP($D$1509*D140,0)</f>
        <v/>
      </c>
      <c r="E1514" s="488" t="inlineStr">
        <is>
          <t>saco</t>
        </is>
      </c>
      <c r="F1514" s="416" t="n"/>
    </row>
    <row r="1515">
      <c r="C1515" s="486">
        <f>C141</f>
        <v/>
      </c>
      <c r="D1515" s="487">
        <f>ROUNDUP($D$1509*D141,0)</f>
        <v/>
      </c>
      <c r="E1515" s="488" t="inlineStr">
        <is>
          <t>bolsa</t>
        </is>
      </c>
      <c r="F1515" s="416" t="n"/>
    </row>
    <row r="1516">
      <c r="C1516" s="486">
        <f>C142</f>
        <v/>
      </c>
      <c r="D1516" s="487">
        <f>ROUNDUP($D$1509*D142,0)</f>
        <v/>
      </c>
      <c r="E1516" s="488" t="inlineStr">
        <is>
          <t>bolsa</t>
        </is>
      </c>
      <c r="F1516" s="416" t="n"/>
    </row>
    <row r="1517">
      <c r="C1517" s="486">
        <f>C143</f>
        <v/>
      </c>
      <c r="D1517" s="487">
        <f>$D$1509*D143</f>
        <v/>
      </c>
      <c r="E1517" s="488" t="inlineStr">
        <is>
          <t>u</t>
        </is>
      </c>
      <c r="F1517" s="416" t="n"/>
    </row>
    <row r="1518">
      <c r="C1518" s="486">
        <f>C144</f>
        <v/>
      </c>
      <c r="D1518" s="487">
        <f>$D$1509*D144</f>
        <v/>
      </c>
      <c r="E1518" s="488" t="inlineStr">
        <is>
          <t>u</t>
        </is>
      </c>
      <c r="F1518" s="416" t="n"/>
    </row>
    <row r="1519">
      <c r="C1519" s="486">
        <f>C145</f>
        <v/>
      </c>
      <c r="D1519" s="487">
        <f>$D$1509*D145</f>
        <v/>
      </c>
      <c r="E1519" s="488" t="inlineStr">
        <is>
          <t>u</t>
        </is>
      </c>
      <c r="F1519" s="416" t="n"/>
    </row>
    <row r="1521">
      <c r="C1521" s="488" t="n"/>
      <c r="D1521" s="488" t="inlineStr">
        <is>
          <t>Costo</t>
        </is>
      </c>
      <c r="E1521" s="488" t="inlineStr">
        <is>
          <t>Total</t>
        </is>
      </c>
      <c r="F1521" s="488" t="inlineStr">
        <is>
          <t>Horas</t>
        </is>
      </c>
    </row>
    <row r="1522">
      <c r="C1522" s="488" t="inlineStr">
        <is>
          <t>Mano de obra enchape, porcelanato</t>
        </is>
      </c>
      <c r="D1522" s="489">
        <f>D181</f>
        <v/>
      </c>
      <c r="E1522" s="489">
        <f>+D1522*D1509</f>
        <v/>
      </c>
      <c r="F1522" s="490">
        <f>ROUND(E1522/'COSTOS MO CUADRILLA'!K40,0)</f>
        <v/>
      </c>
    </row>
    <row r="1523">
      <c r="C1523" s="486" t="n"/>
      <c r="D1523" s="488" t="inlineStr">
        <is>
          <t xml:space="preserve">Total </t>
        </is>
      </c>
      <c r="E1523" s="489">
        <f>SUM(E1522:E1522)</f>
        <v/>
      </c>
      <c r="F1523" s="490">
        <f>+E1523/'COSTOS MO CUADRILLA'!K40</f>
        <v/>
      </c>
    </row>
    <row r="1527">
      <c r="C1527" s="491" t="inlineStr">
        <is>
          <t>RECUENTO DE ENCHAPES</t>
        </is>
      </c>
    </row>
    <row r="1529">
      <c r="B1529" s="469" t="n"/>
      <c r="C1529" s="488" t="inlineStr">
        <is>
          <t>Elemento</t>
        </is>
      </c>
      <c r="D1529" s="488" t="inlineStr">
        <is>
          <t>Cantidad</t>
        </is>
      </c>
      <c r="E1529" s="488" t="inlineStr">
        <is>
          <t>Unidad</t>
        </is>
      </c>
    </row>
    <row r="1530">
      <c r="B1530" s="476" t="inlineStr">
        <is>
          <t>M12-0011</t>
        </is>
      </c>
      <c r="C1530" s="497" t="inlineStr">
        <is>
          <t>Azulejo para baño</t>
        </is>
      </c>
      <c r="D1530" s="487">
        <f>+D1493</f>
        <v/>
      </c>
      <c r="E1530" s="488" t="inlineStr">
        <is>
          <t>m2</t>
        </is>
      </c>
      <c r="F1530" s="416" t="n"/>
    </row>
    <row r="1531">
      <c r="B1531" s="476" t="inlineStr">
        <is>
          <t>M12-0009</t>
        </is>
      </c>
      <c r="C1531" s="497" t="inlineStr">
        <is>
          <t>Porcelanato</t>
        </is>
      </c>
      <c r="D1531" s="487">
        <f>ROUNDUP(D1513,0)</f>
        <v/>
      </c>
      <c r="E1531" s="488" t="inlineStr">
        <is>
          <t>m2</t>
        </is>
      </c>
      <c r="F1531" s="416" t="n"/>
    </row>
    <row r="1532">
      <c r="B1532" s="476" t="inlineStr">
        <is>
          <t>M10-0034</t>
        </is>
      </c>
      <c r="C1532" s="601" t="inlineStr">
        <is>
          <t>Mortero de pega CEMEX 20kg</t>
        </is>
      </c>
      <c r="D1532" s="490">
        <f>+D1494+D1514</f>
        <v/>
      </c>
      <c r="E1532" s="488" t="inlineStr">
        <is>
          <t>saco</t>
        </is>
      </c>
      <c r="F1532" s="416" t="n"/>
    </row>
    <row r="1533">
      <c r="B1533" s="476" t="inlineStr">
        <is>
          <t>M10-0032</t>
        </is>
      </c>
      <c r="C1533" s="601" t="inlineStr">
        <is>
          <t>Fragua 2kg</t>
        </is>
      </c>
      <c r="D1533" s="487">
        <f>+D1495+D1515</f>
        <v/>
      </c>
      <c r="E1533" s="488" t="inlineStr">
        <is>
          <t>bolsa</t>
        </is>
      </c>
      <c r="F1533" s="416" t="n"/>
    </row>
    <row r="1534">
      <c r="B1534" s="476" t="inlineStr">
        <is>
          <t>M12-0001</t>
        </is>
      </c>
      <c r="C1534" s="601" t="inlineStr">
        <is>
          <t>Cruz para sisa</t>
        </is>
      </c>
      <c r="D1534" s="487">
        <f>ROUND(D1496+D1516,0)</f>
        <v/>
      </c>
      <c r="E1534" s="488" t="inlineStr">
        <is>
          <t>bolsa</t>
        </is>
      </c>
      <c r="F1534" s="416" t="n"/>
    </row>
    <row r="1535">
      <c r="B1535" s="476" t="inlineStr">
        <is>
          <t>M06-0297</t>
        </is>
      </c>
      <c r="C1535" s="601" t="inlineStr">
        <is>
          <t>Espuma para limpiar</t>
        </is>
      </c>
      <c r="D1535" s="487">
        <f>ROUND(D1497+D1517,0)</f>
        <v/>
      </c>
      <c r="E1535" s="488" t="inlineStr">
        <is>
          <t>u</t>
        </is>
      </c>
      <c r="F1535" s="416" t="n"/>
    </row>
    <row r="1536">
      <c r="B1536" s="476" t="inlineStr">
        <is>
          <t>M06-0172</t>
        </is>
      </c>
      <c r="C1536" s="601" t="inlineStr">
        <is>
          <t>Chispa para cortar ceramica</t>
        </is>
      </c>
      <c r="D1536" s="487">
        <f>ROUND(D1498+D1518,0)</f>
        <v/>
      </c>
      <c r="E1536" s="488" t="inlineStr">
        <is>
          <t>u</t>
        </is>
      </c>
      <c r="F1536" s="416" t="n"/>
    </row>
    <row r="1537">
      <c r="B1537" s="476" t="inlineStr">
        <is>
          <t>M08-0042</t>
        </is>
      </c>
      <c r="C1537" s="601" t="inlineStr">
        <is>
          <t>Disco diamantado 4-1/2"</t>
        </is>
      </c>
      <c r="D1537" s="487">
        <f>ROUND(D1499+D1519,0)</f>
        <v/>
      </c>
      <c r="E1537" s="488" t="inlineStr">
        <is>
          <t>u</t>
        </is>
      </c>
      <c r="F1537" s="416" t="n"/>
    </row>
    <row r="1538">
      <c r="B1538" s="476" t="n"/>
      <c r="E1538" s="481" t="n"/>
    </row>
    <row r="1539">
      <c r="B1539" s="476" t="n"/>
      <c r="C1539" s="488" t="n"/>
      <c r="D1539" s="488" t="inlineStr">
        <is>
          <t>Costo</t>
        </is>
      </c>
      <c r="E1539" s="488" t="inlineStr">
        <is>
          <t>Total</t>
        </is>
      </c>
      <c r="F1539" s="488" t="inlineStr">
        <is>
          <t>Horas</t>
        </is>
      </c>
    </row>
    <row r="1540">
      <c r="B1540" s="469" t="n"/>
      <c r="C1540" s="488">
        <f>+C1502</f>
        <v/>
      </c>
      <c r="D1540" s="489">
        <f>+D1502</f>
        <v/>
      </c>
      <c r="E1540" s="489">
        <f>+E1502</f>
        <v/>
      </c>
      <c r="F1540" s="490">
        <f>+F1502</f>
        <v/>
      </c>
      <c r="G1540" s="416" t="n"/>
    </row>
    <row r="1541">
      <c r="B1541" s="469" t="n"/>
      <c r="C1541" s="488">
        <f>+C1559</f>
        <v/>
      </c>
      <c r="D1541" s="489">
        <f>+D1559</f>
        <v/>
      </c>
      <c r="E1541" s="489">
        <f>+E1559</f>
        <v/>
      </c>
      <c r="F1541" s="490">
        <f>+F1559</f>
        <v/>
      </c>
      <c r="G1541" s="416" t="n"/>
    </row>
    <row r="1542">
      <c r="B1542" s="469" t="n"/>
      <c r="C1542" s="488">
        <f>+C1522</f>
        <v/>
      </c>
      <c r="D1542" s="489">
        <f>+D1522</f>
        <v/>
      </c>
      <c r="E1542" s="489">
        <f>+E1522</f>
        <v/>
      </c>
      <c r="F1542" s="490">
        <f>+F1522</f>
        <v/>
      </c>
      <c r="G1542" s="416" t="n"/>
    </row>
    <row r="1543">
      <c r="B1543" s="469" t="n"/>
      <c r="C1543" s="486" t="n"/>
      <c r="D1543" s="488" t="inlineStr">
        <is>
          <t xml:space="preserve">Total </t>
        </is>
      </c>
      <c r="E1543" s="489">
        <f>SUM(E1540:E1542)</f>
        <v/>
      </c>
      <c r="F1543" s="490">
        <f>+E1543/'COSTOS MO CUADRILLA'!K40</f>
        <v/>
      </c>
      <c r="G1543" s="416" t="n"/>
    </row>
    <row r="1544">
      <c r="G1544" s="542" t="n"/>
    </row>
    <row r="1545">
      <c r="C1545" s="491" t="inlineStr">
        <is>
          <t>FA: FACHALETA A ELEGIR (SIDING)</t>
        </is>
      </c>
    </row>
    <row r="1548">
      <c r="B1548" s="602" t="n"/>
      <c r="C1548" s="600" t="inlineStr">
        <is>
          <t xml:space="preserve">LARGO PARED </t>
        </is>
      </c>
      <c r="D1548" s="413" t="n">
        <v>0</v>
      </c>
      <c r="E1548" s="413" t="inlineStr">
        <is>
          <t xml:space="preserve">m </t>
        </is>
      </c>
      <c r="F1548" s="416" t="n"/>
      <c r="G1548" s="481" t="n"/>
    </row>
    <row r="1549">
      <c r="B1549" s="602" t="n"/>
      <c r="C1549" s="600" t="inlineStr">
        <is>
          <t xml:space="preserve">ALTO DE PARED </t>
        </is>
      </c>
      <c r="D1549" s="413" t="n">
        <v>0</v>
      </c>
      <c r="E1549" s="413" t="inlineStr">
        <is>
          <t xml:space="preserve"> m </t>
        </is>
      </c>
      <c r="F1549" s="416" t="n"/>
    </row>
    <row r="1550">
      <c r="B1550" s="602" t="n"/>
      <c r="C1550" s="600" t="inlineStr">
        <is>
          <t>AREA TOTAL SIDING</t>
        </is>
      </c>
      <c r="D1550" s="418" t="n">
        <v>2.6</v>
      </c>
      <c r="E1550" s="413" t="inlineStr">
        <is>
          <t xml:space="preserve">m2 </t>
        </is>
      </c>
      <c r="F1550" s="416" t="n"/>
    </row>
    <row r="1552">
      <c r="B1552" s="603" t="n"/>
      <c r="C1552" s="488" t="inlineStr">
        <is>
          <t>Elemento</t>
        </is>
      </c>
      <c r="D1552" s="488" t="inlineStr">
        <is>
          <t>Cantidad</t>
        </is>
      </c>
      <c r="E1552" s="488" t="inlineStr">
        <is>
          <t>Unidad</t>
        </is>
      </c>
      <c r="F1552" s="543" t="n"/>
      <c r="J1552" s="481" t="n"/>
    </row>
    <row r="1553">
      <c r="B1553" s="569" t="inlineStr">
        <is>
          <t>M04-0010</t>
        </is>
      </c>
      <c r="C1553" s="486" t="inlineStr">
        <is>
          <t>T-Tek Tablilla js 11mm 1229x2438mm A11 D76</t>
        </is>
      </c>
      <c r="D1553" s="487">
        <f>ROUNDUP(D1550/3,0)</f>
        <v/>
      </c>
      <c r="E1553" s="488" t="inlineStr">
        <is>
          <t>uni</t>
        </is>
      </c>
      <c r="F1553" s="416" t="n"/>
      <c r="J1553" s="481" t="n"/>
      <c r="N1553" s="481" t="n"/>
      <c r="O1553" s="481" t="n"/>
      <c r="P1553" s="604" t="n"/>
      <c r="Q1553" s="604" t="n"/>
    </row>
    <row r="1554">
      <c r="B1554" s="569" t="inlineStr">
        <is>
          <t>M10-0034</t>
        </is>
      </c>
      <c r="C1554" s="486">
        <f>C140</f>
        <v/>
      </c>
      <c r="D1554" s="487">
        <f>ROUNDUP(D1550*D140,0)</f>
        <v/>
      </c>
      <c r="E1554" s="488" t="inlineStr">
        <is>
          <t>saco</t>
        </is>
      </c>
      <c r="F1554" s="416" t="n"/>
      <c r="J1554" s="555" t="n"/>
      <c r="K1554" s="552" t="n"/>
      <c r="L1554" s="552" t="n"/>
      <c r="M1554" s="552" t="n"/>
      <c r="N1554" s="555" t="n"/>
      <c r="O1554" s="555" t="n"/>
    </row>
    <row r="1555">
      <c r="B1555" s="569" t="inlineStr">
        <is>
          <t>M06-0043</t>
        </is>
      </c>
      <c r="C1555" s="486" t="inlineStr">
        <is>
          <t>Tornillo MM 10-075 cabeza hex punta broca # 10x3/4 (19mm)</t>
        </is>
      </c>
      <c r="D1555" s="487">
        <f>+D1553*2</f>
        <v/>
      </c>
      <c r="E1555" s="488" t="inlineStr">
        <is>
          <t>uni</t>
        </is>
      </c>
      <c r="F1555" s="416" t="n"/>
    </row>
    <row r="1556">
      <c r="B1556" s="569" t="inlineStr">
        <is>
          <t>M06-0278</t>
        </is>
      </c>
      <c r="C1556" s="486" t="inlineStr">
        <is>
          <t>Perno de expansión 2-1/2" x 1/4"</t>
        </is>
      </c>
      <c r="D1556" s="487">
        <f>+D1555</f>
        <v/>
      </c>
      <c r="E1556" s="488" t="inlineStr">
        <is>
          <t>uni</t>
        </is>
      </c>
      <c r="F1556" s="416" t="n"/>
    </row>
    <row r="1557">
      <c r="B1557" s="476" t="n"/>
      <c r="C1557" s="552" t="n"/>
      <c r="D1557" s="605" t="n"/>
      <c r="E1557" s="555" t="n"/>
      <c r="F1557" s="606" t="n"/>
    </row>
    <row r="1558">
      <c r="B1558" s="469" t="n"/>
      <c r="C1558" s="488" t="n"/>
      <c r="D1558" s="488" t="inlineStr">
        <is>
          <t>Costo</t>
        </is>
      </c>
      <c r="E1558" s="488" t="inlineStr">
        <is>
          <t>Total</t>
        </is>
      </c>
      <c r="F1558" s="488" t="inlineStr">
        <is>
          <t>Horas</t>
        </is>
      </c>
    </row>
    <row r="1559">
      <c r="B1559" s="469" t="n"/>
      <c r="C1559" s="488">
        <f>C182</f>
        <v/>
      </c>
      <c r="D1559" s="489">
        <f>D182</f>
        <v/>
      </c>
      <c r="E1559" s="489">
        <f>+D1559*D1550</f>
        <v/>
      </c>
      <c r="F1559" s="490">
        <f>ROUND(E1559/'COSTOS MO CUADRILLA'!K40,0)</f>
        <v/>
      </c>
    </row>
    <row r="1560">
      <c r="B1560" s="469" t="n"/>
      <c r="C1560" s="486" t="n"/>
      <c r="D1560" s="488" t="inlineStr">
        <is>
          <t xml:space="preserve">Total </t>
        </is>
      </c>
      <c r="E1560" s="489">
        <f>SUM(E1559:E1559)</f>
        <v/>
      </c>
      <c r="F1560" s="490">
        <f>+E1560/'COSTOS MO CUADRILLA'!K40</f>
        <v/>
      </c>
      <c r="G1560" s="481" t="n"/>
      <c r="H1560" s="481" t="n"/>
    </row>
    <row r="1563">
      <c r="C1563" s="466" t="n">
        <v>2.3</v>
      </c>
      <c r="D1563" s="574" t="inlineStr">
        <is>
          <t>PINTURA / IMPERMEABILIZANTE</t>
        </is>
      </c>
      <c r="G1563" s="51" t="n"/>
    </row>
    <row r="1565">
      <c r="C1565" s="468" t="inlineStr">
        <is>
          <t>2.3.1</t>
        </is>
      </c>
      <c r="D1565" s="468" t="inlineStr">
        <is>
          <t>PINTURA PAREDES Y CIELOS</t>
        </is>
      </c>
    </row>
    <row r="1567">
      <c r="B1567" s="607" t="inlineStr">
        <is>
          <t>M11-0122</t>
        </is>
      </c>
      <c r="C1567" s="411">
        <f>_xlfn.XLOOKUP(B1567,'BASE DATOS PRECIOS '!B:B,'BASE DATOS PRECIOS '!E:E,0,0,1)</f>
        <v/>
      </c>
      <c r="D1567" s="455">
        <f>+D1433+D1366</f>
        <v/>
      </c>
      <c r="E1567" s="413" t="inlineStr">
        <is>
          <t>m2</t>
        </is>
      </c>
      <c r="F1567" s="455">
        <f>+D1567/62.5</f>
        <v/>
      </c>
      <c r="G1567" s="455">
        <f>ROUNDUP(F1567,0)</f>
        <v/>
      </c>
      <c r="H1567" s="416" t="n"/>
    </row>
    <row r="1568">
      <c r="A1568" s="484" t="inlineStr">
        <is>
          <t>PASTEL</t>
        </is>
      </c>
      <c r="B1568" s="607" t="inlineStr">
        <is>
          <t>M11-0115</t>
        </is>
      </c>
      <c r="C1568" s="411">
        <f>_xlfn.XLOOKUP(B1568,'BASE DATOS PRECIOS '!B:B,'BASE DATOS PRECIOS '!E:E,0,0,1)</f>
        <v/>
      </c>
      <c r="D1568" s="418">
        <f>D1439-D1550</f>
        <v/>
      </c>
      <c r="E1568" s="413" t="inlineStr">
        <is>
          <t>m2</t>
        </is>
      </c>
      <c r="F1568" s="455">
        <f>+D1568/62.5</f>
        <v/>
      </c>
      <c r="G1568" s="455">
        <f>ROUNDUP(F1568,0)</f>
        <v/>
      </c>
      <c r="H1568" s="416" t="n"/>
    </row>
    <row r="1569">
      <c r="A1569" s="484" t="inlineStr">
        <is>
          <t>GREEN EARTH</t>
        </is>
      </c>
      <c r="B1569" s="607" t="inlineStr">
        <is>
          <t>M11-0115</t>
        </is>
      </c>
      <c r="C1569" s="411">
        <f>_xlfn.XLOOKUP(B1569,'BASE DATOS PRECIOS '!B:B,'BASE DATOS PRECIOS '!E:E,0,0,1)</f>
        <v/>
      </c>
      <c r="D1569" s="418" t="n">
        <v>0</v>
      </c>
      <c r="E1569" s="413" t="inlineStr">
        <is>
          <t>m2</t>
        </is>
      </c>
      <c r="F1569" s="455">
        <f>+D1569/62.5</f>
        <v/>
      </c>
      <c r="G1569" s="455">
        <f>ROUNDUP(F1569,0)</f>
        <v/>
      </c>
      <c r="H1569" s="416" t="n"/>
    </row>
    <row r="1570">
      <c r="A1570" s="484" t="inlineStr">
        <is>
          <t>ROOM GREEN</t>
        </is>
      </c>
      <c r="B1570" s="607" t="inlineStr">
        <is>
          <t>M11-0115</t>
        </is>
      </c>
      <c r="C1570" s="411">
        <f>_xlfn.XLOOKUP(B1570,'BASE DATOS PRECIOS '!B:B,'BASE DATOS PRECIOS '!E:E,0,0,1)</f>
        <v/>
      </c>
      <c r="D1570" s="418" t="n">
        <v>0</v>
      </c>
      <c r="E1570" s="413" t="inlineStr">
        <is>
          <t>m2</t>
        </is>
      </c>
      <c r="F1570" s="455">
        <f>+D1570/62.5</f>
        <v/>
      </c>
      <c r="G1570" s="455">
        <f>ROUNDUP(F1570,0)</f>
        <v/>
      </c>
      <c r="H1570" s="416" t="n"/>
    </row>
    <row r="1571">
      <c r="B1571" s="607" t="inlineStr">
        <is>
          <t>M11-0121</t>
        </is>
      </c>
      <c r="C1571" s="411">
        <f>_xlfn.XLOOKUP(B1571,'BASE DATOS PRECIOS '!B:B,'BASE DATOS PRECIOS '!E:E,0,0,1)</f>
        <v/>
      </c>
      <c r="D1571" s="455">
        <f>+D1239*3</f>
        <v/>
      </c>
      <c r="E1571" s="413" t="inlineStr">
        <is>
          <t>m2</t>
        </is>
      </c>
      <c r="F1571" s="455">
        <f>+D1571/62.5</f>
        <v/>
      </c>
      <c r="G1571" s="455">
        <f>ROUNDUP(F1571,0)</f>
        <v/>
      </c>
      <c r="H1571" s="416" t="n"/>
    </row>
    <row r="1572">
      <c r="B1572" s="469" t="n"/>
      <c r="D1572" s="577">
        <f>SUM(D1567:D1571)</f>
        <v/>
      </c>
      <c r="E1572" s="481" t="n"/>
      <c r="F1572" s="531" t="n"/>
      <c r="G1572" s="531" t="n"/>
    </row>
    <row r="1573">
      <c r="B1573" s="469" t="n"/>
      <c r="C1573" s="488" t="inlineStr">
        <is>
          <t>Elemento</t>
        </is>
      </c>
      <c r="D1573" s="488" t="inlineStr">
        <is>
          <t>Cantidad</t>
        </is>
      </c>
      <c r="E1573" s="488" t="inlineStr">
        <is>
          <t>Unidad</t>
        </is>
      </c>
    </row>
    <row r="1574">
      <c r="B1574" s="476" t="inlineStr">
        <is>
          <t>M08-0064</t>
        </is>
      </c>
      <c r="C1574" s="497" t="inlineStr">
        <is>
          <t>Lija de agua #180</t>
        </is>
      </c>
      <c r="D1574" s="487">
        <f>+D1572/60</f>
        <v/>
      </c>
      <c r="E1574" s="488" t="inlineStr">
        <is>
          <t xml:space="preserve">uni </t>
        </is>
      </c>
    </row>
    <row r="1575">
      <c r="B1575" s="476" t="inlineStr">
        <is>
          <t>M06-0003</t>
        </is>
      </c>
      <c r="C1575" s="497" t="inlineStr">
        <is>
          <t>Duretan blanco</t>
        </is>
      </c>
      <c r="D1575" s="488" t="n">
        <v>1</v>
      </c>
      <c r="E1575" s="488" t="inlineStr">
        <is>
          <t>cartucho</t>
        </is>
      </c>
    </row>
    <row r="1576">
      <c r="B1576" s="476" t="inlineStr">
        <is>
          <t>M06-0025</t>
        </is>
      </c>
      <c r="C1576" s="497" t="inlineStr">
        <is>
          <t>Silicon pintable</t>
        </is>
      </c>
      <c r="D1576" s="488" t="n">
        <v>2</v>
      </c>
      <c r="E1576" s="488" t="inlineStr">
        <is>
          <t>uni</t>
        </is>
      </c>
    </row>
    <row r="1577">
      <c r="B1577" s="476" t="inlineStr">
        <is>
          <t>M06-0231</t>
        </is>
      </c>
      <c r="C1577" s="497" t="inlineStr">
        <is>
          <t>Mecha blanca</t>
        </is>
      </c>
      <c r="D1577" s="488" t="n">
        <v>2</v>
      </c>
      <c r="E1577" s="488" t="inlineStr">
        <is>
          <t>kg</t>
        </is>
      </c>
    </row>
    <row r="1578">
      <c r="B1578" s="476" t="inlineStr">
        <is>
          <t>M11-0019</t>
        </is>
      </c>
      <c r="C1578" s="497" t="inlineStr">
        <is>
          <t>Thinner industrial</t>
        </is>
      </c>
      <c r="D1578" s="488" t="n">
        <v>3</v>
      </c>
      <c r="E1578" s="488" t="inlineStr">
        <is>
          <t>gal</t>
        </is>
      </c>
    </row>
    <row r="1579">
      <c r="B1579" s="476" t="inlineStr">
        <is>
          <t>M11-0073</t>
        </is>
      </c>
      <c r="C1579" s="497" t="inlineStr">
        <is>
          <t>Pintura super dry galon</t>
        </is>
      </c>
      <c r="D1579" s="488" t="n">
        <v>1</v>
      </c>
      <c r="E1579" s="488" t="inlineStr">
        <is>
          <t>gal</t>
        </is>
      </c>
    </row>
    <row r="1580">
      <c r="B1580" s="476" t="inlineStr">
        <is>
          <t>M11-0001</t>
        </is>
      </c>
      <c r="C1580" s="497" t="inlineStr">
        <is>
          <t>Brocha corriente 2"</t>
        </is>
      </c>
      <c r="D1580" s="1155">
        <f>+D1572/190</f>
        <v/>
      </c>
      <c r="E1580" s="488" t="inlineStr">
        <is>
          <t>uni</t>
        </is>
      </c>
    </row>
    <row r="1581">
      <c r="B1581" s="476" t="inlineStr">
        <is>
          <t>M11-0002</t>
        </is>
      </c>
      <c r="C1581" s="497" t="inlineStr">
        <is>
          <t>Brocha corriente 3"</t>
        </is>
      </c>
      <c r="D1581" s="1155">
        <f>+D1582</f>
        <v/>
      </c>
      <c r="E1581" s="488" t="inlineStr">
        <is>
          <t>uni</t>
        </is>
      </c>
    </row>
    <row r="1582">
      <c r="B1582" s="476" t="inlineStr">
        <is>
          <t>M11-0004</t>
        </is>
      </c>
      <c r="C1582" s="497" t="inlineStr">
        <is>
          <t>Felpa 3/4</t>
        </is>
      </c>
      <c r="D1582" s="1155">
        <f>+D1572/130</f>
        <v/>
      </c>
      <c r="E1582" s="488" t="inlineStr">
        <is>
          <t>uni</t>
        </is>
      </c>
    </row>
    <row r="1583">
      <c r="B1583" s="476" t="inlineStr">
        <is>
          <t>M11-0009</t>
        </is>
      </c>
      <c r="C1583" s="497" t="inlineStr">
        <is>
          <t>Rodillo para felpa</t>
        </is>
      </c>
      <c r="D1583" s="1155">
        <f>+D1582</f>
        <v/>
      </c>
      <c r="E1583" s="488" t="inlineStr">
        <is>
          <t>uni</t>
        </is>
      </c>
    </row>
    <row r="1584">
      <c r="B1584" s="476" t="inlineStr">
        <is>
          <t>M06-0226</t>
        </is>
      </c>
      <c r="C1584" s="497" t="inlineStr">
        <is>
          <t>Masking blanco 2"</t>
        </is>
      </c>
      <c r="D1584" s="1155">
        <f>+D1572/190</f>
        <v/>
      </c>
      <c r="E1584" s="488" t="inlineStr">
        <is>
          <t>uni</t>
        </is>
      </c>
    </row>
    <row r="1585">
      <c r="B1585" s="476" t="inlineStr">
        <is>
          <t>M06-0227</t>
        </is>
      </c>
      <c r="C1585" s="497" t="inlineStr">
        <is>
          <t>Masking azul 2"</t>
        </is>
      </c>
      <c r="D1585" s="1155">
        <f>+D1572/130</f>
        <v/>
      </c>
      <c r="E1585" s="488" t="inlineStr">
        <is>
          <t>uni</t>
        </is>
      </c>
    </row>
    <row r="1586">
      <c r="B1586" s="476" t="inlineStr">
        <is>
          <t>M06-0228</t>
        </is>
      </c>
      <c r="C1586" s="497" t="inlineStr">
        <is>
          <t>Masking azul 3/4"</t>
        </is>
      </c>
      <c r="D1586" s="1155">
        <f>+D1584</f>
        <v/>
      </c>
      <c r="E1586" s="488" t="inlineStr">
        <is>
          <t>uni</t>
        </is>
      </c>
    </row>
    <row r="1587">
      <c r="B1587" s="476" t="inlineStr">
        <is>
          <t>M11-0010</t>
        </is>
      </c>
      <c r="C1587" s="497" t="inlineStr">
        <is>
          <t>Rollo plastico c/cinta 80°c-120 cm. x 20 m</t>
        </is>
      </c>
      <c r="D1587" s="488" t="n">
        <v>1</v>
      </c>
      <c r="E1587" s="488" t="inlineStr">
        <is>
          <t>uni</t>
        </is>
      </c>
    </row>
    <row r="1588">
      <c r="B1588" s="476" t="inlineStr">
        <is>
          <t>M10-0006</t>
        </is>
      </c>
      <c r="C1588" s="497">
        <f>_xlfn.XLOOKUP(B1588,'BASE DATOS PRECIOS '!B:B,'BASE DATOS PRECIOS '!E:E,0,0,1)</f>
        <v/>
      </c>
      <c r="D1588" s="488" t="n">
        <v>1</v>
      </c>
      <c r="E1588" s="488">
        <f>_xlfn.XLOOKUP(B1588,'BASE DATOS PRECIOS '!B:B,'BASE DATOS PRECIOS '!F:F,0,0,1)</f>
        <v/>
      </c>
    </row>
    <row r="1589">
      <c r="B1589" s="478" t="n"/>
    </row>
    <row r="1590">
      <c r="C1590" s="486" t="n"/>
      <c r="D1590" s="488" t="inlineStr">
        <is>
          <t>Costo</t>
        </is>
      </c>
      <c r="E1590" s="488" t="inlineStr">
        <is>
          <t xml:space="preserve">Costo Total </t>
        </is>
      </c>
      <c r="F1590" s="488" t="inlineStr">
        <is>
          <t>Horas</t>
        </is>
      </c>
      <c r="H1590" s="481" t="n"/>
    </row>
    <row r="1591">
      <c r="C1591" s="486" t="inlineStr">
        <is>
          <t>Pintura Sellador</t>
        </is>
      </c>
      <c r="D1591" s="489">
        <f>D187</f>
        <v/>
      </c>
      <c r="E1591" s="489">
        <f>SUM(D1567)*D1591</f>
        <v/>
      </c>
      <c r="F1591" s="490">
        <f>+E1591/'COSTOS MO CUADRILLA'!K42</f>
        <v/>
      </c>
      <c r="G1591" s="461" t="n"/>
      <c r="H1591" s="481" t="n"/>
      <c r="J1591" s="481" t="n"/>
    </row>
    <row r="1592">
      <c r="C1592" s="486" t="n"/>
      <c r="D1592" s="488" t="inlineStr">
        <is>
          <t xml:space="preserve">Total </t>
        </is>
      </c>
      <c r="E1592" s="489">
        <f>SUM(E1591:E1591)</f>
        <v/>
      </c>
      <c r="F1592" s="490">
        <f>+E1592/'COSTOS MO CUADRILLA'!K42</f>
        <v/>
      </c>
      <c r="G1592" s="481" t="n"/>
      <c r="H1592" s="481" t="n"/>
      <c r="I1592" s="498" t="n"/>
      <c r="J1592" s="481" t="n"/>
    </row>
    <row r="1593">
      <c r="E1593" s="481" t="n"/>
      <c r="J1593" s="481" t="n"/>
    </row>
    <row r="1594">
      <c r="C1594" s="486" t="n"/>
      <c r="D1594" s="488" t="inlineStr">
        <is>
          <t>Costo</t>
        </is>
      </c>
      <c r="E1594" s="488" t="inlineStr">
        <is>
          <t xml:space="preserve">Costo Total </t>
        </is>
      </c>
      <c r="F1594" s="488" t="inlineStr">
        <is>
          <t>Horas</t>
        </is>
      </c>
      <c r="H1594" s="481" t="n"/>
    </row>
    <row r="1595">
      <c r="C1595" s="486" t="inlineStr">
        <is>
          <t>Pintura Interna</t>
        </is>
      </c>
      <c r="D1595" s="489">
        <f>+D188</f>
        <v/>
      </c>
      <c r="E1595" s="489">
        <f>SUM(D1567)*D1595</f>
        <v/>
      </c>
      <c r="F1595" s="487">
        <f>+E1595/'COSTOS MO CUADRILLA'!K42</f>
        <v/>
      </c>
      <c r="G1595" s="461" t="n"/>
      <c r="H1595" s="481" t="n"/>
      <c r="J1595" s="481" t="n"/>
    </row>
    <row r="1596">
      <c r="C1596" s="486" t="n"/>
      <c r="D1596" s="488" t="inlineStr">
        <is>
          <t xml:space="preserve">Total </t>
        </is>
      </c>
      <c r="E1596" s="489">
        <f>SUM(E1595:E1595)</f>
        <v/>
      </c>
      <c r="F1596" s="487">
        <f>+E1596/'COSTOS MO CUADRILLA'!K42</f>
        <v/>
      </c>
      <c r="G1596" s="481" t="n"/>
      <c r="H1596" s="481" t="n"/>
      <c r="I1596" s="498" t="n"/>
      <c r="J1596" s="499" t="n"/>
    </row>
    <row r="1597">
      <c r="E1597" s="481" t="n"/>
      <c r="J1597" s="481" t="n"/>
    </row>
    <row r="1598">
      <c r="C1598" s="486" t="n"/>
      <c r="D1598" s="488" t="inlineStr">
        <is>
          <t>Costo</t>
        </is>
      </c>
      <c r="E1598" s="488" t="inlineStr">
        <is>
          <t xml:space="preserve">Costo Total </t>
        </is>
      </c>
      <c r="F1598" s="488" t="inlineStr">
        <is>
          <t>Horas</t>
        </is>
      </c>
      <c r="H1598" s="481" t="n"/>
    </row>
    <row r="1599">
      <c r="C1599" s="486" t="inlineStr">
        <is>
          <t xml:space="preserve">Pintura externa </t>
        </is>
      </c>
      <c r="D1599" s="489">
        <f>+D189</f>
        <v/>
      </c>
      <c r="E1599" s="489">
        <f>SUM(D1569:D1571)*D1599</f>
        <v/>
      </c>
      <c r="F1599" s="487">
        <f>+E1599/'COSTOS MO CUADRILLA'!K42</f>
        <v/>
      </c>
      <c r="H1599" s="481" t="n"/>
      <c r="J1599" s="481" t="n"/>
    </row>
    <row r="1600">
      <c r="C1600" s="486" t="n"/>
      <c r="D1600" s="488" t="inlineStr">
        <is>
          <t xml:space="preserve">Total </t>
        </is>
      </c>
      <c r="E1600" s="489">
        <f>SUM(E1599:E1599)</f>
        <v/>
      </c>
      <c r="F1600" s="487">
        <f>+E1600/'COSTOS MO CUADRILLA'!K42</f>
        <v/>
      </c>
      <c r="G1600" s="481" t="n"/>
      <c r="H1600" s="481" t="n"/>
      <c r="I1600" s="498" t="n"/>
      <c r="J1600" s="499" t="n"/>
    </row>
    <row r="1601">
      <c r="E1601" s="481" t="n"/>
      <c r="J1601" s="481" t="n"/>
    </row>
    <row r="1602">
      <c r="C1602" s="486" t="n"/>
      <c r="D1602" s="488" t="inlineStr">
        <is>
          <t>Costo</t>
        </is>
      </c>
      <c r="E1602" s="488" t="inlineStr">
        <is>
          <t xml:space="preserve">Costo Total </t>
        </is>
      </c>
      <c r="F1602" s="488" t="inlineStr">
        <is>
          <t>Horas</t>
        </is>
      </c>
      <c r="H1602" s="481" t="n"/>
    </row>
    <row r="1603">
      <c r="C1603" s="486" t="inlineStr">
        <is>
          <t>Resane y grietas</t>
        </is>
      </c>
      <c r="D1603" s="489">
        <f>+D190</f>
        <v/>
      </c>
      <c r="E1603" s="489">
        <f>SUM(D1567)*D1603</f>
        <v/>
      </c>
      <c r="F1603" s="487">
        <f>+E1603/'COSTOS MO CUADRILLA'!K42</f>
        <v/>
      </c>
    </row>
    <row r="1604">
      <c r="C1604" s="486" t="n"/>
      <c r="D1604" s="488" t="inlineStr">
        <is>
          <t xml:space="preserve">Total </t>
        </is>
      </c>
      <c r="E1604" s="489">
        <f>SUM(E1603:E1603)</f>
        <v/>
      </c>
      <c r="F1604" s="487">
        <f>+E1604/'COSTOS MO CUADRILLA'!K42</f>
        <v/>
      </c>
      <c r="G1604" s="461" t="n"/>
    </row>
    <row r="1607">
      <c r="C1607" s="468" t="inlineStr">
        <is>
          <t>2.3.2</t>
        </is>
      </c>
      <c r="D1607" s="468" t="inlineStr">
        <is>
          <t>ACABADOS DE AZOTEA</t>
        </is>
      </c>
    </row>
    <row r="1609">
      <c r="B1609" s="469" t="n"/>
      <c r="C1609" s="411" t="inlineStr">
        <is>
          <t>AREA DE AZOTEA</t>
        </is>
      </c>
      <c r="D1609" s="413">
        <f>+D18</f>
        <v/>
      </c>
      <c r="E1609" s="413" t="inlineStr">
        <is>
          <t>m2</t>
        </is>
      </c>
      <c r="F1609" s="416" t="n"/>
    </row>
    <row r="1610">
      <c r="B1610" s="469" t="n"/>
      <c r="C1610" s="411" t="inlineStr">
        <is>
          <t>PERIMETRO DE AZOTEA</t>
        </is>
      </c>
      <c r="D1610" s="455">
        <f>+D545</f>
        <v/>
      </c>
      <c r="E1610" s="413" t="inlineStr">
        <is>
          <t>m</t>
        </is>
      </c>
      <c r="F1610" s="416" t="n"/>
    </row>
    <row r="1611">
      <c r="B1611" s="469" t="n"/>
      <c r="C1611" s="411" t="inlineStr">
        <is>
          <t>ALTURA DE MURETE</t>
        </is>
      </c>
      <c r="D1611" s="413" t="n">
        <v>1</v>
      </c>
      <c r="E1611" s="413" t="inlineStr">
        <is>
          <t>m</t>
        </is>
      </c>
      <c r="F1611" s="416" t="n"/>
    </row>
    <row r="1612">
      <c r="B1612" s="469" t="n"/>
      <c r="C1612" s="411" t="inlineStr">
        <is>
          <t>AREA DE MURETE</t>
        </is>
      </c>
      <c r="D1612" s="413">
        <f>+D1611*D1610</f>
        <v/>
      </c>
      <c r="E1612" s="413" t="inlineStr">
        <is>
          <t>m2</t>
        </is>
      </c>
      <c r="F1612" s="416" t="n"/>
    </row>
    <row r="1613">
      <c r="B1613" s="469" t="n"/>
      <c r="C1613" s="411" t="inlineStr">
        <is>
          <t>AREA TOTAL A IMPERMEABILIZAR</t>
        </is>
      </c>
      <c r="D1613" s="413">
        <f>+D1612+D1609</f>
        <v/>
      </c>
      <c r="E1613" s="413" t="inlineStr">
        <is>
          <t>m2</t>
        </is>
      </c>
      <c r="F1613" s="416" t="n"/>
    </row>
    <row r="1614">
      <c r="B1614" s="469" t="n"/>
      <c r="D1614" s="481" t="n"/>
      <c r="E1614" s="481" t="n"/>
      <c r="F1614" s="416" t="n"/>
    </row>
    <row r="1615">
      <c r="B1615" s="469" t="n"/>
      <c r="D1615" s="481" t="n"/>
      <c r="E1615" s="481" t="n"/>
      <c r="F1615" s="416" t="n"/>
    </row>
    <row r="1616">
      <c r="B1616" s="476" t="n"/>
      <c r="C1616" s="488" t="inlineStr">
        <is>
          <t>Elemento</t>
        </is>
      </c>
      <c r="D1616" s="488" t="inlineStr">
        <is>
          <t>Cantidad</t>
        </is>
      </c>
      <c r="E1616" s="488" t="inlineStr">
        <is>
          <t>Unidad</t>
        </is>
      </c>
      <c r="F1616" s="550" t="n"/>
    </row>
    <row r="1617">
      <c r="B1617" s="476" t="inlineStr">
        <is>
          <t>M11-0038</t>
        </is>
      </c>
      <c r="C1617" s="486" t="inlineStr">
        <is>
          <t>Impermeabilizante base 201</t>
        </is>
      </c>
      <c r="D1617" s="488">
        <f>ROUNDUP(D1613/28,1)</f>
        <v/>
      </c>
      <c r="E1617" s="488" t="inlineStr">
        <is>
          <t>cubeta</t>
        </is>
      </c>
      <c r="F1617" s="416" t="n"/>
    </row>
    <row r="1618">
      <c r="B1618" s="476" t="inlineStr">
        <is>
          <t>M11-0039</t>
        </is>
      </c>
      <c r="C1618" s="486" t="inlineStr">
        <is>
          <t>Impermeabilizante top 202</t>
        </is>
      </c>
      <c r="D1618" s="488">
        <f>+D1617</f>
        <v/>
      </c>
      <c r="E1618" s="488" t="inlineStr">
        <is>
          <t>cubeta</t>
        </is>
      </c>
      <c r="F1618" s="416" t="n"/>
    </row>
    <row r="1619">
      <c r="B1619" s="476" t="inlineStr">
        <is>
          <t>M10-0012</t>
        </is>
      </c>
      <c r="C1619" s="486" t="inlineStr">
        <is>
          <t>Arena silica</t>
        </is>
      </c>
      <c r="D1619" s="488">
        <f>ROUNDUP(D1613*0.7/20,1)</f>
        <v/>
      </c>
      <c r="E1619" s="488" t="inlineStr">
        <is>
          <t>saco</t>
        </is>
      </c>
      <c r="F1619" s="416" t="n"/>
    </row>
    <row r="1620">
      <c r="B1620" s="476" t="inlineStr">
        <is>
          <t>M11-0009</t>
        </is>
      </c>
      <c r="C1620" s="486" t="inlineStr">
        <is>
          <t>Rodillo para felpa</t>
        </is>
      </c>
      <c r="D1620" s="488">
        <f>IF(D1609=0,0,1)</f>
        <v/>
      </c>
      <c r="E1620" s="488" t="inlineStr">
        <is>
          <t>und</t>
        </is>
      </c>
      <c r="F1620" s="416" t="n"/>
    </row>
    <row r="1621">
      <c r="B1621" s="476" t="inlineStr">
        <is>
          <t>M11-0004</t>
        </is>
      </c>
      <c r="C1621" s="486" t="inlineStr">
        <is>
          <t>Felpa 3/4</t>
        </is>
      </c>
      <c r="D1621" s="488">
        <f>IF(D1609=0,0,1)</f>
        <v/>
      </c>
      <c r="E1621" s="488" t="inlineStr">
        <is>
          <t>und</t>
        </is>
      </c>
      <c r="F1621" s="416" t="n"/>
    </row>
    <row r="1622">
      <c r="B1622" s="476" t="inlineStr">
        <is>
          <t>M11-0002</t>
        </is>
      </c>
      <c r="C1622" s="486" t="inlineStr">
        <is>
          <t>Brocha corriente 3"</t>
        </is>
      </c>
      <c r="D1622" s="488">
        <f>IF(D1609=0,0,1)</f>
        <v/>
      </c>
      <c r="E1622" s="488" t="inlineStr">
        <is>
          <t>und</t>
        </is>
      </c>
      <c r="F1622" s="416" t="n"/>
      <c r="J1622" s="481" t="n"/>
    </row>
    <row r="1623">
      <c r="B1623" s="476" t="inlineStr">
        <is>
          <t>M06-0227</t>
        </is>
      </c>
      <c r="C1623" s="486" t="inlineStr">
        <is>
          <t>Masking azul 2</t>
        </is>
      </c>
      <c r="D1623" s="488">
        <f>IF(D1609=0,0,2)</f>
        <v/>
      </c>
      <c r="E1623" s="488" t="inlineStr">
        <is>
          <t>und</t>
        </is>
      </c>
      <c r="F1623" s="416" t="n"/>
      <c r="J1623" s="481" t="n"/>
    </row>
    <row r="1624">
      <c r="B1624" s="476" t="n"/>
      <c r="E1624" s="481" t="n"/>
      <c r="F1624" s="416" t="n"/>
      <c r="J1624" s="481" t="n"/>
    </row>
    <row r="1625">
      <c r="B1625" s="469" t="n"/>
      <c r="E1625" s="481" t="n"/>
      <c r="J1625" s="481" t="n"/>
    </row>
    <row r="1626">
      <c r="B1626" s="469" t="n"/>
      <c r="C1626" s="486" t="n"/>
      <c r="D1626" s="488" t="inlineStr">
        <is>
          <t>Costo</t>
        </is>
      </c>
      <c r="E1626" s="488" t="inlineStr">
        <is>
          <t xml:space="preserve">Costo Total </t>
        </is>
      </c>
      <c r="F1626" s="488" t="inlineStr">
        <is>
          <t>Horas</t>
        </is>
      </c>
      <c r="H1626" s="481" t="n"/>
    </row>
    <row r="1627">
      <c r="B1627" s="469" t="n"/>
      <c r="C1627" s="486" t="inlineStr">
        <is>
          <t>Acabado de azotea</t>
        </is>
      </c>
      <c r="D1627" s="489">
        <f>+D199</f>
        <v/>
      </c>
      <c r="E1627" s="489">
        <f>+D1627*D1613</f>
        <v/>
      </c>
      <c r="F1627" s="490">
        <f>+E1627/'COSTOS MO CUADRILLA'!K43</f>
        <v/>
      </c>
      <c r="H1627" s="481" t="n"/>
      <c r="J1627" s="481" t="n"/>
    </row>
    <row r="1628">
      <c r="B1628" s="469" t="n"/>
      <c r="C1628" s="486" t="n"/>
      <c r="D1628" s="488" t="inlineStr">
        <is>
          <t xml:space="preserve">Total </t>
        </is>
      </c>
      <c r="E1628" s="489">
        <f>SUM(E1627:E1627)</f>
        <v/>
      </c>
      <c r="F1628" s="490">
        <f>+E1628/'COSTOS MO CUADRILLA'!K43</f>
        <v/>
      </c>
      <c r="G1628" s="481" t="n"/>
      <c r="H1628" s="481" t="n"/>
      <c r="I1628" s="498" t="n"/>
      <c r="J1628" s="499" t="n"/>
    </row>
    <row r="1629">
      <c r="C1629" s="539" t="n"/>
      <c r="D1629" s="539" t="n"/>
      <c r="E1629" s="540" t="n"/>
      <c r="F1629" s="539" t="n"/>
      <c r="G1629" s="539" t="n"/>
      <c r="H1629" s="46" t="n"/>
      <c r="I1629" s="10" t="n"/>
      <c r="J1629" s="576" t="n"/>
    </row>
    <row r="1630">
      <c r="C1630" s="539" t="n"/>
      <c r="D1630" s="539" t="n"/>
      <c r="E1630" s="540" t="n"/>
      <c r="F1630" s="539" t="n"/>
      <c r="G1630" s="539" t="n"/>
      <c r="H1630" s="46" t="n"/>
      <c r="I1630" s="10" t="n"/>
      <c r="J1630" s="576" t="n"/>
    </row>
    <row r="1631">
      <c r="C1631" s="468" t="inlineStr">
        <is>
          <t>2.3.3</t>
        </is>
      </c>
      <c r="D1631" s="468" t="inlineStr">
        <is>
          <t xml:space="preserve">PONCHEO FINAL </t>
        </is>
      </c>
    </row>
    <row r="1633">
      <c r="B1633" s="469" t="n"/>
      <c r="C1633" s="411" t="inlineStr">
        <is>
          <t>AREA TOTAL</t>
        </is>
      </c>
      <c r="D1633" s="455">
        <f>+D20</f>
        <v/>
      </c>
      <c r="E1633" s="413" t="inlineStr">
        <is>
          <t>m2</t>
        </is>
      </c>
      <c r="F1633" s="416" t="n"/>
    </row>
    <row r="1634">
      <c r="J1634" s="481" t="n"/>
    </row>
    <row r="1635">
      <c r="C1635" s="486" t="n"/>
      <c r="D1635" s="488" t="inlineStr">
        <is>
          <t>Costo</t>
        </is>
      </c>
      <c r="E1635" s="488" t="inlineStr">
        <is>
          <t xml:space="preserve">Costo Total </t>
        </is>
      </c>
      <c r="F1635" s="488" t="inlineStr">
        <is>
          <t>Horas</t>
        </is>
      </c>
      <c r="H1635" s="481" t="n"/>
    </row>
    <row r="1636">
      <c r="C1636" s="575">
        <f>+C200</f>
        <v/>
      </c>
      <c r="D1636" s="489">
        <f>+D200</f>
        <v/>
      </c>
      <c r="E1636" s="489">
        <f>+D1636*D1633</f>
        <v/>
      </c>
      <c r="F1636" s="490">
        <f>+E1636/'COSTOS MO CUADRILLA'!K44</f>
        <v/>
      </c>
      <c r="H1636" s="481" t="n"/>
      <c r="J1636" s="481" t="n"/>
    </row>
    <row r="1637">
      <c r="C1637" s="486" t="n"/>
      <c r="D1637" s="488" t="inlineStr">
        <is>
          <t xml:space="preserve">Total </t>
        </is>
      </c>
      <c r="E1637" s="489">
        <f>SUM(E1636:E1636)</f>
        <v/>
      </c>
      <c r="F1637" s="490">
        <f>+E1637/'COSTOS MO CUADRILLA'!K44</f>
        <v/>
      </c>
      <c r="G1637" s="481" t="n"/>
      <c r="H1637" s="481" t="n"/>
      <c r="I1637" s="498" t="n"/>
      <c r="J1637" s="499" t="n"/>
    </row>
    <row r="1640">
      <c r="C1640" s="466" t="n">
        <v>2.4</v>
      </c>
      <c r="D1640" s="574" t="inlineStr">
        <is>
          <t>MADERAS</t>
        </is>
      </c>
      <c r="E1640" s="540" t="n"/>
      <c r="F1640" s="539" t="n"/>
      <c r="G1640" s="46" t="n"/>
      <c r="H1640" s="46" t="n"/>
      <c r="I1640" s="10" t="inlineStr">
        <is>
          <t>P05</t>
        </is>
      </c>
      <c r="J1640" s="576" t="n">
        <v>2.1</v>
      </c>
      <c r="K1640" t="n">
        <v>2.8</v>
      </c>
      <c r="L1640" t="n">
        <v>1</v>
      </c>
    </row>
    <row r="1641">
      <c r="E1641" s="540" t="n"/>
      <c r="F1641" s="539" t="n"/>
      <c r="G1641" s="46" t="n"/>
      <c r="H1641" s="46" t="n"/>
      <c r="I1641" s="10" t="inlineStr">
        <is>
          <t>P13</t>
        </is>
      </c>
      <c r="J1641" s="576" t="n">
        <v>2.1</v>
      </c>
      <c r="K1641" t="n">
        <v>2</v>
      </c>
      <c r="L1641" t="n">
        <v>2</v>
      </c>
    </row>
    <row r="1642">
      <c r="C1642" s="468" t="inlineStr">
        <is>
          <t>2.4.1</t>
        </is>
      </c>
      <c r="D1642" s="468" t="inlineStr">
        <is>
          <t xml:space="preserve">MUEBLES </t>
        </is>
      </c>
      <c r="E1642" s="540" t="n"/>
      <c r="F1642" s="539" t="n"/>
      <c r="G1642" s="46" t="n"/>
      <c r="H1642" s="46" t="n"/>
      <c r="I1642" s="10" t="n"/>
      <c r="J1642" s="576" t="n"/>
    </row>
    <row r="1643">
      <c r="C1643" s="539" t="n"/>
      <c r="D1643" s="539" t="n"/>
      <c r="E1643" s="540" t="n"/>
      <c r="F1643" s="539" t="n"/>
      <c r="G1643" s="46" t="n"/>
      <c r="H1643" s="46" t="n"/>
      <c r="I1643" s="10" t="n"/>
      <c r="J1643" s="576" t="n"/>
    </row>
    <row r="1644">
      <c r="C1644" s="466" t="n">
        <v>2.5</v>
      </c>
      <c r="D1644" s="574" t="inlineStr">
        <is>
          <t xml:space="preserve">VENTANERIA </t>
        </is>
      </c>
      <c r="E1644" s="540" t="n"/>
      <c r="F1644" s="539" t="n"/>
      <c r="G1644" s="46" t="n"/>
      <c r="H1644" s="46" t="n"/>
      <c r="I1644" s="10" t="n"/>
      <c r="J1644" s="576" t="n"/>
    </row>
    <row r="1645">
      <c r="E1645" s="540" t="n"/>
      <c r="F1645" s="539" t="n"/>
      <c r="G1645" s="46" t="n"/>
      <c r="H1645" s="46" t="n"/>
      <c r="I1645" s="10" t="n"/>
      <c r="J1645" s="576" t="n"/>
    </row>
    <row r="1646">
      <c r="C1646" s="468" t="inlineStr">
        <is>
          <t>2.5.1</t>
        </is>
      </c>
      <c r="D1646" s="468" t="inlineStr">
        <is>
          <t xml:space="preserve">VENTANERIA (INCLUYE PUERTAS DE ALUMINIO) </t>
        </is>
      </c>
      <c r="E1646" s="59" t="n"/>
      <c r="F1646" s="60" t="n"/>
    </row>
    <row r="1648">
      <c r="C1648" s="413" t="inlineStr">
        <is>
          <t>Elemento</t>
        </is>
      </c>
      <c r="D1648" s="413" t="inlineStr">
        <is>
          <t>Cantidad</t>
        </is>
      </c>
      <c r="E1648" s="413" t="inlineStr">
        <is>
          <t>Alto</t>
        </is>
      </c>
      <c r="F1648" s="413" t="inlineStr">
        <is>
          <t>Ancho</t>
        </is>
      </c>
      <c r="G1648" s="413" t="inlineStr">
        <is>
          <t>Área</t>
        </is>
      </c>
      <c r="H1648" s="413" t="inlineStr">
        <is>
          <t>Área total</t>
        </is>
      </c>
      <c r="I1648" s="413" t="inlineStr">
        <is>
          <t>Costo</t>
        </is>
      </c>
      <c r="J1648" s="413" t="inlineStr">
        <is>
          <t>Total</t>
        </is>
      </c>
    </row>
    <row r="1649">
      <c r="C1649" s="609" t="inlineStr">
        <is>
          <t>VA2</t>
        </is>
      </c>
      <c r="D1649" s="610" t="n">
        <v>1</v>
      </c>
      <c r="E1649" s="609" t="n">
        <v>2.15</v>
      </c>
      <c r="F1649" s="609" t="n">
        <v>0.6</v>
      </c>
      <c r="G1649" s="455">
        <f>+F1649*E1649*D1649</f>
        <v/>
      </c>
      <c r="H1649" s="611">
        <f>SUM(G1649:G1661)</f>
        <v/>
      </c>
      <c r="I1649" s="612">
        <f>+J1668</f>
        <v/>
      </c>
      <c r="J1649" s="612">
        <f>+I1649*H1649</f>
        <v/>
      </c>
    </row>
    <row r="1650">
      <c r="C1650" s="609" t="inlineStr">
        <is>
          <t>VA9</t>
        </is>
      </c>
      <c r="D1650" s="610" t="n">
        <v>1</v>
      </c>
      <c r="E1650" s="609" t="n">
        <v>0.55</v>
      </c>
      <c r="F1650" s="609" t="n">
        <v>0.55</v>
      </c>
      <c r="G1650" s="455">
        <f>+F1650*E1650*D1650</f>
        <v/>
      </c>
      <c r="H1650" s="613" t="n"/>
      <c r="I1650" s="612" t="n"/>
      <c r="J1650" s="612" t="n"/>
    </row>
    <row r="1651">
      <c r="C1651" s="609" t="n"/>
      <c r="D1651" s="610" t="n"/>
      <c r="E1651" s="609" t="n"/>
      <c r="F1651" s="609" t="n"/>
      <c r="G1651" s="455">
        <f>+F1651*E1651*D1651</f>
        <v/>
      </c>
      <c r="H1651" s="613" t="n"/>
      <c r="I1651" s="612" t="n"/>
      <c r="J1651" s="612" t="n"/>
    </row>
    <row r="1652">
      <c r="C1652" s="609" t="inlineStr">
        <is>
          <t>VC6</t>
        </is>
      </c>
      <c r="D1652" s="610" t="n">
        <v>1</v>
      </c>
      <c r="E1652" s="609" t="n">
        <v>2</v>
      </c>
      <c r="F1652" s="609" t="n">
        <v>1.35</v>
      </c>
      <c r="G1652" s="455">
        <f>+F1652*E1652*D1652</f>
        <v/>
      </c>
      <c r="H1652" s="613" t="n"/>
      <c r="I1652" s="612" t="n"/>
      <c r="J1652" s="612" t="n"/>
    </row>
    <row r="1653">
      <c r="C1653" s="609" t="inlineStr">
        <is>
          <t>VA7</t>
        </is>
      </c>
      <c r="D1653" s="610" t="n">
        <v>1</v>
      </c>
      <c r="E1653" s="609" t="n">
        <v>1.95</v>
      </c>
      <c r="F1653" s="609" t="n">
        <v>1.2</v>
      </c>
      <c r="G1653" s="455">
        <f>+F1653*E1653*D1653</f>
        <v/>
      </c>
      <c r="H1653" s="613" t="n"/>
      <c r="I1653" s="612" t="n"/>
      <c r="J1653" s="612" t="n"/>
    </row>
    <row r="1654">
      <c r="C1654" s="609" t="inlineStr">
        <is>
          <t>VA6</t>
        </is>
      </c>
      <c r="D1654" s="610" t="n">
        <v>1</v>
      </c>
      <c r="E1654" s="609" t="n">
        <v>1.4</v>
      </c>
      <c r="F1654" s="609" t="n">
        <v>1.5</v>
      </c>
      <c r="G1654" s="455">
        <f>+F1654*E1654*D1654</f>
        <v/>
      </c>
      <c r="H1654" s="613" t="n"/>
      <c r="I1654" s="612" t="n"/>
      <c r="J1654" s="612" t="n"/>
    </row>
    <row r="1655">
      <c r="C1655" s="614" t="inlineStr">
        <is>
          <t>VA6</t>
        </is>
      </c>
      <c r="D1655" s="610" t="n">
        <v>1</v>
      </c>
      <c r="E1655" s="609" t="n">
        <v>1.4</v>
      </c>
      <c r="F1655" s="609" t="n">
        <v>1.5</v>
      </c>
      <c r="G1655" s="455">
        <f>+F1655*E1655*D1655</f>
        <v/>
      </c>
      <c r="H1655" s="613" t="n"/>
      <c r="I1655" s="612" t="n"/>
      <c r="J1655" s="612" t="n"/>
    </row>
    <row r="1656">
      <c r="C1656" s="609" t="inlineStr">
        <is>
          <t>VA8</t>
        </is>
      </c>
      <c r="D1656" s="610" t="n">
        <v>1</v>
      </c>
      <c r="E1656" s="609" t="n">
        <v>0.55</v>
      </c>
      <c r="F1656" s="609" t="n">
        <v>0.55</v>
      </c>
      <c r="G1656" s="455">
        <f>+F1656*E1656*D1656</f>
        <v/>
      </c>
      <c r="H1656" s="613" t="n"/>
      <c r="I1656" s="612" t="n"/>
      <c r="J1656" s="612" t="n"/>
      <c r="K1656" s="416" t="n"/>
    </row>
    <row r="1657">
      <c r="C1657" s="609" t="n"/>
      <c r="D1657" s="610" t="n"/>
      <c r="E1657" s="609" t="n"/>
      <c r="F1657" s="609" t="n"/>
      <c r="G1657" s="455">
        <f>+F1657*E1657*D1657</f>
        <v/>
      </c>
      <c r="H1657" s="613" t="n"/>
      <c r="I1657" s="612" t="n"/>
      <c r="J1657" s="612" t="n"/>
      <c r="K1657" s="416" t="n"/>
    </row>
    <row r="1658">
      <c r="C1658" s="609" t="n"/>
      <c r="D1658" s="610" t="n"/>
      <c r="E1658" s="609" t="n"/>
      <c r="F1658" s="609" t="n"/>
      <c r="G1658" s="455">
        <f>+F1658*E1658*D1658</f>
        <v/>
      </c>
      <c r="H1658" s="613" t="n"/>
      <c r="I1658" s="612" t="n"/>
      <c r="J1658" s="612" t="n"/>
      <c r="K1658" s="416" t="n"/>
    </row>
    <row r="1659">
      <c r="C1659" s="614" t="n"/>
      <c r="D1659" s="610" t="n"/>
      <c r="E1659" s="609" t="n"/>
      <c r="F1659" s="609" t="n"/>
      <c r="G1659" s="455">
        <f>+F1659*E1659*D1659</f>
        <v/>
      </c>
      <c r="H1659" s="613" t="n"/>
      <c r="I1659" s="612" t="n"/>
      <c r="J1659" s="612" t="n"/>
      <c r="K1659" s="416" t="n"/>
    </row>
    <row r="1660">
      <c r="C1660" s="614" t="n"/>
      <c r="D1660" s="610" t="n"/>
      <c r="E1660" s="609" t="n"/>
      <c r="F1660" s="609" t="n"/>
      <c r="G1660" s="455">
        <f>+F1660*E1660*D1660</f>
        <v/>
      </c>
      <c r="H1660" s="613" t="n"/>
      <c r="I1660" s="612" t="n"/>
      <c r="J1660" s="612" t="n"/>
      <c r="K1660" s="416" t="n"/>
    </row>
    <row r="1661">
      <c r="C1661" s="614" t="n"/>
      <c r="D1661" s="610" t="n"/>
      <c r="E1661" s="609" t="n"/>
      <c r="F1661" s="609" t="n"/>
      <c r="G1661" s="455">
        <f>+F1661*E1661*D1661</f>
        <v/>
      </c>
      <c r="H1661" s="613" t="n"/>
      <c r="I1661" s="612" t="n"/>
      <c r="J1661" s="612" t="n"/>
      <c r="K1661" s="416" t="n"/>
    </row>
    <row r="1662">
      <c r="C1662" s="609" t="inlineStr">
        <is>
          <t>P12</t>
        </is>
      </c>
      <c r="D1662" s="610" t="n">
        <v>1</v>
      </c>
      <c r="E1662" s="609" t="n">
        <v>2.1</v>
      </c>
      <c r="F1662" s="609" t="n">
        <v>1.6</v>
      </c>
      <c r="G1662" s="455">
        <f>+F1662*E1662*D1662</f>
        <v/>
      </c>
      <c r="H1662" s="611">
        <f>SUM(G1662:G1665)</f>
        <v/>
      </c>
      <c r="I1662" s="612">
        <f>+J1669</f>
        <v/>
      </c>
      <c r="J1662" s="612">
        <f>+H1662*I1662</f>
        <v/>
      </c>
      <c r="K1662" s="416" t="n"/>
    </row>
    <row r="1663">
      <c r="C1663" s="609" t="inlineStr">
        <is>
          <t>P12</t>
        </is>
      </c>
      <c r="D1663" s="610" t="n">
        <v>1</v>
      </c>
      <c r="E1663" s="609" t="n">
        <v>2.1</v>
      </c>
      <c r="F1663" s="609" t="n">
        <v>1.6</v>
      </c>
      <c r="G1663" s="455">
        <f>+F1663*E1663*D1663</f>
        <v/>
      </c>
      <c r="H1663" s="611" t="n"/>
      <c r="I1663" s="612" t="n"/>
      <c r="J1663" s="612" t="n"/>
      <c r="K1663" s="416" t="n"/>
    </row>
    <row r="1664">
      <c r="C1664" s="609" t="inlineStr">
        <is>
          <t>P12</t>
        </is>
      </c>
      <c r="D1664" s="610" t="n">
        <v>1</v>
      </c>
      <c r="E1664" s="609" t="n">
        <v>2.1</v>
      </c>
      <c r="F1664" s="609" t="n">
        <v>1.5</v>
      </c>
      <c r="G1664" s="455">
        <f>+F1664*E1664*D1664</f>
        <v/>
      </c>
      <c r="H1664" s="611" t="n"/>
      <c r="I1664" s="612" t="n"/>
      <c r="J1664" s="612" t="n"/>
      <c r="K1664" s="416" t="n"/>
    </row>
    <row r="1665">
      <c r="C1665" s="609" t="n"/>
      <c r="D1665" s="610" t="n"/>
      <c r="E1665" s="609" t="n"/>
      <c r="F1665" s="609" t="n"/>
      <c r="G1665" s="455">
        <f>+F1665*E1665*D1665</f>
        <v/>
      </c>
      <c r="H1665" s="611" t="n"/>
      <c r="I1665" s="612" t="n"/>
      <c r="J1665" s="612" t="n"/>
      <c r="K1665" s="416" t="n"/>
    </row>
    <row r="1666">
      <c r="E1666" s="481" t="n"/>
      <c r="G1666" s="615">
        <f>SUM(G1649:G1665)</f>
        <v/>
      </c>
      <c r="I1666" s="616" t="n"/>
      <c r="J1666" s="617">
        <f>SUM(J1649:J1665)</f>
        <v/>
      </c>
      <c r="K1666" s="416" t="n"/>
    </row>
    <row r="1667">
      <c r="K1667" s="416" t="n"/>
    </row>
    <row r="1668">
      <c r="F1668" s="618" t="n"/>
      <c r="G1668" s="541">
        <f>2.15*1.76+0.5*0.3+1.85*1.4+0.53+0.53+1.44*1.77+0.48*1.41+1.85*1.4+0.48*1.41+0.48*1.41</f>
        <v/>
      </c>
      <c r="H1668" s="619">
        <f>178480+26660+65960+38630+92820+68750+92820+68750+65960</f>
        <v/>
      </c>
      <c r="I1668" s="619">
        <f>+H1668*1.13</f>
        <v/>
      </c>
      <c r="J1668" s="620">
        <f>+I1668/G1668</f>
        <v/>
      </c>
      <c r="K1668" s="416" t="n"/>
    </row>
    <row r="1669">
      <c r="F1669" s="621" t="n"/>
      <c r="G1669" s="622">
        <f>3*2.15*1.98</f>
        <v/>
      </c>
      <c r="H1669" s="623">
        <f>3*177210</f>
        <v/>
      </c>
      <c r="I1669" s="623">
        <f>+H1669*1.13</f>
        <v/>
      </c>
      <c r="J1669" s="624">
        <f>+I1669/G1669</f>
        <v/>
      </c>
      <c r="K1669" s="416" t="n"/>
    </row>
    <row r="1670">
      <c r="F1670" s="541" t="n"/>
      <c r="G1670" s="541">
        <f>SUM(G1668:G1669)</f>
        <v/>
      </c>
      <c r="H1670" s="619">
        <f>SUM(H1668:H1669)</f>
        <v/>
      </c>
      <c r="I1670" s="619">
        <f>SUM(I1668:I1669)</f>
        <v/>
      </c>
      <c r="J1670" s="620" t="n"/>
      <c r="K1670" s="416" t="n"/>
    </row>
    <row r="1671">
      <c r="K1671" s="416" t="n"/>
    </row>
    <row r="1672">
      <c r="E1672" s="481" t="n"/>
      <c r="J1672" s="481" t="n"/>
    </row>
    <row r="1673">
      <c r="C1673" s="470" t="inlineStr">
        <is>
          <t>SUBCONTRATO</t>
        </is>
      </c>
      <c r="D1673" s="625">
        <f>SUMIF('Subc. Vent.'!B:B,'1_OG y 2_ACA'!E1673,'Subc. Vent.'!F:F)/COUNTIF('Subc. Vent.'!B:B,'1_OG y 2_ACA'!E1673)</f>
        <v/>
      </c>
      <c r="E1673" s="435" t="inlineStr">
        <is>
          <t>Zante Azotea</t>
        </is>
      </c>
    </row>
    <row r="1674">
      <c r="B1674" s="469" t="n"/>
      <c r="E1674" s="481" t="n"/>
    </row>
    <row r="1675">
      <c r="B1675" s="469" t="n"/>
      <c r="E1675" s="481" t="n"/>
    </row>
    <row r="1676">
      <c r="F1676" s="586" t="n"/>
      <c r="G1676" s="586" t="n"/>
      <c r="H1676" s="626" t="n"/>
      <c r="I1676" s="626" t="n"/>
      <c r="J1676" s="627" t="n"/>
    </row>
    <row r="1677">
      <c r="C1677" s="466" t="n">
        <v>2.6</v>
      </c>
      <c r="D1677" s="574" t="inlineStr">
        <is>
          <t xml:space="preserve">MUEBLES Y PUERTAS </t>
        </is>
      </c>
      <c r="F1677" s="586" t="n"/>
      <c r="G1677" s="586" t="n"/>
      <c r="H1677" s="626" t="n"/>
      <c r="I1677" s="626" t="n"/>
      <c r="J1677" s="627" t="n"/>
    </row>
    <row r="1678">
      <c r="F1678" s="586" t="n"/>
      <c r="G1678" s="586" t="n"/>
      <c r="H1678" s="626" t="n"/>
      <c r="I1678" s="626" t="n"/>
      <c r="J1678" s="627" t="n"/>
    </row>
    <row r="1679">
      <c r="C1679" s="468" t="inlineStr">
        <is>
          <t>2.6.1</t>
        </is>
      </c>
      <c r="D1679" s="468" t="inlineStr">
        <is>
          <t xml:space="preserve">MUEBLES </t>
        </is>
      </c>
      <c r="F1679" s="586" t="n"/>
      <c r="G1679" s="586" t="n"/>
      <c r="H1679" s="626" t="n"/>
      <c r="I1679" s="626" t="n"/>
      <c r="J1679" s="627" t="n"/>
    </row>
    <row r="1680">
      <c r="F1680" s="586" t="n"/>
      <c r="G1680" s="587" t="n"/>
    </row>
    <row r="1681">
      <c r="C1681" s="2" t="inlineStr">
        <is>
          <t>Modulo</t>
        </is>
      </c>
      <c r="D1681" s="2" t="n"/>
      <c r="F1681" s="586" t="n"/>
      <c r="G1681" s="587" t="n"/>
      <c r="H1681" s="587" t="n"/>
      <c r="I1681" s="587" t="n"/>
      <c r="J1681" s="587" t="n"/>
    </row>
    <row r="1682">
      <c r="C1682" s="11" t="inlineStr">
        <is>
          <t>Base fregadero</t>
        </is>
      </c>
      <c r="D1682" s="412" t="n">
        <v>1</v>
      </c>
      <c r="F1682" s="586" t="n"/>
      <c r="G1682" s="587" t="n"/>
      <c r="H1682" s="587" t="n"/>
      <c r="I1682" s="587" t="n"/>
      <c r="J1682" s="587" t="n"/>
    </row>
    <row r="1683">
      <c r="C1683" s="11" t="inlineStr">
        <is>
          <t>Aereo fregadero</t>
        </is>
      </c>
      <c r="D1683" s="412" t="n">
        <v>0</v>
      </c>
      <c r="F1683" s="586" t="n"/>
      <c r="G1683" s="587" t="n"/>
      <c r="H1683" s="587" t="n"/>
      <c r="I1683" s="587" t="n"/>
      <c r="J1683" s="587" t="n"/>
    </row>
    <row r="1684">
      <c r="C1684" s="11" t="inlineStr">
        <is>
          <t>Aereo cocina</t>
        </is>
      </c>
      <c r="D1684" s="412" t="n">
        <v>1</v>
      </c>
      <c r="F1684" s="586" t="n"/>
      <c r="G1684" s="587" t="n"/>
      <c r="H1684" s="587" t="n"/>
      <c r="I1684" s="587" t="n"/>
      <c r="J1684" s="587" t="n"/>
    </row>
    <row r="1685">
      <c r="C1685" s="11" t="inlineStr">
        <is>
          <t>Base gavetas</t>
        </is>
      </c>
      <c r="D1685" s="412" t="n">
        <v>2</v>
      </c>
      <c r="F1685" s="586" t="n"/>
      <c r="G1685" s="587" t="n"/>
      <c r="H1685" s="587" t="n"/>
      <c r="I1685" s="587" t="n"/>
      <c r="J1685" s="587" t="n"/>
    </row>
    <row r="1686">
      <c r="C1686" s="11" t="inlineStr">
        <is>
          <t>Aereo gavetas</t>
        </is>
      </c>
      <c r="D1686" s="412" t="n">
        <v>0</v>
      </c>
      <c r="F1686" s="586" t="n"/>
      <c r="G1686" s="587" t="n"/>
      <c r="H1686" s="587" t="n"/>
      <c r="I1686" s="587" t="n"/>
      <c r="J1686" s="587" t="n"/>
    </row>
    <row r="1687">
      <c r="C1687" s="11" t="inlineStr">
        <is>
          <t>Base micro</t>
        </is>
      </c>
      <c r="D1687" s="412" t="n">
        <v>1</v>
      </c>
      <c r="F1687" s="586" t="n"/>
      <c r="G1687" s="587" t="n"/>
      <c r="H1687" s="587" t="n"/>
      <c r="I1687" s="587" t="n"/>
      <c r="J1687" s="587" t="n"/>
    </row>
    <row r="1688">
      <c r="C1688" s="11" t="inlineStr">
        <is>
          <t>Aereo Micro</t>
        </is>
      </c>
      <c r="D1688" s="412" t="n">
        <v>1</v>
      </c>
      <c r="F1688" s="586" t="n"/>
      <c r="G1688" s="587" t="n"/>
      <c r="H1688" s="587" t="n"/>
      <c r="I1688" s="587" t="n"/>
      <c r="J1688" s="587" t="n"/>
    </row>
    <row r="1689">
      <c r="C1689" s="11" t="inlineStr">
        <is>
          <t>Base puertas</t>
        </is>
      </c>
      <c r="D1689" s="412" t="n">
        <v>0</v>
      </c>
      <c r="F1689" s="586" t="n"/>
      <c r="G1689" s="587" t="n"/>
      <c r="H1689" s="587" t="n"/>
      <c r="I1689" s="587" t="n"/>
      <c r="J1689" s="587" t="n"/>
    </row>
    <row r="1690">
      <c r="C1690" s="11" t="inlineStr">
        <is>
          <t>Aereo puertas</t>
        </is>
      </c>
      <c r="D1690" s="412" t="n">
        <v>2</v>
      </c>
      <c r="F1690" s="586" t="n"/>
      <c r="G1690" s="587" t="n"/>
      <c r="H1690" s="587" t="n"/>
      <c r="I1690" s="587" t="n"/>
      <c r="J1690" s="587" t="n"/>
    </row>
    <row r="1691">
      <c r="C1691" s="11" t="inlineStr">
        <is>
          <t>Fregadero 1,10m / bar</t>
        </is>
      </c>
      <c r="D1691" s="412" t="n">
        <v>0</v>
      </c>
      <c r="F1691" s="586" t="n"/>
      <c r="G1691" s="587" t="n"/>
      <c r="H1691" s="587" t="n"/>
      <c r="I1691" s="587" t="n"/>
      <c r="J1691" s="587" t="n"/>
    </row>
    <row r="1692">
      <c r="C1692" s="11" t="inlineStr">
        <is>
          <t>Fregadero 1,10m / a nivel</t>
        </is>
      </c>
      <c r="D1692" s="412" t="n">
        <v>0</v>
      </c>
      <c r="F1692" s="586" t="n"/>
      <c r="G1692" s="587" t="n"/>
      <c r="H1692" s="587" t="n"/>
      <c r="I1692" s="587" t="n"/>
      <c r="J1692" s="587" t="n"/>
    </row>
    <row r="1693">
      <c r="C1693" s="11" t="inlineStr">
        <is>
          <t>Base desayunador</t>
        </is>
      </c>
      <c r="D1693" s="412" t="n">
        <v>0</v>
      </c>
      <c r="F1693" s="586" t="n"/>
      <c r="G1693" s="587" t="n"/>
      <c r="H1693" s="587" t="n"/>
      <c r="I1693" s="587" t="n"/>
      <c r="J1693" s="587" t="n"/>
    </row>
    <row r="1694">
      <c r="C1694" s="11" t="inlineStr">
        <is>
          <t>Alacena</t>
        </is>
      </c>
      <c r="D1694" s="412" t="n">
        <v>1</v>
      </c>
      <c r="F1694" s="586" t="n"/>
      <c r="G1694" s="587" t="n"/>
      <c r="H1694" s="587" t="n"/>
      <c r="I1694" s="587" t="n"/>
      <c r="J1694" s="587" t="n"/>
    </row>
    <row r="1695">
      <c r="C1695" s="11" t="inlineStr">
        <is>
          <t>Closet 2 gavetas / puertas</t>
        </is>
      </c>
      <c r="D1695" s="412" t="n">
        <v>3</v>
      </c>
      <c r="F1695" s="586" t="n"/>
      <c r="G1695" s="587" t="n"/>
      <c r="H1695" s="587" t="n"/>
      <c r="I1695" s="587" t="n"/>
      <c r="J1695" s="587" t="n"/>
    </row>
    <row r="1696">
      <c r="C1696" s="11" t="inlineStr">
        <is>
          <t>Closet 4 gavetas / puertas</t>
        </is>
      </c>
      <c r="D1696" s="412" t="n">
        <v>0</v>
      </c>
      <c r="F1696" s="586" t="n"/>
      <c r="G1696" s="587" t="n"/>
      <c r="H1696" s="587" t="n"/>
      <c r="I1696" s="587" t="n"/>
      <c r="J1696" s="587" t="n"/>
    </row>
    <row r="1697">
      <c r="C1697" s="11" t="inlineStr">
        <is>
          <t>Baño</t>
        </is>
      </c>
      <c r="D1697" s="412" t="n">
        <v>2</v>
      </c>
      <c r="F1697" s="586" t="n"/>
      <c r="G1697" s="587" t="n"/>
      <c r="H1697" s="587" t="n"/>
      <c r="I1697" s="587" t="n"/>
      <c r="J1697" s="587" t="n"/>
    </row>
    <row r="1698">
      <c r="C1698" s="11" t="inlineStr">
        <is>
          <t>WC estante + puerta</t>
        </is>
      </c>
      <c r="D1698" s="412" t="n">
        <v>0</v>
      </c>
      <c r="F1698" s="586" t="n"/>
      <c r="G1698" s="587" t="n"/>
      <c r="H1698" s="587" t="n"/>
      <c r="I1698" s="587" t="n"/>
      <c r="J1698" s="587" t="n"/>
    </row>
    <row r="1699">
      <c r="C1699" s="11" t="inlineStr">
        <is>
          <t>WC 2 modulos + puerta</t>
        </is>
      </c>
      <c r="D1699" s="412" t="n">
        <v>1</v>
      </c>
      <c r="F1699" s="586" t="n"/>
      <c r="G1699" s="587" t="n"/>
      <c r="H1699" s="587" t="n"/>
      <c r="I1699" s="587" t="n"/>
      <c r="J1699" s="587" t="n"/>
    </row>
    <row r="1700">
      <c r="G1700" s="552" t="n"/>
      <c r="H1700" s="552" t="n"/>
      <c r="I1700" s="605" t="n"/>
      <c r="J1700" s="555" t="n"/>
    </row>
    <row r="1701">
      <c r="B1701" s="469" t="n"/>
      <c r="C1701" s="486" t="inlineStr">
        <is>
          <t xml:space="preserve">GRANITO </t>
        </is>
      </c>
      <c r="D1701" s="487">
        <f>BaseDatosMuebles!G33</f>
        <v/>
      </c>
      <c r="E1701" s="488" t="inlineStr">
        <is>
          <t>m</t>
        </is>
      </c>
      <c r="G1701" s="552" t="n"/>
      <c r="H1701" s="552" t="n"/>
      <c r="I1701" s="605" t="n"/>
      <c r="J1701" s="555" t="n"/>
    </row>
    <row r="1702">
      <c r="B1702" s="469" t="n"/>
      <c r="E1702" s="481" t="n"/>
      <c r="F1702" s="416" t="n"/>
      <c r="G1702" s="552" t="n"/>
      <c r="H1702" s="552" t="n"/>
      <c r="I1702" s="605" t="n"/>
      <c r="J1702" s="555" t="n"/>
    </row>
    <row r="1703">
      <c r="B1703" s="469" t="n"/>
      <c r="C1703" s="488" t="inlineStr">
        <is>
          <t>Elemento</t>
        </is>
      </c>
      <c r="D1703" s="488" t="inlineStr">
        <is>
          <t>Cantidad</t>
        </is>
      </c>
      <c r="E1703" s="488" t="inlineStr">
        <is>
          <t>Unidad</t>
        </is>
      </c>
      <c r="F1703" s="416" t="n"/>
      <c r="G1703" s="552" t="n"/>
      <c r="H1703" s="552" t="n"/>
      <c r="I1703" s="605" t="n"/>
      <c r="J1703" s="555" t="n"/>
    </row>
    <row r="1704">
      <c r="B1704" s="476" t="inlineStr">
        <is>
          <t>M03-0022</t>
        </is>
      </c>
      <c r="C1704" s="486" t="inlineStr">
        <is>
          <t>Bisagra recta slow motion clip on</t>
        </is>
      </c>
      <c r="D1704" s="628">
        <f>BaseDatosMuebles!G10</f>
        <v/>
      </c>
      <c r="E1704" s="488" t="inlineStr">
        <is>
          <t xml:space="preserve">uni </t>
        </is>
      </c>
    </row>
    <row r="1705">
      <c r="B1705" s="476" t="inlineStr">
        <is>
          <t>M03-0005</t>
        </is>
      </c>
      <c r="C1705" s="486" t="inlineStr">
        <is>
          <t xml:space="preserve">Pata niveladora plastica 12 cm </t>
        </is>
      </c>
      <c r="D1705" s="628">
        <f>BaseDatosMuebles!G11</f>
        <v/>
      </c>
      <c r="E1705" s="488" t="inlineStr">
        <is>
          <t xml:space="preserve">uni </t>
        </is>
      </c>
    </row>
    <row r="1706">
      <c r="B1706" s="476" t="inlineStr">
        <is>
          <t>M03-0036</t>
        </is>
      </c>
      <c r="C1706" s="486" t="inlineStr">
        <is>
          <t xml:space="preserve">Tiradera cilindrica cc:12.8cm </t>
        </is>
      </c>
      <c r="D1706" s="628">
        <f>BaseDatosMuebles!G12</f>
        <v/>
      </c>
      <c r="E1706" s="488" t="inlineStr">
        <is>
          <t xml:space="preserve">uni </t>
        </is>
      </c>
    </row>
    <row r="1707">
      <c r="B1707" s="476" t="inlineStr">
        <is>
          <t>M03-0014</t>
        </is>
      </c>
      <c r="C1707" s="486" t="inlineStr">
        <is>
          <t xml:space="preserve">Soporte lateral niquel 3h+3tr </t>
        </is>
      </c>
      <c r="D1707" s="628">
        <f>BaseDatosMuebles!G13</f>
        <v/>
      </c>
      <c r="E1707" s="488" t="inlineStr">
        <is>
          <t xml:space="preserve">uni </t>
        </is>
      </c>
    </row>
    <row r="1708">
      <c r="B1708" s="476" t="inlineStr">
        <is>
          <t>M03-0019</t>
        </is>
      </c>
      <c r="C1708" s="486" t="inlineStr">
        <is>
          <t xml:space="preserve">Tubo oval p/closet 3 mt </t>
        </is>
      </c>
      <c r="D1708" s="628">
        <f>BaseDatosMuebles!G14</f>
        <v/>
      </c>
      <c r="E1708" s="488" t="inlineStr">
        <is>
          <t xml:space="preserve">uni </t>
        </is>
      </c>
    </row>
    <row r="1709">
      <c r="B1709" s="476" t="inlineStr">
        <is>
          <t>M03-0031</t>
        </is>
      </c>
      <c r="C1709" s="486" t="inlineStr">
        <is>
          <t xml:space="preserve">Riel telesc slow motion la 350m rs-c45ga-350 (14") </t>
        </is>
      </c>
      <c r="D1709" s="628">
        <f>BaseDatosMuebles!G15</f>
        <v/>
      </c>
      <c r="E1709" s="488" t="inlineStr">
        <is>
          <t xml:space="preserve">uni </t>
        </is>
      </c>
    </row>
    <row r="1710">
      <c r="B1710" s="476" t="inlineStr">
        <is>
          <t>M03-0033</t>
        </is>
      </c>
      <c r="C1710" s="486" t="inlineStr">
        <is>
          <t xml:space="preserve">Riel telescopico slow motion la 450m rs-a45dt (18") </t>
        </is>
      </c>
      <c r="D1710" s="628">
        <f>BaseDatosMuebles!G16</f>
        <v/>
      </c>
      <c r="E1710" s="488" t="inlineStr">
        <is>
          <t xml:space="preserve">uni </t>
        </is>
      </c>
    </row>
    <row r="1711">
      <c r="B1711" s="476" t="inlineStr">
        <is>
          <t>M03-0010</t>
        </is>
      </c>
      <c r="C1711" s="486" t="inlineStr">
        <is>
          <t xml:space="preserve">Rodapie alumi inox 150-300-rod2 al </t>
        </is>
      </c>
      <c r="D1711" s="628">
        <f>BaseDatosMuebles!G17</f>
        <v/>
      </c>
      <c r="E1711" s="488" t="inlineStr">
        <is>
          <t>m</t>
        </is>
      </c>
    </row>
    <row r="1712">
      <c r="B1712" s="476" t="inlineStr">
        <is>
          <t>M14-0018</t>
        </is>
      </c>
      <c r="C1712" s="486" t="inlineStr">
        <is>
          <t xml:space="preserve">Set corredizo doble ducasse p/closet </t>
        </is>
      </c>
      <c r="D1712" s="628">
        <f>BaseDatosMuebles!G18</f>
        <v/>
      </c>
      <c r="E1712" s="488" t="inlineStr">
        <is>
          <t>uni</t>
        </is>
      </c>
    </row>
    <row r="1713">
      <c r="B1713" s="476" t="inlineStr">
        <is>
          <t>M14-0015</t>
        </is>
      </c>
      <c r="C1713" s="486" t="inlineStr">
        <is>
          <t xml:space="preserve">Dedales para puerta corrediza </t>
        </is>
      </c>
      <c r="D1713" s="628">
        <f>BaseDatosMuebles!G19</f>
        <v/>
      </c>
      <c r="E1713" s="488" t="inlineStr">
        <is>
          <t>uni</t>
        </is>
      </c>
    </row>
    <row r="1714">
      <c r="B1714" s="476" t="inlineStr">
        <is>
          <t>M09-0027</t>
        </is>
      </c>
      <c r="C1714" s="486" t="inlineStr">
        <is>
          <t xml:space="preserve">Melamina 18x1830x2500 </t>
        </is>
      </c>
      <c r="D1714" s="628">
        <f>BaseDatosMuebles!G20</f>
        <v/>
      </c>
      <c r="E1714" s="488" t="inlineStr">
        <is>
          <t>m2</t>
        </is>
      </c>
      <c r="F1714" s="629">
        <f>ROUNDUP(D1714/4.575,0)</f>
        <v/>
      </c>
      <c r="G1714" s="629" t="n"/>
    </row>
    <row r="1715">
      <c r="B1715" s="476" t="inlineStr">
        <is>
          <t>M03-0017</t>
        </is>
      </c>
      <c r="C1715" s="486" t="inlineStr">
        <is>
          <t xml:space="preserve">Tapeta 22x0.45mm </t>
        </is>
      </c>
      <c r="D1715" s="628">
        <f>BaseDatosMuebles!G21</f>
        <v/>
      </c>
      <c r="E1715" s="488" t="inlineStr">
        <is>
          <t>m</t>
        </is>
      </c>
    </row>
    <row r="1716">
      <c r="B1716" s="476" t="inlineStr">
        <is>
          <t>M03-0030</t>
        </is>
      </c>
      <c r="C1716" s="486" t="inlineStr">
        <is>
          <t xml:space="preserve"> Riel superi acl-rsu09 3mtrs</t>
        </is>
      </c>
      <c r="D1716" s="628">
        <f>BaseDatosMuebles!G22</f>
        <v/>
      </c>
      <c r="E1716" s="488" t="inlineStr">
        <is>
          <t>uni</t>
        </is>
      </c>
    </row>
    <row r="1717">
      <c r="B1717" s="476" t="n"/>
      <c r="C1717" s="486" t="n"/>
      <c r="D1717" s="486" t="n"/>
      <c r="E1717" s="488" t="n"/>
    </row>
    <row r="1718">
      <c r="B1718" s="476" t="inlineStr">
        <is>
          <t>M03-0016</t>
        </is>
      </c>
      <c r="C1718" s="486" t="inlineStr">
        <is>
          <t xml:space="preserve">Tapa tornillo (100) </t>
        </is>
      </c>
      <c r="D1718" s="488" t="n">
        <v>12</v>
      </c>
      <c r="E1718" s="488" t="inlineStr">
        <is>
          <t>uni</t>
        </is>
      </c>
    </row>
    <row r="1719">
      <c r="B1719" s="476" t="inlineStr">
        <is>
          <t>M06-0091</t>
        </is>
      </c>
      <c r="C1719" s="486" t="inlineStr">
        <is>
          <t xml:space="preserve">Tornillo p/madera 2x0.6mm negro rosca ordinaria </t>
        </is>
      </c>
      <c r="D1719" s="488" t="n">
        <v>1500</v>
      </c>
      <c r="E1719" s="488" t="inlineStr">
        <is>
          <t>uni</t>
        </is>
      </c>
    </row>
    <row r="1720">
      <c r="B1720" s="476" t="inlineStr">
        <is>
          <t>M06-0093</t>
        </is>
      </c>
      <c r="C1720" s="486" t="inlineStr">
        <is>
          <t xml:space="preserve">Tornillo p/madera 3/4x0.6mm negro rosca ordinaria </t>
        </is>
      </c>
      <c r="D1720" s="488" t="n">
        <v>300</v>
      </c>
      <c r="E1720" s="488" t="inlineStr">
        <is>
          <t>uni</t>
        </is>
      </c>
    </row>
    <row r="1721">
      <c r="B1721" s="476" t="inlineStr">
        <is>
          <t>M06-0090</t>
        </is>
      </c>
      <c r="C1721" s="486" t="inlineStr">
        <is>
          <t xml:space="preserve">Tornillo p/madera 2 1/2x0.8mm amarillo rosca ordinaria </t>
        </is>
      </c>
      <c r="D1721" s="488" t="n">
        <v>300</v>
      </c>
      <c r="E1721" s="488" t="inlineStr">
        <is>
          <t>uni</t>
        </is>
      </c>
    </row>
    <row r="1722">
      <c r="B1722" s="476" t="inlineStr">
        <is>
          <t>M06-0089</t>
        </is>
      </c>
      <c r="C1722" s="486" t="inlineStr">
        <is>
          <t xml:space="preserve">Tornillo p/madera 1 1/4x0.6mm negro rosca ordinaria </t>
        </is>
      </c>
      <c r="D1722" s="488" t="n">
        <v>100</v>
      </c>
      <c r="E1722" s="488" t="inlineStr">
        <is>
          <t>uni</t>
        </is>
      </c>
    </row>
    <row r="1723">
      <c r="B1723" s="476" t="inlineStr">
        <is>
          <t>M06-0192</t>
        </is>
      </c>
      <c r="C1723" s="486" t="inlineStr">
        <is>
          <t xml:space="preserve">Espander plastico #8 </t>
        </is>
      </c>
      <c r="D1723" s="488" t="n">
        <v>50</v>
      </c>
      <c r="E1723" s="488" t="inlineStr">
        <is>
          <t>uni</t>
        </is>
      </c>
    </row>
    <row r="1724">
      <c r="B1724" s="476" t="inlineStr">
        <is>
          <t>M06-0091</t>
        </is>
      </c>
      <c r="C1724" s="486" t="inlineStr">
        <is>
          <t xml:space="preserve">Tornillo p/madera 2x0.6mm negro rosca ordinaria </t>
        </is>
      </c>
      <c r="D1724" s="488" t="n">
        <v>75</v>
      </c>
      <c r="E1724" s="488" t="inlineStr">
        <is>
          <t>uni</t>
        </is>
      </c>
    </row>
    <row r="1725">
      <c r="B1725" s="476" t="inlineStr">
        <is>
          <t>M06-0036</t>
        </is>
      </c>
      <c r="C1725" s="486" t="inlineStr">
        <is>
          <t xml:space="preserve">Clavo negro 1" (100) </t>
        </is>
      </c>
      <c r="D1725" s="488" t="n">
        <v>1</v>
      </c>
      <c r="E1725" s="488" t="inlineStr">
        <is>
          <t>caja</t>
        </is>
      </c>
    </row>
    <row r="1726">
      <c r="B1726" s="476" t="inlineStr">
        <is>
          <t>M06-0193</t>
        </is>
      </c>
      <c r="C1726" s="486" t="inlineStr">
        <is>
          <t xml:space="preserve"> Espuma expansiva 750ml </t>
        </is>
      </c>
      <c r="D1726" s="488" t="n">
        <v>4</v>
      </c>
      <c r="E1726" s="488" t="inlineStr">
        <is>
          <t>uni</t>
        </is>
      </c>
    </row>
    <row r="1727">
      <c r="B1727" s="476" t="inlineStr">
        <is>
          <t>M04-0047</t>
        </is>
      </c>
      <c r="C1727" s="486" t="inlineStr">
        <is>
          <t xml:space="preserve">Esquinero plastico 1 1/4x10 </t>
        </is>
      </c>
      <c r="D1727" s="488" t="n">
        <v>15</v>
      </c>
      <c r="E1727" s="488" t="inlineStr">
        <is>
          <t>uni</t>
        </is>
      </c>
    </row>
    <row r="1728">
      <c r="B1728" s="476" t="inlineStr">
        <is>
          <t>M03-0015</t>
        </is>
      </c>
      <c r="C1728" s="486" t="inlineStr">
        <is>
          <t xml:space="preserve">Soporte p/estante trans 5mm sp-1-pl-hu </t>
        </is>
      </c>
      <c r="D1728" s="488" t="n">
        <v>16</v>
      </c>
      <c r="E1728" s="488" t="inlineStr">
        <is>
          <t>uni</t>
        </is>
      </c>
    </row>
    <row r="1729">
      <c r="B1729" s="476" t="inlineStr">
        <is>
          <t>M06-0226</t>
        </is>
      </c>
      <c r="C1729" s="486" t="inlineStr">
        <is>
          <t xml:space="preserve">Masking blanco 2" </t>
        </is>
      </c>
      <c r="D1729" s="488" t="n">
        <v>1</v>
      </c>
      <c r="E1729" s="488" t="inlineStr">
        <is>
          <t>uni</t>
        </is>
      </c>
    </row>
    <row r="1730">
      <c r="B1730" s="476" t="inlineStr">
        <is>
          <t>M06-0231</t>
        </is>
      </c>
      <c r="C1730" s="486" t="inlineStr">
        <is>
          <t xml:space="preserve">Mecha blanca </t>
        </is>
      </c>
      <c r="D1730" s="488" t="n">
        <v>1</v>
      </c>
      <c r="E1730" s="488" t="inlineStr">
        <is>
          <t>kg</t>
        </is>
      </c>
    </row>
    <row r="1731">
      <c r="B1731" s="476" t="inlineStr">
        <is>
          <t>M06-0016</t>
        </is>
      </c>
      <c r="C1731" s="486" t="inlineStr">
        <is>
          <t xml:space="preserve">Pegamento p/muebles 20kg </t>
        </is>
      </c>
      <c r="D1731" s="488" t="n">
        <v>1</v>
      </c>
      <c r="E1731" s="488" t="inlineStr">
        <is>
          <t>kg</t>
        </is>
      </c>
    </row>
    <row r="1732">
      <c r="B1732" s="476" t="inlineStr">
        <is>
          <t>M06-0244</t>
        </is>
      </c>
      <c r="C1732" s="486" t="inlineStr">
        <is>
          <t xml:space="preserve"> Plastico para paletizar 80-120 cm </t>
        </is>
      </c>
      <c r="D1732" s="488" t="n">
        <v>2</v>
      </c>
      <c r="E1732" s="488" t="inlineStr">
        <is>
          <t>ini</t>
        </is>
      </c>
    </row>
    <row r="1733">
      <c r="B1733" s="476" t="inlineStr">
        <is>
          <t>M11-0019</t>
        </is>
      </c>
      <c r="C1733" s="486" t="inlineStr">
        <is>
          <t>Thinner industrial</t>
        </is>
      </c>
      <c r="D1733" s="488" t="n">
        <v>2</v>
      </c>
      <c r="E1733" s="488" t="inlineStr">
        <is>
          <t>galon</t>
        </is>
      </c>
    </row>
    <row r="1734">
      <c r="B1734" s="478" t="n"/>
    </row>
    <row r="1735">
      <c r="B1735" s="469" t="n"/>
      <c r="C1735" s="486" t="n"/>
      <c r="D1735" s="488" t="inlineStr">
        <is>
          <t>Costo</t>
        </is>
      </c>
      <c r="E1735" s="488" t="inlineStr">
        <is>
          <t xml:space="preserve">Costo Total </t>
        </is>
      </c>
      <c r="F1735" s="488" t="inlineStr">
        <is>
          <t>Horas</t>
        </is>
      </c>
      <c r="H1735" s="481" t="n"/>
    </row>
    <row r="1736">
      <c r="B1736" s="469" t="n"/>
      <c r="C1736" s="575" t="inlineStr">
        <is>
          <t>Fabricacion de muebles</t>
        </is>
      </c>
      <c r="D1736" s="489">
        <f>+D278</f>
        <v/>
      </c>
      <c r="E1736" s="489">
        <f>+D1736*D1733</f>
        <v/>
      </c>
      <c r="F1736" s="490" t="n">
        <v>100</v>
      </c>
      <c r="H1736" s="481" t="n"/>
      <c r="J1736" s="481" t="n"/>
    </row>
    <row r="1737">
      <c r="B1737" s="469" t="n"/>
      <c r="C1737" s="486" t="n"/>
      <c r="D1737" s="488" t="inlineStr">
        <is>
          <t xml:space="preserve">Total </t>
        </is>
      </c>
      <c r="E1737" s="489">
        <f>SUM(E1736:E1736)</f>
        <v/>
      </c>
      <c r="F1737" s="490">
        <f>+E1737/5175</f>
        <v/>
      </c>
      <c r="G1737" s="481" t="n"/>
      <c r="H1737" s="481" t="n"/>
      <c r="I1737" s="498" t="n"/>
      <c r="J1737" s="499" t="n"/>
    </row>
    <row r="1738">
      <c r="B1738" s="469" t="n"/>
      <c r="C1738" s="469" t="n"/>
      <c r="D1738" s="469" t="n"/>
      <c r="E1738" s="573" t="n"/>
      <c r="F1738" s="469" t="n"/>
      <c r="G1738" s="481" t="n"/>
      <c r="H1738" s="481" t="n"/>
      <c r="I1738" s="498" t="n"/>
      <c r="J1738" s="499" t="n"/>
    </row>
    <row r="1740">
      <c r="C1740" s="468" t="inlineStr">
        <is>
          <t>2.6.2</t>
        </is>
      </c>
      <c r="D1740" s="468" t="inlineStr">
        <is>
          <t xml:space="preserve">PUERTAS Y RODAPIE </t>
        </is>
      </c>
    </row>
    <row r="1742">
      <c r="C1742" s="491" t="inlineStr">
        <is>
          <t>PUERTAS</t>
        </is>
      </c>
    </row>
    <row r="1743">
      <c r="B1743" s="469" t="n"/>
      <c r="E1743" s="481" t="n"/>
    </row>
    <row r="1744">
      <c r="B1744" s="469" t="n"/>
      <c r="C1744" s="630" t="inlineStr">
        <is>
          <t>Tipo de puerta madera o melamina</t>
        </is>
      </c>
      <c r="D1744" s="630" t="inlineStr">
        <is>
          <t>Total (unds)</t>
        </is>
      </c>
      <c r="E1744" s="481" t="n"/>
      <c r="F1744" s="543" t="n"/>
      <c r="I1744" s="416" t="n"/>
    </row>
    <row r="1745">
      <c r="B1745" s="469" t="n"/>
      <c r="C1745" s="413" t="inlineStr">
        <is>
          <t>Puerta 0,80 m x 2,1 m</t>
        </is>
      </c>
      <c r="D1745" s="418">
        <f>COUNTIF(E39:E59,0.8)</f>
        <v/>
      </c>
      <c r="E1745" s="531" t="n"/>
      <c r="F1745" s="416" t="n"/>
      <c r="I1745" s="416" t="n"/>
    </row>
    <row r="1746">
      <c r="B1746" s="469" t="n"/>
      <c r="C1746" s="413" t="inlineStr">
        <is>
          <t>Puerta 0,90 m x 2,1 m</t>
        </is>
      </c>
      <c r="D1746" s="418">
        <f>COUNTIF(E39:E59,0.9)</f>
        <v/>
      </c>
      <c r="E1746" s="531" t="n"/>
      <c r="F1746" s="416" t="n"/>
      <c r="I1746" s="416" t="n"/>
    </row>
    <row r="1747">
      <c r="B1747" s="469" t="n"/>
      <c r="C1747" s="413" t="inlineStr">
        <is>
          <t>Puerta 1 m x 1,15 m</t>
        </is>
      </c>
      <c r="D1747" s="418">
        <f>COUNTIF(E39:E59,1)</f>
        <v/>
      </c>
      <c r="E1747" s="531" t="n"/>
      <c r="F1747" s="416" t="n"/>
      <c r="I1747" s="416" t="n"/>
    </row>
    <row r="1748">
      <c r="B1748" s="469" t="n"/>
      <c r="C1748" s="413" t="inlineStr">
        <is>
          <t>Puerta 1,50 m x 2,1 m</t>
        </is>
      </c>
      <c r="D1748" s="418" t="n">
        <v>0</v>
      </c>
      <c r="E1748" s="531" t="n"/>
      <c r="F1748" s="416" t="n"/>
    </row>
    <row r="1749">
      <c r="B1749" s="469" t="n"/>
      <c r="D1749" s="413">
        <f>SUM(D1745:D1748)</f>
        <v/>
      </c>
      <c r="E1749" s="531" t="n"/>
      <c r="F1749" s="416" t="n"/>
    </row>
    <row r="1750">
      <c r="B1750" s="469" t="n"/>
      <c r="C1750" s="481" t="n"/>
      <c r="D1750" s="481" t="n"/>
      <c r="E1750" s="531" t="n"/>
      <c r="F1750" s="416" t="n"/>
      <c r="G1750" s="481" t="n"/>
      <c r="H1750" s="481" t="n"/>
    </row>
    <row r="1751">
      <c r="C1751" s="491" t="inlineStr">
        <is>
          <t xml:space="preserve">RODAPIE </t>
        </is>
      </c>
    </row>
    <row r="1753">
      <c r="B1753" s="469" t="n"/>
      <c r="C1753" s="413" t="inlineStr">
        <is>
          <t>Largo</t>
        </is>
      </c>
      <c r="D1753" s="412" t="n">
        <v>70.5</v>
      </c>
      <c r="E1753" s="413" t="inlineStr">
        <is>
          <t xml:space="preserve">m </t>
        </is>
      </c>
      <c r="F1753" s="421" t="n"/>
    </row>
    <row r="1754">
      <c r="B1754" s="469" t="n"/>
      <c r="C1754" s="413" t="inlineStr">
        <is>
          <t>Formato</t>
        </is>
      </c>
      <c r="D1754" s="413" t="n">
        <v>1</v>
      </c>
      <c r="E1754" s="413" t="inlineStr">
        <is>
          <t xml:space="preserve">m </t>
        </is>
      </c>
    </row>
    <row r="1755">
      <c r="B1755" s="469" t="n"/>
      <c r="C1755" s="413" t="inlineStr">
        <is>
          <t>Desperdicio</t>
        </is>
      </c>
      <c r="D1755" s="452" t="n">
        <v>0.07000000000000001</v>
      </c>
      <c r="E1755" s="413" t="n"/>
    </row>
    <row r="1756">
      <c r="B1756" s="476" t="inlineStr">
        <is>
          <t>M09-0077</t>
        </is>
      </c>
      <c r="C1756" s="488" t="inlineStr">
        <is>
          <t>Cantidad de piezas</t>
        </is>
      </c>
      <c r="D1756" s="488">
        <f>ROUNDUP(D1753*(1+D1755),0)</f>
        <v/>
      </c>
      <c r="E1756" s="488" t="inlineStr">
        <is>
          <t>u</t>
        </is>
      </c>
    </row>
    <row r="1757">
      <c r="B1757" s="476" t="inlineStr">
        <is>
          <t>M06-0036</t>
        </is>
      </c>
      <c r="C1757" s="488" t="inlineStr">
        <is>
          <t>Clav negro de 1¨</t>
        </is>
      </c>
      <c r="D1757" s="488">
        <f>+D1756*5/100</f>
        <v/>
      </c>
      <c r="E1757" s="488" t="inlineStr">
        <is>
          <t>caja</t>
        </is>
      </c>
    </row>
    <row r="1758">
      <c r="B1758" s="469" t="n"/>
      <c r="E1758" s="481" t="n"/>
    </row>
    <row r="1759">
      <c r="B1759" s="469" t="n"/>
      <c r="E1759" s="481" t="n"/>
    </row>
    <row r="1760">
      <c r="B1760" s="469" t="n"/>
      <c r="C1760" s="488" t="inlineStr">
        <is>
          <t>Elemento</t>
        </is>
      </c>
      <c r="D1760" s="488" t="inlineStr">
        <is>
          <t>Cantidad</t>
        </is>
      </c>
      <c r="E1760" s="488" t="inlineStr">
        <is>
          <t>Unidad</t>
        </is>
      </c>
    </row>
    <row r="1761">
      <c r="B1761" s="476" t="inlineStr">
        <is>
          <t>M14-0012</t>
        </is>
      </c>
      <c r="C1761" s="486" t="inlineStr">
        <is>
          <t xml:space="preserve">Cerradura interna manija yale  </t>
        </is>
      </c>
      <c r="D1761" s="487">
        <f>D1745+D1746+D1747+D1748</f>
        <v/>
      </c>
      <c r="E1761" s="488" t="inlineStr">
        <is>
          <t>uni</t>
        </is>
      </c>
    </row>
    <row r="1762">
      <c r="B1762" s="476" t="inlineStr">
        <is>
          <t>M14-0013</t>
        </is>
      </c>
      <c r="C1762" s="486" t="inlineStr">
        <is>
          <t xml:space="preserve">Cerradura principal yale </t>
        </is>
      </c>
      <c r="D1762" s="487">
        <f>D1748</f>
        <v/>
      </c>
      <c r="E1762" s="488" t="inlineStr">
        <is>
          <t>uni</t>
        </is>
      </c>
    </row>
    <row r="1763">
      <c r="B1763" s="476" t="inlineStr">
        <is>
          <t>M06-0193</t>
        </is>
      </c>
      <c r="C1763" s="486" t="inlineStr">
        <is>
          <t xml:space="preserve"> Espuma expansiva 750ml </t>
        </is>
      </c>
      <c r="D1763" s="488" t="n">
        <v>1</v>
      </c>
      <c r="E1763" s="488" t="inlineStr">
        <is>
          <t>uni</t>
        </is>
      </c>
    </row>
    <row r="1764">
      <c r="B1764" s="476" t="inlineStr">
        <is>
          <t>M06-0090</t>
        </is>
      </c>
      <c r="C1764" s="486" t="inlineStr">
        <is>
          <t xml:space="preserve">Tornillo p/madera 2 1/2x0.8mm amarillo rosca ordinaria </t>
        </is>
      </c>
      <c r="D1764" s="488">
        <f>D1749*12.5</f>
        <v/>
      </c>
      <c r="E1764" s="488" t="inlineStr">
        <is>
          <t>uni</t>
        </is>
      </c>
    </row>
    <row r="1765">
      <c r="B1765" s="476" t="inlineStr">
        <is>
          <t>M09-0077</t>
        </is>
      </c>
      <c r="C1765" s="486" t="inlineStr">
        <is>
          <t xml:space="preserve">Rodapie (generico) </t>
        </is>
      </c>
      <c r="D1765" s="488">
        <f>+D1756</f>
        <v/>
      </c>
      <c r="E1765" s="488" t="inlineStr">
        <is>
          <t>uni</t>
        </is>
      </c>
    </row>
    <row r="1766">
      <c r="B1766" s="476" t="inlineStr">
        <is>
          <t>M06-0036</t>
        </is>
      </c>
      <c r="C1766" s="486" t="inlineStr">
        <is>
          <t xml:space="preserve">Clavo negro 1" (100) </t>
        </is>
      </c>
      <c r="D1766" s="488">
        <f>+D1757</f>
        <v/>
      </c>
      <c r="E1766" s="488" t="inlineStr">
        <is>
          <t>caja</t>
        </is>
      </c>
    </row>
    <row r="1767">
      <c r="B1767" s="476" t="inlineStr">
        <is>
          <t>M14-0020</t>
        </is>
      </c>
      <c r="C1767" s="486" t="inlineStr">
        <is>
          <t xml:space="preserve">Puerta + marco + moldura buque 100cm (ad) </t>
        </is>
      </c>
      <c r="D1767" s="487">
        <f>+D1747+D1748</f>
        <v/>
      </c>
      <c r="E1767" s="488" t="inlineStr">
        <is>
          <t>uni</t>
        </is>
      </c>
    </row>
    <row r="1768">
      <c r="B1768" s="476" t="inlineStr">
        <is>
          <t>M14-0021</t>
        </is>
      </c>
      <c r="C1768" s="486" t="inlineStr">
        <is>
          <t xml:space="preserve">Puerta + marco + moldura buque 80cm (ad) </t>
        </is>
      </c>
      <c r="D1768" s="487">
        <f>+D1745+D1748</f>
        <v/>
      </c>
      <c r="E1768" s="488" t="inlineStr">
        <is>
          <t>uni</t>
        </is>
      </c>
    </row>
    <row r="1769">
      <c r="B1769" s="476" t="inlineStr">
        <is>
          <t>M14-0022</t>
        </is>
      </c>
      <c r="C1769" s="486" t="inlineStr">
        <is>
          <t xml:space="preserve">Puerta + marco + moldura buque 90cm (ad) </t>
        </is>
      </c>
      <c r="D1769" s="487">
        <f>+D1746</f>
        <v/>
      </c>
      <c r="E1769" s="488" t="inlineStr">
        <is>
          <t>uni</t>
        </is>
      </c>
    </row>
    <row r="1770">
      <c r="B1770" s="478" t="n"/>
    </row>
    <row r="1771">
      <c r="B1771" s="469" t="n"/>
      <c r="C1771" s="488" t="n"/>
      <c r="D1771" s="488" t="inlineStr">
        <is>
          <t>Costo</t>
        </is>
      </c>
      <c r="E1771" s="488" t="inlineStr">
        <is>
          <t>Total</t>
        </is>
      </c>
      <c r="F1771" s="488" t="inlineStr">
        <is>
          <t>Horas</t>
        </is>
      </c>
    </row>
    <row r="1772">
      <c r="B1772" s="469" t="n"/>
      <c r="C1772" s="489" t="inlineStr">
        <is>
          <t>Mano de obra Instalación de puertas</t>
        </is>
      </c>
      <c r="D1772" s="489">
        <f>+D191</f>
        <v/>
      </c>
      <c r="E1772" s="489">
        <f>+D1772*D1749</f>
        <v/>
      </c>
      <c r="F1772" s="490">
        <f>+E1772/'COSTOS MO CUADRILLA'!K52</f>
        <v/>
      </c>
    </row>
    <row r="1773">
      <c r="B1773" s="469" t="n"/>
      <c r="C1773" s="489" t="inlineStr">
        <is>
          <t>Mano de obra Instalación de rodapiés</t>
        </is>
      </c>
      <c r="D1773" s="489">
        <f>+D192</f>
        <v/>
      </c>
      <c r="E1773" s="489">
        <f>+D1773*D1756</f>
        <v/>
      </c>
      <c r="F1773" s="490">
        <f>+E1773/'COSTOS MO CUADRILLA'!K52</f>
        <v/>
      </c>
    </row>
    <row r="1774">
      <c r="B1774" s="469" t="n"/>
      <c r="C1774" s="486" t="n"/>
      <c r="D1774" s="488" t="inlineStr">
        <is>
          <t xml:space="preserve">Total </t>
        </is>
      </c>
      <c r="E1774" s="489">
        <f>SUM(E1772:E1773)</f>
        <v/>
      </c>
      <c r="F1774" s="490">
        <f>+E1774/'COSTOS MO CUADRILLA'!K52</f>
        <v/>
      </c>
    </row>
    <row r="1775">
      <c r="D1775" s="46" t="n"/>
      <c r="E1775" s="576" t="n"/>
      <c r="F1775" s="631" t="n"/>
    </row>
    <row r="1776">
      <c r="D1776" s="46" t="n"/>
      <c r="E1776" s="576" t="n"/>
      <c r="F1776" s="631" t="n"/>
    </row>
    <row r="1777">
      <c r="C1777" s="466" t="n">
        <v>2.7</v>
      </c>
      <c r="D1777" s="574" t="inlineStr">
        <is>
          <t>LOSA SANITARIA, GRIFERIA</t>
        </is>
      </c>
    </row>
    <row r="1779">
      <c r="C1779" s="468" t="inlineStr">
        <is>
          <t>2.7.1</t>
        </is>
      </c>
      <c r="D1779" s="468" t="inlineStr">
        <is>
          <t>LOSA SANITARIA, GRIFERIA</t>
        </is>
      </c>
    </row>
    <row r="1781">
      <c r="B1781" s="484" t="n"/>
      <c r="C1781" s="413" t="inlineStr">
        <is>
          <t>Elemento</t>
        </is>
      </c>
      <c r="D1781" s="413" t="inlineStr">
        <is>
          <t>Cantidad</t>
        </is>
      </c>
      <c r="E1781" s="413" t="inlineStr">
        <is>
          <t>Unidad</t>
        </is>
      </c>
      <c r="F1781" s="543" t="n"/>
    </row>
    <row r="1782">
      <c r="B1782" s="484" t="n"/>
      <c r="C1782" s="411" t="inlineStr">
        <is>
          <t>Baño Principal</t>
        </is>
      </c>
      <c r="D1782" s="412" t="n">
        <v>1</v>
      </c>
      <c r="E1782" s="413" t="inlineStr">
        <is>
          <t>u</t>
        </is>
      </c>
      <c r="F1782" s="416" t="n"/>
    </row>
    <row r="1783">
      <c r="B1783" s="484" t="n"/>
      <c r="C1783" s="411" t="inlineStr">
        <is>
          <t>Baño Secundario</t>
        </is>
      </c>
      <c r="D1783" s="412" t="n">
        <v>1</v>
      </c>
      <c r="E1783" s="413" t="inlineStr">
        <is>
          <t>u</t>
        </is>
      </c>
      <c r="F1783" s="416" t="n"/>
    </row>
    <row r="1784">
      <c r="B1784" s="484" t="n"/>
      <c r="C1784" s="411" t="inlineStr">
        <is>
          <t>Medio baño</t>
        </is>
      </c>
      <c r="D1784" s="412" t="n">
        <v>1</v>
      </c>
      <c r="E1784" s="413" t="inlineStr">
        <is>
          <t>u</t>
        </is>
      </c>
      <c r="F1784" s="416" t="n"/>
    </row>
    <row r="1785">
      <c r="B1785" s="484" t="n"/>
      <c r="C1785" s="484" t="n"/>
      <c r="D1785" s="484" t="n"/>
      <c r="E1785" s="481" t="n"/>
      <c r="F1785" s="484" t="n"/>
    </row>
    <row r="1786">
      <c r="B1786" s="484" t="n"/>
      <c r="C1786" s="488" t="inlineStr">
        <is>
          <t>Elemento</t>
        </is>
      </c>
      <c r="D1786" s="488" t="inlineStr">
        <is>
          <t>Cantidad</t>
        </is>
      </c>
      <c r="E1786" s="488" t="inlineStr">
        <is>
          <t>Unidad</t>
        </is>
      </c>
      <c r="F1786" s="493" t="n"/>
    </row>
    <row r="1787">
      <c r="B1787" s="476" t="inlineStr">
        <is>
          <t>M02-0028</t>
        </is>
      </c>
      <c r="C1787" s="486" t="inlineStr">
        <is>
          <t>Inodoro corona smart blanco</t>
        </is>
      </c>
      <c r="D1787" s="488">
        <f>SUM(D1782:D1784)</f>
        <v/>
      </c>
      <c r="E1787" s="488" t="inlineStr">
        <is>
          <t>u</t>
        </is>
      </c>
      <c r="F1787" s="416" t="n"/>
    </row>
    <row r="1788">
      <c r="B1788" s="476" t="inlineStr">
        <is>
          <t>M13-0072</t>
        </is>
      </c>
      <c r="C1788" s="486" t="inlineStr">
        <is>
          <t>Brida flexible 3"  pvc</t>
        </is>
      </c>
      <c r="D1788" s="488">
        <f>+D1787</f>
        <v/>
      </c>
      <c r="E1788" s="488" t="inlineStr">
        <is>
          <t>u</t>
        </is>
      </c>
      <c r="F1788" s="416" t="n"/>
    </row>
    <row r="1789">
      <c r="B1789" s="476" t="inlineStr">
        <is>
          <t>M02-0026</t>
        </is>
      </c>
      <c r="C1789" s="486" t="inlineStr">
        <is>
          <t>Manguera abasto p/inodoro (7/8 a 1/2)</t>
        </is>
      </c>
      <c r="D1789" s="488">
        <f>+D1787</f>
        <v/>
      </c>
      <c r="E1789" s="488" t="inlineStr">
        <is>
          <t>u</t>
        </is>
      </c>
      <c r="F1789" s="416" t="n"/>
    </row>
    <row r="1790">
      <c r="B1790" s="476" t="inlineStr">
        <is>
          <t>M02-0042</t>
        </is>
      </c>
      <c r="C1790" s="486" t="inlineStr">
        <is>
          <t>Lavatorio spazio de sobreponer blanco</t>
        </is>
      </c>
      <c r="D1790" s="488">
        <f>IF('1_OG y 2_ACA'!D24=2,SUM(D1782:D1783),D1782)+1</f>
        <v/>
      </c>
      <c r="E1790" s="488" t="inlineStr">
        <is>
          <t>u</t>
        </is>
      </c>
      <c r="F1790" s="416" t="n"/>
    </row>
    <row r="1791">
      <c r="B1791" s="476" t="inlineStr">
        <is>
          <t>M02-0044</t>
        </is>
      </c>
      <c r="C1791" s="486" t="inlineStr">
        <is>
          <t>Lavatorio olympus ii con pedestal</t>
        </is>
      </c>
      <c r="D1791" s="488">
        <f>SUM(D1782:D1783)-D1790+1</f>
        <v/>
      </c>
      <c r="E1791" s="488" t="inlineStr">
        <is>
          <t>u</t>
        </is>
      </c>
      <c r="F1791" s="416" t="n"/>
    </row>
    <row r="1792">
      <c r="B1792" s="476" t="inlineStr">
        <is>
          <t>M02-0038</t>
        </is>
      </c>
      <c r="C1792" s="486" t="inlineStr">
        <is>
          <t>Griferia alta novo cromada p/vessel</t>
        </is>
      </c>
      <c r="D1792" s="488">
        <f>+D1790</f>
        <v/>
      </c>
      <c r="E1792" s="488" t="inlineStr">
        <is>
          <t>u</t>
        </is>
      </c>
      <c r="F1792" s="416" t="n"/>
    </row>
    <row r="1793">
      <c r="B1793" s="476" t="inlineStr">
        <is>
          <t>M03-0025</t>
        </is>
      </c>
      <c r="C1793" s="486" t="inlineStr">
        <is>
          <t>Griferia lavaplatos kenai mono</t>
        </is>
      </c>
      <c r="D1793" s="488" t="n">
        <v>1</v>
      </c>
      <c r="E1793" s="488" t="inlineStr">
        <is>
          <t>u</t>
        </is>
      </c>
      <c r="F1793" s="416" t="n"/>
    </row>
    <row r="1794">
      <c r="B1794" s="476" t="inlineStr">
        <is>
          <t>M02-0032</t>
        </is>
      </c>
      <c r="C1794" s="486" t="inlineStr">
        <is>
          <t>Griferia brezza mono baja mu1015551</t>
        </is>
      </c>
      <c r="D1794" s="488">
        <f>+D1791</f>
        <v/>
      </c>
      <c r="E1794" s="488" t="inlineStr">
        <is>
          <t>u</t>
        </is>
      </c>
      <c r="F1794" s="416" t="n"/>
    </row>
    <row r="1795">
      <c r="B1795" s="476" t="inlineStr">
        <is>
          <t>M06-0026</t>
        </is>
      </c>
      <c r="C1795" s="486" t="inlineStr">
        <is>
          <t>Silicon transparente</t>
        </is>
      </c>
      <c r="D1795" s="488">
        <f>ROUNDUP(D1787*0.2+D1790*0.27+D1791*0.27+D1803*0.27+D1801*0.34+D1798*0.38,0)</f>
        <v/>
      </c>
      <c r="E1795" s="488" t="inlineStr">
        <is>
          <t>cartucho</t>
        </is>
      </c>
      <c r="F1795" s="416" t="n"/>
    </row>
    <row r="1796">
      <c r="B1796" s="476" t="inlineStr">
        <is>
          <t>M13-0046</t>
        </is>
      </c>
      <c r="C1796" s="486" t="inlineStr">
        <is>
          <t>Sifon cromado a pared 1 1/4</t>
        </is>
      </c>
      <c r="D1796" s="488">
        <f>SUM(D1782:D1784)</f>
        <v/>
      </c>
      <c r="E1796" s="488" t="inlineStr">
        <is>
          <t>u</t>
        </is>
      </c>
      <c r="F1796" s="416" t="n"/>
    </row>
    <row r="1797">
      <c r="B1797" s="476" t="inlineStr">
        <is>
          <t>M13-0045</t>
        </is>
      </c>
      <c r="C1797" s="486" t="inlineStr">
        <is>
          <t>Extension metal para sifon 1 1/4x8</t>
        </is>
      </c>
      <c r="D1797" s="488">
        <f>+D1796</f>
        <v/>
      </c>
      <c r="E1797" s="488" t="inlineStr">
        <is>
          <t>u</t>
        </is>
      </c>
      <c r="F1797" s="416" t="n"/>
    </row>
    <row r="1798">
      <c r="B1798" s="476" t="inlineStr">
        <is>
          <t>M13-0059</t>
        </is>
      </c>
      <c r="C1798" s="486" t="inlineStr">
        <is>
          <t>Pila fibra de vidrio 50x63x22</t>
        </is>
      </c>
      <c r="D1798" s="488" t="n">
        <v>1</v>
      </c>
      <c r="E1798" s="488" t="inlineStr">
        <is>
          <t>u</t>
        </is>
      </c>
      <c r="F1798" s="416" t="n"/>
    </row>
    <row r="1799">
      <c r="B1799" s="476" t="inlineStr">
        <is>
          <t>M13-0245</t>
        </is>
      </c>
      <c r="C1799" s="486" t="inlineStr">
        <is>
          <t>Llave de chorro premium 1/2</t>
        </is>
      </c>
      <c r="D1799" s="488">
        <f>+D1798</f>
        <v/>
      </c>
      <c r="E1799" s="488" t="inlineStr">
        <is>
          <t>u</t>
        </is>
      </c>
      <c r="F1799" s="416" t="n"/>
    </row>
    <row r="1800">
      <c r="B1800" s="476" t="inlineStr">
        <is>
          <t>M02-0036</t>
        </is>
      </c>
      <c r="C1800" s="486" t="inlineStr">
        <is>
          <t>Griferia ducha brezza  mono s/lavapies ez4015551  ssb</t>
        </is>
      </c>
      <c r="D1800" s="488">
        <f>SUM(D1782:D1783)</f>
        <v/>
      </c>
      <c r="E1800" s="488" t="inlineStr">
        <is>
          <t>u</t>
        </is>
      </c>
      <c r="F1800" s="416" t="n"/>
    </row>
    <row r="1801">
      <c r="B1801" s="476" t="inlineStr">
        <is>
          <t>M03-0023</t>
        </is>
      </c>
      <c r="C1801" s="486" t="inlineStr">
        <is>
          <t>Fregadero 1 tanque 58x45x20</t>
        </is>
      </c>
      <c r="D1801" s="488" t="n">
        <v>1</v>
      </c>
      <c r="E1801" s="488" t="inlineStr">
        <is>
          <t>u</t>
        </is>
      </c>
      <c r="F1801" s="416" t="n"/>
    </row>
    <row r="1802">
      <c r="B1802" s="476" t="inlineStr">
        <is>
          <t>M02-0035</t>
        </is>
      </c>
      <c r="C1802" s="486" t="inlineStr">
        <is>
          <t>Griferia lav.croma metal 4" palanca cromo p/lav milano</t>
        </is>
      </c>
      <c r="D1802" s="488">
        <f>+D1784</f>
        <v/>
      </c>
      <c r="E1802" s="488" t="inlineStr">
        <is>
          <t>u</t>
        </is>
      </c>
      <c r="F1802" s="416" t="n"/>
    </row>
    <row r="1803">
      <c r="B1803" s="476" t="inlineStr">
        <is>
          <t>M02-0043</t>
        </is>
      </c>
      <c r="C1803" s="486" t="inlineStr">
        <is>
          <t>Lavatorio milano blanco con pedestal</t>
        </is>
      </c>
      <c r="D1803" s="488">
        <f>+D1784</f>
        <v/>
      </c>
      <c r="E1803" s="488" t="inlineStr">
        <is>
          <t>u</t>
        </is>
      </c>
      <c r="F1803" s="416" t="n"/>
    </row>
    <row r="1805">
      <c r="C1805" s="486" t="n"/>
      <c r="D1805" s="488" t="inlineStr">
        <is>
          <t>Costo</t>
        </is>
      </c>
      <c r="E1805" s="488" t="inlineStr">
        <is>
          <t xml:space="preserve">Costo Total </t>
        </is>
      </c>
      <c r="F1805" s="488" t="inlineStr">
        <is>
          <t>Horas</t>
        </is>
      </c>
    </row>
    <row r="1806">
      <c r="C1806" s="486" t="inlineStr">
        <is>
          <t>Instalación inodoro</t>
        </is>
      </c>
      <c r="D1806" s="489">
        <f>+'1_OG y 2_ACA'!D193</f>
        <v/>
      </c>
      <c r="E1806" s="489">
        <f>D1806*D1787</f>
        <v/>
      </c>
      <c r="F1806" s="490">
        <f>+E1806/'COSTOS MO CUADRILLA'!K54</f>
        <v/>
      </c>
    </row>
    <row r="1807">
      <c r="C1807" s="486" t="inlineStr">
        <is>
          <t>Instalación lavatorio</t>
        </is>
      </c>
      <c r="D1807" s="489">
        <f>+'1_OG y 2_ACA'!D194</f>
        <v/>
      </c>
      <c r="E1807" s="489">
        <f>D1807*(D1790+D1791+D1803)</f>
        <v/>
      </c>
      <c r="F1807" s="490">
        <f>+E1807/'COSTOS MO CUADRILLA'!K54</f>
        <v/>
      </c>
    </row>
    <row r="1808">
      <c r="C1808" s="486" t="inlineStr">
        <is>
          <t>Instalación fregadero</t>
        </is>
      </c>
      <c r="D1808" s="489">
        <f>+'1_OG y 2_ACA'!D195</f>
        <v/>
      </c>
      <c r="E1808" s="489">
        <f>D1808*D1801</f>
        <v/>
      </c>
      <c r="F1808" s="490">
        <f>+E1808/'COSTOS MO CUADRILLA'!K54</f>
        <v/>
      </c>
    </row>
    <row r="1809">
      <c r="C1809" s="486" t="inlineStr">
        <is>
          <t>Instalación pila</t>
        </is>
      </c>
      <c r="D1809" s="489">
        <f>+'1_OG y 2_ACA'!D196</f>
        <v/>
      </c>
      <c r="E1809" s="489">
        <f>D1809*D1798</f>
        <v/>
      </c>
      <c r="F1809" s="490">
        <f>+E1809/'COSTOS MO CUADRILLA'!K54</f>
        <v/>
      </c>
    </row>
    <row r="1810">
      <c r="C1810" s="486" t="inlineStr">
        <is>
          <t>Instalación ducha</t>
        </is>
      </c>
      <c r="D1810" s="489">
        <f>+'1_OG y 2_ACA'!D197</f>
        <v/>
      </c>
      <c r="E1810" s="489">
        <f>D1810*D1800</f>
        <v/>
      </c>
      <c r="F1810" s="490">
        <f>+E1810/'COSTOS MO CUADRILLA'!K54</f>
        <v/>
      </c>
    </row>
    <row r="1811">
      <c r="C1811" s="486" t="n"/>
      <c r="D1811" s="488" t="inlineStr">
        <is>
          <t xml:space="preserve">Total </t>
        </is>
      </c>
      <c r="E1811" s="489">
        <f>SUM(E1806:E1810)</f>
        <v/>
      </c>
      <c r="F1811" s="490">
        <f>+E1811/'COSTOS MO CUADRILLA'!K54</f>
        <v/>
      </c>
    </row>
    <row r="1813">
      <c r="C1813" s="486" t="n"/>
      <c r="D1813" s="488" t="inlineStr">
        <is>
          <t>Costo</t>
        </is>
      </c>
      <c r="E1813" s="488" t="inlineStr">
        <is>
          <t xml:space="preserve">Costo Total </t>
        </is>
      </c>
      <c r="F1813" s="488" t="inlineStr">
        <is>
          <t>Horas</t>
        </is>
      </c>
      <c r="H1813" s="481" t="n"/>
    </row>
    <row r="1814">
      <c r="C1814" s="486" t="inlineStr">
        <is>
          <t>Instalación grifería</t>
        </is>
      </c>
      <c r="D1814" s="489">
        <f>+'1_OG y 2_ACA'!D198</f>
        <v/>
      </c>
      <c r="E1814" s="489">
        <f>+D1814*(D1802+D1800+D1794+D1793+D1792)</f>
        <v/>
      </c>
      <c r="F1814" s="490">
        <f>+E1814/'COSTOS MO CUADRILLA'!K54</f>
        <v/>
      </c>
      <c r="H1814" s="481" t="n"/>
      <c r="J1814" s="481" t="n"/>
    </row>
    <row r="1815">
      <c r="C1815" s="486" t="n"/>
      <c r="D1815" s="488" t="inlineStr">
        <is>
          <t xml:space="preserve">Total </t>
        </is>
      </c>
      <c r="E1815" s="489">
        <f>SUM(E1814:E1814)</f>
        <v/>
      </c>
      <c r="F1815" s="490">
        <f>+E1815/'COSTOS MO CUADRILLA'!K54</f>
        <v/>
      </c>
      <c r="G1815" s="481" t="n"/>
      <c r="H1815" s="481" t="n"/>
      <c r="I1815" s="498" t="n"/>
      <c r="J1815" s="499" t="n"/>
    </row>
    <row r="1816">
      <c r="C1816" s="484" t="n"/>
      <c r="D1816" s="484" t="n"/>
      <c r="E1816" s="481" t="n"/>
      <c r="F1816" s="484" t="n"/>
      <c r="G1816" s="481" t="n"/>
      <c r="H1816" s="481" t="n"/>
      <c r="I1816" s="498" t="n"/>
      <c r="J1816" s="499" t="n"/>
    </row>
    <row r="1817">
      <c r="C1817" s="466" t="n">
        <v>2.8</v>
      </c>
      <c r="D1817" s="574" t="inlineStr">
        <is>
          <t>ZACATE</t>
        </is>
      </c>
      <c r="F1817" s="51" t="n"/>
      <c r="G1817" s="46" t="n"/>
      <c r="H1817" s="46" t="n"/>
      <c r="I1817" s="10" t="n"/>
      <c r="J1817" s="576" t="n"/>
    </row>
    <row r="1819">
      <c r="B1819" s="51" t="n"/>
      <c r="C1819" s="468" t="inlineStr">
        <is>
          <t>2.8.1</t>
        </is>
      </c>
      <c r="D1819" s="468" t="inlineStr">
        <is>
          <t xml:space="preserve">ZACATE </t>
        </is>
      </c>
      <c r="F1819" s="51" t="n"/>
      <c r="G1819" s="46" t="n"/>
      <c r="H1819" s="46" t="n"/>
      <c r="I1819" s="10" t="n"/>
      <c r="J1819" s="576" t="n"/>
    </row>
    <row r="1820">
      <c r="N1820" s="556" t="n"/>
      <c r="O1820" s="632" t="n"/>
    </row>
    <row r="1821">
      <c r="C1821" s="18" t="inlineStr">
        <is>
          <t xml:space="preserve">ÁREA </t>
        </is>
      </c>
      <c r="D1821" s="633">
        <f>+D23-D12-D13-D14</f>
        <v/>
      </c>
      <c r="E1821" s="18" t="inlineStr">
        <is>
          <t xml:space="preserve">m2 </t>
        </is>
      </c>
      <c r="F1821" s="416" t="n"/>
    </row>
    <row r="1822">
      <c r="C1822" s="18" t="inlineStr">
        <is>
          <t>ÁREA CON DESPERDICO</t>
        </is>
      </c>
      <c r="D1822" s="633">
        <f>SUM(D1821:D1821)*1.05</f>
        <v/>
      </c>
      <c r="E1822" s="18" t="inlineStr">
        <is>
          <t xml:space="preserve">m2 </t>
        </is>
      </c>
      <c r="F1822" s="416" t="n"/>
    </row>
    <row r="1823">
      <c r="G1823" s="416" t="n"/>
    </row>
    <row r="1824">
      <c r="C1824" s="634" t="inlineStr">
        <is>
          <t>DRENAJE_ LONGITUD</t>
        </is>
      </c>
      <c r="D1824" s="1" t="n">
        <v>6.8</v>
      </c>
      <c r="E1824" s="1" t="inlineStr">
        <is>
          <t>m</t>
        </is>
      </c>
      <c r="F1824" s="416" t="n"/>
    </row>
    <row r="1825">
      <c r="B1825" s="478" t="n"/>
      <c r="C1825" s="486" t="inlineStr">
        <is>
          <t>Saran, para drenaje (tipo geotextil)</t>
        </is>
      </c>
      <c r="D1825" s="487">
        <f>+D1824</f>
        <v/>
      </c>
      <c r="E1825" s="488" t="inlineStr">
        <is>
          <t xml:space="preserve">m </t>
        </is>
      </c>
    </row>
    <row r="1826">
      <c r="B1826" s="478" t="inlineStr">
        <is>
          <t>M10-0015</t>
        </is>
      </c>
      <c r="C1826" s="486" t="inlineStr">
        <is>
          <t xml:space="preserve">Piedra cuartilla </t>
        </is>
      </c>
      <c r="D1826" s="487">
        <f>+D1824*0.3*0.25*1.3</f>
        <v/>
      </c>
      <c r="E1826" s="488" t="inlineStr">
        <is>
          <t xml:space="preserve">m3 </t>
        </is>
      </c>
    </row>
    <row r="1827">
      <c r="B1827" s="478" t="inlineStr">
        <is>
          <t>M13-0177</t>
        </is>
      </c>
      <c r="C1827" s="486" t="inlineStr">
        <is>
          <t>Tubo SDR41 JC PVC 3"</t>
        </is>
      </c>
      <c r="D1827" s="487" t="n"/>
      <c r="E1827" s="488" t="n"/>
    </row>
    <row r="1828">
      <c r="C1828" s="486" t="n"/>
      <c r="D1828" s="487" t="n"/>
      <c r="E1828" s="488" t="n"/>
    </row>
    <row r="1830">
      <c r="B1830" s="478" t="n"/>
      <c r="C1830" s="488" t="inlineStr">
        <is>
          <t>Elemento</t>
        </is>
      </c>
      <c r="D1830" s="488" t="inlineStr">
        <is>
          <t>Cantidad</t>
        </is>
      </c>
      <c r="E1830" s="488" t="inlineStr">
        <is>
          <t>Unidad</t>
        </is>
      </c>
    </row>
    <row r="1831">
      <c r="B1831" s="478" t="inlineStr">
        <is>
          <t>M19-0005</t>
        </is>
      </c>
      <c r="C1831" s="497" t="inlineStr">
        <is>
          <t>Zacate San Agustin</t>
        </is>
      </c>
      <c r="D1831" s="487">
        <f>+D1822</f>
        <v/>
      </c>
      <c r="E1831" s="488" t="inlineStr">
        <is>
          <t>m2</t>
        </is>
      </c>
    </row>
    <row r="1832">
      <c r="B1832" s="478" t="inlineStr">
        <is>
          <t>M16-0001</t>
        </is>
      </c>
      <c r="C1832" s="486" t="inlineStr">
        <is>
          <t>Saran verde, para drenaje</t>
        </is>
      </c>
      <c r="D1832" s="487">
        <f>+D1825</f>
        <v/>
      </c>
      <c r="E1832" s="488" t="inlineStr">
        <is>
          <t>m</t>
        </is>
      </c>
    </row>
    <row r="1833">
      <c r="B1833" s="478" t="inlineStr">
        <is>
          <t>M10-0015</t>
        </is>
      </c>
      <c r="C1833" s="486" t="inlineStr">
        <is>
          <t>Piedra cuartilla</t>
        </is>
      </c>
      <c r="D1833" s="487">
        <f>+D1826</f>
        <v/>
      </c>
      <c r="E1833" s="488" t="inlineStr">
        <is>
          <t>m3</t>
        </is>
      </c>
    </row>
    <row r="1834">
      <c r="B1834" s="478" t="inlineStr">
        <is>
          <t>M13-0177</t>
        </is>
      </c>
      <c r="C1834" s="486" t="inlineStr">
        <is>
          <t>Tubo 3¨ PVC, sanitario</t>
        </is>
      </c>
      <c r="D1834" s="487">
        <f>+D1824/6</f>
        <v/>
      </c>
      <c r="E1834" s="488" t="inlineStr">
        <is>
          <t>uni</t>
        </is>
      </c>
    </row>
    <row r="1835">
      <c r="B1835" s="478" t="inlineStr">
        <is>
          <t>M08-0047</t>
        </is>
      </c>
      <c r="C1835" s="486" t="inlineStr">
        <is>
          <t>Disco de corte</t>
        </is>
      </c>
      <c r="D1835" s="487" t="n">
        <v>1</v>
      </c>
      <c r="E1835" s="488" t="inlineStr">
        <is>
          <t>uni</t>
        </is>
      </c>
    </row>
    <row r="1836">
      <c r="B1836" s="478" t="n"/>
      <c r="C1836" s="539" t="n"/>
      <c r="D1836" s="539" t="n"/>
      <c r="E1836" s="540" t="n"/>
    </row>
    <row r="1837">
      <c r="C1837" s="488" t="n"/>
      <c r="D1837" s="488" t="inlineStr">
        <is>
          <t>Costo</t>
        </is>
      </c>
      <c r="E1837" s="488" t="inlineStr">
        <is>
          <t>Total</t>
        </is>
      </c>
      <c r="F1837" s="488" t="inlineStr">
        <is>
          <t>Horas</t>
        </is>
      </c>
    </row>
    <row r="1838">
      <c r="C1838" s="488">
        <f>C186</f>
        <v/>
      </c>
      <c r="D1838" s="489">
        <f>D186</f>
        <v/>
      </c>
      <c r="E1838" s="489">
        <f>+D1838*D1821</f>
        <v/>
      </c>
      <c r="F1838" s="490">
        <f>ROUND(E1838/'COSTOS MO CUADRILLA'!K56,0)</f>
        <v/>
      </c>
    </row>
    <row r="1839">
      <c r="C1839" s="486" t="n"/>
      <c r="D1839" s="488" t="inlineStr">
        <is>
          <t xml:space="preserve">Total </t>
        </is>
      </c>
      <c r="E1839" s="489">
        <f>SUM(E1838:E1838)</f>
        <v/>
      </c>
      <c r="F1839" s="490">
        <f>+E1839/'COSTOS MO CUADRILLA'!K56</f>
        <v/>
      </c>
    </row>
    <row r="1841">
      <c r="C1841" s="409" t="inlineStr">
        <is>
          <t>RECUENTO DE CONCRETO</t>
        </is>
      </c>
      <c r="D1841" s="60" t="n"/>
    </row>
    <row r="1843">
      <c r="C1843" s="486" t="inlineStr">
        <is>
          <t>TOTAL DE CONCRETO EN OBRA</t>
        </is>
      </c>
      <c r="D1843" s="487">
        <f>+D1061+D677+D491+D1267+D1203+D1148+D1128+D1113+D277+D255</f>
        <v/>
      </c>
      <c r="E1843" s="488" t="inlineStr">
        <is>
          <t>M3</t>
        </is>
      </c>
    </row>
    <row r="1844">
      <c r="C1844" s="486" t="inlineStr">
        <is>
          <t>TOTAL DE BOMBA CONCRETO</t>
        </is>
      </c>
      <c r="D1844" s="487">
        <f>+D1061+D677+D491</f>
        <v/>
      </c>
      <c r="E1844" s="488" t="inlineStr">
        <is>
          <t>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K223"/>
  <sheetViews>
    <sheetView workbookViewId="0">
      <selection activeCell="A1" sqref="A1"/>
    </sheetView>
  </sheetViews>
  <sheetFormatPr baseColWidth="8" defaultRowHeight="15"/>
  <sheetData>
    <row r="3">
      <c r="C3" s="407" t="inlineStr">
        <is>
          <t>Modelo</t>
        </is>
      </c>
      <c r="D3" s="635">
        <f>'1_OG y 2_ACA'!D3</f>
        <v/>
      </c>
      <c r="E3" s="635">
        <f>'1_OG y 2_ACA'!E3</f>
        <v/>
      </c>
    </row>
    <row r="5">
      <c r="C5" s="465" t="n">
        <v>3</v>
      </c>
      <c r="D5" s="636" t="inlineStr">
        <is>
          <t>ELECTROMECANICO</t>
        </is>
      </c>
    </row>
    <row r="7">
      <c r="C7" s="466" t="n">
        <v>3.2</v>
      </c>
      <c r="D7" s="637" t="inlineStr">
        <is>
          <t xml:space="preserve">MECÁNICO </t>
        </is>
      </c>
    </row>
    <row r="8">
      <c r="C8" s="467" t="n"/>
      <c r="D8" s="638" t="n"/>
    </row>
    <row r="9">
      <c r="C9" s="51" t="n"/>
      <c r="D9" s="639" t="n"/>
    </row>
    <row r="10">
      <c r="C10" s="413" t="inlineStr">
        <is>
          <t>Elemento</t>
        </is>
      </c>
      <c r="D10" s="455" t="inlineStr">
        <is>
          <t>Cantidad</t>
        </is>
      </c>
      <c r="E10" s="413" t="inlineStr">
        <is>
          <t>Unidad</t>
        </is>
      </c>
      <c r="F10" s="543" t="n"/>
    </row>
    <row r="11">
      <c r="C11" s="411" t="inlineStr">
        <is>
          <t>Baño Principal</t>
        </is>
      </c>
      <c r="D11" s="418" t="n">
        <v>1</v>
      </c>
      <c r="E11" s="413" t="inlineStr">
        <is>
          <t>u</t>
        </is>
      </c>
      <c r="F11" s="416" t="n"/>
    </row>
    <row r="12">
      <c r="C12" s="411" t="inlineStr">
        <is>
          <t>Baño Secundario</t>
        </is>
      </c>
      <c r="D12" s="418" t="n">
        <v>1</v>
      </c>
      <c r="E12" s="413" t="inlineStr">
        <is>
          <t>u</t>
        </is>
      </c>
      <c r="F12" s="416" t="n"/>
    </row>
    <row r="13">
      <c r="C13" s="411" t="inlineStr">
        <is>
          <t>Medio baño</t>
        </is>
      </c>
      <c r="D13" s="418" t="n">
        <v>1</v>
      </c>
      <c r="E13" s="413" t="inlineStr">
        <is>
          <t>u</t>
        </is>
      </c>
      <c r="F13" s="416" t="n"/>
    </row>
    <row r="14">
      <c r="F14" s="542" t="n"/>
    </row>
    <row r="15">
      <c r="C15" s="468" t="inlineStr">
        <is>
          <t>3.2.1</t>
        </is>
      </c>
      <c r="D15" s="640" t="inlineStr">
        <is>
          <t xml:space="preserve">EXCAVACION TUBERIA SANITARIA </t>
        </is>
      </c>
      <c r="E15" s="641" t="n"/>
    </row>
    <row r="17">
      <c r="B17" s="469" t="n"/>
      <c r="C17" s="491" t="inlineStr">
        <is>
          <t>SANITARIO EN LOSA</t>
        </is>
      </c>
      <c r="D17" s="642" t="n"/>
      <c r="E17" s="491" t="n"/>
    </row>
    <row r="18">
      <c r="B18" s="469" t="n"/>
      <c r="C18" s="643" t="inlineStr">
        <is>
          <t>Tubería</t>
        </is>
      </c>
    </row>
    <row r="19">
      <c r="A19" s="417" t="n"/>
      <c r="B19" s="476" t="inlineStr">
        <is>
          <t>M13-0179</t>
        </is>
      </c>
      <c r="C19" s="411" t="inlineStr">
        <is>
          <t>Tubo PVC 4"</t>
        </is>
      </c>
      <c r="D19" s="644">
        <f>29.8+10</f>
        <v/>
      </c>
      <c r="E19" s="487">
        <f>ROUNDUP(D19/6,0)</f>
        <v/>
      </c>
      <c r="F19" s="421" t="n"/>
    </row>
    <row r="20">
      <c r="A20" s="417" t="n"/>
      <c r="B20" s="476" t="inlineStr">
        <is>
          <t>M13-0190</t>
        </is>
      </c>
      <c r="C20" s="411" t="inlineStr">
        <is>
          <t>Tubo PVC 3"</t>
        </is>
      </c>
      <c r="D20" s="644" t="n">
        <v>0</v>
      </c>
      <c r="E20" s="487">
        <f>ROUNDUP(D20/6,0)</f>
        <v/>
      </c>
      <c r="F20" s="421" t="n"/>
    </row>
    <row r="21">
      <c r="A21" s="417" t="n"/>
      <c r="B21" s="476" t="inlineStr">
        <is>
          <t>M13-0173</t>
        </is>
      </c>
      <c r="C21" s="411" t="inlineStr">
        <is>
          <t>Tubo PVC 2"</t>
        </is>
      </c>
      <c r="D21" s="644">
        <f>12.1+10</f>
        <v/>
      </c>
      <c r="E21" s="487">
        <f>ROUNDUP(D21/6,0)</f>
        <v/>
      </c>
      <c r="F21" s="421" t="n"/>
    </row>
    <row r="22">
      <c r="A22" s="417" t="n"/>
      <c r="B22" s="476" t="n"/>
      <c r="C22" s="643" t="inlineStr">
        <is>
          <t>Accesorios</t>
        </is>
      </c>
    </row>
    <row r="23">
      <c r="A23" s="417" t="n"/>
      <c r="B23" s="476" t="inlineStr">
        <is>
          <t>M13-0096</t>
        </is>
      </c>
      <c r="C23" s="411" t="inlineStr">
        <is>
          <t>Codo 90 PVC 4"</t>
        </is>
      </c>
      <c r="D23" s="644" t="n">
        <v>6</v>
      </c>
      <c r="E23" s="487">
        <f>ROUNDUP(D23,0)</f>
        <v/>
      </c>
      <c r="F23" s="421" t="n"/>
    </row>
    <row r="24">
      <c r="A24" s="417" t="n"/>
      <c r="B24" s="476" t="inlineStr">
        <is>
          <t>M13-0118</t>
        </is>
      </c>
      <c r="C24" s="411" t="inlineStr">
        <is>
          <t>Codo 45 PVC 4"</t>
        </is>
      </c>
      <c r="D24" s="644" t="n"/>
      <c r="E24" s="487">
        <f>ROUNDUP(D24,0)</f>
        <v/>
      </c>
      <c r="F24" s="421" t="n"/>
    </row>
    <row r="25">
      <c r="A25" s="417" t="n"/>
      <c r="B25" s="476" t="inlineStr">
        <is>
          <t>M13-0124</t>
        </is>
      </c>
      <c r="C25" s="411" t="inlineStr">
        <is>
          <t>Codo 90 PVC 3"</t>
        </is>
      </c>
      <c r="D25" s="644" t="n"/>
      <c r="E25" s="487">
        <f>ROUNDUP(D25,0)</f>
        <v/>
      </c>
      <c r="F25" s="421" t="n"/>
    </row>
    <row r="26">
      <c r="A26" s="417" t="n"/>
      <c r="B26" s="476" t="inlineStr">
        <is>
          <t>M13-0117</t>
        </is>
      </c>
      <c r="C26" s="411" t="inlineStr">
        <is>
          <t>Codo 45 PVC 3"</t>
        </is>
      </c>
      <c r="D26" s="644" t="n"/>
      <c r="E26" s="487">
        <f>ROUNDUP(D26,0)</f>
        <v/>
      </c>
      <c r="F26" s="421" t="n"/>
    </row>
    <row r="27">
      <c r="A27" s="417" t="n"/>
      <c r="B27" s="476" t="inlineStr">
        <is>
          <t>M13-0211</t>
        </is>
      </c>
      <c r="C27" s="411" t="inlineStr">
        <is>
          <t>Codo 90 PVC 2"</t>
        </is>
      </c>
      <c r="D27" s="644" t="n">
        <v>9</v>
      </c>
      <c r="E27" s="487">
        <f>ROUNDUP(D27,0)</f>
        <v/>
      </c>
      <c r="F27" s="421" t="n"/>
    </row>
    <row r="28">
      <c r="A28" s="417" t="n"/>
      <c r="B28" s="476" t="inlineStr">
        <is>
          <t>M13-0119</t>
        </is>
      </c>
      <c r="C28" s="411" t="inlineStr">
        <is>
          <t>Codo 45 PVC 2"</t>
        </is>
      </c>
      <c r="D28" s="644" t="n">
        <v>2</v>
      </c>
      <c r="E28" s="487">
        <f>ROUNDUP(D28,0)</f>
        <v/>
      </c>
      <c r="F28" s="421" t="n"/>
    </row>
    <row r="29">
      <c r="A29" s="417" t="n"/>
      <c r="B29" s="476" t="inlineStr">
        <is>
          <t>M13-0193</t>
        </is>
      </c>
      <c r="C29" s="411" t="inlineStr">
        <is>
          <t>Yee PVC 4"</t>
        </is>
      </c>
      <c r="D29" s="644" t="n">
        <v>3</v>
      </c>
      <c r="E29" s="487">
        <f>ROUNDUP(D29,0)</f>
        <v/>
      </c>
      <c r="F29" s="421" t="n"/>
    </row>
    <row r="30">
      <c r="A30" s="417" t="n"/>
      <c r="B30" s="476" t="inlineStr">
        <is>
          <t>M13-0192</t>
        </is>
      </c>
      <c r="C30" s="411" t="inlineStr">
        <is>
          <t>Yee PVC 3"</t>
        </is>
      </c>
      <c r="D30" s="644" t="n"/>
      <c r="E30" s="487">
        <f>ROUNDUP(D30,0)</f>
        <v/>
      </c>
      <c r="F30" s="421" t="n"/>
    </row>
    <row r="31">
      <c r="A31" s="417" t="n"/>
      <c r="B31" s="476" t="inlineStr">
        <is>
          <t>M13-0191</t>
        </is>
      </c>
      <c r="C31" s="411" t="inlineStr">
        <is>
          <t>Yee PVC 2"</t>
        </is>
      </c>
      <c r="D31" s="644" t="n">
        <v>3</v>
      </c>
      <c r="E31" s="487">
        <f>ROUNDUP(D31,0)</f>
        <v/>
      </c>
      <c r="F31" s="421" t="n"/>
    </row>
    <row r="32">
      <c r="A32" s="417" t="n"/>
      <c r="B32" s="476" t="inlineStr">
        <is>
          <t>M13-0132</t>
        </is>
      </c>
      <c r="C32" s="411" t="inlineStr">
        <is>
          <t>Reducción 3" a 4"</t>
        </is>
      </c>
      <c r="D32" s="644" t="n">
        <v>2</v>
      </c>
      <c r="E32" s="487">
        <f>ROUNDUP(D32,0)</f>
        <v/>
      </c>
      <c r="F32" s="421" t="n"/>
    </row>
    <row r="33">
      <c r="A33" s="417" t="n"/>
      <c r="B33" s="476" t="inlineStr">
        <is>
          <t>M13-0134</t>
        </is>
      </c>
      <c r="C33" s="411" t="inlineStr">
        <is>
          <t>Reducción 2" a 3"</t>
        </is>
      </c>
      <c r="D33" s="644" t="n"/>
      <c r="E33" s="487">
        <f>ROUNDUP(D33,0)</f>
        <v/>
      </c>
      <c r="F33" s="421" t="n"/>
    </row>
    <row r="34">
      <c r="B34" s="469" t="n"/>
      <c r="D34" s="577" t="n"/>
    </row>
    <row r="35">
      <c r="B35" s="645" t="n"/>
      <c r="C35" s="486" t="n"/>
      <c r="D35" s="487" t="inlineStr">
        <is>
          <t>Costo</t>
        </is>
      </c>
      <c r="E35" s="486" t="inlineStr">
        <is>
          <t xml:space="preserve">Costo Total </t>
        </is>
      </c>
      <c r="F35" s="488" t="inlineStr">
        <is>
          <t>Horas</t>
        </is>
      </c>
    </row>
    <row r="36">
      <c r="B36" s="645" t="n"/>
      <c r="C36" s="486" t="inlineStr">
        <is>
          <t>Mano de obra ml de tuberia</t>
        </is>
      </c>
      <c r="D36" s="489">
        <f>+'1_OG y 2_ACA'!D154</f>
        <v/>
      </c>
      <c r="E36" s="646">
        <f>+SUM(D19:D21)*D36</f>
        <v/>
      </c>
      <c r="F36" s="487">
        <f>+E36/'COSTOS MO CUADRILLA'!K70</f>
        <v/>
      </c>
      <c r="G36" s="584" t="n"/>
    </row>
    <row r="37">
      <c r="B37" s="645" t="n"/>
      <c r="C37" s="486" t="inlineStr">
        <is>
          <t>Mano de obra accesorios</t>
        </is>
      </c>
      <c r="D37" s="489">
        <f>+'1_OG y 2_ACA'!D155</f>
        <v/>
      </c>
      <c r="E37" s="646">
        <f>+SUM(D23:D33)*D37</f>
        <v/>
      </c>
      <c r="F37" s="487">
        <f>+E37/'COSTOS MO CUADRILLA'!K70</f>
        <v/>
      </c>
      <c r="G37" s="584" t="n"/>
    </row>
    <row r="38">
      <c r="B38" s="645" t="n"/>
      <c r="C38" s="486" t="n"/>
      <c r="D38" s="487" t="inlineStr">
        <is>
          <t xml:space="preserve">Total </t>
        </is>
      </c>
      <c r="E38" s="646">
        <f>SUM(E36:E37)</f>
        <v/>
      </c>
      <c r="F38" s="487">
        <f>+E38/'COSTOS MO CUADRILLA'!K70</f>
        <v/>
      </c>
    </row>
    <row r="39">
      <c r="B39" s="645" t="n"/>
      <c r="C39" s="645" t="n"/>
      <c r="D39" s="647" t="n"/>
      <c r="E39" s="645" t="n"/>
      <c r="F39" s="645" t="n"/>
      <c r="G39" s="645" t="n"/>
    </row>
    <row r="40">
      <c r="B40" s="645" t="n"/>
      <c r="C40" s="645" t="n"/>
      <c r="D40" s="647" t="n"/>
      <c r="E40" s="645" t="n"/>
      <c r="F40" s="645" t="n"/>
      <c r="G40" s="645" t="n"/>
    </row>
    <row r="41">
      <c r="C41" s="468" t="inlineStr">
        <is>
          <t>3.2.2</t>
        </is>
      </c>
      <c r="D41" s="640" t="inlineStr">
        <is>
          <t>POTABLE DE LOSA</t>
        </is>
      </c>
      <c r="E41" s="648" t="n"/>
    </row>
    <row r="43">
      <c r="B43" s="469" t="n"/>
      <c r="C43" s="491" t="inlineStr">
        <is>
          <t>POTABLE EN LOSA</t>
        </is>
      </c>
      <c r="D43" s="642" t="n"/>
      <c r="E43" s="491" t="n"/>
      <c r="F43" s="649" t="n"/>
    </row>
    <row r="44">
      <c r="B44" s="469" t="n"/>
      <c r="C44" s="643" t="inlineStr">
        <is>
          <t>Tubería</t>
        </is>
      </c>
    </row>
    <row r="45">
      <c r="B45" s="476" t="inlineStr">
        <is>
          <t>M13-0170</t>
        </is>
      </c>
      <c r="C45" s="411" t="inlineStr">
        <is>
          <t>Tubo PVC 1/2</t>
        </is>
      </c>
      <c r="D45" s="418">
        <f>39.4+10</f>
        <v/>
      </c>
      <c r="E45" s="487">
        <f>ROUNDUP(D45/6,0)</f>
        <v/>
      </c>
      <c r="F45" s="416" t="n"/>
    </row>
    <row r="46">
      <c r="B46" s="476" t="inlineStr">
        <is>
          <t>M13-0166</t>
        </is>
      </c>
      <c r="C46" s="650" t="inlineStr">
        <is>
          <t>Tubo CPVC 1/2</t>
        </is>
      </c>
      <c r="D46" s="418">
        <f>26.2+12</f>
        <v/>
      </c>
      <c r="E46" s="487">
        <f>ROUNDUP(D46/6,0)</f>
        <v/>
      </c>
      <c r="F46" s="416" t="n"/>
    </row>
    <row r="47">
      <c r="B47" s="476" t="n"/>
      <c r="C47" s="643" t="inlineStr">
        <is>
          <t>Accesorios</t>
        </is>
      </c>
    </row>
    <row r="48">
      <c r="B48" s="476" t="inlineStr">
        <is>
          <t>M13-0120</t>
        </is>
      </c>
      <c r="C48" s="411" t="inlineStr">
        <is>
          <t xml:space="preserve">Codo 90 PVC 1/2 </t>
        </is>
      </c>
      <c r="D48" s="418" t="n">
        <v>18</v>
      </c>
      <c r="E48" s="487">
        <f>ROUNDUP(D48,0)</f>
        <v/>
      </c>
      <c r="F48" s="416" t="n"/>
    </row>
    <row r="49">
      <c r="B49" s="476" t="inlineStr">
        <is>
          <t>M13-0094</t>
        </is>
      </c>
      <c r="C49" s="411" t="inlineStr">
        <is>
          <t xml:space="preserve">Codo 90 CPVC 1/2 </t>
        </is>
      </c>
      <c r="D49" s="418" t="n">
        <v>15</v>
      </c>
      <c r="E49" s="487">
        <f>ROUNDUP(D49,0)</f>
        <v/>
      </c>
      <c r="F49" s="416" t="n"/>
    </row>
    <row r="50">
      <c r="B50" s="476" t="inlineStr">
        <is>
          <t>M13-0159</t>
        </is>
      </c>
      <c r="C50" s="411" t="inlineStr">
        <is>
          <t>Tee PVC 1/2</t>
        </is>
      </c>
      <c r="D50" s="418" t="n">
        <v>12</v>
      </c>
      <c r="E50" s="487">
        <f>ROUNDUP(D50,0)</f>
        <v/>
      </c>
      <c r="F50" s="416" t="n"/>
    </row>
    <row r="51">
      <c r="B51" s="476" t="inlineStr">
        <is>
          <t>M13-0157</t>
        </is>
      </c>
      <c r="C51" s="411" t="inlineStr">
        <is>
          <t>Tee CPVC 1/2</t>
        </is>
      </c>
      <c r="D51" s="418" t="n">
        <v>5</v>
      </c>
      <c r="E51" s="487">
        <f>ROUNDUP(D51,0)</f>
        <v/>
      </c>
      <c r="F51" s="416" t="n"/>
    </row>
    <row r="52">
      <c r="B52" s="476" t="inlineStr">
        <is>
          <t>M13-0091</t>
        </is>
      </c>
      <c r="C52" s="462" t="inlineStr">
        <is>
          <t>Adaptador macho PVC 1/2</t>
        </is>
      </c>
      <c r="D52" s="418" t="n">
        <v>1</v>
      </c>
      <c r="E52" s="487">
        <f>ROUNDUP(D52,0)</f>
        <v/>
      </c>
      <c r="F52" s="416" t="n"/>
      <c r="G52" s="305" t="n"/>
    </row>
    <row r="53">
      <c r="B53" s="476" t="inlineStr">
        <is>
          <t>M13-0090</t>
        </is>
      </c>
      <c r="C53" s="411" t="inlineStr">
        <is>
          <t>Adaptador macho CPVC 1/2</t>
        </is>
      </c>
      <c r="D53" s="418" t="n">
        <v>1</v>
      </c>
      <c r="E53" s="487">
        <f>ROUNDUP(D53,0)</f>
        <v/>
      </c>
      <c r="F53" s="416" t="n"/>
    </row>
    <row r="54">
      <c r="B54" s="476" t="inlineStr">
        <is>
          <t>M13-0255</t>
        </is>
      </c>
      <c r="C54" s="411" t="inlineStr">
        <is>
          <t>Llave de paso 1/2</t>
        </is>
      </c>
      <c r="D54" s="418" t="n">
        <v>1</v>
      </c>
      <c r="E54" s="487">
        <f>ROUNDUP(D54,0)</f>
        <v/>
      </c>
      <c r="F54" s="416" t="n"/>
    </row>
    <row r="55">
      <c r="B55" s="651" t="inlineStr">
        <is>
          <t>M13-0245</t>
        </is>
      </c>
      <c r="C55" s="411" t="inlineStr">
        <is>
          <t>Llave de chorro 1/2</t>
        </is>
      </c>
      <c r="D55" s="418" t="n">
        <v>1</v>
      </c>
      <c r="E55" s="487">
        <f>ROUNDUP(D55,0)</f>
        <v/>
      </c>
      <c r="F55" s="416" t="n"/>
    </row>
    <row r="56">
      <c r="B56" s="476" t="n"/>
      <c r="C56" s="469" t="n"/>
      <c r="D56" s="652" t="n"/>
      <c r="E56" s="469" t="n"/>
      <c r="F56" s="469" t="n"/>
    </row>
    <row r="57">
      <c r="B57" s="645" t="n"/>
      <c r="C57" s="486" t="n"/>
      <c r="D57" s="487" t="inlineStr">
        <is>
          <t>Costo</t>
        </is>
      </c>
      <c r="E57" s="486" t="inlineStr">
        <is>
          <t xml:space="preserve">Costo Total </t>
        </is>
      </c>
      <c r="F57" s="488" t="inlineStr">
        <is>
          <t>Horas</t>
        </is>
      </c>
    </row>
    <row r="58">
      <c r="B58" s="645" t="n"/>
      <c r="C58" s="486" t="inlineStr">
        <is>
          <t>Mano de obra ml de tuberia</t>
        </is>
      </c>
      <c r="D58" s="489">
        <f>+'1_OG y 2_ACA'!D158</f>
        <v/>
      </c>
      <c r="E58" s="646">
        <f>+SUM(D45:D46)*D58</f>
        <v/>
      </c>
      <c r="F58" s="487">
        <f>+E58/'COSTOS MO CUADRILLA'!K71</f>
        <v/>
      </c>
      <c r="G58" s="584" t="n"/>
    </row>
    <row r="59">
      <c r="B59" s="645" t="n"/>
      <c r="C59" s="486" t="inlineStr">
        <is>
          <t>Mano de obra accesorios</t>
        </is>
      </c>
      <c r="D59" s="489">
        <f>+'1_OG y 2_ACA'!D159</f>
        <v/>
      </c>
      <c r="E59" s="646">
        <f>+SUM(D48:D55)*D59</f>
        <v/>
      </c>
      <c r="F59" s="487">
        <f>+E59/'COSTOS MO CUADRILLA'!K71</f>
        <v/>
      </c>
      <c r="G59" s="584" t="n"/>
    </row>
    <row r="60">
      <c r="B60" s="645" t="n"/>
      <c r="C60" s="486" t="n"/>
      <c r="D60" s="487" t="inlineStr">
        <is>
          <t xml:space="preserve">Total </t>
        </is>
      </c>
      <c r="E60" s="646">
        <f>SUM(E58:E59)</f>
        <v/>
      </c>
      <c r="F60" s="487">
        <f>+E60/'COSTOS MO CUADRILLA'!K71</f>
        <v/>
      </c>
    </row>
    <row r="61">
      <c r="B61" s="469" t="n"/>
      <c r="C61" s="469" t="n"/>
      <c r="D61" s="652" t="n"/>
      <c r="E61" s="469" t="n"/>
      <c r="F61" s="469" t="n"/>
    </row>
    <row r="62">
      <c r="B62" s="469" t="n"/>
      <c r="C62" s="469" t="n"/>
      <c r="D62" s="652" t="n"/>
      <c r="E62" s="469" t="n"/>
      <c r="F62" s="469" t="n"/>
    </row>
    <row r="63">
      <c r="C63" s="468" t="inlineStr">
        <is>
          <t>3.2.2.1</t>
        </is>
      </c>
      <c r="D63" s="640" t="inlineStr">
        <is>
          <t>POTABLE DE ENTREPISO</t>
        </is>
      </c>
      <c r="E63" s="648" t="n"/>
    </row>
    <row r="65">
      <c r="B65" s="469" t="n"/>
      <c r="C65" s="491" t="inlineStr">
        <is>
          <t>POTABLE DE ENTREPISO</t>
        </is>
      </c>
      <c r="D65" s="642" t="n"/>
      <c r="E65" s="491" t="n"/>
      <c r="F65" s="649" t="n"/>
    </row>
    <row r="66">
      <c r="B66" s="469" t="n"/>
      <c r="C66" s="643" t="inlineStr">
        <is>
          <t>Tubería</t>
        </is>
      </c>
    </row>
    <row r="67">
      <c r="B67" s="476" t="inlineStr">
        <is>
          <t>M13-0170</t>
        </is>
      </c>
      <c r="C67" s="411" t="inlineStr">
        <is>
          <t>Tubo PVC 1/2</t>
        </is>
      </c>
      <c r="D67" s="418" t="n">
        <v>0</v>
      </c>
      <c r="E67" s="487">
        <f>ROUNDUP(D67/6,0)</f>
        <v/>
      </c>
      <c r="F67" s="416" t="n"/>
    </row>
    <row r="68">
      <c r="B68" s="476" t="inlineStr">
        <is>
          <t>M13-0166</t>
        </is>
      </c>
      <c r="C68" s="650" t="inlineStr">
        <is>
          <t>Tubo CPVC 1/2</t>
        </is>
      </c>
      <c r="D68" s="418" t="n">
        <v>0</v>
      </c>
      <c r="E68" s="487">
        <f>ROUNDUP(D68/6,0)</f>
        <v/>
      </c>
      <c r="F68" s="416" t="n"/>
    </row>
    <row r="69">
      <c r="B69" s="476" t="n"/>
      <c r="C69" s="643" t="inlineStr">
        <is>
          <t>Accesorios</t>
        </is>
      </c>
    </row>
    <row r="70">
      <c r="B70" s="476" t="inlineStr">
        <is>
          <t>M13-0120</t>
        </is>
      </c>
      <c r="C70" s="411" t="inlineStr">
        <is>
          <t xml:space="preserve">Codo 90 PVC 1/2 </t>
        </is>
      </c>
      <c r="D70" s="418" t="n">
        <v>0</v>
      </c>
      <c r="E70" s="487">
        <f>ROUNDUP(D70,0)</f>
        <v/>
      </c>
      <c r="F70" s="416" t="n"/>
    </row>
    <row r="71">
      <c r="B71" s="476" t="inlineStr">
        <is>
          <t>M13-0094</t>
        </is>
      </c>
      <c r="C71" s="411" t="inlineStr">
        <is>
          <t xml:space="preserve">Codo 90 CPVC 1/2 </t>
        </is>
      </c>
      <c r="D71" s="418" t="n">
        <v>0</v>
      </c>
      <c r="E71" s="487">
        <f>ROUNDUP(D71,0)</f>
        <v/>
      </c>
      <c r="F71" s="416" t="n"/>
    </row>
    <row r="72">
      <c r="B72" s="476" t="inlineStr">
        <is>
          <t>M13-0159</t>
        </is>
      </c>
      <c r="C72" s="411" t="inlineStr">
        <is>
          <t>Tee PVC 1/2</t>
        </is>
      </c>
      <c r="D72" s="418" t="n">
        <v>0</v>
      </c>
      <c r="E72" s="487">
        <f>ROUNDUP(D72,0)</f>
        <v/>
      </c>
      <c r="F72" s="416" t="n"/>
    </row>
    <row r="73">
      <c r="B73" s="476" t="inlineStr">
        <is>
          <t>M13-0157</t>
        </is>
      </c>
      <c r="C73" s="411" t="inlineStr">
        <is>
          <t>Tee CPVC 1/2</t>
        </is>
      </c>
      <c r="D73" s="418" t="n">
        <v>0</v>
      </c>
      <c r="E73" s="487">
        <f>ROUNDUP(D73,0)</f>
        <v/>
      </c>
      <c r="F73" s="416" t="n"/>
    </row>
    <row r="74">
      <c r="B74" s="476" t="inlineStr">
        <is>
          <t>M13-0091</t>
        </is>
      </c>
      <c r="C74" s="411" t="inlineStr">
        <is>
          <t>Adaptador macho PVC 1/2</t>
        </is>
      </c>
      <c r="D74" s="418" t="n">
        <v>0</v>
      </c>
      <c r="E74" s="487">
        <f>ROUNDUP(D74,0)</f>
        <v/>
      </c>
      <c r="F74" s="416" t="n"/>
      <c r="G74" s="305" t="n"/>
    </row>
    <row r="75">
      <c r="B75" s="476" t="inlineStr">
        <is>
          <t>M13-0090</t>
        </is>
      </c>
      <c r="C75" s="411" t="inlineStr">
        <is>
          <t>Adaptador macho CPVC 1/2</t>
        </is>
      </c>
      <c r="D75" s="418" t="n">
        <v>0</v>
      </c>
      <c r="E75" s="487">
        <f>ROUNDUP(D75,0)</f>
        <v/>
      </c>
      <c r="F75" s="416" t="n"/>
    </row>
    <row r="76">
      <c r="B76" s="476" t="n"/>
      <c r="C76" s="469" t="n"/>
      <c r="D76" s="652" t="n"/>
      <c r="E76" s="469" t="n"/>
      <c r="F76" s="469" t="n"/>
    </row>
    <row r="77">
      <c r="B77" s="645" t="n"/>
      <c r="C77" s="486" t="n"/>
      <c r="D77" s="487" t="inlineStr">
        <is>
          <t>Costo</t>
        </is>
      </c>
      <c r="E77" s="486" t="inlineStr">
        <is>
          <t xml:space="preserve">Costo Total </t>
        </is>
      </c>
      <c r="F77" s="488" t="inlineStr">
        <is>
          <t>Horas</t>
        </is>
      </c>
    </row>
    <row r="78">
      <c r="B78" s="645" t="n"/>
      <c r="C78" s="486" t="inlineStr">
        <is>
          <t>Mano de obra ml de tuberia</t>
        </is>
      </c>
      <c r="D78" s="489">
        <f>+'1_OG y 2_ACA'!D158</f>
        <v/>
      </c>
      <c r="E78" s="646">
        <f>+SUM(D67:D68)*D78</f>
        <v/>
      </c>
      <c r="F78" s="487">
        <f>+E78/'COSTOS MO CUADRILLA'!K72</f>
        <v/>
      </c>
      <c r="G78" s="584" t="n"/>
    </row>
    <row r="79">
      <c r="B79" s="645" t="n"/>
      <c r="C79" s="486" t="inlineStr">
        <is>
          <t>Mano de obra accesorios</t>
        </is>
      </c>
      <c r="D79" s="489">
        <f>+'1_OG y 2_ACA'!D159</f>
        <v/>
      </c>
      <c r="E79" s="646">
        <f>+SUM(D70:D75)*D79</f>
        <v/>
      </c>
      <c r="F79" s="487">
        <f>+E79/'COSTOS MO CUADRILLA'!K72</f>
        <v/>
      </c>
    </row>
    <row r="80">
      <c r="B80" s="645" t="n"/>
      <c r="C80" s="486" t="n"/>
      <c r="D80" s="487" t="inlineStr">
        <is>
          <t xml:space="preserve">Total </t>
        </is>
      </c>
      <c r="E80" s="646">
        <f>SUM(E78:E79)</f>
        <v/>
      </c>
      <c r="F80" s="487">
        <f>+E80/'COSTOS MO CUADRILLA'!K72</f>
        <v/>
      </c>
    </row>
    <row r="83">
      <c r="B83" s="469" t="n"/>
      <c r="C83" s="468" t="inlineStr">
        <is>
          <t>3.2.2.2</t>
        </is>
      </c>
      <c r="D83" s="640" t="inlineStr">
        <is>
          <t>SANITARIO DE ENTREPISO</t>
        </is>
      </c>
      <c r="E83" s="469" t="n"/>
      <c r="F83" s="469" t="n"/>
    </row>
    <row r="84">
      <c r="B84" s="469" t="n"/>
      <c r="C84" s="469" t="n"/>
      <c r="D84" s="652" t="n"/>
      <c r="E84" s="469" t="n"/>
      <c r="F84" s="469" t="n"/>
    </row>
    <row r="85">
      <c r="B85" s="469" t="n"/>
      <c r="C85" s="491" t="inlineStr">
        <is>
          <t>SANITARIO DE ENTREPISO</t>
        </is>
      </c>
      <c r="D85" s="642" t="n"/>
      <c r="E85" s="491" t="n"/>
    </row>
    <row r="86">
      <c r="B86" s="469" t="n"/>
      <c r="C86" s="643" t="inlineStr">
        <is>
          <t>Tubería</t>
        </is>
      </c>
    </row>
    <row r="87">
      <c r="A87" s="417" t="n"/>
      <c r="B87" s="476" t="inlineStr">
        <is>
          <t>M13-0190</t>
        </is>
      </c>
      <c r="C87" s="411" t="inlineStr">
        <is>
          <t>Tubo PVC 3"</t>
        </is>
      </c>
      <c r="D87" s="418" t="n">
        <v>0</v>
      </c>
      <c r="E87" s="487">
        <f>ROUNDUP(D87/6,0)</f>
        <v/>
      </c>
      <c r="F87" s="421" t="n"/>
    </row>
    <row r="88">
      <c r="A88" s="417" t="n"/>
      <c r="B88" s="476" t="inlineStr">
        <is>
          <t>M13-0173</t>
        </is>
      </c>
      <c r="C88" s="411" t="inlineStr">
        <is>
          <t>Tubo PVC 2"</t>
        </is>
      </c>
      <c r="D88" s="418" t="n">
        <v>0</v>
      </c>
      <c r="E88" s="487">
        <f>ROUNDUP(D88/6,0)</f>
        <v/>
      </c>
      <c r="F88" s="421" t="n"/>
    </row>
    <row r="89">
      <c r="A89" s="417" t="n"/>
      <c r="B89" s="476" t="n"/>
      <c r="C89" s="643" t="inlineStr">
        <is>
          <t>Accesorios</t>
        </is>
      </c>
    </row>
    <row r="90">
      <c r="A90" s="417" t="n"/>
      <c r="B90" s="476" t="inlineStr">
        <is>
          <t>M13-0124</t>
        </is>
      </c>
      <c r="C90" s="411" t="inlineStr">
        <is>
          <t>Codo 90 PVC 3"</t>
        </is>
      </c>
      <c r="D90" s="418" t="n">
        <v>0</v>
      </c>
      <c r="E90" s="487">
        <f>ROUNDUP(D90,0)</f>
        <v/>
      </c>
      <c r="F90" s="421" t="n"/>
    </row>
    <row r="91">
      <c r="A91" s="417" t="n"/>
      <c r="B91" s="476" t="inlineStr">
        <is>
          <t>M13-0117</t>
        </is>
      </c>
      <c r="C91" s="411" t="inlineStr">
        <is>
          <t>Codo 45 PVC 3"</t>
        </is>
      </c>
      <c r="D91" s="418" t="n">
        <v>0</v>
      </c>
      <c r="E91" s="487">
        <f>ROUNDUP(D91,0)</f>
        <v/>
      </c>
      <c r="F91" s="421" t="n"/>
    </row>
    <row r="92">
      <c r="A92" s="417" t="n"/>
      <c r="B92" s="476" t="inlineStr">
        <is>
          <t>M13-0211</t>
        </is>
      </c>
      <c r="C92" s="411" t="inlineStr">
        <is>
          <t>Codo 90 PVC 2"</t>
        </is>
      </c>
      <c r="D92" s="418" t="n">
        <v>0</v>
      </c>
      <c r="E92" s="487">
        <f>ROUNDUP(D92,0)</f>
        <v/>
      </c>
      <c r="F92" s="421" t="n"/>
    </row>
    <row r="93">
      <c r="A93" s="417" t="n"/>
      <c r="B93" s="476" t="inlineStr">
        <is>
          <t>M13-0119</t>
        </is>
      </c>
      <c r="C93" s="411" t="inlineStr">
        <is>
          <t>Codo 45 PVC 2"</t>
        </is>
      </c>
      <c r="D93" s="418" t="n">
        <v>0</v>
      </c>
      <c r="E93" s="487">
        <f>ROUNDUP(D93,0)</f>
        <v/>
      </c>
      <c r="F93" s="421" t="n"/>
    </row>
    <row r="94">
      <c r="A94" s="417" t="n"/>
      <c r="B94" s="476" t="inlineStr">
        <is>
          <t>M13-0192</t>
        </is>
      </c>
      <c r="C94" s="411" t="inlineStr">
        <is>
          <t>Yee PVC 3"</t>
        </is>
      </c>
      <c r="D94" s="418" t="n">
        <v>0</v>
      </c>
      <c r="E94" s="487">
        <f>ROUNDUP(D94,0)</f>
        <v/>
      </c>
      <c r="F94" s="421" t="n"/>
    </row>
    <row r="95">
      <c r="A95" s="417" t="n"/>
      <c r="B95" s="476" t="inlineStr">
        <is>
          <t>M13-0191</t>
        </is>
      </c>
      <c r="C95" s="411" t="inlineStr">
        <is>
          <t>Yee PVC 2"</t>
        </is>
      </c>
      <c r="D95" s="418" t="n">
        <v>0</v>
      </c>
      <c r="E95" s="487">
        <f>ROUNDUP(D95,0)</f>
        <v/>
      </c>
      <c r="F95" s="421" t="n"/>
    </row>
    <row r="96">
      <c r="A96" s="417" t="n"/>
      <c r="B96" s="476" t="inlineStr">
        <is>
          <t>M13-0134</t>
        </is>
      </c>
      <c r="C96" s="411" t="inlineStr">
        <is>
          <t>Reducción 2" a 3"</t>
        </is>
      </c>
      <c r="D96" s="418" t="n">
        <v>0</v>
      </c>
      <c r="E96" s="487">
        <f>ROUNDUP(D96,0)</f>
        <v/>
      </c>
      <c r="F96" s="421" t="n"/>
    </row>
    <row r="98">
      <c r="B98" s="645" t="n"/>
      <c r="C98" s="486" t="n"/>
      <c r="D98" s="487" t="inlineStr">
        <is>
          <t>Costo</t>
        </is>
      </c>
      <c r="E98" s="486" t="inlineStr">
        <is>
          <t xml:space="preserve">Costo Total </t>
        </is>
      </c>
      <c r="F98" s="488" t="inlineStr">
        <is>
          <t>Horas</t>
        </is>
      </c>
    </row>
    <row r="99">
      <c r="B99" s="645" t="n"/>
      <c r="C99" s="486" t="inlineStr">
        <is>
          <t>Mano de obra ml de tuberia</t>
        </is>
      </c>
      <c r="D99" s="489">
        <f>+'1_OG y 2_ACA'!D156</f>
        <v/>
      </c>
      <c r="E99" s="646">
        <f>+SUM(D87:D88)*D99</f>
        <v/>
      </c>
      <c r="F99" s="487">
        <f>+E99/'COSTOS MO CUADRILLA'!K72</f>
        <v/>
      </c>
      <c r="G99" s="584" t="n"/>
      <c r="J99" s="481" t="n"/>
    </row>
    <row r="100">
      <c r="B100" s="645" t="n"/>
      <c r="C100" s="486" t="inlineStr">
        <is>
          <t>Mano de obra accesorios</t>
        </is>
      </c>
      <c r="D100" s="489">
        <f>+'1_OG y 2_ACA'!D157</f>
        <v/>
      </c>
      <c r="E100" s="646">
        <f>+SUM(D90:D96)*D100</f>
        <v/>
      </c>
      <c r="F100" s="487">
        <f>+E100/'COSTOS MO CUADRILLA'!K72</f>
        <v/>
      </c>
      <c r="J100" s="481" t="n"/>
    </row>
    <row r="101">
      <c r="B101" s="645" t="n"/>
      <c r="C101" s="486" t="n"/>
      <c r="D101" s="487" t="inlineStr">
        <is>
          <t xml:space="preserve">Total </t>
        </is>
      </c>
      <c r="E101" s="646">
        <f>SUM(E99:E100)</f>
        <v/>
      </c>
      <c r="F101" s="487">
        <f>+E101/'COSTOS MO CUADRILLA'!K72</f>
        <v/>
      </c>
      <c r="J101" s="481" t="n"/>
    </row>
    <row r="102">
      <c r="B102" s="645" t="n"/>
      <c r="C102" s="645" t="n"/>
      <c r="D102" s="647" t="n"/>
      <c r="E102" s="645" t="n"/>
      <c r="F102" s="645" t="n"/>
      <c r="G102" s="645" t="n"/>
      <c r="H102" s="645" t="n"/>
      <c r="J102" s="481" t="n"/>
    </row>
    <row r="103">
      <c r="B103" s="469" t="n"/>
      <c r="C103" s="469" t="n"/>
      <c r="D103" s="652" t="n"/>
      <c r="E103" s="469" t="n"/>
      <c r="F103" s="469" t="n"/>
    </row>
    <row r="104">
      <c r="C104" s="468" t="inlineStr">
        <is>
          <t>3.2.3</t>
        </is>
      </c>
      <c r="D104" s="640" t="inlineStr">
        <is>
          <t>TUBERÍA MECÁNICA MUROS</t>
        </is>
      </c>
      <c r="E104" s="1156" t="n"/>
    </row>
    <row r="105">
      <c r="E105" s="1156" t="n"/>
    </row>
    <row r="106">
      <c r="B106" s="539" t="n"/>
      <c r="C106" s="491" t="inlineStr">
        <is>
          <t>MECANICO MUROS 1NIVEL</t>
        </is>
      </c>
      <c r="D106" s="642" t="n"/>
      <c r="E106" s="491" t="n"/>
    </row>
    <row r="107">
      <c r="A107" s="417" t="n"/>
      <c r="B107" s="476" t="n"/>
      <c r="C107" s="643" t="inlineStr">
        <is>
          <t>Tubería</t>
        </is>
      </c>
      <c r="G107" s="46" t="n"/>
      <c r="H107" s="654" t="n"/>
      <c r="I107" s="47" t="n"/>
      <c r="J107" s="654" t="n"/>
      <c r="K107" s="47" t="n"/>
    </row>
    <row r="108">
      <c r="A108" s="417" t="n"/>
      <c r="B108" s="476" t="inlineStr">
        <is>
          <t>M13-0172</t>
        </is>
      </c>
      <c r="C108" s="411" t="inlineStr">
        <is>
          <t>Tubo SDR41 PVC 1 1/4</t>
        </is>
      </c>
      <c r="D108" s="418" t="n">
        <v>0</v>
      </c>
      <c r="E108" s="487">
        <f>ROUNDUP(D108,0)</f>
        <v/>
      </c>
      <c r="F108" s="416" t="n"/>
      <c r="G108" s="484" t="n"/>
      <c r="H108" s="655" t="n"/>
      <c r="I108" s="656" t="n"/>
      <c r="J108" s="655" t="n"/>
      <c r="K108" s="656" t="n"/>
    </row>
    <row r="109">
      <c r="A109" s="417" t="n"/>
      <c r="B109" s="476" t="inlineStr">
        <is>
          <t>M13-0170</t>
        </is>
      </c>
      <c r="C109" s="411" t="inlineStr">
        <is>
          <t>Tubo PVC 1/2 p/gruesa</t>
        </is>
      </c>
      <c r="D109" s="418">
        <f>+H114/6</f>
        <v/>
      </c>
      <c r="E109" s="487">
        <f>ROUNDUP(D109,0)</f>
        <v/>
      </c>
      <c r="F109" s="416" t="n"/>
      <c r="G109" s="484" t="n"/>
      <c r="H109" s="655" t="n"/>
      <c r="I109" s="656" t="n"/>
      <c r="J109" s="655" t="n"/>
      <c r="K109" s="656" t="n"/>
    </row>
    <row r="110">
      <c r="A110" s="417" t="n"/>
      <c r="B110" s="476" t="inlineStr">
        <is>
          <t>M13-0166</t>
        </is>
      </c>
      <c r="C110" s="411" t="inlineStr">
        <is>
          <t>Tubo CPVC 1/2</t>
        </is>
      </c>
      <c r="D110" s="418">
        <f>+I114/6</f>
        <v/>
      </c>
      <c r="E110" s="487">
        <f>ROUNDUP(D110,0)</f>
        <v/>
      </c>
      <c r="F110" s="416" t="n"/>
      <c r="G110" s="484" t="n"/>
      <c r="H110" s="655" t="n"/>
      <c r="I110" s="656" t="n"/>
      <c r="J110" s="655" t="n"/>
      <c r="K110" s="656" t="n"/>
    </row>
    <row r="111">
      <c r="A111" s="417" t="n"/>
      <c r="B111" s="476" t="n"/>
      <c r="C111" s="643" t="inlineStr">
        <is>
          <t>Accesorios</t>
        </is>
      </c>
      <c r="G111" s="484" t="n"/>
      <c r="H111" s="655" t="n"/>
      <c r="I111" s="656" t="n"/>
      <c r="J111" s="655" t="n"/>
      <c r="K111" s="656" t="n"/>
    </row>
    <row r="112">
      <c r="A112" s="417" t="n"/>
      <c r="B112" s="476" t="inlineStr">
        <is>
          <t>M13-0120</t>
        </is>
      </c>
      <c r="C112" s="411" t="inlineStr">
        <is>
          <t>Codo 90 PVC liso 1/2"</t>
        </is>
      </c>
      <c r="D112" s="418" t="n">
        <v>0</v>
      </c>
      <c r="E112" s="487">
        <f>ROUNDUP(D112,0)</f>
        <v/>
      </c>
      <c r="F112" s="416" t="n"/>
      <c r="G112" s="484" t="n"/>
      <c r="H112" s="655" t="n"/>
      <c r="I112" s="656" t="n"/>
      <c r="J112" s="655" t="n"/>
      <c r="K112" s="656" t="n"/>
    </row>
    <row r="113">
      <c r="A113" s="417" t="n"/>
      <c r="B113" s="476" t="inlineStr">
        <is>
          <t>M13-0094</t>
        </is>
      </c>
      <c r="C113" s="411" t="inlineStr">
        <is>
          <t>Codo 90 CPVC 1/2"</t>
        </is>
      </c>
      <c r="D113" s="418" t="n">
        <v>0</v>
      </c>
      <c r="E113" s="487">
        <f>ROUNDUP(D113,0)</f>
        <v/>
      </c>
      <c r="F113" s="416" t="n"/>
      <c r="G113" s="484" t="n"/>
      <c r="H113" s="655" t="n"/>
      <c r="I113" s="656" t="n"/>
      <c r="J113" s="655" t="n"/>
      <c r="K113" s="656" t="n"/>
    </row>
    <row r="114">
      <c r="A114" s="417" t="n"/>
      <c r="B114" s="476" t="inlineStr">
        <is>
          <t>M13-0091</t>
        </is>
      </c>
      <c r="C114" s="411" t="inlineStr">
        <is>
          <t>Adaptador macho PVC 1/2</t>
        </is>
      </c>
      <c r="D114" s="418" t="n">
        <v>0</v>
      </c>
      <c r="E114" s="487">
        <f>ROUNDUP(D114,0)</f>
        <v/>
      </c>
      <c r="F114" s="416" t="n"/>
      <c r="H114" s="481" t="n"/>
      <c r="I114" s="481" t="n"/>
      <c r="J114" s="481" t="n"/>
      <c r="K114" s="481" t="n"/>
    </row>
    <row r="115">
      <c r="A115" s="417" t="n"/>
      <c r="B115" s="476" t="inlineStr">
        <is>
          <t>M13-0090</t>
        </is>
      </c>
      <c r="C115" s="411" t="inlineStr">
        <is>
          <t>Adaptador macho CPVC 1/2</t>
        </is>
      </c>
      <c r="D115" s="418" t="n">
        <v>0</v>
      </c>
      <c r="E115" s="487">
        <f>ROUNDUP(D115,0)</f>
        <v/>
      </c>
      <c r="F115" s="416" t="n"/>
    </row>
    <row r="116">
      <c r="A116" s="417" t="n"/>
      <c r="B116" s="476" t="inlineStr">
        <is>
          <t>M13-0147</t>
        </is>
      </c>
      <c r="C116" s="411" t="inlineStr">
        <is>
          <t>Tapon hembra liso PVC 1/2</t>
        </is>
      </c>
      <c r="D116" s="418" t="n">
        <v>0</v>
      </c>
      <c r="E116" s="487">
        <f>ROUNDUP(D116,0)</f>
        <v/>
      </c>
      <c r="F116" s="416" t="n"/>
    </row>
    <row r="117">
      <c r="A117" s="417" t="n"/>
      <c r="B117" s="476" t="inlineStr">
        <is>
          <t>M13-0100</t>
        </is>
      </c>
      <c r="C117" s="411" t="inlineStr">
        <is>
          <t>Tapon liso CPVC 1/2</t>
        </is>
      </c>
      <c r="D117" s="418" t="n">
        <v>0</v>
      </c>
      <c r="E117" s="487">
        <f>ROUNDUP(D117,0)</f>
        <v/>
      </c>
      <c r="F117" s="416" t="n"/>
    </row>
    <row r="118">
      <c r="A118" s="417" t="n"/>
      <c r="B118" s="476" t="inlineStr">
        <is>
          <t>M13-0199</t>
        </is>
      </c>
      <c r="C118" s="411" t="inlineStr">
        <is>
          <t>Tapon liso PVC sanitario 11/4</t>
        </is>
      </c>
      <c r="D118" s="418" t="n">
        <v>0</v>
      </c>
      <c r="E118" s="487">
        <f>ROUNDUP(D118,0)</f>
        <v/>
      </c>
      <c r="F118" s="416" t="n"/>
    </row>
    <row r="119">
      <c r="A119" s="657" t="n"/>
      <c r="B119" s="478" t="n"/>
    </row>
    <row r="120">
      <c r="C120" s="491" t="inlineStr">
        <is>
          <t>MECANICO MUROS 2NIVEL</t>
        </is>
      </c>
      <c r="D120" s="642" t="n"/>
      <c r="E120" s="491" t="n"/>
      <c r="G120" s="484" t="n"/>
      <c r="H120" s="655" t="n"/>
      <c r="I120" s="656" t="n"/>
      <c r="J120" s="655" t="n"/>
      <c r="K120" s="656" t="n"/>
    </row>
    <row r="121">
      <c r="C121" s="643" t="inlineStr">
        <is>
          <t>Tubería</t>
        </is>
      </c>
      <c r="G121" s="484" t="n"/>
      <c r="H121" s="655" t="n"/>
      <c r="I121" s="656" t="n"/>
      <c r="J121" s="655" t="n"/>
      <c r="K121" s="656" t="n"/>
    </row>
    <row r="122">
      <c r="B122" s="476" t="inlineStr">
        <is>
          <t>M13-0172</t>
        </is>
      </c>
      <c r="C122" s="411" t="inlineStr">
        <is>
          <t>Tubo SDR41 pvc 1 1/4</t>
        </is>
      </c>
      <c r="D122" s="418" t="n">
        <v>0</v>
      </c>
      <c r="E122" s="487">
        <f>ROUNDUP(D122,0)</f>
        <v/>
      </c>
      <c r="F122" s="543" t="n"/>
      <c r="G122" s="481" t="n"/>
      <c r="H122" s="481" t="n"/>
      <c r="I122" s="481" t="n"/>
      <c r="J122" s="481" t="n"/>
      <c r="K122" s="481" t="n"/>
    </row>
    <row r="123">
      <c r="B123" s="476" t="inlineStr">
        <is>
          <t>M13-0170</t>
        </is>
      </c>
      <c r="C123" s="411" t="inlineStr">
        <is>
          <t>Tubo PVC 1/2 p/gruesa</t>
        </is>
      </c>
      <c r="D123" s="418" t="n">
        <v>0</v>
      </c>
      <c r="E123" s="487">
        <f>ROUNDUP(D123,0)</f>
        <v/>
      </c>
      <c r="F123" s="416" t="n"/>
      <c r="G123" s="481" t="n"/>
      <c r="H123" s="655" t="n"/>
      <c r="I123" s="656" t="n"/>
      <c r="J123" s="481" t="n"/>
    </row>
    <row r="124">
      <c r="B124" s="476" t="inlineStr">
        <is>
          <t>M13-0166</t>
        </is>
      </c>
      <c r="C124" s="411" t="inlineStr">
        <is>
          <t>Tubo CPVC 1/2</t>
        </is>
      </c>
      <c r="D124" s="418" t="n">
        <v>0</v>
      </c>
      <c r="E124" s="487">
        <f>ROUNDUP(D124,0)</f>
        <v/>
      </c>
      <c r="F124" s="416" t="n"/>
      <c r="H124" s="655" t="n"/>
      <c r="I124" s="656" t="n"/>
      <c r="J124" s="481" t="n"/>
    </row>
    <row r="125">
      <c r="B125" s="476" t="n"/>
      <c r="C125" s="643" t="inlineStr">
        <is>
          <t>Accesorios</t>
        </is>
      </c>
      <c r="F125" s="416" t="n"/>
      <c r="H125" s="655" t="n"/>
      <c r="I125" s="656" t="n"/>
      <c r="J125" s="481" t="n"/>
    </row>
    <row r="126">
      <c r="B126" s="476" t="inlineStr">
        <is>
          <t>M13-0120</t>
        </is>
      </c>
      <c r="C126" s="411" t="inlineStr">
        <is>
          <t>Codo 90 PVC liso 1/2"</t>
        </is>
      </c>
      <c r="D126" s="418" t="n">
        <v>0</v>
      </c>
      <c r="E126" s="487">
        <f>ROUNDUP(D126,0)</f>
        <v/>
      </c>
      <c r="F126" s="416" t="n"/>
      <c r="H126" s="655" t="n"/>
      <c r="J126" s="481" t="n"/>
    </row>
    <row r="127">
      <c r="B127" s="476" t="inlineStr">
        <is>
          <t>M13-0094</t>
        </is>
      </c>
      <c r="C127" s="411" t="inlineStr">
        <is>
          <t>Codo 90 CPVC 1/2"</t>
        </is>
      </c>
      <c r="D127" s="418" t="n">
        <v>0</v>
      </c>
      <c r="E127" s="487">
        <f>ROUNDUP(D127,0)</f>
        <v/>
      </c>
      <c r="F127" s="416" t="n"/>
      <c r="H127" s="655" t="n"/>
      <c r="J127" s="481" t="n"/>
    </row>
    <row r="128">
      <c r="B128" s="476" t="inlineStr">
        <is>
          <t>M13-0091</t>
        </is>
      </c>
      <c r="C128" s="411" t="inlineStr">
        <is>
          <t>Adaptador macho PVC 1/2</t>
        </is>
      </c>
      <c r="D128" s="418" t="n">
        <v>0</v>
      </c>
      <c r="E128" s="487">
        <f>ROUNDUP(D128,0)</f>
        <v/>
      </c>
      <c r="F128" s="416" t="n"/>
      <c r="H128" s="655" t="n"/>
      <c r="J128" s="481" t="n"/>
    </row>
    <row r="129">
      <c r="B129" s="476" t="inlineStr">
        <is>
          <t>M13-0090</t>
        </is>
      </c>
      <c r="C129" s="411" t="inlineStr">
        <is>
          <t>Adaptador macho CPVC 1/2</t>
        </is>
      </c>
      <c r="D129" s="418" t="n">
        <v>0</v>
      </c>
      <c r="E129" s="487">
        <f>ROUNDUP(D129,0)</f>
        <v/>
      </c>
      <c r="F129" s="416" t="n"/>
      <c r="H129" s="655" t="n"/>
      <c r="J129" s="481" t="n"/>
    </row>
    <row r="130">
      <c r="B130" s="476" t="inlineStr">
        <is>
          <t>M13-0147</t>
        </is>
      </c>
      <c r="C130" s="411" t="inlineStr">
        <is>
          <t>Tapon hembra liso PVC 1/2</t>
        </is>
      </c>
      <c r="D130" s="418" t="n">
        <v>0</v>
      </c>
      <c r="E130" s="487">
        <f>ROUNDUP(D130,0)</f>
        <v/>
      </c>
      <c r="F130" s="416" t="n"/>
    </row>
    <row r="131">
      <c r="B131" s="476" t="inlineStr">
        <is>
          <t>M13-0100</t>
        </is>
      </c>
      <c r="C131" s="411" t="inlineStr">
        <is>
          <t>Tapon liso CPVC 1/2</t>
        </is>
      </c>
      <c r="D131" s="418" t="n"/>
      <c r="E131" s="487">
        <f>ROUNDUP(D131,0)</f>
        <v/>
      </c>
      <c r="F131" s="543" t="n"/>
    </row>
    <row r="132">
      <c r="B132" s="476" t="inlineStr">
        <is>
          <t>M13-0199</t>
        </is>
      </c>
      <c r="C132" s="411" t="inlineStr">
        <is>
          <t>Tapon liso PVC sanitario 11/4</t>
        </is>
      </c>
      <c r="D132" s="418" t="n"/>
      <c r="E132" s="487">
        <f>ROUNDUP(D132,0)</f>
        <v/>
      </c>
      <c r="F132" s="543" t="n"/>
      <c r="J132" s="481" t="n"/>
    </row>
    <row r="133">
      <c r="B133" s="469" t="n"/>
      <c r="D133" s="577" t="n"/>
    </row>
    <row r="134">
      <c r="B134" s="469" t="n"/>
      <c r="C134" s="488" t="inlineStr">
        <is>
          <t>Elemento</t>
        </is>
      </c>
      <c r="D134" s="487" t="inlineStr">
        <is>
          <t>Cantidad</t>
        </is>
      </c>
      <c r="E134" s="488" t="inlineStr">
        <is>
          <t>Unidad</t>
        </is>
      </c>
    </row>
    <row r="135">
      <c r="B135" s="476" t="inlineStr">
        <is>
          <t>M13-0172</t>
        </is>
      </c>
      <c r="C135" s="486" t="inlineStr">
        <is>
          <t>Tubo SDR41 pvc 1 1/4</t>
        </is>
      </c>
      <c r="D135" s="487">
        <f>+E108+E122</f>
        <v/>
      </c>
      <c r="E135" s="487" t="inlineStr">
        <is>
          <t>u</t>
        </is>
      </c>
      <c r="K135" s="481" t="n"/>
    </row>
    <row r="136">
      <c r="B136" s="476" t="inlineStr">
        <is>
          <t>M13-0170</t>
        </is>
      </c>
      <c r="C136" s="486" t="inlineStr">
        <is>
          <t>Tubo PVC 1/2 p/gruesa</t>
        </is>
      </c>
      <c r="D136" s="487">
        <f>+E109+E123</f>
        <v/>
      </c>
      <c r="E136" s="487" t="inlineStr">
        <is>
          <t>u</t>
        </is>
      </c>
      <c r="K136" s="481" t="n"/>
    </row>
    <row r="137">
      <c r="B137" s="476" t="inlineStr">
        <is>
          <t>M13-0166</t>
        </is>
      </c>
      <c r="C137" s="486" t="inlineStr">
        <is>
          <t>Tubo CPVC 1/2</t>
        </is>
      </c>
      <c r="D137" s="487">
        <f>+E110+E124</f>
        <v/>
      </c>
      <c r="E137" s="487" t="inlineStr">
        <is>
          <t>u</t>
        </is>
      </c>
    </row>
    <row r="138">
      <c r="B138" s="476" t="inlineStr">
        <is>
          <t>M13-0120</t>
        </is>
      </c>
      <c r="C138" s="486" t="inlineStr">
        <is>
          <t>Codo 90 PVC liso 1/2"</t>
        </is>
      </c>
      <c r="D138" s="487">
        <f>+D112+D126</f>
        <v/>
      </c>
      <c r="E138" s="487" t="inlineStr">
        <is>
          <t>u</t>
        </is>
      </c>
    </row>
    <row r="139">
      <c r="B139" s="476" t="inlineStr">
        <is>
          <t>M13-0094</t>
        </is>
      </c>
      <c r="C139" s="486" t="inlineStr">
        <is>
          <t>Codo 90 CPVC 1/2"</t>
        </is>
      </c>
      <c r="D139" s="487">
        <f>+D113+D127</f>
        <v/>
      </c>
      <c r="E139" s="487" t="inlineStr">
        <is>
          <t>u</t>
        </is>
      </c>
    </row>
    <row r="140">
      <c r="B140" s="476" t="inlineStr">
        <is>
          <t>M13-0091</t>
        </is>
      </c>
      <c r="C140" s="486" t="inlineStr">
        <is>
          <t>Adaptador macho PVC 1/2</t>
        </is>
      </c>
      <c r="D140" s="487">
        <f>+D114+D128</f>
        <v/>
      </c>
      <c r="E140" s="487" t="inlineStr">
        <is>
          <t>u</t>
        </is>
      </c>
    </row>
    <row r="141">
      <c r="B141" s="476" t="inlineStr">
        <is>
          <t>M13-0090</t>
        </is>
      </c>
      <c r="C141" s="486" t="inlineStr">
        <is>
          <t>Adaptador macho CPVC 1/2</t>
        </is>
      </c>
      <c r="D141" s="487">
        <f>+D115+D129</f>
        <v/>
      </c>
      <c r="E141" s="487" t="inlineStr">
        <is>
          <t>u</t>
        </is>
      </c>
    </row>
    <row r="142">
      <c r="B142" s="476" t="inlineStr">
        <is>
          <t>M13-0147</t>
        </is>
      </c>
      <c r="C142" s="486" t="inlineStr">
        <is>
          <t>Tapon hembra liso PVC 1/2</t>
        </is>
      </c>
      <c r="D142" s="487">
        <f>+D116+D130</f>
        <v/>
      </c>
      <c r="E142" s="487" t="inlineStr">
        <is>
          <t>u</t>
        </is>
      </c>
    </row>
    <row r="143">
      <c r="B143" s="476" t="inlineStr">
        <is>
          <t>M13-0100</t>
        </is>
      </c>
      <c r="C143" s="486" t="inlineStr">
        <is>
          <t>Tapon liso CPVC 1/2</t>
        </is>
      </c>
      <c r="D143" s="487">
        <f>+D117+D131</f>
        <v/>
      </c>
      <c r="E143" s="487" t="inlineStr">
        <is>
          <t>u</t>
        </is>
      </c>
    </row>
    <row r="144">
      <c r="B144" s="476" t="inlineStr">
        <is>
          <t>M13-0199</t>
        </is>
      </c>
      <c r="C144" s="486" t="inlineStr">
        <is>
          <t>Tapon liso PVC sanitario 11/4</t>
        </is>
      </c>
      <c r="D144" s="487">
        <f>+D118+D132</f>
        <v/>
      </c>
      <c r="E144" s="487" t="inlineStr">
        <is>
          <t>u</t>
        </is>
      </c>
    </row>
    <row r="145">
      <c r="B145" s="476" t="inlineStr">
        <is>
          <t>M06-0013</t>
        </is>
      </c>
      <c r="C145" s="486">
        <f>_xlfn.XLOOKUP(B145,'BASE DATOS PRECIOS '!B:B,'BASE DATOS PRECIOS '!E:E,0,0,1)</f>
        <v/>
      </c>
      <c r="D145" s="487">
        <f>IF('1_OG y 2_ACA'!D2=2,5,2)</f>
        <v/>
      </c>
      <c r="E145" s="486">
        <f>_xlfn.XLOOKUP(B145,'BASE DATOS PRECIOS '!B:B,'BASE DATOS PRECIOS '!F:F,0,0,1)</f>
        <v/>
      </c>
    </row>
    <row r="146">
      <c r="B146" s="476" t="inlineStr">
        <is>
          <t>M04-0003</t>
        </is>
      </c>
      <c r="C146" s="486">
        <f>_xlfn.XLOOKUP(B146,'BASE DATOS PRECIOS '!B:B,'BASE DATOS PRECIOS '!E:E,0,0,1)</f>
        <v/>
      </c>
      <c r="D146" s="487" t="n">
        <v>3</v>
      </c>
      <c r="E146" s="486">
        <f>_xlfn.XLOOKUP(B146,'BASE DATOS PRECIOS '!B:B,'BASE DATOS PRECIOS '!F:F,0,0,1)</f>
        <v/>
      </c>
    </row>
    <row r="147">
      <c r="B147" s="476" t="inlineStr">
        <is>
          <t>M11-0141</t>
        </is>
      </c>
      <c r="C147" s="486">
        <f>_xlfn.XLOOKUP(B147,'BASE DATOS PRECIOS '!B:B,'BASE DATOS PRECIOS '!E:E,0,0,1)</f>
        <v/>
      </c>
      <c r="D147" s="487" t="n">
        <v>2</v>
      </c>
      <c r="E147" s="486">
        <f>_xlfn.XLOOKUP(B147,'BASE DATOS PRECIOS '!B:B,'BASE DATOS PRECIOS '!F:F,0,0,1)</f>
        <v/>
      </c>
    </row>
    <row r="148">
      <c r="B148" s="476" t="inlineStr">
        <is>
          <t>M05-0027</t>
        </is>
      </c>
      <c r="C148" s="486">
        <f>_xlfn.XLOOKUP(B148,'BASE DATOS PRECIOS '!B:B,'BASE DATOS PRECIOS '!E:E,0,0,1)</f>
        <v/>
      </c>
      <c r="D148" s="487" t="n">
        <v>1</v>
      </c>
      <c r="E148" s="486">
        <f>_xlfn.XLOOKUP(B148,'BASE DATOS PRECIOS '!B:B,'BASE DATOS PRECIOS '!F:F,0,0,1)</f>
        <v/>
      </c>
    </row>
    <row r="149">
      <c r="B149" s="476" t="inlineStr">
        <is>
          <t>M13-0021</t>
        </is>
      </c>
      <c r="C149" s="486">
        <f>_xlfn.XLOOKUP(B149,'BASE DATOS PRECIOS '!B:B,'BASE DATOS PRECIOS '!E:E,0,0,1)</f>
        <v/>
      </c>
      <c r="D149" s="487" t="n">
        <v>4</v>
      </c>
      <c r="E149" s="486">
        <f>_xlfn.XLOOKUP(B149,'BASE DATOS PRECIOS '!B:B,'BASE DATOS PRECIOS '!F:F,0,0,1)</f>
        <v/>
      </c>
    </row>
    <row r="150">
      <c r="B150" s="476" t="inlineStr">
        <is>
          <t>M05-0026</t>
        </is>
      </c>
      <c r="C150" s="486">
        <f>_xlfn.XLOOKUP(B150,'BASE DATOS PRECIOS '!B:B,'BASE DATOS PRECIOS '!E:E,0,0,1)</f>
        <v/>
      </c>
      <c r="D150" s="487" t="n">
        <v>1</v>
      </c>
      <c r="E150" s="486">
        <f>_xlfn.XLOOKUP(B150,'BASE DATOS PRECIOS '!B:B,'BASE DATOS PRECIOS '!F:F,0,0,1)</f>
        <v/>
      </c>
    </row>
    <row r="153">
      <c r="C153" s="486" t="n"/>
      <c r="D153" s="487" t="inlineStr">
        <is>
          <t>Costo</t>
        </is>
      </c>
      <c r="E153" s="486" t="inlineStr">
        <is>
          <t xml:space="preserve">Costo Total </t>
        </is>
      </c>
      <c r="F153" s="488" t="inlineStr">
        <is>
          <t>Horas</t>
        </is>
      </c>
    </row>
    <row r="154">
      <c r="C154" s="486" t="inlineStr">
        <is>
          <t>Mano de obra ml de tuberia</t>
        </is>
      </c>
      <c r="D154" s="489">
        <f>+'1_OG y 2_ACA'!D158</f>
        <v/>
      </c>
      <c r="E154" s="646">
        <f>+SUM(D108:D110,D122:D124)*D154</f>
        <v/>
      </c>
      <c r="F154" s="487">
        <f>+E154/'COSTOS MO CUADRILLA'!K74</f>
        <v/>
      </c>
      <c r="G154" s="584" t="n"/>
    </row>
    <row r="155">
      <c r="C155" s="486" t="inlineStr">
        <is>
          <t>Mano de obra accesorios</t>
        </is>
      </c>
      <c r="D155" s="489">
        <f>+'1_OG y 2_ACA'!D159</f>
        <v/>
      </c>
      <c r="E155" s="646">
        <f>+SUM(D112:D118,D126:D132)*D155</f>
        <v/>
      </c>
      <c r="F155" s="487">
        <f>+E155/'COSTOS MO CUADRILLA'!K74</f>
        <v/>
      </c>
    </row>
    <row r="156">
      <c r="C156" s="486" t="n"/>
      <c r="D156" s="487" t="inlineStr">
        <is>
          <t xml:space="preserve">Total </t>
        </is>
      </c>
      <c r="E156" s="646">
        <f>SUM(E154:E155)</f>
        <v/>
      </c>
      <c r="F156" s="487">
        <f>+E156/'COSTOS MO CUADRILLA'!K74</f>
        <v/>
      </c>
    </row>
    <row r="157">
      <c r="C157" s="539" t="n"/>
      <c r="D157" s="539" t="n"/>
      <c r="E157" s="539" t="n"/>
      <c r="F157" s="539" t="n"/>
    </row>
    <row r="158">
      <c r="C158" s="539" t="n"/>
      <c r="D158" s="658" t="n"/>
      <c r="E158" s="539" t="n"/>
      <c r="F158" s="539" t="n"/>
    </row>
    <row r="159">
      <c r="C159" s="468" t="inlineStr">
        <is>
          <t>3.2.4</t>
        </is>
      </c>
      <c r="D159" s="640" t="inlineStr">
        <is>
          <t xml:space="preserve">CAJAS Y TUBERIAS MECÁNICAS </t>
        </is>
      </c>
      <c r="E159" s="649" t="n"/>
    </row>
    <row r="161">
      <c r="B161" s="469" t="n"/>
      <c r="C161" s="413" t="inlineStr">
        <is>
          <t>Elemento</t>
        </is>
      </c>
      <c r="D161" s="455" t="inlineStr">
        <is>
          <t>Cantidad</t>
        </is>
      </c>
      <c r="E161" s="413" t="inlineStr">
        <is>
          <t>Unidad</t>
        </is>
      </c>
      <c r="F161" s="416" t="n"/>
    </row>
    <row r="162">
      <c r="B162" s="469" t="n"/>
      <c r="C162" s="411" t="inlineStr">
        <is>
          <t>Caja de registro pluvial y sanitaria</t>
        </is>
      </c>
      <c r="D162" s="418" t="n">
        <v>4</v>
      </c>
      <c r="E162" s="455" t="inlineStr">
        <is>
          <t>u</t>
        </is>
      </c>
      <c r="F162" s="541" t="n"/>
    </row>
    <row r="163">
      <c r="B163" s="469" t="n"/>
      <c r="C163" s="411" t="inlineStr">
        <is>
          <t>Caja de registro secadora</t>
        </is>
      </c>
      <c r="D163" s="418" t="n">
        <v>1</v>
      </c>
      <c r="E163" s="455" t="n"/>
      <c r="F163" s="541" t="n"/>
    </row>
    <row r="164">
      <c r="B164" s="469" t="n"/>
      <c r="C164" s="486" t="inlineStr">
        <is>
          <t>Concreto</t>
        </is>
      </c>
      <c r="D164" s="487">
        <f>+D162*(2*(0.83*0.06*0.45)+3*(0.32*0.06*0.45)+(0.83*0.05*0.44))+D163*((4*(0.32*0.06*0.25))+(0.32*0.32*0.05))</f>
        <v/>
      </c>
      <c r="E164" s="487" t="inlineStr">
        <is>
          <t>m3</t>
        </is>
      </c>
      <c r="F164" s="541" t="n"/>
    </row>
    <row r="166">
      <c r="B166" s="469" t="n"/>
      <c r="C166" s="488" t="inlineStr">
        <is>
          <t>Elemento</t>
        </is>
      </c>
      <c r="D166" s="487" t="inlineStr">
        <is>
          <t>Cantidad</t>
        </is>
      </c>
      <c r="E166" s="488" t="inlineStr">
        <is>
          <t>Unidad</t>
        </is>
      </c>
      <c r="F166" s="541" t="n"/>
    </row>
    <row r="167">
      <c r="B167" s="569" t="inlineStr">
        <is>
          <t>M13-0060</t>
        </is>
      </c>
      <c r="C167" s="486" t="inlineStr">
        <is>
          <t>Trampa para grasa 4"</t>
        </is>
      </c>
      <c r="D167" s="487" t="n">
        <v>1</v>
      </c>
      <c r="E167" s="487" t="inlineStr">
        <is>
          <t>u</t>
        </is>
      </c>
      <c r="F167" s="416" t="n"/>
    </row>
    <row r="168">
      <c r="B168" s="569" t="inlineStr">
        <is>
          <t>M10-0070</t>
        </is>
      </c>
      <c r="C168" s="486" t="inlineStr">
        <is>
          <t>Sifon p/concreto 4"</t>
        </is>
      </c>
      <c r="D168" s="487" t="n">
        <v>3</v>
      </c>
      <c r="E168" s="487" t="inlineStr">
        <is>
          <t>u</t>
        </is>
      </c>
      <c r="F168" s="416" t="n"/>
    </row>
    <row r="169">
      <c r="B169" s="569" t="inlineStr">
        <is>
          <t>M10-0047</t>
        </is>
      </c>
      <c r="C169" s="486" t="inlineStr">
        <is>
          <t>Cemento industrial</t>
        </is>
      </c>
      <c r="D169" s="487">
        <f>+ROUNDUP((D164*'1_OG y 2_ACA'!D104),0)</f>
        <v/>
      </c>
      <c r="E169" s="487" t="inlineStr">
        <is>
          <t>kg</t>
        </is>
      </c>
      <c r="F169" s="541" t="n"/>
    </row>
    <row r="170">
      <c r="B170" s="569" t="inlineStr">
        <is>
          <t>M10-0015</t>
        </is>
      </c>
      <c r="C170" s="486" t="inlineStr">
        <is>
          <t>Piedra cuartilla</t>
        </is>
      </c>
      <c r="D170" s="487">
        <f>ROUNDUP($D$164*'1_OG y 2_ACA'!D103,2)</f>
        <v/>
      </c>
      <c r="E170" s="487" t="inlineStr">
        <is>
          <t>m3</t>
        </is>
      </c>
      <c r="F170" s="541" t="n"/>
    </row>
    <row r="171">
      <c r="B171" s="569" t="inlineStr">
        <is>
          <t>M10-0010</t>
        </is>
      </c>
      <c r="C171" s="486" t="inlineStr">
        <is>
          <t>Arena fina de rio</t>
        </is>
      </c>
      <c r="D171" s="487">
        <f>ROUNDUP($D$164*'1_OG y 2_ACA'!D102,2)</f>
        <v/>
      </c>
      <c r="E171" s="487" t="inlineStr">
        <is>
          <t>m3</t>
        </is>
      </c>
      <c r="F171" s="541" t="n"/>
    </row>
    <row r="172">
      <c r="B172" s="659" t="n"/>
      <c r="C172" s="659" t="n"/>
      <c r="D172" s="659" t="n"/>
      <c r="E172" s="659" t="n"/>
      <c r="F172" s="541" t="n"/>
    </row>
    <row r="173">
      <c r="B173" s="659" t="n"/>
      <c r="C173" s="659" t="n"/>
      <c r="D173" s="659" t="n"/>
      <c r="E173" s="659" t="n"/>
      <c r="F173" s="541" t="n"/>
    </row>
    <row r="174">
      <c r="B174" s="469" t="n"/>
      <c r="C174" s="491" t="inlineStr">
        <is>
          <t>TUBERÍA PLUVIAL</t>
        </is>
      </c>
      <c r="D174" s="642" t="n"/>
      <c r="E174" s="491" t="n"/>
      <c r="F174" s="660" t="n"/>
    </row>
    <row r="175">
      <c r="B175" s="469" t="n"/>
      <c r="C175" s="643" t="inlineStr">
        <is>
          <t>Tubería</t>
        </is>
      </c>
    </row>
    <row r="176">
      <c r="B176" s="476" t="inlineStr">
        <is>
          <t>M13-0179</t>
        </is>
      </c>
      <c r="C176" s="411" t="inlineStr">
        <is>
          <t>Tubo PVC 4"</t>
        </is>
      </c>
      <c r="D176" s="418">
        <f>23.9+10</f>
        <v/>
      </c>
      <c r="E176" s="487">
        <f>ROUNDUP(D176/6,0)</f>
        <v/>
      </c>
      <c r="F176" s="421" t="n"/>
    </row>
    <row r="177">
      <c r="B177" s="476" t="inlineStr">
        <is>
          <t>M13-0190</t>
        </is>
      </c>
      <c r="C177" s="411" t="inlineStr">
        <is>
          <t>Tubo PVC 3"</t>
        </is>
      </c>
      <c r="D177" s="418" t="n">
        <v>0</v>
      </c>
      <c r="E177" s="487">
        <f>ROUNDUP(D177/6,0)</f>
        <v/>
      </c>
      <c r="F177" s="421" t="n"/>
    </row>
    <row r="178">
      <c r="B178" s="476" t="n"/>
      <c r="C178" s="661" t="inlineStr">
        <is>
          <t>Accesorios</t>
        </is>
      </c>
      <c r="D178" s="59" t="n"/>
      <c r="E178" s="59" t="n"/>
    </row>
    <row r="179">
      <c r="B179" s="476" t="inlineStr">
        <is>
          <t>M13-0096</t>
        </is>
      </c>
      <c r="C179" s="411" t="inlineStr">
        <is>
          <t>Codo 90 PVC 4"</t>
        </is>
      </c>
      <c r="D179" s="418" t="n"/>
      <c r="E179" s="487">
        <f>ROUNDUP(D179,0)</f>
        <v/>
      </c>
      <c r="F179" s="421" t="n"/>
    </row>
    <row r="180">
      <c r="B180" s="476" t="inlineStr">
        <is>
          <t>M13-0118</t>
        </is>
      </c>
      <c r="C180" s="411" t="inlineStr">
        <is>
          <t>Codo 45 PVC 4"</t>
        </is>
      </c>
      <c r="D180" s="418" t="n">
        <v>8</v>
      </c>
      <c r="E180" s="487">
        <f>ROUNDUP(D180,0)</f>
        <v/>
      </c>
      <c r="F180" s="421" t="n"/>
    </row>
    <row r="181">
      <c r="B181" s="476" t="inlineStr">
        <is>
          <t>M13-0124</t>
        </is>
      </c>
      <c r="C181" s="411" t="inlineStr">
        <is>
          <t>Codo 90 PVC 3"</t>
        </is>
      </c>
      <c r="D181" s="418" t="n"/>
      <c r="E181" s="487">
        <f>ROUNDUP(D181,0)</f>
        <v/>
      </c>
      <c r="F181" s="421" t="n"/>
    </row>
    <row r="182">
      <c r="B182" s="476" t="inlineStr">
        <is>
          <t>M13-0117</t>
        </is>
      </c>
      <c r="C182" s="411" t="inlineStr">
        <is>
          <t>Codo 45 PVC 3"</t>
        </is>
      </c>
      <c r="D182" s="418" t="n">
        <v>0</v>
      </c>
      <c r="E182" s="487">
        <f>ROUNDUP(D182,0)</f>
        <v/>
      </c>
      <c r="F182" s="421" t="n"/>
      <c r="J182" s="481" t="n"/>
    </row>
    <row r="183">
      <c r="B183" s="476" t="inlineStr">
        <is>
          <t>M13-0193</t>
        </is>
      </c>
      <c r="C183" s="411" t="inlineStr">
        <is>
          <t>Yee PVC 4"</t>
        </is>
      </c>
      <c r="D183" s="418" t="n">
        <v>2</v>
      </c>
      <c r="E183" s="487">
        <f>ROUNDUP(D183,0)</f>
        <v/>
      </c>
      <c r="F183" s="421" t="n"/>
      <c r="J183" s="481" t="n"/>
    </row>
    <row r="184">
      <c r="B184" s="476" t="inlineStr">
        <is>
          <t>M13-0192</t>
        </is>
      </c>
      <c r="C184" s="411" t="inlineStr">
        <is>
          <t>Yee PVC 3"</t>
        </is>
      </c>
      <c r="D184" s="418" t="n"/>
      <c r="E184" s="487">
        <f>ROUNDUP(D184,0)</f>
        <v/>
      </c>
      <c r="F184" s="421" t="n"/>
      <c r="J184" s="481" t="n"/>
    </row>
    <row r="185">
      <c r="B185" s="476" t="inlineStr">
        <is>
          <t>M13-0132</t>
        </is>
      </c>
      <c r="C185" s="411" t="inlineStr">
        <is>
          <t>Reducción 3" a 4"</t>
        </is>
      </c>
      <c r="D185" s="418" t="n">
        <v>0</v>
      </c>
      <c r="E185" s="487">
        <f>ROUNDUP(D185,0)</f>
        <v/>
      </c>
      <c r="F185" s="421" t="n"/>
      <c r="J185" s="481" t="n"/>
    </row>
    <row r="186">
      <c r="B186" s="476" t="n"/>
      <c r="D186" s="531" t="n"/>
      <c r="E186" s="531" t="n"/>
      <c r="F186" s="541" t="n"/>
      <c r="J186" s="481" t="n"/>
    </row>
    <row r="187">
      <c r="B187" s="476" t="n"/>
      <c r="C187" s="486" t="n"/>
      <c r="D187" s="487" t="inlineStr">
        <is>
          <t>Costo</t>
        </is>
      </c>
      <c r="E187" s="486" t="inlineStr">
        <is>
          <t xml:space="preserve">Costo Total </t>
        </is>
      </c>
      <c r="F187" s="488" t="inlineStr">
        <is>
          <t>Horas</t>
        </is>
      </c>
      <c r="G187" s="584" t="n"/>
      <c r="H187" s="481" t="n"/>
    </row>
    <row r="188">
      <c r="B188" s="469" t="n"/>
      <c r="C188" s="575" t="inlineStr">
        <is>
          <t>Cajas mecanicas</t>
        </is>
      </c>
      <c r="D188" s="489">
        <f>+'1_OG y 2_ACA'!D202</f>
        <v/>
      </c>
      <c r="E188" s="646">
        <f>+D188*(D162+D163+D167+D168)</f>
        <v/>
      </c>
      <c r="F188" s="487">
        <f>+E188/'COSTOS MO CUADRILLA'!K75</f>
        <v/>
      </c>
      <c r="G188" s="584" t="n"/>
    </row>
    <row r="189">
      <c r="B189" s="469" t="n"/>
      <c r="C189" s="486" t="inlineStr">
        <is>
          <t>Mano de obra ml de tuberia</t>
        </is>
      </c>
      <c r="D189" s="489">
        <f>+'1_OG y 2_ACA'!D203</f>
        <v/>
      </c>
      <c r="E189" s="646">
        <f>+SUM(D142:D144,D176:D177)*D189</f>
        <v/>
      </c>
      <c r="F189" s="487">
        <f>+E189/'COSTOS MO CUADRILLA'!K75</f>
        <v/>
      </c>
      <c r="G189" s="584" t="n"/>
    </row>
    <row r="190">
      <c r="B190" s="469" t="n"/>
      <c r="C190" s="486" t="inlineStr">
        <is>
          <t>Mano de obra accesorios</t>
        </is>
      </c>
      <c r="D190" s="489">
        <f>+'1_OG y 2_ACA'!D204</f>
        <v/>
      </c>
      <c r="E190" s="646">
        <f>+SUM(D179:D185)*D190</f>
        <v/>
      </c>
      <c r="F190" s="487">
        <f>+E190/'COSTOS MO CUADRILLA'!K75</f>
        <v/>
      </c>
      <c r="G190" s="584" t="n"/>
    </row>
    <row r="191">
      <c r="B191" s="469" t="n"/>
      <c r="C191" s="486" t="n"/>
      <c r="D191" s="487" t="inlineStr">
        <is>
          <t xml:space="preserve">Total </t>
        </is>
      </c>
      <c r="E191" s="646">
        <f>SUM(E188:E190)</f>
        <v/>
      </c>
      <c r="F191" s="487">
        <f>+E191/'COSTOS MO CUADRILLA'!K75</f>
        <v/>
      </c>
    </row>
    <row r="192">
      <c r="B192" s="469" t="n"/>
      <c r="C192" s="469" t="n"/>
      <c r="D192" s="652" t="n"/>
      <c r="E192" s="469" t="n"/>
      <c r="F192" s="469" t="n"/>
      <c r="G192" s="469" t="n"/>
    </row>
    <row r="193">
      <c r="B193" s="469" t="n"/>
      <c r="C193" s="469" t="n"/>
      <c r="D193" s="469" t="n"/>
      <c r="E193" s="469" t="n"/>
      <c r="F193" s="469" t="n"/>
    </row>
    <row r="194">
      <c r="C194" s="468" t="inlineStr">
        <is>
          <t>3.2.6</t>
        </is>
      </c>
      <c r="D194" s="640" t="inlineStr">
        <is>
          <t>ACABADOS MECANICOS</t>
        </is>
      </c>
      <c r="E194" s="649" t="n"/>
    </row>
    <row r="196">
      <c r="B196" s="476" t="n"/>
      <c r="C196" s="488" t="inlineStr">
        <is>
          <t>Elemento</t>
        </is>
      </c>
      <c r="D196" s="487" t="inlineStr">
        <is>
          <t>Cantidad</t>
        </is>
      </c>
      <c r="E196" s="488" t="inlineStr">
        <is>
          <t>Unidad</t>
        </is>
      </c>
    </row>
    <row r="197">
      <c r="B197" s="476" t="inlineStr">
        <is>
          <t>M13-0004</t>
        </is>
      </c>
      <c r="C197" s="486" t="inlineStr">
        <is>
          <t>Manguera abasto  (1/2 a 1/2)</t>
        </is>
      </c>
      <c r="D197" s="487">
        <f>+D11*2+D12*2+D13*2</f>
        <v/>
      </c>
      <c r="E197" s="487" t="inlineStr">
        <is>
          <t>u</t>
        </is>
      </c>
      <c r="F197" s="416" t="n"/>
    </row>
    <row r="198">
      <c r="B198" s="476" t="inlineStr">
        <is>
          <t>M13-0053</t>
        </is>
      </c>
      <c r="C198" s="486" t="inlineStr">
        <is>
          <t>Llave de control escuadra 1/2 a 1/2</t>
        </is>
      </c>
      <c r="D198" s="487">
        <f>+D197</f>
        <v/>
      </c>
      <c r="E198" s="487" t="inlineStr">
        <is>
          <t>u</t>
        </is>
      </c>
      <c r="F198" s="416" t="n"/>
    </row>
    <row r="199">
      <c r="B199" s="476" t="inlineStr">
        <is>
          <t>M13-0101</t>
        </is>
      </c>
      <c r="C199" s="486" t="inlineStr">
        <is>
          <t>Tapon liso pvc 1/2</t>
        </is>
      </c>
      <c r="D199" s="487">
        <f>+D11*5+D12*5+D13*3</f>
        <v/>
      </c>
      <c r="E199" s="487" t="inlineStr">
        <is>
          <t>u</t>
        </is>
      </c>
      <c r="F199" s="416" t="n"/>
    </row>
    <row r="200">
      <c r="B200" s="476" t="inlineStr">
        <is>
          <t>M13-0138</t>
        </is>
      </c>
      <c r="C200" s="486" t="inlineStr">
        <is>
          <t>Reduccion pared gruesa 1 1/2" a 1 1/4"</t>
        </is>
      </c>
      <c r="D200" s="487">
        <f>+D201</f>
        <v/>
      </c>
      <c r="E200" s="487" t="inlineStr">
        <is>
          <t>u</t>
        </is>
      </c>
      <c r="F200" s="416" t="n"/>
    </row>
    <row r="201">
      <c r="B201" s="476" t="inlineStr">
        <is>
          <t>M13-0160</t>
        </is>
      </c>
      <c r="C201" s="486" t="inlineStr">
        <is>
          <t>Tee pvc pared delgada 1 1/2"</t>
        </is>
      </c>
      <c r="D201" s="487">
        <f>+D205</f>
        <v/>
      </c>
      <c r="E201" s="487" t="inlineStr">
        <is>
          <t>u</t>
        </is>
      </c>
      <c r="F201" s="416" t="n"/>
    </row>
    <row r="202">
      <c r="B202" s="476" t="inlineStr">
        <is>
          <t>M13-0007</t>
        </is>
      </c>
      <c r="C202" s="486" t="inlineStr">
        <is>
          <t>Teflon cinta 1/2  (10m)</t>
        </is>
      </c>
      <c r="D202" s="487">
        <f>+D205</f>
        <v/>
      </c>
      <c r="E202" s="487" t="inlineStr">
        <is>
          <t>u</t>
        </is>
      </c>
      <c r="F202" s="416" t="n"/>
    </row>
    <row r="203">
      <c r="B203" s="476" t="inlineStr">
        <is>
          <t>M13-0255</t>
        </is>
      </c>
      <c r="C203" s="486" t="inlineStr">
        <is>
          <t>Llave  de paso pvc 1/2</t>
        </is>
      </c>
      <c r="D203" s="487">
        <f>+D198</f>
        <v/>
      </c>
      <c r="E203" s="487" t="inlineStr">
        <is>
          <t>u</t>
        </is>
      </c>
      <c r="F203" s="416" t="n"/>
    </row>
    <row r="204">
      <c r="B204" s="476" t="inlineStr">
        <is>
          <t>M13-0062</t>
        </is>
      </c>
      <c r="C204" s="486" t="inlineStr">
        <is>
          <t>Caja para lavadora</t>
        </is>
      </c>
      <c r="D204" s="487" t="n">
        <v>1</v>
      </c>
      <c r="E204" s="487" t="inlineStr">
        <is>
          <t>u</t>
        </is>
      </c>
      <c r="F204" s="416" t="n"/>
    </row>
    <row r="205">
      <c r="B205" s="476" t="inlineStr">
        <is>
          <t>M13-0041</t>
        </is>
      </c>
      <c r="C205" s="486" t="inlineStr">
        <is>
          <t>Flanger de inodoro 4</t>
        </is>
      </c>
      <c r="D205" s="487">
        <f>+D206</f>
        <v/>
      </c>
      <c r="E205" s="487" t="inlineStr">
        <is>
          <t>u</t>
        </is>
      </c>
      <c r="F205" s="416" t="n"/>
    </row>
    <row r="206">
      <c r="B206" s="476" t="inlineStr">
        <is>
          <t>M13-0055</t>
        </is>
      </c>
      <c r="C206" s="486" t="inlineStr">
        <is>
          <t>Llave control escuadra 1/2 x 3/8</t>
        </is>
      </c>
      <c r="D206" s="487">
        <f>+D198/2</f>
        <v/>
      </c>
      <c r="E206" s="487" t="inlineStr">
        <is>
          <t>u</t>
        </is>
      </c>
      <c r="F206" s="416" t="n"/>
    </row>
    <row r="208">
      <c r="B208" s="469" t="n"/>
      <c r="C208" s="486" t="n"/>
      <c r="D208" s="487" t="inlineStr">
        <is>
          <t>Costo</t>
        </is>
      </c>
      <c r="E208" s="486" t="inlineStr">
        <is>
          <t xml:space="preserve">Costo Total </t>
        </is>
      </c>
      <c r="F208" s="488" t="inlineStr">
        <is>
          <t>Horas</t>
        </is>
      </c>
      <c r="H208" s="481" t="n"/>
    </row>
    <row r="209">
      <c r="B209" s="469" t="n"/>
      <c r="C209" s="575" t="inlineStr">
        <is>
          <t>Mano de obra de Acabados mecanicos</t>
        </is>
      </c>
      <c r="D209" s="489">
        <f>+'1_OG y 2_ACA'!D206</f>
        <v/>
      </c>
      <c r="E209" s="646">
        <f>+D209*SUM(D11:D13)</f>
        <v/>
      </c>
      <c r="F209" s="487">
        <f>+E209/'COSTOS MO CUADRILLA'!K76</f>
        <v/>
      </c>
      <c r="G209" s="584" t="n"/>
      <c r="H209" s="481" t="n"/>
      <c r="J209" s="481" t="n"/>
    </row>
    <row r="210">
      <c r="B210" s="469" t="n"/>
      <c r="C210" s="486" t="n"/>
      <c r="D210" s="487" t="inlineStr">
        <is>
          <t xml:space="preserve">Total </t>
        </is>
      </c>
      <c r="E210" s="646">
        <f>SUM(E209:E209)</f>
        <v/>
      </c>
      <c r="F210" s="487">
        <f>+E210/'COSTOS MO CUADRILLA'!K76</f>
        <v/>
      </c>
      <c r="G210" s="481" t="n"/>
      <c r="H210" s="481" t="n"/>
      <c r="I210" s="498" t="n"/>
      <c r="J210" s="499" t="n"/>
    </row>
    <row r="211">
      <c r="B211" s="662" t="n"/>
      <c r="C211" s="663" t="n"/>
      <c r="D211" s="663" t="n"/>
      <c r="E211" s="663" t="n"/>
      <c r="F211" s="416" t="n"/>
    </row>
    <row r="212">
      <c r="B212" s="469" t="n"/>
      <c r="D212" s="577" t="n"/>
    </row>
    <row r="213">
      <c r="B213" s="469" t="n"/>
      <c r="C213" s="468" t="inlineStr">
        <is>
          <t>3.2.7</t>
        </is>
      </c>
      <c r="D213" s="640" t="inlineStr">
        <is>
          <t>MEDIDOR</t>
        </is>
      </c>
    </row>
    <row r="215">
      <c r="B215" s="469" t="n"/>
      <c r="C215" s="488" t="inlineStr">
        <is>
          <t>Elemento</t>
        </is>
      </c>
      <c r="D215" s="487" t="inlineStr">
        <is>
          <t>Cantidad</t>
        </is>
      </c>
      <c r="E215" s="488" t="inlineStr">
        <is>
          <t>Unidad</t>
        </is>
      </c>
      <c r="H215" s="481" t="n"/>
      <c r="J215" s="499" t="n"/>
    </row>
    <row r="216">
      <c r="B216" s="569" t="inlineStr">
        <is>
          <t>M13-0003</t>
        </is>
      </c>
      <c r="C216" s="664" t="inlineStr">
        <is>
          <t>Hidrometro de 1/2q (12mm) encapsulado roscado arad</t>
        </is>
      </c>
      <c r="D216" s="477" t="n">
        <v>1</v>
      </c>
      <c r="E216" s="477" t="inlineStr">
        <is>
          <t>u</t>
        </is>
      </c>
      <c r="F216" s="541" t="n"/>
      <c r="J216" s="481" t="n"/>
    </row>
    <row r="217">
      <c r="B217" s="569" t="inlineStr">
        <is>
          <t>M06-0211</t>
        </is>
      </c>
      <c r="C217" s="570" t="inlineStr">
        <is>
          <t>Juego de accesorios 1/2 bronce btp</t>
        </is>
      </c>
      <c r="D217" s="477" t="n">
        <v>1</v>
      </c>
      <c r="E217" s="477" t="inlineStr">
        <is>
          <t>u</t>
        </is>
      </c>
      <c r="F217" s="541" t="n"/>
      <c r="J217" s="481" t="n"/>
    </row>
    <row r="218">
      <c r="B218" s="569" t="inlineStr">
        <is>
          <t>M13-0001</t>
        </is>
      </c>
      <c r="C218" s="664" t="inlineStr">
        <is>
          <t>Caja de 1/2" de proteccion agua hf funidadelima</t>
        </is>
      </c>
      <c r="D218" s="477" t="n">
        <v>1</v>
      </c>
      <c r="E218" s="477" t="inlineStr">
        <is>
          <t>u</t>
        </is>
      </c>
      <c r="F218" s="541" t="n"/>
      <c r="J218" s="481" t="n"/>
    </row>
    <row r="219">
      <c r="B219" s="569" t="inlineStr">
        <is>
          <t>M09-0042</t>
        </is>
      </c>
      <c r="C219" s="570" t="inlineStr">
        <is>
          <t>Regla semiduro 1x3x4 sin cepillar</t>
        </is>
      </c>
      <c r="D219" s="477">
        <f>+D162</f>
        <v/>
      </c>
      <c r="E219" s="477" t="inlineStr">
        <is>
          <t>u</t>
        </is>
      </c>
      <c r="F219" s="541" t="n"/>
      <c r="J219" s="481" t="n"/>
    </row>
    <row r="220">
      <c r="B220" s="478" t="n"/>
      <c r="E220" s="1156" t="n"/>
    </row>
    <row r="221">
      <c r="B221" s="469" t="n"/>
      <c r="C221" s="486" t="n"/>
      <c r="D221" s="487" t="inlineStr">
        <is>
          <t>Costo</t>
        </is>
      </c>
      <c r="E221" s="486" t="inlineStr">
        <is>
          <t xml:space="preserve">Costo Total </t>
        </is>
      </c>
      <c r="F221" s="488" t="inlineStr">
        <is>
          <t>Horas</t>
        </is>
      </c>
      <c r="H221" s="481" t="n"/>
    </row>
    <row r="222">
      <c r="B222" s="469" t="n"/>
      <c r="C222" s="575" t="inlineStr">
        <is>
          <t>Medidor</t>
        </is>
      </c>
      <c r="D222" s="489">
        <f>+'1_OG y 2_ACA'!D207</f>
        <v/>
      </c>
      <c r="E222" s="646">
        <f>+D222*SUM(D216:D219)</f>
        <v/>
      </c>
      <c r="F222" s="487">
        <f>+E222/'COSTOS MO CUADRILLA'!K77</f>
        <v/>
      </c>
      <c r="G222" s="584" t="n"/>
      <c r="H222" s="481" t="n"/>
      <c r="J222" s="481" t="n"/>
    </row>
    <row r="223">
      <c r="B223" s="469" t="n"/>
      <c r="C223" s="486" t="n"/>
      <c r="D223" s="487" t="inlineStr">
        <is>
          <t xml:space="preserve">Total </t>
        </is>
      </c>
      <c r="E223" s="646">
        <f>SUM(E222:E222)</f>
        <v/>
      </c>
      <c r="F223" s="487">
        <f>+E223/'COSTOS MO CUADRILLA'!K77</f>
        <v/>
      </c>
      <c r="G223" s="481" t="n"/>
      <c r="H223" s="481" t="n"/>
      <c r="I223" s="498" t="n"/>
      <c r="J223" s="49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H336"/>
  <sheetViews>
    <sheetView workbookViewId="0">
      <selection activeCell="A1" sqref="A1"/>
    </sheetView>
  </sheetViews>
  <sheetFormatPr baseColWidth="8" defaultRowHeight="15"/>
  <sheetData>
    <row r="3">
      <c r="C3" s="665" t="inlineStr">
        <is>
          <t>Modelo</t>
        </is>
      </c>
      <c r="D3" s="666">
        <f>'1_OG y 2_ACA'!D3</f>
        <v/>
      </c>
      <c r="E3" s="666">
        <f>'1_OG y 2_ACA'!E3</f>
        <v/>
      </c>
    </row>
    <row r="5">
      <c r="C5" s="465" t="n">
        <v>3</v>
      </c>
      <c r="D5" s="465" t="inlineStr">
        <is>
          <t>ELECTROMECANICO</t>
        </is>
      </c>
    </row>
    <row r="7">
      <c r="C7" s="466" t="n">
        <v>3.1</v>
      </c>
      <c r="D7" s="574" t="inlineStr">
        <is>
          <t xml:space="preserve">ELÉCTRICO </t>
        </is>
      </c>
    </row>
    <row r="8">
      <c r="C8" s="467" t="n"/>
      <c r="D8" s="467" t="n"/>
    </row>
    <row r="9">
      <c r="C9" s="468" t="inlineStr">
        <is>
          <t>3.1.1</t>
        </is>
      </c>
      <c r="D9" s="483" t="inlineStr">
        <is>
          <t>ACOMETIDA &amp; ELECTRICO LOSA</t>
        </is>
      </c>
    </row>
    <row r="11">
      <c r="C11" s="35" t="inlineStr">
        <is>
          <t>Seleccionar modelo:</t>
        </is>
      </c>
      <c r="D11" s="435" t="inlineStr">
        <is>
          <t>Zante / Azotea</t>
        </is>
      </c>
    </row>
    <row r="13">
      <c r="C13" s="667" t="inlineStr">
        <is>
          <t>Tuberia acometida electrica</t>
        </is>
      </c>
      <c r="D13" s="667" t="n"/>
      <c r="E13" s="667" t="n"/>
    </row>
    <row r="14">
      <c r="B14" s="476" t="inlineStr">
        <is>
          <t>M05-0362</t>
        </is>
      </c>
      <c r="C14" s="411" t="inlineStr">
        <is>
          <t>Curva 38mm 1 1/2"</t>
        </is>
      </c>
      <c r="D14" s="668">
        <f>IFERROR(_xlfn.XLOOKUP($D$11,ELEC!$F$5:$AV$5,ELEC!F6:AV6,0,0,1),0)</f>
        <v/>
      </c>
      <c r="E14" s="487">
        <f>ROUNDUP(D14,0)</f>
        <v/>
      </c>
      <c r="F14" s="421" t="n"/>
    </row>
    <row r="15">
      <c r="B15" s="476" t="inlineStr">
        <is>
          <t>M05-0366</t>
        </is>
      </c>
      <c r="C15" s="411" t="inlineStr">
        <is>
          <t>Curva 25mm 1"</t>
        </is>
      </c>
      <c r="D15" s="668">
        <f>IFERROR(_xlfn.XLOOKUP($D$11,ELEC!$F$5:$AV$5,ELEC!F7:AV7,0,0,1),0)</f>
        <v/>
      </c>
      <c r="E15" s="487">
        <f>ROUNDUP(D15,0)</f>
        <v/>
      </c>
      <c r="F15" s="421" t="n"/>
    </row>
    <row r="16">
      <c r="B16" s="476" t="inlineStr">
        <is>
          <t>M05-0361</t>
        </is>
      </c>
      <c r="C16" s="411" t="inlineStr">
        <is>
          <t>Curva 13mm 1/2"</t>
        </is>
      </c>
      <c r="D16" s="668">
        <f>IFERROR(_xlfn.XLOOKUP($D$11,ELEC!$F$5:$AV$5,ELEC!F8:AV8,0,0,1),0)</f>
        <v/>
      </c>
      <c r="E16" s="487">
        <f>ROUNDUP(D16,0)</f>
        <v/>
      </c>
      <c r="F16" s="421" t="n"/>
    </row>
    <row r="17">
      <c r="B17" s="476" t="inlineStr">
        <is>
          <t>M05-0367</t>
        </is>
      </c>
      <c r="C17" s="411" t="inlineStr">
        <is>
          <t>Curva 19mm 3/4"</t>
        </is>
      </c>
      <c r="D17" s="668">
        <f>IFERROR(_xlfn.XLOOKUP($D$11,ELEC!$F$5:$AV$5,ELEC!F9:AV9,0,0,1),0)</f>
        <v/>
      </c>
      <c r="E17" s="487">
        <f>ROUNDUP(D17,0)</f>
        <v/>
      </c>
      <c r="F17" s="421" t="n"/>
    </row>
    <row r="18">
      <c r="B18" s="476" t="inlineStr">
        <is>
          <t>M05-0368</t>
        </is>
      </c>
      <c r="C18" s="411" t="inlineStr">
        <is>
          <t>Tubo 38mm 1 1/2"</t>
        </is>
      </c>
      <c r="D18" s="668">
        <f>IFERROR(_xlfn.XLOOKUP($D$11,ELEC!$F$5:$AV$5,ELEC!F10:AV10,0,0,1),0)</f>
        <v/>
      </c>
      <c r="E18" s="487">
        <f>ROUNDUP(D18,0)</f>
        <v/>
      </c>
      <c r="F18" s="421" t="n"/>
      <c r="H18" t="inlineStr">
        <is>
          <t>Ikaria / Techo</t>
        </is>
      </c>
    </row>
    <row r="19">
      <c r="B19" s="476" t="inlineStr">
        <is>
          <t>M05-0369</t>
        </is>
      </c>
      <c r="C19" s="411" t="inlineStr">
        <is>
          <t>Tubo 25mm 1"</t>
        </is>
      </c>
      <c r="D19" s="668">
        <f>IFERROR(_xlfn.XLOOKUP($D$11,ELEC!$F$5:$AV$5,ELEC!F11:AV11,0,0,1),0)</f>
        <v/>
      </c>
      <c r="E19" s="487">
        <f>ROUNDUP(D19,0)</f>
        <v/>
      </c>
      <c r="F19" s="421" t="n"/>
      <c r="H19" t="inlineStr">
        <is>
          <t>Ikaria Especial / Techo</t>
        </is>
      </c>
    </row>
    <row r="20">
      <c r="B20" s="476" t="inlineStr">
        <is>
          <t>M05-0370</t>
        </is>
      </c>
      <c r="C20" s="411" t="inlineStr">
        <is>
          <t>Tubo 13mm 1/2"</t>
        </is>
      </c>
      <c r="D20" s="668">
        <f>IFERROR(_xlfn.XLOOKUP($D$11,ELEC!$F$5:$AV$5,ELEC!F12:AV12,0,0,1),0)</f>
        <v/>
      </c>
      <c r="E20" s="487">
        <f>ROUNDUP(D20,0)</f>
        <v/>
      </c>
      <c r="F20" s="421" t="n"/>
      <c r="H20" t="inlineStr">
        <is>
          <t>Ikaria / Azotea</t>
        </is>
      </c>
    </row>
    <row r="21">
      <c r="B21" s="476" t="inlineStr">
        <is>
          <t>M05-0371</t>
        </is>
      </c>
      <c r="C21" s="411" t="inlineStr">
        <is>
          <t>Tubo 19mm 3/4"</t>
        </is>
      </c>
      <c r="D21" s="668">
        <f>IFERROR(_xlfn.XLOOKUP($D$11,ELEC!$F$5:$AV$5,ELEC!F13:AV13,0,0,1),0)</f>
        <v/>
      </c>
      <c r="E21" s="487">
        <f>ROUNDUP(D21,0)</f>
        <v/>
      </c>
      <c r="F21" s="421" t="n"/>
      <c r="H21" t="inlineStr">
        <is>
          <t>Milo / Azotea</t>
        </is>
      </c>
    </row>
    <row r="22">
      <c r="B22" s="476" t="inlineStr">
        <is>
          <t>M05-0372</t>
        </is>
      </c>
      <c r="C22" s="411" t="inlineStr">
        <is>
          <t>Union 38mm 1 1/2"</t>
        </is>
      </c>
      <c r="D22" s="668">
        <f>IFERROR(_xlfn.XLOOKUP($D$11,ELEC!$F$5:$AV$5,ELEC!F14:AV14,0,0,1),0)</f>
        <v/>
      </c>
      <c r="E22" s="487">
        <f>ROUNDUP(D22,0)</f>
        <v/>
      </c>
      <c r="F22" s="421" t="n"/>
      <c r="H22" t="inlineStr">
        <is>
          <t>Milo / Techo</t>
        </is>
      </c>
    </row>
    <row r="23">
      <c r="B23" s="476" t="inlineStr">
        <is>
          <t>M05-0373</t>
        </is>
      </c>
      <c r="C23" s="411" t="inlineStr">
        <is>
          <t>Union 25mm 1"</t>
        </is>
      </c>
      <c r="D23" s="668">
        <f>IFERROR(_xlfn.XLOOKUP($D$11,ELEC!$F$5:$AV$5,ELEC!F15:AV15,0,0,1),0)</f>
        <v/>
      </c>
      <c r="E23" s="487">
        <f>ROUNDUP(D23,0)</f>
        <v/>
      </c>
      <c r="F23" s="421" t="n"/>
      <c r="H23" t="inlineStr">
        <is>
          <t>Milo 1,1 / Techo</t>
        </is>
      </c>
    </row>
    <row r="24">
      <c r="B24" s="476" t="inlineStr">
        <is>
          <t>M05-0374</t>
        </is>
      </c>
      <c r="C24" s="411" t="inlineStr">
        <is>
          <t>Union 13mm 1/2"</t>
        </is>
      </c>
      <c r="D24" s="668">
        <f>IFERROR(_xlfn.XLOOKUP($D$11,ELEC!$F$5:$AV$5,ELEC!F16:AV16,0,0,1),0)</f>
        <v/>
      </c>
      <c r="E24" s="487">
        <f>ROUNDUP(D24,0)</f>
        <v/>
      </c>
      <c r="F24" s="421" t="n"/>
      <c r="H24" t="inlineStr">
        <is>
          <t>Neo Tripoli / Techo</t>
        </is>
      </c>
    </row>
    <row r="25">
      <c r="B25" s="476" t="inlineStr">
        <is>
          <t>M05-0375</t>
        </is>
      </c>
      <c r="C25" s="411" t="inlineStr">
        <is>
          <t>Union 19mm 3/4"</t>
        </is>
      </c>
      <c r="D25" s="668">
        <f>IFERROR(_xlfn.XLOOKUP($D$11,ELEC!$F$5:$AV$5,ELEC!F17:AV17,0,0,1),0)</f>
        <v/>
      </c>
      <c r="E25" s="487">
        <f>ROUNDUP(D25,0)</f>
        <v/>
      </c>
      <c r="F25" s="421" t="n"/>
      <c r="H25" t="inlineStr">
        <is>
          <t>Neo Tripoli / Azotea</t>
        </is>
      </c>
    </row>
    <row r="26">
      <c r="B26" s="476" t="inlineStr">
        <is>
          <t>M05-0476</t>
        </is>
      </c>
      <c r="C26" s="411" t="inlineStr">
        <is>
          <t>Conector de 1/2" UL</t>
        </is>
      </c>
      <c r="D26" s="668">
        <f>IFERROR(_xlfn.XLOOKUP($D$11,ELEC!$F$5:$AV$5,ELEC!F18:AV18,0,0,1),0)</f>
        <v/>
      </c>
      <c r="E26" s="487">
        <f>ROUNDUP(D26,0)</f>
        <v/>
      </c>
      <c r="F26" s="421" t="n"/>
      <c r="H26" t="inlineStr">
        <is>
          <t>Santorini / Azotea</t>
        </is>
      </c>
    </row>
    <row r="27">
      <c r="B27" s="476" t="inlineStr">
        <is>
          <t>M11-0071</t>
        </is>
      </c>
      <c r="C27" s="411" t="inlineStr">
        <is>
          <t>Spray</t>
        </is>
      </c>
      <c r="D27" s="668">
        <f>IFERROR(_xlfn.XLOOKUP($D$11,ELEC!$F$5:$AV$5,ELEC!F19:AV19,0,0,1),0)</f>
        <v/>
      </c>
      <c r="E27" s="487">
        <f>ROUNDUP(D27,0)</f>
        <v/>
      </c>
      <c r="F27" s="421" t="n"/>
      <c r="H27" t="inlineStr">
        <is>
          <t>Santorini 4D / Azotea</t>
        </is>
      </c>
    </row>
    <row r="28">
      <c r="B28" s="476" t="inlineStr">
        <is>
          <t>M06-0175</t>
        </is>
      </c>
      <c r="C28" s="411" t="inlineStr">
        <is>
          <t>Cinta empaque</t>
        </is>
      </c>
      <c r="D28" s="668">
        <f>IFERROR(_xlfn.XLOOKUP($D$11,ELEC!$F$5:$AV$5,ELEC!F20:AV20,0,0,1),0)</f>
        <v/>
      </c>
      <c r="E28" s="487">
        <f>ROUNDUP(D28,0)</f>
        <v/>
      </c>
      <c r="F28" s="421" t="n"/>
      <c r="H28" t="inlineStr">
        <is>
          <t>Santorini DA / Azotea</t>
        </is>
      </c>
    </row>
    <row r="29">
      <c r="B29" s="476" t="inlineStr">
        <is>
          <t>M06-0013</t>
        </is>
      </c>
      <c r="C29" s="411" t="inlineStr">
        <is>
          <t>Pegamento</t>
        </is>
      </c>
      <c r="D29" s="668">
        <f>IFERROR(_xlfn.XLOOKUP($D$11,ELEC!$F$5:$AV$5,ELEC!F21:AV21,0,0,1),0)</f>
        <v/>
      </c>
      <c r="E29" s="487">
        <f>ROUNDUP(D29,0)</f>
        <v/>
      </c>
      <c r="F29" s="421" t="n"/>
      <c r="H29" t="inlineStr">
        <is>
          <t>Skyros / Techo</t>
        </is>
      </c>
    </row>
    <row r="30">
      <c r="B30" s="476" t="inlineStr">
        <is>
          <t>M06-0210</t>
        </is>
      </c>
      <c r="C30" s="411" t="inlineStr">
        <is>
          <t>Segueta</t>
        </is>
      </c>
      <c r="D30" s="668">
        <f>IFERROR(_xlfn.XLOOKUP($D$11,ELEC!$F$5:$AV$5,ELEC!F22:AV22,0,0,1),0)</f>
        <v/>
      </c>
      <c r="E30" s="487">
        <f>ROUNDUP(D30,0)</f>
        <v/>
      </c>
      <c r="F30" s="421" t="n"/>
      <c r="H30" t="inlineStr">
        <is>
          <t>Skyros / Azotea</t>
        </is>
      </c>
    </row>
    <row r="31">
      <c r="B31" s="476" t="inlineStr">
        <is>
          <t>M04-0003</t>
        </is>
      </c>
      <c r="C31" s="411" t="inlineStr">
        <is>
          <t>Lamina de estereofon</t>
        </is>
      </c>
      <c r="D31" s="668">
        <f>IFERROR(_xlfn.XLOOKUP($D$11,ELEC!$F$5:$AV$5,ELEC!F23:AV23,0,0,1),0)</f>
        <v/>
      </c>
      <c r="E31" s="487">
        <f>ROUNDUP(D31,0)</f>
        <v/>
      </c>
      <c r="F31" s="421" t="n"/>
      <c r="H31" t="inlineStr">
        <is>
          <t>Tebas / Techo</t>
        </is>
      </c>
    </row>
    <row r="32">
      <c r="B32" s="476" t="inlineStr">
        <is>
          <t>M05-0389</t>
        </is>
      </c>
      <c r="C32" s="411" t="inlineStr">
        <is>
          <t xml:space="preserve">Caja octagonal </t>
        </is>
      </c>
      <c r="D32" s="668">
        <f>IFERROR(_xlfn.XLOOKUP($D$11,ELEC!$F$5:$AV$5,ELEC!F24:AV24,0,0,1),0)</f>
        <v/>
      </c>
      <c r="E32" s="487">
        <f>ROUNDUP(D32,0)</f>
        <v/>
      </c>
      <c r="F32" s="421" t="n"/>
      <c r="H32" t="inlineStr">
        <is>
          <t>Tebas / Azotea</t>
        </is>
      </c>
    </row>
    <row r="33">
      <c r="B33" s="476" t="inlineStr">
        <is>
          <t>M06-0197</t>
        </is>
      </c>
      <c r="C33" s="411" t="inlineStr">
        <is>
          <t>Cilindro de gas</t>
        </is>
      </c>
      <c r="D33" s="668">
        <f>IFERROR(_xlfn.XLOOKUP($D$11,ELEC!$F$5:$AV$5,ELEC!F25:AV25,0,0,1),0)</f>
        <v/>
      </c>
      <c r="E33" s="487">
        <f>ROUNDUP(D33,0)</f>
        <v/>
      </c>
      <c r="F33" s="538" t="n"/>
      <c r="H33" t="inlineStr">
        <is>
          <t>Zante / Techo</t>
        </is>
      </c>
    </row>
    <row r="34">
      <c r="H34" t="inlineStr">
        <is>
          <t>Zante / Azotea</t>
        </is>
      </c>
    </row>
    <row r="35">
      <c r="B35" s="669" t="n"/>
      <c r="C35" s="670" t="inlineStr">
        <is>
          <t>SUBCONTRATO</t>
        </is>
      </c>
      <c r="D35" s="671">
        <f>+E328+E329</f>
        <v/>
      </c>
      <c r="H35" t="inlineStr">
        <is>
          <t>Zante Crece / Techo</t>
        </is>
      </c>
    </row>
    <row r="36">
      <c r="B36" s="669" t="n"/>
      <c r="C36" s="51" t="n"/>
      <c r="D36" s="51" t="n"/>
      <c r="E36" s="51" t="n"/>
      <c r="H36" t="inlineStr">
        <is>
          <t>Zante Crece / Azotea</t>
        </is>
      </c>
    </row>
    <row r="37">
      <c r="H37" t="inlineStr">
        <is>
          <t>Zante Of / Techo</t>
        </is>
      </c>
    </row>
    <row r="38">
      <c r="B38" s="562" t="n"/>
      <c r="C38" s="468" t="inlineStr">
        <is>
          <t>3.1.2</t>
        </is>
      </c>
      <c r="D38" s="483" t="inlineStr">
        <is>
          <t xml:space="preserve">ELÉCTRICO MUROS </t>
        </is>
      </c>
      <c r="H38" t="inlineStr">
        <is>
          <t>Zante Of / Azotea</t>
        </is>
      </c>
    </row>
    <row r="39">
      <c r="B39" s="562" t="n"/>
      <c r="H39" t="inlineStr">
        <is>
          <t>Zante Mod. / Azotea</t>
        </is>
      </c>
    </row>
    <row r="40">
      <c r="B40" s="562" t="n"/>
      <c r="H40" t="inlineStr">
        <is>
          <t>Stella / Techo</t>
        </is>
      </c>
    </row>
    <row r="41">
      <c r="B41" s="562" t="n"/>
      <c r="C41" s="667" t="inlineStr">
        <is>
          <t>ELECTRICO MUROS</t>
        </is>
      </c>
      <c r="D41" s="672" t="inlineStr">
        <is>
          <t>Cantidad</t>
        </is>
      </c>
      <c r="E41" s="672" t="inlineStr">
        <is>
          <t>Unidad</t>
        </is>
      </c>
      <c r="F41" s="555" t="n"/>
      <c r="H41" t="inlineStr">
        <is>
          <t>Stella / Azotea</t>
        </is>
      </c>
    </row>
    <row r="42">
      <c r="B42" s="476" t="inlineStr">
        <is>
          <t>M05-0372</t>
        </is>
      </c>
      <c r="C42" s="411" t="inlineStr">
        <is>
          <t>Union  1 1/2"</t>
        </is>
      </c>
      <c r="D42" s="668">
        <f>IFERROR(_xlfn.XLOOKUP($D$11,ELEC!$F$5:$AV$5,ELEC!F32:AV32,0,0,1),0)+IFERROR(_xlfn.XLOOKUP($D$11,ELEC!$F$5:$AV$5,ELEC!F84:AV84,0,0,1),0)</f>
        <v/>
      </c>
      <c r="E42" s="487">
        <f>ROUNDUP(D42,0)</f>
        <v/>
      </c>
      <c r="F42" s="416" t="n"/>
      <c r="H42" t="inlineStr">
        <is>
          <t>Stella 1DA / Techo</t>
        </is>
      </c>
    </row>
    <row r="43">
      <c r="B43" s="476" t="inlineStr">
        <is>
          <t>M05-0373</t>
        </is>
      </c>
      <c r="C43" s="411" t="inlineStr">
        <is>
          <t>Union  1"</t>
        </is>
      </c>
      <c r="D43" s="668">
        <f>IFERROR(_xlfn.XLOOKUP($D$11,ELEC!$F$5:$AV$5,ELEC!F33:AV33,0,0,1),0)+IFERROR(_xlfn.XLOOKUP($D$11,ELEC!$F$5:$AV$5,ELEC!F85:AV85,0,0,1),0)</f>
        <v/>
      </c>
      <c r="E43" s="487">
        <f>ROUNDUP(D43,0)</f>
        <v/>
      </c>
      <c r="F43" s="416" t="n"/>
      <c r="H43" t="inlineStr">
        <is>
          <t>Stella 1DA-1DA / Azotea</t>
        </is>
      </c>
    </row>
    <row r="44">
      <c r="B44" s="476" t="inlineStr">
        <is>
          <t>M05-0374</t>
        </is>
      </c>
      <c r="C44" s="411" t="inlineStr">
        <is>
          <t>Union  1/2"</t>
        </is>
      </c>
      <c r="D44" s="668">
        <f>IFERROR(_xlfn.XLOOKUP($D$11,ELEC!$F$5:$AV$5,ELEC!F34:AV34,0,0,1),0)+IFERROR(_xlfn.XLOOKUP($D$11,ELEC!$F$5:$AV$5,ELEC!F86:AV86,0,0,1),0)</f>
        <v/>
      </c>
      <c r="E44" s="487">
        <f>ROUNDUP(D44,0)</f>
        <v/>
      </c>
      <c r="F44" s="416" t="n"/>
      <c r="H44" t="inlineStr">
        <is>
          <t>Stella L 1DA / Azotea</t>
        </is>
      </c>
    </row>
    <row r="45">
      <c r="B45" s="476" t="inlineStr">
        <is>
          <t>M05-0375</t>
        </is>
      </c>
      <c r="C45" s="411" t="inlineStr">
        <is>
          <t>Union  3/4"</t>
        </is>
      </c>
      <c r="D45" s="668">
        <f>IFERROR(_xlfn.XLOOKUP($D$11,ELEC!$F$5:$AV$5,ELEC!F35:AV35,0,0,1),0)+IFERROR(_xlfn.XLOOKUP($D$11,ELEC!$F$5:$AV$5,ELEC!F87:AV87,0,0,1),0)</f>
        <v/>
      </c>
      <c r="E45" s="487">
        <f>ROUNDUP(D45,0)</f>
        <v/>
      </c>
      <c r="F45" s="416" t="n"/>
      <c r="H45" t="inlineStr">
        <is>
          <t>Stella L 1DA-1DA / Azotea</t>
        </is>
      </c>
    </row>
    <row r="46">
      <c r="B46" s="476" t="inlineStr">
        <is>
          <t>M11-0071</t>
        </is>
      </c>
      <c r="C46" s="411" t="inlineStr">
        <is>
          <t>Spray</t>
        </is>
      </c>
      <c r="D46" s="668">
        <f>IFERROR(_xlfn.XLOOKUP($D$11,ELEC!$F$5:$AV$5,ELEC!F36:AV36,0,0,1),0)+IFERROR(_xlfn.XLOOKUP($D$11,ELEC!$F$5:$AV$5,ELEC!F88:AV88,0,0,1),0)</f>
        <v/>
      </c>
      <c r="E46" s="487">
        <f>ROUNDUP(D46,0)</f>
        <v/>
      </c>
      <c r="F46" s="416" t="n"/>
      <c r="H46" t="inlineStr">
        <is>
          <t>Stella L 1DA-2DA.1 / Azotea</t>
        </is>
      </c>
    </row>
    <row r="47">
      <c r="B47" s="476" t="inlineStr">
        <is>
          <t>M06-0175</t>
        </is>
      </c>
      <c r="C47" s="411" t="inlineStr">
        <is>
          <t>Cinta empaque</t>
        </is>
      </c>
      <c r="D47" s="668">
        <f>IFERROR(_xlfn.XLOOKUP($D$11,ELEC!$F$5:$AV$5,ELEC!F37:AV37,0,0,1),0)+IFERROR(_xlfn.XLOOKUP($D$11,ELEC!$F$5:$AV$5,ELEC!F89:AV89,0,0,1),0)</f>
        <v/>
      </c>
      <c r="E47" s="487">
        <f>ROUNDUP(D47,0)</f>
        <v/>
      </c>
      <c r="F47" s="416" t="n"/>
      <c r="H47" t="inlineStr">
        <is>
          <t>Stella L 1DA-2DA.2 / Azotea</t>
        </is>
      </c>
    </row>
    <row r="48">
      <c r="B48" s="476" t="inlineStr">
        <is>
          <t>M06-0013</t>
        </is>
      </c>
      <c r="C48" s="411" t="inlineStr">
        <is>
          <t>Pegamento</t>
        </is>
      </c>
      <c r="D48" s="668">
        <f>IFERROR(_xlfn.XLOOKUP($D$11,ELEC!$F$5:$AV$5,ELEC!F38:AV38,0,0,1),0)+IFERROR(_xlfn.XLOOKUP($D$11,ELEC!$F$5:$AV$5,ELEC!F90:AV90,0,0,1),0)</f>
        <v/>
      </c>
      <c r="E48" s="487">
        <f>ROUNDUP(D48,0)</f>
        <v/>
      </c>
      <c r="F48" s="416" t="n"/>
      <c r="H48" t="inlineStr">
        <is>
          <t>Stella L 2DA / Techo</t>
        </is>
      </c>
    </row>
    <row r="49">
      <c r="B49" s="476" t="inlineStr">
        <is>
          <t>M06-0210</t>
        </is>
      </c>
      <c r="C49" s="411" t="inlineStr">
        <is>
          <t>Cegueta</t>
        </is>
      </c>
      <c r="D49" s="668">
        <f>IFERROR(_xlfn.XLOOKUP($D$11,ELEC!$F$5:$AV$5,ELEC!F39:AV39,0,0,1),0)+IFERROR(_xlfn.XLOOKUP($D$11,ELEC!$F$5:$AV$5,ELEC!F91:AV91,0,0,1),0)</f>
        <v/>
      </c>
      <c r="E49" s="487">
        <f>ROUNDUP(D49,0)</f>
        <v/>
      </c>
      <c r="F49" s="416" t="n"/>
      <c r="H49" t="inlineStr">
        <is>
          <t>Stella L 2DA / Azotea</t>
        </is>
      </c>
    </row>
    <row r="50">
      <c r="B50" s="476" t="inlineStr">
        <is>
          <t>M04-0003</t>
        </is>
      </c>
      <c r="C50" s="411" t="inlineStr">
        <is>
          <t>Lamina de estereofon</t>
        </is>
      </c>
      <c r="D50" s="668">
        <f>IFERROR(_xlfn.XLOOKUP($D$11,ELEC!$F$5:$AV$5,ELEC!F40:AV40,0,0,1),0)+IFERROR(_xlfn.XLOOKUP($D$11,ELEC!$F$5:$AV$5,ELEC!F92:AV92,0,0,1),0)</f>
        <v/>
      </c>
      <c r="E50" s="487">
        <f>ROUNDUP(D50,0)</f>
        <v/>
      </c>
      <c r="F50" s="416" t="n"/>
      <c r="H50" t="inlineStr">
        <is>
          <t>Stellita / Azotea</t>
        </is>
      </c>
    </row>
    <row r="51">
      <c r="B51" s="476" t="inlineStr">
        <is>
          <t>M06-0197</t>
        </is>
      </c>
      <c r="C51" s="411" t="inlineStr">
        <is>
          <t>Cilindro gas</t>
        </is>
      </c>
      <c r="D51" s="668">
        <f>IFERROR(_xlfn.XLOOKUP($D$11,ELEC!$F$5:$AV$5,ELEC!F41:AV41,0,0,1),0)+IFERROR(_xlfn.XLOOKUP($D$11,ELEC!$F$5:$AV$5,ELEC!F93:AV93,0,0,1),0)</f>
        <v/>
      </c>
      <c r="E51" s="487">
        <f>ROUNDUP(D51,0)</f>
        <v/>
      </c>
      <c r="F51" s="416" t="n"/>
      <c r="H51" t="inlineStr">
        <is>
          <t>Stella L 2DA Amp / Azotea</t>
        </is>
      </c>
    </row>
    <row r="52">
      <c r="B52" s="476" t="inlineStr">
        <is>
          <t>M05-0388</t>
        </is>
      </c>
      <c r="C52" s="411" t="inlineStr">
        <is>
          <t>Caja cuadrada 4x4 doble 1</t>
        </is>
      </c>
      <c r="D52" s="668">
        <f>IFERROR(_xlfn.XLOOKUP($D$11,ELEC!$F$5:$AV$5,ELEC!F42:AV42,0,0,1),0)+IFERROR(_xlfn.XLOOKUP($D$11,ELEC!$F$5:$AV$5,ELEC!F94:AV94,0,0,1),0)</f>
        <v/>
      </c>
      <c r="E52" s="487">
        <f>ROUNDUP(D52,0)</f>
        <v/>
      </c>
      <c r="F52" s="416" t="n"/>
      <c r="H52" t="inlineStr">
        <is>
          <t>Stella L 1DA Amp / Azotea</t>
        </is>
      </c>
    </row>
    <row r="53">
      <c r="B53" s="476" t="inlineStr">
        <is>
          <t>M05-0385</t>
        </is>
      </c>
      <c r="C53" s="411" t="inlineStr">
        <is>
          <t>Caja cuadrada 4x4 doble 1/2</t>
        </is>
      </c>
      <c r="D53" s="668">
        <f>IFERROR(_xlfn.XLOOKUP($D$11,ELEC!$F$5:$AV$5,ELEC!F43:AV43,0,0,1),0)+IFERROR(_xlfn.XLOOKUP($D$11,ELEC!$F$5:$AV$5,ELEC!F95:AV95,0,0,1),0)</f>
        <v/>
      </c>
      <c r="E53" s="487">
        <f>ROUNDUP(D53,0)</f>
        <v/>
      </c>
      <c r="F53" s="416" t="n"/>
      <c r="H53" t="inlineStr">
        <is>
          <t>Zante DA / Azotea</t>
        </is>
      </c>
    </row>
    <row r="54">
      <c r="B54" s="476" t="inlineStr">
        <is>
          <t>M05-0390</t>
        </is>
      </c>
      <c r="C54" s="411" t="inlineStr">
        <is>
          <t>Caja rectangular  salida 1/2</t>
        </is>
      </c>
      <c r="D54" s="668">
        <f>IFERROR(_xlfn.XLOOKUP($D$11,ELEC!$F$5:$AV$5,ELEC!F44:AV44,0,0,1),0)+IFERROR(_xlfn.XLOOKUP($D$11,ELEC!$F$5:$AV$5,ELEC!F96:AV96,0,0,1),0)</f>
        <v/>
      </c>
      <c r="E54" s="487">
        <f>ROUNDUP(D54,0)</f>
        <v/>
      </c>
      <c r="F54" s="416" t="n"/>
      <c r="H54" t="inlineStr">
        <is>
          <t>Stella L 3DA / Azotea</t>
        </is>
      </c>
    </row>
    <row r="55">
      <c r="B55" s="476" t="inlineStr">
        <is>
          <t>M05-0223</t>
        </is>
      </c>
      <c r="C55" s="411" t="inlineStr">
        <is>
          <t>Caja rectangular salida 3/4</t>
        </is>
      </c>
      <c r="D55" s="668">
        <f>IFERROR(_xlfn.XLOOKUP($D$11,ELEC!$F$5:$AV$5,ELEC!F45:AV45,0,0,1),0)+IFERROR(_xlfn.XLOOKUP($D$11,ELEC!$F$5:$AV$5,ELEC!F97:AV97,0,0,1),0)</f>
        <v/>
      </c>
      <c r="E55" s="487">
        <f>ROUNDUP(D55,0)</f>
        <v/>
      </c>
      <c r="F55" s="416" t="n"/>
      <c r="H55" t="inlineStr">
        <is>
          <t>Kora / Azotea</t>
        </is>
      </c>
    </row>
    <row r="56">
      <c r="B56" s="476" t="inlineStr">
        <is>
          <t>M05-0363</t>
        </is>
      </c>
      <c r="C56" s="411" t="inlineStr">
        <is>
          <t>Conector  1 1/2"</t>
        </is>
      </c>
      <c r="D56" s="668">
        <f>IFERROR(_xlfn.XLOOKUP($D$11,ELEC!$F$5:$AV$5,ELEC!F46:AV46,0,0,1),0)+IFERROR(_xlfn.XLOOKUP($D$11,ELEC!$F$5:$AV$5,ELEC!F98:AV98,0,0,1),0)</f>
        <v/>
      </c>
      <c r="E56" s="487">
        <f>ROUNDUP(D56,0)</f>
        <v/>
      </c>
      <c r="F56" s="416" t="n"/>
      <c r="H56" t="inlineStr">
        <is>
          <t>Fiora /Azotea</t>
        </is>
      </c>
    </row>
    <row r="57">
      <c r="B57" s="476" t="inlineStr">
        <is>
          <t>M05-0364</t>
        </is>
      </c>
      <c r="C57" s="411" t="inlineStr">
        <is>
          <t>Conector  1"</t>
        </is>
      </c>
      <c r="D57" s="668">
        <f>IFERROR(_xlfn.XLOOKUP($D$11,ELEC!$F$5:$AV$5,ELEC!F47:AV47,0,0,1),0)+IFERROR(_xlfn.XLOOKUP($D$11,ELEC!$F$5:$AV$5,ELEC!F99:AV99,0,0,1),0)</f>
        <v/>
      </c>
      <c r="E57" s="487">
        <f>ROUNDUP(D57,0)</f>
        <v/>
      </c>
      <c r="F57" s="416" t="n"/>
      <c r="H57" t="inlineStr">
        <is>
          <t>Caspe / Azotea</t>
        </is>
      </c>
    </row>
    <row r="58">
      <c r="B58" s="476" t="inlineStr">
        <is>
          <t>M05-0476</t>
        </is>
      </c>
      <c r="C58" s="411" t="inlineStr">
        <is>
          <t>Conector  1/2"</t>
        </is>
      </c>
      <c r="D58" s="668">
        <f>IFERROR(_xlfn.XLOOKUP($D$11,ELEC!$F$5:$AV$5,ELEC!F48:AV48,0,0,1),0)+IFERROR(_xlfn.XLOOKUP($D$11,ELEC!$F$5:$AV$5,ELEC!F100:AV100,0,0,1),0)</f>
        <v/>
      </c>
      <c r="E58" s="487">
        <f>ROUNDUP(D58,0)</f>
        <v/>
      </c>
      <c r="F58" s="416" t="n"/>
      <c r="H58" t="inlineStr">
        <is>
          <t>Toledo / Techo</t>
        </is>
      </c>
    </row>
    <row r="59">
      <c r="B59" s="476" t="inlineStr">
        <is>
          <t>M05-0477</t>
        </is>
      </c>
      <c r="C59" s="411" t="inlineStr">
        <is>
          <t>Conector  3/4"</t>
        </is>
      </c>
      <c r="D59" s="668">
        <f>IFERROR(_xlfn.XLOOKUP($D$11,ELEC!$F$5:$AV$5,ELEC!F49:AV49,0,0,1),0)+IFERROR(_xlfn.XLOOKUP($D$11,ELEC!$F$5:$AV$5,ELEC!F101:AV101,0,0,1),0)</f>
        <v/>
      </c>
      <c r="E59" s="487">
        <f>ROUNDUP(D59,0)</f>
        <v/>
      </c>
      <c r="F59" s="416" t="n"/>
      <c r="H59" t="inlineStr">
        <is>
          <t>Avila / Techo</t>
        </is>
      </c>
    </row>
    <row r="60">
      <c r="B60" s="476" t="inlineStr">
        <is>
          <t>M05-0405</t>
        </is>
      </c>
      <c r="C60" s="411" t="inlineStr">
        <is>
          <t>Tubo  1/2"</t>
        </is>
      </c>
      <c r="D60" s="668">
        <f>IFERROR(_xlfn.XLOOKUP($D$11,ELEC!$F$5:$AV$5,ELEC!F50:AV50,0,0,1),0)+IFERROR(_xlfn.XLOOKUP($D$11,ELEC!$F$5:$AV$5,ELEC!F102:AV102,0,0,1),0)</f>
        <v/>
      </c>
      <c r="E60" s="487">
        <f>ROUNDUP(D60,0)</f>
        <v/>
      </c>
      <c r="F60" s="543" t="n"/>
      <c r="H60" t="inlineStr">
        <is>
          <t>Gyro / Azotea</t>
        </is>
      </c>
    </row>
    <row r="61">
      <c r="B61" s="476" t="inlineStr">
        <is>
          <t>M05-0386</t>
        </is>
      </c>
      <c r="C61" s="411" t="inlineStr">
        <is>
          <t>Aro de repello 1 Gang</t>
        </is>
      </c>
      <c r="D61" s="668">
        <f>IFERROR(_xlfn.XLOOKUP($D$11,ELEC!$F$5:$AV$5,ELEC!F51:AV51,0,0,1),0)+IFERROR(_xlfn.XLOOKUP($D$11,ELEC!$F$5:$AV$5,ELEC!F103:AV103,0,0,1),0)</f>
        <v/>
      </c>
      <c r="E61" s="487">
        <f>ROUNDUP(D61,0)</f>
        <v/>
      </c>
      <c r="F61" s="543" t="n"/>
    </row>
    <row r="62">
      <c r="B62" s="476" t="inlineStr">
        <is>
          <t>M01-0147</t>
        </is>
      </c>
      <c r="C62" s="411" t="inlineStr">
        <is>
          <t>Varilla #3 G40</t>
        </is>
      </c>
      <c r="D62" s="668">
        <f>IFERROR(_xlfn.XLOOKUP($D$11,ELEC!$F$5:$AV$5,ELEC!F52:AV52,0,0,1),0)+IFERROR(_xlfn.XLOOKUP($D$11,ELEC!$F$5:$AV$5,ELEC!F104:AV104,0,0,1),0)</f>
        <v/>
      </c>
      <c r="E62" s="487">
        <f>ROUNDUP(D62,0)</f>
        <v/>
      </c>
      <c r="F62" s="416" t="n"/>
    </row>
    <row r="63">
      <c r="B63" s="476" t="inlineStr">
        <is>
          <t>M05-0371</t>
        </is>
      </c>
      <c r="C63" s="600" t="inlineStr">
        <is>
          <t>Tubo 19mm 3/4"</t>
        </is>
      </c>
      <c r="D63" s="668">
        <f>IFERROR(_xlfn.XLOOKUP($D$11,ELEC!$F$5:$AV$5,ELEC!F53:AV53,0,0,1),0)+IFERROR(_xlfn.XLOOKUP($D$11,ELEC!$F$5:$AV$5,ELEC!F105:AV105,0,0,1),0)</f>
        <v/>
      </c>
      <c r="E63" s="487">
        <f>ROUNDUP(D63,0)</f>
        <v/>
      </c>
      <c r="F63" s="416" t="n"/>
    </row>
    <row r="65">
      <c r="B65" s="669" t="n"/>
      <c r="C65" s="670" t="inlineStr">
        <is>
          <t>SUBCONTRATO</t>
        </is>
      </c>
      <c r="D65" s="671">
        <f>+E330</f>
        <v/>
      </c>
    </row>
    <row r="68">
      <c r="C68" s="468" t="inlineStr">
        <is>
          <t>3.1.3</t>
        </is>
      </c>
      <c r="D68" s="483" t="inlineStr">
        <is>
          <t>ELECTRICO ENTREPISO</t>
        </is>
      </c>
    </row>
    <row r="71">
      <c r="C71" s="667" t="inlineStr">
        <is>
          <t>ELECTRICO ENTREPISO</t>
        </is>
      </c>
      <c r="D71" s="672" t="inlineStr">
        <is>
          <t>Cantidad</t>
        </is>
      </c>
      <c r="E71" s="672" t="inlineStr">
        <is>
          <t>Unidad</t>
        </is>
      </c>
    </row>
    <row r="72">
      <c r="B72" s="476" t="inlineStr">
        <is>
          <t>M05-0362</t>
        </is>
      </c>
      <c r="C72" s="411" t="inlineStr">
        <is>
          <t>Curva 38mm 1 1/2"</t>
        </is>
      </c>
      <c r="D72" s="668">
        <f>IFERROR(_xlfn.XLOOKUP($D$11,ELEC!$F$5:$AV$5,ELEC!F58:AV58,0,0,1),0)</f>
        <v/>
      </c>
      <c r="E72" s="487">
        <f>ROUNDUP(D72,0)</f>
        <v/>
      </c>
    </row>
    <row r="73">
      <c r="B73" s="476" t="inlineStr">
        <is>
          <t>M05-0366</t>
        </is>
      </c>
      <c r="C73" s="411" t="inlineStr">
        <is>
          <t>Curva 25mm 1"</t>
        </is>
      </c>
      <c r="D73" s="668">
        <f>IFERROR(_xlfn.XLOOKUP($D$11,ELEC!$F$5:$AV$5,ELEC!F59:AV59,0,0,1),0)</f>
        <v/>
      </c>
      <c r="E73" s="487">
        <f>ROUNDUP(D73,0)</f>
        <v/>
      </c>
    </row>
    <row r="74">
      <c r="B74" s="476" t="inlineStr">
        <is>
          <t>M05-0361</t>
        </is>
      </c>
      <c r="C74" s="411" t="inlineStr">
        <is>
          <t>Curva 13mm 1/2"</t>
        </is>
      </c>
      <c r="D74" s="668">
        <f>IFERROR(_xlfn.XLOOKUP($D$11,ELEC!$F$5:$AV$5,ELEC!F60:AV60,0,0,1),0)</f>
        <v/>
      </c>
      <c r="E74" s="487">
        <f>ROUNDUP(D74,0)</f>
        <v/>
      </c>
    </row>
    <row r="75">
      <c r="B75" s="476" t="inlineStr">
        <is>
          <t>M05-0367</t>
        </is>
      </c>
      <c r="C75" s="411" t="inlineStr">
        <is>
          <t>Curva 19mm 3/4"</t>
        </is>
      </c>
      <c r="D75" s="668">
        <f>IFERROR(_xlfn.XLOOKUP($D$11,ELEC!$F$5:$AV$5,ELEC!F61:AV61,0,0,1),0)</f>
        <v/>
      </c>
      <c r="E75" s="487">
        <f>ROUNDUP(D75,0)</f>
        <v/>
      </c>
    </row>
    <row r="76">
      <c r="B76" s="476" t="inlineStr">
        <is>
          <t>M05-0368</t>
        </is>
      </c>
      <c r="C76" s="411" t="inlineStr">
        <is>
          <t>Tubo 38mm 1 1/2"</t>
        </is>
      </c>
      <c r="D76" s="668">
        <f>IFERROR(_xlfn.XLOOKUP($D$11,ELEC!$F$5:$AV$5,ELEC!F62:AV62,0,0,1),0)</f>
        <v/>
      </c>
      <c r="E76" s="487">
        <f>ROUNDUP(D76,0)</f>
        <v/>
      </c>
    </row>
    <row r="77">
      <c r="B77" s="476" t="inlineStr">
        <is>
          <t>M05-0369</t>
        </is>
      </c>
      <c r="C77" s="411" t="inlineStr">
        <is>
          <t>Tubo 25mm 1"</t>
        </is>
      </c>
      <c r="D77" s="668">
        <f>IFERROR(_xlfn.XLOOKUP($D$11,ELEC!$F$5:$AV$5,ELEC!F63:AV63,0,0,1),0)</f>
        <v/>
      </c>
      <c r="E77" s="487">
        <f>ROUNDUP(D77,0)</f>
        <v/>
      </c>
    </row>
    <row r="78">
      <c r="B78" s="476" t="inlineStr">
        <is>
          <t>M05-0370</t>
        </is>
      </c>
      <c r="C78" s="411" t="inlineStr">
        <is>
          <t>Tubo 13mm 1/2"</t>
        </is>
      </c>
      <c r="D78" s="668">
        <f>IFERROR(_xlfn.XLOOKUP($D$11,ELEC!$F$5:$AV$5,ELEC!F64:AV64,0,0,1),0)</f>
        <v/>
      </c>
      <c r="E78" s="487">
        <f>ROUNDUP(D78,0)</f>
        <v/>
      </c>
    </row>
    <row r="79">
      <c r="B79" s="476" t="inlineStr">
        <is>
          <t>M05-0371</t>
        </is>
      </c>
      <c r="C79" s="411" t="inlineStr">
        <is>
          <t>Tubo 19mm 3/4"</t>
        </is>
      </c>
      <c r="D79" s="668">
        <f>IFERROR(_xlfn.XLOOKUP($D$11,ELEC!$F$5:$AV$5,ELEC!F65:AV65,0,0,1),0)</f>
        <v/>
      </c>
      <c r="E79" s="487">
        <f>ROUNDUP(D79,0)</f>
        <v/>
      </c>
    </row>
    <row r="80">
      <c r="B80" s="476" t="inlineStr">
        <is>
          <t>M05-0372</t>
        </is>
      </c>
      <c r="C80" s="411" t="inlineStr">
        <is>
          <t>Union 38mm 1 1/2"</t>
        </is>
      </c>
      <c r="D80" s="668">
        <f>IFERROR(_xlfn.XLOOKUP($D$11,ELEC!$F$5:$AV$5,ELEC!F66:AV66,0,0,1),0)</f>
        <v/>
      </c>
      <c r="E80" s="487">
        <f>ROUNDUP(D80,0)</f>
        <v/>
      </c>
    </row>
    <row r="81">
      <c r="B81" s="476" t="inlineStr">
        <is>
          <t>M05-0373</t>
        </is>
      </c>
      <c r="C81" s="411" t="inlineStr">
        <is>
          <t>Union 25mm 1"</t>
        </is>
      </c>
      <c r="D81" s="668">
        <f>IFERROR(_xlfn.XLOOKUP($D$11,ELEC!$F$5:$AV$5,ELEC!F67:AV67,0,0,1),0)</f>
        <v/>
      </c>
      <c r="E81" s="487">
        <f>ROUNDUP(D81,0)</f>
        <v/>
      </c>
    </row>
    <row r="82">
      <c r="B82" s="476" t="inlineStr">
        <is>
          <t>M05-0374</t>
        </is>
      </c>
      <c r="C82" s="411" t="inlineStr">
        <is>
          <t>Union 13mm 1/2"</t>
        </is>
      </c>
      <c r="D82" s="668">
        <f>IFERROR(_xlfn.XLOOKUP($D$11,ELEC!$F$5:$AV$5,ELEC!F68:AV68,0,0,1),0)</f>
        <v/>
      </c>
      <c r="E82" s="487">
        <f>ROUNDUP(D82,0)</f>
        <v/>
      </c>
    </row>
    <row r="83">
      <c r="B83" s="476" t="inlineStr">
        <is>
          <t>M05-0375</t>
        </is>
      </c>
      <c r="C83" s="411" t="inlineStr">
        <is>
          <t>Union 19mm 3/4"</t>
        </is>
      </c>
      <c r="D83" s="668">
        <f>IFERROR(_xlfn.XLOOKUP($D$11,ELEC!$F$5:$AV$5,ELEC!F69:AV69,0,0,1),0)</f>
        <v/>
      </c>
      <c r="E83" s="487">
        <f>ROUNDUP(D83,0)</f>
        <v/>
      </c>
    </row>
    <row r="84">
      <c r="B84" s="476" t="inlineStr">
        <is>
          <t>M05-0476</t>
        </is>
      </c>
      <c r="C84" s="411" t="inlineStr">
        <is>
          <t>Conector de 1/2" UL</t>
        </is>
      </c>
      <c r="D84" s="668">
        <f>IFERROR(_xlfn.XLOOKUP($D$11,ELEC!$F$5:$AV$5,ELEC!F70:AV70,0,0,1),0)</f>
        <v/>
      </c>
      <c r="E84" s="487">
        <f>ROUNDUP(D84,0)</f>
        <v/>
      </c>
    </row>
    <row r="85">
      <c r="B85" s="476" t="inlineStr">
        <is>
          <t>M11-0071</t>
        </is>
      </c>
      <c r="C85" s="411" t="inlineStr">
        <is>
          <t>Spray</t>
        </is>
      </c>
      <c r="D85" s="668">
        <f>IFERROR(_xlfn.XLOOKUP($D$11,ELEC!$F$5:$AV$5,ELEC!F71:AV71,0,0,1),0)</f>
        <v/>
      </c>
      <c r="E85" s="487">
        <f>ROUNDUP(D85,0)</f>
        <v/>
      </c>
    </row>
    <row r="86">
      <c r="B86" s="476" t="inlineStr">
        <is>
          <t>M06-0175</t>
        </is>
      </c>
      <c r="C86" s="411" t="inlineStr">
        <is>
          <t>Cinta empaque</t>
        </is>
      </c>
      <c r="D86" s="668">
        <f>IFERROR(_xlfn.XLOOKUP($D$11,ELEC!$F$5:$AV$5,ELEC!F72:AV72,0,0,1),0)</f>
        <v/>
      </c>
      <c r="E86" s="487">
        <f>ROUNDUP(D86,0)</f>
        <v/>
      </c>
    </row>
    <row r="87">
      <c r="B87" s="476" t="inlineStr">
        <is>
          <t>M06-0013</t>
        </is>
      </c>
      <c r="C87" s="411" t="inlineStr">
        <is>
          <t>Pegamento</t>
        </is>
      </c>
      <c r="D87" s="668">
        <f>IFERROR(_xlfn.XLOOKUP($D$11,ELEC!$F$5:$AV$5,ELEC!F73:AV73,0,0,1),0)</f>
        <v/>
      </c>
      <c r="E87" s="487">
        <f>ROUNDUP(D87,0)</f>
        <v/>
      </c>
    </row>
    <row r="88">
      <c r="B88" s="476" t="inlineStr">
        <is>
          <t>M06-0210</t>
        </is>
      </c>
      <c r="C88" s="411" t="inlineStr">
        <is>
          <t>Cegueta</t>
        </is>
      </c>
      <c r="D88" s="668">
        <f>IFERROR(_xlfn.XLOOKUP($D$11,ELEC!$F$5:$AV$5,ELEC!F74:AV74,0,0,1),0)</f>
        <v/>
      </c>
      <c r="E88" s="487">
        <f>ROUNDUP(D88,0)</f>
        <v/>
      </c>
    </row>
    <row r="89">
      <c r="B89" s="476" t="inlineStr">
        <is>
          <t>M04-0003</t>
        </is>
      </c>
      <c r="C89" s="411" t="inlineStr">
        <is>
          <t>Lamina de estereofon</t>
        </is>
      </c>
      <c r="D89" s="668">
        <f>IFERROR(_xlfn.XLOOKUP($D$11,ELEC!$F$5:$AV$5,ELEC!F75:AV75,0,0,1),0)</f>
        <v/>
      </c>
      <c r="E89" s="487">
        <f>ROUNDUP(D89,0)</f>
        <v/>
      </c>
    </row>
    <row r="90">
      <c r="B90" s="476" t="inlineStr">
        <is>
          <t>M05-0389</t>
        </is>
      </c>
      <c r="C90" s="411" t="inlineStr">
        <is>
          <t xml:space="preserve">Caja octagonal </t>
        </is>
      </c>
      <c r="D90" s="668">
        <f>IFERROR(_xlfn.XLOOKUP($D$11,ELEC!$F$5:$AV$5,ELEC!F76:AV76,0,0,1),0)</f>
        <v/>
      </c>
      <c r="E90" s="487">
        <f>ROUNDUP(D90,0)</f>
        <v/>
      </c>
    </row>
    <row r="91">
      <c r="B91" s="476" t="inlineStr">
        <is>
          <t>M06-0197</t>
        </is>
      </c>
      <c r="C91" s="411" t="inlineStr">
        <is>
          <t>Cilindro de gas</t>
        </is>
      </c>
      <c r="D91" s="668">
        <f>IFERROR(_xlfn.XLOOKUP($D$11,ELEC!$F$5:$AV$5,ELEC!F77:AV77,0,0,1),0)</f>
        <v/>
      </c>
      <c r="E91" s="487">
        <f>ROUNDUP(D91,0)</f>
        <v/>
      </c>
    </row>
    <row r="92">
      <c r="B92" s="476" t="inlineStr">
        <is>
          <t>M05-0160</t>
        </is>
      </c>
      <c r="C92" s="411" t="inlineStr">
        <is>
          <t>Caja 4x4 d/fondo 1/2</t>
        </is>
      </c>
      <c r="D92" s="668">
        <f>IFERROR(_xlfn.XLOOKUP($D$11,ELEC!$F$5:$AV$5,ELEC!F78:AV78,0,0,1),0)</f>
        <v/>
      </c>
      <c r="E92" s="487">
        <f>ROUNDUP(D92,0)</f>
        <v/>
      </c>
    </row>
    <row r="93">
      <c r="B93" s="476" t="inlineStr">
        <is>
          <t>M05-0477</t>
        </is>
      </c>
      <c r="C93" s="411" t="inlineStr">
        <is>
          <t>Conector de 3/4" UL</t>
        </is>
      </c>
      <c r="D93" s="668">
        <f>IFERROR(_xlfn.XLOOKUP($D$11,ELEC!$F$5:$AV$5,ELEC!F79:AV79,0,0,1),0)</f>
        <v/>
      </c>
      <c r="E93" s="487">
        <f>ROUNDUP(D93,0)</f>
        <v/>
      </c>
    </row>
    <row r="97">
      <c r="C97" s="468" t="inlineStr">
        <is>
          <t>3.1.4</t>
        </is>
      </c>
      <c r="D97" s="483" t="inlineStr">
        <is>
          <t>ELECTRICO AZOTEA</t>
        </is>
      </c>
    </row>
    <row r="100">
      <c r="C100" s="667" t="inlineStr">
        <is>
          <t>ELECTRICO ENTREPISO</t>
        </is>
      </c>
      <c r="D100" s="672" t="inlineStr">
        <is>
          <t>Cantidad</t>
        </is>
      </c>
      <c r="E100" s="672" t="inlineStr">
        <is>
          <t>Unidad</t>
        </is>
      </c>
    </row>
    <row r="101">
      <c r="B101" s="476" t="inlineStr">
        <is>
          <t>M05-0362</t>
        </is>
      </c>
      <c r="C101" s="411" t="inlineStr">
        <is>
          <t>Curva 38mm 1 1/2"</t>
        </is>
      </c>
      <c r="D101" s="668">
        <f>IFERROR(_xlfn.XLOOKUP($D$11,ELEC!$F$5:$AV$5,ELEC!F110:AV110,0,0,1),0)</f>
        <v/>
      </c>
      <c r="E101" s="487">
        <f>ROUNDUP(D101,0)</f>
        <v/>
      </c>
    </row>
    <row r="102">
      <c r="B102" s="476" t="inlineStr">
        <is>
          <t>M05-0366</t>
        </is>
      </c>
      <c r="C102" s="411" t="inlineStr">
        <is>
          <t>Curva 25mm 1"</t>
        </is>
      </c>
      <c r="D102" s="668">
        <f>IFERROR(_xlfn.XLOOKUP($D$11,ELEC!$F$5:$AV$5,ELEC!F111:AV111,0,0,1),0)</f>
        <v/>
      </c>
      <c r="E102" s="487">
        <f>ROUNDUP(D102,0)</f>
        <v/>
      </c>
    </row>
    <row r="103">
      <c r="B103" s="476" t="inlineStr">
        <is>
          <t>M05-0361</t>
        </is>
      </c>
      <c r="C103" s="411" t="inlineStr">
        <is>
          <t>Curva 13mm 1/2"</t>
        </is>
      </c>
      <c r="D103" s="668">
        <f>IFERROR(_xlfn.XLOOKUP($D$11,ELEC!$F$5:$AV$5,ELEC!F112:AV112,0,0,1),0)</f>
        <v/>
      </c>
      <c r="E103" s="487">
        <f>ROUNDUP(D103,0)</f>
        <v/>
      </c>
    </row>
    <row r="104">
      <c r="B104" s="476" t="inlineStr">
        <is>
          <t>M05-0367</t>
        </is>
      </c>
      <c r="C104" s="411" t="inlineStr">
        <is>
          <t>Curva 19mm 3/4"</t>
        </is>
      </c>
      <c r="D104" s="668">
        <f>IFERROR(_xlfn.XLOOKUP($D$11,ELEC!$F$5:$AV$5,ELEC!F113:AV113,0,0,1),0)</f>
        <v/>
      </c>
      <c r="E104" s="487">
        <f>ROUNDUP(D104,0)</f>
        <v/>
      </c>
    </row>
    <row r="105">
      <c r="B105" s="476" t="inlineStr">
        <is>
          <t>M05-0368</t>
        </is>
      </c>
      <c r="C105" s="411" t="inlineStr">
        <is>
          <t>Tubo 38mm 1 1/2"</t>
        </is>
      </c>
      <c r="D105" s="668">
        <f>IFERROR(_xlfn.XLOOKUP($D$11,ELEC!$F$5:$AV$5,ELEC!F114:AV114,0,0,1),0)</f>
        <v/>
      </c>
      <c r="E105" s="487">
        <f>ROUNDUP(D105,0)</f>
        <v/>
      </c>
    </row>
    <row r="106">
      <c r="B106" s="476" t="inlineStr">
        <is>
          <t>M05-0369</t>
        </is>
      </c>
      <c r="C106" s="411" t="inlineStr">
        <is>
          <t>Tubo 25mm 1"</t>
        </is>
      </c>
      <c r="D106" s="668">
        <f>IFERROR(_xlfn.XLOOKUP($D$11,ELEC!$F$5:$AV$5,ELEC!F115:AV115,0,0,1),0)</f>
        <v/>
      </c>
      <c r="E106" s="487">
        <f>ROUNDUP(D106,0)</f>
        <v/>
      </c>
    </row>
    <row r="107">
      <c r="B107" s="476" t="inlineStr">
        <is>
          <t>M05-0370</t>
        </is>
      </c>
      <c r="C107" s="411" t="inlineStr">
        <is>
          <t>Tubo 13mm 1/2"</t>
        </is>
      </c>
      <c r="D107" s="668">
        <f>IFERROR(_xlfn.XLOOKUP($D$11,ELEC!$F$5:$AV$5,ELEC!F116:AV116,0,0,1),0)</f>
        <v/>
      </c>
      <c r="E107" s="487">
        <f>ROUNDUP(D107,0)</f>
        <v/>
      </c>
    </row>
    <row r="108">
      <c r="B108" s="476" t="inlineStr">
        <is>
          <t>M05-0371</t>
        </is>
      </c>
      <c r="C108" s="411" t="inlineStr">
        <is>
          <t>Tubo 19mm 3/4"</t>
        </is>
      </c>
      <c r="D108" s="668">
        <f>IFERROR(_xlfn.XLOOKUP($D$11,ELEC!$F$5:$AV$5,ELEC!F117:AV117,0,0,1),0)</f>
        <v/>
      </c>
      <c r="E108" s="487">
        <f>ROUNDUP(D108,0)</f>
        <v/>
      </c>
    </row>
    <row r="109">
      <c r="B109" s="476" t="inlineStr">
        <is>
          <t>M05-0372</t>
        </is>
      </c>
      <c r="C109" s="411" t="inlineStr">
        <is>
          <t>Union 38mm 1 1/2"</t>
        </is>
      </c>
      <c r="D109" s="668">
        <f>IFERROR(_xlfn.XLOOKUP($D$11,ELEC!$F$5:$AV$5,ELEC!F118:AV118,0,0,1),0)</f>
        <v/>
      </c>
      <c r="E109" s="487">
        <f>ROUNDUP(D109,0)</f>
        <v/>
      </c>
    </row>
    <row r="110">
      <c r="B110" s="476" t="inlineStr">
        <is>
          <t>M05-0373</t>
        </is>
      </c>
      <c r="C110" s="411" t="inlineStr">
        <is>
          <t>Union 25mm 1"</t>
        </is>
      </c>
      <c r="D110" s="668">
        <f>IFERROR(_xlfn.XLOOKUP($D$11,ELEC!$F$5:$AV$5,ELEC!F119:AV119,0,0,1),0)</f>
        <v/>
      </c>
      <c r="E110" s="487">
        <f>ROUNDUP(D110,0)</f>
        <v/>
      </c>
    </row>
    <row r="111">
      <c r="B111" s="476" t="inlineStr">
        <is>
          <t>M05-0374</t>
        </is>
      </c>
      <c r="C111" s="411" t="inlineStr">
        <is>
          <t>Union 13mm 1/2"</t>
        </is>
      </c>
      <c r="D111" s="668">
        <f>IFERROR(_xlfn.XLOOKUP($D$11,ELEC!$F$5:$AV$5,ELEC!F120:AV120,0,0,1),0)</f>
        <v/>
      </c>
      <c r="E111" s="487">
        <f>ROUNDUP(D111,0)</f>
        <v/>
      </c>
    </row>
    <row r="112">
      <c r="B112" s="476" t="inlineStr">
        <is>
          <t>M05-0375</t>
        </is>
      </c>
      <c r="C112" s="411" t="inlineStr">
        <is>
          <t>Union 19mm 3/4"</t>
        </is>
      </c>
      <c r="D112" s="668">
        <f>IFERROR(_xlfn.XLOOKUP($D$11,ELEC!$F$5:$AV$5,ELEC!F121:AV121,0,0,1),0)</f>
        <v/>
      </c>
      <c r="E112" s="487">
        <f>ROUNDUP(D112,0)</f>
        <v/>
      </c>
    </row>
    <row r="113">
      <c r="B113" s="476" t="inlineStr">
        <is>
          <t>M05-0476</t>
        </is>
      </c>
      <c r="C113" s="411" t="inlineStr">
        <is>
          <t>Conector conduit 1/2"</t>
        </is>
      </c>
      <c r="D113" s="668">
        <f>IFERROR(_xlfn.XLOOKUP($D$11,ELEC!$F$5:$AV$5,ELEC!F122:AV122,0,0,1),0)</f>
        <v/>
      </c>
      <c r="E113" s="487">
        <f>ROUNDUP(D113,0)</f>
        <v/>
      </c>
    </row>
    <row r="114">
      <c r="B114" s="476" t="inlineStr">
        <is>
          <t>M11-0071</t>
        </is>
      </c>
      <c r="C114" s="411" t="inlineStr">
        <is>
          <t>Spray</t>
        </is>
      </c>
      <c r="D114" s="668">
        <f>IFERROR(_xlfn.XLOOKUP($D$11,ELEC!$F$5:$AV$5,ELEC!F123:AV123,0,0,1),0)</f>
        <v/>
      </c>
      <c r="E114" s="487">
        <f>ROUNDUP(D114,0)</f>
        <v/>
      </c>
    </row>
    <row r="115">
      <c r="B115" s="476" t="inlineStr">
        <is>
          <t>M06-0175</t>
        </is>
      </c>
      <c r="C115" s="411" t="inlineStr">
        <is>
          <t>Cinta empaque</t>
        </is>
      </c>
      <c r="D115" s="668">
        <f>IFERROR(_xlfn.XLOOKUP($D$11,ELEC!$F$5:$AV$5,ELEC!F124:AV124,0,0,1),0)</f>
        <v/>
      </c>
      <c r="E115" s="487">
        <f>ROUNDUP(D115,0)</f>
        <v/>
      </c>
    </row>
    <row r="116">
      <c r="B116" s="476" t="inlineStr">
        <is>
          <t>M06-0013</t>
        </is>
      </c>
      <c r="C116" s="411" t="inlineStr">
        <is>
          <t>Pegamento</t>
        </is>
      </c>
      <c r="D116" s="668">
        <f>IFERROR(_xlfn.XLOOKUP($D$11,ELEC!$F$5:$AV$5,ELEC!F125:AV125,0,0,1),0)</f>
        <v/>
      </c>
      <c r="E116" s="487">
        <f>ROUNDUP(D116,0)</f>
        <v/>
      </c>
    </row>
    <row r="117">
      <c r="B117" s="476" t="inlineStr">
        <is>
          <t>M06-0210</t>
        </is>
      </c>
      <c r="C117" s="411" t="inlineStr">
        <is>
          <t>Cegueta</t>
        </is>
      </c>
      <c r="D117" s="668">
        <f>IFERROR(_xlfn.XLOOKUP($D$11,ELEC!$F$5:$AV$5,ELEC!F126:AV126,0,0,1),0)</f>
        <v/>
      </c>
      <c r="E117" s="487">
        <f>ROUNDUP(D117,0)</f>
        <v/>
      </c>
    </row>
    <row r="118">
      <c r="B118" s="476" t="inlineStr">
        <is>
          <t>M04-0003</t>
        </is>
      </c>
      <c r="C118" s="411" t="inlineStr">
        <is>
          <t>Lamina de estereofon</t>
        </is>
      </c>
      <c r="D118" s="668">
        <f>IFERROR(_xlfn.XLOOKUP($D$11,ELEC!$F$5:$AV$5,ELEC!F127:AV127,0,0,1),0)</f>
        <v/>
      </c>
      <c r="E118" s="487">
        <f>ROUNDUP(D118,0)</f>
        <v/>
      </c>
    </row>
    <row r="119">
      <c r="B119" s="476" t="inlineStr">
        <is>
          <t>M05-0389</t>
        </is>
      </c>
      <c r="C119" s="411" t="inlineStr">
        <is>
          <t xml:space="preserve">Caja octagonal </t>
        </is>
      </c>
      <c r="D119" s="668">
        <f>IFERROR(_xlfn.XLOOKUP($D$11,ELEC!$F$5:$AV$5,ELEC!F128:AV128,0,0,1),0)</f>
        <v/>
      </c>
      <c r="E119" s="487">
        <f>ROUNDUP(D119,0)</f>
        <v/>
      </c>
    </row>
    <row r="120">
      <c r="B120" s="476" t="inlineStr">
        <is>
          <t>M06-0197</t>
        </is>
      </c>
      <c r="C120" s="411" t="inlineStr">
        <is>
          <t>Cilindro de gas</t>
        </is>
      </c>
      <c r="D120" s="668">
        <f>IFERROR(_xlfn.XLOOKUP($D$11,ELEC!$F$5:$AV$5,ELEC!F129:AV129,0,0,1),0)</f>
        <v/>
      </c>
      <c r="E120" s="487">
        <f>ROUNDUP(D120,0)</f>
        <v/>
      </c>
    </row>
    <row r="121">
      <c r="B121" s="476" t="inlineStr">
        <is>
          <t>M05-0390</t>
        </is>
      </c>
      <c r="C121" s="411" t="inlineStr">
        <is>
          <t>Caja rectangular  salida 1/2</t>
        </is>
      </c>
      <c r="D121" s="668">
        <f>IFERROR(_xlfn.XLOOKUP($D$11,ELEC!$F$5:$AV$5,ELEC!F130:AV130,0,0,1),0)</f>
        <v/>
      </c>
      <c r="E121" s="487">
        <f>ROUNDUP(D121,0)</f>
        <v/>
      </c>
    </row>
    <row r="122">
      <c r="B122" s="476" t="inlineStr">
        <is>
          <t>M05-0385</t>
        </is>
      </c>
      <c r="C122" s="411" t="inlineStr">
        <is>
          <t>Caja cuadrada 4x4 doble 1/2</t>
        </is>
      </c>
      <c r="D122" s="668">
        <f>IFERROR(_xlfn.XLOOKUP($D$11,ELEC!$F$5:$AV$5,ELEC!F131:AV131,0,0,1),0)</f>
        <v/>
      </c>
      <c r="E122" s="487">
        <f>ROUNDUP(D122,0)</f>
        <v/>
      </c>
    </row>
    <row r="123">
      <c r="B123" s="476" t="inlineStr">
        <is>
          <t>M05-0477</t>
        </is>
      </c>
      <c r="C123" s="411" t="inlineStr">
        <is>
          <t>Conector  3/4" UL</t>
        </is>
      </c>
      <c r="D123" s="668">
        <f>IFERROR(_xlfn.XLOOKUP($D$11,ELEC!$F$5:$AV$5,ELEC!F132:AV132,0,0,1),0)</f>
        <v/>
      </c>
      <c r="E123" s="487">
        <f>ROUNDUP(D123,0)</f>
        <v/>
      </c>
    </row>
    <row r="126">
      <c r="B126" s="669" t="n"/>
      <c r="C126" s="468" t="inlineStr">
        <is>
          <t>3.1.5</t>
        </is>
      </c>
      <c r="D126" s="483" t="inlineStr">
        <is>
          <t>ELECTRICO ILUMINACION</t>
        </is>
      </c>
    </row>
    <row r="127">
      <c r="B127" s="669" t="n"/>
      <c r="C127" s="51" t="n"/>
      <c r="D127" s="51" t="n"/>
    </row>
    <row r="129">
      <c r="B129" s="669" t="n"/>
      <c r="C129" s="667" t="inlineStr">
        <is>
          <t>ELECTRICO ILUMINACION</t>
        </is>
      </c>
      <c r="D129" s="672" t="inlineStr">
        <is>
          <t>Cantidad</t>
        </is>
      </c>
      <c r="E129" s="672" t="inlineStr">
        <is>
          <t>Unidad</t>
        </is>
      </c>
    </row>
    <row r="130">
      <c r="B130" s="476" t="inlineStr">
        <is>
          <t>M05-0361</t>
        </is>
      </c>
      <c r="C130" s="411" t="inlineStr">
        <is>
          <t>Curva  1/2"</t>
        </is>
      </c>
      <c r="D130" s="668">
        <f>IFERROR(_xlfn.XLOOKUP($D$11,ELEC!$F$5:$AV$5,ELEC!F136:AV136,0,0,1),0)</f>
        <v/>
      </c>
      <c r="E130" s="487">
        <f>ROUNDUP(D130,0)</f>
        <v/>
      </c>
      <c r="F130" s="416" t="n"/>
    </row>
    <row r="131">
      <c r="B131" s="476" t="inlineStr">
        <is>
          <t>M05-0370</t>
        </is>
      </c>
      <c r="C131" s="411" t="inlineStr">
        <is>
          <t>Tubo  1/2"</t>
        </is>
      </c>
      <c r="D131" s="668">
        <f>IFERROR(_xlfn.XLOOKUP($D$11,ELEC!$F$5:$AV$5,ELEC!F137:AV137,0,0,1),0)</f>
        <v/>
      </c>
      <c r="E131" s="487">
        <f>ROUNDUP(D131,0)</f>
        <v/>
      </c>
      <c r="F131" s="416" t="n"/>
    </row>
    <row r="132">
      <c r="B132" s="476" t="inlineStr">
        <is>
          <t>M05-0374</t>
        </is>
      </c>
      <c r="C132" s="411" t="inlineStr">
        <is>
          <t>Union  1/2"</t>
        </is>
      </c>
      <c r="D132" s="668">
        <f>IFERROR(_xlfn.XLOOKUP($D$11,ELEC!$F$5:$AV$5,ELEC!F138:AV138,0,0,1),0)</f>
        <v/>
      </c>
      <c r="E132" s="487">
        <f>ROUNDUP(D132,0)</f>
        <v/>
      </c>
      <c r="F132" s="416" t="n"/>
    </row>
    <row r="133">
      <c r="B133" s="476" t="inlineStr">
        <is>
          <t>M05-0476</t>
        </is>
      </c>
      <c r="C133" s="411" t="inlineStr">
        <is>
          <t>Conector  1/2"</t>
        </is>
      </c>
      <c r="D133" s="668">
        <f>IFERROR(_xlfn.XLOOKUP($D$11,ELEC!$F$5:$AV$5,ELEC!F139:AV139,0,0,1),0)</f>
        <v/>
      </c>
      <c r="E133" s="487">
        <f>ROUNDUP(D133,0)</f>
        <v/>
      </c>
      <c r="F133" s="416" t="n"/>
    </row>
    <row r="134">
      <c r="B134" s="476" t="inlineStr">
        <is>
          <t>M05-0264</t>
        </is>
      </c>
      <c r="C134" s="411" t="inlineStr">
        <is>
          <t xml:space="preserve">TGP 3x12 </t>
        </is>
      </c>
      <c r="D134" s="668">
        <f>IFERROR(_xlfn.XLOOKUP($D$11,ELEC!$F$5:$AV$5,ELEC!F140:AV140,0,0,1),0)</f>
        <v/>
      </c>
      <c r="E134" s="487">
        <f>ROUNDUP(D134,0)</f>
        <v/>
      </c>
      <c r="F134" s="416" t="n"/>
    </row>
    <row r="135">
      <c r="B135" s="476" t="inlineStr">
        <is>
          <t>M05-0389</t>
        </is>
      </c>
      <c r="C135" s="411" t="inlineStr">
        <is>
          <t xml:space="preserve">Caja octagonal </t>
        </is>
      </c>
      <c r="D135" s="668">
        <f>IFERROR(_xlfn.XLOOKUP($D$11,ELEC!$F$5:$AV$5,ELEC!F141:AV141,0,0,1),0)</f>
        <v/>
      </c>
      <c r="E135" s="487">
        <f>ROUNDUP(D135,0)</f>
        <v/>
      </c>
      <c r="F135" s="416" t="n"/>
    </row>
    <row r="136">
      <c r="B136" s="476" t="inlineStr">
        <is>
          <t>M05-0407</t>
        </is>
      </c>
      <c r="C136" s="411" t="inlineStr">
        <is>
          <t>Gaza metaliza  3/4"</t>
        </is>
      </c>
      <c r="D136" s="668">
        <f>IFERROR(_xlfn.XLOOKUP($D$11,ELEC!$F$5:$AV$5,ELEC!F142:AV142,0,0,1),0)</f>
        <v/>
      </c>
      <c r="E136" s="487">
        <f>ROUNDUP(D136,0)</f>
        <v/>
      </c>
      <c r="F136" s="416" t="n"/>
    </row>
    <row r="137">
      <c r="B137" s="476" t="inlineStr">
        <is>
          <t>M05-0223</t>
        </is>
      </c>
      <c r="C137" s="411" t="inlineStr">
        <is>
          <t>Caja  4x4 sencilla</t>
        </is>
      </c>
      <c r="D137" s="668">
        <f>IFERROR(_xlfn.XLOOKUP($D$11,ELEC!$F$5:$AV$5,ELEC!F143:AV143,0,0,1),0)</f>
        <v/>
      </c>
      <c r="E137" s="487">
        <f>ROUNDUP(D137,0)</f>
        <v/>
      </c>
      <c r="F137" s="416" t="n"/>
    </row>
    <row r="138">
      <c r="B138" s="476" t="inlineStr">
        <is>
          <t>M05-0015</t>
        </is>
      </c>
      <c r="C138" s="411" t="inlineStr">
        <is>
          <t>Tapa ciega octagonal</t>
        </is>
      </c>
      <c r="D138" s="668">
        <f>IFERROR(_xlfn.XLOOKUP($D$11,ELEC!$F$5:$AV$5,ELEC!F144:AV144,0,0,1),0)</f>
        <v/>
      </c>
      <c r="E138" s="487">
        <f>ROUNDUP(D138,0)</f>
        <v/>
      </c>
      <c r="F138" s="416" t="n"/>
    </row>
    <row r="139">
      <c r="B139" s="476" t="inlineStr">
        <is>
          <t>M05-0410</t>
        </is>
      </c>
      <c r="C139" s="411" t="inlineStr">
        <is>
          <t>Tapa cuadrada ciega MT</t>
        </is>
      </c>
      <c r="D139" s="668">
        <f>IFERROR(_xlfn.XLOOKUP($D$11,ELEC!$F$5:$AV$5,ELEC!F145:AV145,0,0,1),0)</f>
        <v/>
      </c>
      <c r="E139" s="487">
        <f>ROUNDUP(D139,0)</f>
        <v/>
      </c>
      <c r="F139" s="416" t="n"/>
    </row>
    <row r="140">
      <c r="B140" s="476" t="inlineStr">
        <is>
          <t>M05-0007</t>
        </is>
      </c>
      <c r="C140" s="411" t="inlineStr">
        <is>
          <t>scotch plug amarillo</t>
        </is>
      </c>
      <c r="D140" s="668">
        <f>IFERROR(_xlfn.XLOOKUP($D$11,ELEC!$F$5:$AV$5,ELEC!F146:AV146,0,0,1),0)</f>
        <v/>
      </c>
      <c r="E140" s="487">
        <f>ROUNDUP(D140,0)</f>
        <v/>
      </c>
      <c r="F140" s="416" t="n"/>
    </row>
    <row r="141">
      <c r="B141" s="476" t="inlineStr">
        <is>
          <t>M05-0008</t>
        </is>
      </c>
      <c r="C141" s="411" t="inlineStr">
        <is>
          <t>conector empalme rojo</t>
        </is>
      </c>
      <c r="D141" s="668">
        <f>IFERROR(_xlfn.XLOOKUP($D$11,ELEC!$F$5:$AV$5,ELEC!F147:AV147,0,0,1),0)</f>
        <v/>
      </c>
      <c r="E141" s="487">
        <f>ROUNDUP(D141,0)</f>
        <v/>
      </c>
      <c r="F141" s="416" t="n"/>
    </row>
    <row r="142">
      <c r="B142" s="476" t="inlineStr">
        <is>
          <t>M05-0019</t>
        </is>
      </c>
      <c r="C142" s="411" t="inlineStr">
        <is>
          <t>Tape Super 33</t>
        </is>
      </c>
      <c r="D142" s="668">
        <f>IFERROR(_xlfn.XLOOKUP($D$11,ELEC!$F$5:$AV$5,ELEC!F148:AV148,0,0,1),0)</f>
        <v/>
      </c>
      <c r="E142" s="487">
        <f>ROUNDUP(D142,0)</f>
        <v/>
      </c>
      <c r="F142" s="416" t="n"/>
    </row>
    <row r="143">
      <c r="B143" s="476" t="inlineStr">
        <is>
          <t>M05-0259</t>
        </is>
      </c>
      <c r="C143" s="411" t="inlineStr">
        <is>
          <t>Cable thhn #12 azul</t>
        </is>
      </c>
      <c r="D143" s="668">
        <f>IFERROR(_xlfn.XLOOKUP($D$11,ELEC!$F$5:$AV$5,ELEC!F149:AV149,0,0,1),0)</f>
        <v/>
      </c>
      <c r="E143" s="487">
        <f>ROUNDUP(D143,0)</f>
        <v/>
      </c>
      <c r="F143" s="416" t="n"/>
    </row>
    <row r="144">
      <c r="B144" s="476" t="inlineStr">
        <is>
          <t>M05-0259</t>
        </is>
      </c>
      <c r="C144" s="411" t="inlineStr">
        <is>
          <t>Cable thhn #12 blanco</t>
        </is>
      </c>
      <c r="D144" s="668">
        <f>IFERROR(_xlfn.XLOOKUP($D$11,ELEC!$F$5:$AV$5,ELEC!F150:AV150,0,0,1),0)</f>
        <v/>
      </c>
      <c r="E144" s="487">
        <f>ROUNDUP(D144,0)</f>
        <v/>
      </c>
      <c r="F144" s="416" t="n"/>
    </row>
    <row r="145">
      <c r="B145" s="476" t="inlineStr">
        <is>
          <t>M05-0259</t>
        </is>
      </c>
      <c r="C145" s="411" t="inlineStr">
        <is>
          <t>Cable thhn #12 negro</t>
        </is>
      </c>
      <c r="D145" s="668">
        <f>IFERROR(_xlfn.XLOOKUP($D$11,ELEC!$F$5:$AV$5,ELEC!F151:AV151,0,0,1),0)</f>
        <v/>
      </c>
      <c r="E145" s="487">
        <f>ROUNDUP(D145,0)</f>
        <v/>
      </c>
      <c r="F145" s="416" t="n"/>
    </row>
    <row r="146">
      <c r="B146" s="476" t="inlineStr">
        <is>
          <t>M05-0259</t>
        </is>
      </c>
      <c r="C146" s="411" t="inlineStr">
        <is>
          <t>Cable thhn #12 verde</t>
        </is>
      </c>
      <c r="D146" s="668">
        <f>IFERROR(_xlfn.XLOOKUP($D$11,ELEC!$F$5:$AV$5,ELEC!F152:AV152,0,0,1),0)</f>
        <v/>
      </c>
      <c r="E146" s="487">
        <f>ROUNDUP(D146,0)</f>
        <v/>
      </c>
      <c r="F146" s="416" t="n"/>
    </row>
    <row r="147">
      <c r="B147" s="476" t="inlineStr">
        <is>
          <t>M05-0399</t>
        </is>
      </c>
      <c r="C147" s="411" t="inlineStr">
        <is>
          <t>Conector para TSJ</t>
        </is>
      </c>
      <c r="D147" s="668">
        <f>IFERROR(_xlfn.XLOOKUP($D$11,ELEC!$F$5:$AV$5,ELEC!F153:AV153,0,0,1),0)</f>
        <v/>
      </c>
      <c r="E147" s="487">
        <f>ROUNDUP(D147,0)</f>
        <v/>
      </c>
      <c r="F147" s="416" t="n"/>
    </row>
    <row r="148">
      <c r="B148" s="476" t="inlineStr">
        <is>
          <t>M05-0011</t>
        </is>
      </c>
      <c r="C148" s="411" t="inlineStr">
        <is>
          <t>Conector resorte amarillo</t>
        </is>
      </c>
      <c r="D148" s="668">
        <f>IFERROR(_xlfn.XLOOKUP($D$11,ELEC!$F$5:$AV$5,ELEC!F154:AV154,0,0,1),0)</f>
        <v/>
      </c>
      <c r="E148" s="487">
        <f>ROUNDUP(D148,0)</f>
        <v/>
      </c>
      <c r="F148" s="416" t="n"/>
    </row>
    <row r="149">
      <c r="B149" s="476" t="inlineStr">
        <is>
          <t>M06-0197</t>
        </is>
      </c>
      <c r="C149" s="411" t="inlineStr">
        <is>
          <t>Gas</t>
        </is>
      </c>
      <c r="D149" s="668">
        <f>IFERROR(_xlfn.XLOOKUP($D$11,ELEC!$F$5:$AV$5,ELEC!F155:AV155,0,0,1),0)</f>
        <v/>
      </c>
      <c r="E149" s="487">
        <f>ROUNDUP(D149,0)</f>
        <v/>
      </c>
      <c r="F149" s="416" t="n"/>
    </row>
    <row r="150">
      <c r="B150" s="476" t="inlineStr">
        <is>
          <t>M09-0042</t>
        </is>
      </c>
      <c r="C150" s="411" t="inlineStr">
        <is>
          <t>Regla 1x3 sin cepillar</t>
        </is>
      </c>
      <c r="D150" s="668">
        <f>IFERROR(_xlfn.XLOOKUP($D$11,ELEC!$F$5:$AV$5,ELEC!F156:AV156,0,0,1),0)</f>
        <v/>
      </c>
      <c r="E150" s="487">
        <f>ROUNDUP(D150,0)</f>
        <v/>
      </c>
      <c r="F150" s="416" t="n"/>
    </row>
    <row r="151">
      <c r="B151" s="476" t="inlineStr">
        <is>
          <t>M06-0061</t>
        </is>
      </c>
      <c r="C151" s="411" t="inlineStr">
        <is>
          <t>Tornillo 7/16 p/broca</t>
        </is>
      </c>
      <c r="D151" s="668">
        <f>IFERROR(_xlfn.XLOOKUP($D$11,ELEC!$F$5:$AV$5,ELEC!F157:AV157,0,0,1),0)</f>
        <v/>
      </c>
      <c r="E151" s="487">
        <f>ROUNDUP(D151,0)</f>
        <v/>
      </c>
      <c r="F151" s="416" t="n"/>
    </row>
    <row r="152">
      <c r="B152" s="476" t="inlineStr">
        <is>
          <t>M05-0371</t>
        </is>
      </c>
      <c r="C152" s="411" t="inlineStr">
        <is>
          <t>Tubo conduit UL 3/4"</t>
        </is>
      </c>
      <c r="D152" s="668">
        <f>IFERROR(_xlfn.XLOOKUP($D$11,ELEC!$F$5:$AV$5,ELEC!F158:AV158,0,0,1),0)</f>
        <v/>
      </c>
      <c r="E152" s="487">
        <f>ROUNDUP(D152,0)</f>
        <v/>
      </c>
      <c r="F152" s="416" t="n"/>
    </row>
    <row r="153">
      <c r="B153" s="476" t="inlineStr">
        <is>
          <t>M05-0477</t>
        </is>
      </c>
      <c r="C153" s="411" t="inlineStr">
        <is>
          <t>Conector de 3/4"</t>
        </is>
      </c>
      <c r="D153" s="668">
        <f>IFERROR(_xlfn.XLOOKUP($D$11,ELEC!$F$5:$AV$5,ELEC!F159:AV159,0,0,1),0)</f>
        <v/>
      </c>
      <c r="E153" s="487">
        <f>ROUNDUP(D153,0)</f>
        <v/>
      </c>
      <c r="F153" s="416" t="n"/>
    </row>
    <row r="154">
      <c r="B154" s="476" t="inlineStr">
        <is>
          <t>M05-0375</t>
        </is>
      </c>
      <c r="C154" s="411" t="inlineStr">
        <is>
          <t>Union de 3/4" UL</t>
        </is>
      </c>
      <c r="D154" s="668">
        <f>IFERROR(_xlfn.XLOOKUP($D$11,ELEC!$F$5:$AV$5,ELEC!F160:AV160,0,0,1),0)</f>
        <v/>
      </c>
      <c r="E154" s="487">
        <f>ROUNDUP(D154,0)</f>
        <v/>
      </c>
      <c r="F154" s="416" t="n"/>
    </row>
    <row r="155">
      <c r="B155" s="476" t="inlineStr">
        <is>
          <t>M05-0367</t>
        </is>
      </c>
      <c r="C155" s="462" t="inlineStr">
        <is>
          <t>Curva 3/4" UL</t>
        </is>
      </c>
      <c r="D155" s="668">
        <f>IFERROR(_xlfn.XLOOKUP($D$11,ELEC!$F$5:$AV$5,ELEC!F161:AV161,0,0,1),0)</f>
        <v/>
      </c>
      <c r="E155" s="487">
        <f>ROUNDUP(D155,0)</f>
        <v/>
      </c>
      <c r="F155" s="416" t="n"/>
    </row>
    <row r="156">
      <c r="B156" s="476" t="inlineStr">
        <is>
          <t>M05-0385</t>
        </is>
      </c>
      <c r="C156" s="411" t="inlineStr">
        <is>
          <t>Caja 4x4 d/fondo h 1/2"</t>
        </is>
      </c>
      <c r="D156" s="668">
        <f>IFERROR(_xlfn.XLOOKUP($D$11,ELEC!$F$5:$AV$5,ELEC!F162:AV162,0,0,1),0)</f>
        <v/>
      </c>
      <c r="E156" s="487">
        <f>ROUNDUP(D156,0)</f>
        <v/>
      </c>
      <c r="F156" s="416" t="n"/>
    </row>
    <row r="157">
      <c r="B157" s="476" t="inlineStr">
        <is>
          <t>M06-0496</t>
        </is>
      </c>
      <c r="C157" s="411" t="inlineStr">
        <is>
          <t>Tornillo 1 1/4" p/fina</t>
        </is>
      </c>
      <c r="D157" s="668">
        <f>IFERROR(_xlfn.XLOOKUP($D$11,ELEC!$F$5:$AV$5,ELEC!F163:AV163,0,0,1),0)</f>
        <v/>
      </c>
      <c r="E157" s="487">
        <f>ROUNDUP(D157,0)</f>
        <v/>
      </c>
      <c r="F157" s="416" t="n"/>
    </row>
    <row r="158">
      <c r="B158" s="476" t="inlineStr">
        <is>
          <t>M05-0390</t>
        </is>
      </c>
      <c r="C158" s="668" t="inlineStr">
        <is>
          <t>Caja rectangular  salida 1/2</t>
        </is>
      </c>
      <c r="D158" s="668">
        <f>IFERROR(_xlfn.XLOOKUP($D$11,ELEC!$F$5:$AV$5,ELEC!F164:AV164,0,0,1),0)</f>
        <v/>
      </c>
      <c r="E158" s="487">
        <f>ROUNDUP(D158,0)</f>
        <v/>
      </c>
      <c r="F158" s="416" t="n"/>
    </row>
    <row r="159">
      <c r="B159" s="476" t="inlineStr">
        <is>
          <t>M05-0258</t>
        </is>
      </c>
      <c r="C159" s="668" t="inlineStr">
        <is>
          <t>Cable thhn #12 rojo</t>
        </is>
      </c>
      <c r="D159" s="668">
        <f>IFERROR(_xlfn.XLOOKUP($D$11,ELEC!$F$5:$AV$5,ELEC!F165:AV165,0,0,1),0)</f>
        <v/>
      </c>
      <c r="E159" s="487">
        <f>ROUNDUP(D159,0)</f>
        <v/>
      </c>
      <c r="F159" s="416" t="n"/>
    </row>
    <row r="161">
      <c r="B161" s="669" t="n"/>
      <c r="C161" s="670" t="inlineStr">
        <is>
          <t>SUBCONTRATO</t>
        </is>
      </c>
      <c r="D161" s="671">
        <f>+E327</f>
        <v/>
      </c>
    </row>
    <row r="164">
      <c r="B164" s="57" t="n"/>
      <c r="C164" s="468" t="inlineStr">
        <is>
          <t>3.1.6</t>
        </is>
      </c>
      <c r="D164" s="483" t="inlineStr">
        <is>
          <t xml:space="preserve">BASE MEDIDOR </t>
        </is>
      </c>
      <c r="E164" s="673" t="n"/>
    </row>
    <row r="167">
      <c r="C167" s="667" t="inlineStr">
        <is>
          <t>BASE MEDIDOR</t>
        </is>
      </c>
      <c r="D167" s="672" t="inlineStr">
        <is>
          <t>Cantidad</t>
        </is>
      </c>
      <c r="E167" s="672" t="inlineStr">
        <is>
          <t>Unidad</t>
        </is>
      </c>
    </row>
    <row r="168">
      <c r="B168" s="476" t="inlineStr">
        <is>
          <t>M05-0362</t>
        </is>
      </c>
      <c r="C168" s="411" t="inlineStr">
        <is>
          <t>Curva conduit 1-1/2 ul</t>
        </is>
      </c>
      <c r="D168" s="668">
        <f>IFERROR(_xlfn.XLOOKUP($D$11,ELEC!$F$5:$AV$5,ELEC!F282:AV282,0,0,1),0)</f>
        <v/>
      </c>
      <c r="E168" s="487">
        <f>ROUNDUP(D168,0)</f>
        <v/>
      </c>
    </row>
    <row r="169">
      <c r="B169" s="476" t="inlineStr">
        <is>
          <t>M05-0366</t>
        </is>
      </c>
      <c r="C169" s="411" t="inlineStr">
        <is>
          <t>Curva conduit 1 ul</t>
        </is>
      </c>
      <c r="D169" s="668">
        <f>IFERROR(_xlfn.XLOOKUP($D$11,ELEC!$F$5:$AV$5,ELEC!F283:AV283,0,0,1),0)</f>
        <v/>
      </c>
      <c r="E169" s="487">
        <f>ROUNDUP(D169,0)</f>
        <v/>
      </c>
    </row>
    <row r="170">
      <c r="B170" s="476" t="inlineStr">
        <is>
          <t>M05-0361</t>
        </is>
      </c>
      <c r="C170" s="411" t="inlineStr">
        <is>
          <t>Curva conduit 1/2 ul</t>
        </is>
      </c>
      <c r="D170" s="668">
        <f>IFERROR(_xlfn.XLOOKUP($D$11,ELEC!$F$5:$AV$5,ELEC!F284:AV284,0,0,1),0)</f>
        <v/>
      </c>
      <c r="E170" s="487">
        <f>ROUNDUP(D170,0)</f>
        <v/>
      </c>
    </row>
    <row r="171">
      <c r="B171" s="476" t="inlineStr">
        <is>
          <t>M05-0367</t>
        </is>
      </c>
      <c r="C171" s="411" t="inlineStr">
        <is>
          <t>curva conduit 3/4 ul</t>
        </is>
      </c>
      <c r="D171" s="668">
        <f>IFERROR(_xlfn.XLOOKUP($D$11,ELEC!$F$5:$AV$5,ELEC!F285:AV285,0,0,1),0)</f>
        <v/>
      </c>
      <c r="E171" s="487">
        <f>ROUNDUP(D171,0)</f>
        <v/>
      </c>
    </row>
    <row r="172">
      <c r="B172" s="476" t="inlineStr">
        <is>
          <t>M05-0368</t>
        </is>
      </c>
      <c r="C172" s="411" t="inlineStr">
        <is>
          <t>Tubo conduit 1-1/2 ul</t>
        </is>
      </c>
      <c r="D172" s="668">
        <f>IFERROR(_xlfn.XLOOKUP($D$11,ELEC!$F$5:$AV$5,ELEC!F286:AV286,0,0,1),0)</f>
        <v/>
      </c>
      <c r="E172" s="487">
        <f>ROUNDUP(D172,0)</f>
        <v/>
      </c>
    </row>
    <row r="173">
      <c r="B173" s="476" t="inlineStr">
        <is>
          <t>M05-0369</t>
        </is>
      </c>
      <c r="C173" s="411" t="inlineStr">
        <is>
          <t>Tubo conduit 1 ul</t>
        </is>
      </c>
      <c r="D173" s="668">
        <f>IFERROR(_xlfn.XLOOKUP($D$11,ELEC!$F$5:$AV$5,ELEC!F287:AV287,0,0,1),0)</f>
        <v/>
      </c>
      <c r="E173" s="487">
        <f>ROUNDUP(D173,0)</f>
        <v/>
      </c>
    </row>
    <row r="174">
      <c r="B174" s="476" t="inlineStr">
        <is>
          <t>M05-0370</t>
        </is>
      </c>
      <c r="C174" s="411" t="inlineStr">
        <is>
          <t>Tubo conduit 1/2 ul</t>
        </is>
      </c>
      <c r="D174" s="668">
        <f>IFERROR(_xlfn.XLOOKUP($D$11,ELEC!$F$5:$AV$5,ELEC!F288:AV288,0,0,1),0)</f>
        <v/>
      </c>
      <c r="E174" s="487">
        <f>ROUNDUP(D174,0)</f>
        <v/>
      </c>
    </row>
    <row r="175">
      <c r="B175" s="476" t="inlineStr">
        <is>
          <t>M05-0372</t>
        </is>
      </c>
      <c r="C175" s="411" t="inlineStr">
        <is>
          <t>Union conduit 1-1/2 ul</t>
        </is>
      </c>
      <c r="D175" s="668">
        <f>IFERROR(_xlfn.XLOOKUP($D$11,ELEC!$F$5:$AV$5,ELEC!F289:AV289,0,0,1),0)</f>
        <v/>
      </c>
      <c r="E175" s="487">
        <f>ROUNDUP(D175,0)</f>
        <v/>
      </c>
    </row>
    <row r="176">
      <c r="B176" s="476" t="inlineStr">
        <is>
          <t>M05-0373</t>
        </is>
      </c>
      <c r="C176" s="411" t="inlineStr">
        <is>
          <t>Union conduit 1 ul</t>
        </is>
      </c>
      <c r="D176" s="668">
        <f>IFERROR(_xlfn.XLOOKUP($D$11,ELEC!$F$5:$AV$5,ELEC!F290:AV290,0,0,1),0)</f>
        <v/>
      </c>
      <c r="E176" s="487">
        <f>ROUNDUP(D176,0)</f>
        <v/>
      </c>
    </row>
    <row r="177">
      <c r="B177" s="476" t="inlineStr">
        <is>
          <t>M05-0374</t>
        </is>
      </c>
      <c r="C177" s="411" t="inlineStr">
        <is>
          <t>Union conduit 1/2 ul</t>
        </is>
      </c>
      <c r="D177" s="668">
        <f>IFERROR(_xlfn.XLOOKUP($D$11,ELEC!$F$5:$AV$5,ELEC!F291:AV291,0,0,1),0)</f>
        <v/>
      </c>
      <c r="E177" s="487">
        <f>ROUNDUP(D177,0)</f>
        <v/>
      </c>
    </row>
    <row r="178">
      <c r="B178" s="476" t="inlineStr">
        <is>
          <t>M05-0363</t>
        </is>
      </c>
      <c r="C178" s="411" t="inlineStr">
        <is>
          <t>Conector conduit 1 1/2 ul</t>
        </is>
      </c>
      <c r="D178" s="668">
        <f>IFERROR(_xlfn.XLOOKUP($D$11,ELEC!$F$5:$AV$5,ELEC!F292:AV292,0,0,1),0)</f>
        <v/>
      </c>
      <c r="E178" s="487">
        <f>ROUNDUP(D178,0)</f>
        <v/>
      </c>
    </row>
    <row r="179">
      <c r="B179" s="476" t="inlineStr">
        <is>
          <t>M05-0364</t>
        </is>
      </c>
      <c r="C179" s="411" t="inlineStr">
        <is>
          <t>Conector conduit 1" ul</t>
        </is>
      </c>
      <c r="D179" s="668">
        <f>IFERROR(_xlfn.XLOOKUP($D$11,ELEC!$F$5:$AV$5,ELEC!F293:AV293,0,0,1),0)</f>
        <v/>
      </c>
      <c r="E179" s="487">
        <f>ROUNDUP(D179,0)</f>
        <v/>
      </c>
    </row>
    <row r="180">
      <c r="B180" s="476" t="inlineStr">
        <is>
          <t>M05-0476</t>
        </is>
      </c>
      <c r="C180" s="411" t="inlineStr">
        <is>
          <t>Conector conduit 1/2 ul</t>
        </is>
      </c>
      <c r="D180" s="668">
        <f>IFERROR(_xlfn.XLOOKUP($D$11,ELEC!$F$5:$AV$5,ELEC!F294:AV294,0,0,1),0)</f>
        <v/>
      </c>
      <c r="E180" s="487">
        <f>ROUNDUP(D180,0)</f>
        <v/>
      </c>
    </row>
    <row r="181">
      <c r="B181" s="476" t="inlineStr">
        <is>
          <t>M05-0392</t>
        </is>
      </c>
      <c r="C181" s="411" t="inlineStr">
        <is>
          <t>Conduleta botagua 1-1/4</t>
        </is>
      </c>
      <c r="D181" s="668">
        <f>IFERROR(_xlfn.XLOOKUP($D$11,ELEC!$F$5:$AV$5,ELEC!F295:AV295,0,0,1),0)</f>
        <v/>
      </c>
      <c r="E181" s="487">
        <f>ROUNDUP(D181,0)</f>
        <v/>
      </c>
    </row>
    <row r="182">
      <c r="B182" s="476" t="inlineStr">
        <is>
          <t>M05-0393</t>
        </is>
      </c>
      <c r="C182" s="411" t="inlineStr">
        <is>
          <t>Conduleta botagua 1</t>
        </is>
      </c>
      <c r="D182" s="668">
        <f>IFERROR(_xlfn.XLOOKUP($D$11,ELEC!$F$5:$AV$5,ELEC!F296:AV296,0,0,1),0)</f>
        <v/>
      </c>
      <c r="E182" s="487">
        <f>ROUNDUP(D182,0)</f>
        <v/>
      </c>
    </row>
    <row r="183">
      <c r="B183" s="476" t="inlineStr">
        <is>
          <t>M05-0006</t>
        </is>
      </c>
      <c r="C183" s="411" t="inlineStr">
        <is>
          <t>Conector de barril para 1/0 cu-al</t>
        </is>
      </c>
      <c r="D183" s="668">
        <f>IFERROR(_xlfn.XLOOKUP($D$11,ELEC!$F$5:$AV$5,ELEC!F297:AV297,0,0,1),0)</f>
        <v/>
      </c>
      <c r="E183" s="487">
        <f>ROUNDUP(D183,0)</f>
        <v/>
      </c>
    </row>
    <row r="184">
      <c r="B184" s="476" t="inlineStr">
        <is>
          <t>M05-0396</t>
        </is>
      </c>
      <c r="C184" s="411" t="inlineStr">
        <is>
          <t xml:space="preserve">Conector tornillo emt 1 </t>
        </is>
      </c>
      <c r="D184" s="668">
        <f>IFERROR(_xlfn.XLOOKUP($D$11,ELEC!$F$5:$AV$5,ELEC!F298:AV298,0,0,1),0)</f>
        <v/>
      </c>
      <c r="E184" s="487">
        <f>ROUNDUP(D184,0)</f>
        <v/>
      </c>
    </row>
    <row r="185">
      <c r="B185" s="476" t="inlineStr">
        <is>
          <t>M05-0014</t>
        </is>
      </c>
      <c r="C185" s="411" t="inlineStr">
        <is>
          <t>Gaza p/varilla copperweld usa ul</t>
        </is>
      </c>
      <c r="D185" s="668">
        <f>IFERROR(_xlfn.XLOOKUP($D$11,ELEC!$F$5:$AV$5,ELEC!F299:AV299,0,0,1),0)</f>
        <v/>
      </c>
      <c r="E185" s="487">
        <f>ROUNDUP(D185,0)</f>
        <v/>
      </c>
    </row>
    <row r="186">
      <c r="B186" s="476" t="inlineStr">
        <is>
          <t>M05-0402</t>
        </is>
      </c>
      <c r="C186" s="411" t="inlineStr">
        <is>
          <t>Gubo emt 1 (3m)</t>
        </is>
      </c>
      <c r="D186" s="668">
        <f>IFERROR(_xlfn.XLOOKUP($D$11,ELEC!$F$5:$AV$5,ELEC!F300:AV300,0,0,1),0)</f>
        <v/>
      </c>
      <c r="E186" s="487">
        <f>ROUNDUP(D186,0)</f>
        <v/>
      </c>
    </row>
    <row r="187">
      <c r="B187" s="476" t="inlineStr">
        <is>
          <t>M05-0021</t>
        </is>
      </c>
      <c r="C187" s="411" t="inlineStr">
        <is>
          <t>Varilla cooperwell 5/8 3m</t>
        </is>
      </c>
      <c r="D187" s="668">
        <f>IFERROR(_xlfn.XLOOKUP($D$11,ELEC!$F$5:$AV$5,ELEC!F301:AV301,0,0,1),0)</f>
        <v/>
      </c>
      <c r="E187" s="487">
        <f>ROUNDUP(D187,0)</f>
        <v/>
      </c>
    </row>
    <row r="188">
      <c r="B188" s="476" t="inlineStr">
        <is>
          <t>M05-0411</t>
        </is>
      </c>
      <c r="C188" s="411" t="inlineStr">
        <is>
          <t>Conector tornillo emt 11/4</t>
        </is>
      </c>
      <c r="D188" s="668">
        <f>IFERROR(_xlfn.XLOOKUP($D$11,ELEC!$F$5:$AV$5,ELEC!F302:AV302,0,0,1),0)</f>
        <v/>
      </c>
      <c r="E188" s="487">
        <f>ROUNDUP(D188,0)</f>
        <v/>
      </c>
    </row>
    <row r="189">
      <c r="B189" s="476" t="inlineStr">
        <is>
          <t>M05-0412</t>
        </is>
      </c>
      <c r="C189" s="411" t="inlineStr">
        <is>
          <t>Tubo emt 1-1/4</t>
        </is>
      </c>
      <c r="D189" s="668">
        <f>IFERROR(_xlfn.XLOOKUP($D$11,ELEC!$F$5:$AV$5,ELEC!F303:AV303,0,0,1),0)</f>
        <v/>
      </c>
      <c r="E189" s="487">
        <f>ROUNDUP(D189,0)</f>
        <v/>
      </c>
    </row>
    <row r="190">
      <c r="B190" s="476" t="inlineStr">
        <is>
          <t>M05-0305</t>
        </is>
      </c>
      <c r="C190" s="411" t="inlineStr">
        <is>
          <t>Base medidor ms1254jcbm+a125+qo2100</t>
        </is>
      </c>
      <c r="D190" s="668">
        <f>IFERROR(_xlfn.XLOOKUP($D$11,ELEC!$F$5:$AV$5,ELEC!F304:AV304,0,0,1),0)</f>
        <v/>
      </c>
      <c r="E190" s="487">
        <f>ROUNDUP(D190,0)</f>
        <v/>
      </c>
    </row>
    <row r="191">
      <c r="B191" s="476" t="inlineStr">
        <is>
          <t>M05-0261</t>
        </is>
      </c>
      <c r="C191" s="411" t="inlineStr">
        <is>
          <t>Cable #8 blanco</t>
        </is>
      </c>
      <c r="D191" s="668">
        <f>IFERROR(_xlfn.XLOOKUP($D$11,ELEC!$F$5:$AV$5,ELEC!F305:AV305,0,0,1),0)</f>
        <v/>
      </c>
      <c r="E191" s="487">
        <f>ROUNDUP(D191,0)</f>
        <v/>
      </c>
    </row>
    <row r="192">
      <c r="B192" s="476" t="inlineStr">
        <is>
          <t>M05-0262</t>
        </is>
      </c>
      <c r="C192" s="411" t="inlineStr">
        <is>
          <t>Cable aluminio 1/0 serie 8000</t>
        </is>
      </c>
      <c r="D192" s="668">
        <f>IFERROR(_xlfn.XLOOKUP($D$11,ELEC!$F$5:$AV$5,ELEC!F306:AV306,0,0,1),0)</f>
        <v/>
      </c>
      <c r="E192" s="487">
        <f>ROUNDUP(D192,0)</f>
        <v/>
      </c>
    </row>
    <row r="193">
      <c r="B193" s="476" t="inlineStr">
        <is>
          <t>M13-0061</t>
        </is>
      </c>
      <c r="C193" s="411" t="inlineStr">
        <is>
          <t>Caja de registro 30x30para varilla coperwell</t>
        </is>
      </c>
      <c r="D193" s="668">
        <f>IFERROR(_xlfn.XLOOKUP($D$11,ELEC!$F$5:$AV$5,ELEC!F307:AV307,0,0,1),0)</f>
        <v/>
      </c>
      <c r="E193" s="487">
        <f>ROUNDUP(D193,0)</f>
        <v/>
      </c>
    </row>
    <row r="195">
      <c r="B195" s="669" t="n"/>
      <c r="C195" s="670" t="inlineStr">
        <is>
          <t>SUBCONTRATO</t>
        </is>
      </c>
      <c r="D195" s="671">
        <f>+E326</f>
        <v/>
      </c>
    </row>
    <row r="196">
      <c r="B196" s="669" t="n"/>
      <c r="C196" s="51" t="n"/>
      <c r="D196" s="51" t="n"/>
    </row>
    <row r="198">
      <c r="B198" s="57" t="n"/>
      <c r="C198" s="468" t="inlineStr">
        <is>
          <t>3.1.7</t>
        </is>
      </c>
      <c r="D198" s="483" t="inlineStr">
        <is>
          <t xml:space="preserve">TABLERO ELÉCTRICO </t>
        </is>
      </c>
    </row>
    <row r="201">
      <c r="B201" s="674" t="n"/>
      <c r="C201" s="667" t="inlineStr">
        <is>
          <t>TABLERO</t>
        </is>
      </c>
      <c r="D201" s="672" t="inlineStr">
        <is>
          <t>Cantidad</t>
        </is>
      </c>
      <c r="E201" s="672" t="inlineStr">
        <is>
          <t>Unidad</t>
        </is>
      </c>
    </row>
    <row r="202">
      <c r="B202" s="476" t="inlineStr">
        <is>
          <t>M05-0363</t>
        </is>
      </c>
      <c r="C202" s="411" t="inlineStr">
        <is>
          <t>Conector 1 1/2 UL</t>
        </is>
      </c>
      <c r="D202" s="668">
        <f>IFERROR(_xlfn.XLOOKUP($D$11,ELEC!$F$5:$AV$5,ELEC!F167:AV167,0,0,1),0)</f>
        <v/>
      </c>
      <c r="E202" s="487">
        <f>ROUNDUP(D202,0)</f>
        <v/>
      </c>
    </row>
    <row r="203">
      <c r="B203" s="476" t="inlineStr">
        <is>
          <t>M05-0364</t>
        </is>
      </c>
      <c r="C203" s="411" t="inlineStr">
        <is>
          <t>Conecotr 1 UL</t>
        </is>
      </c>
      <c r="D203" s="668">
        <f>IFERROR(_xlfn.XLOOKUP($D$11,ELEC!$F$5:$AV$5,ELEC!F168:AV168,0,0,1),0)</f>
        <v/>
      </c>
      <c r="E203" s="487">
        <f>ROUNDUP(D203,0)</f>
        <v/>
      </c>
    </row>
    <row r="204">
      <c r="B204" s="476" t="inlineStr">
        <is>
          <t>M05-0476</t>
        </is>
      </c>
      <c r="C204" s="411" t="inlineStr">
        <is>
          <t>Conector 1/2 UL</t>
        </is>
      </c>
      <c r="D204" s="668">
        <f>IFERROR(_xlfn.XLOOKUP($D$11,ELEC!$F$5:$AV$5,ELEC!F169:AV169,0,0,1),0)</f>
        <v/>
      </c>
      <c r="E204" s="487">
        <f>ROUNDUP(D204,0)</f>
        <v/>
      </c>
    </row>
    <row r="205">
      <c r="B205" s="476" t="inlineStr">
        <is>
          <t>M05-0477</t>
        </is>
      </c>
      <c r="C205" s="411" t="inlineStr">
        <is>
          <t>Conector 3/4 UL</t>
        </is>
      </c>
      <c r="D205" s="668">
        <f>IFERROR(_xlfn.XLOOKUP($D$11,ELEC!$F$5:$AV$5,ELEC!F170:AV170,0,0,1),0)</f>
        <v/>
      </c>
      <c r="E205" s="487">
        <f>ROUNDUP(D205,0)</f>
        <v/>
      </c>
    </row>
    <row r="206">
      <c r="B206" s="476" t="inlineStr">
        <is>
          <t>M05-0372</t>
        </is>
      </c>
      <c r="C206" s="411" t="inlineStr">
        <is>
          <t>Union 1 1/2 UL</t>
        </is>
      </c>
      <c r="D206" s="668">
        <f>IFERROR(_xlfn.XLOOKUP($D$11,ELEC!$F$5:$AV$5,ELEC!F171:AV171,0,0,1),0)</f>
        <v/>
      </c>
      <c r="E206" s="487">
        <f>ROUNDUP(D206,0)</f>
        <v/>
      </c>
    </row>
    <row r="207">
      <c r="B207" s="476" t="inlineStr">
        <is>
          <t>M05-0373</t>
        </is>
      </c>
      <c r="C207" s="411" t="inlineStr">
        <is>
          <t>Union 1 UL</t>
        </is>
      </c>
      <c r="D207" s="668">
        <f>IFERROR(_xlfn.XLOOKUP($D$11,ELEC!$F$5:$AV$5,ELEC!F172:AV172,0,0,1),0)</f>
        <v/>
      </c>
      <c r="E207" s="487">
        <f>ROUNDUP(D207,0)</f>
        <v/>
      </c>
    </row>
    <row r="208">
      <c r="B208" s="476" t="inlineStr">
        <is>
          <t>M05-0374</t>
        </is>
      </c>
      <c r="C208" s="411" t="inlineStr">
        <is>
          <t>Union 1/2 UL</t>
        </is>
      </c>
      <c r="D208" s="668">
        <f>IFERROR(_xlfn.XLOOKUP($D$11,ELEC!$F$5:$AV$5,ELEC!F173:AV173,0,0,1),0)</f>
        <v/>
      </c>
      <c r="E208" s="487">
        <f>ROUNDUP(D208,0)</f>
        <v/>
      </c>
    </row>
    <row r="209">
      <c r="B209" s="476" t="inlineStr">
        <is>
          <t>M05-0375</t>
        </is>
      </c>
      <c r="C209" s="411" t="inlineStr">
        <is>
          <t>Union 3/4 UL</t>
        </is>
      </c>
      <c r="D209" s="668">
        <f>IFERROR(_xlfn.XLOOKUP($D$11,ELEC!$F$5:$AV$5,ELEC!F174:AV174,0,0,1),0)</f>
        <v/>
      </c>
      <c r="E209" s="487">
        <f>ROUNDUP(D209,0)</f>
        <v/>
      </c>
    </row>
    <row r="210">
      <c r="B210" s="476" t="inlineStr">
        <is>
          <t>M09-0042</t>
        </is>
      </c>
      <c r="C210" s="411" t="inlineStr">
        <is>
          <t>Regla 1x3 s/cepillar</t>
        </is>
      </c>
      <c r="D210" s="668">
        <f>IFERROR(_xlfn.XLOOKUP($D$11,ELEC!$F$5:$AV$5,ELEC!F175:AV175,0,0,1),0)</f>
        <v/>
      </c>
      <c r="E210" s="487">
        <f>ROUNDUP(D210,0)</f>
        <v/>
      </c>
    </row>
    <row r="211">
      <c r="B211" s="476" t="inlineStr">
        <is>
          <t>M05-0390</t>
        </is>
      </c>
      <c r="C211" s="411" t="inlineStr">
        <is>
          <t>Caja rectangular 1/2</t>
        </is>
      </c>
      <c r="D211" s="668">
        <f>IFERROR(_xlfn.XLOOKUP($D$11,ELEC!$F$5:$AV$5,ELEC!F176:AV176,0,0,1),0)</f>
        <v/>
      </c>
      <c r="E211" s="487">
        <f>ROUNDUP(D211,0)</f>
        <v/>
      </c>
    </row>
    <row r="212">
      <c r="B212" s="476" t="inlineStr">
        <is>
          <t>M05-0315</t>
        </is>
      </c>
      <c r="C212" s="411" t="inlineStr">
        <is>
          <t>Centro Carga 24 espacios</t>
        </is>
      </c>
      <c r="D212" s="668">
        <f>IFERROR(_xlfn.XLOOKUP($D$11,ELEC!$F$5:$AV$5,ELEC!F177:AV177,0,0,1),0)</f>
        <v/>
      </c>
      <c r="E212" s="487">
        <f>ROUNDUP(D212,0)</f>
        <v/>
      </c>
    </row>
    <row r="213">
      <c r="B213" s="476" t="inlineStr">
        <is>
          <t>M05-0013</t>
        </is>
      </c>
      <c r="C213" s="411" t="inlineStr">
        <is>
          <t>Gabinete 15" plastico</t>
        </is>
      </c>
      <c r="D213" s="668">
        <f>IFERROR(_xlfn.XLOOKUP($D$11,ELEC!$F$5:$AV$5,ELEC!F178:AV178,0,0,1),0)</f>
        <v/>
      </c>
      <c r="E213" s="487">
        <f>ROUNDUP(D213,0)</f>
        <v/>
      </c>
    </row>
    <row r="214">
      <c r="B214" s="476" t="inlineStr">
        <is>
          <t>M05-0361</t>
        </is>
      </c>
      <c r="C214" s="411" t="inlineStr">
        <is>
          <t>Curva 1/2 UL</t>
        </is>
      </c>
      <c r="D214" s="668">
        <f>IFERROR(_xlfn.XLOOKUP($D$11,ELEC!$F$5:$AV$5,ELEC!F179:AV179,0,0,1),0)</f>
        <v/>
      </c>
      <c r="E214" s="487">
        <f>ROUNDUP(D214,0)</f>
        <v/>
      </c>
    </row>
    <row r="215">
      <c r="B215" s="476" t="inlineStr">
        <is>
          <t>M05-0331</t>
        </is>
      </c>
      <c r="C215" s="411" t="inlineStr">
        <is>
          <t>Centro de Carga 30 espacios</t>
        </is>
      </c>
      <c r="D215" s="668">
        <f>IFERROR(_xlfn.XLOOKUP($D$11,ELEC!$F$5:$AV$5,ELEC!F180:AV180,0,0,1),0)</f>
        <v/>
      </c>
      <c r="E215" s="487">
        <f>ROUNDUP(D215,0)</f>
        <v/>
      </c>
    </row>
    <row r="216">
      <c r="B216" s="476" t="inlineStr">
        <is>
          <t>M05-0385</t>
        </is>
      </c>
      <c r="C216" s="600" t="inlineStr">
        <is>
          <t>Caja cuadrada 4x4 doble 1/2</t>
        </is>
      </c>
      <c r="D216" s="668">
        <f>IFERROR(_xlfn.XLOOKUP($D$11,ELEC!$F$5:$AV$5,ELEC!F181:AV181,0,0,1),0)</f>
        <v/>
      </c>
      <c r="E216" s="487">
        <f>ROUNDUP(D216,0)</f>
        <v/>
      </c>
    </row>
    <row r="218">
      <c r="B218" s="669" t="n"/>
      <c r="C218" s="670" t="inlineStr">
        <is>
          <t>SUBCONTRATO</t>
        </is>
      </c>
      <c r="D218" s="671">
        <f>+E325</f>
        <v/>
      </c>
    </row>
    <row r="221">
      <c r="C221" s="468" t="inlineStr">
        <is>
          <t>3.1.8</t>
        </is>
      </c>
      <c r="D221" s="483" t="inlineStr">
        <is>
          <t xml:space="preserve">CABLEADO ELÉCTRICO </t>
        </is>
      </c>
    </row>
    <row r="222">
      <c r="C222" s="51" t="n"/>
      <c r="D222" s="51" t="n"/>
    </row>
    <row r="224">
      <c r="C224" s="667" t="inlineStr">
        <is>
          <t>CABLE DELGADO</t>
        </is>
      </c>
      <c r="D224" s="672" t="inlineStr">
        <is>
          <t>Cantidad</t>
        </is>
      </c>
      <c r="E224" s="672" t="inlineStr">
        <is>
          <t>Unidad</t>
        </is>
      </c>
      <c r="G224" s="419" t="n"/>
      <c r="H224" s="419" t="n"/>
    </row>
    <row r="225">
      <c r="B225" s="476" t="inlineStr">
        <is>
          <t>M05-0259</t>
        </is>
      </c>
      <c r="C225" s="600" t="inlineStr">
        <is>
          <t>Cable thhn #12 rojo</t>
        </is>
      </c>
      <c r="D225" s="668">
        <f>IFERROR(_xlfn.XLOOKUP($D$11,ELEC!$F$5:$AV$5,ELEC!F188:AV188,0,0,1),0)</f>
        <v/>
      </c>
      <c r="E225" s="487">
        <f>ROUNDUP(D225,0)</f>
        <v/>
      </c>
      <c r="F225" s="416" t="n"/>
    </row>
    <row r="226">
      <c r="B226" s="476" t="inlineStr">
        <is>
          <t>M05-0259</t>
        </is>
      </c>
      <c r="C226" s="600" t="inlineStr">
        <is>
          <t>Cable thhn #12 blanco</t>
        </is>
      </c>
      <c r="D226" s="668">
        <f>IFERROR(_xlfn.XLOOKUP($D$11,ELEC!$F$5:$AV$5,ELEC!F189:AV189,0,0,1),0)</f>
        <v/>
      </c>
      <c r="E226" s="487">
        <f>ROUNDUP(D226,0)</f>
        <v/>
      </c>
      <c r="F226" s="416" t="n"/>
    </row>
    <row r="227">
      <c r="B227" s="476" t="inlineStr">
        <is>
          <t>M05-0259</t>
        </is>
      </c>
      <c r="C227" s="600" t="inlineStr">
        <is>
          <t>Cable thhn #12 verde</t>
        </is>
      </c>
      <c r="D227" s="668">
        <f>IFERROR(_xlfn.XLOOKUP($D$11,ELEC!$F$5:$AV$5,ELEC!F190:AV190,0,0,1),0)</f>
        <v/>
      </c>
      <c r="E227" s="487">
        <f>ROUNDUP(D227,0)</f>
        <v/>
      </c>
      <c r="F227" s="416" t="n"/>
    </row>
    <row r="228">
      <c r="B228" s="476" t="inlineStr">
        <is>
          <t>M05-0259</t>
        </is>
      </c>
      <c r="C228" s="600" t="inlineStr">
        <is>
          <t>Cable thhn #12 azul</t>
        </is>
      </c>
      <c r="D228" s="668">
        <f>IFERROR(_xlfn.XLOOKUP($D$11,ELEC!$F$5:$AV$5,ELEC!F191:AV191,0,0,1),0)</f>
        <v/>
      </c>
      <c r="E228" s="487">
        <f>ROUNDUP(D228,0)</f>
        <v/>
      </c>
      <c r="F228" s="543" t="n"/>
    </row>
    <row r="229">
      <c r="B229" s="476" t="inlineStr">
        <is>
          <t>M05-0259</t>
        </is>
      </c>
      <c r="C229" s="600" t="inlineStr">
        <is>
          <t>Cable thhn #12 negro</t>
        </is>
      </c>
      <c r="D229" s="668">
        <f>IFERROR(_xlfn.XLOOKUP($D$11,ELEC!$F$5:$AV$5,ELEC!F192:AV192,0,0,1),0)</f>
        <v/>
      </c>
      <c r="E229" s="487">
        <f>ROUNDUP(D229,0)</f>
        <v/>
      </c>
      <c r="F229" s="543" t="n"/>
    </row>
    <row r="230">
      <c r="B230" s="476" t="inlineStr">
        <is>
          <t>M05-0258</t>
        </is>
      </c>
      <c r="C230" s="600" t="inlineStr">
        <is>
          <t>Cable thhn #10 rojo</t>
        </is>
      </c>
      <c r="D230" s="668">
        <f>IFERROR(_xlfn.XLOOKUP($D$11,ELEC!$F$5:$AV$5,ELEC!F193:AV193,0,0,1),0)</f>
        <v/>
      </c>
      <c r="E230" s="487">
        <f>ROUNDUP(D230,0)</f>
        <v/>
      </c>
      <c r="F230" s="416" t="n"/>
    </row>
    <row r="231">
      <c r="B231" s="476" t="inlineStr">
        <is>
          <t>M05-0258</t>
        </is>
      </c>
      <c r="C231" s="600" t="inlineStr">
        <is>
          <t>Cable thhn #10 Blanco</t>
        </is>
      </c>
      <c r="D231" s="668">
        <f>IFERROR(_xlfn.XLOOKUP($D$11,ELEC!$F$5:$AV$5,ELEC!F194:AV194,0,0,1),0)</f>
        <v/>
      </c>
      <c r="E231" s="487">
        <f>ROUNDUP(D231,0)</f>
        <v/>
      </c>
      <c r="F231" s="416" t="n"/>
    </row>
    <row r="232">
      <c r="B232" s="476" t="inlineStr">
        <is>
          <t>M05-0261</t>
        </is>
      </c>
      <c r="C232" s="600" t="inlineStr">
        <is>
          <t>Cable thhn #8 blanco</t>
        </is>
      </c>
      <c r="D232" s="668">
        <f>IFERROR(_xlfn.XLOOKUP($D$11,ELEC!$F$5:$AV$5,ELEC!F195:AV195,0,0,1),0)</f>
        <v/>
      </c>
      <c r="E232" s="487">
        <f>ROUNDUP(D232,0)</f>
        <v/>
      </c>
      <c r="F232" s="416" t="n"/>
    </row>
    <row r="233">
      <c r="B233" s="476" t="inlineStr">
        <is>
          <t>M05-0261</t>
        </is>
      </c>
      <c r="C233" s="600" t="inlineStr">
        <is>
          <t>Cable thhn #8 rojo</t>
        </is>
      </c>
      <c r="D233" s="668">
        <f>IFERROR(_xlfn.XLOOKUP($D$11,ELEC!$F$5:$AV$5,ELEC!F196:AV196,0,0,1),0)</f>
        <v/>
      </c>
      <c r="E233" s="487">
        <f>ROUNDUP(D233,0)</f>
        <v/>
      </c>
      <c r="F233" s="416" t="n"/>
    </row>
    <row r="234">
      <c r="B234" s="476" t="inlineStr">
        <is>
          <t>M05-0261</t>
        </is>
      </c>
      <c r="C234" s="600" t="inlineStr">
        <is>
          <t>Cable thhn #8 verde</t>
        </is>
      </c>
      <c r="D234" s="668">
        <f>IFERROR(_xlfn.XLOOKUP($D$11,ELEC!$F$5:$AV$5,ELEC!F197:AV197,0,0,1),0)</f>
        <v/>
      </c>
      <c r="E234" s="487">
        <f>ROUNDUP(D234,0)</f>
        <v/>
      </c>
      <c r="F234" s="416" t="n"/>
    </row>
    <row r="235">
      <c r="B235" s="476" t="inlineStr">
        <is>
          <t>M05-0262</t>
        </is>
      </c>
      <c r="C235" s="600" t="inlineStr">
        <is>
          <t>Cable 1/0 AL s8000</t>
        </is>
      </c>
      <c r="D235" s="668">
        <f>IFERROR(_xlfn.XLOOKUP($D$11,ELEC!$F$5:$AV$5,ELEC!F198:AV198,0,0,1),0)</f>
        <v/>
      </c>
      <c r="E235" s="487">
        <f>ROUNDUP(D235,0)</f>
        <v/>
      </c>
      <c r="F235" s="416" t="n"/>
    </row>
    <row r="236">
      <c r="B236" s="476" t="inlineStr">
        <is>
          <t>M05-0263</t>
        </is>
      </c>
      <c r="C236" s="600" t="inlineStr">
        <is>
          <t>Cable #6  AL s8000</t>
        </is>
      </c>
      <c r="D236" s="668">
        <f>IFERROR(_xlfn.XLOOKUP($D$11,ELEC!$F$5:$AV$5,ELEC!F199:AV199,0,0,1),0)</f>
        <v/>
      </c>
      <c r="E236" s="487">
        <f>ROUNDUP(D236,0)</f>
        <v/>
      </c>
      <c r="F236" s="543" t="n"/>
    </row>
    <row r="237">
      <c r="B237" s="476" t="inlineStr">
        <is>
          <t>M05-0269</t>
        </is>
      </c>
      <c r="C237" s="600" t="inlineStr">
        <is>
          <t>Cable UTP cat 5e</t>
        </is>
      </c>
      <c r="D237" s="668">
        <f>IFERROR(_xlfn.XLOOKUP($D$11,ELEC!$F$5:$AV$5,ELEC!F200:AV200,0,0,1),0)</f>
        <v/>
      </c>
      <c r="E237" s="487">
        <f>ROUNDUP(D237,0)</f>
        <v/>
      </c>
      <c r="F237" s="416" t="n"/>
    </row>
    <row r="238">
      <c r="B238" s="476" t="inlineStr">
        <is>
          <t>M05-0017</t>
        </is>
      </c>
      <c r="C238" s="600" t="inlineStr">
        <is>
          <t>Tape Blanco</t>
        </is>
      </c>
      <c r="D238" s="668">
        <f>IFERROR(_xlfn.XLOOKUP($D$11,ELEC!$F$5:$AV$5,ELEC!F201:AV201,0,0,1),0)</f>
        <v/>
      </c>
      <c r="E238" s="487">
        <f>ROUNDUP(D238,0)</f>
        <v/>
      </c>
      <c r="F238" s="416" t="n"/>
    </row>
    <row r="239">
      <c r="B239" s="476" t="n"/>
      <c r="C239" s="600" t="n"/>
      <c r="D239" s="668">
        <f>IFERROR(_xlfn.XLOOKUP($D$11,ELEC!$F$5:$AV$5,ELEC!F202:AV202,0,0,1),0)</f>
        <v/>
      </c>
      <c r="E239" s="487" t="n"/>
      <c r="F239" s="416" t="n"/>
    </row>
    <row r="240">
      <c r="B240" s="476" t="inlineStr">
        <is>
          <t>M05-0271</t>
        </is>
      </c>
      <c r="C240" s="600" t="inlineStr">
        <is>
          <t>Tape ROJO</t>
        </is>
      </c>
      <c r="D240" s="668">
        <f>IFERROR(_xlfn.XLOOKUP($D$11,ELEC!$F$5:$AV$5,ELEC!F203:AV203,0,0,1),0)</f>
        <v/>
      </c>
      <c r="E240" s="487">
        <f>ROUNDUP(D240,0)</f>
        <v/>
      </c>
    </row>
    <row r="241">
      <c r="B241" s="476" t="inlineStr">
        <is>
          <t>M05-0019</t>
        </is>
      </c>
      <c r="C241" s="600" t="inlineStr">
        <is>
          <t>Tape Super 33</t>
        </is>
      </c>
      <c r="D241" s="668">
        <f>IFERROR(_xlfn.XLOOKUP($D$11,ELEC!$F$5:$AV$5,ELEC!F204:AV204,0,0,1),0)</f>
        <v/>
      </c>
      <c r="E241" s="487">
        <f>ROUNDUP(D241,0)</f>
        <v/>
      </c>
      <c r="F241" s="493" t="n"/>
    </row>
    <row r="242">
      <c r="B242" s="669" t="n"/>
      <c r="C242" s="667" t="inlineStr">
        <is>
          <t>CABLE GRUESO</t>
        </is>
      </c>
      <c r="D242" s="672" t="inlineStr">
        <is>
          <t>Cantidad</t>
        </is>
      </c>
      <c r="E242" s="672" t="inlineStr">
        <is>
          <t>Unidad</t>
        </is>
      </c>
    </row>
    <row r="243">
      <c r="B243" s="476" t="inlineStr">
        <is>
          <t>M05-0259</t>
        </is>
      </c>
      <c r="C243" s="600" t="inlineStr">
        <is>
          <t>Cable thhn #12 rojo</t>
        </is>
      </c>
      <c r="D243" s="668">
        <f>IFERROR(_xlfn.XLOOKUP($D$11,ELEC!$F$5:$AV$5,ELEC!F261:AV261,0,0,1),0)</f>
        <v/>
      </c>
      <c r="E243" s="487">
        <f>ROUNDUP(D243,0)</f>
        <v/>
      </c>
      <c r="G243" s="419" t="n"/>
      <c r="H243" s="419" t="n"/>
    </row>
    <row r="244">
      <c r="B244" s="476" t="inlineStr">
        <is>
          <t>M05-0259</t>
        </is>
      </c>
      <c r="C244" s="600" t="inlineStr">
        <is>
          <t>Cable thhn #12 blanco</t>
        </is>
      </c>
      <c r="D244" s="668">
        <f>IFERROR(_xlfn.XLOOKUP($D$11,ELEC!$F$5:$AV$5,ELEC!F262:AV262,0,0,1),0)</f>
        <v/>
      </c>
      <c r="E244" s="487">
        <f>ROUNDUP(D244,0)</f>
        <v/>
      </c>
    </row>
    <row r="245">
      <c r="B245" s="476" t="inlineStr">
        <is>
          <t>M05-0259</t>
        </is>
      </c>
      <c r="C245" s="600" t="inlineStr">
        <is>
          <t>Cable thhn #12 verde</t>
        </is>
      </c>
      <c r="D245" s="668">
        <f>IFERROR(_xlfn.XLOOKUP($D$11,ELEC!$F$5:$AV$5,ELEC!F263:AV263,0,0,1),0)</f>
        <v/>
      </c>
      <c r="E245" s="487">
        <f>ROUNDUP(D245,0)</f>
        <v/>
      </c>
    </row>
    <row r="246">
      <c r="B246" s="476" t="inlineStr">
        <is>
          <t>M05-0259</t>
        </is>
      </c>
      <c r="C246" s="600" t="inlineStr">
        <is>
          <t>Cable thhn #12 azul</t>
        </is>
      </c>
      <c r="D246" s="668">
        <f>IFERROR(_xlfn.XLOOKUP($D$11,ELEC!$F$5:$AV$5,ELEC!F264:AV264,0,0,1),0)</f>
        <v/>
      </c>
      <c r="E246" s="487">
        <f>ROUNDUP(D246,0)</f>
        <v/>
      </c>
    </row>
    <row r="247">
      <c r="B247" s="476" t="inlineStr">
        <is>
          <t>M05-0259</t>
        </is>
      </c>
      <c r="C247" s="600" t="inlineStr">
        <is>
          <t>Cable thhn #12 negro</t>
        </is>
      </c>
      <c r="D247" s="668">
        <f>IFERROR(_xlfn.XLOOKUP($D$11,ELEC!$F$5:$AV$5,ELEC!F265:AV265,0,0,1),0)</f>
        <v/>
      </c>
      <c r="E247" s="487">
        <f>ROUNDUP(D247,0)</f>
        <v/>
      </c>
    </row>
    <row r="248">
      <c r="B248" s="476" t="inlineStr">
        <is>
          <t>M05-0258</t>
        </is>
      </c>
      <c r="C248" s="600" t="inlineStr">
        <is>
          <t>Cable thhn #10 rojo</t>
        </is>
      </c>
      <c r="D248" s="668">
        <f>IFERROR(_xlfn.XLOOKUP($D$11,ELEC!$F$5:$AV$5,ELEC!F266:AV266,0,0,1),0)</f>
        <v/>
      </c>
      <c r="E248" s="487">
        <f>ROUNDUP(D248,0)</f>
        <v/>
      </c>
    </row>
    <row r="249">
      <c r="B249" s="476" t="inlineStr">
        <is>
          <t>M05-0258</t>
        </is>
      </c>
      <c r="C249" s="600" t="inlineStr">
        <is>
          <t>Cable thhn #10 Blanco</t>
        </is>
      </c>
      <c r="D249" s="668">
        <f>IFERROR(_xlfn.XLOOKUP($D$11,ELEC!$F$5:$AV$5,ELEC!F267:AV267,0,0,1),0)</f>
        <v/>
      </c>
      <c r="E249" s="487">
        <f>ROUNDUP(D249,0)</f>
        <v/>
      </c>
    </row>
    <row r="250">
      <c r="B250" s="476" t="inlineStr">
        <is>
          <t>M05-0258</t>
        </is>
      </c>
      <c r="C250" s="600" t="inlineStr">
        <is>
          <t>Cable thhn #10 Verde</t>
        </is>
      </c>
      <c r="D250" s="668">
        <f>IFERROR(_xlfn.XLOOKUP($D$11,ELEC!$F$5:$AV$5,ELEC!F268:AV268,0,0,1),0)</f>
        <v/>
      </c>
      <c r="E250" s="487">
        <f>ROUNDUP(D250,0)</f>
        <v/>
      </c>
    </row>
    <row r="251">
      <c r="B251" s="476" t="inlineStr">
        <is>
          <t>M05-0261</t>
        </is>
      </c>
      <c r="C251" s="600" t="inlineStr">
        <is>
          <t>Cable thhn #8 blanco</t>
        </is>
      </c>
      <c r="D251" s="668">
        <f>IFERROR(_xlfn.XLOOKUP($D$11,ELEC!$F$5:$AV$5,ELEC!F269:AV269,0,0,1),0)</f>
        <v/>
      </c>
      <c r="E251" s="487">
        <f>ROUNDUP(D251,0)</f>
        <v/>
      </c>
    </row>
    <row r="252">
      <c r="B252" s="476" t="inlineStr">
        <is>
          <t>M05-0261</t>
        </is>
      </c>
      <c r="C252" s="600" t="inlineStr">
        <is>
          <t>Cable thhn #8 rojo</t>
        </is>
      </c>
      <c r="D252" s="668">
        <f>IFERROR(_xlfn.XLOOKUP($D$11,ELEC!$F$5:$AV$5,ELEC!F270:AV270,0,0,1),0)</f>
        <v/>
      </c>
      <c r="E252" s="487">
        <f>ROUNDUP(D252,0)</f>
        <v/>
      </c>
    </row>
    <row r="253">
      <c r="B253" s="476" t="inlineStr">
        <is>
          <t>M05-0261</t>
        </is>
      </c>
      <c r="C253" s="600" t="inlineStr">
        <is>
          <t>Cable thhn #8 verde</t>
        </is>
      </c>
      <c r="D253" s="668">
        <f>IFERROR(_xlfn.XLOOKUP($D$11,ELEC!$F$5:$AV$5,ELEC!F271:AV271,0,0,1),0)</f>
        <v/>
      </c>
      <c r="E253" s="487">
        <f>ROUNDUP(D253,0)</f>
        <v/>
      </c>
    </row>
    <row r="254">
      <c r="B254" s="476" t="inlineStr">
        <is>
          <t>M05-0262</t>
        </is>
      </c>
      <c r="C254" s="600" t="inlineStr">
        <is>
          <t>Cable 1/0 AL s8000</t>
        </is>
      </c>
      <c r="D254" s="668">
        <f>IFERROR(_xlfn.XLOOKUP($D$11,ELEC!$F$5:$AV$5,ELEC!F272:AV272,0,0,1),0)</f>
        <v/>
      </c>
      <c r="E254" s="487">
        <f>ROUNDUP(D254,0)</f>
        <v/>
      </c>
    </row>
    <row r="255">
      <c r="B255" s="476" t="inlineStr">
        <is>
          <t>M05-0263</t>
        </is>
      </c>
      <c r="C255" s="600" t="inlineStr">
        <is>
          <t>Cable #6  AL s8000</t>
        </is>
      </c>
      <c r="D255" s="668">
        <f>IFERROR(_xlfn.XLOOKUP($D$11,ELEC!$F$5:$AV$5,ELEC!F273:AV273,0,0,1),0)</f>
        <v/>
      </c>
      <c r="E255" s="487">
        <f>ROUNDUP(D255,0)</f>
        <v/>
      </c>
    </row>
    <row r="256">
      <c r="B256" s="476" t="inlineStr">
        <is>
          <t>M05-0269</t>
        </is>
      </c>
      <c r="C256" s="600" t="inlineStr">
        <is>
          <t>Cable UTP cat 5e</t>
        </is>
      </c>
      <c r="D256" s="668">
        <f>IFERROR(_xlfn.XLOOKUP($D$11,ELEC!$F$5:$AV$5,ELEC!F274:AV274,0,0,1),0)</f>
        <v/>
      </c>
      <c r="E256" s="487">
        <f>ROUNDUP(D256,0)</f>
        <v/>
      </c>
    </row>
    <row r="257">
      <c r="B257" s="476" t="inlineStr">
        <is>
          <t>M05-0017</t>
        </is>
      </c>
      <c r="C257" s="600" t="inlineStr">
        <is>
          <t>Tape Blanco</t>
        </is>
      </c>
      <c r="D257" s="668">
        <f>IFERROR(_xlfn.XLOOKUP($D$11,ELEC!$F$5:$AV$5,ELEC!F275:AV275,0,0,1),0)</f>
        <v/>
      </c>
      <c r="E257" s="487">
        <f>ROUNDUP(D257,0)</f>
        <v/>
      </c>
    </row>
    <row r="258">
      <c r="B258" s="476" t="inlineStr">
        <is>
          <t>M05-0018</t>
        </is>
      </c>
      <c r="C258" s="600" t="inlineStr">
        <is>
          <t>Tape Verde</t>
        </is>
      </c>
      <c r="D258" s="668">
        <f>IFERROR(_xlfn.XLOOKUP($D$11,ELEC!$F$5:$AV$5,ELEC!F276:AV276,0,0,1),0)</f>
        <v/>
      </c>
      <c r="E258" s="487">
        <f>ROUNDUP(D258,0)</f>
        <v/>
      </c>
    </row>
    <row r="259">
      <c r="B259" s="476" t="inlineStr">
        <is>
          <t>M05-0271</t>
        </is>
      </c>
      <c r="C259" s="600" t="inlineStr">
        <is>
          <t>Tape ROJO</t>
        </is>
      </c>
      <c r="D259" s="668">
        <f>IFERROR(_xlfn.XLOOKUP($D$11,ELEC!$F$5:$AV$5,ELEC!F277:AV277,0,0,1),0)</f>
        <v/>
      </c>
      <c r="E259" s="487">
        <f>ROUNDUP(D259,0)</f>
        <v/>
      </c>
    </row>
    <row r="260">
      <c r="B260" s="476" t="inlineStr">
        <is>
          <t>M05-0019</t>
        </is>
      </c>
      <c r="C260" s="600" t="inlineStr">
        <is>
          <t>Tape Super 33</t>
        </is>
      </c>
      <c r="D260" s="668">
        <f>IFERROR(_xlfn.XLOOKUP($D$11,ELEC!$F$5:$AV$5,ELEC!F278:AV278,0,0,1),0)</f>
        <v/>
      </c>
      <c r="E260" s="487">
        <f>ROUNDUP(D260,0)</f>
        <v/>
      </c>
    </row>
    <row r="261">
      <c r="B261" s="562" t="n"/>
    </row>
    <row r="262">
      <c r="B262" s="669" t="n"/>
      <c r="C262" s="670" t="inlineStr">
        <is>
          <t>SUBCONTRATO</t>
        </is>
      </c>
      <c r="D262" s="671">
        <f>+E333</f>
        <v/>
      </c>
    </row>
    <row r="265">
      <c r="C265" s="468" t="inlineStr">
        <is>
          <t>3.1.9</t>
        </is>
      </c>
      <c r="D265" s="483" t="inlineStr">
        <is>
          <t xml:space="preserve">PLAQUERIA </t>
        </is>
      </c>
    </row>
    <row r="268">
      <c r="C268" s="667" t="inlineStr">
        <is>
          <t>CABLE GRUESO</t>
        </is>
      </c>
      <c r="D268" s="672" t="inlineStr">
        <is>
          <t>Cantidad</t>
        </is>
      </c>
      <c r="E268" s="672" t="inlineStr">
        <is>
          <t>Unidad</t>
        </is>
      </c>
    </row>
    <row r="269">
      <c r="B269" s="476" t="inlineStr">
        <is>
          <t>M05-0230</t>
        </is>
      </c>
      <c r="C269" s="600" t="inlineStr">
        <is>
          <t xml:space="preserve">Modulo adaptador de 1 </t>
        </is>
      </c>
      <c r="D269" s="668">
        <f>IFERROR(_xlfn.XLOOKUP($D$11,ELEC!$F$5:$AV$5,ELEC!F209:AV209,0,0,1),0)</f>
        <v/>
      </c>
      <c r="E269" s="487">
        <f>ROUNDUP(D269,0)</f>
        <v/>
      </c>
    </row>
    <row r="270">
      <c r="B270" s="476" t="inlineStr">
        <is>
          <t>M05-0231</t>
        </is>
      </c>
      <c r="C270" s="600" t="inlineStr">
        <is>
          <t xml:space="preserve">Modulo adaptador de 2 </t>
        </is>
      </c>
      <c r="D270" s="668">
        <f>IFERROR(_xlfn.XLOOKUP($D$11,ELEC!$F$5:$AV$5,ELEC!F210:AV210,0,0,1),0)</f>
        <v/>
      </c>
      <c r="E270" s="487">
        <f>ROUNDUP(D270,0)</f>
        <v/>
      </c>
    </row>
    <row r="271">
      <c r="B271" s="476" t="inlineStr">
        <is>
          <t>M05-0232</t>
        </is>
      </c>
      <c r="C271" s="600" t="inlineStr">
        <is>
          <t>Apagadores doble</t>
        </is>
      </c>
      <c r="D271" s="668">
        <f>IFERROR(_xlfn.XLOOKUP($D$11,ELEC!$F$5:$AV$5,ELEC!F211:AV211,0,0,1),0)</f>
        <v/>
      </c>
      <c r="E271" s="487">
        <f>ROUNDUP(D271,0)</f>
        <v/>
      </c>
    </row>
    <row r="272">
      <c r="B272" s="476" t="inlineStr">
        <is>
          <t>M05-0233</t>
        </is>
      </c>
      <c r="C272" s="600" t="inlineStr">
        <is>
          <t>Apador triway 2</t>
        </is>
      </c>
      <c r="D272" s="668">
        <f>IFERROR(_xlfn.XLOOKUP($D$11,ELEC!$F$5:$AV$5,ELEC!F212:AV212,0,0,1),0)</f>
        <v/>
      </c>
      <c r="E272" s="487">
        <f>ROUNDUP(D272,0)</f>
        <v/>
      </c>
    </row>
    <row r="273">
      <c r="B273" s="476" t="inlineStr">
        <is>
          <t>M05-0234</t>
        </is>
      </c>
      <c r="C273" s="600" t="inlineStr">
        <is>
          <t>Apagadores sencillo</t>
        </is>
      </c>
      <c r="D273" s="668">
        <f>IFERROR(_xlfn.XLOOKUP($D$11,ELEC!$F$5:$AV$5,ELEC!F213:AV213,0,0,1),0)</f>
        <v/>
      </c>
      <c r="E273" s="487">
        <f>ROUNDUP(D273,0)</f>
        <v/>
      </c>
    </row>
    <row r="274">
      <c r="B274" s="476" t="inlineStr">
        <is>
          <t>M05-0235</t>
        </is>
      </c>
      <c r="C274" s="600" t="inlineStr">
        <is>
          <t>Apador triway 1</t>
        </is>
      </c>
      <c r="D274" s="668">
        <f>IFERROR(_xlfn.XLOOKUP($D$11,ELEC!$F$5:$AV$5,ELEC!F214:AV214,0,0,1),0)</f>
        <v/>
      </c>
      <c r="E274" s="487">
        <f>ROUNDUP(D274,0)</f>
        <v/>
      </c>
    </row>
    <row r="275">
      <c r="B275" s="476" t="inlineStr">
        <is>
          <t>M05-0236</t>
        </is>
      </c>
      <c r="C275" s="600" t="inlineStr">
        <is>
          <t>Apagadores triple</t>
        </is>
      </c>
      <c r="D275" s="668">
        <f>IFERROR(_xlfn.XLOOKUP($D$11,ELEC!$F$5:$AV$5,ELEC!F215:AV215,0,0,1),0)</f>
        <v/>
      </c>
      <c r="E275" s="487">
        <f>ROUNDUP(D275,0)</f>
        <v/>
      </c>
    </row>
    <row r="276">
      <c r="B276" s="476" t="inlineStr">
        <is>
          <t>M05-0387</t>
        </is>
      </c>
      <c r="C276" s="600" t="inlineStr">
        <is>
          <t>Aro de repello 2 GAIN</t>
        </is>
      </c>
      <c r="D276" s="668">
        <f>IFERROR(_xlfn.XLOOKUP($D$11,ELEC!$F$5:$AV$5,ELEC!F216:AV216,0,0,1),0)</f>
        <v/>
      </c>
      <c r="E276" s="487">
        <f>ROUNDUP(D276,0)</f>
        <v/>
      </c>
    </row>
    <row r="277">
      <c r="B277" s="476" t="inlineStr">
        <is>
          <t>M05-0436</t>
        </is>
      </c>
      <c r="C277" s="600" t="inlineStr">
        <is>
          <t xml:space="preserve">Lampara tortuga </t>
        </is>
      </c>
      <c r="D277" s="668">
        <f>IFERROR(_xlfn.XLOOKUP($D$11,ELEC!$F$5:$AV$5,ELEC!F217:AV217,0,0,1),0)</f>
        <v/>
      </c>
      <c r="E277" s="487">
        <f>ROUNDUP(D277,0)</f>
        <v/>
      </c>
    </row>
    <row r="278">
      <c r="B278" s="476" t="inlineStr">
        <is>
          <t>M05-0238</t>
        </is>
      </c>
      <c r="C278" s="600" t="inlineStr">
        <is>
          <t>Placa para interperie</t>
        </is>
      </c>
      <c r="D278" s="668">
        <f>IFERROR(_xlfn.XLOOKUP($D$11,ELEC!$F$5:$AV$5,ELEC!F218:AV218,0,0,1),0)</f>
        <v/>
      </c>
      <c r="E278" s="487">
        <f>ROUNDUP(D278,0)</f>
        <v/>
      </c>
    </row>
    <row r="279">
      <c r="B279" s="476" t="inlineStr">
        <is>
          <t>M05-0239</t>
        </is>
      </c>
      <c r="C279" s="600" t="inlineStr">
        <is>
          <t>Placa de acero inoxidable</t>
        </is>
      </c>
      <c r="D279" s="668">
        <f>IFERROR(_xlfn.XLOOKUP($D$11,ELEC!$F$5:$AV$5,ELEC!F219:AV219,0,0,1),0)</f>
        <v/>
      </c>
      <c r="E279" s="487">
        <f>ROUNDUP(D279,0)</f>
        <v/>
      </c>
    </row>
    <row r="280">
      <c r="B280" s="476" t="inlineStr">
        <is>
          <t>M05-0240</t>
        </is>
      </c>
      <c r="C280" s="600" t="inlineStr">
        <is>
          <t>Placa blanca Royer</t>
        </is>
      </c>
      <c r="D280" s="668">
        <f>IFERROR(_xlfn.XLOOKUP($D$11,ELEC!$F$5:$AV$5,ELEC!F220:AV220,0,0,1),0)</f>
        <v/>
      </c>
      <c r="E280" s="487">
        <f>ROUNDUP(D280,0)</f>
        <v/>
      </c>
    </row>
    <row r="281">
      <c r="B281" s="476" t="inlineStr">
        <is>
          <t>M05-0458</t>
        </is>
      </c>
      <c r="C281" s="600" t="inlineStr">
        <is>
          <t>Plafon</t>
        </is>
      </c>
      <c r="D281" s="668">
        <f>IFERROR(_xlfn.XLOOKUP($D$11,ELEC!$F$5:$AV$5,ELEC!F221:AV221,0,0,1),0)</f>
        <v/>
      </c>
      <c r="E281" s="487">
        <f>ROUNDUP(D281,0)</f>
        <v/>
      </c>
    </row>
    <row r="282">
      <c r="B282" s="476" t="inlineStr">
        <is>
          <t>M05-0482</t>
        </is>
      </c>
      <c r="C282" s="600" t="inlineStr">
        <is>
          <t xml:space="preserve">Tomacorrientes </t>
        </is>
      </c>
      <c r="D282" s="668">
        <f>IFERROR(_xlfn.XLOOKUP($D$11,ELEC!$F$5:$AV$5,ELEC!F222:AV222,0,0,1),0)</f>
        <v/>
      </c>
      <c r="E282" s="487">
        <f>ROUNDUP(D282,0)</f>
        <v/>
      </c>
    </row>
    <row r="283">
      <c r="B283" s="476" t="inlineStr">
        <is>
          <t>M05-0242</t>
        </is>
      </c>
      <c r="C283" s="600" t="inlineStr">
        <is>
          <t xml:space="preserve">Salida 240 Vac </t>
        </is>
      </c>
      <c r="D283" s="668">
        <f>IFERROR(_xlfn.XLOOKUP($D$11,ELEC!$F$5:$AV$5,ELEC!F223:AV223,0,0,1),0)</f>
        <v/>
      </c>
      <c r="E283" s="487">
        <f>ROUNDUP(D283,0)</f>
        <v/>
      </c>
    </row>
    <row r="284">
      <c r="B284" s="476" t="inlineStr">
        <is>
          <t>M05-0446</t>
        </is>
      </c>
      <c r="C284" s="600" t="inlineStr">
        <is>
          <t xml:space="preserve">Lampara LED </t>
        </is>
      </c>
      <c r="D284" s="668">
        <f>IFERROR(_xlfn.XLOOKUP($D$11,ELEC!$F$5:$AV$5,ELEC!F224:AV224,0,0,1),0)</f>
        <v/>
      </c>
      <c r="E284" s="487">
        <f>ROUNDUP(D284,0)</f>
        <v/>
      </c>
    </row>
    <row r="285">
      <c r="B285" s="476" t="inlineStr">
        <is>
          <t>M05-0009</t>
        </is>
      </c>
      <c r="C285" s="600" t="inlineStr">
        <is>
          <t>Conector tipo f</t>
        </is>
      </c>
      <c r="D285" s="668">
        <f>IFERROR(_xlfn.XLOOKUP($D$11,ELEC!$F$5:$AV$5,ELEC!F225:AV225,0,0,1),0)</f>
        <v/>
      </c>
      <c r="E285" s="487">
        <f>ROUNDUP(D285,0)</f>
        <v/>
      </c>
    </row>
    <row r="286">
      <c r="B286" s="476" t="inlineStr">
        <is>
          <t>M05-0012</t>
        </is>
      </c>
      <c r="C286" s="600" t="inlineStr">
        <is>
          <t>Conector RJ45 hembra</t>
        </is>
      </c>
      <c r="D286" s="668">
        <f>IFERROR(_xlfn.XLOOKUP($D$11,ELEC!$F$5:$AV$5,ELEC!F226:AV226,0,0,1),0)</f>
        <v/>
      </c>
      <c r="E286" s="487">
        <f>ROUNDUP(D286,0)</f>
        <v/>
      </c>
    </row>
    <row r="287">
      <c r="B287" s="476" t="inlineStr">
        <is>
          <t>M05-0019</t>
        </is>
      </c>
      <c r="C287" s="600" t="inlineStr">
        <is>
          <t>Tape Super 33</t>
        </is>
      </c>
      <c r="D287" s="668">
        <f>IFERROR(_xlfn.XLOOKUP($D$11,ELEC!$F$5:$AV$5,ELEC!F227:AV227,0,0,1),0)</f>
        <v/>
      </c>
      <c r="E287" s="487">
        <f>ROUNDUP(D287,0)</f>
        <v/>
      </c>
    </row>
    <row r="288">
      <c r="B288" s="476" t="inlineStr">
        <is>
          <t>M06-0496</t>
        </is>
      </c>
      <c r="C288" s="600" t="inlineStr">
        <is>
          <t>Tornillo gypsum 1 1/4"</t>
        </is>
      </c>
      <c r="D288" s="668">
        <f>IFERROR(_xlfn.XLOOKUP($D$11,ELEC!$F$5:$AV$5,ELEC!F228:AV228,0,0,1),0)</f>
        <v/>
      </c>
      <c r="E288" s="487">
        <f>ROUNDUP(D288,0)</f>
        <v/>
      </c>
    </row>
    <row r="289">
      <c r="B289" s="476" t="inlineStr">
        <is>
          <t>M05-0007</t>
        </is>
      </c>
      <c r="C289" s="600" t="inlineStr">
        <is>
          <t>scotch plug amarillo</t>
        </is>
      </c>
      <c r="D289" s="668">
        <f>IFERROR(_xlfn.XLOOKUP($D$11,ELEC!$F$5:$AV$5,ELEC!F229:AV229,0,0,1),0)</f>
        <v/>
      </c>
      <c r="E289" s="487">
        <f>ROUNDUP(D289,0)</f>
        <v/>
      </c>
    </row>
    <row r="290">
      <c r="B290" s="476" t="inlineStr">
        <is>
          <t>M05-0016</t>
        </is>
      </c>
      <c r="C290" s="600" t="inlineStr">
        <is>
          <t>Tapa Ciega 2x4</t>
        </is>
      </c>
      <c r="D290" s="668">
        <f>IFERROR(_xlfn.XLOOKUP($D$11,ELEC!$F$5:$AV$5,ELEC!F230:AV230,0,0,1),0)</f>
        <v/>
      </c>
      <c r="E290" s="487">
        <f>ROUNDUP(D290,0)</f>
        <v/>
      </c>
    </row>
    <row r="291">
      <c r="B291" s="476" t="inlineStr">
        <is>
          <t>M05-0482</t>
        </is>
      </c>
      <c r="C291" s="600" t="inlineStr">
        <is>
          <t>Tapa Interperie 240</t>
        </is>
      </c>
      <c r="D291" s="668">
        <f>IFERROR(_xlfn.XLOOKUP($D$11,ELEC!$F$5:$AV$5,ELEC!F231:AV231,0,0,1),0)</f>
        <v/>
      </c>
      <c r="E291" s="487">
        <f>ROUNDUP(D291,0)</f>
        <v/>
      </c>
    </row>
    <row r="292">
      <c r="B292" s="476" t="inlineStr">
        <is>
          <t>M05-0011</t>
        </is>
      </c>
      <c r="C292" s="600" t="inlineStr">
        <is>
          <t>Conector resorte amarillo</t>
        </is>
      </c>
      <c r="D292" s="668">
        <f>IFERROR(_xlfn.XLOOKUP($D$11,ELEC!$F$5:$AV$5,ELEC!F232:AV232,0,0,1),0)</f>
        <v/>
      </c>
      <c r="E292" s="487">
        <f>ROUNDUP(D292,0)</f>
        <v/>
      </c>
    </row>
    <row r="293">
      <c r="B293" s="476" t="inlineStr">
        <is>
          <t>M05-0024</t>
        </is>
      </c>
      <c r="C293" s="600" t="inlineStr">
        <is>
          <t>Conector Macho RJ45</t>
        </is>
      </c>
      <c r="D293" s="668">
        <f>IFERROR(_xlfn.XLOOKUP($D$11,ELEC!$F$5:$AV$5,ELEC!F233:AV233,0,0,1),0)</f>
        <v/>
      </c>
      <c r="E293" s="487">
        <f>ROUNDUP(D293,0)</f>
        <v/>
      </c>
    </row>
    <row r="294">
      <c r="B294" s="476" t="inlineStr">
        <is>
          <t>M06-0497</t>
        </is>
      </c>
      <c r="C294" s="600" t="inlineStr">
        <is>
          <t xml:space="preserve">Tornillo Madera 2" </t>
        </is>
      </c>
      <c r="D294" s="668">
        <f>IFERROR(_xlfn.XLOOKUP($D$11,ELEC!$F$5:$AV$5,ELEC!F234:AV234,0,0,1),0)</f>
        <v/>
      </c>
      <c r="E294" s="487">
        <f>ROUNDUP(D294,0)</f>
        <v/>
      </c>
    </row>
    <row r="295">
      <c r="B295" s="476" t="inlineStr">
        <is>
          <t>M06-0084</t>
        </is>
      </c>
      <c r="C295" s="600" t="inlineStr">
        <is>
          <t xml:space="preserve">Tornillo Madera 2 1/2" </t>
        </is>
      </c>
      <c r="D295" s="668">
        <f>IFERROR(_xlfn.XLOOKUP($D$11,ELEC!$F$5:$AV$5,ELEC!F235:AV235,0,0,1),0)</f>
        <v/>
      </c>
      <c r="E295" s="487">
        <f>ROUNDUP(D295,0)</f>
        <v/>
      </c>
    </row>
    <row r="297">
      <c r="C297" s="670" t="inlineStr">
        <is>
          <t>SUBCONTRATO</t>
        </is>
      </c>
      <c r="D297" s="671">
        <f>+E331</f>
        <v/>
      </c>
    </row>
    <row r="300">
      <c r="C300" s="468" t="inlineStr">
        <is>
          <t>3.1.10</t>
        </is>
      </c>
      <c r="D300" s="483" t="inlineStr">
        <is>
          <t>BREAKERS</t>
        </is>
      </c>
    </row>
    <row r="302">
      <c r="B302" s="562" t="n"/>
      <c r="C302" s="667" t="inlineStr">
        <is>
          <t>CABLE GRUESO</t>
        </is>
      </c>
      <c r="D302" s="672" t="inlineStr">
        <is>
          <t>Cantidad</t>
        </is>
      </c>
      <c r="E302" s="672" t="inlineStr">
        <is>
          <t>Unidad</t>
        </is>
      </c>
    </row>
    <row r="303">
      <c r="B303" s="476" t="inlineStr">
        <is>
          <t>M05-0306</t>
        </is>
      </c>
      <c r="C303" s="600" t="inlineStr">
        <is>
          <t>Breaker 2x100 cent.carga</t>
        </is>
      </c>
      <c r="D303" s="668">
        <f>IFERROR(_xlfn.XLOOKUP($D$11,ELEC!$F$5:$AV$5,ELEC!F240:AV240,0,0,1),0)</f>
        <v/>
      </c>
      <c r="E303" s="487">
        <f>ROUNDUP(D303,0)</f>
        <v/>
      </c>
    </row>
    <row r="304">
      <c r="B304" s="476" t="inlineStr">
        <is>
          <t>M05-0322</t>
        </is>
      </c>
      <c r="C304" s="600" t="inlineStr">
        <is>
          <t>Breaker 2x150 centro carga</t>
        </is>
      </c>
      <c r="D304" s="668">
        <f>IFERROR(_xlfn.XLOOKUP($D$11,ELEC!$F$5:$AV$5,ELEC!F241:AV241,0,0,1),0)</f>
        <v/>
      </c>
      <c r="E304" s="487">
        <f>ROUNDUP(D304,0)</f>
        <v/>
      </c>
    </row>
    <row r="305">
      <c r="B305" s="476" t="inlineStr">
        <is>
          <t>M05-0471</t>
        </is>
      </c>
      <c r="C305" s="600" t="inlineStr">
        <is>
          <t>Breaker 1x20 dual</t>
        </is>
      </c>
      <c r="D305" s="668">
        <f>IFERROR(_xlfn.XLOOKUP($D$11,ELEC!$F$5:$AV$5,ELEC!F242:AV242,0,0,1),0)</f>
        <v/>
      </c>
      <c r="E305" s="487">
        <f>ROUNDUP(D305,0)</f>
        <v/>
      </c>
    </row>
    <row r="306">
      <c r="B306" s="476" t="inlineStr">
        <is>
          <t>M05-0307</t>
        </is>
      </c>
      <c r="C306" s="600" t="inlineStr">
        <is>
          <t>Breaker 2x100 Medidor</t>
        </is>
      </c>
      <c r="D306" s="668">
        <f>IFERROR(_xlfn.XLOOKUP($D$11,ELEC!$F$5:$AV$5,ELEC!F243:AV243,0,0,1),0)</f>
        <v/>
      </c>
      <c r="E306" s="487">
        <f>ROUNDUP(D306,0)</f>
        <v/>
      </c>
    </row>
    <row r="307">
      <c r="B307" s="476" t="inlineStr">
        <is>
          <t>M05-0471</t>
        </is>
      </c>
      <c r="C307" s="600" t="inlineStr">
        <is>
          <t>breaker 2x30 GFCI</t>
        </is>
      </c>
      <c r="D307" s="668">
        <f>IFERROR(_xlfn.XLOOKUP($D$11,ELEC!$F$5:$AV$5,ELEC!F244:AV244,0,0,1),0)</f>
        <v/>
      </c>
      <c r="E307" s="487">
        <f>ROUNDUP(D307,0)</f>
        <v/>
      </c>
    </row>
    <row r="308">
      <c r="B308" s="476" t="inlineStr">
        <is>
          <t>M05-0472</t>
        </is>
      </c>
      <c r="C308" s="600" t="inlineStr">
        <is>
          <t>breaker 2x40 GFCI</t>
        </is>
      </c>
      <c r="D308" s="668">
        <f>IFERROR(_xlfn.XLOOKUP($D$11,ELEC!$F$5:$AV$5,ELEC!F245:AV245,0,0,1),0)</f>
        <v/>
      </c>
      <c r="E308" s="487">
        <f>ROUNDUP(D308,0)</f>
        <v/>
      </c>
    </row>
    <row r="309">
      <c r="B309" s="476" t="inlineStr">
        <is>
          <t>M05-0079</t>
        </is>
      </c>
      <c r="C309" s="600" t="inlineStr">
        <is>
          <t>Supresor de picos</t>
        </is>
      </c>
      <c r="D309" s="668">
        <f>IFERROR(_xlfn.XLOOKUP($D$11,ELEC!$F$5:$AV$5,ELEC!F246:AV246,0,0,1),0)</f>
        <v/>
      </c>
      <c r="E309" s="487">
        <f>ROUNDUP(D309,0)</f>
        <v/>
      </c>
    </row>
    <row r="310">
      <c r="B310" s="476" t="inlineStr">
        <is>
          <t>M05-0475</t>
        </is>
      </c>
      <c r="C310" s="600" t="inlineStr">
        <is>
          <t>Cubierta  p/cent.carga 24</t>
        </is>
      </c>
      <c r="D310" s="668">
        <f>IFERROR(_xlfn.XLOOKUP($D$11,ELEC!$F$5:$AV$5,ELEC!F247:AV247,0,0,1),0)</f>
        <v/>
      </c>
      <c r="E310" s="487">
        <f>ROUNDUP(D310,0)</f>
        <v/>
      </c>
    </row>
    <row r="311">
      <c r="B311" s="476" t="inlineStr">
        <is>
          <t>M05-0474</t>
        </is>
      </c>
      <c r="C311" s="600" t="inlineStr">
        <is>
          <t>Cubierta  p/cent.carga 30</t>
        </is>
      </c>
      <c r="D311" s="668">
        <f>IFERROR(_xlfn.XLOOKUP($D$11,ELEC!$F$5:$AV$5,ELEC!F248:AV248,0,0,1),0)</f>
        <v/>
      </c>
      <c r="E311" s="487">
        <f>ROUNDUP(D311,0)</f>
        <v/>
      </c>
    </row>
    <row r="312">
      <c r="B312" s="476" t="inlineStr">
        <is>
          <t>M05-0463</t>
        </is>
      </c>
      <c r="C312" s="600" t="inlineStr">
        <is>
          <t>Barra a tierra 27 esp</t>
        </is>
      </c>
      <c r="D312" s="668">
        <f>IFERROR(_xlfn.XLOOKUP($D$11,ELEC!$F$5:$AV$5,ELEC!F249:AV249,0,0,1),0)</f>
        <v/>
      </c>
      <c r="E312" s="487">
        <f>ROUNDUP(D312,0)</f>
        <v/>
      </c>
    </row>
    <row r="313">
      <c r="B313" s="476" t="inlineStr">
        <is>
          <t>M05-0024</t>
        </is>
      </c>
      <c r="C313" s="600" t="inlineStr">
        <is>
          <t>Conector Macho RJ45</t>
        </is>
      </c>
      <c r="D313" s="668">
        <f>IFERROR(_xlfn.XLOOKUP($D$11,ELEC!$F$5:$AV$5,ELEC!F250:AV250,0,0,1),0)</f>
        <v/>
      </c>
      <c r="E313" s="487">
        <f>ROUNDUP(D313,0)</f>
        <v/>
      </c>
    </row>
    <row r="314">
      <c r="B314" s="476" t="inlineStr">
        <is>
          <t>M05-0465</t>
        </is>
      </c>
      <c r="C314" s="600" t="inlineStr">
        <is>
          <t>Conector Barril bimetal</t>
        </is>
      </c>
      <c r="D314" s="668">
        <f>IFERROR(_xlfn.XLOOKUP($D$11,ELEC!$F$5:$AV$5,ELEC!F251:AV251,0,0,1),0)</f>
        <v/>
      </c>
      <c r="E314" s="487">
        <f>ROUNDUP(D314,0)</f>
        <v/>
      </c>
    </row>
    <row r="315">
      <c r="B315" s="476" t="inlineStr">
        <is>
          <t>M06-0271</t>
        </is>
      </c>
      <c r="C315" s="600" t="inlineStr">
        <is>
          <t>Tape rojo</t>
        </is>
      </c>
      <c r="D315" s="668">
        <f>IFERROR(_xlfn.XLOOKUP($D$11,ELEC!$F$5:$AV$5,ELEC!F252:AV252,0,0,1),0)</f>
        <v/>
      </c>
      <c r="E315" s="487">
        <f>ROUNDUP(D315,0)</f>
        <v/>
      </c>
    </row>
    <row r="316">
      <c r="B316" s="476" t="inlineStr">
        <is>
          <t>M05-0017</t>
        </is>
      </c>
      <c r="C316" s="600" t="inlineStr">
        <is>
          <t>Tape blanco</t>
        </is>
      </c>
      <c r="D316" s="668">
        <f>IFERROR(_xlfn.XLOOKUP($D$11,ELEC!$F$5:$AV$5,ELEC!F253:AV253,0,0,1),0)</f>
        <v/>
      </c>
      <c r="E316" s="487">
        <f>ROUNDUP(D316,0)</f>
        <v/>
      </c>
    </row>
    <row r="317">
      <c r="B317" s="476" t="inlineStr">
        <is>
          <t>M05-0018</t>
        </is>
      </c>
      <c r="C317" s="600" t="inlineStr">
        <is>
          <t>Tape verde</t>
        </is>
      </c>
      <c r="D317" s="668">
        <f>IFERROR(_xlfn.XLOOKUP($D$11,ELEC!$F$5:$AV$5,ELEC!F254:AV254,0,0,1),0)</f>
        <v/>
      </c>
      <c r="E317" s="487">
        <f>ROUNDUP(D317,0)</f>
        <v/>
      </c>
    </row>
    <row r="319">
      <c r="C319" s="670" t="inlineStr">
        <is>
          <t>SUBCONTRATO</t>
        </is>
      </c>
      <c r="D319" s="671">
        <f>+E332</f>
        <v/>
      </c>
    </row>
    <row r="321">
      <c r="D321" s="10" t="n"/>
    </row>
    <row r="323">
      <c r="B323" s="562" t="n"/>
      <c r="C323" s="675" t="inlineStr">
        <is>
          <t>Modelo →</t>
        </is>
      </c>
      <c r="D323" s="676" t="inlineStr">
        <is>
          <t>Zante / Azotea</t>
        </is>
      </c>
      <c r="E323" s="677" t="inlineStr">
        <is>
          <t>Actividad</t>
        </is>
      </c>
      <c r="F323" s="678" t="inlineStr">
        <is>
          <t>Contrato</t>
        </is>
      </c>
    </row>
    <row r="324">
      <c r="B324" s="562" t="n"/>
      <c r="C324" s="679" t="n"/>
      <c r="D324" s="680" t="inlineStr">
        <is>
          <t>Insumo</t>
        </is>
      </c>
      <c r="E324" s="681" t="inlineStr">
        <is>
          <t>Cantidad</t>
        </is>
      </c>
      <c r="F324" s="682" t="inlineStr">
        <is>
          <t>Codigo</t>
        </is>
      </c>
    </row>
    <row r="325">
      <c r="B325" s="562" t="n"/>
      <c r="C325" s="683" t="n">
        <v>1</v>
      </c>
      <c r="D325" s="684" t="inlineStr">
        <is>
          <t>Tableros</t>
        </is>
      </c>
      <c r="E325" s="685" t="n">
        <v>32500</v>
      </c>
      <c r="F325" s="686" t="n">
        <v>0</v>
      </c>
    </row>
    <row r="326">
      <c r="B326" s="562" t="n"/>
      <c r="C326" s="683" t="n">
        <v>2</v>
      </c>
      <c r="D326" s="684" t="inlineStr">
        <is>
          <t>Base medidor</t>
        </is>
      </c>
      <c r="E326" s="685" t="n">
        <v>25000</v>
      </c>
      <c r="F326" s="686" t="n">
        <v>0</v>
      </c>
    </row>
    <row r="327">
      <c r="B327" s="562" t="n"/>
      <c r="C327" s="683" t="n">
        <v>3</v>
      </c>
      <c r="D327" s="684" t="inlineStr">
        <is>
          <t>Iluminacion</t>
        </is>
      </c>
      <c r="E327" s="685" t="n">
        <v>95000</v>
      </c>
      <c r="F327" s="686" t="n">
        <v>0</v>
      </c>
    </row>
    <row r="328">
      <c r="B328" s="562" t="n"/>
      <c r="C328" s="683" t="n">
        <v>4</v>
      </c>
      <c r="D328" s="684" t="inlineStr">
        <is>
          <t>Acometida</t>
        </is>
      </c>
      <c r="E328" s="685" t="n">
        <v>35000</v>
      </c>
      <c r="F328" s="686" t="n">
        <v>0</v>
      </c>
    </row>
    <row r="329">
      <c r="B329" s="562" t="n"/>
      <c r="C329" s="683" t="n">
        <v>5</v>
      </c>
      <c r="D329" s="684" t="inlineStr">
        <is>
          <t>Losa</t>
        </is>
      </c>
      <c r="E329" s="685" t="n">
        <v>176250</v>
      </c>
      <c r="F329" s="686" t="n">
        <v>0</v>
      </c>
    </row>
    <row r="330">
      <c r="B330" s="562" t="n"/>
      <c r="C330" s="683" t="n">
        <v>6</v>
      </c>
      <c r="D330" s="684" t="inlineStr">
        <is>
          <t>Muros</t>
        </is>
      </c>
      <c r="E330" s="685" t="n">
        <v>71250</v>
      </c>
      <c r="F330" s="686" t="n">
        <v>0</v>
      </c>
    </row>
    <row r="331">
      <c r="B331" s="417" t="n"/>
      <c r="C331" s="683" t="n">
        <v>7</v>
      </c>
      <c r="D331" s="684" t="inlineStr">
        <is>
          <t>Plaqueria</t>
        </is>
      </c>
      <c r="E331" s="685" t="n">
        <v>123750</v>
      </c>
      <c r="F331" s="686" t="n">
        <v>0</v>
      </c>
    </row>
    <row r="332">
      <c r="B332" s="417" t="n"/>
      <c r="C332" s="683" t="n">
        <v>8</v>
      </c>
      <c r="D332" s="684" t="inlineStr">
        <is>
          <t>Entrega</t>
        </is>
      </c>
      <c r="E332" s="685" t="n">
        <v>156250</v>
      </c>
      <c r="F332" s="686" t="n">
        <v>0</v>
      </c>
    </row>
    <row r="333">
      <c r="B333" s="417" t="n"/>
      <c r="C333" s="687" t="n">
        <v>9</v>
      </c>
      <c r="D333" s="688" t="inlineStr">
        <is>
          <t>Cableado</t>
        </is>
      </c>
      <c r="E333" s="689" t="n">
        <v>235000</v>
      </c>
      <c r="F333" s="690" t="n">
        <v>0</v>
      </c>
    </row>
    <row r="334">
      <c r="B334" s="417" t="n"/>
      <c r="C334" s="691" t="n">
        <v>10</v>
      </c>
      <c r="D334" s="692" t="inlineStr">
        <is>
          <t>Total</t>
        </is>
      </c>
      <c r="E334" s="693">
        <f>SUM(E325:E333)</f>
        <v/>
      </c>
      <c r="F334" s="694" t="n">
        <v>0</v>
      </c>
    </row>
    <row r="336">
      <c r="C336" s="695" t="inlineStr">
        <is>
          <t>SUBCONTRATO CALENTADOR DE AGUA</t>
        </is>
      </c>
      <c r="D336" s="671" t="n">
        <v>207468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9"/>
  <sheetViews>
    <sheetView workbookViewId="0">
      <selection activeCell="A1" sqref="A1"/>
    </sheetView>
  </sheetViews>
  <sheetFormatPr baseColWidth="8" defaultRowHeight="15"/>
  <sheetData>
    <row r="1">
      <c r="A1" s="696" t="n"/>
      <c r="B1" s="697" t="inlineStr">
        <is>
          <t xml:space="preserve">CODIGO </t>
        </is>
      </c>
      <c r="C1" s="698" t="inlineStr">
        <is>
          <t>COD VARIANTE</t>
        </is>
      </c>
      <c r="D1" s="698" t="inlineStr">
        <is>
          <t>VARIANTE</t>
        </is>
      </c>
      <c r="E1" s="697" t="inlineStr">
        <is>
          <t xml:space="preserve">DESCRIPCION </t>
        </is>
      </c>
      <c r="F1" s="697" t="inlineStr">
        <is>
          <t>UNIDAD</t>
        </is>
      </c>
      <c r="G1" s="699" t="inlineStr">
        <is>
          <t xml:space="preserve">PRECIO </t>
        </is>
      </c>
      <c r="H1" s="697" t="inlineStr">
        <is>
          <t xml:space="preserve">PRECIO CON IVA </t>
        </is>
      </c>
      <c r="I1" s="697" t="inlineStr">
        <is>
          <t>ACTUALIZACION DE COSTOS MAY-2025</t>
        </is>
      </c>
      <c r="J1" s="700" t="inlineStr">
        <is>
          <t>TIPO DE CAMBIO</t>
        </is>
      </c>
      <c r="K1" s="701" t="n">
        <v>530</v>
      </c>
      <c r="L1" s="702" t="inlineStr">
        <is>
          <t>✓✓</t>
        </is>
      </c>
    </row>
    <row r="2">
      <c r="A2" s="703" t="inlineStr">
        <is>
          <t>No se encuentra en la lista de productos</t>
        </is>
      </c>
      <c r="B2" s="704" t="inlineStr">
        <is>
          <t>ACA03-0001</t>
        </is>
      </c>
      <c r="C2" s="705" t="n"/>
      <c r="D2" s="706" t="n"/>
      <c r="E2" s="707" t="inlineStr">
        <is>
          <t>FLETE AGREGADOS</t>
        </is>
      </c>
      <c r="F2" s="708" t="inlineStr">
        <is>
          <t>UND</t>
        </is>
      </c>
      <c r="G2" s="709" t="n">
        <v>5500</v>
      </c>
      <c r="H2" s="710">
        <f>+G2*1.13</f>
        <v/>
      </c>
      <c r="I2" s="702" t="inlineStr">
        <is>
          <t>✓✓</t>
        </is>
      </c>
      <c r="J2" s="711" t="inlineStr">
        <is>
          <t xml:space="preserve">IVA </t>
        </is>
      </c>
      <c r="K2" s="711" t="n">
        <v>1.13</v>
      </c>
      <c r="L2" t="inlineStr">
        <is>
          <t xml:space="preserve">GENERAL </t>
        </is>
      </c>
    </row>
    <row r="3">
      <c r="A3" s="712" t="inlineStr">
        <is>
          <t>No se encuentra en la lista de productos</t>
        </is>
      </c>
      <c r="B3" s="36" t="inlineStr">
        <is>
          <t>ACA03-0001</t>
        </is>
      </c>
      <c r="C3" s="713" t="n"/>
      <c r="D3" s="714" t="n"/>
      <c r="E3" s="715" t="inlineStr">
        <is>
          <t>FLETE AGREGADOS</t>
        </is>
      </c>
      <c r="F3" s="716" t="inlineStr">
        <is>
          <t>UND</t>
        </is>
      </c>
      <c r="G3" s="717" t="n">
        <v>5500</v>
      </c>
      <c r="H3" s="718">
        <f>+G3*1.13</f>
        <v/>
      </c>
      <c r="I3" s="702" t="inlineStr">
        <is>
          <t>✓✓</t>
        </is>
      </c>
      <c r="J3" s="719" t="inlineStr">
        <is>
          <t xml:space="preserve">IVA </t>
        </is>
      </c>
      <c r="K3" s="719" t="n">
        <v>1.1</v>
      </c>
      <c r="L3" s="720" t="inlineStr">
        <is>
          <t xml:space="preserve">MADERA </t>
        </is>
      </c>
    </row>
    <row r="4">
      <c r="A4" s="712" t="inlineStr">
        <is>
          <t>No se encuentra en la lista de productos</t>
        </is>
      </c>
      <c r="B4" s="36" t="inlineStr">
        <is>
          <t>ACA15-0001</t>
        </is>
      </c>
      <c r="C4" s="713" t="n"/>
      <c r="D4" s="714" t="n"/>
      <c r="E4" s="721" t="inlineStr">
        <is>
          <t>FLETE EQUIPO PESADO</t>
        </is>
      </c>
      <c r="F4" s="716" t="inlineStr">
        <is>
          <t>UND</t>
        </is>
      </c>
      <c r="G4" s="717" t="n">
        <v>58744.4</v>
      </c>
      <c r="H4" s="718">
        <f>+G4*1.13</f>
        <v/>
      </c>
      <c r="I4" s="702" t="inlineStr">
        <is>
          <t>✓✓</t>
        </is>
      </c>
      <c r="J4" s="719" t="inlineStr">
        <is>
          <t xml:space="preserve">IVA </t>
        </is>
      </c>
      <c r="K4" s="719" t="n">
        <v>1</v>
      </c>
      <c r="L4" s="720" t="inlineStr">
        <is>
          <t xml:space="preserve">SIN IVA </t>
        </is>
      </c>
    </row>
    <row r="5">
      <c r="A5" s="722" t="n"/>
      <c r="B5" s="723" t="inlineStr">
        <is>
          <t>BAJANTE</t>
        </is>
      </c>
      <c r="C5" s="713" t="n"/>
      <c r="D5" s="714" t="n"/>
      <c r="E5" s="724" t="inlineStr">
        <is>
          <t>BAJANTE DE HOJALATERIA 6M</t>
        </is>
      </c>
      <c r="F5" s="725" t="inlineStr">
        <is>
          <t>UND</t>
        </is>
      </c>
      <c r="G5" s="726" t="n">
        <v>12212.39</v>
      </c>
      <c r="H5" s="727">
        <f>+G5*1.13</f>
        <v/>
      </c>
      <c r="I5" s="702" t="inlineStr">
        <is>
          <t>✓✓</t>
        </is>
      </c>
    </row>
    <row r="6">
      <c r="A6" s="722" t="n"/>
      <c r="B6" s="728" t="inlineStr">
        <is>
          <t xml:space="preserve">BOTAGUA </t>
        </is>
      </c>
      <c r="C6" s="713" t="n"/>
      <c r="D6" s="714" t="n"/>
      <c r="E6" s="729" t="inlineStr">
        <is>
          <t xml:space="preserve">BOTAGUA 10 CM X 10 CM X 1,83 M </t>
        </is>
      </c>
      <c r="F6" s="730" t="inlineStr">
        <is>
          <t xml:space="preserve">UND </t>
        </is>
      </c>
      <c r="G6" s="717" t="inlineStr">
        <is>
          <t>error</t>
        </is>
      </c>
      <c r="H6" s="718" t="n">
        <v>6844</v>
      </c>
      <c r="I6" s="702" t="inlineStr">
        <is>
          <t>✓✓</t>
        </is>
      </c>
    </row>
    <row r="7">
      <c r="A7" s="722" t="n"/>
      <c r="B7" s="728" t="inlineStr">
        <is>
          <t xml:space="preserve">CANOA </t>
        </is>
      </c>
      <c r="C7" s="713" t="n"/>
      <c r="D7" s="714" t="n"/>
      <c r="E7" s="729" t="inlineStr">
        <is>
          <t xml:space="preserve">CANOA HG 10 CM </t>
        </is>
      </c>
      <c r="F7" s="730" t="inlineStr">
        <is>
          <t xml:space="preserve">YARDA </t>
        </is>
      </c>
      <c r="G7" s="717" t="inlineStr">
        <is>
          <t>error</t>
        </is>
      </c>
      <c r="H7" s="718" t="n">
        <v>11021.16</v>
      </c>
      <c r="I7" s="702" t="inlineStr">
        <is>
          <t>✓✓</t>
        </is>
      </c>
    </row>
    <row r="8">
      <c r="A8" s="712" t="inlineStr">
        <is>
          <t>No se encuentra en la lista de productos</t>
        </is>
      </c>
      <c r="B8" s="36" t="inlineStr">
        <is>
          <t>EQU15-0024</t>
        </is>
      </c>
      <c r="C8" s="713" t="n"/>
      <c r="D8" s="714" t="n"/>
      <c r="E8" s="721" t="inlineStr">
        <is>
          <t>SERVICIO TRANSPORTE</t>
        </is>
      </c>
      <c r="F8" s="716" t="inlineStr">
        <is>
          <t>UND</t>
        </is>
      </c>
      <c r="G8" s="717" t="n">
        <v>64000</v>
      </c>
      <c r="H8" s="718">
        <f>+G8*1.13</f>
        <v/>
      </c>
      <c r="I8" s="702" t="n"/>
    </row>
    <row r="9">
      <c r="A9" s="712" t="inlineStr">
        <is>
          <t>No se encuentra en la lista de productos</t>
        </is>
      </c>
      <c r="B9" s="36" t="inlineStr">
        <is>
          <t>EQU15-0024</t>
        </is>
      </c>
      <c r="C9" s="713" t="n"/>
      <c r="D9" s="714" t="n"/>
      <c r="E9" s="715" t="inlineStr">
        <is>
          <t>SERVICIO TRANSPORTE</t>
        </is>
      </c>
      <c r="F9" s="716" t="inlineStr">
        <is>
          <t>UND</t>
        </is>
      </c>
      <c r="G9" s="717" t="n">
        <v>64000</v>
      </c>
      <c r="H9" s="718">
        <f>+G9*1.13</f>
        <v/>
      </c>
      <c r="I9" s="46" t="n"/>
    </row>
    <row r="10">
      <c r="A10" s="722" t="n"/>
      <c r="B10" s="36" t="inlineStr">
        <is>
          <t>EQU15-0024</t>
        </is>
      </c>
      <c r="C10" s="713" t="n"/>
      <c r="D10" s="714" t="n"/>
      <c r="E10" s="715" t="inlineStr">
        <is>
          <t>SERVICIO TRANSPORTE</t>
        </is>
      </c>
      <c r="F10" s="716" t="inlineStr">
        <is>
          <t>UND</t>
        </is>
      </c>
      <c r="G10" s="717" t="n">
        <v>64000</v>
      </c>
      <c r="H10" s="718">
        <f>+G10*1.13</f>
        <v/>
      </c>
      <c r="I10" s="702" t="inlineStr">
        <is>
          <t>✓✓</t>
        </is>
      </c>
    </row>
    <row r="11">
      <c r="A11" s="712" t="inlineStr">
        <is>
          <t>No se encuentra en la lista de productos</t>
        </is>
      </c>
      <c r="B11" s="728" t="inlineStr">
        <is>
          <t xml:space="preserve">GANCHO CANOA </t>
        </is>
      </c>
      <c r="C11" s="713" t="n"/>
      <c r="D11" s="714" t="n"/>
      <c r="E11" s="729" t="inlineStr">
        <is>
          <t xml:space="preserve">GANCHO CANOA </t>
        </is>
      </c>
      <c r="F11" s="730" t="inlineStr">
        <is>
          <t xml:space="preserve">UND </t>
        </is>
      </c>
      <c r="G11" s="717" t="inlineStr">
        <is>
          <t>error</t>
        </is>
      </c>
      <c r="H11" s="718" t="n">
        <v>500</v>
      </c>
      <c r="I11" s="702" t="inlineStr">
        <is>
          <t>✓✓</t>
        </is>
      </c>
    </row>
    <row r="12">
      <c r="A12" s="712" t="inlineStr">
        <is>
          <t>No se encuentra en la lista de productos</t>
        </is>
      </c>
      <c r="B12" s="36" t="inlineStr">
        <is>
          <t>M01-0001</t>
        </is>
      </c>
      <c r="C12" s="713" t="n"/>
      <c r="D12" s="714" t="n"/>
      <c r="E12" s="721" t="inlineStr">
        <is>
          <t>ALAMBRE NEGRO #16 (1.68MM)</t>
        </is>
      </c>
      <c r="F12" s="716" t="inlineStr">
        <is>
          <t>KG</t>
        </is>
      </c>
      <c r="G12" s="717" t="n">
        <v>519.34</v>
      </c>
      <c r="H12" s="718">
        <f>+G12*1.13</f>
        <v/>
      </c>
      <c r="I12" s="702" t="inlineStr">
        <is>
          <t>✓✓</t>
        </is>
      </c>
    </row>
    <row r="13">
      <c r="A13" s="712" t="inlineStr">
        <is>
          <t>No se encuentra en la lista de productos</t>
        </is>
      </c>
      <c r="B13" s="36" t="inlineStr">
        <is>
          <t>M01-0006</t>
        </is>
      </c>
      <c r="C13" s="713" t="n"/>
      <c r="D13" s="714" t="n"/>
      <c r="E13" s="721" t="inlineStr">
        <is>
          <t>ANGULAR HN 1 1/4 X 1.8</t>
        </is>
      </c>
      <c r="F13" s="716" t="inlineStr">
        <is>
          <t>UND</t>
        </is>
      </c>
      <c r="G13" s="717" t="n">
        <v>7422.828</v>
      </c>
      <c r="H13" s="718">
        <f>+G13*1.13</f>
        <v/>
      </c>
      <c r="I13" s="702" t="inlineStr">
        <is>
          <t>✓✓</t>
        </is>
      </c>
    </row>
    <row r="14">
      <c r="A14" s="722" t="n"/>
      <c r="B14" s="36" t="inlineStr">
        <is>
          <t>M01-0007</t>
        </is>
      </c>
      <c r="C14" s="713" t="n"/>
      <c r="D14" s="714" t="n"/>
      <c r="E14" s="721" t="inlineStr">
        <is>
          <t>PLATINA HN 3X1/4</t>
        </is>
      </c>
      <c r="F14" s="716" t="inlineStr">
        <is>
          <t>UND</t>
        </is>
      </c>
      <c r="G14" s="717" t="n">
        <v>13704.21</v>
      </c>
      <c r="H14" s="718">
        <f>+G14*1.13</f>
        <v/>
      </c>
      <c r="I14" s="702" t="inlineStr">
        <is>
          <t>✓✓</t>
        </is>
      </c>
    </row>
    <row r="15">
      <c r="A15" s="731" t="inlineStr">
        <is>
          <t>EQU20-0005 GAS JUMBO PARA SOPLETE TRUPPER</t>
        </is>
      </c>
      <c r="B15" s="36" t="inlineStr">
        <is>
          <t>M01-0007</t>
        </is>
      </c>
      <c r="C15" s="713" t="n"/>
      <c r="D15" s="714" t="n"/>
      <c r="E15" s="721" t="inlineStr">
        <is>
          <t>PLATINA HN 3X1/4</t>
        </is>
      </c>
      <c r="F15" s="716" t="inlineStr">
        <is>
          <t>UND</t>
        </is>
      </c>
      <c r="G15" s="717" t="n">
        <v>13704.21</v>
      </c>
      <c r="H15" s="718">
        <f>+G15*1.13</f>
        <v/>
      </c>
      <c r="I15" s="324" t="n"/>
    </row>
    <row r="16">
      <c r="A16" s="722" t="n"/>
      <c r="B16" s="36" t="inlineStr">
        <is>
          <t>M01-0008</t>
        </is>
      </c>
      <c r="C16" s="713" t="n"/>
      <c r="D16" s="714" t="n"/>
      <c r="E16" s="721" t="inlineStr">
        <is>
          <t>PLATINA HN 3/4X1/8</t>
        </is>
      </c>
      <c r="F16" s="716" t="inlineStr">
        <is>
          <t>UND</t>
        </is>
      </c>
      <c r="G16" s="717" t="n">
        <v>1546.78</v>
      </c>
      <c r="H16" s="718">
        <f>+G16*1.13</f>
        <v/>
      </c>
      <c r="I16" s="702" t="inlineStr">
        <is>
          <t>✓✓</t>
        </is>
      </c>
    </row>
    <row r="17">
      <c r="A17" s="722" t="n"/>
      <c r="B17" s="36" t="inlineStr">
        <is>
          <t>M01-0009</t>
        </is>
      </c>
      <c r="C17" s="713" t="n"/>
      <c r="D17" s="714" t="n"/>
      <c r="E17" s="721" t="inlineStr">
        <is>
          <t>PLATINA HN 4X1/4</t>
        </is>
      </c>
      <c r="F17" s="716" t="inlineStr">
        <is>
          <t>UND</t>
        </is>
      </c>
      <c r="G17" s="717" t="n">
        <v>14658.52</v>
      </c>
      <c r="H17" s="718">
        <f>+G17*1.13</f>
        <v/>
      </c>
      <c r="I17" s="702" t="inlineStr">
        <is>
          <t>✓✓</t>
        </is>
      </c>
    </row>
    <row r="18">
      <c r="A18" s="722" t="n"/>
      <c r="B18" s="36" t="inlineStr">
        <is>
          <t>M01-0010</t>
        </is>
      </c>
      <c r="C18" s="713" t="n"/>
      <c r="D18" s="714" t="n"/>
      <c r="E18" s="721" t="inlineStr">
        <is>
          <t>ANGULAR HN 2"X1/4</t>
        </is>
      </c>
      <c r="F18" s="716" t="inlineStr">
        <is>
          <t>UND</t>
        </is>
      </c>
      <c r="G18" s="717" t="n">
        <v>14290.66</v>
      </c>
      <c r="H18" s="718">
        <f>+G18*1.13</f>
        <v/>
      </c>
      <c r="I18" s="702" t="inlineStr">
        <is>
          <t>✓✓</t>
        </is>
      </c>
    </row>
    <row r="19">
      <c r="A19" s="722" t="n"/>
      <c r="B19" s="36" t="inlineStr">
        <is>
          <t>M01-0011</t>
        </is>
      </c>
      <c r="C19" s="713" t="n"/>
      <c r="D19" s="714" t="n"/>
      <c r="E19" s="721" t="inlineStr">
        <is>
          <t>PLATINA ALUMINIO 2X3/8</t>
        </is>
      </c>
      <c r="F19" s="716" t="inlineStr">
        <is>
          <t>UND</t>
        </is>
      </c>
      <c r="G19" s="717" t="n">
        <v>56702.74</v>
      </c>
      <c r="H19" s="718">
        <f>+G19*1.13</f>
        <v/>
      </c>
      <c r="I19" s="702" t="inlineStr">
        <is>
          <t>✓✓</t>
        </is>
      </c>
    </row>
    <row r="20">
      <c r="A20" s="712" t="inlineStr">
        <is>
          <t>No se encuentra en la lista de productos</t>
        </is>
      </c>
      <c r="B20" s="36" t="inlineStr">
        <is>
          <t>M01-0013</t>
        </is>
      </c>
      <c r="C20" s="713" t="n"/>
      <c r="D20" s="714" t="n"/>
      <c r="E20" s="721" t="inlineStr">
        <is>
          <t>PLATINA HN 1/8"X 1 1/2</t>
        </is>
      </c>
      <c r="F20" s="716" t="inlineStr">
        <is>
          <t>UND</t>
        </is>
      </c>
      <c r="G20" s="717" t="n">
        <v>3362.83</v>
      </c>
      <c r="H20" s="718">
        <f>+G20*1.13</f>
        <v/>
      </c>
      <c r="I20" s="46" t="n"/>
    </row>
    <row r="21">
      <c r="A21" s="722" t="n"/>
      <c r="B21" s="36" t="inlineStr">
        <is>
          <t>M01-0018</t>
        </is>
      </c>
      <c r="C21" s="713" t="n"/>
      <c r="D21" s="714" t="n"/>
      <c r="E21" s="721" t="inlineStr">
        <is>
          <t>ANGULAR HN 1"X1/8</t>
        </is>
      </c>
      <c r="F21" s="716" t="inlineStr">
        <is>
          <t>UND</t>
        </is>
      </c>
      <c r="G21" s="717" t="n">
        <v>3611.57</v>
      </c>
      <c r="H21" s="718">
        <f>+G21*1.13</f>
        <v/>
      </c>
      <c r="I21" s="702" t="inlineStr">
        <is>
          <t>✓✓</t>
        </is>
      </c>
    </row>
    <row r="22">
      <c r="A22" s="722" t="n"/>
      <c r="B22" s="36" t="inlineStr">
        <is>
          <t>M01-0029</t>
        </is>
      </c>
      <c r="C22" s="713" t="n"/>
      <c r="D22" s="714" t="n"/>
      <c r="E22" s="721" t="inlineStr">
        <is>
          <t>ANGULAR ALUMINIO 3/4"X1/8"</t>
        </is>
      </c>
      <c r="F22" s="716" t="inlineStr">
        <is>
          <t>UND</t>
        </is>
      </c>
      <c r="G22" s="717" t="n">
        <v>22600</v>
      </c>
      <c r="H22" s="718">
        <f>+G22*1.13</f>
        <v/>
      </c>
      <c r="I22" s="702" t="inlineStr">
        <is>
          <t>✓✓</t>
        </is>
      </c>
    </row>
    <row r="23">
      <c r="A23" s="722" t="n"/>
      <c r="B23" s="36" t="inlineStr">
        <is>
          <t>M01-0037</t>
        </is>
      </c>
      <c r="C23" s="713" t="n"/>
      <c r="D23" s="714" t="n"/>
      <c r="E23" s="721" t="inlineStr">
        <is>
          <t>LAMINA DE JORDOMEX #1 ACS 4X8X3MM</t>
        </is>
      </c>
      <c r="F23" s="716" t="inlineStr">
        <is>
          <t>UND</t>
        </is>
      </c>
      <c r="G23" s="717" t="n">
        <v>34633.4</v>
      </c>
      <c r="H23" s="718">
        <f>+G23*1.13</f>
        <v/>
      </c>
      <c r="I23" s="702" t="inlineStr">
        <is>
          <t>✓✓</t>
        </is>
      </c>
    </row>
    <row r="24">
      <c r="A24" s="722" t="n"/>
      <c r="B24" s="36" t="inlineStr">
        <is>
          <t>M01-0038</t>
        </is>
      </c>
      <c r="C24" s="713" t="n"/>
      <c r="D24" s="714" t="n"/>
      <c r="E24" s="721" t="inlineStr">
        <is>
          <t>LAMINA DE JORDOMEX #3 (1/2) ROMBO 13X32  3MM ESPESOR</t>
        </is>
      </c>
      <c r="F24" s="716" t="inlineStr">
        <is>
          <t>UND</t>
        </is>
      </c>
      <c r="G24" s="717" t="n">
        <v>13375</v>
      </c>
      <c r="H24" s="718">
        <f>+G24*1.13</f>
        <v/>
      </c>
      <c r="I24" s="702" t="inlineStr">
        <is>
          <t>✓✓</t>
        </is>
      </c>
    </row>
    <row r="25">
      <c r="A25" s="722" t="n"/>
      <c r="B25" s="36" t="inlineStr">
        <is>
          <t>M01-0042</t>
        </is>
      </c>
      <c r="C25" s="713" t="n"/>
      <c r="D25" s="714" t="n"/>
      <c r="E25" s="721" t="inlineStr">
        <is>
          <t>LAMINA 1.22X2.44  HN 1/8</t>
        </is>
      </c>
      <c r="F25" s="716" t="inlineStr">
        <is>
          <t>UND</t>
        </is>
      </c>
      <c r="G25" s="717" t="n">
        <v>32103.67</v>
      </c>
      <c r="H25" s="718">
        <f>+G25*1.13</f>
        <v/>
      </c>
      <c r="I25" s="702" t="inlineStr">
        <is>
          <t>✓✓</t>
        </is>
      </c>
    </row>
    <row r="26">
      <c r="A26" s="722" t="n"/>
      <c r="B26" s="36" t="inlineStr">
        <is>
          <t>M01-0048</t>
        </is>
      </c>
      <c r="C26" s="713" t="n"/>
      <c r="D26" s="714" t="n"/>
      <c r="E26" s="721" t="inlineStr">
        <is>
          <t>LAMINA DIAMANTADA 1/8 HN</t>
        </is>
      </c>
      <c r="F26" s="716" t="inlineStr">
        <is>
          <t>UND</t>
        </is>
      </c>
      <c r="G26" s="717" t="n">
        <v>27299.7</v>
      </c>
      <c r="H26" s="718">
        <f>+G26*1.13</f>
        <v/>
      </c>
      <c r="I26" s="702" t="inlineStr">
        <is>
          <t>✓✓</t>
        </is>
      </c>
    </row>
    <row r="27">
      <c r="A27" s="731" t="inlineStr">
        <is>
          <t>MAT0044 ADAPTADOR MACHO CPVC 1/2"</t>
        </is>
      </c>
      <c r="B27" s="36" t="inlineStr">
        <is>
          <t>M01-0049</t>
        </is>
      </c>
      <c r="C27" s="713" t="n"/>
      <c r="D27" s="714" t="n"/>
      <c r="E27" s="721" t="inlineStr">
        <is>
          <t>LAMINA DIAMANTADA 1/4 HN</t>
        </is>
      </c>
      <c r="F27" s="716" t="inlineStr">
        <is>
          <t>UND</t>
        </is>
      </c>
      <c r="G27" s="717" t="n">
        <v>98765.8</v>
      </c>
      <c r="H27" s="718">
        <f>+G27*1.13</f>
        <v/>
      </c>
      <c r="I27" s="46" t="n"/>
    </row>
    <row r="28">
      <c r="A28" s="731" t="inlineStr">
        <is>
          <t>MAT0049 ADAPTADOR MACHO PVC 1/2"</t>
        </is>
      </c>
      <c r="B28" s="36" t="inlineStr">
        <is>
          <t>M01-0055</t>
        </is>
      </c>
      <c r="C28" s="713" t="n"/>
      <c r="D28" s="714" t="n"/>
      <c r="E28" s="721" t="inlineStr">
        <is>
          <t>SOLDADURA 3/32 (6013)</t>
        </is>
      </c>
      <c r="F28" s="716" t="inlineStr">
        <is>
          <t>KG</t>
        </is>
      </c>
      <c r="G28" s="717" t="n">
        <v>3185.87</v>
      </c>
      <c r="H28" s="718">
        <f>+G28*1.13</f>
        <v/>
      </c>
      <c r="I28" s="46" t="n"/>
    </row>
    <row r="29">
      <c r="A29" s="732" t="n"/>
      <c r="B29" s="36" t="inlineStr">
        <is>
          <t>M01-0063</t>
        </is>
      </c>
      <c r="C29" s="713" t="n"/>
      <c r="D29" s="714" t="n"/>
      <c r="E29" s="721" t="inlineStr">
        <is>
          <t>SOLDADURA  ALAMBRE MIG ECA 08 EN 5 KG</t>
        </is>
      </c>
      <c r="F29" s="716" t="inlineStr">
        <is>
          <t>UND</t>
        </is>
      </c>
      <c r="G29" s="717" t="n">
        <v>14296.22</v>
      </c>
      <c r="H29" s="718">
        <f>+G29*1.13</f>
        <v/>
      </c>
      <c r="I29" s="702" t="inlineStr">
        <is>
          <t>✓✓</t>
        </is>
      </c>
    </row>
    <row r="30">
      <c r="A30" s="722" t="n"/>
      <c r="B30" s="36" t="inlineStr">
        <is>
          <t>M01-0066</t>
        </is>
      </c>
      <c r="C30" s="713" t="n"/>
      <c r="D30" s="714" t="n"/>
      <c r="E30" s="721" t="inlineStr">
        <is>
          <t>TUBO 1X1X1.8MM H.N.</t>
        </is>
      </c>
      <c r="F30" s="716" t="inlineStr">
        <is>
          <t>UND</t>
        </is>
      </c>
      <c r="G30" s="717" t="n">
        <v>4879.2</v>
      </c>
      <c r="H30" s="718">
        <f>+G30*1.13</f>
        <v/>
      </c>
      <c r="I30" s="702" t="inlineStr">
        <is>
          <t>✓✓</t>
        </is>
      </c>
    </row>
    <row r="31">
      <c r="A31" s="722" t="n"/>
      <c r="B31" s="36" t="inlineStr">
        <is>
          <t>M01-0067</t>
        </is>
      </c>
      <c r="C31" s="713" t="n"/>
      <c r="D31" s="714" t="n"/>
      <c r="E31" s="721" t="inlineStr">
        <is>
          <t>TUBO 1X2X1.5MM HN</t>
        </is>
      </c>
      <c r="F31" s="716" t="inlineStr">
        <is>
          <t>UND</t>
        </is>
      </c>
      <c r="G31" s="717" t="n">
        <v>12600</v>
      </c>
      <c r="H31" s="718">
        <f>+G31*1.13</f>
        <v/>
      </c>
      <c r="I31" s="702" t="inlineStr">
        <is>
          <t>✓✓</t>
        </is>
      </c>
    </row>
    <row r="32">
      <c r="A32" s="722" t="n"/>
      <c r="B32" s="36" t="inlineStr">
        <is>
          <t>M01-0069</t>
        </is>
      </c>
      <c r="C32" s="713" t="n"/>
      <c r="D32" s="714" t="n"/>
      <c r="E32" s="721" t="inlineStr">
        <is>
          <t>TUBO 2X2X1.8MM H.N</t>
        </is>
      </c>
      <c r="F32" s="716" t="inlineStr">
        <is>
          <t>UND</t>
        </is>
      </c>
      <c r="G32" s="717" t="n">
        <v>10827</v>
      </c>
      <c r="H32" s="718">
        <f>+G32*1.13</f>
        <v/>
      </c>
      <c r="I32" s="702" t="inlineStr">
        <is>
          <t>✓✓</t>
        </is>
      </c>
    </row>
    <row r="33">
      <c r="A33" s="722" t="n"/>
      <c r="B33" s="36" t="inlineStr">
        <is>
          <t>M01-0070</t>
        </is>
      </c>
      <c r="C33" s="713" t="n"/>
      <c r="D33" s="714" t="n"/>
      <c r="E33" s="721" t="inlineStr">
        <is>
          <t>TUBO 2X4X1.8MM HN</t>
        </is>
      </c>
      <c r="F33" s="716" t="inlineStr">
        <is>
          <t>UND</t>
        </is>
      </c>
      <c r="G33" s="717" t="n">
        <v>18873</v>
      </c>
      <c r="H33" s="718">
        <f>+G33*1.13</f>
        <v/>
      </c>
      <c r="I33" s="702" t="inlineStr">
        <is>
          <t>✓✓</t>
        </is>
      </c>
    </row>
    <row r="34">
      <c r="A34" s="18" t="n"/>
      <c r="B34" s="36" t="inlineStr">
        <is>
          <t>M01-0071</t>
        </is>
      </c>
      <c r="C34" s="713" t="n"/>
      <c r="D34" s="714" t="n"/>
      <c r="E34" s="721" t="inlineStr">
        <is>
          <t>TUBO 2X6X1.8MM H.N.</t>
        </is>
      </c>
      <c r="F34" s="716" t="inlineStr">
        <is>
          <t>UND</t>
        </is>
      </c>
      <c r="G34" s="717" t="n">
        <v>16898.72</v>
      </c>
      <c r="H34" s="718">
        <f>+G34*1.13</f>
        <v/>
      </c>
      <c r="I34" s="702" t="inlineStr">
        <is>
          <t>✓✓</t>
        </is>
      </c>
    </row>
    <row r="35">
      <c r="A35" s="722" t="n"/>
      <c r="B35" s="36" t="inlineStr">
        <is>
          <t>M01-0073</t>
        </is>
      </c>
      <c r="C35" s="713" t="n"/>
      <c r="D35" s="714" t="n"/>
      <c r="E35" s="721" t="inlineStr">
        <is>
          <t>TUBO 3X3X1.8MM H.N.</t>
        </is>
      </c>
      <c r="F35" s="716" t="inlineStr">
        <is>
          <t>UND</t>
        </is>
      </c>
      <c r="G35" s="717" t="n">
        <v>12188</v>
      </c>
      <c r="H35" s="718">
        <f>+G35*1.13</f>
        <v/>
      </c>
      <c r="I35" s="702" t="inlineStr">
        <is>
          <t>✓✓</t>
        </is>
      </c>
    </row>
    <row r="36">
      <c r="A36" s="722" t="n"/>
      <c r="B36" s="36" t="inlineStr">
        <is>
          <t>M01-0074</t>
        </is>
      </c>
      <c r="C36" s="713" t="n"/>
      <c r="D36" s="714" t="n"/>
      <c r="E36" s="721" t="inlineStr">
        <is>
          <t>TUBO 4X6X1.80MM HN</t>
        </is>
      </c>
      <c r="F36" s="716" t="inlineStr">
        <is>
          <t>UND</t>
        </is>
      </c>
      <c r="G36" s="717" t="n">
        <v>28236</v>
      </c>
      <c r="H36" s="718">
        <f>+G36*1.13</f>
        <v/>
      </c>
      <c r="I36" s="702" t="inlineStr">
        <is>
          <t>✓✓</t>
        </is>
      </c>
    </row>
    <row r="37">
      <c r="A37" s="722" t="n"/>
      <c r="B37" s="36" t="inlineStr">
        <is>
          <t>M01-0075</t>
        </is>
      </c>
      <c r="C37" s="713" t="n"/>
      <c r="D37" s="714" t="n"/>
      <c r="E37" s="721" t="inlineStr">
        <is>
          <t>TUBO 1-1/2X1-1/2X1.8MM H.N.</t>
        </is>
      </c>
      <c r="F37" s="716" t="inlineStr">
        <is>
          <t>UND</t>
        </is>
      </c>
      <c r="G37" s="717" t="n">
        <v>6646.41</v>
      </c>
      <c r="H37" s="718">
        <f>+G37*1.13</f>
        <v/>
      </c>
      <c r="I37" s="702" t="inlineStr">
        <is>
          <t>✓✓</t>
        </is>
      </c>
    </row>
    <row r="38">
      <c r="A38" s="18" t="n"/>
      <c r="B38" s="723" t="inlineStr">
        <is>
          <t>M01-0079</t>
        </is>
      </c>
      <c r="C38" s="713" t="n"/>
      <c r="D38" s="714" t="n"/>
      <c r="E38" s="724" t="inlineStr">
        <is>
          <t>TUBO 1X1X1.5MM H.N</t>
        </is>
      </c>
      <c r="F38" s="725" t="inlineStr">
        <is>
          <t>UND</t>
        </is>
      </c>
      <c r="G38" s="726" t="n">
        <v>3946.9</v>
      </c>
      <c r="H38" s="727">
        <f>+G38*1.13</f>
        <v/>
      </c>
      <c r="I38" s="702" t="inlineStr">
        <is>
          <t>✓✓</t>
        </is>
      </c>
    </row>
    <row r="39">
      <c r="A39" s="722" t="n"/>
      <c r="B39" s="36" t="inlineStr">
        <is>
          <t>M01-0096</t>
        </is>
      </c>
      <c r="C39" s="713" t="n"/>
      <c r="D39" s="714" t="n"/>
      <c r="E39" s="721" t="inlineStr">
        <is>
          <t>TUBO 3X3X1.8MM H.G.</t>
        </is>
      </c>
      <c r="F39" s="716" t="inlineStr">
        <is>
          <t>UND</t>
        </is>
      </c>
      <c r="G39" s="717" t="n">
        <v>16219</v>
      </c>
      <c r="H39" s="718">
        <f>+G39*1.13</f>
        <v/>
      </c>
      <c r="I39" s="702" t="inlineStr">
        <is>
          <t>✓✓</t>
        </is>
      </c>
    </row>
    <row r="40">
      <c r="A40" s="733" t="n"/>
      <c r="B40" s="36" t="inlineStr">
        <is>
          <t>M01-0097</t>
        </is>
      </c>
      <c r="C40" s="713" t="n"/>
      <c r="D40" s="714" t="n"/>
      <c r="E40" s="721" t="inlineStr">
        <is>
          <t>TUBO 2X2X1.8MM H.G</t>
        </is>
      </c>
      <c r="F40" s="716" t="inlineStr">
        <is>
          <t>UND</t>
        </is>
      </c>
      <c r="G40" s="717" t="n">
        <v>12108</v>
      </c>
      <c r="H40" s="718">
        <f>+G40*1.13</f>
        <v/>
      </c>
      <c r="I40" s="46" t="inlineStr">
        <is>
          <t>✓✓</t>
        </is>
      </c>
    </row>
    <row r="41">
      <c r="A41" s="722" t="n"/>
      <c r="B41" s="36" t="inlineStr">
        <is>
          <t>M01-0098</t>
        </is>
      </c>
      <c r="C41" s="713" t="n"/>
      <c r="D41" s="714" t="n"/>
      <c r="E41" s="721" t="inlineStr">
        <is>
          <t>TUBO 2X4X1.8MM H.G</t>
        </is>
      </c>
      <c r="F41" s="716" t="inlineStr">
        <is>
          <t>UND</t>
        </is>
      </c>
      <c r="G41" s="717" t="n">
        <v>17272</v>
      </c>
      <c r="H41" s="718">
        <f>+G41*1.13</f>
        <v/>
      </c>
      <c r="I41" s="702" t="inlineStr">
        <is>
          <t>✓✓</t>
        </is>
      </c>
    </row>
    <row r="42">
      <c r="A42" s="722" t="n"/>
      <c r="B42" s="36" t="inlineStr">
        <is>
          <t>M01-0099</t>
        </is>
      </c>
      <c r="C42" s="713" t="n"/>
      <c r="D42" s="714" t="n"/>
      <c r="E42" s="721" t="inlineStr">
        <is>
          <t>TUBO 2X6X1.8MM H.G</t>
        </is>
      </c>
      <c r="F42" s="716" t="inlineStr">
        <is>
          <t>UND</t>
        </is>
      </c>
      <c r="G42" s="717" t="n">
        <v>37192.76</v>
      </c>
      <c r="H42" s="718">
        <f>+G42*1.13</f>
        <v/>
      </c>
      <c r="I42" s="702" t="inlineStr">
        <is>
          <t>✓✓</t>
        </is>
      </c>
    </row>
    <row r="43">
      <c r="A43" s="731" t="inlineStr">
        <is>
          <t>MAT01-0025 PILA FIBRA DE VIDRIO 50X63X22</t>
        </is>
      </c>
      <c r="B43" s="36" t="inlineStr">
        <is>
          <t>M01-0104</t>
        </is>
      </c>
      <c r="C43" s="713" t="n"/>
      <c r="D43" s="714" t="n"/>
      <c r="E43" s="721" t="inlineStr">
        <is>
          <t>TUBO 1 1/2"X1 1/2"X1.5MM HN</t>
        </is>
      </c>
      <c r="F43" s="716" t="inlineStr">
        <is>
          <t>UND</t>
        </is>
      </c>
      <c r="G43" s="717" t="n">
        <v>7064.18</v>
      </c>
      <c r="H43" s="718">
        <f>+G43*1.13</f>
        <v/>
      </c>
      <c r="I43" s="46" t="inlineStr">
        <is>
          <t>✓✓</t>
        </is>
      </c>
    </row>
    <row r="44">
      <c r="A44" s="722" t="n"/>
      <c r="B44" s="36" t="inlineStr">
        <is>
          <t>M01-0105</t>
        </is>
      </c>
      <c r="C44" s="713" t="n"/>
      <c r="D44" s="714" t="n"/>
      <c r="E44" s="721" t="inlineStr">
        <is>
          <t>PERLING 2X3X2.2MM HG</t>
        </is>
      </c>
      <c r="F44" s="716" t="inlineStr">
        <is>
          <t>UND</t>
        </is>
      </c>
      <c r="G44" s="717" t="n">
        <v>9734.51</v>
      </c>
      <c r="H44" s="718">
        <f>+G44*1.13</f>
        <v/>
      </c>
      <c r="I44" s="702" t="inlineStr">
        <is>
          <t>✓✓</t>
        </is>
      </c>
    </row>
    <row r="45">
      <c r="A45" s="722" t="n"/>
      <c r="B45" s="36" t="inlineStr">
        <is>
          <t>M01-0111</t>
        </is>
      </c>
      <c r="C45" s="713" t="n"/>
      <c r="D45" s="714" t="n"/>
      <c r="E45" s="715" t="inlineStr">
        <is>
          <t>TUBO 1X1X1.8MM HG</t>
        </is>
      </c>
      <c r="F45" s="716" t="inlineStr">
        <is>
          <t>UND</t>
        </is>
      </c>
      <c r="G45" s="717" t="n">
        <v>4073.26</v>
      </c>
      <c r="H45" s="718">
        <f>+G45*1.13</f>
        <v/>
      </c>
      <c r="I45" s="702" t="inlineStr">
        <is>
          <t>✓✓</t>
        </is>
      </c>
    </row>
    <row r="46">
      <c r="A46" s="722" t="n"/>
      <c r="B46" s="36" t="inlineStr">
        <is>
          <t>M01-0121</t>
        </is>
      </c>
      <c r="C46" s="713" t="n"/>
      <c r="D46" s="714" t="n"/>
      <c r="E46" s="715" t="inlineStr">
        <is>
          <t>TUBO 4X4X1.8MM HG</t>
        </is>
      </c>
      <c r="F46" s="716" t="inlineStr">
        <is>
          <t>UND</t>
        </is>
      </c>
      <c r="G46" s="717" t="n">
        <v>19910</v>
      </c>
      <c r="H46" s="718">
        <f>+G46*1.13</f>
        <v/>
      </c>
      <c r="I46" s="702" t="inlineStr">
        <is>
          <t>✓✓</t>
        </is>
      </c>
    </row>
    <row r="47">
      <c r="A47" s="18" t="n"/>
      <c r="B47" s="734" t="inlineStr">
        <is>
          <t>M01-0142</t>
        </is>
      </c>
      <c r="C47" s="735" t="n"/>
      <c r="D47" s="736" t="n"/>
      <c r="E47" s="737" t="inlineStr">
        <is>
          <t>PERLING 3X2X15MM EN 1.5MM H.G</t>
        </is>
      </c>
      <c r="F47" s="738" t="inlineStr">
        <is>
          <t>UND</t>
        </is>
      </c>
      <c r="G47" s="739" t="n">
        <v>6004.9</v>
      </c>
      <c r="H47" s="740">
        <f>+G47*1.13</f>
        <v/>
      </c>
      <c r="I47" s="702" t="inlineStr">
        <is>
          <t>✓✓</t>
        </is>
      </c>
    </row>
    <row r="48">
      <c r="A48" s="18" t="n"/>
      <c r="B48" s="36" t="inlineStr">
        <is>
          <t>M01-0145</t>
        </is>
      </c>
      <c r="C48" s="713" t="n"/>
      <c r="D48" s="714" t="n"/>
      <c r="E48" s="721" t="inlineStr">
        <is>
          <t>MALLA ELECTROSOLDADA #2 (5.3 MM)</t>
        </is>
      </c>
      <c r="F48" s="716" t="inlineStr">
        <is>
          <t>UND</t>
        </is>
      </c>
      <c r="G48" s="717" t="n">
        <v>16603.98</v>
      </c>
      <c r="H48" s="718">
        <f>+G48*1.13</f>
        <v/>
      </c>
      <c r="I48" s="702" t="inlineStr">
        <is>
          <t>✓✓</t>
        </is>
      </c>
    </row>
    <row r="49">
      <c r="A49" s="731" t="inlineStr">
        <is>
          <t>MAT01-0053  CACHERA FREGADERO MONOCOMANDO KORAL</t>
        </is>
      </c>
      <c r="B49" s="36" t="inlineStr">
        <is>
          <t>M01-0146</t>
        </is>
      </c>
      <c r="C49" s="713" t="n"/>
      <c r="D49" s="714" t="n"/>
      <c r="E49" s="741" t="inlineStr">
        <is>
          <t>VARILLA DEFORME #2</t>
        </is>
      </c>
      <c r="F49" s="716" t="inlineStr">
        <is>
          <t>UND</t>
        </is>
      </c>
      <c r="G49" s="717" t="n">
        <v>504.25</v>
      </c>
      <c r="H49" s="718">
        <f>+G49*1.13</f>
        <v/>
      </c>
      <c r="I49" s="46" t="n"/>
    </row>
    <row r="50">
      <c r="A50" s="722" t="n"/>
      <c r="B50" s="36" t="inlineStr">
        <is>
          <t>M01-0147</t>
        </is>
      </c>
      <c r="C50" s="713" t="inlineStr">
        <is>
          <t>01</t>
        </is>
      </c>
      <c r="D50" s="714" t="n"/>
      <c r="E50" s="741" t="inlineStr">
        <is>
          <t>VARILLA DEFORME #3</t>
        </is>
      </c>
      <c r="F50" s="716" t="inlineStr">
        <is>
          <t>UND</t>
        </is>
      </c>
      <c r="G50" s="717" t="n">
        <v>1190</v>
      </c>
      <c r="H50" s="718">
        <f>+G50*1.13</f>
        <v/>
      </c>
      <c r="I50" s="702" t="inlineStr">
        <is>
          <t>✓✓</t>
        </is>
      </c>
    </row>
    <row r="51">
      <c r="A51" s="722" t="n"/>
      <c r="B51" s="36" t="inlineStr">
        <is>
          <t>M01-0147</t>
        </is>
      </c>
      <c r="C51" s="713" t="inlineStr">
        <is>
          <t>02</t>
        </is>
      </c>
      <c r="D51" s="714" t="n"/>
      <c r="E51" s="741" t="inlineStr">
        <is>
          <t>VARILLA DEFORME #3</t>
        </is>
      </c>
      <c r="F51" s="716" t="inlineStr">
        <is>
          <t>UND</t>
        </is>
      </c>
      <c r="G51" s="717" t="n">
        <v>1308.23</v>
      </c>
      <c r="H51" s="718">
        <f>+G51*1.13</f>
        <v/>
      </c>
      <c r="I51" s="702" t="inlineStr">
        <is>
          <t>✓✓</t>
        </is>
      </c>
    </row>
    <row r="52">
      <c r="A52" s="722" t="n"/>
      <c r="B52" s="36" t="inlineStr">
        <is>
          <t>M01-0148</t>
        </is>
      </c>
      <c r="C52" s="713" t="inlineStr">
        <is>
          <t>01</t>
        </is>
      </c>
      <c r="D52" s="714" t="n"/>
      <c r="E52" s="741" t="inlineStr">
        <is>
          <t>VARILLA DEFORME #4</t>
        </is>
      </c>
      <c r="F52" s="716" t="inlineStr">
        <is>
          <t>UND</t>
        </is>
      </c>
      <c r="G52" s="717" t="n">
        <v>2120</v>
      </c>
      <c r="H52" s="718">
        <f>+G52*1.13</f>
        <v/>
      </c>
      <c r="I52" s="702" t="inlineStr">
        <is>
          <t>✓✓</t>
        </is>
      </c>
    </row>
    <row r="53">
      <c r="A53" s="722" t="n"/>
      <c r="B53" s="36" t="inlineStr">
        <is>
          <t>M01-0148</t>
        </is>
      </c>
      <c r="C53" s="713" t="inlineStr">
        <is>
          <t>02</t>
        </is>
      </c>
      <c r="D53" s="714" t="n"/>
      <c r="E53" s="741" t="inlineStr">
        <is>
          <t>VARILLA DEFORME #4</t>
        </is>
      </c>
      <c r="F53" s="716" t="inlineStr">
        <is>
          <t>UND</t>
        </is>
      </c>
      <c r="G53" s="717" t="n">
        <v>2311.83</v>
      </c>
      <c r="H53" s="718">
        <f>+G53*1.13</f>
        <v/>
      </c>
      <c r="I53" s="702" t="inlineStr">
        <is>
          <t>✓✓</t>
        </is>
      </c>
    </row>
    <row r="54">
      <c r="A54" s="722" t="n"/>
      <c r="B54" s="36" t="inlineStr">
        <is>
          <t>M01-0149</t>
        </is>
      </c>
      <c r="C54" s="713" t="n"/>
      <c r="D54" s="714" t="n"/>
      <c r="E54" s="741" t="inlineStr">
        <is>
          <t>VARILLA DEFORME #5</t>
        </is>
      </c>
      <c r="F54" s="716" t="inlineStr">
        <is>
          <t>UND</t>
        </is>
      </c>
      <c r="G54" s="717" t="n">
        <v>3436.85</v>
      </c>
      <c r="H54" s="718">
        <f>+G54*1.13</f>
        <v/>
      </c>
      <c r="I54" s="702" t="inlineStr">
        <is>
          <t>✓✓</t>
        </is>
      </c>
    </row>
    <row r="55">
      <c r="A55" s="722" t="n"/>
      <c r="B55" s="36" t="inlineStr">
        <is>
          <t>M01-0153</t>
        </is>
      </c>
      <c r="C55" s="713" t="n"/>
      <c r="D55" s="714" t="n"/>
      <c r="E55" s="741" t="inlineStr">
        <is>
          <t>VARILLA LISA #5</t>
        </is>
      </c>
      <c r="F55" s="716" t="inlineStr">
        <is>
          <t>UND</t>
        </is>
      </c>
      <c r="G55" s="717" t="n">
        <v>5022</v>
      </c>
      <c r="H55" s="718">
        <f>+G55*1.13</f>
        <v/>
      </c>
      <c r="I55" s="702" t="inlineStr">
        <is>
          <t>✓✓</t>
        </is>
      </c>
    </row>
    <row r="56">
      <c r="A56" s="722" t="n"/>
      <c r="B56" s="36" t="inlineStr">
        <is>
          <t>M02-0002</t>
        </is>
      </c>
      <c r="C56" s="713" t="n"/>
      <c r="D56" s="714" t="n"/>
      <c r="E56" s="721" t="inlineStr">
        <is>
          <t>REJILLA P/BAÑO 2" CUADRADA // REJ-10'</t>
        </is>
      </c>
      <c r="F56" s="716" t="inlineStr">
        <is>
          <t>UND</t>
        </is>
      </c>
      <c r="G56" s="717" t="n">
        <v>1558.66</v>
      </c>
      <c r="H56" s="718">
        <f>+G56*1.13</f>
        <v/>
      </c>
      <c r="I56" s="702" t="inlineStr">
        <is>
          <t>✓✓</t>
        </is>
      </c>
    </row>
    <row r="57">
      <c r="A57" s="722" t="n"/>
      <c r="B57" s="36" t="inlineStr">
        <is>
          <t>M02-0008</t>
        </is>
      </c>
      <c r="C57" s="713" t="n"/>
      <c r="D57" s="714" t="n"/>
      <c r="E57" s="721" t="inlineStr">
        <is>
          <t>TAPA P/INODORO</t>
        </is>
      </c>
      <c r="F57" s="716" t="inlineStr">
        <is>
          <t>UND</t>
        </is>
      </c>
      <c r="G57" s="717" t="n">
        <v>21367.52</v>
      </c>
      <c r="H57" s="718">
        <f>+G57*1.13</f>
        <v/>
      </c>
      <c r="I57" s="702" t="inlineStr">
        <is>
          <t>✓✓</t>
        </is>
      </c>
    </row>
    <row r="58">
      <c r="A58" s="722" t="n"/>
      <c r="B58" s="36" t="inlineStr">
        <is>
          <t>M02-0011</t>
        </is>
      </c>
      <c r="C58" s="713" t="n"/>
      <c r="D58" s="714" t="n"/>
      <c r="E58" s="721" t="inlineStr">
        <is>
          <t xml:space="preserve"> DESAGUE LAVAMANOS PUSH BOTON DE 1-1/4</t>
        </is>
      </c>
      <c r="F58" s="716" t="inlineStr">
        <is>
          <t>UND</t>
        </is>
      </c>
      <c r="G58" s="717" t="n">
        <v>9500</v>
      </c>
      <c r="H58" s="718">
        <f>+G58*1.13</f>
        <v/>
      </c>
      <c r="I58" s="702" t="inlineStr">
        <is>
          <t>✓✓</t>
        </is>
      </c>
    </row>
    <row r="59">
      <c r="A59" s="732" t="n"/>
      <c r="B59" s="36" t="inlineStr">
        <is>
          <t>M02-0024</t>
        </is>
      </c>
      <c r="C59" s="713" t="n"/>
      <c r="D59" s="714" t="n"/>
      <c r="E59" s="721" t="inlineStr">
        <is>
          <t>DESAGUE METAL PARA LAVATORIO 11/4</t>
        </is>
      </c>
      <c r="F59" s="716" t="inlineStr">
        <is>
          <t>UND</t>
        </is>
      </c>
      <c r="G59" s="717" t="n">
        <v>1689.26</v>
      </c>
      <c r="H59" s="718">
        <f>+G59*1.13</f>
        <v/>
      </c>
      <c r="I59" s="702" t="inlineStr">
        <is>
          <t>✓✓</t>
        </is>
      </c>
    </row>
    <row r="60">
      <c r="A60" s="722" t="n"/>
      <c r="B60" s="36" t="inlineStr">
        <is>
          <t>M02-0025</t>
        </is>
      </c>
      <c r="C60" s="713" t="n"/>
      <c r="D60" s="714" t="n"/>
      <c r="E60" s="721" t="inlineStr">
        <is>
          <t>EMPAQUE CERA</t>
        </is>
      </c>
      <c r="F60" s="716" t="inlineStr">
        <is>
          <t>UND</t>
        </is>
      </c>
      <c r="G60" s="717" t="n">
        <v>913.3</v>
      </c>
      <c r="H60" s="718">
        <f>+G60*1.13</f>
        <v/>
      </c>
      <c r="I60" s="702" t="inlineStr">
        <is>
          <t>✓✓</t>
        </is>
      </c>
    </row>
    <row r="61">
      <c r="A61" s="722" t="n"/>
      <c r="B61" s="36" t="inlineStr">
        <is>
          <t>M02-0026</t>
        </is>
      </c>
      <c r="C61" s="713" t="n"/>
      <c r="D61" s="714" t="n"/>
      <c r="E61" s="721" t="inlineStr">
        <is>
          <t>MANGUERA ABASTO P/INODORO (7/8 A 1/2)</t>
        </is>
      </c>
      <c r="F61" s="716" t="inlineStr">
        <is>
          <t>UND</t>
        </is>
      </c>
      <c r="G61" s="717" t="n">
        <v>1364.28</v>
      </c>
      <c r="H61" s="718">
        <f>+G61*1.13</f>
        <v/>
      </c>
      <c r="I61" s="702" t="inlineStr">
        <is>
          <t>✓✓</t>
        </is>
      </c>
    </row>
    <row r="62">
      <c r="A62" s="722" t="n"/>
      <c r="B62" s="36" t="inlineStr">
        <is>
          <t>M02-0028</t>
        </is>
      </c>
      <c r="C62" s="713" t="n"/>
      <c r="D62" s="714" t="n"/>
      <c r="E62" s="721" t="inlineStr">
        <is>
          <t>INODORO ONE PIECE SMART ALONGADO (AMERICAN STANDARD)</t>
        </is>
      </c>
      <c r="F62" s="716" t="inlineStr">
        <is>
          <t>UND</t>
        </is>
      </c>
      <c r="G62" s="717" t="n">
        <v>46908.77</v>
      </c>
      <c r="H62" s="718">
        <f>+G62*1.13</f>
        <v/>
      </c>
      <c r="I62" s="702" t="inlineStr">
        <is>
          <t>✓✓</t>
        </is>
      </c>
    </row>
    <row r="63">
      <c r="A63" s="722" t="n"/>
      <c r="B63" s="36" t="inlineStr">
        <is>
          <t>M02-0032</t>
        </is>
      </c>
      <c r="C63" s="713" t="n"/>
      <c r="D63" s="714" t="n"/>
      <c r="E63" s="721" t="inlineStr">
        <is>
          <t>GRIFERIA MONOCONTROL PALMA MEDIA (AMERICAN STANDARD)</t>
        </is>
      </c>
      <c r="F63" s="716" t="inlineStr">
        <is>
          <t>UND</t>
        </is>
      </c>
      <c r="G63" s="717" t="n">
        <v>36217.83</v>
      </c>
      <c r="H63" s="718">
        <f>+G63*1.13</f>
        <v/>
      </c>
      <c r="I63" s="702" t="inlineStr">
        <is>
          <t>✓✓</t>
        </is>
      </c>
    </row>
    <row r="64">
      <c r="A64" s="722" t="n"/>
      <c r="B64" s="36" t="inlineStr">
        <is>
          <t>M02-0035</t>
        </is>
      </c>
      <c r="C64" s="713" t="n"/>
      <c r="D64" s="714" t="n"/>
      <c r="E64" s="721" t="inlineStr">
        <is>
          <t>GRIFERIA LAV.CROMA METAL 4" PALANCA CROMO P/LAV MILANO</t>
        </is>
      </c>
      <c r="F64" s="716" t="inlineStr">
        <is>
          <t>UND</t>
        </is>
      </c>
      <c r="G64" s="717" t="n">
        <v>21723</v>
      </c>
      <c r="H64" s="718">
        <f>+G64*1.13</f>
        <v/>
      </c>
      <c r="I64" s="702" t="inlineStr">
        <is>
          <t>✓✓</t>
        </is>
      </c>
    </row>
    <row r="65">
      <c r="A65" s="722" t="n"/>
      <c r="B65" s="36" t="inlineStr">
        <is>
          <t>M02-0036</t>
        </is>
      </c>
      <c r="C65" s="713" t="n"/>
      <c r="D65" s="714" t="n"/>
      <c r="E65" s="721" t="inlineStr">
        <is>
          <t>GRIFERIA DUCHA BREZZA  MONO S/LAVAPIES EZ4015551  SSB</t>
        </is>
      </c>
      <c r="F65" s="716" t="inlineStr">
        <is>
          <t>UND</t>
        </is>
      </c>
      <c r="G65" s="717" t="n">
        <v>29253</v>
      </c>
      <c r="H65" s="718">
        <f>+G65*1.13</f>
        <v/>
      </c>
      <c r="I65" s="702" t="inlineStr">
        <is>
          <t>✓✓</t>
        </is>
      </c>
    </row>
    <row r="66">
      <c r="A66" s="722" t="n"/>
      <c r="B66" s="36" t="inlineStr">
        <is>
          <t>M02-0038</t>
        </is>
      </c>
      <c r="C66" s="713" t="n"/>
      <c r="D66" s="714" t="n"/>
      <c r="E66" s="721" t="inlineStr">
        <is>
          <t>GRIFERIA ALTA NOVO CROMADA P/VESSEL</t>
        </is>
      </c>
      <c r="F66" s="716" t="inlineStr">
        <is>
          <t>UND</t>
        </is>
      </c>
      <c r="G66" s="717" t="n">
        <v>30920</v>
      </c>
      <c r="H66" s="718">
        <f>+G66*1.13</f>
        <v/>
      </c>
      <c r="I66" s="702" t="inlineStr">
        <is>
          <t>✓✓</t>
        </is>
      </c>
    </row>
    <row r="67">
      <c r="A67" s="722" t="n"/>
      <c r="B67" s="36" t="inlineStr">
        <is>
          <t>M02-0039</t>
        </is>
      </c>
      <c r="C67" s="713" t="n"/>
      <c r="D67" s="714" t="n"/>
      <c r="E67" s="721" t="inlineStr">
        <is>
          <t>GRIFERIA  ADARA CON LAVAPIES</t>
        </is>
      </c>
      <c r="F67" s="716" t="inlineStr">
        <is>
          <t>UND</t>
        </is>
      </c>
      <c r="G67" s="717" t="n">
        <v>40343.41</v>
      </c>
      <c r="H67" s="718">
        <f>+G67*1.13</f>
        <v/>
      </c>
      <c r="I67" s="702" t="inlineStr">
        <is>
          <t>✓✓</t>
        </is>
      </c>
    </row>
    <row r="68">
      <c r="A68" s="722" t="n"/>
      <c r="B68" s="36" t="inlineStr">
        <is>
          <t>M02-0042</t>
        </is>
      </c>
      <c r="C68" s="713" t="n"/>
      <c r="D68" s="714" t="n"/>
      <c r="E68" s="721" t="inlineStr">
        <is>
          <t>LAVAMANOS SOBREPONER SPAZIO (AMERICAN STANDARD)</t>
        </is>
      </c>
      <c r="F68" s="716" t="inlineStr">
        <is>
          <t>UND</t>
        </is>
      </c>
      <c r="G68" s="717" t="n">
        <v>21954.04</v>
      </c>
      <c r="H68" s="718">
        <f>+G68*1.13</f>
        <v/>
      </c>
      <c r="I68" s="702" t="inlineStr">
        <is>
          <t>✓✓</t>
        </is>
      </c>
    </row>
    <row r="69">
      <c r="A69" s="722" t="n"/>
      <c r="B69" s="36" t="inlineStr">
        <is>
          <t>M02-0043</t>
        </is>
      </c>
      <c r="C69" s="713" t="n"/>
      <c r="D69" s="714" t="n"/>
      <c r="E69" s="721" t="inlineStr">
        <is>
          <t>LAVAMANOS PEDESTAL MILANO (AMERICAN STANDARD)</t>
        </is>
      </c>
      <c r="F69" s="716" t="inlineStr">
        <is>
          <t>UND</t>
        </is>
      </c>
      <c r="G69" s="717" t="n">
        <v>24200</v>
      </c>
      <c r="H69" s="718">
        <f>+G69*1.13</f>
        <v/>
      </c>
      <c r="I69" s="702" t="inlineStr">
        <is>
          <t>✓✓</t>
        </is>
      </c>
    </row>
    <row r="70">
      <c r="A70" s="722" t="n"/>
      <c r="B70" s="36" t="inlineStr">
        <is>
          <t>M02-0044</t>
        </is>
      </c>
      <c r="C70" s="713" t="n"/>
      <c r="D70" s="714" t="n"/>
      <c r="E70" s="721" t="inlineStr">
        <is>
          <t>LAVAMANOS PEDESTAL OLYMPUS (AMERICAN STANDARD)</t>
        </is>
      </c>
      <c r="F70" s="716" t="inlineStr">
        <is>
          <t>UND</t>
        </is>
      </c>
      <c r="G70" s="717" t="n">
        <v>30784.36</v>
      </c>
      <c r="H70" s="718">
        <f>+G70*1.13</f>
        <v/>
      </c>
      <c r="I70" s="702" t="inlineStr">
        <is>
          <t>✓✓</t>
        </is>
      </c>
    </row>
    <row r="71">
      <c r="A71" s="722" t="n"/>
      <c r="B71" s="742" t="inlineStr">
        <is>
          <t>M02-0063</t>
        </is>
      </c>
      <c r="C71" s="743" t="n"/>
      <c r="D71" s="744" t="n"/>
      <c r="E71" s="745" t="inlineStr">
        <is>
          <t>LAVAMANOS PEDESTAL MILANO (AMERICAN STANDARD)</t>
        </is>
      </c>
      <c r="F71" s="746" t="inlineStr">
        <is>
          <t>UND</t>
        </is>
      </c>
      <c r="G71" s="747" t="n">
        <v>23383.21</v>
      </c>
      <c r="H71" s="748">
        <f>+G71*1.13</f>
        <v/>
      </c>
      <c r="I71" s="702" t="inlineStr">
        <is>
          <t>✓✓</t>
        </is>
      </c>
    </row>
    <row r="72">
      <c r="A72" s="722" t="n"/>
      <c r="B72" s="36" t="inlineStr">
        <is>
          <t>M03-0001</t>
        </is>
      </c>
      <c r="C72" s="713" t="n"/>
      <c r="D72" s="714" t="n"/>
      <c r="E72" s="721" t="inlineStr">
        <is>
          <t>ESQUINERO P/RODAPIE ALUMINIO **CODO** 15CM</t>
        </is>
      </c>
      <c r="F72" s="716" t="inlineStr">
        <is>
          <t>UND</t>
        </is>
      </c>
      <c r="G72" s="717" t="n">
        <v>860.98</v>
      </c>
      <c r="H72" s="718">
        <f>+G72*1.13</f>
        <v/>
      </c>
      <c r="I72" s="702" t="inlineStr">
        <is>
          <t>✓✓</t>
        </is>
      </c>
    </row>
    <row r="73">
      <c r="A73" s="722" t="n"/>
      <c r="B73" s="36" t="inlineStr">
        <is>
          <t>M03-0005</t>
        </is>
      </c>
      <c r="C73" s="713" t="n"/>
      <c r="D73" s="714" t="n"/>
      <c r="E73" s="721" t="inlineStr">
        <is>
          <t>PATA NIVELADORA PLASTICA 12 CM</t>
        </is>
      </c>
      <c r="F73" s="716" t="inlineStr">
        <is>
          <t>UND</t>
        </is>
      </c>
      <c r="G73" s="717" t="n">
        <v>177.47</v>
      </c>
      <c r="H73" s="718">
        <f>+G73*1.13</f>
        <v/>
      </c>
      <c r="I73" s="702" t="inlineStr">
        <is>
          <t>✓✓</t>
        </is>
      </c>
    </row>
    <row r="74">
      <c r="A74" s="722" t="n"/>
      <c r="B74" s="36" t="inlineStr">
        <is>
          <t>M03-0006</t>
        </is>
      </c>
      <c r="C74" s="713" t="n"/>
      <c r="D74" s="714" t="n"/>
      <c r="E74" s="721" t="inlineStr">
        <is>
          <t>PATA REDONDA 90CM</t>
        </is>
      </c>
      <c r="F74" s="716" t="inlineStr">
        <is>
          <t>UND</t>
        </is>
      </c>
      <c r="G74" s="717" t="n">
        <v>6602.5</v>
      </c>
      <c r="H74" s="718">
        <f>+G74*1.13</f>
        <v/>
      </c>
      <c r="I74" s="702" t="inlineStr">
        <is>
          <t>✓✓</t>
        </is>
      </c>
    </row>
    <row r="75">
      <c r="A75" s="42" t="n"/>
      <c r="B75" s="36" t="inlineStr">
        <is>
          <t>M03-0010</t>
        </is>
      </c>
      <c r="C75" s="713" t="n"/>
      <c r="D75" s="714" t="n"/>
      <c r="E75" s="721" t="inlineStr">
        <is>
          <t>RODAPIE ALUMI INOX 150-300-ROD2 AL</t>
        </is>
      </c>
      <c r="F75" s="716" t="inlineStr">
        <is>
          <t>M</t>
        </is>
      </c>
      <c r="G75" s="717">
        <f>7498.09/3.6</f>
        <v/>
      </c>
      <c r="H75" s="718">
        <f>+G75*1.13</f>
        <v/>
      </c>
      <c r="I75" s="702" t="inlineStr">
        <is>
          <t>✓✓</t>
        </is>
      </c>
    </row>
    <row r="76">
      <c r="A76" s="722" t="n"/>
      <c r="B76" s="36" t="inlineStr">
        <is>
          <t>M03-0014</t>
        </is>
      </c>
      <c r="C76" s="713" t="n"/>
      <c r="D76" s="714" t="n"/>
      <c r="E76" s="721" t="inlineStr">
        <is>
          <t>SOPORTE LATERAL NIQUEL 3H+3TR</t>
        </is>
      </c>
      <c r="F76" s="716" t="inlineStr">
        <is>
          <t>UND</t>
        </is>
      </c>
      <c r="G76" s="717" t="n">
        <v>202.56</v>
      </c>
      <c r="H76" s="718">
        <f>+G76*1.13</f>
        <v/>
      </c>
      <c r="I76" s="702" t="inlineStr">
        <is>
          <t>✓✓</t>
        </is>
      </c>
    </row>
    <row r="77">
      <c r="A77" s="731" t="inlineStr">
        <is>
          <t>MAT02-0043 PLATINA EN 4"X 1/4X6M</t>
        </is>
      </c>
      <c r="B77" s="36" t="inlineStr">
        <is>
          <t>M03-0015</t>
        </is>
      </c>
      <c r="C77" s="713" t="n"/>
      <c r="D77" s="714" t="n"/>
      <c r="E77" s="721" t="inlineStr">
        <is>
          <t>SOPORTE P/ESTANTE TRANS 5MM SP-1-PL-HU</t>
        </is>
      </c>
      <c r="F77" s="716" t="inlineStr">
        <is>
          <t>UND</t>
        </is>
      </c>
      <c r="G77" s="717" t="n">
        <v>18.89</v>
      </c>
      <c r="H77" s="718">
        <f>+G77*1.13</f>
        <v/>
      </c>
      <c r="I77" s="46" t="n"/>
    </row>
    <row r="78">
      <c r="A78" s="722" t="n"/>
      <c r="B78" s="36" t="inlineStr">
        <is>
          <t>M03-0016</t>
        </is>
      </c>
      <c r="C78" s="713" t="n"/>
      <c r="D78" s="714" t="n"/>
      <c r="E78" s="721" t="inlineStr">
        <is>
          <t>TAPA TORNILLO (100)</t>
        </is>
      </c>
      <c r="F78" s="716" t="inlineStr">
        <is>
          <t>UND</t>
        </is>
      </c>
      <c r="G78" s="717" t="n">
        <v>3100</v>
      </c>
      <c r="H78" s="718">
        <f>+G78*1.13</f>
        <v/>
      </c>
      <c r="I78" s="702" t="inlineStr">
        <is>
          <t>✓✓</t>
        </is>
      </c>
    </row>
    <row r="79">
      <c r="A79" s="722" t="n"/>
      <c r="B79" s="36" t="inlineStr">
        <is>
          <t>M03-0017</t>
        </is>
      </c>
      <c r="C79" s="713" t="n"/>
      <c r="D79" s="714" t="n"/>
      <c r="E79" s="721" t="inlineStr">
        <is>
          <t>TAPETA 22X0.45MM</t>
        </is>
      </c>
      <c r="F79" s="716" t="inlineStr">
        <is>
          <t>M</t>
        </is>
      </c>
      <c r="G79" s="717" t="n">
        <v>80.5736</v>
      </c>
      <c r="H79" s="718">
        <f>+G79*1.13</f>
        <v/>
      </c>
      <c r="I79" s="702" t="inlineStr">
        <is>
          <t>✓✓</t>
        </is>
      </c>
    </row>
    <row r="80">
      <c r="A80" s="749" t="n"/>
      <c r="B80" s="36" t="inlineStr">
        <is>
          <t>M03-0019</t>
        </is>
      </c>
      <c r="C80" s="713" t="n"/>
      <c r="D80" s="714" t="n"/>
      <c r="E80" s="721" t="inlineStr">
        <is>
          <t>TUBO OVAL P/CLOSET 3 MT</t>
        </is>
      </c>
      <c r="F80" s="716" t="inlineStr">
        <is>
          <t>UND</t>
        </is>
      </c>
      <c r="G80" s="717" t="n">
        <v>3184.53</v>
      </c>
      <c r="H80" s="718">
        <f>+G80*1.13</f>
        <v/>
      </c>
      <c r="I80" s="702" t="inlineStr">
        <is>
          <t>✓✓</t>
        </is>
      </c>
    </row>
    <row r="81">
      <c r="A81" s="750" t="inlineStr">
        <is>
          <t>MAT02-0063 TUBO 2X3X6MM HN</t>
        </is>
      </c>
      <c r="B81" s="36" t="inlineStr">
        <is>
          <t>M03-0021</t>
        </is>
      </c>
      <c r="C81" s="713" t="n"/>
      <c r="D81" s="714" t="n"/>
      <c r="E81" s="721" t="inlineStr">
        <is>
          <t>DESAGUE-REJILLA P/FREGADERO PLATZ 8523</t>
        </is>
      </c>
      <c r="F81" s="716" t="inlineStr">
        <is>
          <t>UND</t>
        </is>
      </c>
      <c r="G81" s="717" t="n">
        <v>2846.02</v>
      </c>
      <c r="H81" s="718">
        <f>+G81*1.13</f>
        <v/>
      </c>
      <c r="I81" s="702" t="inlineStr">
        <is>
          <t>✓✓</t>
        </is>
      </c>
    </row>
    <row r="82">
      <c r="A82" s="18" t="n"/>
      <c r="B82" s="36" t="inlineStr">
        <is>
          <t>M03-0022</t>
        </is>
      </c>
      <c r="C82" s="713" t="n"/>
      <c r="D82" s="714" t="n"/>
      <c r="E82" s="721" t="inlineStr">
        <is>
          <t>BISAGRA RECTA SLOW MOTION CLIP ON</t>
        </is>
      </c>
      <c r="F82" s="716" t="inlineStr">
        <is>
          <t>UND</t>
        </is>
      </c>
      <c r="G82" s="717" t="n">
        <v>431.31</v>
      </c>
      <c r="H82" s="718">
        <f>+G82*1.13</f>
        <v/>
      </c>
      <c r="I82" s="702" t="inlineStr">
        <is>
          <t>✓✓</t>
        </is>
      </c>
    </row>
    <row r="83">
      <c r="A83" s="749" t="n"/>
      <c r="B83" s="36" t="inlineStr">
        <is>
          <t>M03-0023</t>
        </is>
      </c>
      <c r="C83" s="713" t="n"/>
      <c r="D83" s="714" t="n"/>
      <c r="E83" s="721" t="inlineStr">
        <is>
          <t>FREGADERO 1 TANQUE 58X45X20</t>
        </is>
      </c>
      <c r="F83" s="716" t="inlineStr">
        <is>
          <t>UND</t>
        </is>
      </c>
      <c r="G83" s="717" t="n">
        <v>35480.19</v>
      </c>
      <c r="H83" s="718">
        <f>+G83*1.13</f>
        <v/>
      </c>
      <c r="I83" s="702" t="inlineStr">
        <is>
          <t>✓✓</t>
        </is>
      </c>
    </row>
    <row r="84">
      <c r="A84" s="722" t="n"/>
      <c r="B84" s="36" t="inlineStr">
        <is>
          <t>M03-0024</t>
        </is>
      </c>
      <c r="C84" s="713" t="n"/>
      <c r="D84" s="714" t="n"/>
      <c r="E84" s="721" t="inlineStr">
        <is>
          <t>FREGADERO 2 TANQUES 84X48X20</t>
        </is>
      </c>
      <c r="F84" s="716" t="inlineStr">
        <is>
          <t>UND</t>
        </is>
      </c>
      <c r="G84" s="717" t="n">
        <v>67958</v>
      </c>
      <c r="H84" s="718">
        <f>+G84*1.13</f>
        <v/>
      </c>
      <c r="I84" s="702" t="inlineStr">
        <is>
          <t>✓✓</t>
        </is>
      </c>
    </row>
    <row r="85">
      <c r="A85" s="722" t="n"/>
      <c r="B85" s="36" t="inlineStr">
        <is>
          <t>M03-0025</t>
        </is>
      </c>
      <c r="C85" s="713" t="n"/>
      <c r="D85" s="714" t="n"/>
      <c r="E85" s="721" t="inlineStr">
        <is>
          <t>GRIFERIA FREGADERO SIERPE (AMERICAN STANDARD)</t>
        </is>
      </c>
      <c r="F85" s="716" t="inlineStr">
        <is>
          <t>UND</t>
        </is>
      </c>
      <c r="G85" s="717" t="n">
        <v>27283.85</v>
      </c>
      <c r="H85" s="718">
        <f>+G85*1.13</f>
        <v/>
      </c>
      <c r="I85" s="702" t="inlineStr">
        <is>
          <t>✓✓</t>
        </is>
      </c>
    </row>
    <row r="86">
      <c r="A86" s="722" t="n"/>
      <c r="B86" s="36" t="inlineStr">
        <is>
          <t>M03-0030</t>
        </is>
      </c>
      <c r="C86" s="713" t="n"/>
      <c r="D86" s="714" t="n"/>
      <c r="E86" s="721" t="inlineStr">
        <is>
          <t>RIEL SUPERI ACL-RSU09 3MTRS</t>
        </is>
      </c>
      <c r="F86" s="716" t="inlineStr">
        <is>
          <t>UND</t>
        </is>
      </c>
      <c r="G86" s="717" t="n">
        <v>9536.83</v>
      </c>
      <c r="H86" s="718">
        <f>+G86*1.13</f>
        <v/>
      </c>
      <c r="I86" s="702" t="inlineStr">
        <is>
          <t>✓✓</t>
        </is>
      </c>
    </row>
    <row r="87">
      <c r="A87" s="722" t="n"/>
      <c r="B87" s="36" t="inlineStr">
        <is>
          <t>M03-0031</t>
        </is>
      </c>
      <c r="C87" s="713" t="n"/>
      <c r="D87" s="714" t="n"/>
      <c r="E87" s="721" t="inlineStr">
        <is>
          <t>RIEL TELESC SLOW MOTION LA 350M RS-C45GA-350 (14")</t>
        </is>
      </c>
      <c r="F87" s="716" t="inlineStr">
        <is>
          <t>UND</t>
        </is>
      </c>
      <c r="G87" s="717" t="n">
        <v>2451.92</v>
      </c>
      <c r="H87" s="718">
        <f>+G87*1.13</f>
        <v/>
      </c>
      <c r="I87" s="702" t="inlineStr">
        <is>
          <t>✓✓</t>
        </is>
      </c>
    </row>
    <row r="88">
      <c r="A88" s="722" t="n"/>
      <c r="B88" s="36" t="inlineStr">
        <is>
          <t>M03-0033</t>
        </is>
      </c>
      <c r="C88" s="713" t="n"/>
      <c r="D88" s="714" t="n"/>
      <c r="E88" s="721" t="inlineStr">
        <is>
          <t>RIEL TELESCOPICO SLOW MOTION LA 450M RS-A45DT (18")</t>
        </is>
      </c>
      <c r="F88" s="716" t="inlineStr">
        <is>
          <t>UND</t>
        </is>
      </c>
      <c r="G88" s="717" t="n">
        <v>2930.33</v>
      </c>
      <c r="H88" s="718">
        <f>+G88*1.13</f>
        <v/>
      </c>
      <c r="I88" s="702" t="inlineStr">
        <is>
          <t>✓✓</t>
        </is>
      </c>
    </row>
    <row r="89">
      <c r="A89" s="722" t="n"/>
      <c r="B89" s="36" t="inlineStr">
        <is>
          <t>M03-0036</t>
        </is>
      </c>
      <c r="C89" s="713" t="n"/>
      <c r="D89" s="714" t="n"/>
      <c r="E89" s="721" t="inlineStr">
        <is>
          <t>TIRADERA CILINDRICA CC:12.8CM</t>
        </is>
      </c>
      <c r="F89" s="716" t="inlineStr">
        <is>
          <t>UND</t>
        </is>
      </c>
      <c r="G89" s="717" t="n">
        <v>763.51</v>
      </c>
      <c r="H89" s="718">
        <f>+G89*1.13</f>
        <v/>
      </c>
      <c r="I89" s="702" t="inlineStr">
        <is>
          <t>✓✓</t>
        </is>
      </c>
    </row>
    <row r="90">
      <c r="A90" s="731" t="inlineStr">
        <is>
          <t>MAT02-0140 PLATINA H.N. DE 4 PULGADAS EN 6M</t>
        </is>
      </c>
      <c r="B90" s="36" t="inlineStr">
        <is>
          <t>M04-0001</t>
        </is>
      </c>
      <c r="C90" s="713" t="n"/>
      <c r="D90" s="714" t="n"/>
      <c r="E90" s="721" t="inlineStr">
        <is>
          <t>AISLANTE SONIDO R11 LANA MINERAL VIDRIO 1,22X15,24</t>
        </is>
      </c>
      <c r="F90" s="716" t="inlineStr">
        <is>
          <t>ROLLO</t>
        </is>
      </c>
      <c r="G90" s="717" t="n">
        <v>16550</v>
      </c>
      <c r="H90" s="718">
        <f>+G90*1.13</f>
        <v/>
      </c>
      <c r="I90" s="46" t="n"/>
    </row>
    <row r="91">
      <c r="A91" s="722" t="n"/>
      <c r="B91" s="36" t="inlineStr">
        <is>
          <t>M04-0003</t>
        </is>
      </c>
      <c r="C91" s="713" t="n"/>
      <c r="D91" s="714" t="n"/>
      <c r="E91" s="721" t="inlineStr">
        <is>
          <t>LAMINA ESTEREOFON 2" 1.22X2.44</t>
        </is>
      </c>
      <c r="F91" s="716" t="inlineStr">
        <is>
          <t>UND</t>
        </is>
      </c>
      <c r="G91" s="717" t="n">
        <v>4875.86</v>
      </c>
      <c r="H91" s="718">
        <f>+G91*1.13</f>
        <v/>
      </c>
      <c r="I91" s="702" t="inlineStr">
        <is>
          <t>✓✓</t>
        </is>
      </c>
    </row>
    <row r="92">
      <c r="A92" s="722" t="n"/>
      <c r="B92" s="751" t="inlineStr">
        <is>
          <t>M04-0010</t>
        </is>
      </c>
      <c r="C92" s="713" t="n"/>
      <c r="D92" s="714" t="n"/>
      <c r="E92" s="721" t="inlineStr">
        <is>
          <t>TABLATEK TABLILLA JS 11MM 1229X2438MM A11 D76</t>
        </is>
      </c>
      <c r="F92" s="716" t="inlineStr">
        <is>
          <t>UND</t>
        </is>
      </c>
      <c r="G92" s="717" t="n">
        <v>22892</v>
      </c>
      <c r="H92" s="718">
        <f>+G92*1.13</f>
        <v/>
      </c>
      <c r="I92" s="702" t="inlineStr">
        <is>
          <t>✓✓</t>
        </is>
      </c>
    </row>
    <row r="93">
      <c r="A93" s="722" t="n"/>
      <c r="B93" s="36" t="inlineStr">
        <is>
          <t>M04-0014</t>
        </is>
      </c>
      <c r="C93" s="713" t="n"/>
      <c r="D93" s="714" t="n"/>
      <c r="E93" s="721" t="inlineStr">
        <is>
          <t>CINTA JUNTAS PAPEL 2 X 250</t>
        </is>
      </c>
      <c r="F93" s="716" t="inlineStr">
        <is>
          <t>UND</t>
        </is>
      </c>
      <c r="G93" s="717" t="n">
        <v>1046.07</v>
      </c>
      <c r="H93" s="718">
        <f>+G93*1.13</f>
        <v/>
      </c>
      <c r="I93" s="702" t="inlineStr">
        <is>
          <t>✓✓</t>
        </is>
      </c>
    </row>
    <row r="94">
      <c r="A94" s="722" t="n"/>
      <c r="B94" s="36" t="inlineStr">
        <is>
          <t>M04-0015</t>
        </is>
      </c>
      <c r="C94" s="713" t="n"/>
      <c r="D94" s="714" t="n"/>
      <c r="E94" s="721" t="inlineStr">
        <is>
          <t>CINTA MALLA ADHESIVA P/GYP (45M)</t>
        </is>
      </c>
      <c r="F94" s="716" t="inlineStr">
        <is>
          <t>ROLLO</t>
        </is>
      </c>
      <c r="G94" s="717" t="n">
        <v>1307.75</v>
      </c>
      <c r="H94" s="718">
        <f>+G94*1.13</f>
        <v/>
      </c>
      <c r="I94" s="702" t="inlineStr">
        <is>
          <t>✓✓</t>
        </is>
      </c>
    </row>
    <row r="95">
      <c r="A95" s="722" t="n"/>
      <c r="B95" s="36" t="inlineStr">
        <is>
          <t>M04-0016</t>
        </is>
      </c>
      <c r="C95" s="713" t="n"/>
      <c r="D95" s="714" t="n"/>
      <c r="E95" s="721" t="inlineStr">
        <is>
          <t>GYPSUM DENSGLASS 12MM</t>
        </is>
      </c>
      <c r="F95" s="716" t="inlineStr">
        <is>
          <t>UND</t>
        </is>
      </c>
      <c r="G95" s="717" t="n">
        <v>15886.73</v>
      </c>
      <c r="H95" s="718">
        <f>+G95*1.13</f>
        <v/>
      </c>
      <c r="I95" s="702" t="inlineStr">
        <is>
          <t>✓✓</t>
        </is>
      </c>
    </row>
    <row r="96">
      <c r="A96" s="722" t="n"/>
      <c r="B96" s="36" t="inlineStr">
        <is>
          <t>M04-0017</t>
        </is>
      </c>
      <c r="C96" s="713" t="n"/>
      <c r="D96" s="714" t="n"/>
      <c r="E96" s="721" t="inlineStr">
        <is>
          <t>GYPSUM MR VERDE 12MM</t>
        </is>
      </c>
      <c r="F96" s="716" t="inlineStr">
        <is>
          <t>UND</t>
        </is>
      </c>
      <c r="G96" s="717" t="n">
        <v>7419.19</v>
      </c>
      <c r="H96" s="718">
        <f>+G96*1.13</f>
        <v/>
      </c>
      <c r="I96" s="702" t="inlineStr">
        <is>
          <t>✓✓</t>
        </is>
      </c>
    </row>
    <row r="97">
      <c r="A97" s="749" t="n"/>
      <c r="B97" s="36" t="inlineStr">
        <is>
          <t>M04-0018</t>
        </is>
      </c>
      <c r="C97" s="713" t="n"/>
      <c r="D97" s="714" t="n"/>
      <c r="E97" s="721" t="inlineStr">
        <is>
          <t>GYPSUM REGULAR 12MM</t>
        </is>
      </c>
      <c r="F97" s="716" t="inlineStr">
        <is>
          <t>UND</t>
        </is>
      </c>
      <c r="G97" s="717" t="n">
        <v>5649.56</v>
      </c>
      <c r="H97" s="718">
        <f>+G97*1.13</f>
        <v/>
      </c>
      <c r="I97" s="702" t="inlineStr">
        <is>
          <t>✓✓</t>
        </is>
      </c>
    </row>
    <row r="98">
      <c r="A98" s="722" t="n"/>
      <c r="B98" s="36" t="inlineStr">
        <is>
          <t>M04-0030</t>
        </is>
      </c>
      <c r="C98" s="713" t="n"/>
      <c r="D98" s="714" t="n"/>
      <c r="E98" s="721" t="inlineStr">
        <is>
          <t>PASTA P/GYPSUM</t>
        </is>
      </c>
      <c r="F98" s="716" t="inlineStr">
        <is>
          <t>CUBETA</t>
        </is>
      </c>
      <c r="G98" s="717" t="n">
        <v>15292.04</v>
      </c>
      <c r="H98" s="718">
        <f>+G98*1.13</f>
        <v/>
      </c>
      <c r="I98" s="702" t="inlineStr">
        <is>
          <t>✓✓</t>
        </is>
      </c>
    </row>
    <row r="99">
      <c r="A99" s="722" t="n"/>
      <c r="B99" s="36" t="inlineStr">
        <is>
          <t>M04-0031</t>
        </is>
      </c>
      <c r="C99" s="713" t="n"/>
      <c r="D99" s="714" t="n"/>
      <c r="E99" s="721" t="inlineStr">
        <is>
          <t>SACO PASTA RAPIDA 45</t>
        </is>
      </c>
      <c r="F99" s="716" t="inlineStr">
        <is>
          <t>SACO</t>
        </is>
      </c>
      <c r="G99" s="717" t="n">
        <v>6714</v>
      </c>
      <c r="H99" s="718">
        <f>+G99*1.13</f>
        <v/>
      </c>
      <c r="I99" s="702" t="inlineStr">
        <is>
          <t>✓✓</t>
        </is>
      </c>
    </row>
    <row r="100">
      <c r="A100" s="722" t="n"/>
      <c r="B100" s="36" t="inlineStr">
        <is>
          <t>M04-0033</t>
        </is>
      </c>
      <c r="C100" s="713" t="n"/>
      <c r="D100" s="714" t="n"/>
      <c r="E100" s="721" t="inlineStr">
        <is>
          <t>ANGULAR CHANNEL 1X3" 0.36MM 3.05M</t>
        </is>
      </c>
      <c r="F100" s="716" t="inlineStr">
        <is>
          <t>UND</t>
        </is>
      </c>
      <c r="G100" s="717" t="n">
        <v>470</v>
      </c>
      <c r="H100" s="718">
        <f>+G100*1.13</f>
        <v/>
      </c>
      <c r="I100" s="702" t="inlineStr">
        <is>
          <t>✓✓</t>
        </is>
      </c>
    </row>
    <row r="101">
      <c r="A101" s="18" t="n"/>
      <c r="B101" s="36" t="inlineStr">
        <is>
          <t>M04-0034</t>
        </is>
      </c>
      <c r="C101" s="713" t="n"/>
      <c r="D101" s="714" t="n"/>
      <c r="E101" s="721" t="inlineStr">
        <is>
          <t>CANAL U 1 1/2X16X4.88 CAL #20</t>
        </is>
      </c>
      <c r="F101" s="716" t="inlineStr">
        <is>
          <t>UND</t>
        </is>
      </c>
      <c r="G101" s="717" t="n">
        <v>1740</v>
      </c>
      <c r="H101" s="718">
        <f>+G101*1.13</f>
        <v/>
      </c>
      <c r="I101" s="702" t="inlineStr">
        <is>
          <t>✓✓</t>
        </is>
      </c>
    </row>
    <row r="102">
      <c r="A102" s="722" t="n"/>
      <c r="B102" s="36" t="inlineStr">
        <is>
          <t>M04-0035</t>
        </is>
      </c>
      <c r="C102" s="327" t="n"/>
      <c r="D102" s="752" t="n"/>
      <c r="E102" s="721" t="inlineStr">
        <is>
          <t>FURRING CALIBRE 0.36X 3.66 CM</t>
        </is>
      </c>
      <c r="F102" s="716" t="inlineStr">
        <is>
          <t>UND</t>
        </is>
      </c>
      <c r="G102" s="717" t="n">
        <v>1090</v>
      </c>
      <c r="H102" s="718">
        <f>+G102*1.13</f>
        <v/>
      </c>
      <c r="I102" s="702" t="inlineStr">
        <is>
          <t>✓✓</t>
        </is>
      </c>
    </row>
    <row r="103">
      <c r="A103" s="722" t="n"/>
      <c r="B103" s="36" t="inlineStr">
        <is>
          <t>M04-0038</t>
        </is>
      </c>
      <c r="C103" s="713" t="n"/>
      <c r="D103" s="714" t="n"/>
      <c r="E103" s="721" t="inlineStr">
        <is>
          <t>STUD 3X10 CAL#25</t>
        </is>
      </c>
      <c r="F103" s="716" t="inlineStr">
        <is>
          <t>UND</t>
        </is>
      </c>
      <c r="G103" s="717" t="n">
        <v>755.28</v>
      </c>
      <c r="H103" s="718">
        <f>+G103*1.13</f>
        <v/>
      </c>
      <c r="I103" s="702" t="inlineStr">
        <is>
          <t>✓✓</t>
        </is>
      </c>
    </row>
    <row r="104">
      <c r="A104" s="722" t="n"/>
      <c r="B104" s="36" t="inlineStr">
        <is>
          <t>M04-0039</t>
        </is>
      </c>
      <c r="C104" s="713" t="n"/>
      <c r="D104" s="714" t="n"/>
      <c r="E104" s="721" t="inlineStr">
        <is>
          <t>STUD 4X10 CAL#25</t>
        </is>
      </c>
      <c r="F104" s="716" t="inlineStr">
        <is>
          <t>UND</t>
        </is>
      </c>
      <c r="G104" s="717" t="n">
        <v>946.64</v>
      </c>
      <c r="H104" s="718">
        <f>+G104*1.13</f>
        <v/>
      </c>
      <c r="I104" s="702" t="inlineStr">
        <is>
          <t>✓✓</t>
        </is>
      </c>
    </row>
    <row r="105">
      <c r="A105" s="722" t="n"/>
      <c r="B105" s="36" t="inlineStr">
        <is>
          <t>M04-0040</t>
        </is>
      </c>
      <c r="C105" s="713" t="n"/>
      <c r="D105" s="714" t="n"/>
      <c r="E105" s="721" t="inlineStr">
        <is>
          <t>TEE CIELO SUSPENDIDO</t>
        </is>
      </c>
      <c r="F105" s="716" t="inlineStr">
        <is>
          <t>UND</t>
        </is>
      </c>
      <c r="G105" s="717" t="n">
        <v>1515</v>
      </c>
      <c r="H105" s="718">
        <f>+G105*1.13</f>
        <v/>
      </c>
      <c r="I105" s="702" t="inlineStr">
        <is>
          <t>✓✓</t>
        </is>
      </c>
    </row>
    <row r="106">
      <c r="A106" s="722" t="n"/>
      <c r="B106" s="36" t="inlineStr">
        <is>
          <t>M04-0043</t>
        </is>
      </c>
      <c r="C106" s="713" t="n"/>
      <c r="D106" s="714" t="n"/>
      <c r="E106" s="721" t="inlineStr">
        <is>
          <t>TRACK 3X10 CAL#25</t>
        </is>
      </c>
      <c r="F106" s="716" t="inlineStr">
        <is>
          <t>UND</t>
        </is>
      </c>
      <c r="G106" s="717" t="n">
        <v>629.6799999999999</v>
      </c>
      <c r="H106" s="718">
        <f>+G106*1.13</f>
        <v/>
      </c>
      <c r="I106" s="702" t="inlineStr">
        <is>
          <t>✓✓</t>
        </is>
      </c>
    </row>
    <row r="107">
      <c r="A107" s="722" t="n"/>
      <c r="B107" s="36" t="inlineStr">
        <is>
          <t>M04-0044</t>
        </is>
      </c>
      <c r="C107" s="713" t="n"/>
      <c r="D107" s="714" t="n"/>
      <c r="E107" s="721" t="inlineStr">
        <is>
          <t>TRACK 4X10 CAL#25</t>
        </is>
      </c>
      <c r="F107" s="716" t="inlineStr">
        <is>
          <t>UND</t>
        </is>
      </c>
      <c r="G107" s="717" t="n">
        <v>832.02</v>
      </c>
      <c r="H107" s="718">
        <f>+G107*1.13</f>
        <v/>
      </c>
      <c r="I107" s="702" t="inlineStr">
        <is>
          <t>✓✓</t>
        </is>
      </c>
    </row>
    <row r="108">
      <c r="A108" s="749" t="n"/>
      <c r="B108" s="36" t="inlineStr">
        <is>
          <t>M04-0045</t>
        </is>
      </c>
      <c r="C108" s="713" t="n"/>
      <c r="D108" s="714" t="n"/>
      <c r="E108" s="721" t="inlineStr">
        <is>
          <t>CORNIZA PARA TABLILLA PVC BLANCA</t>
        </is>
      </c>
      <c r="F108" s="716" t="inlineStr">
        <is>
          <t>UND</t>
        </is>
      </c>
      <c r="G108" s="717" t="n">
        <v>1971.28</v>
      </c>
      <c r="H108" s="718">
        <f>+G108*1.13</f>
        <v/>
      </c>
      <c r="I108" s="702" t="inlineStr">
        <is>
          <t>✓✓</t>
        </is>
      </c>
    </row>
    <row r="109">
      <c r="A109" s="722" t="n"/>
      <c r="B109" s="36" t="inlineStr">
        <is>
          <t>M04-0047</t>
        </is>
      </c>
      <c r="C109" s="713" t="n"/>
      <c r="D109" s="714" t="n"/>
      <c r="E109" s="721" t="inlineStr">
        <is>
          <t>ESQUINERO PLASTICO 1 1/4X10</t>
        </is>
      </c>
      <c r="F109" s="716" t="inlineStr">
        <is>
          <t>UND</t>
        </is>
      </c>
      <c r="G109" s="717" t="n">
        <v>834</v>
      </c>
      <c r="H109" s="718">
        <f>+G109*1.13</f>
        <v/>
      </c>
      <c r="I109" s="702" t="inlineStr">
        <is>
          <t>✓✓</t>
        </is>
      </c>
    </row>
    <row r="110">
      <c r="A110" s="722" t="n"/>
      <c r="B110" s="36" t="inlineStr">
        <is>
          <t>M04-0051</t>
        </is>
      </c>
      <c r="C110" s="713" t="n"/>
      <c r="D110" s="714" t="n"/>
      <c r="E110" s="721" t="inlineStr">
        <is>
          <t>MOLDURA J PLASTICA 1/2 X 10</t>
        </is>
      </c>
      <c r="F110" s="716" t="inlineStr">
        <is>
          <t>UND</t>
        </is>
      </c>
      <c r="G110" s="717" t="n">
        <v>862</v>
      </c>
      <c r="H110" s="718">
        <f>+G110*1.13</f>
        <v/>
      </c>
      <c r="I110" s="702" t="inlineStr">
        <is>
          <t>✓✓</t>
        </is>
      </c>
    </row>
    <row r="111">
      <c r="A111" s="18" t="n"/>
      <c r="B111" s="36" t="inlineStr">
        <is>
          <t>M04-0053</t>
        </is>
      </c>
      <c r="C111" s="713" t="n"/>
      <c r="D111" s="714" t="n"/>
      <c r="E111" s="721" t="inlineStr">
        <is>
          <t>TABLILLA BLANCA MATE CON DIVISION</t>
        </is>
      </c>
      <c r="F111" s="716" t="inlineStr">
        <is>
          <t>UND</t>
        </is>
      </c>
      <c r="G111" s="717" t="n">
        <v>2500.94</v>
      </c>
      <c r="H111" s="718">
        <f>+G111*1.13</f>
        <v/>
      </c>
      <c r="I111" s="702" t="inlineStr">
        <is>
          <t>✓✓</t>
        </is>
      </c>
    </row>
    <row r="112">
      <c r="A112" s="749" t="n"/>
      <c r="B112" s="36" t="inlineStr">
        <is>
          <t>M04-0055</t>
        </is>
      </c>
      <c r="C112" s="713" t="n"/>
      <c r="D112" s="714" t="n"/>
      <c r="E112" s="721" t="inlineStr">
        <is>
          <t>TABLILLA PVC 0,20 X 5,95 M CAFE CLARO</t>
        </is>
      </c>
      <c r="F112" s="716" t="inlineStr">
        <is>
          <t xml:space="preserve">M2 </t>
        </is>
      </c>
      <c r="G112" s="717" t="n">
        <v>6132.96</v>
      </c>
      <c r="H112" s="718">
        <f>+G112*1.13</f>
        <v/>
      </c>
      <c r="I112" s="702" t="inlineStr">
        <is>
          <t>✓✓</t>
        </is>
      </c>
    </row>
    <row r="113">
      <c r="A113" s="722" t="n"/>
      <c r="B113" s="36" t="inlineStr">
        <is>
          <t>M05-0006</t>
        </is>
      </c>
      <c r="C113" s="713" t="n"/>
      <c r="D113" s="714" t="n"/>
      <c r="E113" s="721" t="inlineStr">
        <is>
          <t>CONECTOR DE BARRIL PARA 1/0 CU-AL</t>
        </is>
      </c>
      <c r="F113" s="716" t="inlineStr">
        <is>
          <t>UND</t>
        </is>
      </c>
      <c r="G113" s="717" t="n">
        <v>2166.57</v>
      </c>
      <c r="H113" s="718">
        <f>+G113*1.13</f>
        <v/>
      </c>
      <c r="I113" s="702" t="inlineStr">
        <is>
          <t>✓✓</t>
        </is>
      </c>
    </row>
    <row r="114">
      <c r="A114" s="722" t="n"/>
      <c r="B114" s="36" t="inlineStr">
        <is>
          <t>M05-0007</t>
        </is>
      </c>
      <c r="C114" s="713" t="n"/>
      <c r="D114" s="714" t="n"/>
      <c r="E114" s="721" t="inlineStr">
        <is>
          <t>CONECTOR DERIVADOR 12-10 AWG IDC 562 562 AMARILLO</t>
        </is>
      </c>
      <c r="F114" s="716" t="inlineStr">
        <is>
          <t>CAJA</t>
        </is>
      </c>
      <c r="G114" s="717" t="n">
        <v>103.27</v>
      </c>
      <c r="H114" s="718">
        <f>+G114*1.13</f>
        <v/>
      </c>
      <c r="I114" s="702" t="inlineStr">
        <is>
          <t>✓✓</t>
        </is>
      </c>
    </row>
    <row r="115">
      <c r="A115" s="722" t="n"/>
      <c r="B115" s="36" t="inlineStr">
        <is>
          <t>M05-0008</t>
        </is>
      </c>
      <c r="C115" s="713" t="n"/>
      <c r="D115" s="714" t="n"/>
      <c r="E115" s="721" t="inlineStr">
        <is>
          <t>CONECTOR RESORTE ROJO</t>
        </is>
      </c>
      <c r="F115" s="716" t="inlineStr">
        <is>
          <t>UND</t>
        </is>
      </c>
      <c r="G115" s="717" t="n">
        <v>95.58</v>
      </c>
      <c r="H115" s="718">
        <f>+G115*1.13</f>
        <v/>
      </c>
      <c r="I115" s="702" t="inlineStr">
        <is>
          <t>✓✓</t>
        </is>
      </c>
    </row>
    <row r="116">
      <c r="A116" s="722" t="n"/>
      <c r="B116" s="36" t="inlineStr">
        <is>
          <t>M05-0009</t>
        </is>
      </c>
      <c r="C116" s="713" t="n"/>
      <c r="D116" s="714" t="n"/>
      <c r="E116" s="721" t="inlineStr">
        <is>
          <t>CONECTOR COAXIAL TIPO F BLANCO COOPER</t>
        </is>
      </c>
      <c r="F116" s="716" t="inlineStr">
        <is>
          <t>UND</t>
        </is>
      </c>
      <c r="G116" s="717" t="n">
        <v>844.5700000000001</v>
      </c>
      <c r="H116" s="718">
        <f>+G116*1.13</f>
        <v/>
      </c>
      <c r="I116" s="702" t="inlineStr">
        <is>
          <t>✓✓</t>
        </is>
      </c>
    </row>
    <row r="117">
      <c r="A117" s="722" t="n"/>
      <c r="B117" s="36" t="inlineStr">
        <is>
          <t>M05-0010</t>
        </is>
      </c>
      <c r="C117" s="713" t="n"/>
      <c r="D117" s="714" t="n"/>
      <c r="E117" s="721" t="inlineStr">
        <is>
          <t>CONECTOR FITTING RG6 P/COAXIAL 100% MALLA</t>
        </is>
      </c>
      <c r="F117" s="716" t="inlineStr">
        <is>
          <t>UND</t>
        </is>
      </c>
      <c r="G117" s="717" t="n">
        <v>440</v>
      </c>
      <c r="H117" s="718">
        <f>+G117*1.13</f>
        <v/>
      </c>
      <c r="I117" s="702" t="inlineStr">
        <is>
          <t>✓✓</t>
        </is>
      </c>
    </row>
    <row r="118">
      <c r="A118" s="722" t="n"/>
      <c r="B118" s="36" t="inlineStr">
        <is>
          <t>M05-0011</t>
        </is>
      </c>
      <c r="C118" s="713" t="n"/>
      <c r="D118" s="714" t="n"/>
      <c r="E118" s="721" t="inlineStr">
        <is>
          <t>CONECTOR RESORTE AMARILLO</t>
        </is>
      </c>
      <c r="F118" s="716" t="inlineStr">
        <is>
          <t>CAJA</t>
        </is>
      </c>
      <c r="G118" s="717" t="n">
        <v>79.38</v>
      </c>
      <c r="H118" s="718">
        <f>+G118*1.13</f>
        <v/>
      </c>
      <c r="I118" s="702" t="inlineStr">
        <is>
          <t>✓✓</t>
        </is>
      </c>
    </row>
    <row r="119">
      <c r="A119" s="722" t="n"/>
      <c r="B119" s="36" t="inlineStr">
        <is>
          <t>M05-0012</t>
        </is>
      </c>
      <c r="C119" s="713" t="n"/>
      <c r="D119" s="714" t="n"/>
      <c r="E119" s="721" t="inlineStr">
        <is>
          <t>CONECTOR HEMBRA RJ45 CAT5 BLANCO</t>
        </is>
      </c>
      <c r="F119" s="716" t="inlineStr">
        <is>
          <t>UND</t>
        </is>
      </c>
      <c r="G119" s="717" t="n">
        <v>855.46</v>
      </c>
      <c r="H119" s="718">
        <f>+G119*1.13</f>
        <v/>
      </c>
      <c r="I119" s="702" t="inlineStr">
        <is>
          <t>✓✓</t>
        </is>
      </c>
    </row>
    <row r="120">
      <c r="A120" s="722" t="n"/>
      <c r="B120" s="36" t="inlineStr">
        <is>
          <t>M05-0013</t>
        </is>
      </c>
      <c r="C120" s="713" t="n"/>
      <c r="D120" s="714" t="n"/>
      <c r="E120" s="721" t="inlineStr">
        <is>
          <t>GABINETE 15" PLASTICO UL</t>
        </is>
      </c>
      <c r="F120" s="716" t="inlineStr">
        <is>
          <t>UND</t>
        </is>
      </c>
      <c r="G120" s="717" t="n">
        <v>42930</v>
      </c>
      <c r="H120" s="718">
        <f>+G120*1.13</f>
        <v/>
      </c>
      <c r="I120" s="702" t="inlineStr">
        <is>
          <t>✓✓</t>
        </is>
      </c>
    </row>
    <row r="121">
      <c r="A121" s="722" t="n"/>
      <c r="B121" s="36" t="inlineStr">
        <is>
          <t>M05-0014</t>
        </is>
      </c>
      <c r="C121" s="713" t="n"/>
      <c r="D121" s="714" t="n"/>
      <c r="E121" s="721" t="inlineStr">
        <is>
          <t>GAZA P/VARILLA COPPERWELD USA UL</t>
        </is>
      </c>
      <c r="F121" s="716" t="inlineStr">
        <is>
          <t>UND</t>
        </is>
      </c>
      <c r="G121" s="717" t="n">
        <v>825.8200000000001</v>
      </c>
      <c r="H121" s="718">
        <f>+G121*1.13</f>
        <v/>
      </c>
      <c r="I121" s="702" t="inlineStr">
        <is>
          <t>✓✓</t>
        </is>
      </c>
    </row>
    <row r="122">
      <c r="A122" s="731" t="inlineStr">
        <is>
          <t>MAT04-0047 MAXIEMPASTE LISO 25KG</t>
        </is>
      </c>
      <c r="B122" s="36" t="inlineStr">
        <is>
          <t>M05-0015</t>
        </is>
      </c>
      <c r="C122" s="713" t="n"/>
      <c r="D122" s="714" t="n"/>
      <c r="E122" s="721" t="inlineStr">
        <is>
          <t>TAPA CIEGA PARA CAJA OCTAGONAL</t>
        </is>
      </c>
      <c r="F122" s="716" t="inlineStr">
        <is>
          <t>UND</t>
        </is>
      </c>
      <c r="G122" s="717" t="n">
        <v>138.07</v>
      </c>
      <c r="H122" s="718">
        <f>+G122*1.13</f>
        <v/>
      </c>
      <c r="I122" s="702" t="n"/>
    </row>
    <row r="123">
      <c r="A123" s="722" t="n"/>
      <c r="B123" s="36" t="inlineStr">
        <is>
          <t>M05-0016</t>
        </is>
      </c>
      <c r="C123" s="713" t="n"/>
      <c r="D123" s="714" t="n"/>
      <c r="E123" s="721" t="inlineStr">
        <is>
          <t>TAPA CIEGA BLANCA 2X4</t>
        </is>
      </c>
      <c r="F123" s="716" t="inlineStr">
        <is>
          <t>UND</t>
        </is>
      </c>
      <c r="G123" s="717" t="n">
        <v>404.42</v>
      </c>
      <c r="H123" s="718">
        <f>+G123*1.13</f>
        <v/>
      </c>
      <c r="I123" s="702" t="inlineStr">
        <is>
          <t>✓✓</t>
        </is>
      </c>
    </row>
    <row r="124">
      <c r="A124" s="722" t="n"/>
      <c r="B124" s="36" t="inlineStr">
        <is>
          <t>M05-0017</t>
        </is>
      </c>
      <c r="C124" s="713" t="n"/>
      <c r="D124" s="714" t="n"/>
      <c r="E124" s="721" t="inlineStr">
        <is>
          <t>TAPE ELECTRICO BLANCO EATON</t>
        </is>
      </c>
      <c r="F124" s="716" t="inlineStr">
        <is>
          <t>UND</t>
        </is>
      </c>
      <c r="G124" s="717" t="n">
        <v>714.58</v>
      </c>
      <c r="H124" s="718">
        <f>+G124*1.13</f>
        <v/>
      </c>
      <c r="I124" s="702" t="inlineStr">
        <is>
          <t>✓✓</t>
        </is>
      </c>
    </row>
    <row r="125">
      <c r="A125" s="722" t="n"/>
      <c r="B125" s="36" t="inlineStr">
        <is>
          <t>M05-0018</t>
        </is>
      </c>
      <c r="C125" s="713" t="n"/>
      <c r="D125" s="714" t="n"/>
      <c r="E125" s="721" t="inlineStr">
        <is>
          <t>TAPE ELECTRICO VERDE EATON</t>
        </is>
      </c>
      <c r="F125" s="716" t="inlineStr">
        <is>
          <t>UND</t>
        </is>
      </c>
      <c r="G125" s="717" t="n">
        <v>705.54</v>
      </c>
      <c r="H125" s="718">
        <f>+G125*1.13</f>
        <v/>
      </c>
      <c r="I125" s="702" t="inlineStr">
        <is>
          <t>✓✓</t>
        </is>
      </c>
    </row>
    <row r="126">
      <c r="A126" s="722" t="n"/>
      <c r="B126" s="36" t="inlineStr">
        <is>
          <t>M05-0019</t>
        </is>
      </c>
      <c r="C126" s="713" t="n"/>
      <c r="D126" s="714" t="n"/>
      <c r="E126" s="721" t="inlineStr">
        <is>
          <t>TAPE NEGRO SUPER 33+3M 19MM</t>
        </is>
      </c>
      <c r="F126" s="716" t="inlineStr">
        <is>
          <t>UND</t>
        </is>
      </c>
      <c r="G126" s="717" t="n">
        <v>2239.65</v>
      </c>
      <c r="H126" s="718">
        <f>+G126*1.13</f>
        <v/>
      </c>
      <c r="I126" s="702" t="inlineStr">
        <is>
          <t>✓✓</t>
        </is>
      </c>
    </row>
    <row r="127">
      <c r="A127" s="722" t="n"/>
      <c r="B127" s="36" t="inlineStr">
        <is>
          <t>M05-0021</t>
        </is>
      </c>
      <c r="C127" s="713" t="n"/>
      <c r="D127" s="714" t="n"/>
      <c r="E127" s="721" t="inlineStr">
        <is>
          <t>VARILLA COOPERWELL 5/8 3M</t>
        </is>
      </c>
      <c r="F127" s="716" t="inlineStr">
        <is>
          <t>UND</t>
        </is>
      </c>
      <c r="G127" s="717" t="n">
        <v>9372</v>
      </c>
      <c r="H127" s="718">
        <f>+G127*1.13</f>
        <v/>
      </c>
      <c r="I127" s="702" t="inlineStr">
        <is>
          <t>✓✓</t>
        </is>
      </c>
    </row>
    <row r="128">
      <c r="A128" s="722" t="n"/>
      <c r="B128" s="36" t="inlineStr">
        <is>
          <t>M05-0023</t>
        </is>
      </c>
      <c r="C128" s="713" t="n"/>
      <c r="D128" s="714" t="n"/>
      <c r="E128" s="721" t="inlineStr">
        <is>
          <t>CONECTOR DE RESORTE 3M AZUL</t>
        </is>
      </c>
      <c r="F128" s="716" t="inlineStr">
        <is>
          <t>UND</t>
        </is>
      </c>
      <c r="G128" s="717" t="n">
        <v>256</v>
      </c>
      <c r="H128" s="718">
        <f>+G128*1.13</f>
        <v/>
      </c>
      <c r="I128" s="702" t="inlineStr">
        <is>
          <t>✓✓</t>
        </is>
      </c>
    </row>
    <row r="129">
      <c r="A129" s="722" t="n"/>
      <c r="B129" s="36" t="inlineStr">
        <is>
          <t>M05-0024</t>
        </is>
      </c>
      <c r="C129" s="713" t="n"/>
      <c r="D129" s="714" t="n"/>
      <c r="E129" s="721" t="inlineStr">
        <is>
          <t>CONECTOR MACHO RJ45</t>
        </is>
      </c>
      <c r="F129" s="716" t="inlineStr">
        <is>
          <t>UND</t>
        </is>
      </c>
      <c r="G129" s="717" t="n">
        <v>202.02</v>
      </c>
      <c r="H129" s="718">
        <f>+G129*1.13</f>
        <v/>
      </c>
      <c r="I129" s="702" t="inlineStr">
        <is>
          <t>✓✓</t>
        </is>
      </c>
    </row>
    <row r="130">
      <c r="A130" s="722" t="n"/>
      <c r="B130" s="36" t="inlineStr">
        <is>
          <t>M05-0026</t>
        </is>
      </c>
      <c r="C130" s="713" t="n"/>
      <c r="D130" s="714" t="n"/>
      <c r="E130" s="721" t="inlineStr">
        <is>
          <t>ENCHUFE PARA EXTENSION MACHO</t>
        </is>
      </c>
      <c r="F130" s="716" t="inlineStr">
        <is>
          <t>UND</t>
        </is>
      </c>
      <c r="G130" s="717" t="n">
        <v>708.14</v>
      </c>
      <c r="H130" s="718">
        <f>+G130*1.13</f>
        <v/>
      </c>
      <c r="I130" s="702" t="inlineStr">
        <is>
          <t>✓✓</t>
        </is>
      </c>
    </row>
    <row r="131">
      <c r="A131" s="722" t="n"/>
      <c r="B131" s="36" t="inlineStr">
        <is>
          <t>M05-0026</t>
        </is>
      </c>
      <c r="C131" s="713" t="n"/>
      <c r="D131" s="714" t="n"/>
      <c r="E131" s="721" t="inlineStr">
        <is>
          <t>ENCHUFE PARA EXTENSION MACHO</t>
        </is>
      </c>
      <c r="F131" s="716" t="inlineStr">
        <is>
          <t>UND</t>
        </is>
      </c>
      <c r="G131" s="717" t="n">
        <v>7470.66</v>
      </c>
      <c r="H131" s="718">
        <f>+G131*1.13</f>
        <v/>
      </c>
      <c r="I131" s="702" t="inlineStr">
        <is>
          <t>✓✓</t>
        </is>
      </c>
    </row>
    <row r="132">
      <c r="A132" s="722" t="n"/>
      <c r="B132" s="36" t="inlineStr">
        <is>
          <t>M05-0027</t>
        </is>
      </c>
      <c r="C132" s="713" t="n"/>
      <c r="D132" s="714" t="n"/>
      <c r="E132" s="721" t="inlineStr">
        <is>
          <t>ENCHUFE PARA EXTENSION HEMBRA</t>
        </is>
      </c>
      <c r="F132" s="716" t="inlineStr">
        <is>
          <t>UND</t>
        </is>
      </c>
      <c r="G132" s="717" t="n">
        <v>885.17</v>
      </c>
      <c r="H132" s="718">
        <f>+G132*1.13</f>
        <v/>
      </c>
      <c r="I132" s="702" t="inlineStr">
        <is>
          <t>✓✓</t>
        </is>
      </c>
    </row>
    <row r="133">
      <c r="A133" s="722" t="n"/>
      <c r="B133" s="36" t="inlineStr">
        <is>
          <t>M05-0027</t>
        </is>
      </c>
      <c r="C133" s="713" t="n"/>
      <c r="D133" s="714" t="n"/>
      <c r="E133" s="721" t="inlineStr">
        <is>
          <t>ENCHUFE PARA EXTENSION HEMBRA</t>
        </is>
      </c>
      <c r="F133" s="716" t="inlineStr">
        <is>
          <t>UND</t>
        </is>
      </c>
      <c r="G133" s="717" t="n">
        <v>4749.3</v>
      </c>
      <c r="H133" s="718">
        <f>+G133*1.13</f>
        <v/>
      </c>
      <c r="I133" s="702" t="inlineStr">
        <is>
          <t>✓✓</t>
        </is>
      </c>
    </row>
    <row r="134">
      <c r="A134" s="731" t="inlineStr">
        <is>
          <t xml:space="preserve">MAT04-0061 FIBRA DE VIDRIO </t>
        </is>
      </c>
      <c r="B134" s="36" t="inlineStr">
        <is>
          <t>M05-0035</t>
        </is>
      </c>
      <c r="C134" s="713" t="n"/>
      <c r="D134" s="714" t="n"/>
      <c r="E134" s="721" t="inlineStr">
        <is>
          <t>CONECTOR DE COMPRESION #2</t>
        </is>
      </c>
      <c r="F134" s="716" t="inlineStr">
        <is>
          <t>UND</t>
        </is>
      </c>
      <c r="G134" s="717" t="n">
        <v>437.5</v>
      </c>
      <c r="H134" s="718">
        <f>+G134*1.13</f>
        <v/>
      </c>
      <c r="I134" s="46" t="n"/>
    </row>
    <row r="135">
      <c r="A135" s="722" t="n"/>
      <c r="B135" s="36" t="inlineStr">
        <is>
          <t>M05-0036</t>
        </is>
      </c>
      <c r="C135" s="713" t="n"/>
      <c r="D135" s="714" t="n"/>
      <c r="E135" s="721" t="inlineStr">
        <is>
          <t>CONECTOR DE COMPRESION #4</t>
        </is>
      </c>
      <c r="F135" s="716" t="inlineStr">
        <is>
          <t>UND</t>
        </is>
      </c>
      <c r="G135" s="717" t="n">
        <v>1350</v>
      </c>
      <c r="H135" s="718">
        <f>+G135*1.13</f>
        <v/>
      </c>
      <c r="I135" s="702" t="inlineStr">
        <is>
          <t>✓✓</t>
        </is>
      </c>
    </row>
    <row r="136">
      <c r="A136" s="722" t="n"/>
      <c r="B136" s="36" t="inlineStr">
        <is>
          <t>M05-0036</t>
        </is>
      </c>
      <c r="C136" s="713" t="n"/>
      <c r="D136" s="714" t="n"/>
      <c r="E136" s="721" t="inlineStr">
        <is>
          <t>CONECTOR DE COMPRESION #4</t>
        </is>
      </c>
      <c r="F136" s="716" t="inlineStr">
        <is>
          <t>UND</t>
        </is>
      </c>
      <c r="G136" s="717" t="inlineStr">
        <is>
          <t>error</t>
        </is>
      </c>
      <c r="H136" s="718">
        <f>+G136*1.13</f>
        <v/>
      </c>
      <c r="I136" s="702" t="inlineStr">
        <is>
          <t>✓✓</t>
        </is>
      </c>
    </row>
    <row r="137">
      <c r="A137" s="722" t="n"/>
      <c r="B137" s="36" t="inlineStr">
        <is>
          <t>M05-0043</t>
        </is>
      </c>
      <c r="C137" s="713" t="n"/>
      <c r="D137" s="714" t="n"/>
      <c r="E137" s="721" t="inlineStr">
        <is>
          <t>CONECTOR COMPRESION #1 6-2 YHO-100</t>
        </is>
      </c>
      <c r="F137" s="716" t="inlineStr">
        <is>
          <t>UND</t>
        </is>
      </c>
      <c r="G137" s="717" t="n">
        <v>406.25</v>
      </c>
      <c r="H137" s="718">
        <f>+G137*1.13</f>
        <v/>
      </c>
      <c r="I137" s="702" t="inlineStr">
        <is>
          <t>✓✓</t>
        </is>
      </c>
    </row>
    <row r="138">
      <c r="A138" s="722" t="n"/>
      <c r="B138" s="36" t="inlineStr">
        <is>
          <t>M05-0055</t>
        </is>
      </c>
      <c r="C138" s="713" t="n"/>
      <c r="D138" s="714" t="n"/>
      <c r="E138" s="721" t="inlineStr">
        <is>
          <t>CAJA INTEMPERIE 4X4</t>
        </is>
      </c>
      <c r="F138" s="716" t="inlineStr">
        <is>
          <t>UND</t>
        </is>
      </c>
      <c r="G138" s="717" t="n">
        <v>2184</v>
      </c>
      <c r="H138" s="718">
        <f>+G138*1.13</f>
        <v/>
      </c>
      <c r="I138" s="702" t="inlineStr">
        <is>
          <t>✓✓</t>
        </is>
      </c>
    </row>
    <row r="139">
      <c r="A139" s="722" t="n"/>
      <c r="B139" s="36" t="inlineStr">
        <is>
          <t>M05-0063</t>
        </is>
      </c>
      <c r="C139" s="713" t="n"/>
      <c r="D139" s="714" t="n"/>
      <c r="E139" s="721" t="inlineStr">
        <is>
          <t>CONECTOR DE COMPRESION DE ALUMINIO #3</t>
        </is>
      </c>
      <c r="F139" s="716" t="inlineStr">
        <is>
          <t>UND</t>
        </is>
      </c>
      <c r="G139" s="717" t="n">
        <v>750</v>
      </c>
      <c r="H139" s="718">
        <f>+G139*1.13</f>
        <v/>
      </c>
      <c r="I139" s="702" t="inlineStr">
        <is>
          <t>✓✓</t>
        </is>
      </c>
    </row>
    <row r="140">
      <c r="A140" s="722" t="n"/>
      <c r="B140" s="36" t="inlineStr">
        <is>
          <t>M05-0075</t>
        </is>
      </c>
      <c r="C140" s="713" t="n"/>
      <c r="D140" s="714" t="n"/>
      <c r="E140" s="721" t="inlineStr">
        <is>
          <t>CONECTOR MANGUITO</t>
        </is>
      </c>
      <c r="F140" s="716" t="inlineStr">
        <is>
          <t>UND</t>
        </is>
      </c>
      <c r="G140" s="717" t="n">
        <v>335.37</v>
      </c>
      <c r="H140" s="718">
        <f>+G140*1.13</f>
        <v/>
      </c>
      <c r="I140" s="702" t="inlineStr">
        <is>
          <t>✓✓</t>
        </is>
      </c>
    </row>
    <row r="141">
      <c r="A141" s="731" t="inlineStr">
        <is>
          <t>MAT04-0081 MURO SECO PUMA</t>
        </is>
      </c>
      <c r="B141" s="36" t="inlineStr">
        <is>
          <t>M05-0077</t>
        </is>
      </c>
      <c r="C141" s="713" t="n"/>
      <c r="D141" s="714" t="n"/>
      <c r="E141" s="721" t="inlineStr">
        <is>
          <t>BARRAS TIERRA BT8 4-8P</t>
        </is>
      </c>
      <c r="F141" s="716" t="inlineStr">
        <is>
          <t>UND</t>
        </is>
      </c>
      <c r="G141" s="717" t="n">
        <v>2213.77</v>
      </c>
      <c r="H141" s="718">
        <f>+G141*1.13</f>
        <v/>
      </c>
    </row>
    <row r="142">
      <c r="A142" s="722" t="n"/>
      <c r="B142" s="36" t="inlineStr">
        <is>
          <t>M05-0079</t>
        </is>
      </c>
      <c r="C142" s="713" t="n"/>
      <c r="D142" s="714" t="n"/>
      <c r="E142" s="721" t="inlineStr">
        <is>
          <t>SUPRESOR DE PICOS</t>
        </is>
      </c>
      <c r="F142" s="716" t="inlineStr">
        <is>
          <t>UND</t>
        </is>
      </c>
      <c r="G142" s="717" t="n">
        <v>53667.22</v>
      </c>
      <c r="H142" s="718">
        <f>+G142*1.13</f>
        <v/>
      </c>
      <c r="I142" s="702" t="inlineStr">
        <is>
          <t>✓✓</t>
        </is>
      </c>
    </row>
    <row r="143">
      <c r="A143" s="722" t="n"/>
      <c r="B143" s="36" t="inlineStr">
        <is>
          <t xml:space="preserve">M05-0079 </t>
        </is>
      </c>
      <c r="C143" s="713" t="n"/>
      <c r="D143" s="714" t="n"/>
      <c r="E143" s="721" t="inlineStr">
        <is>
          <t>SUPRESOR DE PICOS</t>
        </is>
      </c>
      <c r="F143" s="716" t="inlineStr">
        <is>
          <t>UND</t>
        </is>
      </c>
      <c r="G143" s="717">
        <f>100.76*tc</f>
        <v/>
      </c>
      <c r="H143" s="718">
        <f>+G143*1.13</f>
        <v/>
      </c>
      <c r="I143" s="702" t="inlineStr">
        <is>
          <t>✓✓</t>
        </is>
      </c>
    </row>
    <row r="144">
      <c r="A144" s="722" t="n"/>
      <c r="B144" s="36" t="inlineStr">
        <is>
          <t>M05-0160</t>
        </is>
      </c>
      <c r="C144" s="713" t="n"/>
      <c r="D144" s="714" t="n"/>
      <c r="E144" s="721" t="inlineStr">
        <is>
          <t>CAJA RECTANGULAR INTEMPERIE B5V 3HUECOS 1/2" (UL)</t>
        </is>
      </c>
      <c r="F144" s="716" t="inlineStr">
        <is>
          <t>UND</t>
        </is>
      </c>
      <c r="G144" s="717" t="n">
        <v>1246.83</v>
      </c>
      <c r="H144" s="718">
        <f>+G144*1.13</f>
        <v/>
      </c>
      <c r="I144" s="702" t="inlineStr">
        <is>
          <t>✓✓</t>
        </is>
      </c>
    </row>
    <row r="145">
      <c r="A145" s="722" t="n"/>
      <c r="B145" s="36" t="inlineStr">
        <is>
          <t>M05-0223</t>
        </is>
      </c>
      <c r="C145" s="713" t="n"/>
      <c r="D145" s="714" t="n"/>
      <c r="E145" s="721" t="inlineStr">
        <is>
          <t>CAJA SENCILLA  EMT CUADRADA 1/2 Y 3/4</t>
        </is>
      </c>
      <c r="F145" s="716" t="inlineStr">
        <is>
          <t>UND</t>
        </is>
      </c>
      <c r="G145" s="717" t="n">
        <v>400.95</v>
      </c>
      <c r="H145" s="718">
        <f>+G145*1.13</f>
        <v/>
      </c>
      <c r="I145" s="702" t="inlineStr">
        <is>
          <t>✓✓</t>
        </is>
      </c>
    </row>
    <row r="146">
      <c r="A146" s="722" t="n"/>
      <c r="B146" s="36" t="inlineStr">
        <is>
          <t>M05-0230</t>
        </is>
      </c>
      <c r="C146" s="713" t="n"/>
      <c r="D146" s="714" t="n"/>
      <c r="E146" s="721" t="inlineStr">
        <is>
          <t>ADAPT SECILLO 1 MODULO 5521-5EW  DECORADOR BLANCO</t>
        </is>
      </c>
      <c r="F146" s="716" t="inlineStr">
        <is>
          <t>UND</t>
        </is>
      </c>
      <c r="G146" s="717" t="n">
        <v>853.54</v>
      </c>
      <c r="H146" s="718">
        <f>+G146*1.13</f>
        <v/>
      </c>
      <c r="I146" s="702" t="inlineStr">
        <is>
          <t>✓✓</t>
        </is>
      </c>
    </row>
    <row r="147">
      <c r="A147" s="722" t="n"/>
      <c r="B147" s="36" t="inlineStr">
        <is>
          <t>M05-0231</t>
        </is>
      </c>
      <c r="C147" s="713" t="n"/>
      <c r="D147" s="714" t="n"/>
      <c r="E147" s="721" t="inlineStr">
        <is>
          <t>ADAPTA DOBLE 2 MODULOS 5522-5EW DECORADOR BLANCO</t>
        </is>
      </c>
      <c r="F147" s="716" t="inlineStr">
        <is>
          <t>UND</t>
        </is>
      </c>
      <c r="G147" s="717" t="n">
        <v>2120</v>
      </c>
      <c r="H147" s="718">
        <f>+G147*1.13</f>
        <v/>
      </c>
      <c r="I147" s="702" t="inlineStr">
        <is>
          <t>✓✓</t>
        </is>
      </c>
    </row>
    <row r="148">
      <c r="A148" s="722" t="n"/>
      <c r="B148" s="36" t="inlineStr">
        <is>
          <t>M05-0232</t>
        </is>
      </c>
      <c r="C148" s="713" t="n"/>
      <c r="D148" s="714" t="n"/>
      <c r="E148" s="721" t="inlineStr">
        <is>
          <t>APAGADOR DOBLE 15A 120 DECO</t>
        </is>
      </c>
      <c r="F148" s="716" t="inlineStr">
        <is>
          <t>UND</t>
        </is>
      </c>
      <c r="G148" s="717" t="n">
        <v>2396</v>
      </c>
      <c r="H148" s="718">
        <f>+G148*1.13</f>
        <v/>
      </c>
      <c r="I148" s="702" t="inlineStr">
        <is>
          <t>✓✓</t>
        </is>
      </c>
    </row>
    <row r="149">
      <c r="A149" s="722" t="n"/>
      <c r="B149" s="36" t="inlineStr">
        <is>
          <t>M05-0233</t>
        </is>
      </c>
      <c r="C149" s="713" t="n"/>
      <c r="D149" s="714" t="n"/>
      <c r="E149" s="721" t="inlineStr">
        <is>
          <t xml:space="preserve">APAGADOR DOBLE TRIWAY </t>
        </is>
      </c>
      <c r="F149" s="716" t="inlineStr">
        <is>
          <t>UND</t>
        </is>
      </c>
      <c r="G149" s="717" t="n">
        <v>5672.23</v>
      </c>
      <c r="H149" s="718">
        <f>+G149*1.13</f>
        <v/>
      </c>
      <c r="I149" s="702" t="inlineStr">
        <is>
          <t>✓✓</t>
        </is>
      </c>
    </row>
    <row r="150">
      <c r="A150" s="722" t="n"/>
      <c r="B150" s="36" t="inlineStr">
        <is>
          <t>M05-0234</t>
        </is>
      </c>
      <c r="C150" s="713" t="n"/>
      <c r="D150" s="714" t="n"/>
      <c r="E150" s="721" t="inlineStr">
        <is>
          <t>APAGADOR SENCILLO 15A 120 DECO</t>
        </is>
      </c>
      <c r="F150" s="716" t="inlineStr">
        <is>
          <t>UND</t>
        </is>
      </c>
      <c r="G150" s="717" t="n">
        <v>882.9</v>
      </c>
      <c r="H150" s="718">
        <f>+G150*1.13</f>
        <v/>
      </c>
      <c r="I150" s="702" t="inlineStr">
        <is>
          <t>✓✓</t>
        </is>
      </c>
    </row>
    <row r="151">
      <c r="A151" s="722" t="n"/>
      <c r="B151" s="36" t="inlineStr">
        <is>
          <t>M05-0235</t>
        </is>
      </c>
      <c r="C151" s="713" t="n"/>
      <c r="D151" s="714" t="n"/>
      <c r="E151" s="721" t="inlineStr">
        <is>
          <t>APAGADOR SENCILLO TRIWAY</t>
        </is>
      </c>
      <c r="F151" s="716" t="inlineStr">
        <is>
          <t>UND</t>
        </is>
      </c>
      <c r="G151" s="717" t="n">
        <v>1336</v>
      </c>
      <c r="H151" s="718">
        <f>+G151*1.13</f>
        <v/>
      </c>
      <c r="I151" s="702" t="inlineStr">
        <is>
          <t>✓✓</t>
        </is>
      </c>
    </row>
    <row r="152">
      <c r="A152" s="722" t="n"/>
      <c r="B152" s="36" t="inlineStr">
        <is>
          <t>M05-0236</t>
        </is>
      </c>
      <c r="C152" s="713" t="n"/>
      <c r="D152" s="714" t="n"/>
      <c r="E152" s="721" t="inlineStr">
        <is>
          <t>APAGADOR TRIPLE 15A 120 DECO</t>
        </is>
      </c>
      <c r="F152" s="716" t="inlineStr">
        <is>
          <t>UND</t>
        </is>
      </c>
      <c r="G152" s="717" t="n">
        <v>2596</v>
      </c>
      <c r="H152" s="718">
        <f>+G152*1.13</f>
        <v/>
      </c>
      <c r="I152" s="702" t="inlineStr">
        <is>
          <t>✓✓</t>
        </is>
      </c>
    </row>
    <row r="153">
      <c r="A153" s="722" t="n"/>
      <c r="B153" s="36" t="inlineStr">
        <is>
          <t>M05-0238</t>
        </is>
      </c>
      <c r="C153" s="713" t="n"/>
      <c r="D153" s="714" t="n"/>
      <c r="E153" s="721" t="inlineStr">
        <is>
          <t>PLACA INTEMP. P/TOMA 3726-SC SIERRA</t>
        </is>
      </c>
      <c r="F153" s="716" t="inlineStr">
        <is>
          <t>UND</t>
        </is>
      </c>
      <c r="G153" s="717" t="n">
        <v>2702.65</v>
      </c>
      <c r="H153" s="718">
        <f>+G153*1.13</f>
        <v/>
      </c>
      <c r="I153" s="702" t="inlineStr">
        <is>
          <t>✓✓</t>
        </is>
      </c>
    </row>
    <row r="154">
      <c r="A154" s="722" t="n"/>
      <c r="B154" s="36" t="inlineStr">
        <is>
          <t>M05-0239</t>
        </is>
      </c>
      <c r="C154" s="713" t="n"/>
      <c r="D154" s="714" t="n"/>
      <c r="E154" s="721" t="inlineStr">
        <is>
          <t>PLACA ACERO INOXIDABLE P/TOMA 50A 2 GANG CUADRADA</t>
        </is>
      </c>
      <c r="F154" s="716" t="inlineStr">
        <is>
          <t>UND</t>
        </is>
      </c>
      <c r="G154" s="717" t="n">
        <v>787.8200000000001</v>
      </c>
      <c r="H154" s="718">
        <f>+G154*1.13</f>
        <v/>
      </c>
      <c r="I154" s="702" t="inlineStr">
        <is>
          <t>✓✓</t>
        </is>
      </c>
    </row>
    <row r="155">
      <c r="A155" s="722" t="n"/>
      <c r="B155" s="36" t="inlineStr">
        <is>
          <t>M05-0239</t>
        </is>
      </c>
      <c r="C155" s="713" t="n"/>
      <c r="D155" s="714" t="n"/>
      <c r="E155" s="721" t="inlineStr">
        <is>
          <t>PLACA ACERO INOXIDABLE P/TOMA 50A 2 GANG CUADRADA</t>
        </is>
      </c>
      <c r="F155" s="716" t="inlineStr">
        <is>
          <t>UND</t>
        </is>
      </c>
      <c r="G155" s="717" t="n">
        <v>3200</v>
      </c>
      <c r="H155" s="718">
        <f>+G155*1.13</f>
        <v/>
      </c>
      <c r="I155" s="702" t="inlineStr">
        <is>
          <t>✓✓</t>
        </is>
      </c>
    </row>
    <row r="156">
      <c r="A156" s="722" t="n"/>
      <c r="B156" s="36" t="inlineStr">
        <is>
          <t>M05-0240</t>
        </is>
      </c>
      <c r="C156" s="713" t="n"/>
      <c r="D156" s="714" t="n"/>
      <c r="E156" s="721" t="inlineStr">
        <is>
          <t>PLACA DECORATOR BLANCA 1 GANG ROYER</t>
        </is>
      </c>
      <c r="F156" s="716" t="inlineStr">
        <is>
          <t>UND</t>
        </is>
      </c>
      <c r="G156" s="717" t="n">
        <v>464.51</v>
      </c>
      <c r="H156" s="718">
        <f>+G156*1.13</f>
        <v/>
      </c>
      <c r="I156" s="702" t="inlineStr">
        <is>
          <t>✓✓</t>
        </is>
      </c>
    </row>
    <row r="157">
      <c r="A157" s="722" t="n"/>
      <c r="B157" s="36" t="inlineStr">
        <is>
          <t>M05-0242</t>
        </is>
      </c>
      <c r="C157" s="713" t="n"/>
      <c r="D157" s="714" t="n"/>
      <c r="E157" s="721" t="inlineStr">
        <is>
          <t>TOMA EMPOTRAR 50A 250V NEMA 10-50 COOPER</t>
        </is>
      </c>
      <c r="F157" s="716" t="inlineStr">
        <is>
          <t>UND</t>
        </is>
      </c>
      <c r="G157" s="717" t="n">
        <v>1720.57</v>
      </c>
      <c r="H157" s="718">
        <f>+G157*1.13</f>
        <v/>
      </c>
      <c r="I157" s="702" t="inlineStr">
        <is>
          <t>✓✓</t>
        </is>
      </c>
    </row>
    <row r="158">
      <c r="A158" s="722" t="n"/>
      <c r="B158" s="36" t="inlineStr">
        <is>
          <t>M05-0244</t>
        </is>
      </c>
      <c r="C158" s="713" t="n"/>
      <c r="D158" s="714" t="n"/>
      <c r="E158" s="721" t="inlineStr">
        <is>
          <t>TOMA PARCHE WD112 50A 250V 3P-3H NEMA 10-50 COOPER</t>
        </is>
      </c>
      <c r="F158" s="716" t="inlineStr">
        <is>
          <t>UND</t>
        </is>
      </c>
      <c r="G158" s="717" t="n">
        <v>2712</v>
      </c>
      <c r="H158" s="718">
        <f>+G158*1.13</f>
        <v/>
      </c>
      <c r="I158" s="702" t="inlineStr">
        <is>
          <t>✓✓</t>
        </is>
      </c>
    </row>
    <row r="159">
      <c r="A159" s="722" t="n"/>
      <c r="B159" s="36" t="inlineStr">
        <is>
          <t>M05-0244</t>
        </is>
      </c>
      <c r="C159" s="713" t="n"/>
      <c r="D159" s="714" t="n"/>
      <c r="E159" s="721" t="inlineStr">
        <is>
          <t>TOMA PARCHE WD112 50A 250V 3P-3H NEMA 10-50 COOPER</t>
        </is>
      </c>
      <c r="F159" s="716" t="inlineStr">
        <is>
          <t>UND</t>
        </is>
      </c>
      <c r="G159" s="717" t="n">
        <v>2244</v>
      </c>
      <c r="H159" s="718">
        <f>+G159*1.13</f>
        <v/>
      </c>
      <c r="I159" s="702" t="inlineStr">
        <is>
          <t>✓✓</t>
        </is>
      </c>
    </row>
    <row r="160">
      <c r="A160" s="722" t="n"/>
      <c r="B160" s="36" t="inlineStr">
        <is>
          <t>M05-0248</t>
        </is>
      </c>
      <c r="C160" s="713" t="n"/>
      <c r="D160" s="714" t="n"/>
      <c r="E160" s="721" t="inlineStr">
        <is>
          <t>APAGADOR HBL RCD101W SENC DOBLE DEC 15A 120/277V BLANCO</t>
        </is>
      </c>
      <c r="F160" s="716" t="inlineStr">
        <is>
          <t>UND</t>
        </is>
      </c>
      <c r="G160" s="717" t="n">
        <v>7680</v>
      </c>
      <c r="H160" s="718">
        <f>+G160*1.13</f>
        <v/>
      </c>
      <c r="I160" s="702" t="inlineStr">
        <is>
          <t>✓✓</t>
        </is>
      </c>
    </row>
    <row r="161">
      <c r="A161" s="722" t="n"/>
      <c r="B161" s="36" t="inlineStr">
        <is>
          <t>M05-0249</t>
        </is>
      </c>
      <c r="C161" s="713" t="n"/>
      <c r="D161" s="714" t="n"/>
      <c r="E161" s="721" t="inlineStr">
        <is>
          <t>TOMA PARCHE HEMBRA WD112 50A 250V 3P-3H NEMA 10-50 COOPER</t>
        </is>
      </c>
      <c r="F161" s="716" t="inlineStr">
        <is>
          <t>UND</t>
        </is>
      </c>
      <c r="G161" s="717" t="n">
        <v>2247</v>
      </c>
      <c r="H161" s="718">
        <f>+G161*1.13</f>
        <v/>
      </c>
      <c r="I161" s="702" t="inlineStr">
        <is>
          <t>✓✓</t>
        </is>
      </c>
    </row>
    <row r="162">
      <c r="A162" s="722" t="n"/>
      <c r="B162" s="36" t="inlineStr">
        <is>
          <t>M05-0251</t>
        </is>
      </c>
      <c r="C162" s="713" t="n"/>
      <c r="D162" s="714" t="n"/>
      <c r="E162" s="721" t="inlineStr">
        <is>
          <t>CAJA TOMA CORRIENTE PARA EXTERIOR</t>
        </is>
      </c>
      <c r="F162" s="716" t="inlineStr">
        <is>
          <t>UND</t>
        </is>
      </c>
      <c r="G162" s="717" t="n">
        <v>18084.93</v>
      </c>
      <c r="H162" s="718">
        <f>+G162*1.13</f>
        <v/>
      </c>
      <c r="I162" s="702" t="inlineStr">
        <is>
          <t>✓✓</t>
        </is>
      </c>
    </row>
    <row r="163">
      <c r="A163" s="722" t="n"/>
      <c r="B163" s="36" t="inlineStr">
        <is>
          <t>M05-0258</t>
        </is>
      </c>
      <c r="C163" s="713" t="inlineStr">
        <is>
          <t>01</t>
        </is>
      </c>
      <c r="D163" s="714" t="inlineStr">
        <is>
          <t>BLANCO</t>
        </is>
      </c>
      <c r="E163" s="721" t="inlineStr">
        <is>
          <t>CABLE #10</t>
        </is>
      </c>
      <c r="F163" s="716" t="inlineStr">
        <is>
          <t>M</t>
        </is>
      </c>
      <c r="G163" s="717" t="n">
        <v>410</v>
      </c>
      <c r="H163" s="718">
        <f>+G163*1.13</f>
        <v/>
      </c>
      <c r="I163" s="702" t="inlineStr">
        <is>
          <t>✓✓</t>
        </is>
      </c>
    </row>
    <row r="164">
      <c r="A164" s="722" t="n"/>
      <c r="B164" s="36" t="inlineStr">
        <is>
          <t>M05-0258</t>
        </is>
      </c>
      <c r="C164" s="713" t="inlineStr">
        <is>
          <t>02</t>
        </is>
      </c>
      <c r="D164" s="714" t="inlineStr">
        <is>
          <t>ROJO</t>
        </is>
      </c>
      <c r="E164" s="721" t="inlineStr">
        <is>
          <t>CABLE #10</t>
        </is>
      </c>
      <c r="F164" s="716" t="inlineStr">
        <is>
          <t>M</t>
        </is>
      </c>
      <c r="G164" s="717" t="n">
        <v>410</v>
      </c>
      <c r="H164" s="718">
        <f>+G164*1.13</f>
        <v/>
      </c>
      <c r="I164" s="702" t="inlineStr">
        <is>
          <t>✓✓</t>
        </is>
      </c>
    </row>
    <row r="165">
      <c r="A165" s="722" t="n"/>
      <c r="B165" s="36" t="inlineStr">
        <is>
          <t>M05-0258</t>
        </is>
      </c>
      <c r="C165" s="713" t="inlineStr">
        <is>
          <t>03</t>
        </is>
      </c>
      <c r="D165" s="714" t="inlineStr">
        <is>
          <t>VERDE</t>
        </is>
      </c>
      <c r="E165" s="721" t="inlineStr">
        <is>
          <t>CABLE #10</t>
        </is>
      </c>
      <c r="F165" s="716" t="inlineStr">
        <is>
          <t>M</t>
        </is>
      </c>
      <c r="G165" s="717" t="n">
        <v>410</v>
      </c>
      <c r="H165" s="718">
        <f>+G165*1.13</f>
        <v/>
      </c>
      <c r="I165" s="702" t="inlineStr">
        <is>
          <t>✓✓</t>
        </is>
      </c>
    </row>
    <row r="166">
      <c r="A166" s="722" t="n"/>
      <c r="B166" s="36" t="inlineStr">
        <is>
          <t>M05-0259</t>
        </is>
      </c>
      <c r="C166" s="713" t="inlineStr">
        <is>
          <t>01</t>
        </is>
      </c>
      <c r="D166" s="714" t="inlineStr">
        <is>
          <t>AZUL</t>
        </is>
      </c>
      <c r="E166" s="721" t="inlineStr">
        <is>
          <t>CABLE #12</t>
        </is>
      </c>
      <c r="F166" s="716" t="inlineStr">
        <is>
          <t>M</t>
        </is>
      </c>
      <c r="G166" s="717" t="n">
        <v>235</v>
      </c>
      <c r="H166" s="718">
        <f>+G166*1.13</f>
        <v/>
      </c>
      <c r="I166" s="702" t="inlineStr">
        <is>
          <t>✓✓</t>
        </is>
      </c>
    </row>
    <row r="167">
      <c r="A167" s="749" t="n"/>
      <c r="B167" s="36" t="inlineStr">
        <is>
          <t>M05-0259</t>
        </is>
      </c>
      <c r="C167" s="713" t="inlineStr">
        <is>
          <t>02</t>
        </is>
      </c>
      <c r="D167" s="714" t="inlineStr">
        <is>
          <t>BLANCO</t>
        </is>
      </c>
      <c r="E167" s="721" t="inlineStr">
        <is>
          <t>CABLE #12</t>
        </is>
      </c>
      <c r="F167" s="716" t="inlineStr">
        <is>
          <t>M</t>
        </is>
      </c>
      <c r="G167" s="717" t="n">
        <v>235</v>
      </c>
      <c r="H167" s="718">
        <f>+G167*1.13</f>
        <v/>
      </c>
      <c r="I167" s="702" t="inlineStr">
        <is>
          <t>✓✓</t>
        </is>
      </c>
    </row>
    <row r="168">
      <c r="A168" s="722" t="n"/>
      <c r="B168" s="36" t="inlineStr">
        <is>
          <t>M05-0259</t>
        </is>
      </c>
      <c r="C168" s="713" t="inlineStr">
        <is>
          <t>03</t>
        </is>
      </c>
      <c r="D168" s="714" t="inlineStr">
        <is>
          <t>NEGRO</t>
        </is>
      </c>
      <c r="E168" s="721" t="inlineStr">
        <is>
          <t>CABLE #12</t>
        </is>
      </c>
      <c r="F168" s="716" t="inlineStr">
        <is>
          <t>M</t>
        </is>
      </c>
      <c r="G168" s="717" t="n">
        <v>235</v>
      </c>
      <c r="H168" s="718">
        <f>+G168*1.13</f>
        <v/>
      </c>
      <c r="I168" s="702" t="inlineStr">
        <is>
          <t>✓✓</t>
        </is>
      </c>
    </row>
    <row r="169">
      <c r="A169" s="722" t="n"/>
      <c r="B169" s="36" t="inlineStr">
        <is>
          <t>M05-0259</t>
        </is>
      </c>
      <c r="C169" s="713" t="inlineStr">
        <is>
          <t>04</t>
        </is>
      </c>
      <c r="D169" s="714" t="inlineStr">
        <is>
          <t>ROJO</t>
        </is>
      </c>
      <c r="E169" s="721" t="inlineStr">
        <is>
          <t>CABLE #12</t>
        </is>
      </c>
      <c r="F169" s="716" t="inlineStr">
        <is>
          <t>M</t>
        </is>
      </c>
      <c r="G169" s="717" t="n">
        <v>235</v>
      </c>
      <c r="H169" s="718">
        <f>+G169*1.13</f>
        <v/>
      </c>
      <c r="I169" s="702" t="inlineStr">
        <is>
          <t>✓✓</t>
        </is>
      </c>
    </row>
    <row r="170">
      <c r="A170" s="722" t="n"/>
      <c r="B170" s="36" t="inlineStr">
        <is>
          <t>M05-0259</t>
        </is>
      </c>
      <c r="C170" s="713" t="inlineStr">
        <is>
          <t>05</t>
        </is>
      </c>
      <c r="D170" s="714" t="inlineStr">
        <is>
          <t>VERDE</t>
        </is>
      </c>
      <c r="E170" s="721" t="inlineStr">
        <is>
          <t>CABLE #12</t>
        </is>
      </c>
      <c r="F170" s="716" t="inlineStr">
        <is>
          <t>M</t>
        </is>
      </c>
      <c r="G170" s="717" t="n">
        <v>235</v>
      </c>
      <c r="H170" s="718">
        <f>+G170*1.13</f>
        <v/>
      </c>
      <c r="I170" s="702" t="inlineStr">
        <is>
          <t>✓✓</t>
        </is>
      </c>
    </row>
    <row r="171">
      <c r="A171" s="722" t="n"/>
      <c r="B171" s="36" t="inlineStr">
        <is>
          <t>M05-0261</t>
        </is>
      </c>
      <c r="C171" s="713" t="inlineStr">
        <is>
          <t>01</t>
        </is>
      </c>
      <c r="D171" s="714" t="inlineStr">
        <is>
          <t>BLANCO</t>
        </is>
      </c>
      <c r="E171" s="721" t="inlineStr">
        <is>
          <t>CABLE #8</t>
        </is>
      </c>
      <c r="F171" s="716" t="inlineStr">
        <is>
          <t>M</t>
        </is>
      </c>
      <c r="G171" s="717" t="n">
        <v>665</v>
      </c>
      <c r="H171" s="718">
        <f>+G171*1.13</f>
        <v/>
      </c>
      <c r="I171" s="702" t="inlineStr">
        <is>
          <t>✓✓</t>
        </is>
      </c>
    </row>
    <row r="172">
      <c r="A172" s="731" t="inlineStr">
        <is>
          <t>MAT0565 CODO 90 PVC PARED DELGADA 4"</t>
        </is>
      </c>
      <c r="B172" s="36" t="inlineStr">
        <is>
          <t>M05-0261</t>
        </is>
      </c>
      <c r="C172" s="713" t="inlineStr">
        <is>
          <t>02</t>
        </is>
      </c>
      <c r="D172" s="714" t="inlineStr">
        <is>
          <t>ROJO</t>
        </is>
      </c>
      <c r="E172" s="721" t="inlineStr">
        <is>
          <t>CABLE #8</t>
        </is>
      </c>
      <c r="F172" s="716" t="inlineStr">
        <is>
          <t>M</t>
        </is>
      </c>
      <c r="G172" s="717" t="n">
        <v>665</v>
      </c>
      <c r="H172" s="718">
        <f>+G172*1.13</f>
        <v/>
      </c>
      <c r="I172" s="46" t="n"/>
    </row>
    <row r="173">
      <c r="A173" s="722" t="n"/>
      <c r="B173" s="36" t="inlineStr">
        <is>
          <t>M05-0261</t>
        </is>
      </c>
      <c r="C173" s="713" t="inlineStr">
        <is>
          <t>03</t>
        </is>
      </c>
      <c r="D173" s="714" t="inlineStr">
        <is>
          <t>VERDE</t>
        </is>
      </c>
      <c r="E173" s="721" t="inlineStr">
        <is>
          <t>CABLE #8</t>
        </is>
      </c>
      <c r="F173" s="716" t="inlineStr">
        <is>
          <t>M</t>
        </is>
      </c>
      <c r="G173" s="717" t="n">
        <v>665</v>
      </c>
      <c r="H173" s="718">
        <f>+G173*1.13</f>
        <v/>
      </c>
      <c r="I173" s="702" t="inlineStr">
        <is>
          <t>✓✓</t>
        </is>
      </c>
    </row>
    <row r="174">
      <c r="A174" s="722" t="n"/>
      <c r="B174" s="36" t="inlineStr">
        <is>
          <t>M05-0262</t>
        </is>
      </c>
      <c r="C174" s="713" t="n"/>
      <c r="D174" s="714" t="n"/>
      <c r="E174" s="721" t="inlineStr">
        <is>
          <t>CABLE ALUMINIO 1/0 SERIE 8000</t>
        </is>
      </c>
      <c r="F174" s="716" t="inlineStr">
        <is>
          <t>M</t>
        </is>
      </c>
      <c r="G174" s="717" t="n">
        <v>732.42</v>
      </c>
      <c r="H174" s="718">
        <f>+G174*1.13</f>
        <v/>
      </c>
      <c r="I174" s="702" t="inlineStr">
        <is>
          <t>✓✓</t>
        </is>
      </c>
    </row>
    <row r="175">
      <c r="A175" s="722" t="n"/>
      <c r="B175" s="36" t="inlineStr">
        <is>
          <t>M05-0263</t>
        </is>
      </c>
      <c r="C175" s="713" t="n"/>
      <c r="D175" s="714" t="n"/>
      <c r="E175" s="721" t="inlineStr">
        <is>
          <t>CABLE DE ALUMINIO #6 SERIE 8000</t>
        </is>
      </c>
      <c r="F175" s="716" t="inlineStr">
        <is>
          <t>M</t>
        </is>
      </c>
      <c r="G175" s="717" t="n">
        <v>249.94</v>
      </c>
      <c r="H175" s="718">
        <f>+G175*1.13</f>
        <v/>
      </c>
      <c r="I175" s="702" t="inlineStr">
        <is>
          <t>✓✓</t>
        </is>
      </c>
    </row>
    <row r="176">
      <c r="A176" s="722" t="n"/>
      <c r="B176" s="36" t="inlineStr">
        <is>
          <t>M05-0264</t>
        </is>
      </c>
      <c r="C176" s="713" t="n"/>
      <c r="D176" s="714" t="n"/>
      <c r="E176" s="721" t="inlineStr">
        <is>
          <t>CABLE TGP 3X12</t>
        </is>
      </c>
      <c r="F176" s="716" t="inlineStr">
        <is>
          <t>M</t>
        </is>
      </c>
      <c r="G176" s="717" t="n">
        <v>1189.55</v>
      </c>
      <c r="H176" s="718">
        <f>+G176*1.13</f>
        <v/>
      </c>
      <c r="I176" s="702" t="inlineStr">
        <is>
          <t>✓✓</t>
        </is>
      </c>
    </row>
    <row r="177">
      <c r="A177" s="722" t="n"/>
      <c r="B177" s="36" t="inlineStr">
        <is>
          <t>M05-0266</t>
        </is>
      </c>
      <c r="C177" s="713" t="n"/>
      <c r="D177" s="714" t="n"/>
      <c r="E177" s="721" t="inlineStr">
        <is>
          <t>CABLE TSJ 3X12</t>
        </is>
      </c>
      <c r="F177" s="716" t="inlineStr">
        <is>
          <t>M</t>
        </is>
      </c>
      <c r="G177" s="717" t="n">
        <v>2193.53</v>
      </c>
      <c r="H177" s="718">
        <f>+G177*1.13</f>
        <v/>
      </c>
      <c r="I177" s="702" t="inlineStr">
        <is>
          <t>✓✓</t>
        </is>
      </c>
    </row>
    <row r="178">
      <c r="A178" s="732" t="n"/>
      <c r="B178" s="36" t="inlineStr">
        <is>
          <t>M05-0269</t>
        </is>
      </c>
      <c r="C178" s="713" t="n"/>
      <c r="D178" s="714" t="n"/>
      <c r="E178" s="721" t="inlineStr">
        <is>
          <t>CABLE UTP CAT 6 AZUL</t>
        </is>
      </c>
      <c r="F178" s="716" t="inlineStr">
        <is>
          <t>M</t>
        </is>
      </c>
      <c r="G178" s="717" t="n">
        <v>309.26</v>
      </c>
      <c r="H178" s="718">
        <f>+G178*1.13</f>
        <v/>
      </c>
      <c r="I178" s="702" t="inlineStr">
        <is>
          <t>✓✓</t>
        </is>
      </c>
    </row>
    <row r="179">
      <c r="A179" s="732" t="n"/>
      <c r="B179" s="36" t="inlineStr">
        <is>
          <t>M05-0273</t>
        </is>
      </c>
      <c r="C179" s="713" t="n"/>
      <c r="D179" s="714" t="n"/>
      <c r="E179" s="721" t="inlineStr">
        <is>
          <t>CABLE #4 TRIPLEX</t>
        </is>
      </c>
      <c r="F179" s="716" t="inlineStr">
        <is>
          <t>M</t>
        </is>
      </c>
      <c r="G179" s="717" t="n">
        <v>1149.97</v>
      </c>
      <c r="H179" s="718">
        <f>+G179*1.13</f>
        <v/>
      </c>
      <c r="I179" s="702" t="inlineStr">
        <is>
          <t>✓✓</t>
        </is>
      </c>
    </row>
    <row r="180">
      <c r="A180" s="722" t="n"/>
      <c r="B180" s="36" t="inlineStr">
        <is>
          <t>M05-0276</t>
        </is>
      </c>
      <c r="C180" s="713" t="n"/>
      <c r="D180" s="714" t="n"/>
      <c r="E180" s="721" t="inlineStr">
        <is>
          <t>CABLE TSJ 3X8</t>
        </is>
      </c>
      <c r="F180" s="716" t="inlineStr">
        <is>
          <t>M</t>
        </is>
      </c>
      <c r="G180" s="717" t="n">
        <v>2888</v>
      </c>
      <c r="H180" s="718">
        <f>+G180*1.13</f>
        <v/>
      </c>
      <c r="I180" s="702" t="inlineStr">
        <is>
          <t>✓✓</t>
        </is>
      </c>
    </row>
    <row r="181">
      <c r="A181" s="722" t="n"/>
      <c r="B181" s="36" t="inlineStr">
        <is>
          <t>M05-0280</t>
        </is>
      </c>
      <c r="C181" s="713" t="n"/>
      <c r="D181" s="714" t="n"/>
      <c r="E181" s="721" t="inlineStr">
        <is>
          <t>CABLE DE ALUMINIO #4 SERIE 8000</t>
        </is>
      </c>
      <c r="F181" s="716" t="inlineStr">
        <is>
          <t>M</t>
        </is>
      </c>
      <c r="G181" s="717" t="n">
        <v>328.61</v>
      </c>
      <c r="H181" s="718">
        <f>+G181*1.13</f>
        <v/>
      </c>
      <c r="I181" s="702" t="inlineStr">
        <is>
          <t>✓✓</t>
        </is>
      </c>
    </row>
    <row r="182">
      <c r="A182" s="722" t="n"/>
      <c r="B182" s="36" t="inlineStr">
        <is>
          <t>M05-0283</t>
        </is>
      </c>
      <c r="C182" s="713" t="n"/>
      <c r="D182" s="714" t="n"/>
      <c r="E182" s="721" t="inlineStr">
        <is>
          <t>CABLE 1/0 TRIPLEX</t>
        </is>
      </c>
      <c r="F182" s="716" t="inlineStr">
        <is>
          <t>M</t>
        </is>
      </c>
      <c r="G182" s="717" t="n">
        <v>2322.26</v>
      </c>
      <c r="H182" s="718">
        <f>+G182*1.13</f>
        <v/>
      </c>
      <c r="I182" s="702" t="inlineStr">
        <is>
          <t>✓✓</t>
        </is>
      </c>
    </row>
    <row r="183">
      <c r="A183" s="732" t="n"/>
      <c r="B183" s="36" t="inlineStr">
        <is>
          <t>M05-0305</t>
        </is>
      </c>
      <c r="C183" s="713" t="n"/>
      <c r="D183" s="714" t="n"/>
      <c r="E183" s="721" t="inlineStr">
        <is>
          <t>BASE MEDIDOR MS1254JCBM+A125+QO2100</t>
        </is>
      </c>
      <c r="F183" s="716" t="inlineStr">
        <is>
          <t>UND</t>
        </is>
      </c>
      <c r="G183" s="717" t="n">
        <v>56650</v>
      </c>
      <c r="H183" s="718">
        <f>+G183*1.13</f>
        <v/>
      </c>
      <c r="I183" s="702" t="inlineStr">
        <is>
          <t>✓✓</t>
        </is>
      </c>
    </row>
    <row r="184">
      <c r="A184" s="722" t="n"/>
      <c r="B184" s="36" t="inlineStr">
        <is>
          <t>M05-0306</t>
        </is>
      </c>
      <c r="C184" s="713" t="n"/>
      <c r="D184" s="714" t="n"/>
      <c r="E184" s="721" t="inlineStr">
        <is>
          <t>BREAKER  2/100AMP QOM100VH CENTRO CARGA</t>
        </is>
      </c>
      <c r="F184" s="716" t="inlineStr">
        <is>
          <t>UND</t>
        </is>
      </c>
      <c r="G184" s="717" t="n">
        <v>24970</v>
      </c>
      <c r="H184" s="718">
        <f>+G184*1.13</f>
        <v/>
      </c>
      <c r="I184" s="702" t="inlineStr">
        <is>
          <t>✓✓</t>
        </is>
      </c>
    </row>
    <row r="185">
      <c r="A185" s="722" t="n"/>
      <c r="B185" s="36" t="inlineStr">
        <is>
          <t>M05-0307</t>
        </is>
      </c>
      <c r="C185" s="713" t="n"/>
      <c r="D185" s="714" t="n"/>
      <c r="E185" s="721" t="inlineStr">
        <is>
          <t>BREAKER 2P/100AMP QO2100 BASE MEDIDOR</t>
        </is>
      </c>
      <c r="F185" s="716" t="inlineStr">
        <is>
          <t>UND</t>
        </is>
      </c>
      <c r="G185" s="717" t="n">
        <v>51058</v>
      </c>
      <c r="H185" s="718">
        <f>+G185*1.13</f>
        <v/>
      </c>
      <c r="I185" s="702" t="inlineStr">
        <is>
          <t>✓✓</t>
        </is>
      </c>
    </row>
    <row r="186">
      <c r="A186" s="722" t="n"/>
      <c r="B186" s="36" t="inlineStr">
        <is>
          <t>M05-0308</t>
        </is>
      </c>
      <c r="C186" s="713" t="n"/>
      <c r="D186" s="714" t="n"/>
      <c r="E186" s="721" t="inlineStr">
        <is>
          <t>BREAKER QO120PDF DUAL 20AMP</t>
        </is>
      </c>
      <c r="F186" s="716" t="inlineStr">
        <is>
          <t>UND</t>
        </is>
      </c>
      <c r="G186" s="717" t="n">
        <v>22710</v>
      </c>
      <c r="H186" s="718">
        <f>+G186*1.13</f>
        <v/>
      </c>
      <c r="I186" s="702" t="inlineStr">
        <is>
          <t>✓✓</t>
        </is>
      </c>
    </row>
    <row r="187">
      <c r="A187" s="722" t="n"/>
      <c r="B187" s="36" t="inlineStr">
        <is>
          <t>M05-0309</t>
        </is>
      </c>
      <c r="C187" s="713" t="n"/>
      <c r="D187" s="714" t="n"/>
      <c r="E187" s="721" t="inlineStr">
        <is>
          <t>BREAKER QO220 2P/20AMP</t>
        </is>
      </c>
      <c r="F187" s="716" t="inlineStr">
        <is>
          <t>UND</t>
        </is>
      </c>
      <c r="G187" s="717" t="n">
        <v>10729.5</v>
      </c>
      <c r="H187" s="718">
        <f>+G187*1.13</f>
        <v/>
      </c>
      <c r="I187" s="702" t="inlineStr">
        <is>
          <t>✓✓</t>
        </is>
      </c>
    </row>
    <row r="188">
      <c r="A188" s="732" t="n"/>
      <c r="B188" s="36" t="inlineStr">
        <is>
          <t>M05-0310</t>
        </is>
      </c>
      <c r="C188" s="713" t="n"/>
      <c r="D188" s="714" t="n"/>
      <c r="E188" s="721" t="inlineStr">
        <is>
          <t>BREAKER QO230 2P/30AMP</t>
        </is>
      </c>
      <c r="F188" s="716" t="inlineStr">
        <is>
          <t>UND</t>
        </is>
      </c>
      <c r="G188" s="717" t="n">
        <v>53280</v>
      </c>
      <c r="H188" s="718">
        <f>+G188*1.13</f>
        <v/>
      </c>
      <c r="I188" s="702" t="inlineStr">
        <is>
          <t>✓✓</t>
        </is>
      </c>
    </row>
    <row r="189">
      <c r="A189" s="722" t="n"/>
      <c r="B189" s="36" t="inlineStr">
        <is>
          <t>M05-0311</t>
        </is>
      </c>
      <c r="C189" s="713" t="n"/>
      <c r="D189" s="714" t="n"/>
      <c r="E189" s="721" t="inlineStr">
        <is>
          <t>BREAKER QO240 2P/40AMP</t>
        </is>
      </c>
      <c r="F189" s="716" t="inlineStr">
        <is>
          <t>UND</t>
        </is>
      </c>
      <c r="G189" s="717" t="n">
        <v>53280</v>
      </c>
      <c r="H189" s="718">
        <f>+G189*1.13</f>
        <v/>
      </c>
      <c r="I189" s="702" t="inlineStr">
        <is>
          <t>✓✓</t>
        </is>
      </c>
    </row>
    <row r="190">
      <c r="A190" s="722" t="n"/>
      <c r="B190" s="36" t="inlineStr">
        <is>
          <t>M05-0315</t>
        </is>
      </c>
      <c r="C190" s="713" t="n"/>
      <c r="D190" s="714" t="n"/>
      <c r="E190" s="721" t="inlineStr">
        <is>
          <t>CENTRO DE CARGA QO124L125PG</t>
        </is>
      </c>
      <c r="F190" s="716" t="inlineStr">
        <is>
          <t>UND</t>
        </is>
      </c>
      <c r="G190" s="717">
        <f>136.45*tc</f>
        <v/>
      </c>
      <c r="H190" s="718">
        <f>+G190*1.13</f>
        <v/>
      </c>
      <c r="I190" s="702" t="inlineStr">
        <is>
          <t>✓✓</t>
        </is>
      </c>
    </row>
    <row r="191">
      <c r="A191" s="722" t="n"/>
      <c r="B191" s="36" t="inlineStr">
        <is>
          <t>M05-0316</t>
        </is>
      </c>
      <c r="C191" s="713" t="n"/>
      <c r="D191" s="714" t="n"/>
      <c r="E191" s="721" t="inlineStr">
        <is>
          <t>BREAKER CHF120 1 POLO 20 AMP</t>
        </is>
      </c>
      <c r="F191" s="716" t="inlineStr">
        <is>
          <t>UND</t>
        </is>
      </c>
      <c r="G191" s="717" t="n">
        <v>4168.6</v>
      </c>
      <c r="H191" s="718">
        <f>+G191*1.13</f>
        <v/>
      </c>
      <c r="I191" s="702" t="inlineStr">
        <is>
          <t>✓✓</t>
        </is>
      </c>
    </row>
    <row r="192">
      <c r="A192" s="722" t="n"/>
      <c r="B192" s="36" t="inlineStr">
        <is>
          <t>M05-0322</t>
        </is>
      </c>
      <c r="C192" s="713" t="n"/>
      <c r="D192" s="714" t="n"/>
      <c r="E192" s="721" t="inlineStr">
        <is>
          <t>BREAKER PRINCIPAL QOM2150VH 2P 150A 240V</t>
        </is>
      </c>
      <c r="F192" s="716" t="inlineStr">
        <is>
          <t>UND</t>
        </is>
      </c>
      <c r="G192" s="717" t="n">
        <v>50129</v>
      </c>
      <c r="H192" s="718">
        <f>+G192*1.13</f>
        <v/>
      </c>
      <c r="I192" s="702" t="inlineStr">
        <is>
          <t>✓✓</t>
        </is>
      </c>
    </row>
    <row r="193">
      <c r="A193" s="732" t="n"/>
      <c r="B193" s="36" t="inlineStr">
        <is>
          <t>M05-0331</t>
        </is>
      </c>
      <c r="C193" s="713" t="n"/>
      <c r="D193" s="714" t="n"/>
      <c r="E193" s="721" t="inlineStr">
        <is>
          <t>CENTRO CARGA 32 ESPACIOS SQUARE D QO DE EMPOTRAR</t>
        </is>
      </c>
      <c r="F193" s="716" t="inlineStr">
        <is>
          <t>UND</t>
        </is>
      </c>
      <c r="G193" s="717">
        <f>81770.794/1.12</f>
        <v/>
      </c>
      <c r="H193" s="718">
        <f>+G193*1.13</f>
        <v/>
      </c>
      <c r="I193" s="702" t="inlineStr">
        <is>
          <t>✓✓</t>
        </is>
      </c>
    </row>
    <row r="194">
      <c r="A194" s="732" t="n"/>
      <c r="B194" s="36" t="inlineStr">
        <is>
          <t>M05-0332</t>
        </is>
      </c>
      <c r="C194" s="713" t="n"/>
      <c r="D194" s="714" t="n"/>
      <c r="E194" s="721" t="inlineStr">
        <is>
          <t>BREAKER DUAL 20AMP SQUARE D</t>
        </is>
      </c>
      <c r="F194" s="716" t="inlineStr">
        <is>
          <t>UND</t>
        </is>
      </c>
      <c r="G194" s="717" t="n">
        <v>26011.14</v>
      </c>
      <c r="H194" s="718">
        <f>+G194*1.13</f>
        <v/>
      </c>
      <c r="I194" s="702" t="inlineStr">
        <is>
          <t>✓✓</t>
        </is>
      </c>
    </row>
    <row r="195">
      <c r="A195" s="722" t="n"/>
      <c r="B195" s="36" t="inlineStr">
        <is>
          <t>M05-0333</t>
        </is>
      </c>
      <c r="C195" s="713" t="n"/>
      <c r="D195" s="714" t="n"/>
      <c r="E195" s="721" t="inlineStr">
        <is>
          <t>BREAKER DOBLE 60AMP SQUARE D</t>
        </is>
      </c>
      <c r="F195" s="716" t="inlineStr">
        <is>
          <t>UND</t>
        </is>
      </c>
      <c r="G195" s="717" t="n">
        <v>10027.96</v>
      </c>
      <c r="H195" s="718">
        <f>+G195*1.13</f>
        <v/>
      </c>
      <c r="I195" s="702" t="inlineStr">
        <is>
          <t>✓✓</t>
        </is>
      </c>
    </row>
    <row r="196">
      <c r="A196" s="722" t="n"/>
      <c r="B196" s="36" t="inlineStr">
        <is>
          <t>M05-0334</t>
        </is>
      </c>
      <c r="C196" s="713" t="n"/>
      <c r="D196" s="714" t="n"/>
      <c r="E196" s="721" t="inlineStr">
        <is>
          <t>BREAKER DOBLE DE 40AMP SQUARE D</t>
        </is>
      </c>
      <c r="F196" s="716" t="inlineStr">
        <is>
          <t>UND</t>
        </is>
      </c>
      <c r="G196" s="717" t="n">
        <v>10391.59</v>
      </c>
      <c r="H196" s="718">
        <f>+G196*1.13</f>
        <v/>
      </c>
      <c r="I196" s="702" t="inlineStr">
        <is>
          <t>✓✓</t>
        </is>
      </c>
    </row>
    <row r="197">
      <c r="A197" s="722" t="n"/>
      <c r="B197" s="36" t="inlineStr">
        <is>
          <t>M05-0336</t>
        </is>
      </c>
      <c r="C197" s="713" t="n"/>
      <c r="D197" s="714" t="n"/>
      <c r="E197" s="721" t="inlineStr">
        <is>
          <t>BREAKER DOBLE DE 125AMP SQUARE D</t>
        </is>
      </c>
      <c r="F197" s="716" t="inlineStr">
        <is>
          <t>UND</t>
        </is>
      </c>
      <c r="G197" s="717" t="n">
        <v>44968.56</v>
      </c>
      <c r="H197" s="718">
        <f>+G197*1.13</f>
        <v/>
      </c>
      <c r="I197" s="702" t="inlineStr">
        <is>
          <t>✓✓</t>
        </is>
      </c>
    </row>
    <row r="198">
      <c r="A198" s="722" t="n"/>
      <c r="B198" s="36" t="inlineStr">
        <is>
          <t>M05-0337</t>
        </is>
      </c>
      <c r="C198" s="713" t="n"/>
      <c r="D198" s="714" t="n"/>
      <c r="E198" s="721" t="inlineStr">
        <is>
          <t>BREAKER SENCILLO 1 POLO 30AMP SQUARE D QUB</t>
        </is>
      </c>
      <c r="F198" s="716" t="inlineStr">
        <is>
          <t>UND</t>
        </is>
      </c>
      <c r="G198" s="717" t="n">
        <v>5740</v>
      </c>
      <c r="H198" s="718">
        <f>+G198*1.13</f>
        <v/>
      </c>
      <c r="I198" s="702" t="inlineStr">
        <is>
          <t>✓✓</t>
        </is>
      </c>
    </row>
    <row r="199">
      <c r="A199" s="722" t="n"/>
      <c r="B199" s="36" t="inlineStr">
        <is>
          <t>M05-0339</t>
        </is>
      </c>
      <c r="C199" s="713" t="n"/>
      <c r="D199" s="714" t="n"/>
      <c r="E199" s="721" t="inlineStr">
        <is>
          <t>BREAKER QUO220 1P/20AMP</t>
        </is>
      </c>
      <c r="F199" s="716" t="inlineStr">
        <is>
          <t>UND</t>
        </is>
      </c>
      <c r="G199" s="717" t="n">
        <v>11500</v>
      </c>
      <c r="H199" s="718">
        <f>+G199*1.13</f>
        <v/>
      </c>
      <c r="I199" s="702" t="inlineStr">
        <is>
          <t>✓✓</t>
        </is>
      </c>
    </row>
    <row r="200">
      <c r="A200" s="722" t="n"/>
      <c r="B200" s="36" t="inlineStr">
        <is>
          <t>M05-0340</t>
        </is>
      </c>
      <c r="C200" s="713" t="n"/>
      <c r="D200" s="714" t="n"/>
      <c r="E200" s="721" t="inlineStr">
        <is>
          <t>BREAKER SDQOB 1 POLO/20AMP</t>
        </is>
      </c>
      <c r="F200" s="716" t="inlineStr">
        <is>
          <t>UND</t>
        </is>
      </c>
      <c r="G200" s="717">
        <f>44.52*tc</f>
        <v/>
      </c>
      <c r="H200" s="718">
        <f>+G200*1.13</f>
        <v/>
      </c>
      <c r="I200" s="702" t="inlineStr">
        <is>
          <t>✓✓</t>
        </is>
      </c>
    </row>
    <row r="201">
      <c r="A201" s="722" t="n"/>
      <c r="B201" s="36" t="inlineStr">
        <is>
          <t>M05-0361</t>
        </is>
      </c>
      <c r="C201" s="713" t="n"/>
      <c r="D201" s="714" t="n"/>
      <c r="E201" s="721" t="inlineStr">
        <is>
          <t>CURVA CONDUIT 1/2 UL</t>
        </is>
      </c>
      <c r="F201" s="716" t="inlineStr">
        <is>
          <t>UND</t>
        </is>
      </c>
      <c r="G201" s="717" t="n">
        <v>289.5</v>
      </c>
      <c r="H201" s="718">
        <f>+G201*1.13</f>
        <v/>
      </c>
      <c r="I201" s="702" t="inlineStr">
        <is>
          <t>✓✓</t>
        </is>
      </c>
    </row>
    <row r="202">
      <c r="A202" s="722" t="n"/>
      <c r="B202" s="36" t="inlineStr">
        <is>
          <t>M05-0362</t>
        </is>
      </c>
      <c r="C202" s="713" t="n"/>
      <c r="D202" s="714" t="n"/>
      <c r="E202" s="721" t="inlineStr">
        <is>
          <t>CURVA CONDUIT 1-1/2 UL</t>
        </is>
      </c>
      <c r="F202" s="716" t="inlineStr">
        <is>
          <t>UND</t>
        </is>
      </c>
      <c r="G202" s="717" t="n">
        <v>1252.25</v>
      </c>
      <c r="H202" s="718">
        <f>+G202*1.13</f>
        <v/>
      </c>
      <c r="I202" s="702" t="inlineStr">
        <is>
          <t>✓✓</t>
        </is>
      </c>
    </row>
    <row r="203">
      <c r="A203" s="722" t="n"/>
      <c r="B203" s="36" t="inlineStr">
        <is>
          <t>M05-0363</t>
        </is>
      </c>
      <c r="C203" s="713" t="n"/>
      <c r="D203" s="714" t="n"/>
      <c r="E203" s="721" t="inlineStr">
        <is>
          <t>CONECTOR CONDUIT 1 1/2 UL</t>
        </is>
      </c>
      <c r="F203" s="716" t="inlineStr">
        <is>
          <t>UND</t>
        </is>
      </c>
      <c r="G203" s="717" t="n">
        <v>325.5</v>
      </c>
      <c r="H203" s="718">
        <f>+G203*1.13</f>
        <v/>
      </c>
      <c r="I203" s="702" t="inlineStr">
        <is>
          <t>✓✓</t>
        </is>
      </c>
    </row>
    <row r="204">
      <c r="A204" s="722" t="n"/>
      <c r="B204" s="36" t="inlineStr">
        <is>
          <t>M05-0364</t>
        </is>
      </c>
      <c r="C204" s="713" t="n"/>
      <c r="D204" s="714" t="n"/>
      <c r="E204" s="721" t="inlineStr">
        <is>
          <t>CONECTOR CONDUIT 1" UL</t>
        </is>
      </c>
      <c r="F204" s="716" t="inlineStr">
        <is>
          <t>UND</t>
        </is>
      </c>
      <c r="G204" s="717" t="n">
        <v>293</v>
      </c>
      <c r="H204" s="718">
        <f>+G204*1.13</f>
        <v/>
      </c>
      <c r="I204" s="702" t="inlineStr">
        <is>
          <t>✓✓</t>
        </is>
      </c>
    </row>
    <row r="205">
      <c r="A205" s="722" t="n"/>
      <c r="B205" s="36" t="inlineStr">
        <is>
          <t>M05-0366</t>
        </is>
      </c>
      <c r="C205" s="713" t="n"/>
      <c r="D205" s="714" t="n"/>
      <c r="E205" s="721" t="inlineStr">
        <is>
          <t>CURVA CONDUIT 1 UL</t>
        </is>
      </c>
      <c r="F205" s="716" t="inlineStr">
        <is>
          <t>UND</t>
        </is>
      </c>
      <c r="G205" s="717" t="n">
        <v>431.25</v>
      </c>
      <c r="H205" s="718">
        <f>+G205*1.13</f>
        <v/>
      </c>
      <c r="I205" s="702" t="inlineStr">
        <is>
          <t>✓✓</t>
        </is>
      </c>
    </row>
    <row r="206">
      <c r="A206" s="722" t="n"/>
      <c r="B206" s="36" t="inlineStr">
        <is>
          <t>M05-0367</t>
        </is>
      </c>
      <c r="C206" s="713" t="n"/>
      <c r="D206" s="714" t="n"/>
      <c r="E206" s="721" t="inlineStr">
        <is>
          <t>CURVA CONDUIT 3/4 UL</t>
        </is>
      </c>
      <c r="F206" s="716" t="inlineStr">
        <is>
          <t>UND</t>
        </is>
      </c>
      <c r="G206" s="717" t="n">
        <v>355</v>
      </c>
      <c r="H206" s="718">
        <f>+G206*1.13</f>
        <v/>
      </c>
      <c r="I206" s="702" t="inlineStr">
        <is>
          <t>✓✓</t>
        </is>
      </c>
    </row>
    <row r="207">
      <c r="A207" s="722" t="n"/>
      <c r="B207" s="36" t="inlineStr">
        <is>
          <t>M05-0368</t>
        </is>
      </c>
      <c r="C207" s="713" t="n"/>
      <c r="D207" s="714" t="n"/>
      <c r="E207" s="721" t="inlineStr">
        <is>
          <t>TUBO CONDUIT 1-1/2 UL</t>
        </is>
      </c>
      <c r="F207" s="716" t="inlineStr">
        <is>
          <t>UND</t>
        </is>
      </c>
      <c r="G207" s="717" t="n">
        <v>3111.5</v>
      </c>
      <c r="H207" s="718">
        <f>+G207*1.13</f>
        <v/>
      </c>
      <c r="I207" s="702" t="inlineStr">
        <is>
          <t>✓✓</t>
        </is>
      </c>
    </row>
    <row r="208">
      <c r="A208" s="731" t="inlineStr">
        <is>
          <t>MAT06-0050 CAJA RECTANGULAR EMT 1/2 UL</t>
        </is>
      </c>
      <c r="B208" s="36" t="inlineStr">
        <is>
          <t>M05-0369</t>
        </is>
      </c>
      <c r="C208" s="713" t="n"/>
      <c r="D208" s="714" t="n"/>
      <c r="E208" s="721" t="inlineStr">
        <is>
          <t>TUBO CONDUIT 1 UL</t>
        </is>
      </c>
      <c r="F208" s="716" t="inlineStr">
        <is>
          <t>UND</t>
        </is>
      </c>
      <c r="G208" s="717" t="n">
        <v>2093.75</v>
      </c>
      <c r="H208" s="718">
        <f>+G208*1.13</f>
        <v/>
      </c>
      <c r="I208" s="46" t="n"/>
    </row>
    <row r="209">
      <c r="A209" s="722" t="n"/>
      <c r="B209" s="36" t="inlineStr">
        <is>
          <t>M05-0370</t>
        </is>
      </c>
      <c r="C209" s="713" t="n"/>
      <c r="D209" s="714" t="n"/>
      <c r="E209" s="721" t="inlineStr">
        <is>
          <t>TUBO CONDUIT 1/2 UL</t>
        </is>
      </c>
      <c r="F209" s="716" t="inlineStr">
        <is>
          <t>UND</t>
        </is>
      </c>
      <c r="G209" s="717" t="n">
        <v>651.75</v>
      </c>
      <c r="H209" s="718">
        <f>+G209*1.13</f>
        <v/>
      </c>
      <c r="I209" s="702" t="inlineStr">
        <is>
          <t>✓✓</t>
        </is>
      </c>
    </row>
    <row r="210">
      <c r="A210" s="732" t="n"/>
      <c r="B210" s="36" t="inlineStr">
        <is>
          <t>M05-0371</t>
        </is>
      </c>
      <c r="C210" s="713" t="n"/>
      <c r="D210" s="714" t="n"/>
      <c r="E210" s="721" t="inlineStr">
        <is>
          <t>TUBO CONDUIT 3/4 UL</t>
        </is>
      </c>
      <c r="F210" s="716" t="inlineStr">
        <is>
          <t>UND</t>
        </is>
      </c>
      <c r="G210" s="717" t="n">
        <v>970.25</v>
      </c>
      <c r="H210" s="718">
        <f>+G210*1.13</f>
        <v/>
      </c>
      <c r="I210" s="702" t="inlineStr">
        <is>
          <t>✓✓</t>
        </is>
      </c>
    </row>
    <row r="211">
      <c r="A211" s="722" t="n"/>
      <c r="B211" s="36" t="inlineStr">
        <is>
          <t>M05-0372</t>
        </is>
      </c>
      <c r="C211" s="713" t="n"/>
      <c r="D211" s="714" t="n"/>
      <c r="E211" s="721" t="inlineStr">
        <is>
          <t>UNION CONDUIT 1-1/2 UL</t>
        </is>
      </c>
      <c r="F211" s="716" t="inlineStr">
        <is>
          <t>UND</t>
        </is>
      </c>
      <c r="G211" s="717" t="n">
        <v>275.5</v>
      </c>
      <c r="H211" s="718">
        <f>+G211*1.13</f>
        <v/>
      </c>
      <c r="I211" s="702" t="inlineStr">
        <is>
          <t>✓✓</t>
        </is>
      </c>
    </row>
    <row r="212">
      <c r="A212" s="722" t="n"/>
      <c r="B212" s="36" t="inlineStr">
        <is>
          <t>M05-0373</t>
        </is>
      </c>
      <c r="C212" s="713" t="n"/>
      <c r="D212" s="714" t="n"/>
      <c r="E212" s="721" t="inlineStr">
        <is>
          <t>UNION CONDUIT 1 UL</t>
        </is>
      </c>
      <c r="F212" s="716" t="inlineStr">
        <is>
          <t>UND</t>
        </is>
      </c>
      <c r="G212" s="717" t="n">
        <v>150.5</v>
      </c>
      <c r="H212" s="718">
        <f>+G212*1.13</f>
        <v/>
      </c>
      <c r="I212" s="702" t="inlineStr">
        <is>
          <t>✓✓</t>
        </is>
      </c>
    </row>
    <row r="213">
      <c r="A213" s="722" t="n"/>
      <c r="B213" s="36" t="inlineStr">
        <is>
          <t>M05-0374</t>
        </is>
      </c>
      <c r="C213" s="713" t="n"/>
      <c r="D213" s="714" t="n"/>
      <c r="E213" s="721" t="inlineStr">
        <is>
          <t>UNION CONDUIT 1/2 UL</t>
        </is>
      </c>
      <c r="F213" s="716" t="inlineStr">
        <is>
          <t>UND</t>
        </is>
      </c>
      <c r="G213" s="717" t="n">
        <v>66.5</v>
      </c>
      <c r="H213" s="718">
        <f>+G213*1.13</f>
        <v/>
      </c>
      <c r="I213" s="702" t="inlineStr">
        <is>
          <t>✓✓</t>
        </is>
      </c>
    </row>
    <row r="214">
      <c r="A214" s="722" t="n"/>
      <c r="B214" s="36" t="inlineStr">
        <is>
          <t>M05-0375</t>
        </is>
      </c>
      <c r="C214" s="713" t="n"/>
      <c r="D214" s="714" t="n"/>
      <c r="E214" s="721" t="inlineStr">
        <is>
          <t>UNION CONDUIT 3/4 UL</t>
        </is>
      </c>
      <c r="F214" s="716" t="inlineStr">
        <is>
          <t>UND</t>
        </is>
      </c>
      <c r="G214" s="717" t="n">
        <v>94.5</v>
      </c>
      <c r="H214" s="718">
        <f>+G214*1.13</f>
        <v/>
      </c>
      <c r="I214" s="702" t="inlineStr">
        <is>
          <t>✓✓</t>
        </is>
      </c>
    </row>
    <row r="215">
      <c r="A215" s="722" t="n"/>
      <c r="B215" s="36" t="inlineStr">
        <is>
          <t>M05-0378</t>
        </is>
      </c>
      <c r="C215" s="713" t="n"/>
      <c r="D215" s="714" t="n"/>
      <c r="E215" s="721" t="inlineStr">
        <is>
          <t>CURVA CONDUIT 2 UL</t>
        </is>
      </c>
      <c r="F215" s="716" t="inlineStr">
        <is>
          <t>UND</t>
        </is>
      </c>
      <c r="G215" s="717" t="n">
        <v>1841.25</v>
      </c>
      <c r="H215" s="718">
        <f>+G215*1.13</f>
        <v/>
      </c>
      <c r="I215" s="702" t="inlineStr">
        <is>
          <t>✓✓</t>
        </is>
      </c>
    </row>
    <row r="216">
      <c r="A216" s="722" t="n"/>
      <c r="B216" s="36" t="inlineStr">
        <is>
          <t>M05-0379</t>
        </is>
      </c>
      <c r="C216" s="713" t="n"/>
      <c r="D216" s="714" t="n"/>
      <c r="E216" s="721" t="inlineStr">
        <is>
          <t>UNION CONDUIT 2 UL</t>
        </is>
      </c>
      <c r="F216" s="716" t="inlineStr">
        <is>
          <t>UND</t>
        </is>
      </c>
      <c r="G216" s="717" t="n">
        <v>345.25</v>
      </c>
      <c r="H216" s="718">
        <f>+G216*1.13</f>
        <v/>
      </c>
      <c r="I216" s="702" t="inlineStr">
        <is>
          <t>✓✓</t>
        </is>
      </c>
    </row>
    <row r="217">
      <c r="A217" s="722" t="n"/>
      <c r="B217" s="36" t="inlineStr">
        <is>
          <t>M05-0385</t>
        </is>
      </c>
      <c r="C217" s="713" t="n"/>
      <c r="D217" s="714" t="n"/>
      <c r="E217" s="721" t="inlineStr">
        <is>
          <t>CAJA CUADRADA EMT 4X4 DOBLE FONDO CON HUECO DE 3/4-1/2</t>
        </is>
      </c>
      <c r="F217" s="716" t="inlineStr">
        <is>
          <t>UND</t>
        </is>
      </c>
      <c r="G217" s="717" t="n">
        <v>315</v>
      </c>
      <c r="H217" s="718">
        <f>+G217*1.13</f>
        <v/>
      </c>
      <c r="I217" s="702" t="inlineStr">
        <is>
          <t>✓✓</t>
        </is>
      </c>
    </row>
    <row r="218">
      <c r="A218" s="722" t="n"/>
      <c r="B218" s="36" t="inlineStr">
        <is>
          <t>M05-0385</t>
        </is>
      </c>
      <c r="C218" s="713" t="n"/>
      <c r="D218" s="714" t="n"/>
      <c r="E218" s="721" t="inlineStr">
        <is>
          <t>CAJA CUADRADA EMT 4X4 DOBLE FONDO CON HUECO DE 3/4-1/2</t>
        </is>
      </c>
      <c r="F218" s="716" t="inlineStr">
        <is>
          <t>UND</t>
        </is>
      </c>
      <c r="G218" s="717" t="n">
        <v>315</v>
      </c>
      <c r="H218" s="718">
        <f>+G218*1.13</f>
        <v/>
      </c>
      <c r="I218" s="702" t="inlineStr">
        <is>
          <t>✓✓</t>
        </is>
      </c>
    </row>
    <row r="219">
      <c r="A219" s="722" t="n"/>
      <c r="B219" s="36" t="inlineStr">
        <is>
          <t>M05-0386</t>
        </is>
      </c>
      <c r="C219" s="713" t="n"/>
      <c r="D219" s="714" t="n"/>
      <c r="E219" s="721" t="inlineStr">
        <is>
          <t>ARO REPELLO EMT 4X4 1GANG</t>
        </is>
      </c>
      <c r="F219" s="716" t="inlineStr">
        <is>
          <t>UND</t>
        </is>
      </c>
      <c r="G219" s="717" t="n">
        <v>140.78</v>
      </c>
      <c r="H219" s="718">
        <f>+G219*1.13</f>
        <v/>
      </c>
      <c r="I219" s="702" t="inlineStr">
        <is>
          <t>✓✓</t>
        </is>
      </c>
    </row>
    <row r="220">
      <c r="A220" s="722" t="n"/>
      <c r="B220" s="36" t="inlineStr">
        <is>
          <t>M05-0387</t>
        </is>
      </c>
      <c r="C220" s="713" t="n"/>
      <c r="D220" s="714" t="n"/>
      <c r="E220" s="721" t="inlineStr">
        <is>
          <t>ARO REPELLO EMT 4X4 2GANG</t>
        </is>
      </c>
      <c r="F220" s="716" t="inlineStr">
        <is>
          <t>UND</t>
        </is>
      </c>
      <c r="G220" s="717" t="n">
        <v>146.17</v>
      </c>
      <c r="H220" s="718">
        <f>+G220*1.13</f>
        <v/>
      </c>
      <c r="I220" s="702" t="inlineStr">
        <is>
          <t>✓✓</t>
        </is>
      </c>
    </row>
    <row r="221">
      <c r="A221" s="732" t="n"/>
      <c r="B221" s="36" t="inlineStr">
        <is>
          <t>M05-0388</t>
        </is>
      </c>
      <c r="C221" s="713" t="n"/>
      <c r="D221" s="714" t="n"/>
      <c r="E221" s="721" t="inlineStr">
        <is>
          <t>CAJA CUADRADA EMT 4X4 DOBLE FONDO CON HUECO DE 1</t>
        </is>
      </c>
      <c r="F221" s="716" t="inlineStr">
        <is>
          <t>UND</t>
        </is>
      </c>
      <c r="G221" s="717" t="n">
        <v>1120</v>
      </c>
      <c r="H221" s="718">
        <f>+G221*1.13</f>
        <v/>
      </c>
      <c r="I221" s="702" t="inlineStr">
        <is>
          <t>✓✓</t>
        </is>
      </c>
    </row>
    <row r="222">
      <c r="A222" s="722" t="n"/>
      <c r="B222" s="36" t="inlineStr">
        <is>
          <t>M05-0389</t>
        </is>
      </c>
      <c r="C222" s="713" t="n"/>
      <c r="D222" s="714" t="n"/>
      <c r="E222" s="721" t="inlineStr">
        <is>
          <t>CAJA OCTAGONAL 1/2-3/4 EMT PESADA (8 SALIDAS )</t>
        </is>
      </c>
      <c r="F222" s="716" t="inlineStr">
        <is>
          <t>UND</t>
        </is>
      </c>
      <c r="G222" s="717" t="n">
        <v>344.25</v>
      </c>
      <c r="H222" s="718">
        <f>+G222*1.13</f>
        <v/>
      </c>
      <c r="I222" s="702" t="inlineStr">
        <is>
          <t>✓✓</t>
        </is>
      </c>
    </row>
    <row r="223">
      <c r="A223" s="722" t="n"/>
      <c r="B223" s="36" t="inlineStr">
        <is>
          <t>M05-0390</t>
        </is>
      </c>
      <c r="C223" s="713" t="n"/>
      <c r="D223" s="714" t="n"/>
      <c r="E223" s="721" t="inlineStr">
        <is>
          <t>CAJA RECTANGULAR EMT CON HUECO DE 1/2 Y 3/4 UL</t>
        </is>
      </c>
      <c r="F223" s="716" t="inlineStr">
        <is>
          <t>UND</t>
        </is>
      </c>
      <c r="G223" s="717" t="n">
        <v>676.99</v>
      </c>
      <c r="H223" s="718">
        <f>+G223*1.13</f>
        <v/>
      </c>
      <c r="I223" s="702" t="inlineStr">
        <is>
          <t>✓✓</t>
        </is>
      </c>
    </row>
    <row r="224">
      <c r="A224" s="722" t="n"/>
      <c r="B224" s="36" t="inlineStr">
        <is>
          <t>M05-0391</t>
        </is>
      </c>
      <c r="C224" s="713" t="n"/>
      <c r="D224" s="714" t="n"/>
      <c r="E224" s="721" t="inlineStr">
        <is>
          <t>CAJA RECTANGULAR EMT 1" UL</t>
        </is>
      </c>
      <c r="F224" s="716" t="inlineStr">
        <is>
          <t>UND</t>
        </is>
      </c>
      <c r="G224" s="717" t="n">
        <v>696</v>
      </c>
      <c r="H224" s="718">
        <f>+G224*1.13</f>
        <v/>
      </c>
      <c r="I224" s="702" t="inlineStr">
        <is>
          <t>✓✓</t>
        </is>
      </c>
    </row>
    <row r="225">
      <c r="A225" s="722" t="n"/>
      <c r="B225" s="36" t="inlineStr">
        <is>
          <t>M05-0392</t>
        </is>
      </c>
      <c r="C225" s="713" t="n"/>
      <c r="D225" s="714" t="n"/>
      <c r="E225" s="721" t="inlineStr">
        <is>
          <t>CONDULETA BOTAGUA 1-1/4</t>
        </is>
      </c>
      <c r="F225" s="716" t="inlineStr">
        <is>
          <t>UND</t>
        </is>
      </c>
      <c r="G225" s="717" t="n">
        <v>891</v>
      </c>
      <c r="H225" s="718">
        <f>+G225*1.13</f>
        <v/>
      </c>
      <c r="I225" s="702" t="inlineStr">
        <is>
          <t>✓✓</t>
        </is>
      </c>
    </row>
    <row r="226">
      <c r="A226" s="722" t="n"/>
      <c r="B226" s="36" t="inlineStr">
        <is>
          <t>M05-0393</t>
        </is>
      </c>
      <c r="C226" s="713" t="n"/>
      <c r="D226" s="714" t="n"/>
      <c r="E226" s="721" t="inlineStr">
        <is>
          <t>CONDULETA BOTAGUA 1</t>
        </is>
      </c>
      <c r="F226" s="716" t="inlineStr">
        <is>
          <t>UND</t>
        </is>
      </c>
      <c r="G226" s="717" t="n">
        <v>730</v>
      </c>
      <c r="H226" s="718">
        <f>+G226*1.13</f>
        <v/>
      </c>
      <c r="I226" s="702" t="inlineStr">
        <is>
          <t>✓✓</t>
        </is>
      </c>
    </row>
    <row r="227">
      <c r="A227" s="722" t="n"/>
      <c r="B227" s="36" t="inlineStr">
        <is>
          <t>M05-0396</t>
        </is>
      </c>
      <c r="C227" s="713" t="n"/>
      <c r="D227" s="714" t="n"/>
      <c r="E227" s="721" t="inlineStr">
        <is>
          <t>CONECTOR TORNILLO EMT 1</t>
        </is>
      </c>
      <c r="F227" s="716" t="inlineStr">
        <is>
          <t>UND</t>
        </is>
      </c>
      <c r="G227" s="717" t="n">
        <v>152.62</v>
      </c>
      <c r="H227" s="718">
        <f>+G227*1.13</f>
        <v/>
      </c>
      <c r="I227" s="702" t="inlineStr">
        <is>
          <t>✓✓</t>
        </is>
      </c>
    </row>
    <row r="228">
      <c r="A228" s="722" t="n"/>
      <c r="B228" s="36" t="inlineStr">
        <is>
          <t>M05-0399</t>
        </is>
      </c>
      <c r="C228" s="713" t="n"/>
      <c r="D228" s="714" t="n"/>
      <c r="E228" s="721" t="inlineStr">
        <is>
          <t>CONECTOR TSJ 1/2-3/8 EMT</t>
        </is>
      </c>
      <c r="F228" s="716" t="inlineStr">
        <is>
          <t>UND</t>
        </is>
      </c>
      <c r="G228" s="717" t="n">
        <v>81</v>
      </c>
      <c r="H228" s="718">
        <f>+G228*1.13</f>
        <v/>
      </c>
      <c r="I228" s="702" t="inlineStr">
        <is>
          <t>✓✓</t>
        </is>
      </c>
    </row>
    <row r="229">
      <c r="A229" s="722" t="n"/>
      <c r="B229" s="36" t="inlineStr">
        <is>
          <t>M05-0401</t>
        </is>
      </c>
      <c r="C229" s="713" t="n"/>
      <c r="D229" s="714" t="n"/>
      <c r="E229" s="721" t="inlineStr">
        <is>
          <t>GAZA EMT 1 OREJA DE 1/2</t>
        </is>
      </c>
      <c r="F229" s="716" t="inlineStr">
        <is>
          <t>UND</t>
        </is>
      </c>
      <c r="G229" s="717" t="n">
        <v>14.76</v>
      </c>
      <c r="H229" s="718">
        <f>+G229*1.13</f>
        <v/>
      </c>
      <c r="I229" s="702" t="inlineStr">
        <is>
          <t>✓✓</t>
        </is>
      </c>
    </row>
    <row r="230">
      <c r="A230" s="722" t="n"/>
      <c r="B230" s="36" t="inlineStr">
        <is>
          <t>M05-0402</t>
        </is>
      </c>
      <c r="C230" s="713" t="n"/>
      <c r="D230" s="714" t="n"/>
      <c r="E230" s="721" t="inlineStr">
        <is>
          <t>TUBO EMT 1 (3M)</t>
        </is>
      </c>
      <c r="F230" s="716" t="inlineStr">
        <is>
          <t>UND</t>
        </is>
      </c>
      <c r="G230" s="717" t="n">
        <v>5201.97</v>
      </c>
      <c r="H230" s="718">
        <f>+G230*1.13</f>
        <v/>
      </c>
      <c r="I230" s="702" t="inlineStr">
        <is>
          <t>✓✓</t>
        </is>
      </c>
    </row>
    <row r="231">
      <c r="A231" s="722" t="n"/>
      <c r="B231" s="36" t="inlineStr">
        <is>
          <t>M05-0405</t>
        </is>
      </c>
      <c r="C231" s="713" t="n"/>
      <c r="D231" s="714" t="n"/>
      <c r="E231" s="721" t="inlineStr">
        <is>
          <t>TUBO EMT DE ½</t>
        </is>
      </c>
      <c r="F231" s="716" t="inlineStr">
        <is>
          <t>UND</t>
        </is>
      </c>
      <c r="G231" s="717" t="n">
        <v>1922.46</v>
      </c>
      <c r="H231" s="718">
        <f>+G231*1.13</f>
        <v/>
      </c>
      <c r="I231" s="702" t="inlineStr">
        <is>
          <t>✓✓</t>
        </is>
      </c>
    </row>
    <row r="232">
      <c r="A232" s="722" t="n"/>
      <c r="B232" s="36" t="inlineStr">
        <is>
          <t>M05-0407</t>
        </is>
      </c>
      <c r="C232" s="713" t="n"/>
      <c r="D232" s="714" t="n"/>
      <c r="E232" s="721" t="inlineStr">
        <is>
          <t>GAZA EMT 1 OREJAS 3/4"</t>
        </is>
      </c>
      <c r="F232" s="716" t="inlineStr">
        <is>
          <t>UND</t>
        </is>
      </c>
      <c r="G232" s="717" t="n">
        <v>16.2</v>
      </c>
      <c r="H232" s="718">
        <f>+G232*1.13</f>
        <v/>
      </c>
      <c r="I232" s="702" t="inlineStr">
        <is>
          <t>✓✓</t>
        </is>
      </c>
    </row>
    <row r="233">
      <c r="A233" s="722" t="n"/>
      <c r="B233" s="36" t="inlineStr">
        <is>
          <t>M05-0408</t>
        </is>
      </c>
      <c r="C233" s="713" t="n"/>
      <c r="D233" s="714" t="n"/>
      <c r="E233" s="721" t="inlineStr">
        <is>
          <t>GAZA EMT 1 OREJAS 1"</t>
        </is>
      </c>
      <c r="F233" s="716" t="inlineStr">
        <is>
          <t>UND</t>
        </is>
      </c>
      <c r="G233" s="717" t="n">
        <v>44.88</v>
      </c>
      <c r="H233" s="718">
        <f>+G233*1.13</f>
        <v/>
      </c>
      <c r="I233" s="702" t="inlineStr">
        <is>
          <t>✓✓</t>
        </is>
      </c>
    </row>
    <row r="234">
      <c r="A234" s="722" t="n"/>
      <c r="B234" s="36" t="inlineStr">
        <is>
          <t>M05-0410</t>
        </is>
      </c>
      <c r="C234" s="713" t="n"/>
      <c r="D234" s="714" t="n"/>
      <c r="E234" s="721" t="inlineStr">
        <is>
          <t>TAPA CIEGA CUADRADA 4X4 EMT</t>
        </is>
      </c>
      <c r="F234" s="716" t="inlineStr">
        <is>
          <t>UND</t>
        </is>
      </c>
      <c r="G234" s="717" t="n">
        <v>136.71</v>
      </c>
      <c r="H234" s="718">
        <f>+G234*1.13</f>
        <v/>
      </c>
      <c r="I234" s="702" t="inlineStr">
        <is>
          <t>✓✓</t>
        </is>
      </c>
    </row>
    <row r="235">
      <c r="A235" s="722" t="n"/>
      <c r="B235" s="36" t="inlineStr">
        <is>
          <t>M05-0411</t>
        </is>
      </c>
      <c r="C235" s="713" t="n"/>
      <c r="D235" s="714" t="n"/>
      <c r="E235" s="721" t="inlineStr">
        <is>
          <t>CONECTOR TORNILLO EMT 11/4</t>
        </is>
      </c>
      <c r="F235" s="716" t="inlineStr">
        <is>
          <t>UND</t>
        </is>
      </c>
      <c r="G235" s="717" t="n">
        <v>496.26</v>
      </c>
      <c r="H235" s="718">
        <f>+G235*1.13</f>
        <v/>
      </c>
      <c r="I235" s="702" t="inlineStr">
        <is>
          <t>✓✓</t>
        </is>
      </c>
    </row>
    <row r="236">
      <c r="A236" s="722" t="n"/>
      <c r="B236" s="36" t="inlineStr">
        <is>
          <t>M05-0412</t>
        </is>
      </c>
      <c r="C236" s="713" t="n"/>
      <c r="D236" s="714" t="n"/>
      <c r="E236" s="721" t="inlineStr">
        <is>
          <t>TUBO EMT 1-1/4</t>
        </is>
      </c>
      <c r="F236" s="716" t="inlineStr">
        <is>
          <t>UND</t>
        </is>
      </c>
      <c r="G236" s="717" t="n">
        <v>7319.55</v>
      </c>
      <c r="H236" s="718">
        <f>+G236*1.13</f>
        <v/>
      </c>
      <c r="I236" s="702" t="inlineStr">
        <is>
          <t>✓✓</t>
        </is>
      </c>
    </row>
    <row r="237">
      <c r="A237" s="722" t="n"/>
      <c r="B237" s="36" t="inlineStr">
        <is>
          <t>M05-0414</t>
        </is>
      </c>
      <c r="C237" s="713" t="n"/>
      <c r="D237" s="714" t="n"/>
      <c r="E237" s="721" t="inlineStr">
        <is>
          <t>CONECTOR EMT 1/2 TORNILLO</t>
        </is>
      </c>
      <c r="F237" s="716" t="inlineStr">
        <is>
          <t>UND</t>
        </is>
      </c>
      <c r="G237" s="717" t="n">
        <v>73.31</v>
      </c>
      <c r="H237" s="718">
        <f>+G237*1.13</f>
        <v/>
      </c>
      <c r="I237" s="702" t="inlineStr">
        <is>
          <t>✓✓</t>
        </is>
      </c>
    </row>
    <row r="238">
      <c r="A238" s="722" t="n"/>
      <c r="B238" s="36" t="inlineStr">
        <is>
          <t>M05-0415</t>
        </is>
      </c>
      <c r="C238" s="713" t="n"/>
      <c r="D238" s="714" t="n"/>
      <c r="E238" s="721" t="inlineStr">
        <is>
          <t>CURVA EMT 1/2 PULG</t>
        </is>
      </c>
      <c r="F238" s="716" t="inlineStr">
        <is>
          <t>UND</t>
        </is>
      </c>
      <c r="G238" s="717" t="n">
        <v>244.29</v>
      </c>
      <c r="H238" s="718">
        <f>+G238*1.13</f>
        <v/>
      </c>
      <c r="I238" s="702" t="inlineStr">
        <is>
          <t>✓✓</t>
        </is>
      </c>
    </row>
    <row r="239">
      <c r="A239" s="722" t="n"/>
      <c r="B239" s="36" t="inlineStr">
        <is>
          <t>M05-0436</t>
        </is>
      </c>
      <c r="C239" s="713" t="n"/>
      <c r="D239" s="714" t="n"/>
      <c r="E239" s="721" t="inlineStr">
        <is>
          <t>LAMPARA TORTUGA 50013AEPI-BK</t>
        </is>
      </c>
      <c r="F239" s="716" t="inlineStr">
        <is>
          <t>UND</t>
        </is>
      </c>
      <c r="G239" s="717" t="n">
        <v>2852.82</v>
      </c>
      <c r="H239" s="718">
        <f>+G239*1.13</f>
        <v/>
      </c>
      <c r="I239" s="702" t="inlineStr">
        <is>
          <t>✓✓</t>
        </is>
      </c>
    </row>
    <row r="240">
      <c r="A240" s="722" t="n"/>
      <c r="B240" s="36" t="inlineStr">
        <is>
          <t>M05-0437</t>
        </is>
      </c>
      <c r="C240" s="713" t="n"/>
      <c r="D240" s="714" t="n"/>
      <c r="E240" s="721" t="inlineStr">
        <is>
          <t>LAMPARA LED REDONDO CALIDA 12W DE PARCHE</t>
        </is>
      </c>
      <c r="F240" s="716" t="inlineStr">
        <is>
          <t>UND</t>
        </is>
      </c>
      <c r="G240" s="717" t="n">
        <v>2579.19</v>
      </c>
      <c r="H240" s="718">
        <f>+G240*1.13</f>
        <v/>
      </c>
      <c r="I240" s="702" t="inlineStr">
        <is>
          <t>✓✓</t>
        </is>
      </c>
    </row>
    <row r="241">
      <c r="A241" s="722" t="n"/>
      <c r="B241" s="36" t="inlineStr">
        <is>
          <t>M05-0446</t>
        </is>
      </c>
      <c r="C241" s="713" t="n"/>
      <c r="D241" s="714" t="n"/>
      <c r="E241" s="721" t="inlineStr">
        <is>
          <t>LÁMPARA LED REDONDA DE 12W DE PARCHE LUZ BLANCA</t>
        </is>
      </c>
      <c r="F241" s="716" t="inlineStr">
        <is>
          <t>UND</t>
        </is>
      </c>
      <c r="G241" s="717">
        <f>2262.29/1.13</f>
        <v/>
      </c>
      <c r="H241" s="718">
        <f>+G241*1.13</f>
        <v/>
      </c>
      <c r="I241" s="702" t="inlineStr">
        <is>
          <t>✓✓</t>
        </is>
      </c>
    </row>
    <row r="242">
      <c r="A242" s="731" t="inlineStr">
        <is>
          <t xml:space="preserve">MAT06-0096 TOMA DOBLE POLARIZADO 15A 120 TR DECO </t>
        </is>
      </c>
      <c r="B242" s="36" t="inlineStr">
        <is>
          <t>M05-0447</t>
        </is>
      </c>
      <c r="C242" s="713" t="n"/>
      <c r="D242" s="714" t="n"/>
      <c r="E242" s="721" t="inlineStr">
        <is>
          <t>LAMPARA DE PARCHE LUZ FRÍA</t>
        </is>
      </c>
      <c r="F242" s="716" t="inlineStr">
        <is>
          <t>UND</t>
        </is>
      </c>
      <c r="G242" s="717" t="n">
        <v>3525</v>
      </c>
      <c r="H242" s="718">
        <f>+G242*1.13</f>
        <v/>
      </c>
      <c r="I242" s="46" t="n"/>
    </row>
    <row r="243">
      <c r="A243" s="732" t="n"/>
      <c r="B243" s="36" t="inlineStr">
        <is>
          <t>M05-0448</t>
        </is>
      </c>
      <c r="C243" s="713" t="n"/>
      <c r="D243" s="714" t="n"/>
      <c r="E243" s="721" t="inlineStr">
        <is>
          <t>REFLECTOR LED 50 WATTS 5000K 110/277 V</t>
        </is>
      </c>
      <c r="F243" s="716" t="inlineStr">
        <is>
          <t>UND</t>
        </is>
      </c>
      <c r="G243" s="717" t="n">
        <v>16514.62</v>
      </c>
      <c r="H243" s="718">
        <f>+G243*1.13</f>
        <v/>
      </c>
      <c r="I243" s="702" t="inlineStr">
        <is>
          <t>✓✓</t>
        </is>
      </c>
    </row>
    <row r="244">
      <c r="A244" s="722" t="n"/>
      <c r="B244" s="36" t="inlineStr">
        <is>
          <t>M05-0458</t>
        </is>
      </c>
      <c r="C244" s="713" t="n"/>
      <c r="D244" s="714" t="n"/>
      <c r="E244" s="721" t="inlineStr">
        <is>
          <t>PLAFON BLANCO</t>
        </is>
      </c>
      <c r="F244" s="716" t="inlineStr">
        <is>
          <t>UND</t>
        </is>
      </c>
      <c r="G244" s="717" t="n">
        <v>593</v>
      </c>
      <c r="H244" s="718">
        <f>+G244*1.13</f>
        <v/>
      </c>
      <c r="I244" s="702" t="inlineStr">
        <is>
          <t>✓✓</t>
        </is>
      </c>
    </row>
    <row r="245">
      <c r="A245" s="722" t="n"/>
      <c r="B245" s="36" t="inlineStr">
        <is>
          <t>M05-0463</t>
        </is>
      </c>
      <c r="C245" s="327" t="n"/>
      <c r="D245" s="752" t="n"/>
      <c r="E245" s="721" t="inlineStr">
        <is>
          <t xml:space="preserve"> BARRA A TIERRA PK27GTA 27 TERMINALES</t>
        </is>
      </c>
      <c r="F245" s="716" t="inlineStr">
        <is>
          <t>UND</t>
        </is>
      </c>
      <c r="G245" s="717" t="n">
        <v>4928</v>
      </c>
      <c r="H245" s="718">
        <f>+G245*1.13</f>
        <v/>
      </c>
      <c r="I245" s="702" t="inlineStr">
        <is>
          <t>✓✓</t>
        </is>
      </c>
    </row>
    <row r="246">
      <c r="A246" s="722" t="n"/>
      <c r="B246" s="36" t="inlineStr">
        <is>
          <t>M05-0465</t>
        </is>
      </c>
      <c r="C246" s="713" t="n"/>
      <c r="D246" s="714" t="n"/>
      <c r="E246" s="721" t="inlineStr">
        <is>
          <t>CONECTOR DE BARRIL BIMETAL (NO COBRE) PARA 1/0 CU-AL</t>
        </is>
      </c>
      <c r="F246" s="716" t="inlineStr">
        <is>
          <t>UND</t>
        </is>
      </c>
      <c r="G246" s="717" t="n">
        <v>2412.39</v>
      </c>
      <c r="H246" s="718">
        <f>+G246*1.13</f>
        <v/>
      </c>
      <c r="I246" s="702" t="inlineStr">
        <is>
          <t>✓✓</t>
        </is>
      </c>
    </row>
    <row r="247">
      <c r="A247" s="722" t="n"/>
      <c r="B247" s="36" t="inlineStr">
        <is>
          <t>M05-0467</t>
        </is>
      </c>
      <c r="C247" s="713" t="n"/>
      <c r="D247" s="714" t="n"/>
      <c r="E247" s="721" t="inlineStr">
        <is>
          <t>TOMA DOBLE POLARIZADO 15A 120 TR DECO</t>
        </is>
      </c>
      <c r="F247" s="716" t="inlineStr">
        <is>
          <t>UND</t>
        </is>
      </c>
      <c r="G247" s="717" t="n">
        <v>4080</v>
      </c>
      <c r="H247" s="718">
        <f>+G247*1.13</f>
        <v/>
      </c>
      <c r="I247" s="702" t="inlineStr">
        <is>
          <t>✓✓</t>
        </is>
      </c>
    </row>
    <row r="248">
      <c r="A248" s="722" t="n"/>
      <c r="B248" s="36" t="inlineStr">
        <is>
          <t>M05-0471</t>
        </is>
      </c>
      <c r="C248" s="713" t="n"/>
      <c r="D248" s="714" t="n"/>
      <c r="E248" s="721" t="inlineStr">
        <is>
          <t>BREAKER SD QO 2X30AMP GFCI</t>
        </is>
      </c>
      <c r="F248" s="716" t="inlineStr">
        <is>
          <t>UND</t>
        </is>
      </c>
      <c r="G248" s="717" t="n">
        <v>59338</v>
      </c>
      <c r="H248" s="718">
        <f>+G248*1.13</f>
        <v/>
      </c>
      <c r="I248" s="702" t="inlineStr">
        <is>
          <t>✓✓</t>
        </is>
      </c>
    </row>
    <row r="249">
      <c r="A249" s="732" t="n"/>
      <c r="B249" s="36" t="inlineStr">
        <is>
          <t>M05-0472</t>
        </is>
      </c>
      <c r="C249" s="713" t="n"/>
      <c r="D249" s="714" t="n"/>
      <c r="E249" s="721" t="inlineStr">
        <is>
          <t>BREAKER SD QO 2X40AMP GFCI</t>
        </is>
      </c>
      <c r="F249" s="716" t="inlineStr">
        <is>
          <t>UND</t>
        </is>
      </c>
      <c r="G249" s="717" t="n">
        <v>56220.68</v>
      </c>
      <c r="H249" s="718">
        <f>+G249*1.13</f>
        <v/>
      </c>
      <c r="I249" s="702" t="inlineStr">
        <is>
          <t>✓✓</t>
        </is>
      </c>
    </row>
    <row r="250">
      <c r="A250" s="732" t="n"/>
      <c r="B250" s="36" t="inlineStr">
        <is>
          <t>M05-0474</t>
        </is>
      </c>
      <c r="C250" s="713" t="n"/>
      <c r="D250" s="714" t="n"/>
      <c r="E250" s="721" t="inlineStr">
        <is>
          <t>CUBIERTA PARA CENTRO DE CARGA QO MONTAJE PARA EMPOTRAR 30 CIRCUITOS</t>
        </is>
      </c>
      <c r="F250" s="716" t="inlineStr">
        <is>
          <t>UND</t>
        </is>
      </c>
      <c r="G250" s="717" t="n">
        <v>29539.29</v>
      </c>
      <c r="H250" s="718">
        <f>+G250*1.13</f>
        <v/>
      </c>
      <c r="I250" s="702" t="inlineStr">
        <is>
          <t>✓✓</t>
        </is>
      </c>
    </row>
    <row r="251">
      <c r="A251" s="722" t="n"/>
      <c r="B251" s="36" t="inlineStr">
        <is>
          <t>M05-0475</t>
        </is>
      </c>
      <c r="C251" s="713" t="n"/>
      <c r="D251" s="714" t="n"/>
      <c r="E251" s="721" t="inlineStr">
        <is>
          <t>CUBIERTA PARA CENTRO DE CARGA TIPO QOC24UF, MONTAJE DE EMPOTRAR</t>
        </is>
      </c>
      <c r="F251" s="716" t="inlineStr">
        <is>
          <t>UND</t>
        </is>
      </c>
      <c r="G251" s="717" t="n">
        <v>21531.4</v>
      </c>
      <c r="H251" s="718">
        <f>+G251*1.13</f>
        <v/>
      </c>
      <c r="I251" s="702" t="inlineStr">
        <is>
          <t>✓✓</t>
        </is>
      </c>
    </row>
    <row r="252">
      <c r="A252" s="722" t="n"/>
      <c r="B252" s="36" t="inlineStr">
        <is>
          <t>M05-0476</t>
        </is>
      </c>
      <c r="C252" s="713" t="n"/>
      <c r="D252" s="714" t="n"/>
      <c r="E252" s="721" t="inlineStr">
        <is>
          <t>CONECTOR CONDUIT 1/2 UL</t>
        </is>
      </c>
      <c r="F252" s="716" t="inlineStr">
        <is>
          <t>UND</t>
        </is>
      </c>
      <c r="G252" s="717" t="n">
        <v>83.25</v>
      </c>
      <c r="H252" s="718">
        <f>+G252*1.13</f>
        <v/>
      </c>
      <c r="I252" s="702" t="inlineStr">
        <is>
          <t>✓✓</t>
        </is>
      </c>
    </row>
    <row r="253">
      <c r="A253" s="722" t="n"/>
      <c r="B253" s="36" t="inlineStr">
        <is>
          <t>M05-0477</t>
        </is>
      </c>
      <c r="C253" s="713" t="n"/>
      <c r="D253" s="714" t="n"/>
      <c r="E253" s="721" t="inlineStr">
        <is>
          <t>CONECTOR CONDUIT 3/4 UL</t>
        </is>
      </c>
      <c r="F253" s="716" t="inlineStr">
        <is>
          <t>UND</t>
        </is>
      </c>
      <c r="G253" s="717" t="n">
        <v>105.75</v>
      </c>
      <c r="H253" s="718">
        <f>+G253*1.13</f>
        <v/>
      </c>
      <c r="I253" s="702" t="inlineStr">
        <is>
          <t>✓✓</t>
        </is>
      </c>
    </row>
    <row r="254">
      <c r="A254" s="722" t="n"/>
      <c r="B254" s="36" t="inlineStr">
        <is>
          <t>M05-0482</t>
        </is>
      </c>
      <c r="C254" s="713" t="n"/>
      <c r="D254" s="714" t="n"/>
      <c r="E254" s="721" t="inlineStr">
        <is>
          <t>PLACA INTEMPERIE P/TOMA 30-50A GRIS WP2 VERTICAL 1GANG EATON</t>
        </is>
      </c>
      <c r="F254" s="716" t="inlineStr">
        <is>
          <t>UND</t>
        </is>
      </c>
      <c r="G254" s="717" t="n">
        <v>8788.370000000001</v>
      </c>
      <c r="H254" s="718">
        <f>+G254*1.13</f>
        <v/>
      </c>
      <c r="I254" s="702" t="inlineStr">
        <is>
          <t>✓✓</t>
        </is>
      </c>
    </row>
    <row r="255">
      <c r="A255" s="722" t="n"/>
      <c r="B255" s="36" t="inlineStr">
        <is>
          <t>M06-0001</t>
        </is>
      </c>
      <c r="C255" s="713" t="n"/>
      <c r="D255" s="714" t="n"/>
      <c r="E255" s="721" t="inlineStr">
        <is>
          <t>ANCHORMAX 200 (CARTUCHO DE 300ML)</t>
        </is>
      </c>
      <c r="F255" s="716" t="inlineStr">
        <is>
          <t>UND</t>
        </is>
      </c>
      <c r="G255" s="717" t="n">
        <v>16690.27</v>
      </c>
      <c r="H255" s="718">
        <f>+G255*1.13</f>
        <v/>
      </c>
      <c r="I255" s="702" t="inlineStr">
        <is>
          <t>✓✓</t>
        </is>
      </c>
    </row>
    <row r="256">
      <c r="A256" s="722" t="n"/>
      <c r="B256" s="36" t="inlineStr">
        <is>
          <t>M06-0003</t>
        </is>
      </c>
      <c r="C256" s="713" t="n"/>
      <c r="D256" s="714" t="n"/>
      <c r="E256" s="721" t="inlineStr">
        <is>
          <t>DURETAN BLANCO</t>
        </is>
      </c>
      <c r="F256" s="716" t="inlineStr">
        <is>
          <t>CARTUCHO</t>
        </is>
      </c>
      <c r="G256" s="717" t="n">
        <v>4200.72</v>
      </c>
      <c r="H256" s="718">
        <f>+G256*1.13</f>
        <v/>
      </c>
      <c r="I256" s="702" t="inlineStr">
        <is>
          <t>✓✓</t>
        </is>
      </c>
    </row>
    <row r="257">
      <c r="A257" s="722" t="n"/>
      <c r="B257" s="36" t="inlineStr">
        <is>
          <t>M06-0003</t>
        </is>
      </c>
      <c r="C257" s="713" t="n"/>
      <c r="D257" s="714" t="n"/>
      <c r="E257" s="721" t="inlineStr">
        <is>
          <t>DURETAN BLANCO</t>
        </is>
      </c>
      <c r="F257" s="716" t="inlineStr">
        <is>
          <t>CARTUCHO</t>
        </is>
      </c>
      <c r="G257" s="717" t="n">
        <v>4814.16</v>
      </c>
      <c r="H257" s="718">
        <f>+G257*1.13</f>
        <v/>
      </c>
      <c r="I257" s="702" t="inlineStr">
        <is>
          <t>✓✓</t>
        </is>
      </c>
    </row>
    <row r="258">
      <c r="A258" s="722" t="n"/>
      <c r="B258" s="36" t="inlineStr">
        <is>
          <t>M06-0004</t>
        </is>
      </c>
      <c r="C258" s="713" t="n"/>
      <c r="D258" s="714" t="n"/>
      <c r="E258" s="721" t="inlineStr">
        <is>
          <t>DURETAN GRIS</t>
        </is>
      </c>
      <c r="F258" s="716" t="inlineStr">
        <is>
          <t>CARTUCHO</t>
        </is>
      </c>
      <c r="G258" s="717" t="n">
        <v>4332.74</v>
      </c>
      <c r="H258" s="718">
        <f>+G258*1.13</f>
        <v/>
      </c>
      <c r="I258" s="702" t="inlineStr">
        <is>
          <t>✓✓</t>
        </is>
      </c>
    </row>
    <row r="259">
      <c r="A259" s="722" t="n"/>
      <c r="B259" s="36" t="inlineStr">
        <is>
          <t>M06-0008</t>
        </is>
      </c>
      <c r="C259" s="713" t="n"/>
      <c r="D259" s="714" t="n"/>
      <c r="E259" s="721" t="inlineStr">
        <is>
          <t>MAXISTIK 590 (EPOXICO)</t>
        </is>
      </c>
      <c r="F259" s="716" t="inlineStr">
        <is>
          <t>UND</t>
        </is>
      </c>
      <c r="G259" s="717" t="n">
        <v>11017.7</v>
      </c>
      <c r="H259" s="718">
        <f>+G259*1.13</f>
        <v/>
      </c>
      <c r="I259" s="702" t="inlineStr">
        <is>
          <t>✓✓</t>
        </is>
      </c>
    </row>
    <row r="260">
      <c r="A260" s="722" t="n"/>
      <c r="B260" s="36" t="inlineStr">
        <is>
          <t>M06-0013</t>
        </is>
      </c>
      <c r="C260" s="713" t="n"/>
      <c r="D260" s="714" t="n"/>
      <c r="E260" s="721" t="inlineStr">
        <is>
          <t>PEGAMENTO  PVC AZUL WETBONDING</t>
        </is>
      </c>
      <c r="F260" s="716" t="inlineStr">
        <is>
          <t>1/8 DE GALON</t>
        </is>
      </c>
      <c r="G260" s="717" t="n">
        <v>5163.72</v>
      </c>
      <c r="H260" s="718">
        <f>+G260*1.13</f>
        <v/>
      </c>
      <c r="I260" s="702" t="inlineStr">
        <is>
          <t>✓✓</t>
        </is>
      </c>
    </row>
    <row r="261">
      <c r="A261" s="722" t="n"/>
      <c r="B261" s="36" t="inlineStr">
        <is>
          <t>M06-0013</t>
        </is>
      </c>
      <c r="C261" s="713" t="n"/>
      <c r="D261" s="714" t="n"/>
      <c r="E261" s="721" t="inlineStr">
        <is>
          <t>PEGAMENTO  PVC AZUL WETBONDING</t>
        </is>
      </c>
      <c r="F261" s="716" t="inlineStr">
        <is>
          <t>1/4 DE GALON</t>
        </is>
      </c>
      <c r="G261" s="717" t="n">
        <v>7302.52</v>
      </c>
      <c r="H261" s="718">
        <f>+G261*1.13</f>
        <v/>
      </c>
      <c r="I261" s="702" t="inlineStr">
        <is>
          <t>✓✓</t>
        </is>
      </c>
    </row>
    <row r="262">
      <c r="A262" s="731" t="inlineStr">
        <is>
          <t>MAT06-0135 BOMBILLO LED P/PLAFON</t>
        </is>
      </c>
      <c r="B262" s="36" t="inlineStr">
        <is>
          <t>M06-0015</t>
        </is>
      </c>
      <c r="C262" s="713" t="n"/>
      <c r="D262" s="714" t="n"/>
      <c r="E262" s="721" t="inlineStr">
        <is>
          <t>PEGAMENTO DE CONTACTO</t>
        </is>
      </c>
      <c r="F262" s="716" t="inlineStr">
        <is>
          <t>GALON</t>
        </is>
      </c>
      <c r="G262" s="717" t="n">
        <v>16535.3982</v>
      </c>
      <c r="H262" s="718">
        <f>+G262*1.13</f>
        <v/>
      </c>
      <c r="I262" s="46" t="n"/>
    </row>
    <row r="263">
      <c r="A263" s="731" t="inlineStr">
        <is>
          <t>MAT06-0136 CABLE UTP CAT 6 AZUL</t>
        </is>
      </c>
      <c r="B263" s="36" t="inlineStr">
        <is>
          <t>M06-0016</t>
        </is>
      </c>
      <c r="C263" s="713" t="n"/>
      <c r="D263" s="714" t="n"/>
      <c r="E263" s="721" t="inlineStr">
        <is>
          <t>PEGAMENTO P/MUEBLES 20KG</t>
        </is>
      </c>
      <c r="F263" s="716" t="inlineStr">
        <is>
          <t>kg</t>
        </is>
      </c>
      <c r="G263" s="717">
        <f>130410.132/20</f>
        <v/>
      </c>
      <c r="H263" s="718">
        <f>+G263*1.13</f>
        <v/>
      </c>
      <c r="I263" s="46" t="n"/>
    </row>
    <row r="264">
      <c r="A264" s="722" t="n"/>
      <c r="B264" s="36" t="inlineStr">
        <is>
          <t>M06-0017</t>
        </is>
      </c>
      <c r="C264" s="713" t="n"/>
      <c r="D264" s="714" t="n"/>
      <c r="E264" s="721" t="inlineStr">
        <is>
          <t>PEGAMENTO CONTACTO 1/32</t>
        </is>
      </c>
      <c r="F264" s="716" t="inlineStr">
        <is>
          <t>UND</t>
        </is>
      </c>
      <c r="G264" s="717" t="n">
        <v>2212.39</v>
      </c>
      <c r="H264" s="718">
        <f>+G264*1.13</f>
        <v/>
      </c>
      <c r="I264" s="702" t="inlineStr">
        <is>
          <t>✓✓</t>
        </is>
      </c>
    </row>
    <row r="265">
      <c r="A265" s="722" t="n"/>
      <c r="B265" s="36" t="inlineStr">
        <is>
          <t>M06-0019</t>
        </is>
      </c>
      <c r="C265" s="713" t="n"/>
      <c r="D265" s="714" t="n"/>
      <c r="E265" s="721" t="inlineStr">
        <is>
          <t>SELLADOR HI-BOND</t>
        </is>
      </c>
      <c r="F265" s="716" t="inlineStr">
        <is>
          <t>UND</t>
        </is>
      </c>
      <c r="G265" s="717" t="n">
        <v>6172.5664</v>
      </c>
      <c r="H265" s="718">
        <f>+G265*1.13</f>
        <v/>
      </c>
      <c r="I265" s="702" t="inlineStr">
        <is>
          <t>✓✓</t>
        </is>
      </c>
    </row>
    <row r="266">
      <c r="A266" s="722" t="n"/>
      <c r="B266" s="751" t="inlineStr">
        <is>
          <t>M06-0023</t>
        </is>
      </c>
      <c r="C266" s="713" t="n"/>
      <c r="D266" s="714" t="n"/>
      <c r="E266" s="721" t="inlineStr">
        <is>
          <t>SIKAFLEX 1A PLUS</t>
        </is>
      </c>
      <c r="F266" s="716" t="inlineStr">
        <is>
          <t>UND</t>
        </is>
      </c>
      <c r="G266" s="717" t="n">
        <v>4307.31</v>
      </c>
      <c r="H266" s="718">
        <f>+G266*1.13</f>
        <v/>
      </c>
      <c r="I266" s="702" t="inlineStr">
        <is>
          <t>✓✓</t>
        </is>
      </c>
    </row>
    <row r="267">
      <c r="A267" s="722" t="n"/>
      <c r="B267" s="36" t="inlineStr">
        <is>
          <t>M06-0025</t>
        </is>
      </c>
      <c r="C267" s="713" t="n"/>
      <c r="D267" s="714" t="n"/>
      <c r="E267" s="721" t="inlineStr">
        <is>
          <t>SILICON PINTABLE</t>
        </is>
      </c>
      <c r="F267" s="716" t="inlineStr">
        <is>
          <t>UND</t>
        </is>
      </c>
      <c r="G267" s="717" t="n">
        <v>2512.83</v>
      </c>
      <c r="H267" s="718">
        <f>+G267*1.13</f>
        <v/>
      </c>
      <c r="I267" s="702" t="inlineStr">
        <is>
          <t>✓✓</t>
        </is>
      </c>
    </row>
    <row r="268">
      <c r="A268" s="722" t="n"/>
      <c r="B268" s="36" t="inlineStr">
        <is>
          <t>M06-0026</t>
        </is>
      </c>
      <c r="C268" s="713" t="n"/>
      <c r="D268" s="714" t="n"/>
      <c r="E268" s="721" t="inlineStr">
        <is>
          <t>SILICON TRANSPARENTE</t>
        </is>
      </c>
      <c r="F268" s="716" t="inlineStr">
        <is>
          <t>UND</t>
        </is>
      </c>
      <c r="G268" s="717" t="n">
        <v>4013.2743</v>
      </c>
      <c r="H268" s="718">
        <f>+G268*1.13</f>
        <v/>
      </c>
      <c r="I268" s="702" t="inlineStr">
        <is>
          <t>✓✓</t>
        </is>
      </c>
    </row>
    <row r="269">
      <c r="A269" s="749" t="n"/>
      <c r="B269" s="751" t="inlineStr">
        <is>
          <t>M06-0034</t>
        </is>
      </c>
      <c r="C269" s="713" t="n"/>
      <c r="D269" s="714" t="n"/>
      <c r="E269" s="753" t="inlineStr">
        <is>
          <t>CLAVO DE IMPACTO 1 1/4 (100)</t>
        </is>
      </c>
      <c r="F269" s="754" t="inlineStr">
        <is>
          <t>UN</t>
        </is>
      </c>
      <c r="G269" s="717" t="n">
        <v>1550</v>
      </c>
      <c r="H269" s="718">
        <f>+G269*1.13</f>
        <v/>
      </c>
      <c r="I269" s="702" t="inlineStr">
        <is>
          <t>✓✓</t>
        </is>
      </c>
    </row>
    <row r="270">
      <c r="A270" s="722" t="n"/>
      <c r="B270" s="36" t="inlineStr">
        <is>
          <t>M06-0036</t>
        </is>
      </c>
      <c r="C270" s="713" t="n"/>
      <c r="D270" s="714" t="n"/>
      <c r="E270" s="721" t="inlineStr">
        <is>
          <t>CLAVO NEGRO 1" (100)</t>
        </is>
      </c>
      <c r="F270" s="716" t="inlineStr">
        <is>
          <t>CAJA</t>
        </is>
      </c>
      <c r="G270" s="717" t="n">
        <v>420.97</v>
      </c>
      <c r="H270" s="718">
        <f>+G270*1.13</f>
        <v/>
      </c>
      <c r="I270" s="702" t="inlineStr">
        <is>
          <t>✓✓</t>
        </is>
      </c>
    </row>
    <row r="271">
      <c r="A271" s="732" t="n"/>
      <c r="B271" s="36" t="inlineStr">
        <is>
          <t>M06-0040</t>
        </is>
      </c>
      <c r="C271" s="713" t="n"/>
      <c r="D271" s="714" t="n"/>
      <c r="E271" s="721" t="inlineStr">
        <is>
          <t>CLAVO ACERO 2 X 3.8MM CAJA (250)</t>
        </is>
      </c>
      <c r="F271" s="716" t="inlineStr">
        <is>
          <t>CJ</t>
        </is>
      </c>
      <c r="G271" s="717" t="n">
        <v>5637.5</v>
      </c>
      <c r="H271" s="718">
        <f>+G271*1.13</f>
        <v/>
      </c>
      <c r="I271" s="702" t="inlineStr">
        <is>
          <t>✓✓</t>
        </is>
      </c>
    </row>
    <row r="272">
      <c r="A272" s="722" t="n"/>
      <c r="B272" s="36" t="inlineStr">
        <is>
          <t>M06-0040</t>
        </is>
      </c>
      <c r="C272" s="713" t="n"/>
      <c r="D272" s="714" t="n"/>
      <c r="E272" s="721" t="inlineStr">
        <is>
          <t>CLAVO ACERO 2 X 3.8MM CAJA (250)</t>
        </is>
      </c>
      <c r="F272" s="716" t="inlineStr">
        <is>
          <t>CAJA</t>
        </is>
      </c>
      <c r="G272" s="717" t="n">
        <v>5231.45</v>
      </c>
      <c r="H272" s="718">
        <f>+G272*1.13</f>
        <v/>
      </c>
      <c r="I272" s="702" t="inlineStr">
        <is>
          <t>✓✓</t>
        </is>
      </c>
    </row>
    <row r="273">
      <c r="A273" s="722" t="n"/>
      <c r="B273" s="36" t="inlineStr">
        <is>
          <t>M06-0041</t>
        </is>
      </c>
      <c r="C273" s="713" t="n"/>
      <c r="D273" s="714" t="n"/>
      <c r="E273" s="721" t="inlineStr">
        <is>
          <t>CLAVO C/CABEZA  2 1/2"</t>
        </is>
      </c>
      <c r="F273" s="716" t="inlineStr">
        <is>
          <t>KG</t>
        </is>
      </c>
      <c r="G273" s="717" t="n">
        <v>785.58</v>
      </c>
      <c r="H273" s="718">
        <f>+G273*1.13</f>
        <v/>
      </c>
      <c r="I273" s="702" t="inlineStr">
        <is>
          <t>✓✓</t>
        </is>
      </c>
    </row>
    <row r="274">
      <c r="A274" s="731" t="inlineStr">
        <is>
          <t>M05-0437 LAMPARA LED REDONDO CALIDA 12W DE PARCHE</t>
        </is>
      </c>
      <c r="B274" s="36" t="inlineStr">
        <is>
          <t>M06-0042</t>
        </is>
      </c>
      <c r="C274" s="713" t="n"/>
      <c r="D274" s="714" t="n"/>
      <c r="E274" s="721" t="inlineStr">
        <is>
          <t>CLAVO C/CABEZA  2"</t>
        </is>
      </c>
      <c r="F274" s="716" t="inlineStr">
        <is>
          <t>KG</t>
        </is>
      </c>
      <c r="G274" s="755" t="n">
        <v>683.52</v>
      </c>
      <c r="H274" s="718">
        <f>+G274*1.13</f>
        <v/>
      </c>
      <c r="I274" s="702" t="inlineStr">
        <is>
          <t>✓✓</t>
        </is>
      </c>
    </row>
    <row r="275">
      <c r="A275" s="722" t="n"/>
      <c r="B275" s="36" t="inlineStr">
        <is>
          <t>M06-0043</t>
        </is>
      </c>
      <c r="C275" s="713" t="n"/>
      <c r="D275" s="714" t="n"/>
      <c r="E275" s="721" t="inlineStr">
        <is>
          <t>CLAVO DE IMPACTO 1" (100)</t>
        </is>
      </c>
      <c r="F275" s="716" t="inlineStr">
        <is>
          <t>CJ</t>
        </is>
      </c>
      <c r="G275" s="717" t="n">
        <v>1875</v>
      </c>
      <c r="H275" s="718">
        <f>+G275*1.13</f>
        <v/>
      </c>
      <c r="I275" s="702" t="inlineStr">
        <is>
          <t>✓✓</t>
        </is>
      </c>
    </row>
    <row r="276">
      <c r="A276" s="732" t="n"/>
      <c r="B276" s="36" t="inlineStr">
        <is>
          <t>M06-0043</t>
        </is>
      </c>
      <c r="C276" s="713" t="n"/>
      <c r="D276" s="714" t="n"/>
      <c r="E276" s="721" t="inlineStr">
        <is>
          <t>CLAVO DE IMPACTO 1" (100)</t>
        </is>
      </c>
      <c r="F276" s="716" t="inlineStr">
        <is>
          <t>CAJA</t>
        </is>
      </c>
      <c r="G276" s="755" t="n">
        <v>367.82</v>
      </c>
      <c r="H276" s="718">
        <f>+G276*1.13</f>
        <v/>
      </c>
      <c r="I276" s="702" t="inlineStr">
        <is>
          <t>✓✓</t>
        </is>
      </c>
    </row>
    <row r="277">
      <c r="A277" s="722" t="n"/>
      <c r="B277" s="36" t="inlineStr">
        <is>
          <t>M06-0060</t>
        </is>
      </c>
      <c r="C277" s="713" t="n"/>
      <c r="D277" s="714" t="n"/>
      <c r="E277" s="721" t="inlineStr">
        <is>
          <t>TORNILLO 6X11/4 P/MADERA PFINA</t>
        </is>
      </c>
      <c r="F277" s="716" t="inlineStr">
        <is>
          <t>UND</t>
        </is>
      </c>
      <c r="G277" s="717" t="n">
        <v>4.8673</v>
      </c>
      <c r="H277" s="718">
        <f>+G277*1.13</f>
        <v/>
      </c>
      <c r="I277" s="702" t="inlineStr">
        <is>
          <t>✓✓</t>
        </is>
      </c>
    </row>
    <row r="278">
      <c r="A278" s="722" t="n"/>
      <c r="B278" s="36" t="inlineStr">
        <is>
          <t>M06-0061</t>
        </is>
      </c>
      <c r="C278" s="713" t="n"/>
      <c r="D278" s="714" t="n"/>
      <c r="E278" s="721" t="inlineStr">
        <is>
          <t>TORNILLO 8X1 1/4 P/BROCA</t>
        </is>
      </c>
      <c r="F278" s="716" t="inlineStr">
        <is>
          <t>UND</t>
        </is>
      </c>
      <c r="G278" s="717">
        <f>14.5/1.13</f>
        <v/>
      </c>
      <c r="H278" s="718">
        <f>+G278*1.13</f>
        <v/>
      </c>
      <c r="I278" s="702" t="inlineStr">
        <is>
          <t>✓✓</t>
        </is>
      </c>
    </row>
    <row r="279">
      <c r="A279" s="749" t="n"/>
      <c r="B279" s="36" t="inlineStr">
        <is>
          <t>M06-0070</t>
        </is>
      </c>
      <c r="C279" s="713" t="n"/>
      <c r="D279" s="714" t="n"/>
      <c r="E279" s="721" t="inlineStr">
        <is>
          <t>TORNILLO DE 3" C/EMPAQUE,TUERCA ARANDELA  Y TAPON (PARA UPVC)</t>
        </is>
      </c>
      <c r="F279" s="716" t="inlineStr">
        <is>
          <t>UND</t>
        </is>
      </c>
      <c r="G279" s="717" t="n">
        <v>121.33</v>
      </c>
      <c r="H279" s="718">
        <f>+G279*1.13</f>
        <v/>
      </c>
      <c r="I279" s="702" t="inlineStr">
        <is>
          <t>✓✓</t>
        </is>
      </c>
    </row>
    <row r="280">
      <c r="A280" s="722" t="n"/>
      <c r="B280" s="36" t="inlineStr">
        <is>
          <t>M06-0073</t>
        </is>
      </c>
      <c r="C280" s="713" t="n"/>
      <c r="D280" s="714" t="n"/>
      <c r="E280" s="721" t="inlineStr">
        <is>
          <t>TORNILLO FIJADOR PTA BROCA 8X3/4 TDRKB812 (POLYCARBONATO)</t>
        </is>
      </c>
      <c r="F280" s="716" t="inlineStr">
        <is>
          <t>UND</t>
        </is>
      </c>
      <c r="G280" s="717" t="n">
        <v>10.4</v>
      </c>
      <c r="H280" s="718">
        <f>+G280*1.13</f>
        <v/>
      </c>
      <c r="I280" s="702" t="inlineStr">
        <is>
          <t>✓✓</t>
        </is>
      </c>
    </row>
    <row r="281">
      <c r="A281" s="722" t="n"/>
      <c r="B281" s="36" t="inlineStr">
        <is>
          <t>M06-0074</t>
        </is>
      </c>
      <c r="C281" s="713" t="n"/>
      <c r="D281" s="714" t="n"/>
      <c r="E281" s="721" t="inlineStr">
        <is>
          <t>TORNILLO GYPSUM 2 1/2" X 8" P/CORRIENTE</t>
        </is>
      </c>
      <c r="F281" s="716" t="inlineStr">
        <is>
          <t>UND</t>
        </is>
      </c>
      <c r="G281" s="717" t="n">
        <v>14.0623</v>
      </c>
      <c r="H281" s="718">
        <f>+G281*1.13</f>
        <v/>
      </c>
      <c r="I281" s="702" t="inlineStr">
        <is>
          <t>✓✓</t>
        </is>
      </c>
    </row>
    <row r="282">
      <c r="A282" s="722" t="n"/>
      <c r="B282" s="36" t="inlineStr">
        <is>
          <t>M06-0075</t>
        </is>
      </c>
      <c r="C282" s="713" t="n"/>
      <c r="D282" s="714" t="n"/>
      <c r="E282" s="721" t="inlineStr">
        <is>
          <t>TORNILLO GYPSUM 6X2" P/FINA</t>
        </is>
      </c>
      <c r="F282" s="716" t="inlineStr">
        <is>
          <t>UND</t>
        </is>
      </c>
      <c r="G282" s="717" t="n">
        <v>9.65</v>
      </c>
      <c r="H282" s="718">
        <f>+G282*1.13</f>
        <v/>
      </c>
      <c r="I282" s="702" t="inlineStr">
        <is>
          <t>✓✓</t>
        </is>
      </c>
    </row>
    <row r="283">
      <c r="A283" s="722" t="n"/>
      <c r="B283" s="36" t="inlineStr">
        <is>
          <t>M06-0084</t>
        </is>
      </c>
      <c r="C283" s="713" t="n"/>
      <c r="D283" s="714" t="n"/>
      <c r="E283" s="721" t="inlineStr">
        <is>
          <t>TORNILLO MADERA 10X2 1/2</t>
        </is>
      </c>
      <c r="F283" s="716" t="inlineStr">
        <is>
          <t>UND</t>
        </is>
      </c>
      <c r="G283" s="717">
        <f>83.3333333333333/1.13</f>
        <v/>
      </c>
      <c r="H283" s="718">
        <f>+G283*1.13</f>
        <v/>
      </c>
      <c r="I283" s="702" t="inlineStr">
        <is>
          <t>✓✓</t>
        </is>
      </c>
    </row>
    <row r="284">
      <c r="A284" s="722" t="n"/>
      <c r="B284" s="36" t="inlineStr">
        <is>
          <t>M06-0086</t>
        </is>
      </c>
      <c r="C284" s="713" t="n"/>
      <c r="D284" s="714" t="n"/>
      <c r="E284" s="721" t="inlineStr">
        <is>
          <t>TORNILLO P/ ESPANDER 8X2 1/2 PULG</t>
        </is>
      </c>
      <c r="F284" s="716" t="inlineStr">
        <is>
          <t>UND</t>
        </is>
      </c>
      <c r="G284" s="717" t="n">
        <v>60</v>
      </c>
      <c r="H284" s="718">
        <f>+G284*1.13</f>
        <v/>
      </c>
      <c r="I284" s="46" t="n"/>
    </row>
    <row r="285">
      <c r="A285" s="731" t="inlineStr">
        <is>
          <t xml:space="preserve">MAT06-0281 BOMBILLO 46 WATTS LED ALTA POTENCIA CON SOQUE DE 27 </t>
        </is>
      </c>
      <c r="B285" s="36" t="inlineStr">
        <is>
          <t>M06-0087</t>
        </is>
      </c>
      <c r="C285" s="713" t="n"/>
      <c r="D285" s="714" t="n"/>
      <c r="E285" s="721" t="inlineStr">
        <is>
          <t>TORNILLO P/GYPSUM 2"X6" PTA BROCA</t>
        </is>
      </c>
      <c r="F285" s="716" t="inlineStr">
        <is>
          <t>UND</t>
        </is>
      </c>
      <c r="G285" s="717" t="n">
        <v>9</v>
      </c>
      <c r="H285" s="718">
        <f>+G285*1.13</f>
        <v/>
      </c>
      <c r="I285" s="46" t="n"/>
    </row>
    <row r="286">
      <c r="A286" s="722" t="n"/>
      <c r="B286" s="36" t="inlineStr">
        <is>
          <t>M06-0088</t>
        </is>
      </c>
      <c r="C286" s="713" t="n"/>
      <c r="D286" s="714" t="n"/>
      <c r="E286" s="721" t="inlineStr">
        <is>
          <t>TORNILLO P/GYPSUM 3PULG PUNTA FINA</t>
        </is>
      </c>
      <c r="F286" s="716" t="inlineStr">
        <is>
          <t>UND</t>
        </is>
      </c>
      <c r="G286" s="717" t="n">
        <v>27</v>
      </c>
      <c r="H286" s="718">
        <f>+G286*1.13</f>
        <v/>
      </c>
      <c r="I286" s="702" t="inlineStr">
        <is>
          <t>✓✓</t>
        </is>
      </c>
    </row>
    <row r="287">
      <c r="A287" s="722" t="n"/>
      <c r="B287" s="36" t="inlineStr">
        <is>
          <t>M06-0089</t>
        </is>
      </c>
      <c r="C287" s="713" t="n"/>
      <c r="D287" s="714" t="n"/>
      <c r="E287" s="721" t="inlineStr">
        <is>
          <t>TORNILLO P/MADERA 1 1/4X0.6MM NEGRO ROSCA ORDINARIA</t>
        </is>
      </c>
      <c r="F287" s="716" t="inlineStr">
        <is>
          <t>UND</t>
        </is>
      </c>
      <c r="G287" s="717" t="n">
        <v>6.27</v>
      </c>
      <c r="H287" s="718">
        <f>+G287*1.13</f>
        <v/>
      </c>
      <c r="I287" s="702" t="inlineStr">
        <is>
          <t>✓✓</t>
        </is>
      </c>
    </row>
    <row r="288">
      <c r="A288" s="732" t="n"/>
      <c r="B288" s="36" t="inlineStr">
        <is>
          <t>M06-0090</t>
        </is>
      </c>
      <c r="C288" s="327" t="n"/>
      <c r="D288" s="752" t="n"/>
      <c r="E288" s="721" t="inlineStr">
        <is>
          <t>TORNILLO P/MADERA 2 1/2X0.8MM AMARILLO ROSCA ORDINARIA</t>
        </is>
      </c>
      <c r="F288" s="716" t="inlineStr">
        <is>
          <t>UND</t>
        </is>
      </c>
      <c r="G288" s="717" t="n">
        <v>23.65</v>
      </c>
      <c r="H288" s="718">
        <f>+G288*1.13</f>
        <v/>
      </c>
      <c r="I288" s="702" t="inlineStr">
        <is>
          <t>✓✓</t>
        </is>
      </c>
    </row>
    <row r="289">
      <c r="A289" s="722" t="n"/>
      <c r="B289" s="36" t="inlineStr">
        <is>
          <t>M06-0091</t>
        </is>
      </c>
      <c r="C289" s="713" t="n"/>
      <c r="D289" s="714" t="n"/>
      <c r="E289" s="721" t="inlineStr">
        <is>
          <t>TORNILLO P/MADERA 2X0.6MM NEGRO ROSCA ORDINARIA</t>
        </is>
      </c>
      <c r="F289" s="716" t="inlineStr">
        <is>
          <t>UND</t>
        </is>
      </c>
      <c r="G289" s="717" t="n">
        <v>9.65</v>
      </c>
      <c r="H289" s="718">
        <f>+G289*1.13</f>
        <v/>
      </c>
      <c r="I289" s="702" t="inlineStr">
        <is>
          <t>✓✓</t>
        </is>
      </c>
    </row>
    <row r="290">
      <c r="A290" s="732" t="n"/>
      <c r="B290" s="36" t="inlineStr">
        <is>
          <t>M06-0093</t>
        </is>
      </c>
      <c r="C290" s="713" t="n"/>
      <c r="D290" s="714" t="n"/>
      <c r="E290" s="721" t="inlineStr">
        <is>
          <t>TORNILLO P/MADERA 3/4X0.6MM NEGRO ROSCA ORDINARIA</t>
        </is>
      </c>
      <c r="F290" s="716" t="inlineStr">
        <is>
          <t>UND</t>
        </is>
      </c>
      <c r="G290" s="717" t="n">
        <v>4.82</v>
      </c>
      <c r="H290" s="718">
        <f>+G290*1.13</f>
        <v/>
      </c>
      <c r="I290" s="702" t="inlineStr">
        <is>
          <t>✓✓</t>
        </is>
      </c>
    </row>
    <row r="291">
      <c r="A291" s="722" t="n"/>
      <c r="B291" s="36" t="inlineStr">
        <is>
          <t>M06-0095</t>
        </is>
      </c>
      <c r="C291" s="713" t="n"/>
      <c r="D291" s="714" t="n"/>
      <c r="E291" s="721" t="inlineStr">
        <is>
          <t>TORNILLO PARA ESPANDER #6</t>
        </is>
      </c>
      <c r="F291" s="716" t="inlineStr">
        <is>
          <t>UND</t>
        </is>
      </c>
      <c r="G291" s="717" t="n">
        <v>7.83</v>
      </c>
      <c r="H291" s="718">
        <f>+G291*1.13</f>
        <v/>
      </c>
      <c r="I291" s="702" t="inlineStr">
        <is>
          <t>✓✓</t>
        </is>
      </c>
    </row>
    <row r="292">
      <c r="A292" s="722" t="n"/>
      <c r="B292" s="36" t="inlineStr">
        <is>
          <t>M06-0099</t>
        </is>
      </c>
      <c r="C292" s="713" t="n"/>
      <c r="D292" s="714" t="n"/>
      <c r="E292" s="756" t="inlineStr">
        <is>
          <t>TORNILLO PTA BROCA BICROMATIZADO 1 (POLYCARBONATO)</t>
        </is>
      </c>
      <c r="F292" s="716" t="inlineStr">
        <is>
          <t>UND</t>
        </is>
      </c>
      <c r="G292" s="717" t="n">
        <v>60</v>
      </c>
      <c r="H292" s="718">
        <f>+G292*1.13</f>
        <v/>
      </c>
      <c r="I292" s="702" t="inlineStr">
        <is>
          <t>✓✓</t>
        </is>
      </c>
    </row>
    <row r="293">
      <c r="A293" s="722" t="n"/>
      <c r="B293" s="36" t="inlineStr">
        <is>
          <t>M06-0103</t>
        </is>
      </c>
      <c r="C293" s="713" t="n"/>
      <c r="D293" s="714" t="n"/>
      <c r="E293" s="721" t="inlineStr">
        <is>
          <t>TORNILLO TORCON #10X2 3/4 C/PANA</t>
        </is>
      </c>
      <c r="F293" s="716" t="inlineStr">
        <is>
          <t>UND</t>
        </is>
      </c>
      <c r="G293" s="717" t="n">
        <v>77.877</v>
      </c>
      <c r="H293" s="718">
        <f>+G293*1.13</f>
        <v/>
      </c>
      <c r="I293" s="702" t="inlineStr">
        <is>
          <t>✓✓</t>
        </is>
      </c>
    </row>
    <row r="294">
      <c r="A294" s="722" t="n"/>
      <c r="B294" s="36" t="inlineStr">
        <is>
          <t>M06-0105</t>
        </is>
      </c>
      <c r="C294" s="713" t="n"/>
      <c r="D294" s="714" t="n"/>
      <c r="E294" s="721" t="inlineStr">
        <is>
          <t>TORNILLO TORLAK 1" PTA BROCA</t>
        </is>
      </c>
      <c r="F294" s="716" t="inlineStr">
        <is>
          <t>UND</t>
        </is>
      </c>
      <c r="G294" s="717" t="n">
        <v>5.2</v>
      </c>
      <c r="H294" s="718">
        <f>+G294*1.13</f>
        <v/>
      </c>
      <c r="I294" s="702" t="inlineStr">
        <is>
          <t>✓✓</t>
        </is>
      </c>
    </row>
    <row r="295">
      <c r="A295" s="732" t="n"/>
      <c r="B295" s="36" t="inlineStr">
        <is>
          <t>M06-0106</t>
        </is>
      </c>
      <c r="C295" s="713" t="n"/>
      <c r="D295" s="714" t="n"/>
      <c r="E295" s="721" t="inlineStr">
        <is>
          <t>TORNILLO 2 PULG GALVANIZADO P/TECHO  P/BROCA</t>
        </is>
      </c>
      <c r="F295" s="716" t="inlineStr">
        <is>
          <t>UND</t>
        </is>
      </c>
      <c r="G295" s="717" t="n">
        <v>31.43</v>
      </c>
      <c r="H295" s="718">
        <f>+G295*1.13</f>
        <v/>
      </c>
      <c r="I295" s="702" t="inlineStr">
        <is>
          <t>✓✓</t>
        </is>
      </c>
    </row>
    <row r="296">
      <c r="A296" s="732" t="n"/>
      <c r="B296" s="36" t="inlineStr">
        <is>
          <t>M06-0108</t>
        </is>
      </c>
      <c r="C296" s="713" t="n"/>
      <c r="D296" s="714" t="n"/>
      <c r="E296" s="721" t="inlineStr">
        <is>
          <t>TORNILLO 3/16X1/2 PTA FINA CABEZA PLANA</t>
        </is>
      </c>
      <c r="F296" s="716" t="inlineStr">
        <is>
          <t>UND</t>
        </is>
      </c>
      <c r="G296" s="717" t="n">
        <v>4.14</v>
      </c>
      <c r="H296" s="718">
        <f>+G296*1.13</f>
        <v/>
      </c>
      <c r="I296" s="702" t="inlineStr">
        <is>
          <t>✓✓</t>
        </is>
      </c>
    </row>
    <row r="297">
      <c r="A297" s="722" t="n"/>
      <c r="B297" s="36" t="inlineStr">
        <is>
          <t>M06-0109</t>
        </is>
      </c>
      <c r="C297" s="713" t="n"/>
      <c r="D297" s="714" t="n"/>
      <c r="E297" s="721" t="inlineStr">
        <is>
          <t>TORNILLO CABEZA PLANA 7/16 PTA BROCA</t>
        </is>
      </c>
      <c r="F297" s="716" t="inlineStr">
        <is>
          <t>UND</t>
        </is>
      </c>
      <c r="G297" s="717" t="n">
        <v>3.33</v>
      </c>
      <c r="H297" s="718">
        <f>+G297*1.13</f>
        <v/>
      </c>
      <c r="I297" s="702" t="inlineStr">
        <is>
          <t>✓✓</t>
        </is>
      </c>
    </row>
    <row r="298">
      <c r="A298" s="732" t="n"/>
      <c r="B298" s="36" t="inlineStr">
        <is>
          <t>M06-0112</t>
        </is>
      </c>
      <c r="C298" s="713" t="n"/>
      <c r="D298" s="714" t="n"/>
      <c r="E298" s="721" t="inlineStr">
        <is>
          <t>TORNILLO GYPSUM 7/16 PUNTA FINA CON ARANDELA</t>
        </is>
      </c>
      <c r="F298" s="716" t="inlineStr">
        <is>
          <t>UND</t>
        </is>
      </c>
      <c r="G298" s="717" t="n">
        <v>3.47</v>
      </c>
      <c r="H298" s="718">
        <f>+G298*1.13</f>
        <v/>
      </c>
      <c r="I298" s="702" t="inlineStr">
        <is>
          <t>✓✓</t>
        </is>
      </c>
    </row>
    <row r="299">
      <c r="A299" s="722" t="n"/>
      <c r="B299" s="36" t="inlineStr">
        <is>
          <t>M06-0115</t>
        </is>
      </c>
      <c r="C299" s="713" t="n"/>
      <c r="D299" s="714" t="n"/>
      <c r="E299" s="721" t="inlineStr">
        <is>
          <t>TORNILLO METAL #10X3" PARA S8</t>
        </is>
      </c>
      <c r="F299" s="716" t="inlineStr">
        <is>
          <t>UND</t>
        </is>
      </c>
      <c r="G299" s="717" t="n">
        <v>138.07</v>
      </c>
      <c r="H299" s="718">
        <f>+G299*1.13</f>
        <v/>
      </c>
      <c r="I299" s="702" t="inlineStr">
        <is>
          <t>✓✓</t>
        </is>
      </c>
    </row>
    <row r="300">
      <c r="A300" s="722" t="n"/>
      <c r="B300" s="36" t="inlineStr">
        <is>
          <t>M06-0116</t>
        </is>
      </c>
      <c r="C300" s="713" t="n"/>
      <c r="D300" s="714" t="n"/>
      <c r="E300" s="721" t="inlineStr">
        <is>
          <t>TORNILLO P/GYP 1-1/4 P FINA</t>
        </is>
      </c>
      <c r="F300" s="716" t="inlineStr">
        <is>
          <t>UND</t>
        </is>
      </c>
      <c r="G300" s="717" t="n">
        <v>3.69</v>
      </c>
      <c r="H300" s="718">
        <f>+G300*1.13</f>
        <v/>
      </c>
      <c r="I300" s="702" t="inlineStr">
        <is>
          <t>✓✓</t>
        </is>
      </c>
    </row>
    <row r="301">
      <c r="A301" s="722" t="n"/>
      <c r="B301" s="36" t="inlineStr">
        <is>
          <t>M06-0117</t>
        </is>
      </c>
      <c r="C301" s="713" t="n"/>
      <c r="D301" s="714" t="n"/>
      <c r="E301" s="721" t="inlineStr">
        <is>
          <t>TORNILLO P/GYP 1-1/4 P/BROCA</t>
        </is>
      </c>
      <c r="F301" s="716" t="inlineStr">
        <is>
          <t>UND</t>
        </is>
      </c>
      <c r="G301" s="717" t="n">
        <v>5.13</v>
      </c>
      <c r="H301" s="718">
        <f>+G301*1.13</f>
        <v/>
      </c>
      <c r="I301" s="702" t="inlineStr">
        <is>
          <t>✓✓</t>
        </is>
      </c>
    </row>
    <row r="302">
      <c r="A302" s="732" t="n"/>
      <c r="B302" s="36" t="inlineStr">
        <is>
          <t>M06-0119</t>
        </is>
      </c>
      <c r="C302" s="713" t="n"/>
      <c r="D302" s="714" t="n"/>
      <c r="E302" s="721" t="inlineStr">
        <is>
          <t>TORNILLOS P/MADERA 6X2 PFINA</t>
        </is>
      </c>
      <c r="F302" s="716" t="inlineStr">
        <is>
          <t>UND</t>
        </is>
      </c>
      <c r="G302" s="717" t="n">
        <v>9.65</v>
      </c>
      <c r="H302" s="718">
        <f>+G302*1.13</f>
        <v/>
      </c>
      <c r="I302" s="702" t="inlineStr">
        <is>
          <t>✓✓</t>
        </is>
      </c>
    </row>
    <row r="303">
      <c r="A303" s="722" t="n"/>
      <c r="B303" s="36" t="inlineStr">
        <is>
          <t>M06-0123</t>
        </is>
      </c>
      <c r="C303" s="713" t="n"/>
      <c r="D303" s="714" t="n"/>
      <c r="E303" s="721" t="inlineStr">
        <is>
          <t>ACETONA</t>
        </is>
      </c>
      <c r="F303" s="716" t="inlineStr">
        <is>
          <t>LITRO</t>
        </is>
      </c>
      <c r="G303" s="717" t="n">
        <v>2486.53</v>
      </c>
      <c r="H303" s="718">
        <f>+G303*1.13</f>
        <v/>
      </c>
      <c r="I303" s="702" t="inlineStr">
        <is>
          <t>✓✓</t>
        </is>
      </c>
    </row>
    <row r="304">
      <c r="A304" s="732" t="n"/>
      <c r="B304" s="36" t="inlineStr">
        <is>
          <t>M06-0124</t>
        </is>
      </c>
      <c r="C304" s="713" t="n"/>
      <c r="D304" s="714" t="n"/>
      <c r="E304" s="721" t="inlineStr">
        <is>
          <t>ACIDO</t>
        </is>
      </c>
      <c r="F304" s="716" t="inlineStr">
        <is>
          <t>GALON</t>
        </is>
      </c>
      <c r="G304" s="717" t="n">
        <v>1858.82</v>
      </c>
      <c r="H304" s="718">
        <f>+G304*1.13</f>
        <v/>
      </c>
      <c r="I304" s="702" t="inlineStr">
        <is>
          <t>✓✓</t>
        </is>
      </c>
    </row>
    <row r="305">
      <c r="A305" s="749" t="n"/>
      <c r="B305" s="36" t="inlineStr">
        <is>
          <t>M06-0125</t>
        </is>
      </c>
      <c r="C305" s="713" t="n"/>
      <c r="D305" s="714" t="n"/>
      <c r="E305" s="721" t="inlineStr">
        <is>
          <t>ACOPLE HEMBRA POLIETILENO 12MM</t>
        </is>
      </c>
      <c r="F305" s="716" t="inlineStr">
        <is>
          <t>UND</t>
        </is>
      </c>
      <c r="G305" s="717" t="n">
        <v>2996</v>
      </c>
      <c r="H305" s="718">
        <f>+G305*1.13</f>
        <v/>
      </c>
      <c r="I305" s="702" t="inlineStr">
        <is>
          <t>✓✓</t>
        </is>
      </c>
    </row>
    <row r="306">
      <c r="A306" s="722" t="n"/>
      <c r="B306" s="36" t="inlineStr">
        <is>
          <t>M06-0151</t>
        </is>
      </c>
      <c r="C306" s="713" t="n"/>
      <c r="D306" s="714" t="n"/>
      <c r="E306" s="721" t="inlineStr">
        <is>
          <t>BISAGRA GUIJOS DE 3"</t>
        </is>
      </c>
      <c r="F306" s="716" t="inlineStr">
        <is>
          <t>UND</t>
        </is>
      </c>
      <c r="G306" s="717" t="n">
        <v>1789.0833</v>
      </c>
      <c r="H306" s="718">
        <f>+G306*1.13</f>
        <v/>
      </c>
      <c r="I306" s="702" t="inlineStr">
        <is>
          <t>✓✓</t>
        </is>
      </c>
    </row>
    <row r="307">
      <c r="A307" s="749" t="n"/>
      <c r="B307" s="36" t="inlineStr">
        <is>
          <t>M06-0160</t>
        </is>
      </c>
      <c r="C307" s="713" t="n"/>
      <c r="D307" s="714" t="n"/>
      <c r="E307" s="721" t="inlineStr">
        <is>
          <t>CAJA DE REMACHE 1/8X3/4PULG  P/PISTOLA</t>
        </is>
      </c>
      <c r="F307" s="716" t="inlineStr">
        <is>
          <t>CAJA</t>
        </is>
      </c>
      <c r="G307" s="717" t="n">
        <v>200</v>
      </c>
      <c r="H307" s="718">
        <f>+G307*1.13</f>
        <v/>
      </c>
      <c r="I307" s="702" t="inlineStr">
        <is>
          <t>✓✓</t>
        </is>
      </c>
    </row>
    <row r="308">
      <c r="A308" s="732" t="n"/>
      <c r="B308" s="36" t="inlineStr">
        <is>
          <t>M06-0163</t>
        </is>
      </c>
      <c r="C308" s="713" t="n"/>
      <c r="D308" s="714" t="n"/>
      <c r="E308" s="721" t="inlineStr">
        <is>
          <t>BOLSA CAL</t>
        </is>
      </c>
      <c r="F308" s="716" t="inlineStr">
        <is>
          <t>BOLSA</t>
        </is>
      </c>
      <c r="G308" s="717" t="n">
        <v>1440</v>
      </c>
      <c r="H308" s="718">
        <f>+G308*1.13</f>
        <v/>
      </c>
      <c r="I308" s="702" t="inlineStr">
        <is>
          <t>✓✓</t>
        </is>
      </c>
    </row>
    <row r="309">
      <c r="A309" s="18" t="n"/>
      <c r="B309" s="36" t="inlineStr">
        <is>
          <t>M06-0163</t>
        </is>
      </c>
      <c r="C309" s="713" t="n"/>
      <c r="D309" s="714" t="n"/>
      <c r="E309" s="721" t="inlineStr">
        <is>
          <t>BOLSA CAL</t>
        </is>
      </c>
      <c r="F309" s="716" t="inlineStr">
        <is>
          <t>BOLSA</t>
        </is>
      </c>
      <c r="G309" s="717" t="n">
        <v>2080</v>
      </c>
      <c r="H309" s="718">
        <f>+G309*1.13</f>
        <v/>
      </c>
      <c r="I309" s="702" t="inlineStr">
        <is>
          <t>✓✓</t>
        </is>
      </c>
    </row>
    <row r="310">
      <c r="A310" s="722" t="n"/>
      <c r="B310" s="36" t="inlineStr">
        <is>
          <t>M06-0165</t>
        </is>
      </c>
      <c r="C310" s="713" t="n"/>
      <c r="D310" s="714" t="n"/>
      <c r="E310" s="721" t="inlineStr">
        <is>
          <t>CANDADOS</t>
        </is>
      </c>
      <c r="F310" s="716" t="inlineStr">
        <is>
          <t>UND</t>
        </is>
      </c>
      <c r="G310" s="717" t="n">
        <v>7477</v>
      </c>
      <c r="H310" s="718">
        <f>+G310*1.13</f>
        <v/>
      </c>
      <c r="I310" s="702" t="inlineStr">
        <is>
          <t>✓✓</t>
        </is>
      </c>
    </row>
    <row r="311">
      <c r="A311" s="722" t="n"/>
      <c r="B311" s="36" t="inlineStr">
        <is>
          <t>M06-0170</t>
        </is>
      </c>
      <c r="C311" s="713" t="n"/>
      <c r="D311" s="714" t="n"/>
      <c r="E311" s="721" t="inlineStr">
        <is>
          <t>CEDAZO GALVANIZADO 1X1 (ROLLO 30M)</t>
        </is>
      </c>
      <c r="F311" s="716" t="inlineStr">
        <is>
          <t>M</t>
        </is>
      </c>
      <c r="G311" s="717" t="n">
        <v>355.38</v>
      </c>
      <c r="H311" s="718">
        <f>+G311*1.13</f>
        <v/>
      </c>
      <c r="I311" s="702" t="inlineStr">
        <is>
          <t>✓✓</t>
        </is>
      </c>
    </row>
    <row r="312">
      <c r="A312" s="722" t="n"/>
      <c r="B312" s="36" t="inlineStr">
        <is>
          <t>M06-0172</t>
        </is>
      </c>
      <c r="C312" s="713" t="n"/>
      <c r="D312" s="714" t="n"/>
      <c r="E312" s="721" t="inlineStr">
        <is>
          <t>CHISPA P/CORTAR CERAMICA</t>
        </is>
      </c>
      <c r="F312" s="716" t="inlineStr">
        <is>
          <t>UND</t>
        </is>
      </c>
      <c r="G312" s="717" t="n">
        <v>6316.14</v>
      </c>
      <c r="H312" s="718">
        <f>+G312*1.13</f>
        <v/>
      </c>
      <c r="I312" s="702" t="inlineStr">
        <is>
          <t>✓✓</t>
        </is>
      </c>
    </row>
    <row r="313">
      <c r="A313" s="722" t="n"/>
      <c r="B313" s="36" t="inlineStr">
        <is>
          <t>M06-0175</t>
        </is>
      </c>
      <c r="C313" s="713" t="n"/>
      <c r="D313" s="714" t="n"/>
      <c r="E313" s="721" t="inlineStr">
        <is>
          <t>CINTA EMPAQUE 2</t>
        </is>
      </c>
      <c r="F313" s="716" t="inlineStr">
        <is>
          <t>UND</t>
        </is>
      </c>
      <c r="G313" s="717" t="n">
        <v>2575.2212</v>
      </c>
      <c r="H313" s="718">
        <f>+G313*1.13</f>
        <v/>
      </c>
      <c r="I313" s="702" t="inlineStr">
        <is>
          <t>✓✓</t>
        </is>
      </c>
    </row>
    <row r="314">
      <c r="A314" s="722" t="n"/>
      <c r="B314" s="36" t="inlineStr">
        <is>
          <t>M06-0175</t>
        </is>
      </c>
      <c r="C314" s="713" t="n"/>
      <c r="D314" s="714" t="n"/>
      <c r="E314" s="721" t="inlineStr">
        <is>
          <t>CINTA EMPAQUE 2"</t>
        </is>
      </c>
      <c r="F314" s="716" t="inlineStr">
        <is>
          <t>UND</t>
        </is>
      </c>
      <c r="G314" s="717" t="n">
        <v>2317.63</v>
      </c>
      <c r="H314" s="718">
        <f>+G314*1.13</f>
        <v/>
      </c>
      <c r="I314" s="702" t="inlineStr">
        <is>
          <t>✓✓</t>
        </is>
      </c>
    </row>
    <row r="315">
      <c r="A315" s="722" t="n"/>
      <c r="B315" s="36" t="inlineStr">
        <is>
          <t>M06-0179</t>
        </is>
      </c>
      <c r="C315" s="713" t="n"/>
      <c r="D315" s="714" t="n"/>
      <c r="E315" s="721" t="inlineStr">
        <is>
          <t>CRAYON LYRA AMARILLO</t>
        </is>
      </c>
      <c r="F315" s="716" t="inlineStr">
        <is>
          <t>UND</t>
        </is>
      </c>
      <c r="G315" s="717" t="n">
        <v>300.9</v>
      </c>
      <c r="H315" s="718">
        <f>+G315*1.13</f>
        <v/>
      </c>
      <c r="I315" s="702" t="inlineStr">
        <is>
          <t>✓✓</t>
        </is>
      </c>
    </row>
    <row r="316">
      <c r="A316" s="722" t="n"/>
      <c r="B316" s="36" t="inlineStr">
        <is>
          <t>M06-0180</t>
        </is>
      </c>
      <c r="C316" s="713" t="n"/>
      <c r="D316" s="714" t="n"/>
      <c r="E316" s="721" t="inlineStr">
        <is>
          <t>CUERDA ALBAÑIL BLANCA</t>
        </is>
      </c>
      <c r="F316" s="716" t="inlineStr">
        <is>
          <t>UND</t>
        </is>
      </c>
      <c r="G316" s="717" t="n">
        <v>719.39</v>
      </c>
      <c r="H316" s="718">
        <f>+G316*1.13</f>
        <v/>
      </c>
      <c r="I316" s="702" t="inlineStr">
        <is>
          <t>✓✓</t>
        </is>
      </c>
    </row>
    <row r="317">
      <c r="A317" s="722" t="n"/>
      <c r="B317" s="36" t="inlineStr">
        <is>
          <t>M06-0182</t>
        </is>
      </c>
      <c r="C317" s="713" t="n"/>
      <c r="D317" s="714" t="n"/>
      <c r="E317" s="721" t="inlineStr">
        <is>
          <t>CUTTER</t>
        </is>
      </c>
      <c r="F317" s="716" t="inlineStr">
        <is>
          <t>UND</t>
        </is>
      </c>
      <c r="G317" s="717" t="n">
        <v>1752.41</v>
      </c>
      <c r="H317" s="718">
        <f>+G317*1.13</f>
        <v/>
      </c>
      <c r="I317" s="702" t="inlineStr">
        <is>
          <t>✓✓</t>
        </is>
      </c>
    </row>
    <row r="318">
      <c r="A318" s="722" t="n"/>
      <c r="B318" s="36" t="inlineStr">
        <is>
          <t>M06-0188</t>
        </is>
      </c>
      <c r="C318" s="713" t="n"/>
      <c r="D318" s="714" t="n"/>
      <c r="E318" s="721" t="inlineStr">
        <is>
          <t>ESPANDER #6</t>
        </is>
      </c>
      <c r="F318" s="716" t="inlineStr">
        <is>
          <t>UND</t>
        </is>
      </c>
      <c r="G318" s="717" t="n">
        <v>19.87</v>
      </c>
      <c r="H318" s="718">
        <f>+G318*1.13</f>
        <v/>
      </c>
      <c r="I318" s="702" t="inlineStr">
        <is>
          <t>✓✓</t>
        </is>
      </c>
    </row>
    <row r="319">
      <c r="A319" s="722" t="n"/>
      <c r="B319" s="36" t="inlineStr">
        <is>
          <t>M06-0190</t>
        </is>
      </c>
      <c r="C319" s="713" t="n"/>
      <c r="D319" s="714" t="n"/>
      <c r="E319" s="721" t="inlineStr">
        <is>
          <t>ESPANDER MARIPOSA P/GYPSUM</t>
        </is>
      </c>
      <c r="F319" s="716" t="inlineStr">
        <is>
          <t>UND</t>
        </is>
      </c>
      <c r="G319" s="717" t="n">
        <v>39.89</v>
      </c>
      <c r="H319" s="718">
        <f>+G319*1.13</f>
        <v/>
      </c>
      <c r="I319" s="702" t="inlineStr">
        <is>
          <t>✓✓</t>
        </is>
      </c>
    </row>
    <row r="320">
      <c r="A320" s="722" t="n"/>
      <c r="B320" s="36" t="inlineStr">
        <is>
          <t>M06-0192</t>
        </is>
      </c>
      <c r="C320" s="713" t="n"/>
      <c r="D320" s="714" t="n"/>
      <c r="E320" s="721" t="inlineStr">
        <is>
          <t>ESPANDER PLASTICO #8</t>
        </is>
      </c>
      <c r="F320" s="716" t="inlineStr">
        <is>
          <t>UND</t>
        </is>
      </c>
      <c r="G320" s="717" t="n">
        <v>4.91</v>
      </c>
      <c r="H320" s="718">
        <f>+G320*1.13</f>
        <v/>
      </c>
      <c r="I320" s="702" t="inlineStr">
        <is>
          <t>✓✓</t>
        </is>
      </c>
    </row>
    <row r="321">
      <c r="A321" s="731" t="inlineStr">
        <is>
          <t>MAT07-0027 TORNILLO P/GYP 8X 1/2 P/BROCA (100 UN)</t>
        </is>
      </c>
      <c r="B321" s="36" t="inlineStr">
        <is>
          <t>M06-0193</t>
        </is>
      </c>
      <c r="C321" s="713" t="n"/>
      <c r="D321" s="714" t="n"/>
      <c r="E321" s="721" t="inlineStr">
        <is>
          <t>ESPUMA EXPANSIVA 750ML</t>
        </is>
      </c>
      <c r="F321" s="716" t="inlineStr">
        <is>
          <t>UND</t>
        </is>
      </c>
      <c r="G321" s="717" t="n">
        <v>5681.42</v>
      </c>
      <c r="H321" s="718">
        <f>+G321*1.13</f>
        <v/>
      </c>
      <c r="I321" s="702" t="n"/>
    </row>
    <row r="322">
      <c r="A322" s="732" t="n"/>
      <c r="B322" s="36" t="inlineStr">
        <is>
          <t>M06-0195</t>
        </is>
      </c>
      <c r="C322" s="713" t="n"/>
      <c r="D322" s="714" t="n"/>
      <c r="E322" s="721" t="inlineStr">
        <is>
          <t>FUNDAS DE 10CM</t>
        </is>
      </c>
      <c r="F322" s="716" t="inlineStr">
        <is>
          <t>UND</t>
        </is>
      </c>
      <c r="G322" s="717" t="n">
        <v>26.1533</v>
      </c>
      <c r="H322" s="718">
        <f>+G322*1.13</f>
        <v/>
      </c>
      <c r="I322" s="702" t="inlineStr">
        <is>
          <t>✓✓</t>
        </is>
      </c>
    </row>
    <row r="323">
      <c r="A323" s="722" t="n"/>
      <c r="B323" s="36" t="inlineStr">
        <is>
          <t>M06-0197</t>
        </is>
      </c>
      <c r="C323" s="713" t="n"/>
      <c r="D323" s="714" t="n"/>
      <c r="E323" s="721" t="inlineStr">
        <is>
          <t xml:space="preserve">GAS  BUTANO PARA SOPLETE </t>
        </is>
      </c>
      <c r="F323" s="716" t="inlineStr">
        <is>
          <t>UND</t>
        </is>
      </c>
      <c r="G323" s="717" t="n">
        <v>1421.83</v>
      </c>
      <c r="H323" s="718">
        <f>+G323*1.13</f>
        <v/>
      </c>
      <c r="I323" s="702" t="inlineStr">
        <is>
          <t>✓✓</t>
        </is>
      </c>
    </row>
    <row r="324">
      <c r="A324" s="732" t="n"/>
      <c r="B324" s="36" t="inlineStr">
        <is>
          <t>M06-0206</t>
        </is>
      </c>
      <c r="C324" s="713" t="n"/>
      <c r="D324" s="714" t="n"/>
      <c r="E324" s="721" t="inlineStr">
        <is>
          <t>GEOCELDAS P/ZACATE 56X56</t>
        </is>
      </c>
      <c r="F324" s="716" t="inlineStr">
        <is>
          <t>UND</t>
        </is>
      </c>
      <c r="G324" s="717" t="n">
        <v>2140</v>
      </c>
      <c r="H324" s="718">
        <f>+G324*1.13</f>
        <v/>
      </c>
      <c r="I324" s="702" t="inlineStr">
        <is>
          <t>✓✓</t>
        </is>
      </c>
    </row>
    <row r="325">
      <c r="A325" s="757" t="n"/>
      <c r="B325" s="36" t="inlineStr">
        <is>
          <t>M06-0207</t>
        </is>
      </c>
      <c r="C325" s="713" t="n"/>
      <c r="D325" s="714" t="n"/>
      <c r="E325" s="721" t="inlineStr">
        <is>
          <t>GEOTEXTIL</t>
        </is>
      </c>
      <c r="F325" s="716" t="inlineStr">
        <is>
          <t>M</t>
        </is>
      </c>
      <c r="G325" s="717" t="n">
        <v>1411</v>
      </c>
      <c r="H325" s="718">
        <f>+G325*1.13</f>
        <v/>
      </c>
      <c r="I325" s="758" t="inlineStr">
        <is>
          <t>✓✓</t>
        </is>
      </c>
    </row>
    <row r="326">
      <c r="A326" s="722" t="n"/>
      <c r="B326" s="36" t="inlineStr">
        <is>
          <t>M06-0208</t>
        </is>
      </c>
      <c r="C326" s="713" t="n"/>
      <c r="D326" s="714" t="n"/>
      <c r="E326" s="721" t="inlineStr">
        <is>
          <t>CAJA GRAPA PARA GYPSUM MODELO ET50 TRUPPER</t>
        </is>
      </c>
      <c r="F326" s="716" t="inlineStr">
        <is>
          <t>UND</t>
        </is>
      </c>
      <c r="G326" s="717" t="n">
        <v>472.97</v>
      </c>
      <c r="H326" s="718">
        <f>+G326*1.13</f>
        <v/>
      </c>
      <c r="I326" s="702" t="inlineStr">
        <is>
          <t>✓✓</t>
        </is>
      </c>
    </row>
    <row r="327">
      <c r="A327" s="732" t="n"/>
      <c r="B327" s="36" t="inlineStr">
        <is>
          <t>M06-0210</t>
        </is>
      </c>
      <c r="C327" s="713" t="n"/>
      <c r="D327" s="714" t="n"/>
      <c r="E327" s="721" t="inlineStr">
        <is>
          <t>HOJA DE SEGUETA</t>
        </is>
      </c>
      <c r="F327" s="716" t="inlineStr">
        <is>
          <t>UND</t>
        </is>
      </c>
      <c r="G327" s="717" t="n">
        <v>518.28</v>
      </c>
      <c r="H327" s="718">
        <f>+G327*1.13</f>
        <v/>
      </c>
      <c r="I327" s="702" t="inlineStr">
        <is>
          <t>✓✓</t>
        </is>
      </c>
    </row>
    <row r="328">
      <c r="A328" s="722" t="n"/>
      <c r="B328" s="36" t="inlineStr">
        <is>
          <t>M06-0211</t>
        </is>
      </c>
      <c r="C328" s="713" t="n"/>
      <c r="D328" s="714" t="n"/>
      <c r="E328" s="721" t="inlineStr">
        <is>
          <t>JUEGO DE ACCESORIOS 1/2 BRONCE BTP</t>
        </is>
      </c>
      <c r="F328" s="716" t="inlineStr">
        <is>
          <t>UND</t>
        </is>
      </c>
      <c r="G328" s="717" t="n">
        <v>10857.14</v>
      </c>
      <c r="H328" s="718">
        <f>+G328*1.13</f>
        <v/>
      </c>
      <c r="I328" s="702" t="inlineStr">
        <is>
          <t>✓✓</t>
        </is>
      </c>
    </row>
    <row r="329">
      <c r="A329" s="722" t="n"/>
      <c r="B329" s="36" t="inlineStr">
        <is>
          <t>M06-0213</t>
        </is>
      </c>
      <c r="C329" s="713" t="n"/>
      <c r="D329" s="714" t="n"/>
      <c r="E329" s="721" t="inlineStr">
        <is>
          <t>LAPIZ ROJO/VERDE/NARANJA</t>
        </is>
      </c>
      <c r="F329" s="716" t="inlineStr">
        <is>
          <t>UND</t>
        </is>
      </c>
      <c r="G329" s="717" t="n">
        <v>311.49</v>
      </c>
      <c r="H329" s="718">
        <f>+G329*1.13</f>
        <v/>
      </c>
      <c r="I329" s="702" t="inlineStr">
        <is>
          <t>✓✓</t>
        </is>
      </c>
    </row>
    <row r="330">
      <c r="A330" s="731" t="inlineStr">
        <is>
          <t>MAT07-0043 PERFIL J PARA GYPSUM</t>
        </is>
      </c>
      <c r="B330" s="36" t="inlineStr">
        <is>
          <t>M06-0222</t>
        </is>
      </c>
      <c r="C330" s="713" t="n"/>
      <c r="D330" s="714" t="n"/>
      <c r="E330" s="721" t="inlineStr">
        <is>
          <t>MANGUERA RIEGO</t>
        </is>
      </c>
      <c r="F330" s="716" t="inlineStr">
        <is>
          <t>UND</t>
        </is>
      </c>
      <c r="G330" s="717" t="n">
        <v>7132.74</v>
      </c>
      <c r="H330" s="718">
        <f>+G330*1.13</f>
        <v/>
      </c>
      <c r="I330" s="702" t="n"/>
    </row>
    <row r="331">
      <c r="A331" s="722" t="n"/>
      <c r="B331" s="36" t="inlineStr">
        <is>
          <t>M06-0226</t>
        </is>
      </c>
      <c r="C331" s="713" t="n"/>
      <c r="D331" s="714" t="n"/>
      <c r="E331" s="721" t="inlineStr">
        <is>
          <t>MASKING BLANCO 2"</t>
        </is>
      </c>
      <c r="F331" s="716" t="inlineStr">
        <is>
          <t>UND</t>
        </is>
      </c>
      <c r="G331" s="717" t="n">
        <v>2553.1</v>
      </c>
      <c r="H331" s="718">
        <f>+G331*1.13</f>
        <v/>
      </c>
      <c r="I331" s="702" t="inlineStr">
        <is>
          <t>✓✓</t>
        </is>
      </c>
    </row>
    <row r="332">
      <c r="A332" s="722" t="n"/>
      <c r="B332" s="36" t="inlineStr">
        <is>
          <t>M06-0227</t>
        </is>
      </c>
      <c r="C332" s="713" t="n"/>
      <c r="D332" s="714" t="n"/>
      <c r="E332" s="721" t="inlineStr">
        <is>
          <t>MASKING AZUL 2"</t>
        </is>
      </c>
      <c r="F332" s="716" t="inlineStr">
        <is>
          <t>UND</t>
        </is>
      </c>
      <c r="G332" s="717" t="n">
        <v>3858.41</v>
      </c>
      <c r="H332" s="718">
        <f>+G332*1.13</f>
        <v/>
      </c>
      <c r="I332" s="702" t="inlineStr">
        <is>
          <t>✓✓</t>
        </is>
      </c>
    </row>
    <row r="333">
      <c r="A333" s="722" t="n"/>
      <c r="B333" s="36" t="inlineStr">
        <is>
          <t>M06-0228</t>
        </is>
      </c>
      <c r="C333" s="713" t="n"/>
      <c r="D333" s="714" t="n"/>
      <c r="E333" s="721" t="inlineStr">
        <is>
          <t>MASKING AZUL 3/4"</t>
        </is>
      </c>
      <c r="F333" s="716" t="inlineStr">
        <is>
          <t>UND</t>
        </is>
      </c>
      <c r="G333" s="717" t="n">
        <v>1389.38</v>
      </c>
      <c r="H333" s="718">
        <f>+G333*1.13</f>
        <v/>
      </c>
      <c r="I333" s="702" t="inlineStr">
        <is>
          <t>✓✓</t>
        </is>
      </c>
    </row>
    <row r="334">
      <c r="A334" s="722" t="n"/>
      <c r="B334" s="36" t="inlineStr">
        <is>
          <t>M06-0231</t>
        </is>
      </c>
      <c r="C334" s="713" t="n"/>
      <c r="D334" s="714" t="n"/>
      <c r="E334" s="721" t="inlineStr">
        <is>
          <t>MECHA BLANCA</t>
        </is>
      </c>
      <c r="F334" s="716" t="inlineStr">
        <is>
          <t>KG</t>
        </is>
      </c>
      <c r="G334" s="717" t="n">
        <v>3838.94</v>
      </c>
      <c r="H334" s="718">
        <f>+G334*1.13</f>
        <v/>
      </c>
      <c r="I334" s="702" t="inlineStr">
        <is>
          <t>✓✓</t>
        </is>
      </c>
    </row>
    <row r="335">
      <c r="A335" s="722" t="n"/>
      <c r="B335" s="36" t="inlineStr">
        <is>
          <t>M06-0240</t>
        </is>
      </c>
      <c r="C335" s="713" t="n"/>
      <c r="D335" s="714" t="n"/>
      <c r="E335" s="721" t="inlineStr">
        <is>
          <t>PERNO ANCLAJE 3/8X3-1/2</t>
        </is>
      </c>
      <c r="F335" s="716" t="inlineStr">
        <is>
          <t>UND</t>
        </is>
      </c>
      <c r="G335" s="717" t="n">
        <v>138.77</v>
      </c>
      <c r="H335" s="718">
        <f>+G335*1.13</f>
        <v/>
      </c>
      <c r="I335" s="702" t="n"/>
    </row>
    <row r="336">
      <c r="A336" s="722" t="n"/>
      <c r="B336" s="36" t="inlineStr">
        <is>
          <t>M06-0242</t>
        </is>
      </c>
      <c r="C336" s="713" t="n"/>
      <c r="D336" s="714" t="n"/>
      <c r="E336" s="721" t="inlineStr">
        <is>
          <t>ROLLO PLASTICO NEGRO 3,6MX100M</t>
        </is>
      </c>
      <c r="F336" s="716" t="inlineStr">
        <is>
          <t>ROLLO</t>
        </is>
      </c>
      <c r="G336" s="717" t="n">
        <v>57882.35</v>
      </c>
      <c r="H336" s="718">
        <f>+G336*1.13</f>
        <v/>
      </c>
      <c r="I336" s="702" t="inlineStr">
        <is>
          <t>✓✓</t>
        </is>
      </c>
    </row>
    <row r="337">
      <c r="A337" s="722" t="n"/>
      <c r="B337" s="36" t="inlineStr">
        <is>
          <t>M06-0244</t>
        </is>
      </c>
      <c r="C337" s="713" t="n"/>
      <c r="D337" s="714" t="n"/>
      <c r="E337" s="721" t="inlineStr">
        <is>
          <t>PLASTICO PARA PALETIZAR 80-120 CM</t>
        </is>
      </c>
      <c r="F337" s="716" t="inlineStr">
        <is>
          <t>UND</t>
        </is>
      </c>
      <c r="G337" s="717" t="n">
        <v>2221.59</v>
      </c>
      <c r="H337" s="718">
        <f>+G337*1.13</f>
        <v/>
      </c>
      <c r="I337" s="702" t="inlineStr">
        <is>
          <t>✓✓</t>
        </is>
      </c>
    </row>
    <row r="338">
      <c r="A338" s="722" t="n"/>
      <c r="B338" s="36" t="inlineStr">
        <is>
          <t>M06-0253</t>
        </is>
      </c>
      <c r="C338" s="713" t="n"/>
      <c r="D338" s="714" t="n"/>
      <c r="E338" s="721" t="inlineStr">
        <is>
          <t>RODIN PARA PERLING</t>
        </is>
      </c>
      <c r="F338" s="716" t="inlineStr">
        <is>
          <t>UND</t>
        </is>
      </c>
      <c r="G338" s="717" t="n">
        <v>2876.11</v>
      </c>
      <c r="H338" s="718">
        <f>+G338*1.13</f>
        <v/>
      </c>
      <c r="I338" s="702" t="inlineStr">
        <is>
          <t>✓✓</t>
        </is>
      </c>
    </row>
    <row r="339">
      <c r="A339" s="722" t="n"/>
      <c r="B339" s="751" t="inlineStr">
        <is>
          <t>M06-0257</t>
        </is>
      </c>
      <c r="C339" s="713" t="n"/>
      <c r="D339" s="714" t="n"/>
      <c r="E339" s="753" t="inlineStr">
        <is>
          <t xml:space="preserve"> MECATE PIOLA</t>
        </is>
      </c>
      <c r="F339" s="716" t="inlineStr">
        <is>
          <t>UND</t>
        </is>
      </c>
      <c r="G339" s="717" t="n">
        <v>2378.76</v>
      </c>
      <c r="H339" s="718">
        <f>+G339*1.13</f>
        <v/>
      </c>
      <c r="I339" s="702" t="inlineStr">
        <is>
          <t>✓✓</t>
        </is>
      </c>
    </row>
    <row r="340">
      <c r="A340" s="722" t="n"/>
      <c r="B340" s="36" t="inlineStr">
        <is>
          <t>M06-0260</t>
        </is>
      </c>
      <c r="C340" s="713" t="n"/>
      <c r="D340" s="714" t="n"/>
      <c r="E340" s="721" t="inlineStr">
        <is>
          <t>SEPARADOR DE DISCO 10CM DS150</t>
        </is>
      </c>
      <c r="F340" s="716" t="inlineStr">
        <is>
          <t>UND</t>
        </is>
      </c>
      <c r="G340" s="717" t="n">
        <v>85</v>
      </c>
      <c r="H340" s="718">
        <f>+G340*1.13</f>
        <v/>
      </c>
      <c r="I340" s="702" t="inlineStr">
        <is>
          <t>✓✓</t>
        </is>
      </c>
    </row>
    <row r="341">
      <c r="A341" s="722" t="n"/>
      <c r="B341" s="36" t="inlineStr">
        <is>
          <t>M06-0261</t>
        </is>
      </c>
      <c r="C341" s="713" t="n"/>
      <c r="D341" s="714" t="n"/>
      <c r="E341" s="721" t="inlineStr">
        <is>
          <t>SEPARADOR TIPO CONO 2.5CM (1") SP125</t>
        </is>
      </c>
      <c r="F341" s="716" t="inlineStr">
        <is>
          <t>UND</t>
        </is>
      </c>
      <c r="G341" s="717" t="n">
        <v>50</v>
      </c>
      <c r="H341" s="718">
        <f>+G341*1.13</f>
        <v/>
      </c>
      <c r="I341" s="702" t="inlineStr">
        <is>
          <t>✓✓</t>
        </is>
      </c>
    </row>
    <row r="342">
      <c r="A342" s="722" t="n"/>
      <c r="B342" s="36" t="inlineStr">
        <is>
          <t>M06-0262</t>
        </is>
      </c>
      <c r="C342" s="713" t="n"/>
      <c r="D342" s="714" t="n"/>
      <c r="E342" s="721" t="inlineStr">
        <is>
          <t>SEPARADOR TIPO CONO DE  9CM SP350</t>
        </is>
      </c>
      <c r="F342" s="716" t="inlineStr">
        <is>
          <t>UND</t>
        </is>
      </c>
      <c r="G342" s="717" t="n">
        <v>110</v>
      </c>
      <c r="H342" s="718">
        <f>+G342*1.13</f>
        <v/>
      </c>
      <c r="I342" s="702" t="inlineStr">
        <is>
          <t>✓✓</t>
        </is>
      </c>
    </row>
    <row r="343">
      <c r="A343" s="722" t="n"/>
      <c r="B343" s="36" t="inlineStr">
        <is>
          <t>M06-0264</t>
        </is>
      </c>
      <c r="C343" s="713" t="n"/>
      <c r="D343" s="714" t="n"/>
      <c r="E343" s="721" t="inlineStr">
        <is>
          <t>SEPARADORES TIPO CONO 12CM SP450</t>
        </is>
      </c>
      <c r="F343" s="716" t="inlineStr">
        <is>
          <t>UND</t>
        </is>
      </c>
      <c r="G343" s="717" t="n">
        <v>180</v>
      </c>
      <c r="H343" s="718">
        <f>+G343*1.13</f>
        <v/>
      </c>
      <c r="I343" s="702" t="inlineStr">
        <is>
          <t>✓✓</t>
        </is>
      </c>
    </row>
    <row r="344">
      <c r="A344" s="722" t="n"/>
      <c r="B344" s="36" t="inlineStr">
        <is>
          <t>M06-0265</t>
        </is>
      </c>
      <c r="C344" s="713" t="n"/>
      <c r="D344" s="714" t="n"/>
      <c r="E344" s="721" t="inlineStr">
        <is>
          <t>SILLETA P/MALLA SM100</t>
        </is>
      </c>
      <c r="F344" s="716" t="inlineStr">
        <is>
          <t>UND</t>
        </is>
      </c>
      <c r="G344" s="717" t="n">
        <v>34</v>
      </c>
      <c r="H344" s="718">
        <f>+G344*1.13</f>
        <v/>
      </c>
      <c r="I344" s="702" t="inlineStr">
        <is>
          <t>✓✓</t>
        </is>
      </c>
    </row>
    <row r="345">
      <c r="A345" s="722" t="n"/>
      <c r="B345" s="36" t="inlineStr">
        <is>
          <t>M06-0266</t>
        </is>
      </c>
      <c r="C345" s="713" t="n"/>
      <c r="D345" s="714" t="n"/>
      <c r="E345" s="721" t="inlineStr">
        <is>
          <t>SILLETA P/MALLA SM475</t>
        </is>
      </c>
      <c r="F345" s="716" t="inlineStr">
        <is>
          <t>UND</t>
        </is>
      </c>
      <c r="G345" s="717" t="n">
        <v>364</v>
      </c>
      <c r="H345" s="718">
        <f>+G345*1.13</f>
        <v/>
      </c>
      <c r="I345" s="702" t="inlineStr">
        <is>
          <t>✓✓</t>
        </is>
      </c>
    </row>
    <row r="346">
      <c r="A346" s="722" t="n"/>
      <c r="B346" s="36" t="inlineStr">
        <is>
          <t>M06-0271</t>
        </is>
      </c>
      <c r="C346" s="713" t="n"/>
      <c r="D346" s="714" t="n"/>
      <c r="E346" s="721" t="inlineStr">
        <is>
          <t>TAPE SCOTCH 35 ROJO</t>
        </is>
      </c>
      <c r="F346" s="716" t="inlineStr">
        <is>
          <t>UND</t>
        </is>
      </c>
      <c r="G346" s="717" t="n">
        <v>3088.86</v>
      </c>
      <c r="H346" s="718">
        <f>+G346*1.13</f>
        <v/>
      </c>
      <c r="I346" s="702" t="inlineStr">
        <is>
          <t>✓✓</t>
        </is>
      </c>
    </row>
    <row r="347">
      <c r="A347" s="722" t="n"/>
      <c r="B347" s="36" t="inlineStr">
        <is>
          <t>M06-0271</t>
        </is>
      </c>
      <c r="C347" s="713" t="n"/>
      <c r="D347" s="714" t="n"/>
      <c r="E347" s="721" t="inlineStr">
        <is>
          <t>TAPE SCOTCH 35 ROJO</t>
        </is>
      </c>
      <c r="F347" s="716" t="inlineStr">
        <is>
          <t>UND</t>
        </is>
      </c>
      <c r="G347" s="717" t="n">
        <v>2593.88</v>
      </c>
      <c r="H347" s="718">
        <f>+G347*1.13</f>
        <v/>
      </c>
      <c r="I347" s="702" t="inlineStr">
        <is>
          <t>✓✓</t>
        </is>
      </c>
    </row>
    <row r="348">
      <c r="A348" s="749" t="n"/>
      <c r="B348" s="36" t="inlineStr">
        <is>
          <t>M06-0276</t>
        </is>
      </c>
      <c r="C348" s="713" t="n"/>
      <c r="D348" s="714" t="n"/>
      <c r="E348" s="721" t="inlineStr">
        <is>
          <t>TEFLON LIQUIDO</t>
        </is>
      </c>
      <c r="F348" s="716" t="inlineStr">
        <is>
          <t>UND</t>
        </is>
      </c>
      <c r="G348" s="717" t="n">
        <v>4236.94</v>
      </c>
      <c r="H348" s="718">
        <f>+G348*1.13</f>
        <v/>
      </c>
      <c r="I348" s="702" t="inlineStr">
        <is>
          <t>✓✓</t>
        </is>
      </c>
    </row>
    <row r="349">
      <c r="A349" s="722" t="n"/>
      <c r="B349" s="36" t="inlineStr">
        <is>
          <t>M06-0278</t>
        </is>
      </c>
      <c r="C349" s="713" t="n"/>
      <c r="D349" s="714" t="n"/>
      <c r="E349" s="721" t="inlineStr">
        <is>
          <t>TIRO FULMINANTE P/PISTOLA 25MM (100)</t>
        </is>
      </c>
      <c r="F349" s="716" t="inlineStr">
        <is>
          <t>CAJA</t>
        </is>
      </c>
      <c r="G349" s="717" t="n">
        <v>2905.24</v>
      </c>
      <c r="H349" s="718">
        <f>+G349*1.13</f>
        <v/>
      </c>
      <c r="I349" s="702" t="inlineStr">
        <is>
          <t>✓✓</t>
        </is>
      </c>
    </row>
    <row r="350">
      <c r="A350" s="722" t="n"/>
      <c r="B350" s="36" t="inlineStr">
        <is>
          <t>M06-0296</t>
        </is>
      </c>
      <c r="C350" s="713" t="n"/>
      <c r="D350" s="714" t="n"/>
      <c r="E350" s="721" t="inlineStr">
        <is>
          <t>LUBRICANTE PARA TUBERIA PVC</t>
        </is>
      </c>
      <c r="F350" s="716" t="inlineStr">
        <is>
          <t>UND</t>
        </is>
      </c>
      <c r="G350" s="717" t="n">
        <v>10597</v>
      </c>
      <c r="H350" s="718">
        <f>+G350*1.13</f>
        <v/>
      </c>
      <c r="I350" s="702" t="inlineStr">
        <is>
          <t>✓✓</t>
        </is>
      </c>
    </row>
    <row r="351">
      <c r="A351" s="722" t="n"/>
      <c r="B351" s="36" t="inlineStr">
        <is>
          <t>M06-0297</t>
        </is>
      </c>
      <c r="C351" s="713" t="n"/>
      <c r="D351" s="714" t="n"/>
      <c r="E351" s="721" t="inlineStr">
        <is>
          <t>ESPUMA P/LIMPIAR</t>
        </is>
      </c>
      <c r="F351" s="716" t="inlineStr">
        <is>
          <t>UND</t>
        </is>
      </c>
      <c r="G351" s="717" t="n">
        <v>380.45</v>
      </c>
      <c r="H351" s="718">
        <f>+G351*1.13</f>
        <v/>
      </c>
      <c r="I351" s="702" t="inlineStr">
        <is>
          <t>✓✓</t>
        </is>
      </c>
    </row>
    <row r="352">
      <c r="A352" s="722" t="n"/>
      <c r="B352" s="36" t="inlineStr">
        <is>
          <t>M06-0299</t>
        </is>
      </c>
      <c r="C352" s="713" t="n"/>
      <c r="D352" s="714" t="n"/>
      <c r="E352" s="721" t="inlineStr">
        <is>
          <t>LIMPIADOR DE CERAMICA STONETECH</t>
        </is>
      </c>
      <c r="F352" s="716" t="inlineStr">
        <is>
          <t>GALON</t>
        </is>
      </c>
      <c r="G352" s="717" t="n">
        <v>12924</v>
      </c>
      <c r="H352" s="718">
        <f>+G352*1.13</f>
        <v/>
      </c>
      <c r="I352" s="702" t="inlineStr">
        <is>
          <t>✓✓</t>
        </is>
      </c>
    </row>
    <row r="353">
      <c r="A353" s="722" t="n"/>
      <c r="B353" s="36" t="inlineStr">
        <is>
          <t>M06-0304</t>
        </is>
      </c>
      <c r="C353" s="713" t="n"/>
      <c r="D353" s="714" t="n"/>
      <c r="E353" s="721" t="inlineStr">
        <is>
          <t>SPRAY ANTISALPICADURAS</t>
        </is>
      </c>
      <c r="F353" s="716" t="inlineStr">
        <is>
          <t>UND</t>
        </is>
      </c>
      <c r="G353" s="717" t="n">
        <v>6548.67</v>
      </c>
      <c r="H353" s="718">
        <f>+G353*1.13</f>
        <v/>
      </c>
      <c r="I353" s="702" t="inlineStr">
        <is>
          <t>✓✓</t>
        </is>
      </c>
    </row>
    <row r="354">
      <c r="A354" s="722" t="n"/>
      <c r="B354" s="759" t="inlineStr">
        <is>
          <t>M06-0306</t>
        </is>
      </c>
      <c r="C354" s="760" t="n"/>
      <c r="D354" s="761" t="n"/>
      <c r="E354" s="762" t="inlineStr">
        <is>
          <t>TORNILLO GYPSUM  7/16 PUNTA BROCA CON ARANDELA</t>
        </is>
      </c>
      <c r="F354" s="763" t="inlineStr">
        <is>
          <t>UND</t>
        </is>
      </c>
      <c r="G354" s="764" t="n">
        <v>3.87</v>
      </c>
      <c r="H354" s="765">
        <f>+G354*1.13</f>
        <v/>
      </c>
      <c r="I354" s="702" t="inlineStr">
        <is>
          <t>✓✓</t>
        </is>
      </c>
    </row>
    <row r="355">
      <c r="A355" s="722" t="n"/>
      <c r="B355" s="36" t="inlineStr">
        <is>
          <t>M06-0496</t>
        </is>
      </c>
      <c r="C355" s="713" t="n"/>
      <c r="D355" s="714" t="n"/>
      <c r="E355" s="721" t="inlineStr">
        <is>
          <t>TORNILLO GYPSUM 1 1/4"</t>
        </is>
      </c>
      <c r="F355" s="716" t="inlineStr">
        <is>
          <t>UND</t>
        </is>
      </c>
      <c r="G355" s="717">
        <f>5.5/1.13</f>
        <v/>
      </c>
      <c r="H355" s="718">
        <f>+G355*1.13</f>
        <v/>
      </c>
      <c r="I355" s="702" t="inlineStr">
        <is>
          <t>✓✓</t>
        </is>
      </c>
    </row>
    <row r="356">
      <c r="A356" s="732" t="n"/>
      <c r="B356" s="36" t="inlineStr">
        <is>
          <t>M06-0497</t>
        </is>
      </c>
      <c r="C356" s="713" t="n"/>
      <c r="D356" s="714" t="n"/>
      <c r="E356" s="721" t="inlineStr">
        <is>
          <t>TORNILLO MADERA 2"</t>
        </is>
      </c>
      <c r="F356" s="716" t="inlineStr">
        <is>
          <t>UND</t>
        </is>
      </c>
      <c r="G356" s="717">
        <f>36.5/1.13</f>
        <v/>
      </c>
      <c r="H356" s="718">
        <f>+G356*1.13</f>
        <v/>
      </c>
      <c r="I356" s="702" t="inlineStr">
        <is>
          <t>✓✓</t>
        </is>
      </c>
    </row>
    <row r="357">
      <c r="A357" s="722" t="n"/>
      <c r="B357" s="36" t="inlineStr">
        <is>
          <t>M06-0526</t>
        </is>
      </c>
      <c r="C357" s="713" t="n"/>
      <c r="D357" s="714" t="n"/>
      <c r="E357" s="721" t="inlineStr">
        <is>
          <t>STONE GRIP EPOXICO</t>
        </is>
      </c>
      <c r="F357" s="716" t="inlineStr">
        <is>
          <t>UND</t>
        </is>
      </c>
      <c r="G357" s="717" t="n">
        <v>10835.845</v>
      </c>
      <c r="H357" s="718">
        <f>+G357*1.13</f>
        <v/>
      </c>
      <c r="I357" s="702" t="inlineStr">
        <is>
          <t>✓✓</t>
        </is>
      </c>
    </row>
    <row r="358">
      <c r="A358" s="722" t="n"/>
      <c r="B358" s="36" t="inlineStr">
        <is>
          <t>M07-0060</t>
        </is>
      </c>
      <c r="C358" s="713" t="n"/>
      <c r="D358" s="714" t="n"/>
      <c r="E358" s="721" t="inlineStr">
        <is>
          <t>EXTENSION ELECTRICA</t>
        </is>
      </c>
      <c r="F358" s="716" t="inlineStr">
        <is>
          <t>UND</t>
        </is>
      </c>
      <c r="G358" s="717" t="n">
        <v>9479.049999999999</v>
      </c>
      <c r="H358" s="718">
        <f>+G358*1.13</f>
        <v/>
      </c>
      <c r="I358" s="702" t="inlineStr">
        <is>
          <t>✓✓</t>
        </is>
      </c>
    </row>
    <row r="359">
      <c r="A359" s="722" t="n"/>
      <c r="B359" s="36" t="inlineStr">
        <is>
          <t>M07-0064</t>
        </is>
      </c>
      <c r="C359" s="713" t="n"/>
      <c r="D359" s="714" t="n"/>
      <c r="E359" s="721" t="inlineStr">
        <is>
          <t>JUEGO DE SIERRAS FREUD SDFX2, DISCO DE 300MM E INCISOR DE 120MM</t>
        </is>
      </c>
      <c r="F359" s="716" t="inlineStr">
        <is>
          <t>UND</t>
        </is>
      </c>
      <c r="G359" s="717" t="n">
        <v>88495.57520000001</v>
      </c>
      <c r="H359" s="718">
        <f>+G359*1.13</f>
        <v/>
      </c>
      <c r="I359" s="702" t="inlineStr">
        <is>
          <t>✓✓</t>
        </is>
      </c>
    </row>
    <row r="360">
      <c r="A360" s="722" t="n"/>
      <c r="B360" s="36" t="inlineStr">
        <is>
          <t>M07-0067</t>
        </is>
      </c>
      <c r="C360" s="713" t="n"/>
      <c r="D360" s="714" t="n"/>
      <c r="E360" s="721" t="inlineStr">
        <is>
          <t>CAJA DE SEGURIDAD PARA LLAVES</t>
        </is>
      </c>
      <c r="F360" s="716" t="inlineStr">
        <is>
          <t>UND</t>
        </is>
      </c>
      <c r="G360" s="717" t="n">
        <v>11580.66</v>
      </c>
      <c r="H360" s="718">
        <f>+G360*1.13</f>
        <v/>
      </c>
      <c r="I360" s="702" t="inlineStr">
        <is>
          <t>✓✓</t>
        </is>
      </c>
    </row>
    <row r="361">
      <c r="A361" s="722" t="n"/>
      <c r="B361" s="36" t="inlineStr">
        <is>
          <t>M07-0099</t>
        </is>
      </c>
      <c r="C361" s="713" t="n"/>
      <c r="D361" s="714" t="n"/>
      <c r="E361" s="721" t="inlineStr">
        <is>
          <t>ESCALERA</t>
        </is>
      </c>
      <c r="F361" s="716" t="inlineStr">
        <is>
          <t>UND</t>
        </is>
      </c>
      <c r="G361" s="717" t="n">
        <v>11852</v>
      </c>
      <c r="H361" s="718">
        <f>+G361*1.13</f>
        <v/>
      </c>
      <c r="I361" s="702" t="inlineStr">
        <is>
          <t>✓✓</t>
        </is>
      </c>
    </row>
    <row r="362">
      <c r="A362" s="749" t="n"/>
      <c r="B362" s="36" t="inlineStr">
        <is>
          <t>M07-0126</t>
        </is>
      </c>
      <c r="C362" s="713" t="n"/>
      <c r="D362" s="714" t="n"/>
      <c r="E362" s="721" t="inlineStr">
        <is>
          <t>ESCALERA DE ALUMINIO 8 PELDAÑOS TIPO A</t>
        </is>
      </c>
      <c r="F362" s="716" t="inlineStr">
        <is>
          <t>UND</t>
        </is>
      </c>
      <c r="G362" s="717" t="n">
        <v>61000</v>
      </c>
      <c r="H362" s="718">
        <f>+G362*1.13</f>
        <v/>
      </c>
      <c r="I362" s="702" t="inlineStr">
        <is>
          <t>✓✓</t>
        </is>
      </c>
    </row>
    <row r="363">
      <c r="A363" s="722" t="n"/>
      <c r="B363" s="36" t="inlineStr">
        <is>
          <t>M07-0146</t>
        </is>
      </c>
      <c r="C363" s="713" t="n"/>
      <c r="D363" s="714" t="n"/>
      <c r="E363" s="721" t="inlineStr">
        <is>
          <t>CIZALLA #24</t>
        </is>
      </c>
      <c r="F363" s="716" t="inlineStr">
        <is>
          <t>UND</t>
        </is>
      </c>
      <c r="G363" s="717" t="n">
        <v>23057.53</v>
      </c>
      <c r="H363" s="718">
        <f>+G363*1.13</f>
        <v/>
      </c>
      <c r="I363" s="702" t="inlineStr">
        <is>
          <t>✓✓</t>
        </is>
      </c>
    </row>
    <row r="364">
      <c r="A364" s="722" t="n"/>
      <c r="B364" s="36" t="inlineStr">
        <is>
          <t>M07-0147</t>
        </is>
      </c>
      <c r="C364" s="713" t="n"/>
      <c r="D364" s="714" t="n"/>
      <c r="E364" s="721" t="inlineStr">
        <is>
          <t>CIZALLA #36</t>
        </is>
      </c>
      <c r="F364" s="716" t="inlineStr">
        <is>
          <t>UND</t>
        </is>
      </c>
      <c r="G364" s="717" t="n">
        <v>47747.79</v>
      </c>
      <c r="H364" s="718">
        <f>+G364*1.13</f>
        <v/>
      </c>
      <c r="I364" s="702" t="inlineStr">
        <is>
          <t>✓✓</t>
        </is>
      </c>
    </row>
    <row r="365">
      <c r="A365" s="722" t="n"/>
      <c r="B365" s="36" t="inlineStr">
        <is>
          <t>M07-0150</t>
        </is>
      </c>
      <c r="C365" s="713" t="n"/>
      <c r="D365" s="714" t="n"/>
      <c r="E365" s="721" t="inlineStr">
        <is>
          <t>PISTOLA DE LATÓN PARA MANGUERA MANGO DE GOMA</t>
        </is>
      </c>
      <c r="F365" s="716" t="inlineStr">
        <is>
          <t>UND</t>
        </is>
      </c>
      <c r="G365" s="717" t="n">
        <v>3221.36</v>
      </c>
      <c r="H365" s="718">
        <f>+G365*1.13</f>
        <v/>
      </c>
      <c r="I365" s="702" t="inlineStr">
        <is>
          <t>✓✓</t>
        </is>
      </c>
    </row>
    <row r="366">
      <c r="A366" s="722" t="n"/>
      <c r="B366" s="36" t="inlineStr">
        <is>
          <t>M07-0151</t>
        </is>
      </c>
      <c r="C366" s="713" t="n"/>
      <c r="D366" s="714" t="n"/>
      <c r="E366" s="721" t="inlineStr">
        <is>
          <t>ESCOBON</t>
        </is>
      </c>
      <c r="F366" s="716" t="inlineStr">
        <is>
          <t>UND</t>
        </is>
      </c>
      <c r="G366" s="717" t="n">
        <v>6743.38</v>
      </c>
      <c r="H366" s="718">
        <f>+G366*1.13</f>
        <v/>
      </c>
      <c r="I366" s="702" t="inlineStr">
        <is>
          <t>✓✓</t>
        </is>
      </c>
    </row>
    <row r="367">
      <c r="A367" s="722" t="n"/>
      <c r="B367" s="36" t="inlineStr">
        <is>
          <t>M07-0192</t>
        </is>
      </c>
      <c r="C367" s="713" t="n"/>
      <c r="D367" s="714" t="n"/>
      <c r="E367" s="721" t="inlineStr">
        <is>
          <t>ESCALERAS DE 7 PELDAÑOS TIPO A</t>
        </is>
      </c>
      <c r="F367" s="716" t="inlineStr">
        <is>
          <t>UND</t>
        </is>
      </c>
      <c r="G367" s="717" t="n">
        <v>48699</v>
      </c>
      <c r="H367" s="718">
        <f>+G367*1.13</f>
        <v/>
      </c>
      <c r="I367" s="702" t="inlineStr">
        <is>
          <t>✓✓</t>
        </is>
      </c>
    </row>
    <row r="368">
      <c r="A368" s="722" t="n"/>
      <c r="B368" s="36" t="inlineStr">
        <is>
          <t>M07-0195</t>
        </is>
      </c>
      <c r="C368" s="713" t="n"/>
      <c r="D368" s="714" t="n"/>
      <c r="E368" s="721" t="inlineStr">
        <is>
          <t>RACHET 1/2X10 362331</t>
        </is>
      </c>
      <c r="F368" s="716" t="inlineStr">
        <is>
          <t>UND</t>
        </is>
      </c>
      <c r="G368" s="717" t="n">
        <v>9336.280000000001</v>
      </c>
      <c r="H368" s="718">
        <f>+G368*1.13</f>
        <v/>
      </c>
      <c r="I368" s="702" t="inlineStr">
        <is>
          <t>✓✓</t>
        </is>
      </c>
    </row>
    <row r="369">
      <c r="A369" s="722" t="n"/>
      <c r="B369" s="36" t="inlineStr">
        <is>
          <t>M07-0201</t>
        </is>
      </c>
      <c r="C369" s="713" t="n"/>
      <c r="D369" s="714" t="n"/>
      <c r="E369" s="721" t="inlineStr">
        <is>
          <t>PINZA TIERRA</t>
        </is>
      </c>
      <c r="F369" s="716" t="inlineStr">
        <is>
          <t>UND</t>
        </is>
      </c>
      <c r="G369" s="717" t="n">
        <v>3761.06</v>
      </c>
      <c r="H369" s="718">
        <f>+G369*1.13</f>
        <v/>
      </c>
      <c r="I369" s="702" t="inlineStr">
        <is>
          <t>✓✓</t>
        </is>
      </c>
    </row>
    <row r="370">
      <c r="A370" s="722" t="n"/>
      <c r="B370" s="36" t="inlineStr">
        <is>
          <t>M07-0204</t>
        </is>
      </c>
      <c r="C370" s="713" t="n"/>
      <c r="D370" s="714" t="n"/>
      <c r="E370" s="721" t="inlineStr">
        <is>
          <t>PUNTA PHILLIPS PH#2</t>
        </is>
      </c>
      <c r="F370" s="716" t="inlineStr">
        <is>
          <t>UND</t>
        </is>
      </c>
      <c r="G370" s="717" t="n">
        <v>465</v>
      </c>
      <c r="H370" s="718">
        <f>+G370*1.13</f>
        <v/>
      </c>
      <c r="I370" s="702" t="inlineStr">
        <is>
          <t>✓✓</t>
        </is>
      </c>
    </row>
    <row r="371">
      <c r="A371" s="732" t="n"/>
      <c r="B371" s="36" t="inlineStr">
        <is>
          <t>M07-0231</t>
        </is>
      </c>
      <c r="C371" s="713" t="n"/>
      <c r="D371" s="714" t="n"/>
      <c r="E371" s="721" t="inlineStr">
        <is>
          <t>CUBO MAGNETICO P/TORN.TECHO 3/8"</t>
        </is>
      </c>
      <c r="F371" s="716" t="inlineStr">
        <is>
          <t>UND</t>
        </is>
      </c>
      <c r="G371" s="717" t="n">
        <v>196.14</v>
      </c>
      <c r="H371" s="718">
        <f>+G371*1.13</f>
        <v/>
      </c>
      <c r="I371" s="702" t="inlineStr">
        <is>
          <t>✓✓</t>
        </is>
      </c>
    </row>
    <row r="372">
      <c r="A372" s="722" t="n"/>
      <c r="B372" s="36" t="inlineStr">
        <is>
          <t>M08-0002</t>
        </is>
      </c>
      <c r="C372" s="713" t="n"/>
      <c r="D372" s="714" t="n"/>
      <c r="E372" s="721" t="inlineStr">
        <is>
          <t>BROCA P/CONCRETO 5/16 X 6"</t>
        </is>
      </c>
      <c r="F372" s="716" t="inlineStr">
        <is>
          <t>UND</t>
        </is>
      </c>
      <c r="G372" s="717" t="n">
        <v>1033.85</v>
      </c>
      <c r="H372" s="718">
        <f>+G372*1.13</f>
        <v/>
      </c>
      <c r="I372" s="702" t="inlineStr">
        <is>
          <t>✓✓</t>
        </is>
      </c>
    </row>
    <row r="373">
      <c r="A373" s="722" t="n"/>
      <c r="B373" s="36" t="inlineStr">
        <is>
          <t>M08-0004</t>
        </is>
      </c>
      <c r="C373" s="713" t="n"/>
      <c r="D373" s="714" t="n"/>
      <c r="E373" s="721" t="inlineStr">
        <is>
          <t>BROCA P/CONCRETO SDS PLUS 3/8 X 8"</t>
        </is>
      </c>
      <c r="F373" s="716" t="inlineStr">
        <is>
          <t>UND</t>
        </is>
      </c>
      <c r="G373" s="717" t="n">
        <v>2121.6</v>
      </c>
      <c r="H373" s="718">
        <f>+G373*1.13</f>
        <v/>
      </c>
      <c r="I373" s="702" t="inlineStr">
        <is>
          <t>✓✓</t>
        </is>
      </c>
    </row>
    <row r="374">
      <c r="A374" s="722" t="n"/>
      <c r="B374" s="36" t="inlineStr">
        <is>
          <t>M08-0005</t>
        </is>
      </c>
      <c r="C374" s="713" t="n"/>
      <c r="D374" s="714" t="n"/>
      <c r="E374" s="721" t="inlineStr">
        <is>
          <t>BROCA P/CONCRETO 3/8 X 8"</t>
        </is>
      </c>
      <c r="F374" s="716" t="inlineStr">
        <is>
          <t>UND</t>
        </is>
      </c>
      <c r="G374" s="717" t="n">
        <v>1699.12</v>
      </c>
      <c r="H374" s="718">
        <f>+G374*1.13</f>
        <v/>
      </c>
      <c r="I374" s="702" t="inlineStr">
        <is>
          <t>✓✓</t>
        </is>
      </c>
    </row>
    <row r="375">
      <c r="A375" s="722" t="n"/>
      <c r="B375" s="36" t="inlineStr">
        <is>
          <t>M08-0006</t>
        </is>
      </c>
      <c r="C375" s="713" t="n"/>
      <c r="D375" s="714" t="n"/>
      <c r="E375" s="721" t="inlineStr">
        <is>
          <t>BROCA P/CONCRETO 1 1/4"</t>
        </is>
      </c>
      <c r="F375" s="716" t="inlineStr">
        <is>
          <t>UND</t>
        </is>
      </c>
      <c r="G375" s="717" t="n">
        <v>13275</v>
      </c>
      <c r="H375" s="718">
        <f>+G375*1.13</f>
        <v/>
      </c>
      <c r="I375" s="702" t="inlineStr">
        <is>
          <t>✓✓</t>
        </is>
      </c>
    </row>
    <row r="376">
      <c r="A376" s="722" t="n"/>
      <c r="B376" s="36" t="inlineStr">
        <is>
          <t>M08-0007</t>
        </is>
      </c>
      <c r="C376" s="713" t="n"/>
      <c r="D376" s="714" t="n"/>
      <c r="E376" s="721" t="inlineStr">
        <is>
          <t>BROCA P/CONCRETO 5/32 X 6"</t>
        </is>
      </c>
      <c r="F376" s="716" t="inlineStr">
        <is>
          <t>UND</t>
        </is>
      </c>
      <c r="G376" s="717" t="n">
        <v>937.04</v>
      </c>
      <c r="H376" s="718">
        <f>+G376*1.13</f>
        <v/>
      </c>
      <c r="I376" s="702" t="inlineStr">
        <is>
          <t>✓✓</t>
        </is>
      </c>
    </row>
    <row r="377">
      <c r="A377" s="722" t="n"/>
      <c r="B377" s="36" t="inlineStr">
        <is>
          <t>M08-0009</t>
        </is>
      </c>
      <c r="C377" s="713" t="n"/>
      <c r="D377" s="714" t="n"/>
      <c r="E377" s="721" t="inlineStr">
        <is>
          <t>BROCA SIERRA</t>
        </is>
      </c>
      <c r="F377" s="716" t="inlineStr">
        <is>
          <t>UND</t>
        </is>
      </c>
      <c r="G377" s="717" t="n">
        <v>4225.67</v>
      </c>
      <c r="H377" s="718">
        <f>+G377*1.13</f>
        <v/>
      </c>
      <c r="I377" s="702" t="inlineStr">
        <is>
          <t>✓✓</t>
        </is>
      </c>
    </row>
    <row r="378">
      <c r="A378" s="722" t="n"/>
      <c r="B378" s="36" t="inlineStr">
        <is>
          <t>M08-0017</t>
        </is>
      </c>
      <c r="C378" s="713" t="n"/>
      <c r="D378" s="714" t="n"/>
      <c r="E378" s="721" t="inlineStr">
        <is>
          <t>BROCA P/CONCRETO SDS PLUS 1/4 CON ESPIGA 3/8</t>
        </is>
      </c>
      <c r="F378" s="716" t="inlineStr">
        <is>
          <t>UND</t>
        </is>
      </c>
      <c r="G378" s="717" t="n">
        <v>1858.44</v>
      </c>
      <c r="H378" s="718">
        <f>+G378*1.13</f>
        <v/>
      </c>
      <c r="I378" s="702" t="inlineStr">
        <is>
          <t>✓✓</t>
        </is>
      </c>
    </row>
    <row r="379">
      <c r="A379" s="722" t="n"/>
      <c r="B379" s="36" t="inlineStr">
        <is>
          <t>M08-0018</t>
        </is>
      </c>
      <c r="C379" s="713" t="n"/>
      <c r="D379" s="714" t="n"/>
      <c r="E379" s="721" t="inlineStr">
        <is>
          <t>BROCA P/METAL 5/16"</t>
        </is>
      </c>
      <c r="F379" s="716" t="inlineStr">
        <is>
          <t>UND</t>
        </is>
      </c>
      <c r="G379" s="717" t="n">
        <v>3733.03</v>
      </c>
      <c r="H379" s="718">
        <f>+G379*1.13</f>
        <v/>
      </c>
      <c r="I379" s="702" t="inlineStr">
        <is>
          <t>✓✓</t>
        </is>
      </c>
    </row>
    <row r="380">
      <c r="A380" s="722" t="n"/>
      <c r="B380" s="36" t="inlineStr">
        <is>
          <t>M08-0037</t>
        </is>
      </c>
      <c r="C380" s="713" t="n"/>
      <c r="D380" s="714" t="n"/>
      <c r="E380" s="721" t="inlineStr">
        <is>
          <t>DISCO CORTE METAL FINO 9"</t>
        </is>
      </c>
      <c r="F380" s="716" t="inlineStr">
        <is>
          <t>UND</t>
        </is>
      </c>
      <c r="G380" s="717" t="n">
        <v>2688.17</v>
      </c>
      <c r="H380" s="718">
        <f>+G380*1.13</f>
        <v/>
      </c>
      <c r="I380" s="702" t="inlineStr">
        <is>
          <t>✓✓</t>
        </is>
      </c>
    </row>
    <row r="381">
      <c r="A381" s="722" t="n"/>
      <c r="B381" s="36" t="inlineStr">
        <is>
          <t>M08-0039</t>
        </is>
      </c>
      <c r="C381" s="713" t="n"/>
      <c r="D381" s="714" t="n"/>
      <c r="E381" s="721" t="inlineStr">
        <is>
          <t>DISCO PARA ESMERILAR DE 9 PULGADAS</t>
        </is>
      </c>
      <c r="F381" s="716" t="inlineStr">
        <is>
          <t>UND</t>
        </is>
      </c>
      <c r="G381" s="717" t="n">
        <v>1905.31</v>
      </c>
      <c r="H381" s="718">
        <f>+G381*1.13</f>
        <v/>
      </c>
      <c r="I381" s="702" t="inlineStr">
        <is>
          <t>✓✓</t>
        </is>
      </c>
    </row>
    <row r="382">
      <c r="A382" s="722" t="n"/>
      <c r="B382" s="36" t="inlineStr">
        <is>
          <t>M08-0040</t>
        </is>
      </c>
      <c r="C382" s="713" t="n"/>
      <c r="D382" s="714" t="n"/>
      <c r="E382" s="721" t="inlineStr">
        <is>
          <t>DISCO CORTE METAL 14"</t>
        </is>
      </c>
      <c r="F382" s="716" t="inlineStr">
        <is>
          <t>UND</t>
        </is>
      </c>
      <c r="G382" s="717" t="n">
        <v>3660.28</v>
      </c>
      <c r="H382" s="718">
        <f>+G382*1.13</f>
        <v/>
      </c>
      <c r="I382" s="702" t="inlineStr">
        <is>
          <t>✓✓</t>
        </is>
      </c>
    </row>
    <row r="383">
      <c r="A383" s="722" t="n"/>
      <c r="B383" s="36" t="inlineStr">
        <is>
          <t>M08-0041</t>
        </is>
      </c>
      <c r="C383" s="713" t="n"/>
      <c r="D383" s="714" t="n"/>
      <c r="E383" s="721" t="inlineStr">
        <is>
          <t>DISCO CORTE DIAMANTADO LISO FINO 4-1/2"</t>
        </is>
      </c>
      <c r="F383" s="716" t="inlineStr">
        <is>
          <t>UND</t>
        </is>
      </c>
      <c r="G383" s="717" t="n">
        <v>5011.91</v>
      </c>
      <c r="H383" s="718">
        <f>+G383*1.13</f>
        <v/>
      </c>
      <c r="I383" s="702" t="inlineStr">
        <is>
          <t>✓✓</t>
        </is>
      </c>
    </row>
    <row r="384">
      <c r="A384" s="722" t="n"/>
      <c r="B384" s="36" t="inlineStr">
        <is>
          <t>M08-0042</t>
        </is>
      </c>
      <c r="C384" s="713" t="n"/>
      <c r="D384" s="714" t="n"/>
      <c r="E384" s="721" t="inlineStr">
        <is>
          <t>DISCO DIAMANTADO 4-1/2"</t>
        </is>
      </c>
      <c r="F384" s="716" t="inlineStr">
        <is>
          <t>UND</t>
        </is>
      </c>
      <c r="G384" s="717" t="n">
        <v>4249.95</v>
      </c>
      <c r="H384" s="718">
        <f>+G384*1.13</f>
        <v/>
      </c>
      <c r="I384" s="702" t="inlineStr">
        <is>
          <t>✓✓</t>
        </is>
      </c>
    </row>
    <row r="385">
      <c r="A385" s="722" t="n"/>
      <c r="B385" s="36" t="inlineStr">
        <is>
          <t>M08-0043</t>
        </is>
      </c>
      <c r="C385" s="713" t="n"/>
      <c r="D385" s="714" t="n"/>
      <c r="E385" s="721" t="inlineStr">
        <is>
          <t>DISCO ESMERILAR 4-1/2</t>
        </is>
      </c>
      <c r="F385" s="716" t="inlineStr">
        <is>
          <t>UND</t>
        </is>
      </c>
      <c r="G385" s="717" t="n">
        <v>1345</v>
      </c>
      <c r="H385" s="718">
        <f>+G385*1.13</f>
        <v/>
      </c>
      <c r="I385" s="702" t="inlineStr">
        <is>
          <t>✓✓</t>
        </is>
      </c>
    </row>
    <row r="386">
      <c r="A386" s="722" t="n"/>
      <c r="B386" s="36" t="inlineStr">
        <is>
          <t>M08-0044</t>
        </is>
      </c>
      <c r="C386" s="713" t="n"/>
      <c r="D386" s="714" t="n"/>
      <c r="E386" s="721" t="inlineStr">
        <is>
          <t>DISCO FLAP G60 4-1/2"</t>
        </is>
      </c>
      <c r="F386" s="716" t="inlineStr">
        <is>
          <t>UND</t>
        </is>
      </c>
      <c r="G386" s="717" t="n">
        <v>1480.18</v>
      </c>
      <c r="H386" s="718">
        <f>+G386*1.13</f>
        <v/>
      </c>
      <c r="I386" s="702" t="inlineStr">
        <is>
          <t>✓✓</t>
        </is>
      </c>
    </row>
    <row r="387">
      <c r="A387" s="722" t="n"/>
      <c r="B387" s="36" t="inlineStr">
        <is>
          <t>M08-0045</t>
        </is>
      </c>
      <c r="C387" s="713" t="n"/>
      <c r="D387" s="714" t="n"/>
      <c r="E387" s="721" t="inlineStr">
        <is>
          <t>DISCO PUNTA DIAMANTE 9" SEGMENTADO</t>
        </is>
      </c>
      <c r="F387" s="716" t="inlineStr">
        <is>
          <t>UND</t>
        </is>
      </c>
      <c r="G387" s="717" t="n">
        <v>12654.4</v>
      </c>
      <c r="H387" s="718">
        <f>+G387*1.13</f>
        <v/>
      </c>
      <c r="I387" s="702" t="inlineStr">
        <is>
          <t>✓✓</t>
        </is>
      </c>
    </row>
    <row r="388">
      <c r="A388" s="722" t="n"/>
      <c r="B388" s="36" t="inlineStr">
        <is>
          <t>M08-0047</t>
        </is>
      </c>
      <c r="C388" s="713" t="n"/>
      <c r="D388" s="714" t="n"/>
      <c r="E388" s="721" t="inlineStr">
        <is>
          <t>DISCO SIERRA CIRCULAR 7-1/4</t>
        </is>
      </c>
      <c r="F388" s="716" t="inlineStr">
        <is>
          <t>UND</t>
        </is>
      </c>
      <c r="G388" s="717" t="n">
        <v>4162.83</v>
      </c>
      <c r="H388" s="718">
        <f>+G388*1.13</f>
        <v/>
      </c>
      <c r="I388" s="702" t="inlineStr">
        <is>
          <t>✓✓</t>
        </is>
      </c>
    </row>
    <row r="389">
      <c r="A389" s="722" t="n"/>
      <c r="B389" s="36" t="inlineStr">
        <is>
          <t>M08-0049</t>
        </is>
      </c>
      <c r="C389" s="713" t="n"/>
      <c r="D389" s="714" t="n"/>
      <c r="E389" s="721" t="inlineStr">
        <is>
          <t>DISCO DIAMANTADO CONCRETO 14"</t>
        </is>
      </c>
      <c r="F389" s="716" t="inlineStr">
        <is>
          <t>UND</t>
        </is>
      </c>
      <c r="G389" s="717" t="n">
        <v>72600</v>
      </c>
      <c r="H389" s="718">
        <f>+G389*1.13</f>
        <v/>
      </c>
      <c r="I389" s="702" t="inlineStr">
        <is>
          <t>✓✓</t>
        </is>
      </c>
    </row>
    <row r="390">
      <c r="A390" s="722" t="n"/>
      <c r="B390" s="36" t="inlineStr">
        <is>
          <t>M08-0051</t>
        </is>
      </c>
      <c r="C390" s="713" t="n"/>
      <c r="D390" s="714" t="n"/>
      <c r="E390" s="721" t="inlineStr">
        <is>
          <t>DISCO CORTE FINO METAL 4-1/2</t>
        </is>
      </c>
      <c r="F390" s="716" t="inlineStr">
        <is>
          <t>UND</t>
        </is>
      </c>
      <c r="G390" s="717" t="n">
        <v>3240</v>
      </c>
      <c r="H390" s="718">
        <f>+G390*1.13</f>
        <v/>
      </c>
      <c r="I390" s="702" t="inlineStr">
        <is>
          <t>✓✓</t>
        </is>
      </c>
    </row>
    <row r="391">
      <c r="A391" s="722" t="n"/>
      <c r="B391" s="36" t="inlineStr">
        <is>
          <t>M08-0062</t>
        </is>
      </c>
      <c r="C391" s="713" t="n"/>
      <c r="D391" s="714" t="n"/>
      <c r="E391" s="721" t="inlineStr">
        <is>
          <t>LIJA DE AGUA #120</t>
        </is>
      </c>
      <c r="F391" s="716" t="inlineStr">
        <is>
          <t>UND</t>
        </is>
      </c>
      <c r="G391" s="717" t="n">
        <v>327.43</v>
      </c>
      <c r="H391" s="718">
        <f>+G391*1.13</f>
        <v/>
      </c>
      <c r="I391" s="702" t="inlineStr">
        <is>
          <t>✓✓</t>
        </is>
      </c>
    </row>
    <row r="392">
      <c r="A392" s="722" t="n"/>
      <c r="B392" s="36" t="inlineStr">
        <is>
          <t>M08-0063</t>
        </is>
      </c>
      <c r="C392" s="713" t="n"/>
      <c r="D392" s="714" t="n"/>
      <c r="E392" s="721" t="inlineStr">
        <is>
          <t>LIJA DE AGUA #150</t>
        </is>
      </c>
      <c r="F392" s="716" t="inlineStr">
        <is>
          <t>UND</t>
        </is>
      </c>
      <c r="G392" s="717" t="n">
        <v>274.3363</v>
      </c>
      <c r="H392" s="718">
        <f>+G392*1.13</f>
        <v/>
      </c>
      <c r="I392" s="702" t="inlineStr">
        <is>
          <t>✓✓</t>
        </is>
      </c>
    </row>
    <row r="393">
      <c r="A393" s="722" t="n"/>
      <c r="B393" s="36" t="inlineStr">
        <is>
          <t>M08-0064</t>
        </is>
      </c>
      <c r="C393" s="713" t="n"/>
      <c r="D393" s="714" t="n"/>
      <c r="E393" s="721" t="inlineStr">
        <is>
          <t>LIJA DE AGUA #180</t>
        </is>
      </c>
      <c r="F393" s="716" t="inlineStr">
        <is>
          <t>UND</t>
        </is>
      </c>
      <c r="G393" s="717" t="n">
        <v>287.61</v>
      </c>
      <c r="H393" s="718">
        <f>+G393*1.13</f>
        <v/>
      </c>
      <c r="I393" s="702" t="inlineStr">
        <is>
          <t>✓✓</t>
        </is>
      </c>
    </row>
    <row r="394">
      <c r="A394" s="722" t="n"/>
      <c r="B394" s="36" t="inlineStr">
        <is>
          <t>M08-0065</t>
        </is>
      </c>
      <c r="C394" s="713" t="n"/>
      <c r="D394" s="714" t="n"/>
      <c r="E394" s="721" t="inlineStr">
        <is>
          <t>LIJA DE AGUA #220</t>
        </is>
      </c>
      <c r="F394" s="716" t="inlineStr">
        <is>
          <t>UND</t>
        </is>
      </c>
      <c r="G394" s="717" t="n">
        <v>283.1858</v>
      </c>
      <c r="H394" s="718">
        <f>+G394*1.13</f>
        <v/>
      </c>
      <c r="I394" s="702" t="inlineStr">
        <is>
          <t>✓✓</t>
        </is>
      </c>
    </row>
    <row r="395">
      <c r="A395" s="722" t="n"/>
      <c r="B395" s="36" t="inlineStr">
        <is>
          <t>M09-0027</t>
        </is>
      </c>
      <c r="C395" s="713" t="n"/>
      <c r="D395" s="714" t="n"/>
      <c r="E395" s="721" t="inlineStr">
        <is>
          <t>MELAMINA 18X1830X2500</t>
        </is>
      </c>
      <c r="F395" s="716" t="inlineStr">
        <is>
          <t>UND</t>
        </is>
      </c>
      <c r="G395" s="717" t="n">
        <v>33820</v>
      </c>
      <c r="H395" s="718">
        <f>+G395*1.13</f>
        <v/>
      </c>
      <c r="I395" s="702" t="inlineStr">
        <is>
          <t>✓✓</t>
        </is>
      </c>
    </row>
    <row r="396">
      <c r="A396" s="722" t="n"/>
      <c r="B396" s="36" t="inlineStr">
        <is>
          <t>M09-0035</t>
        </is>
      </c>
      <c r="C396" s="713" t="n"/>
      <c r="D396" s="714" t="n"/>
      <c r="E396" s="766" t="inlineStr">
        <is>
          <t>FORMALETA 1X8X12 SIN CEPILLAR</t>
        </is>
      </c>
      <c r="F396" s="716" t="inlineStr">
        <is>
          <t>UND</t>
        </is>
      </c>
      <c r="G396" s="717" t="n">
        <v>4651.2</v>
      </c>
      <c r="H396" s="718">
        <f>+G396*1.13</f>
        <v/>
      </c>
      <c r="I396" s="702" t="inlineStr">
        <is>
          <t>✓✓</t>
        </is>
      </c>
    </row>
    <row r="397">
      <c r="A397" s="722" t="n"/>
      <c r="B397" s="36" t="inlineStr">
        <is>
          <t>M09-0038</t>
        </is>
      </c>
      <c r="C397" s="713" t="n"/>
      <c r="D397" s="714" t="n"/>
      <c r="E397" s="766" t="inlineStr">
        <is>
          <t>FORMALETA DE 1X12X4</t>
        </is>
      </c>
      <c r="F397" s="716" t="inlineStr">
        <is>
          <t>UND</t>
        </is>
      </c>
      <c r="G397" s="717" t="n">
        <v>5384.8</v>
      </c>
      <c r="H397" s="718">
        <f>+G397*1.13</f>
        <v/>
      </c>
      <c r="I397" s="702" t="inlineStr">
        <is>
          <t>✓✓</t>
        </is>
      </c>
    </row>
    <row r="398">
      <c r="A398" s="722" t="n"/>
      <c r="B398" s="36" t="inlineStr">
        <is>
          <t>M09-0039</t>
        </is>
      </c>
      <c r="C398" s="713" t="n"/>
      <c r="D398" s="714" t="n"/>
      <c r="E398" s="766" t="inlineStr">
        <is>
          <t>REGLA 1X4X4 VARAS</t>
        </is>
      </c>
      <c r="F398" s="716" t="inlineStr">
        <is>
          <t>UND</t>
        </is>
      </c>
      <c r="G398" s="717" t="n">
        <v>3057.2</v>
      </c>
      <c r="H398" s="718">
        <f>+G398*1.13</f>
        <v/>
      </c>
      <c r="I398" s="702" t="inlineStr">
        <is>
          <t>✓✓</t>
        </is>
      </c>
    </row>
    <row r="399">
      <c r="A399" s="722" t="n"/>
      <c r="B399" s="36" t="inlineStr">
        <is>
          <t>M09-0041</t>
        </is>
      </c>
      <c r="C399" s="713" t="n"/>
      <c r="D399" s="714" t="n"/>
      <c r="E399" s="766" t="inlineStr">
        <is>
          <t>REGLA SEMIDURO 1X3X4 CEPILLADA</t>
        </is>
      </c>
      <c r="F399" s="716" t="inlineStr">
        <is>
          <t>UND</t>
        </is>
      </c>
      <c r="G399" s="717" t="n">
        <v>1567.64</v>
      </c>
      <c r="H399" s="718">
        <f>+G399*1.13</f>
        <v/>
      </c>
      <c r="I399" s="702" t="inlineStr">
        <is>
          <t>✓✓</t>
        </is>
      </c>
    </row>
    <row r="400">
      <c r="A400" s="722" t="n"/>
      <c r="B400" s="36" t="inlineStr">
        <is>
          <t>M09-0042</t>
        </is>
      </c>
      <c r="C400" s="713" t="n"/>
      <c r="D400" s="714" t="n"/>
      <c r="E400" s="766" t="inlineStr">
        <is>
          <t>REGLA SEMIDURO 1X3X4 SIN CEPILLAR</t>
        </is>
      </c>
      <c r="F400" s="716" t="inlineStr">
        <is>
          <t>UND</t>
        </is>
      </c>
      <c r="G400" s="717" t="n">
        <v>1349.55</v>
      </c>
      <c r="H400" s="718">
        <f>+G400*1.13</f>
        <v/>
      </c>
      <c r="I400" s="702" t="inlineStr">
        <is>
          <t>✓✓</t>
        </is>
      </c>
    </row>
    <row r="401">
      <c r="A401" s="722" t="n"/>
      <c r="B401" s="36" t="inlineStr">
        <is>
          <t>M09-0043</t>
        </is>
      </c>
      <c r="C401" s="713" t="n"/>
      <c r="D401" s="714" t="n"/>
      <c r="E401" s="721" t="inlineStr">
        <is>
          <t>TABLON 2 1/2X12X4</t>
        </is>
      </c>
      <c r="F401" s="716" t="inlineStr">
        <is>
          <t>UND</t>
        </is>
      </c>
      <c r="G401" s="717" t="n">
        <v>17500</v>
      </c>
      <c r="H401" s="718">
        <f>+G401*1.13</f>
        <v/>
      </c>
      <c r="I401" s="702" t="inlineStr">
        <is>
          <t>✓✓</t>
        </is>
      </c>
    </row>
    <row r="402">
      <c r="A402" s="732" t="n"/>
      <c r="B402" s="36" t="inlineStr">
        <is>
          <t>M09-0074</t>
        </is>
      </c>
      <c r="C402" s="713" t="n"/>
      <c r="D402" s="714" t="n"/>
      <c r="E402" s="766" t="inlineStr">
        <is>
          <t>REGLA DE PINO RADIATA 1X3X3.2M</t>
        </is>
      </c>
      <c r="F402" s="716" t="inlineStr">
        <is>
          <t>UND</t>
        </is>
      </c>
      <c r="G402" s="717" t="n">
        <v>3200</v>
      </c>
      <c r="H402" s="718">
        <f>+G402*1.13</f>
        <v/>
      </c>
      <c r="I402" s="702" t="inlineStr">
        <is>
          <t>✓✓</t>
        </is>
      </c>
    </row>
    <row r="403">
      <c r="A403" s="722" t="n"/>
      <c r="B403" s="36" t="inlineStr">
        <is>
          <t>M09-0077</t>
        </is>
      </c>
      <c r="C403" s="327" t="n"/>
      <c r="D403" s="752" t="n"/>
      <c r="E403" s="721" t="inlineStr">
        <is>
          <t>RODAPIE (GENERICO)</t>
        </is>
      </c>
      <c r="F403" s="716" t="inlineStr">
        <is>
          <t>UND</t>
        </is>
      </c>
      <c r="G403" s="717" t="n">
        <v>3589</v>
      </c>
      <c r="H403" s="718">
        <f>+G403*1.13</f>
        <v/>
      </c>
      <c r="I403" s="702" t="inlineStr">
        <is>
          <t>✓✓</t>
        </is>
      </c>
    </row>
    <row r="404">
      <c r="A404" s="722" t="n"/>
      <c r="B404" s="36" t="inlineStr">
        <is>
          <t>M09-0100</t>
        </is>
      </c>
      <c r="C404" s="713" t="n"/>
      <c r="D404" s="714" t="n"/>
      <c r="E404" s="721" t="inlineStr">
        <is>
          <t>MELAMINA 18X2070X2800</t>
        </is>
      </c>
      <c r="F404" s="716" t="inlineStr">
        <is>
          <t>UND</t>
        </is>
      </c>
      <c r="G404" s="717" t="n">
        <v>43098.25</v>
      </c>
      <c r="H404" s="718">
        <f>+G404*1.13</f>
        <v/>
      </c>
      <c r="I404" s="702" t="inlineStr">
        <is>
          <t>✓✓</t>
        </is>
      </c>
    </row>
    <row r="405">
      <c r="A405" s="722" t="n"/>
      <c r="B405" s="36" t="inlineStr">
        <is>
          <t>M10-0001</t>
        </is>
      </c>
      <c r="C405" s="713" t="n"/>
      <c r="D405" s="714" t="n"/>
      <c r="E405" s="721" t="inlineStr">
        <is>
          <t>FIBRA DE CARBONO 1KG</t>
        </is>
      </c>
      <c r="F405" s="716" t="inlineStr">
        <is>
          <t>BOLSA</t>
        </is>
      </c>
      <c r="G405" s="717" t="n">
        <v>4420</v>
      </c>
      <c r="H405" s="718">
        <f>+G405*1.13</f>
        <v/>
      </c>
      <c r="I405" s="702" t="inlineStr">
        <is>
          <t>✓✓</t>
        </is>
      </c>
    </row>
    <row r="406">
      <c r="A406" s="722" t="n"/>
      <c r="B406" s="36" t="inlineStr">
        <is>
          <t>M10-0003</t>
        </is>
      </c>
      <c r="C406" s="713" t="n"/>
      <c r="D406" s="714" t="n"/>
      <c r="E406" s="721" t="inlineStr">
        <is>
          <t>FIBRA DE VIDRIO</t>
        </is>
      </c>
      <c r="F406" s="716" t="inlineStr">
        <is>
          <t>KG</t>
        </is>
      </c>
      <c r="G406" s="717" t="n">
        <v>4900</v>
      </c>
      <c r="H406" s="718">
        <f>+G406*1.13</f>
        <v/>
      </c>
      <c r="I406" s="702" t="inlineStr">
        <is>
          <t>✓✓</t>
        </is>
      </c>
    </row>
    <row r="407">
      <c r="A407" s="722" t="n"/>
      <c r="B407" s="36" t="inlineStr">
        <is>
          <t>M10-0004</t>
        </is>
      </c>
      <c r="C407" s="713" t="n"/>
      <c r="D407" s="714" t="n"/>
      <c r="E407" s="721" t="inlineStr">
        <is>
          <t>CURADOR P/CONCRETO EXTERIOR CURING ECO</t>
        </is>
      </c>
      <c r="F407" s="716" t="inlineStr">
        <is>
          <t>ESTAÑON</t>
        </is>
      </c>
      <c r="G407" s="717">
        <f>374.4*tc</f>
        <v/>
      </c>
      <c r="H407" s="718">
        <f>+G407*1.13</f>
        <v/>
      </c>
      <c r="I407" s="702" t="inlineStr">
        <is>
          <t>✓✓</t>
        </is>
      </c>
    </row>
    <row r="408">
      <c r="A408" s="722" t="n"/>
      <c r="B408" s="36" t="inlineStr">
        <is>
          <t>M10-0005</t>
        </is>
      </c>
      <c r="C408" s="713" t="n"/>
      <c r="D408" s="714" t="n"/>
      <c r="E408" s="721" t="inlineStr">
        <is>
          <t>DESMOLDANTE  CASSEROIL</t>
        </is>
      </c>
      <c r="F408" s="716" t="inlineStr">
        <is>
          <t>ESTAÑON</t>
        </is>
      </c>
      <c r="G408" s="717">
        <f>520*tc</f>
        <v/>
      </c>
      <c r="H408" s="718">
        <f>+G408*1.13</f>
        <v/>
      </c>
      <c r="I408" s="702" t="inlineStr">
        <is>
          <t>✓✓</t>
        </is>
      </c>
    </row>
    <row r="409">
      <c r="A409" s="722" t="n"/>
      <c r="B409" s="36" t="inlineStr">
        <is>
          <t>M10-0006</t>
        </is>
      </c>
      <c r="C409" s="713" t="n"/>
      <c r="D409" s="714" t="n"/>
      <c r="E409" s="721" t="inlineStr">
        <is>
          <t>MAXICRIL ADHESIVO</t>
        </is>
      </c>
      <c r="F409" s="716" t="inlineStr">
        <is>
          <t>GALON</t>
        </is>
      </c>
      <c r="G409" s="717" t="n">
        <v>13300.89</v>
      </c>
      <c r="H409" s="718">
        <f>+G409*1.13</f>
        <v/>
      </c>
      <c r="I409" s="702" t="inlineStr">
        <is>
          <t>✓✓</t>
        </is>
      </c>
    </row>
    <row r="410">
      <c r="A410" s="722" t="n"/>
      <c r="B410" s="36" t="inlineStr">
        <is>
          <t>M10-0009</t>
        </is>
      </c>
      <c r="C410" s="713" t="n"/>
      <c r="D410" s="714" t="n"/>
      <c r="E410" s="715" t="inlineStr">
        <is>
          <t>ADITIVO ERGO 4000 PG50</t>
        </is>
      </c>
      <c r="F410" s="716" t="inlineStr">
        <is>
          <t>LITRO</t>
        </is>
      </c>
      <c r="G410" s="717">
        <f>1.25*tc</f>
        <v/>
      </c>
      <c r="H410" s="718">
        <f>+G410*1.13</f>
        <v/>
      </c>
      <c r="I410" s="702" t="inlineStr">
        <is>
          <t>✓✓</t>
        </is>
      </c>
    </row>
    <row r="411">
      <c r="A411" s="722" t="n"/>
      <c r="B411" s="767" t="inlineStr">
        <is>
          <t>M10-0009</t>
        </is>
      </c>
      <c r="C411" s="768" t="n"/>
      <c r="D411" s="769" t="n"/>
      <c r="E411" s="770" t="inlineStr">
        <is>
          <t>ADITIVO ERGO 4000 PG50</t>
        </is>
      </c>
      <c r="F411" s="771" t="inlineStr">
        <is>
          <t>LITRO</t>
        </is>
      </c>
      <c r="G411" s="772" t="n">
        <v>1540.15</v>
      </c>
      <c r="H411" s="748">
        <f>+G411*1.13</f>
        <v/>
      </c>
      <c r="I411" s="702" t="inlineStr">
        <is>
          <t>✓✓</t>
        </is>
      </c>
    </row>
    <row r="412">
      <c r="A412" s="722" t="n"/>
      <c r="B412" s="36" t="inlineStr">
        <is>
          <t>M10-0010</t>
        </is>
      </c>
      <c r="C412" s="327" t="n"/>
      <c r="D412" s="752" t="n"/>
      <c r="E412" s="715" t="inlineStr">
        <is>
          <t>ARENA LAVADA</t>
        </is>
      </c>
      <c r="F412" s="716" t="inlineStr">
        <is>
          <t>M3</t>
        </is>
      </c>
      <c r="G412" s="717" t="n">
        <v>10658.85</v>
      </c>
      <c r="H412" s="718">
        <f>+G412*1.13</f>
        <v/>
      </c>
      <c r="I412" s="702" t="inlineStr">
        <is>
          <t>✓✓</t>
        </is>
      </c>
    </row>
    <row r="413">
      <c r="A413" s="722" t="n"/>
      <c r="B413" s="36" t="inlineStr">
        <is>
          <t>M10-0011</t>
        </is>
      </c>
      <c r="C413" s="713" t="n"/>
      <c r="D413" s="714" t="n"/>
      <c r="E413" s="715" t="inlineStr">
        <is>
          <t>BASE GRANULAR</t>
        </is>
      </c>
      <c r="F413" s="716" t="inlineStr">
        <is>
          <t>M3</t>
        </is>
      </c>
      <c r="G413" s="717" t="n">
        <v>7522.12</v>
      </c>
      <c r="H413" s="718">
        <f>+G413*1.13</f>
        <v/>
      </c>
      <c r="I413" s="702" t="inlineStr">
        <is>
          <t>✓✓</t>
        </is>
      </c>
    </row>
    <row r="414">
      <c r="A414" s="722" t="n"/>
      <c r="B414" s="36" t="inlineStr">
        <is>
          <t>M10-0012</t>
        </is>
      </c>
      <c r="C414" s="713" t="n"/>
      <c r="D414" s="714" t="n"/>
      <c r="E414" s="721" t="inlineStr">
        <is>
          <t xml:space="preserve">SACO ARENA SILICA </t>
        </is>
      </c>
      <c r="F414" s="716" t="inlineStr">
        <is>
          <t>SACO</t>
        </is>
      </c>
      <c r="G414" s="717" t="n">
        <v>3932.4</v>
      </c>
      <c r="H414" s="718">
        <f>+G414*1.13</f>
        <v/>
      </c>
      <c r="I414" s="702" t="inlineStr">
        <is>
          <t>✓✓</t>
        </is>
      </c>
    </row>
    <row r="415">
      <c r="A415" s="722" t="n"/>
      <c r="B415" s="36" t="inlineStr">
        <is>
          <t>M10-0015</t>
        </is>
      </c>
      <c r="C415" s="327" t="n"/>
      <c r="D415" s="752" t="n"/>
      <c r="E415" s="715" t="inlineStr">
        <is>
          <t>PIEDRA CUARTILLA</t>
        </is>
      </c>
      <c r="F415" s="716" t="inlineStr">
        <is>
          <t>M3</t>
        </is>
      </c>
      <c r="G415" s="717" t="n">
        <v>15055</v>
      </c>
      <c r="H415" s="718">
        <f>+G415*1.13</f>
        <v/>
      </c>
      <c r="I415" s="702" t="inlineStr">
        <is>
          <t>✓✓</t>
        </is>
      </c>
    </row>
    <row r="416">
      <c r="A416" s="722" t="n"/>
      <c r="B416" s="36" t="inlineStr">
        <is>
          <t>M10-0021</t>
        </is>
      </c>
      <c r="C416" s="713" t="n"/>
      <c r="D416" s="714" t="n"/>
      <c r="E416" s="721" t="inlineStr">
        <is>
          <t>PIEDRA P/LAVADO GRUESA GRIS CON VERDE</t>
        </is>
      </c>
      <c r="F416" s="716" t="inlineStr">
        <is>
          <t>SACO</t>
        </is>
      </c>
      <c r="G416" s="717" t="n">
        <v>4000</v>
      </c>
      <c r="H416" s="718">
        <f>+G416*1.13</f>
        <v/>
      </c>
      <c r="I416" s="702" t="inlineStr">
        <is>
          <t>✓✓</t>
        </is>
      </c>
    </row>
    <row r="417">
      <c r="A417" s="722" t="n"/>
      <c r="B417" s="36" t="inlineStr">
        <is>
          <t>M10-0023</t>
        </is>
      </c>
      <c r="C417" s="713" t="n"/>
      <c r="D417" s="714" t="n"/>
      <c r="E417" s="721" t="inlineStr">
        <is>
          <t>LASTRE FINO</t>
        </is>
      </c>
      <c r="F417" s="716" t="inlineStr">
        <is>
          <t>M3</t>
        </is>
      </c>
      <c r="G417" s="717" t="n">
        <v>12536.87</v>
      </c>
      <c r="H417" s="718">
        <f>+G417*1.13</f>
        <v/>
      </c>
      <c r="I417" s="702" t="inlineStr">
        <is>
          <t>✓✓</t>
        </is>
      </c>
    </row>
    <row r="418">
      <c r="A418" s="722" t="n"/>
      <c r="B418" s="36" t="inlineStr">
        <is>
          <t>M10-0028</t>
        </is>
      </c>
      <c r="C418" s="713" t="n"/>
      <c r="D418" s="714" t="n"/>
      <c r="E418" s="721" t="inlineStr">
        <is>
          <t>ARENA SILICA FINA S2</t>
        </is>
      </c>
      <c r="F418" s="716" t="inlineStr">
        <is>
          <t>KG</t>
        </is>
      </c>
      <c r="G418" s="717" t="n">
        <v>836.4</v>
      </c>
      <c r="H418" s="718">
        <f>+G418*1.13</f>
        <v/>
      </c>
      <c r="I418" s="702" t="inlineStr">
        <is>
          <t>✓✓</t>
        </is>
      </c>
    </row>
    <row r="419">
      <c r="A419" s="722" t="n"/>
      <c r="B419" s="36" t="inlineStr">
        <is>
          <t>M10-0030</t>
        </is>
      </c>
      <c r="C419" s="713" t="n"/>
      <c r="D419" s="714" t="n"/>
      <c r="E419" s="715" t="inlineStr">
        <is>
          <t>PIEDRA QUINTILLA BLANCA</t>
        </is>
      </c>
      <c r="F419" s="716" t="inlineStr">
        <is>
          <t>M3</t>
        </is>
      </c>
      <c r="G419" s="717" t="n">
        <v>15055</v>
      </c>
      <c r="H419" s="718">
        <f>+G419*1.13</f>
        <v/>
      </c>
      <c r="I419" s="702" t="inlineStr">
        <is>
          <t>✓✓</t>
        </is>
      </c>
    </row>
    <row r="420">
      <c r="A420" s="732" t="n"/>
      <c r="B420" s="36" t="inlineStr">
        <is>
          <t>M10-0030</t>
        </is>
      </c>
      <c r="C420" s="713" t="n"/>
      <c r="D420" s="714" t="n"/>
      <c r="E420" s="715" t="inlineStr">
        <is>
          <t>PIEDRA QUINTILLA BLANCA</t>
        </is>
      </c>
      <c r="F420" s="716" t="inlineStr">
        <is>
          <t>M3</t>
        </is>
      </c>
      <c r="G420" s="717" t="n">
        <v>15055</v>
      </c>
      <c r="H420" s="718" t="inlineStr">
        <is>
          <t>ERROR</t>
        </is>
      </c>
      <c r="I420" s="702" t="inlineStr">
        <is>
          <t>✓✓</t>
        </is>
      </c>
    </row>
    <row r="421">
      <c r="A421" s="722" t="n"/>
      <c r="B421" s="36" t="inlineStr">
        <is>
          <t>M10-0032</t>
        </is>
      </c>
      <c r="C421" s="327" t="inlineStr">
        <is>
          <t>02</t>
        </is>
      </c>
      <c r="D421" s="752" t="n"/>
      <c r="E421" s="721" t="inlineStr">
        <is>
          <t>FRAGUA INTACO GRAFITO #12 CON ARENA</t>
        </is>
      </c>
      <c r="F421" s="716" t="inlineStr">
        <is>
          <t>UND</t>
        </is>
      </c>
      <c r="G421" s="717" t="n">
        <v>1522.9</v>
      </c>
      <c r="H421" s="718">
        <f>+G421*1.13</f>
        <v/>
      </c>
      <c r="I421" s="702" t="inlineStr">
        <is>
          <t>✓✓</t>
        </is>
      </c>
    </row>
    <row r="422">
      <c r="A422" s="722" t="n"/>
      <c r="B422" s="36" t="inlineStr">
        <is>
          <t>M10-0032</t>
        </is>
      </c>
      <c r="C422" s="713" t="inlineStr">
        <is>
          <t>01</t>
        </is>
      </c>
      <c r="D422" s="714" t="n"/>
      <c r="E422" s="721" t="inlineStr">
        <is>
          <t>FRAGUA INTACO CON ARENA</t>
        </is>
      </c>
      <c r="F422" s="716" t="inlineStr">
        <is>
          <t>UND</t>
        </is>
      </c>
      <c r="G422" s="717" t="n">
        <v>1522.9</v>
      </c>
      <c r="H422" s="718">
        <f>+G422*1.13</f>
        <v/>
      </c>
      <c r="I422" s="702" t="inlineStr">
        <is>
          <t>✓✓</t>
        </is>
      </c>
    </row>
    <row r="423">
      <c r="A423" s="722" t="n"/>
      <c r="B423" s="36" t="inlineStr">
        <is>
          <t>M10-0032</t>
        </is>
      </c>
      <c r="C423" s="713" t="n"/>
      <c r="D423" s="714" t="n"/>
      <c r="E423" s="721" t="inlineStr">
        <is>
          <t>FRAGUA INTACO CON ARENA</t>
        </is>
      </c>
      <c r="F423" s="716" t="inlineStr">
        <is>
          <t>UND</t>
        </is>
      </c>
      <c r="G423" s="717" t="n">
        <v>1522.9</v>
      </c>
      <c r="H423" s="718">
        <f>+G423*1.13</f>
        <v/>
      </c>
      <c r="I423" s="702" t="inlineStr">
        <is>
          <t>✓✓</t>
        </is>
      </c>
    </row>
    <row r="424">
      <c r="A424" s="722" t="n"/>
      <c r="B424" s="36" t="inlineStr">
        <is>
          <t>M10-0032</t>
        </is>
      </c>
      <c r="C424" s="713" t="n"/>
      <c r="D424" s="714" t="n"/>
      <c r="E424" s="721" t="inlineStr">
        <is>
          <t>FRAGUA INTACO CON ARENA</t>
        </is>
      </c>
      <c r="F424" s="716" t="inlineStr">
        <is>
          <t>BOLSA</t>
        </is>
      </c>
      <c r="G424" s="717" t="n">
        <v>1522.9</v>
      </c>
      <c r="H424" s="718">
        <f>+G424*1.13</f>
        <v/>
      </c>
      <c r="I424" s="702" t="inlineStr">
        <is>
          <t>✓✓</t>
        </is>
      </c>
    </row>
    <row r="425">
      <c r="A425" s="722" t="n"/>
      <c r="B425" s="36" t="inlineStr">
        <is>
          <t>M10-0034</t>
        </is>
      </c>
      <c r="C425" s="713" t="n"/>
      <c r="D425" s="714" t="n"/>
      <c r="E425" s="721" t="inlineStr">
        <is>
          <t>PEGA CERAMICA PLUS 20KG CEMEX</t>
        </is>
      </c>
      <c r="F425" s="716" t="inlineStr">
        <is>
          <t>UND</t>
        </is>
      </c>
      <c r="G425" s="717" t="n">
        <v>2734</v>
      </c>
      <c r="H425" s="718">
        <f>+G425*1.13</f>
        <v/>
      </c>
      <c r="I425" s="702" t="inlineStr">
        <is>
          <t>✓✓</t>
        </is>
      </c>
    </row>
    <row r="426">
      <c r="A426" s="722" t="n"/>
      <c r="B426" s="36" t="inlineStr">
        <is>
          <t>M10-0039</t>
        </is>
      </c>
      <c r="C426" s="713" t="n"/>
      <c r="D426" s="714" t="n"/>
      <c r="E426" s="721" t="inlineStr">
        <is>
          <t>PEGA BLOCK TIPO N INTACO</t>
        </is>
      </c>
      <c r="F426" s="716" t="inlineStr">
        <is>
          <t>SACO</t>
        </is>
      </c>
      <c r="G426" s="717" t="n">
        <v>3037.42</v>
      </c>
      <c r="H426" s="718">
        <f>+G426*1.13</f>
        <v/>
      </c>
      <c r="I426" s="702" t="inlineStr">
        <is>
          <t>✓✓</t>
        </is>
      </c>
    </row>
    <row r="427">
      <c r="A427" s="722" t="n"/>
      <c r="B427" s="36" t="inlineStr">
        <is>
          <t>M10-0040</t>
        </is>
      </c>
      <c r="C427" s="713" t="n"/>
      <c r="D427" s="714" t="n"/>
      <c r="E427" s="721" t="inlineStr">
        <is>
          <t>MAXISEAL PLUS BLANCO</t>
        </is>
      </c>
      <c r="F427" s="716" t="inlineStr">
        <is>
          <t>SACO</t>
        </is>
      </c>
      <c r="G427" s="717" t="n">
        <v>27463.09</v>
      </c>
      <c r="H427" s="718">
        <f>+G427*1.13</f>
        <v/>
      </c>
      <c r="I427" s="702" t="inlineStr">
        <is>
          <t>✓✓</t>
        </is>
      </c>
    </row>
    <row r="428">
      <c r="A428" s="722" t="n"/>
      <c r="B428" s="36" t="inlineStr">
        <is>
          <t>M10-0044</t>
        </is>
      </c>
      <c r="C428" s="713" t="n"/>
      <c r="D428" s="714" t="n"/>
      <c r="E428" s="721" t="inlineStr">
        <is>
          <t>MORTERO REPEMAX MURO SECO BASE COAT 25KG</t>
        </is>
      </c>
      <c r="F428" s="716" t="inlineStr">
        <is>
          <t>SACO</t>
        </is>
      </c>
      <c r="G428" s="717" t="n">
        <v>5905</v>
      </c>
      <c r="H428" s="718">
        <f>+G428*1.13</f>
        <v/>
      </c>
      <c r="I428" s="702" t="inlineStr">
        <is>
          <t>✓✓</t>
        </is>
      </c>
    </row>
    <row r="429">
      <c r="A429" s="722" t="n"/>
      <c r="B429" s="36" t="inlineStr">
        <is>
          <t>M10-0045</t>
        </is>
      </c>
      <c r="C429" s="713" t="n"/>
      <c r="D429" s="714" t="n"/>
      <c r="E429" s="721" t="inlineStr">
        <is>
          <t>MAXIEMPASTE EXTRA LISO 20KG</t>
        </is>
      </c>
      <c r="F429" s="716" t="inlineStr">
        <is>
          <t>SACO</t>
        </is>
      </c>
      <c r="G429" s="717" t="n">
        <v>9393.809999999999</v>
      </c>
      <c r="H429" s="718">
        <f>+G429*1.13</f>
        <v/>
      </c>
      <c r="I429" s="702" t="inlineStr">
        <is>
          <t>✓✓</t>
        </is>
      </c>
    </row>
    <row r="430">
      <c r="A430" s="722" t="n"/>
      <c r="B430" s="36" t="inlineStr">
        <is>
          <t>M10-0047</t>
        </is>
      </c>
      <c r="C430" s="713" t="n"/>
      <c r="D430" s="714" t="n"/>
      <c r="E430" s="715" t="inlineStr">
        <is>
          <t>CEMENTO INDUSTRIAL</t>
        </is>
      </c>
      <c r="F430" s="716" t="inlineStr">
        <is>
          <t>KG</t>
        </is>
      </c>
      <c r="G430" s="717" t="n">
        <v>107.43</v>
      </c>
      <c r="H430" s="718">
        <f>+G430*1.13</f>
        <v/>
      </c>
      <c r="I430" s="702" t="inlineStr">
        <is>
          <t>✓✓</t>
        </is>
      </c>
    </row>
    <row r="431">
      <c r="A431" s="722" t="n"/>
      <c r="B431" s="36" t="inlineStr">
        <is>
          <t>M10-0048</t>
        </is>
      </c>
      <c r="C431" s="713" t="n"/>
      <c r="D431" s="714" t="n"/>
      <c r="E431" s="721" t="inlineStr">
        <is>
          <t>MAXIBED</t>
        </is>
      </c>
      <c r="F431" s="716" t="inlineStr">
        <is>
          <t>SACO</t>
        </is>
      </c>
      <c r="G431" s="717" t="n">
        <v>40000</v>
      </c>
      <c r="H431" s="718">
        <f>+G431*1.13</f>
        <v/>
      </c>
      <c r="I431" s="702" t="inlineStr">
        <is>
          <t>✓✓</t>
        </is>
      </c>
    </row>
    <row r="432">
      <c r="A432" s="749" t="n"/>
      <c r="B432" s="36" t="inlineStr">
        <is>
          <t>M10-0049</t>
        </is>
      </c>
      <c r="C432" s="713" t="n"/>
      <c r="D432" s="714" t="n"/>
      <c r="E432" s="721" t="inlineStr">
        <is>
          <t>REPELLO GRUESO REPEMAX INTACO 40K</t>
        </is>
      </c>
      <c r="F432" s="716" t="inlineStr">
        <is>
          <t>SACO</t>
        </is>
      </c>
      <c r="G432" s="717" t="n">
        <v>3398.23</v>
      </c>
      <c r="H432" s="718">
        <f>+G432*1.13</f>
        <v/>
      </c>
      <c r="I432" s="702" t="inlineStr">
        <is>
          <t>✓✓</t>
        </is>
      </c>
    </row>
    <row r="433">
      <c r="A433" s="749" t="n"/>
      <c r="B433" s="36" t="inlineStr">
        <is>
          <t>M10-0050</t>
        </is>
      </c>
      <c r="C433" s="713" t="n"/>
      <c r="D433" s="714" t="n"/>
      <c r="E433" s="721" t="inlineStr">
        <is>
          <t>SIKA MONOROP 412 SM 25K</t>
        </is>
      </c>
      <c r="F433" s="716" t="inlineStr">
        <is>
          <t>SACO</t>
        </is>
      </c>
      <c r="G433" s="717">
        <f>55*tc</f>
        <v/>
      </c>
      <c r="H433" s="718">
        <f>+G433*1.13</f>
        <v/>
      </c>
      <c r="I433" s="702" t="inlineStr">
        <is>
          <t>✓✓</t>
        </is>
      </c>
    </row>
    <row r="434">
      <c r="A434" s="722" t="n"/>
      <c r="B434" s="36" t="inlineStr">
        <is>
          <t>M10-0054</t>
        </is>
      </c>
      <c r="C434" s="713" t="n"/>
      <c r="D434" s="714" t="n"/>
      <c r="E434" s="721" t="inlineStr">
        <is>
          <t>CEMENTO UG</t>
        </is>
      </c>
      <c r="F434" s="716" t="inlineStr">
        <is>
          <t>UND</t>
        </is>
      </c>
      <c r="G434" s="717" t="n">
        <v>5820.57</v>
      </c>
      <c r="H434" s="718">
        <f>+G434*1.13</f>
        <v/>
      </c>
      <c r="I434" s="702" t="inlineStr">
        <is>
          <t>✓✓</t>
        </is>
      </c>
    </row>
    <row r="435">
      <c r="A435" s="722" t="n"/>
      <c r="B435" s="36" t="inlineStr">
        <is>
          <t>M10-0055</t>
        </is>
      </c>
      <c r="C435" s="713" t="n"/>
      <c r="D435" s="714" t="n"/>
      <c r="E435" s="721" t="inlineStr">
        <is>
          <t>MASTER SEAL 6100FX EN SACOS DE 25KG CEMENTICIO FLEXIBLE</t>
        </is>
      </c>
      <c r="F435" s="716" t="inlineStr">
        <is>
          <t>SACO</t>
        </is>
      </c>
      <c r="G435" s="717">
        <f>140*tc</f>
        <v/>
      </c>
      <c r="H435" s="718">
        <f>+G435*1.13</f>
        <v/>
      </c>
      <c r="I435" s="702" t="inlineStr">
        <is>
          <t>✓✓</t>
        </is>
      </c>
    </row>
    <row r="436">
      <c r="A436" s="732" t="n"/>
      <c r="B436" s="36" t="inlineStr">
        <is>
          <t>M10-0057</t>
        </is>
      </c>
      <c r="C436" s="713" t="n"/>
      <c r="D436" s="714" t="n"/>
      <c r="E436" s="721" t="inlineStr">
        <is>
          <t>IMPERMEABILIZANTE MASTERSEAL 590</t>
        </is>
      </c>
      <c r="F436" s="716" t="inlineStr">
        <is>
          <t>SACO</t>
        </is>
      </c>
      <c r="G436" s="717" t="n">
        <v>230000</v>
      </c>
      <c r="H436" s="718">
        <f>+G436*1.13</f>
        <v/>
      </c>
      <c r="I436" s="702" t="inlineStr">
        <is>
          <t>✓✓</t>
        </is>
      </c>
    </row>
    <row r="437">
      <c r="A437" s="722" t="n"/>
      <c r="B437" s="36" t="inlineStr">
        <is>
          <t>M10-0060</t>
        </is>
      </c>
      <c r="C437" s="713" t="n"/>
      <c r="D437" s="714" t="n"/>
      <c r="E437" s="721" t="inlineStr">
        <is>
          <t>SIKADUR 32 GRL (MORTERO EPOXICO)</t>
        </is>
      </c>
      <c r="F437" s="716" t="inlineStr">
        <is>
          <t>UND</t>
        </is>
      </c>
      <c r="G437" s="717">
        <f>32*tc</f>
        <v/>
      </c>
      <c r="H437" s="718">
        <f>+G437*1.13</f>
        <v/>
      </c>
      <c r="I437" s="702" t="inlineStr">
        <is>
          <t>✓✓</t>
        </is>
      </c>
    </row>
    <row r="438">
      <c r="A438" s="722" t="n"/>
      <c r="B438" s="36" t="inlineStr">
        <is>
          <t>M10-0063</t>
        </is>
      </c>
      <c r="C438" s="713" t="n"/>
      <c r="D438" s="714" t="n"/>
      <c r="E438" s="721" t="inlineStr">
        <is>
          <t>CONCRETO FC 210 KG/CM2 AUTOCOMPACTABLE</t>
        </is>
      </c>
      <c r="F438" s="716" t="inlineStr">
        <is>
          <t>M3</t>
        </is>
      </c>
      <c r="G438" s="717" t="n">
        <v>73098.38</v>
      </c>
      <c r="H438" s="718">
        <f>+G438*1.13</f>
        <v/>
      </c>
      <c r="I438" s="702" t="inlineStr">
        <is>
          <t>✓✓</t>
        </is>
      </c>
    </row>
    <row r="439">
      <c r="A439" s="749" t="n"/>
      <c r="B439" s="36" t="inlineStr">
        <is>
          <t>M10-0065</t>
        </is>
      </c>
      <c r="C439" s="713" t="n"/>
      <c r="D439" s="714" t="n"/>
      <c r="E439" s="721" t="inlineStr">
        <is>
          <t>CONCRETO FC 210 KG/CM2 NORMAL</t>
        </is>
      </c>
      <c r="F439" s="716" t="inlineStr">
        <is>
          <t>M3</t>
        </is>
      </c>
      <c r="G439" s="717" t="n">
        <v>69793.88</v>
      </c>
      <c r="H439" s="718">
        <f>+G439*1.13</f>
        <v/>
      </c>
      <c r="I439" s="702" t="inlineStr">
        <is>
          <t>✓✓</t>
        </is>
      </c>
    </row>
    <row r="440">
      <c r="A440" s="749" t="n"/>
      <c r="B440" s="36" t="inlineStr">
        <is>
          <t>M10-0068</t>
        </is>
      </c>
      <c r="C440" s="713" t="n"/>
      <c r="D440" s="714" t="n"/>
      <c r="E440" s="721" t="inlineStr">
        <is>
          <t>CAJA DE REGISTRO 30X30 PARA VARILLA COPERWELL</t>
        </is>
      </c>
      <c r="F440" s="716" t="inlineStr">
        <is>
          <t>UND</t>
        </is>
      </c>
      <c r="G440" s="717" t="n">
        <v>3191.76</v>
      </c>
      <c r="H440" s="718">
        <f>+G440*1.13</f>
        <v/>
      </c>
      <c r="I440" s="702" t="inlineStr">
        <is>
          <t>✓✓</t>
        </is>
      </c>
    </row>
    <row r="441">
      <c r="A441" s="722" t="n"/>
      <c r="B441" s="36" t="inlineStr">
        <is>
          <t>M10-0070</t>
        </is>
      </c>
      <c r="C441" s="713" t="n"/>
      <c r="D441" s="714" t="n"/>
      <c r="E441" s="721" t="inlineStr">
        <is>
          <t>SIFON P/CONCRETO 4"</t>
        </is>
      </c>
      <c r="F441" s="716" t="inlineStr">
        <is>
          <t>UND</t>
        </is>
      </c>
      <c r="G441" s="717" t="n">
        <v>3550</v>
      </c>
      <c r="H441" s="718">
        <f>+G441*1.13</f>
        <v/>
      </c>
      <c r="I441" s="702" t="inlineStr">
        <is>
          <t>✓✓</t>
        </is>
      </c>
    </row>
    <row r="442">
      <c r="A442" s="722" t="n"/>
      <c r="B442" s="36" t="inlineStr">
        <is>
          <t>M10-0071</t>
        </is>
      </c>
      <c r="C442" s="713" t="n"/>
      <c r="D442" s="714" t="n"/>
      <c r="E442" s="721" t="inlineStr">
        <is>
          <t>BLOCK 12X20X40</t>
        </is>
      </c>
      <c r="F442" s="716" t="inlineStr">
        <is>
          <t>UND</t>
        </is>
      </c>
      <c r="G442" s="717" t="n">
        <v>347.56</v>
      </c>
      <c r="H442" s="718">
        <f>+G442*1.13</f>
        <v/>
      </c>
      <c r="I442" s="702" t="inlineStr">
        <is>
          <t>✓✓</t>
        </is>
      </c>
    </row>
    <row r="443">
      <c r="A443" s="731" t="inlineStr">
        <is>
          <t>MAT08-0197 CLAVO NEGRO 3/4</t>
        </is>
      </c>
      <c r="B443" s="36" t="inlineStr">
        <is>
          <t>M10-0072</t>
        </is>
      </c>
      <c r="C443" s="713" t="n"/>
      <c r="D443" s="714" t="n"/>
      <c r="E443" s="715" t="inlineStr">
        <is>
          <t>COLUMNA L PREFABRICADA 3.80M</t>
        </is>
      </c>
      <c r="F443" s="716" t="inlineStr">
        <is>
          <t>UND</t>
        </is>
      </c>
      <c r="G443" s="717" t="n">
        <v>14042.48</v>
      </c>
      <c r="H443" s="718">
        <f>+G443*1.13</f>
        <v/>
      </c>
      <c r="I443" s="773" t="n"/>
    </row>
    <row r="444">
      <c r="A444" s="722" t="n"/>
      <c r="B444" s="36" t="inlineStr">
        <is>
          <t>M10-0073</t>
        </is>
      </c>
      <c r="C444" s="713" t="n"/>
      <c r="D444" s="714" t="n"/>
      <c r="E444" s="715" t="inlineStr">
        <is>
          <t>COLUMNA E PREFABRICADA 3.80M</t>
        </is>
      </c>
      <c r="F444" s="716" t="inlineStr">
        <is>
          <t>UND</t>
        </is>
      </c>
      <c r="G444" s="717" t="n">
        <v>28703.7</v>
      </c>
      <c r="H444" s="718">
        <f>+G444*1.13</f>
        <v/>
      </c>
      <c r="I444" s="702" t="inlineStr">
        <is>
          <t>✓✓</t>
        </is>
      </c>
    </row>
    <row r="445">
      <c r="A445" s="722" t="n"/>
      <c r="B445" s="36" t="inlineStr">
        <is>
          <t>M10-0074</t>
        </is>
      </c>
      <c r="C445" s="713" t="n"/>
      <c r="D445" s="714" t="n"/>
      <c r="E445" s="721" t="inlineStr">
        <is>
          <t>BALDOSA LISA 2M LARGO (190x50x4)</t>
        </is>
      </c>
      <c r="F445" s="716" t="inlineStr">
        <is>
          <t>UND</t>
        </is>
      </c>
      <c r="G445" s="717">
        <f>8077.27/1.13</f>
        <v/>
      </c>
      <c r="H445" s="718">
        <f>+G445*1.13</f>
        <v/>
      </c>
      <c r="I445" s="702" t="inlineStr">
        <is>
          <t>✓✓</t>
        </is>
      </c>
    </row>
    <row r="446">
      <c r="A446" s="722" t="n"/>
      <c r="B446" s="36" t="inlineStr">
        <is>
          <t>M10-0075</t>
        </is>
      </c>
      <c r="C446" s="713" t="n"/>
      <c r="D446" s="714" t="n"/>
      <c r="E446" s="721" t="inlineStr">
        <is>
          <t>BLOCK 15X20X40</t>
        </is>
      </c>
      <c r="F446" s="716" t="inlineStr">
        <is>
          <t>UND</t>
        </is>
      </c>
      <c r="G446" s="717" t="n">
        <v>435</v>
      </c>
      <c r="H446" s="718">
        <f>+G446*1.13</f>
        <v/>
      </c>
      <c r="I446" s="702" t="inlineStr">
        <is>
          <t>✓✓</t>
        </is>
      </c>
    </row>
    <row r="447">
      <c r="A447" s="732" t="n"/>
      <c r="B447" s="36" t="inlineStr">
        <is>
          <t>M10-0077</t>
        </is>
      </c>
      <c r="C447" s="713" t="n"/>
      <c r="D447" s="714" t="n"/>
      <c r="E447" s="721" t="inlineStr">
        <is>
          <t>COLUMNA C PREFABRICADA 3.80M</t>
        </is>
      </c>
      <c r="F447" s="716" t="inlineStr">
        <is>
          <t>UND</t>
        </is>
      </c>
      <c r="G447" s="717" t="n">
        <v>15482.3</v>
      </c>
      <c r="H447" s="718">
        <f>+G447*1.13</f>
        <v/>
      </c>
      <c r="I447" s="702" t="inlineStr">
        <is>
          <t>✓✓</t>
        </is>
      </c>
    </row>
    <row r="448">
      <c r="A448" s="722" t="n"/>
      <c r="B448" s="36" t="inlineStr">
        <is>
          <t>M10-0087</t>
        </is>
      </c>
      <c r="C448" s="713" t="n"/>
      <c r="D448" s="714" t="n"/>
      <c r="E448" s="721" t="inlineStr">
        <is>
          <t>BONDEX PLUS CERAMICA Y PORCELANATO  40KG INTACO</t>
        </is>
      </c>
      <c r="F448" s="716" t="inlineStr">
        <is>
          <t>SACO</t>
        </is>
      </c>
      <c r="G448" s="717" t="n">
        <v>6443.13</v>
      </c>
      <c r="H448" s="718">
        <f>+G448*1.13</f>
        <v/>
      </c>
      <c r="I448" s="702" t="inlineStr">
        <is>
          <t>✓✓</t>
        </is>
      </c>
    </row>
    <row r="449">
      <c r="A449" s="722" t="n"/>
      <c r="B449" s="36" t="inlineStr">
        <is>
          <t>M10-0090</t>
        </is>
      </c>
      <c r="C449" s="713" t="n"/>
      <c r="D449" s="714" t="n"/>
      <c r="E449" s="721" t="inlineStr">
        <is>
          <t>REPEMAX CAPA GRUESA 80XA-W2 (40KG)</t>
        </is>
      </c>
      <c r="F449" s="716" t="inlineStr">
        <is>
          <t>SACO</t>
        </is>
      </c>
      <c r="G449" s="717" t="n">
        <v>4891.59</v>
      </c>
      <c r="H449" s="718">
        <f>+G449*1.13</f>
        <v/>
      </c>
      <c r="I449" s="702" t="n"/>
    </row>
    <row r="450">
      <c r="A450" s="722" t="n"/>
      <c r="B450" s="36" t="inlineStr">
        <is>
          <t>M10-0091</t>
        </is>
      </c>
      <c r="C450" s="713" t="n"/>
      <c r="D450" s="714" t="n"/>
      <c r="E450" s="721" t="inlineStr">
        <is>
          <t>CONCRETO FC 120 CM2 (Concreto Pobre, Sello)</t>
        </is>
      </c>
      <c r="F450" s="716" t="inlineStr">
        <is>
          <t>M3</t>
        </is>
      </c>
      <c r="G450" s="717" t="n">
        <v>48211.95</v>
      </c>
      <c r="H450" s="718">
        <f>+G450*1.13</f>
        <v/>
      </c>
      <c r="I450" s="702" t="n"/>
    </row>
    <row r="451">
      <c r="A451" s="722" t="n"/>
      <c r="B451" s="36" t="inlineStr">
        <is>
          <t>M10-0093</t>
        </is>
      </c>
      <c r="C451" s="713" t="n"/>
      <c r="D451" s="714" t="n"/>
      <c r="E451" s="721" t="inlineStr">
        <is>
          <t>BALDOSA LISA 0,8M LARGO (80x50x4)</t>
        </is>
      </c>
      <c r="F451" s="716" t="inlineStr">
        <is>
          <t>UND</t>
        </is>
      </c>
      <c r="G451" s="717">
        <f>3810.52/1.13</f>
        <v/>
      </c>
      <c r="H451" s="718">
        <f>+G451*1.13</f>
        <v/>
      </c>
      <c r="I451" s="702" t="inlineStr">
        <is>
          <t>✓✓</t>
        </is>
      </c>
    </row>
    <row r="452">
      <c r="A452" s="749" t="n"/>
      <c r="B452" s="36" t="inlineStr">
        <is>
          <t>M10-0094</t>
        </is>
      </c>
      <c r="C452" s="713" t="n"/>
      <c r="D452" s="714" t="n"/>
      <c r="E452" s="721" t="inlineStr">
        <is>
          <t>BALDOSA LISA 1,5M LARGO (140x50x4)</t>
        </is>
      </c>
      <c r="F452" s="716" t="inlineStr">
        <is>
          <t>UND</t>
        </is>
      </c>
      <c r="G452" s="717">
        <f>6988.62/1.13</f>
        <v/>
      </c>
      <c r="H452" s="718">
        <f>+G452*1.13</f>
        <v/>
      </c>
      <c r="I452" s="702" t="inlineStr">
        <is>
          <t>✓✓</t>
        </is>
      </c>
    </row>
    <row r="453">
      <c r="A453" s="722" t="n"/>
      <c r="B453" s="36" t="inlineStr">
        <is>
          <t xml:space="preserve">M10-0095 </t>
        </is>
      </c>
      <c r="C453" s="713" t="n"/>
      <c r="D453" s="714" t="n"/>
      <c r="E453" s="721" t="inlineStr">
        <is>
          <t>COLUMNA EN T PREFA 3,30x12x12</t>
        </is>
      </c>
      <c r="F453" s="716" t="inlineStr">
        <is>
          <t>UND</t>
        </is>
      </c>
      <c r="G453" s="717">
        <f>6115.08/1.13</f>
        <v/>
      </c>
      <c r="H453" s="718">
        <f>+G453*1.13</f>
        <v/>
      </c>
      <c r="I453" s="702" t="inlineStr">
        <is>
          <t>✓✓</t>
        </is>
      </c>
    </row>
    <row r="454">
      <c r="A454" s="722" t="n"/>
      <c r="B454" s="36" t="inlineStr">
        <is>
          <t>M10-0096</t>
        </is>
      </c>
      <c r="C454" s="713" t="n"/>
      <c r="D454" s="714" t="n"/>
      <c r="E454" s="721" t="inlineStr">
        <is>
          <t xml:space="preserve"> BALDOSA LISA 0,7M LARGO (70x50x4)</t>
        </is>
      </c>
      <c r="F454" s="716" t="inlineStr">
        <is>
          <t>UND</t>
        </is>
      </c>
      <c r="G454" s="717">
        <f>3667.75/1.13</f>
        <v/>
      </c>
      <c r="H454" s="718">
        <f>+G454*1.13</f>
        <v/>
      </c>
      <c r="I454" s="702" t="inlineStr">
        <is>
          <t>✓✓</t>
        </is>
      </c>
    </row>
    <row r="455">
      <c r="A455" s="722" t="n"/>
      <c r="B455" s="36" t="inlineStr">
        <is>
          <t xml:space="preserve">M10-0097 </t>
        </is>
      </c>
      <c r="C455" s="713" t="n"/>
      <c r="D455" s="714" t="n"/>
      <c r="E455" s="721" t="inlineStr">
        <is>
          <t>COLUMNA PREFA 3,30x12x12</t>
        </is>
      </c>
      <c r="F455" s="716" t="inlineStr">
        <is>
          <t>UND</t>
        </is>
      </c>
      <c r="G455" s="717">
        <f>6877.89/1.13</f>
        <v/>
      </c>
      <c r="H455" s="718">
        <f>+G455*1.13</f>
        <v/>
      </c>
      <c r="I455" s="702" t="inlineStr">
        <is>
          <t>✓✓</t>
        </is>
      </c>
    </row>
    <row r="456">
      <c r="A456" s="722" t="n"/>
      <c r="B456" s="36" t="inlineStr">
        <is>
          <t>M11-0001</t>
        </is>
      </c>
      <c r="C456" s="713" t="n"/>
      <c r="D456" s="714" t="n"/>
      <c r="E456" s="721" t="inlineStr">
        <is>
          <t>BROCHA CORRIENTE 2"</t>
        </is>
      </c>
      <c r="F456" s="716" t="inlineStr">
        <is>
          <t>UND</t>
        </is>
      </c>
      <c r="G456" s="717" t="n">
        <v>1261.07</v>
      </c>
      <c r="H456" s="718">
        <f>+G456*1.13</f>
        <v/>
      </c>
      <c r="I456" s="702" t="inlineStr">
        <is>
          <t>✓✓</t>
        </is>
      </c>
    </row>
    <row r="457">
      <c r="A457" s="722" t="n"/>
      <c r="B457" s="36" t="inlineStr">
        <is>
          <t>M11-0002</t>
        </is>
      </c>
      <c r="C457" s="713" t="n"/>
      <c r="D457" s="714" t="n"/>
      <c r="E457" s="721" t="inlineStr">
        <is>
          <t>BROCHA CORRIENTE 3"</t>
        </is>
      </c>
      <c r="F457" s="716" t="inlineStr">
        <is>
          <t>UND</t>
        </is>
      </c>
      <c r="G457" s="717" t="n">
        <v>1823.01</v>
      </c>
      <c r="H457" s="718">
        <f>+G457*1.13</f>
        <v/>
      </c>
      <c r="I457" s="702" t="inlineStr">
        <is>
          <t>✓✓</t>
        </is>
      </c>
    </row>
    <row r="458">
      <c r="A458" s="722" t="n"/>
      <c r="B458" s="36" t="inlineStr">
        <is>
          <t>M11-0003</t>
        </is>
      </c>
      <c r="C458" s="713" t="n"/>
      <c r="D458" s="714" t="n"/>
      <c r="E458" s="721" t="inlineStr">
        <is>
          <t>FELPA 1/2</t>
        </is>
      </c>
      <c r="F458" s="716" t="inlineStr">
        <is>
          <t>UND</t>
        </is>
      </c>
      <c r="G458" s="717" t="n">
        <v>1402.65</v>
      </c>
      <c r="H458" s="718">
        <f>+G458*1.13</f>
        <v/>
      </c>
      <c r="I458" s="702" t="inlineStr">
        <is>
          <t>✓✓</t>
        </is>
      </c>
    </row>
    <row r="459">
      <c r="A459" s="722" t="n"/>
      <c r="B459" s="36" t="inlineStr">
        <is>
          <t>M11-0004</t>
        </is>
      </c>
      <c r="C459" s="713" t="n"/>
      <c r="D459" s="714" t="n"/>
      <c r="E459" s="721" t="inlineStr">
        <is>
          <t>FELPA 3/4</t>
        </is>
      </c>
      <c r="F459" s="716" t="inlineStr">
        <is>
          <t>UND</t>
        </is>
      </c>
      <c r="G459" s="717" t="n">
        <v>1539.82</v>
      </c>
      <c r="H459" s="718">
        <f>+G459*1.13</f>
        <v/>
      </c>
      <c r="I459" s="702" t="inlineStr">
        <is>
          <t>✓✓</t>
        </is>
      </c>
    </row>
    <row r="460">
      <c r="A460" s="722" t="n"/>
      <c r="B460" s="36" t="inlineStr">
        <is>
          <t>M11-0005</t>
        </is>
      </c>
      <c r="C460" s="713" t="n"/>
      <c r="D460" s="714" t="n"/>
      <c r="E460" s="721" t="inlineStr">
        <is>
          <t>FELPA CHAPISCO</t>
        </is>
      </c>
      <c r="F460" s="716" t="inlineStr">
        <is>
          <t>UND</t>
        </is>
      </c>
      <c r="G460" s="717" t="n">
        <v>4592.92</v>
      </c>
      <c r="H460" s="718">
        <f>+G460*1.13</f>
        <v/>
      </c>
      <c r="I460" s="702" t="inlineStr">
        <is>
          <t>✓✓</t>
        </is>
      </c>
    </row>
    <row r="461">
      <c r="A461" s="722" t="n"/>
      <c r="B461" s="36" t="inlineStr">
        <is>
          <t>M11-0007</t>
        </is>
      </c>
      <c r="C461" s="713" t="n"/>
      <c r="D461" s="714" t="n"/>
      <c r="E461" s="721" t="inlineStr">
        <is>
          <t>PAPEL COVERTOR  6"</t>
        </is>
      </c>
      <c r="F461" s="716" t="inlineStr">
        <is>
          <t>ROLLO</t>
        </is>
      </c>
      <c r="G461" s="717" t="n">
        <v>1735</v>
      </c>
      <c r="H461" s="718">
        <f>+G461*1.13</f>
        <v/>
      </c>
      <c r="I461" s="702" t="inlineStr">
        <is>
          <t>✓✓</t>
        </is>
      </c>
    </row>
    <row r="462">
      <c r="A462" s="732" t="n"/>
      <c r="B462" s="36" t="inlineStr">
        <is>
          <t>M11-0008</t>
        </is>
      </c>
      <c r="C462" s="713" t="n"/>
      <c r="D462" s="714" t="n"/>
      <c r="E462" s="721" t="inlineStr">
        <is>
          <t>PAPEL COVERTOR 9"</t>
        </is>
      </c>
      <c r="F462" s="716" t="inlineStr">
        <is>
          <t>ROLLO</t>
        </is>
      </c>
      <c r="G462" s="717" t="n">
        <v>1987.17</v>
      </c>
      <c r="H462" s="718">
        <f>+G462*1.13</f>
        <v/>
      </c>
      <c r="I462" s="702" t="inlineStr">
        <is>
          <t>✓✓</t>
        </is>
      </c>
    </row>
    <row r="463">
      <c r="A463" s="722" t="n"/>
      <c r="B463" s="36" t="inlineStr">
        <is>
          <t>M11-0009</t>
        </is>
      </c>
      <c r="C463" s="713" t="n"/>
      <c r="D463" s="714" t="n"/>
      <c r="E463" s="721" t="inlineStr">
        <is>
          <t>RODILLO PARA FELPA</t>
        </is>
      </c>
      <c r="F463" s="716" t="inlineStr">
        <is>
          <t>UND</t>
        </is>
      </c>
      <c r="G463" s="717" t="n">
        <v>2133</v>
      </c>
      <c r="H463" s="718">
        <f>+G463*1.13</f>
        <v/>
      </c>
      <c r="I463" s="702" t="inlineStr">
        <is>
          <t>✓✓</t>
        </is>
      </c>
    </row>
    <row r="464">
      <c r="A464" s="722" t="n"/>
      <c r="B464" s="36" t="inlineStr">
        <is>
          <t>M11-0010</t>
        </is>
      </c>
      <c r="C464" s="713" t="n"/>
      <c r="D464" s="714" t="n"/>
      <c r="E464" s="721" t="inlineStr">
        <is>
          <t>ROLLO PLASTICO C/CINTA 80°C-120 CM. X 20 M</t>
        </is>
      </c>
      <c r="F464" s="716" t="inlineStr">
        <is>
          <t>UND</t>
        </is>
      </c>
      <c r="G464" s="717" t="n">
        <v>3569</v>
      </c>
      <c r="H464" s="718">
        <f>+G464*1.13</f>
        <v/>
      </c>
      <c r="I464" s="702" t="inlineStr">
        <is>
          <t>✓✓</t>
        </is>
      </c>
    </row>
    <row r="465">
      <c r="A465" s="774" t="inlineStr">
        <is>
          <t>MAT08-0307 TORNILLO P/BISAGRA 6X5/8</t>
        </is>
      </c>
      <c r="B465" s="36" t="inlineStr">
        <is>
          <t>M11-0011</t>
        </is>
      </c>
      <c r="C465" s="713" t="n"/>
      <c r="D465" s="714" t="n"/>
      <c r="E465" s="721" t="inlineStr">
        <is>
          <t>ROLLO PLASTICO C/CINTA 80°C-180 CM. X 20M</t>
        </is>
      </c>
      <c r="F465" s="716" t="inlineStr">
        <is>
          <t>UND</t>
        </is>
      </c>
      <c r="G465" s="717" t="n">
        <v>2212.39</v>
      </c>
      <c r="H465" s="718">
        <f>+G465*1.13</f>
        <v/>
      </c>
      <c r="I465" s="702" t="n"/>
    </row>
    <row r="466">
      <c r="A466" s="722" t="n"/>
      <c r="B466" s="36" t="inlineStr">
        <is>
          <t>M11-0013</t>
        </is>
      </c>
      <c r="C466" s="713" t="n"/>
      <c r="D466" s="714" t="n"/>
      <c r="E466" s="721" t="inlineStr">
        <is>
          <t>BROCHA DE 1 PULG</t>
        </is>
      </c>
      <c r="F466" s="716" t="inlineStr">
        <is>
          <t>UND</t>
        </is>
      </c>
      <c r="G466" s="717" t="n">
        <v>1805.3097</v>
      </c>
      <c r="H466" s="718">
        <f>+G466*1.13</f>
        <v/>
      </c>
      <c r="I466" s="702" t="inlineStr">
        <is>
          <t>✓✓</t>
        </is>
      </c>
    </row>
    <row r="467">
      <c r="A467" s="722" t="n"/>
      <c r="B467" s="36" t="inlineStr">
        <is>
          <t>M11-0019</t>
        </is>
      </c>
      <c r="C467" s="713" t="n"/>
      <c r="D467" s="714" t="n"/>
      <c r="E467" s="721" t="inlineStr">
        <is>
          <t>THINNER INDUSTRIAL</t>
        </is>
      </c>
      <c r="F467" s="716" t="inlineStr">
        <is>
          <t>GALON</t>
        </is>
      </c>
      <c r="G467" s="717" t="n">
        <v>5721.2389</v>
      </c>
      <c r="H467" s="718">
        <f>+G467*1.13</f>
        <v/>
      </c>
      <c r="I467" s="702" t="inlineStr">
        <is>
          <t>✓✓</t>
        </is>
      </c>
    </row>
    <row r="468">
      <c r="A468" s="722" t="n"/>
      <c r="B468" s="36" t="inlineStr">
        <is>
          <t>M11-0037</t>
        </is>
      </c>
      <c r="C468" s="713" t="n"/>
      <c r="D468" s="714" t="n"/>
      <c r="E468" s="721" t="inlineStr">
        <is>
          <t>DILUYENTE AGUARRAS</t>
        </is>
      </c>
      <c r="F468" s="716" t="inlineStr">
        <is>
          <t>GALON</t>
        </is>
      </c>
      <c r="G468" s="717" t="n">
        <v>5668.92</v>
      </c>
      <c r="H468" s="718">
        <f>+G468*1.13</f>
        <v/>
      </c>
      <c r="I468" s="702" t="inlineStr">
        <is>
          <t>✓✓</t>
        </is>
      </c>
    </row>
    <row r="469">
      <c r="A469" s="722" t="n"/>
      <c r="B469" s="36" t="inlineStr">
        <is>
          <t>M11-0038</t>
        </is>
      </c>
      <c r="C469" s="713" t="n"/>
      <c r="D469" s="714" t="n"/>
      <c r="E469" s="721" t="inlineStr">
        <is>
          <t>IMPERMEABILIZANTE BASE 201</t>
        </is>
      </c>
      <c r="F469" s="716" t="inlineStr">
        <is>
          <t>CUBETA</t>
        </is>
      </c>
      <c r="G469" s="717" t="n">
        <v>178482</v>
      </c>
      <c r="H469" s="718">
        <f>+G469*1.13</f>
        <v/>
      </c>
      <c r="I469" s="702" t="inlineStr">
        <is>
          <t>✓✓</t>
        </is>
      </c>
    </row>
    <row r="470">
      <c r="A470" s="722" t="n"/>
      <c r="B470" s="36" t="inlineStr">
        <is>
          <t>M11-0039</t>
        </is>
      </c>
      <c r="C470" s="713" t="n"/>
      <c r="D470" s="714" t="n"/>
      <c r="E470" s="721" t="inlineStr">
        <is>
          <t>IMPERMEABILIZANTE TOP 202</t>
        </is>
      </c>
      <c r="F470" s="716" t="inlineStr">
        <is>
          <t>CUBETA</t>
        </is>
      </c>
      <c r="G470" s="717" t="n">
        <v>237924</v>
      </c>
      <c r="H470" s="718">
        <f>+G470*1.13</f>
        <v/>
      </c>
      <c r="I470" s="702" t="inlineStr">
        <is>
          <t>✓✓</t>
        </is>
      </c>
    </row>
    <row r="471">
      <c r="A471" s="722" t="n"/>
      <c r="B471" s="36" t="inlineStr">
        <is>
          <t>M11-0040</t>
        </is>
      </c>
      <c r="C471" s="713" t="n"/>
      <c r="D471" s="714" t="n"/>
      <c r="E471" s="721" t="inlineStr">
        <is>
          <t>IMPERMEABILIZANTE AQUA- PROOF LANCO</t>
        </is>
      </c>
      <c r="F471" s="716" t="inlineStr">
        <is>
          <t>GALON</t>
        </is>
      </c>
      <c r="G471" s="717" t="n">
        <v>18212.39</v>
      </c>
      <c r="H471" s="718">
        <f>+G471*1.13</f>
        <v/>
      </c>
      <c r="I471" s="702" t="inlineStr">
        <is>
          <t>✓✓</t>
        </is>
      </c>
    </row>
    <row r="472">
      <c r="A472" s="722" t="n"/>
      <c r="B472" s="36" t="inlineStr">
        <is>
          <t>M11-0045</t>
        </is>
      </c>
      <c r="C472" s="713" t="n"/>
      <c r="D472" s="714" t="n"/>
      <c r="E472" s="721" t="inlineStr">
        <is>
          <t>IMPERMEABILIZANTE ELASTBIT - PINTURA</t>
        </is>
      </c>
      <c r="F472" s="716" t="inlineStr">
        <is>
          <t>UND</t>
        </is>
      </c>
      <c r="G472" s="717" t="n">
        <v>85000</v>
      </c>
      <c r="H472" s="718">
        <f>+G472*1.13</f>
        <v/>
      </c>
      <c r="I472" s="702" t="inlineStr">
        <is>
          <t>✓✓</t>
        </is>
      </c>
    </row>
    <row r="473">
      <c r="A473" s="722" t="n"/>
      <c r="B473" s="36" t="inlineStr">
        <is>
          <t>M11-0047</t>
        </is>
      </c>
      <c r="C473" s="713" t="n"/>
      <c r="D473" s="714" t="n"/>
      <c r="E473" s="721" t="inlineStr">
        <is>
          <t>MASTERSEAL HLM 5000</t>
        </is>
      </c>
      <c r="F473" s="716" t="inlineStr">
        <is>
          <t>CUB</t>
        </is>
      </c>
      <c r="G473" s="717" t="n">
        <v>214200</v>
      </c>
      <c r="H473" s="718">
        <f>+G473*1.13</f>
        <v/>
      </c>
      <c r="I473" s="702" t="inlineStr">
        <is>
          <t>✓✓</t>
        </is>
      </c>
    </row>
    <row r="474">
      <c r="A474" s="722" t="n"/>
      <c r="B474" s="36" t="inlineStr">
        <is>
          <t>M11-0063</t>
        </is>
      </c>
      <c r="C474" s="713" t="n"/>
      <c r="D474" s="714" t="n"/>
      <c r="E474" s="721" t="inlineStr">
        <is>
          <t>MERULA C/CATALIZADOR</t>
        </is>
      </c>
      <c r="F474" s="716" t="inlineStr">
        <is>
          <t>1/4 DE GALON</t>
        </is>
      </c>
      <c r="G474" s="717" t="n">
        <v>6332.82</v>
      </c>
      <c r="H474" s="718">
        <f>+G474*1.13</f>
        <v/>
      </c>
      <c r="I474" s="702" t="inlineStr">
        <is>
          <t>✓✓</t>
        </is>
      </c>
    </row>
    <row r="475">
      <c r="A475" s="722" t="n"/>
      <c r="B475" s="36" t="inlineStr">
        <is>
          <t>M11-0064</t>
        </is>
      </c>
      <c r="C475" s="713" t="n"/>
      <c r="D475" s="714" t="n"/>
      <c r="E475" s="721" t="inlineStr">
        <is>
          <t>RESANANDOR PREMEZCLADO ONE TIME (1/4 GALON)</t>
        </is>
      </c>
      <c r="F475" s="716" t="inlineStr">
        <is>
          <t>UND</t>
        </is>
      </c>
      <c r="G475" s="717" t="n">
        <v>3228.32</v>
      </c>
      <c r="H475" s="718">
        <f>+G475*1.13</f>
        <v/>
      </c>
      <c r="I475" s="702" t="inlineStr">
        <is>
          <t>✓✓</t>
        </is>
      </c>
    </row>
    <row r="476">
      <c r="A476" s="731" t="inlineStr">
        <is>
          <t xml:space="preserve">MAT08-0446 DISCO CORTE METAL 4 1/2 PULGADA </t>
        </is>
      </c>
      <c r="B476" s="36" t="inlineStr">
        <is>
          <t>M11-0066</t>
        </is>
      </c>
      <c r="C476" s="713" t="n"/>
      <c r="D476" s="714" t="n"/>
      <c r="E476" s="721" t="inlineStr">
        <is>
          <t>ANTICORROSIVO MINIO GALON</t>
        </is>
      </c>
      <c r="F476" s="716" t="inlineStr">
        <is>
          <t>GAL</t>
        </is>
      </c>
      <c r="G476" s="717" t="n">
        <v>15579.65</v>
      </c>
      <c r="H476" s="718">
        <f>+G476*1.13</f>
        <v/>
      </c>
      <c r="I476" s="46" t="n"/>
    </row>
    <row r="477">
      <c r="A477" s="731" t="inlineStr">
        <is>
          <t>MAT08-0449 REGLA SEMIDURO 1X3X4 SIN CEPILLAR</t>
        </is>
      </c>
      <c r="B477" s="36" t="inlineStr">
        <is>
          <t>M11-0071</t>
        </is>
      </c>
      <c r="C477" s="713" t="n"/>
      <c r="D477" s="714" t="n"/>
      <c r="E477" s="721" t="inlineStr">
        <is>
          <t>PINTURA EN SPRAY ANARANJADO FLURECENTE</t>
        </is>
      </c>
      <c r="F477" s="716" t="inlineStr">
        <is>
          <t>UND</t>
        </is>
      </c>
      <c r="G477" s="717" t="n">
        <v>4862.8319</v>
      </c>
      <c r="H477" s="718">
        <f>+G477*1.13</f>
        <v/>
      </c>
      <c r="I477" s="46" t="n"/>
    </row>
    <row r="478">
      <c r="A478" s="722" t="n"/>
      <c r="B478" s="36" t="inlineStr">
        <is>
          <t>M11-0072</t>
        </is>
      </c>
      <c r="C478" s="713" t="n"/>
      <c r="D478" s="714" t="n"/>
      <c r="E478" s="721" t="inlineStr">
        <is>
          <t>PINTURA SEAL BLOCK ELASTOMERICA</t>
        </is>
      </c>
      <c r="F478" s="716" t="inlineStr">
        <is>
          <t>CUBETA</t>
        </is>
      </c>
      <c r="G478" s="717" t="n">
        <v>65044.25</v>
      </c>
      <c r="H478" s="718">
        <f>+G478*1.13</f>
        <v/>
      </c>
      <c r="I478" s="702" t="inlineStr">
        <is>
          <t>✓✓</t>
        </is>
      </c>
    </row>
    <row r="479">
      <c r="A479" s="722" t="n"/>
      <c r="B479" s="36" t="inlineStr">
        <is>
          <t>M11-0073</t>
        </is>
      </c>
      <c r="C479" s="713" t="n"/>
      <c r="D479" s="714" t="n"/>
      <c r="E479" s="721" t="inlineStr">
        <is>
          <t>PINTURA SUPER DRY GALON</t>
        </is>
      </c>
      <c r="F479" s="716" t="inlineStr">
        <is>
          <t>GALON</t>
        </is>
      </c>
      <c r="G479" s="717" t="n">
        <v>21730.97</v>
      </c>
      <c r="H479" s="718">
        <f>+G479*1.13</f>
        <v/>
      </c>
      <c r="I479" s="702" t="inlineStr">
        <is>
          <t>✓✓</t>
        </is>
      </c>
    </row>
    <row r="480">
      <c r="A480" s="722" t="n"/>
      <c r="B480" s="36" t="inlineStr">
        <is>
          <t>M11-0075</t>
        </is>
      </c>
      <c r="C480" s="713" t="n"/>
      <c r="D480" s="714" t="n"/>
      <c r="E480" s="721" t="inlineStr">
        <is>
          <t>PINTURA CROMATO DE ZINC POLIURETANO LANCO</t>
        </is>
      </c>
      <c r="F480" s="716" t="inlineStr">
        <is>
          <t>GALON</t>
        </is>
      </c>
      <c r="G480" s="717" t="n">
        <v>20389.36</v>
      </c>
      <c r="H480" s="718">
        <f>+G480*1.13</f>
        <v/>
      </c>
      <c r="I480" s="702" t="inlineStr">
        <is>
          <t>✓✓</t>
        </is>
      </c>
    </row>
    <row r="481">
      <c r="A481" s="722" t="n"/>
      <c r="B481" s="36" t="inlineStr">
        <is>
          <t>M11-0076</t>
        </is>
      </c>
      <c r="C481" s="713" t="n"/>
      <c r="D481" s="714" t="n"/>
      <c r="E481" s="721" t="inlineStr">
        <is>
          <t>PINTURA INTERIOR FIBROCENTRO</t>
        </is>
      </c>
      <c r="F481" s="716" t="inlineStr">
        <is>
          <t>CUBETA</t>
        </is>
      </c>
      <c r="G481" s="717" t="n">
        <v>39823.0033</v>
      </c>
      <c r="H481" s="718">
        <f>+G481*1.13</f>
        <v/>
      </c>
      <c r="I481" s="702" t="inlineStr">
        <is>
          <t>✓✓</t>
        </is>
      </c>
    </row>
    <row r="482">
      <c r="A482" s="722" t="n"/>
      <c r="B482" s="36" t="inlineStr">
        <is>
          <t>M11-0077</t>
        </is>
      </c>
      <c r="C482" s="713" t="n"/>
      <c r="D482" s="714" t="n"/>
      <c r="E482" s="721" t="inlineStr">
        <is>
          <t>PINTURA DRY COAT MATE DEEP GRIS OSCURO</t>
        </is>
      </c>
      <c r="F482" s="716" t="inlineStr">
        <is>
          <t>GALON</t>
        </is>
      </c>
      <c r="G482" s="717" t="n">
        <v>23199.96</v>
      </c>
      <c r="H482" s="718">
        <f>+G482*1.13</f>
        <v/>
      </c>
      <c r="I482" s="702" t="inlineStr">
        <is>
          <t>✓✓</t>
        </is>
      </c>
    </row>
    <row r="483">
      <c r="A483" s="722" t="n"/>
      <c r="B483" s="36" t="inlineStr">
        <is>
          <t>M11-0078</t>
        </is>
      </c>
      <c r="C483" s="713" t="n"/>
      <c r="D483" s="714" t="n"/>
      <c r="E483" s="721" t="inlineStr">
        <is>
          <t>PINTURA FAST DRY 1/4 GALON</t>
        </is>
      </c>
      <c r="F483" s="716" t="inlineStr">
        <is>
          <t>1/4 DE GALON</t>
        </is>
      </c>
      <c r="G483" s="717" t="n">
        <v>8931</v>
      </c>
      <c r="H483" s="718">
        <f>+G483*1.13</f>
        <v/>
      </c>
      <c r="I483" s="702" t="inlineStr">
        <is>
          <t>✓✓</t>
        </is>
      </c>
    </row>
    <row r="484">
      <c r="A484" s="732" t="n"/>
      <c r="B484" s="36" t="inlineStr">
        <is>
          <t>M11-0083</t>
        </is>
      </c>
      <c r="C484" s="713" t="n"/>
      <c r="D484" s="714" t="n"/>
      <c r="E484" s="721" t="inlineStr">
        <is>
          <t>TINTE SUR (DUROTIN) GALON</t>
        </is>
      </c>
      <c r="F484" s="716" t="inlineStr">
        <is>
          <t>GAL</t>
        </is>
      </c>
      <c r="G484" s="717" t="n">
        <v>26392.7</v>
      </c>
      <c r="H484" s="718">
        <f>+G484*1.13</f>
        <v/>
      </c>
      <c r="I484" s="702" t="inlineStr">
        <is>
          <t>✓✓</t>
        </is>
      </c>
    </row>
    <row r="485">
      <c r="A485" s="722" t="n"/>
      <c r="B485" s="36" t="inlineStr">
        <is>
          <t>M11-0084</t>
        </is>
      </c>
      <c r="C485" s="713" t="n"/>
      <c r="D485" s="714" t="n"/>
      <c r="E485" s="721" t="inlineStr">
        <is>
          <t>TINTE SUR (DUROTIN) 1/4 GALON</t>
        </is>
      </c>
      <c r="F485" s="716" t="inlineStr">
        <is>
          <t>1/4 DE GALON</t>
        </is>
      </c>
      <c r="G485" s="717" t="n">
        <v>9107.52</v>
      </c>
      <c r="H485" s="718">
        <f>+G485*1.13</f>
        <v/>
      </c>
      <c r="I485" s="702" t="inlineStr">
        <is>
          <t>✓✓</t>
        </is>
      </c>
    </row>
    <row r="486">
      <c r="A486" s="722" t="n"/>
      <c r="B486" s="36" t="inlineStr">
        <is>
          <t>M11-0090</t>
        </is>
      </c>
      <c r="C486" s="713" t="n"/>
      <c r="D486" s="714" t="n"/>
      <c r="E486" s="721" t="inlineStr">
        <is>
          <t>SILICONIZER GRIS</t>
        </is>
      </c>
      <c r="F486" s="716" t="inlineStr">
        <is>
          <t>CUBETA</t>
        </is>
      </c>
      <c r="G486" s="717" t="n">
        <v>88761.0619</v>
      </c>
      <c r="H486" s="718">
        <f>+G486*1.13</f>
        <v/>
      </c>
      <c r="I486" s="702" t="inlineStr">
        <is>
          <t>✓✓</t>
        </is>
      </c>
    </row>
    <row r="487">
      <c r="A487" s="722" t="n"/>
      <c r="B487" s="36" t="inlineStr">
        <is>
          <t>M11-0091</t>
        </is>
      </c>
      <c r="C487" s="713" t="n"/>
      <c r="D487" s="714" t="n"/>
      <c r="E487" s="721" t="inlineStr">
        <is>
          <t>SILICONIZER GRIS</t>
        </is>
      </c>
      <c r="F487" s="716" t="inlineStr">
        <is>
          <t>GALON</t>
        </is>
      </c>
      <c r="G487" s="717" t="n">
        <v>18769.91</v>
      </c>
      <c r="H487" s="718">
        <f>+G487*1.13</f>
        <v/>
      </c>
      <c r="I487" s="702" t="inlineStr">
        <is>
          <t>✓✓</t>
        </is>
      </c>
    </row>
    <row r="488">
      <c r="A488" s="722" t="n"/>
      <c r="B488" s="36" t="inlineStr">
        <is>
          <t>M11-0093</t>
        </is>
      </c>
      <c r="C488" s="713" t="n"/>
      <c r="D488" s="714" t="n"/>
      <c r="E488" s="721" t="inlineStr">
        <is>
          <t>SILICONIZER BLANCO</t>
        </is>
      </c>
      <c r="F488" s="716" t="inlineStr">
        <is>
          <t>CUBETA</t>
        </is>
      </c>
      <c r="G488" s="717" t="n">
        <v>74074.56</v>
      </c>
      <c r="H488" s="718">
        <f>+G488*1.13</f>
        <v/>
      </c>
      <c r="I488" s="702" t="inlineStr">
        <is>
          <t>✓✓</t>
        </is>
      </c>
    </row>
    <row r="489">
      <c r="A489" s="749" t="n"/>
      <c r="B489" s="36" t="inlineStr">
        <is>
          <t>M11-0111</t>
        </is>
      </c>
      <c r="C489" s="713" t="n"/>
      <c r="D489" s="714" t="n"/>
      <c r="E489" s="721" t="inlineStr">
        <is>
          <t>MAXICLEAR BRILLANTE</t>
        </is>
      </c>
      <c r="F489" s="716" t="inlineStr">
        <is>
          <t>GALON</t>
        </is>
      </c>
      <c r="G489" s="717" t="n">
        <v>25893.81</v>
      </c>
      <c r="H489" s="718">
        <f>+G489*1.13</f>
        <v/>
      </c>
      <c r="I489" s="702" t="inlineStr">
        <is>
          <t>✓✓</t>
        </is>
      </c>
    </row>
    <row r="490">
      <c r="A490" s="18" t="n"/>
      <c r="B490" s="36" t="inlineStr">
        <is>
          <t>M11-0113</t>
        </is>
      </c>
      <c r="C490" s="713" t="n"/>
      <c r="D490" s="714" t="n"/>
      <c r="E490" s="721" t="inlineStr">
        <is>
          <t>ANTICORROSIVO MINIO CUBETA</t>
        </is>
      </c>
      <c r="F490" s="716" t="inlineStr">
        <is>
          <t>CUBETA</t>
        </is>
      </c>
      <c r="G490" s="717" t="n">
        <v>59486.7256</v>
      </c>
      <c r="H490" s="718">
        <f>+G490*1.13</f>
        <v/>
      </c>
      <c r="I490" s="702" t="inlineStr">
        <is>
          <t>✓✓</t>
        </is>
      </c>
    </row>
    <row r="491">
      <c r="A491" s="749" t="n"/>
      <c r="B491" s="36" t="inlineStr">
        <is>
          <t>M11-0115</t>
        </is>
      </c>
      <c r="C491" s="713" t="n"/>
      <c r="D491" s="714" t="n"/>
      <c r="E491" s="721" t="inlineStr">
        <is>
          <t>PINTURA SEAL COAT CUBETA</t>
        </is>
      </c>
      <c r="F491" s="716" t="inlineStr">
        <is>
          <t>CUBETA</t>
        </is>
      </c>
      <c r="G491" s="717" t="n">
        <v>64640</v>
      </c>
      <c r="H491" s="718">
        <f>+G491*1.13</f>
        <v/>
      </c>
      <c r="I491" s="702" t="inlineStr">
        <is>
          <t>✓✓</t>
        </is>
      </c>
    </row>
    <row r="492">
      <c r="A492" s="722" t="n"/>
      <c r="B492" s="36" t="inlineStr">
        <is>
          <t>M11-0121</t>
        </is>
      </c>
      <c r="C492" s="713" t="n"/>
      <c r="D492" s="714" t="n"/>
      <c r="E492" s="721" t="inlineStr">
        <is>
          <t>PINTURA SUPER COAT CUBETA</t>
        </is>
      </c>
      <c r="F492" s="716" t="inlineStr">
        <is>
          <t>CUBETA</t>
        </is>
      </c>
      <c r="G492" s="717" t="n">
        <v>70477.88</v>
      </c>
      <c r="H492" s="718">
        <f>+G492*1.13</f>
        <v/>
      </c>
      <c r="I492" s="702" t="inlineStr">
        <is>
          <t>✓✓</t>
        </is>
      </c>
    </row>
    <row r="493">
      <c r="A493" s="722" t="n"/>
      <c r="B493" s="36" t="inlineStr">
        <is>
          <t>M11-0122</t>
        </is>
      </c>
      <c r="C493" s="713" t="n"/>
      <c r="D493" s="714" t="n"/>
      <c r="E493" s="721" t="inlineStr">
        <is>
          <t>PINTURA SUPRA MATE BLANCO</t>
        </is>
      </c>
      <c r="F493" s="716" t="inlineStr">
        <is>
          <t>CUB</t>
        </is>
      </c>
      <c r="G493" s="717" t="n">
        <v>41961.27</v>
      </c>
      <c r="H493" s="718">
        <f>+G493*1.13</f>
        <v/>
      </c>
      <c r="I493" s="702" t="inlineStr">
        <is>
          <t>✓✓</t>
        </is>
      </c>
    </row>
    <row r="494">
      <c r="A494" s="722" t="n"/>
      <c r="B494" s="36" t="inlineStr">
        <is>
          <t>M11-0141</t>
        </is>
      </c>
      <c r="C494" s="713" t="n"/>
      <c r="D494" s="714" t="n"/>
      <c r="E494" s="721" t="inlineStr">
        <is>
          <t>PINTURA EN SPRAY VERDE FLUORESCENTE</t>
        </is>
      </c>
      <c r="F494" s="716" t="inlineStr">
        <is>
          <t>UND</t>
        </is>
      </c>
      <c r="G494" s="717" t="n">
        <v>4376.6</v>
      </c>
      <c r="H494" s="718">
        <f>+G494*1.13</f>
        <v/>
      </c>
      <c r="I494" s="702" t="inlineStr">
        <is>
          <t>✓✓</t>
        </is>
      </c>
    </row>
    <row r="495">
      <c r="A495" s="731" t="inlineStr">
        <is>
          <t>MAT08-0517 FLANGER DE 2 PULG P/TANQUE DE AGUA DE ALMACENAJE</t>
        </is>
      </c>
      <c r="B495" s="36" t="inlineStr">
        <is>
          <t>M12-0001</t>
        </is>
      </c>
      <c r="C495" s="713" t="n"/>
      <c r="D495" s="714" t="n"/>
      <c r="E495" s="721" t="inlineStr">
        <is>
          <t>BOLSA SEPARADOR P/CERAMICA 2MM</t>
        </is>
      </c>
      <c r="F495" s="716" t="inlineStr">
        <is>
          <t>BOLSA</t>
        </is>
      </c>
      <c r="G495" s="717" t="n">
        <v>444.56</v>
      </c>
      <c r="H495" s="718">
        <f>+G495*1.13</f>
        <v/>
      </c>
      <c r="I495" s="46" t="n"/>
    </row>
    <row r="496">
      <c r="A496" s="722" t="n"/>
      <c r="B496" s="36" t="inlineStr">
        <is>
          <t>M12-0008</t>
        </is>
      </c>
      <c r="C496" s="713" t="n"/>
      <c r="D496" s="714" t="n"/>
      <c r="E496" s="721" t="inlineStr">
        <is>
          <t>BOLSA SEPARADOR PARA CERAMICA 4 MM</t>
        </is>
      </c>
      <c r="F496" s="716" t="inlineStr">
        <is>
          <t>BOLSA</t>
        </is>
      </c>
      <c r="G496" s="717" t="n">
        <v>533.48</v>
      </c>
      <c r="H496" s="718">
        <f>+G496*1.13</f>
        <v/>
      </c>
      <c r="I496" s="702" t="inlineStr">
        <is>
          <t>✓✓</t>
        </is>
      </c>
    </row>
    <row r="497">
      <c r="A497" s="722" t="n"/>
      <c r="B497" s="36" t="inlineStr">
        <is>
          <t>M12-0009</t>
        </is>
      </c>
      <c r="C497" s="713" t="inlineStr">
        <is>
          <t>02</t>
        </is>
      </c>
      <c r="D497" s="714" t="n"/>
      <c r="E497" s="721" t="inlineStr">
        <is>
          <t>CERAMICA 55X55 // PISO CERÁMICO HARÁ BEIGE  55X55</t>
        </is>
      </c>
      <c r="F497" s="716" t="inlineStr">
        <is>
          <t>M2</t>
        </is>
      </c>
      <c r="G497" s="717" t="n">
        <v>3808</v>
      </c>
      <c r="H497" s="718">
        <f>+G497*1.13</f>
        <v/>
      </c>
      <c r="I497" s="702" t="inlineStr">
        <is>
          <t>✓✓</t>
        </is>
      </c>
    </row>
    <row r="498">
      <c r="A498" s="722" t="n"/>
      <c r="B498" s="36" t="inlineStr">
        <is>
          <t>M12-0009</t>
        </is>
      </c>
      <c r="C498" s="713" t="inlineStr">
        <is>
          <t>01</t>
        </is>
      </c>
      <c r="D498" s="714" t="n"/>
      <c r="E498" s="721" t="inlineStr">
        <is>
          <t>CERAMICA 55X55 // CERAMICA ALTAR GRIS 55X55</t>
        </is>
      </c>
      <c r="F498" s="716" t="inlineStr">
        <is>
          <t>M2</t>
        </is>
      </c>
      <c r="G498" s="717" t="n">
        <v>5520</v>
      </c>
      <c r="H498" s="718">
        <f>+G498*1.13</f>
        <v/>
      </c>
      <c r="I498" s="702" t="inlineStr">
        <is>
          <t>✓✓</t>
        </is>
      </c>
    </row>
    <row r="499">
      <c r="A499" s="722" t="n"/>
      <c r="B499" s="36" t="inlineStr">
        <is>
          <t>M12-0009</t>
        </is>
      </c>
      <c r="C499" s="713" t="inlineStr">
        <is>
          <t>03</t>
        </is>
      </c>
      <c r="D499" s="714" t="n"/>
      <c r="E499" s="721" t="inlineStr">
        <is>
          <t>CERAMICA 55X55 //  PISO CERÁMICA DUNA COTTO GRIS 55X55</t>
        </is>
      </c>
      <c r="F499" s="716" t="inlineStr">
        <is>
          <t xml:space="preserve">M2 </t>
        </is>
      </c>
      <c r="G499" s="717" t="n">
        <v>7950</v>
      </c>
      <c r="H499" s="718">
        <f>+G499*1.13</f>
        <v/>
      </c>
      <c r="I499" s="702" t="inlineStr">
        <is>
          <t>✓✓</t>
        </is>
      </c>
    </row>
    <row r="500">
      <c r="A500" s="722" t="n"/>
      <c r="B500" s="36" t="inlineStr">
        <is>
          <t>M12-0009</t>
        </is>
      </c>
      <c r="C500" s="713" t="inlineStr">
        <is>
          <t>01</t>
        </is>
      </c>
      <c r="D500" s="714" t="n"/>
      <c r="E500" s="721" t="inlineStr">
        <is>
          <t>CERAMICA 55X55  // CERAMICA ALTAR GRIS 55X55</t>
        </is>
      </c>
      <c r="F500" s="716" t="inlineStr">
        <is>
          <t>M2</t>
        </is>
      </c>
      <c r="G500" s="717" t="n">
        <v>5508.85</v>
      </c>
      <c r="H500" s="718">
        <f>+G500*1.13</f>
        <v/>
      </c>
      <c r="I500" s="702" t="inlineStr">
        <is>
          <t>✓✓</t>
        </is>
      </c>
    </row>
    <row r="501">
      <c r="A501" s="722" t="n"/>
      <c r="B501" s="36" t="inlineStr">
        <is>
          <t>M12-0009</t>
        </is>
      </c>
      <c r="C501" s="713" t="inlineStr">
        <is>
          <t>01</t>
        </is>
      </c>
      <c r="D501" s="714" t="n"/>
      <c r="E501" s="721" t="inlineStr">
        <is>
          <t>CERAMICA 55X55  // CERAMICA ALTAR GRIS 55X55</t>
        </is>
      </c>
      <c r="F501" s="716" t="inlineStr">
        <is>
          <t>M2</t>
        </is>
      </c>
      <c r="G501" s="717" t="n">
        <v>4601.77</v>
      </c>
      <c r="H501" s="718">
        <f>+G501*1.13</f>
        <v/>
      </c>
      <c r="I501" s="702" t="inlineStr">
        <is>
          <t>✓✓</t>
        </is>
      </c>
    </row>
    <row r="502">
      <c r="A502" s="722" t="n"/>
      <c r="B502" s="36" t="inlineStr">
        <is>
          <t>M12-0010</t>
        </is>
      </c>
      <c r="C502" s="713" t="inlineStr">
        <is>
          <t>02</t>
        </is>
      </c>
      <c r="D502" s="714" t="n"/>
      <c r="E502" s="721" t="inlineStr">
        <is>
          <t>CERAMICA 30X45 // CERAMICA SENOIA GRIS 30X45</t>
        </is>
      </c>
      <c r="F502" s="716" t="inlineStr">
        <is>
          <t>M2</t>
        </is>
      </c>
      <c r="G502" s="717" t="n">
        <v>4788</v>
      </c>
      <c r="H502" s="718">
        <f>+G502*1.13</f>
        <v/>
      </c>
      <c r="I502" s="702" t="inlineStr">
        <is>
          <t>✓✓</t>
        </is>
      </c>
    </row>
    <row r="503">
      <c r="A503" s="722" t="n"/>
      <c r="B503" s="36" t="inlineStr">
        <is>
          <t>M12-0010</t>
        </is>
      </c>
      <c r="C503" s="713" t="inlineStr">
        <is>
          <t>01</t>
        </is>
      </c>
      <c r="D503" s="714" t="n"/>
      <c r="E503" s="721" t="inlineStr">
        <is>
          <t xml:space="preserve"> CERAMICA 30X45 // CERAMICA SENOIA BEIGE 30X45</t>
        </is>
      </c>
      <c r="F503" s="716" t="inlineStr">
        <is>
          <t>M2</t>
        </is>
      </c>
      <c r="G503" s="717" t="n">
        <v>4788</v>
      </c>
      <c r="H503" s="718">
        <f>+G503*1.13</f>
        <v/>
      </c>
      <c r="I503" s="702" t="inlineStr">
        <is>
          <t>✓✓</t>
        </is>
      </c>
    </row>
    <row r="504">
      <c r="A504" s="749" t="n"/>
      <c r="B504" s="36" t="inlineStr">
        <is>
          <t>M12-0011</t>
        </is>
      </c>
      <c r="C504" s="713" t="inlineStr">
        <is>
          <t>01</t>
        </is>
      </c>
      <c r="D504" s="714" t="n"/>
      <c r="E504" s="721" t="inlineStr">
        <is>
          <t>CERAMICA 20X60 // CERAMICA EMOTION T.MADERA HARDY HAYA 20X60</t>
        </is>
      </c>
      <c r="F504" s="716" t="inlineStr">
        <is>
          <t>M2</t>
        </is>
      </c>
      <c r="G504" s="717" t="n">
        <v>7478.25</v>
      </c>
      <c r="H504" s="718">
        <f>+G504*1.13</f>
        <v/>
      </c>
      <c r="I504" s="702" t="inlineStr">
        <is>
          <t>✓✓</t>
        </is>
      </c>
    </row>
    <row r="505">
      <c r="A505" s="722" t="n"/>
      <c r="B505" s="36" t="inlineStr">
        <is>
          <t>M12-0011</t>
        </is>
      </c>
      <c r="C505" s="713" t="inlineStr">
        <is>
          <t>03</t>
        </is>
      </c>
      <c r="D505" s="714" t="n"/>
      <c r="E505" s="721" t="inlineStr">
        <is>
          <t>CERAMICA 20X60 // CERAMICA EMOTION T.MADERA HARDY GRIS 20X60</t>
        </is>
      </c>
      <c r="F505" s="716" t="inlineStr">
        <is>
          <t>M2</t>
        </is>
      </c>
      <c r="G505" s="717" t="n">
        <v>8286.66</v>
      </c>
      <c r="H505" s="718">
        <f>+G505*1.13</f>
        <v/>
      </c>
      <c r="I505" s="702" t="inlineStr">
        <is>
          <t>✓✓</t>
        </is>
      </c>
      <c r="J505" s="775">
        <f>+H505/(2.7*2.8)</f>
        <v/>
      </c>
    </row>
    <row r="506">
      <c r="A506" s="749" t="n"/>
      <c r="B506" s="36" t="inlineStr">
        <is>
          <t>M12-0011</t>
        </is>
      </c>
      <c r="C506" s="713" t="inlineStr">
        <is>
          <t>02</t>
        </is>
      </c>
      <c r="D506" s="714" t="n"/>
      <c r="E506" s="721" t="inlineStr">
        <is>
          <t>CERAMICA 20X60 // CERAMICA EMOTION T.MADERA HARDY CAOBA 20X60</t>
        </is>
      </c>
      <c r="F506" s="716" t="inlineStr">
        <is>
          <t>M2</t>
        </is>
      </c>
      <c r="G506" s="717" t="n">
        <v>7071.28</v>
      </c>
      <c r="H506" s="718">
        <f>+G506*1.13</f>
        <v/>
      </c>
      <c r="I506" s="702" t="inlineStr">
        <is>
          <t>✓✓</t>
        </is>
      </c>
    </row>
    <row r="507">
      <c r="A507" s="722" t="n"/>
      <c r="B507" s="36" t="inlineStr">
        <is>
          <t>M12-0012</t>
        </is>
      </c>
      <c r="C507" s="713" t="n"/>
      <c r="D507" s="714" t="n"/>
      <c r="E507" s="721" t="inlineStr">
        <is>
          <t>CERAMICA 18X55 // PISO DALTILE T MADERA CASTAÑO 18X50</t>
        </is>
      </c>
      <c r="F507" s="716" t="inlineStr">
        <is>
          <t>M2</t>
        </is>
      </c>
      <c r="G507" s="717" t="n">
        <v>8166.8</v>
      </c>
      <c r="H507" s="718">
        <f>+G507*1.13</f>
        <v/>
      </c>
      <c r="I507" s="702" t="inlineStr">
        <is>
          <t>✓✓</t>
        </is>
      </c>
    </row>
    <row r="508">
      <c r="A508" s="722" t="n"/>
      <c r="B508" s="36" t="inlineStr">
        <is>
          <t>M12-0013</t>
        </is>
      </c>
      <c r="C508" s="713" t="inlineStr">
        <is>
          <t>07</t>
        </is>
      </c>
      <c r="D508" s="714" t="n"/>
      <c r="E508" s="721" t="inlineStr">
        <is>
          <t>CERAMICA 60X60 // CERAMICA MARMOL ASTRA IVORY 60X60</t>
        </is>
      </c>
      <c r="F508" s="716" t="inlineStr">
        <is>
          <t>M2</t>
        </is>
      </c>
      <c r="G508" s="717" t="n">
        <v>6637.17</v>
      </c>
      <c r="H508" s="718">
        <f>+G508*1.13</f>
        <v/>
      </c>
      <c r="I508" s="702" t="inlineStr">
        <is>
          <t>✓✓</t>
        </is>
      </c>
    </row>
    <row r="509">
      <c r="A509" s="722" t="n"/>
      <c r="B509" s="36" t="inlineStr">
        <is>
          <t>M12-0013</t>
        </is>
      </c>
      <c r="C509" s="713" t="n"/>
      <c r="D509" s="714" t="n"/>
      <c r="E509" s="721" t="inlineStr">
        <is>
          <t>CERAMICA 60X60 // CERAMICA GRES GROUND 60X60</t>
        </is>
      </c>
      <c r="F509" s="716" t="inlineStr">
        <is>
          <t>M2</t>
        </is>
      </c>
      <c r="G509" s="717" t="n">
        <v>4934.514</v>
      </c>
      <c r="H509" s="718">
        <f>+G509*1.13</f>
        <v/>
      </c>
      <c r="I509" s="702" t="inlineStr">
        <is>
          <t>✓✓</t>
        </is>
      </c>
    </row>
    <row r="510">
      <c r="A510" s="722" t="n"/>
      <c r="B510" s="36" t="inlineStr">
        <is>
          <t>M12-0013</t>
        </is>
      </c>
      <c r="C510" s="713" t="n">
        <v>12</v>
      </c>
      <c r="D510" s="714" t="n"/>
      <c r="E510" s="721" t="inlineStr">
        <is>
          <t>CERAMICA 60X60 // CERAMICA DIAMANTE VEZZIO 60X60</t>
        </is>
      </c>
      <c r="F510" s="716" t="inlineStr">
        <is>
          <t>M2</t>
        </is>
      </c>
      <c r="G510" s="717" t="n">
        <v>5655</v>
      </c>
      <c r="H510" s="718">
        <f>+G510*1.13</f>
        <v/>
      </c>
      <c r="I510" s="702" t="inlineStr">
        <is>
          <t>✓✓</t>
        </is>
      </c>
    </row>
    <row r="511">
      <c r="A511" s="722" t="n"/>
      <c r="B511" s="36" t="inlineStr">
        <is>
          <t>M12-0013</t>
        </is>
      </c>
      <c r="C511" s="713" t="inlineStr">
        <is>
          <t>01</t>
        </is>
      </c>
      <c r="D511" s="714" t="n"/>
      <c r="E511" s="721" t="inlineStr">
        <is>
          <t>CERAMICA 60X60 // CERAMICA DIAMANTE CELESTINI 60X60</t>
        </is>
      </c>
      <c r="F511" s="716" t="inlineStr">
        <is>
          <t>M2</t>
        </is>
      </c>
      <c r="G511" s="717" t="n">
        <v>6950</v>
      </c>
      <c r="H511" s="718">
        <f>+G511*1.13</f>
        <v/>
      </c>
      <c r="I511" s="702" t="inlineStr">
        <is>
          <t>✓✓</t>
        </is>
      </c>
    </row>
    <row r="512">
      <c r="A512" s="722" t="n"/>
      <c r="B512" s="36" t="inlineStr">
        <is>
          <t>M12-0013</t>
        </is>
      </c>
      <c r="C512" s="713" t="inlineStr">
        <is>
          <t>02</t>
        </is>
      </c>
      <c r="D512" s="714" t="n"/>
      <c r="E512" s="721" t="inlineStr">
        <is>
          <t>CERAMICA 60X60 // CERAMICA CONSTANZA BEIGE 60X60</t>
        </is>
      </c>
      <c r="F512" s="716" t="inlineStr">
        <is>
          <t>M2</t>
        </is>
      </c>
      <c r="G512" s="717" t="n">
        <v>6950</v>
      </c>
      <c r="H512" s="718">
        <f>+G512*1.13</f>
        <v/>
      </c>
      <c r="I512" s="702" t="inlineStr">
        <is>
          <t>✓✓</t>
        </is>
      </c>
    </row>
    <row r="513">
      <c r="A513" s="722" t="n"/>
      <c r="B513" s="36" t="inlineStr">
        <is>
          <t>M12-0013</t>
        </is>
      </c>
      <c r="C513" s="713" t="inlineStr">
        <is>
          <t>06</t>
        </is>
      </c>
      <c r="D513" s="714" t="n"/>
      <c r="E513" s="721" t="inlineStr">
        <is>
          <t>CERAMICA 60X60 // CERAMICA AMBAR BRILLO 60X60</t>
        </is>
      </c>
      <c r="F513" s="716" t="inlineStr">
        <is>
          <t>M2</t>
        </is>
      </c>
      <c r="G513" s="717" t="n">
        <v>8252</v>
      </c>
      <c r="H513" s="718">
        <f>+G513*1.13</f>
        <v/>
      </c>
      <c r="I513" s="702" t="inlineStr">
        <is>
          <t>✓✓</t>
        </is>
      </c>
    </row>
    <row r="514">
      <c r="A514" s="722" t="n"/>
      <c r="B514" s="36" t="inlineStr">
        <is>
          <t>M12-0013</t>
        </is>
      </c>
      <c r="C514" s="713" t="inlineStr">
        <is>
          <t>05</t>
        </is>
      </c>
      <c r="D514" s="714" t="n"/>
      <c r="E514" s="721" t="inlineStr">
        <is>
          <t>CERAMICA 60X60 // CERAMICA 60021 60X60</t>
        </is>
      </c>
      <c r="F514" s="716" t="inlineStr">
        <is>
          <t>M2</t>
        </is>
      </c>
      <c r="G514" s="717" t="n">
        <v>4424.78</v>
      </c>
      <c r="H514" s="718">
        <f>+G514*1.13</f>
        <v/>
      </c>
      <c r="I514" s="702" t="inlineStr">
        <is>
          <t>✓✓</t>
        </is>
      </c>
    </row>
    <row r="515">
      <c r="A515" s="722" t="n"/>
      <c r="B515" s="36" t="inlineStr">
        <is>
          <t>M12-0013</t>
        </is>
      </c>
      <c r="C515" s="713" t="n">
        <v>11</v>
      </c>
      <c r="D515" s="714" t="n"/>
      <c r="E515" s="721" t="inlineStr">
        <is>
          <t>CERAMICA 60X60 // CERAMICA  DIAMANTE MILAZO 60X60</t>
        </is>
      </c>
      <c r="F515" s="716" t="inlineStr">
        <is>
          <t>M2</t>
        </is>
      </c>
      <c r="G515" s="717" t="n">
        <v>6150.4</v>
      </c>
      <c r="H515" s="718">
        <f>+G515*1.13</f>
        <v/>
      </c>
      <c r="I515" s="702" t="inlineStr">
        <is>
          <t>✓✓</t>
        </is>
      </c>
    </row>
    <row r="516">
      <c r="A516" s="722" t="n"/>
      <c r="B516" s="36" t="inlineStr">
        <is>
          <t>M12-0013</t>
        </is>
      </c>
      <c r="C516" s="713" t="inlineStr">
        <is>
          <t>03</t>
        </is>
      </c>
      <c r="D516" s="714" t="n"/>
      <c r="E516" s="721" t="inlineStr">
        <is>
          <t>CERAMICA 60X60 //  CERAMICA TORAZZO 60X60</t>
        </is>
      </c>
      <c r="F516" s="716" t="inlineStr">
        <is>
          <t>M2</t>
        </is>
      </c>
      <c r="G516" s="717" t="n">
        <v>6950</v>
      </c>
      <c r="H516" s="718">
        <f>+G516*1.13</f>
        <v/>
      </c>
      <c r="I516" s="702" t="inlineStr">
        <is>
          <t>✓✓</t>
        </is>
      </c>
      <c r="J516">
        <f>+H516/360</f>
        <v/>
      </c>
    </row>
    <row r="517">
      <c r="A517" s="722" t="n"/>
      <c r="B517" s="36" t="inlineStr">
        <is>
          <t>M12-0014</t>
        </is>
      </c>
      <c r="C517" s="713" t="n"/>
      <c r="D517" s="714" t="n"/>
      <c r="E517" s="721" t="inlineStr">
        <is>
          <t>PORCELANATO 60X60 // PORCELANATO SOHO 60X60</t>
        </is>
      </c>
      <c r="F517" s="716" t="inlineStr">
        <is>
          <t>M2</t>
        </is>
      </c>
      <c r="G517" s="717" t="n">
        <v>6474.3764</v>
      </c>
      <c r="H517" s="718">
        <f>+G517*1.13</f>
        <v/>
      </c>
      <c r="I517" s="702" t="inlineStr">
        <is>
          <t>✓✓</t>
        </is>
      </c>
    </row>
    <row r="518">
      <c r="A518" s="722" t="n"/>
      <c r="B518" s="36" t="inlineStr">
        <is>
          <t>M12-0014</t>
        </is>
      </c>
      <c r="C518" s="713" t="n"/>
      <c r="D518" s="714" t="n"/>
      <c r="E518" s="721" t="inlineStr">
        <is>
          <t>PORCELANATO 60X60 // PORCELANATO NEBRASKA BLANCO 60X60</t>
        </is>
      </c>
      <c r="F518" s="716" t="inlineStr">
        <is>
          <t>M2</t>
        </is>
      </c>
      <c r="G518" s="717" t="n">
        <v>6679.3312</v>
      </c>
      <c r="H518" s="718">
        <f>+G518*1.13</f>
        <v/>
      </c>
      <c r="I518" s="702" t="inlineStr">
        <is>
          <t>✓✓</t>
        </is>
      </c>
    </row>
    <row r="519">
      <c r="A519" s="722" t="n"/>
      <c r="B519" s="36" t="inlineStr">
        <is>
          <t>M12-0014</t>
        </is>
      </c>
      <c r="C519" s="713" t="n"/>
      <c r="D519" s="714" t="n"/>
      <c r="E519" s="721" t="inlineStr">
        <is>
          <t>PORCELANATO 60X60 // PORCELANATO MIRAMAR 60X60</t>
        </is>
      </c>
      <c r="F519" s="716" t="inlineStr">
        <is>
          <t>M2</t>
        </is>
      </c>
      <c r="G519" s="717" t="n">
        <v>6013.1</v>
      </c>
      <c r="H519" s="718">
        <f>+G519*1.13</f>
        <v/>
      </c>
      <c r="I519" s="702" t="inlineStr">
        <is>
          <t>✓✓</t>
        </is>
      </c>
    </row>
    <row r="520">
      <c r="A520" s="722" t="n"/>
      <c r="B520" s="36" t="inlineStr">
        <is>
          <t>M12-0014</t>
        </is>
      </c>
      <c r="C520" s="713" t="n"/>
      <c r="D520" s="714" t="n"/>
      <c r="E520" s="721" t="inlineStr">
        <is>
          <t>PORCELANATO 60X60 // PORCELANATO JBN BRUSELAS PERLA MATE 60X60 RECT</t>
        </is>
      </c>
      <c r="F520" s="716" t="inlineStr">
        <is>
          <t>M2</t>
        </is>
      </c>
      <c r="G520" s="717" t="n">
        <v>7497</v>
      </c>
      <c r="H520" s="718">
        <f>+G520*1.13</f>
        <v/>
      </c>
      <c r="I520" s="702" t="inlineStr">
        <is>
          <t>✓✓</t>
        </is>
      </c>
    </row>
    <row r="521">
      <c r="A521" s="722" t="n"/>
      <c r="B521" s="36" t="inlineStr">
        <is>
          <t>M12-0014</t>
        </is>
      </c>
      <c r="C521" s="713" t="n"/>
      <c r="D521" s="714" t="n"/>
      <c r="E521" s="721" t="inlineStr">
        <is>
          <t>PORCELANATO 60X60 // PORCELANATO ITALIA 60X60</t>
        </is>
      </c>
      <c r="F521" s="716" t="inlineStr">
        <is>
          <t>M2</t>
        </is>
      </c>
      <c r="G521" s="717" t="n">
        <v>7035.3982</v>
      </c>
      <c r="H521" s="718">
        <f>+G521*1.13</f>
        <v/>
      </c>
      <c r="I521" s="702" t="inlineStr">
        <is>
          <t>✓✓</t>
        </is>
      </c>
    </row>
    <row r="522">
      <c r="A522" s="722" t="n"/>
      <c r="B522" s="36" t="inlineStr">
        <is>
          <t>M12-0014</t>
        </is>
      </c>
      <c r="C522" s="713" t="n"/>
      <c r="D522" s="714" t="n"/>
      <c r="E522" s="721" t="inlineStr">
        <is>
          <t>PORCELANATO 60X60 // PORCELANATO AVORIO 60X60</t>
        </is>
      </c>
      <c r="F522" s="716" t="inlineStr">
        <is>
          <t>M2</t>
        </is>
      </c>
      <c r="G522" s="717" t="n">
        <v>7075</v>
      </c>
      <c r="H522" s="718">
        <f>+G522*1.13</f>
        <v/>
      </c>
      <c r="I522" s="702" t="inlineStr">
        <is>
          <t>✓✓</t>
        </is>
      </c>
    </row>
    <row r="523">
      <c r="A523" s="731" t="inlineStr">
        <is>
          <t xml:space="preserve">MAT14-0037 RIEL INFERIOR DOBLE GUIA ACL-RIN09-200CM </t>
        </is>
      </c>
      <c r="B523" s="36" t="inlineStr">
        <is>
          <t>M12-0014</t>
        </is>
      </c>
      <c r="C523" s="713" t="n"/>
      <c r="D523" s="714" t="n"/>
      <c r="E523" s="721" t="inlineStr">
        <is>
          <t>PORCELANATO 60X60 // PORCELANATO AURA 60X60</t>
        </is>
      </c>
      <c r="F523" s="716" t="inlineStr">
        <is>
          <t>M3</t>
        </is>
      </c>
      <c r="G523" s="717" t="n">
        <v>7077.4392</v>
      </c>
      <c r="H523" s="718">
        <f>+G523*1.13</f>
        <v/>
      </c>
      <c r="I523" s="702" t="inlineStr">
        <is>
          <t>✓✓</t>
        </is>
      </c>
    </row>
    <row r="524">
      <c r="A524" s="722" t="n"/>
      <c r="B524" s="36" t="inlineStr">
        <is>
          <t>M12-0014</t>
        </is>
      </c>
      <c r="C524" s="713" t="n"/>
      <c r="D524" s="714" t="n"/>
      <c r="E524" s="721" t="inlineStr">
        <is>
          <t>PORCELANATO 60X60</t>
        </is>
      </c>
      <c r="F524" s="716" t="inlineStr">
        <is>
          <t>M2</t>
        </is>
      </c>
      <c r="G524" s="717" t="n">
        <v>7456.9625</v>
      </c>
      <c r="H524" s="718">
        <f>+G524*1.13</f>
        <v/>
      </c>
      <c r="I524" s="702" t="inlineStr">
        <is>
          <t>✓✓</t>
        </is>
      </c>
    </row>
    <row r="525">
      <c r="A525" s="722" t="n"/>
      <c r="B525" s="36" t="inlineStr">
        <is>
          <t>M13-0001</t>
        </is>
      </c>
      <c r="C525" s="713" t="n"/>
      <c r="D525" s="714" t="n"/>
      <c r="E525" s="721" t="inlineStr">
        <is>
          <t>CAJA DE 1/2" DE PROTECCION AGUA HF FUNIDADELIMA</t>
        </is>
      </c>
      <c r="F525" s="716" t="inlineStr">
        <is>
          <t>UND</t>
        </is>
      </c>
      <c r="G525" s="717" t="n">
        <v>14900</v>
      </c>
      <c r="H525" s="718">
        <f>+G525*1.13</f>
        <v/>
      </c>
      <c r="I525" s="702" t="inlineStr">
        <is>
          <t>✓✓</t>
        </is>
      </c>
    </row>
    <row r="526">
      <c r="A526" s="749" t="n"/>
      <c r="B526" s="36" t="inlineStr">
        <is>
          <t>M13-0001</t>
        </is>
      </c>
      <c r="C526" s="713" t="n"/>
      <c r="D526" s="714" t="n"/>
      <c r="E526" s="721" t="inlineStr">
        <is>
          <t>CAJA DE 1/2" DE PROTECCION AGUA HF FUNIDADELIMA</t>
        </is>
      </c>
      <c r="F526" s="716" t="inlineStr">
        <is>
          <t>UND</t>
        </is>
      </c>
      <c r="G526" s="717" t="n">
        <v>15800</v>
      </c>
      <c r="H526" s="718">
        <f>+G526*1.13</f>
        <v/>
      </c>
      <c r="I526" s="702" t="inlineStr">
        <is>
          <t>✓✓</t>
        </is>
      </c>
    </row>
    <row r="527">
      <c r="A527" s="731" t="inlineStr">
        <is>
          <t>MAT1499 RODILLO PARA FELPA</t>
        </is>
      </c>
      <c r="B527" s="36" t="inlineStr">
        <is>
          <t>M13-0002</t>
        </is>
      </c>
      <c r="C527" s="713" t="n"/>
      <c r="D527" s="714" t="n"/>
      <c r="E527" s="721" t="inlineStr">
        <is>
          <t>DESATORADOR</t>
        </is>
      </c>
      <c r="F527" s="716" t="inlineStr">
        <is>
          <t>LITRO</t>
        </is>
      </c>
      <c r="G527" s="717" t="n">
        <v>6720</v>
      </c>
      <c r="H527" s="718">
        <f>+G527*1.13</f>
        <v/>
      </c>
      <c r="I527" s="46" t="n"/>
    </row>
    <row r="528">
      <c r="A528" s="732" t="n"/>
      <c r="B528" s="36" t="inlineStr">
        <is>
          <t>M13-0003</t>
        </is>
      </c>
      <c r="C528" s="713" t="n"/>
      <c r="D528" s="714" t="n"/>
      <c r="E528" s="721" t="inlineStr">
        <is>
          <t>HIDROMETRO DE 1/2Q (12MM) ENCAPSULADO ROSCADO ARAD</t>
        </is>
      </c>
      <c r="F528" s="716" t="inlineStr">
        <is>
          <t>UND</t>
        </is>
      </c>
      <c r="G528" s="717" t="n">
        <v>15500</v>
      </c>
      <c r="H528" s="718">
        <f>+G528*1.13</f>
        <v/>
      </c>
      <c r="I528" s="702" t="inlineStr">
        <is>
          <t>✓✓</t>
        </is>
      </c>
    </row>
    <row r="529">
      <c r="A529" s="722" t="n"/>
      <c r="B529" s="36" t="inlineStr">
        <is>
          <t>M13-0004</t>
        </is>
      </c>
      <c r="C529" s="713" t="n"/>
      <c r="D529" s="714" t="n"/>
      <c r="E529" s="721" t="inlineStr">
        <is>
          <t>MANGUERA ABASTO  (1/2 A 1/2)</t>
        </is>
      </c>
      <c r="F529" s="716" t="inlineStr">
        <is>
          <t>UND</t>
        </is>
      </c>
      <c r="G529" s="717" t="n">
        <v>2094.61</v>
      </c>
      <c r="H529" s="718">
        <f>+G529*1.13</f>
        <v/>
      </c>
      <c r="I529" s="702" t="inlineStr">
        <is>
          <t>✓✓</t>
        </is>
      </c>
    </row>
    <row r="530">
      <c r="A530" s="731" t="inlineStr">
        <is>
          <t>MAT16-0001 ANTICORROSIVO MINIO AZUL</t>
        </is>
      </c>
      <c r="B530" s="36" t="inlineStr">
        <is>
          <t>M13-0005</t>
        </is>
      </c>
      <c r="C530" s="713" t="n"/>
      <c r="D530" s="714" t="n"/>
      <c r="E530" s="721" t="inlineStr">
        <is>
          <t>NIPLE 1/2X3 H.G.</t>
        </is>
      </c>
      <c r="F530" s="716" t="inlineStr">
        <is>
          <t>UND</t>
        </is>
      </c>
      <c r="G530" s="717" t="n">
        <v>601.95</v>
      </c>
      <c r="H530" s="718">
        <f>+G530*1.13</f>
        <v/>
      </c>
      <c r="I530" s="46" t="n"/>
    </row>
    <row r="531">
      <c r="A531" s="731" t="inlineStr">
        <is>
          <t>MAT16-0002 ANTICORROSIVO MINIO ROJO</t>
        </is>
      </c>
      <c r="B531" s="36" t="inlineStr">
        <is>
          <t>M13-0006</t>
        </is>
      </c>
      <c r="C531" s="713" t="n"/>
      <c r="D531" s="714" t="n"/>
      <c r="E531" s="721" t="inlineStr">
        <is>
          <t>NIPLE 1/2X4 HG</t>
        </is>
      </c>
      <c r="F531" s="716" t="inlineStr">
        <is>
          <t>UND</t>
        </is>
      </c>
      <c r="G531" s="717" t="n">
        <v>212.93</v>
      </c>
      <c r="H531" s="718">
        <f>+G531*1.13</f>
        <v/>
      </c>
      <c r="I531" s="46" t="n"/>
    </row>
    <row r="532">
      <c r="A532" s="722" t="n"/>
      <c r="B532" s="36" t="inlineStr">
        <is>
          <t>M13-0007</t>
        </is>
      </c>
      <c r="C532" s="713" t="n"/>
      <c r="D532" s="714" t="n"/>
      <c r="E532" s="721" t="inlineStr">
        <is>
          <t>TEFLON CINTA 1/2  (10M)</t>
        </is>
      </c>
      <c r="F532" s="716" t="inlineStr">
        <is>
          <t>UND</t>
        </is>
      </c>
      <c r="G532" s="717" t="n">
        <v>169.91</v>
      </c>
      <c r="H532" s="718">
        <f>+G532*1.13</f>
        <v/>
      </c>
      <c r="I532" s="702" t="inlineStr">
        <is>
          <t>✓✓</t>
        </is>
      </c>
    </row>
    <row r="533">
      <c r="A533" s="732" t="n"/>
      <c r="B533" s="36" t="inlineStr">
        <is>
          <t>M13-0012</t>
        </is>
      </c>
      <c r="C533" s="713" t="n"/>
      <c r="D533" s="714" t="n"/>
      <c r="E533" s="721" t="inlineStr">
        <is>
          <t>NIPLE CROMADO 1/2X3.5</t>
        </is>
      </c>
      <c r="F533" s="716" t="inlineStr">
        <is>
          <t>%MO</t>
        </is>
      </c>
      <c r="G533" s="717" t="n">
        <v>815.1</v>
      </c>
      <c r="H533" s="718">
        <f>+G533*1.13</f>
        <v/>
      </c>
      <c r="I533" s="702" t="inlineStr">
        <is>
          <t>✓✓</t>
        </is>
      </c>
    </row>
    <row r="534">
      <c r="A534" s="722" t="n"/>
      <c r="B534" s="36" t="inlineStr">
        <is>
          <t>M13-0013</t>
        </is>
      </c>
      <c r="C534" s="713" t="n"/>
      <c r="D534" s="714" t="n"/>
      <c r="E534" s="721" t="inlineStr">
        <is>
          <t>NIPLE DE HIERRO CROMADO 1/2X10PULG</t>
        </is>
      </c>
      <c r="F534" s="716" t="inlineStr">
        <is>
          <t>UND</t>
        </is>
      </c>
      <c r="G534" s="717" t="n">
        <v>1309.1</v>
      </c>
      <c r="H534" s="718">
        <f>+G534*1.13</f>
        <v/>
      </c>
      <c r="I534" s="702" t="inlineStr">
        <is>
          <t>✓✓</t>
        </is>
      </c>
    </row>
    <row r="535">
      <c r="A535" s="732" t="n"/>
      <c r="B535" s="36" t="inlineStr">
        <is>
          <t>M13-0014</t>
        </is>
      </c>
      <c r="C535" s="713" t="n"/>
      <c r="D535" s="714" t="n"/>
      <c r="E535" s="721" t="inlineStr">
        <is>
          <t>NIPLE DE HIERRO CROMADO 1/2X2PULG</t>
        </is>
      </c>
      <c r="F535" s="716" t="inlineStr">
        <is>
          <t>UND</t>
        </is>
      </c>
      <c r="G535" s="717" t="n">
        <v>361.45</v>
      </c>
      <c r="H535" s="718">
        <f>+G535*1.13</f>
        <v/>
      </c>
      <c r="I535" s="702" t="inlineStr">
        <is>
          <t>✓✓</t>
        </is>
      </c>
    </row>
    <row r="536">
      <c r="A536" s="749" t="n"/>
      <c r="B536" s="36" t="inlineStr">
        <is>
          <t>M13-0015</t>
        </is>
      </c>
      <c r="C536" s="713" t="n"/>
      <c r="D536" s="714" t="n"/>
      <c r="E536" s="721" t="inlineStr">
        <is>
          <t>CODO 90X1/2 PULG HIERRO CROMADO</t>
        </is>
      </c>
      <c r="F536" s="716" t="inlineStr">
        <is>
          <t>UND</t>
        </is>
      </c>
      <c r="G536" s="717" t="n">
        <v>439.19</v>
      </c>
      <c r="H536" s="718">
        <f>+G536*1.13</f>
        <v/>
      </c>
      <c r="I536" s="702" t="inlineStr">
        <is>
          <t>✓✓</t>
        </is>
      </c>
    </row>
    <row r="537">
      <c r="A537" s="749" t="n"/>
      <c r="B537" s="36" t="inlineStr">
        <is>
          <t>M13-0021</t>
        </is>
      </c>
      <c r="C537" s="713" t="n"/>
      <c r="D537" s="714" t="n"/>
      <c r="E537" s="721" t="inlineStr">
        <is>
          <t>TEFLON CINTA 3/4 (10M)</t>
        </is>
      </c>
      <c r="F537" s="716" t="inlineStr">
        <is>
          <t>UND</t>
        </is>
      </c>
      <c r="G537" s="717" t="n">
        <v>295.52</v>
      </c>
      <c r="H537" s="718">
        <f>+G537*1.13</f>
        <v/>
      </c>
      <c r="I537" s="702" t="inlineStr">
        <is>
          <t>✓✓</t>
        </is>
      </c>
    </row>
    <row r="538">
      <c r="A538" s="749" t="n"/>
      <c r="B538" s="776" t="inlineStr">
        <is>
          <t>M13-0034</t>
        </is>
      </c>
      <c r="C538" s="713" t="n"/>
      <c r="D538" s="714" t="n"/>
      <c r="E538" s="777" t="inlineStr">
        <is>
          <t>TEE HG 1/2"</t>
        </is>
      </c>
      <c r="F538" s="778" t="inlineStr">
        <is>
          <t>UND</t>
        </is>
      </c>
      <c r="G538" s="779" t="n">
        <v>327.59</v>
      </c>
      <c r="H538" s="780">
        <f>+G538*1.13</f>
        <v/>
      </c>
      <c r="I538" s="702" t="inlineStr">
        <is>
          <t>✓✓</t>
        </is>
      </c>
    </row>
    <row r="539">
      <c r="A539" s="749" t="n"/>
      <c r="B539" s="36" t="inlineStr">
        <is>
          <t>M13-0037</t>
        </is>
      </c>
      <c r="C539" s="713" t="n"/>
      <c r="D539" s="714" t="n"/>
      <c r="E539" s="721" t="inlineStr">
        <is>
          <t>CODO 1/2X90 HG</t>
        </is>
      </c>
      <c r="F539" s="716" t="inlineStr">
        <is>
          <t>UND</t>
        </is>
      </c>
      <c r="G539" s="717" t="n">
        <v>427.52</v>
      </c>
      <c r="H539" s="718">
        <f>+G539*1.13</f>
        <v/>
      </c>
      <c r="I539" s="702" t="inlineStr">
        <is>
          <t>✓✓</t>
        </is>
      </c>
    </row>
    <row r="540">
      <c r="A540" s="722" t="n"/>
      <c r="B540" s="36" t="inlineStr">
        <is>
          <t>M13-0038</t>
        </is>
      </c>
      <c r="C540" s="713" t="n"/>
      <c r="D540" s="714" t="n"/>
      <c r="E540" s="721" t="inlineStr">
        <is>
          <t>CODO 90 HG 1/2"</t>
        </is>
      </c>
      <c r="F540" s="716" t="inlineStr">
        <is>
          <t>UND</t>
        </is>
      </c>
      <c r="G540" s="717" t="n">
        <v>226.94</v>
      </c>
      <c r="H540" s="718">
        <f>+G540*1.13</f>
        <v/>
      </c>
      <c r="I540" s="702" t="inlineStr">
        <is>
          <t>✓✓</t>
        </is>
      </c>
    </row>
    <row r="541">
      <c r="A541" s="722" t="n"/>
      <c r="B541" s="36" t="inlineStr">
        <is>
          <t>M13-0039</t>
        </is>
      </c>
      <c r="C541" s="713" t="n"/>
      <c r="D541" s="714" t="n"/>
      <c r="E541" s="721" t="inlineStr">
        <is>
          <t>UNION HG 1/2</t>
        </is>
      </c>
      <c r="F541" s="716" t="inlineStr">
        <is>
          <t>UND</t>
        </is>
      </c>
      <c r="G541" s="717" t="n">
        <v>190</v>
      </c>
      <c r="H541" s="718">
        <f>+G541*1.13</f>
        <v/>
      </c>
      <c r="I541" s="702" t="inlineStr">
        <is>
          <t>✓✓</t>
        </is>
      </c>
    </row>
    <row r="542">
      <c r="A542" s="722" t="n"/>
      <c r="B542" s="36" t="inlineStr">
        <is>
          <t>M13-0041</t>
        </is>
      </c>
      <c r="C542" s="713" t="n"/>
      <c r="D542" s="714" t="n"/>
      <c r="E542" s="721" t="inlineStr">
        <is>
          <t>FLANGER DE 2 PULGADAS A 1 1/2 PULGADAS PARA SALIDA DEL TANQUE</t>
        </is>
      </c>
      <c r="F542" s="716" t="inlineStr">
        <is>
          <t>UND</t>
        </is>
      </c>
      <c r="G542" s="717" t="n">
        <v>4513</v>
      </c>
      <c r="H542" s="718">
        <f>+G542*1.13</f>
        <v/>
      </c>
      <c r="I542" s="702" t="inlineStr">
        <is>
          <t>✓✓</t>
        </is>
      </c>
    </row>
    <row r="543">
      <c r="A543" s="749" t="n"/>
      <c r="B543" s="36" t="inlineStr">
        <is>
          <t>M13-0044</t>
        </is>
      </c>
      <c r="C543" s="713" t="n"/>
      <c r="D543" s="714" t="n"/>
      <c r="E543" s="721" t="inlineStr">
        <is>
          <t>CALENTADOR INSTANTANEO KRONOX 12000 W/240 V</t>
        </is>
      </c>
      <c r="F543" s="716" t="inlineStr">
        <is>
          <t>UND</t>
        </is>
      </c>
      <c r="G543" s="717" t="n">
        <v>173100</v>
      </c>
      <c r="H543" s="718">
        <f>+G543*1.13</f>
        <v/>
      </c>
      <c r="I543" s="702" t="inlineStr">
        <is>
          <t>✓✓</t>
        </is>
      </c>
    </row>
    <row r="544">
      <c r="A544" s="749" t="n"/>
      <c r="B544" s="36" t="inlineStr">
        <is>
          <t>M13-0045</t>
        </is>
      </c>
      <c r="C544" s="713" t="n"/>
      <c r="D544" s="714" t="n"/>
      <c r="E544" s="721" t="inlineStr">
        <is>
          <t>EXTENSION METALICA PARA SIFON 1 -1/4X8</t>
        </is>
      </c>
      <c r="F544" s="716" t="inlineStr">
        <is>
          <t>UND</t>
        </is>
      </c>
      <c r="G544" s="717" t="n">
        <v>969.17</v>
      </c>
      <c r="H544" s="718">
        <f>+G544*1.13</f>
        <v/>
      </c>
      <c r="I544" s="702" t="inlineStr">
        <is>
          <t>✓✓</t>
        </is>
      </c>
    </row>
    <row r="545">
      <c r="A545" s="749" t="n"/>
      <c r="B545" s="36" t="inlineStr">
        <is>
          <t>M13-0046</t>
        </is>
      </c>
      <c r="C545" s="713" t="n"/>
      <c r="D545" s="714" t="n"/>
      <c r="E545" s="721" t="inlineStr">
        <is>
          <t>SIFON PARED 1-1/4" METALICO COFLEX</t>
        </is>
      </c>
      <c r="F545" s="716" t="inlineStr">
        <is>
          <t>UND</t>
        </is>
      </c>
      <c r="G545" s="717" t="n">
        <v>4550</v>
      </c>
      <c r="H545" s="718">
        <f>+G545*1.13</f>
        <v/>
      </c>
      <c r="I545" s="702" t="inlineStr">
        <is>
          <t>✓✓</t>
        </is>
      </c>
    </row>
    <row r="546">
      <c r="A546" s="749" t="n"/>
      <c r="B546" s="36" t="inlineStr">
        <is>
          <t>M13-0048</t>
        </is>
      </c>
      <c r="C546" s="713" t="n"/>
      <c r="D546" s="714" t="n"/>
      <c r="E546" s="721" t="inlineStr">
        <is>
          <t>SIFON SIN REGISTRO P.D. 2 (SANITARIO)</t>
        </is>
      </c>
      <c r="F546" s="716" t="inlineStr">
        <is>
          <t>UND</t>
        </is>
      </c>
      <c r="G546" s="717" t="n">
        <v>3200.75</v>
      </c>
      <c r="H546" s="718">
        <f>+G546*1.13</f>
        <v/>
      </c>
      <c r="I546" s="702" t="inlineStr">
        <is>
          <t>✓✓</t>
        </is>
      </c>
    </row>
    <row r="547">
      <c r="A547" s="749" t="n"/>
      <c r="B547" s="36" t="inlineStr">
        <is>
          <t>M13-0053</t>
        </is>
      </c>
      <c r="C547" s="713" t="n"/>
      <c r="D547" s="714" t="n"/>
      <c r="E547" s="721" t="inlineStr">
        <is>
          <t>LLAVE DE CONTROL ESCUADRA 1/2 A 1/2</t>
        </is>
      </c>
      <c r="F547" s="716" t="inlineStr">
        <is>
          <t>UND</t>
        </is>
      </c>
      <c r="G547" s="717" t="n">
        <v>3398.23</v>
      </c>
      <c r="H547" s="718">
        <f>+G547*1.13</f>
        <v/>
      </c>
      <c r="I547" s="702" t="inlineStr">
        <is>
          <t>✓✓</t>
        </is>
      </c>
    </row>
    <row r="548">
      <c r="A548" s="731" t="inlineStr">
        <is>
          <t xml:space="preserve">MAT16-0056 PINTURA SUPER DRY DEEP CAFE </t>
        </is>
      </c>
      <c r="B548" s="36" t="inlineStr">
        <is>
          <t>M13-0055</t>
        </is>
      </c>
      <c r="C548" s="713" t="n"/>
      <c r="D548" s="714" t="n"/>
      <c r="E548" s="721" t="inlineStr">
        <is>
          <t>LLAVE CONTROL ESCUADRA 1/2 X 3/8</t>
        </is>
      </c>
      <c r="F548" s="716" t="inlineStr">
        <is>
          <t>UND</t>
        </is>
      </c>
      <c r="G548" s="717" t="n">
        <v>2950</v>
      </c>
      <c r="H548" s="718">
        <f>+G548*1.13</f>
        <v/>
      </c>
      <c r="I548" s="46" t="n"/>
    </row>
    <row r="549">
      <c r="A549" s="722" t="n"/>
      <c r="B549" s="36" t="inlineStr">
        <is>
          <t>M13-0057</t>
        </is>
      </c>
      <c r="C549" s="713" t="n"/>
      <c r="D549" s="714" t="n"/>
      <c r="E549" s="721" t="inlineStr">
        <is>
          <t>ACOPLE MACHO DE POLIETILENO 12MM</t>
        </is>
      </c>
      <c r="F549" s="716" t="inlineStr">
        <is>
          <t>UND</t>
        </is>
      </c>
      <c r="G549" s="717" t="n">
        <v>2214</v>
      </c>
      <c r="H549" s="718">
        <f>+G549*1.13</f>
        <v/>
      </c>
      <c r="I549" s="702" t="inlineStr">
        <is>
          <t>✓✓</t>
        </is>
      </c>
    </row>
    <row r="550">
      <c r="A550" s="722" t="n"/>
      <c r="B550" s="36" t="inlineStr">
        <is>
          <t>M13-0058</t>
        </is>
      </c>
      <c r="C550" s="327" t="n"/>
      <c r="D550" s="752" t="n"/>
      <c r="E550" s="721" t="inlineStr">
        <is>
          <t>PILA Y MUEBLE FIBRA DE VIDRIO TANQUE IZQUIERDO/50X70CM</t>
        </is>
      </c>
      <c r="F550" s="716" t="inlineStr">
        <is>
          <t>UND</t>
        </is>
      </c>
      <c r="G550" s="717" t="n">
        <v>79646.00999999999</v>
      </c>
      <c r="H550" s="718">
        <f>+G550*1.13</f>
        <v/>
      </c>
      <c r="I550" s="702" t="inlineStr">
        <is>
          <t>✓✓</t>
        </is>
      </c>
    </row>
    <row r="551">
      <c r="A551" s="722" t="n"/>
      <c r="B551" s="36" t="inlineStr">
        <is>
          <t>M13-0059</t>
        </is>
      </c>
      <c r="C551" s="327" t="n"/>
      <c r="D551" s="752" t="n"/>
      <c r="E551" s="721" t="inlineStr">
        <is>
          <t>PILA Y MUEBLE FIBRA DE VIDRIO TANQUE DERECHO/50X70CM</t>
        </is>
      </c>
      <c r="F551" s="716" t="inlineStr">
        <is>
          <t>UND</t>
        </is>
      </c>
      <c r="G551" s="717" t="n">
        <v>79646.00999999999</v>
      </c>
      <c r="H551" s="718">
        <f>+G551*1.13</f>
        <v/>
      </c>
      <c r="I551" s="702" t="inlineStr">
        <is>
          <t>✓✓</t>
        </is>
      </c>
    </row>
    <row r="552">
      <c r="A552" s="722" t="n"/>
      <c r="B552" s="36" t="inlineStr">
        <is>
          <t>M13-0060</t>
        </is>
      </c>
      <c r="C552" s="713" t="n"/>
      <c r="D552" s="714" t="n"/>
      <c r="E552" s="721" t="inlineStr">
        <is>
          <t>TRAMPA PARA GRASA 4"</t>
        </is>
      </c>
      <c r="F552" s="716" t="inlineStr">
        <is>
          <t>UND</t>
        </is>
      </c>
      <c r="G552" s="717" t="n">
        <v>6270</v>
      </c>
      <c r="H552" s="718">
        <f>+G552*1.13</f>
        <v/>
      </c>
      <c r="I552" s="702" t="inlineStr">
        <is>
          <t>✓✓</t>
        </is>
      </c>
    </row>
    <row r="553">
      <c r="A553" s="722" t="n"/>
      <c r="B553" s="36" t="inlineStr">
        <is>
          <t>M13-0061</t>
        </is>
      </c>
      <c r="C553" s="713" t="n"/>
      <c r="D553" s="714" t="n"/>
      <c r="E553" s="721" t="inlineStr">
        <is>
          <t>CAJA REGISTRO 30X30 PARA VARILLA COOPERWELL</t>
        </is>
      </c>
      <c r="F553" s="716" t="inlineStr">
        <is>
          <t>UND</t>
        </is>
      </c>
      <c r="G553" s="717" t="n">
        <v>3511.6</v>
      </c>
      <c r="H553" s="718">
        <f>+G553*1.13</f>
        <v/>
      </c>
      <c r="I553" s="702" t="inlineStr">
        <is>
          <t>✓✓</t>
        </is>
      </c>
    </row>
    <row r="554">
      <c r="A554" s="722" t="n"/>
      <c r="B554" s="36" t="inlineStr">
        <is>
          <t>M13-0062</t>
        </is>
      </c>
      <c r="C554" s="713" t="n"/>
      <c r="D554" s="714" t="n"/>
      <c r="E554" s="721" t="inlineStr">
        <is>
          <t>CAJA PARA LAVADORA</t>
        </is>
      </c>
      <c r="F554" s="716" t="inlineStr">
        <is>
          <t>UND</t>
        </is>
      </c>
      <c r="G554" s="717" t="n">
        <v>19026.98</v>
      </c>
      <c r="H554" s="718">
        <f>+G554*1.13</f>
        <v/>
      </c>
      <c r="I554" s="702" t="inlineStr">
        <is>
          <t>✓✓</t>
        </is>
      </c>
    </row>
    <row r="555">
      <c r="A555" s="722" t="n"/>
      <c r="B555" s="36" t="inlineStr">
        <is>
          <t>M13-0069</t>
        </is>
      </c>
      <c r="C555" s="713" t="n"/>
      <c r="D555" s="714" t="n"/>
      <c r="E555" s="721" t="inlineStr">
        <is>
          <t>TANQUE TRICAPA 750L</t>
        </is>
      </c>
      <c r="F555" s="716" t="inlineStr">
        <is>
          <t>UND</t>
        </is>
      </c>
      <c r="G555" s="717" t="n">
        <v>107842.91</v>
      </c>
      <c r="H555" s="718">
        <f>+G555*1.13</f>
        <v/>
      </c>
      <c r="I555" s="702" t="inlineStr">
        <is>
          <t>✓✓</t>
        </is>
      </c>
    </row>
    <row r="556">
      <c r="A556" s="722" t="n"/>
      <c r="B556" s="36" t="inlineStr">
        <is>
          <t>M13-0072</t>
        </is>
      </c>
      <c r="C556" s="713" t="n"/>
      <c r="D556" s="714" t="n"/>
      <c r="E556" s="721" t="inlineStr">
        <is>
          <t>BRIDA FLEXIBLE 3"  PVC</t>
        </is>
      </c>
      <c r="F556" s="716" t="inlineStr">
        <is>
          <t>UND</t>
        </is>
      </c>
      <c r="G556" s="717" t="n">
        <v>3647</v>
      </c>
      <c r="H556" s="718">
        <f>+G556*1.13</f>
        <v/>
      </c>
      <c r="I556" s="702" t="inlineStr">
        <is>
          <t>✓✓</t>
        </is>
      </c>
    </row>
    <row r="557">
      <c r="A557" s="749" t="n"/>
      <c r="B557" s="36" t="inlineStr">
        <is>
          <t>M13-0079</t>
        </is>
      </c>
      <c r="C557" s="713" t="n"/>
      <c r="D557" s="714" t="n"/>
      <c r="E557" s="721" t="inlineStr">
        <is>
          <t>TUBO RED 1-1/2"X1.50 HN</t>
        </is>
      </c>
      <c r="F557" s="716" t="inlineStr">
        <is>
          <t>UND</t>
        </is>
      </c>
      <c r="G557" s="717" t="n">
        <v>6638</v>
      </c>
      <c r="H557" s="718">
        <f>+G557*1.13</f>
        <v/>
      </c>
      <c r="I557" s="702" t="inlineStr">
        <is>
          <t>✓✓</t>
        </is>
      </c>
    </row>
    <row r="558">
      <c r="A558" s="731" t="inlineStr">
        <is>
          <t xml:space="preserve">MAT16-0083 ANTICORROSIVO MINIO BLANCO </t>
        </is>
      </c>
      <c r="B558" s="36" t="inlineStr">
        <is>
          <t>M13-0088</t>
        </is>
      </c>
      <c r="C558" s="713" t="n"/>
      <c r="D558" s="714" t="n"/>
      <c r="E558" s="721" t="inlineStr">
        <is>
          <t>TUBO RED 11/4X1.8 HN</t>
        </is>
      </c>
      <c r="F558" s="716" t="inlineStr">
        <is>
          <t>UND</t>
        </is>
      </c>
      <c r="G558" s="717" t="n">
        <v>11980</v>
      </c>
      <c r="H558" s="718">
        <f>+G558*1.13</f>
        <v/>
      </c>
      <c r="I558" s="46" t="n"/>
    </row>
    <row r="559">
      <c r="A559" s="722" t="n"/>
      <c r="B559" s="36" t="inlineStr">
        <is>
          <t>M13-0089</t>
        </is>
      </c>
      <c r="C559" s="713" t="n"/>
      <c r="D559" s="714" t="n"/>
      <c r="E559" s="721" t="inlineStr">
        <is>
          <t>ADAPTADOR HEMBRA CPVC 1/2"</t>
        </is>
      </c>
      <c r="F559" s="716" t="inlineStr">
        <is>
          <t>UND</t>
        </is>
      </c>
      <c r="G559" s="717" t="n">
        <v>682.5</v>
      </c>
      <c r="H559" s="718">
        <f>+G559*1.13</f>
        <v/>
      </c>
      <c r="I559" s="702" t="inlineStr">
        <is>
          <t>✓✓</t>
        </is>
      </c>
    </row>
    <row r="560">
      <c r="A560" s="749" t="n"/>
      <c r="B560" s="36" t="inlineStr">
        <is>
          <t>M13-0090</t>
        </is>
      </c>
      <c r="C560" s="713" t="n"/>
      <c r="D560" s="714" t="n"/>
      <c r="E560" s="721" t="inlineStr">
        <is>
          <t>ADAPTADOR MACHO CPVC 1/2"</t>
        </is>
      </c>
      <c r="F560" s="716" t="inlineStr">
        <is>
          <t>UND</t>
        </is>
      </c>
      <c r="G560" s="717" t="n">
        <v>215.75</v>
      </c>
      <c r="H560" s="718">
        <f>+G560*1.13</f>
        <v/>
      </c>
      <c r="I560" s="702" t="inlineStr">
        <is>
          <t>✓✓</t>
        </is>
      </c>
    </row>
    <row r="561">
      <c r="A561" s="722" t="n"/>
      <c r="B561" s="36" t="inlineStr">
        <is>
          <t>M13-0091</t>
        </is>
      </c>
      <c r="C561" s="713" t="n"/>
      <c r="D561" s="714" t="n"/>
      <c r="E561" s="721" t="inlineStr">
        <is>
          <t>ADAPTADOR MACHO PVC 1/2"</t>
        </is>
      </c>
      <c r="F561" s="716" t="inlineStr">
        <is>
          <t>UND</t>
        </is>
      </c>
      <c r="G561" s="717" t="n">
        <v>62.5</v>
      </c>
      <c r="H561" s="718">
        <f>+G561*1.13</f>
        <v/>
      </c>
      <c r="I561" s="702" t="inlineStr">
        <is>
          <t>✓✓</t>
        </is>
      </c>
    </row>
    <row r="562">
      <c r="A562" s="722" t="n"/>
      <c r="B562" s="36" t="inlineStr">
        <is>
          <t>M13-0092</t>
        </is>
      </c>
      <c r="C562" s="713" t="n"/>
      <c r="D562" s="714" t="n"/>
      <c r="E562" s="721" t="inlineStr">
        <is>
          <t>CODO 45 SANITARIO 2"</t>
        </is>
      </c>
      <c r="F562" s="716" t="inlineStr">
        <is>
          <t>UND</t>
        </is>
      </c>
      <c r="G562" s="717" t="n">
        <v>759.65</v>
      </c>
      <c r="H562" s="718">
        <f>+G562*1.13</f>
        <v/>
      </c>
      <c r="I562" s="702" t="inlineStr">
        <is>
          <t>✓✓</t>
        </is>
      </c>
    </row>
    <row r="563">
      <c r="A563" s="722" t="n"/>
      <c r="B563" s="36" t="inlineStr">
        <is>
          <t>M13-0093</t>
        </is>
      </c>
      <c r="C563" s="713" t="n"/>
      <c r="D563" s="714" t="n"/>
      <c r="E563" s="721" t="inlineStr">
        <is>
          <t>CODO 45 PARED DELGADA 3"</t>
        </is>
      </c>
      <c r="F563" s="716" t="inlineStr">
        <is>
          <t>UND</t>
        </is>
      </c>
      <c r="G563" s="717" t="n">
        <v>4569</v>
      </c>
      <c r="H563" s="718">
        <f>+G563*1.13</f>
        <v/>
      </c>
      <c r="I563" s="702" t="inlineStr">
        <is>
          <t>✓✓</t>
        </is>
      </c>
    </row>
    <row r="564">
      <c r="A564" s="722" t="n"/>
      <c r="B564" s="36" t="inlineStr">
        <is>
          <t>M13-0094</t>
        </is>
      </c>
      <c r="C564" s="713" t="n"/>
      <c r="D564" s="714" t="n"/>
      <c r="E564" s="721" t="inlineStr">
        <is>
          <t>CODO 90 CPVC 1/2"</t>
        </is>
      </c>
      <c r="F564" s="716" t="inlineStr">
        <is>
          <t>UND</t>
        </is>
      </c>
      <c r="G564" s="717" t="n">
        <v>202.25</v>
      </c>
      <c r="H564" s="718">
        <f>+G564*1.13</f>
        <v/>
      </c>
      <c r="I564" s="702" t="inlineStr">
        <is>
          <t>✓✓</t>
        </is>
      </c>
    </row>
    <row r="565">
      <c r="A565" s="749" t="n"/>
      <c r="B565" s="36" t="inlineStr">
        <is>
          <t>M13-0095</t>
        </is>
      </c>
      <c r="C565" s="713" t="n"/>
      <c r="D565" s="714" t="n"/>
      <c r="E565" s="721" t="inlineStr">
        <is>
          <t>CODO 90 PVC PARED DELGADA 1 1/2"</t>
        </is>
      </c>
      <c r="F565" s="716" t="inlineStr">
        <is>
          <t>UND</t>
        </is>
      </c>
      <c r="G565" s="717" t="n">
        <v>359</v>
      </c>
      <c r="H565" s="718">
        <f>+G565*1.13</f>
        <v/>
      </c>
      <c r="I565" s="702" t="inlineStr">
        <is>
          <t>✓✓</t>
        </is>
      </c>
    </row>
    <row r="566">
      <c r="A566" s="749" t="n"/>
      <c r="B566" s="36" t="inlineStr">
        <is>
          <t>M13-0096</t>
        </is>
      </c>
      <c r="C566" s="713" t="n"/>
      <c r="D566" s="714" t="n"/>
      <c r="E566" s="721" t="inlineStr">
        <is>
          <t>CODO 90 PVC PARED DELGADA 4"</t>
        </is>
      </c>
      <c r="F566" s="716" t="inlineStr">
        <is>
          <t>UND</t>
        </is>
      </c>
      <c r="G566" s="717" t="n">
        <v>2238.5</v>
      </c>
      <c r="H566" s="718">
        <f>+G566*1.13</f>
        <v/>
      </c>
      <c r="I566" s="702" t="inlineStr">
        <is>
          <t>✓✓</t>
        </is>
      </c>
    </row>
    <row r="567">
      <c r="A567" s="722" t="n"/>
      <c r="B567" s="36" t="inlineStr">
        <is>
          <t>M13-0097</t>
        </is>
      </c>
      <c r="C567" s="713" t="n"/>
      <c r="D567" s="714" t="n"/>
      <c r="E567" s="721" t="inlineStr">
        <is>
          <t>CODO 90 PVC LISO 1/2"</t>
        </is>
      </c>
      <c r="F567" s="716" t="inlineStr">
        <is>
          <t>UND</t>
        </is>
      </c>
      <c r="G567" s="717" t="n">
        <v>321</v>
      </c>
      <c r="H567" s="718">
        <f>+G567*1.13</f>
        <v/>
      </c>
      <c r="I567" s="781" t="inlineStr">
        <is>
          <t>✓✓</t>
        </is>
      </c>
    </row>
    <row r="568">
      <c r="A568" s="722" t="n"/>
      <c r="B568" s="36" t="inlineStr">
        <is>
          <t>M13-0100</t>
        </is>
      </c>
      <c r="C568" s="327" t="n"/>
      <c r="D568" s="752" t="n"/>
      <c r="E568" s="721" t="inlineStr">
        <is>
          <t>TAPON LISO CPVC 1/2"</t>
        </is>
      </c>
      <c r="F568" s="716" t="n"/>
      <c r="G568" s="717" t="n"/>
      <c r="H568" s="718" t="n"/>
      <c r="I568" s="702" t="inlineStr">
        <is>
          <t>✓✓</t>
        </is>
      </c>
    </row>
    <row r="569">
      <c r="A569" s="722" t="n"/>
      <c r="B569" s="36" t="inlineStr">
        <is>
          <t>M13-0101</t>
        </is>
      </c>
      <c r="C569" s="713" t="n"/>
      <c r="D569" s="714" t="n"/>
      <c r="E569" s="721" t="inlineStr">
        <is>
          <t>TAPON LISO PVC 1/2"</t>
        </is>
      </c>
      <c r="F569" s="716" t="inlineStr">
        <is>
          <t>UND</t>
        </is>
      </c>
      <c r="G569" s="717" t="n">
        <v>235</v>
      </c>
      <c r="H569" s="718">
        <f>+G569*1.13</f>
        <v/>
      </c>
      <c r="I569" s="702" t="inlineStr">
        <is>
          <t>✓✓</t>
        </is>
      </c>
    </row>
    <row r="570">
      <c r="A570" s="731" t="inlineStr">
        <is>
          <t>MAT16-0102 ANTICORROSIVO MINIO GRIS</t>
        </is>
      </c>
      <c r="B570" s="36" t="inlineStr">
        <is>
          <t>M13-0102</t>
        </is>
      </c>
      <c r="C570" s="713" t="n"/>
      <c r="D570" s="714" t="n"/>
      <c r="E570" s="721" t="inlineStr">
        <is>
          <t>TEE PVC 1/2" LISA</t>
        </is>
      </c>
      <c r="F570" s="716" t="inlineStr">
        <is>
          <t>UND</t>
        </is>
      </c>
      <c r="G570" s="717" t="n">
        <v>326</v>
      </c>
      <c r="H570" s="718">
        <f>+G570*1.13</f>
        <v/>
      </c>
      <c r="I570" s="46" t="n"/>
    </row>
    <row r="571">
      <c r="A571" s="722" t="n"/>
      <c r="B571" s="36" t="inlineStr">
        <is>
          <t>M13-0106</t>
        </is>
      </c>
      <c r="C571" s="713" t="n"/>
      <c r="D571" s="714" t="n"/>
      <c r="E571" s="721" t="inlineStr">
        <is>
          <t>ADAPTADOR HEMBRA PVC 1 1/2"</t>
        </is>
      </c>
      <c r="F571" s="716" t="inlineStr">
        <is>
          <t>UND</t>
        </is>
      </c>
      <c r="G571" s="717" t="n">
        <v>455.5</v>
      </c>
      <c r="H571" s="718">
        <f>+G571*1.13</f>
        <v/>
      </c>
      <c r="I571" s="46" t="n"/>
    </row>
    <row r="572">
      <c r="A572" s="722" t="n"/>
      <c r="B572" s="36" t="inlineStr">
        <is>
          <t>M13-0107</t>
        </is>
      </c>
      <c r="C572" s="713" t="n"/>
      <c r="D572" s="714" t="n"/>
      <c r="E572" s="721" t="inlineStr">
        <is>
          <t>ADAPTADOR HEMBRA PVC 1 1/4"</t>
        </is>
      </c>
      <c r="F572" s="716" t="inlineStr">
        <is>
          <t>UND</t>
        </is>
      </c>
      <c r="G572" s="717" t="n">
        <v>1783</v>
      </c>
      <c r="H572" s="718">
        <f>+G572*1.13</f>
        <v/>
      </c>
      <c r="I572" s="702" t="inlineStr">
        <is>
          <t>✓✓</t>
        </is>
      </c>
    </row>
    <row r="573">
      <c r="A573" s="722" t="n"/>
      <c r="B573" s="36" t="inlineStr">
        <is>
          <t>M13-0108</t>
        </is>
      </c>
      <c r="C573" s="713" t="n"/>
      <c r="D573" s="714" t="n"/>
      <c r="E573" s="721" t="inlineStr">
        <is>
          <t>ADAPTADOR HEMBRA PVC 1/2"</t>
        </is>
      </c>
      <c r="F573" s="716" t="inlineStr">
        <is>
          <t>UND</t>
        </is>
      </c>
      <c r="G573" s="717" t="n">
        <v>98.5</v>
      </c>
      <c r="H573" s="718">
        <f>+G573*1.13</f>
        <v/>
      </c>
      <c r="I573" s="702" t="inlineStr">
        <is>
          <t>✓✓</t>
        </is>
      </c>
    </row>
    <row r="574">
      <c r="A574" s="731" t="inlineStr">
        <is>
          <t>MAT1686 TEE PVC 4" SANITARIA PD</t>
        </is>
      </c>
      <c r="B574" s="36" t="inlineStr">
        <is>
          <t>M13-0109</t>
        </is>
      </c>
      <c r="C574" s="713" t="n"/>
      <c r="D574" s="714" t="n"/>
      <c r="E574" s="721" t="inlineStr">
        <is>
          <t>ADAPTADOR HEMBRA PVC 2"</t>
        </is>
      </c>
      <c r="F574" s="716" t="inlineStr">
        <is>
          <t>UND</t>
        </is>
      </c>
      <c r="G574" s="717" t="n">
        <v>2688</v>
      </c>
      <c r="H574" s="718">
        <f>+G574*1.13</f>
        <v/>
      </c>
      <c r="I574" s="46" t="n"/>
    </row>
    <row r="575">
      <c r="A575" s="722" t="n"/>
      <c r="B575" s="36" t="inlineStr">
        <is>
          <t>M13-0110</t>
        </is>
      </c>
      <c r="C575" s="713" t="n"/>
      <c r="D575" s="714" t="n"/>
      <c r="E575" s="721" t="inlineStr">
        <is>
          <t>ADAPTADOR HEMBRA PVC 3/4"</t>
        </is>
      </c>
      <c r="F575" s="716" t="inlineStr">
        <is>
          <t>UND</t>
        </is>
      </c>
      <c r="G575" s="717" t="n">
        <v>608</v>
      </c>
      <c r="H575" s="718">
        <f>+G575*1.13</f>
        <v/>
      </c>
      <c r="I575" s="702" t="inlineStr">
        <is>
          <t>✓✓</t>
        </is>
      </c>
    </row>
    <row r="576">
      <c r="A576" s="722" t="n"/>
      <c r="B576" s="36" t="inlineStr">
        <is>
          <t>M13-0111</t>
        </is>
      </c>
      <c r="C576" s="713" t="n"/>
      <c r="D576" s="714" t="n"/>
      <c r="E576" s="721" t="inlineStr">
        <is>
          <t>ADAPTADOR MACHO PVC 1-1/4"</t>
        </is>
      </c>
      <c r="F576" s="716" t="inlineStr">
        <is>
          <t>UND</t>
        </is>
      </c>
      <c r="G576" s="717" t="n">
        <v>1427</v>
      </c>
      <c r="H576" s="718">
        <f>+G576*1.13</f>
        <v/>
      </c>
      <c r="I576" s="702" t="inlineStr">
        <is>
          <t>✓✓</t>
        </is>
      </c>
    </row>
    <row r="577">
      <c r="A577" s="722" t="n"/>
      <c r="B577" s="36" t="inlineStr">
        <is>
          <t>M13-0112</t>
        </is>
      </c>
      <c r="C577" s="713" t="n"/>
      <c r="D577" s="714" t="n"/>
      <c r="E577" s="721" t="inlineStr">
        <is>
          <t>ADAPTADOR MACHO PVC 3/4"</t>
        </is>
      </c>
      <c r="F577" s="716" t="inlineStr">
        <is>
          <t>UND</t>
        </is>
      </c>
      <c r="G577" s="717" t="n">
        <v>214.11</v>
      </c>
      <c r="H577" s="718">
        <f>+G577*1.13</f>
        <v/>
      </c>
      <c r="I577" s="702" t="inlineStr">
        <is>
          <t>✓✓</t>
        </is>
      </c>
    </row>
    <row r="578">
      <c r="A578" s="722" t="n"/>
      <c r="B578" s="36" t="inlineStr">
        <is>
          <t>M13-0113</t>
        </is>
      </c>
      <c r="C578" s="713" t="n"/>
      <c r="D578" s="714" t="n"/>
      <c r="E578" s="721" t="inlineStr">
        <is>
          <t>CODO 45 CPVC 1/2"</t>
        </is>
      </c>
      <c r="F578" s="716" t="inlineStr">
        <is>
          <t>UND</t>
        </is>
      </c>
      <c r="G578" s="717" t="n">
        <v>331.5</v>
      </c>
      <c r="H578" s="718">
        <f>+G578*1.13</f>
        <v/>
      </c>
      <c r="I578" s="702" t="inlineStr">
        <is>
          <t>✓✓</t>
        </is>
      </c>
    </row>
    <row r="579">
      <c r="A579" s="722" t="n"/>
      <c r="B579" s="36" t="inlineStr">
        <is>
          <t>M13-0114</t>
        </is>
      </c>
      <c r="C579" s="713" t="n"/>
      <c r="D579" s="714" t="n"/>
      <c r="E579" s="721" t="inlineStr">
        <is>
          <t>CODO 45 PVC LISO 1/2"</t>
        </is>
      </c>
      <c r="F579" s="716" t="inlineStr">
        <is>
          <t>UND</t>
        </is>
      </c>
      <c r="G579" s="717" t="n">
        <v>138.5</v>
      </c>
      <c r="H579" s="718">
        <f>+G579*1.13</f>
        <v/>
      </c>
      <c r="I579" s="702" t="inlineStr">
        <is>
          <t>✓✓</t>
        </is>
      </c>
    </row>
    <row r="580">
      <c r="A580" s="722" t="n"/>
      <c r="B580" s="36" t="inlineStr">
        <is>
          <t>M13-0115</t>
        </is>
      </c>
      <c r="C580" s="713" t="n"/>
      <c r="D580" s="714" t="n"/>
      <c r="E580" s="721" t="inlineStr">
        <is>
          <t>CODO 45 PVC PARED DELGADA 1-1/4" (SANITARIO)</t>
        </is>
      </c>
      <c r="F580" s="716" t="inlineStr">
        <is>
          <t>UND</t>
        </is>
      </c>
      <c r="G580" s="717" t="n">
        <v>697</v>
      </c>
      <c r="H580" s="718">
        <f>+G580*1.13</f>
        <v/>
      </c>
      <c r="I580" s="702" t="inlineStr">
        <is>
          <t>✓✓</t>
        </is>
      </c>
    </row>
    <row r="581">
      <c r="A581" s="749" t="n"/>
      <c r="B581" s="36" t="inlineStr">
        <is>
          <t>M13-0116</t>
        </is>
      </c>
      <c r="C581" s="713" t="n"/>
      <c r="D581" s="714" t="n"/>
      <c r="E581" s="721" t="inlineStr">
        <is>
          <t>CODO 45 PVC PARED DELGADA 1-1/2" (SANITARIO)</t>
        </is>
      </c>
      <c r="F581" s="716" t="inlineStr">
        <is>
          <t>UND</t>
        </is>
      </c>
      <c r="G581" s="717" t="n">
        <v>2925</v>
      </c>
      <c r="H581" s="718">
        <f>+G581*1.13</f>
        <v/>
      </c>
      <c r="I581" s="702" t="inlineStr">
        <is>
          <t>✓✓</t>
        </is>
      </c>
    </row>
    <row r="582">
      <c r="A582" s="722" t="n"/>
      <c r="B582" s="36" t="inlineStr">
        <is>
          <t>M13-0117</t>
        </is>
      </c>
      <c r="C582" s="713" t="n"/>
      <c r="D582" s="714" t="n"/>
      <c r="E582" s="721" t="inlineStr">
        <is>
          <t>CODO 45 PVC PARED DELGADA 3" (SANITARIO)</t>
        </is>
      </c>
      <c r="F582" s="716" t="inlineStr">
        <is>
          <t>UND</t>
        </is>
      </c>
      <c r="G582" s="717" t="n">
        <v>1068</v>
      </c>
      <c r="H582" s="718">
        <f>+G582*1.13</f>
        <v/>
      </c>
      <c r="I582" s="702" t="inlineStr">
        <is>
          <t>✓✓</t>
        </is>
      </c>
    </row>
    <row r="583">
      <c r="A583" s="722" t="n"/>
      <c r="B583" s="36" t="inlineStr">
        <is>
          <t>M13-0118</t>
        </is>
      </c>
      <c r="C583" s="713" t="n"/>
      <c r="D583" s="714" t="n"/>
      <c r="E583" s="721" t="inlineStr">
        <is>
          <t>CODO 45 PVC PARED DELGADA 4" (SANITARIO)</t>
        </is>
      </c>
      <c r="F583" s="716" t="inlineStr">
        <is>
          <t>UND</t>
        </is>
      </c>
      <c r="G583" s="717" t="n">
        <v>1879.25</v>
      </c>
      <c r="H583" s="718">
        <f>+G583*1.13</f>
        <v/>
      </c>
      <c r="I583" s="702" t="inlineStr">
        <is>
          <t>✓✓</t>
        </is>
      </c>
    </row>
    <row r="584">
      <c r="A584" s="722" t="n"/>
      <c r="B584" s="36" t="inlineStr">
        <is>
          <t>M13-0119</t>
        </is>
      </c>
      <c r="C584" s="713" t="n"/>
      <c r="D584" s="714" t="n"/>
      <c r="E584" s="721" t="inlineStr">
        <is>
          <t>CODO 45 PVC PARED DELGADA  2" (SANITARIO)</t>
        </is>
      </c>
      <c r="F584" s="716" t="inlineStr">
        <is>
          <t>UND</t>
        </is>
      </c>
      <c r="G584" s="717" t="n">
        <v>418</v>
      </c>
      <c r="H584" s="718">
        <f>+G584*1.13</f>
        <v/>
      </c>
      <c r="I584" s="702" t="inlineStr">
        <is>
          <t>✓✓</t>
        </is>
      </c>
    </row>
    <row r="585">
      <c r="A585" s="749" t="n"/>
      <c r="B585" s="36" t="inlineStr">
        <is>
          <t>M13-0120</t>
        </is>
      </c>
      <c r="C585" s="713" t="n"/>
      <c r="D585" s="714" t="n"/>
      <c r="E585" s="721" t="inlineStr">
        <is>
          <t>CODO 90 PVC LISO 1/2"</t>
        </is>
      </c>
      <c r="F585" s="716" t="inlineStr">
        <is>
          <t>UND</t>
        </is>
      </c>
      <c r="G585" s="717" t="n">
        <v>75</v>
      </c>
      <c r="H585" s="718">
        <f>+G585*1.13</f>
        <v/>
      </c>
      <c r="I585" s="702" t="inlineStr">
        <is>
          <t>✓✓</t>
        </is>
      </c>
    </row>
    <row r="586">
      <c r="A586" s="722" t="n"/>
      <c r="B586" s="36" t="inlineStr">
        <is>
          <t>M13-0122</t>
        </is>
      </c>
      <c r="C586" s="713" t="n"/>
      <c r="D586" s="714" t="n"/>
      <c r="E586" s="721" t="inlineStr">
        <is>
          <t>CODO 90 PVC PARED DELGADA 1 1/4"</t>
        </is>
      </c>
      <c r="F586" s="716" t="inlineStr">
        <is>
          <t>UND</t>
        </is>
      </c>
      <c r="G586" s="717" t="n">
        <v>355.5</v>
      </c>
      <c r="H586" s="718">
        <f>+G586*1.13</f>
        <v/>
      </c>
      <c r="I586" s="702" t="inlineStr">
        <is>
          <t>✓✓</t>
        </is>
      </c>
    </row>
    <row r="587">
      <c r="A587" s="722" t="n"/>
      <c r="B587" s="36" t="inlineStr">
        <is>
          <t>M13-0123</t>
        </is>
      </c>
      <c r="C587" s="713" t="n"/>
      <c r="D587" s="714" t="n"/>
      <c r="E587" s="721" t="inlineStr">
        <is>
          <t>CODO 90 PVC PARED DELGADA 2" (SANITARIO)</t>
        </is>
      </c>
      <c r="F587" s="716" t="inlineStr">
        <is>
          <t>UND</t>
        </is>
      </c>
      <c r="G587" s="717" t="n">
        <v>456.75</v>
      </c>
      <c r="H587" s="718">
        <f>+G587*1.13</f>
        <v/>
      </c>
      <c r="I587" s="702" t="inlineStr">
        <is>
          <t>✓✓</t>
        </is>
      </c>
    </row>
    <row r="588">
      <c r="A588" s="749" t="n"/>
      <c r="B588" s="36" t="inlineStr">
        <is>
          <t>M13-0124</t>
        </is>
      </c>
      <c r="C588" s="713" t="n"/>
      <c r="D588" s="714" t="n"/>
      <c r="E588" s="721" t="inlineStr">
        <is>
          <t>CODO 90 PVC PARED DELGADA 3" (SANITARIO)</t>
        </is>
      </c>
      <c r="F588" s="716" t="inlineStr">
        <is>
          <t>UND</t>
        </is>
      </c>
      <c r="G588" s="717" t="n">
        <v>1202</v>
      </c>
      <c r="H588" s="718">
        <f>+G588*1.13</f>
        <v/>
      </c>
      <c r="I588" s="702" t="inlineStr">
        <is>
          <t>✓✓</t>
        </is>
      </c>
    </row>
    <row r="589">
      <c r="A589" s="722" t="n"/>
      <c r="B589" s="36" t="inlineStr">
        <is>
          <t>M13-0129</t>
        </is>
      </c>
      <c r="C589" s="713" t="n"/>
      <c r="D589" s="714" t="n"/>
      <c r="E589" s="721" t="inlineStr">
        <is>
          <t>REDUCCION 2" A 1-1/4" SANITARIO</t>
        </is>
      </c>
      <c r="F589" s="716" t="inlineStr">
        <is>
          <t>UND</t>
        </is>
      </c>
      <c r="G589" s="717" t="n">
        <v>3003</v>
      </c>
      <c r="H589" s="718">
        <f>+G589*1.13</f>
        <v/>
      </c>
      <c r="I589" s="702" t="inlineStr">
        <is>
          <t>✓✓</t>
        </is>
      </c>
    </row>
    <row r="590">
      <c r="A590" s="722" t="n"/>
      <c r="B590" s="36" t="inlineStr">
        <is>
          <t>M13-0130</t>
        </is>
      </c>
      <c r="C590" s="713" t="n"/>
      <c r="D590" s="714" t="n"/>
      <c r="E590" s="721" t="inlineStr">
        <is>
          <t>REDUCCION PVC 1/2" A 3/4"</t>
        </is>
      </c>
      <c r="F590" s="716" t="inlineStr">
        <is>
          <t>UND</t>
        </is>
      </c>
      <c r="G590" s="717" t="n">
        <v>89.5</v>
      </c>
      <c r="H590" s="718">
        <f>+G590*1.13</f>
        <v/>
      </c>
      <c r="I590" s="702" t="inlineStr">
        <is>
          <t>✓✓</t>
        </is>
      </c>
    </row>
    <row r="591">
      <c r="A591" s="722" t="n"/>
      <c r="B591" s="36" t="inlineStr">
        <is>
          <t>M13-0132</t>
        </is>
      </c>
      <c r="C591" s="713" t="n"/>
      <c r="D591" s="714" t="n"/>
      <c r="E591" s="721" t="inlineStr">
        <is>
          <t>REDUCCION LISA P.D.  3" A 4" (SANITARIO)</t>
        </is>
      </c>
      <c r="F591" s="716" t="inlineStr">
        <is>
          <t>UND</t>
        </is>
      </c>
      <c r="G591" s="717" t="n">
        <v>1611</v>
      </c>
      <c r="H591" s="718">
        <f>+G591*1.13</f>
        <v/>
      </c>
      <c r="I591" s="702" t="inlineStr">
        <is>
          <t>✓✓</t>
        </is>
      </c>
    </row>
    <row r="592">
      <c r="A592" s="722" t="n"/>
      <c r="B592" s="36" t="inlineStr">
        <is>
          <t>M13-0134</t>
        </is>
      </c>
      <c r="C592" s="713" t="n"/>
      <c r="D592" s="714" t="n"/>
      <c r="E592" s="721" t="inlineStr">
        <is>
          <t>REDUCCION LISA P.D. 2" A 3" (SANITARIO)</t>
        </is>
      </c>
      <c r="F592" s="716" t="inlineStr">
        <is>
          <t>UND</t>
        </is>
      </c>
      <c r="G592" s="717" t="n">
        <v>829</v>
      </c>
      <c r="H592" s="718">
        <f>+G592*1.13</f>
        <v/>
      </c>
      <c r="I592" s="702" t="inlineStr">
        <is>
          <t>✓✓</t>
        </is>
      </c>
    </row>
    <row r="593">
      <c r="A593" s="722" t="n"/>
      <c r="B593" s="36" t="inlineStr">
        <is>
          <t>M13-0135</t>
        </is>
      </c>
      <c r="C593" s="713" t="n"/>
      <c r="D593" s="714" t="n"/>
      <c r="E593" s="721" t="inlineStr">
        <is>
          <t>REDUCCION LISA P.D. 2" A 4" (SANITARIO)</t>
        </is>
      </c>
      <c r="F593" s="716" t="inlineStr">
        <is>
          <t>UND</t>
        </is>
      </c>
      <c r="G593" s="717" t="n">
        <v>1602.25</v>
      </c>
      <c r="H593" s="718">
        <f>+G593*1.13</f>
        <v/>
      </c>
      <c r="I593" s="702" t="inlineStr">
        <is>
          <t>✓✓</t>
        </is>
      </c>
    </row>
    <row r="594">
      <c r="A594" s="749" t="n"/>
      <c r="B594" s="36" t="inlineStr">
        <is>
          <t>M13-0137</t>
        </is>
      </c>
      <c r="C594" s="713" t="n"/>
      <c r="D594" s="714" t="n"/>
      <c r="E594" s="721" t="inlineStr">
        <is>
          <t>REDUCCION LISA PVC 3/4" X 1/2"</t>
        </is>
      </c>
      <c r="F594" s="716" t="inlineStr">
        <is>
          <t>UND</t>
        </is>
      </c>
      <c r="G594" s="717" t="n">
        <v>382</v>
      </c>
      <c r="H594" s="718">
        <f>+G594*1.13</f>
        <v/>
      </c>
      <c r="I594" s="702" t="inlineStr">
        <is>
          <t>✓✓</t>
        </is>
      </c>
    </row>
    <row r="595">
      <c r="A595" s="749" t="n"/>
      <c r="B595" s="36" t="inlineStr">
        <is>
          <t>M13-0138</t>
        </is>
      </c>
      <c r="C595" s="713" t="n"/>
      <c r="D595" s="714" t="n"/>
      <c r="E595" s="721" t="inlineStr">
        <is>
          <t>REDUCCION 1-1/2" A 1-1/4" (SANITARIO)</t>
        </is>
      </c>
      <c r="F595" s="716" t="inlineStr">
        <is>
          <t>UND</t>
        </is>
      </c>
      <c r="G595" s="717" t="n">
        <v>421.75</v>
      </c>
      <c r="H595" s="718">
        <f>+G595*1.13</f>
        <v/>
      </c>
      <c r="I595" s="702" t="inlineStr">
        <is>
          <t>✓✓</t>
        </is>
      </c>
    </row>
    <row r="596">
      <c r="A596" s="749" t="n"/>
      <c r="B596" s="36" t="inlineStr">
        <is>
          <t>M13-0139</t>
        </is>
      </c>
      <c r="C596" s="713" t="n"/>
      <c r="D596" s="714" t="n"/>
      <c r="E596" s="721" t="inlineStr">
        <is>
          <t>REDUCCION 1-1/2" A  2" (SANITARIO)</t>
        </is>
      </c>
      <c r="F596" s="716" t="inlineStr">
        <is>
          <t>UND</t>
        </is>
      </c>
      <c r="G596" s="717" t="n">
        <v>763.96</v>
      </c>
      <c r="H596" s="718">
        <f>+G596*1.13</f>
        <v/>
      </c>
      <c r="I596" s="702" t="inlineStr">
        <is>
          <t>✓✓</t>
        </is>
      </c>
    </row>
    <row r="597">
      <c r="A597" s="722" t="n"/>
      <c r="B597" s="36" t="inlineStr">
        <is>
          <t>M13-0147</t>
        </is>
      </c>
      <c r="C597" s="713" t="n"/>
      <c r="D597" s="714" t="n"/>
      <c r="E597" s="721" t="inlineStr">
        <is>
          <t>TAPON HEMBRA LISO PVC 1/2"</t>
        </is>
      </c>
      <c r="F597" s="716" t="inlineStr">
        <is>
          <t>UND</t>
        </is>
      </c>
      <c r="G597" s="717" t="n">
        <v>55</v>
      </c>
      <c r="H597" s="718">
        <f>+G597*1.13</f>
        <v/>
      </c>
      <c r="I597" s="702" t="inlineStr">
        <is>
          <t>✓✓</t>
        </is>
      </c>
    </row>
    <row r="598">
      <c r="A598" s="722" t="n"/>
      <c r="B598" s="36" t="inlineStr">
        <is>
          <t>M13-0148</t>
        </is>
      </c>
      <c r="C598" s="713" t="n"/>
      <c r="D598" s="714" t="n"/>
      <c r="E598" s="721" t="inlineStr">
        <is>
          <t>TAPON HEMBRA LISO PVC 2"</t>
        </is>
      </c>
      <c r="F598" s="716" t="inlineStr">
        <is>
          <t>UND</t>
        </is>
      </c>
      <c r="G598" s="717" t="n">
        <v>1216</v>
      </c>
      <c r="H598" s="718">
        <f>+G598*1.13</f>
        <v/>
      </c>
      <c r="I598" s="702" t="inlineStr">
        <is>
          <t>✓✓</t>
        </is>
      </c>
    </row>
    <row r="599">
      <c r="A599" s="722" t="n"/>
      <c r="B599" s="36" t="inlineStr">
        <is>
          <t>M13-0149</t>
        </is>
      </c>
      <c r="C599" s="713" t="n"/>
      <c r="D599" s="714" t="n"/>
      <c r="E599" s="721" t="inlineStr">
        <is>
          <t>TAPON HEMBRA PVC 4" (SANITARIO)</t>
        </is>
      </c>
      <c r="F599" s="716" t="inlineStr">
        <is>
          <t>UND</t>
        </is>
      </c>
      <c r="G599" s="717" t="n">
        <v>319.25</v>
      </c>
      <c r="H599" s="718">
        <f>+G599*1.13</f>
        <v/>
      </c>
      <c r="I599" s="702" t="inlineStr">
        <is>
          <t>✓✓</t>
        </is>
      </c>
    </row>
    <row r="600">
      <c r="A600" s="722" t="n"/>
      <c r="B600" s="36" t="inlineStr">
        <is>
          <t>M13-0150</t>
        </is>
      </c>
      <c r="C600" s="713" t="n"/>
      <c r="D600" s="714" t="n"/>
      <c r="E600" s="721" t="inlineStr">
        <is>
          <t>TAPON HEMBRA ROSCADO PVC 1/2"</t>
        </is>
      </c>
      <c r="F600" s="716" t="inlineStr">
        <is>
          <t>UND</t>
        </is>
      </c>
      <c r="G600" s="717" t="n">
        <v>82.5</v>
      </c>
      <c r="H600" s="718">
        <f>+G600*1.13</f>
        <v/>
      </c>
      <c r="I600" s="702" t="inlineStr">
        <is>
          <t>✓✓</t>
        </is>
      </c>
    </row>
    <row r="601">
      <c r="A601" s="722" t="n"/>
      <c r="B601" s="36" t="inlineStr">
        <is>
          <t>M13-0153</t>
        </is>
      </c>
      <c r="C601" s="713" t="n"/>
      <c r="D601" s="714" t="n"/>
      <c r="E601" s="721" t="inlineStr">
        <is>
          <t>TAPON MACHO PVC 1/2</t>
        </is>
      </c>
      <c r="F601" s="716" t="inlineStr">
        <is>
          <t>UND</t>
        </is>
      </c>
      <c r="G601" s="717" t="n">
        <v>263.5</v>
      </c>
      <c r="H601" s="718">
        <f>+G601*1.13</f>
        <v/>
      </c>
      <c r="I601" s="702" t="inlineStr">
        <is>
          <t>✓✓</t>
        </is>
      </c>
    </row>
    <row r="602">
      <c r="A602" s="722" t="n"/>
      <c r="B602" s="36" t="inlineStr">
        <is>
          <t>M13-0155</t>
        </is>
      </c>
      <c r="C602" s="713" t="n"/>
      <c r="D602" s="714" t="n"/>
      <c r="E602" s="721" t="inlineStr">
        <is>
          <t>TAPON HEMBRA PVC LISO 1 1/2</t>
        </is>
      </c>
      <c r="F602" s="716" t="inlineStr">
        <is>
          <t>UND</t>
        </is>
      </c>
      <c r="G602" s="717" t="n">
        <v>1118</v>
      </c>
      <c r="H602" s="718">
        <f>+G602*1.13</f>
        <v/>
      </c>
      <c r="I602" s="702" t="inlineStr">
        <is>
          <t>✓✓</t>
        </is>
      </c>
    </row>
    <row r="603">
      <c r="A603" s="749" t="n"/>
      <c r="B603" s="36" t="inlineStr">
        <is>
          <t>M13-0156</t>
        </is>
      </c>
      <c r="C603" s="713" t="n"/>
      <c r="D603" s="714" t="n"/>
      <c r="E603" s="721" t="inlineStr">
        <is>
          <t>TEE PVC 1 1/4" SANITARIO</t>
        </is>
      </c>
      <c r="F603" s="716" t="inlineStr">
        <is>
          <t>UND</t>
        </is>
      </c>
      <c r="G603" s="717" t="n">
        <v>5097</v>
      </c>
      <c r="H603" s="718">
        <f>+G603*1.13</f>
        <v/>
      </c>
      <c r="I603" s="702" t="inlineStr">
        <is>
          <t>✓✓</t>
        </is>
      </c>
    </row>
    <row r="604">
      <c r="A604" s="722" t="n"/>
      <c r="B604" s="36" t="inlineStr">
        <is>
          <t>M13-0157</t>
        </is>
      </c>
      <c r="C604" s="713" t="n"/>
      <c r="D604" s="714" t="n"/>
      <c r="E604" s="721" t="inlineStr">
        <is>
          <t>TEE CPVC 1/2"</t>
        </is>
      </c>
      <c r="F604" s="716" t="inlineStr">
        <is>
          <t>UND</t>
        </is>
      </c>
      <c r="G604" s="717" t="n">
        <v>267.75</v>
      </c>
      <c r="H604" s="718">
        <f>+G604*1.13</f>
        <v/>
      </c>
      <c r="I604" s="702" t="inlineStr">
        <is>
          <t>✓✓</t>
        </is>
      </c>
    </row>
    <row r="605">
      <c r="A605" s="722" t="n"/>
      <c r="B605" s="36" t="inlineStr">
        <is>
          <t>M13-0159</t>
        </is>
      </c>
      <c r="C605" s="713" t="n"/>
      <c r="D605" s="714" t="n"/>
      <c r="E605" s="721" t="inlineStr">
        <is>
          <t>TEE PVC LISA 1/2"</t>
        </is>
      </c>
      <c r="F605" s="716" t="inlineStr">
        <is>
          <t>UND</t>
        </is>
      </c>
      <c r="G605" s="717" t="n">
        <v>76.25</v>
      </c>
      <c r="H605" s="718">
        <f>+G605*1.13</f>
        <v/>
      </c>
      <c r="I605" s="702" t="inlineStr">
        <is>
          <t>✓✓</t>
        </is>
      </c>
    </row>
    <row r="606">
      <c r="A606" s="722" t="n"/>
      <c r="B606" s="36" t="inlineStr">
        <is>
          <t>M13-0160</t>
        </is>
      </c>
      <c r="C606" s="713" t="n"/>
      <c r="D606" s="714" t="n"/>
      <c r="E606" s="721" t="inlineStr">
        <is>
          <t>TEE PVC PARED DELGADA 1 1/2" (SANITARIO)</t>
        </is>
      </c>
      <c r="F606" s="716" t="inlineStr">
        <is>
          <t>UND</t>
        </is>
      </c>
      <c r="G606" s="717" t="n">
        <v>1289.75</v>
      </c>
      <c r="H606" s="718">
        <f>+G606*1.13</f>
        <v/>
      </c>
      <c r="I606" s="702" t="inlineStr">
        <is>
          <t>✓✓</t>
        </is>
      </c>
    </row>
    <row r="607">
      <c r="A607" s="722" t="n"/>
      <c r="B607" s="36" t="inlineStr">
        <is>
          <t>M13-0161</t>
        </is>
      </c>
      <c r="C607" s="713" t="n"/>
      <c r="D607" s="714" t="n"/>
      <c r="E607" s="721" t="inlineStr">
        <is>
          <t>TEE PVC PARED DELGADA 2"</t>
        </is>
      </c>
      <c r="F607" s="716" t="inlineStr">
        <is>
          <t>UND</t>
        </is>
      </c>
      <c r="G607" s="717" t="n">
        <v>644</v>
      </c>
      <c r="H607" s="718">
        <f>+G607*1.13</f>
        <v/>
      </c>
      <c r="I607" s="702" t="inlineStr">
        <is>
          <t>✓✓</t>
        </is>
      </c>
    </row>
    <row r="608">
      <c r="A608" s="722" t="n"/>
      <c r="B608" s="36" t="inlineStr">
        <is>
          <t>M13-0163</t>
        </is>
      </c>
      <c r="C608" s="713" t="n"/>
      <c r="D608" s="714" t="n"/>
      <c r="E608" s="721" t="inlineStr">
        <is>
          <t>TEE PVC SANITARIA PARED DELGADA 4" (SANITARIO)</t>
        </is>
      </c>
      <c r="F608" s="716" t="inlineStr">
        <is>
          <t>UND</t>
        </is>
      </c>
      <c r="G608" s="717" t="n">
        <v>3009.25</v>
      </c>
      <c r="H608" s="718">
        <f>+G608*1.13</f>
        <v/>
      </c>
      <c r="I608" s="702" t="inlineStr">
        <is>
          <t>✓✓</t>
        </is>
      </c>
    </row>
    <row r="609">
      <c r="A609" s="722" t="n"/>
      <c r="B609" s="36" t="inlineStr">
        <is>
          <t>M13-0165</t>
        </is>
      </c>
      <c r="C609" s="713" t="n"/>
      <c r="D609" s="714" t="n"/>
      <c r="E609" s="721" t="inlineStr">
        <is>
          <t>TEE PVC PARED DELGADA 3" (SANITARIO)</t>
        </is>
      </c>
      <c r="F609" s="716" t="inlineStr">
        <is>
          <t>UND</t>
        </is>
      </c>
      <c r="G609" s="717" t="n">
        <v>1905.5</v>
      </c>
      <c r="H609" s="718">
        <f>+G609*1.13</f>
        <v/>
      </c>
      <c r="I609" s="702" t="inlineStr">
        <is>
          <t>✓✓</t>
        </is>
      </c>
    </row>
    <row r="610">
      <c r="A610" s="722" t="n"/>
      <c r="B610" s="36" t="inlineStr">
        <is>
          <t>M13-0166</t>
        </is>
      </c>
      <c r="C610" s="713" t="n"/>
      <c r="D610" s="714" t="n"/>
      <c r="E610" s="721" t="inlineStr">
        <is>
          <t>TUBO CPVC 1/2</t>
        </is>
      </c>
      <c r="F610" s="716" t="inlineStr">
        <is>
          <t>UND</t>
        </is>
      </c>
      <c r="G610" s="717" t="n">
        <v>4925</v>
      </c>
      <c r="H610" s="718">
        <f>+G610*1.13</f>
        <v/>
      </c>
      <c r="I610" s="702" t="inlineStr">
        <is>
          <t>✓✓</t>
        </is>
      </c>
    </row>
    <row r="611">
      <c r="A611" s="722" t="n"/>
      <c r="B611" s="36" t="inlineStr">
        <is>
          <t>M13-0170</t>
        </is>
      </c>
      <c r="C611" s="713" t="n"/>
      <c r="D611" s="714" t="n"/>
      <c r="E611" s="721" t="inlineStr">
        <is>
          <t>TUBO PVC 1/2 P/GRUESA</t>
        </is>
      </c>
      <c r="F611" s="716" t="inlineStr">
        <is>
          <t>UND</t>
        </is>
      </c>
      <c r="G611" s="717" t="n">
        <v>2399.5</v>
      </c>
      <c r="H611" s="718">
        <f>+G611*1.13</f>
        <v/>
      </c>
      <c r="I611" s="702" t="inlineStr">
        <is>
          <t>✓✓</t>
        </is>
      </c>
    </row>
    <row r="612">
      <c r="A612" s="722" t="n"/>
      <c r="B612" s="36" t="inlineStr">
        <is>
          <t>M13-0172</t>
        </is>
      </c>
      <c r="C612" s="713" t="n"/>
      <c r="D612" s="714" t="n"/>
      <c r="E612" s="721" t="inlineStr">
        <is>
          <t>TUBO SDR41 JC PVC 1-1/4"</t>
        </is>
      </c>
      <c r="F612" s="716" t="inlineStr">
        <is>
          <t>UND</t>
        </is>
      </c>
      <c r="G612" s="717" t="n">
        <v>3593</v>
      </c>
      <c r="H612" s="718">
        <f>+G612*1.13</f>
        <v/>
      </c>
      <c r="I612" s="702" t="inlineStr">
        <is>
          <t>✓✓</t>
        </is>
      </c>
    </row>
    <row r="613">
      <c r="A613" s="722" t="n"/>
      <c r="B613" s="36" t="inlineStr">
        <is>
          <t>M13-0173</t>
        </is>
      </c>
      <c r="C613" s="713" t="n"/>
      <c r="D613" s="714" t="n"/>
      <c r="E613" s="721" t="inlineStr">
        <is>
          <t>TUBO SDR41 JC PVC 2"</t>
        </is>
      </c>
      <c r="F613" s="716" t="inlineStr">
        <is>
          <t>UND</t>
        </is>
      </c>
      <c r="G613" s="717" t="n">
        <v>5718.25</v>
      </c>
      <c r="H613" s="718">
        <f>+G613*1.13</f>
        <v/>
      </c>
      <c r="I613" s="702" t="inlineStr">
        <is>
          <t>✓✓</t>
        </is>
      </c>
    </row>
    <row r="614">
      <c r="A614" s="722" t="n"/>
      <c r="B614" s="36" t="inlineStr">
        <is>
          <t>M13-0175</t>
        </is>
      </c>
      <c r="C614" s="713" t="n"/>
      <c r="D614" s="714" t="n"/>
      <c r="E614" s="721" t="inlineStr">
        <is>
          <t>TUBO SANITARIO PVC 4</t>
        </is>
      </c>
      <c r="F614" s="716" t="inlineStr">
        <is>
          <t>UND</t>
        </is>
      </c>
      <c r="G614" s="717" t="n">
        <v>18578.25</v>
      </c>
      <c r="H614" s="718">
        <f>+G614*1.13</f>
        <v/>
      </c>
      <c r="I614" s="702" t="inlineStr">
        <is>
          <t>✓✓</t>
        </is>
      </c>
    </row>
    <row r="615">
      <c r="A615" s="732" t="n"/>
      <c r="B615" s="36" t="inlineStr">
        <is>
          <t>M13-0177</t>
        </is>
      </c>
      <c r="C615" s="713" t="n"/>
      <c r="D615" s="714" t="n"/>
      <c r="E615" s="721" t="inlineStr">
        <is>
          <t>TUBO SDR41 JC PVC 3"</t>
        </is>
      </c>
      <c r="F615" s="716" t="inlineStr">
        <is>
          <t>UND</t>
        </is>
      </c>
      <c r="G615" s="717" t="n">
        <v>48691</v>
      </c>
      <c r="H615" s="718">
        <f>+G615*1.13</f>
        <v/>
      </c>
      <c r="I615" s="702" t="inlineStr">
        <is>
          <t>✓✓</t>
        </is>
      </c>
    </row>
    <row r="616">
      <c r="A616" s="18" t="n"/>
      <c r="B616" s="36" t="inlineStr">
        <is>
          <t>M13-0179</t>
        </is>
      </c>
      <c r="C616" s="713" t="n"/>
      <c r="D616" s="714" t="n"/>
      <c r="E616" s="721" t="inlineStr">
        <is>
          <t>TUBO SDR41 JC PVC 4"</t>
        </is>
      </c>
      <c r="F616" s="716" t="inlineStr">
        <is>
          <t>UND</t>
        </is>
      </c>
      <c r="G616" s="717" t="n">
        <v>18578.25</v>
      </c>
      <c r="H616" s="718">
        <f>+G616*1.13</f>
        <v/>
      </c>
      <c r="I616" s="702" t="inlineStr">
        <is>
          <t>✓✓</t>
        </is>
      </c>
    </row>
    <row r="617">
      <c r="A617" s="732" t="n"/>
      <c r="B617" s="36" t="inlineStr">
        <is>
          <t>M13-0181</t>
        </is>
      </c>
      <c r="C617" s="713" t="n"/>
      <c r="D617" s="714" t="n"/>
      <c r="E617" s="721" t="inlineStr">
        <is>
          <t>TUBO SDR41 JR PVC 3"</t>
        </is>
      </c>
      <c r="F617" s="716" t="inlineStr">
        <is>
          <t>UND</t>
        </is>
      </c>
      <c r="G617" s="717" t="n">
        <v>44520</v>
      </c>
      <c r="H617" s="718">
        <f>+G617*1.13</f>
        <v/>
      </c>
      <c r="I617" s="702" t="inlineStr">
        <is>
          <t>✓✓</t>
        </is>
      </c>
    </row>
    <row r="618">
      <c r="A618" s="732" t="n"/>
      <c r="B618" s="36" t="inlineStr">
        <is>
          <t>M13-0182</t>
        </is>
      </c>
      <c r="C618" s="713" t="n"/>
      <c r="D618" s="714" t="n"/>
      <c r="E618" s="721" t="inlineStr">
        <is>
          <t>TUBO SDR41 JR PVC 4</t>
        </is>
      </c>
      <c r="F618" s="716" t="inlineStr">
        <is>
          <t>UND</t>
        </is>
      </c>
      <c r="G618" s="717" t="n">
        <v>84255</v>
      </c>
      <c r="H618" s="718">
        <f>+G618*1.13</f>
        <v/>
      </c>
      <c r="I618" s="702" t="inlineStr">
        <is>
          <t>✓✓</t>
        </is>
      </c>
    </row>
    <row r="619">
      <c r="A619" s="749" t="n"/>
      <c r="B619" s="36" t="inlineStr">
        <is>
          <t>M13-0183</t>
        </is>
      </c>
      <c r="C619" s="713" t="n"/>
      <c r="D619" s="714" t="n"/>
      <c r="E619" s="721" t="inlineStr">
        <is>
          <t>UNION LISA  CPVC 1/2"</t>
        </is>
      </c>
      <c r="F619" s="716" t="inlineStr">
        <is>
          <t>UND</t>
        </is>
      </c>
      <c r="G619" s="717" t="n">
        <v>177</v>
      </c>
      <c r="H619" s="718">
        <f>+G619*1.13</f>
        <v/>
      </c>
      <c r="I619" s="702" t="inlineStr">
        <is>
          <t>✓✓</t>
        </is>
      </c>
    </row>
    <row r="620">
      <c r="A620" s="749" t="n"/>
      <c r="B620" s="36" t="inlineStr">
        <is>
          <t>M13-0184</t>
        </is>
      </c>
      <c r="C620" s="713" t="n"/>
      <c r="D620" s="714" t="n"/>
      <c r="E620" s="721" t="inlineStr">
        <is>
          <t>UNION LISA PVC  1-1/2" (SANITARIO)</t>
        </is>
      </c>
      <c r="F620" s="716" t="inlineStr">
        <is>
          <t>UND</t>
        </is>
      </c>
      <c r="G620" s="717" t="n">
        <v>265</v>
      </c>
      <c r="H620" s="718">
        <f>+G620*1.13</f>
        <v/>
      </c>
      <c r="I620" s="702" t="inlineStr">
        <is>
          <t>✓✓</t>
        </is>
      </c>
    </row>
    <row r="621">
      <c r="A621" s="722" t="n"/>
      <c r="B621" s="36" t="inlineStr">
        <is>
          <t>M13-0185</t>
        </is>
      </c>
      <c r="C621" s="713" t="n"/>
      <c r="D621" s="714" t="n"/>
      <c r="E621" s="721" t="inlineStr">
        <is>
          <t>UNION LISA PVC  1-1/4" (SANITARIO)</t>
        </is>
      </c>
      <c r="F621" s="716" t="inlineStr">
        <is>
          <t>UND</t>
        </is>
      </c>
      <c r="G621" s="717" t="n">
        <v>340.25</v>
      </c>
      <c r="H621" s="718">
        <f>+G621*1.13</f>
        <v/>
      </c>
      <c r="I621" s="702" t="inlineStr">
        <is>
          <t>✓✓</t>
        </is>
      </c>
    </row>
    <row r="622">
      <c r="A622" s="722" t="n"/>
      <c r="B622" s="36" t="inlineStr">
        <is>
          <t>M13-0186</t>
        </is>
      </c>
      <c r="C622" s="713" t="n"/>
      <c r="D622" s="714" t="n"/>
      <c r="E622" s="721" t="inlineStr">
        <is>
          <t xml:space="preserve">UNION LISA PVC  1/2" </t>
        </is>
      </c>
      <c r="F622" s="716" t="inlineStr">
        <is>
          <t>UND</t>
        </is>
      </c>
      <c r="G622" s="717" t="n">
        <v>58.5</v>
      </c>
      <c r="H622" s="718">
        <f>+G622*1.13</f>
        <v/>
      </c>
      <c r="I622" s="702" t="inlineStr">
        <is>
          <t>✓✓</t>
        </is>
      </c>
    </row>
    <row r="623">
      <c r="A623" s="722" t="n"/>
      <c r="B623" s="36" t="inlineStr">
        <is>
          <t>M13-0187</t>
        </is>
      </c>
      <c r="C623" s="713" t="n"/>
      <c r="D623" s="714" t="n"/>
      <c r="E623" s="721" t="inlineStr">
        <is>
          <t>UNION LISA PVC 2" (SANITARIO)</t>
        </is>
      </c>
      <c r="F623" s="716" t="inlineStr">
        <is>
          <t>UND</t>
        </is>
      </c>
      <c r="G623" s="717" t="n">
        <v>498.52</v>
      </c>
      <c r="H623" s="718">
        <f>+G623*1.13</f>
        <v/>
      </c>
      <c r="I623" s="702" t="inlineStr">
        <is>
          <t>✓✓</t>
        </is>
      </c>
    </row>
    <row r="624">
      <c r="A624" s="732" t="n"/>
      <c r="B624" s="36" t="inlineStr">
        <is>
          <t>M13-0188</t>
        </is>
      </c>
      <c r="C624" s="713" t="n"/>
      <c r="D624" s="714" t="n"/>
      <c r="E624" s="721" t="inlineStr">
        <is>
          <t>UNION LISA PVC 3" (SANITARIO)</t>
        </is>
      </c>
      <c r="F624" s="716" t="inlineStr">
        <is>
          <t>UND</t>
        </is>
      </c>
      <c r="G624" s="717" t="n">
        <v>1839</v>
      </c>
      <c r="H624" s="718">
        <f>+G624*1.13</f>
        <v/>
      </c>
      <c r="I624" s="702" t="inlineStr">
        <is>
          <t>✓✓</t>
        </is>
      </c>
    </row>
    <row r="625">
      <c r="A625" s="722" t="n"/>
      <c r="B625" s="36" t="inlineStr">
        <is>
          <t>M13-0189</t>
        </is>
      </c>
      <c r="C625" s="713" t="n"/>
      <c r="D625" s="714" t="n"/>
      <c r="E625" s="721" t="inlineStr">
        <is>
          <t>UNION LISA PVC 4" (SANITARIO)</t>
        </is>
      </c>
      <c r="F625" s="716" t="inlineStr">
        <is>
          <t>UND</t>
        </is>
      </c>
      <c r="G625" s="717" t="n">
        <v>1599.75</v>
      </c>
      <c r="H625" s="718">
        <f>+G625*1.13</f>
        <v/>
      </c>
      <c r="I625" s="702" t="inlineStr">
        <is>
          <t>✓✓</t>
        </is>
      </c>
    </row>
    <row r="626">
      <c r="A626" s="722" t="n"/>
      <c r="B626" s="782" t="inlineStr">
        <is>
          <t>M13-0190</t>
        </is>
      </c>
      <c r="C626" s="783" t="n"/>
      <c r="D626" s="784" t="n"/>
      <c r="E626" s="785" t="inlineStr">
        <is>
          <t>TUBO 3" PVC</t>
        </is>
      </c>
      <c r="F626" s="786" t="n"/>
      <c r="G626" s="787" t="n"/>
      <c r="H626" s="787" t="n"/>
      <c r="I626" s="702" t="inlineStr">
        <is>
          <t>✓✓</t>
        </is>
      </c>
    </row>
    <row r="627">
      <c r="A627" s="722" t="n"/>
      <c r="B627" s="36" t="inlineStr">
        <is>
          <t>M13-0191</t>
        </is>
      </c>
      <c r="C627" s="713" t="n"/>
      <c r="D627" s="714" t="n"/>
      <c r="E627" s="721" t="inlineStr">
        <is>
          <t>YEE PARED DELGADA 2" (SANITARIO)</t>
        </is>
      </c>
      <c r="F627" s="716" t="inlineStr">
        <is>
          <t>UND</t>
        </is>
      </c>
      <c r="G627" s="717" t="n">
        <v>1511.5</v>
      </c>
      <c r="H627" s="718">
        <f>+G627*1.13</f>
        <v/>
      </c>
      <c r="I627" s="702" t="inlineStr">
        <is>
          <t>✓✓</t>
        </is>
      </c>
    </row>
    <row r="628">
      <c r="A628" s="732" t="n"/>
      <c r="B628" s="36" t="inlineStr">
        <is>
          <t>M13-0192</t>
        </is>
      </c>
      <c r="C628" s="713" t="n"/>
      <c r="D628" s="714" t="n"/>
      <c r="E628" s="721" t="inlineStr">
        <is>
          <t>YEE PARED DELGADA 3" (SANITARIO)</t>
        </is>
      </c>
      <c r="F628" s="716" t="inlineStr">
        <is>
          <t>UND</t>
        </is>
      </c>
      <c r="G628" s="717" t="n">
        <v>2450.25</v>
      </c>
      <c r="H628" s="718">
        <f>+G628*1.13</f>
        <v/>
      </c>
      <c r="I628" s="702" t="inlineStr">
        <is>
          <t>✓✓</t>
        </is>
      </c>
    </row>
    <row r="629">
      <c r="A629" s="722" t="n"/>
      <c r="B629" s="36" t="inlineStr">
        <is>
          <t>M13-0193</t>
        </is>
      </c>
      <c r="C629" s="713" t="n"/>
      <c r="D629" s="714" t="n"/>
      <c r="E629" s="721" t="inlineStr">
        <is>
          <t>YEE PARED DELGADA 4" (SANITARIO)</t>
        </is>
      </c>
      <c r="F629" s="716" t="inlineStr">
        <is>
          <t>UND</t>
        </is>
      </c>
      <c r="G629" s="717" t="n">
        <v>3760.75</v>
      </c>
      <c r="H629" s="718">
        <f>+G629*1.13</f>
        <v/>
      </c>
      <c r="I629" s="702" t="inlineStr">
        <is>
          <t>✓✓</t>
        </is>
      </c>
    </row>
    <row r="630">
      <c r="A630" s="722" t="n"/>
      <c r="B630" s="776" t="inlineStr">
        <is>
          <t>M13-0196</t>
        </is>
      </c>
      <c r="C630" s="713" t="n"/>
      <c r="D630" s="714" t="n"/>
      <c r="E630" s="777" t="inlineStr">
        <is>
          <t>REDUCCIÓN SANITARIA 2 A 1-1/2"</t>
        </is>
      </c>
      <c r="F630" s="778" t="inlineStr">
        <is>
          <t>UND</t>
        </is>
      </c>
      <c r="G630" s="779" t="n">
        <v>3421</v>
      </c>
      <c r="H630" s="780">
        <f>+G630*1.13</f>
        <v/>
      </c>
      <c r="I630" s="702" t="inlineStr">
        <is>
          <t>✓✓</t>
        </is>
      </c>
    </row>
    <row r="631">
      <c r="A631" s="732" t="n"/>
      <c r="B631" s="36" t="inlineStr">
        <is>
          <t>M13-0199</t>
        </is>
      </c>
      <c r="C631" s="713" t="n"/>
      <c r="D631" s="714" t="n"/>
      <c r="E631" s="721" t="inlineStr">
        <is>
          <t>TAPON LISO PVC 1-1/4" (SANITARIO)</t>
        </is>
      </c>
      <c r="F631" s="716" t="inlineStr">
        <is>
          <t>UND</t>
        </is>
      </c>
      <c r="G631" s="717" t="n">
        <v>312.5</v>
      </c>
      <c r="H631" s="718">
        <f>+G631*1.13</f>
        <v/>
      </c>
      <c r="I631" s="702" t="inlineStr">
        <is>
          <t>✓✓</t>
        </is>
      </c>
    </row>
    <row r="632">
      <c r="A632" s="722" t="n"/>
      <c r="B632" s="36" t="inlineStr">
        <is>
          <t>M13-0200</t>
        </is>
      </c>
      <c r="C632" s="713" t="n"/>
      <c r="D632" s="714" t="n"/>
      <c r="E632" s="721" t="inlineStr">
        <is>
          <t>TAPON LISO PVC SANITARIO 3" (SANITARIO)</t>
        </is>
      </c>
      <c r="F632" s="716" t="inlineStr">
        <is>
          <t>UND</t>
        </is>
      </c>
      <c r="G632" s="717" t="n">
        <v>270.25</v>
      </c>
      <c r="H632" s="718">
        <f>+G632*1.13</f>
        <v/>
      </c>
      <c r="I632" s="702" t="inlineStr">
        <is>
          <t>✓✓</t>
        </is>
      </c>
    </row>
    <row r="633">
      <c r="A633" s="722" t="n"/>
      <c r="B633" s="36" t="inlineStr">
        <is>
          <t>M13-0201</t>
        </is>
      </c>
      <c r="C633" s="713" t="n"/>
      <c r="D633" s="714" t="n"/>
      <c r="E633" s="721" t="inlineStr">
        <is>
          <t>TAPON LISO PVC 2" (SANITARIO)</t>
        </is>
      </c>
      <c r="F633" s="716" t="inlineStr">
        <is>
          <t>UND</t>
        </is>
      </c>
      <c r="G633" s="717" t="n">
        <v>268</v>
      </c>
      <c r="H633" s="718">
        <f>+G633*1.13</f>
        <v/>
      </c>
      <c r="I633" s="702" t="inlineStr">
        <is>
          <t>✓✓</t>
        </is>
      </c>
    </row>
    <row r="634">
      <c r="A634" s="722" t="n"/>
      <c r="B634" s="776" t="inlineStr">
        <is>
          <t>M13-0203</t>
        </is>
      </c>
      <c r="C634" s="713" t="n"/>
      <c r="D634" s="714" t="n"/>
      <c r="E634" s="777" t="inlineStr">
        <is>
          <t>ADAPTADOR MACHO PVC 2"</t>
        </is>
      </c>
      <c r="F634" s="778" t="inlineStr">
        <is>
          <t>UND</t>
        </is>
      </c>
      <c r="G634" s="779" t="n">
        <v>1101.77</v>
      </c>
      <c r="H634" s="780">
        <f>+G634*1.13</f>
        <v/>
      </c>
      <c r="I634" s="702" t="inlineStr">
        <is>
          <t>✓✓</t>
        </is>
      </c>
    </row>
    <row r="635">
      <c r="A635" s="722" t="n"/>
      <c r="B635" s="36" t="inlineStr">
        <is>
          <t>M13-0206</t>
        </is>
      </c>
      <c r="C635" s="713" t="n"/>
      <c r="D635" s="714" t="n"/>
      <c r="E635" s="721" t="inlineStr">
        <is>
          <t>ADAPTADOR MACHO 2" SCH80 (50MM)</t>
        </is>
      </c>
      <c r="F635" s="716" t="inlineStr">
        <is>
          <t>UND</t>
        </is>
      </c>
      <c r="G635" s="717" t="n">
        <v>1918.45</v>
      </c>
      <c r="H635" s="718">
        <f>+G635*1.13</f>
        <v/>
      </c>
      <c r="I635" s="702" t="inlineStr">
        <is>
          <t>✓✓</t>
        </is>
      </c>
    </row>
    <row r="636">
      <c r="A636" s="722" t="n"/>
      <c r="B636" s="36" t="inlineStr">
        <is>
          <t>M13-0207</t>
        </is>
      </c>
      <c r="C636" s="713" t="n"/>
      <c r="D636" s="714" t="n"/>
      <c r="E636" s="721" t="inlineStr">
        <is>
          <t>ADAPTADOR HEMBRA 2" SCH80 (50MM)</t>
        </is>
      </c>
      <c r="F636" s="716" t="inlineStr">
        <is>
          <t>UND</t>
        </is>
      </c>
      <c r="G636" s="717" t="n">
        <v>25426</v>
      </c>
      <c r="H636" s="718">
        <f>+G636*1.13</f>
        <v/>
      </c>
      <c r="I636" s="702" t="inlineStr">
        <is>
          <t>✓✓</t>
        </is>
      </c>
    </row>
    <row r="637">
      <c r="A637" s="722" t="n"/>
      <c r="B637" s="36" t="inlineStr">
        <is>
          <t>M13-0211</t>
        </is>
      </c>
      <c r="C637" s="713" t="n"/>
      <c r="D637" s="714" t="n"/>
      <c r="E637" s="721" t="inlineStr">
        <is>
          <t>CODO 90 PVC POTABLE CEDULA DE PRESIÓN DE 2"</t>
        </is>
      </c>
      <c r="F637" s="716" t="inlineStr">
        <is>
          <t>UND</t>
        </is>
      </c>
      <c r="G637" s="717" t="n">
        <v>4738</v>
      </c>
      <c r="H637" s="718">
        <f>+G637*1.13</f>
        <v/>
      </c>
      <c r="I637" s="702" t="inlineStr">
        <is>
          <t>✓✓</t>
        </is>
      </c>
    </row>
    <row r="638">
      <c r="A638" s="722" t="n"/>
      <c r="B638" s="36" t="inlineStr">
        <is>
          <t>M13-0212</t>
        </is>
      </c>
      <c r="C638" s="713" t="n"/>
      <c r="D638" s="714" t="n"/>
      <c r="E638" s="721" t="inlineStr">
        <is>
          <t>TEE PVC CEDULA DE PRESIÓN  2"</t>
        </is>
      </c>
      <c r="F638" s="716" t="inlineStr">
        <is>
          <t>UND</t>
        </is>
      </c>
      <c r="G638" s="717" t="n">
        <v>5367</v>
      </c>
      <c r="H638" s="718">
        <f>+G638*1.13</f>
        <v/>
      </c>
      <c r="I638" s="702" t="inlineStr">
        <is>
          <t>✓✓</t>
        </is>
      </c>
    </row>
    <row r="639">
      <c r="A639" s="722" t="n"/>
      <c r="B639" s="36" t="inlineStr">
        <is>
          <t>M13-0223</t>
        </is>
      </c>
      <c r="C639" s="713" t="n"/>
      <c r="D639" s="714" t="n"/>
      <c r="E639" s="721" t="inlineStr">
        <is>
          <t>UNION TOPE PVC 1"</t>
        </is>
      </c>
      <c r="F639" s="716" t="inlineStr">
        <is>
          <t>UND</t>
        </is>
      </c>
      <c r="G639" s="717" t="n">
        <v>7704</v>
      </c>
      <c r="H639" s="718">
        <f>+G639*1.13</f>
        <v/>
      </c>
      <c r="I639" s="702" t="inlineStr">
        <is>
          <t>✓✓</t>
        </is>
      </c>
    </row>
    <row r="640">
      <c r="A640" s="722" t="n"/>
      <c r="B640" s="36" t="inlineStr">
        <is>
          <t>M13-0225</t>
        </is>
      </c>
      <c r="C640" s="713" t="n"/>
      <c r="D640" s="714" t="n"/>
      <c r="E640" s="721" t="inlineStr">
        <is>
          <t>UNION DE TOPE 2"</t>
        </is>
      </c>
      <c r="F640" s="716" t="inlineStr">
        <is>
          <t>UND</t>
        </is>
      </c>
      <c r="G640" s="717" t="n">
        <v>11092.92</v>
      </c>
      <c r="H640" s="718">
        <f>+G640*1.13</f>
        <v/>
      </c>
      <c r="I640" s="702" t="inlineStr">
        <is>
          <t>✓✓</t>
        </is>
      </c>
    </row>
    <row r="641">
      <c r="A641" s="722" t="n"/>
      <c r="B641" s="36" t="inlineStr">
        <is>
          <t>M13-0226</t>
        </is>
      </c>
      <c r="C641" s="713" t="n"/>
      <c r="D641" s="714" t="n"/>
      <c r="E641" s="721" t="inlineStr">
        <is>
          <t>REDUCCION PVC 1-1/4 "X1" PRESION POTABLE</t>
        </is>
      </c>
      <c r="F641" s="716" t="inlineStr">
        <is>
          <t>UND</t>
        </is>
      </c>
      <c r="G641" s="717" t="n">
        <v>1452</v>
      </c>
      <c r="H641" s="718">
        <f>+G641*1.13</f>
        <v/>
      </c>
      <c r="I641" s="702" t="inlineStr">
        <is>
          <t>✓✓</t>
        </is>
      </c>
    </row>
    <row r="642">
      <c r="A642" s="722" t="n"/>
      <c r="B642" s="36" t="inlineStr">
        <is>
          <t>M13-0227</t>
        </is>
      </c>
      <c r="C642" s="713" t="n"/>
      <c r="D642" s="714" t="n"/>
      <c r="E642" s="721" t="inlineStr">
        <is>
          <t>REDUCCION PVC  2" X1-1/4" PRESION POTABLE</t>
        </is>
      </c>
      <c r="F642" s="716" t="inlineStr">
        <is>
          <t>UND</t>
        </is>
      </c>
      <c r="G642" s="717" t="n">
        <v>3670</v>
      </c>
      <c r="H642" s="718">
        <f>+G642*1.13</f>
        <v/>
      </c>
      <c r="I642" s="702" t="inlineStr">
        <is>
          <t>✓✓</t>
        </is>
      </c>
    </row>
    <row r="643">
      <c r="A643" s="732" t="n"/>
      <c r="B643" s="36" t="inlineStr">
        <is>
          <t>M13-0228</t>
        </is>
      </c>
      <c r="C643" s="713" t="n"/>
      <c r="D643" s="714" t="n"/>
      <c r="E643" s="721" t="inlineStr">
        <is>
          <t>CHECK LINEAL PVC 2"</t>
        </is>
      </c>
      <c r="F643" s="716" t="inlineStr">
        <is>
          <t>UND</t>
        </is>
      </c>
      <c r="G643" s="717" t="n">
        <v>3013.27</v>
      </c>
      <c r="H643" s="718">
        <f>+G643*1.13</f>
        <v/>
      </c>
      <c r="I643" s="702" t="inlineStr">
        <is>
          <t>✓✓</t>
        </is>
      </c>
    </row>
    <row r="644">
      <c r="A644" s="732" t="n"/>
      <c r="B644" s="36" t="inlineStr">
        <is>
          <t>M13-0229</t>
        </is>
      </c>
      <c r="C644" s="713" t="n"/>
      <c r="D644" s="714" t="n"/>
      <c r="E644" s="721" t="inlineStr">
        <is>
          <t>ADAPTADOR TRAMPA 1-1/2"  A 1-1/4"</t>
        </is>
      </c>
      <c r="F644" s="716" t="inlineStr">
        <is>
          <t>UND</t>
        </is>
      </c>
      <c r="G644" s="717" t="n">
        <v>1059.28</v>
      </c>
      <c r="H644" s="718">
        <f>+G644*1.13</f>
        <v/>
      </c>
      <c r="I644" s="702" t="inlineStr">
        <is>
          <t>✓✓</t>
        </is>
      </c>
    </row>
    <row r="645">
      <c r="A645" s="722" t="n"/>
      <c r="B645" s="36" t="inlineStr">
        <is>
          <t>M13-0245</t>
        </is>
      </c>
      <c r="C645" s="713" t="n"/>
      <c r="D645" s="714" t="n"/>
      <c r="E645" s="721" t="inlineStr">
        <is>
          <t>LLAVE DE CHORRO PREMIUM 1/2</t>
        </is>
      </c>
      <c r="F645" s="716" t="inlineStr">
        <is>
          <t>UND</t>
        </is>
      </c>
      <c r="G645" s="717" t="n">
        <v>2496.8</v>
      </c>
      <c r="H645" s="718">
        <f>+G645*1.13</f>
        <v/>
      </c>
      <c r="I645" s="702" t="inlineStr">
        <is>
          <t>✓✓</t>
        </is>
      </c>
    </row>
    <row r="646">
      <c r="A646" s="732" t="n"/>
      <c r="B646" s="36" t="inlineStr">
        <is>
          <t>M13-0246</t>
        </is>
      </c>
      <c r="C646" s="713" t="n"/>
      <c r="D646" s="714" t="n"/>
      <c r="E646" s="721" t="inlineStr">
        <is>
          <t>LLAVE DE CHORRO PVC 1/2</t>
        </is>
      </c>
      <c r="F646" s="716" t="inlineStr">
        <is>
          <t>UND</t>
        </is>
      </c>
      <c r="G646" s="717" t="n">
        <v>549.64</v>
      </c>
      <c r="H646" s="718">
        <f>+G646*1.13</f>
        <v/>
      </c>
      <c r="I646" s="702" t="inlineStr">
        <is>
          <t>✓✓</t>
        </is>
      </c>
    </row>
    <row r="647">
      <c r="A647" s="722" t="n"/>
      <c r="B647" s="36" t="inlineStr">
        <is>
          <t>M13-0251</t>
        </is>
      </c>
      <c r="C647" s="713" t="n"/>
      <c r="D647" s="714" t="n"/>
      <c r="E647" s="721" t="inlineStr">
        <is>
          <t>CHECK DE COMPUERTA 2"</t>
        </is>
      </c>
      <c r="F647" s="716" t="inlineStr">
        <is>
          <t>UND</t>
        </is>
      </c>
      <c r="G647" s="717" t="n">
        <v>15833.45</v>
      </c>
      <c r="H647" s="718">
        <f>+G647*1.13</f>
        <v/>
      </c>
      <c r="I647" s="702" t="inlineStr">
        <is>
          <t>✓✓</t>
        </is>
      </c>
    </row>
    <row r="648">
      <c r="A648" s="722" t="n"/>
      <c r="B648" s="36" t="inlineStr">
        <is>
          <t>M13-0255</t>
        </is>
      </c>
      <c r="C648" s="713" t="n"/>
      <c r="D648" s="714" t="n"/>
      <c r="E648" s="721" t="inlineStr">
        <is>
          <t>LLAVE  DE PASO PVC 1/2</t>
        </is>
      </c>
      <c r="F648" s="716" t="inlineStr">
        <is>
          <t>UND</t>
        </is>
      </c>
      <c r="G648" s="717" t="n">
        <v>1567.4</v>
      </c>
      <c r="H648" s="718">
        <f>+G648*1.13</f>
        <v/>
      </c>
      <c r="I648" s="702" t="inlineStr">
        <is>
          <t>✓✓</t>
        </is>
      </c>
    </row>
    <row r="649">
      <c r="A649" s="732" t="n"/>
      <c r="B649" s="36" t="inlineStr">
        <is>
          <t>M13-0296</t>
        </is>
      </c>
      <c r="C649" s="713" t="n"/>
      <c r="D649" s="714" t="n"/>
      <c r="E649" s="721" t="inlineStr">
        <is>
          <t>TUBO PVC PRESION SDR17 1-1/2"</t>
        </is>
      </c>
      <c r="F649" s="716" t="inlineStr">
        <is>
          <t>UND</t>
        </is>
      </c>
      <c r="G649" s="717">
        <f>8531.502/1.13</f>
        <v/>
      </c>
      <c r="H649" s="718">
        <f>+G649*1.13</f>
        <v/>
      </c>
      <c r="I649" s="702" t="inlineStr">
        <is>
          <t>✓✓</t>
        </is>
      </c>
    </row>
    <row r="650">
      <c r="A650" s="722" t="n"/>
      <c r="B650" s="36" t="inlineStr">
        <is>
          <t>M14-0002</t>
        </is>
      </c>
      <c r="C650" s="713" t="n"/>
      <c r="D650" s="714" t="n"/>
      <c r="E650" s="721" t="inlineStr">
        <is>
          <t>BISAGRA DORADA 3"X3"</t>
        </is>
      </c>
      <c r="F650" s="716" t="inlineStr">
        <is>
          <t>UND</t>
        </is>
      </c>
      <c r="G650" s="717" t="n">
        <v>1268.75</v>
      </c>
      <c r="H650" s="718">
        <f>+G650*1.13</f>
        <v/>
      </c>
      <c r="I650" s="702" t="inlineStr">
        <is>
          <t>✓✓</t>
        </is>
      </c>
    </row>
    <row r="651">
      <c r="A651" s="722" t="n"/>
      <c r="B651" s="36" t="inlineStr">
        <is>
          <t>M14-0005</t>
        </is>
      </c>
      <c r="C651" s="713" t="n"/>
      <c r="D651" s="714" t="n"/>
      <c r="E651" s="721" t="inlineStr">
        <is>
          <t>BISAGRA MARIPOSA PLATEADA</t>
        </is>
      </c>
      <c r="F651" s="716" t="inlineStr">
        <is>
          <t>PAR</t>
        </is>
      </c>
      <c r="G651" s="717" t="n">
        <v>983.33</v>
      </c>
      <c r="H651" s="718">
        <f>+G651*1.13</f>
        <v/>
      </c>
      <c r="I651" s="702" t="inlineStr">
        <is>
          <t>✓✓</t>
        </is>
      </c>
    </row>
    <row r="652">
      <c r="A652" s="722" t="n"/>
      <c r="B652" s="36" t="inlineStr">
        <is>
          <t>M14-0012</t>
        </is>
      </c>
      <c r="C652" s="713" t="n"/>
      <c r="D652" s="714" t="n"/>
      <c r="E652" s="721" t="inlineStr">
        <is>
          <t xml:space="preserve">CERRADURA INTERNA MANIJA YALE </t>
        </is>
      </c>
      <c r="F652" s="716" t="inlineStr">
        <is>
          <t>UND</t>
        </is>
      </c>
      <c r="G652" s="717" t="n">
        <v>6037</v>
      </c>
      <c r="H652" s="718">
        <f>+G652*1.13</f>
        <v/>
      </c>
      <c r="I652" s="702" t="inlineStr">
        <is>
          <t>✓✓</t>
        </is>
      </c>
    </row>
    <row r="653">
      <c r="A653" s="722" t="n"/>
      <c r="B653" s="36" t="inlineStr">
        <is>
          <t>M14-0013</t>
        </is>
      </c>
      <c r="C653" s="713" t="n"/>
      <c r="D653" s="714" t="n"/>
      <c r="E653" s="721" t="inlineStr">
        <is>
          <t>CERRADURA PRINCIPAL YALE</t>
        </is>
      </c>
      <c r="F653" s="716" t="inlineStr">
        <is>
          <t>UND</t>
        </is>
      </c>
      <c r="G653" s="717" t="n">
        <v>16204.33</v>
      </c>
      <c r="H653" s="718">
        <f>+G653*1.13</f>
        <v/>
      </c>
      <c r="I653" s="702" t="inlineStr">
        <is>
          <t>✓✓</t>
        </is>
      </c>
    </row>
    <row r="654">
      <c r="A654" s="722" t="n"/>
      <c r="B654" s="36" t="inlineStr">
        <is>
          <t>M14-0015</t>
        </is>
      </c>
      <c r="C654" s="713" t="n"/>
      <c r="D654" s="714" t="n"/>
      <c r="E654" s="721" t="inlineStr">
        <is>
          <t>DEDALES PARA PUERTA CORREDIZA</t>
        </is>
      </c>
      <c r="F654" s="716" t="inlineStr">
        <is>
          <t>UND</t>
        </is>
      </c>
      <c r="G654" s="717">
        <f>1.57*tc</f>
        <v/>
      </c>
      <c r="H654" s="718">
        <f>+G654*1.13</f>
        <v/>
      </c>
      <c r="I654" s="702" t="inlineStr">
        <is>
          <t>✓✓</t>
        </is>
      </c>
    </row>
    <row r="655">
      <c r="A655" s="722" t="n"/>
      <c r="B655" s="36" t="inlineStr">
        <is>
          <t>M14-0018</t>
        </is>
      </c>
      <c r="C655" s="713" t="n"/>
      <c r="D655" s="714" t="n"/>
      <c r="E655" s="721" t="inlineStr">
        <is>
          <t>SET CORREDIZO DOBLE DUCASSE P/CLOSET</t>
        </is>
      </c>
      <c r="F655" s="716" t="inlineStr">
        <is>
          <t>UND</t>
        </is>
      </c>
      <c r="G655" s="717" t="n">
        <v>3823.01</v>
      </c>
      <c r="H655" s="718">
        <f>+G655*1.13</f>
        <v/>
      </c>
      <c r="I655" s="702" t="inlineStr">
        <is>
          <t>✓✓</t>
        </is>
      </c>
    </row>
    <row r="656">
      <c r="A656" s="722" t="n"/>
      <c r="B656" s="36" t="inlineStr">
        <is>
          <t>M14-0020</t>
        </is>
      </c>
      <c r="C656" s="713" t="n"/>
      <c r="D656" s="714" t="n"/>
      <c r="E656" s="715" t="inlineStr">
        <is>
          <t>PUERTA + MARCO + MOLDURA BUQUE 100CM (AD)</t>
        </is>
      </c>
      <c r="F656" s="716" t="inlineStr">
        <is>
          <t>UND</t>
        </is>
      </c>
      <c r="G656" s="717" t="n">
        <v>130088.5</v>
      </c>
      <c r="H656" s="718">
        <f>+G656*1.13</f>
        <v/>
      </c>
      <c r="I656" s="702" t="inlineStr">
        <is>
          <t>✓✓</t>
        </is>
      </c>
    </row>
    <row r="657">
      <c r="A657" s="722" t="n"/>
      <c r="B657" s="36" t="inlineStr">
        <is>
          <t>M14-0021</t>
        </is>
      </c>
      <c r="C657" s="713" t="n"/>
      <c r="D657" s="714" t="n"/>
      <c r="E657" s="715" t="inlineStr">
        <is>
          <t>PUERTA + MARCO + MOLDURA BUQUE 80CM (AD)</t>
        </is>
      </c>
      <c r="F657" s="716" t="inlineStr">
        <is>
          <t>UND</t>
        </is>
      </c>
      <c r="G657" s="717" t="n">
        <v>130088.5</v>
      </c>
      <c r="H657" s="718">
        <f>+G657*1.13</f>
        <v/>
      </c>
      <c r="I657" s="702" t="inlineStr">
        <is>
          <t>✓✓</t>
        </is>
      </c>
    </row>
    <row r="658">
      <c r="A658" s="722" t="n"/>
      <c r="B658" s="36" t="inlineStr">
        <is>
          <t>M14-0022</t>
        </is>
      </c>
      <c r="C658" s="713" t="n"/>
      <c r="D658" s="714" t="n"/>
      <c r="E658" s="715" t="inlineStr">
        <is>
          <t>PUERTA + MARCO + MOLDURA BUQUE 90CM (AD)</t>
        </is>
      </c>
      <c r="F658" s="716" t="inlineStr">
        <is>
          <t>UND</t>
        </is>
      </c>
      <c r="G658" s="717" t="n">
        <v>130088.5</v>
      </c>
      <c r="H658" s="718">
        <f>+G658*1.13</f>
        <v/>
      </c>
      <c r="I658" s="702" t="inlineStr">
        <is>
          <t>✓✓</t>
        </is>
      </c>
    </row>
    <row r="659">
      <c r="A659" s="732" t="n"/>
      <c r="B659" s="36" t="inlineStr">
        <is>
          <t>M15-0001</t>
        </is>
      </c>
      <c r="C659" s="713" t="n"/>
      <c r="D659" s="714" t="n"/>
      <c r="E659" s="721" t="inlineStr">
        <is>
          <t>BASE ALUMINIO NEGRA PARA TAPA DE POLYCARBONATO 6.40</t>
        </is>
      </c>
      <c r="F659" s="716" t="inlineStr">
        <is>
          <t>UND</t>
        </is>
      </c>
      <c r="G659" s="717">
        <f>26.99*tc</f>
        <v/>
      </c>
      <c r="H659" s="718">
        <f>+G659*1.13</f>
        <v/>
      </c>
      <c r="I659" s="702" t="inlineStr">
        <is>
          <t>✓✓</t>
        </is>
      </c>
    </row>
    <row r="660">
      <c r="A660" s="722" t="n"/>
      <c r="B660" s="36" t="inlineStr">
        <is>
          <t>M15-0006</t>
        </is>
      </c>
      <c r="C660" s="713" t="n"/>
      <c r="D660" s="714" t="n"/>
      <c r="E660" s="715" t="inlineStr">
        <is>
          <t>TAPA POLICARBONATO HUMO EN 11.80 METROS</t>
        </is>
      </c>
      <c r="F660" s="716" t="inlineStr">
        <is>
          <t>UND</t>
        </is>
      </c>
      <c r="G660" s="717">
        <f>23.05*tc</f>
        <v/>
      </c>
      <c r="H660" s="718">
        <f>+G660*1.13</f>
        <v/>
      </c>
      <c r="I660" s="702" t="inlineStr">
        <is>
          <t>✓✓</t>
        </is>
      </c>
    </row>
    <row r="661">
      <c r="A661" s="731" t="inlineStr">
        <is>
          <t>MAT19-0049 REDUCCION PARED GRUESA 2 " A 1 1/4"</t>
        </is>
      </c>
      <c r="B661" s="36" t="inlineStr">
        <is>
          <t>M15-0007</t>
        </is>
      </c>
      <c r="C661" s="713" t="n"/>
      <c r="D661" s="714" t="n"/>
      <c r="E661" s="721" t="inlineStr">
        <is>
          <t>GANCHO DE SOPORTE NEGRO 25CM (PARA POLYCARBONATO)</t>
        </is>
      </c>
      <c r="F661" s="716" t="inlineStr">
        <is>
          <t>UND</t>
        </is>
      </c>
      <c r="G661" s="717" t="n">
        <v>285.6</v>
      </c>
      <c r="H661" s="718">
        <f>+G661*1.13</f>
        <v/>
      </c>
      <c r="I661" s="46" t="n"/>
    </row>
    <row r="662">
      <c r="A662" s="732" t="n"/>
      <c r="B662" s="36" t="inlineStr">
        <is>
          <t>M15-0008</t>
        </is>
      </c>
      <c r="C662" s="713" t="n"/>
      <c r="D662" s="714" t="n"/>
      <c r="E662" s="721" t="inlineStr">
        <is>
          <t>CINTA DE ALUMINIO 25MM C/50M (POLYCARBONATO)</t>
        </is>
      </c>
      <c r="F662" s="716" t="inlineStr">
        <is>
          <t>UND</t>
        </is>
      </c>
      <c r="G662" s="717" t="n">
        <v>173.4</v>
      </c>
      <c r="H662" s="718">
        <f>+G662*1.13</f>
        <v/>
      </c>
      <c r="I662" s="702" t="inlineStr">
        <is>
          <t>✓✓</t>
        </is>
      </c>
    </row>
    <row r="663">
      <c r="A663" s="722" t="n"/>
      <c r="B663" s="36" t="inlineStr">
        <is>
          <t>M15-0009</t>
        </is>
      </c>
      <c r="C663" s="713" t="n"/>
      <c r="D663" s="714" t="n"/>
      <c r="E663" s="721" t="inlineStr">
        <is>
          <t>CINTA DE VENTILACION 25MM / M PARA ST (POLYCARBONATO)</t>
        </is>
      </c>
      <c r="F663" s="716" t="inlineStr">
        <is>
          <t>UND</t>
        </is>
      </c>
      <c r="G663" s="717" t="n">
        <v>275</v>
      </c>
      <c r="H663" s="718">
        <f>+G663*1.13</f>
        <v/>
      </c>
      <c r="I663" s="702" t="inlineStr">
        <is>
          <t>✓✓</t>
        </is>
      </c>
    </row>
    <row r="664">
      <c r="A664" s="732" t="n"/>
      <c r="B664" s="36" t="inlineStr">
        <is>
          <t>M15-0010</t>
        </is>
      </c>
      <c r="C664" s="713" t="n"/>
      <c r="D664" s="714" t="n"/>
      <c r="E664" s="721" t="inlineStr">
        <is>
          <t>PERFIL TIPO U TERMINAL LAMINA 8MM NEGRO 4.3 M (POLYCARBONATO)</t>
        </is>
      </c>
      <c r="F664" s="716" t="inlineStr">
        <is>
          <t>UND</t>
        </is>
      </c>
      <c r="G664" s="717" t="n">
        <v>4325</v>
      </c>
      <c r="H664" s="718">
        <f>+G664*1.13</f>
        <v/>
      </c>
      <c r="I664" s="702" t="inlineStr">
        <is>
          <t>✓✓</t>
        </is>
      </c>
    </row>
    <row r="665">
      <c r="A665" s="722" t="n"/>
      <c r="B665" s="36" t="inlineStr">
        <is>
          <t>M15-0012</t>
        </is>
      </c>
      <c r="C665" s="713" t="n"/>
      <c r="D665" s="714" t="n"/>
      <c r="E665" s="721" t="inlineStr">
        <is>
          <t>CLIP ESMALTADO CALIBRE 24</t>
        </is>
      </c>
      <c r="F665" s="716" t="inlineStr">
        <is>
          <t>UND</t>
        </is>
      </c>
      <c r="G665" s="717" t="n">
        <v>176.99</v>
      </c>
      <c r="H665" s="718">
        <f>+G665*1.13</f>
        <v/>
      </c>
      <c r="I665" s="702" t="inlineStr">
        <is>
          <t>✓✓</t>
        </is>
      </c>
    </row>
    <row r="666">
      <c r="A666" s="722" t="n"/>
      <c r="B666" s="36" t="inlineStr">
        <is>
          <t>M15-0016</t>
        </is>
      </c>
      <c r="C666" s="713" t="n"/>
      <c r="D666" s="714" t="n"/>
      <c r="E666" s="721" t="inlineStr">
        <is>
          <t>GAZA PARA BAJANTE BLANCA 3"</t>
        </is>
      </c>
      <c r="F666" s="716" t="inlineStr">
        <is>
          <t>UND</t>
        </is>
      </c>
      <c r="G666" s="717" t="n">
        <v>716.5599999999999</v>
      </c>
      <c r="H666" s="718">
        <f>+G666*1.13</f>
        <v/>
      </c>
      <c r="I666" s="702" t="inlineStr">
        <is>
          <t>✓✓</t>
        </is>
      </c>
    </row>
    <row r="667">
      <c r="A667" s="731" t="n"/>
      <c r="B667" s="36" t="inlineStr">
        <is>
          <t>M15-0018</t>
        </is>
      </c>
      <c r="C667" s="713" t="n"/>
      <c r="D667" s="714" t="n"/>
      <c r="E667" s="721" t="inlineStr">
        <is>
          <t>GAZA P/BAJANTE 4"</t>
        </is>
      </c>
      <c r="F667" s="716" t="inlineStr">
        <is>
          <t>UND</t>
        </is>
      </c>
      <c r="G667" s="717" t="n">
        <v>1097</v>
      </c>
      <c r="H667" s="718">
        <f>+G667*1.13</f>
        <v/>
      </c>
      <c r="I667" s="46" t="n"/>
    </row>
    <row r="668">
      <c r="A668" s="731" t="n"/>
      <c r="B668" s="36" t="inlineStr">
        <is>
          <t>M15-0019</t>
        </is>
      </c>
      <c r="C668" s="713" t="n"/>
      <c r="D668" s="714" t="n"/>
      <c r="E668" s="721" t="inlineStr">
        <is>
          <t>BOBINA ACERO SUAVE BLANCO 4011 0.44 X 1220 MM</t>
        </is>
      </c>
      <c r="F668" s="716" t="inlineStr">
        <is>
          <t>KG</t>
        </is>
      </c>
      <c r="G668" s="717" t="n">
        <v>769</v>
      </c>
      <c r="H668" s="718">
        <f>+G668*1.13</f>
        <v/>
      </c>
      <c r="I668" s="46" t="n"/>
    </row>
    <row r="669">
      <c r="A669" s="731" t="n"/>
      <c r="B669" s="36" t="inlineStr">
        <is>
          <t>M15-0020</t>
        </is>
      </c>
      <c r="C669" s="713" t="n"/>
      <c r="D669" s="714" t="n"/>
      <c r="E669" s="721" t="inlineStr">
        <is>
          <t>BOBINA GALVALUME 0.53MM X 48" BLANCO</t>
        </is>
      </c>
      <c r="F669" s="716" t="inlineStr">
        <is>
          <t>KG</t>
        </is>
      </c>
      <c r="G669" s="717" t="n">
        <v>769</v>
      </c>
      <c r="H669" s="718">
        <f>+G669*1.13</f>
        <v/>
      </c>
      <c r="I669" s="46" t="n"/>
    </row>
    <row r="670">
      <c r="A670" s="722" t="n"/>
      <c r="B670" s="36" t="inlineStr">
        <is>
          <t>M15-0042</t>
        </is>
      </c>
      <c r="C670" s="713" t="n"/>
      <c r="D670" s="714" t="n"/>
      <c r="E670" s="756" t="inlineStr">
        <is>
          <t>MARLON ST FORWALL 8MM HUMO 1.05 X 11.80 M</t>
        </is>
      </c>
      <c r="F670" s="716" t="inlineStr">
        <is>
          <t>UND</t>
        </is>
      </c>
      <c r="G670" s="717" t="n">
        <v>61200</v>
      </c>
      <c r="H670" s="718">
        <f>+G670*1.13</f>
        <v/>
      </c>
      <c r="I670" s="702" t="inlineStr">
        <is>
          <t>✓✓</t>
        </is>
      </c>
    </row>
    <row r="671">
      <c r="A671" s="722" t="n"/>
      <c r="B671" s="36" t="inlineStr">
        <is>
          <t>M15-0044</t>
        </is>
      </c>
      <c r="C671" s="713" t="n"/>
      <c r="D671" s="714" t="n"/>
      <c r="E671" s="721" t="inlineStr">
        <is>
          <t>MARLON ST FORWALL 8MM HUMO 1.05 X 5.90 M</t>
        </is>
      </c>
      <c r="F671" s="716" t="inlineStr">
        <is>
          <t>UND</t>
        </is>
      </c>
      <c r="G671" s="717">
        <f>134*tc</f>
        <v/>
      </c>
      <c r="H671" s="718">
        <f>+G671*1.13</f>
        <v/>
      </c>
      <c r="I671" s="702" t="inlineStr">
        <is>
          <t>✓✓</t>
        </is>
      </c>
    </row>
    <row r="672">
      <c r="A672" s="722" t="n"/>
      <c r="B672" s="36" t="inlineStr">
        <is>
          <t>M15-0054</t>
        </is>
      </c>
      <c r="C672" s="713" t="n"/>
      <c r="D672" s="714" t="n"/>
      <c r="E672" s="721" t="inlineStr">
        <is>
          <t>LAMINA UPVC 1.07 X 11.80X2.5MM</t>
        </is>
      </c>
      <c r="F672" s="716" t="inlineStr">
        <is>
          <t>UND</t>
        </is>
      </c>
      <c r="G672" s="717" t="n">
        <v>50913</v>
      </c>
      <c r="H672" s="718">
        <f>+G672*1.13</f>
        <v/>
      </c>
      <c r="I672" s="702" t="inlineStr">
        <is>
          <t>✓✓</t>
        </is>
      </c>
    </row>
    <row r="673">
      <c r="A673" s="732" t="n"/>
      <c r="B673" s="36" t="inlineStr">
        <is>
          <t>M15-0056</t>
        </is>
      </c>
      <c r="C673" s="713" t="n"/>
      <c r="D673" s="714" t="n"/>
      <c r="E673" s="721" t="inlineStr">
        <is>
          <t>HOJALATERIA 30cm</t>
        </is>
      </c>
      <c r="F673" s="716" t="inlineStr">
        <is>
          <t>M</t>
        </is>
      </c>
      <c r="G673" s="717" t="n">
        <v>992</v>
      </c>
      <c r="H673" s="718">
        <f>+G673*1.13</f>
        <v/>
      </c>
      <c r="I673" s="702" t="inlineStr">
        <is>
          <t>✓✓</t>
        </is>
      </c>
    </row>
    <row r="674">
      <c r="A674" s="722" t="n"/>
      <c r="B674" s="36" t="inlineStr">
        <is>
          <t>M15-0057</t>
        </is>
      </c>
      <c r="C674" s="713" t="n"/>
      <c r="D674" s="714" t="n"/>
      <c r="E674" s="721" t="inlineStr">
        <is>
          <t>HOJALATERIA 60cm</t>
        </is>
      </c>
      <c r="F674" s="716" t="inlineStr">
        <is>
          <t>M</t>
        </is>
      </c>
      <c r="G674" s="717" t="n">
        <v>1810</v>
      </c>
      <c r="H674" s="718">
        <f>+G674*1.13</f>
        <v/>
      </c>
      <c r="I674" s="702" t="inlineStr">
        <is>
          <t>✓✓</t>
        </is>
      </c>
    </row>
    <row r="675">
      <c r="A675" s="722" t="n"/>
      <c r="B675" s="36" t="inlineStr">
        <is>
          <t>M16-0001</t>
        </is>
      </c>
      <c r="C675" s="713" t="n"/>
      <c r="D675" s="714" t="n"/>
      <c r="E675" s="721" t="inlineStr">
        <is>
          <t>ROLLO SARAN VERDE 80% 2M DE ALTO</t>
        </is>
      </c>
      <c r="F675" s="716" t="inlineStr">
        <is>
          <t>METRO</t>
        </is>
      </c>
      <c r="G675" s="717">
        <f>46086.69/30</f>
        <v/>
      </c>
      <c r="H675" s="718">
        <f>+G675*1.13</f>
        <v/>
      </c>
      <c r="I675" s="702" t="inlineStr">
        <is>
          <t>✓✓</t>
        </is>
      </c>
    </row>
    <row r="676">
      <c r="A676" s="722" t="n"/>
      <c r="B676" s="36" t="inlineStr">
        <is>
          <t>M16-0002</t>
        </is>
      </c>
      <c r="C676" s="713" t="n"/>
      <c r="D676" s="714" t="n"/>
      <c r="E676" s="721" t="inlineStr">
        <is>
          <t>CINTA PELIGRO</t>
        </is>
      </c>
      <c r="F676" s="716" t="inlineStr">
        <is>
          <t>UND</t>
        </is>
      </c>
      <c r="G676" s="717" t="n">
        <v>4373.37</v>
      </c>
      <c r="H676" s="718">
        <f>+G676*1.13</f>
        <v/>
      </c>
      <c r="I676" s="702" t="inlineStr">
        <is>
          <t>✓✓</t>
        </is>
      </c>
    </row>
    <row r="677">
      <c r="A677" s="722" t="n"/>
      <c r="B677" s="36" t="inlineStr">
        <is>
          <t>M17-0057</t>
        </is>
      </c>
      <c r="C677" s="713" t="n"/>
      <c r="D677" s="714" t="n"/>
      <c r="E677" s="721" t="inlineStr">
        <is>
          <t>PALO PARA ESCOBA REPUESTO</t>
        </is>
      </c>
      <c r="F677" s="716" t="inlineStr">
        <is>
          <t>UND</t>
        </is>
      </c>
      <c r="G677" s="717" t="n">
        <v>3950</v>
      </c>
      <c r="H677" s="718">
        <f>+G677*1.13</f>
        <v/>
      </c>
      <c r="I677" s="702" t="inlineStr">
        <is>
          <t>✓✓</t>
        </is>
      </c>
    </row>
    <row r="678">
      <c r="A678" s="722" t="n"/>
      <c r="B678" s="36" t="inlineStr">
        <is>
          <t>M17-0058</t>
        </is>
      </c>
      <c r="C678" s="713" t="n"/>
      <c r="D678" s="714" t="n"/>
      <c r="E678" s="721" t="inlineStr">
        <is>
          <t>HIERBICIDA ROOT OUT 36SL 3.5 L</t>
        </is>
      </c>
      <c r="F678" s="716" t="inlineStr">
        <is>
          <t>UND</t>
        </is>
      </c>
      <c r="G678" s="717" t="n">
        <v>21600</v>
      </c>
      <c r="H678" s="718">
        <f>+G678*1.13</f>
        <v/>
      </c>
      <c r="I678" s="702" t="inlineStr">
        <is>
          <t>✓✓</t>
        </is>
      </c>
    </row>
    <row r="679">
      <c r="A679" s="749" t="n"/>
      <c r="B679" s="36" t="inlineStr">
        <is>
          <t>M19-0005</t>
        </is>
      </c>
      <c r="C679" s="713" t="n"/>
      <c r="D679" s="714" t="n"/>
      <c r="E679" s="721" t="inlineStr">
        <is>
          <t>ZACATE SAN AGUSTIN</t>
        </is>
      </c>
      <c r="F679" s="716" t="inlineStr">
        <is>
          <t>M2</t>
        </is>
      </c>
      <c r="G679" s="717" t="n">
        <v>1175</v>
      </c>
      <c r="H679" s="718">
        <f>+G679*1.13</f>
        <v/>
      </c>
      <c r="I679" s="702" t="inlineStr">
        <is>
          <t>✓✓</t>
        </is>
      </c>
    </row>
    <row r="680">
      <c r="A680" s="732" t="n"/>
      <c r="B680" s="36" t="inlineStr">
        <is>
          <t>M20-0006</t>
        </is>
      </c>
      <c r="C680" s="713" t="n"/>
      <c r="D680" s="714" t="n"/>
      <c r="E680" s="721" t="inlineStr">
        <is>
          <t>PASADOR CONICO</t>
        </is>
      </c>
      <c r="F680" s="716" t="inlineStr">
        <is>
          <t>UND</t>
        </is>
      </c>
      <c r="G680" s="717" t="n">
        <v>4690.19</v>
      </c>
      <c r="H680" s="718">
        <f>+G680*1.13</f>
        <v/>
      </c>
      <c r="I680" s="702" t="inlineStr">
        <is>
          <t>✓✓</t>
        </is>
      </c>
    </row>
    <row r="681">
      <c r="A681" s="722" t="n"/>
      <c r="B681" s="36" t="inlineStr">
        <is>
          <t>M20-0019</t>
        </is>
      </c>
      <c r="C681" s="713" t="n"/>
      <c r="D681" s="714" t="n"/>
      <c r="E681" s="721" t="inlineStr">
        <is>
          <t>ACEITE 15W40</t>
        </is>
      </c>
      <c r="F681" s="716" t="inlineStr">
        <is>
          <t>ESTAÑON</t>
        </is>
      </c>
      <c r="G681" s="717" t="n">
        <v>445000</v>
      </c>
      <c r="H681" s="718">
        <f>+G681*1.13</f>
        <v/>
      </c>
      <c r="I681" s="702" t="inlineStr">
        <is>
          <t>✓✓</t>
        </is>
      </c>
    </row>
    <row r="682">
      <c r="A682" s="722" t="n"/>
      <c r="B682" s="36" t="inlineStr">
        <is>
          <t>M20-0036</t>
        </is>
      </c>
      <c r="C682" s="713" t="n"/>
      <c r="D682" s="714" t="n"/>
      <c r="E682" s="721" t="inlineStr">
        <is>
          <t>ACEITE PARA TAPEADORA</t>
        </is>
      </c>
      <c r="F682" s="716" t="inlineStr">
        <is>
          <t>UND</t>
        </is>
      </c>
      <c r="G682" s="717" t="n">
        <v>5309.73</v>
      </c>
      <c r="H682" s="718">
        <f>+G682*1.13</f>
        <v/>
      </c>
      <c r="I682" s="702" t="inlineStr">
        <is>
          <t>✓✓</t>
        </is>
      </c>
    </row>
    <row r="683">
      <c r="A683" s="732" t="n"/>
      <c r="B683" s="36" t="inlineStr">
        <is>
          <t>M20-0051</t>
        </is>
      </c>
      <c r="C683" s="713" t="n"/>
      <c r="D683" s="714" t="n"/>
      <c r="E683" s="721" t="inlineStr">
        <is>
          <t>LIMPIA CONCRETO</t>
        </is>
      </c>
      <c r="F683" s="716" t="inlineStr">
        <is>
          <t>UND</t>
        </is>
      </c>
      <c r="G683" s="717" t="n">
        <v>45350</v>
      </c>
      <c r="H683" s="718">
        <f>+G683*1.13</f>
        <v/>
      </c>
      <c r="I683" s="702" t="inlineStr">
        <is>
          <t>✓✓</t>
        </is>
      </c>
    </row>
    <row r="684">
      <c r="A684" s="732" t="n"/>
      <c r="B684" s="36" t="inlineStr">
        <is>
          <t>M20-0126</t>
        </is>
      </c>
      <c r="C684" s="713" t="n"/>
      <c r="D684" s="714" t="n"/>
      <c r="E684" s="721" t="inlineStr">
        <is>
          <t>REPUESTOS P/ EQUIPOS</t>
        </is>
      </c>
      <c r="F684" s="716" t="inlineStr">
        <is>
          <t>UND</t>
        </is>
      </c>
      <c r="G684" s="717" t="n">
        <v>6014.83</v>
      </c>
      <c r="H684" s="718">
        <f>+G684*1.13</f>
        <v/>
      </c>
      <c r="I684" s="702" t="inlineStr">
        <is>
          <t>✓✓</t>
        </is>
      </c>
    </row>
    <row r="685">
      <c r="A685" s="722" t="n"/>
      <c r="B685" s="36" t="inlineStr">
        <is>
          <t>M20-0214</t>
        </is>
      </c>
      <c r="C685" s="713" t="n"/>
      <c r="D685" s="714" t="n"/>
      <c r="E685" s="721" t="inlineStr">
        <is>
          <t xml:space="preserve">LLANTA PARA CARRETILLO </t>
        </is>
      </c>
      <c r="F685" s="716" t="inlineStr">
        <is>
          <t>UND</t>
        </is>
      </c>
      <c r="G685" s="717" t="n">
        <v>19469.0265</v>
      </c>
      <c r="H685" s="718">
        <f>+G685*1.13</f>
        <v/>
      </c>
      <c r="I685" s="702" t="inlineStr">
        <is>
          <t>✓✓</t>
        </is>
      </c>
    </row>
    <row r="686">
      <c r="A686" s="732" t="n"/>
      <c r="B686" s="36" t="inlineStr">
        <is>
          <t>M20-0513</t>
        </is>
      </c>
      <c r="C686" s="713" t="n"/>
      <c r="D686" s="714" t="n"/>
      <c r="E686" s="721" t="inlineStr">
        <is>
          <t>RUEDA GIRATORIA DE 4 PULG</t>
        </is>
      </c>
      <c r="F686" s="716" t="inlineStr">
        <is>
          <t>UND</t>
        </is>
      </c>
      <c r="G686" s="717" t="n">
        <v>5411.84</v>
      </c>
      <c r="H686" s="718">
        <f>+G686*1.13</f>
        <v/>
      </c>
      <c r="I686" s="702" t="inlineStr">
        <is>
          <t>✓✓</t>
        </is>
      </c>
    </row>
    <row r="687">
      <c r="A687" s="732" t="n"/>
      <c r="B687" s="36" t="inlineStr">
        <is>
          <t>M20-0528</t>
        </is>
      </c>
      <c r="C687" s="713" t="n"/>
      <c r="D687" s="714" t="n"/>
      <c r="E687" s="721" t="inlineStr">
        <is>
          <t>CUERDA PARA MOTOGUADAÑA</t>
        </is>
      </c>
      <c r="F687" s="716" t="inlineStr">
        <is>
          <t>M</t>
        </is>
      </c>
      <c r="G687" s="717" t="n">
        <v>71.736</v>
      </c>
      <c r="H687" s="718">
        <f>+G687*1.13</f>
        <v/>
      </c>
      <c r="I687" s="702" t="inlineStr">
        <is>
          <t>✓✓</t>
        </is>
      </c>
    </row>
    <row r="688">
      <c r="A688" s="749" t="n"/>
      <c r="B688" s="723" t="inlineStr">
        <is>
          <t>MAT02-0102</t>
        </is>
      </c>
      <c r="C688" s="713" t="n"/>
      <c r="D688" s="714" t="n"/>
      <c r="E688" s="724" t="inlineStr">
        <is>
          <t>GANCHO #3 G60 400 100P</t>
        </is>
      </c>
      <c r="F688" s="725" t="inlineStr">
        <is>
          <t>UND</t>
        </is>
      </c>
      <c r="G688" s="726" t="n">
        <v>228.72</v>
      </c>
      <c r="H688" s="727">
        <f>+G688*1.13</f>
        <v/>
      </c>
      <c r="I688" s="702" t="inlineStr">
        <is>
          <t>✓✓</t>
        </is>
      </c>
    </row>
    <row r="689">
      <c r="A689" s="732" t="n"/>
      <c r="B689" s="723" t="inlineStr">
        <is>
          <t>MAT02-0164</t>
        </is>
      </c>
      <c r="C689" s="713" t="n"/>
      <c r="D689" s="714" t="n"/>
      <c r="E689" s="724" t="inlineStr">
        <is>
          <t>TUBO 2X2X3.2 MM HN</t>
        </is>
      </c>
      <c r="F689" s="725" t="inlineStr">
        <is>
          <t>UND</t>
        </is>
      </c>
      <c r="G689" s="726" t="n">
        <v>12407.08</v>
      </c>
      <c r="H689" s="727">
        <f>+G689*1.13</f>
        <v/>
      </c>
      <c r="I689" s="702" t="inlineStr">
        <is>
          <t>✓✓</t>
        </is>
      </c>
    </row>
    <row r="690">
      <c r="A690" s="722" t="n"/>
      <c r="B690" s="723" t="inlineStr">
        <is>
          <t>MAT04-0008</t>
        </is>
      </c>
      <c r="C690" s="713" t="n"/>
      <c r="D690" s="714" t="n"/>
      <c r="E690" s="724" t="inlineStr">
        <is>
          <t>EMPASTE CEMENTICIO BLANCO CEMEX 20KG</t>
        </is>
      </c>
      <c r="F690" s="725" t="inlineStr">
        <is>
          <t>UND</t>
        </is>
      </c>
      <c r="G690" s="726" t="n">
        <v>4229.4</v>
      </c>
      <c r="H690" s="727">
        <f>+G690*1.13</f>
        <v/>
      </c>
      <c r="I690" s="702" t="inlineStr">
        <is>
          <t>✓✓</t>
        </is>
      </c>
    </row>
    <row r="691">
      <c r="A691" s="722" t="n"/>
      <c r="B691" s="723" t="inlineStr">
        <is>
          <t>MAT04-0013</t>
        </is>
      </c>
      <c r="C691" s="713" t="n"/>
      <c r="D691" s="714" t="n"/>
      <c r="E691" s="724" t="inlineStr">
        <is>
          <t>MORTERO DE REPARACION MR250 SUR</t>
        </is>
      </c>
      <c r="F691" s="725" t="inlineStr">
        <is>
          <t>UND</t>
        </is>
      </c>
      <c r="G691" s="726" t="n">
        <v>8137.168</v>
      </c>
      <c r="H691" s="727">
        <f>+G691*1.13</f>
        <v/>
      </c>
      <c r="I691" s="702" t="inlineStr">
        <is>
          <t>✓✓</t>
        </is>
      </c>
    </row>
    <row r="692">
      <c r="A692" s="732" t="n"/>
      <c r="B692" s="723" t="inlineStr">
        <is>
          <t>MAT05-0105</t>
        </is>
      </c>
      <c r="C692" s="713" t="n"/>
      <c r="D692" s="714" t="n"/>
      <c r="E692" s="724" t="inlineStr">
        <is>
          <t>ACERO SUAVE BLANCO 0.44 X 914</t>
        </is>
      </c>
      <c r="F692" s="725" t="inlineStr">
        <is>
          <t>KG</t>
        </is>
      </c>
      <c r="G692" s="726">
        <f>2.03*tc</f>
        <v/>
      </c>
      <c r="H692" s="727">
        <f>+G692*1.13</f>
        <v/>
      </c>
      <c r="I692" s="702" t="inlineStr">
        <is>
          <t>✓✓</t>
        </is>
      </c>
    </row>
    <row r="693">
      <c r="A693" s="731" t="inlineStr">
        <is>
          <t>MAT19-0099 TUBO SDR41 JC PVC 3</t>
        </is>
      </c>
      <c r="B693" s="723" t="inlineStr">
        <is>
          <t>MAT06-0168</t>
        </is>
      </c>
      <c r="C693" s="713" t="n"/>
      <c r="D693" s="714" t="n"/>
      <c r="E693" s="724" t="inlineStr">
        <is>
          <t>BREAKER SD QO 120 1P 20A CAFI</t>
        </is>
      </c>
      <c r="F693" s="725" t="inlineStr">
        <is>
          <t>UND</t>
        </is>
      </c>
      <c r="G693" s="726" t="n">
        <v>6199.42</v>
      </c>
      <c r="H693" s="727">
        <f>+G693*1.13</f>
        <v/>
      </c>
      <c r="I693" s="46" t="n"/>
    </row>
    <row r="694">
      <c r="A694" s="722" t="n"/>
      <c r="B694" s="723" t="inlineStr">
        <is>
          <t>MAT06-0267</t>
        </is>
      </c>
      <c r="C694" s="713" t="n"/>
      <c r="D694" s="714" t="n"/>
      <c r="E694" s="724" t="inlineStr">
        <is>
          <t>TOMA PARCHE 20 AMP</t>
        </is>
      </c>
      <c r="F694" s="725" t="inlineStr">
        <is>
          <t>UND</t>
        </is>
      </c>
      <c r="G694" s="726" t="n">
        <v>1796.68</v>
      </c>
      <c r="H694" s="727">
        <f>+G694*1.13</f>
        <v/>
      </c>
      <c r="I694" s="702" t="inlineStr">
        <is>
          <t>✓✓</t>
        </is>
      </c>
    </row>
    <row r="695">
      <c r="A695" s="732" t="n"/>
      <c r="B695" s="723" t="inlineStr">
        <is>
          <t>MAT07-0006</t>
        </is>
      </c>
      <c r="C695" s="713" t="n"/>
      <c r="D695" s="714" t="n"/>
      <c r="E695" s="724" t="inlineStr">
        <is>
          <t>CINTA MALLA ADHESIVA P/GYP (90M)</t>
        </is>
      </c>
      <c r="F695" s="725" t="inlineStr">
        <is>
          <t>ROLLO</t>
        </is>
      </c>
      <c r="G695" s="726" t="n">
        <v>1120.4</v>
      </c>
      <c r="H695" s="727">
        <f>+G695*1.13</f>
        <v/>
      </c>
      <c r="I695" s="702" t="inlineStr">
        <is>
          <t>✓✓</t>
        </is>
      </c>
    </row>
    <row r="696">
      <c r="A696" s="732" t="n"/>
      <c r="B696" s="723" t="inlineStr">
        <is>
          <t>MAT07-0008</t>
        </is>
      </c>
      <c r="C696" s="713" t="n"/>
      <c r="D696" s="714" t="n"/>
      <c r="E696" s="724" t="inlineStr">
        <is>
          <t>ESQUINERO METAL 1 1/4X10</t>
        </is>
      </c>
      <c r="F696" s="725" t="inlineStr">
        <is>
          <t>UND</t>
        </is>
      </c>
      <c r="G696" s="726" t="n">
        <v>877.5</v>
      </c>
      <c r="H696" s="727">
        <f>+G696*1.13</f>
        <v/>
      </c>
      <c r="I696" s="702" t="inlineStr">
        <is>
          <t>✓✓</t>
        </is>
      </c>
    </row>
    <row r="697">
      <c r="A697" s="722" t="n"/>
      <c r="B697" s="723" t="inlineStr">
        <is>
          <t>MAT08-0025</t>
        </is>
      </c>
      <c r="C697" s="713" t="n"/>
      <c r="D697" s="714" t="n"/>
      <c r="E697" s="724" t="inlineStr">
        <is>
          <t>CLAVO DE ACERO 1"</t>
        </is>
      </c>
      <c r="F697" s="725" t="inlineStr">
        <is>
          <t>CAJA</t>
        </is>
      </c>
      <c r="G697" s="726" t="n">
        <v>1623.38</v>
      </c>
      <c r="H697" s="727">
        <f>+G697*1.13</f>
        <v/>
      </c>
      <c r="I697" s="702" t="inlineStr">
        <is>
          <t>✓✓</t>
        </is>
      </c>
    </row>
    <row r="698">
      <c r="A698" s="722" t="n"/>
      <c r="B698" s="723" t="inlineStr">
        <is>
          <t>MAT08-0041</t>
        </is>
      </c>
      <c r="C698" s="713" t="n"/>
      <c r="D698" s="714" t="n"/>
      <c r="E698" s="724" t="inlineStr">
        <is>
          <t>DISCO FLAP G80  41/2"</t>
        </is>
      </c>
      <c r="F698" s="725" t="inlineStr">
        <is>
          <t>UND</t>
        </is>
      </c>
      <c r="G698" s="726" t="n">
        <v>1113.5</v>
      </c>
      <c r="H698" s="727">
        <f>+G698*1.13</f>
        <v/>
      </c>
      <c r="I698" s="702" t="inlineStr">
        <is>
          <t>✓✓</t>
        </is>
      </c>
    </row>
    <row r="699">
      <c r="A699" s="732" t="n"/>
      <c r="B699" s="723" t="inlineStr">
        <is>
          <t>MAT08-0149</t>
        </is>
      </c>
      <c r="C699" s="713" t="n"/>
      <c r="D699" s="714" t="n"/>
      <c r="E699" s="724" t="inlineStr">
        <is>
          <t>ROLLO PLASTICO C/CINTA 80°C-60 CM. X 20 M</t>
        </is>
      </c>
      <c r="F699" s="725" t="inlineStr">
        <is>
          <t>UND</t>
        </is>
      </c>
      <c r="G699" s="726" t="n">
        <v>2831.86</v>
      </c>
      <c r="H699" s="727">
        <f>+G699*1.13</f>
        <v/>
      </c>
      <c r="I699" s="702" t="inlineStr">
        <is>
          <t>✓✓</t>
        </is>
      </c>
    </row>
    <row r="700">
      <c r="A700" s="722" t="n"/>
      <c r="B700" s="723" t="inlineStr">
        <is>
          <t>MAT08-0150</t>
        </is>
      </c>
      <c r="C700" s="713" t="n"/>
      <c r="D700" s="714" t="n"/>
      <c r="E700" s="724" t="inlineStr">
        <is>
          <t>ROLLO PLASTICO C/CINTA 80°C - 90 CM. X 20M</t>
        </is>
      </c>
      <c r="F700" s="725" t="inlineStr">
        <is>
          <t>UND</t>
        </is>
      </c>
      <c r="G700" s="726" t="n">
        <v>3076</v>
      </c>
      <c r="H700" s="727">
        <f>+G700*1.13</f>
        <v/>
      </c>
      <c r="I700" s="702" t="inlineStr">
        <is>
          <t>✓✓</t>
        </is>
      </c>
    </row>
    <row r="701">
      <c r="A701" s="722" t="n"/>
      <c r="B701" s="723" t="inlineStr">
        <is>
          <t>MAT08-0191</t>
        </is>
      </c>
      <c r="C701" s="713" t="n"/>
      <c r="D701" s="714" t="n"/>
      <c r="E701" s="724" t="inlineStr">
        <is>
          <t>PERNO 3/8X3 3/4 TIPO HILTI</t>
        </is>
      </c>
      <c r="F701" s="725" t="inlineStr">
        <is>
          <t>UND</t>
        </is>
      </c>
      <c r="G701" s="726" t="n">
        <v>141.86</v>
      </c>
      <c r="H701" s="727">
        <f>+G701*1.13</f>
        <v/>
      </c>
      <c r="I701" s="702" t="inlineStr">
        <is>
          <t>✓✓</t>
        </is>
      </c>
    </row>
    <row r="702">
      <c r="A702" s="732" t="n"/>
      <c r="B702" s="723" t="inlineStr">
        <is>
          <t>MAT08-0192</t>
        </is>
      </c>
      <c r="C702" s="713" t="n"/>
      <c r="D702" s="714" t="n"/>
      <c r="E702" s="724" t="inlineStr">
        <is>
          <t>PERNO 1/2X3 3/4 TIPO HILTI</t>
        </is>
      </c>
      <c r="F702" s="725" t="inlineStr">
        <is>
          <t>UND</t>
        </is>
      </c>
      <c r="G702" s="726" t="n">
        <v>1678.95</v>
      </c>
      <c r="H702" s="727">
        <f>+G702*1.13</f>
        <v/>
      </c>
      <c r="I702" s="702" t="inlineStr">
        <is>
          <t>✓✓</t>
        </is>
      </c>
    </row>
    <row r="703">
      <c r="A703" s="732" t="n"/>
      <c r="B703" s="723" t="inlineStr">
        <is>
          <t>MAT08-0224</t>
        </is>
      </c>
      <c r="C703" s="713" t="n"/>
      <c r="D703" s="714" t="n"/>
      <c r="E703" s="724" t="inlineStr">
        <is>
          <t>BROCA P/CONCRETO EN #8 CORRRIENTE</t>
        </is>
      </c>
      <c r="F703" s="725" t="inlineStr">
        <is>
          <t>UND</t>
        </is>
      </c>
      <c r="G703" s="726" t="n">
        <v>1603.14</v>
      </c>
      <c r="H703" s="727">
        <f>+G703*1.13</f>
        <v/>
      </c>
      <c r="I703" s="702" t="inlineStr">
        <is>
          <t>✓✓</t>
        </is>
      </c>
    </row>
    <row r="704">
      <c r="A704" s="722" t="n"/>
      <c r="B704" s="723" t="inlineStr">
        <is>
          <t>MAT08-0486</t>
        </is>
      </c>
      <c r="C704" s="713" t="n"/>
      <c r="D704" s="714" t="n"/>
      <c r="E704" s="724" t="inlineStr">
        <is>
          <t>DISCO DIAMANTADO PARA CONCRETO 5"</t>
        </is>
      </c>
      <c r="F704" s="725" t="inlineStr">
        <is>
          <t>UND</t>
        </is>
      </c>
      <c r="G704" s="726" t="n">
        <v>33696</v>
      </c>
      <c r="H704" s="727">
        <f>+G704*1.13</f>
        <v/>
      </c>
      <c r="I704" s="702" t="inlineStr">
        <is>
          <t>✓✓</t>
        </is>
      </c>
    </row>
    <row r="705">
      <c r="A705" s="722" t="n"/>
      <c r="B705" s="723" t="inlineStr">
        <is>
          <t>MAT08-0487</t>
        </is>
      </c>
      <c r="C705" s="713" t="n"/>
      <c r="D705" s="714" t="n"/>
      <c r="E705" s="724" t="inlineStr">
        <is>
          <t>LLAVE COMPUERTA METALICA 2 PULGADAS</t>
        </is>
      </c>
      <c r="F705" s="725" t="inlineStr">
        <is>
          <t>UND</t>
        </is>
      </c>
      <c r="G705" s="726" t="n">
        <v>19000</v>
      </c>
      <c r="H705" s="727">
        <f>+G705*1.13</f>
        <v/>
      </c>
      <c r="I705" s="702" t="inlineStr">
        <is>
          <t>✓✓</t>
        </is>
      </c>
    </row>
    <row r="706">
      <c r="A706" s="722" t="n"/>
      <c r="B706" s="723" t="inlineStr">
        <is>
          <t>MAT08-0508</t>
        </is>
      </c>
      <c r="C706" s="713" t="n"/>
      <c r="D706" s="714" t="n"/>
      <c r="E706" s="724" t="inlineStr">
        <is>
          <t>DISCO COPA DIAMANTE DE 7"</t>
        </is>
      </c>
      <c r="F706" s="725" t="inlineStr">
        <is>
          <t>UND</t>
        </is>
      </c>
      <c r="G706" s="726" t="n">
        <v>34426.8</v>
      </c>
      <c r="H706" s="727">
        <f>+G706*1.13</f>
        <v/>
      </c>
      <c r="I706" s="702" t="inlineStr">
        <is>
          <t>✓✓</t>
        </is>
      </c>
    </row>
    <row r="707">
      <c r="A707" s="722" t="n"/>
      <c r="B707" s="723" t="inlineStr">
        <is>
          <t>MAT10-0001</t>
        </is>
      </c>
      <c r="C707" s="713" t="n"/>
      <c r="D707" s="714" t="n"/>
      <c r="E707" s="724" t="inlineStr">
        <is>
          <t>GENERICO MATERIALES</t>
        </is>
      </c>
      <c r="F707" s="725" t="inlineStr">
        <is>
          <t>UND</t>
        </is>
      </c>
      <c r="G707" s="726" t="n">
        <v>2895</v>
      </c>
      <c r="H707" s="727">
        <f>+G707*1.13</f>
        <v/>
      </c>
      <c r="I707" s="702" t="inlineStr">
        <is>
          <t>✓✓</t>
        </is>
      </c>
    </row>
    <row r="708">
      <c r="A708" s="722" t="n"/>
      <c r="B708" s="723" t="inlineStr">
        <is>
          <t>MAT14-0002</t>
        </is>
      </c>
      <c r="C708" s="713" t="n"/>
      <c r="D708" s="714" t="n"/>
      <c r="E708" s="724" t="inlineStr">
        <is>
          <t>BISAGRA DE 170</t>
        </is>
      </c>
      <c r="F708" s="725" t="inlineStr">
        <is>
          <t>UND</t>
        </is>
      </c>
      <c r="G708" s="726" t="n">
        <v>6745.6156</v>
      </c>
      <c r="H708" s="727">
        <f>+G708*1.13</f>
        <v/>
      </c>
      <c r="I708" s="702" t="inlineStr">
        <is>
          <t>✓✓</t>
        </is>
      </c>
    </row>
    <row r="709">
      <c r="A709" s="722" t="n"/>
      <c r="B709" s="723" t="inlineStr">
        <is>
          <t>MAT14-0089</t>
        </is>
      </c>
      <c r="C709" s="713" t="n"/>
      <c r="D709" s="714" t="n"/>
      <c r="E709" s="724" t="inlineStr">
        <is>
          <t>RIEL DE 12" CIERRE LENTO</t>
        </is>
      </c>
      <c r="F709" s="725" t="inlineStr">
        <is>
          <t>UND</t>
        </is>
      </c>
      <c r="G709" s="726" t="n">
        <v>1769.91</v>
      </c>
      <c r="H709" s="727">
        <f>+G709*1.13</f>
        <v/>
      </c>
      <c r="I709" s="702" t="inlineStr">
        <is>
          <t>✓✓</t>
        </is>
      </c>
    </row>
    <row r="710">
      <c r="A710" s="722" t="n"/>
      <c r="B710" s="723" t="inlineStr">
        <is>
          <t>MAT16-0011</t>
        </is>
      </c>
      <c r="C710" s="713" t="n"/>
      <c r="D710" s="714" t="n"/>
      <c r="E710" s="724" t="inlineStr">
        <is>
          <t>STUCCO BLANCO COD 010 SUR</t>
        </is>
      </c>
      <c r="F710" s="725" t="inlineStr">
        <is>
          <t>CUBETA</t>
        </is>
      </c>
      <c r="G710" s="726" t="n">
        <v>38615.85</v>
      </c>
      <c r="H710" s="727">
        <f>+G710*1.13</f>
        <v/>
      </c>
      <c r="I710" s="702" t="inlineStr">
        <is>
          <t>✓✓</t>
        </is>
      </c>
    </row>
    <row r="711">
      <c r="A711" s="749" t="n"/>
      <c r="B711" s="723" t="inlineStr">
        <is>
          <t>MAT16-0013</t>
        </is>
      </c>
      <c r="C711" s="713" t="n"/>
      <c r="D711" s="714" t="n"/>
      <c r="E711" s="724" t="inlineStr">
        <is>
          <t>STUCCO ESPIGA COD 022 SUR</t>
        </is>
      </c>
      <c r="F711" s="725" t="inlineStr">
        <is>
          <t>CUBETA</t>
        </is>
      </c>
      <c r="G711" s="726" t="n">
        <v>43182</v>
      </c>
      <c r="H711" s="727">
        <f>+G711*1.13</f>
        <v/>
      </c>
      <c r="I711" s="702" t="inlineStr">
        <is>
          <t>✓✓</t>
        </is>
      </c>
    </row>
    <row r="712">
      <c r="A712" s="722" t="n"/>
      <c r="B712" s="723" t="inlineStr">
        <is>
          <t>MAT16-0017</t>
        </is>
      </c>
      <c r="C712" s="713" t="n"/>
      <c r="D712" s="714" t="n"/>
      <c r="E712" s="724" t="inlineStr">
        <is>
          <t>STUCCO TABACO SUR</t>
        </is>
      </c>
      <c r="F712" s="725" t="inlineStr">
        <is>
          <t>CUBETA</t>
        </is>
      </c>
      <c r="G712" s="726" t="n">
        <v>43173</v>
      </c>
      <c r="H712" s="727">
        <f>+G712*1.13</f>
        <v/>
      </c>
      <c r="I712" s="702" t="inlineStr">
        <is>
          <t>✓✓</t>
        </is>
      </c>
    </row>
    <row r="713">
      <c r="A713" s="731" t="inlineStr">
        <is>
          <t>MAT19-0122 TAPON LISO PVC SANITARIO 1/12</t>
        </is>
      </c>
      <c r="B713" s="723" t="inlineStr">
        <is>
          <t>MAT16-0031</t>
        </is>
      </c>
      <c r="C713" s="713" t="n"/>
      <c r="D713" s="714" t="n"/>
      <c r="E713" s="724" t="inlineStr">
        <is>
          <t>PINTURA GOLTEX SUR</t>
        </is>
      </c>
      <c r="F713" s="725" t="inlineStr">
        <is>
          <t>CUBETA</t>
        </is>
      </c>
      <c r="G713" s="726" t="n">
        <v>79601.75999999999</v>
      </c>
      <c r="H713" s="727">
        <f>+G713*1.13</f>
        <v/>
      </c>
      <c r="I713" s="46" t="n"/>
    </row>
    <row r="714">
      <c r="A714" s="722" t="n"/>
      <c r="B714" s="723" t="inlineStr">
        <is>
          <t>MAT16-0033</t>
        </is>
      </c>
      <c r="C714" s="713" t="n"/>
      <c r="D714" s="714" t="n"/>
      <c r="E714" s="724" t="inlineStr">
        <is>
          <t>PINTURA FAST DRY PASTEL</t>
        </is>
      </c>
      <c r="F714" s="725" t="inlineStr">
        <is>
          <t>GALON</t>
        </is>
      </c>
      <c r="G714" s="726" t="n">
        <v>21154.8672</v>
      </c>
      <c r="H714" s="727">
        <f>+G714*1.13</f>
        <v/>
      </c>
      <c r="I714" s="702" t="inlineStr">
        <is>
          <t>✓✓</t>
        </is>
      </c>
    </row>
    <row r="715">
      <c r="A715" s="722" t="n"/>
      <c r="B715" s="723" t="inlineStr">
        <is>
          <t>MAT16-0034</t>
        </is>
      </c>
      <c r="C715" s="713" t="n"/>
      <c r="D715" s="714" t="n"/>
      <c r="E715" s="724" t="inlineStr">
        <is>
          <t>PINTURA FAST DRY BLANCO</t>
        </is>
      </c>
      <c r="F715" s="725" t="inlineStr">
        <is>
          <t>GALON</t>
        </is>
      </c>
      <c r="G715" s="726" t="n">
        <v>29734.51</v>
      </c>
      <c r="H715" s="727">
        <f>+G715*1.13</f>
        <v/>
      </c>
      <c r="I715" s="702" t="inlineStr">
        <is>
          <t>✓✓</t>
        </is>
      </c>
    </row>
    <row r="716">
      <c r="A716" s="722" t="n"/>
      <c r="B716" s="723" t="inlineStr">
        <is>
          <t>MAT16-0042</t>
        </is>
      </c>
      <c r="C716" s="713" t="n"/>
      <c r="D716" s="714" t="n"/>
      <c r="E716" s="724" t="inlineStr">
        <is>
          <t>PINTURA ULTRADRY TABACO COD 496 SUR</t>
        </is>
      </c>
      <c r="F716" s="725" t="inlineStr">
        <is>
          <t>CUBETA</t>
        </is>
      </c>
      <c r="G716" s="726" t="n">
        <v>79500</v>
      </c>
      <c r="H716" s="727">
        <f>+G716*1.13</f>
        <v/>
      </c>
      <c r="I716" s="702" t="inlineStr">
        <is>
          <t>✓✓</t>
        </is>
      </c>
    </row>
    <row r="717">
      <c r="A717" s="722" t="n"/>
      <c r="B717" s="723" t="inlineStr">
        <is>
          <t>MAT16-0055</t>
        </is>
      </c>
      <c r="C717" s="713" t="n"/>
      <c r="D717" s="714" t="n"/>
      <c r="E717" s="724" t="inlineStr">
        <is>
          <t>PINTURA GOLTEX SUR</t>
        </is>
      </c>
      <c r="F717" s="725" t="inlineStr">
        <is>
          <t>GALON</t>
        </is>
      </c>
      <c r="G717" s="726" t="n">
        <v>16769.91</v>
      </c>
      <c r="H717" s="727">
        <f>+G717*1.13</f>
        <v/>
      </c>
      <c r="I717" s="702" t="inlineStr">
        <is>
          <t>✓✓</t>
        </is>
      </c>
    </row>
    <row r="718">
      <c r="A718" s="722" t="n"/>
      <c r="B718" s="788" t="inlineStr">
        <is>
          <t>MAT16-0076</t>
        </is>
      </c>
      <c r="C718" s="713" t="n"/>
      <c r="D718" s="789" t="n"/>
      <c r="E718" s="790" t="inlineStr">
        <is>
          <t>PINTURA LATEX TRADICIONAL BLANCO SUR</t>
        </is>
      </c>
      <c r="F718" s="791" t="inlineStr">
        <is>
          <t>CUBETA</t>
        </is>
      </c>
      <c r="G718" s="726" t="n">
        <v>59548.67</v>
      </c>
      <c r="H718" s="727">
        <f>+G718*1.13</f>
        <v/>
      </c>
      <c r="I718" s="702" t="inlineStr">
        <is>
          <t>✓✓</t>
        </is>
      </c>
    </row>
    <row r="719">
      <c r="A719" s="722" t="n"/>
      <c r="B719" s="723" t="inlineStr">
        <is>
          <t>MAT16-0087</t>
        </is>
      </c>
      <c r="C719" s="713" t="n"/>
      <c r="D719" s="713" t="n"/>
      <c r="E719" s="792" t="inlineStr">
        <is>
          <t>PINTURA EN SPRAY AZUL</t>
        </is>
      </c>
      <c r="F719" s="791" t="inlineStr">
        <is>
          <t>UND</t>
        </is>
      </c>
      <c r="G719" s="726" t="n">
        <v>2769.91</v>
      </c>
      <c r="H719" s="727">
        <f>+G719*1.13</f>
        <v/>
      </c>
      <c r="I719" s="702" t="inlineStr">
        <is>
          <t>✓✓</t>
        </is>
      </c>
    </row>
    <row r="720">
      <c r="A720" s="722" t="n"/>
      <c r="B720" s="723" t="inlineStr">
        <is>
          <t>MAT16-0094</t>
        </is>
      </c>
      <c r="C720" s="713" t="n"/>
      <c r="D720" s="713" t="n"/>
      <c r="E720" s="792" t="inlineStr">
        <is>
          <t>SUPER COAT MATE PASTEL</t>
        </is>
      </c>
      <c r="F720" s="791" t="inlineStr">
        <is>
          <t>1/4 DE GALON</t>
        </is>
      </c>
      <c r="G720" s="726" t="n">
        <v>16738.9381</v>
      </c>
      <c r="H720" s="727">
        <f>+G720*1.13</f>
        <v/>
      </c>
      <c r="I720" s="702" t="inlineStr">
        <is>
          <t>✓✓</t>
        </is>
      </c>
    </row>
    <row r="721">
      <c r="A721" s="722" t="n"/>
      <c r="B721" s="723" t="inlineStr">
        <is>
          <t>MAT16-0095</t>
        </is>
      </c>
      <c r="C721" s="713" t="n"/>
      <c r="D721" s="713" t="n"/>
      <c r="E721" s="792" t="inlineStr">
        <is>
          <t>PINTURA DRY PASTEL</t>
        </is>
      </c>
      <c r="F721" s="791" t="inlineStr">
        <is>
          <t>1/4 DE GALON</t>
        </is>
      </c>
      <c r="G721" s="726" t="n">
        <v>5236.7256</v>
      </c>
      <c r="H721" s="727">
        <f>+G721*1.13</f>
        <v/>
      </c>
      <c r="I721" s="702" t="inlineStr">
        <is>
          <t>✓✓</t>
        </is>
      </c>
    </row>
    <row r="722">
      <c r="A722" s="722" t="n"/>
      <c r="B722" s="723" t="inlineStr">
        <is>
          <t>MAT17-0045</t>
        </is>
      </c>
      <c r="C722" s="713" t="n"/>
      <c r="D722" s="713" t="n"/>
      <c r="E722" s="792" t="inlineStr">
        <is>
          <t>CERAMICA AZ.BRUNI GRIS CLARO 30X60</t>
        </is>
      </c>
      <c r="F722" s="791" t="inlineStr">
        <is>
          <t>M2</t>
        </is>
      </c>
      <c r="G722" s="726" t="n">
        <v>6950</v>
      </c>
      <c r="H722" s="727">
        <f>+G722*1.13</f>
        <v/>
      </c>
      <c r="I722" s="702" t="inlineStr">
        <is>
          <t>✓✓</t>
        </is>
      </c>
    </row>
    <row r="723">
      <c r="A723" s="722" t="n"/>
      <c r="B723" s="723" t="inlineStr">
        <is>
          <t>MAT17-0063</t>
        </is>
      </c>
      <c r="C723" s="713" t="n"/>
      <c r="D723" s="713" t="n"/>
      <c r="E723" s="792" t="inlineStr">
        <is>
          <t>PORCELANATO BALDOCER T. MADERA BAL MARYLAND HAYA RECT 20X114</t>
        </is>
      </c>
      <c r="F723" s="791" t="inlineStr">
        <is>
          <t>M2</t>
        </is>
      </c>
      <c r="G723" s="726" t="n">
        <v>18957</v>
      </c>
      <c r="H723" s="727">
        <f>+G723*1.13</f>
        <v/>
      </c>
      <c r="I723" s="702" t="inlineStr">
        <is>
          <t>✓✓</t>
        </is>
      </c>
    </row>
    <row r="724">
      <c r="A724" s="722" t="n"/>
      <c r="B724" s="723" t="inlineStr">
        <is>
          <t>MAT17-0070</t>
        </is>
      </c>
      <c r="C724" s="713" t="n"/>
      <c r="D724" s="713" t="n"/>
      <c r="E724" s="792" t="inlineStr">
        <is>
          <t>CERAMICA 62HDA22 BEIGE</t>
        </is>
      </c>
      <c r="F724" s="791" t="inlineStr">
        <is>
          <t>M2</t>
        </is>
      </c>
      <c r="G724" s="726" t="n">
        <v>4336.28</v>
      </c>
      <c r="H724" s="727">
        <f>+G724*1.13</f>
        <v/>
      </c>
      <c r="I724" s="702" t="inlineStr">
        <is>
          <t>✓✓</t>
        </is>
      </c>
    </row>
    <row r="725">
      <c r="A725" s="722" t="n"/>
      <c r="B725" s="723" t="inlineStr">
        <is>
          <t>MAT17-0084</t>
        </is>
      </c>
      <c r="C725" s="713" t="n"/>
      <c r="D725" s="713" t="n"/>
      <c r="E725" s="792" t="inlineStr">
        <is>
          <t>PISO BRAZIL 52.5X52.5 1.93</t>
        </is>
      </c>
      <c r="F725" s="791" t="inlineStr">
        <is>
          <t>M2</t>
        </is>
      </c>
      <c r="G725" s="726" t="n">
        <v>6016</v>
      </c>
      <c r="H725" s="727">
        <f>+G725*1.13</f>
        <v/>
      </c>
      <c r="I725" s="702" t="inlineStr">
        <is>
          <t>✓✓</t>
        </is>
      </c>
    </row>
    <row r="726">
      <c r="A726" s="722" t="n"/>
      <c r="B726" s="723" t="inlineStr">
        <is>
          <t>MAT17-0087</t>
        </is>
      </c>
      <c r="C726" s="713" t="n"/>
      <c r="D726" s="713" t="n"/>
      <c r="E726" s="792" t="inlineStr">
        <is>
          <t>CERAMICA</t>
        </is>
      </c>
      <c r="F726" s="791" t="inlineStr">
        <is>
          <t>M2</t>
        </is>
      </c>
      <c r="G726" s="726" t="n">
        <v>25186</v>
      </c>
      <c r="H726" s="727">
        <f>+G726*1.13</f>
        <v/>
      </c>
      <c r="I726" s="702" t="inlineStr">
        <is>
          <t>✓✓</t>
        </is>
      </c>
    </row>
    <row r="727">
      <c r="A727" s="722" t="n"/>
      <c r="B727" s="723" t="inlineStr">
        <is>
          <t>MAT17-0088</t>
        </is>
      </c>
      <c r="C727" s="713" t="n"/>
      <c r="D727" s="713" t="n"/>
      <c r="E727" s="792" t="inlineStr">
        <is>
          <t>PISO AVANA GRIS 60X60</t>
        </is>
      </c>
      <c r="F727" s="791" t="inlineStr">
        <is>
          <t>M2</t>
        </is>
      </c>
      <c r="G727" s="726" t="n">
        <v>5720</v>
      </c>
      <c r="H727" s="727">
        <f>+G727*1.13</f>
        <v/>
      </c>
      <c r="I727" s="702" t="inlineStr">
        <is>
          <t>✓✓</t>
        </is>
      </c>
    </row>
    <row r="728">
      <c r="A728" s="732" t="n"/>
      <c r="B728" s="723" t="inlineStr">
        <is>
          <t>MAT17-0097</t>
        </is>
      </c>
      <c r="C728" s="713" t="n"/>
      <c r="D728" s="713" t="n"/>
      <c r="E728" s="792" t="inlineStr">
        <is>
          <t>CERAMICA DIAMANTE BATTISTI</t>
        </is>
      </c>
      <c r="F728" s="791" t="inlineStr">
        <is>
          <t>M2</t>
        </is>
      </c>
      <c r="G728" s="726" t="n">
        <v>8628.299999999999</v>
      </c>
      <c r="H728" s="727">
        <f>+G728*1.13</f>
        <v/>
      </c>
      <c r="I728" s="702" t="inlineStr">
        <is>
          <t>✓✓</t>
        </is>
      </c>
    </row>
    <row r="729">
      <c r="A729" s="732" t="n"/>
      <c r="B729" s="723" t="inlineStr">
        <is>
          <t>MAT18-0072</t>
        </is>
      </c>
      <c r="C729" s="713" t="n"/>
      <c r="D729" s="713" t="n"/>
      <c r="E729" s="792" t="inlineStr">
        <is>
          <t>MARCO/GUARNICION/BATIENTE TIPO COLOMBIA</t>
        </is>
      </c>
      <c r="F729" s="791" t="inlineStr">
        <is>
          <t>UND</t>
        </is>
      </c>
      <c r="G729" s="726" t="n">
        <v>40707.9646</v>
      </c>
      <c r="H729" s="727">
        <f>+G729*1.13</f>
        <v/>
      </c>
      <c r="I729" s="702" t="inlineStr">
        <is>
          <t>✓✓</t>
        </is>
      </c>
    </row>
    <row r="730">
      <c r="A730" s="732" t="n"/>
      <c r="B730" s="723" t="inlineStr">
        <is>
          <t>MAT18-0073</t>
        </is>
      </c>
      <c r="C730" s="713" t="n"/>
      <c r="D730" s="713" t="n"/>
      <c r="E730" s="792" t="inlineStr">
        <is>
          <t>MARCO/GUARNICION/BATIENTE TIPO PANAMA</t>
        </is>
      </c>
      <c r="F730" s="791" t="inlineStr">
        <is>
          <t>UND</t>
        </is>
      </c>
      <c r="G730" s="726" t="n">
        <v>40707.9646</v>
      </c>
      <c r="H730" s="727">
        <f>+G730*1.13</f>
        <v/>
      </c>
      <c r="I730" s="702" t="inlineStr">
        <is>
          <t>✓✓</t>
        </is>
      </c>
    </row>
    <row r="731">
      <c r="A731" s="722" t="n"/>
      <c r="B731" s="723" t="inlineStr">
        <is>
          <t>MAT19-0080</t>
        </is>
      </c>
      <c r="C731" s="713" t="n"/>
      <c r="D731" s="714" t="n"/>
      <c r="E731" s="724" t="inlineStr">
        <is>
          <t>TEE PVC PARED GRUESA DE 1 1/4"</t>
        </is>
      </c>
      <c r="F731" s="725" t="inlineStr">
        <is>
          <t>UND</t>
        </is>
      </c>
      <c r="G731" s="726" t="n">
        <v>1274.25</v>
      </c>
      <c r="H731" s="727">
        <f>+G731*1.13</f>
        <v/>
      </c>
      <c r="I731" s="702" t="inlineStr">
        <is>
          <t>✓✓</t>
        </is>
      </c>
    </row>
    <row r="732">
      <c r="A732" s="722" t="n"/>
      <c r="B732" s="723" t="inlineStr">
        <is>
          <t>MAT19-0093</t>
        </is>
      </c>
      <c r="C732" s="713" t="n"/>
      <c r="D732" s="714" t="n"/>
      <c r="E732" s="724" t="inlineStr">
        <is>
          <t>TUBO SANITARIO PVC 1 1/2</t>
        </is>
      </c>
      <c r="F732" s="725" t="inlineStr">
        <is>
          <t>UND</t>
        </is>
      </c>
      <c r="G732" s="726" t="n">
        <v>4024.25</v>
      </c>
      <c r="H732" s="727">
        <f>+G732*1.13</f>
        <v/>
      </c>
      <c r="I732" s="702" t="inlineStr">
        <is>
          <t>✓✓</t>
        </is>
      </c>
    </row>
    <row r="733">
      <c r="A733" s="722" t="n"/>
      <c r="B733" s="723" t="inlineStr">
        <is>
          <t>MAT19-0119</t>
        </is>
      </c>
      <c r="C733" s="713" t="n"/>
      <c r="D733" s="714" t="n"/>
      <c r="E733" s="724" t="inlineStr">
        <is>
          <t>YEE PARED GRUESA DE 1 1/2"</t>
        </is>
      </c>
      <c r="F733" s="791" t="inlineStr">
        <is>
          <t>UND</t>
        </is>
      </c>
      <c r="G733" s="726" t="n">
        <v>1900</v>
      </c>
      <c r="H733" s="727">
        <f>+G733*1.13</f>
        <v/>
      </c>
      <c r="I733" s="702" t="inlineStr">
        <is>
          <t>✓✓</t>
        </is>
      </c>
    </row>
    <row r="734">
      <c r="A734" s="722" t="n"/>
      <c r="B734" s="723" t="inlineStr">
        <is>
          <t>MAT21-0036</t>
        </is>
      </c>
      <c r="C734" s="713" t="n"/>
      <c r="D734" s="714" t="n"/>
      <c r="E734" s="724" t="inlineStr">
        <is>
          <t>SELLADOR PARA CERAMICA STONETECH SEALER</t>
        </is>
      </c>
      <c r="F734" s="791" t="inlineStr">
        <is>
          <t>GALON</t>
        </is>
      </c>
      <c r="G734" s="726" t="n">
        <v>7430.75</v>
      </c>
      <c r="H734" s="727">
        <f>+G734*1.13</f>
        <v/>
      </c>
      <c r="I734" s="702" t="inlineStr">
        <is>
          <t>✓✓</t>
        </is>
      </c>
    </row>
    <row r="735">
      <c r="A735" s="722" t="n"/>
      <c r="B735" s="751" t="inlineStr">
        <is>
          <t>S23-0010</t>
        </is>
      </c>
      <c r="C735" s="713" t="n"/>
      <c r="D735" s="714" t="n"/>
      <c r="E735" s="753" t="inlineStr">
        <is>
          <t>SUBCONTRATO TAPIA PREFABRICADA (2.5M)</t>
        </is>
      </c>
      <c r="F735" s="793" t="inlineStr">
        <is>
          <t>M</t>
        </is>
      </c>
      <c r="G735" s="717" t="n">
        <v>30166.67</v>
      </c>
      <c r="H735" s="718">
        <f>+G735*1.13</f>
        <v/>
      </c>
      <c r="I735" s="702" t="inlineStr">
        <is>
          <t>✓✓</t>
        </is>
      </c>
    </row>
    <row r="736">
      <c r="A736" s="722" t="n"/>
      <c r="B736" s="794" t="n"/>
      <c r="C736" s="795" t="n"/>
      <c r="D736" s="796" t="n"/>
      <c r="E736" s="797" t="n"/>
      <c r="F736" s="798" t="n"/>
      <c r="G736" s="799" t="n">
        <v>1407.08</v>
      </c>
      <c r="H736" s="800">
        <f>+G736*1.13</f>
        <v/>
      </c>
      <c r="I736" s="702" t="inlineStr">
        <is>
          <t>✓✓</t>
        </is>
      </c>
    </row>
    <row r="737">
      <c r="A737" s="722" t="n"/>
      <c r="B737" s="794" t="n"/>
      <c r="C737" s="801" t="n"/>
      <c r="D737" s="802" t="n"/>
      <c r="E737" s="797" t="n"/>
      <c r="F737" s="798" t="n"/>
      <c r="G737" s="799" t="n">
        <v>924</v>
      </c>
      <c r="H737" s="800">
        <f>+G737*1.13</f>
        <v/>
      </c>
      <c r="I737" s="702" t="inlineStr">
        <is>
          <t>✓✓</t>
        </is>
      </c>
    </row>
    <row r="738">
      <c r="A738" s="722" t="n"/>
      <c r="B738" s="794" t="n"/>
      <c r="C738" s="801" t="n"/>
      <c r="D738" s="802" t="n"/>
      <c r="E738" s="797" t="n"/>
      <c r="F738" s="798" t="n"/>
      <c r="G738" s="799" t="n">
        <v>267</v>
      </c>
      <c r="H738" s="800">
        <f>+G738*1.13</f>
        <v/>
      </c>
      <c r="I738" s="702" t="inlineStr">
        <is>
          <t>✓✓</t>
        </is>
      </c>
    </row>
    <row r="739">
      <c r="A739" s="732" t="n"/>
      <c r="B739" s="794" t="n"/>
      <c r="C739" s="801" t="n"/>
      <c r="D739" s="802" t="n"/>
      <c r="E739" s="797" t="n"/>
      <c r="F739" s="798" t="n"/>
      <c r="G739" s="799" t="n"/>
      <c r="H739" s="800" t="n"/>
      <c r="I739" s="702" t="inlineStr">
        <is>
          <t>✓✓</t>
        </is>
      </c>
    </row>
    <row r="740">
      <c r="A740" s="722" t="n"/>
      <c r="B740" s="794" t="n"/>
      <c r="C740" s="801" t="n"/>
      <c r="D740" s="802" t="n"/>
      <c r="E740" s="797" t="n"/>
      <c r="F740" s="798" t="n"/>
      <c r="G740" s="799" t="n">
        <v>55503</v>
      </c>
      <c r="H740" s="800">
        <f>+G740*1.13</f>
        <v/>
      </c>
      <c r="I740" s="702" t="inlineStr">
        <is>
          <t>✓✓</t>
        </is>
      </c>
    </row>
    <row r="741">
      <c r="A741" s="722" t="n"/>
      <c r="B741" s="794" t="n"/>
      <c r="C741" s="801" t="n"/>
      <c r="D741" s="802" t="n"/>
      <c r="E741" s="797" t="n"/>
      <c r="F741" s="798" t="n"/>
      <c r="G741" s="799" t="n">
        <v>20698</v>
      </c>
      <c r="H741" s="800">
        <f>+G741*1.13</f>
        <v/>
      </c>
      <c r="I741" s="702" t="inlineStr">
        <is>
          <t>✓✓</t>
        </is>
      </c>
    </row>
    <row r="742">
      <c r="A742" s="732" t="n"/>
      <c r="B742" s="723" t="n"/>
      <c r="C742" s="713" t="n"/>
      <c r="D742" s="714" t="n"/>
      <c r="E742" s="724" t="n"/>
      <c r="F742" s="791" t="inlineStr">
        <is>
          <t>UND</t>
        </is>
      </c>
      <c r="G742" s="726" t="n">
        <v>17192.65</v>
      </c>
      <c r="H742" s="727">
        <f>+G742*1.13</f>
        <v/>
      </c>
      <c r="I742" s="46" t="inlineStr">
        <is>
          <t>***</t>
        </is>
      </c>
    </row>
    <row r="743">
      <c r="A743" s="732" t="n"/>
      <c r="B743" s="794" t="n"/>
      <c r="C743" s="801" t="n"/>
      <c r="D743" s="802" t="n"/>
      <c r="E743" s="797" t="n"/>
      <c r="F743" s="798" t="n"/>
      <c r="G743" s="799" t="n">
        <v>26411.5</v>
      </c>
      <c r="H743" s="800">
        <f>+G743*1.13</f>
        <v/>
      </c>
      <c r="I743" s="702" t="inlineStr">
        <is>
          <t>✓✓</t>
        </is>
      </c>
    </row>
    <row r="744">
      <c r="A744" s="732" t="n"/>
      <c r="B744" s="794" t="n"/>
      <c r="C744" s="801" t="n"/>
      <c r="D744" s="802" t="n"/>
      <c r="E744" s="797" t="n"/>
      <c r="F744" s="803" t="inlineStr">
        <is>
          <t>El producto ya no se utiliza</t>
        </is>
      </c>
      <c r="G744" s="799" t="n"/>
      <c r="H744" s="800" t="n"/>
      <c r="I744" s="702" t="inlineStr">
        <is>
          <t>✓✓</t>
        </is>
      </c>
    </row>
    <row r="745">
      <c r="A745" s="732" t="n"/>
      <c r="B745" s="794" t="n"/>
      <c r="C745" s="801" t="n"/>
      <c r="D745" s="802" t="n"/>
      <c r="E745" s="804" t="n"/>
      <c r="F745" s="803" t="inlineStr">
        <is>
          <t>Linea repetida</t>
        </is>
      </c>
      <c r="G745" s="799" t="n"/>
      <c r="H745" s="800" t="n"/>
      <c r="I745" s="702" t="inlineStr">
        <is>
          <t>✓✓</t>
        </is>
      </c>
    </row>
    <row r="746">
      <c r="A746" s="722" t="n"/>
      <c r="B746" s="805" t="n"/>
      <c r="C746" s="806" t="n"/>
      <c r="D746" s="807" t="n"/>
      <c r="E746" s="808" t="n"/>
      <c r="F746" s="803" t="inlineStr">
        <is>
          <t>El producto ya no se utiliza</t>
        </is>
      </c>
      <c r="G746" s="809" t="n"/>
      <c r="H746" s="809" t="n"/>
      <c r="I746" s="702" t="inlineStr">
        <is>
          <t>✓✓</t>
        </is>
      </c>
    </row>
    <row r="747">
      <c r="A747" s="732" t="n"/>
      <c r="B747" s="794" t="n"/>
      <c r="C747" s="801" t="n"/>
      <c r="D747" s="802" t="n"/>
      <c r="E747" s="797" t="n"/>
      <c r="F747" s="798" t="n"/>
      <c r="G747" s="799" t="n">
        <v>9577</v>
      </c>
      <c r="H747" s="800">
        <f>+G747*1.13</f>
        <v/>
      </c>
      <c r="I747" s="702" t="inlineStr">
        <is>
          <t>✓✓</t>
        </is>
      </c>
    </row>
    <row r="748">
      <c r="A748" s="731" t="inlineStr">
        <is>
          <t>MAT21-0028 ADITIVO EUCON RETARDER 100C</t>
        </is>
      </c>
      <c r="B748" s="794" t="n"/>
      <c r="C748" s="801" t="n"/>
      <c r="D748" s="802" t="n"/>
      <c r="E748" s="797" t="n"/>
      <c r="F748" s="810" t="n"/>
      <c r="G748" s="799" t="n">
        <v>380.62</v>
      </c>
      <c r="H748" s="800">
        <f>+G748*1.13</f>
        <v/>
      </c>
      <c r="I748" s="702" t="n"/>
    </row>
    <row r="749">
      <c r="A749" s="731" t="inlineStr">
        <is>
          <t>MAT21-0029 ADITIVO PLASTOL 5000 ULTRA</t>
        </is>
      </c>
      <c r="B749" s="794" t="n"/>
      <c r="C749" s="801" t="n"/>
      <c r="D749" s="802" t="n"/>
      <c r="E749" s="797" t="n"/>
      <c r="F749" s="810" t="n"/>
      <c r="G749" s="799" t="n">
        <v>994.33</v>
      </c>
      <c r="H749" s="800">
        <f>+G749*1.13</f>
        <v/>
      </c>
      <c r="I749" s="702" t="n"/>
    </row>
    <row r="750">
      <c r="A750" s="732" t="n"/>
      <c r="B750" s="794" t="n"/>
      <c r="C750" s="801" t="n"/>
      <c r="D750" s="802" t="n"/>
      <c r="E750" s="797" t="n"/>
      <c r="F750" s="810" t="n"/>
      <c r="G750" s="799" t="n">
        <v>480.57</v>
      </c>
      <c r="H750" s="800">
        <f>+G750*1.13</f>
        <v/>
      </c>
      <c r="I750" s="702" t="inlineStr">
        <is>
          <t>✓✓</t>
        </is>
      </c>
    </row>
    <row r="751">
      <c r="A751" s="749" t="n"/>
      <c r="B751" s="811" t="n"/>
      <c r="C751" s="801" t="n"/>
      <c r="D751" s="812" t="n"/>
      <c r="E751" s="813" t="n"/>
      <c r="F751" s="814" t="n"/>
      <c r="G751" s="799" t="n">
        <v>278.8618</v>
      </c>
      <c r="H751" s="800">
        <f>+G751*1.13</f>
        <v/>
      </c>
      <c r="I751" s="702" t="inlineStr">
        <is>
          <t>✓✓</t>
        </is>
      </c>
    </row>
    <row r="752">
      <c r="A752" s="722" t="n"/>
      <c r="B752" s="794" t="n"/>
      <c r="C752" s="801" t="n"/>
      <c r="D752" s="801" t="n"/>
      <c r="E752" s="815" t="n"/>
      <c r="F752" s="816" t="inlineStr">
        <is>
          <t>Se repetía en la linea 250</t>
        </is>
      </c>
      <c r="G752" s="799" t="n"/>
      <c r="H752" s="800" t="n"/>
      <c r="I752" s="702" t="inlineStr">
        <is>
          <t>✓✓</t>
        </is>
      </c>
    </row>
    <row r="753">
      <c r="A753" s="722" t="n"/>
      <c r="B753" s="794" t="n"/>
      <c r="C753" s="801" t="n"/>
      <c r="D753" s="801" t="n"/>
      <c r="E753" s="815" t="n"/>
      <c r="F753" s="810" t="n"/>
      <c r="G753" s="799" t="n">
        <v>6067.91</v>
      </c>
      <c r="H753" s="800">
        <f>+G753*1.13</f>
        <v/>
      </c>
      <c r="I753" s="702" t="inlineStr">
        <is>
          <t>✓✓</t>
        </is>
      </c>
    </row>
    <row r="754">
      <c r="A754" s="722" t="n"/>
      <c r="B754" s="794" t="n"/>
      <c r="C754" s="801" t="n"/>
      <c r="D754" s="801" t="n"/>
      <c r="E754" s="815" t="n"/>
      <c r="F754" s="816" t="inlineStr">
        <is>
          <t>Ya no se utiliza en su lugar se utiliza M06-0112</t>
        </is>
      </c>
      <c r="G754" s="799" t="n"/>
      <c r="H754" s="800" t="n"/>
      <c r="I754" s="702" t="inlineStr">
        <is>
          <t>✓✓</t>
        </is>
      </c>
    </row>
    <row r="755">
      <c r="A755" s="722" t="n"/>
      <c r="B755" s="794" t="n"/>
      <c r="C755" s="801" t="n"/>
      <c r="D755" s="801" t="n"/>
      <c r="E755" s="815" t="n"/>
      <c r="F755" s="816" t="inlineStr">
        <is>
          <t>Ya no se utiliza en su lugar se utiliza M04-0051</t>
        </is>
      </c>
      <c r="G755" s="799" t="n"/>
      <c r="H755" s="800" t="n"/>
      <c r="I755" s="702" t="inlineStr">
        <is>
          <t>✓✓</t>
        </is>
      </c>
    </row>
    <row r="756">
      <c r="A756" s="722" t="n"/>
      <c r="B756" s="794" t="n"/>
      <c r="C756" s="801" t="n"/>
      <c r="D756" s="801" t="n"/>
      <c r="E756" s="815" t="n"/>
      <c r="F756" s="816" t="inlineStr">
        <is>
          <t>Ya no se utiliza en su lugar se utiliza M06-0036</t>
        </is>
      </c>
      <c r="G756" s="799" t="n"/>
      <c r="H756" s="800" t="n"/>
      <c r="I756" s="702" t="inlineStr">
        <is>
          <t>✓✓</t>
        </is>
      </c>
    </row>
    <row r="757">
      <c r="A757" s="722" t="n"/>
      <c r="B757" s="794" t="n"/>
      <c r="C757" s="801" t="n"/>
      <c r="D757" s="801" t="n"/>
      <c r="E757" s="815" t="n"/>
      <c r="F757" s="816" t="inlineStr">
        <is>
          <t>Ya no se utiliza en su lugar se utiliza M06-0093</t>
        </is>
      </c>
      <c r="G757" s="799" t="n"/>
      <c r="H757" s="800" t="n"/>
      <c r="I757" s="702" t="inlineStr">
        <is>
          <t>✓✓</t>
        </is>
      </c>
    </row>
    <row r="758">
      <c r="A758" s="722" t="n"/>
      <c r="B758" s="794" t="n"/>
      <c r="C758" s="801" t="n"/>
      <c r="D758" s="801" t="n"/>
      <c r="E758" s="815" t="n"/>
      <c r="F758" s="810" t="n"/>
      <c r="G758" s="799" t="n">
        <v>938.4400000000001</v>
      </c>
      <c r="H758" s="800">
        <f>+G758*1.13</f>
        <v/>
      </c>
      <c r="I758" s="702" t="n"/>
    </row>
    <row r="759">
      <c r="A759" s="722" t="n"/>
      <c r="B759" s="794" t="n"/>
      <c r="C759" s="801" t="n"/>
      <c r="D759" s="801" t="n"/>
      <c r="E759" s="815" t="n"/>
      <c r="F759" s="810" t="n"/>
      <c r="G759" s="799" t="n">
        <v>1125</v>
      </c>
      <c r="H759" s="800">
        <f>+G759*1.13</f>
        <v/>
      </c>
      <c r="I759" s="702" t="n"/>
    </row>
    <row r="760">
      <c r="A760" s="722" t="n"/>
      <c r="B760" s="794" t="n"/>
      <c r="C760" s="801" t="n"/>
      <c r="D760" s="801" t="n"/>
      <c r="E760" s="815" t="n"/>
      <c r="F760" s="810" t="n"/>
      <c r="G760" s="799" t="n">
        <v>3640</v>
      </c>
      <c r="H760" s="800">
        <f>+G760*1.13</f>
        <v/>
      </c>
      <c r="I760" s="702" t="n"/>
    </row>
    <row r="761">
      <c r="A761" s="722" t="n"/>
      <c r="B761" s="794" t="n"/>
      <c r="C761" s="801" t="n"/>
      <c r="D761" s="801" t="n"/>
      <c r="E761" s="815" t="n"/>
      <c r="F761" s="816" t="inlineStr">
        <is>
          <t>27_05 Ya no se utiliza</t>
        </is>
      </c>
      <c r="G761" s="799" t="n"/>
      <c r="H761" s="800" t="n"/>
      <c r="I761" s="702" t="n"/>
    </row>
    <row r="762">
      <c r="A762" s="722" t="n"/>
      <c r="B762" s="794" t="n"/>
      <c r="C762" s="801" t="n"/>
      <c r="D762" s="801" t="n"/>
      <c r="E762" s="815" t="n"/>
      <c r="F762" s="810" t="n"/>
      <c r="G762" s="799" t="n">
        <v>2133</v>
      </c>
      <c r="H762" s="800">
        <f>+G762*1.13</f>
        <v/>
      </c>
      <c r="I762" s="702" t="n"/>
    </row>
    <row r="763">
      <c r="A763" s="722" t="n"/>
      <c r="B763" s="794" t="n"/>
      <c r="C763" s="801" t="n"/>
      <c r="D763" s="801" t="n"/>
      <c r="E763" s="815" t="n"/>
      <c r="F763" s="810" t="n"/>
      <c r="G763" s="799" t="n">
        <v>12782.28</v>
      </c>
      <c r="H763" s="800">
        <f>+G763*1.13</f>
        <v/>
      </c>
      <c r="I763" s="702" t="n"/>
    </row>
    <row r="764">
      <c r="A764" s="722" t="n"/>
      <c r="B764" s="794" t="n"/>
      <c r="C764" s="801" t="n"/>
      <c r="D764" s="801" t="n"/>
      <c r="E764" s="815" t="n"/>
      <c r="F764" s="810" t="n"/>
      <c r="G764" s="799" t="n">
        <v>15743.3628</v>
      </c>
      <c r="H764" s="800">
        <f>+G764*1.13</f>
        <v/>
      </c>
      <c r="I764" s="702" t="n"/>
    </row>
    <row r="765">
      <c r="A765" s="722" t="n"/>
      <c r="B765" s="794" t="n"/>
      <c r="C765" s="801" t="n"/>
      <c r="D765" s="801" t="n"/>
      <c r="E765" s="815" t="n"/>
      <c r="F765" s="810" t="n"/>
      <c r="G765" s="799" t="n">
        <v>24198.23</v>
      </c>
      <c r="H765" s="800">
        <f>+G765*1.13</f>
        <v/>
      </c>
      <c r="I765" s="702" t="n"/>
    </row>
    <row r="766">
      <c r="A766" s="722" t="n"/>
      <c r="B766" s="794" t="n"/>
      <c r="C766" s="801" t="n"/>
      <c r="D766" s="801" t="n"/>
      <c r="E766" s="815" t="n"/>
      <c r="F766" s="810" t="n"/>
      <c r="G766" s="799" t="n">
        <v>11947</v>
      </c>
      <c r="H766" s="800">
        <f>+G766*1.13</f>
        <v/>
      </c>
      <c r="I766" s="702" t="n"/>
    </row>
    <row r="767">
      <c r="A767" s="722" t="n"/>
      <c r="B767" s="794" t="n"/>
      <c r="C767" s="801" t="n"/>
      <c r="D767" s="801" t="n"/>
      <c r="E767" s="815" t="n"/>
      <c r="F767" s="810" t="n"/>
      <c r="G767" s="799" t="n">
        <v>22569.9115</v>
      </c>
      <c r="H767" s="800">
        <f>+G767*1.13</f>
        <v/>
      </c>
      <c r="I767" s="702" t="n"/>
    </row>
    <row r="768">
      <c r="A768" s="722" t="n"/>
      <c r="B768" s="794" t="n"/>
      <c r="C768" s="801" t="n"/>
      <c r="D768" s="801" t="n"/>
      <c r="E768" s="815" t="n"/>
      <c r="F768" s="810" t="n"/>
      <c r="G768" s="799" t="n">
        <v>12875</v>
      </c>
      <c r="H768" s="800">
        <f>+G768*1.13</f>
        <v/>
      </c>
      <c r="I768" s="702" t="n"/>
    </row>
    <row r="769">
      <c r="A769" s="722" t="n"/>
      <c r="B769" s="794" t="n"/>
      <c r="C769" s="801" t="n"/>
      <c r="D769" s="801" t="n"/>
      <c r="E769" s="815" t="n"/>
      <c r="F769" s="810" t="n"/>
      <c r="G769" s="799" t="n">
        <v>798.798</v>
      </c>
      <c r="H769" s="800">
        <f>+G769*1.13</f>
        <v/>
      </c>
      <c r="I769" s="702" t="n"/>
    </row>
    <row r="770">
      <c r="A770" s="722" t="n"/>
      <c r="B770" s="794" t="n"/>
      <c r="C770" s="801" t="n"/>
      <c r="D770" s="801" t="n"/>
      <c r="E770" s="815" t="n"/>
      <c r="F770" s="810" t="n"/>
      <c r="G770" s="799" t="n">
        <v>229.57674</v>
      </c>
      <c r="H770" s="800">
        <f>+G770*1.13</f>
        <v/>
      </c>
      <c r="I770" s="702" t="n"/>
    </row>
    <row r="771">
      <c r="A771" s="722" t="n"/>
      <c r="B771" s="794" t="n"/>
      <c r="C771" s="801" t="n"/>
      <c r="D771" s="801" t="n"/>
      <c r="E771" s="815" t="n"/>
      <c r="F771" s="810" t="n"/>
      <c r="G771" s="799" t="n">
        <v>58.52</v>
      </c>
      <c r="H771" s="800">
        <f>+G771*1.13</f>
        <v/>
      </c>
      <c r="I771" s="702" t="n"/>
    </row>
    <row r="772">
      <c r="A772" s="731" t="inlineStr">
        <is>
          <t xml:space="preserve">TABLATECK 1 PERFIL H.G.PA CAL 20 10 X 3.2 X 305CM G60 </t>
        </is>
      </c>
      <c r="B772" s="794" t="n"/>
      <c r="C772" s="801" t="n"/>
      <c r="D772" s="801" t="n"/>
      <c r="E772" s="815" t="n"/>
      <c r="F772" s="810" t="n"/>
      <c r="G772" s="799" t="n">
        <v>12951.806</v>
      </c>
      <c r="H772" s="800">
        <f>+G772*1.13</f>
        <v/>
      </c>
      <c r="I772" s="46" t="n"/>
    </row>
    <row r="773">
      <c r="A773" s="731" t="inlineStr">
        <is>
          <t xml:space="preserve">TABLATECK 2 PERFIL H.G.PE CAL 20 10 X 5.0 X 305CM G60 </t>
        </is>
      </c>
      <c r="B773" s="794" t="n"/>
      <c r="C773" s="801" t="n"/>
      <c r="D773" s="801" t="n"/>
      <c r="E773" s="815" t="n"/>
      <c r="F773" s="810" t="n"/>
      <c r="G773" s="799" t="n">
        <v>592.0360000000001</v>
      </c>
      <c r="H773" s="800">
        <f>+G773*1.13</f>
        <v/>
      </c>
      <c r="I773" s="46" t="n"/>
    </row>
    <row r="774">
      <c r="A774" s="731" t="inlineStr">
        <is>
          <t>TABLATECK 3 TORNILLOS LH8-050 UNIONES METÁLICAS</t>
        </is>
      </c>
      <c r="B774" s="794" t="n"/>
      <c r="C774" s="801" t="n"/>
      <c r="D774" s="801" t="n"/>
      <c r="E774" s="794" t="n"/>
      <c r="F774" s="816" t="inlineStr">
        <is>
          <t>Ya no se utiliza en su lugar se  utiliza M10-0009</t>
        </is>
      </c>
      <c r="G774" s="799" t="n"/>
      <c r="H774" s="800" t="n"/>
      <c r="I774" s="46" t="n"/>
    </row>
    <row r="775">
      <c r="A775" s="731" t="inlineStr">
        <is>
          <t xml:space="preserve">TABLATECK 4 TORN PLYCEM PH8-125 PUNTA TEK #8X1-1/4 </t>
        </is>
      </c>
      <c r="B775" s="794" t="n"/>
      <c r="C775" s="801" t="n"/>
      <c r="D775" s="801" t="n"/>
      <c r="E775" s="794" t="n"/>
      <c r="F775" s="816" t="inlineStr">
        <is>
          <t>Ya no se utiliza este producto</t>
        </is>
      </c>
      <c r="G775" s="799" t="n"/>
      <c r="H775" s="800" t="n"/>
      <c r="I775" s="46" t="n"/>
    </row>
    <row r="776">
      <c r="A776" s="731" t="inlineStr">
        <is>
          <t xml:space="preserve">TABLATECK 5 SELLADOR DE TORNILLO (ZERO SPACKILNG LANCO) </t>
        </is>
      </c>
      <c r="B776" s="794" t="n"/>
      <c r="C776" s="801" t="n"/>
      <c r="D776" s="801" t="n"/>
      <c r="E776" s="815" t="n"/>
      <c r="F776" s="810" t="n"/>
      <c r="G776" s="799" t="n">
        <v>3346.5</v>
      </c>
      <c r="H776" s="800">
        <f>+G776*1.13</f>
        <v/>
      </c>
      <c r="I776" s="46" t="n"/>
    </row>
    <row r="777">
      <c r="A777" s="731" t="inlineStr">
        <is>
          <t xml:space="preserve">TABLATECK 6 BUILDING WRAP ROLLO 1.22 X 35 M </t>
        </is>
      </c>
      <c r="B777" s="794" t="n"/>
      <c r="C777" s="801" t="n"/>
      <c r="D777" s="801" t="n"/>
      <c r="E777" s="815" t="n"/>
      <c r="F777" s="810" t="n"/>
      <c r="G777" s="799" t="n">
        <v>4250.4</v>
      </c>
      <c r="H777" s="800">
        <f>+G777*1.13</f>
        <v/>
      </c>
      <c r="I777" s="46" t="n"/>
    </row>
    <row r="778">
      <c r="A778" s="731" t="inlineStr">
        <is>
          <t xml:space="preserve">TABLATECK 7 TORNILLO MM 10-075 CABEZA HEX PUNTA BROCA # 10X3/4 (19MM) </t>
        </is>
      </c>
      <c r="B778" s="794" t="n"/>
      <c r="C778" s="801" t="n"/>
      <c r="D778" s="801" t="n"/>
      <c r="E778" s="815" t="n"/>
      <c r="F778" s="810" t="n"/>
      <c r="G778" s="799" t="n">
        <v>26.54867256637169</v>
      </c>
      <c r="H778" s="800">
        <f>+G778*1.13</f>
        <v/>
      </c>
      <c r="I778" s="46" t="n"/>
    </row>
    <row r="779">
      <c r="A779" s="731" t="inlineStr">
        <is>
          <t>TABLATECK 8 PERNO DE EXPANSIÓN 2-1/2" X 1/4"</t>
        </is>
      </c>
      <c r="B779" s="794" t="n"/>
      <c r="C779" s="801" t="n"/>
      <c r="D779" s="801" t="n"/>
      <c r="E779" s="815" t="n"/>
      <c r="F779" s="810" t="n"/>
      <c r="G779" s="815" t="n">
        <v>26.54867256637169</v>
      </c>
      <c r="H779" s="800">
        <f>+G779*1.13</f>
        <v/>
      </c>
      <c r="I779" s="46" t="n"/>
    </row>
    <row r="780">
      <c r="A780" s="749" t="n"/>
      <c r="B780" s="794" t="n"/>
      <c r="C780" s="801" t="n"/>
      <c r="D780" s="801" t="n"/>
      <c r="E780" s="815" t="n"/>
      <c r="F780" s="810" t="n"/>
      <c r="G780" s="815" t="n">
        <v>3982.300884955753</v>
      </c>
      <c r="H780" s="800">
        <f>+G780*1.13</f>
        <v/>
      </c>
      <c r="I780" s="702" t="inlineStr">
        <is>
          <t>✓✓</t>
        </is>
      </c>
    </row>
    <row r="781">
      <c r="B781" s="794" t="n"/>
      <c r="C781" s="802" t="n"/>
      <c r="D781" s="802" t="n"/>
      <c r="E781" s="797" t="n"/>
      <c r="F781" s="810" t="n"/>
      <c r="G781" s="817" t="n">
        <v>70796.46017699115</v>
      </c>
      <c r="H781" s="818">
        <f>+G781*1.13</f>
        <v/>
      </c>
    </row>
    <row r="782">
      <c r="B782" s="794" t="n"/>
      <c r="C782" s="802" t="n"/>
      <c r="D782" s="802" t="n"/>
      <c r="E782" s="797" t="n"/>
      <c r="F782" s="810" t="n"/>
      <c r="G782" s="817" t="n">
        <v>26.54867256637169</v>
      </c>
      <c r="H782" s="818">
        <f>+G782*1.13</f>
        <v/>
      </c>
    </row>
    <row r="783">
      <c r="B783" s="794" t="n"/>
      <c r="C783" s="802" t="n"/>
      <c r="D783" s="802" t="n"/>
      <c r="E783" s="797" t="n"/>
      <c r="F783" s="810" t="n"/>
      <c r="G783" s="817" t="n">
        <v>1172.566371681416</v>
      </c>
      <c r="H783" s="818">
        <f>+G783*1.13</f>
        <v/>
      </c>
    </row>
    <row r="786">
      <c r="G786" s="10">
        <f>SUM(G5:G785)</f>
        <v/>
      </c>
    </row>
    <row r="1747">
      <c r="G1747" s="60" t="n"/>
      <c r="H1747" s="60" t="n"/>
    </row>
    <row r="1748">
      <c r="C1748" s="819" t="n"/>
      <c r="D1748" s="819" t="n"/>
      <c r="E1748" s="820" t="n"/>
      <c r="G1748" s="11" t="n"/>
      <c r="H1748" s="11" t="n"/>
    </row>
    <row r="1749">
      <c r="C1749" s="821" t="n"/>
      <c r="D1749" s="821" t="n"/>
      <c r="E1749" s="822" t="n"/>
      <c r="F1749" s="82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Obra</t>
        </is>
      </c>
      <c r="B1" t="inlineStr">
        <is>
          <t>SubTareaObra</t>
        </is>
      </c>
      <c r="C1" s="46" t="inlineStr">
        <is>
          <t>Cantidad</t>
        </is>
      </c>
      <c r="D1" s="46" t="inlineStr">
        <is>
          <t>Horas</t>
        </is>
      </c>
      <c r="E1" s="824" t="inlineStr">
        <is>
          <t>IDObra</t>
        </is>
      </c>
      <c r="F1" s="825" t="inlineStr">
        <is>
          <t>IDSubTareaObra</t>
        </is>
      </c>
      <c r="G1" s="825" t="inlineStr">
        <is>
          <t>IDEncargado</t>
        </is>
      </c>
    </row>
    <row r="2">
      <c r="A2" s="46" t="inlineStr">
        <is>
          <t>VN-I.13</t>
        </is>
      </c>
      <c r="B2" t="inlineStr">
        <is>
          <t>Sello Losa</t>
        </is>
      </c>
      <c r="C2" s="826">
        <f>+'1_OG y 2_ACA'!D253</f>
        <v/>
      </c>
      <c r="D2" s="826">
        <f>+Detallado!F35+Detallado!F36</f>
        <v/>
      </c>
      <c r="E2" s="46" t="n">
        <v>336</v>
      </c>
      <c r="F2" t="n">
        <v>1</v>
      </c>
      <c r="G2" t="n">
        <v>839</v>
      </c>
      <c r="H2" s="416" t="inlineStr">
        <is>
          <t>✓✓</t>
        </is>
      </c>
    </row>
    <row r="3">
      <c r="A3" s="46">
        <f>+$A$2</f>
        <v/>
      </c>
      <c r="B3" t="inlineStr">
        <is>
          <t>Losa Flotante (Formaleta trazo)</t>
        </is>
      </c>
      <c r="C3" s="826">
        <f>+'1_OG y 2_ACA'!D275</f>
        <v/>
      </c>
      <c r="D3" s="826">
        <f>+Detallado!F19+Detallado!F20+Detallado!F26+Detallado!F27+Detallado!F50+Detallado!F51</f>
        <v/>
      </c>
      <c r="E3" s="46">
        <f>+$E$2</f>
        <v/>
      </c>
      <c r="F3" t="n">
        <v>2</v>
      </c>
      <c r="G3" t="n">
        <v>839</v>
      </c>
      <c r="H3" s="416" t="inlineStr">
        <is>
          <t>✓✓</t>
        </is>
      </c>
    </row>
    <row r="4">
      <c r="A4" s="46">
        <f>+$A$2</f>
        <v/>
      </c>
      <c r="B4" t="inlineStr">
        <is>
          <t>Acero Losa</t>
        </is>
      </c>
      <c r="C4" s="826">
        <f>+'1_OG y 2_ACA'!G311</f>
        <v/>
      </c>
      <c r="D4" s="826">
        <f>+Detallado!F48+Detallado!F49</f>
        <v/>
      </c>
      <c r="E4" s="46">
        <f>+$E$2</f>
        <v/>
      </c>
      <c r="F4" t="n">
        <v>3</v>
      </c>
      <c r="G4" t="n">
        <v>839</v>
      </c>
      <c r="H4" s="416" t="inlineStr">
        <is>
          <t>✓✓</t>
        </is>
      </c>
    </row>
    <row r="5">
      <c r="A5" s="46">
        <f>+$A$2</f>
        <v/>
      </c>
      <c r="B5" t="inlineStr">
        <is>
          <t>Colado de Losa</t>
        </is>
      </c>
      <c r="C5" s="826">
        <f>+'1_OG y 2_ACA'!D277</f>
        <v/>
      </c>
      <c r="D5" s="826">
        <f>+Detallado!F52+Detallado!F53</f>
        <v/>
      </c>
      <c r="E5" s="46">
        <f>+$E$2</f>
        <v/>
      </c>
      <c r="F5" t="n">
        <v>4</v>
      </c>
      <c r="G5" t="n">
        <v>839</v>
      </c>
      <c r="H5" s="416" t="inlineStr">
        <is>
          <t>✓✓</t>
        </is>
      </c>
    </row>
    <row r="6">
      <c r="A6" s="46">
        <f>+$A$2</f>
        <v/>
      </c>
      <c r="B6" t="inlineStr">
        <is>
          <t>Muros y Entrepiso (Formaleta, Concreto)</t>
        </is>
      </c>
      <c r="C6" s="826">
        <f>+'1_OG y 2_ACA'!D491+'1_OG y 2_ACA'!D677</f>
        <v/>
      </c>
      <c r="D6" s="826">
        <f>+Detallado!F66+Detallado!F67+Detallado!F78+Detallado!F79+Detallado!F80+Detallado!F81+Detallado!F99+Detallado!F100+Detallado!F109+Detallado!F110+Detallado!F111+Detallado!F112</f>
        <v/>
      </c>
      <c r="E6" s="46">
        <f>+$E$2</f>
        <v/>
      </c>
      <c r="F6" t="n">
        <v>5</v>
      </c>
      <c r="G6" t="n">
        <v>839</v>
      </c>
      <c r="H6" s="416" t="inlineStr">
        <is>
          <t>✓✓</t>
        </is>
      </c>
    </row>
    <row r="7">
      <c r="A7" s="46">
        <f>+$A$2</f>
        <v/>
      </c>
      <c r="B7" t="inlineStr">
        <is>
          <t>Acero Muros y Entrepiso</t>
        </is>
      </c>
      <c r="C7" s="826">
        <f>+'1_OG y 2_ACA'!H420+'1_OG y 2_ACA'!G443+'1_OG y 2_ACA'!H609+'1_OG y 2_ACA'!G628</f>
        <v/>
      </c>
      <c r="D7" s="826">
        <f>+Detallado!F64+Detallado!F65+Detallado!F97+Detallado!F98</f>
        <v/>
      </c>
      <c r="E7" s="46">
        <f>+$E$2</f>
        <v/>
      </c>
      <c r="F7" t="n">
        <v>6</v>
      </c>
      <c r="G7" t="n">
        <v>839</v>
      </c>
      <c r="H7" s="416" t="inlineStr">
        <is>
          <t>✓✓</t>
        </is>
      </c>
    </row>
    <row r="8">
      <c r="A8" s="46">
        <f>+$A$2</f>
        <v/>
      </c>
      <c r="B8" t="inlineStr">
        <is>
          <t>Mampostería</t>
        </is>
      </c>
      <c r="C8" s="827" t="n">
        <v>0</v>
      </c>
      <c r="D8" s="827" t="n">
        <v>0</v>
      </c>
      <c r="E8" s="46">
        <f>+$E$2</f>
        <v/>
      </c>
      <c r="F8" t="n">
        <v>7</v>
      </c>
      <c r="G8" t="n">
        <v>839</v>
      </c>
      <c r="H8" s="828" t="inlineStr">
        <is>
          <t>N/A</t>
        </is>
      </c>
    </row>
    <row r="9">
      <c r="A9" s="46">
        <f>+$A$2</f>
        <v/>
      </c>
      <c r="B9" t="inlineStr">
        <is>
          <t>Desencofre</t>
        </is>
      </c>
      <c r="C9" s="826">
        <f>+'1_OG y 2_ACA'!D521+'1_OG y 2_ACA'!D706</f>
        <v/>
      </c>
      <c r="D9" s="826">
        <f>+Detallado!F82+Detallado!F113</f>
        <v/>
      </c>
      <c r="E9" s="46">
        <f>+$E$2</f>
        <v/>
      </c>
      <c r="F9" t="n">
        <v>8</v>
      </c>
      <c r="G9" t="n">
        <v>839</v>
      </c>
      <c r="H9" s="416" t="inlineStr">
        <is>
          <t>✓✓</t>
        </is>
      </c>
    </row>
    <row r="10">
      <c r="A10" s="46">
        <f>+$A$2</f>
        <v/>
      </c>
      <c r="B10" t="inlineStr">
        <is>
          <t>Resane</t>
        </is>
      </c>
      <c r="C10" s="826">
        <f>+C9</f>
        <v/>
      </c>
      <c r="D10" s="826">
        <f>+Detallado!F83+Detallado!F114</f>
        <v/>
      </c>
      <c r="E10" s="46">
        <f>+$E$2</f>
        <v/>
      </c>
      <c r="F10" t="n">
        <v>9</v>
      </c>
      <c r="G10" t="n">
        <v>839</v>
      </c>
      <c r="H10" s="416" t="inlineStr">
        <is>
          <t>✓✓</t>
        </is>
      </c>
    </row>
    <row r="11">
      <c r="A11" s="46">
        <f>+$A$2</f>
        <v/>
      </c>
      <c r="B11" t="inlineStr">
        <is>
          <t>Estructura Techo Casa</t>
        </is>
      </c>
      <c r="C11" s="826">
        <f>+'1_OG y 2_ACA'!E781</f>
        <v/>
      </c>
      <c r="D11" s="826">
        <f>+Detallado!F140+Detallado!F141</f>
        <v/>
      </c>
      <c r="E11" s="46">
        <f>+$E$2</f>
        <v/>
      </c>
      <c r="F11" t="n">
        <v>10</v>
      </c>
      <c r="G11" t="n">
        <v>839</v>
      </c>
      <c r="H11" s="416" t="inlineStr">
        <is>
          <t>✓✓</t>
        </is>
      </c>
    </row>
    <row r="12">
      <c r="A12" s="46">
        <f>+$A$2</f>
        <v/>
      </c>
      <c r="B12" t="inlineStr">
        <is>
          <t>Estructura Interna y Monitor</t>
        </is>
      </c>
      <c r="C12" s="827" t="n">
        <v>0</v>
      </c>
      <c r="D12" s="827" t="n">
        <v>0</v>
      </c>
      <c r="E12" s="46">
        <f>+$E$2</f>
        <v/>
      </c>
      <c r="F12" t="n">
        <v>11</v>
      </c>
      <c r="G12" t="n">
        <v>839</v>
      </c>
      <c r="H12" s="828" t="inlineStr">
        <is>
          <t>N/A</t>
        </is>
      </c>
    </row>
    <row r="13">
      <c r="A13" s="46">
        <f>+$A$2</f>
        <v/>
      </c>
      <c r="B13" t="inlineStr">
        <is>
          <t>Cubierta Techo Casa</t>
        </is>
      </c>
      <c r="C13" s="826">
        <f>+'1_OG y 2_ACA'!D848</f>
        <v/>
      </c>
      <c r="D13" s="826">
        <f>+Detallado!F173+Detallado!F174</f>
        <v/>
      </c>
      <c r="E13" s="46">
        <f>+$E$2</f>
        <v/>
      </c>
      <c r="F13" t="n">
        <v>12</v>
      </c>
      <c r="G13" t="n">
        <v>839</v>
      </c>
      <c r="H13" s="416" t="inlineStr">
        <is>
          <t>✓✓</t>
        </is>
      </c>
    </row>
    <row r="14">
      <c r="A14" s="46">
        <f>+$A$2</f>
        <v/>
      </c>
      <c r="B14" t="inlineStr">
        <is>
          <t>Estructura Techo Cochera y Terraza</t>
        </is>
      </c>
      <c r="C14" s="826">
        <f>+'1_OG y 2_ACA'!E834</f>
        <v/>
      </c>
      <c r="D14" s="826">
        <f>+Detallado!F164+Detallado!F165</f>
        <v/>
      </c>
      <c r="E14" s="46">
        <f>+$E$2</f>
        <v/>
      </c>
      <c r="F14" t="n">
        <v>13</v>
      </c>
      <c r="G14" t="n">
        <v>839</v>
      </c>
      <c r="H14" s="416" t="inlineStr">
        <is>
          <t>✓✓</t>
        </is>
      </c>
    </row>
    <row r="15">
      <c r="A15" s="46">
        <f>+$A$2</f>
        <v/>
      </c>
      <c r="B15" t="inlineStr">
        <is>
          <t>Cubierta Techo Cochera y Terraza</t>
        </is>
      </c>
      <c r="C15" s="826">
        <f>+'1_OG y 2_ACA'!D888</f>
        <v/>
      </c>
      <c r="D15" s="826">
        <f>+Detallado!F185+Detallado!F186</f>
        <v/>
      </c>
      <c r="E15" s="46">
        <f>+$E$2</f>
        <v/>
      </c>
      <c r="F15" t="n">
        <v>14</v>
      </c>
      <c r="G15" t="n">
        <v>839</v>
      </c>
      <c r="H15" s="416" t="inlineStr">
        <is>
          <t>✓✓</t>
        </is>
      </c>
    </row>
    <row r="16">
      <c r="A16" s="46">
        <f>+$A$2</f>
        <v/>
      </c>
      <c r="B16" t="inlineStr">
        <is>
          <t>Barandas, Pasamanos y Portones</t>
        </is>
      </c>
      <c r="C16" s="826">
        <f>+'1_OG y 2_ACA'!F971</f>
        <v/>
      </c>
      <c r="D16" s="826">
        <f>+Detallado!F227+Detallado!F228</f>
        <v/>
      </c>
      <c r="E16" s="46">
        <f>+$E$2</f>
        <v/>
      </c>
      <c r="F16" t="n">
        <v>15</v>
      </c>
      <c r="G16" t="n">
        <v>839</v>
      </c>
      <c r="H16" s="828" t="inlineStr">
        <is>
          <t>N/A</t>
        </is>
      </c>
    </row>
    <row r="17">
      <c r="A17" s="46">
        <f>+$A$2</f>
        <v/>
      </c>
      <c r="B17" t="inlineStr">
        <is>
          <t>Gradas Metálicas</t>
        </is>
      </c>
      <c r="C17" s="826">
        <f>+'1_OG y 2_ACA'!F924</f>
        <v/>
      </c>
      <c r="D17" s="826">
        <f>+Detallado!F209+Detallado!F210</f>
        <v/>
      </c>
      <c r="E17" s="46">
        <f>+$E$2</f>
        <v/>
      </c>
      <c r="F17" t="n">
        <v>16</v>
      </c>
      <c r="G17" t="n">
        <v>839</v>
      </c>
      <c r="H17" s="828" t="inlineStr">
        <is>
          <t>N/A</t>
        </is>
      </c>
    </row>
    <row r="18">
      <c r="A18" s="46">
        <f>+$A$2</f>
        <v/>
      </c>
      <c r="B18" t="inlineStr">
        <is>
          <t>Tapias Prefabricadas</t>
        </is>
      </c>
      <c r="C18" s="826">
        <f>+'1_OG y 2_ACA'!D1239</f>
        <v/>
      </c>
      <c r="D18" s="826">
        <f>+Detallado!F308+Detallado!F309+Detallado!F310+Detallado!F311</f>
        <v/>
      </c>
      <c r="E18" s="46">
        <f>+$E$2</f>
        <v/>
      </c>
      <c r="F18" t="n">
        <v>19</v>
      </c>
      <c r="G18" t="n">
        <v>839</v>
      </c>
      <c r="H18" s="416" t="inlineStr">
        <is>
          <t>✓✓</t>
        </is>
      </c>
    </row>
    <row r="19">
      <c r="A19" s="46">
        <f>+$A$2</f>
        <v/>
      </c>
      <c r="B19" t="inlineStr">
        <is>
          <t>Losas Cochera y Terrazas</t>
        </is>
      </c>
      <c r="C19" s="826">
        <f>+'1_OG y 2_ACA'!D1190</f>
        <v/>
      </c>
      <c r="D19" s="826">
        <f>+Detallado!F291+Detallado!F292+Detallado!F293+Detallado!F294+Detallado!F295+Detallado!F296+Detallado!F297+Detallado!F298</f>
        <v/>
      </c>
      <c r="E19" s="46">
        <f>+$E$2</f>
        <v/>
      </c>
      <c r="F19" t="n">
        <v>20</v>
      </c>
      <c r="G19" t="n">
        <v>839</v>
      </c>
      <c r="H19" s="416" t="inlineStr">
        <is>
          <t>✓✓</t>
        </is>
      </c>
    </row>
    <row r="20">
      <c r="A20" s="46">
        <f>+$A$2</f>
        <v/>
      </c>
      <c r="B20" t="inlineStr">
        <is>
          <t>Gradas Concreto</t>
        </is>
      </c>
      <c r="C20" s="826">
        <f>+'1_OG y 2_ACA'!D1061</f>
        <v/>
      </c>
      <c r="D20" s="826">
        <f>+Detallado!F261+Detallado!F262+Detallado!F263+Detallado!F264+Detallado!F265+Detallado!F266+Detallado!F267+Detallado!F268</f>
        <v/>
      </c>
      <c r="E20" s="46">
        <f>+$E$2</f>
        <v/>
      </c>
      <c r="F20" t="n">
        <v>18</v>
      </c>
      <c r="G20" t="n">
        <v>839</v>
      </c>
      <c r="H20" s="828" t="inlineStr">
        <is>
          <t>N/A</t>
        </is>
      </c>
    </row>
    <row r="21">
      <c r="A21" s="46">
        <f>+$A$2</f>
        <v/>
      </c>
      <c r="B21" t="inlineStr">
        <is>
          <t>Aceras</t>
        </is>
      </c>
      <c r="C21" s="826">
        <f>+'1_OG y 2_ACA'!D1262</f>
        <v/>
      </c>
      <c r="D21" s="826">
        <f>+Detallado!F318+Detallado!F319</f>
        <v/>
      </c>
      <c r="E21" s="46">
        <f>+$E$2</f>
        <v/>
      </c>
      <c r="F21" t="n">
        <v>21</v>
      </c>
      <c r="G21" t="n">
        <v>839</v>
      </c>
      <c r="H21" s="416" t="inlineStr">
        <is>
          <t>✓✓</t>
        </is>
      </c>
    </row>
    <row r="22">
      <c r="A22" s="46">
        <f>+$A$2</f>
        <v/>
      </c>
      <c r="B22" t="inlineStr">
        <is>
          <t>Columnas</t>
        </is>
      </c>
      <c r="C22" s="826">
        <f>+'1_OG y 2_ACA'!D1174</f>
        <v/>
      </c>
      <c r="D22" s="826">
        <f>+Detallado!F274+Detallado!F275+Detallado!F276+Detallado!F277+Detallado!F278+Detallado!F279+Detallado!F280+Detallado!F281</f>
        <v/>
      </c>
      <c r="E22" s="46">
        <f>+$E$2</f>
        <v/>
      </c>
      <c r="F22" t="n">
        <v>22</v>
      </c>
      <c r="G22" t="n">
        <v>839</v>
      </c>
      <c r="H22" s="416" t="inlineStr">
        <is>
          <t>✓✓</t>
        </is>
      </c>
    </row>
    <row r="23">
      <c r="A23" s="46">
        <f>+$A$2</f>
        <v/>
      </c>
      <c r="B23" t="inlineStr">
        <is>
          <t>Colado Gradas Metálicas</t>
        </is>
      </c>
      <c r="C23" s="826">
        <f>+'1_OG y 2_ACA'!D934</f>
        <v/>
      </c>
      <c r="D23" s="826">
        <f>+Detallado!F211+Detallado!F212</f>
        <v/>
      </c>
      <c r="E23" s="46">
        <f>+$E$2</f>
        <v/>
      </c>
      <c r="F23" t="n">
        <v>23</v>
      </c>
      <c r="G23" t="n">
        <v>839</v>
      </c>
      <c r="H23" s="828" t="inlineStr">
        <is>
          <t>N/A</t>
        </is>
      </c>
    </row>
    <row r="24">
      <c r="A24" s="46">
        <f>+$A$2</f>
        <v/>
      </c>
      <c r="B24" t="inlineStr">
        <is>
          <t>Geocelda</t>
        </is>
      </c>
      <c r="C24" s="826">
        <f>+'1_OG y 2_ACA'!D1263</f>
        <v/>
      </c>
      <c r="D24" s="826">
        <f>+Detallado!F320+Detallado!F321</f>
        <v/>
      </c>
      <c r="E24" s="46">
        <f>+$E$2</f>
        <v/>
      </c>
      <c r="F24" t="n">
        <v>24</v>
      </c>
      <c r="G24" t="n">
        <v>839</v>
      </c>
      <c r="H24" s="416" t="inlineStr">
        <is>
          <t>✓✓</t>
        </is>
      </c>
    </row>
    <row r="25">
      <c r="A25" s="46">
        <f>+$A$2</f>
        <v/>
      </c>
      <c r="B25" t="inlineStr">
        <is>
          <t>Liviano Interiores</t>
        </is>
      </c>
      <c r="C25" s="826">
        <f>+'1_OG y 2_ACA'!D1366</f>
        <v/>
      </c>
      <c r="D25" s="826">
        <f>+Detallado!F389+Detallado!F390+Detallado!F391+Detallado!F392</f>
        <v/>
      </c>
      <c r="E25" s="46">
        <f>+$E$2</f>
        <v/>
      </c>
      <c r="F25" t="n">
        <v>25</v>
      </c>
      <c r="G25" t="n">
        <v>839</v>
      </c>
      <c r="H25" s="416" t="inlineStr">
        <is>
          <t>✓✓</t>
        </is>
      </c>
    </row>
    <row r="26">
      <c r="A26" s="46">
        <f>+$A$2</f>
        <v/>
      </c>
      <c r="B26" t="inlineStr">
        <is>
          <t>Liviano Exteriores</t>
        </is>
      </c>
      <c r="C26" s="826">
        <f>+'1_OG y 2_ACA'!D1299+'1_OG y 2_ACA'!D1341</f>
        <v/>
      </c>
      <c r="D26" s="826">
        <f>+Detallado!F357+Detallado!F358</f>
        <v/>
      </c>
      <c r="E26" s="46">
        <f>+$E$2</f>
        <v/>
      </c>
      <c r="F26" t="n">
        <v>26</v>
      </c>
      <c r="G26" t="n">
        <v>839</v>
      </c>
      <c r="H26" s="416" t="inlineStr">
        <is>
          <t>✓✓</t>
        </is>
      </c>
    </row>
    <row r="27">
      <c r="A27" s="46">
        <f>+$A$2</f>
        <v/>
      </c>
      <c r="B27" t="inlineStr">
        <is>
          <t>Tablilla PVC</t>
        </is>
      </c>
      <c r="C27" s="826">
        <f>+'1_OG y 2_ACA'!D1318</f>
        <v/>
      </c>
      <c r="D27" s="826">
        <f>+Detallado!F359+Detallado!F360</f>
        <v/>
      </c>
      <c r="E27" s="46">
        <f>+$E$2</f>
        <v/>
      </c>
      <c r="F27" t="n">
        <v>27</v>
      </c>
      <c r="G27" t="n">
        <v>839</v>
      </c>
      <c r="H27" s="416" t="inlineStr">
        <is>
          <t>✓✓</t>
        </is>
      </c>
    </row>
    <row r="28">
      <c r="A28" s="46">
        <f>+$A$2</f>
        <v/>
      </c>
      <c r="B28" t="inlineStr">
        <is>
          <t>Hojalatería Botaguas</t>
        </is>
      </c>
      <c r="C28" s="826">
        <f>+'1_OG y 2_ACA'!D1001</f>
        <v/>
      </c>
      <c r="D28" s="826">
        <f>+Detallado!F242+Detallado!F244</f>
        <v/>
      </c>
      <c r="E28" s="46">
        <f>+$E$2</f>
        <v/>
      </c>
      <c r="F28" t="n">
        <v>28</v>
      </c>
      <c r="G28" t="n">
        <v>840</v>
      </c>
      <c r="H28" s="416" t="inlineStr">
        <is>
          <t>✓✓</t>
        </is>
      </c>
    </row>
    <row r="29">
      <c r="A29" s="46">
        <f>+$A$2</f>
        <v/>
      </c>
      <c r="B29" t="inlineStr">
        <is>
          <t>Hojalatería Canoas</t>
        </is>
      </c>
      <c r="C29" s="826">
        <f>+'1_OG y 2_ACA'!D1006</f>
        <v/>
      </c>
      <c r="D29" s="826">
        <f>+Detallado!F243+Detallado!F245</f>
        <v/>
      </c>
      <c r="E29" s="46">
        <f>+$E$2</f>
        <v/>
      </c>
      <c r="F29" t="n">
        <v>29</v>
      </c>
      <c r="G29" t="n">
        <v>840</v>
      </c>
      <c r="H29" s="416" t="inlineStr">
        <is>
          <t>✓✓</t>
        </is>
      </c>
    </row>
    <row r="30">
      <c r="A30" s="46">
        <f>+$A$2</f>
        <v/>
      </c>
      <c r="B30" t="inlineStr">
        <is>
          <t>Enchapes Casa</t>
        </is>
      </c>
      <c r="C30" s="826">
        <f>+'1_OG y 2_ACA'!D1530+'1_OG y 2_ACA'!D1531</f>
        <v/>
      </c>
      <c r="D30" s="826">
        <f>+Detallado!F422+Detallado!F423+Detallado!F426+Detallado!F427</f>
        <v/>
      </c>
      <c r="E30" s="46">
        <f>+$E$2</f>
        <v/>
      </c>
      <c r="F30" t="n">
        <v>30</v>
      </c>
      <c r="G30" t="n">
        <v>840</v>
      </c>
      <c r="H30" s="416" t="inlineStr">
        <is>
          <t>✓✓</t>
        </is>
      </c>
    </row>
    <row r="31">
      <c r="A31" s="46">
        <f>+$A$2</f>
        <v/>
      </c>
      <c r="B31" t="inlineStr">
        <is>
          <t>Tablatek</t>
        </is>
      </c>
      <c r="C31" s="826">
        <f>+'1_OG y 2_ACA'!D1550</f>
        <v/>
      </c>
      <c r="D31" s="826">
        <f>+Detallado!F424+Detallado!F425</f>
        <v/>
      </c>
      <c r="E31" s="46">
        <f>+$E$2</f>
        <v/>
      </c>
      <c r="F31" t="n">
        <v>31</v>
      </c>
      <c r="G31" t="n">
        <v>840</v>
      </c>
      <c r="H31" s="416" t="inlineStr">
        <is>
          <t>✓✓</t>
        </is>
      </c>
    </row>
    <row r="32">
      <c r="A32" s="46">
        <f>+$A$2</f>
        <v/>
      </c>
      <c r="B32" t="inlineStr">
        <is>
          <t>Muro Seco</t>
        </is>
      </c>
      <c r="C32" s="826">
        <f>+'1_OG y 2_ACA'!D1453</f>
        <v/>
      </c>
      <c r="D32" s="826">
        <f>+Detallado!F397+Detallado!F398</f>
        <v/>
      </c>
      <c r="E32" s="46">
        <f>+$E$2</f>
        <v/>
      </c>
      <c r="F32" t="n">
        <v>32</v>
      </c>
      <c r="G32" t="n">
        <v>840</v>
      </c>
      <c r="H32" s="416" t="inlineStr">
        <is>
          <t>✓✓</t>
        </is>
      </c>
    </row>
    <row r="33">
      <c r="A33" s="46">
        <f>+$A$2</f>
        <v/>
      </c>
      <c r="B33" t="inlineStr">
        <is>
          <t>Empaste Cementicio</t>
        </is>
      </c>
      <c r="C33" s="826">
        <f>+'1_OG y 2_ACA'!D1465</f>
        <v/>
      </c>
      <c r="D33" s="826">
        <f>+Detallado!F404+Detallado!F405</f>
        <v/>
      </c>
      <c r="E33" s="46">
        <f>+$E$2</f>
        <v/>
      </c>
      <c r="F33" t="n">
        <v>33</v>
      </c>
      <c r="G33" t="n">
        <v>840</v>
      </c>
      <c r="H33" s="416" t="inlineStr">
        <is>
          <t>✓✓</t>
        </is>
      </c>
    </row>
    <row r="34">
      <c r="A34" s="46">
        <f>+$A$2</f>
        <v/>
      </c>
      <c r="B34" t="inlineStr">
        <is>
          <t>Eléctrico Losa</t>
        </is>
      </c>
      <c r="C34" s="829" t="n">
        <v>0</v>
      </c>
      <c r="D34" s="829" t="n">
        <v>0</v>
      </c>
      <c r="E34" s="46">
        <f>+$E$2</f>
        <v/>
      </c>
      <c r="F34" t="n">
        <v>34</v>
      </c>
      <c r="G34" t="n">
        <v>843</v>
      </c>
      <c r="H34" s="830" t="inlineStr">
        <is>
          <t>SUCONTRATO</t>
        </is>
      </c>
    </row>
    <row r="35">
      <c r="A35" s="46">
        <f>+$A$2</f>
        <v/>
      </c>
      <c r="B35" t="inlineStr">
        <is>
          <t>Eléctrico Muros</t>
        </is>
      </c>
      <c r="C35" s="829" t="n">
        <v>0</v>
      </c>
      <c r="D35" s="829" t="n">
        <v>0</v>
      </c>
      <c r="E35" s="46">
        <f>+$E$2</f>
        <v/>
      </c>
      <c r="F35" t="n">
        <v>35</v>
      </c>
      <c r="G35" t="n">
        <v>843</v>
      </c>
      <c r="H35" s="830" t="inlineStr">
        <is>
          <t>SUCONTRATO</t>
        </is>
      </c>
    </row>
    <row r="36">
      <c r="A36" s="46">
        <f>+$A$2</f>
        <v/>
      </c>
      <c r="B36" t="inlineStr">
        <is>
          <t>Eléctrico Iluminación</t>
        </is>
      </c>
      <c r="C36" s="829" t="n">
        <v>0</v>
      </c>
      <c r="D36" s="829" t="n">
        <v>0</v>
      </c>
      <c r="E36" s="46">
        <f>+$E$2</f>
        <v/>
      </c>
      <c r="F36" t="n">
        <v>36</v>
      </c>
      <c r="G36" t="n">
        <v>843</v>
      </c>
      <c r="H36" s="830" t="inlineStr">
        <is>
          <t>SUCONTRATO</t>
        </is>
      </c>
    </row>
    <row r="37">
      <c r="A37" s="46">
        <f>+$A$2</f>
        <v/>
      </c>
      <c r="B37" t="inlineStr">
        <is>
          <t>Centro de Carga y Columna</t>
        </is>
      </c>
      <c r="C37" s="829" t="n">
        <v>0</v>
      </c>
      <c r="D37" s="829" t="n">
        <v>0</v>
      </c>
      <c r="E37" s="46">
        <f>+$E$2</f>
        <v/>
      </c>
      <c r="F37" t="n">
        <v>37</v>
      </c>
      <c r="G37" t="n">
        <v>843</v>
      </c>
      <c r="H37" s="830" t="inlineStr">
        <is>
          <t>SUCONTRATO</t>
        </is>
      </c>
    </row>
    <row r="38">
      <c r="A38" s="46">
        <f>+$A$2</f>
        <v/>
      </c>
      <c r="B38" t="inlineStr">
        <is>
          <t>Plaquearía e Iluminación</t>
        </is>
      </c>
      <c r="C38" s="829" t="n">
        <v>0</v>
      </c>
      <c r="D38" s="829" t="n">
        <v>0</v>
      </c>
      <c r="E38" s="46">
        <f>+$E$2</f>
        <v/>
      </c>
      <c r="F38" t="n">
        <v>38</v>
      </c>
      <c r="G38" t="n">
        <v>843</v>
      </c>
      <c r="H38" s="830" t="inlineStr">
        <is>
          <t>SUCONTRATO</t>
        </is>
      </c>
    </row>
    <row r="39">
      <c r="A39" s="46">
        <f>+$A$2</f>
        <v/>
      </c>
      <c r="B39" t="inlineStr">
        <is>
          <t>Fontanería Losa</t>
        </is>
      </c>
      <c r="C39" s="826">
        <f>+'3.2_MEC'!D19+'3.2_MEC'!D20+'3.2_MEC'!D21</f>
        <v/>
      </c>
      <c r="D39" s="826">
        <f>+Detallado!F839+Detallado!F840+Detallado!F841+Detallado!F842+Detallado!F856+Detallado!F857+Detallado!F858+Detallado!F859</f>
        <v/>
      </c>
      <c r="E39" s="46">
        <f>+$E$2</f>
        <v/>
      </c>
      <c r="F39" t="n">
        <v>39</v>
      </c>
      <c r="G39" t="n">
        <v>839</v>
      </c>
      <c r="H39" s="416" t="inlineStr">
        <is>
          <t>✓✓</t>
        </is>
      </c>
    </row>
    <row r="40">
      <c r="A40" s="46">
        <f>+$A$2</f>
        <v/>
      </c>
      <c r="B40" t="inlineStr">
        <is>
          <t>Fontanería Muros</t>
        </is>
      </c>
      <c r="C40" s="826">
        <f>+'3.2_MEC'!D108+'3.2_MEC'!D109+'3.2_MEC'!D110+'3.2_MEC'!D122+'3.2_MEC'!D123+'3.2_MEC'!D124</f>
        <v/>
      </c>
      <c r="D40" s="826">
        <f>+Detallado!F871+Detallado!F872+Detallado!F873+Detallado!F874+Detallado!F887+Detallado!F888+Detallado!F889+Detallado!F890+Detallado!F909+Detallado!F910+Detallado!F941+Detallado!F942+Detallado!F948+Detallado!F949</f>
        <v/>
      </c>
      <c r="E40" s="46">
        <f>+$E$2</f>
        <v/>
      </c>
      <c r="F40" t="n">
        <v>40</v>
      </c>
      <c r="G40" t="n">
        <v>839</v>
      </c>
      <c r="H40" s="416" t="inlineStr">
        <is>
          <t>✓✓</t>
        </is>
      </c>
    </row>
    <row r="41">
      <c r="A41" s="46">
        <f>+$A$2</f>
        <v/>
      </c>
      <c r="B41" t="inlineStr">
        <is>
          <t>Cajas y Tuberías Mecánicas</t>
        </is>
      </c>
      <c r="C41" s="826">
        <f>+'3.2_MEC'!D176+'3.2_MEC'!D177</f>
        <v/>
      </c>
      <c r="D41" s="826">
        <f>+Detallado!F928+Detallado!F929</f>
        <v/>
      </c>
      <c r="E41" s="46">
        <f>+$E$2</f>
        <v/>
      </c>
      <c r="F41" t="n">
        <v>41</v>
      </c>
      <c r="G41" t="n">
        <v>839</v>
      </c>
      <c r="H41" s="416" t="inlineStr">
        <is>
          <t>✓✓</t>
        </is>
      </c>
    </row>
    <row r="42">
      <c r="A42" s="46">
        <f>+$A$2</f>
        <v/>
      </c>
      <c r="B42" t="inlineStr">
        <is>
          <t>Bajantes</t>
        </is>
      </c>
      <c r="C42" s="826">
        <f>+'1_OG y 2_ACA'!D1028</f>
        <v/>
      </c>
      <c r="D42" s="826">
        <f>+Detallado!F251+Detallado!F252</f>
        <v/>
      </c>
      <c r="E42" s="46">
        <f>+$E$2</f>
        <v/>
      </c>
      <c r="F42" t="n">
        <v>42</v>
      </c>
      <c r="G42" t="n">
        <v>839</v>
      </c>
      <c r="H42" s="416" t="inlineStr">
        <is>
          <t>✓✓</t>
        </is>
      </c>
    </row>
    <row r="43">
      <c r="A43" s="46">
        <f>+$A$2</f>
        <v/>
      </c>
      <c r="B43" t="inlineStr">
        <is>
          <t>Sello Pintura</t>
        </is>
      </c>
      <c r="C43" s="826">
        <f>+'1_OG y 2_ACA'!D1567</f>
        <v/>
      </c>
      <c r="D43" s="826">
        <f>+ROUNDUP('1_OG y 2_ACA'!F1592,0)</f>
        <v/>
      </c>
      <c r="E43" s="46">
        <f>+$E$2</f>
        <v/>
      </c>
      <c r="F43" t="n">
        <v>43</v>
      </c>
      <c r="G43" t="n">
        <v>840</v>
      </c>
      <c r="H43" s="416" t="inlineStr">
        <is>
          <t>✓✓</t>
        </is>
      </c>
    </row>
    <row r="44">
      <c r="A44" s="46">
        <f>+$A$2</f>
        <v/>
      </c>
      <c r="B44" t="inlineStr">
        <is>
          <t>Pintura Externa</t>
        </is>
      </c>
      <c r="C44" s="826">
        <f>+'1_OG y 2_ACA'!D1569+'1_OG y 2_ACA'!D1571</f>
        <v/>
      </c>
      <c r="D44" s="826">
        <f>+ROUNDUP('1_OG y 2_ACA'!F1600,0)</f>
        <v/>
      </c>
      <c r="E44" s="46">
        <f>+$E$2</f>
        <v/>
      </c>
      <c r="F44" t="n">
        <v>44</v>
      </c>
      <c r="G44" t="n">
        <v>840</v>
      </c>
      <c r="H44" s="416" t="inlineStr">
        <is>
          <t>✓✓</t>
        </is>
      </c>
    </row>
    <row r="45">
      <c r="A45" s="46">
        <f>+$A$2</f>
        <v/>
      </c>
      <c r="B45" t="inlineStr">
        <is>
          <t>Grietas y Resane</t>
        </is>
      </c>
      <c r="C45" s="826">
        <f>+C43</f>
        <v/>
      </c>
      <c r="D45" s="826">
        <f>+ROUNDUP('1_OG y 2_ACA'!F1604,0)-2</f>
        <v/>
      </c>
      <c r="E45" s="46">
        <f>+$E$2</f>
        <v/>
      </c>
      <c r="F45" t="n">
        <v>45</v>
      </c>
      <c r="G45" t="n">
        <v>840</v>
      </c>
      <c r="H45" s="416" t="inlineStr">
        <is>
          <t>✓✓</t>
        </is>
      </c>
    </row>
    <row r="46">
      <c r="A46" s="46">
        <f>+$A$2</f>
        <v/>
      </c>
      <c r="B46" t="inlineStr">
        <is>
          <t>Pintura Interna</t>
        </is>
      </c>
      <c r="C46" s="826">
        <f>+C45</f>
        <v/>
      </c>
      <c r="D46" s="826">
        <f>+ROUNDUP('1_OG y 2_ACA'!F1596,0)</f>
        <v/>
      </c>
      <c r="E46" s="46">
        <f>+$E$2</f>
        <v/>
      </c>
      <c r="F46" t="n">
        <v>46</v>
      </c>
      <c r="G46" t="n">
        <v>840</v>
      </c>
      <c r="H46" s="416" t="inlineStr">
        <is>
          <t>✓✓</t>
        </is>
      </c>
    </row>
    <row r="47">
      <c r="A47" s="46">
        <f>+$A$2</f>
        <v/>
      </c>
      <c r="B47" t="inlineStr">
        <is>
          <t>Impermeabilizante</t>
        </is>
      </c>
      <c r="C47" s="827">
        <f>+'1_OG y 2_ACA'!D1613</f>
        <v/>
      </c>
      <c r="D47" s="827">
        <f>+Detallado!F460+Detallado!F461</f>
        <v/>
      </c>
      <c r="E47" s="46">
        <f>+$E$2</f>
        <v/>
      </c>
      <c r="F47" t="n">
        <v>47</v>
      </c>
      <c r="G47" t="n">
        <v>840</v>
      </c>
      <c r="H47" s="828" t="inlineStr">
        <is>
          <t>N/A</t>
        </is>
      </c>
    </row>
    <row r="48">
      <c r="A48" s="46">
        <f>+$A$2</f>
        <v/>
      </c>
      <c r="B48" t="inlineStr">
        <is>
          <t>Ventanería</t>
        </is>
      </c>
      <c r="C48" s="829" t="n">
        <v>0</v>
      </c>
      <c r="D48" s="829" t="n">
        <v>0</v>
      </c>
      <c r="E48" s="46">
        <f>+$E$2</f>
        <v/>
      </c>
      <c r="F48" t="n">
        <v>48</v>
      </c>
      <c r="G48" t="n">
        <v>840</v>
      </c>
      <c r="H48" s="830" t="inlineStr">
        <is>
          <t>SUCONTRATO</t>
        </is>
      </c>
    </row>
    <row r="49">
      <c r="A49" s="46">
        <f>+$A$2</f>
        <v/>
      </c>
      <c r="B49" t="inlineStr">
        <is>
          <t>Fabricación Muebles</t>
        </is>
      </c>
      <c r="C49" s="826">
        <f>+'1_OG y 2_ACA'!I1703</f>
        <v/>
      </c>
      <c r="D49" s="826">
        <f>+Detallado!F509+Detallado!F510</f>
        <v/>
      </c>
      <c r="E49" s="46">
        <f>+$E$2</f>
        <v/>
      </c>
      <c r="F49" t="n">
        <v>49</v>
      </c>
      <c r="G49" t="n">
        <v>842</v>
      </c>
      <c r="H49" s="416" t="inlineStr">
        <is>
          <t>✓✓</t>
        </is>
      </c>
    </row>
    <row r="50">
      <c r="A50" s="46">
        <f>+$A$2</f>
        <v/>
      </c>
      <c r="B50" t="inlineStr">
        <is>
          <t>Instalación Muebles y Puertas</t>
        </is>
      </c>
      <c r="C50" s="826">
        <f>'1_OG y 2_ACA'!D1749</f>
        <v/>
      </c>
      <c r="D50" s="826">
        <f>+Detallado!F523+Detallado!F524</f>
        <v/>
      </c>
      <c r="E50" s="46">
        <f>+$E$2</f>
        <v/>
      </c>
      <c r="F50" t="n">
        <v>50</v>
      </c>
      <c r="G50" t="n">
        <v>842</v>
      </c>
      <c r="H50" s="416" t="inlineStr">
        <is>
          <t>✓✓</t>
        </is>
      </c>
    </row>
    <row r="51">
      <c r="A51" s="46">
        <f>+$A$2</f>
        <v/>
      </c>
      <c r="B51" t="inlineStr">
        <is>
          <t>Losa Sanitaria</t>
        </is>
      </c>
      <c r="C51" s="826">
        <f>+Detallado!F527+Detallado!F530+Detallado!F541</f>
        <v/>
      </c>
      <c r="D51" s="826">
        <f>+Detallado!F544+Detallado!F545</f>
        <v/>
      </c>
      <c r="E51" s="46">
        <f>+$E$2</f>
        <v/>
      </c>
      <c r="F51" t="n">
        <v>51</v>
      </c>
      <c r="G51" t="n">
        <v>840</v>
      </c>
      <c r="H51" s="416" t="inlineStr">
        <is>
          <t>✓✓</t>
        </is>
      </c>
    </row>
    <row r="52">
      <c r="A52" s="46">
        <f>+$A$2</f>
        <v/>
      </c>
      <c r="B52" t="inlineStr">
        <is>
          <t>Griferías</t>
        </is>
      </c>
      <c r="C52" s="826">
        <f>+Detallado!F546+Detallado!F547-2</f>
        <v/>
      </c>
      <c r="D52" s="826">
        <f>+Detallado!F546+Detallado!F547-4</f>
        <v/>
      </c>
      <c r="E52" s="46">
        <f>+$E$2</f>
        <v/>
      </c>
      <c r="F52" t="n">
        <v>52</v>
      </c>
      <c r="G52" t="n">
        <v>840</v>
      </c>
      <c r="H52" s="416" t="inlineStr">
        <is>
          <t>✓✓</t>
        </is>
      </c>
    </row>
    <row r="53">
      <c r="A53" s="46">
        <f>+$A$2</f>
        <v/>
      </c>
      <c r="B53" t="inlineStr">
        <is>
          <t>Pilas y llaves de chorro</t>
        </is>
      </c>
      <c r="C53" s="826">
        <f>+Detallado!F538</f>
        <v/>
      </c>
      <c r="D53" s="826">
        <f>+Detallado!F546+Detallado!F547-7</f>
        <v/>
      </c>
      <c r="E53" s="46">
        <f>+$E$2</f>
        <v/>
      </c>
      <c r="F53" t="n">
        <v>53</v>
      </c>
      <c r="G53" t="n">
        <v>840</v>
      </c>
      <c r="H53" s="416" t="inlineStr">
        <is>
          <t>✓✓</t>
        </is>
      </c>
    </row>
    <row r="54">
      <c r="A54" s="46">
        <f>+$A$2</f>
        <v/>
      </c>
      <c r="B54" t="inlineStr">
        <is>
          <t>Zacate Geocelda y Detalles</t>
        </is>
      </c>
      <c r="C54" s="826">
        <f>+'1_OG y 2_ACA'!D1821</f>
        <v/>
      </c>
      <c r="D54" s="826">
        <f>+Detallado!F555+Detallado!F556</f>
        <v/>
      </c>
      <c r="E54" s="46">
        <f>+$E$2</f>
        <v/>
      </c>
      <c r="F54" t="n">
        <v>54</v>
      </c>
      <c r="G54" t="n">
        <v>840</v>
      </c>
      <c r="H54" s="416" t="inlineStr">
        <is>
          <t>✓✓</t>
        </is>
      </c>
    </row>
    <row r="55">
      <c r="A55" s="46">
        <f>+$A$2</f>
        <v/>
      </c>
      <c r="B55" t="inlineStr">
        <is>
          <t>Limpieza General</t>
        </is>
      </c>
      <c r="C55" s="826" t="n">
        <v>1</v>
      </c>
      <c r="D55" s="826">
        <f>+Detallado!F463+Detallado!F464</f>
        <v/>
      </c>
      <c r="E55" s="46">
        <f>+$E$2</f>
        <v/>
      </c>
      <c r="F55" t="n">
        <v>55</v>
      </c>
      <c r="G55" t="n">
        <v>840</v>
      </c>
      <c r="H55" s="416" t="inlineStr">
        <is>
          <t>✓✓</t>
        </is>
      </c>
    </row>
    <row r="56">
      <c r="A56" s="46" t="n"/>
      <c r="D56" s="46" t="n"/>
      <c r="E56" s="46" t="n"/>
    </row>
    <row r="57">
      <c r="A57" s="46" t="n"/>
      <c r="D57" s="663">
        <f>SUM(D2:D56)</f>
        <v/>
      </c>
      <c r="E57" s="663">
        <f>+Detallado!F963</f>
        <v/>
      </c>
      <c r="F57" s="831">
        <f>+E57-D57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DA309"/>
  <sheetViews>
    <sheetView workbookViewId="0">
      <selection activeCell="A1" sqref="A1"/>
    </sheetView>
  </sheetViews>
  <sheetFormatPr baseColWidth="8" defaultRowHeight="15"/>
  <sheetData>
    <row r="3">
      <c r="B3" s="832" t="inlineStr">
        <is>
          <t>Modelo</t>
        </is>
      </c>
      <c r="C3" s="833" t="inlineStr">
        <is>
          <t>Ikaria / Techo</t>
        </is>
      </c>
      <c r="D3" s="834" t="n"/>
    </row>
    <row r="4">
      <c r="B4" s="832" t="n"/>
      <c r="C4" s="835" t="inlineStr">
        <is>
          <t>Insumo</t>
        </is>
      </c>
      <c r="D4" s="835" t="inlineStr">
        <is>
          <t>Codigo</t>
        </is>
      </c>
      <c r="F4" t="n">
        <v>1</v>
      </c>
      <c r="G4" t="n">
        <v>2</v>
      </c>
      <c r="H4" t="n">
        <v>3</v>
      </c>
      <c r="I4" t="n">
        <v>4</v>
      </c>
      <c r="J4" t="n">
        <v>5</v>
      </c>
      <c r="K4" t="n">
        <v>6</v>
      </c>
      <c r="L4" t="n">
        <v>7</v>
      </c>
      <c r="M4" t="n">
        <v>8</v>
      </c>
      <c r="N4" t="n">
        <v>9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B5" s="835" t="inlineStr">
        <is>
          <t>ACOMETIDA, LOSA</t>
        </is>
      </c>
      <c r="C5" s="59" t="n"/>
      <c r="D5" s="60" t="n"/>
      <c r="E5" t="inlineStr">
        <is>
          <t>Modelos</t>
        </is>
      </c>
      <c r="F5" t="inlineStr">
        <is>
          <t>Ikaria / Techo</t>
        </is>
      </c>
      <c r="G5" t="inlineStr">
        <is>
          <t>Ikaria Especial / Techo</t>
        </is>
      </c>
      <c r="H5" t="inlineStr">
        <is>
          <t>Ikaria / Azotea</t>
        </is>
      </c>
      <c r="I5" t="inlineStr">
        <is>
          <t>Milo / Azotea</t>
        </is>
      </c>
      <c r="J5" t="inlineStr">
        <is>
          <t>Milo / Techo</t>
        </is>
      </c>
      <c r="K5" t="inlineStr">
        <is>
          <t>Milo 1,1 / Techo</t>
        </is>
      </c>
      <c r="L5" t="inlineStr">
        <is>
          <t>Neo Tripoli / Techo</t>
        </is>
      </c>
      <c r="M5" t="inlineStr">
        <is>
          <t>Neo Tripoli / Azotea</t>
        </is>
      </c>
      <c r="N5" t="inlineStr">
        <is>
          <t>Santorini / Azotea</t>
        </is>
      </c>
      <c r="O5" t="inlineStr">
        <is>
          <t>Santorini 4D / Azotea</t>
        </is>
      </c>
      <c r="P5" t="inlineStr">
        <is>
          <t>Santorini DA / Azotea</t>
        </is>
      </c>
      <c r="Q5" t="inlineStr">
        <is>
          <t>Skyros / Techo</t>
        </is>
      </c>
      <c r="R5" t="inlineStr">
        <is>
          <t>Skyros / Azotea</t>
        </is>
      </c>
      <c r="S5" t="inlineStr">
        <is>
          <t>Tebas / Techo</t>
        </is>
      </c>
      <c r="T5" t="inlineStr">
        <is>
          <t>Tebas / Azotea</t>
        </is>
      </c>
      <c r="U5" t="inlineStr">
        <is>
          <t>Zante / Techo</t>
        </is>
      </c>
      <c r="V5" t="inlineStr">
        <is>
          <t>Zante / Azotea</t>
        </is>
      </c>
      <c r="W5" t="inlineStr">
        <is>
          <t>Zante Crece / Techo</t>
        </is>
      </c>
      <c r="X5" t="inlineStr">
        <is>
          <t>Zante Crece / Azotea</t>
        </is>
      </c>
      <c r="Y5" t="inlineStr">
        <is>
          <t>Zante Of / Techo</t>
        </is>
      </c>
      <c r="Z5" t="inlineStr">
        <is>
          <t>Zante Of / Azotea</t>
        </is>
      </c>
      <c r="AA5" t="inlineStr">
        <is>
          <t>Zante Mod. / Azotea</t>
        </is>
      </c>
      <c r="AB5" t="inlineStr">
        <is>
          <t>Stella / Techo</t>
        </is>
      </c>
      <c r="AC5" t="inlineStr">
        <is>
          <t>Stella / Azotea</t>
        </is>
      </c>
      <c r="AD5" t="inlineStr">
        <is>
          <t>Stella 1DA / Techo</t>
        </is>
      </c>
      <c r="AE5" t="inlineStr">
        <is>
          <t>Stella 1DA-1DA / Azotea</t>
        </is>
      </c>
      <c r="AF5" t="inlineStr">
        <is>
          <t>Stella L 1DA / Azotea</t>
        </is>
      </c>
      <c r="AG5" t="inlineStr">
        <is>
          <t>Stella L 1DA-1DA / Azotea</t>
        </is>
      </c>
      <c r="AH5" t="inlineStr">
        <is>
          <t>Stella L 1DA-2DA.1 / Azotea</t>
        </is>
      </c>
      <c r="AI5" t="inlineStr">
        <is>
          <t>Stella L 1DA-2DA.2 / Azotea</t>
        </is>
      </c>
      <c r="AJ5" t="inlineStr">
        <is>
          <t>Stella L 2DA / Techo</t>
        </is>
      </c>
      <c r="AK5" t="inlineStr">
        <is>
          <t>Stella L 2DA / Azotea</t>
        </is>
      </c>
      <c r="AL5" t="inlineStr">
        <is>
          <t>Stellita / Azotea</t>
        </is>
      </c>
      <c r="AM5" t="inlineStr">
        <is>
          <t>Stella L 2DA Amp / Azotea</t>
        </is>
      </c>
      <c r="AN5" t="inlineStr">
        <is>
          <t>Stella L 1DA Amp / Azotea</t>
        </is>
      </c>
      <c r="AO5" t="inlineStr">
        <is>
          <t>Zante DA / Azotea</t>
        </is>
      </c>
      <c r="AP5" t="inlineStr">
        <is>
          <t>Stella L 3DA / Azotea</t>
        </is>
      </c>
      <c r="AQ5" t="inlineStr">
        <is>
          <t>Kora / Azotea</t>
        </is>
      </c>
      <c r="AR5" t="inlineStr">
        <is>
          <t>Fiora /Azotea</t>
        </is>
      </c>
      <c r="AS5" t="inlineStr">
        <is>
          <t>Caspe / Azotea</t>
        </is>
      </c>
      <c r="AT5" t="inlineStr">
        <is>
          <t>Toledo / Techo</t>
        </is>
      </c>
      <c r="AU5" t="inlineStr">
        <is>
          <t>Avila / Techo</t>
        </is>
      </c>
      <c r="AV5" t="inlineStr">
        <is>
          <t>Gyro / Azotea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B6" s="11" t="n">
        <v>1</v>
      </c>
      <c r="C6" s="18" t="inlineStr">
        <is>
          <t>Curva 38mm 1 1/2"</t>
        </is>
      </c>
      <c r="D6" s="18" t="inlineStr">
        <is>
          <t>M05-0362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 xml:space="preserve"> </t>
        </is>
      </c>
      <c r="BP6" t="inlineStr">
        <is>
          <t xml:space="preserve"> </t>
        </is>
      </c>
      <c r="BQ6" t="inlineStr">
        <is>
          <t xml:space="preserve"> </t>
        </is>
      </c>
      <c r="BR6" t="inlineStr">
        <is>
          <t xml:space="preserve"> </t>
        </is>
      </c>
      <c r="BS6" t="inlineStr">
        <is>
          <t xml:space="preserve"> </t>
        </is>
      </c>
      <c r="BT6" t="inlineStr">
        <is>
          <t xml:space="preserve"> </t>
        </is>
      </c>
      <c r="BU6" t="inlineStr">
        <is>
          <t xml:space="preserve"> </t>
        </is>
      </c>
      <c r="BV6" t="inlineStr">
        <is>
          <t xml:space="preserve"> </t>
        </is>
      </c>
      <c r="BW6" t="inlineStr">
        <is>
          <t xml:space="preserve"> </t>
        </is>
      </c>
      <c r="BX6" t="inlineStr">
        <is>
          <t xml:space="preserve"> </t>
        </is>
      </c>
      <c r="BY6" t="inlineStr">
        <is>
          <t xml:space="preserve"> </t>
        </is>
      </c>
      <c r="BZ6" t="inlineStr">
        <is>
          <t xml:space="preserve"> </t>
        </is>
      </c>
      <c r="CA6" t="inlineStr">
        <is>
          <t xml:space="preserve"> </t>
        </is>
      </c>
      <c r="CB6" t="inlineStr">
        <is>
          <t xml:space="preserve"> </t>
        </is>
      </c>
      <c r="CC6" t="inlineStr">
        <is>
          <t xml:space="preserve"> </t>
        </is>
      </c>
      <c r="CD6" t="inlineStr">
        <is>
          <t xml:space="preserve"> </t>
        </is>
      </c>
      <c r="CE6" t="inlineStr">
        <is>
          <t xml:space="preserve"> </t>
        </is>
      </c>
      <c r="CF6" t="inlineStr">
        <is>
          <t xml:space="preserve"> </t>
        </is>
      </c>
      <c r="CG6" t="inlineStr">
        <is>
          <t xml:space="preserve"> </t>
        </is>
      </c>
      <c r="CH6" t="inlineStr">
        <is>
          <t xml:space="preserve"> </t>
        </is>
      </c>
      <c r="CI6" t="inlineStr">
        <is>
          <t xml:space="preserve"> </t>
        </is>
      </c>
      <c r="CJ6" t="inlineStr">
        <is>
          <t xml:space="preserve"> </t>
        </is>
      </c>
      <c r="CK6" t="inlineStr">
        <is>
          <t xml:space="preserve"> </t>
        </is>
      </c>
      <c r="CL6" t="inlineStr">
        <is>
          <t xml:space="preserve"> </t>
        </is>
      </c>
      <c r="CM6" t="inlineStr">
        <is>
          <t xml:space="preserve"> </t>
        </is>
      </c>
      <c r="CN6" t="inlineStr">
        <is>
          <t xml:space="preserve"> </t>
        </is>
      </c>
      <c r="CO6" t="inlineStr">
        <is>
          <t xml:space="preserve"> </t>
        </is>
      </c>
      <c r="CP6" t="inlineStr">
        <is>
          <t xml:space="preserve"> </t>
        </is>
      </c>
      <c r="CQ6" t="inlineStr">
        <is>
          <t xml:space="preserve"> </t>
        </is>
      </c>
      <c r="CR6" t="inlineStr">
        <is>
          <t xml:space="preserve"> </t>
        </is>
      </c>
      <c r="CS6" t="inlineStr">
        <is>
          <t xml:space="preserve"> </t>
        </is>
      </c>
      <c r="CT6" t="inlineStr">
        <is>
          <t xml:space="preserve"> </t>
        </is>
      </c>
      <c r="CU6" t="inlineStr">
        <is>
          <t xml:space="preserve"> </t>
        </is>
      </c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</row>
    <row r="7">
      <c r="B7" s="11" t="n">
        <v>2</v>
      </c>
      <c r="C7" s="18" t="inlineStr">
        <is>
          <t>Curva 25mm 1"</t>
        </is>
      </c>
      <c r="D7" s="18" t="inlineStr">
        <is>
          <t>M05-0366</t>
        </is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 xml:space="preserve"> </t>
        </is>
      </c>
      <c r="BP7" t="inlineStr">
        <is>
          <t xml:space="preserve"> </t>
        </is>
      </c>
      <c r="BQ7" t="inlineStr">
        <is>
          <t xml:space="preserve"> </t>
        </is>
      </c>
      <c r="BR7" t="inlineStr">
        <is>
          <t xml:space="preserve"> </t>
        </is>
      </c>
      <c r="BS7" t="inlineStr">
        <is>
          <t xml:space="preserve"> </t>
        </is>
      </c>
      <c r="BT7" t="inlineStr">
        <is>
          <t xml:space="preserve"> </t>
        </is>
      </c>
      <c r="BU7" t="inlineStr">
        <is>
          <t xml:space="preserve"> </t>
        </is>
      </c>
      <c r="BV7" t="inlineStr">
        <is>
          <t xml:space="preserve"> </t>
        </is>
      </c>
      <c r="BW7" t="inlineStr">
        <is>
          <t xml:space="preserve"> </t>
        </is>
      </c>
      <c r="BX7" t="inlineStr">
        <is>
          <t xml:space="preserve"> </t>
        </is>
      </c>
      <c r="BY7" t="inlineStr">
        <is>
          <t xml:space="preserve"> </t>
        </is>
      </c>
      <c r="BZ7" t="inlineStr">
        <is>
          <t xml:space="preserve"> </t>
        </is>
      </c>
      <c r="CA7" t="inlineStr">
        <is>
          <t xml:space="preserve"> </t>
        </is>
      </c>
      <c r="CB7" t="inlineStr">
        <is>
          <t xml:space="preserve"> </t>
        </is>
      </c>
      <c r="CC7" t="inlineStr">
        <is>
          <t xml:space="preserve"> </t>
        </is>
      </c>
      <c r="CD7" t="inlineStr">
        <is>
          <t xml:space="preserve"> </t>
        </is>
      </c>
      <c r="CE7" t="inlineStr">
        <is>
          <t xml:space="preserve"> </t>
        </is>
      </c>
      <c r="CF7" t="inlineStr">
        <is>
          <t xml:space="preserve"> </t>
        </is>
      </c>
      <c r="CG7" t="inlineStr">
        <is>
          <t xml:space="preserve"> </t>
        </is>
      </c>
      <c r="CH7" t="inlineStr">
        <is>
          <t xml:space="preserve"> </t>
        </is>
      </c>
      <c r="CI7" t="inlineStr">
        <is>
          <t xml:space="preserve"> </t>
        </is>
      </c>
      <c r="CJ7" t="inlineStr">
        <is>
          <t xml:space="preserve"> </t>
        </is>
      </c>
      <c r="CK7" t="inlineStr">
        <is>
          <t xml:space="preserve"> </t>
        </is>
      </c>
      <c r="CL7" t="inlineStr">
        <is>
          <t xml:space="preserve"> </t>
        </is>
      </c>
      <c r="CM7" t="inlineStr">
        <is>
          <t xml:space="preserve"> </t>
        </is>
      </c>
      <c r="CN7" t="inlineStr">
        <is>
          <t xml:space="preserve"> </t>
        </is>
      </c>
      <c r="CO7" t="inlineStr">
        <is>
          <t xml:space="preserve"> </t>
        </is>
      </c>
      <c r="CP7" t="inlineStr">
        <is>
          <t xml:space="preserve"> </t>
        </is>
      </c>
      <c r="CQ7" t="inlineStr">
        <is>
          <t xml:space="preserve"> </t>
        </is>
      </c>
      <c r="CR7" t="inlineStr">
        <is>
          <t xml:space="preserve"> </t>
        </is>
      </c>
      <c r="CS7" t="inlineStr">
        <is>
          <t xml:space="preserve"> </t>
        </is>
      </c>
      <c r="CT7" t="inlineStr">
        <is>
          <t xml:space="preserve"> </t>
        </is>
      </c>
      <c r="CU7" t="inlineStr">
        <is>
          <t xml:space="preserve"> </t>
        </is>
      </c>
      <c r="CV7" t="inlineStr">
        <is>
          <t xml:space="preserve"> </t>
        </is>
      </c>
      <c r="CW7" t="inlineStr">
        <is>
          <t xml:space="preserve"> </t>
        </is>
      </c>
      <c r="CX7" t="inlineStr">
        <is>
          <t xml:space="preserve"> </t>
        </is>
      </c>
      <c r="CY7" t="inlineStr">
        <is>
          <t xml:space="preserve"> </t>
        </is>
      </c>
      <c r="CZ7" t="inlineStr">
        <is>
          <t xml:space="preserve"> </t>
        </is>
      </c>
      <c r="DA7" t="inlineStr">
        <is>
          <t xml:space="preserve"> </t>
        </is>
      </c>
    </row>
    <row r="8">
      <c r="B8" s="11" t="n">
        <v>3</v>
      </c>
      <c r="C8" s="18" t="inlineStr">
        <is>
          <t>Curva 13mm 1/2"</t>
        </is>
      </c>
      <c r="D8" s="18" t="inlineStr">
        <is>
          <t>M05-0361</t>
        </is>
      </c>
      <c r="F8" t="n">
        <v>50</v>
      </c>
      <c r="G8" t="n">
        <v>50</v>
      </c>
      <c r="H8" t="n">
        <v>50</v>
      </c>
      <c r="I8" t="n">
        <v>37</v>
      </c>
      <c r="J8" t="n">
        <v>37</v>
      </c>
      <c r="K8" t="n">
        <v>37</v>
      </c>
      <c r="L8" t="n">
        <v>50</v>
      </c>
      <c r="M8" t="n">
        <v>50</v>
      </c>
      <c r="N8" t="n">
        <v>55</v>
      </c>
      <c r="O8" t="n">
        <v>55</v>
      </c>
      <c r="P8" t="n">
        <v>55</v>
      </c>
      <c r="Q8" t="n">
        <v>45</v>
      </c>
      <c r="R8" t="n">
        <v>45</v>
      </c>
      <c r="S8" t="n">
        <v>50</v>
      </c>
      <c r="T8" t="n">
        <v>50</v>
      </c>
      <c r="U8" t="n">
        <v>45</v>
      </c>
      <c r="V8" t="n">
        <v>45</v>
      </c>
      <c r="W8" t="n">
        <v>45</v>
      </c>
      <c r="X8" t="n">
        <v>45</v>
      </c>
      <c r="Y8" t="n">
        <v>45</v>
      </c>
      <c r="Z8" t="n">
        <v>45</v>
      </c>
      <c r="AA8" t="n">
        <v>50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0</v>
      </c>
      <c r="AM8" t="n">
        <v>40</v>
      </c>
      <c r="AN8" t="n">
        <v>40</v>
      </c>
      <c r="AO8" t="n">
        <v>50</v>
      </c>
      <c r="AP8" t="n">
        <v>43</v>
      </c>
      <c r="AQ8" t="n">
        <v>45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 xml:space="preserve"> </t>
        </is>
      </c>
      <c r="BP8" t="inlineStr">
        <is>
          <t xml:space="preserve"> </t>
        </is>
      </c>
      <c r="BQ8" t="inlineStr">
        <is>
          <t xml:space="preserve"> </t>
        </is>
      </c>
      <c r="BR8" t="inlineStr">
        <is>
          <t xml:space="preserve"> </t>
        </is>
      </c>
      <c r="BS8" t="inlineStr">
        <is>
          <t xml:space="preserve"> </t>
        </is>
      </c>
      <c r="BT8" t="inlineStr">
        <is>
          <t xml:space="preserve"> </t>
        </is>
      </c>
      <c r="BU8" t="inlineStr">
        <is>
          <t xml:space="preserve"> </t>
        </is>
      </c>
      <c r="BV8" t="inlineStr">
        <is>
          <t xml:space="preserve"> </t>
        </is>
      </c>
      <c r="BW8" t="inlineStr">
        <is>
          <t xml:space="preserve"> </t>
        </is>
      </c>
      <c r="BX8" t="inlineStr">
        <is>
          <t xml:space="preserve"> </t>
        </is>
      </c>
      <c r="BY8" t="inlineStr">
        <is>
          <t xml:space="preserve"> </t>
        </is>
      </c>
      <c r="BZ8" t="inlineStr">
        <is>
          <t xml:space="preserve"> </t>
        </is>
      </c>
      <c r="CA8" t="inlineStr">
        <is>
          <t xml:space="preserve"> </t>
        </is>
      </c>
      <c r="CB8" t="inlineStr">
        <is>
          <t xml:space="preserve"> </t>
        </is>
      </c>
      <c r="CC8" t="inlineStr">
        <is>
          <t xml:space="preserve"> </t>
        </is>
      </c>
      <c r="CD8" t="inlineStr">
        <is>
          <t xml:space="preserve"> </t>
        </is>
      </c>
      <c r="CE8" t="inlineStr">
        <is>
          <t xml:space="preserve"> </t>
        </is>
      </c>
      <c r="CF8" t="inlineStr">
        <is>
          <t xml:space="preserve"> </t>
        </is>
      </c>
      <c r="CG8" t="inlineStr">
        <is>
          <t xml:space="preserve"> </t>
        </is>
      </c>
      <c r="CH8" t="inlineStr">
        <is>
          <t xml:space="preserve"> </t>
        </is>
      </c>
      <c r="CI8" t="inlineStr">
        <is>
          <t xml:space="preserve"> </t>
        </is>
      </c>
      <c r="CJ8" t="inlineStr">
        <is>
          <t xml:space="preserve"> </t>
        </is>
      </c>
      <c r="CK8" t="inlineStr">
        <is>
          <t xml:space="preserve"> </t>
        </is>
      </c>
      <c r="CL8" t="inlineStr">
        <is>
          <t xml:space="preserve"> </t>
        </is>
      </c>
      <c r="CM8" t="inlineStr">
        <is>
          <t xml:space="preserve"> </t>
        </is>
      </c>
      <c r="CN8" t="inlineStr">
        <is>
          <t xml:space="preserve"> </t>
        </is>
      </c>
      <c r="CO8" t="inlineStr">
        <is>
          <t xml:space="preserve"> </t>
        </is>
      </c>
      <c r="CP8" t="inlineStr">
        <is>
          <t xml:space="preserve"> </t>
        </is>
      </c>
      <c r="CQ8" t="inlineStr">
        <is>
          <t xml:space="preserve"> </t>
        </is>
      </c>
      <c r="CR8" t="inlineStr">
        <is>
          <t xml:space="preserve"> </t>
        </is>
      </c>
      <c r="CS8" t="inlineStr">
        <is>
          <t xml:space="preserve"> </t>
        </is>
      </c>
      <c r="CT8" t="inlineStr">
        <is>
          <t xml:space="preserve"> </t>
        </is>
      </c>
      <c r="CU8" t="inlineStr">
        <is>
          <t xml:space="preserve"> </t>
        </is>
      </c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</row>
    <row r="9">
      <c r="B9" s="11" t="n">
        <v>4</v>
      </c>
      <c r="C9" s="18" t="inlineStr">
        <is>
          <t>Curva 19mm 3/4"</t>
        </is>
      </c>
      <c r="D9" s="18" t="inlineStr">
        <is>
          <t>M05-0367</t>
        </is>
      </c>
      <c r="F9" t="n">
        <v>17</v>
      </c>
      <c r="G9" t="n">
        <v>17</v>
      </c>
      <c r="H9" t="n">
        <v>17</v>
      </c>
      <c r="I9" t="n">
        <v>10</v>
      </c>
      <c r="J9" t="n">
        <v>10</v>
      </c>
      <c r="K9" t="n">
        <v>10</v>
      </c>
      <c r="L9" t="n">
        <v>17</v>
      </c>
      <c r="M9" t="n">
        <v>17</v>
      </c>
      <c r="N9" t="n">
        <v>15</v>
      </c>
      <c r="O9" t="n">
        <v>15</v>
      </c>
      <c r="P9" t="n">
        <v>15</v>
      </c>
      <c r="Q9" t="n">
        <v>14</v>
      </c>
      <c r="R9" t="n">
        <v>14</v>
      </c>
      <c r="S9" t="n">
        <v>20</v>
      </c>
      <c r="T9" t="n">
        <v>20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18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15</v>
      </c>
      <c r="AJ9" t="n">
        <v>14</v>
      </c>
      <c r="AK9" t="n">
        <v>14</v>
      </c>
      <c r="AL9" t="n">
        <v>0</v>
      </c>
      <c r="AM9" t="n">
        <v>14</v>
      </c>
      <c r="AN9" t="n">
        <v>14</v>
      </c>
      <c r="AO9" t="n">
        <v>18</v>
      </c>
      <c r="AP9" t="n">
        <v>8</v>
      </c>
      <c r="AQ9" t="n">
        <v>15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 xml:space="preserve"> </t>
        </is>
      </c>
      <c r="BP9" t="inlineStr">
        <is>
          <t xml:space="preserve"> </t>
        </is>
      </c>
      <c r="BQ9" t="inlineStr">
        <is>
          <t xml:space="preserve"> </t>
        </is>
      </c>
      <c r="BR9" t="inlineStr">
        <is>
          <t xml:space="preserve"> </t>
        </is>
      </c>
      <c r="BS9" t="inlineStr">
        <is>
          <t xml:space="preserve"> </t>
        </is>
      </c>
      <c r="BT9" t="inlineStr">
        <is>
          <t xml:space="preserve"> </t>
        </is>
      </c>
      <c r="BU9" t="inlineStr">
        <is>
          <t xml:space="preserve"> </t>
        </is>
      </c>
      <c r="BV9" t="inlineStr">
        <is>
          <t xml:space="preserve"> </t>
        </is>
      </c>
      <c r="BW9" t="inlineStr">
        <is>
          <t xml:space="preserve"> </t>
        </is>
      </c>
      <c r="BX9" t="inlineStr">
        <is>
          <t xml:space="preserve"> </t>
        </is>
      </c>
      <c r="BY9" t="inlineStr">
        <is>
          <t xml:space="preserve"> </t>
        </is>
      </c>
      <c r="BZ9" t="inlineStr">
        <is>
          <t xml:space="preserve"> </t>
        </is>
      </c>
      <c r="CA9" t="inlineStr">
        <is>
          <t xml:space="preserve"> </t>
        </is>
      </c>
      <c r="CB9" t="inlineStr">
        <is>
          <t xml:space="preserve"> </t>
        </is>
      </c>
      <c r="CC9" t="inlineStr">
        <is>
          <t xml:space="preserve"> </t>
        </is>
      </c>
      <c r="CD9" t="inlineStr">
        <is>
          <t xml:space="preserve"> </t>
        </is>
      </c>
      <c r="CE9" t="inlineStr">
        <is>
          <t xml:space="preserve"> </t>
        </is>
      </c>
      <c r="CF9" t="inlineStr">
        <is>
          <t xml:space="preserve"> </t>
        </is>
      </c>
      <c r="CG9" t="inlineStr">
        <is>
          <t xml:space="preserve"> </t>
        </is>
      </c>
      <c r="CH9" t="inlineStr">
        <is>
          <t xml:space="preserve"> </t>
        </is>
      </c>
      <c r="CI9" t="inlineStr">
        <is>
          <t xml:space="preserve"> </t>
        </is>
      </c>
      <c r="CJ9" t="inlineStr">
        <is>
          <t xml:space="preserve"> </t>
        </is>
      </c>
      <c r="CK9" t="inlineStr">
        <is>
          <t xml:space="preserve"> </t>
        </is>
      </c>
      <c r="CL9" t="inlineStr">
        <is>
          <t xml:space="preserve"> </t>
        </is>
      </c>
      <c r="CM9" t="inlineStr">
        <is>
          <t xml:space="preserve"> </t>
        </is>
      </c>
      <c r="CN9" t="inlineStr">
        <is>
          <t xml:space="preserve"> </t>
        </is>
      </c>
      <c r="CO9" t="inlineStr">
        <is>
          <t xml:space="preserve"> </t>
        </is>
      </c>
      <c r="CP9" t="inlineStr">
        <is>
          <t xml:space="preserve"> </t>
        </is>
      </c>
      <c r="CQ9" t="inlineStr">
        <is>
          <t xml:space="preserve"> </t>
        </is>
      </c>
      <c r="CR9" t="inlineStr">
        <is>
          <t xml:space="preserve"> </t>
        </is>
      </c>
      <c r="CS9" t="inlineStr">
        <is>
          <t xml:space="preserve"> </t>
        </is>
      </c>
      <c r="CT9" t="inlineStr">
        <is>
          <t xml:space="preserve"> </t>
        </is>
      </c>
      <c r="CU9" t="inlineStr">
        <is>
          <t xml:space="preserve"> </t>
        </is>
      </c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</row>
    <row r="10">
      <c r="B10" s="11" t="n">
        <v>5</v>
      </c>
      <c r="C10" s="18" t="inlineStr">
        <is>
          <t>Tubo 38mm 1 1/2"</t>
        </is>
      </c>
      <c r="D10" s="18" t="inlineStr">
        <is>
          <t>M05-0368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 xml:space="preserve"> </t>
        </is>
      </c>
      <c r="BP10" t="inlineStr">
        <is>
          <t xml:space="preserve"> </t>
        </is>
      </c>
      <c r="BQ10" t="inlineStr">
        <is>
          <t xml:space="preserve"> </t>
        </is>
      </c>
      <c r="BR10" t="inlineStr">
        <is>
          <t xml:space="preserve"> </t>
        </is>
      </c>
      <c r="BS10" t="inlineStr">
        <is>
          <t xml:space="preserve"> </t>
        </is>
      </c>
      <c r="BT10" t="inlineStr">
        <is>
          <t xml:space="preserve"> </t>
        </is>
      </c>
      <c r="BU10" t="inlineStr">
        <is>
          <t xml:space="preserve"> </t>
        </is>
      </c>
      <c r="BV10" t="inlineStr">
        <is>
          <t xml:space="preserve"> </t>
        </is>
      </c>
      <c r="BW10" t="inlineStr">
        <is>
          <t xml:space="preserve"> </t>
        </is>
      </c>
      <c r="BX10" t="inlineStr">
        <is>
          <t xml:space="preserve"> </t>
        </is>
      </c>
      <c r="BY10" t="inlineStr">
        <is>
          <t xml:space="preserve"> </t>
        </is>
      </c>
      <c r="BZ10" t="inlineStr">
        <is>
          <t xml:space="preserve"> </t>
        </is>
      </c>
      <c r="CA10" t="inlineStr">
        <is>
          <t xml:space="preserve"> </t>
        </is>
      </c>
      <c r="CB10" t="inlineStr">
        <is>
          <t xml:space="preserve"> </t>
        </is>
      </c>
      <c r="CC10" t="inlineStr">
        <is>
          <t xml:space="preserve"> </t>
        </is>
      </c>
      <c r="CD10" t="inlineStr">
        <is>
          <t xml:space="preserve"> </t>
        </is>
      </c>
      <c r="CE10" t="inlineStr">
        <is>
          <t xml:space="preserve"> </t>
        </is>
      </c>
      <c r="CF10" t="inlineStr">
        <is>
          <t xml:space="preserve"> </t>
        </is>
      </c>
      <c r="CG10" t="inlineStr">
        <is>
          <t xml:space="preserve"> </t>
        </is>
      </c>
      <c r="CH10" t="inlineStr">
        <is>
          <t xml:space="preserve"> </t>
        </is>
      </c>
      <c r="CI10" t="inlineStr">
        <is>
          <t xml:space="preserve"> </t>
        </is>
      </c>
      <c r="CJ10" t="inlineStr">
        <is>
          <t xml:space="preserve"> </t>
        </is>
      </c>
      <c r="CK10" t="inlineStr">
        <is>
          <t xml:space="preserve"> </t>
        </is>
      </c>
      <c r="CL10" t="inlineStr">
        <is>
          <t xml:space="preserve"> </t>
        </is>
      </c>
      <c r="CM10" t="inlineStr">
        <is>
          <t xml:space="preserve"> </t>
        </is>
      </c>
      <c r="CN10" t="inlineStr">
        <is>
          <t xml:space="preserve"> </t>
        </is>
      </c>
      <c r="CO10" t="inlineStr">
        <is>
          <t xml:space="preserve"> </t>
        </is>
      </c>
      <c r="CP10" t="inlineStr">
        <is>
          <t xml:space="preserve"> </t>
        </is>
      </c>
      <c r="CQ10" t="inlineStr">
        <is>
          <t xml:space="preserve"> </t>
        </is>
      </c>
      <c r="CR10" t="inlineStr">
        <is>
          <t xml:space="preserve"> </t>
        </is>
      </c>
      <c r="CS10" t="inlineStr">
        <is>
          <t xml:space="preserve"> </t>
        </is>
      </c>
      <c r="CT10" t="inlineStr">
        <is>
          <t xml:space="preserve"> </t>
        </is>
      </c>
      <c r="CU10" t="inlineStr">
        <is>
          <t xml:space="preserve"> </t>
        </is>
      </c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</row>
    <row r="11">
      <c r="B11" s="11" t="n">
        <v>6</v>
      </c>
      <c r="C11" s="18" t="inlineStr">
        <is>
          <t>Tubo 25mm 1"</t>
        </is>
      </c>
      <c r="D11" s="18" t="inlineStr">
        <is>
          <t>M05-0369</t>
        </is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 xml:space="preserve"> </t>
        </is>
      </c>
      <c r="BP11" t="inlineStr">
        <is>
          <t xml:space="preserve"> </t>
        </is>
      </c>
      <c r="BQ11" t="inlineStr">
        <is>
          <t xml:space="preserve"> </t>
        </is>
      </c>
      <c r="BR11" t="inlineStr">
        <is>
          <t xml:space="preserve"> </t>
        </is>
      </c>
      <c r="BS11" t="inlineStr">
        <is>
          <t xml:space="preserve"> </t>
        </is>
      </c>
      <c r="BT11" t="inlineStr">
        <is>
          <t xml:space="preserve"> </t>
        </is>
      </c>
      <c r="BU11" t="inlineStr">
        <is>
          <t xml:space="preserve"> </t>
        </is>
      </c>
      <c r="BV11" t="inlineStr">
        <is>
          <t xml:space="preserve"> </t>
        </is>
      </c>
      <c r="BW11" t="inlineStr">
        <is>
          <t xml:space="preserve"> </t>
        </is>
      </c>
      <c r="BX11" t="inlineStr">
        <is>
          <t xml:space="preserve"> </t>
        </is>
      </c>
      <c r="BY11" t="inlineStr">
        <is>
          <t xml:space="preserve"> </t>
        </is>
      </c>
      <c r="BZ11" t="inlineStr">
        <is>
          <t xml:space="preserve"> </t>
        </is>
      </c>
      <c r="CA11" t="inlineStr">
        <is>
          <t xml:space="preserve"> </t>
        </is>
      </c>
      <c r="CB11" t="inlineStr">
        <is>
          <t xml:space="preserve"> </t>
        </is>
      </c>
      <c r="CC11" t="inlineStr">
        <is>
          <t xml:space="preserve"> </t>
        </is>
      </c>
      <c r="CD11" t="inlineStr">
        <is>
          <t xml:space="preserve"> </t>
        </is>
      </c>
      <c r="CE11" t="inlineStr">
        <is>
          <t xml:space="preserve"> </t>
        </is>
      </c>
      <c r="CF11" t="inlineStr">
        <is>
          <t xml:space="preserve"> </t>
        </is>
      </c>
      <c r="CG11" t="inlineStr">
        <is>
          <t xml:space="preserve"> </t>
        </is>
      </c>
      <c r="CH11" t="inlineStr">
        <is>
          <t xml:space="preserve"> </t>
        </is>
      </c>
      <c r="CI11" t="inlineStr">
        <is>
          <t xml:space="preserve"> </t>
        </is>
      </c>
      <c r="CJ11" t="inlineStr">
        <is>
          <t xml:space="preserve"> </t>
        </is>
      </c>
      <c r="CK11" t="inlineStr">
        <is>
          <t xml:space="preserve"> </t>
        </is>
      </c>
      <c r="CL11" t="inlineStr">
        <is>
          <t xml:space="preserve"> </t>
        </is>
      </c>
      <c r="CM11" t="inlineStr">
        <is>
          <t xml:space="preserve"> </t>
        </is>
      </c>
      <c r="CN11" t="inlineStr">
        <is>
          <t xml:space="preserve"> </t>
        </is>
      </c>
      <c r="CO11" t="inlineStr">
        <is>
          <t xml:space="preserve"> </t>
        </is>
      </c>
      <c r="CP11" t="inlineStr">
        <is>
          <t xml:space="preserve"> </t>
        </is>
      </c>
      <c r="CQ11" t="inlineStr">
        <is>
          <t xml:space="preserve"> </t>
        </is>
      </c>
      <c r="CR11" t="inlineStr">
        <is>
          <t xml:space="preserve"> </t>
        </is>
      </c>
      <c r="CS11" t="inlineStr">
        <is>
          <t xml:space="preserve"> </t>
        </is>
      </c>
      <c r="CT11" t="inlineStr">
        <is>
          <t xml:space="preserve"> </t>
        </is>
      </c>
      <c r="CU11" t="inlineStr">
        <is>
          <t xml:space="preserve"> </t>
        </is>
      </c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</row>
    <row r="12">
      <c r="B12" s="11" t="n">
        <v>7</v>
      </c>
      <c r="C12" s="18" t="inlineStr">
        <is>
          <t>Tubo 13mm 1/2"</t>
        </is>
      </c>
      <c r="D12" s="18" t="inlineStr">
        <is>
          <t>M05-0370</t>
        </is>
      </c>
      <c r="F12" t="n">
        <v>50</v>
      </c>
      <c r="G12" t="n">
        <v>50</v>
      </c>
      <c r="H12" t="n">
        <v>50</v>
      </c>
      <c r="I12" t="n">
        <v>40</v>
      </c>
      <c r="J12" t="n">
        <v>40</v>
      </c>
      <c r="K12" t="n">
        <v>40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45</v>
      </c>
      <c r="R12" t="n">
        <v>45</v>
      </c>
      <c r="S12" t="n">
        <v>50</v>
      </c>
      <c r="T12" t="n">
        <v>50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45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0</v>
      </c>
      <c r="AM12" t="n">
        <v>40</v>
      </c>
      <c r="AN12" t="n">
        <v>40</v>
      </c>
      <c r="AO12" t="n">
        <v>45</v>
      </c>
      <c r="AP12" t="n">
        <v>50</v>
      </c>
      <c r="AQ12" t="n">
        <v>45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 xml:space="preserve"> </t>
        </is>
      </c>
      <c r="BP12" t="inlineStr">
        <is>
          <t xml:space="preserve"> </t>
        </is>
      </c>
      <c r="BQ12" t="inlineStr">
        <is>
          <t xml:space="preserve"> </t>
        </is>
      </c>
      <c r="BR12" t="inlineStr">
        <is>
          <t xml:space="preserve"> </t>
        </is>
      </c>
      <c r="BS12" t="inlineStr">
        <is>
          <t xml:space="preserve"> </t>
        </is>
      </c>
      <c r="BT12" t="inlineStr">
        <is>
          <t xml:space="preserve"> </t>
        </is>
      </c>
      <c r="BU12" t="inlineStr">
        <is>
          <t xml:space="preserve"> </t>
        </is>
      </c>
      <c r="BV12" t="inlineStr">
        <is>
          <t xml:space="preserve"> </t>
        </is>
      </c>
      <c r="BW12" t="inlineStr">
        <is>
          <t xml:space="preserve"> </t>
        </is>
      </c>
      <c r="BX12" t="inlineStr">
        <is>
          <t xml:space="preserve"> </t>
        </is>
      </c>
      <c r="BY12" t="inlineStr">
        <is>
          <t xml:space="preserve"> </t>
        </is>
      </c>
      <c r="BZ12" t="inlineStr">
        <is>
          <t xml:space="preserve"> </t>
        </is>
      </c>
      <c r="CA12" t="inlineStr">
        <is>
          <t xml:space="preserve"> </t>
        </is>
      </c>
      <c r="CB12" t="inlineStr">
        <is>
          <t xml:space="preserve"> </t>
        </is>
      </c>
      <c r="CC12" t="inlineStr">
        <is>
          <t xml:space="preserve"> </t>
        </is>
      </c>
      <c r="CD12" t="inlineStr">
        <is>
          <t xml:space="preserve"> </t>
        </is>
      </c>
      <c r="CE12" t="inlineStr">
        <is>
          <t xml:space="preserve"> </t>
        </is>
      </c>
      <c r="CF12" t="inlineStr">
        <is>
          <t xml:space="preserve"> </t>
        </is>
      </c>
      <c r="CG12" t="inlineStr">
        <is>
          <t xml:space="preserve"> </t>
        </is>
      </c>
      <c r="CH12" t="inlineStr">
        <is>
          <t xml:space="preserve"> </t>
        </is>
      </c>
      <c r="CI12" t="inlineStr">
        <is>
          <t xml:space="preserve"> </t>
        </is>
      </c>
      <c r="CJ12" t="inlineStr">
        <is>
          <t xml:space="preserve"> </t>
        </is>
      </c>
      <c r="CK12" t="inlineStr">
        <is>
          <t xml:space="preserve"> </t>
        </is>
      </c>
      <c r="CL12" t="inlineStr">
        <is>
          <t xml:space="preserve"> </t>
        </is>
      </c>
      <c r="CM12" t="inlineStr">
        <is>
          <t xml:space="preserve"> </t>
        </is>
      </c>
      <c r="CN12" t="inlineStr">
        <is>
          <t xml:space="preserve"> </t>
        </is>
      </c>
      <c r="CO12" t="inlineStr">
        <is>
          <t xml:space="preserve"> </t>
        </is>
      </c>
      <c r="CP12" t="inlineStr">
        <is>
          <t xml:space="preserve"> </t>
        </is>
      </c>
      <c r="CQ12" t="inlineStr">
        <is>
          <t xml:space="preserve"> </t>
        </is>
      </c>
      <c r="CR12" t="inlineStr">
        <is>
          <t xml:space="preserve"> </t>
        </is>
      </c>
      <c r="CS12" t="inlineStr">
        <is>
          <t xml:space="preserve"> </t>
        </is>
      </c>
      <c r="CT12" t="inlineStr">
        <is>
          <t xml:space="preserve"> </t>
        </is>
      </c>
      <c r="CU12" t="inlineStr">
        <is>
          <t xml:space="preserve"> </t>
        </is>
      </c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</row>
    <row r="13">
      <c r="B13" s="11" t="n">
        <v>8</v>
      </c>
      <c r="C13" s="18" t="inlineStr">
        <is>
          <t>Tubo 19mm 3/4"</t>
        </is>
      </c>
      <c r="D13" s="18" t="inlineStr">
        <is>
          <t>M05-0371</t>
        </is>
      </c>
      <c r="F13" t="n">
        <v>25</v>
      </c>
      <c r="G13" t="n">
        <v>25</v>
      </c>
      <c r="H13" t="n">
        <v>25</v>
      </c>
      <c r="I13" t="n">
        <v>21</v>
      </c>
      <c r="J13" t="n">
        <v>21</v>
      </c>
      <c r="K13" t="n">
        <v>21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17</v>
      </c>
      <c r="R13" t="n">
        <v>17</v>
      </c>
      <c r="S13" t="n">
        <v>20</v>
      </c>
      <c r="T13" t="n">
        <v>20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0</v>
      </c>
      <c r="AM13" t="n">
        <v>22</v>
      </c>
      <c r="AN13" t="n">
        <v>22</v>
      </c>
      <c r="AO13" t="n">
        <v>25</v>
      </c>
      <c r="AP13" t="n">
        <v>17</v>
      </c>
      <c r="AQ13" t="n">
        <v>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 xml:space="preserve"> </t>
        </is>
      </c>
      <c r="BP13" t="inlineStr">
        <is>
          <t xml:space="preserve"> </t>
        </is>
      </c>
      <c r="BQ13" t="inlineStr">
        <is>
          <t xml:space="preserve"> </t>
        </is>
      </c>
      <c r="BR13" t="inlineStr">
        <is>
          <t xml:space="preserve"> </t>
        </is>
      </c>
      <c r="BS13" t="inlineStr">
        <is>
          <t xml:space="preserve"> </t>
        </is>
      </c>
      <c r="BT13" t="inlineStr">
        <is>
          <t xml:space="preserve"> </t>
        </is>
      </c>
      <c r="BU13" t="inlineStr">
        <is>
          <t xml:space="preserve"> </t>
        </is>
      </c>
      <c r="BV13" t="inlineStr">
        <is>
          <t xml:space="preserve"> </t>
        </is>
      </c>
      <c r="BW13" t="inlineStr">
        <is>
          <t xml:space="preserve"> </t>
        </is>
      </c>
      <c r="BX13" t="inlineStr">
        <is>
          <t xml:space="preserve"> </t>
        </is>
      </c>
      <c r="BY13" t="inlineStr">
        <is>
          <t xml:space="preserve"> </t>
        </is>
      </c>
      <c r="BZ13" t="inlineStr">
        <is>
          <t xml:space="preserve"> </t>
        </is>
      </c>
      <c r="CA13" t="inlineStr">
        <is>
          <t xml:space="preserve"> </t>
        </is>
      </c>
      <c r="CB13" t="inlineStr">
        <is>
          <t xml:space="preserve"> </t>
        </is>
      </c>
      <c r="CC13" t="inlineStr">
        <is>
          <t xml:space="preserve"> </t>
        </is>
      </c>
      <c r="CD13" t="inlineStr">
        <is>
          <t xml:space="preserve"> </t>
        </is>
      </c>
      <c r="CE13" t="inlineStr">
        <is>
          <t xml:space="preserve"> </t>
        </is>
      </c>
      <c r="CF13" t="inlineStr">
        <is>
          <t xml:space="preserve"> </t>
        </is>
      </c>
      <c r="CG13" t="inlineStr">
        <is>
          <t xml:space="preserve"> </t>
        </is>
      </c>
      <c r="CH13" t="inlineStr">
        <is>
          <t xml:space="preserve"> </t>
        </is>
      </c>
      <c r="CI13" t="inlineStr">
        <is>
          <t xml:space="preserve"> </t>
        </is>
      </c>
      <c r="CJ13" t="inlineStr">
        <is>
          <t xml:space="preserve"> </t>
        </is>
      </c>
      <c r="CK13" t="inlineStr">
        <is>
          <t xml:space="preserve"> </t>
        </is>
      </c>
      <c r="CL13" t="inlineStr">
        <is>
          <t xml:space="preserve"> </t>
        </is>
      </c>
      <c r="CM13" t="inlineStr">
        <is>
          <t xml:space="preserve"> </t>
        </is>
      </c>
      <c r="CN13" t="inlineStr">
        <is>
          <t xml:space="preserve"> </t>
        </is>
      </c>
      <c r="CO13" t="inlineStr">
        <is>
          <t xml:space="preserve"> </t>
        </is>
      </c>
      <c r="CP13" t="inlineStr">
        <is>
          <t xml:space="preserve"> </t>
        </is>
      </c>
      <c r="CQ13" t="inlineStr">
        <is>
          <t xml:space="preserve"> </t>
        </is>
      </c>
      <c r="CR13" t="inlineStr">
        <is>
          <t xml:space="preserve"> </t>
        </is>
      </c>
      <c r="CS13" t="inlineStr">
        <is>
          <t xml:space="preserve"> </t>
        </is>
      </c>
      <c r="CT13" t="inlineStr">
        <is>
          <t xml:space="preserve"> </t>
        </is>
      </c>
      <c r="CU13" t="inlineStr">
        <is>
          <t xml:space="preserve"> </t>
        </is>
      </c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</row>
    <row r="14">
      <c r="B14" s="11" t="n">
        <v>9</v>
      </c>
      <c r="C14" s="18" t="inlineStr">
        <is>
          <t>Union 38mm 1 1/2"</t>
        </is>
      </c>
      <c r="D14" s="18" t="inlineStr">
        <is>
          <t>M05-0372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 xml:space="preserve"> </t>
        </is>
      </c>
      <c r="BP14" t="inlineStr">
        <is>
          <t xml:space="preserve"> </t>
        </is>
      </c>
      <c r="BQ14" t="inlineStr">
        <is>
          <t xml:space="preserve"> </t>
        </is>
      </c>
      <c r="BR14" t="inlineStr">
        <is>
          <t xml:space="preserve"> </t>
        </is>
      </c>
      <c r="BS14" t="inlineStr">
        <is>
          <t xml:space="preserve"> </t>
        </is>
      </c>
      <c r="BT14" t="inlineStr">
        <is>
          <t xml:space="preserve"> </t>
        </is>
      </c>
      <c r="BU14" t="inlineStr">
        <is>
          <t xml:space="preserve"> </t>
        </is>
      </c>
      <c r="BV14" t="inlineStr">
        <is>
          <t xml:space="preserve"> </t>
        </is>
      </c>
      <c r="BW14" t="inlineStr">
        <is>
          <t xml:space="preserve"> </t>
        </is>
      </c>
      <c r="BX14" t="inlineStr">
        <is>
          <t xml:space="preserve"> </t>
        </is>
      </c>
      <c r="BY14" t="inlineStr">
        <is>
          <t xml:space="preserve"> </t>
        </is>
      </c>
      <c r="BZ14" t="inlineStr">
        <is>
          <t xml:space="preserve"> </t>
        </is>
      </c>
      <c r="CA14" t="inlineStr">
        <is>
          <t xml:space="preserve"> </t>
        </is>
      </c>
      <c r="CB14" t="inlineStr">
        <is>
          <t xml:space="preserve"> </t>
        </is>
      </c>
      <c r="CC14" t="inlineStr">
        <is>
          <t xml:space="preserve"> </t>
        </is>
      </c>
      <c r="CD14" t="inlineStr">
        <is>
          <t xml:space="preserve"> </t>
        </is>
      </c>
      <c r="CE14" t="inlineStr">
        <is>
          <t xml:space="preserve"> </t>
        </is>
      </c>
      <c r="CF14" t="inlineStr">
        <is>
          <t xml:space="preserve"> </t>
        </is>
      </c>
      <c r="CG14" t="inlineStr">
        <is>
          <t xml:space="preserve"> </t>
        </is>
      </c>
      <c r="CH14" t="inlineStr">
        <is>
          <t xml:space="preserve"> </t>
        </is>
      </c>
      <c r="CI14" t="inlineStr">
        <is>
          <t xml:space="preserve"> </t>
        </is>
      </c>
      <c r="CJ14" t="inlineStr">
        <is>
          <t xml:space="preserve"> </t>
        </is>
      </c>
      <c r="CK14" t="inlineStr">
        <is>
          <t xml:space="preserve"> </t>
        </is>
      </c>
      <c r="CL14" t="inlineStr">
        <is>
          <t xml:space="preserve"> </t>
        </is>
      </c>
      <c r="CM14" t="inlineStr">
        <is>
          <t xml:space="preserve"> </t>
        </is>
      </c>
      <c r="CN14" t="inlineStr">
        <is>
          <t xml:space="preserve"> </t>
        </is>
      </c>
      <c r="CO14" t="inlineStr">
        <is>
          <t xml:space="preserve"> </t>
        </is>
      </c>
      <c r="CP14" t="inlineStr">
        <is>
          <t xml:space="preserve"> </t>
        </is>
      </c>
      <c r="CQ14" t="inlineStr">
        <is>
          <t xml:space="preserve"> </t>
        </is>
      </c>
      <c r="CR14" t="inlineStr">
        <is>
          <t xml:space="preserve"> </t>
        </is>
      </c>
      <c r="CS14" t="inlineStr">
        <is>
          <t xml:space="preserve"> </t>
        </is>
      </c>
      <c r="CT14" t="inlineStr">
        <is>
          <t xml:space="preserve"> </t>
        </is>
      </c>
      <c r="CU14" t="inlineStr">
        <is>
          <t xml:space="preserve"> </t>
        </is>
      </c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</row>
    <row r="15">
      <c r="B15" s="11" t="n">
        <v>10</v>
      </c>
      <c r="C15" s="18" t="inlineStr">
        <is>
          <t>Union 25mm 1"</t>
        </is>
      </c>
      <c r="D15" s="18" t="inlineStr">
        <is>
          <t>M05-0373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 xml:space="preserve"> </t>
        </is>
      </c>
      <c r="BP15" t="inlineStr">
        <is>
          <t xml:space="preserve"> </t>
        </is>
      </c>
      <c r="BQ15" t="inlineStr">
        <is>
          <t xml:space="preserve"> </t>
        </is>
      </c>
      <c r="BR15" t="inlineStr">
        <is>
          <t xml:space="preserve"> </t>
        </is>
      </c>
      <c r="BS15" t="inlineStr">
        <is>
          <t xml:space="preserve"> </t>
        </is>
      </c>
      <c r="BT15" t="inlineStr">
        <is>
          <t xml:space="preserve"> </t>
        </is>
      </c>
      <c r="BU15" t="inlineStr">
        <is>
          <t xml:space="preserve"> </t>
        </is>
      </c>
      <c r="BV15" t="inlineStr">
        <is>
          <t xml:space="preserve"> </t>
        </is>
      </c>
      <c r="BW15" t="inlineStr">
        <is>
          <t xml:space="preserve"> </t>
        </is>
      </c>
      <c r="BX15" t="inlineStr">
        <is>
          <t xml:space="preserve"> </t>
        </is>
      </c>
      <c r="BY15" t="inlineStr">
        <is>
          <t xml:space="preserve"> </t>
        </is>
      </c>
      <c r="BZ15" t="inlineStr">
        <is>
          <t xml:space="preserve"> </t>
        </is>
      </c>
      <c r="CA15" t="inlineStr">
        <is>
          <t xml:space="preserve"> </t>
        </is>
      </c>
      <c r="CB15" t="inlineStr">
        <is>
          <t xml:space="preserve"> </t>
        </is>
      </c>
      <c r="CC15" t="inlineStr">
        <is>
          <t xml:space="preserve"> </t>
        </is>
      </c>
      <c r="CD15" t="inlineStr">
        <is>
          <t xml:space="preserve"> </t>
        </is>
      </c>
      <c r="CE15" t="inlineStr">
        <is>
          <t xml:space="preserve"> </t>
        </is>
      </c>
      <c r="CF15" t="inlineStr">
        <is>
          <t xml:space="preserve"> </t>
        </is>
      </c>
      <c r="CG15" t="inlineStr">
        <is>
          <t xml:space="preserve"> </t>
        </is>
      </c>
      <c r="CH15" t="inlineStr">
        <is>
          <t xml:space="preserve"> </t>
        </is>
      </c>
      <c r="CI15" t="inlineStr">
        <is>
          <t xml:space="preserve"> </t>
        </is>
      </c>
      <c r="CJ15" t="inlineStr">
        <is>
          <t xml:space="preserve"> </t>
        </is>
      </c>
      <c r="CK15" t="inlineStr">
        <is>
          <t xml:space="preserve"> </t>
        </is>
      </c>
      <c r="CL15" t="inlineStr">
        <is>
          <t xml:space="preserve"> </t>
        </is>
      </c>
      <c r="CM15" t="inlineStr">
        <is>
          <t xml:space="preserve"> </t>
        </is>
      </c>
      <c r="CN15" t="inlineStr">
        <is>
          <t xml:space="preserve"> </t>
        </is>
      </c>
      <c r="CO15" t="inlineStr">
        <is>
          <t xml:space="preserve"> </t>
        </is>
      </c>
      <c r="CP15" t="inlineStr">
        <is>
          <t xml:space="preserve"> </t>
        </is>
      </c>
      <c r="CQ15" t="inlineStr">
        <is>
          <t xml:space="preserve"> </t>
        </is>
      </c>
      <c r="CR15" t="inlineStr">
        <is>
          <t xml:space="preserve"> </t>
        </is>
      </c>
      <c r="CS15" t="inlineStr">
        <is>
          <t xml:space="preserve"> </t>
        </is>
      </c>
      <c r="CT15" t="inlineStr">
        <is>
          <t xml:space="preserve"> </t>
        </is>
      </c>
      <c r="CU15" t="inlineStr">
        <is>
          <t xml:space="preserve"> </t>
        </is>
      </c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</row>
    <row r="16">
      <c r="B16" s="11" t="n">
        <v>11</v>
      </c>
      <c r="C16" s="18" t="inlineStr">
        <is>
          <t>Union 13mm 1/2"</t>
        </is>
      </c>
      <c r="D16" s="18" t="inlineStr">
        <is>
          <t>M05-0374</t>
        </is>
      </c>
      <c r="F16" t="n">
        <v>20</v>
      </c>
      <c r="G16" t="n">
        <v>20</v>
      </c>
      <c r="H16" t="n">
        <v>20</v>
      </c>
      <c r="I16" t="n">
        <v>15</v>
      </c>
      <c r="J16" t="n">
        <v>15</v>
      </c>
      <c r="K16" t="n">
        <v>15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18</v>
      </c>
      <c r="AP16" t="n">
        <v>10</v>
      </c>
      <c r="AQ16" t="n">
        <v>18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 xml:space="preserve"> </t>
        </is>
      </c>
      <c r="BP16" t="inlineStr">
        <is>
          <t xml:space="preserve"> </t>
        </is>
      </c>
      <c r="BQ16" t="inlineStr">
        <is>
          <t xml:space="preserve"> </t>
        </is>
      </c>
      <c r="BR16" t="inlineStr">
        <is>
          <t xml:space="preserve"> </t>
        </is>
      </c>
      <c r="BS16" t="inlineStr">
        <is>
          <t xml:space="preserve"> </t>
        </is>
      </c>
      <c r="BT16" t="inlineStr">
        <is>
          <t xml:space="preserve"> </t>
        </is>
      </c>
      <c r="BU16" t="inlineStr">
        <is>
          <t xml:space="preserve"> </t>
        </is>
      </c>
      <c r="BV16" t="inlineStr">
        <is>
          <t xml:space="preserve"> </t>
        </is>
      </c>
      <c r="BW16" t="inlineStr">
        <is>
          <t xml:space="preserve"> </t>
        </is>
      </c>
      <c r="BX16" t="inlineStr">
        <is>
          <t xml:space="preserve"> </t>
        </is>
      </c>
      <c r="BY16" t="inlineStr">
        <is>
          <t xml:space="preserve"> </t>
        </is>
      </c>
      <c r="BZ16" t="inlineStr">
        <is>
          <t xml:space="preserve"> </t>
        </is>
      </c>
      <c r="CA16" t="inlineStr">
        <is>
          <t xml:space="preserve"> </t>
        </is>
      </c>
      <c r="CB16" t="inlineStr">
        <is>
          <t xml:space="preserve"> </t>
        </is>
      </c>
      <c r="CC16" t="inlineStr">
        <is>
          <t xml:space="preserve"> </t>
        </is>
      </c>
      <c r="CD16" t="inlineStr">
        <is>
          <t xml:space="preserve"> </t>
        </is>
      </c>
      <c r="CE16" t="inlineStr">
        <is>
          <t xml:space="preserve"> </t>
        </is>
      </c>
      <c r="CF16" t="inlineStr">
        <is>
          <t xml:space="preserve"> </t>
        </is>
      </c>
      <c r="CG16" t="inlineStr">
        <is>
          <t xml:space="preserve"> </t>
        </is>
      </c>
      <c r="CH16" t="inlineStr">
        <is>
          <t xml:space="preserve"> </t>
        </is>
      </c>
      <c r="CI16" t="inlineStr">
        <is>
          <t xml:space="preserve"> </t>
        </is>
      </c>
      <c r="CJ16" t="inlineStr">
        <is>
          <t xml:space="preserve"> </t>
        </is>
      </c>
      <c r="CK16" t="inlineStr">
        <is>
          <t xml:space="preserve"> </t>
        </is>
      </c>
      <c r="CL16" t="inlineStr">
        <is>
          <t xml:space="preserve"> </t>
        </is>
      </c>
      <c r="CM16" t="inlineStr">
        <is>
          <t xml:space="preserve"> </t>
        </is>
      </c>
      <c r="CN16" t="inlineStr">
        <is>
          <t xml:space="preserve"> </t>
        </is>
      </c>
      <c r="CO16" t="inlineStr">
        <is>
          <t xml:space="preserve"> </t>
        </is>
      </c>
      <c r="CP16" t="inlineStr">
        <is>
          <t xml:space="preserve"> </t>
        </is>
      </c>
      <c r="CQ16" t="inlineStr">
        <is>
          <t xml:space="preserve"> </t>
        </is>
      </c>
      <c r="CR16" t="inlineStr">
        <is>
          <t xml:space="preserve"> </t>
        </is>
      </c>
      <c r="CS16" t="inlineStr">
        <is>
          <t xml:space="preserve"> </t>
        </is>
      </c>
      <c r="CT16" t="inlineStr">
        <is>
          <t xml:space="preserve"> </t>
        </is>
      </c>
      <c r="CU16" t="inlineStr">
        <is>
          <t xml:space="preserve"> </t>
        </is>
      </c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</row>
    <row r="17">
      <c r="B17" s="11" t="n">
        <v>12</v>
      </c>
      <c r="C17" s="18" t="inlineStr">
        <is>
          <t>Union 19mm 3/4"</t>
        </is>
      </c>
      <c r="D17" s="18" t="inlineStr">
        <is>
          <t>M05-0375</t>
        </is>
      </c>
      <c r="F17" t="n">
        <v>12</v>
      </c>
      <c r="G17" t="n">
        <v>12</v>
      </c>
      <c r="H17" t="n">
        <v>12</v>
      </c>
      <c r="I17" t="n">
        <v>8</v>
      </c>
      <c r="J17" t="n">
        <v>8</v>
      </c>
      <c r="K17" t="n">
        <v>8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  <c r="Z17" t="n">
        <v>15</v>
      </c>
      <c r="AA17" t="n">
        <v>15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15</v>
      </c>
      <c r="AP17" t="n">
        <v>7</v>
      </c>
      <c r="AQ17" t="n">
        <v>15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 xml:space="preserve"> </t>
        </is>
      </c>
      <c r="BP17" t="inlineStr">
        <is>
          <t xml:space="preserve"> </t>
        </is>
      </c>
      <c r="BQ17" t="inlineStr">
        <is>
          <t xml:space="preserve"> </t>
        </is>
      </c>
      <c r="BR17" t="inlineStr">
        <is>
          <t xml:space="preserve"> </t>
        </is>
      </c>
      <c r="BS17" t="inlineStr">
        <is>
          <t xml:space="preserve"> </t>
        </is>
      </c>
      <c r="BT17" t="inlineStr">
        <is>
          <t xml:space="preserve"> </t>
        </is>
      </c>
      <c r="BU17" t="inlineStr">
        <is>
          <t xml:space="preserve"> </t>
        </is>
      </c>
      <c r="BV17" t="inlineStr">
        <is>
          <t xml:space="preserve"> </t>
        </is>
      </c>
      <c r="BW17" t="inlineStr">
        <is>
          <t xml:space="preserve"> </t>
        </is>
      </c>
      <c r="BX17" t="inlineStr">
        <is>
          <t xml:space="preserve"> </t>
        </is>
      </c>
      <c r="BY17" t="inlineStr">
        <is>
          <t xml:space="preserve"> </t>
        </is>
      </c>
      <c r="BZ17" t="inlineStr">
        <is>
          <t xml:space="preserve"> </t>
        </is>
      </c>
      <c r="CA17" t="inlineStr">
        <is>
          <t xml:space="preserve"> </t>
        </is>
      </c>
      <c r="CB17" t="inlineStr">
        <is>
          <t xml:space="preserve"> </t>
        </is>
      </c>
      <c r="CC17" t="inlineStr">
        <is>
          <t xml:space="preserve"> </t>
        </is>
      </c>
      <c r="CD17" t="inlineStr">
        <is>
          <t xml:space="preserve"> </t>
        </is>
      </c>
      <c r="CE17" t="inlineStr">
        <is>
          <t xml:space="preserve"> </t>
        </is>
      </c>
      <c r="CF17" t="inlineStr">
        <is>
          <t xml:space="preserve"> </t>
        </is>
      </c>
      <c r="CG17" t="inlineStr">
        <is>
          <t xml:space="preserve"> </t>
        </is>
      </c>
      <c r="CH17" t="inlineStr">
        <is>
          <t xml:space="preserve"> </t>
        </is>
      </c>
      <c r="CI17" t="inlineStr">
        <is>
          <t xml:space="preserve"> </t>
        </is>
      </c>
      <c r="CJ17" t="inlineStr">
        <is>
          <t xml:space="preserve"> </t>
        </is>
      </c>
      <c r="CK17" t="inlineStr">
        <is>
          <t xml:space="preserve"> </t>
        </is>
      </c>
      <c r="CL17" t="inlineStr">
        <is>
          <t xml:space="preserve"> </t>
        </is>
      </c>
      <c r="CM17" t="inlineStr">
        <is>
          <t xml:space="preserve"> </t>
        </is>
      </c>
      <c r="CN17" t="inlineStr">
        <is>
          <t xml:space="preserve"> </t>
        </is>
      </c>
      <c r="CO17" t="inlineStr">
        <is>
          <t xml:space="preserve"> </t>
        </is>
      </c>
      <c r="CP17" t="inlineStr">
        <is>
          <t xml:space="preserve"> </t>
        </is>
      </c>
      <c r="CQ17" t="inlineStr">
        <is>
          <t xml:space="preserve"> </t>
        </is>
      </c>
      <c r="CR17" t="inlineStr">
        <is>
          <t xml:space="preserve"> </t>
        </is>
      </c>
      <c r="CS17" t="inlineStr">
        <is>
          <t xml:space="preserve"> </t>
        </is>
      </c>
      <c r="CT17" t="inlineStr">
        <is>
          <t xml:space="preserve"> </t>
        </is>
      </c>
      <c r="CU17" t="inlineStr">
        <is>
          <t xml:space="preserve"> </t>
        </is>
      </c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</row>
    <row r="18">
      <c r="B18" s="11" t="n">
        <v>13</v>
      </c>
      <c r="C18" s="18" t="inlineStr">
        <is>
          <t>Conector de 1/2" UL</t>
        </is>
      </c>
      <c r="D18" s="18" t="inlineStr">
        <is>
          <t>M05-0476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 xml:space="preserve"> </t>
        </is>
      </c>
      <c r="BP18" t="inlineStr">
        <is>
          <t xml:space="preserve"> </t>
        </is>
      </c>
      <c r="BQ18" t="inlineStr">
        <is>
          <t xml:space="preserve"> </t>
        </is>
      </c>
      <c r="BR18" t="inlineStr">
        <is>
          <t xml:space="preserve"> </t>
        </is>
      </c>
      <c r="BS18" t="inlineStr">
        <is>
          <t xml:space="preserve"> </t>
        </is>
      </c>
      <c r="BT18" t="inlineStr">
        <is>
          <t xml:space="preserve"> </t>
        </is>
      </c>
      <c r="BU18" t="inlineStr">
        <is>
          <t xml:space="preserve"> </t>
        </is>
      </c>
      <c r="BV18" t="inlineStr">
        <is>
          <t xml:space="preserve"> </t>
        </is>
      </c>
      <c r="BW18" t="inlineStr">
        <is>
          <t xml:space="preserve"> </t>
        </is>
      </c>
      <c r="BX18" t="inlineStr">
        <is>
          <t xml:space="preserve"> </t>
        </is>
      </c>
      <c r="BY18" t="inlineStr">
        <is>
          <t xml:space="preserve"> </t>
        </is>
      </c>
      <c r="BZ18" t="inlineStr">
        <is>
          <t xml:space="preserve"> </t>
        </is>
      </c>
      <c r="CA18" t="inlineStr">
        <is>
          <t xml:space="preserve"> </t>
        </is>
      </c>
      <c r="CB18" t="inlineStr">
        <is>
          <t xml:space="preserve"> </t>
        </is>
      </c>
      <c r="CC18" t="inlineStr">
        <is>
          <t xml:space="preserve"> </t>
        </is>
      </c>
      <c r="CD18" t="inlineStr">
        <is>
          <t xml:space="preserve"> </t>
        </is>
      </c>
      <c r="CE18" t="inlineStr">
        <is>
          <t xml:space="preserve"> </t>
        </is>
      </c>
      <c r="CF18" t="inlineStr">
        <is>
          <t xml:space="preserve"> </t>
        </is>
      </c>
      <c r="CG18" t="inlineStr">
        <is>
          <t xml:space="preserve"> </t>
        </is>
      </c>
      <c r="CH18" t="inlineStr">
        <is>
          <t xml:space="preserve"> </t>
        </is>
      </c>
      <c r="CI18" t="inlineStr">
        <is>
          <t xml:space="preserve"> </t>
        </is>
      </c>
      <c r="CJ18" t="inlineStr">
        <is>
          <t xml:space="preserve"> </t>
        </is>
      </c>
      <c r="CK18" t="inlineStr">
        <is>
          <t xml:space="preserve"> </t>
        </is>
      </c>
      <c r="CL18" t="inlineStr">
        <is>
          <t xml:space="preserve"> </t>
        </is>
      </c>
      <c r="CM18" t="inlineStr">
        <is>
          <t xml:space="preserve"> </t>
        </is>
      </c>
      <c r="CN18" t="inlineStr">
        <is>
          <t xml:space="preserve"> </t>
        </is>
      </c>
      <c r="CO18" t="inlineStr">
        <is>
          <t xml:space="preserve"> </t>
        </is>
      </c>
      <c r="CP18" t="inlineStr">
        <is>
          <t xml:space="preserve"> </t>
        </is>
      </c>
      <c r="CQ18" t="inlineStr">
        <is>
          <t xml:space="preserve"> </t>
        </is>
      </c>
      <c r="CR18" t="inlineStr">
        <is>
          <t xml:space="preserve"> </t>
        </is>
      </c>
      <c r="CS18" t="inlineStr">
        <is>
          <t xml:space="preserve"> </t>
        </is>
      </c>
      <c r="CT18" t="inlineStr">
        <is>
          <t xml:space="preserve"> </t>
        </is>
      </c>
      <c r="CU18" t="inlineStr">
        <is>
          <t xml:space="preserve"> </t>
        </is>
      </c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</row>
    <row r="19">
      <c r="B19" s="11" t="n">
        <v>14</v>
      </c>
      <c r="C19" s="18" t="inlineStr">
        <is>
          <t>Spray</t>
        </is>
      </c>
      <c r="D19" s="18" t="inlineStr">
        <is>
          <t>M11-0067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 xml:space="preserve"> </t>
        </is>
      </c>
      <c r="BP19" t="inlineStr">
        <is>
          <t xml:space="preserve"> </t>
        </is>
      </c>
      <c r="BQ19" t="inlineStr">
        <is>
          <t xml:space="preserve"> </t>
        </is>
      </c>
      <c r="BR19" t="inlineStr">
        <is>
          <t xml:space="preserve"> </t>
        </is>
      </c>
      <c r="BS19" t="inlineStr">
        <is>
          <t xml:space="preserve"> </t>
        </is>
      </c>
      <c r="BT19" t="inlineStr">
        <is>
          <t xml:space="preserve"> </t>
        </is>
      </c>
      <c r="BU19" t="inlineStr">
        <is>
          <t xml:space="preserve"> </t>
        </is>
      </c>
      <c r="BV19" t="inlineStr">
        <is>
          <t xml:space="preserve"> </t>
        </is>
      </c>
      <c r="BW19" t="inlineStr">
        <is>
          <t xml:space="preserve"> </t>
        </is>
      </c>
      <c r="BX19" t="inlineStr">
        <is>
          <t xml:space="preserve"> </t>
        </is>
      </c>
      <c r="BY19" t="inlineStr">
        <is>
          <t xml:space="preserve"> </t>
        </is>
      </c>
      <c r="BZ19" t="inlineStr">
        <is>
          <t xml:space="preserve"> </t>
        </is>
      </c>
      <c r="CA19" t="inlineStr">
        <is>
          <t xml:space="preserve"> </t>
        </is>
      </c>
      <c r="CB19" t="inlineStr">
        <is>
          <t xml:space="preserve"> </t>
        </is>
      </c>
      <c r="CC19" t="inlineStr">
        <is>
          <t xml:space="preserve"> </t>
        </is>
      </c>
      <c r="CD19" t="inlineStr">
        <is>
          <t xml:space="preserve"> </t>
        </is>
      </c>
      <c r="CE19" t="inlineStr">
        <is>
          <t xml:space="preserve"> </t>
        </is>
      </c>
      <c r="CF19" t="inlineStr">
        <is>
          <t xml:space="preserve"> </t>
        </is>
      </c>
      <c r="CG19" t="inlineStr">
        <is>
          <t xml:space="preserve"> </t>
        </is>
      </c>
      <c r="CH19" t="inlineStr">
        <is>
          <t xml:space="preserve"> </t>
        </is>
      </c>
      <c r="CI19" t="inlineStr">
        <is>
          <t xml:space="preserve"> </t>
        </is>
      </c>
      <c r="CJ19" t="inlineStr">
        <is>
          <t xml:space="preserve"> </t>
        </is>
      </c>
      <c r="CK19" t="inlineStr">
        <is>
          <t xml:space="preserve"> </t>
        </is>
      </c>
      <c r="CL19" t="inlineStr">
        <is>
          <t xml:space="preserve"> </t>
        </is>
      </c>
      <c r="CM19" t="inlineStr">
        <is>
          <t xml:space="preserve"> </t>
        </is>
      </c>
      <c r="CN19" t="inlineStr">
        <is>
          <t xml:space="preserve"> </t>
        </is>
      </c>
      <c r="CO19" t="inlineStr">
        <is>
          <t xml:space="preserve"> </t>
        </is>
      </c>
      <c r="CP19" t="inlineStr">
        <is>
          <t xml:space="preserve"> </t>
        </is>
      </c>
      <c r="CQ19" t="inlineStr">
        <is>
          <t xml:space="preserve"> </t>
        </is>
      </c>
      <c r="CR19" t="inlineStr">
        <is>
          <t xml:space="preserve"> </t>
        </is>
      </c>
      <c r="CS19" t="inlineStr">
        <is>
          <t xml:space="preserve"> </t>
        </is>
      </c>
      <c r="CT19" t="inlineStr">
        <is>
          <t xml:space="preserve"> </t>
        </is>
      </c>
      <c r="CU19" t="inlineStr">
        <is>
          <t xml:space="preserve"> </t>
        </is>
      </c>
      <c r="CV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CY19" t="inlineStr">
        <is>
          <t xml:space="preserve"> </t>
        </is>
      </c>
      <c r="CZ19" t="inlineStr">
        <is>
          <t xml:space="preserve"> </t>
        </is>
      </c>
      <c r="DA19" t="inlineStr">
        <is>
          <t xml:space="preserve"> </t>
        </is>
      </c>
    </row>
    <row r="20">
      <c r="B20" s="11" t="n">
        <v>15</v>
      </c>
      <c r="C20" s="18" t="inlineStr">
        <is>
          <t>Cinta empaque</t>
        </is>
      </c>
      <c r="D20" s="18" t="inlineStr">
        <is>
          <t>M06-0175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 xml:space="preserve"> </t>
        </is>
      </c>
      <c r="BP20" t="inlineStr">
        <is>
          <t xml:space="preserve"> </t>
        </is>
      </c>
      <c r="BQ20" t="inlineStr">
        <is>
          <t xml:space="preserve"> </t>
        </is>
      </c>
      <c r="BR20" t="inlineStr">
        <is>
          <t xml:space="preserve"> </t>
        </is>
      </c>
      <c r="BS20" t="inlineStr">
        <is>
          <t xml:space="preserve"> </t>
        </is>
      </c>
      <c r="BT20" t="inlineStr">
        <is>
          <t xml:space="preserve"> </t>
        </is>
      </c>
      <c r="BU20" t="inlineStr">
        <is>
          <t xml:space="preserve"> </t>
        </is>
      </c>
      <c r="BV20" t="inlineStr">
        <is>
          <t xml:space="preserve"> </t>
        </is>
      </c>
      <c r="BW20" t="inlineStr">
        <is>
          <t xml:space="preserve"> </t>
        </is>
      </c>
      <c r="BX20" t="inlineStr">
        <is>
          <t xml:space="preserve"> </t>
        </is>
      </c>
      <c r="BY20" t="inlineStr">
        <is>
          <t xml:space="preserve"> </t>
        </is>
      </c>
      <c r="BZ20" t="inlineStr">
        <is>
          <t xml:space="preserve"> </t>
        </is>
      </c>
      <c r="CA20" t="inlineStr">
        <is>
          <t xml:space="preserve"> </t>
        </is>
      </c>
      <c r="CB20" t="inlineStr">
        <is>
          <t xml:space="preserve"> </t>
        </is>
      </c>
      <c r="CC20" t="inlineStr">
        <is>
          <t xml:space="preserve"> </t>
        </is>
      </c>
      <c r="CD20" t="inlineStr">
        <is>
          <t xml:space="preserve"> </t>
        </is>
      </c>
      <c r="CE20" t="inlineStr">
        <is>
          <t xml:space="preserve"> </t>
        </is>
      </c>
      <c r="CF20" t="inlineStr">
        <is>
          <t xml:space="preserve"> </t>
        </is>
      </c>
      <c r="CG20" t="inlineStr">
        <is>
          <t xml:space="preserve"> </t>
        </is>
      </c>
      <c r="CH20" t="inlineStr">
        <is>
          <t xml:space="preserve"> </t>
        </is>
      </c>
      <c r="CI20" t="inlineStr">
        <is>
          <t xml:space="preserve"> </t>
        </is>
      </c>
      <c r="CJ20" t="inlineStr">
        <is>
          <t xml:space="preserve"> </t>
        </is>
      </c>
      <c r="CK20" t="inlineStr">
        <is>
          <t xml:space="preserve"> </t>
        </is>
      </c>
      <c r="CL20" t="inlineStr">
        <is>
          <t xml:space="preserve"> </t>
        </is>
      </c>
      <c r="CM20" t="inlineStr">
        <is>
          <t xml:space="preserve"> </t>
        </is>
      </c>
      <c r="CN20" t="inlineStr">
        <is>
          <t xml:space="preserve"> </t>
        </is>
      </c>
      <c r="CO20" t="inlineStr">
        <is>
          <t xml:space="preserve"> </t>
        </is>
      </c>
      <c r="CP20" t="inlineStr">
        <is>
          <t xml:space="preserve"> </t>
        </is>
      </c>
      <c r="CQ20" t="inlineStr">
        <is>
          <t xml:space="preserve"> </t>
        </is>
      </c>
      <c r="CR20" t="inlineStr">
        <is>
          <t xml:space="preserve"> </t>
        </is>
      </c>
      <c r="CS20" t="inlineStr">
        <is>
          <t xml:space="preserve"> </t>
        </is>
      </c>
      <c r="CT20" t="inlineStr">
        <is>
          <t xml:space="preserve"> </t>
        </is>
      </c>
      <c r="CU20" t="inlineStr">
        <is>
          <t xml:space="preserve"> </t>
        </is>
      </c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</row>
    <row r="21">
      <c r="B21" s="11" t="n">
        <v>16</v>
      </c>
      <c r="C21" s="18" t="inlineStr">
        <is>
          <t>Pegamento</t>
        </is>
      </c>
      <c r="D21" s="18" t="inlineStr">
        <is>
          <t>M06-0013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 xml:space="preserve"> </t>
        </is>
      </c>
      <c r="BP21" t="inlineStr">
        <is>
          <t xml:space="preserve"> </t>
        </is>
      </c>
      <c r="BQ21" t="inlineStr">
        <is>
          <t xml:space="preserve"> </t>
        </is>
      </c>
      <c r="BR21" t="inlineStr">
        <is>
          <t xml:space="preserve"> </t>
        </is>
      </c>
      <c r="BS21" t="inlineStr">
        <is>
          <t xml:space="preserve"> </t>
        </is>
      </c>
      <c r="BT21" t="inlineStr">
        <is>
          <t xml:space="preserve"> </t>
        </is>
      </c>
      <c r="BU21" t="inlineStr">
        <is>
          <t xml:space="preserve"> </t>
        </is>
      </c>
      <c r="BV21" t="inlineStr">
        <is>
          <t xml:space="preserve"> </t>
        </is>
      </c>
      <c r="BW21" t="inlineStr">
        <is>
          <t xml:space="preserve"> </t>
        </is>
      </c>
      <c r="BX21" t="inlineStr">
        <is>
          <t xml:space="preserve"> </t>
        </is>
      </c>
      <c r="BY21" t="inlineStr">
        <is>
          <t xml:space="preserve"> </t>
        </is>
      </c>
      <c r="BZ21" t="inlineStr">
        <is>
          <t xml:space="preserve"> </t>
        </is>
      </c>
      <c r="CA21" t="inlineStr">
        <is>
          <t xml:space="preserve"> </t>
        </is>
      </c>
      <c r="CB21" t="inlineStr">
        <is>
          <t xml:space="preserve"> </t>
        </is>
      </c>
      <c r="CC21" t="inlineStr">
        <is>
          <t xml:space="preserve"> </t>
        </is>
      </c>
      <c r="CD21" t="inlineStr">
        <is>
          <t xml:space="preserve"> </t>
        </is>
      </c>
      <c r="CE21" t="inlineStr">
        <is>
          <t xml:space="preserve"> </t>
        </is>
      </c>
      <c r="CF21" t="inlineStr">
        <is>
          <t xml:space="preserve"> </t>
        </is>
      </c>
      <c r="CG21" t="inlineStr">
        <is>
          <t xml:space="preserve"> </t>
        </is>
      </c>
      <c r="CH21" t="inlineStr">
        <is>
          <t xml:space="preserve"> </t>
        </is>
      </c>
      <c r="CI21" t="inlineStr">
        <is>
          <t xml:space="preserve"> </t>
        </is>
      </c>
      <c r="CJ21" t="inlineStr">
        <is>
          <t xml:space="preserve"> </t>
        </is>
      </c>
      <c r="CK21" t="inlineStr">
        <is>
          <t xml:space="preserve"> </t>
        </is>
      </c>
      <c r="CL21" t="inlineStr">
        <is>
          <t xml:space="preserve"> </t>
        </is>
      </c>
      <c r="CM21" t="inlineStr">
        <is>
          <t xml:space="preserve"> </t>
        </is>
      </c>
      <c r="CN21" t="inlineStr">
        <is>
          <t xml:space="preserve"> </t>
        </is>
      </c>
      <c r="CO21" t="inlineStr">
        <is>
          <t xml:space="preserve"> </t>
        </is>
      </c>
      <c r="CP21" t="inlineStr">
        <is>
          <t xml:space="preserve"> </t>
        </is>
      </c>
      <c r="CQ21" t="inlineStr">
        <is>
          <t xml:space="preserve"> </t>
        </is>
      </c>
      <c r="CR21" t="inlineStr">
        <is>
          <t xml:space="preserve"> </t>
        </is>
      </c>
      <c r="CS21" t="inlineStr">
        <is>
          <t xml:space="preserve"> </t>
        </is>
      </c>
      <c r="CT21" t="inlineStr">
        <is>
          <t xml:space="preserve"> </t>
        </is>
      </c>
      <c r="CU21" t="inlineStr">
        <is>
          <t xml:space="preserve"> </t>
        </is>
      </c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</row>
    <row r="22">
      <c r="B22" s="11" t="n">
        <v>17</v>
      </c>
      <c r="C22" s="18" t="inlineStr">
        <is>
          <t>Cegueta</t>
        </is>
      </c>
      <c r="D22" s="18" t="inlineStr">
        <is>
          <t>M06-0210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 xml:space="preserve"> </t>
        </is>
      </c>
      <c r="BP22" t="inlineStr">
        <is>
          <t xml:space="preserve"> </t>
        </is>
      </c>
      <c r="BQ22" t="inlineStr">
        <is>
          <t xml:space="preserve"> </t>
        </is>
      </c>
      <c r="BR22" t="inlineStr">
        <is>
          <t xml:space="preserve"> </t>
        </is>
      </c>
      <c r="BS22" t="inlineStr">
        <is>
          <t xml:space="preserve"> </t>
        </is>
      </c>
      <c r="BT22" t="inlineStr">
        <is>
          <t xml:space="preserve"> </t>
        </is>
      </c>
      <c r="BU22" t="inlineStr">
        <is>
          <t xml:space="preserve"> </t>
        </is>
      </c>
      <c r="BV22" t="inlineStr">
        <is>
          <t xml:space="preserve"> </t>
        </is>
      </c>
      <c r="BW22" t="inlineStr">
        <is>
          <t xml:space="preserve"> </t>
        </is>
      </c>
      <c r="BX22" t="inlineStr">
        <is>
          <t xml:space="preserve"> </t>
        </is>
      </c>
      <c r="BY22" t="inlineStr">
        <is>
          <t xml:space="preserve"> </t>
        </is>
      </c>
      <c r="BZ22" t="inlineStr">
        <is>
          <t xml:space="preserve"> </t>
        </is>
      </c>
      <c r="CA22" t="inlineStr">
        <is>
          <t xml:space="preserve"> </t>
        </is>
      </c>
      <c r="CB22" t="inlineStr">
        <is>
          <t xml:space="preserve"> </t>
        </is>
      </c>
      <c r="CC22" t="inlineStr">
        <is>
          <t xml:space="preserve"> </t>
        </is>
      </c>
      <c r="CD22" t="inlineStr">
        <is>
          <t xml:space="preserve"> </t>
        </is>
      </c>
      <c r="CE22" t="inlineStr">
        <is>
          <t xml:space="preserve"> </t>
        </is>
      </c>
      <c r="CF22" t="inlineStr">
        <is>
          <t xml:space="preserve"> </t>
        </is>
      </c>
      <c r="CG22" t="inlineStr">
        <is>
          <t xml:space="preserve"> </t>
        </is>
      </c>
      <c r="CH22" t="inlineStr">
        <is>
          <t xml:space="preserve"> </t>
        </is>
      </c>
      <c r="CI22" t="inlineStr">
        <is>
          <t xml:space="preserve"> </t>
        </is>
      </c>
      <c r="CJ22" t="inlineStr">
        <is>
          <t xml:space="preserve"> </t>
        </is>
      </c>
      <c r="CK22" t="inlineStr">
        <is>
          <t xml:space="preserve"> </t>
        </is>
      </c>
      <c r="CL22" t="inlineStr">
        <is>
          <t xml:space="preserve"> </t>
        </is>
      </c>
      <c r="CM22" t="inlineStr">
        <is>
          <t xml:space="preserve"> </t>
        </is>
      </c>
      <c r="CN22" t="inlineStr">
        <is>
          <t xml:space="preserve"> </t>
        </is>
      </c>
      <c r="CO22" t="inlineStr">
        <is>
          <t xml:space="preserve"> </t>
        </is>
      </c>
      <c r="CP22" t="inlineStr">
        <is>
          <t xml:space="preserve"> </t>
        </is>
      </c>
      <c r="CQ22" t="inlineStr">
        <is>
          <t xml:space="preserve"> </t>
        </is>
      </c>
      <c r="CR22" t="inlineStr">
        <is>
          <t xml:space="preserve"> </t>
        </is>
      </c>
      <c r="CS22" t="inlineStr">
        <is>
          <t xml:space="preserve"> </t>
        </is>
      </c>
      <c r="CT22" t="inlineStr">
        <is>
          <t xml:space="preserve"> </t>
        </is>
      </c>
      <c r="CU22" t="inlineStr">
        <is>
          <t xml:space="preserve"> </t>
        </is>
      </c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</row>
    <row r="23">
      <c r="B23" s="11" t="n">
        <v>18</v>
      </c>
      <c r="C23" s="18" t="inlineStr">
        <is>
          <t>Lamina de estereofon</t>
        </is>
      </c>
      <c r="D23" s="18" t="inlineStr">
        <is>
          <t>M04-0003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  <c r="AL23" t="n">
        <v>0.5</v>
      </c>
      <c r="AM23" t="n">
        <v>0.5</v>
      </c>
      <c r="AN23" t="n">
        <v>0.5</v>
      </c>
      <c r="AO23" t="n">
        <v>0.5</v>
      </c>
      <c r="AP23" t="n">
        <v>0.5</v>
      </c>
      <c r="AQ23" t="n">
        <v>0.5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 xml:space="preserve"> </t>
        </is>
      </c>
      <c r="BP23" t="inlineStr">
        <is>
          <t xml:space="preserve"> </t>
        </is>
      </c>
      <c r="BQ23" t="inlineStr">
        <is>
          <t xml:space="preserve"> </t>
        </is>
      </c>
      <c r="BR23" t="inlineStr">
        <is>
          <t xml:space="preserve"> </t>
        </is>
      </c>
      <c r="BS23" t="inlineStr">
        <is>
          <t xml:space="preserve"> </t>
        </is>
      </c>
      <c r="BT23" t="inlineStr">
        <is>
          <t xml:space="preserve"> </t>
        </is>
      </c>
      <c r="BU23" t="inlineStr">
        <is>
          <t xml:space="preserve"> </t>
        </is>
      </c>
      <c r="BV23" t="inlineStr">
        <is>
          <t xml:space="preserve"> </t>
        </is>
      </c>
      <c r="BW23" t="inlineStr">
        <is>
          <t xml:space="preserve"> </t>
        </is>
      </c>
      <c r="BX23" t="inlineStr">
        <is>
          <t xml:space="preserve"> </t>
        </is>
      </c>
      <c r="BY23" t="inlineStr">
        <is>
          <t xml:space="preserve"> </t>
        </is>
      </c>
      <c r="BZ23" t="inlineStr">
        <is>
          <t xml:space="preserve"> </t>
        </is>
      </c>
      <c r="CA23" t="inlineStr">
        <is>
          <t xml:space="preserve"> </t>
        </is>
      </c>
      <c r="CB23" t="inlineStr">
        <is>
          <t xml:space="preserve"> </t>
        </is>
      </c>
      <c r="CC23" t="inlineStr">
        <is>
          <t xml:space="preserve"> </t>
        </is>
      </c>
      <c r="CD23" t="inlineStr">
        <is>
          <t xml:space="preserve"> </t>
        </is>
      </c>
      <c r="CE23" t="inlineStr">
        <is>
          <t xml:space="preserve"> </t>
        </is>
      </c>
      <c r="CF23" t="inlineStr">
        <is>
          <t xml:space="preserve"> </t>
        </is>
      </c>
      <c r="CG23" t="inlineStr">
        <is>
          <t xml:space="preserve"> </t>
        </is>
      </c>
      <c r="CH23" t="inlineStr">
        <is>
          <t xml:space="preserve"> </t>
        </is>
      </c>
      <c r="CI23" t="inlineStr">
        <is>
          <t xml:space="preserve"> </t>
        </is>
      </c>
      <c r="CJ23" t="inlineStr">
        <is>
          <t xml:space="preserve"> </t>
        </is>
      </c>
      <c r="CK23" t="inlineStr">
        <is>
          <t xml:space="preserve"> </t>
        </is>
      </c>
      <c r="CL23" t="inlineStr">
        <is>
          <t xml:space="preserve"> </t>
        </is>
      </c>
      <c r="CM23" t="inlineStr">
        <is>
          <t xml:space="preserve"> </t>
        </is>
      </c>
      <c r="CN23" t="inlineStr">
        <is>
          <t xml:space="preserve"> </t>
        </is>
      </c>
      <c r="CO23" t="inlineStr">
        <is>
          <t xml:space="preserve"> </t>
        </is>
      </c>
      <c r="CP23" t="inlineStr">
        <is>
          <t xml:space="preserve"> </t>
        </is>
      </c>
      <c r="CQ23" t="inlineStr">
        <is>
          <t xml:space="preserve"> </t>
        </is>
      </c>
      <c r="CR23" t="inlineStr">
        <is>
          <t xml:space="preserve"> </t>
        </is>
      </c>
      <c r="CS23" t="inlineStr">
        <is>
          <t xml:space="preserve"> </t>
        </is>
      </c>
      <c r="CT23" t="inlineStr">
        <is>
          <t xml:space="preserve"> </t>
        </is>
      </c>
      <c r="CU23" t="inlineStr">
        <is>
          <t xml:space="preserve"> </t>
        </is>
      </c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</row>
    <row r="24">
      <c r="B24" s="11" t="n">
        <v>19</v>
      </c>
      <c r="C24" s="18" t="inlineStr">
        <is>
          <t xml:space="preserve">Caja octagonal </t>
        </is>
      </c>
      <c r="D24" s="18" t="inlineStr">
        <is>
          <t>M05-0389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 xml:space="preserve"> </t>
        </is>
      </c>
      <c r="BP24" t="inlineStr">
        <is>
          <t xml:space="preserve"> </t>
        </is>
      </c>
      <c r="BQ24" t="inlineStr">
        <is>
          <t xml:space="preserve"> </t>
        </is>
      </c>
      <c r="BR24" t="inlineStr">
        <is>
          <t xml:space="preserve"> </t>
        </is>
      </c>
      <c r="BS24" t="inlineStr">
        <is>
          <t xml:space="preserve"> </t>
        </is>
      </c>
      <c r="BT24" t="inlineStr">
        <is>
          <t xml:space="preserve"> </t>
        </is>
      </c>
      <c r="BU24" t="inlineStr">
        <is>
          <t xml:space="preserve"> </t>
        </is>
      </c>
      <c r="BV24" t="inlineStr">
        <is>
          <t xml:space="preserve"> </t>
        </is>
      </c>
      <c r="BW24" t="inlineStr">
        <is>
          <t xml:space="preserve"> </t>
        </is>
      </c>
      <c r="BX24" t="inlineStr">
        <is>
          <t xml:space="preserve"> </t>
        </is>
      </c>
      <c r="BY24" t="inlineStr">
        <is>
          <t xml:space="preserve"> </t>
        </is>
      </c>
      <c r="BZ24" t="inlineStr">
        <is>
          <t xml:space="preserve"> </t>
        </is>
      </c>
      <c r="CA24" t="inlineStr">
        <is>
          <t xml:space="preserve"> </t>
        </is>
      </c>
      <c r="CB24" t="inlineStr">
        <is>
          <t xml:space="preserve"> </t>
        </is>
      </c>
      <c r="CC24" t="inlineStr">
        <is>
          <t xml:space="preserve"> </t>
        </is>
      </c>
      <c r="CD24" t="inlineStr">
        <is>
          <t xml:space="preserve"> </t>
        </is>
      </c>
      <c r="CE24" t="inlineStr">
        <is>
          <t xml:space="preserve"> </t>
        </is>
      </c>
      <c r="CF24" t="inlineStr">
        <is>
          <t xml:space="preserve"> </t>
        </is>
      </c>
      <c r="CG24" t="inlineStr">
        <is>
          <t xml:space="preserve"> </t>
        </is>
      </c>
      <c r="CH24" t="inlineStr">
        <is>
          <t xml:space="preserve"> </t>
        </is>
      </c>
      <c r="CI24" t="inlineStr">
        <is>
          <t xml:space="preserve"> </t>
        </is>
      </c>
      <c r="CJ24" t="inlineStr">
        <is>
          <t xml:space="preserve"> </t>
        </is>
      </c>
      <c r="CK24" t="inlineStr">
        <is>
          <t xml:space="preserve"> </t>
        </is>
      </c>
      <c r="CL24" t="inlineStr">
        <is>
          <t xml:space="preserve"> </t>
        </is>
      </c>
      <c r="CM24" t="inlineStr">
        <is>
          <t xml:space="preserve"> </t>
        </is>
      </c>
      <c r="CN24" t="inlineStr">
        <is>
          <t xml:space="preserve"> </t>
        </is>
      </c>
      <c r="CO24" t="inlineStr">
        <is>
          <t xml:space="preserve"> </t>
        </is>
      </c>
      <c r="CP24" t="inlineStr">
        <is>
          <t xml:space="preserve"> </t>
        </is>
      </c>
      <c r="CQ24" t="inlineStr">
        <is>
          <t xml:space="preserve"> </t>
        </is>
      </c>
      <c r="CR24" t="inlineStr">
        <is>
          <t xml:space="preserve"> </t>
        </is>
      </c>
      <c r="CS24" t="inlineStr">
        <is>
          <t xml:space="preserve"> </t>
        </is>
      </c>
      <c r="CT24" t="inlineStr">
        <is>
          <t xml:space="preserve"> </t>
        </is>
      </c>
      <c r="CU24" t="inlineStr">
        <is>
          <t xml:space="preserve"> </t>
        </is>
      </c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</row>
    <row r="25">
      <c r="B25" s="11" t="n">
        <v>20</v>
      </c>
      <c r="C25" s="18" t="inlineStr">
        <is>
          <t>Cilindro de gas</t>
        </is>
      </c>
      <c r="D25" s="18" t="inlineStr">
        <is>
          <t>M06-0197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 xml:space="preserve"> </t>
        </is>
      </c>
      <c r="BP25" t="inlineStr">
        <is>
          <t xml:space="preserve"> </t>
        </is>
      </c>
      <c r="BQ25" t="inlineStr">
        <is>
          <t xml:space="preserve"> </t>
        </is>
      </c>
      <c r="BR25" t="inlineStr">
        <is>
          <t xml:space="preserve"> </t>
        </is>
      </c>
      <c r="BS25" t="inlineStr">
        <is>
          <t xml:space="preserve"> </t>
        </is>
      </c>
      <c r="BT25" t="inlineStr">
        <is>
          <t xml:space="preserve"> </t>
        </is>
      </c>
      <c r="BU25" t="inlineStr">
        <is>
          <t xml:space="preserve"> </t>
        </is>
      </c>
      <c r="BV25" t="inlineStr">
        <is>
          <t xml:space="preserve"> </t>
        </is>
      </c>
      <c r="BW25" t="inlineStr">
        <is>
          <t xml:space="preserve"> </t>
        </is>
      </c>
      <c r="BX25" t="inlineStr">
        <is>
          <t xml:space="preserve"> </t>
        </is>
      </c>
      <c r="BY25" t="inlineStr">
        <is>
          <t xml:space="preserve"> </t>
        </is>
      </c>
      <c r="BZ25" t="inlineStr">
        <is>
          <t xml:space="preserve"> </t>
        </is>
      </c>
      <c r="CA25" t="inlineStr">
        <is>
          <t xml:space="preserve"> </t>
        </is>
      </c>
      <c r="CB25" t="inlineStr">
        <is>
          <t xml:space="preserve"> </t>
        </is>
      </c>
      <c r="CC25" t="inlineStr">
        <is>
          <t xml:space="preserve"> </t>
        </is>
      </c>
      <c r="CD25" t="inlineStr">
        <is>
          <t xml:space="preserve"> </t>
        </is>
      </c>
      <c r="CE25" t="inlineStr">
        <is>
          <t xml:space="preserve"> </t>
        </is>
      </c>
      <c r="CF25" t="inlineStr">
        <is>
          <t xml:space="preserve"> </t>
        </is>
      </c>
      <c r="CG25" t="inlineStr">
        <is>
          <t xml:space="preserve"> </t>
        </is>
      </c>
      <c r="CH25" t="inlineStr">
        <is>
          <t xml:space="preserve"> </t>
        </is>
      </c>
      <c r="CI25" t="inlineStr">
        <is>
          <t xml:space="preserve"> </t>
        </is>
      </c>
      <c r="CJ25" t="inlineStr">
        <is>
          <t xml:space="preserve"> </t>
        </is>
      </c>
      <c r="CK25" t="inlineStr">
        <is>
          <t xml:space="preserve"> </t>
        </is>
      </c>
      <c r="CL25" t="inlineStr">
        <is>
          <t xml:space="preserve"> </t>
        </is>
      </c>
      <c r="CM25" t="inlineStr">
        <is>
          <t xml:space="preserve"> </t>
        </is>
      </c>
      <c r="CN25" t="inlineStr">
        <is>
          <t xml:space="preserve"> </t>
        </is>
      </c>
      <c r="CO25" t="inlineStr">
        <is>
          <t xml:space="preserve"> </t>
        </is>
      </c>
      <c r="CP25" t="inlineStr">
        <is>
          <t xml:space="preserve"> </t>
        </is>
      </c>
      <c r="CQ25" t="inlineStr">
        <is>
          <t xml:space="preserve"> </t>
        </is>
      </c>
      <c r="CR25" t="inlineStr">
        <is>
          <t xml:space="preserve"> </t>
        </is>
      </c>
      <c r="CS25" t="inlineStr">
        <is>
          <t xml:space="preserve"> </t>
        </is>
      </c>
      <c r="CT25" t="inlineStr">
        <is>
          <t xml:space="preserve"> </t>
        </is>
      </c>
      <c r="CU25" t="inlineStr">
        <is>
          <t xml:space="preserve"> </t>
        </is>
      </c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</row>
    <row r="26">
      <c r="B26" s="11" t="n">
        <v>21</v>
      </c>
      <c r="C26" s="18" t="n">
        <v>0</v>
      </c>
      <c r="D26" s="18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 xml:space="preserve"> </t>
        </is>
      </c>
      <c r="BP26" t="inlineStr">
        <is>
          <t xml:space="preserve"> </t>
        </is>
      </c>
      <c r="BQ26" t="inlineStr">
        <is>
          <t xml:space="preserve"> </t>
        </is>
      </c>
      <c r="BR26" t="inlineStr">
        <is>
          <t xml:space="preserve"> </t>
        </is>
      </c>
      <c r="BS26" t="inlineStr">
        <is>
          <t xml:space="preserve"> </t>
        </is>
      </c>
      <c r="BT26" t="inlineStr">
        <is>
          <t xml:space="preserve"> </t>
        </is>
      </c>
      <c r="BU26" t="inlineStr">
        <is>
          <t xml:space="preserve"> </t>
        </is>
      </c>
      <c r="BV26" t="inlineStr">
        <is>
          <t xml:space="preserve"> </t>
        </is>
      </c>
      <c r="BW26" t="inlineStr">
        <is>
          <t xml:space="preserve"> </t>
        </is>
      </c>
      <c r="BX26" t="inlineStr">
        <is>
          <t xml:space="preserve"> </t>
        </is>
      </c>
      <c r="BY26" t="inlineStr">
        <is>
          <t xml:space="preserve"> </t>
        </is>
      </c>
      <c r="BZ26" t="inlineStr">
        <is>
          <t xml:space="preserve"> </t>
        </is>
      </c>
      <c r="CA26" t="inlineStr">
        <is>
          <t xml:space="preserve"> </t>
        </is>
      </c>
      <c r="CB26" t="inlineStr">
        <is>
          <t xml:space="preserve"> </t>
        </is>
      </c>
      <c r="CC26" t="inlineStr">
        <is>
          <t xml:space="preserve"> </t>
        </is>
      </c>
      <c r="CD26" t="inlineStr">
        <is>
          <t xml:space="preserve"> </t>
        </is>
      </c>
      <c r="CE26" t="inlineStr">
        <is>
          <t xml:space="preserve"> </t>
        </is>
      </c>
      <c r="CF26" t="inlineStr">
        <is>
          <t xml:space="preserve"> </t>
        </is>
      </c>
      <c r="CG26" t="inlineStr">
        <is>
          <t xml:space="preserve"> </t>
        </is>
      </c>
      <c r="CH26" t="inlineStr">
        <is>
          <t xml:space="preserve"> </t>
        </is>
      </c>
      <c r="CI26" t="inlineStr">
        <is>
          <t xml:space="preserve"> </t>
        </is>
      </c>
      <c r="CJ26" t="inlineStr">
        <is>
          <t xml:space="preserve"> </t>
        </is>
      </c>
      <c r="CK26" t="inlineStr">
        <is>
          <t xml:space="preserve"> </t>
        </is>
      </c>
      <c r="CL26" t="inlineStr">
        <is>
          <t xml:space="preserve"> </t>
        </is>
      </c>
      <c r="CM26" t="inlineStr">
        <is>
          <t xml:space="preserve"> </t>
        </is>
      </c>
      <c r="CN26" t="inlineStr">
        <is>
          <t xml:space="preserve"> </t>
        </is>
      </c>
      <c r="CO26" t="inlineStr">
        <is>
          <t xml:space="preserve"> </t>
        </is>
      </c>
      <c r="CP26" t="inlineStr">
        <is>
          <t xml:space="preserve"> </t>
        </is>
      </c>
      <c r="CQ26" t="inlineStr">
        <is>
          <t xml:space="preserve"> </t>
        </is>
      </c>
      <c r="CR26" t="inlineStr">
        <is>
          <t xml:space="preserve"> </t>
        </is>
      </c>
      <c r="CS26" t="inlineStr">
        <is>
          <t xml:space="preserve"> </t>
        </is>
      </c>
      <c r="CT26" t="inlineStr">
        <is>
          <t xml:space="preserve"> </t>
        </is>
      </c>
      <c r="CU26" t="inlineStr">
        <is>
          <t xml:space="preserve"> </t>
        </is>
      </c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</row>
    <row r="27">
      <c r="B27" s="11" t="n">
        <v>22</v>
      </c>
      <c r="C27" s="18" t="n">
        <v>0</v>
      </c>
      <c r="D27" s="18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 xml:space="preserve">                                 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 xml:space="preserve"> </t>
        </is>
      </c>
      <c r="BP27" t="inlineStr">
        <is>
          <t xml:space="preserve"> </t>
        </is>
      </c>
      <c r="BQ27" t="inlineStr">
        <is>
          <t xml:space="preserve"> </t>
        </is>
      </c>
      <c r="BR27" t="inlineStr">
        <is>
          <t xml:space="preserve"> </t>
        </is>
      </c>
      <c r="BS27" t="inlineStr">
        <is>
          <t xml:space="preserve"> </t>
        </is>
      </c>
      <c r="BT27" t="inlineStr">
        <is>
          <t xml:space="preserve"> </t>
        </is>
      </c>
      <c r="BU27" t="inlineStr">
        <is>
          <t xml:space="preserve"> </t>
        </is>
      </c>
      <c r="BV27" t="inlineStr">
        <is>
          <t xml:space="preserve"> </t>
        </is>
      </c>
      <c r="BW27" t="inlineStr">
        <is>
          <t xml:space="preserve"> </t>
        </is>
      </c>
      <c r="BX27" t="inlineStr">
        <is>
          <t xml:space="preserve"> </t>
        </is>
      </c>
      <c r="BY27" t="inlineStr">
        <is>
          <t xml:space="preserve"> </t>
        </is>
      </c>
      <c r="BZ27" t="inlineStr">
        <is>
          <t xml:space="preserve"> </t>
        </is>
      </c>
      <c r="CA27" t="inlineStr">
        <is>
          <t xml:space="preserve"> </t>
        </is>
      </c>
      <c r="CB27" t="inlineStr">
        <is>
          <t xml:space="preserve"> </t>
        </is>
      </c>
      <c r="CC27" t="inlineStr">
        <is>
          <t xml:space="preserve"> </t>
        </is>
      </c>
      <c r="CD27" t="inlineStr">
        <is>
          <t xml:space="preserve"> </t>
        </is>
      </c>
      <c r="CE27" t="inlineStr">
        <is>
          <t xml:space="preserve"> </t>
        </is>
      </c>
      <c r="CF27" t="inlineStr">
        <is>
          <t xml:space="preserve"> </t>
        </is>
      </c>
      <c r="CG27" t="inlineStr">
        <is>
          <t xml:space="preserve"> </t>
        </is>
      </c>
      <c r="CH27" t="inlineStr">
        <is>
          <t xml:space="preserve"> </t>
        </is>
      </c>
      <c r="CI27" t="inlineStr">
        <is>
          <t xml:space="preserve"> </t>
        </is>
      </c>
      <c r="CJ27" t="inlineStr">
        <is>
          <t xml:space="preserve"> </t>
        </is>
      </c>
      <c r="CK27" t="inlineStr">
        <is>
          <t xml:space="preserve"> </t>
        </is>
      </c>
      <c r="CL27" t="inlineStr">
        <is>
          <t xml:space="preserve"> </t>
        </is>
      </c>
      <c r="CM27" t="inlineStr">
        <is>
          <t xml:space="preserve"> </t>
        </is>
      </c>
      <c r="CN27" t="inlineStr">
        <is>
          <t xml:space="preserve"> </t>
        </is>
      </c>
      <c r="CO27" t="inlineStr">
        <is>
          <t xml:space="preserve"> </t>
        </is>
      </c>
      <c r="CP27" t="inlineStr">
        <is>
          <t xml:space="preserve"> </t>
        </is>
      </c>
      <c r="CQ27" t="inlineStr">
        <is>
          <t xml:space="preserve"> </t>
        </is>
      </c>
      <c r="CR27" t="inlineStr">
        <is>
          <t xml:space="preserve"> </t>
        </is>
      </c>
      <c r="CS27" t="inlineStr">
        <is>
          <t xml:space="preserve"> </t>
        </is>
      </c>
      <c r="CT27" t="inlineStr">
        <is>
          <t xml:space="preserve"> </t>
        </is>
      </c>
      <c r="CU27" t="inlineStr">
        <is>
          <t xml:space="preserve"> </t>
        </is>
      </c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</row>
    <row r="28">
      <c r="B28" s="11" t="n">
        <v>23</v>
      </c>
      <c r="C28" s="18" t="n">
        <v>0</v>
      </c>
      <c r="D28" s="1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 xml:space="preserve"> </t>
        </is>
      </c>
      <c r="BP28" t="inlineStr">
        <is>
          <t xml:space="preserve"> </t>
        </is>
      </c>
      <c r="BQ28" t="inlineStr">
        <is>
          <t xml:space="preserve"> </t>
        </is>
      </c>
      <c r="BR28" t="inlineStr">
        <is>
          <t xml:space="preserve"> </t>
        </is>
      </c>
      <c r="BS28" t="inlineStr">
        <is>
          <t xml:space="preserve"> </t>
        </is>
      </c>
      <c r="BT28" t="inlineStr">
        <is>
          <t xml:space="preserve"> </t>
        </is>
      </c>
      <c r="BU28" t="inlineStr">
        <is>
          <t xml:space="preserve"> </t>
        </is>
      </c>
      <c r="BV28" t="inlineStr">
        <is>
          <t xml:space="preserve"> </t>
        </is>
      </c>
      <c r="BW28" t="inlineStr">
        <is>
          <t xml:space="preserve"> </t>
        </is>
      </c>
      <c r="BX28" t="inlineStr">
        <is>
          <t xml:space="preserve"> </t>
        </is>
      </c>
      <c r="BY28" t="inlineStr">
        <is>
          <t xml:space="preserve"> </t>
        </is>
      </c>
      <c r="BZ28" t="inlineStr">
        <is>
          <t xml:space="preserve"> </t>
        </is>
      </c>
      <c r="CA28" t="inlineStr">
        <is>
          <t xml:space="preserve"> </t>
        </is>
      </c>
      <c r="CB28" t="inlineStr">
        <is>
          <t xml:space="preserve"> </t>
        </is>
      </c>
      <c r="CC28" t="inlineStr">
        <is>
          <t xml:space="preserve"> </t>
        </is>
      </c>
      <c r="CD28" t="inlineStr">
        <is>
          <t xml:space="preserve"> </t>
        </is>
      </c>
      <c r="CE28" t="inlineStr">
        <is>
          <t xml:space="preserve"> </t>
        </is>
      </c>
      <c r="CF28" t="inlineStr">
        <is>
          <t xml:space="preserve"> </t>
        </is>
      </c>
      <c r="CG28" t="inlineStr">
        <is>
          <t xml:space="preserve"> </t>
        </is>
      </c>
      <c r="CH28" t="inlineStr">
        <is>
          <t xml:space="preserve"> </t>
        </is>
      </c>
      <c r="CI28" t="inlineStr">
        <is>
          <t xml:space="preserve"> </t>
        </is>
      </c>
      <c r="CJ28" t="inlineStr">
        <is>
          <t xml:space="preserve"> </t>
        </is>
      </c>
      <c r="CK28" t="inlineStr">
        <is>
          <t xml:space="preserve"> </t>
        </is>
      </c>
      <c r="CL28" t="inlineStr">
        <is>
          <t xml:space="preserve"> </t>
        </is>
      </c>
      <c r="CM28" t="inlineStr">
        <is>
          <t xml:space="preserve"> </t>
        </is>
      </c>
      <c r="CN28" t="inlineStr">
        <is>
          <t xml:space="preserve"> </t>
        </is>
      </c>
      <c r="CO28" t="inlineStr">
        <is>
          <t xml:space="preserve"> </t>
        </is>
      </c>
      <c r="CP28" t="inlineStr">
        <is>
          <t xml:space="preserve"> </t>
        </is>
      </c>
      <c r="CQ28" t="inlineStr">
        <is>
          <t xml:space="preserve"> </t>
        </is>
      </c>
      <c r="CR28" t="inlineStr">
        <is>
          <t xml:space="preserve"> </t>
        </is>
      </c>
      <c r="CS28" t="inlineStr">
        <is>
          <t xml:space="preserve"> </t>
        </is>
      </c>
      <c r="CT28" t="inlineStr">
        <is>
          <t xml:space="preserve"> </t>
        </is>
      </c>
      <c r="CU28" t="inlineStr">
        <is>
          <t xml:space="preserve"> </t>
        </is>
      </c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</row>
    <row r="29">
      <c r="B29" s="11" t="n">
        <v>24</v>
      </c>
      <c r="C29" s="18" t="n">
        <v>0</v>
      </c>
      <c r="D29" s="18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 xml:space="preserve"> </t>
        </is>
      </c>
      <c r="BP29" t="inlineStr">
        <is>
          <t xml:space="preserve"> </t>
        </is>
      </c>
      <c r="BQ29" t="inlineStr">
        <is>
          <t xml:space="preserve"> </t>
        </is>
      </c>
      <c r="BR29" t="inlineStr">
        <is>
          <t xml:space="preserve"> </t>
        </is>
      </c>
      <c r="BS29" t="inlineStr">
        <is>
          <t xml:space="preserve"> </t>
        </is>
      </c>
      <c r="BT29" t="inlineStr">
        <is>
          <t xml:space="preserve"> </t>
        </is>
      </c>
      <c r="BU29" t="inlineStr">
        <is>
          <t xml:space="preserve"> </t>
        </is>
      </c>
      <c r="BV29" t="inlineStr">
        <is>
          <t xml:space="preserve"> </t>
        </is>
      </c>
      <c r="BW29" t="inlineStr">
        <is>
          <t xml:space="preserve"> </t>
        </is>
      </c>
      <c r="BX29" t="inlineStr">
        <is>
          <t xml:space="preserve"> </t>
        </is>
      </c>
      <c r="BY29" t="inlineStr">
        <is>
          <t xml:space="preserve"> </t>
        </is>
      </c>
      <c r="BZ29" t="inlineStr">
        <is>
          <t xml:space="preserve"> </t>
        </is>
      </c>
      <c r="CA29" t="inlineStr">
        <is>
          <t xml:space="preserve"> </t>
        </is>
      </c>
      <c r="CB29" t="inlineStr">
        <is>
          <t xml:space="preserve"> </t>
        </is>
      </c>
      <c r="CC29" t="inlineStr">
        <is>
          <t xml:space="preserve"> </t>
        </is>
      </c>
      <c r="CD29" t="inlineStr">
        <is>
          <t xml:space="preserve"> </t>
        </is>
      </c>
      <c r="CE29" t="inlineStr">
        <is>
          <t xml:space="preserve"> </t>
        </is>
      </c>
      <c r="CF29" t="inlineStr">
        <is>
          <t xml:space="preserve"> </t>
        </is>
      </c>
      <c r="CG29" t="inlineStr">
        <is>
          <t xml:space="preserve"> </t>
        </is>
      </c>
      <c r="CH29" t="inlineStr">
        <is>
          <t xml:space="preserve"> </t>
        </is>
      </c>
      <c r="CI29" t="inlineStr">
        <is>
          <t xml:space="preserve"> </t>
        </is>
      </c>
      <c r="CJ29" t="inlineStr">
        <is>
          <t xml:space="preserve"> </t>
        </is>
      </c>
      <c r="CK29" t="inlineStr">
        <is>
          <t xml:space="preserve"> </t>
        </is>
      </c>
      <c r="CL29" t="inlineStr">
        <is>
          <t xml:space="preserve"> </t>
        </is>
      </c>
      <c r="CM29" t="inlineStr">
        <is>
          <t xml:space="preserve"> </t>
        </is>
      </c>
      <c r="CN29" t="inlineStr">
        <is>
          <t xml:space="preserve"> </t>
        </is>
      </c>
      <c r="CO29" t="inlineStr">
        <is>
          <t xml:space="preserve"> </t>
        </is>
      </c>
      <c r="CP29" t="inlineStr">
        <is>
          <t xml:space="preserve"> </t>
        </is>
      </c>
      <c r="CQ29" t="inlineStr">
        <is>
          <t xml:space="preserve"> </t>
        </is>
      </c>
      <c r="CR29" t="inlineStr">
        <is>
          <t xml:space="preserve"> </t>
        </is>
      </c>
      <c r="CS29" t="inlineStr">
        <is>
          <t xml:space="preserve"> </t>
        </is>
      </c>
      <c r="CT29" t="inlineStr">
        <is>
          <t xml:space="preserve"> </t>
        </is>
      </c>
      <c r="CU29" t="inlineStr">
        <is>
          <t xml:space="preserve"> </t>
        </is>
      </c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</row>
    <row r="30">
      <c r="B30" s="11" t="n">
        <v>25</v>
      </c>
      <c r="C30" s="18" t="n">
        <v>0</v>
      </c>
      <c r="D30" s="18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 xml:space="preserve"> </t>
        </is>
      </c>
      <c r="BP30" t="inlineStr">
        <is>
          <t xml:space="preserve"> </t>
        </is>
      </c>
      <c r="BQ30" t="inlineStr">
        <is>
          <t xml:space="preserve"> </t>
        </is>
      </c>
      <c r="BR30" t="inlineStr">
        <is>
          <t xml:space="preserve"> </t>
        </is>
      </c>
      <c r="BS30" t="inlineStr">
        <is>
          <t xml:space="preserve"> </t>
        </is>
      </c>
      <c r="BT30" t="inlineStr">
        <is>
          <t xml:space="preserve"> </t>
        </is>
      </c>
      <c r="BU30" t="inlineStr">
        <is>
          <t xml:space="preserve"> </t>
        </is>
      </c>
      <c r="BV30" t="inlineStr">
        <is>
          <t xml:space="preserve"> </t>
        </is>
      </c>
      <c r="BW30" t="inlineStr">
        <is>
          <t xml:space="preserve"> </t>
        </is>
      </c>
      <c r="BX30" t="inlineStr">
        <is>
          <t xml:space="preserve"> </t>
        </is>
      </c>
      <c r="BY30" t="inlineStr">
        <is>
          <t xml:space="preserve"> </t>
        </is>
      </c>
      <c r="BZ30" t="inlineStr">
        <is>
          <t xml:space="preserve"> </t>
        </is>
      </c>
      <c r="CA30" t="inlineStr">
        <is>
          <t xml:space="preserve"> </t>
        </is>
      </c>
      <c r="CB30" t="inlineStr">
        <is>
          <t xml:space="preserve"> </t>
        </is>
      </c>
      <c r="CC30" t="inlineStr">
        <is>
          <t xml:space="preserve"> </t>
        </is>
      </c>
      <c r="CD30" t="inlineStr">
        <is>
          <t xml:space="preserve"> </t>
        </is>
      </c>
      <c r="CE30" t="inlineStr">
        <is>
          <t xml:space="preserve"> </t>
        </is>
      </c>
      <c r="CF30" t="inlineStr">
        <is>
          <t xml:space="preserve"> </t>
        </is>
      </c>
      <c r="CG30" t="inlineStr">
        <is>
          <t xml:space="preserve"> </t>
        </is>
      </c>
      <c r="CH30" t="inlineStr">
        <is>
          <t xml:space="preserve"> </t>
        </is>
      </c>
      <c r="CI30" t="inlineStr">
        <is>
          <t xml:space="preserve"> </t>
        </is>
      </c>
      <c r="CJ30" t="inlineStr">
        <is>
          <t xml:space="preserve"> </t>
        </is>
      </c>
      <c r="CK30" t="inlineStr">
        <is>
          <t xml:space="preserve"> </t>
        </is>
      </c>
      <c r="CL30" t="inlineStr">
        <is>
          <t xml:space="preserve"> </t>
        </is>
      </c>
      <c r="CM30" t="inlineStr">
        <is>
          <t xml:space="preserve"> </t>
        </is>
      </c>
      <c r="CN30" t="inlineStr">
        <is>
          <t xml:space="preserve"> </t>
        </is>
      </c>
      <c r="CO30" t="inlineStr">
        <is>
          <t xml:space="preserve"> </t>
        </is>
      </c>
      <c r="CP30" t="inlineStr">
        <is>
          <t xml:space="preserve"> </t>
        </is>
      </c>
      <c r="CQ30" t="inlineStr">
        <is>
          <t xml:space="preserve"> </t>
        </is>
      </c>
      <c r="CR30" t="inlineStr">
        <is>
          <t xml:space="preserve"> </t>
        </is>
      </c>
      <c r="CS30" t="inlineStr">
        <is>
          <t xml:space="preserve"> </t>
        </is>
      </c>
      <c r="CT30" t="inlineStr">
        <is>
          <t xml:space="preserve"> </t>
        </is>
      </c>
      <c r="CU30" t="inlineStr">
        <is>
          <t xml:space="preserve"> </t>
        </is>
      </c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</row>
    <row r="31">
      <c r="B31" s="835" t="inlineStr">
        <is>
          <t>MURO N1</t>
        </is>
      </c>
      <c r="C31" s="59" t="n"/>
      <c r="D31" s="60" t="n"/>
    </row>
    <row r="32">
      <c r="B32" s="11" t="n">
        <v>1</v>
      </c>
      <c r="C32" s="18" t="inlineStr">
        <is>
          <t>Union 38mm 1 1/2"</t>
        </is>
      </c>
      <c r="D32" s="18" t="inlineStr">
        <is>
          <t>M05-0372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B33" s="11" t="n">
        <v>2</v>
      </c>
      <c r="C33" s="18" t="inlineStr">
        <is>
          <t>Union 25mm 1"</t>
        </is>
      </c>
      <c r="D33" s="18" t="inlineStr">
        <is>
          <t>M05-0373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B34" s="11" t="n">
        <v>3</v>
      </c>
      <c r="C34" s="18" t="inlineStr">
        <is>
          <t>Union 13mm 1/2"</t>
        </is>
      </c>
      <c r="D34" s="18" t="inlineStr">
        <is>
          <t>M05-0374</t>
        </is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B35" s="11" t="n">
        <v>4</v>
      </c>
      <c r="C35" s="18" t="inlineStr">
        <is>
          <t>Union 19mm 3/4"</t>
        </is>
      </c>
      <c r="D35" s="18" t="inlineStr">
        <is>
          <t>M05-0375</t>
        </is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B36" s="11" t="n">
        <v>5</v>
      </c>
      <c r="C36" s="18" t="inlineStr">
        <is>
          <t>Spray</t>
        </is>
      </c>
      <c r="D36" s="18" t="inlineStr">
        <is>
          <t>M11-0067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B37" s="11" t="n">
        <v>6</v>
      </c>
      <c r="C37" s="18" t="inlineStr">
        <is>
          <t>Cinta empaque</t>
        </is>
      </c>
      <c r="D37" s="18" t="inlineStr">
        <is>
          <t>M06-0175</t>
        </is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4</v>
      </c>
      <c r="O37" t="n">
        <v>4</v>
      </c>
      <c r="P37" t="n">
        <v>4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B38" s="11" t="n">
        <v>7</v>
      </c>
      <c r="C38" s="18" t="inlineStr">
        <is>
          <t>Pegamento</t>
        </is>
      </c>
      <c r="D38" s="18" t="inlineStr">
        <is>
          <t>M06-0013</t>
        </is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B39" s="11" t="n">
        <v>8</v>
      </c>
      <c r="C39" s="18" t="inlineStr">
        <is>
          <t>Cegueta</t>
        </is>
      </c>
      <c r="D39" s="18" t="inlineStr">
        <is>
          <t>M06-0210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B40" s="11" t="n">
        <v>9</v>
      </c>
      <c r="C40" s="18" t="inlineStr">
        <is>
          <t>Lamina de estereofon</t>
        </is>
      </c>
      <c r="D40" s="18" t="inlineStr">
        <is>
          <t>M04-0003</t>
        </is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  <c r="AL40" t="n">
        <v>0.5</v>
      </c>
      <c r="AM40" t="n">
        <v>0.5</v>
      </c>
      <c r="AN40" t="n">
        <v>0.5</v>
      </c>
      <c r="AO40" t="n">
        <v>0.5</v>
      </c>
      <c r="AP40" t="n">
        <v>0.5</v>
      </c>
      <c r="AQ40" t="n">
        <v>0.5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B41" s="11" t="n">
        <v>10</v>
      </c>
      <c r="C41" s="18" t="inlineStr">
        <is>
          <t>Cilindro de gas</t>
        </is>
      </c>
      <c r="D41" s="18" t="inlineStr">
        <is>
          <t>M06-0197</t>
        </is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B42" s="11" t="n">
        <v>11</v>
      </c>
      <c r="C42" s="18" t="inlineStr">
        <is>
          <t>Caja cuadrada 4x4 doble 1</t>
        </is>
      </c>
      <c r="D42" s="18" t="inlineStr">
        <is>
          <t>M05-0388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B43" s="11" t="n">
        <v>12</v>
      </c>
      <c r="C43" s="18" t="inlineStr">
        <is>
          <t>Caja cuadrada 4x4 doble 1/2</t>
        </is>
      </c>
      <c r="D43" s="18" t="inlineStr">
        <is>
          <t>M05-0385</t>
        </is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B44" s="11" t="n">
        <v>13</v>
      </c>
      <c r="C44" s="18" t="inlineStr">
        <is>
          <t>Caja rectangular  salida 1/2</t>
        </is>
      </c>
      <c r="D44" s="18" t="inlineStr">
        <is>
          <t>M05-0390</t>
        </is>
      </c>
      <c r="F44" t="n">
        <v>40</v>
      </c>
      <c r="G44" t="n">
        <v>40</v>
      </c>
      <c r="H44" t="n">
        <v>40</v>
      </c>
      <c r="I44" t="n">
        <v>35</v>
      </c>
      <c r="J44" t="n">
        <v>35</v>
      </c>
      <c r="K44" t="n">
        <v>28</v>
      </c>
      <c r="L44" t="n">
        <v>43</v>
      </c>
      <c r="M44" t="n">
        <v>43</v>
      </c>
      <c r="N44" t="n">
        <v>25</v>
      </c>
      <c r="O44" t="n">
        <v>25</v>
      </c>
      <c r="P44" t="n">
        <v>25</v>
      </c>
      <c r="Q44" t="n">
        <v>36</v>
      </c>
      <c r="R44" t="n">
        <v>36</v>
      </c>
      <c r="S44" t="n">
        <v>45</v>
      </c>
      <c r="T44" t="n">
        <v>45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24</v>
      </c>
      <c r="AP44" t="n">
        <v>22</v>
      </c>
      <c r="AQ44" t="n">
        <v>29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B45" s="11" t="n">
        <v>14</v>
      </c>
      <c r="C45" s="18" t="inlineStr">
        <is>
          <t>Caja rectangular salida 3/4</t>
        </is>
      </c>
      <c r="D45" s="18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B46" s="11" t="n">
        <v>15</v>
      </c>
      <c r="C46" s="18" t="inlineStr">
        <is>
          <t>Conector  1 1/2" UL</t>
        </is>
      </c>
      <c r="D46" s="18" t="inlineStr">
        <is>
          <t>M05-0363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B47" s="11" t="n">
        <v>16</v>
      </c>
      <c r="C47" s="18" t="inlineStr">
        <is>
          <t>Conector  1" UL</t>
        </is>
      </c>
      <c r="D47" s="18" t="inlineStr">
        <is>
          <t>M05-0364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B48" s="11" t="n">
        <v>17</v>
      </c>
      <c r="C48" s="18" t="inlineStr">
        <is>
          <t>Conector de 1/2" UL</t>
        </is>
      </c>
      <c r="D48" s="18" t="inlineStr">
        <is>
          <t>M05-0476</t>
        </is>
      </c>
      <c r="F48" t="n">
        <v>60</v>
      </c>
      <c r="G48" t="n">
        <v>60</v>
      </c>
      <c r="H48" t="n">
        <v>60</v>
      </c>
      <c r="I48" t="n">
        <v>50</v>
      </c>
      <c r="J48" t="n">
        <v>50</v>
      </c>
      <c r="K48" t="n">
        <v>40</v>
      </c>
      <c r="L48" t="n">
        <v>60</v>
      </c>
      <c r="M48" t="n">
        <v>60</v>
      </c>
      <c r="N48" t="n">
        <v>40</v>
      </c>
      <c r="O48" t="n">
        <v>40</v>
      </c>
      <c r="P48" t="n">
        <v>40</v>
      </c>
      <c r="Q48" t="n">
        <v>50</v>
      </c>
      <c r="R48" t="n">
        <v>50</v>
      </c>
      <c r="S48" t="n">
        <v>60</v>
      </c>
      <c r="T48" t="n">
        <v>60</v>
      </c>
      <c r="U48" t="n">
        <v>30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B49" s="11" t="n">
        <v>18</v>
      </c>
      <c r="C49" s="18" t="inlineStr">
        <is>
          <t>Conector  3/4" UL</t>
        </is>
      </c>
      <c r="D49" s="18" t="inlineStr">
        <is>
          <t>M05-0477</t>
        </is>
      </c>
      <c r="F49" t="n">
        <v>15</v>
      </c>
      <c r="G49" t="n">
        <v>15</v>
      </c>
      <c r="H49" t="n">
        <v>15</v>
      </c>
      <c r="I49" t="n">
        <v>15</v>
      </c>
      <c r="J49" t="n">
        <v>15</v>
      </c>
      <c r="K49" t="n">
        <v>12</v>
      </c>
      <c r="L49" t="n">
        <v>15</v>
      </c>
      <c r="M49" t="n">
        <v>15</v>
      </c>
      <c r="N49" t="n">
        <v>10</v>
      </c>
      <c r="O49" t="n">
        <v>10</v>
      </c>
      <c r="P49" t="n">
        <v>10</v>
      </c>
      <c r="Q49" t="n">
        <v>12</v>
      </c>
      <c r="R49" t="n">
        <v>12</v>
      </c>
      <c r="S49" t="n">
        <v>15</v>
      </c>
      <c r="T49" t="n">
        <v>15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8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B50" s="11" t="n">
        <v>19</v>
      </c>
      <c r="C50" s="18" t="inlineStr">
        <is>
          <t>Tubo 13mm 1/2"</t>
        </is>
      </c>
      <c r="D50" s="18" t="inlineStr">
        <is>
          <t>M05-0405</t>
        </is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B51" s="11" t="n">
        <v>20</v>
      </c>
      <c r="C51" s="18" t="inlineStr">
        <is>
          <t>Aro de repello 1 Gang</t>
        </is>
      </c>
      <c r="D51" s="18" t="inlineStr">
        <is>
          <t>M05-0386</t>
        </is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B52" s="11" t="n">
        <v>21</v>
      </c>
      <c r="C52" s="18" t="inlineStr">
        <is>
          <t>Varilla #3 G40</t>
        </is>
      </c>
      <c r="D52" s="18" t="inlineStr">
        <is>
          <t>M01-0147</t>
        </is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B53" s="11" t="n">
        <v>22</v>
      </c>
      <c r="C53" s="18" t="inlineStr">
        <is>
          <t>Tubo 19mm 3/4"</t>
        </is>
      </c>
      <c r="D53" s="18" t="inlineStr">
        <is>
          <t>M05-0371</t>
        </is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B54" s="11" t="n">
        <v>23</v>
      </c>
      <c r="C54" s="18" t="n">
        <v>0</v>
      </c>
      <c r="D54" s="18" t="inlineStr">
        <is>
          <t>M05-0362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B55" s="11" t="n">
        <v>24</v>
      </c>
      <c r="C55" s="18" t="n">
        <v>0</v>
      </c>
      <c r="D55" s="18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B56" s="11" t="n">
        <v>25</v>
      </c>
      <c r="C56" s="18" t="n">
        <v>0</v>
      </c>
      <c r="D56" s="18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B57" s="835" t="inlineStr">
        <is>
          <t>ENTREPISO (TUBERIAS Y CAJAS)</t>
        </is>
      </c>
      <c r="C57" s="59" t="n"/>
      <c r="D57" s="60" t="n"/>
    </row>
    <row r="58">
      <c r="B58" s="11" t="n">
        <v>1</v>
      </c>
      <c r="C58" s="18" t="inlineStr">
        <is>
          <t>Curva 38mm 1 1/2"</t>
        </is>
      </c>
      <c r="D58" s="18" t="inlineStr">
        <is>
          <t>M05-0362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B59" s="11" t="n">
        <v>2</v>
      </c>
      <c r="C59" s="18" t="inlineStr">
        <is>
          <t>Curva 25mm 1"</t>
        </is>
      </c>
      <c r="D59" s="18" t="inlineStr">
        <is>
          <t>M05-0366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B60" s="11" t="n">
        <v>3</v>
      </c>
      <c r="C60" s="18" t="inlineStr">
        <is>
          <t>Curva 13mm 1/2"</t>
        </is>
      </c>
      <c r="D60" s="18" t="inlineStr">
        <is>
          <t>M05-0361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45</v>
      </c>
      <c r="O60" t="n">
        <v>45</v>
      </c>
      <c r="P60" t="n">
        <v>45</v>
      </c>
      <c r="Q60" t="n">
        <v>0</v>
      </c>
      <c r="R60" t="n">
        <v>0</v>
      </c>
      <c r="S60" t="n">
        <v>0</v>
      </c>
      <c r="T60" t="n">
        <v>0</v>
      </c>
      <c r="U60" t="n">
        <v>45</v>
      </c>
      <c r="V60" t="n">
        <v>45</v>
      </c>
      <c r="W60" t="n">
        <v>45</v>
      </c>
      <c r="X60" t="n">
        <v>45</v>
      </c>
      <c r="Y60" t="n">
        <v>45</v>
      </c>
      <c r="Z60" t="n">
        <v>45</v>
      </c>
      <c r="AA60" t="n">
        <v>45</v>
      </c>
      <c r="AB60" t="n">
        <v>35</v>
      </c>
      <c r="AC60" t="n">
        <v>35</v>
      </c>
      <c r="AD60" t="n">
        <v>35</v>
      </c>
      <c r="AE60" t="n">
        <v>35</v>
      </c>
      <c r="AF60" t="n">
        <v>35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35</v>
      </c>
      <c r="AM60" t="n">
        <v>35</v>
      </c>
      <c r="AN60" t="n">
        <v>35</v>
      </c>
      <c r="AO60" t="n">
        <v>45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B61" s="11" t="n">
        <v>4</v>
      </c>
      <c r="C61" s="18" t="inlineStr">
        <is>
          <t>Curva 19mm 3/4"</t>
        </is>
      </c>
      <c r="D61" s="18" t="inlineStr">
        <is>
          <t>M05-0367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15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  <c r="V61" t="n">
        <v>15</v>
      </c>
      <c r="W61" t="n">
        <v>15</v>
      </c>
      <c r="X61" t="n">
        <v>15</v>
      </c>
      <c r="Y61" t="n">
        <v>15</v>
      </c>
      <c r="Z61" t="n">
        <v>15</v>
      </c>
      <c r="AA61" t="n">
        <v>15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0</v>
      </c>
      <c r="AM61" t="n">
        <v>9</v>
      </c>
      <c r="AN61" t="n">
        <v>9</v>
      </c>
      <c r="AO61" t="n">
        <v>15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B62" s="11" t="n">
        <v>5</v>
      </c>
      <c r="C62" s="18" t="inlineStr">
        <is>
          <t>Tubo 38mm 1 1/2"</t>
        </is>
      </c>
      <c r="D62" s="18" t="inlineStr">
        <is>
          <t>M05-0368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B63" s="11" t="n">
        <v>6</v>
      </c>
      <c r="C63" s="18" t="inlineStr">
        <is>
          <t>Tubo 25mm 1"</t>
        </is>
      </c>
      <c r="D63" s="18" t="inlineStr">
        <is>
          <t>M05-0369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B64" s="11" t="n">
        <v>7</v>
      </c>
      <c r="C64" s="18" t="inlineStr">
        <is>
          <t>Tubo 13mm 1/2"</t>
        </is>
      </c>
      <c r="D64" s="18" t="inlineStr">
        <is>
          <t>M05-0370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45</v>
      </c>
      <c r="O64" t="n">
        <v>45</v>
      </c>
      <c r="P64" t="n">
        <v>45</v>
      </c>
      <c r="Q64" t="n">
        <v>0</v>
      </c>
      <c r="R64" t="n">
        <v>0</v>
      </c>
      <c r="S64" t="n">
        <v>0</v>
      </c>
      <c r="T64" t="n">
        <v>0</v>
      </c>
      <c r="U64" t="n">
        <v>45</v>
      </c>
      <c r="V64" t="n">
        <v>45</v>
      </c>
      <c r="W64" t="n">
        <v>45</v>
      </c>
      <c r="X64" t="n">
        <v>45</v>
      </c>
      <c r="Y64" t="n">
        <v>45</v>
      </c>
      <c r="Z64" t="n">
        <v>45</v>
      </c>
      <c r="AA64" t="n">
        <v>45</v>
      </c>
      <c r="AB64" t="n">
        <v>35</v>
      </c>
      <c r="AC64" t="n">
        <v>35</v>
      </c>
      <c r="AD64" t="n">
        <v>35</v>
      </c>
      <c r="AE64" t="n">
        <v>35</v>
      </c>
      <c r="AF64" t="n">
        <v>35</v>
      </c>
      <c r="AG64" t="n">
        <v>35</v>
      </c>
      <c r="AH64" t="n">
        <v>35</v>
      </c>
      <c r="AI64" t="n">
        <v>35</v>
      </c>
      <c r="AJ64" t="n">
        <v>35</v>
      </c>
      <c r="AK64" t="n">
        <v>35</v>
      </c>
      <c r="AL64" t="n">
        <v>35</v>
      </c>
      <c r="AM64" t="n">
        <v>35</v>
      </c>
      <c r="AN64" t="n">
        <v>35</v>
      </c>
      <c r="AO64" t="n">
        <v>40</v>
      </c>
      <c r="AP64" t="n">
        <v>35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B65" s="11" t="n">
        <v>8</v>
      </c>
      <c r="C65" s="18" t="inlineStr">
        <is>
          <t>Tubo 19mm 3/4"</t>
        </is>
      </c>
      <c r="D65" s="18" t="inlineStr">
        <is>
          <t>M05-0371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12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0</v>
      </c>
      <c r="AM65" t="n">
        <v>10</v>
      </c>
      <c r="AN65" t="n">
        <v>10</v>
      </c>
      <c r="AO65" t="n">
        <v>12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B66" s="11" t="n">
        <v>9</v>
      </c>
      <c r="C66" s="18" t="inlineStr">
        <is>
          <t>Union 38mm 1 1/2"</t>
        </is>
      </c>
      <c r="D66" s="18" t="inlineStr">
        <is>
          <t>M05-0372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B67" s="11" t="n">
        <v>10</v>
      </c>
      <c r="C67" s="18" t="inlineStr">
        <is>
          <t>Union 25mm 1"</t>
        </is>
      </c>
      <c r="D67" s="18" t="inlineStr">
        <is>
          <t>M05-0373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B68" s="11" t="n">
        <v>11</v>
      </c>
      <c r="C68" s="18" t="inlineStr">
        <is>
          <t>Union 13mm 1/2"</t>
        </is>
      </c>
      <c r="D68" s="18" t="inlineStr">
        <is>
          <t>M05-0374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15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  <c r="V68" t="n">
        <v>15</v>
      </c>
      <c r="W68" t="n">
        <v>15</v>
      </c>
      <c r="X68" t="n">
        <v>15</v>
      </c>
      <c r="Y68" t="n">
        <v>15</v>
      </c>
      <c r="Z68" t="n">
        <v>15</v>
      </c>
      <c r="AA68" t="n">
        <v>15</v>
      </c>
      <c r="AB68" t="n">
        <v>15</v>
      </c>
      <c r="AC68" t="n">
        <v>15</v>
      </c>
      <c r="AD68" t="n">
        <v>15</v>
      </c>
      <c r="AE68" t="n">
        <v>15</v>
      </c>
      <c r="AF68" t="n">
        <v>15</v>
      </c>
      <c r="AG68" t="n">
        <v>15</v>
      </c>
      <c r="AH68" t="n">
        <v>15</v>
      </c>
      <c r="AI68" t="n">
        <v>15</v>
      </c>
      <c r="AJ68" t="n">
        <v>15</v>
      </c>
      <c r="AK68" t="n">
        <v>15</v>
      </c>
      <c r="AL68" t="n">
        <v>0</v>
      </c>
      <c r="AM68" t="n">
        <v>15</v>
      </c>
      <c r="AN68" t="n">
        <v>15</v>
      </c>
      <c r="AO68" t="n">
        <v>15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B69" s="11" t="n">
        <v>12</v>
      </c>
      <c r="C69" s="18" t="inlineStr">
        <is>
          <t>Union 19mm 3/4"</t>
        </is>
      </c>
      <c r="D69" s="18" t="inlineStr">
        <is>
          <t>M05-0375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10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B70" s="11" t="n">
        <v>13</v>
      </c>
      <c r="C70" s="18" t="inlineStr">
        <is>
          <t>Conector de 1/2" UL</t>
        </is>
      </c>
      <c r="D70" s="18" t="inlineStr">
        <is>
          <t>M05-0476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0</v>
      </c>
      <c r="AM70" t="n">
        <v>20</v>
      </c>
      <c r="AN70" t="n">
        <v>20</v>
      </c>
      <c r="AO70" t="n">
        <v>20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B71" s="11" t="n">
        <v>14</v>
      </c>
      <c r="C71" s="18" t="inlineStr">
        <is>
          <t>Spray</t>
        </is>
      </c>
      <c r="D71" s="18" t="inlineStr">
        <is>
          <t>M11-0067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B72" s="11" t="n">
        <v>15</v>
      </c>
      <c r="C72" s="18" t="inlineStr">
        <is>
          <t>Cinta empaque</t>
        </is>
      </c>
      <c r="D72" s="18" t="inlineStr">
        <is>
          <t>M06-0175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0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B73" s="11" t="n">
        <v>16</v>
      </c>
      <c r="C73" s="18" t="inlineStr">
        <is>
          <t>Pegamento</t>
        </is>
      </c>
      <c r="D73" s="18" t="inlineStr">
        <is>
          <t>M06-0013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B74" s="11" t="n">
        <v>17</v>
      </c>
      <c r="C74" s="18" t="inlineStr">
        <is>
          <t>Cegueta</t>
        </is>
      </c>
      <c r="D74" s="18" t="inlineStr">
        <is>
          <t>M06-0210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B75" s="11" t="n">
        <v>18</v>
      </c>
      <c r="C75" s="18" t="inlineStr">
        <is>
          <t>Lamina de estereofon</t>
        </is>
      </c>
      <c r="D75" s="18" t="inlineStr">
        <is>
          <t>M04-0003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0.5</v>
      </c>
      <c r="O75" t="n">
        <v>0.5</v>
      </c>
      <c r="P75" t="n">
        <v>0.5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  <c r="AI75" t="n">
        <v>0.5</v>
      </c>
      <c r="AJ75" t="n">
        <v>0.5</v>
      </c>
      <c r="AK75" t="n">
        <v>0.5</v>
      </c>
      <c r="AL75" t="n">
        <v>0</v>
      </c>
      <c r="AM75" t="n">
        <v>0.5</v>
      </c>
      <c r="AN75" t="n">
        <v>0.5</v>
      </c>
      <c r="AO75" t="n">
        <v>0.5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B76" s="11" t="n">
        <v>19</v>
      </c>
      <c r="C76" s="18" t="inlineStr">
        <is>
          <t xml:space="preserve">Caja octagonal </t>
        </is>
      </c>
      <c r="D76" s="18" t="inlineStr">
        <is>
          <t>M05-0389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9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0</v>
      </c>
      <c r="AM76" t="n">
        <v>4</v>
      </c>
      <c r="AN76" t="n">
        <v>4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B77" s="11" t="n">
        <v>20</v>
      </c>
      <c r="C77" s="18" t="inlineStr">
        <is>
          <t>Cilindro de gas</t>
        </is>
      </c>
      <c r="D77" s="18" t="inlineStr">
        <is>
          <t>M06-0197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B78" s="11" t="n">
        <v>21</v>
      </c>
      <c r="C78" s="18" t="inlineStr">
        <is>
          <t>Caja cuadrada 4x4 doble 1/2</t>
        </is>
      </c>
      <c r="D78" s="18" t="inlineStr">
        <is>
          <t>M05-0160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B79" s="11" t="n">
        <v>22</v>
      </c>
      <c r="C79" s="18" t="inlineStr">
        <is>
          <t>Conector  3/4" UL</t>
        </is>
      </c>
      <c r="D79" s="18" t="inlineStr">
        <is>
          <t>M05-0477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B80" s="11" t="n">
        <v>23</v>
      </c>
      <c r="C80" s="18" t="n">
        <v>0</v>
      </c>
      <c r="D80" s="18" t="inlineStr">
        <is>
          <t>M05-0362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B81" s="11" t="n">
        <v>24</v>
      </c>
      <c r="C81" s="18" t="n">
        <v>0</v>
      </c>
      <c r="D81" s="18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B82" s="11" t="n">
        <v>25</v>
      </c>
      <c r="C82" s="18" t="n">
        <v>0</v>
      </c>
      <c r="D82" s="18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B83" s="835" t="inlineStr">
        <is>
          <t>MURO N2</t>
        </is>
      </c>
      <c r="C83" s="59" t="n"/>
      <c r="D83" s="60" t="n"/>
    </row>
    <row r="84">
      <c r="B84" s="11" t="n">
        <v>1</v>
      </c>
      <c r="C84" s="18" t="inlineStr">
        <is>
          <t>Union 38mm 1 1/2"</t>
        </is>
      </c>
      <c r="D84" s="18" t="inlineStr">
        <is>
          <t>M05-0372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B85" s="11" t="n">
        <v>2</v>
      </c>
      <c r="C85" s="18" t="inlineStr">
        <is>
          <t>Union 25mm 1"</t>
        </is>
      </c>
      <c r="D85" s="18" t="inlineStr">
        <is>
          <t>M05-0373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B86" s="11" t="n">
        <v>3</v>
      </c>
      <c r="C86" s="18" t="inlineStr">
        <is>
          <t>Union 13mm 1/2"</t>
        </is>
      </c>
      <c r="D86" s="18" t="inlineStr">
        <is>
          <t>M05-0374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B87" s="11" t="n">
        <v>4</v>
      </c>
      <c r="C87" s="18" t="inlineStr">
        <is>
          <t>Union 19mm 3/4"</t>
        </is>
      </c>
      <c r="D87" s="18" t="inlineStr">
        <is>
          <t>M05-0375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6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B88" s="11" t="n">
        <v>5</v>
      </c>
      <c r="C88" s="18" t="inlineStr">
        <is>
          <t>Spray</t>
        </is>
      </c>
      <c r="D88" s="18" t="inlineStr">
        <is>
          <t>M11-0067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B89" s="11" t="n">
        <v>6</v>
      </c>
      <c r="C89" s="18" t="inlineStr">
        <is>
          <t>Cinta empaque</t>
        </is>
      </c>
      <c r="D89" s="18" t="inlineStr">
        <is>
          <t>M06-0175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B90" s="11" t="n">
        <v>7</v>
      </c>
      <c r="C90" s="18" t="inlineStr">
        <is>
          <t>Pegamento</t>
        </is>
      </c>
      <c r="D90" s="18" t="inlineStr">
        <is>
          <t>M06-0013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B91" s="11" t="n">
        <v>8</v>
      </c>
      <c r="C91" s="18" t="inlineStr">
        <is>
          <t>Cegueta</t>
        </is>
      </c>
      <c r="D91" s="18" t="inlineStr">
        <is>
          <t>M06-0210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B92" s="11" t="n">
        <v>9</v>
      </c>
      <c r="C92" s="18" t="inlineStr">
        <is>
          <t>Lamina de estereofon</t>
        </is>
      </c>
      <c r="D92" s="18" t="inlineStr">
        <is>
          <t>M04-0003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0.5</v>
      </c>
      <c r="O92" t="n">
        <v>0.5</v>
      </c>
      <c r="P92" t="n">
        <v>0.5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0.5</v>
      </c>
      <c r="AO92" t="n">
        <v>0</v>
      </c>
      <c r="AP92" t="n">
        <v>0.5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B93" s="11" t="n">
        <v>10</v>
      </c>
      <c r="C93" s="18" t="inlineStr">
        <is>
          <t>Cilindro de gas</t>
        </is>
      </c>
      <c r="D93" s="18" t="inlineStr">
        <is>
          <t>M06-0197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B94" s="11" t="n">
        <v>11</v>
      </c>
      <c r="C94" s="18" t="inlineStr">
        <is>
          <t>Caja cuadrada 4x4 doble 1</t>
        </is>
      </c>
      <c r="D94" s="18" t="inlineStr">
        <is>
          <t>M05-0388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B95" s="11" t="n">
        <v>12</v>
      </c>
      <c r="C95" s="18" t="inlineStr">
        <is>
          <t>Caja cuadrada 4x4 doble 1/2</t>
        </is>
      </c>
      <c r="D95" s="18" t="inlineStr">
        <is>
          <t>M05-0385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B96" s="11" t="n">
        <v>13</v>
      </c>
      <c r="C96" s="18" t="inlineStr">
        <is>
          <t>Caja rectangular  salida 1/2</t>
        </is>
      </c>
      <c r="D96" s="18" t="inlineStr">
        <is>
          <t>M05-0390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23</v>
      </c>
      <c r="O96" t="n">
        <v>23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15</v>
      </c>
      <c r="AC96" t="n">
        <v>15</v>
      </c>
      <c r="AD96" t="n">
        <v>15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B97" s="11" t="n">
        <v>14</v>
      </c>
      <c r="C97" s="18" t="inlineStr">
        <is>
          <t>Caja rectangular salida 3/4</t>
        </is>
      </c>
      <c r="D97" s="18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B98" s="11" t="n">
        <v>15</v>
      </c>
      <c r="C98" s="18" t="inlineStr">
        <is>
          <t>Conector  1 1/2" UL</t>
        </is>
      </c>
      <c r="D98" s="18" t="inlineStr">
        <is>
          <t>M05-0363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B99" s="11" t="n">
        <v>16</v>
      </c>
      <c r="C99" s="18" t="inlineStr">
        <is>
          <t>Conector  1" UL</t>
        </is>
      </c>
      <c r="D99" s="18" t="inlineStr">
        <is>
          <t>M05-0364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B100" s="11" t="n">
        <v>17</v>
      </c>
      <c r="C100" s="18" t="inlineStr">
        <is>
          <t>Conector de 1/2" UL</t>
        </is>
      </c>
      <c r="D100" s="18" t="inlineStr">
        <is>
          <t>M05-0476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30</v>
      </c>
      <c r="P100" t="n">
        <v>30</v>
      </c>
      <c r="Q100" t="n">
        <v>0</v>
      </c>
      <c r="R100" t="n">
        <v>0</v>
      </c>
      <c r="S100" t="n">
        <v>0</v>
      </c>
      <c r="T100" t="n">
        <v>0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21</v>
      </c>
      <c r="AC100" t="n">
        <v>21</v>
      </c>
      <c r="AD100" t="n">
        <v>21</v>
      </c>
      <c r="AE100" t="n">
        <v>21</v>
      </c>
      <c r="AF100" t="n">
        <v>21</v>
      </c>
      <c r="AG100" t="n">
        <v>21</v>
      </c>
      <c r="AH100" t="n">
        <v>21</v>
      </c>
      <c r="AI100" t="n">
        <v>21</v>
      </c>
      <c r="AJ100" t="n">
        <v>21</v>
      </c>
      <c r="AK100" t="n">
        <v>21</v>
      </c>
      <c r="AL100" t="n">
        <v>21</v>
      </c>
      <c r="AM100" t="n">
        <v>21</v>
      </c>
      <c r="AN100" t="n">
        <v>21</v>
      </c>
      <c r="AO100" t="n">
        <v>21</v>
      </c>
      <c r="AP100" t="n">
        <v>21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B101" s="11" t="n">
        <v>18</v>
      </c>
      <c r="C101" s="18" t="inlineStr">
        <is>
          <t>Conector  3/4" UL</t>
        </is>
      </c>
      <c r="D101" s="18" t="inlineStr">
        <is>
          <t>M05-0477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8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B102" s="11" t="n">
        <v>19</v>
      </c>
      <c r="C102" s="18" t="inlineStr">
        <is>
          <t>Tubo 13mm 1/2"</t>
        </is>
      </c>
      <c r="D102" s="18" t="inlineStr">
        <is>
          <t>M05-0405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B103" s="11" t="n">
        <v>20</v>
      </c>
      <c r="C103" s="18" t="inlineStr">
        <is>
          <t>Aro de repello 1 Gang</t>
        </is>
      </c>
      <c r="D103" s="18" t="inlineStr">
        <is>
          <t>M05-0386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B104" s="11" t="n">
        <v>21</v>
      </c>
      <c r="C104" s="18" t="inlineStr">
        <is>
          <t>Varilla #3 G40</t>
        </is>
      </c>
      <c r="D104" s="18" t="inlineStr">
        <is>
          <t>M01-0147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3</v>
      </c>
      <c r="AP104" t="n">
        <v>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B105" s="11" t="n">
        <v>22</v>
      </c>
      <c r="C105" s="18" t="inlineStr">
        <is>
          <t>Tubo 19mm 3/4"</t>
        </is>
      </c>
      <c r="D105" s="18" t="inlineStr">
        <is>
          <t>M05-0371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B106" s="11" t="n">
        <v>23</v>
      </c>
      <c r="C106" s="18" t="n">
        <v>0</v>
      </c>
      <c r="D106" s="18" t="inlineStr">
        <is>
          <t>M05-0362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B107" s="11" t="n">
        <v>24</v>
      </c>
      <c r="C107" s="18" t="n">
        <v>0</v>
      </c>
      <c r="D107" s="18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B108" s="11" t="n">
        <v>25</v>
      </c>
      <c r="C108" s="18" t="n">
        <v>0</v>
      </c>
      <c r="D108" s="1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B109" s="835" t="inlineStr">
        <is>
          <t>AZOTEA (TUBERIA Y CAJAS)</t>
        </is>
      </c>
      <c r="C109" s="59" t="n"/>
      <c r="D109" s="60" t="n"/>
    </row>
    <row r="110">
      <c r="B110" s="11" t="n">
        <v>1</v>
      </c>
      <c r="C110" s="18" t="inlineStr">
        <is>
          <t>Curva 38mm 1 1/2"</t>
        </is>
      </c>
      <c r="D110" s="18" t="inlineStr">
        <is>
          <t>M05-0362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B111" s="11" t="n">
        <v>2</v>
      </c>
      <c r="C111" s="18" t="inlineStr">
        <is>
          <t>Curva 25mm 1"</t>
        </is>
      </c>
      <c r="D111" s="18" t="inlineStr">
        <is>
          <t>M05-0366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B112" s="11" t="n">
        <v>3</v>
      </c>
      <c r="C112" s="18" t="inlineStr">
        <is>
          <t>Curva 13mm 1/2"</t>
        </is>
      </c>
      <c r="D112" s="18" t="inlineStr">
        <is>
          <t>M05-0361</t>
        </is>
      </c>
      <c r="F112" t="n">
        <v>0</v>
      </c>
      <c r="G112" t="n">
        <v>0</v>
      </c>
      <c r="H112" t="n">
        <v>15</v>
      </c>
      <c r="I112" t="n">
        <v>15</v>
      </c>
      <c r="J112" t="n">
        <v>0</v>
      </c>
      <c r="K112" t="n">
        <v>0</v>
      </c>
      <c r="L112" t="n">
        <v>0</v>
      </c>
      <c r="M112" t="n">
        <v>15</v>
      </c>
      <c r="N112" t="n">
        <v>30</v>
      </c>
      <c r="O112" t="n">
        <v>30</v>
      </c>
      <c r="P112" t="n">
        <v>30</v>
      </c>
      <c r="Q112" t="n">
        <v>0</v>
      </c>
      <c r="R112" t="n">
        <v>15</v>
      </c>
      <c r="S112" t="n">
        <v>0</v>
      </c>
      <c r="T112" t="n">
        <v>15</v>
      </c>
      <c r="U112" t="n">
        <v>0</v>
      </c>
      <c r="V112" t="n">
        <v>25</v>
      </c>
      <c r="W112" t="n">
        <v>25</v>
      </c>
      <c r="X112" t="n">
        <v>25</v>
      </c>
      <c r="Y112" t="n">
        <v>0</v>
      </c>
      <c r="Z112" t="n">
        <v>25</v>
      </c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25</v>
      </c>
      <c r="AJ112" t="n">
        <v>0</v>
      </c>
      <c r="AK112" t="n">
        <v>25</v>
      </c>
      <c r="AL112" t="n">
        <v>0</v>
      </c>
      <c r="AM112" t="n">
        <v>19</v>
      </c>
      <c r="AN112" t="n">
        <v>19</v>
      </c>
      <c r="AO112" t="n">
        <v>20</v>
      </c>
      <c r="AP112" t="n">
        <v>19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B113" s="11" t="n">
        <v>4</v>
      </c>
      <c r="C113" s="18" t="inlineStr">
        <is>
          <t>Curva 19mm 3/4"</t>
        </is>
      </c>
      <c r="D113" s="18" t="inlineStr">
        <is>
          <t>M05-0367</t>
        </is>
      </c>
      <c r="F113" t="n">
        <v>0</v>
      </c>
      <c r="G113" t="n">
        <v>0</v>
      </c>
      <c r="H113" t="n">
        <v>2</v>
      </c>
      <c r="I113" t="n">
        <v>2</v>
      </c>
      <c r="J113" t="n">
        <v>0</v>
      </c>
      <c r="K113" t="n">
        <v>0</v>
      </c>
      <c r="L113" t="n">
        <v>0</v>
      </c>
      <c r="M113" t="n">
        <v>2</v>
      </c>
      <c r="N113" t="n">
        <v>4</v>
      </c>
      <c r="O113" t="n">
        <v>4</v>
      </c>
      <c r="P113" t="n">
        <v>4</v>
      </c>
      <c r="Q113" t="n">
        <v>0</v>
      </c>
      <c r="R113" t="n">
        <v>2</v>
      </c>
      <c r="S113" t="n">
        <v>0</v>
      </c>
      <c r="T113" t="n">
        <v>2</v>
      </c>
      <c r="U113" t="n">
        <v>0</v>
      </c>
      <c r="V113" t="n">
        <v>7</v>
      </c>
      <c r="W113" t="n">
        <v>7</v>
      </c>
      <c r="X113" t="n">
        <v>7</v>
      </c>
      <c r="Y113" t="n">
        <v>0</v>
      </c>
      <c r="Z113" t="n">
        <v>7</v>
      </c>
      <c r="AA113" t="n">
        <v>7</v>
      </c>
      <c r="AB113" t="n">
        <v>0</v>
      </c>
      <c r="AC113" t="n">
        <v>5</v>
      </c>
      <c r="AD113" t="n">
        <v>0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0</v>
      </c>
      <c r="AK113" t="n">
        <v>5</v>
      </c>
      <c r="AL113" t="n">
        <v>0</v>
      </c>
      <c r="AM113" t="n">
        <v>5</v>
      </c>
      <c r="AN113" t="n">
        <v>5</v>
      </c>
      <c r="AO113" t="n">
        <v>7</v>
      </c>
      <c r="AP113" t="n">
        <v>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B114" s="11" t="n">
        <v>5</v>
      </c>
      <c r="C114" s="18" t="inlineStr">
        <is>
          <t>Tubo 38mm 1 1/2"</t>
        </is>
      </c>
      <c r="D114" s="18" t="inlineStr">
        <is>
          <t>M05-0368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B115" s="11" t="n">
        <v>6</v>
      </c>
      <c r="C115" s="18" t="inlineStr">
        <is>
          <t>Tubo 25mm 1"</t>
        </is>
      </c>
      <c r="D115" s="18" t="inlineStr">
        <is>
          <t>M05-0369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B116" s="11" t="n">
        <v>7</v>
      </c>
      <c r="C116" s="18" t="inlineStr">
        <is>
          <t>Tubo 13mm 1/2"</t>
        </is>
      </c>
      <c r="D116" s="18" t="inlineStr">
        <is>
          <t>M05-0370</t>
        </is>
      </c>
      <c r="F116" t="n">
        <v>0</v>
      </c>
      <c r="G116" t="n">
        <v>0</v>
      </c>
      <c r="H116" t="n">
        <v>15</v>
      </c>
      <c r="I116" t="n">
        <v>15</v>
      </c>
      <c r="J116" t="n">
        <v>0</v>
      </c>
      <c r="K116" t="n">
        <v>0</v>
      </c>
      <c r="L116" t="n">
        <v>0</v>
      </c>
      <c r="M116" t="n">
        <v>15</v>
      </c>
      <c r="N116" t="n">
        <v>32</v>
      </c>
      <c r="O116" t="n">
        <v>32</v>
      </c>
      <c r="P116" t="n">
        <v>32</v>
      </c>
      <c r="Q116" t="n">
        <v>0</v>
      </c>
      <c r="R116" t="n">
        <v>15</v>
      </c>
      <c r="S116" t="n">
        <v>0</v>
      </c>
      <c r="T116" t="n">
        <v>15</v>
      </c>
      <c r="U116" t="n">
        <v>0</v>
      </c>
      <c r="V116" t="n">
        <v>25</v>
      </c>
      <c r="W116" t="n">
        <v>25</v>
      </c>
      <c r="X116" t="n">
        <v>25</v>
      </c>
      <c r="Y116" t="n">
        <v>0</v>
      </c>
      <c r="Z116" t="n">
        <v>25</v>
      </c>
      <c r="AA116" t="n">
        <v>25</v>
      </c>
      <c r="AB116" t="n">
        <v>0</v>
      </c>
      <c r="AC116" t="n">
        <v>20</v>
      </c>
      <c r="AD116" t="n">
        <v>0</v>
      </c>
      <c r="AE116" t="n">
        <v>20</v>
      </c>
      <c r="AF116" t="n">
        <v>20</v>
      </c>
      <c r="AG116" t="n">
        <v>20</v>
      </c>
      <c r="AH116" t="n">
        <v>20</v>
      </c>
      <c r="AI116" t="n">
        <v>20</v>
      </c>
      <c r="AJ116" t="n">
        <v>0</v>
      </c>
      <c r="AK116" t="n">
        <v>20</v>
      </c>
      <c r="AL116" t="n">
        <v>0</v>
      </c>
      <c r="AM116" t="n">
        <v>20</v>
      </c>
      <c r="AN116" t="n">
        <v>20</v>
      </c>
      <c r="AO116" t="n">
        <v>25</v>
      </c>
      <c r="AP116" t="n">
        <v>20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B117" s="11" t="n">
        <v>8</v>
      </c>
      <c r="C117" s="18" t="inlineStr">
        <is>
          <t>Tubo 19mm 3/4"</t>
        </is>
      </c>
      <c r="D117" s="18" t="inlineStr">
        <is>
          <t>M05-0371</t>
        </is>
      </c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n">
        <v>2</v>
      </c>
      <c r="N117" t="n">
        <v>4</v>
      </c>
      <c r="O117" t="n">
        <v>4</v>
      </c>
      <c r="P117" t="n">
        <v>4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  <c r="V117" t="n">
        <v>10</v>
      </c>
      <c r="W117" t="n">
        <v>10</v>
      </c>
      <c r="X117" t="n">
        <v>10</v>
      </c>
      <c r="Y117" t="n">
        <v>0</v>
      </c>
      <c r="Z117" t="n">
        <v>10</v>
      </c>
      <c r="AA117" t="n">
        <v>10</v>
      </c>
      <c r="AB117" t="n">
        <v>0</v>
      </c>
      <c r="AC117" t="n">
        <v>4</v>
      </c>
      <c r="AD117" t="n">
        <v>0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0</v>
      </c>
      <c r="AK117" t="n">
        <v>4</v>
      </c>
      <c r="AL117" t="n">
        <v>0</v>
      </c>
      <c r="AM117" t="n">
        <v>4</v>
      </c>
      <c r="AN117" t="n">
        <v>4</v>
      </c>
      <c r="AO117" t="n">
        <v>10</v>
      </c>
      <c r="AP117" t="n">
        <v>4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B118" s="11" t="n">
        <v>9</v>
      </c>
      <c r="C118" s="18" t="inlineStr">
        <is>
          <t>Union 38mm 1 1/2"</t>
        </is>
      </c>
      <c r="D118" s="18" t="inlineStr">
        <is>
          <t>M05-0372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B119" s="11" t="n">
        <v>10</v>
      </c>
      <c r="C119" s="18" t="inlineStr">
        <is>
          <t>Union 25mm 1"</t>
        </is>
      </c>
      <c r="D119" s="18" t="inlineStr">
        <is>
          <t>M05-0373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B120" s="11" t="n">
        <v>11</v>
      </c>
      <c r="C120" s="18" t="inlineStr">
        <is>
          <t>Union 13mm 1/2"</t>
        </is>
      </c>
      <c r="D120" s="18" t="inlineStr">
        <is>
          <t>M05-0374</t>
        </is>
      </c>
      <c r="F120" t="n">
        <v>0</v>
      </c>
      <c r="G120" t="n">
        <v>0</v>
      </c>
      <c r="H120" t="n">
        <v>6</v>
      </c>
      <c r="I120" t="n">
        <v>6</v>
      </c>
      <c r="J120" t="n">
        <v>0</v>
      </c>
      <c r="K120" t="n">
        <v>0</v>
      </c>
      <c r="L120" t="n">
        <v>0</v>
      </c>
      <c r="M120" t="n">
        <v>6</v>
      </c>
      <c r="N120" t="n">
        <v>10</v>
      </c>
      <c r="O120" t="n">
        <v>10</v>
      </c>
      <c r="P120" t="n">
        <v>10</v>
      </c>
      <c r="Q120" t="n">
        <v>0</v>
      </c>
      <c r="R120" t="n">
        <v>6</v>
      </c>
      <c r="S120" t="n">
        <v>0</v>
      </c>
      <c r="T120" t="n">
        <v>6</v>
      </c>
      <c r="U120" t="n">
        <v>0</v>
      </c>
      <c r="V120" t="n">
        <v>10</v>
      </c>
      <c r="W120" t="n">
        <v>10</v>
      </c>
      <c r="X120" t="n">
        <v>10</v>
      </c>
      <c r="Y120" t="n">
        <v>0</v>
      </c>
      <c r="Z120" t="n">
        <v>10</v>
      </c>
      <c r="AA120" t="n">
        <v>10</v>
      </c>
      <c r="AB120" t="n">
        <v>0</v>
      </c>
      <c r="AC120" t="n">
        <v>10</v>
      </c>
      <c r="AD120" t="n">
        <v>0</v>
      </c>
      <c r="AE120" t="n">
        <v>10</v>
      </c>
      <c r="AF120" t="n">
        <v>10</v>
      </c>
      <c r="AG120" t="n">
        <v>10</v>
      </c>
      <c r="AH120" t="n">
        <v>10</v>
      </c>
      <c r="AI120" t="n">
        <v>10</v>
      </c>
      <c r="AJ120" t="n">
        <v>0</v>
      </c>
      <c r="AK120" t="n">
        <v>10</v>
      </c>
      <c r="AL120" t="n">
        <v>10</v>
      </c>
      <c r="AM120" t="n">
        <v>10</v>
      </c>
      <c r="AN120" t="n">
        <v>10</v>
      </c>
      <c r="AO120" t="n">
        <v>10</v>
      </c>
      <c r="AP120" t="n">
        <v>10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B121" s="11" t="n">
        <v>12</v>
      </c>
      <c r="C121" s="18" t="inlineStr">
        <is>
          <t>Union 19mm 3/4"</t>
        </is>
      </c>
      <c r="D121" s="18" t="inlineStr">
        <is>
          <t>M05-0375</t>
        </is>
      </c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2</v>
      </c>
      <c r="N121" t="n">
        <v>4</v>
      </c>
      <c r="O121" t="n">
        <v>4</v>
      </c>
      <c r="P121" t="n">
        <v>4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  <c r="V121" t="n">
        <v>4</v>
      </c>
      <c r="W121" t="n">
        <v>4</v>
      </c>
      <c r="X121" t="n">
        <v>4</v>
      </c>
      <c r="Y121" t="n">
        <v>0</v>
      </c>
      <c r="Z121" t="n">
        <v>4</v>
      </c>
      <c r="AA121" t="n">
        <v>4</v>
      </c>
      <c r="AB121" t="n">
        <v>0</v>
      </c>
      <c r="AC121" t="n">
        <v>2</v>
      </c>
      <c r="AD121" t="n">
        <v>0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0</v>
      </c>
      <c r="AK121" t="n">
        <v>2</v>
      </c>
      <c r="AL121" t="n">
        <v>0</v>
      </c>
      <c r="AM121" t="n">
        <v>2</v>
      </c>
      <c r="AN121" t="n">
        <v>2</v>
      </c>
      <c r="AO121" t="n">
        <v>4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B122" s="11" t="n">
        <v>13</v>
      </c>
      <c r="C122" s="18" t="inlineStr">
        <is>
          <t>Conector de 1/2" UL</t>
        </is>
      </c>
      <c r="D122" s="18" t="inlineStr">
        <is>
          <t>M05-0476</t>
        </is>
      </c>
      <c r="F122" t="n">
        <v>0</v>
      </c>
      <c r="G122" t="n">
        <v>0</v>
      </c>
      <c r="H122" t="n">
        <v>10</v>
      </c>
      <c r="I122" t="n">
        <v>10</v>
      </c>
      <c r="J122" t="n">
        <v>0</v>
      </c>
      <c r="K122" t="n">
        <v>0</v>
      </c>
      <c r="L122" t="n">
        <v>0</v>
      </c>
      <c r="M122" t="n">
        <v>10</v>
      </c>
      <c r="N122" t="n">
        <v>30</v>
      </c>
      <c r="O122" t="n">
        <v>30</v>
      </c>
      <c r="P122" t="n">
        <v>30</v>
      </c>
      <c r="Q122" t="n">
        <v>0</v>
      </c>
      <c r="R122" t="n">
        <v>10</v>
      </c>
      <c r="S122" t="n">
        <v>0</v>
      </c>
      <c r="T122" t="n">
        <v>10</v>
      </c>
      <c r="U122" t="n">
        <v>0</v>
      </c>
      <c r="V122" t="n">
        <v>30</v>
      </c>
      <c r="W122" t="n">
        <v>30</v>
      </c>
      <c r="X122" t="n">
        <v>30</v>
      </c>
      <c r="Y122" t="n">
        <v>0</v>
      </c>
      <c r="Z122" t="n">
        <v>30</v>
      </c>
      <c r="AA122" t="n">
        <v>30</v>
      </c>
      <c r="AB122" t="n">
        <v>0</v>
      </c>
      <c r="AC122" t="n">
        <v>30</v>
      </c>
      <c r="AD122" t="n">
        <v>0</v>
      </c>
      <c r="AE122" t="n">
        <v>30</v>
      </c>
      <c r="AF122" t="n">
        <v>30</v>
      </c>
      <c r="AG122" t="n">
        <v>30</v>
      </c>
      <c r="AH122" t="n">
        <v>30</v>
      </c>
      <c r="AI122" t="n">
        <v>30</v>
      </c>
      <c r="AJ122" t="n">
        <v>0</v>
      </c>
      <c r="AK122" t="n">
        <v>30</v>
      </c>
      <c r="AL122" t="n">
        <v>10</v>
      </c>
      <c r="AM122" t="n">
        <v>10</v>
      </c>
      <c r="AN122" t="n">
        <v>10</v>
      </c>
      <c r="AO122" t="n">
        <v>10</v>
      </c>
      <c r="AP122" t="n">
        <v>10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B123" s="11" t="n">
        <v>14</v>
      </c>
      <c r="C123" s="18" t="inlineStr">
        <is>
          <t>Spray</t>
        </is>
      </c>
      <c r="D123" s="18" t="inlineStr">
        <is>
          <t>M11-0067</t>
        </is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B124" s="11" t="n">
        <v>15</v>
      </c>
      <c r="C124" s="18" t="inlineStr">
        <is>
          <t>Cinta empaque</t>
        </is>
      </c>
      <c r="D124" s="18" t="inlineStr">
        <is>
          <t>M06-0175</t>
        </is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B125" s="11" t="n">
        <v>16</v>
      </c>
      <c r="C125" s="18" t="inlineStr">
        <is>
          <t>Pegamento</t>
        </is>
      </c>
      <c r="D125" s="18" t="inlineStr">
        <is>
          <t>M06-0013</t>
        </is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B126" s="11" t="n">
        <v>17</v>
      </c>
      <c r="C126" s="18" t="inlineStr">
        <is>
          <t>Cegueta</t>
        </is>
      </c>
      <c r="D126" s="18" t="inlineStr">
        <is>
          <t>M06-0210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B127" s="11" t="n">
        <v>18</v>
      </c>
      <c r="C127" s="18" t="inlineStr">
        <is>
          <t>Lamina de estereofon</t>
        </is>
      </c>
      <c r="D127" s="18" t="inlineStr">
        <is>
          <t>M04-0003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B128" s="11" t="n">
        <v>19</v>
      </c>
      <c r="C128" s="18" t="inlineStr">
        <is>
          <t xml:space="preserve">Caja octagonal </t>
        </is>
      </c>
      <c r="D128" s="18" t="inlineStr">
        <is>
          <t>M05-0389</t>
        </is>
      </c>
      <c r="F128" t="n">
        <v>0</v>
      </c>
      <c r="G128" t="n">
        <v>0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2</v>
      </c>
      <c r="N128" t="n">
        <v>5</v>
      </c>
      <c r="O128" t="n">
        <v>5</v>
      </c>
      <c r="P128" t="n">
        <v>5</v>
      </c>
      <c r="Q128" t="n">
        <v>0</v>
      </c>
      <c r="R128" t="n">
        <v>2</v>
      </c>
      <c r="S128" t="n">
        <v>0</v>
      </c>
      <c r="T128" t="n">
        <v>2</v>
      </c>
      <c r="U128" t="n">
        <v>0</v>
      </c>
      <c r="V128" t="n">
        <v>5</v>
      </c>
      <c r="W128" t="n">
        <v>5</v>
      </c>
      <c r="X128" t="n">
        <v>5</v>
      </c>
      <c r="Y128" t="n">
        <v>0</v>
      </c>
      <c r="Z128" t="n">
        <v>5</v>
      </c>
      <c r="AA128" t="n">
        <v>5</v>
      </c>
      <c r="AB128" t="n">
        <v>0</v>
      </c>
      <c r="AC128" t="n">
        <v>4</v>
      </c>
      <c r="AD128" t="n">
        <v>0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0</v>
      </c>
      <c r="AK128" t="n">
        <v>4</v>
      </c>
      <c r="AL128" t="n">
        <v>0</v>
      </c>
      <c r="AM128" t="n">
        <v>4</v>
      </c>
      <c r="AN128" t="n">
        <v>4</v>
      </c>
      <c r="AO128" t="n">
        <v>5</v>
      </c>
      <c r="AP128" t="n">
        <v>4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B129" s="11" t="n">
        <v>20</v>
      </c>
      <c r="C129" s="18" t="inlineStr">
        <is>
          <t>Cilindro de gas</t>
        </is>
      </c>
      <c r="D129" s="18" t="inlineStr">
        <is>
          <t>M06-0197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B130" s="11" t="n">
        <v>21</v>
      </c>
      <c r="C130" s="18" t="inlineStr">
        <is>
          <t>Caja rectangular  salida 1/2</t>
        </is>
      </c>
      <c r="D130" s="18" t="inlineStr">
        <is>
          <t>M05-0390</t>
        </is>
      </c>
      <c r="F130" t="n">
        <v>0</v>
      </c>
      <c r="G130" t="n">
        <v>0</v>
      </c>
      <c r="H130" t="n">
        <v>5</v>
      </c>
      <c r="I130" t="n">
        <v>5</v>
      </c>
      <c r="J130" t="n">
        <v>0</v>
      </c>
      <c r="K130" t="n">
        <v>0</v>
      </c>
      <c r="L130" t="n">
        <v>0</v>
      </c>
      <c r="M130" t="n">
        <v>5</v>
      </c>
      <c r="N130" t="n">
        <v>5</v>
      </c>
      <c r="O130" t="n">
        <v>5</v>
      </c>
      <c r="P130" t="n">
        <v>5</v>
      </c>
      <c r="Q130" t="n">
        <v>0</v>
      </c>
      <c r="R130" t="n">
        <v>5</v>
      </c>
      <c r="S130" t="n">
        <v>0</v>
      </c>
      <c r="T130" t="n">
        <v>5</v>
      </c>
      <c r="U130" t="n">
        <v>0</v>
      </c>
      <c r="V130" t="n">
        <v>5</v>
      </c>
      <c r="W130" t="n">
        <v>5</v>
      </c>
      <c r="X130" t="n">
        <v>5</v>
      </c>
      <c r="Y130" t="n">
        <v>0</v>
      </c>
      <c r="Z130" t="n">
        <v>5</v>
      </c>
      <c r="AA130" t="n">
        <v>5</v>
      </c>
      <c r="AB130" t="n">
        <v>0</v>
      </c>
      <c r="AC130" t="n">
        <v>6</v>
      </c>
      <c r="AD130" t="n">
        <v>0</v>
      </c>
      <c r="AE130" t="n">
        <v>6</v>
      </c>
      <c r="AF130" t="n">
        <v>6</v>
      </c>
      <c r="AG130" t="n">
        <v>6</v>
      </c>
      <c r="AH130" t="n">
        <v>6</v>
      </c>
      <c r="AI130" t="n">
        <v>6</v>
      </c>
      <c r="AJ130" t="n">
        <v>0</v>
      </c>
      <c r="AK130" t="n">
        <v>6</v>
      </c>
      <c r="AL130" t="n">
        <v>6</v>
      </c>
      <c r="AM130" t="n">
        <v>6</v>
      </c>
      <c r="AN130" t="n">
        <v>6</v>
      </c>
      <c r="AO130" t="n">
        <v>6</v>
      </c>
      <c r="AP130" t="n">
        <v>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B131" s="11" t="n">
        <v>22</v>
      </c>
      <c r="C131" s="18" t="inlineStr">
        <is>
          <t>Caja cuadrada 4x4 doble 1/2</t>
        </is>
      </c>
      <c r="D131" s="18" t="inlineStr">
        <is>
          <t>M05-0385</t>
        </is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1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B132" s="11" t="n">
        <v>23</v>
      </c>
      <c r="C132" s="18" t="inlineStr">
        <is>
          <t>Conector  3/4" UL</t>
        </is>
      </c>
      <c r="D132" s="18" t="inlineStr">
        <is>
          <t>M05-0477</t>
        </is>
      </c>
      <c r="F132" t="n">
        <v>0</v>
      </c>
      <c r="G132" t="n">
        <v>0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2</v>
      </c>
      <c r="S132" t="n">
        <v>0</v>
      </c>
      <c r="T132" t="n">
        <v>2</v>
      </c>
      <c r="U132" t="n">
        <v>0</v>
      </c>
      <c r="V132" t="n">
        <v>2</v>
      </c>
      <c r="W132" t="n">
        <v>2</v>
      </c>
      <c r="X132" t="n">
        <v>2</v>
      </c>
      <c r="Y132" t="n">
        <v>0</v>
      </c>
      <c r="Z132" t="n">
        <v>2</v>
      </c>
      <c r="AA132" t="n">
        <v>2</v>
      </c>
      <c r="AB132" t="n">
        <v>0</v>
      </c>
      <c r="AC132" t="n">
        <v>2</v>
      </c>
      <c r="AD132" t="n">
        <v>0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0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B133" s="11" t="n">
        <v>24</v>
      </c>
      <c r="C133" s="18" t="n">
        <v>0</v>
      </c>
      <c r="D133" s="18" t="inlineStr">
        <is>
          <t>M05-0362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B134" s="11" t="n">
        <v>25</v>
      </c>
      <c r="C134" s="18" t="n">
        <v>0</v>
      </c>
      <c r="D134" s="18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B135" s="835" t="inlineStr">
        <is>
          <t>ILUMINACION</t>
        </is>
      </c>
      <c r="C135" s="59" t="n"/>
      <c r="D135" s="60" t="n"/>
    </row>
    <row r="136">
      <c r="B136" s="11" t="n">
        <v>1</v>
      </c>
      <c r="C136" s="18" t="inlineStr">
        <is>
          <t>Curva 13mm 1/2"</t>
        </is>
      </c>
      <c r="D136" s="18" t="inlineStr">
        <is>
          <t>M05-0361</t>
        </is>
      </c>
      <c r="F136" t="n">
        <v>15</v>
      </c>
      <c r="G136" t="n">
        <v>15</v>
      </c>
      <c r="H136" t="n">
        <v>20</v>
      </c>
      <c r="I136" t="n">
        <v>10</v>
      </c>
      <c r="J136" t="n">
        <v>12</v>
      </c>
      <c r="K136" t="n">
        <v>12</v>
      </c>
      <c r="L136" t="n">
        <v>0</v>
      </c>
      <c r="M136" t="n">
        <v>0</v>
      </c>
      <c r="N136" t="n">
        <v>15</v>
      </c>
      <c r="O136" t="n">
        <v>15</v>
      </c>
      <c r="P136" t="n">
        <v>15</v>
      </c>
      <c r="Q136" t="n">
        <v>20</v>
      </c>
      <c r="R136" t="n">
        <v>20</v>
      </c>
      <c r="S136" t="n">
        <v>20</v>
      </c>
      <c r="T136" t="n">
        <v>20</v>
      </c>
      <c r="U136" t="n">
        <v>20</v>
      </c>
      <c r="V136" t="n">
        <v>20</v>
      </c>
      <c r="W136" t="n">
        <v>0</v>
      </c>
      <c r="X136" t="n">
        <v>0</v>
      </c>
      <c r="Y136" t="n">
        <v>20</v>
      </c>
      <c r="Z136" t="n">
        <v>20</v>
      </c>
      <c r="AA136" t="n">
        <v>15</v>
      </c>
      <c r="AB136" t="n">
        <v>14</v>
      </c>
      <c r="AC136" t="n">
        <v>10</v>
      </c>
      <c r="AD136" t="n">
        <v>14</v>
      </c>
      <c r="AE136" t="n">
        <v>10</v>
      </c>
      <c r="AF136" t="n">
        <v>10</v>
      </c>
      <c r="AG136" t="n">
        <v>10</v>
      </c>
      <c r="AH136" t="n">
        <v>10</v>
      </c>
      <c r="AI136" t="n">
        <v>10</v>
      </c>
      <c r="AJ136" t="n">
        <v>14</v>
      </c>
      <c r="AK136" t="n">
        <v>10</v>
      </c>
      <c r="AL136" t="n">
        <v>0</v>
      </c>
      <c r="AM136" t="n">
        <v>10</v>
      </c>
      <c r="AN136" t="n">
        <v>10</v>
      </c>
      <c r="AO136" t="n">
        <v>15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B137" s="11" t="n">
        <v>2</v>
      </c>
      <c r="C137" s="18" t="inlineStr">
        <is>
          <t>Tubo 13mm 1/2"</t>
        </is>
      </c>
      <c r="D137" s="18" t="inlineStr">
        <is>
          <t>M05-0370</t>
        </is>
      </c>
      <c r="F137" t="n">
        <v>17</v>
      </c>
      <c r="G137" t="n">
        <v>17</v>
      </c>
      <c r="H137" t="n">
        <v>15</v>
      </c>
      <c r="I137" t="n">
        <v>16</v>
      </c>
      <c r="J137" t="n">
        <v>10</v>
      </c>
      <c r="K137" t="n">
        <v>10</v>
      </c>
      <c r="L137" t="n">
        <v>0</v>
      </c>
      <c r="M137" t="n">
        <v>0</v>
      </c>
      <c r="N137" t="n">
        <v>10</v>
      </c>
      <c r="O137" t="n">
        <v>10</v>
      </c>
      <c r="P137" t="n">
        <v>10</v>
      </c>
      <c r="Q137" t="n">
        <v>15</v>
      </c>
      <c r="R137" t="n">
        <v>15</v>
      </c>
      <c r="S137" t="n">
        <v>18</v>
      </c>
      <c r="T137" t="n">
        <v>18</v>
      </c>
      <c r="U137" t="n">
        <v>9</v>
      </c>
      <c r="V137" t="n">
        <v>9</v>
      </c>
      <c r="W137" t="n">
        <v>0</v>
      </c>
      <c r="X137" t="n">
        <v>0</v>
      </c>
      <c r="Y137" t="n">
        <v>9</v>
      </c>
      <c r="Z137" t="n">
        <v>9</v>
      </c>
      <c r="AA137" t="n">
        <v>10</v>
      </c>
      <c r="AB137" t="n">
        <v>14</v>
      </c>
      <c r="AC137" t="n">
        <v>10</v>
      </c>
      <c r="AD137" t="n">
        <v>14</v>
      </c>
      <c r="AE137" t="n">
        <v>10</v>
      </c>
      <c r="AF137" t="n">
        <v>10</v>
      </c>
      <c r="AG137" t="n">
        <v>10</v>
      </c>
      <c r="AH137" t="n">
        <v>10</v>
      </c>
      <c r="AI137" t="n">
        <v>10</v>
      </c>
      <c r="AJ137" t="n">
        <v>14</v>
      </c>
      <c r="AK137" t="n">
        <v>10</v>
      </c>
      <c r="AL137" t="n">
        <v>0</v>
      </c>
      <c r="AM137" t="n">
        <v>10</v>
      </c>
      <c r="AN137" t="n">
        <v>10</v>
      </c>
      <c r="AO137" t="n">
        <v>10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B138" s="11" t="n">
        <v>3</v>
      </c>
      <c r="C138" s="18" t="inlineStr">
        <is>
          <t>Union 13mm 1/2"</t>
        </is>
      </c>
      <c r="D138" s="18" t="inlineStr">
        <is>
          <t>M05-0374</t>
        </is>
      </c>
      <c r="F138" t="n">
        <v>10</v>
      </c>
      <c r="G138" t="n">
        <v>10</v>
      </c>
      <c r="H138" t="n">
        <v>8</v>
      </c>
      <c r="I138" t="n">
        <v>7</v>
      </c>
      <c r="J138" t="n">
        <v>8</v>
      </c>
      <c r="K138" t="n">
        <v>8</v>
      </c>
      <c r="L138" t="n">
        <v>0</v>
      </c>
      <c r="M138" t="n">
        <v>0</v>
      </c>
      <c r="N138" t="n">
        <v>8</v>
      </c>
      <c r="O138" t="n">
        <v>8</v>
      </c>
      <c r="P138" t="n">
        <v>8</v>
      </c>
      <c r="Q138" t="n">
        <v>8</v>
      </c>
      <c r="R138" t="n">
        <v>8</v>
      </c>
      <c r="S138" t="n">
        <v>8</v>
      </c>
      <c r="T138" t="n">
        <v>8</v>
      </c>
      <c r="U138" t="n">
        <v>8</v>
      </c>
      <c r="V138" t="n">
        <v>8</v>
      </c>
      <c r="W138" t="n">
        <v>0</v>
      </c>
      <c r="X138" t="n">
        <v>0</v>
      </c>
      <c r="Y138" t="n">
        <v>8</v>
      </c>
      <c r="Z138" t="n">
        <v>8</v>
      </c>
      <c r="AA138" t="n">
        <v>8</v>
      </c>
      <c r="AB138" t="n">
        <v>8</v>
      </c>
      <c r="AC138" t="n">
        <v>8</v>
      </c>
      <c r="AD138" t="n">
        <v>8</v>
      </c>
      <c r="AE138" t="n">
        <v>8</v>
      </c>
      <c r="AF138" t="n">
        <v>8</v>
      </c>
      <c r="AG138" t="n">
        <v>8</v>
      </c>
      <c r="AH138" t="n">
        <v>8</v>
      </c>
      <c r="AI138" t="n">
        <v>8</v>
      </c>
      <c r="AJ138" t="n">
        <v>8</v>
      </c>
      <c r="AK138" t="n">
        <v>8</v>
      </c>
      <c r="AL138" t="n">
        <v>0</v>
      </c>
      <c r="AM138" t="n">
        <v>8</v>
      </c>
      <c r="AN138" t="n">
        <v>8</v>
      </c>
      <c r="AO138" t="n">
        <v>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B139" s="11" t="n">
        <v>4</v>
      </c>
      <c r="C139" s="18" t="inlineStr">
        <is>
          <t>Conector de 1/2" UL</t>
        </is>
      </c>
      <c r="D139" s="18" t="inlineStr">
        <is>
          <t>M05-0476</t>
        </is>
      </c>
      <c r="F139" t="n">
        <v>40</v>
      </c>
      <c r="G139" t="n">
        <v>40</v>
      </c>
      <c r="H139" t="n">
        <v>30</v>
      </c>
      <c r="I139" t="n">
        <v>35</v>
      </c>
      <c r="J139" t="n">
        <v>28</v>
      </c>
      <c r="K139" t="n">
        <v>28</v>
      </c>
      <c r="L139" t="n">
        <v>0</v>
      </c>
      <c r="M139" t="n">
        <v>0</v>
      </c>
      <c r="N139" t="n">
        <v>35</v>
      </c>
      <c r="O139" t="n">
        <v>35</v>
      </c>
      <c r="P139" t="n">
        <v>35</v>
      </c>
      <c r="Q139" t="n">
        <v>30</v>
      </c>
      <c r="R139" t="n">
        <v>30</v>
      </c>
      <c r="S139" t="n">
        <v>40</v>
      </c>
      <c r="T139" t="n">
        <v>40</v>
      </c>
      <c r="U139" t="n">
        <v>30</v>
      </c>
      <c r="V139" t="n">
        <v>30</v>
      </c>
      <c r="W139" t="n">
        <v>0</v>
      </c>
      <c r="X139" t="n">
        <v>0</v>
      </c>
      <c r="Y139" t="n">
        <v>30</v>
      </c>
      <c r="Z139" t="n">
        <v>30</v>
      </c>
      <c r="AA139" t="n">
        <v>25</v>
      </c>
      <c r="AB139" t="n">
        <v>0</v>
      </c>
      <c r="AC139" t="n">
        <v>25</v>
      </c>
      <c r="AD139" t="n">
        <v>0</v>
      </c>
      <c r="AE139" t="n">
        <v>25</v>
      </c>
      <c r="AF139" t="n">
        <v>25</v>
      </c>
      <c r="AG139" t="n">
        <v>25</v>
      </c>
      <c r="AH139" t="n">
        <v>25</v>
      </c>
      <c r="AI139" t="n">
        <v>25</v>
      </c>
      <c r="AJ139" t="n">
        <v>0</v>
      </c>
      <c r="AK139" t="n">
        <v>25</v>
      </c>
      <c r="AL139" t="n">
        <v>0</v>
      </c>
      <c r="AM139" t="n">
        <v>25</v>
      </c>
      <c r="AN139" t="n">
        <v>25</v>
      </c>
      <c r="AO139" t="n">
        <v>25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B140" s="11" t="n">
        <v>5</v>
      </c>
      <c r="C140" s="18" t="inlineStr">
        <is>
          <t xml:space="preserve">TGP 3x12 </t>
        </is>
      </c>
      <c r="D140" s="18" t="inlineStr">
        <is>
          <t>M05-0264</t>
        </is>
      </c>
      <c r="F140" t="n">
        <v>30</v>
      </c>
      <c r="G140" t="n">
        <v>30</v>
      </c>
      <c r="H140" t="n">
        <v>28</v>
      </c>
      <c r="I140" t="n">
        <v>30</v>
      </c>
      <c r="J140" t="n">
        <v>18</v>
      </c>
      <c r="K140" t="n">
        <v>18</v>
      </c>
      <c r="L140" t="n">
        <v>0</v>
      </c>
      <c r="M140" t="n">
        <v>0</v>
      </c>
      <c r="N140" t="n">
        <v>25</v>
      </c>
      <c r="O140" t="n">
        <v>25</v>
      </c>
      <c r="P140" t="n">
        <v>25</v>
      </c>
      <c r="Q140" t="n">
        <v>30</v>
      </c>
      <c r="R140" t="n">
        <v>30</v>
      </c>
      <c r="S140" t="n">
        <v>35</v>
      </c>
      <c r="T140" t="n">
        <v>35</v>
      </c>
      <c r="U140" t="n">
        <v>25</v>
      </c>
      <c r="V140" t="n">
        <v>25</v>
      </c>
      <c r="W140" t="n">
        <v>0</v>
      </c>
      <c r="X140" t="n">
        <v>0</v>
      </c>
      <c r="Y140" t="n">
        <v>25</v>
      </c>
      <c r="Z140" t="n">
        <v>25</v>
      </c>
      <c r="AA140" t="n">
        <v>30</v>
      </c>
      <c r="AB140" t="n">
        <v>20</v>
      </c>
      <c r="AC140" t="n">
        <v>20</v>
      </c>
      <c r="AD140" t="n">
        <v>20</v>
      </c>
      <c r="AE140" t="n">
        <v>20</v>
      </c>
      <c r="AF140" t="n">
        <v>20</v>
      </c>
      <c r="AG140" t="n">
        <v>20</v>
      </c>
      <c r="AH140" t="n">
        <v>20</v>
      </c>
      <c r="AI140" t="n">
        <v>20</v>
      </c>
      <c r="AJ140" t="n">
        <v>23</v>
      </c>
      <c r="AK140" t="n">
        <v>23</v>
      </c>
      <c r="AL140" t="n">
        <v>0</v>
      </c>
      <c r="AM140" t="n">
        <v>20</v>
      </c>
      <c r="AN140" t="n">
        <v>20</v>
      </c>
      <c r="AO140" t="n">
        <v>30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B141" s="11" t="n">
        <v>6</v>
      </c>
      <c r="C141" s="18" t="inlineStr">
        <is>
          <t xml:space="preserve">Caja octagonal </t>
        </is>
      </c>
      <c r="D141" s="18" t="inlineStr">
        <is>
          <t>M05-0389</t>
        </is>
      </c>
      <c r="F141" t="n">
        <v>9</v>
      </c>
      <c r="G141" t="n">
        <v>9</v>
      </c>
      <c r="H141" t="n">
        <v>8</v>
      </c>
      <c r="I141" t="n">
        <v>6</v>
      </c>
      <c r="J141" t="n">
        <v>6</v>
      </c>
      <c r="K141" t="n">
        <v>6</v>
      </c>
      <c r="L141" t="n">
        <v>0</v>
      </c>
      <c r="M141" t="n">
        <v>0</v>
      </c>
      <c r="N141" t="n">
        <v>4</v>
      </c>
      <c r="O141" t="n">
        <v>4</v>
      </c>
      <c r="P141" t="n">
        <v>4</v>
      </c>
      <c r="Q141" t="n">
        <v>8</v>
      </c>
      <c r="R141" t="n">
        <v>8</v>
      </c>
      <c r="S141" t="n">
        <v>9</v>
      </c>
      <c r="T141" t="n">
        <v>9</v>
      </c>
      <c r="U141" t="n">
        <v>4</v>
      </c>
      <c r="V141" t="n">
        <v>4</v>
      </c>
      <c r="W141" t="n">
        <v>0</v>
      </c>
      <c r="X141" t="n">
        <v>0</v>
      </c>
      <c r="Y141" t="n">
        <v>4</v>
      </c>
      <c r="Z141" t="n">
        <v>4</v>
      </c>
      <c r="AA141" t="n">
        <v>5</v>
      </c>
      <c r="AB141" t="n">
        <v>6</v>
      </c>
      <c r="AC141" t="n">
        <v>6</v>
      </c>
      <c r="AD141" t="n">
        <v>6</v>
      </c>
      <c r="AE141" t="n">
        <v>6</v>
      </c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 t="n">
        <v>0</v>
      </c>
      <c r="AM141" t="n">
        <v>6</v>
      </c>
      <c r="AN141" t="n">
        <v>6</v>
      </c>
      <c r="AO141" t="n">
        <v>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B142" s="11" t="n">
        <v>7</v>
      </c>
      <c r="C142" s="18" t="inlineStr">
        <is>
          <t>Gaza metaliza  3/4"</t>
        </is>
      </c>
      <c r="D142" s="18" t="inlineStr">
        <is>
          <t>M05-0407</t>
        </is>
      </c>
      <c r="F142" t="n">
        <v>30</v>
      </c>
      <c r="G142" t="n">
        <v>30</v>
      </c>
      <c r="H142" t="n">
        <v>35</v>
      </c>
      <c r="I142" t="n">
        <v>25</v>
      </c>
      <c r="J142" t="n">
        <v>27</v>
      </c>
      <c r="K142" t="n">
        <v>27</v>
      </c>
      <c r="L142" t="n">
        <v>0</v>
      </c>
      <c r="M142" t="n">
        <v>0</v>
      </c>
      <c r="N142" t="n">
        <v>20</v>
      </c>
      <c r="O142" t="n">
        <v>20</v>
      </c>
      <c r="P142" t="n">
        <v>20</v>
      </c>
      <c r="Q142" t="n">
        <v>30</v>
      </c>
      <c r="R142" t="n">
        <v>30</v>
      </c>
      <c r="S142" t="n">
        <v>25</v>
      </c>
      <c r="T142" t="n">
        <v>25</v>
      </c>
      <c r="U142" t="n">
        <v>25</v>
      </c>
      <c r="V142" t="n">
        <v>25</v>
      </c>
      <c r="W142" t="n">
        <v>0</v>
      </c>
      <c r="X142" t="n">
        <v>0</v>
      </c>
      <c r="Y142" t="n">
        <v>25</v>
      </c>
      <c r="Z142" t="n">
        <v>25</v>
      </c>
      <c r="AA142" t="n">
        <v>20</v>
      </c>
      <c r="AB142" t="n">
        <v>30</v>
      </c>
      <c r="AC142" t="n">
        <v>15</v>
      </c>
      <c r="AD142" t="n">
        <v>30</v>
      </c>
      <c r="AE142" t="n">
        <v>15</v>
      </c>
      <c r="AF142" t="n">
        <v>15</v>
      </c>
      <c r="AG142" t="n">
        <v>15</v>
      </c>
      <c r="AH142" t="n">
        <v>15</v>
      </c>
      <c r="AI142" t="n">
        <v>15</v>
      </c>
      <c r="AJ142" t="n">
        <v>30</v>
      </c>
      <c r="AK142" t="n">
        <v>15</v>
      </c>
      <c r="AL142" t="n">
        <v>0</v>
      </c>
      <c r="AM142" t="n">
        <v>15</v>
      </c>
      <c r="AN142" t="n">
        <v>15</v>
      </c>
      <c r="AO142" t="n">
        <v>20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B143" s="11" t="n">
        <v>8</v>
      </c>
      <c r="C143" s="18" t="inlineStr">
        <is>
          <t>Caja  4x4 sencilla</t>
        </is>
      </c>
      <c r="D143" s="18" t="inlineStr">
        <is>
          <t>M05-0223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B144" s="11" t="n">
        <v>9</v>
      </c>
      <c r="C144" s="18" t="inlineStr">
        <is>
          <t>Tapa ciega octagonal</t>
        </is>
      </c>
      <c r="D144" s="18" t="inlineStr">
        <is>
          <t>M05-0015</t>
        </is>
      </c>
      <c r="F144" t="n">
        <v>9</v>
      </c>
      <c r="G144" t="n">
        <v>9</v>
      </c>
      <c r="H144" t="n">
        <v>8</v>
      </c>
      <c r="I144" t="n">
        <v>6</v>
      </c>
      <c r="J144" t="n">
        <v>8</v>
      </c>
      <c r="K144" t="n">
        <v>8</v>
      </c>
      <c r="L144" t="n">
        <v>0</v>
      </c>
      <c r="M144" t="n">
        <v>0</v>
      </c>
      <c r="N144" t="n">
        <v>4</v>
      </c>
      <c r="O144" t="n">
        <v>4</v>
      </c>
      <c r="P144" t="n">
        <v>4</v>
      </c>
      <c r="Q144" t="n">
        <v>8</v>
      </c>
      <c r="R144" t="n">
        <v>8</v>
      </c>
      <c r="S144" t="n">
        <v>9</v>
      </c>
      <c r="T144" t="n">
        <v>9</v>
      </c>
      <c r="U144" t="n">
        <v>9</v>
      </c>
      <c r="V144" t="n">
        <v>9</v>
      </c>
      <c r="W144" t="n">
        <v>0</v>
      </c>
      <c r="X144" t="n">
        <v>0</v>
      </c>
      <c r="Y144" t="n">
        <v>9</v>
      </c>
      <c r="Z144" t="n">
        <v>9</v>
      </c>
      <c r="AA144" t="n">
        <v>5</v>
      </c>
      <c r="AB144" t="n">
        <v>6</v>
      </c>
      <c r="AC144" t="n">
        <v>6</v>
      </c>
      <c r="AD144" t="n">
        <v>6</v>
      </c>
      <c r="AE144" t="n">
        <v>6</v>
      </c>
      <c r="AF144" t="n">
        <v>6</v>
      </c>
      <c r="AG144" t="n">
        <v>6</v>
      </c>
      <c r="AH144" t="n">
        <v>6</v>
      </c>
      <c r="AI144" t="n">
        <v>6</v>
      </c>
      <c r="AJ144" t="n">
        <v>6</v>
      </c>
      <c r="AK144" t="n">
        <v>6</v>
      </c>
      <c r="AL144" t="n">
        <v>0</v>
      </c>
      <c r="AM144" t="n">
        <v>6</v>
      </c>
      <c r="AN144" t="n">
        <v>6</v>
      </c>
      <c r="AO144" t="n">
        <v>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B145" s="11" t="n">
        <v>10</v>
      </c>
      <c r="C145" s="18" t="inlineStr">
        <is>
          <t>Tapa cuadrada ciega MT</t>
        </is>
      </c>
      <c r="D145" s="18" t="inlineStr">
        <is>
          <t>M05-0410</t>
        </is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6</v>
      </c>
      <c r="O145" t="n">
        <v>6</v>
      </c>
      <c r="P145" t="n">
        <v>6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B146" s="11" t="n">
        <v>11</v>
      </c>
      <c r="C146" s="18" t="inlineStr">
        <is>
          <t>scotch plug amarillo</t>
        </is>
      </c>
      <c r="D146" s="18" t="inlineStr">
        <is>
          <t>M05-0007</t>
        </is>
      </c>
      <c r="F146" t="n">
        <v>50</v>
      </c>
      <c r="G146" t="n">
        <v>50</v>
      </c>
      <c r="H146" t="n">
        <v>50</v>
      </c>
      <c r="I146" t="n">
        <v>50</v>
      </c>
      <c r="J146" t="n">
        <v>50</v>
      </c>
      <c r="K146" t="n">
        <v>50</v>
      </c>
      <c r="L146" t="n">
        <v>50</v>
      </c>
      <c r="M146" t="n">
        <v>50</v>
      </c>
      <c r="N146" t="n">
        <v>50</v>
      </c>
      <c r="O146" t="n">
        <v>50</v>
      </c>
      <c r="P146" t="n">
        <v>50</v>
      </c>
      <c r="Q146" t="n">
        <v>50</v>
      </c>
      <c r="R146" t="n">
        <v>50</v>
      </c>
      <c r="S146" t="n">
        <v>50</v>
      </c>
      <c r="T146" t="n">
        <v>50</v>
      </c>
      <c r="U146" t="n">
        <v>50</v>
      </c>
      <c r="V146" t="n">
        <v>50</v>
      </c>
      <c r="W146" t="n">
        <v>50</v>
      </c>
      <c r="X146" t="n">
        <v>50</v>
      </c>
      <c r="Y146" t="n">
        <v>50</v>
      </c>
      <c r="Z146" t="n">
        <v>50</v>
      </c>
      <c r="AA146" t="n">
        <v>50</v>
      </c>
      <c r="AB146" t="n">
        <v>50</v>
      </c>
      <c r="AC146" t="n">
        <v>50</v>
      </c>
      <c r="AD146" t="n">
        <v>50</v>
      </c>
      <c r="AE146" t="n">
        <v>50</v>
      </c>
      <c r="AF146" t="n">
        <v>50</v>
      </c>
      <c r="AG146" t="n">
        <v>50</v>
      </c>
      <c r="AH146" t="n">
        <v>50</v>
      </c>
      <c r="AI146" t="n">
        <v>50</v>
      </c>
      <c r="AJ146" t="n">
        <v>50</v>
      </c>
      <c r="AK146" t="n">
        <v>50</v>
      </c>
      <c r="AL146" t="n">
        <v>50</v>
      </c>
      <c r="AM146" t="n">
        <v>50</v>
      </c>
      <c r="AN146" t="n">
        <v>50</v>
      </c>
      <c r="AO146" t="n">
        <v>50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B147" s="11" t="n">
        <v>12</v>
      </c>
      <c r="C147" s="18" t="inlineStr">
        <is>
          <t>conector empalme rojo</t>
        </is>
      </c>
      <c r="D147" s="18" t="inlineStr">
        <is>
          <t>M05-0008</t>
        </is>
      </c>
      <c r="F147" t="n">
        <v>25</v>
      </c>
      <c r="G147" t="n">
        <v>25</v>
      </c>
      <c r="H147" t="n">
        <v>25</v>
      </c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n">
        <v>25</v>
      </c>
      <c r="Q147" t="n">
        <v>25</v>
      </c>
      <c r="R147" t="n">
        <v>25</v>
      </c>
      <c r="S147" t="n">
        <v>25</v>
      </c>
      <c r="T147" t="n">
        <v>25</v>
      </c>
      <c r="U147" t="n">
        <v>25</v>
      </c>
      <c r="V147" t="n">
        <v>25</v>
      </c>
      <c r="W147" t="n">
        <v>25</v>
      </c>
      <c r="X147" t="n">
        <v>25</v>
      </c>
      <c r="Y147" t="n">
        <v>25</v>
      </c>
      <c r="Z147" t="n">
        <v>25</v>
      </c>
      <c r="AA147" t="n">
        <v>25</v>
      </c>
      <c r="AB147" t="n">
        <v>25</v>
      </c>
      <c r="AC147" t="n">
        <v>25</v>
      </c>
      <c r="AD147" t="n">
        <v>25</v>
      </c>
      <c r="AE147" t="n">
        <v>25</v>
      </c>
      <c r="AF147" t="n">
        <v>25</v>
      </c>
      <c r="AG147" t="n">
        <v>25</v>
      </c>
      <c r="AH147" t="n">
        <v>25</v>
      </c>
      <c r="AI147" t="n">
        <v>25</v>
      </c>
      <c r="AJ147" t="n">
        <v>25</v>
      </c>
      <c r="AK147" t="n">
        <v>25</v>
      </c>
      <c r="AL147" t="n">
        <v>25</v>
      </c>
      <c r="AM147" t="n">
        <v>25</v>
      </c>
      <c r="AN147" t="n">
        <v>25</v>
      </c>
      <c r="AO147" t="n">
        <v>25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B148" s="11" t="n">
        <v>13</v>
      </c>
      <c r="C148" s="18" t="inlineStr">
        <is>
          <t>Tape Super 33</t>
        </is>
      </c>
      <c r="D148" s="18" t="inlineStr">
        <is>
          <t>M05-0019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B149" s="11" t="n">
        <v>14</v>
      </c>
      <c r="C149" s="18" t="inlineStr">
        <is>
          <t>Cable thhn #12 azul</t>
        </is>
      </c>
      <c r="D149" s="18" t="inlineStr">
        <is>
          <t>M05-0259</t>
        </is>
      </c>
      <c r="F149" t="n">
        <v>130</v>
      </c>
      <c r="G149" t="n">
        <v>130</v>
      </c>
      <c r="H149" t="n">
        <v>160</v>
      </c>
      <c r="I149" t="n">
        <v>120</v>
      </c>
      <c r="J149" t="n">
        <v>100</v>
      </c>
      <c r="K149" t="n">
        <v>120</v>
      </c>
      <c r="L149" t="n">
        <v>0</v>
      </c>
      <c r="M149" t="n">
        <v>0</v>
      </c>
      <c r="N149" t="n">
        <v>150</v>
      </c>
      <c r="O149" t="n">
        <v>150</v>
      </c>
      <c r="P149" t="n">
        <v>150</v>
      </c>
      <c r="Q149" t="n">
        <v>140</v>
      </c>
      <c r="R149" t="n">
        <v>160</v>
      </c>
      <c r="S149" t="n">
        <v>150</v>
      </c>
      <c r="T149" t="n">
        <v>170</v>
      </c>
      <c r="U149" t="n">
        <v>180</v>
      </c>
      <c r="V149" t="n">
        <v>200</v>
      </c>
      <c r="W149" t="n">
        <v>0</v>
      </c>
      <c r="X149" t="n">
        <v>0</v>
      </c>
      <c r="Y149" t="n">
        <v>180</v>
      </c>
      <c r="Z149" t="n">
        <v>200</v>
      </c>
      <c r="AA149" t="n">
        <v>200</v>
      </c>
      <c r="AB149" t="n">
        <v>150</v>
      </c>
      <c r="AC149" t="n">
        <v>170</v>
      </c>
      <c r="AD149" t="n">
        <v>150</v>
      </c>
      <c r="AE149" t="n">
        <v>170</v>
      </c>
      <c r="AF149" t="n">
        <v>170</v>
      </c>
      <c r="AG149" t="n">
        <v>170</v>
      </c>
      <c r="AH149" t="n">
        <v>170</v>
      </c>
      <c r="AI149" t="n">
        <v>170</v>
      </c>
      <c r="AJ149" t="n">
        <v>150</v>
      </c>
      <c r="AK149" t="n">
        <v>170</v>
      </c>
      <c r="AL149" t="n">
        <v>0</v>
      </c>
      <c r="AM149" t="n">
        <v>170</v>
      </c>
      <c r="AN149" t="n">
        <v>170</v>
      </c>
      <c r="AO149" t="n">
        <v>200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B150" s="11" t="n">
        <v>15</v>
      </c>
      <c r="C150" s="18" t="inlineStr">
        <is>
          <t>Cable thhn #12 blanco</t>
        </is>
      </c>
      <c r="D150" s="18" t="inlineStr">
        <is>
          <t>M05-0259</t>
        </is>
      </c>
      <c r="F150" t="n">
        <v>130</v>
      </c>
      <c r="G150" t="n">
        <v>130</v>
      </c>
      <c r="H150" t="n">
        <v>160</v>
      </c>
      <c r="I150" t="n">
        <v>100</v>
      </c>
      <c r="J150" t="n">
        <v>100</v>
      </c>
      <c r="K150" t="n">
        <v>120</v>
      </c>
      <c r="L150" t="n">
        <v>0</v>
      </c>
      <c r="M150" t="n">
        <v>0</v>
      </c>
      <c r="N150" t="n">
        <v>200</v>
      </c>
      <c r="O150" t="n">
        <v>200</v>
      </c>
      <c r="P150" t="n">
        <v>200</v>
      </c>
      <c r="Q150" t="n">
        <v>140</v>
      </c>
      <c r="R150" t="n">
        <v>160</v>
      </c>
      <c r="S150" t="n">
        <v>150</v>
      </c>
      <c r="T150" t="n">
        <v>170</v>
      </c>
      <c r="U150" t="n">
        <v>180</v>
      </c>
      <c r="V150" t="n">
        <v>200</v>
      </c>
      <c r="W150" t="n">
        <v>0</v>
      </c>
      <c r="X150" t="n">
        <v>0</v>
      </c>
      <c r="Y150" t="n">
        <v>180</v>
      </c>
      <c r="Z150" t="n">
        <v>200</v>
      </c>
      <c r="AA150" t="n">
        <v>200</v>
      </c>
      <c r="AB150" t="n">
        <v>150</v>
      </c>
      <c r="AC150" t="n">
        <v>170</v>
      </c>
      <c r="AD150" t="n">
        <v>150</v>
      </c>
      <c r="AE150" t="n">
        <v>170</v>
      </c>
      <c r="AF150" t="n">
        <v>170</v>
      </c>
      <c r="AG150" t="n">
        <v>170</v>
      </c>
      <c r="AH150" t="n">
        <v>170</v>
      </c>
      <c r="AI150" t="n">
        <v>170</v>
      </c>
      <c r="AJ150" t="n">
        <v>150</v>
      </c>
      <c r="AK150" t="n">
        <v>170</v>
      </c>
      <c r="AL150" t="n">
        <v>0</v>
      </c>
      <c r="AM150" t="n">
        <v>170</v>
      </c>
      <c r="AN150" t="n">
        <v>170</v>
      </c>
      <c r="AO150" t="n">
        <v>200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B151" s="11" t="n">
        <v>16</v>
      </c>
      <c r="C151" s="18" t="inlineStr">
        <is>
          <t>Cable thhn #12 negro</t>
        </is>
      </c>
      <c r="D151" s="18" t="inlineStr">
        <is>
          <t>M05-0259</t>
        </is>
      </c>
      <c r="F151" t="n">
        <v>130</v>
      </c>
      <c r="G151" t="n">
        <v>130</v>
      </c>
      <c r="H151" t="n">
        <v>180</v>
      </c>
      <c r="I151" t="n">
        <v>130</v>
      </c>
      <c r="J151" t="n">
        <v>120</v>
      </c>
      <c r="K151" t="n">
        <v>120</v>
      </c>
      <c r="L151" t="n">
        <v>0</v>
      </c>
      <c r="M151" t="n">
        <v>0</v>
      </c>
      <c r="N151" t="n">
        <v>200</v>
      </c>
      <c r="O151" t="n">
        <v>200</v>
      </c>
      <c r="P151" t="n">
        <v>200</v>
      </c>
      <c r="Q151" t="n">
        <v>140</v>
      </c>
      <c r="R151" t="n">
        <v>160</v>
      </c>
      <c r="S151" t="n">
        <v>150</v>
      </c>
      <c r="T151" t="n">
        <v>170</v>
      </c>
      <c r="U151" t="n">
        <v>180</v>
      </c>
      <c r="V151" t="n">
        <v>200</v>
      </c>
      <c r="W151" t="n">
        <v>0</v>
      </c>
      <c r="X151" t="n">
        <v>0</v>
      </c>
      <c r="Y151" t="n">
        <v>180</v>
      </c>
      <c r="Z151" t="n">
        <v>200</v>
      </c>
      <c r="AA151" t="n">
        <v>200</v>
      </c>
      <c r="AB151" t="n">
        <v>150</v>
      </c>
      <c r="AC151" t="n">
        <v>170</v>
      </c>
      <c r="AD151" t="n">
        <v>150</v>
      </c>
      <c r="AE151" t="n">
        <v>170</v>
      </c>
      <c r="AF151" t="n">
        <v>170</v>
      </c>
      <c r="AG151" t="n">
        <v>170</v>
      </c>
      <c r="AH151" t="n">
        <v>170</v>
      </c>
      <c r="AI151" t="n">
        <v>170</v>
      </c>
      <c r="AJ151" t="n">
        <v>150</v>
      </c>
      <c r="AK151" t="n">
        <v>170</v>
      </c>
      <c r="AL151" t="n">
        <v>0</v>
      </c>
      <c r="AM151" t="n">
        <v>170</v>
      </c>
      <c r="AN151" t="n">
        <v>170</v>
      </c>
      <c r="AO151" t="n">
        <v>200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B152" s="11" t="n">
        <v>17</v>
      </c>
      <c r="C152" s="18" t="inlineStr">
        <is>
          <t>Cable thhn #12 verde</t>
        </is>
      </c>
      <c r="D152" s="18" t="inlineStr">
        <is>
          <t>M05-0259</t>
        </is>
      </c>
      <c r="F152" t="n">
        <v>150</v>
      </c>
      <c r="G152" t="n">
        <v>150</v>
      </c>
      <c r="H152" t="n">
        <v>160</v>
      </c>
      <c r="I152" t="n">
        <v>150</v>
      </c>
      <c r="J152" t="n">
        <v>130</v>
      </c>
      <c r="K152" t="n">
        <v>130</v>
      </c>
      <c r="L152" t="n">
        <v>0</v>
      </c>
      <c r="M152" t="n">
        <v>0</v>
      </c>
      <c r="N152" t="n">
        <v>150</v>
      </c>
      <c r="O152" t="n">
        <v>150</v>
      </c>
      <c r="P152" t="n">
        <v>150</v>
      </c>
      <c r="Q152" t="n">
        <v>140</v>
      </c>
      <c r="R152" t="n">
        <v>160</v>
      </c>
      <c r="S152" t="n">
        <v>150</v>
      </c>
      <c r="T152" t="n">
        <v>170</v>
      </c>
      <c r="U152" t="n">
        <v>180</v>
      </c>
      <c r="V152" t="n">
        <v>200</v>
      </c>
      <c r="W152" t="n">
        <v>0</v>
      </c>
      <c r="X152" t="n">
        <v>0</v>
      </c>
      <c r="Y152" t="n">
        <v>180</v>
      </c>
      <c r="Z152" t="n">
        <v>200</v>
      </c>
      <c r="AA152" t="n">
        <v>200</v>
      </c>
      <c r="AB152" t="n">
        <v>150</v>
      </c>
      <c r="AC152" t="n">
        <v>170</v>
      </c>
      <c r="AD152" t="n">
        <v>150</v>
      </c>
      <c r="AE152" t="n">
        <v>170</v>
      </c>
      <c r="AF152" t="n">
        <v>170</v>
      </c>
      <c r="AG152" t="n">
        <v>170</v>
      </c>
      <c r="AH152" t="n">
        <v>170</v>
      </c>
      <c r="AI152" t="n">
        <v>170</v>
      </c>
      <c r="AJ152" t="n">
        <v>150</v>
      </c>
      <c r="AK152" t="n">
        <v>170</v>
      </c>
      <c r="AL152" t="n">
        <v>0</v>
      </c>
      <c r="AM152" t="n">
        <v>170</v>
      </c>
      <c r="AN152" t="n">
        <v>170</v>
      </c>
      <c r="AO152" t="n">
        <v>200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B153" s="11" t="n">
        <v>18</v>
      </c>
      <c r="C153" s="18" t="inlineStr">
        <is>
          <t>Conector para TSJ</t>
        </is>
      </c>
      <c r="D153" s="18" t="inlineStr">
        <is>
          <t>M05-0399</t>
        </is>
      </c>
      <c r="F153" t="n">
        <v>15</v>
      </c>
      <c r="G153" t="n">
        <v>15</v>
      </c>
      <c r="H153" t="n">
        <v>15</v>
      </c>
      <c r="I153" t="n">
        <v>15</v>
      </c>
      <c r="J153" t="n">
        <v>15</v>
      </c>
      <c r="K153" t="n">
        <v>15</v>
      </c>
      <c r="L153" t="n">
        <v>15</v>
      </c>
      <c r="M153" t="n">
        <v>15</v>
      </c>
      <c r="N153" t="n">
        <v>15</v>
      </c>
      <c r="O153" t="n">
        <v>15</v>
      </c>
      <c r="P153" t="n">
        <v>15</v>
      </c>
      <c r="Q153" t="n">
        <v>15</v>
      </c>
      <c r="R153" t="n">
        <v>15</v>
      </c>
      <c r="S153" t="n">
        <v>16</v>
      </c>
      <c r="T153" t="n">
        <v>16</v>
      </c>
      <c r="U153" t="n">
        <v>10</v>
      </c>
      <c r="V153" t="n">
        <v>10</v>
      </c>
      <c r="W153" t="n">
        <v>10</v>
      </c>
      <c r="X153" t="n">
        <v>10</v>
      </c>
      <c r="Y153" t="n">
        <v>10</v>
      </c>
      <c r="Z153" t="n">
        <v>10</v>
      </c>
      <c r="AA153" t="n">
        <v>10</v>
      </c>
      <c r="AB153" t="n">
        <v>10</v>
      </c>
      <c r="AC153" t="n">
        <v>10</v>
      </c>
      <c r="AD153" t="n">
        <v>10</v>
      </c>
      <c r="AE153" t="n">
        <v>10</v>
      </c>
      <c r="AF153" t="n">
        <v>10</v>
      </c>
      <c r="AG153" t="n">
        <v>10</v>
      </c>
      <c r="AH153" t="n">
        <v>10</v>
      </c>
      <c r="AI153" t="n">
        <v>10</v>
      </c>
      <c r="AJ153" t="n">
        <v>10</v>
      </c>
      <c r="AK153" t="n">
        <v>10</v>
      </c>
      <c r="AL153" t="n">
        <v>10</v>
      </c>
      <c r="AM153" t="n">
        <v>10</v>
      </c>
      <c r="AN153" t="n">
        <v>10</v>
      </c>
      <c r="AO153" t="n">
        <v>10</v>
      </c>
      <c r="AP153" t="n">
        <v>10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B154" s="11" t="n">
        <v>19</v>
      </c>
      <c r="C154" s="18" t="inlineStr">
        <is>
          <t>Conector resorte amarillo</t>
        </is>
      </c>
      <c r="D154" s="18" t="inlineStr">
        <is>
          <t>M05-0011</t>
        </is>
      </c>
      <c r="F154" t="n">
        <v>50</v>
      </c>
      <c r="G154" t="n">
        <v>50</v>
      </c>
      <c r="H154" t="n">
        <v>50</v>
      </c>
      <c r="I154" t="n">
        <v>50</v>
      </c>
      <c r="J154" t="n">
        <v>50</v>
      </c>
      <c r="K154" t="n">
        <v>50</v>
      </c>
      <c r="L154" t="n">
        <v>50</v>
      </c>
      <c r="M154" t="n">
        <v>50</v>
      </c>
      <c r="N154" t="n">
        <v>50</v>
      </c>
      <c r="O154" t="n">
        <v>50</v>
      </c>
      <c r="P154" t="n">
        <v>50</v>
      </c>
      <c r="Q154" t="n">
        <v>50</v>
      </c>
      <c r="R154" t="n">
        <v>50</v>
      </c>
      <c r="S154" t="n">
        <v>50</v>
      </c>
      <c r="T154" t="n">
        <v>50</v>
      </c>
      <c r="U154" t="n">
        <v>50</v>
      </c>
      <c r="V154" t="n">
        <v>50</v>
      </c>
      <c r="W154" t="n">
        <v>50</v>
      </c>
      <c r="X154" t="n">
        <v>50</v>
      </c>
      <c r="Y154" t="n">
        <v>50</v>
      </c>
      <c r="Z154" t="n">
        <v>50</v>
      </c>
      <c r="AA154" t="n">
        <v>50</v>
      </c>
      <c r="AB154" t="n">
        <v>50</v>
      </c>
      <c r="AC154" t="n">
        <v>50</v>
      </c>
      <c r="AD154" t="n">
        <v>50</v>
      </c>
      <c r="AE154" t="n">
        <v>50</v>
      </c>
      <c r="AF154" t="n">
        <v>50</v>
      </c>
      <c r="AG154" t="n">
        <v>50</v>
      </c>
      <c r="AH154" t="n">
        <v>50</v>
      </c>
      <c r="AI154" t="n">
        <v>50</v>
      </c>
      <c r="AJ154" t="n">
        <v>50</v>
      </c>
      <c r="AK154" t="n">
        <v>50</v>
      </c>
      <c r="AL154" t="n">
        <v>50</v>
      </c>
      <c r="AM154" t="n">
        <v>50</v>
      </c>
      <c r="AN154" t="n">
        <v>50</v>
      </c>
      <c r="AO154" t="n">
        <v>50</v>
      </c>
      <c r="AP154" t="n">
        <v>50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B155" s="11" t="n">
        <v>20</v>
      </c>
      <c r="C155" s="18" t="inlineStr">
        <is>
          <t>Cilindro de gas</t>
        </is>
      </c>
      <c r="D155" s="18" t="inlineStr">
        <is>
          <t>M06-0197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B156" s="11" t="n">
        <v>21</v>
      </c>
      <c r="C156" s="18" t="inlineStr">
        <is>
          <t>Regla 1x3 sin cepillar</t>
        </is>
      </c>
      <c r="D156" s="18" t="inlineStr">
        <is>
          <t>M09-0042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B157" s="11" t="n">
        <v>22</v>
      </c>
      <c r="C157" s="18" t="inlineStr">
        <is>
          <t>Tornillo 7/16 p/broca</t>
        </is>
      </c>
      <c r="D157" s="18" t="inlineStr">
        <is>
          <t>M06-0109</t>
        </is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B158" s="11" t="n">
        <v>23</v>
      </c>
      <c r="C158" s="18" t="inlineStr">
        <is>
          <t>Tubo 19mm 3/4"</t>
        </is>
      </c>
      <c r="D158" s="18" t="inlineStr">
        <is>
          <t>M05-0371</t>
        </is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2</v>
      </c>
      <c r="AP158" t="n">
        <v>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B159" s="11" t="n">
        <v>24</v>
      </c>
      <c r="C159" s="18" t="inlineStr">
        <is>
          <t>Conector  3/4" UL</t>
        </is>
      </c>
      <c r="D159" s="18" t="inlineStr">
        <is>
          <t>M05-0477</t>
        </is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5</v>
      </c>
      <c r="O159" t="n">
        <v>5</v>
      </c>
      <c r="P159" t="n">
        <v>5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  <c r="AO159" t="n">
        <v>4</v>
      </c>
      <c r="AP159" t="n">
        <v>4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B160" s="11" t="n">
        <v>25</v>
      </c>
      <c r="C160" s="18" t="inlineStr">
        <is>
          <t>Union 19mm 3/4"</t>
        </is>
      </c>
      <c r="D160" s="18" t="inlineStr">
        <is>
          <t>M05-0375</t>
        </is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B161" s="11" t="n">
        <v>26</v>
      </c>
      <c r="C161" s="18" t="inlineStr">
        <is>
          <t>Curva 19mm 3/4"</t>
        </is>
      </c>
      <c r="D161" s="18" t="inlineStr">
        <is>
          <t>M05-0367</t>
        </is>
      </c>
      <c r="F161" t="n">
        <v>4</v>
      </c>
      <c r="G161" t="n">
        <v>4</v>
      </c>
      <c r="H161" t="n">
        <v>4</v>
      </c>
      <c r="I161" t="n">
        <v>4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4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4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B162" s="11" t="n">
        <v>27</v>
      </c>
      <c r="C162" s="18" t="inlineStr">
        <is>
          <t>Caja cuadrada 4x4 doble 1/2</t>
        </is>
      </c>
      <c r="D162" s="18" t="inlineStr">
        <is>
          <t>M05-0385</t>
        </is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5</v>
      </c>
      <c r="O162" t="n">
        <v>5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4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B163" s="11" t="n">
        <v>28</v>
      </c>
      <c r="C163" s="18" t="inlineStr">
        <is>
          <t>Tornillo 1 1/4" p/fina</t>
        </is>
      </c>
      <c r="D163" s="18" t="inlineStr">
        <is>
          <t>M06-0116</t>
        </is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n">
        <v>100</v>
      </c>
      <c r="U163" t="n">
        <v>100</v>
      </c>
      <c r="V163" t="n">
        <v>100</v>
      </c>
      <c r="W163" t="n">
        <v>100</v>
      </c>
      <c r="X163" t="n">
        <v>100</v>
      </c>
      <c r="Y163" t="n">
        <v>100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n">
        <v>100</v>
      </c>
      <c r="AF163" t="n">
        <v>100</v>
      </c>
      <c r="AG163" t="n">
        <v>100</v>
      </c>
      <c r="AH163" t="n">
        <v>100</v>
      </c>
      <c r="AI163" t="n">
        <v>100</v>
      </c>
      <c r="AJ163" t="n">
        <v>100</v>
      </c>
      <c r="AK163" t="n">
        <v>100</v>
      </c>
      <c r="AL163" t="n">
        <v>100</v>
      </c>
      <c r="AM163" t="n">
        <v>100</v>
      </c>
      <c r="AN163" t="n">
        <v>100</v>
      </c>
      <c r="AO163" t="n">
        <v>100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B164" s="11" t="n">
        <v>29</v>
      </c>
      <c r="C164" s="18" t="inlineStr">
        <is>
          <t>Caja rectangular  salida 1/2</t>
        </is>
      </c>
      <c r="D164" s="18" t="inlineStr">
        <is>
          <t>M05-0390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7</v>
      </c>
      <c r="O164" t="n">
        <v>7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  <c r="W164" t="n">
        <v>6</v>
      </c>
      <c r="X164" t="n">
        <v>6</v>
      </c>
      <c r="Y164" t="n">
        <v>6</v>
      </c>
      <c r="Z164" t="n">
        <v>6</v>
      </c>
      <c r="AA164" t="n">
        <v>6</v>
      </c>
      <c r="AB164" t="n">
        <v>4</v>
      </c>
      <c r="AC164" t="n">
        <v>4</v>
      </c>
      <c r="AD164" t="n">
        <v>4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B165" s="11" t="n">
        <v>30</v>
      </c>
      <c r="C165" s="18" t="inlineStr">
        <is>
          <t>Cable thhn #12 rojo</t>
        </is>
      </c>
      <c r="D165" s="18" t="inlineStr">
        <is>
          <t>M05-0258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35</v>
      </c>
      <c r="O165" t="n">
        <v>35</v>
      </c>
      <c r="P165" t="n">
        <v>35</v>
      </c>
      <c r="Q165" t="n">
        <v>0</v>
      </c>
      <c r="R165" t="n">
        <v>0</v>
      </c>
      <c r="S165" t="n">
        <v>0</v>
      </c>
      <c r="T165" t="n">
        <v>0</v>
      </c>
      <c r="U165" t="n">
        <v>35</v>
      </c>
      <c r="V165" t="n">
        <v>35</v>
      </c>
      <c r="W165" t="n">
        <v>35</v>
      </c>
      <c r="X165" t="n">
        <v>35</v>
      </c>
      <c r="Y165" t="n">
        <v>35</v>
      </c>
      <c r="Z165" t="n">
        <v>35</v>
      </c>
      <c r="AA165" t="n">
        <v>35</v>
      </c>
      <c r="AB165" t="n">
        <v>35</v>
      </c>
      <c r="AC165" t="n">
        <v>35</v>
      </c>
      <c r="AD165" t="n">
        <v>35</v>
      </c>
      <c r="AE165" t="n">
        <v>35</v>
      </c>
      <c r="AF165" t="n">
        <v>35</v>
      </c>
      <c r="AG165" t="n">
        <v>35</v>
      </c>
      <c r="AH165" t="n">
        <v>35</v>
      </c>
      <c r="AI165" t="n">
        <v>35</v>
      </c>
      <c r="AJ165" t="n">
        <v>35</v>
      </c>
      <c r="AK165" t="n">
        <v>35</v>
      </c>
      <c r="AL165" t="n">
        <v>35</v>
      </c>
      <c r="AM165" t="n">
        <v>35</v>
      </c>
      <c r="AN165" t="n">
        <v>35</v>
      </c>
      <c r="AO165" t="n">
        <v>35</v>
      </c>
      <c r="AP165" t="n">
        <v>35</v>
      </c>
      <c r="AQ165" t="n">
        <v>35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B166" s="835" t="inlineStr">
        <is>
          <t>TABLERO</t>
        </is>
      </c>
      <c r="C166" s="59" t="n"/>
      <c r="D166" s="60" t="n"/>
    </row>
    <row r="167">
      <c r="B167" s="11" t="n">
        <v>1</v>
      </c>
      <c r="C167" s="18" t="inlineStr">
        <is>
          <t>Conector  1 1/2" UL</t>
        </is>
      </c>
      <c r="D167" s="18" t="inlineStr">
        <is>
          <t>M05-0363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B168" s="11" t="n">
        <v>2</v>
      </c>
      <c r="C168" s="18" t="inlineStr">
        <is>
          <t>Conector  1" UL</t>
        </is>
      </c>
      <c r="D168" s="18" t="inlineStr">
        <is>
          <t>M05-0364</t>
        </is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2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2</v>
      </c>
      <c r="AP168" t="n">
        <v>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B169" s="11" t="n">
        <v>3</v>
      </c>
      <c r="C169" s="18" t="inlineStr">
        <is>
          <t>Conector de 1/2" UL</t>
        </is>
      </c>
      <c r="D169" s="18" t="inlineStr">
        <is>
          <t>M05-0476</t>
        </is>
      </c>
      <c r="F169" t="n">
        <v>20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t="n">
        <v>20</v>
      </c>
      <c r="M169" t="n">
        <v>20</v>
      </c>
      <c r="N169" t="n">
        <v>20</v>
      </c>
      <c r="O169" t="n">
        <v>20</v>
      </c>
      <c r="P169" t="n">
        <v>20</v>
      </c>
      <c r="Q169" t="n">
        <v>20</v>
      </c>
      <c r="R169" t="n">
        <v>20</v>
      </c>
      <c r="S169" t="n">
        <v>20</v>
      </c>
      <c r="T169" t="n">
        <v>20</v>
      </c>
      <c r="U169" t="n">
        <v>20</v>
      </c>
      <c r="V169" t="n">
        <v>20</v>
      </c>
      <c r="W169" t="n">
        <v>20</v>
      </c>
      <c r="X169" t="n">
        <v>20</v>
      </c>
      <c r="Y169" t="n">
        <v>20</v>
      </c>
      <c r="Z169" t="n">
        <v>20</v>
      </c>
      <c r="AA169" t="n">
        <v>20</v>
      </c>
      <c r="AB169" t="n">
        <v>20</v>
      </c>
      <c r="AC169" t="n">
        <v>20</v>
      </c>
      <c r="AD169" t="n">
        <v>20</v>
      </c>
      <c r="AE169" t="n">
        <v>20</v>
      </c>
      <c r="AF169" t="n">
        <v>20</v>
      </c>
      <c r="AG169" t="n">
        <v>20</v>
      </c>
      <c r="AH169" t="n">
        <v>20</v>
      </c>
      <c r="AI169" t="n">
        <v>20</v>
      </c>
      <c r="AJ169" t="n">
        <v>20</v>
      </c>
      <c r="AK169" t="n">
        <v>20</v>
      </c>
      <c r="AL169" t="n">
        <v>20</v>
      </c>
      <c r="AM169" t="n">
        <v>20</v>
      </c>
      <c r="AN169" t="n">
        <v>20</v>
      </c>
      <c r="AO169" t="n">
        <v>20</v>
      </c>
      <c r="AP169" t="n">
        <v>20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B170" s="11" t="n">
        <v>4</v>
      </c>
      <c r="C170" s="18" t="inlineStr">
        <is>
          <t>Conector  3/4" UL</t>
        </is>
      </c>
      <c r="D170" s="18" t="inlineStr">
        <is>
          <t>M05-0477</t>
        </is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10</v>
      </c>
      <c r="O170" t="n">
        <v>10</v>
      </c>
      <c r="P170" t="n">
        <v>10</v>
      </c>
      <c r="Q170" t="n">
        <v>10</v>
      </c>
      <c r="R170" t="n">
        <v>10</v>
      </c>
      <c r="S170" t="n">
        <v>10</v>
      </c>
      <c r="T170" t="n">
        <v>10</v>
      </c>
      <c r="U170" t="n">
        <v>10</v>
      </c>
      <c r="V170" t="n">
        <v>10</v>
      </c>
      <c r="W170" t="n">
        <v>10</v>
      </c>
      <c r="X170" t="n">
        <v>10</v>
      </c>
      <c r="Y170" t="n">
        <v>10</v>
      </c>
      <c r="Z170" t="n">
        <v>10</v>
      </c>
      <c r="AA170" t="n">
        <v>10</v>
      </c>
      <c r="AB170" t="n">
        <v>10</v>
      </c>
      <c r="AC170" t="n">
        <v>10</v>
      </c>
      <c r="AD170" t="n">
        <v>10</v>
      </c>
      <c r="AE170" t="n">
        <v>10</v>
      </c>
      <c r="AF170" t="n">
        <v>10</v>
      </c>
      <c r="AG170" t="n">
        <v>10</v>
      </c>
      <c r="AH170" t="n">
        <v>10</v>
      </c>
      <c r="AI170" t="n">
        <v>10</v>
      </c>
      <c r="AJ170" t="n">
        <v>10</v>
      </c>
      <c r="AK170" t="n">
        <v>10</v>
      </c>
      <c r="AL170" t="n">
        <v>10</v>
      </c>
      <c r="AM170" t="n">
        <v>10</v>
      </c>
      <c r="AN170" t="n">
        <v>10</v>
      </c>
      <c r="AO170" t="n">
        <v>10</v>
      </c>
      <c r="AP170" t="n">
        <v>10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B171" s="11" t="n">
        <v>5</v>
      </c>
      <c r="C171" s="18" t="inlineStr">
        <is>
          <t>Union 38mm 1 1/2"</t>
        </is>
      </c>
      <c r="D171" s="18" t="inlineStr">
        <is>
          <t>M05-0372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B172" s="11" t="n">
        <v>6</v>
      </c>
      <c r="C172" s="18" t="inlineStr">
        <is>
          <t>Union 25mm 1"</t>
        </is>
      </c>
      <c r="D172" s="18" t="inlineStr">
        <is>
          <t>M05-0373</t>
        </is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B173" s="11" t="n">
        <v>7</v>
      </c>
      <c r="C173" s="18" t="inlineStr">
        <is>
          <t>Union 13mm 1/2"</t>
        </is>
      </c>
      <c r="D173" s="18" t="inlineStr">
        <is>
          <t>M05-0374</t>
        </is>
      </c>
      <c r="F173" t="n">
        <v>10</v>
      </c>
      <c r="G173" t="n">
        <v>10</v>
      </c>
      <c r="H173" t="n">
        <v>10</v>
      </c>
      <c r="I173" t="n">
        <v>10</v>
      </c>
      <c r="J173" t="n">
        <v>13</v>
      </c>
      <c r="K173" t="n">
        <v>13</v>
      </c>
      <c r="L173" t="n">
        <v>13</v>
      </c>
      <c r="M173" t="n">
        <v>13</v>
      </c>
      <c r="N173" t="n">
        <v>13</v>
      </c>
      <c r="O173" t="n">
        <v>13</v>
      </c>
      <c r="P173" t="n">
        <v>13</v>
      </c>
      <c r="Q173" t="n">
        <v>13</v>
      </c>
      <c r="R173" t="n">
        <v>13</v>
      </c>
      <c r="S173" t="n">
        <v>13</v>
      </c>
      <c r="T173" t="n">
        <v>13</v>
      </c>
      <c r="U173" t="n">
        <v>13</v>
      </c>
      <c r="V173" t="n">
        <v>13</v>
      </c>
      <c r="W173" t="n">
        <v>13</v>
      </c>
      <c r="X173" t="n">
        <v>13</v>
      </c>
      <c r="Y173" t="n">
        <v>13</v>
      </c>
      <c r="Z173" t="n">
        <v>13</v>
      </c>
      <c r="AA173" t="n">
        <v>13</v>
      </c>
      <c r="AB173" t="n">
        <v>13</v>
      </c>
      <c r="AC173" t="n">
        <v>13</v>
      </c>
      <c r="AD173" t="n">
        <v>13</v>
      </c>
      <c r="AE173" t="n">
        <v>13</v>
      </c>
      <c r="AF173" t="n">
        <v>13</v>
      </c>
      <c r="AG173" t="n">
        <v>13</v>
      </c>
      <c r="AH173" t="n">
        <v>13</v>
      </c>
      <c r="AI173" t="n">
        <v>13</v>
      </c>
      <c r="AJ173" t="n">
        <v>13</v>
      </c>
      <c r="AK173" t="n">
        <v>13</v>
      </c>
      <c r="AL173" t="n">
        <v>13</v>
      </c>
      <c r="AM173" t="n">
        <v>13</v>
      </c>
      <c r="AN173" t="n">
        <v>13</v>
      </c>
      <c r="AO173" t="n">
        <v>13</v>
      </c>
      <c r="AP173" t="n">
        <v>13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B174" s="11" t="n">
        <v>8</v>
      </c>
      <c r="C174" s="18" t="inlineStr">
        <is>
          <t>Union 19mm 3/4"</t>
        </is>
      </c>
      <c r="D174" s="18" t="inlineStr">
        <is>
          <t>M05-0375</t>
        </is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  <c r="L174" t="n">
        <v>10</v>
      </c>
      <c r="M174" t="n">
        <v>10</v>
      </c>
      <c r="N174" t="n">
        <v>10</v>
      </c>
      <c r="O174" t="n">
        <v>10</v>
      </c>
      <c r="P174" t="n">
        <v>10</v>
      </c>
      <c r="Q174" t="n">
        <v>10</v>
      </c>
      <c r="R174" t="n">
        <v>10</v>
      </c>
      <c r="S174" t="n">
        <v>10</v>
      </c>
      <c r="T174" t="n">
        <v>10</v>
      </c>
      <c r="U174" t="n">
        <v>10</v>
      </c>
      <c r="V174" t="n">
        <v>10</v>
      </c>
      <c r="W174" t="n">
        <v>10</v>
      </c>
      <c r="X174" t="n">
        <v>10</v>
      </c>
      <c r="Y174" t="n">
        <v>10</v>
      </c>
      <c r="Z174" t="n">
        <v>10</v>
      </c>
      <c r="AA174" t="n">
        <v>10</v>
      </c>
      <c r="AB174" t="n">
        <v>10</v>
      </c>
      <c r="AC174" t="n">
        <v>10</v>
      </c>
      <c r="AD174" t="n">
        <v>10</v>
      </c>
      <c r="AE174" t="n">
        <v>10</v>
      </c>
      <c r="AF174" t="n">
        <v>10</v>
      </c>
      <c r="AG174" t="n">
        <v>10</v>
      </c>
      <c r="AH174" t="n">
        <v>10</v>
      </c>
      <c r="AI174" t="n">
        <v>10</v>
      </c>
      <c r="AJ174" t="n">
        <v>10</v>
      </c>
      <c r="AK174" t="n">
        <v>10</v>
      </c>
      <c r="AL174" t="n">
        <v>10</v>
      </c>
      <c r="AM174" t="n">
        <v>10</v>
      </c>
      <c r="AN174" t="n">
        <v>10</v>
      </c>
      <c r="AO174" t="n">
        <v>10</v>
      </c>
      <c r="AP174" t="n">
        <v>10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B175" s="11" t="n">
        <v>9</v>
      </c>
      <c r="C175" s="18" t="inlineStr">
        <is>
          <t>Regla 1x3 sin cepillar</t>
        </is>
      </c>
      <c r="D175" s="18" t="inlineStr">
        <is>
          <t>M09-0042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B176" s="11" t="n">
        <v>10</v>
      </c>
      <c r="C176" s="18" t="inlineStr">
        <is>
          <t>Caja rectangular  salida 1/2</t>
        </is>
      </c>
      <c r="D176" s="18" t="inlineStr">
        <is>
          <t>M05-0390</t>
        </is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1</v>
      </c>
      <c r="Q176" t="n">
        <v>2</v>
      </c>
      <c r="R176" t="n">
        <v>2</v>
      </c>
      <c r="S176" t="n">
        <v>2</v>
      </c>
      <c r="T176" t="n">
        <v>2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B177" s="11" t="n">
        <v>11</v>
      </c>
      <c r="C177" s="18" t="inlineStr">
        <is>
          <t>Centro Carga 24 espacios</t>
        </is>
      </c>
      <c r="D177" s="18" t="inlineStr">
        <is>
          <t>M05-0315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B178" s="11" t="n">
        <v>12</v>
      </c>
      <c r="C178" s="18" t="inlineStr">
        <is>
          <t>Gabinete 15" plastico</t>
        </is>
      </c>
      <c r="D178" s="18" t="inlineStr">
        <is>
          <t>M05-0013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B179" s="11" t="n">
        <v>13</v>
      </c>
      <c r="C179" s="18" t="inlineStr">
        <is>
          <t>Curva 13mm 1/2"</t>
        </is>
      </c>
      <c r="D179" s="18" t="inlineStr">
        <is>
          <t>M05-0361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B180" s="11" t="n">
        <v>14</v>
      </c>
      <c r="C180" s="18" t="inlineStr">
        <is>
          <t>Centro de Carga 30 espacios</t>
        </is>
      </c>
      <c r="D180" s="18" t="inlineStr">
        <is>
          <t>M05-0331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B181" s="11" t="n">
        <v>15</v>
      </c>
      <c r="C181" s="18" t="inlineStr">
        <is>
          <t>Caja cuadrada 4x4 doble 1/2</t>
        </is>
      </c>
      <c r="D181" s="18" t="inlineStr">
        <is>
          <t>M05-0385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B182" s="11" t="n">
        <v>16</v>
      </c>
      <c r="C182" s="18" t="n">
        <v>0</v>
      </c>
      <c r="D182" s="18" t="inlineStr">
        <is>
          <t>M05-0362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B183" s="11" t="n">
        <v>17</v>
      </c>
      <c r="C183" s="18" t="n">
        <v>0</v>
      </c>
      <c r="D183" s="18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B184" s="11" t="n">
        <v>18</v>
      </c>
      <c r="C184" s="18" t="n">
        <v>0</v>
      </c>
      <c r="D184" s="18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B185" s="11" t="n">
        <v>19</v>
      </c>
      <c r="C185" s="18" t="n">
        <v>0</v>
      </c>
      <c r="D185" s="18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B186" s="11" t="n">
        <v>20</v>
      </c>
      <c r="C186" s="18" t="n">
        <v>0</v>
      </c>
      <c r="D186" s="18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B187" s="835" t="inlineStr">
        <is>
          <t>Cable Delgado</t>
        </is>
      </c>
      <c r="C187" s="59" t="n"/>
      <c r="D187" s="60" t="n"/>
    </row>
    <row r="188">
      <c r="B188" s="11" t="n">
        <v>1</v>
      </c>
      <c r="C188" s="18" t="inlineStr">
        <is>
          <t>Cable thhn #12 rojo</t>
        </is>
      </c>
      <c r="D188" s="18" t="inlineStr">
        <is>
          <t>M05-0259</t>
        </is>
      </c>
      <c r="F188" t="n">
        <v>180</v>
      </c>
      <c r="G188" t="n">
        <v>180</v>
      </c>
      <c r="H188" t="n">
        <v>200</v>
      </c>
      <c r="I188" t="n">
        <v>180</v>
      </c>
      <c r="J188" t="n">
        <v>160</v>
      </c>
      <c r="K188" t="n">
        <v>160</v>
      </c>
      <c r="L188" t="n">
        <v>0</v>
      </c>
      <c r="M188" t="n">
        <v>0</v>
      </c>
      <c r="N188" t="n">
        <v>250</v>
      </c>
      <c r="O188" t="n">
        <v>250</v>
      </c>
      <c r="P188" t="n">
        <v>250</v>
      </c>
      <c r="Q188" t="n">
        <v>180</v>
      </c>
      <c r="R188" t="n">
        <v>170</v>
      </c>
      <c r="S188" t="n">
        <v>170</v>
      </c>
      <c r="T188" t="n">
        <v>180</v>
      </c>
      <c r="U188" t="n">
        <v>210</v>
      </c>
      <c r="V188" t="n">
        <v>230</v>
      </c>
      <c r="W188" t="n">
        <v>210</v>
      </c>
      <c r="X188" t="n">
        <v>230</v>
      </c>
      <c r="Y188" t="n">
        <v>210</v>
      </c>
      <c r="Z188" t="n">
        <v>230</v>
      </c>
      <c r="AA188" t="n">
        <v>260</v>
      </c>
      <c r="AB188" t="n">
        <v>180</v>
      </c>
      <c r="AC188" t="n">
        <v>180</v>
      </c>
      <c r="AD188" t="n">
        <v>180</v>
      </c>
      <c r="AE188" t="n">
        <v>180</v>
      </c>
      <c r="AF188" t="n">
        <v>170</v>
      </c>
      <c r="AG188" t="n">
        <v>180</v>
      </c>
      <c r="AH188" t="n">
        <v>180</v>
      </c>
      <c r="AI188" t="n">
        <v>180</v>
      </c>
      <c r="AJ188" t="n">
        <v>160</v>
      </c>
      <c r="AK188" t="n">
        <v>180</v>
      </c>
      <c r="AL188" t="n">
        <v>0</v>
      </c>
      <c r="AM188" t="n">
        <v>180</v>
      </c>
      <c r="AN188" t="n">
        <v>180</v>
      </c>
      <c r="AO188" t="n">
        <v>230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B189" s="11" t="n">
        <v>2</v>
      </c>
      <c r="C189" s="18" t="inlineStr">
        <is>
          <t>Cable thhn #12 blanco</t>
        </is>
      </c>
      <c r="D189" s="18" t="inlineStr">
        <is>
          <t>M05-0259</t>
        </is>
      </c>
      <c r="F189" t="n">
        <v>180</v>
      </c>
      <c r="G189" t="n">
        <v>180</v>
      </c>
      <c r="H189" t="n">
        <v>200</v>
      </c>
      <c r="I189" t="n">
        <v>180</v>
      </c>
      <c r="J189" t="n">
        <v>160</v>
      </c>
      <c r="K189" t="n">
        <v>160</v>
      </c>
      <c r="L189" t="n">
        <v>0</v>
      </c>
      <c r="M189" t="n">
        <v>0</v>
      </c>
      <c r="N189" t="n">
        <v>250</v>
      </c>
      <c r="O189" t="n">
        <v>250</v>
      </c>
      <c r="P189" t="n">
        <v>250</v>
      </c>
      <c r="Q189" t="n">
        <v>180</v>
      </c>
      <c r="R189" t="n">
        <v>170</v>
      </c>
      <c r="S189" t="n">
        <v>170</v>
      </c>
      <c r="T189" t="n">
        <v>180</v>
      </c>
      <c r="U189" t="n">
        <v>210</v>
      </c>
      <c r="V189" t="n">
        <v>230</v>
      </c>
      <c r="W189" t="n">
        <v>210</v>
      </c>
      <c r="X189" t="n">
        <v>230</v>
      </c>
      <c r="Y189" t="n">
        <v>210</v>
      </c>
      <c r="Z189" t="n">
        <v>230</v>
      </c>
      <c r="AA189" t="n">
        <v>260</v>
      </c>
      <c r="AB189" t="n">
        <v>180</v>
      </c>
      <c r="AC189" t="n">
        <v>180</v>
      </c>
      <c r="AD189" t="n">
        <v>180</v>
      </c>
      <c r="AE189" t="n">
        <v>180</v>
      </c>
      <c r="AF189" t="n">
        <v>170</v>
      </c>
      <c r="AG189" t="n">
        <v>180</v>
      </c>
      <c r="AH189" t="n">
        <v>180</v>
      </c>
      <c r="AI189" t="n">
        <v>180</v>
      </c>
      <c r="AJ189" t="n">
        <v>160</v>
      </c>
      <c r="AK189" t="n">
        <v>180</v>
      </c>
      <c r="AL189" t="n">
        <v>0</v>
      </c>
      <c r="AM189" t="n">
        <v>180</v>
      </c>
      <c r="AN189" t="n">
        <v>180</v>
      </c>
      <c r="AO189" t="n">
        <v>230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B190" s="11" t="n">
        <v>3</v>
      </c>
      <c r="C190" s="18" t="inlineStr">
        <is>
          <t>Cable thhn #12 verde</t>
        </is>
      </c>
      <c r="D190" s="18" t="inlineStr">
        <is>
          <t>M05-0259</t>
        </is>
      </c>
      <c r="F190" t="n">
        <v>180</v>
      </c>
      <c r="G190" t="n">
        <v>180</v>
      </c>
      <c r="H190" t="n">
        <v>200</v>
      </c>
      <c r="I190" t="n">
        <v>180</v>
      </c>
      <c r="J190" t="n">
        <v>160</v>
      </c>
      <c r="K190" t="n">
        <v>160</v>
      </c>
      <c r="L190" t="n">
        <v>0</v>
      </c>
      <c r="M190" t="n">
        <v>0</v>
      </c>
      <c r="N190" t="n">
        <v>250</v>
      </c>
      <c r="O190" t="n">
        <v>250</v>
      </c>
      <c r="P190" t="n">
        <v>250</v>
      </c>
      <c r="Q190" t="n">
        <v>180</v>
      </c>
      <c r="R190" t="n">
        <v>170</v>
      </c>
      <c r="S190" t="n">
        <v>170</v>
      </c>
      <c r="T190" t="n">
        <v>180</v>
      </c>
      <c r="U190" t="n">
        <v>210</v>
      </c>
      <c r="V190" t="n">
        <v>230</v>
      </c>
      <c r="W190" t="n">
        <v>210</v>
      </c>
      <c r="X190" t="n">
        <v>230</v>
      </c>
      <c r="Y190" t="n">
        <v>210</v>
      </c>
      <c r="Z190" t="n">
        <v>230</v>
      </c>
      <c r="AA190" t="n">
        <v>260</v>
      </c>
      <c r="AB190" t="n">
        <v>180</v>
      </c>
      <c r="AC190" t="n">
        <v>180</v>
      </c>
      <c r="AD190" t="n">
        <v>180</v>
      </c>
      <c r="AE190" t="n">
        <v>180</v>
      </c>
      <c r="AF190" t="n">
        <v>170</v>
      </c>
      <c r="AG190" t="n">
        <v>180</v>
      </c>
      <c r="AH190" t="n">
        <v>180</v>
      </c>
      <c r="AI190" t="n">
        <v>180</v>
      </c>
      <c r="AJ190" t="n">
        <v>160</v>
      </c>
      <c r="AK190" t="n">
        <v>180</v>
      </c>
      <c r="AL190" t="n">
        <v>0</v>
      </c>
      <c r="AM190" t="n">
        <v>180</v>
      </c>
      <c r="AN190" t="n">
        <v>180</v>
      </c>
      <c r="AO190" t="n">
        <v>230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B191" s="11" t="n">
        <v>4</v>
      </c>
      <c r="C191" s="18" t="inlineStr">
        <is>
          <t>Cable thhn #12 azul</t>
        </is>
      </c>
      <c r="D191" s="18" t="inlineStr">
        <is>
          <t>M05-0259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B192" s="11" t="n">
        <v>5</v>
      </c>
      <c r="C192" s="18" t="inlineStr">
        <is>
          <t>Cable thhn #12 negro</t>
        </is>
      </c>
      <c r="D192" s="18" t="inlineStr">
        <is>
          <t>M05-0259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B193" s="11" t="n">
        <v>6</v>
      </c>
      <c r="C193" s="18" t="inlineStr">
        <is>
          <t>Cable thhn #10 rojo</t>
        </is>
      </c>
      <c r="D193" s="18" t="inlineStr">
        <is>
          <t>M05-0258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B194" s="11" t="n">
        <v>7</v>
      </c>
      <c r="C194" s="18" t="inlineStr">
        <is>
          <t>Cable thhn #10 Blanco</t>
        </is>
      </c>
      <c r="D194" s="18" t="inlineStr">
        <is>
          <t>M05-0258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B195" s="11" t="n">
        <v>8</v>
      </c>
      <c r="C195" s="18" t="inlineStr">
        <is>
          <t>Cable thhn #8 blanco</t>
        </is>
      </c>
      <c r="D195" s="18" t="inlineStr">
        <is>
          <t>M05-0261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B196" s="11" t="n">
        <v>9</v>
      </c>
      <c r="C196" s="18" t="inlineStr">
        <is>
          <t>Cable thhn #8 rojo</t>
        </is>
      </c>
      <c r="D196" s="18" t="inlineStr">
        <is>
          <t>M05-0261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B197" s="11" t="n">
        <v>10</v>
      </c>
      <c r="C197" s="18" t="inlineStr">
        <is>
          <t>Cable thhn #8 verde</t>
        </is>
      </c>
      <c r="D197" s="18" t="inlineStr">
        <is>
          <t>M05-0261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B198" s="11" t="n">
        <v>11</v>
      </c>
      <c r="C198" s="18" t="inlineStr">
        <is>
          <t>Cable 1/0 AL s8000</t>
        </is>
      </c>
      <c r="D198" s="18" t="inlineStr">
        <is>
          <t>M05-0262</t>
        </is>
      </c>
      <c r="F198" t="n">
        <v>60</v>
      </c>
      <c r="G198" t="n">
        <v>60</v>
      </c>
      <c r="H198" t="n">
        <v>60</v>
      </c>
      <c r="I198" t="n">
        <v>60</v>
      </c>
      <c r="J198" t="n">
        <v>60</v>
      </c>
      <c r="K198" t="n">
        <v>60</v>
      </c>
      <c r="L198" t="n">
        <v>60</v>
      </c>
      <c r="M198" t="n">
        <v>60</v>
      </c>
      <c r="N198" t="n">
        <v>60</v>
      </c>
      <c r="O198" t="n">
        <v>60</v>
      </c>
      <c r="P198" t="n">
        <v>60</v>
      </c>
      <c r="Q198" t="n">
        <v>60</v>
      </c>
      <c r="R198" t="n">
        <v>60</v>
      </c>
      <c r="S198" t="n">
        <v>60</v>
      </c>
      <c r="T198" t="n">
        <v>60</v>
      </c>
      <c r="U198" t="n">
        <v>60</v>
      </c>
      <c r="V198" t="n">
        <v>60</v>
      </c>
      <c r="W198" t="n">
        <v>60</v>
      </c>
      <c r="X198" t="n">
        <v>60</v>
      </c>
      <c r="Y198" t="n">
        <v>60</v>
      </c>
      <c r="Z198" t="n">
        <v>60</v>
      </c>
      <c r="AA198" t="n">
        <v>60</v>
      </c>
      <c r="AB198" t="n">
        <v>60</v>
      </c>
      <c r="AC198" t="n">
        <v>60</v>
      </c>
      <c r="AD198" t="n">
        <v>60</v>
      </c>
      <c r="AE198" t="n">
        <v>60</v>
      </c>
      <c r="AF198" t="n">
        <v>60</v>
      </c>
      <c r="AG198" t="n">
        <v>60</v>
      </c>
      <c r="AH198" t="n">
        <v>60</v>
      </c>
      <c r="AI198" t="n">
        <v>60</v>
      </c>
      <c r="AJ198" t="n">
        <v>60</v>
      </c>
      <c r="AK198" t="n">
        <v>60</v>
      </c>
      <c r="AL198" t="n">
        <v>60</v>
      </c>
      <c r="AM198" t="n">
        <v>60</v>
      </c>
      <c r="AN198" t="n">
        <v>60</v>
      </c>
      <c r="AO198" t="n">
        <v>60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B199" s="11" t="n">
        <v>12</v>
      </c>
      <c r="C199" s="18" t="inlineStr">
        <is>
          <t>Cable #6  AL s8000</t>
        </is>
      </c>
      <c r="D199" s="18" t="inlineStr">
        <is>
          <t>M05-0263</t>
        </is>
      </c>
      <c r="F199" t="n">
        <v>20</v>
      </c>
      <c r="G199" t="n">
        <v>20</v>
      </c>
      <c r="H199" t="n">
        <v>20</v>
      </c>
      <c r="I199" t="n">
        <v>20</v>
      </c>
      <c r="J199" t="n">
        <v>20</v>
      </c>
      <c r="K199" t="n">
        <v>20</v>
      </c>
      <c r="L199" t="n">
        <v>20</v>
      </c>
      <c r="M199" t="n">
        <v>20</v>
      </c>
      <c r="N199" t="n">
        <v>20</v>
      </c>
      <c r="O199" t="n">
        <v>20</v>
      </c>
      <c r="P199" t="n">
        <v>20</v>
      </c>
      <c r="Q199" t="n">
        <v>20</v>
      </c>
      <c r="R199" t="n">
        <v>20</v>
      </c>
      <c r="S199" t="n">
        <v>20</v>
      </c>
      <c r="T199" t="n">
        <v>20</v>
      </c>
      <c r="U199" t="n">
        <v>20</v>
      </c>
      <c r="V199" t="n">
        <v>20</v>
      </c>
      <c r="W199" t="n">
        <v>20</v>
      </c>
      <c r="X199" t="n">
        <v>20</v>
      </c>
      <c r="Y199" t="n">
        <v>20</v>
      </c>
      <c r="Z199" t="n">
        <v>20</v>
      </c>
      <c r="AA199" t="n">
        <v>20</v>
      </c>
      <c r="AB199" t="n">
        <v>20</v>
      </c>
      <c r="AC199" t="n">
        <v>20</v>
      </c>
      <c r="AD199" t="n">
        <v>20</v>
      </c>
      <c r="AE199" t="n">
        <v>20</v>
      </c>
      <c r="AF199" t="n">
        <v>20</v>
      </c>
      <c r="AG199" t="n">
        <v>20</v>
      </c>
      <c r="AH199" t="n">
        <v>20</v>
      </c>
      <c r="AI199" t="n">
        <v>20</v>
      </c>
      <c r="AJ199" t="n">
        <v>20</v>
      </c>
      <c r="AK199" t="n">
        <v>20</v>
      </c>
      <c r="AL199" t="n">
        <v>20</v>
      </c>
      <c r="AM199" t="n">
        <v>20</v>
      </c>
      <c r="AN199" t="n">
        <v>20</v>
      </c>
      <c r="AO199" t="n">
        <v>20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B200" s="11" t="n">
        <v>13</v>
      </c>
      <c r="C200" s="18" t="inlineStr">
        <is>
          <t>Cable UTP cat 5e</t>
        </is>
      </c>
      <c r="D200" s="18" t="inlineStr">
        <is>
          <t>M05-0269</t>
        </is>
      </c>
      <c r="F200" t="n">
        <v>60</v>
      </c>
      <c r="G200" t="n">
        <v>60</v>
      </c>
      <c r="H200" t="n">
        <v>65</v>
      </c>
      <c r="I200" t="n">
        <v>60</v>
      </c>
      <c r="J200" t="n">
        <v>60</v>
      </c>
      <c r="K200" t="n">
        <v>60</v>
      </c>
      <c r="L200" t="n">
        <v>10</v>
      </c>
      <c r="M200" t="n">
        <v>10</v>
      </c>
      <c r="N200" t="n">
        <v>95</v>
      </c>
      <c r="O200" t="n">
        <v>95</v>
      </c>
      <c r="P200" t="n">
        <v>95</v>
      </c>
      <c r="Q200" t="n">
        <v>60</v>
      </c>
      <c r="R200" t="n">
        <v>65</v>
      </c>
      <c r="S200" t="n">
        <v>60</v>
      </c>
      <c r="T200" t="n">
        <v>60</v>
      </c>
      <c r="U200" t="n">
        <v>70</v>
      </c>
      <c r="V200" t="n">
        <v>70</v>
      </c>
      <c r="W200" t="n">
        <v>70</v>
      </c>
      <c r="X200" t="n">
        <v>70</v>
      </c>
      <c r="Y200" t="n">
        <v>70</v>
      </c>
      <c r="Z200" t="n">
        <v>70</v>
      </c>
      <c r="AA200" t="n">
        <v>70</v>
      </c>
      <c r="AB200" t="n">
        <v>60</v>
      </c>
      <c r="AC200" t="n">
        <v>60</v>
      </c>
      <c r="AD200" t="n">
        <v>60</v>
      </c>
      <c r="AE200" t="n">
        <v>60</v>
      </c>
      <c r="AF200" t="n">
        <v>60</v>
      </c>
      <c r="AG200" t="n">
        <v>60</v>
      </c>
      <c r="AH200" t="n">
        <v>60</v>
      </c>
      <c r="AI200" t="n">
        <v>60</v>
      </c>
      <c r="AJ200" t="n">
        <v>60</v>
      </c>
      <c r="AK200" t="n">
        <v>60</v>
      </c>
      <c r="AL200" t="n">
        <v>10</v>
      </c>
      <c r="AM200" t="n">
        <v>60</v>
      </c>
      <c r="AN200" t="n">
        <v>60</v>
      </c>
      <c r="AO200" t="n">
        <v>70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B201" s="11" t="n">
        <v>14</v>
      </c>
      <c r="C201" s="18" t="inlineStr">
        <is>
          <t>Tape Blanco</t>
        </is>
      </c>
      <c r="D201" s="18" t="inlineStr">
        <is>
          <t>M05-0017</t>
        </is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B202" s="11" t="n">
        <v>15</v>
      </c>
      <c r="C202" s="18" t="inlineStr">
        <is>
          <t>Tape Verde</t>
        </is>
      </c>
      <c r="D202" s="18" t="inlineStr">
        <is>
          <t>M05-0018</t>
        </is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B203" s="11" t="n">
        <v>16</v>
      </c>
      <c r="C203" s="18" t="inlineStr">
        <is>
          <t>Tape ROJO</t>
        </is>
      </c>
      <c r="D203" s="18" t="inlineStr">
        <is>
          <t>M05-0271</t>
        </is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B204" s="11" t="n">
        <v>17</v>
      </c>
      <c r="C204" s="18" t="inlineStr">
        <is>
          <t>Tape Super 33</t>
        </is>
      </c>
      <c r="D204" s="18" t="inlineStr">
        <is>
          <t>M05-0019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B205" s="11" t="n">
        <v>18</v>
      </c>
      <c r="C205" s="18" t="n">
        <v>0</v>
      </c>
      <c r="D205" s="18" t="inlineStr">
        <is>
          <t>M05-0362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B206" s="11" t="n">
        <v>19</v>
      </c>
      <c r="C206" s="18" t="n">
        <v>0</v>
      </c>
      <c r="D206" s="18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B207" s="11" t="n">
        <v>20</v>
      </c>
      <c r="C207" s="18" t="n">
        <v>0</v>
      </c>
      <c r="D207" s="18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B208" s="835" t="inlineStr">
        <is>
          <t>PLAQUERIA</t>
        </is>
      </c>
      <c r="C208" s="59" t="n"/>
      <c r="D208" s="60" t="n"/>
    </row>
    <row r="209">
      <c r="B209" s="11" t="n">
        <v>1</v>
      </c>
      <c r="C209" s="18" t="inlineStr">
        <is>
          <t xml:space="preserve">Modulo adaptador de 1 </t>
        </is>
      </c>
      <c r="D209" s="18" t="inlineStr">
        <is>
          <t>M05-0230</t>
        </is>
      </c>
      <c r="F209" t="n">
        <v>3</v>
      </c>
      <c r="G209" t="n">
        <v>2</v>
      </c>
      <c r="H209" t="n">
        <v>2</v>
      </c>
      <c r="I209" t="n">
        <v>3</v>
      </c>
      <c r="J209" t="n">
        <v>2</v>
      </c>
      <c r="K209" t="n">
        <v>0</v>
      </c>
      <c r="L209" t="n">
        <v>1</v>
      </c>
      <c r="M209" t="n">
        <v>2</v>
      </c>
      <c r="N209" t="n">
        <v>5</v>
      </c>
      <c r="O209" t="n">
        <v>3</v>
      </c>
      <c r="P209" t="n">
        <v>2</v>
      </c>
      <c r="Q209" t="n">
        <v>4</v>
      </c>
      <c r="R209" t="n">
        <v>5</v>
      </c>
      <c r="S209" t="n">
        <v>2</v>
      </c>
      <c r="T209" t="n">
        <v>3</v>
      </c>
      <c r="U209" t="n">
        <v>3</v>
      </c>
      <c r="V209" t="n">
        <v>3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B210" s="11" t="n">
        <v>2</v>
      </c>
      <c r="C210" s="18" t="inlineStr">
        <is>
          <t xml:space="preserve">Modulo adaptador de 2 </t>
        </is>
      </c>
      <c r="D210" s="18" t="inlineStr">
        <is>
          <t>M05-0231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2</v>
      </c>
      <c r="L210" t="n">
        <v>4</v>
      </c>
      <c r="M210" t="n">
        <v>4</v>
      </c>
      <c r="N210" t="n">
        <v>6</v>
      </c>
      <c r="O210" t="n">
        <v>6</v>
      </c>
      <c r="P210" t="n">
        <v>6</v>
      </c>
      <c r="Q210" t="n">
        <v>3</v>
      </c>
      <c r="R210" t="n">
        <v>3</v>
      </c>
      <c r="S210" t="n">
        <v>4</v>
      </c>
      <c r="T210" t="n">
        <v>4</v>
      </c>
      <c r="U210" t="n">
        <v>4</v>
      </c>
      <c r="V210" t="n">
        <v>5</v>
      </c>
      <c r="W210" t="n">
        <v>3</v>
      </c>
      <c r="X210" t="n">
        <v>4</v>
      </c>
      <c r="Y210" t="n">
        <v>5</v>
      </c>
      <c r="Z210" t="n">
        <v>6</v>
      </c>
      <c r="AA210" t="n">
        <v>6</v>
      </c>
      <c r="AB210" t="n">
        <v>4</v>
      </c>
      <c r="AC210" t="n">
        <v>5</v>
      </c>
      <c r="AD210" t="n">
        <v>3</v>
      </c>
      <c r="AE210" t="n">
        <v>4</v>
      </c>
      <c r="AF210" t="n">
        <v>3</v>
      </c>
      <c r="AG210" t="n">
        <v>3</v>
      </c>
      <c r="AH210" t="n">
        <v>5</v>
      </c>
      <c r="AI210" t="n">
        <v>5</v>
      </c>
      <c r="AJ210" t="n">
        <v>4</v>
      </c>
      <c r="AK210" t="n">
        <v>5</v>
      </c>
      <c r="AL210" t="n">
        <v>3</v>
      </c>
      <c r="AM210" t="n">
        <v>5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B211" s="11" t="n">
        <v>3</v>
      </c>
      <c r="C211" s="18" t="inlineStr">
        <is>
          <t>Apagadores doble</t>
        </is>
      </c>
      <c r="D211" s="18" t="inlineStr">
        <is>
          <t>M05-0232</t>
        </is>
      </c>
      <c r="F211" t="n">
        <v>2</v>
      </c>
      <c r="G211" t="n">
        <v>2</v>
      </c>
      <c r="H211" t="n">
        <v>2</v>
      </c>
      <c r="I211" t="n">
        <v>2</v>
      </c>
      <c r="J211" t="n">
        <v>2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1</v>
      </c>
      <c r="AD211" t="n">
        <v>2</v>
      </c>
      <c r="AE211" t="n">
        <v>2</v>
      </c>
      <c r="AF211" t="n">
        <v>1</v>
      </c>
      <c r="AG211" t="n">
        <v>1</v>
      </c>
      <c r="AH211" t="n">
        <v>2</v>
      </c>
      <c r="AI211" t="n">
        <v>1</v>
      </c>
      <c r="AJ211" t="n">
        <v>2</v>
      </c>
      <c r="AK211" t="n">
        <v>3</v>
      </c>
      <c r="AL211" t="n">
        <v>2</v>
      </c>
      <c r="AM211" t="n">
        <v>1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B212" s="11" t="n">
        <v>4</v>
      </c>
      <c r="C212" s="18" t="inlineStr">
        <is>
          <t>Apador triway 2</t>
        </is>
      </c>
      <c r="D212" s="18" t="inlineStr">
        <is>
          <t>M05-0233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2</v>
      </c>
      <c r="X212" t="n">
        <v>2</v>
      </c>
      <c r="Y212" t="n">
        <v>0</v>
      </c>
      <c r="Z212" t="n">
        <v>2</v>
      </c>
      <c r="AA212" t="n">
        <v>2</v>
      </c>
      <c r="AB212" t="n">
        <v>0</v>
      </c>
      <c r="AC212" t="n">
        <v>2</v>
      </c>
      <c r="AD212" t="n">
        <v>0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1</v>
      </c>
      <c r="AK212" t="n">
        <v>3</v>
      </c>
      <c r="AL212" t="n">
        <v>0</v>
      </c>
      <c r="AM212" t="n">
        <v>2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B213" s="11" t="n">
        <v>5</v>
      </c>
      <c r="C213" s="18" t="inlineStr">
        <is>
          <t>Apagadores sencillo</t>
        </is>
      </c>
      <c r="D213" s="18" t="inlineStr">
        <is>
          <t>M05-0234</t>
        </is>
      </c>
      <c r="F213" t="n">
        <v>5</v>
      </c>
      <c r="G213" t="n">
        <v>5</v>
      </c>
      <c r="H213" t="n">
        <v>6</v>
      </c>
      <c r="I213" t="n">
        <v>4</v>
      </c>
      <c r="J213" t="n">
        <v>3</v>
      </c>
      <c r="K213" t="n">
        <v>2</v>
      </c>
      <c r="L213" t="n">
        <v>7</v>
      </c>
      <c r="M213" t="n">
        <v>8</v>
      </c>
      <c r="N213" t="n">
        <v>13</v>
      </c>
      <c r="O213" t="n">
        <v>13</v>
      </c>
      <c r="P213" t="n">
        <v>12</v>
      </c>
      <c r="Q213" t="n">
        <v>5</v>
      </c>
      <c r="R213" t="n">
        <v>5</v>
      </c>
      <c r="S213" t="n">
        <v>5</v>
      </c>
      <c r="T213" t="n">
        <v>6</v>
      </c>
      <c r="U213" t="n">
        <v>9</v>
      </c>
      <c r="V213" t="n">
        <v>10</v>
      </c>
      <c r="W213" t="n">
        <v>5</v>
      </c>
      <c r="X213" t="n">
        <v>6</v>
      </c>
      <c r="Y213" t="n">
        <v>8</v>
      </c>
      <c r="Z213" t="n">
        <v>1</v>
      </c>
      <c r="AA213" t="n">
        <v>9</v>
      </c>
      <c r="AB213" t="n">
        <v>8</v>
      </c>
      <c r="AC213" t="n">
        <v>9</v>
      </c>
      <c r="AD213" t="n">
        <v>5</v>
      </c>
      <c r="AE213" t="n">
        <v>6</v>
      </c>
      <c r="AF213" t="n">
        <v>6</v>
      </c>
      <c r="AG213" t="n">
        <v>6</v>
      </c>
      <c r="AH213" t="n">
        <v>9</v>
      </c>
      <c r="AI213" t="n">
        <v>10</v>
      </c>
      <c r="AJ213" t="n">
        <v>7</v>
      </c>
      <c r="AK213" t="n">
        <v>5</v>
      </c>
      <c r="AL213" t="n">
        <v>7</v>
      </c>
      <c r="AM213" t="n">
        <v>8</v>
      </c>
      <c r="AN213" t="n">
        <v>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B214" s="11" t="n">
        <v>6</v>
      </c>
      <c r="C214" s="18" t="inlineStr">
        <is>
          <t>Apador triway 1</t>
        </is>
      </c>
      <c r="D214" s="18" t="inlineStr">
        <is>
          <t>M05-0235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</v>
      </c>
      <c r="P214" t="n">
        <v>2</v>
      </c>
      <c r="Q214" t="n">
        <v>0</v>
      </c>
      <c r="R214" t="n">
        <v>6</v>
      </c>
      <c r="S214" t="n">
        <v>0</v>
      </c>
      <c r="T214" t="n">
        <v>0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1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B215" s="11" t="n">
        <v>7</v>
      </c>
      <c r="C215" s="18" t="inlineStr">
        <is>
          <t>Apagadores triple</t>
        </is>
      </c>
      <c r="D215" s="18" t="inlineStr">
        <is>
          <t>M05-0236</t>
        </is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3</v>
      </c>
      <c r="L215" t="n">
        <v>2</v>
      </c>
      <c r="M215" t="n">
        <v>2</v>
      </c>
      <c r="N215" t="n">
        <v>1</v>
      </c>
      <c r="O215" t="n">
        <v>1</v>
      </c>
      <c r="P215" t="n">
        <v>2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2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2</v>
      </c>
      <c r="AG215" t="n">
        <v>2</v>
      </c>
      <c r="AH215" t="n">
        <v>1</v>
      </c>
      <c r="AI215" t="n">
        <v>1</v>
      </c>
      <c r="AJ215" t="n">
        <v>2</v>
      </c>
      <c r="AK215" t="n">
        <v>3</v>
      </c>
      <c r="AL215" t="n">
        <v>1</v>
      </c>
      <c r="AM215" t="n">
        <v>2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B216" s="11" t="n">
        <v>8</v>
      </c>
      <c r="C216" s="18" t="inlineStr">
        <is>
          <t>Aro de repello 2 GAIN</t>
        </is>
      </c>
      <c r="D216" s="18" t="inlineStr">
        <is>
          <t>M05-0387</t>
        </is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  <c r="AC216" t="n">
        <v>4</v>
      </c>
      <c r="AD216" t="n">
        <v>4</v>
      </c>
      <c r="AE216" t="n">
        <v>4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B217" s="11" t="n">
        <v>9</v>
      </c>
      <c r="C217" s="18" t="inlineStr">
        <is>
          <t xml:space="preserve">Lampara tortuga </t>
        </is>
      </c>
      <c r="D217" s="18" t="inlineStr">
        <is>
          <t>M05-0436</t>
        </is>
      </c>
      <c r="F217" t="n">
        <v>0</v>
      </c>
      <c r="G217" t="n">
        <v>0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2</v>
      </c>
      <c r="N217" t="n">
        <v>5</v>
      </c>
      <c r="O217" t="n">
        <v>5</v>
      </c>
      <c r="P217" t="n">
        <v>5</v>
      </c>
      <c r="Q217" t="n">
        <v>0</v>
      </c>
      <c r="R217" t="n">
        <v>3</v>
      </c>
      <c r="S217" t="n">
        <v>0</v>
      </c>
      <c r="T217" t="n">
        <v>3</v>
      </c>
      <c r="U217" t="n">
        <v>2</v>
      </c>
      <c r="V217" t="n">
        <v>5</v>
      </c>
      <c r="W217" t="n">
        <v>2</v>
      </c>
      <c r="X217" t="n">
        <v>5</v>
      </c>
      <c r="Y217" t="n">
        <v>2</v>
      </c>
      <c r="Z217" t="n">
        <v>5</v>
      </c>
      <c r="AA217" t="n">
        <v>5</v>
      </c>
      <c r="AB217" t="n">
        <v>2</v>
      </c>
      <c r="AC217" t="n">
        <v>5</v>
      </c>
      <c r="AD217" t="n">
        <v>2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2</v>
      </c>
      <c r="AK217" t="n">
        <v>5</v>
      </c>
      <c r="AL217" t="n">
        <v>5</v>
      </c>
      <c r="AM217" t="n">
        <v>5</v>
      </c>
      <c r="AN217" t="n">
        <v>5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B218" s="11" t="n">
        <v>10</v>
      </c>
      <c r="C218" s="18" t="inlineStr">
        <is>
          <t>Placa para interperie</t>
        </is>
      </c>
      <c r="D218" s="18" t="inlineStr">
        <is>
          <t>M05-0238</t>
        </is>
      </c>
      <c r="F218" t="n">
        <v>2</v>
      </c>
      <c r="G218" t="n">
        <v>3</v>
      </c>
      <c r="H218" t="n">
        <v>7</v>
      </c>
      <c r="I218" t="n">
        <v>7</v>
      </c>
      <c r="J218" t="n">
        <v>3</v>
      </c>
      <c r="K218" t="n">
        <v>3</v>
      </c>
      <c r="L218" t="n">
        <v>3</v>
      </c>
      <c r="M218" t="n">
        <v>7</v>
      </c>
      <c r="N218" t="n">
        <v>6</v>
      </c>
      <c r="O218" t="n">
        <v>6</v>
      </c>
      <c r="P218" t="n">
        <v>6</v>
      </c>
      <c r="Q218" t="n">
        <v>3</v>
      </c>
      <c r="R218" t="n">
        <v>7</v>
      </c>
      <c r="S218" t="n">
        <v>3</v>
      </c>
      <c r="T218" t="n">
        <v>7</v>
      </c>
      <c r="U218" t="n">
        <v>2</v>
      </c>
      <c r="V218" t="n">
        <v>6</v>
      </c>
      <c r="W218" t="n">
        <v>2</v>
      </c>
      <c r="X218" t="n">
        <v>6</v>
      </c>
      <c r="Y218" t="n">
        <v>2</v>
      </c>
      <c r="Z218" t="n">
        <v>6</v>
      </c>
      <c r="AA218" t="n">
        <v>6</v>
      </c>
      <c r="AB218" t="n">
        <v>2</v>
      </c>
      <c r="AC218" t="n">
        <v>6</v>
      </c>
      <c r="AD218" t="n">
        <v>2</v>
      </c>
      <c r="AE218" t="n">
        <v>6</v>
      </c>
      <c r="AF218" t="n">
        <v>6</v>
      </c>
      <c r="AG218" t="n">
        <v>6</v>
      </c>
      <c r="AH218" t="n">
        <v>6</v>
      </c>
      <c r="AI218" t="n">
        <v>6</v>
      </c>
      <c r="AJ218" t="n">
        <v>2</v>
      </c>
      <c r="AK218" t="n">
        <v>6</v>
      </c>
      <c r="AL218" t="n">
        <v>6</v>
      </c>
      <c r="AM218" t="n">
        <v>6</v>
      </c>
      <c r="AN218" t="n">
        <v>6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B219" s="11" t="n">
        <v>11</v>
      </c>
      <c r="C219" s="18" t="inlineStr">
        <is>
          <t>Placa de acero inoxidable</t>
        </is>
      </c>
      <c r="D219" s="18" t="inlineStr">
        <is>
          <t>M05-0239</t>
        </is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3</v>
      </c>
      <c r="AD219" t="n">
        <v>3</v>
      </c>
      <c r="AE219" t="n">
        <v>3</v>
      </c>
      <c r="AF219" t="n">
        <v>3</v>
      </c>
      <c r="AG219" t="n">
        <v>3</v>
      </c>
      <c r="AH219" t="n">
        <v>3</v>
      </c>
      <c r="AI219" t="n">
        <v>3</v>
      </c>
      <c r="AJ219" t="n">
        <v>3</v>
      </c>
      <c r="AK219" t="n">
        <v>3</v>
      </c>
      <c r="AL219" t="n">
        <v>3</v>
      </c>
      <c r="AM219" t="n">
        <v>3</v>
      </c>
      <c r="AN219" t="n">
        <v>3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B220" s="11" t="n">
        <v>12</v>
      </c>
      <c r="C220" s="18" t="inlineStr">
        <is>
          <t>Placa blanca Royer</t>
        </is>
      </c>
      <c r="D220" s="18" t="inlineStr">
        <is>
          <t>M05-0240</t>
        </is>
      </c>
      <c r="F220" t="n">
        <v>37</v>
      </c>
      <c r="G220" t="n">
        <v>35</v>
      </c>
      <c r="H220" t="n">
        <v>37</v>
      </c>
      <c r="I220" t="n">
        <v>33</v>
      </c>
      <c r="J220" t="n">
        <v>33</v>
      </c>
      <c r="K220" t="n">
        <v>24</v>
      </c>
      <c r="L220" t="n">
        <v>40</v>
      </c>
      <c r="M220" t="n">
        <v>40</v>
      </c>
      <c r="N220" t="n">
        <v>64</v>
      </c>
      <c r="O220" t="n">
        <v>68</v>
      </c>
      <c r="P220" t="n">
        <v>59</v>
      </c>
      <c r="Q220" t="n">
        <v>34</v>
      </c>
      <c r="R220" t="n">
        <v>34</v>
      </c>
      <c r="S220" t="n">
        <v>41</v>
      </c>
      <c r="T220" t="n">
        <v>41</v>
      </c>
      <c r="U220" t="n">
        <v>51</v>
      </c>
      <c r="V220" t="n">
        <v>53</v>
      </c>
      <c r="W220" t="n">
        <v>36</v>
      </c>
      <c r="X220" t="n">
        <v>43</v>
      </c>
      <c r="Y220" t="n">
        <v>45</v>
      </c>
      <c r="Z220" t="n">
        <v>48</v>
      </c>
      <c r="AA220" t="n">
        <v>48</v>
      </c>
      <c r="AB220" t="n">
        <v>39</v>
      </c>
      <c r="AC220" t="n">
        <v>42</v>
      </c>
      <c r="AD220" t="n">
        <v>35</v>
      </c>
      <c r="AE220" t="n">
        <v>39</v>
      </c>
      <c r="AF220" t="n">
        <v>34</v>
      </c>
      <c r="AG220" t="n">
        <v>34</v>
      </c>
      <c r="AH220" t="n">
        <v>43</v>
      </c>
      <c r="AI220" t="n">
        <v>46</v>
      </c>
      <c r="AJ220" t="n">
        <v>39</v>
      </c>
      <c r="AK220" t="n">
        <v>45</v>
      </c>
      <c r="AL220" t="n">
        <v>38</v>
      </c>
      <c r="AM220" t="n">
        <v>45</v>
      </c>
      <c r="AN220" t="n">
        <v>38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B221" s="11" t="n">
        <v>13</v>
      </c>
      <c r="C221" s="18" t="inlineStr">
        <is>
          <t>Plafon</t>
        </is>
      </c>
      <c r="D221" s="18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B222" s="11" t="n">
        <v>14</v>
      </c>
      <c r="C222" s="18" t="inlineStr">
        <is>
          <t xml:space="preserve">Tomacorrientes </t>
        </is>
      </c>
      <c r="D222" s="18" t="inlineStr">
        <is>
          <t>M05-0482</t>
        </is>
      </c>
      <c r="F222" t="n">
        <v>25</v>
      </c>
      <c r="G222" t="n">
        <v>23</v>
      </c>
      <c r="H222" t="n">
        <v>27</v>
      </c>
      <c r="I222" t="n">
        <v>23</v>
      </c>
      <c r="J222" t="n">
        <v>21</v>
      </c>
      <c r="K222" t="n">
        <v>19</v>
      </c>
      <c r="L222" t="n">
        <v>25</v>
      </c>
      <c r="M222" t="n">
        <v>27</v>
      </c>
      <c r="N222" t="n">
        <v>40</v>
      </c>
      <c r="O222" t="n">
        <v>36</v>
      </c>
      <c r="P222" t="n">
        <v>39</v>
      </c>
      <c r="Q222" t="n">
        <v>22</v>
      </c>
      <c r="R222" t="n">
        <v>25</v>
      </c>
      <c r="S222" t="n">
        <v>27</v>
      </c>
      <c r="T222" t="n">
        <v>29</v>
      </c>
      <c r="U222" t="n">
        <v>31</v>
      </c>
      <c r="V222" t="n">
        <v>35</v>
      </c>
      <c r="W222" t="n">
        <v>25</v>
      </c>
      <c r="X222" t="n">
        <v>29</v>
      </c>
      <c r="Y222" t="n">
        <v>31</v>
      </c>
      <c r="Z222" t="n">
        <v>35</v>
      </c>
      <c r="AA222" t="n">
        <v>35</v>
      </c>
      <c r="AB222" t="n">
        <v>25</v>
      </c>
      <c r="AC222" t="n">
        <v>29</v>
      </c>
      <c r="AD222" t="n">
        <v>25</v>
      </c>
      <c r="AE222" t="n">
        <v>29</v>
      </c>
      <c r="AF222" t="n">
        <v>23</v>
      </c>
      <c r="AG222" t="n">
        <v>23</v>
      </c>
      <c r="AH222" t="n">
        <v>29</v>
      </c>
      <c r="AI222" t="n">
        <v>31</v>
      </c>
      <c r="AJ222" t="n">
        <v>25</v>
      </c>
      <c r="AK222" t="n">
        <v>29</v>
      </c>
      <c r="AL222" t="n">
        <v>27</v>
      </c>
      <c r="AM222" t="n">
        <v>31</v>
      </c>
      <c r="AN222" t="n">
        <v>28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B223" s="11" t="n">
        <v>15</v>
      </c>
      <c r="C223" s="18" t="inlineStr">
        <is>
          <t xml:space="preserve">Salida 240 Vac </t>
        </is>
      </c>
      <c r="D223" s="18" t="inlineStr">
        <is>
          <t>M05-0242</t>
        </is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B224" s="11" t="n">
        <v>16</v>
      </c>
      <c r="C224" s="18" t="inlineStr">
        <is>
          <t xml:space="preserve">Lampara LED </t>
        </is>
      </c>
      <c r="D224" s="18" t="inlineStr">
        <is>
          <t>M05-0446</t>
        </is>
      </c>
      <c r="F224" t="n">
        <v>15</v>
      </c>
      <c r="G224" t="n">
        <v>13</v>
      </c>
      <c r="H224" t="n">
        <v>15</v>
      </c>
      <c r="I224" t="n">
        <v>12</v>
      </c>
      <c r="J224" t="n">
        <v>12</v>
      </c>
      <c r="K224" t="n">
        <v>9</v>
      </c>
      <c r="L224" t="n">
        <v>18</v>
      </c>
      <c r="M224" t="n">
        <v>18</v>
      </c>
      <c r="N224" t="n">
        <v>18</v>
      </c>
      <c r="O224" t="n">
        <v>21</v>
      </c>
      <c r="P224" t="n">
        <v>19</v>
      </c>
      <c r="Q224" t="n">
        <v>15</v>
      </c>
      <c r="R224" t="n">
        <v>15</v>
      </c>
      <c r="S224" t="n">
        <v>15</v>
      </c>
      <c r="T224" t="n">
        <v>15</v>
      </c>
      <c r="U224" t="n">
        <v>17</v>
      </c>
      <c r="V224" t="n">
        <v>18</v>
      </c>
      <c r="W224" t="n">
        <v>16</v>
      </c>
      <c r="X224" t="n">
        <v>17</v>
      </c>
      <c r="Y224" t="n">
        <v>17</v>
      </c>
      <c r="Z224" t="n">
        <v>19</v>
      </c>
      <c r="AA224" t="n">
        <v>19</v>
      </c>
      <c r="AB224" t="n">
        <v>16</v>
      </c>
      <c r="AC224" t="n">
        <v>17</v>
      </c>
      <c r="AD224" t="n">
        <v>14</v>
      </c>
      <c r="AE224" t="n">
        <v>15</v>
      </c>
      <c r="AF224" t="n">
        <v>14</v>
      </c>
      <c r="AG224" t="n">
        <v>14</v>
      </c>
      <c r="AH224" t="n">
        <v>16</v>
      </c>
      <c r="AI224" t="n">
        <v>16</v>
      </c>
      <c r="AJ224" t="n">
        <v>21</v>
      </c>
      <c r="AK224" t="n">
        <v>22</v>
      </c>
      <c r="AL224" t="n">
        <v>17</v>
      </c>
      <c r="AM224" t="n">
        <v>16</v>
      </c>
      <c r="AN224" t="n">
        <v>16</v>
      </c>
      <c r="AO224" t="n">
        <v>21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B225" s="11" t="n">
        <v>17</v>
      </c>
      <c r="C225" s="18" t="inlineStr">
        <is>
          <t>Conector tipo f</t>
        </is>
      </c>
      <c r="D225" s="18" t="inlineStr">
        <is>
          <t>M05-0009</t>
        </is>
      </c>
      <c r="F225" t="n">
        <v>3</v>
      </c>
      <c r="G225" t="n">
        <v>3</v>
      </c>
      <c r="H225" t="n">
        <v>3</v>
      </c>
      <c r="I225" t="n">
        <v>4</v>
      </c>
      <c r="J225" t="n">
        <v>3</v>
      </c>
      <c r="K225" t="n">
        <v>2</v>
      </c>
      <c r="L225" t="n">
        <v>4</v>
      </c>
      <c r="M225" t="n">
        <v>5</v>
      </c>
      <c r="N225" t="n">
        <v>6</v>
      </c>
      <c r="O225" t="n">
        <v>6</v>
      </c>
      <c r="P225" t="n">
        <v>2</v>
      </c>
      <c r="Q225" t="n">
        <v>3</v>
      </c>
      <c r="R225" t="n">
        <v>4</v>
      </c>
      <c r="S225" t="n">
        <v>4</v>
      </c>
      <c r="T225" t="n">
        <v>5</v>
      </c>
      <c r="U225" t="n">
        <v>5</v>
      </c>
      <c r="V225" t="n">
        <v>6</v>
      </c>
      <c r="W225" t="n">
        <v>3</v>
      </c>
      <c r="X225" t="n">
        <v>4</v>
      </c>
      <c r="Y225" t="n">
        <v>5</v>
      </c>
      <c r="Z225" t="n">
        <v>6</v>
      </c>
      <c r="AA225" t="n">
        <v>6</v>
      </c>
      <c r="AB225" t="n">
        <v>4</v>
      </c>
      <c r="AC225" t="n">
        <v>5</v>
      </c>
      <c r="AD225" t="n">
        <v>3</v>
      </c>
      <c r="AE225" t="n">
        <v>4</v>
      </c>
      <c r="AF225" t="n">
        <v>4</v>
      </c>
      <c r="AG225" t="n">
        <v>4</v>
      </c>
      <c r="AH225" t="n">
        <v>5</v>
      </c>
      <c r="AI225" t="n">
        <v>5</v>
      </c>
      <c r="AJ225" t="n">
        <v>4</v>
      </c>
      <c r="AK225" t="n">
        <v>5</v>
      </c>
      <c r="AL225" t="n">
        <v>3</v>
      </c>
      <c r="AM225" t="n">
        <v>5</v>
      </c>
      <c r="AN225" t="n">
        <v>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B226" s="11" t="n">
        <v>18</v>
      </c>
      <c r="C226" s="18" t="inlineStr">
        <is>
          <t>Conector RJ45 hembra</t>
        </is>
      </c>
      <c r="D226" s="18" t="inlineStr">
        <is>
          <t>M05-0012</t>
        </is>
      </c>
      <c r="F226" t="n">
        <v>7</v>
      </c>
      <c r="G226" t="n">
        <v>7</v>
      </c>
      <c r="H226" t="n">
        <v>6</v>
      </c>
      <c r="I226" t="n">
        <v>5</v>
      </c>
      <c r="J226" t="n">
        <v>5</v>
      </c>
      <c r="K226" t="n">
        <v>2</v>
      </c>
      <c r="L226" t="n">
        <v>5</v>
      </c>
      <c r="M226" t="n">
        <v>5</v>
      </c>
      <c r="N226" t="n">
        <v>9</v>
      </c>
      <c r="O226" t="n">
        <v>9</v>
      </c>
      <c r="P226" t="n">
        <v>8</v>
      </c>
      <c r="Q226" t="n">
        <v>7</v>
      </c>
      <c r="R226" t="n">
        <v>7</v>
      </c>
      <c r="S226" t="n">
        <v>6</v>
      </c>
      <c r="T226" t="n">
        <v>6</v>
      </c>
      <c r="U226" t="n">
        <v>7</v>
      </c>
      <c r="V226" t="n">
        <v>8</v>
      </c>
      <c r="W226" t="n">
        <v>3</v>
      </c>
      <c r="X226" t="n">
        <v>4</v>
      </c>
      <c r="Y226" t="n">
        <v>6</v>
      </c>
      <c r="Z226" t="n">
        <v>7</v>
      </c>
      <c r="AA226" t="n">
        <v>7</v>
      </c>
      <c r="AB226" t="n">
        <v>5</v>
      </c>
      <c r="AC226" t="n">
        <v>6</v>
      </c>
      <c r="AD226" t="n">
        <v>3</v>
      </c>
      <c r="AE226" t="n">
        <v>4</v>
      </c>
      <c r="AF226" t="n">
        <v>3</v>
      </c>
      <c r="AG226" t="n">
        <v>3</v>
      </c>
      <c r="AH226" t="n">
        <v>5</v>
      </c>
      <c r="AI226" t="n">
        <v>6</v>
      </c>
      <c r="AJ226" t="n">
        <v>5</v>
      </c>
      <c r="AK226" t="n">
        <v>6</v>
      </c>
      <c r="AL226" t="n">
        <v>5</v>
      </c>
      <c r="AM226" t="n">
        <v>5</v>
      </c>
      <c r="AN226" t="n">
        <v>3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B227" s="11" t="n">
        <v>19</v>
      </c>
      <c r="C227" s="18" t="inlineStr">
        <is>
          <t>Tape Super 33</t>
        </is>
      </c>
      <c r="D227" s="18" t="inlineStr">
        <is>
          <t>M05-0019</t>
        </is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B228" s="11" t="n">
        <v>20</v>
      </c>
      <c r="C228" s="18" t="inlineStr">
        <is>
          <t>Tornillo 1 1/4" p/fina</t>
        </is>
      </c>
      <c r="D228" s="18" t="inlineStr">
        <is>
          <t>M06-0116</t>
        </is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100</v>
      </c>
      <c r="L228" t="n">
        <v>100</v>
      </c>
      <c r="M228" t="n">
        <v>100</v>
      </c>
      <c r="N228" t="n">
        <v>100</v>
      </c>
      <c r="O228" t="n">
        <v>100</v>
      </c>
      <c r="P228" t="n">
        <v>100</v>
      </c>
      <c r="Q228" t="n">
        <v>100</v>
      </c>
      <c r="R228" t="n">
        <v>100</v>
      </c>
      <c r="S228" t="n">
        <v>100</v>
      </c>
      <c r="T228" t="n">
        <v>100</v>
      </c>
      <c r="U228" t="n">
        <v>100</v>
      </c>
      <c r="V228" t="n">
        <v>100</v>
      </c>
      <c r="W228" t="n">
        <v>100</v>
      </c>
      <c r="X228" t="n">
        <v>100</v>
      </c>
      <c r="Y228" t="n">
        <v>100</v>
      </c>
      <c r="Z228" t="n">
        <v>100</v>
      </c>
      <c r="AA228" t="n">
        <v>100</v>
      </c>
      <c r="AB228" t="n">
        <v>100</v>
      </c>
      <c r="AC228" t="n">
        <v>100</v>
      </c>
      <c r="AD228" t="n">
        <v>100</v>
      </c>
      <c r="AE228" t="n">
        <v>100</v>
      </c>
      <c r="AF228" t="n">
        <v>100</v>
      </c>
      <c r="AG228" t="n">
        <v>100</v>
      </c>
      <c r="AH228" t="n">
        <v>100</v>
      </c>
      <c r="AI228" t="n">
        <v>100</v>
      </c>
      <c r="AJ228" t="n">
        <v>100</v>
      </c>
      <c r="AK228" t="n">
        <v>100</v>
      </c>
      <c r="AL228" t="n">
        <v>100</v>
      </c>
      <c r="AM228" t="n">
        <v>100</v>
      </c>
      <c r="AN228" t="n">
        <v>100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B229" s="11" t="n">
        <v>21</v>
      </c>
      <c r="C229" s="18" t="inlineStr">
        <is>
          <t>scotch plug amarillo</t>
        </is>
      </c>
      <c r="D229" s="18" t="inlineStr">
        <is>
          <t>M05-0007</t>
        </is>
      </c>
      <c r="F229" t="n">
        <v>50</v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50</v>
      </c>
      <c r="N229" t="n">
        <v>50</v>
      </c>
      <c r="O229" t="n">
        <v>50</v>
      </c>
      <c r="P229" t="n">
        <v>50</v>
      </c>
      <c r="Q229" t="n">
        <v>50</v>
      </c>
      <c r="R229" t="n">
        <v>50</v>
      </c>
      <c r="S229" t="n">
        <v>50</v>
      </c>
      <c r="T229" t="n">
        <v>50</v>
      </c>
      <c r="U229" t="n">
        <v>50</v>
      </c>
      <c r="V229" t="n">
        <v>50</v>
      </c>
      <c r="W229" t="n">
        <v>50</v>
      </c>
      <c r="X229" t="n">
        <v>50</v>
      </c>
      <c r="Y229" t="n">
        <v>50</v>
      </c>
      <c r="Z229" t="n">
        <v>50</v>
      </c>
      <c r="AA229" t="n">
        <v>50</v>
      </c>
      <c r="AB229" t="n">
        <v>50</v>
      </c>
      <c r="AC229" t="n">
        <v>50</v>
      </c>
      <c r="AD229" t="n">
        <v>50</v>
      </c>
      <c r="AE229" t="n">
        <v>50</v>
      </c>
      <c r="AF229" t="n">
        <v>50</v>
      </c>
      <c r="AG229" t="n">
        <v>50</v>
      </c>
      <c r="AH229" t="n">
        <v>50</v>
      </c>
      <c r="AI229" t="n">
        <v>50</v>
      </c>
      <c r="AJ229" t="n">
        <v>50</v>
      </c>
      <c r="AK229" t="n">
        <v>50</v>
      </c>
      <c r="AL229" t="n">
        <v>50</v>
      </c>
      <c r="AM229" t="n">
        <v>50</v>
      </c>
      <c r="AN229" t="n">
        <v>50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B230" s="11" t="n">
        <v>22</v>
      </c>
      <c r="C230" s="18" t="inlineStr">
        <is>
          <t>Tapa Ciega 2x4</t>
        </is>
      </c>
      <c r="D230" s="18" t="inlineStr">
        <is>
          <t>M05-0016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n">
        <v>2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n">
        <v>2</v>
      </c>
      <c r="AJ230" t="n">
        <v>3</v>
      </c>
      <c r="AK230" t="n">
        <v>3</v>
      </c>
      <c r="AL230" t="n">
        <v>2</v>
      </c>
      <c r="AM230" t="n">
        <v>2</v>
      </c>
      <c r="AN230" t="n">
        <v>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B231" s="11" t="n">
        <v>23</v>
      </c>
      <c r="C231" s="18" t="inlineStr">
        <is>
          <t>Tapa Interperie 240</t>
        </is>
      </c>
      <c r="D231" s="18" t="inlineStr">
        <is>
          <t>M05-0482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B232" s="11" t="n">
        <v>24</v>
      </c>
      <c r="C232" s="18" t="inlineStr">
        <is>
          <t>Conector resorte amarillo</t>
        </is>
      </c>
      <c r="D232" s="18" t="inlineStr">
        <is>
          <t>M05-0011</t>
        </is>
      </c>
      <c r="F232" t="n">
        <v>50</v>
      </c>
      <c r="G232" t="n">
        <v>50</v>
      </c>
      <c r="H232" t="n">
        <v>50</v>
      </c>
      <c r="I232" t="n">
        <v>50</v>
      </c>
      <c r="J232" t="n">
        <v>50</v>
      </c>
      <c r="K232" t="n">
        <v>50</v>
      </c>
      <c r="L232" t="n">
        <v>50</v>
      </c>
      <c r="M232" t="n">
        <v>50</v>
      </c>
      <c r="N232" t="n">
        <v>50</v>
      </c>
      <c r="O232" t="n">
        <v>50</v>
      </c>
      <c r="P232" t="n">
        <v>50</v>
      </c>
      <c r="Q232" t="n">
        <v>50</v>
      </c>
      <c r="R232" t="n">
        <v>50</v>
      </c>
      <c r="S232" t="n">
        <v>50</v>
      </c>
      <c r="T232" t="n">
        <v>50</v>
      </c>
      <c r="U232" t="n">
        <v>50</v>
      </c>
      <c r="V232" t="n">
        <v>50</v>
      </c>
      <c r="W232" t="n">
        <v>50</v>
      </c>
      <c r="X232" t="n">
        <v>50</v>
      </c>
      <c r="Y232" t="n">
        <v>50</v>
      </c>
      <c r="Z232" t="n">
        <v>50</v>
      </c>
      <c r="AA232" t="n">
        <v>50</v>
      </c>
      <c r="AB232" t="n">
        <v>50</v>
      </c>
      <c r="AC232" t="n">
        <v>50</v>
      </c>
      <c r="AD232" t="n">
        <v>50</v>
      </c>
      <c r="AE232" t="n">
        <v>50</v>
      </c>
      <c r="AF232" t="n">
        <v>50</v>
      </c>
      <c r="AG232" t="n">
        <v>50</v>
      </c>
      <c r="AH232" t="n">
        <v>50</v>
      </c>
      <c r="AI232" t="n">
        <v>50</v>
      </c>
      <c r="AJ232" t="n">
        <v>50</v>
      </c>
      <c r="AK232" t="n">
        <v>50</v>
      </c>
      <c r="AL232" t="n">
        <v>50</v>
      </c>
      <c r="AM232" t="n">
        <v>50</v>
      </c>
      <c r="AN232" t="n">
        <v>50</v>
      </c>
      <c r="AO232" t="n">
        <v>50</v>
      </c>
      <c r="AP232" t="n">
        <v>50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B233" s="11" t="n">
        <v>25</v>
      </c>
      <c r="C233" s="18" t="inlineStr">
        <is>
          <t>Conector Macho RJ45</t>
        </is>
      </c>
      <c r="D233" s="18" t="inlineStr">
        <is>
          <t>M05-0024</t>
        </is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10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10</v>
      </c>
      <c r="W233" t="n">
        <v>10</v>
      </c>
      <c r="X233" t="n">
        <v>10</v>
      </c>
      <c r="Y233" t="n">
        <v>10</v>
      </c>
      <c r="Z233" t="n">
        <v>10</v>
      </c>
      <c r="AA233" t="n">
        <v>10</v>
      </c>
      <c r="AB233" t="n">
        <v>10</v>
      </c>
      <c r="AC233" t="n">
        <v>10</v>
      </c>
      <c r="AD233" t="n">
        <v>10</v>
      </c>
      <c r="AE233" t="n">
        <v>10</v>
      </c>
      <c r="AF233" t="n">
        <v>10</v>
      </c>
      <c r="AG233" t="n">
        <v>10</v>
      </c>
      <c r="AH233" t="n">
        <v>10</v>
      </c>
      <c r="AI233" t="n">
        <v>10</v>
      </c>
      <c r="AJ233" t="n">
        <v>10</v>
      </c>
      <c r="AK233" t="n">
        <v>10</v>
      </c>
      <c r="AL233" t="n">
        <v>10</v>
      </c>
      <c r="AM233" t="n">
        <v>10</v>
      </c>
      <c r="AN233" t="n">
        <v>10</v>
      </c>
      <c r="AO233" t="n">
        <v>10</v>
      </c>
      <c r="AP233" t="n">
        <v>10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B234" s="11" t="n">
        <v>26</v>
      </c>
      <c r="C234" s="18" t="inlineStr">
        <is>
          <t xml:space="preserve">Tornillo Madera 2" </t>
        </is>
      </c>
      <c r="D234" s="18" t="inlineStr">
        <is>
          <t>M06-0091</t>
        </is>
      </c>
      <c r="F234" t="n">
        <v>30</v>
      </c>
      <c r="G234" t="n">
        <v>30</v>
      </c>
      <c r="H234" t="n">
        <v>30</v>
      </c>
      <c r="I234" t="n">
        <v>30</v>
      </c>
      <c r="J234" t="n">
        <v>30</v>
      </c>
      <c r="K234" t="n">
        <v>30</v>
      </c>
      <c r="L234" t="n">
        <v>30</v>
      </c>
      <c r="M234" t="n">
        <v>30</v>
      </c>
      <c r="N234" t="n">
        <v>30</v>
      </c>
      <c r="O234" t="n">
        <v>30</v>
      </c>
      <c r="P234" t="n">
        <v>30</v>
      </c>
      <c r="Q234" t="n">
        <v>30</v>
      </c>
      <c r="R234" t="n">
        <v>30</v>
      </c>
      <c r="S234" t="n">
        <v>30</v>
      </c>
      <c r="T234" t="n">
        <v>30</v>
      </c>
      <c r="U234" t="n">
        <v>30</v>
      </c>
      <c r="V234" t="n">
        <v>30</v>
      </c>
      <c r="W234" t="n">
        <v>30</v>
      </c>
      <c r="X234" t="n">
        <v>30</v>
      </c>
      <c r="Y234" t="n">
        <v>30</v>
      </c>
      <c r="Z234" t="n">
        <v>30</v>
      </c>
      <c r="AA234" t="n">
        <v>30</v>
      </c>
      <c r="AB234" t="n">
        <v>30</v>
      </c>
      <c r="AC234" t="n">
        <v>30</v>
      </c>
      <c r="AD234" t="n">
        <v>30</v>
      </c>
      <c r="AE234" t="n">
        <v>30</v>
      </c>
      <c r="AF234" t="n">
        <v>30</v>
      </c>
      <c r="AG234" t="n">
        <v>30</v>
      </c>
      <c r="AH234" t="n">
        <v>30</v>
      </c>
      <c r="AI234" t="n">
        <v>30</v>
      </c>
      <c r="AJ234" t="n">
        <v>30</v>
      </c>
      <c r="AK234" t="n">
        <v>30</v>
      </c>
      <c r="AL234" t="n">
        <v>30</v>
      </c>
      <c r="AM234" t="n">
        <v>30</v>
      </c>
      <c r="AN234" t="n">
        <v>30</v>
      </c>
      <c r="AO234" t="n">
        <v>30</v>
      </c>
      <c r="AP234" t="n">
        <v>30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B235" s="11" t="n">
        <v>27</v>
      </c>
      <c r="C235" s="18" t="inlineStr">
        <is>
          <t xml:space="preserve">Tornillo Madera 2 1/2" </t>
        </is>
      </c>
      <c r="D235" s="18" t="inlineStr">
        <is>
          <t>m06-0090</t>
        </is>
      </c>
      <c r="F235" t="n">
        <v>30</v>
      </c>
      <c r="G235" t="n">
        <v>30</v>
      </c>
      <c r="H235" t="n">
        <v>30</v>
      </c>
      <c r="I235" t="n">
        <v>30</v>
      </c>
      <c r="J235" t="n">
        <v>30</v>
      </c>
      <c r="K235" t="n">
        <v>30</v>
      </c>
      <c r="L235" t="n">
        <v>30</v>
      </c>
      <c r="M235" t="n">
        <v>30</v>
      </c>
      <c r="N235" t="n">
        <v>30</v>
      </c>
      <c r="O235" t="n">
        <v>30</v>
      </c>
      <c r="P235" t="n">
        <v>30</v>
      </c>
      <c r="Q235" t="n">
        <v>30</v>
      </c>
      <c r="R235" t="n">
        <v>30</v>
      </c>
      <c r="S235" t="n">
        <v>30</v>
      </c>
      <c r="T235" t="n">
        <v>30</v>
      </c>
      <c r="U235" t="n">
        <v>30</v>
      </c>
      <c r="V235" t="n">
        <v>30</v>
      </c>
      <c r="W235" t="n">
        <v>30</v>
      </c>
      <c r="X235" t="n">
        <v>30</v>
      </c>
      <c r="Y235" t="n">
        <v>30</v>
      </c>
      <c r="Z235" t="n">
        <v>30</v>
      </c>
      <c r="AA235" t="n">
        <v>30</v>
      </c>
      <c r="AB235" t="n">
        <v>30</v>
      </c>
      <c r="AC235" t="n">
        <v>30</v>
      </c>
      <c r="AD235" t="n">
        <v>30</v>
      </c>
      <c r="AE235" t="n">
        <v>30</v>
      </c>
      <c r="AF235" t="n">
        <v>30</v>
      </c>
      <c r="AG235" t="n">
        <v>30</v>
      </c>
      <c r="AH235" t="n">
        <v>30</v>
      </c>
      <c r="AI235" t="n">
        <v>30</v>
      </c>
      <c r="AJ235" t="n">
        <v>30</v>
      </c>
      <c r="AK235" t="n">
        <v>30</v>
      </c>
      <c r="AL235" t="n">
        <v>30</v>
      </c>
      <c r="AM235" t="n">
        <v>30</v>
      </c>
      <c r="AN235" t="n">
        <v>30</v>
      </c>
      <c r="AO235" t="n">
        <v>30</v>
      </c>
      <c r="AP235" t="n">
        <v>30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B236" s="11" t="n">
        <v>28</v>
      </c>
      <c r="C236" s="18" t="n">
        <v>0</v>
      </c>
      <c r="D236" s="18" t="inlineStr">
        <is>
          <t>M05-0362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B237" s="11" t="n">
        <v>29</v>
      </c>
      <c r="C237" s="18" t="n">
        <v>0</v>
      </c>
      <c r="D237" s="18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B238" s="11" t="n">
        <v>30</v>
      </c>
      <c r="C238" s="18" t="n">
        <v>0</v>
      </c>
      <c r="D238" s="1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B239" s="835" t="inlineStr">
        <is>
          <t>BREAKER</t>
        </is>
      </c>
      <c r="C239" s="59" t="n"/>
      <c r="D239" s="60" t="n"/>
    </row>
    <row r="240">
      <c r="B240" s="11" t="n">
        <v>1</v>
      </c>
      <c r="C240" s="18" t="inlineStr">
        <is>
          <t>Breaker 2x100 cent.carga</t>
        </is>
      </c>
      <c r="D240" s="18" t="inlineStr">
        <is>
          <t>M05-0306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B241" s="11" t="n">
        <v>2</v>
      </c>
      <c r="C241" s="18" t="inlineStr">
        <is>
          <t>Breaker 2x150 centro carga</t>
        </is>
      </c>
      <c r="D241" s="18" t="inlineStr">
        <is>
          <t>M05-0322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B242" s="11" t="n">
        <v>3</v>
      </c>
      <c r="C242" s="18" t="inlineStr">
        <is>
          <t>Breaker 1x20 dual</t>
        </is>
      </c>
      <c r="D242" s="18" t="inlineStr">
        <is>
          <t>M05-0471</t>
        </is>
      </c>
      <c r="F242" t="n">
        <v>10</v>
      </c>
      <c r="G242" t="n">
        <v>10</v>
      </c>
      <c r="H242" t="n">
        <v>12</v>
      </c>
      <c r="I242" t="n">
        <v>12</v>
      </c>
      <c r="J242" t="n">
        <v>10</v>
      </c>
      <c r="K242" t="n">
        <v>10</v>
      </c>
      <c r="L242" t="n">
        <v>10</v>
      </c>
      <c r="M242" t="n">
        <v>12</v>
      </c>
      <c r="N242" t="n">
        <v>14</v>
      </c>
      <c r="O242" t="n">
        <v>14</v>
      </c>
      <c r="P242" t="n">
        <v>14</v>
      </c>
      <c r="Q242" t="n">
        <v>10</v>
      </c>
      <c r="R242" t="n">
        <v>12</v>
      </c>
      <c r="S242" t="n">
        <v>10</v>
      </c>
      <c r="T242" t="n">
        <v>12</v>
      </c>
      <c r="U242" t="n">
        <v>12</v>
      </c>
      <c r="V242" t="n">
        <v>13</v>
      </c>
      <c r="W242" t="n">
        <v>11</v>
      </c>
      <c r="X242" t="n">
        <v>13</v>
      </c>
      <c r="Y242" t="n">
        <v>12</v>
      </c>
      <c r="Z242" t="n">
        <v>13</v>
      </c>
      <c r="AA242" t="n">
        <v>13</v>
      </c>
      <c r="AB242" t="n">
        <v>10</v>
      </c>
      <c r="AC242" t="n">
        <v>12</v>
      </c>
      <c r="AD242" t="n">
        <v>10</v>
      </c>
      <c r="AE242" t="n">
        <v>12</v>
      </c>
      <c r="AF242" t="n">
        <v>12</v>
      </c>
      <c r="AG242" t="n">
        <v>12</v>
      </c>
      <c r="AH242" t="n">
        <v>13</v>
      </c>
      <c r="AI242" t="n">
        <v>12</v>
      </c>
      <c r="AJ242" t="n">
        <v>11</v>
      </c>
      <c r="AK242" t="n">
        <v>12</v>
      </c>
      <c r="AL242" t="n">
        <v>10</v>
      </c>
      <c r="AM242" t="n">
        <v>12</v>
      </c>
      <c r="AN242" t="n">
        <v>12</v>
      </c>
      <c r="AO242" t="n">
        <v>13</v>
      </c>
      <c r="AP242" t="n">
        <v>13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B243" s="11" t="n">
        <v>4</v>
      </c>
      <c r="C243" s="18" t="inlineStr">
        <is>
          <t>Breaker 2x100 Medidor</t>
        </is>
      </c>
      <c r="D243" s="18" t="inlineStr">
        <is>
          <t>M05-0307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B244" s="11" t="n">
        <v>5</v>
      </c>
      <c r="C244" s="18" t="inlineStr">
        <is>
          <t>breaker 2x30 GFCI</t>
        </is>
      </c>
      <c r="D244" s="18" t="inlineStr">
        <is>
          <t>M05-0471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B245" s="11" t="n">
        <v>6</v>
      </c>
      <c r="C245" s="18" t="inlineStr">
        <is>
          <t>breaker 2x40 GFCI</t>
        </is>
      </c>
      <c r="D245" s="18" t="inlineStr">
        <is>
          <t>M05-0472</t>
        </is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3</v>
      </c>
      <c r="AE245" t="n">
        <v>3</v>
      </c>
      <c r="AF245" t="n">
        <v>3</v>
      </c>
      <c r="AG245" t="n">
        <v>3</v>
      </c>
      <c r="AH245" t="n">
        <v>3</v>
      </c>
      <c r="AI245" t="n">
        <v>3</v>
      </c>
      <c r="AJ245" t="n">
        <v>3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  <c r="AP245" t="n">
        <v>3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B246" s="11" t="n">
        <v>7</v>
      </c>
      <c r="C246" s="18" t="inlineStr">
        <is>
          <t>Supresor de picos</t>
        </is>
      </c>
      <c r="D246" s="18" t="inlineStr">
        <is>
          <t>M05-0079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B247" s="11" t="n">
        <v>8</v>
      </c>
      <c r="C247" s="18" t="inlineStr">
        <is>
          <t>Cubierta  p/cent.carga 24</t>
        </is>
      </c>
      <c r="D247" s="18" t="inlineStr">
        <is>
          <t>M05-0475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B248" s="11" t="n">
        <v>9</v>
      </c>
      <c r="C248" s="18" t="inlineStr">
        <is>
          <t>Cubierta  p/cent.carga 30</t>
        </is>
      </c>
      <c r="D248" s="18" t="inlineStr">
        <is>
          <t>M05-0474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B249" s="11" t="n">
        <v>10</v>
      </c>
      <c r="C249" s="18" t="inlineStr">
        <is>
          <t>Barra a tierra 27 esp</t>
        </is>
      </c>
      <c r="D249" s="18" t="inlineStr">
        <is>
          <t>M05-0218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B250" s="11" t="n">
        <v>11</v>
      </c>
      <c r="C250" s="18" t="inlineStr">
        <is>
          <t>Conector Macho RJ45</t>
        </is>
      </c>
      <c r="D250" s="18" t="inlineStr">
        <is>
          <t>M05-0024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B251" s="11" t="n">
        <v>12</v>
      </c>
      <c r="C251" s="18" t="inlineStr">
        <is>
          <t>Conector Barril bimetal</t>
        </is>
      </c>
      <c r="D251" s="18" t="inlineStr">
        <is>
          <t>M05-0465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B252" s="11" t="n">
        <v>13</v>
      </c>
      <c r="C252" s="18" t="inlineStr">
        <is>
          <t>Tape rojo</t>
        </is>
      </c>
      <c r="D252" s="18" t="inlineStr">
        <is>
          <t>M05-0271</t>
        </is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B253" s="11" t="n">
        <v>14</v>
      </c>
      <c r="C253" s="18" t="inlineStr">
        <is>
          <t>Tape blanco</t>
        </is>
      </c>
      <c r="D253" s="18" t="inlineStr">
        <is>
          <t>M05-0017</t>
        </is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B254" s="11" t="n">
        <v>15</v>
      </c>
      <c r="C254" s="18" t="inlineStr">
        <is>
          <t>Tape verde</t>
        </is>
      </c>
      <c r="D254" s="18" t="inlineStr">
        <is>
          <t>M05-0018</t>
        </is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B255" s="11" t="n">
        <v>16</v>
      </c>
      <c r="C255" s="18" t="n">
        <v>0</v>
      </c>
      <c r="D255" s="18" t="inlineStr">
        <is>
          <t>M05-0362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B256" s="11" t="n">
        <v>17</v>
      </c>
      <c r="C256" s="18" t="n">
        <v>0</v>
      </c>
      <c r="D256" s="18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B257" s="11" t="n">
        <v>18</v>
      </c>
      <c r="C257" s="18" t="n">
        <v>0</v>
      </c>
      <c r="D257" s="18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B258" s="11" t="n">
        <v>19</v>
      </c>
      <c r="C258" s="18" t="n">
        <v>0</v>
      </c>
      <c r="D258" s="1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B259" s="11" t="n">
        <v>20</v>
      </c>
      <c r="C259" s="18" t="n">
        <v>0</v>
      </c>
      <c r="D259" s="18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B260" s="835" t="inlineStr">
        <is>
          <t>CABLE GRUESO</t>
        </is>
      </c>
      <c r="C260" s="59" t="n"/>
      <c r="D260" s="60" t="n"/>
    </row>
    <row r="261">
      <c r="B261" s="11" t="n">
        <v>1</v>
      </c>
      <c r="C261" s="18" t="inlineStr">
        <is>
          <t>Cable thhn #12 rojo</t>
        </is>
      </c>
      <c r="D261" s="18" t="inlineStr">
        <is>
          <t>M05-0259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B262" s="11" t="n">
        <v>2</v>
      </c>
      <c r="C262" s="18" t="inlineStr">
        <is>
          <t>Cable thhn #12 blanco</t>
        </is>
      </c>
      <c r="D262" s="18" t="inlineStr">
        <is>
          <t>M05-0259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B263" s="11" t="n">
        <v>3</v>
      </c>
      <c r="C263" s="18" t="inlineStr">
        <is>
          <t>Cable thhn #12 verde</t>
        </is>
      </c>
      <c r="D263" s="18" t="inlineStr">
        <is>
          <t>M05-0259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B264" s="11" t="n">
        <v>4</v>
      </c>
      <c r="C264" s="18" t="inlineStr">
        <is>
          <t>Cable thhn #12 azul</t>
        </is>
      </c>
      <c r="D264" s="18" t="inlineStr">
        <is>
          <t>M05-0259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B265" s="11" t="n">
        <v>5</v>
      </c>
      <c r="C265" s="18" t="inlineStr">
        <is>
          <t>Cable thhn #12 negro</t>
        </is>
      </c>
      <c r="D265" s="18" t="inlineStr">
        <is>
          <t>M05-0259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B266" s="11" t="n">
        <v>6</v>
      </c>
      <c r="C266" s="18" t="inlineStr">
        <is>
          <t>Cable thhn #10 rojo</t>
        </is>
      </c>
      <c r="D266" s="18" t="inlineStr">
        <is>
          <t>M05-0258</t>
        </is>
      </c>
      <c r="F266" t="n">
        <v>36</v>
      </c>
      <c r="G266" t="n">
        <v>36</v>
      </c>
      <c r="H266" t="n">
        <v>36</v>
      </c>
      <c r="I266" t="n">
        <v>30</v>
      </c>
      <c r="J266" t="n">
        <v>30</v>
      </c>
      <c r="K266" t="n">
        <v>30</v>
      </c>
      <c r="L266" t="n">
        <v>36</v>
      </c>
      <c r="M266" t="n">
        <v>36</v>
      </c>
      <c r="N266" t="n">
        <v>36</v>
      </c>
      <c r="O266" t="n">
        <v>36</v>
      </c>
      <c r="P266" t="n">
        <v>36</v>
      </c>
      <c r="Q266" t="n">
        <v>30</v>
      </c>
      <c r="R266" t="n">
        <v>30</v>
      </c>
      <c r="S266" t="n">
        <v>55</v>
      </c>
      <c r="T266" t="n">
        <v>55</v>
      </c>
      <c r="U266" t="n">
        <v>50</v>
      </c>
      <c r="V266" t="n">
        <v>50</v>
      </c>
      <c r="W266" t="n">
        <v>50</v>
      </c>
      <c r="X266" t="n">
        <v>50</v>
      </c>
      <c r="Y266" t="n">
        <v>50</v>
      </c>
      <c r="Z266" t="n">
        <v>50</v>
      </c>
      <c r="AA266" t="n">
        <v>50</v>
      </c>
      <c r="AB266" t="n">
        <v>30</v>
      </c>
      <c r="AC266" t="n">
        <v>30</v>
      </c>
      <c r="AD266" t="n">
        <v>30</v>
      </c>
      <c r="AE266" t="n">
        <v>30</v>
      </c>
      <c r="AF266" t="n">
        <v>30</v>
      </c>
      <c r="AG266" t="n">
        <v>30</v>
      </c>
      <c r="AH266" t="n">
        <v>30</v>
      </c>
      <c r="AI266" t="n">
        <v>30</v>
      </c>
      <c r="AJ266" t="n">
        <v>30</v>
      </c>
      <c r="AK266" t="n">
        <v>30</v>
      </c>
      <c r="AL266" t="n">
        <v>30</v>
      </c>
      <c r="AM266" t="n">
        <v>30</v>
      </c>
      <c r="AN266" t="n">
        <v>30</v>
      </c>
      <c r="AO266" t="n">
        <v>50</v>
      </c>
      <c r="AP266" t="n">
        <v>30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B267" s="11" t="n">
        <v>7</v>
      </c>
      <c r="C267" s="18" t="inlineStr">
        <is>
          <t>Cable thhn #10 Blanco</t>
        </is>
      </c>
      <c r="D267" s="18" t="inlineStr">
        <is>
          <t>M05-0258</t>
        </is>
      </c>
      <c r="F267" t="n">
        <v>20</v>
      </c>
      <c r="G267" t="n">
        <v>20</v>
      </c>
      <c r="H267" t="n">
        <v>20</v>
      </c>
      <c r="I267" t="n">
        <v>15</v>
      </c>
      <c r="J267" t="n">
        <v>15</v>
      </c>
      <c r="K267" t="n">
        <v>15</v>
      </c>
      <c r="L267" t="n">
        <v>20</v>
      </c>
      <c r="M267" t="n">
        <v>20</v>
      </c>
      <c r="N267" t="n">
        <v>20</v>
      </c>
      <c r="O267" t="n">
        <v>20</v>
      </c>
      <c r="P267" t="n">
        <v>20</v>
      </c>
      <c r="Q267" t="n">
        <v>20</v>
      </c>
      <c r="R267" t="n">
        <v>20</v>
      </c>
      <c r="S267" t="n">
        <v>32</v>
      </c>
      <c r="T267" t="n">
        <v>32</v>
      </c>
      <c r="U267" t="n">
        <v>25</v>
      </c>
      <c r="V267" t="n">
        <v>25</v>
      </c>
      <c r="W267" t="n">
        <v>25</v>
      </c>
      <c r="X267" t="n">
        <v>25</v>
      </c>
      <c r="Y267" t="n">
        <v>25</v>
      </c>
      <c r="Z267" t="n">
        <v>25</v>
      </c>
      <c r="AA267" t="n">
        <v>25</v>
      </c>
      <c r="AB267" t="n">
        <v>20</v>
      </c>
      <c r="AC267" t="n">
        <v>20</v>
      </c>
      <c r="AD267" t="n">
        <v>20</v>
      </c>
      <c r="AE267" t="n">
        <v>20</v>
      </c>
      <c r="AF267" t="n">
        <v>20</v>
      </c>
      <c r="AG267" t="n">
        <v>20</v>
      </c>
      <c r="AH267" t="n">
        <v>20</v>
      </c>
      <c r="AI267" t="n">
        <v>20</v>
      </c>
      <c r="AJ267" t="n">
        <v>20</v>
      </c>
      <c r="AK267" t="n">
        <v>20</v>
      </c>
      <c r="AL267" t="n">
        <v>20</v>
      </c>
      <c r="AM267" t="n">
        <v>20</v>
      </c>
      <c r="AN267" t="n">
        <v>20</v>
      </c>
      <c r="AO267" t="n">
        <v>25</v>
      </c>
      <c r="AP267" t="n">
        <v>20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B268" s="11" t="n">
        <v>8</v>
      </c>
      <c r="C268" s="18" t="inlineStr">
        <is>
          <t>Cable thhn #10 Verde</t>
        </is>
      </c>
      <c r="D268" s="18" t="inlineStr">
        <is>
          <t>M05-0258</t>
        </is>
      </c>
      <c r="F268" t="n">
        <v>40</v>
      </c>
      <c r="G268" t="n">
        <v>40</v>
      </c>
      <c r="H268" t="n">
        <v>40</v>
      </c>
      <c r="I268" t="n">
        <v>25</v>
      </c>
      <c r="J268" t="n">
        <v>25</v>
      </c>
      <c r="K268" t="n">
        <v>25</v>
      </c>
      <c r="L268" t="n">
        <v>40</v>
      </c>
      <c r="M268" t="n">
        <v>40</v>
      </c>
      <c r="N268" t="n">
        <v>40</v>
      </c>
      <c r="O268" t="n">
        <v>40</v>
      </c>
      <c r="P268" t="n">
        <v>40</v>
      </c>
      <c r="Q268" t="n">
        <v>40</v>
      </c>
      <c r="R268" t="n">
        <v>40</v>
      </c>
      <c r="S268" t="n">
        <v>40</v>
      </c>
      <c r="T268" t="n">
        <v>40</v>
      </c>
      <c r="U268" t="n">
        <v>40</v>
      </c>
      <c r="V268" t="n">
        <v>40</v>
      </c>
      <c r="W268" t="n">
        <v>40</v>
      </c>
      <c r="X268" t="n">
        <v>40</v>
      </c>
      <c r="Y268" t="n">
        <v>40</v>
      </c>
      <c r="Z268" t="n">
        <v>40</v>
      </c>
      <c r="AA268" t="n">
        <v>40</v>
      </c>
      <c r="AB268" t="n">
        <v>30</v>
      </c>
      <c r="AC268" t="n">
        <v>30</v>
      </c>
      <c r="AD268" t="n">
        <v>30</v>
      </c>
      <c r="AE268" t="n">
        <v>30</v>
      </c>
      <c r="AF268" t="n">
        <v>30</v>
      </c>
      <c r="AG268" t="n">
        <v>30</v>
      </c>
      <c r="AH268" t="n">
        <v>30</v>
      </c>
      <c r="AI268" t="n">
        <v>30</v>
      </c>
      <c r="AJ268" t="n">
        <v>30</v>
      </c>
      <c r="AK268" t="n">
        <v>30</v>
      </c>
      <c r="AL268" t="n">
        <v>30</v>
      </c>
      <c r="AM268" t="n">
        <v>30</v>
      </c>
      <c r="AN268" t="n">
        <v>30</v>
      </c>
      <c r="AO268" t="n">
        <v>40</v>
      </c>
      <c r="AP268" t="n">
        <v>30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B269" s="11" t="n">
        <v>9</v>
      </c>
      <c r="C269" s="18" t="inlineStr">
        <is>
          <t>Cable thhn #8 blanco</t>
        </is>
      </c>
      <c r="D269" s="18" t="inlineStr">
        <is>
          <t>M05-0261</t>
        </is>
      </c>
      <c r="F269" t="n">
        <v>20</v>
      </c>
      <c r="G269" t="n">
        <v>20</v>
      </c>
      <c r="H269" t="n">
        <v>20</v>
      </c>
      <c r="I269" t="n">
        <v>20</v>
      </c>
      <c r="J269" t="n">
        <v>20</v>
      </c>
      <c r="K269" t="n">
        <v>20</v>
      </c>
      <c r="L269" t="n">
        <v>30</v>
      </c>
      <c r="M269" t="n">
        <v>30</v>
      </c>
      <c r="N269" t="n">
        <v>30</v>
      </c>
      <c r="O269" t="n">
        <v>30</v>
      </c>
      <c r="P269" t="n">
        <v>30</v>
      </c>
      <c r="Q269" t="n">
        <v>30</v>
      </c>
      <c r="R269" t="n">
        <v>30</v>
      </c>
      <c r="S269" t="n">
        <v>28</v>
      </c>
      <c r="T269" t="n">
        <v>28</v>
      </c>
      <c r="U269" t="n">
        <v>27</v>
      </c>
      <c r="V269" t="n">
        <v>27</v>
      </c>
      <c r="W269" t="n">
        <v>27</v>
      </c>
      <c r="X269" t="n">
        <v>27</v>
      </c>
      <c r="Y269" t="n">
        <v>27</v>
      </c>
      <c r="Z269" t="n">
        <v>27</v>
      </c>
      <c r="AA269" t="n">
        <v>27</v>
      </c>
      <c r="AB269" t="n">
        <v>15</v>
      </c>
      <c r="AC269" t="n">
        <v>15</v>
      </c>
      <c r="AD269" t="n">
        <v>15</v>
      </c>
      <c r="AE269" t="n">
        <v>15</v>
      </c>
      <c r="AF269" t="n">
        <v>15</v>
      </c>
      <c r="AG269" t="n">
        <v>15</v>
      </c>
      <c r="AH269" t="n">
        <v>15</v>
      </c>
      <c r="AI269" t="n">
        <v>15</v>
      </c>
      <c r="AJ269" t="n">
        <v>15</v>
      </c>
      <c r="AK269" t="n">
        <v>15</v>
      </c>
      <c r="AL269" t="n">
        <v>15</v>
      </c>
      <c r="AM269" t="n">
        <v>15</v>
      </c>
      <c r="AN269" t="n">
        <v>15</v>
      </c>
      <c r="AO269" t="n">
        <v>27</v>
      </c>
      <c r="AP269" t="n">
        <v>15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B270" s="11" t="n">
        <v>10</v>
      </c>
      <c r="C270" s="18" t="inlineStr">
        <is>
          <t>Cable thhn #8 rojo</t>
        </is>
      </c>
      <c r="D270" s="18" t="inlineStr">
        <is>
          <t>M05-0261</t>
        </is>
      </c>
      <c r="F270" t="n">
        <v>60</v>
      </c>
      <c r="G270" t="n">
        <v>60</v>
      </c>
      <c r="H270" t="n">
        <v>60</v>
      </c>
      <c r="I270" t="n">
        <v>60</v>
      </c>
      <c r="J270" t="n">
        <v>60</v>
      </c>
      <c r="K270" t="n">
        <v>60</v>
      </c>
      <c r="L270" t="n">
        <v>60</v>
      </c>
      <c r="M270" t="n">
        <v>60</v>
      </c>
      <c r="N270" t="n">
        <v>60</v>
      </c>
      <c r="O270" t="n">
        <v>60</v>
      </c>
      <c r="P270" t="n">
        <v>60</v>
      </c>
      <c r="Q270" t="n">
        <v>60</v>
      </c>
      <c r="R270" t="n">
        <v>60</v>
      </c>
      <c r="S270" t="n">
        <v>60</v>
      </c>
      <c r="T270" t="n">
        <v>60</v>
      </c>
      <c r="U270" t="n">
        <v>60</v>
      </c>
      <c r="V270" t="n">
        <v>60</v>
      </c>
      <c r="W270" t="n">
        <v>60</v>
      </c>
      <c r="X270" t="n">
        <v>60</v>
      </c>
      <c r="Y270" t="n">
        <v>60</v>
      </c>
      <c r="Z270" t="n">
        <v>60</v>
      </c>
      <c r="AA270" t="n">
        <v>60</v>
      </c>
      <c r="AB270" t="n">
        <v>60</v>
      </c>
      <c r="AC270" t="n">
        <v>60</v>
      </c>
      <c r="AD270" t="n">
        <v>60</v>
      </c>
      <c r="AE270" t="n">
        <v>60</v>
      </c>
      <c r="AF270" t="n">
        <v>60</v>
      </c>
      <c r="AG270" t="n">
        <v>60</v>
      </c>
      <c r="AH270" t="n">
        <v>60</v>
      </c>
      <c r="AI270" t="n">
        <v>60</v>
      </c>
      <c r="AJ270" t="n">
        <v>60</v>
      </c>
      <c r="AK270" t="n">
        <v>60</v>
      </c>
      <c r="AL270" t="n">
        <v>60</v>
      </c>
      <c r="AM270" t="n">
        <v>60</v>
      </c>
      <c r="AN270" t="n">
        <v>60</v>
      </c>
      <c r="AO270" t="n">
        <v>60</v>
      </c>
      <c r="AP270" t="n">
        <v>60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B271" s="11" t="n">
        <v>11</v>
      </c>
      <c r="C271" s="18" t="inlineStr">
        <is>
          <t>Cable thhn #8 verde</t>
        </is>
      </c>
      <c r="D271" s="18" t="inlineStr">
        <is>
          <t>M05-0261</t>
        </is>
      </c>
      <c r="F271" t="n">
        <v>30</v>
      </c>
      <c r="G271" t="n">
        <v>30</v>
      </c>
      <c r="H271" t="n">
        <v>30</v>
      </c>
      <c r="I271" t="n">
        <v>30</v>
      </c>
      <c r="J271" t="n">
        <v>30</v>
      </c>
      <c r="K271" t="n">
        <v>30</v>
      </c>
      <c r="L271" t="n">
        <v>30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20</v>
      </c>
      <c r="S271" t="n">
        <v>24</v>
      </c>
      <c r="T271" t="n">
        <v>24</v>
      </c>
      <c r="U271" t="n">
        <v>22</v>
      </c>
      <c r="V271" t="n">
        <v>22</v>
      </c>
      <c r="W271" t="n">
        <v>22</v>
      </c>
      <c r="X271" t="n">
        <v>22</v>
      </c>
      <c r="Y271" t="n">
        <v>22</v>
      </c>
      <c r="Z271" t="n">
        <v>22</v>
      </c>
      <c r="AA271" t="n">
        <v>22</v>
      </c>
      <c r="AB271" t="n">
        <v>15</v>
      </c>
      <c r="AC271" t="n">
        <v>15</v>
      </c>
      <c r="AD271" t="n">
        <v>15</v>
      </c>
      <c r="AE271" t="n">
        <v>15</v>
      </c>
      <c r="AF271" t="n">
        <v>15</v>
      </c>
      <c r="AG271" t="n">
        <v>15</v>
      </c>
      <c r="AH271" t="n">
        <v>15</v>
      </c>
      <c r="AI271" t="n">
        <v>15</v>
      </c>
      <c r="AJ271" t="n">
        <v>15</v>
      </c>
      <c r="AK271" t="n">
        <v>15</v>
      </c>
      <c r="AL271" t="n">
        <v>15</v>
      </c>
      <c r="AM271" t="n">
        <v>15</v>
      </c>
      <c r="AN271" t="n">
        <v>15</v>
      </c>
      <c r="AO271" t="n">
        <v>22</v>
      </c>
      <c r="AP271" t="n">
        <v>15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B272" s="11" t="n">
        <v>12</v>
      </c>
      <c r="C272" s="18" t="inlineStr">
        <is>
          <t>Cable 1/0 AL s8000</t>
        </is>
      </c>
      <c r="D272" s="18" t="inlineStr">
        <is>
          <t>M05-0262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B273" s="11" t="n">
        <v>13</v>
      </c>
      <c r="C273" s="18" t="inlineStr">
        <is>
          <t>Cable #6  AL s8000</t>
        </is>
      </c>
      <c r="D273" s="18" t="inlineStr">
        <is>
          <t>M05-0263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B274" s="11" t="n">
        <v>14</v>
      </c>
      <c r="C274" s="18" t="inlineStr">
        <is>
          <t>Cable UTP cat 5e</t>
        </is>
      </c>
      <c r="D274" s="18" t="inlineStr">
        <is>
          <t>M05-0269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B275" s="11" t="n">
        <v>15</v>
      </c>
      <c r="C275" s="18" t="inlineStr">
        <is>
          <t>Tape Blanco</t>
        </is>
      </c>
      <c r="D275" s="18" t="inlineStr">
        <is>
          <t>M05-0017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B276" s="11" t="n">
        <v>16</v>
      </c>
      <c r="C276" s="18" t="inlineStr">
        <is>
          <t>Tape Verde</t>
        </is>
      </c>
      <c r="D276" s="18" t="inlineStr">
        <is>
          <t>M05-0018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B277" s="11" t="n">
        <v>17</v>
      </c>
      <c r="C277" s="18" t="inlineStr">
        <is>
          <t>Tape ROJO</t>
        </is>
      </c>
      <c r="D277" s="18" t="inlineStr">
        <is>
          <t>M05-0271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B278" s="11" t="n">
        <v>18</v>
      </c>
      <c r="C278" s="18" t="inlineStr">
        <is>
          <t>Tape Super 33</t>
        </is>
      </c>
      <c r="D278" s="18" t="inlineStr">
        <is>
          <t>M05-0019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B279" s="11" t="n">
        <v>19</v>
      </c>
      <c r="C279" s="18" t="n">
        <v>0</v>
      </c>
      <c r="D279" s="18" t="inlineStr">
        <is>
          <t>M05-0362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B280" s="11" t="n">
        <v>20</v>
      </c>
      <c r="C280" s="18" t="n">
        <v>0</v>
      </c>
      <c r="D280" s="18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B281" s="835" t="inlineStr">
        <is>
          <t>medidor</t>
        </is>
      </c>
      <c r="C281" s="59" t="n"/>
      <c r="D281" s="60" t="n"/>
    </row>
    <row r="282">
      <c r="B282" s="11" t="n">
        <v>1</v>
      </c>
      <c r="C282" s="18" t="inlineStr">
        <is>
          <t>Curva 38mm 1 1/2"</t>
        </is>
      </c>
      <c r="D282" s="18" t="inlineStr">
        <is>
          <t>M05-0362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B283" s="11" t="n">
        <v>2</v>
      </c>
      <c r="C283" s="18" t="inlineStr">
        <is>
          <t>Curva 25mm 1"</t>
        </is>
      </c>
      <c r="D283" s="18" t="inlineStr">
        <is>
          <t>M05-0366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B284" s="11" t="n">
        <v>3</v>
      </c>
      <c r="C284" s="18" t="inlineStr">
        <is>
          <t>Curva 13mm 1/2"</t>
        </is>
      </c>
      <c r="D284" s="18" t="inlineStr">
        <is>
          <t>M05-0361</t>
        </is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  <c r="O284" t="n">
        <v>2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2</v>
      </c>
      <c r="AT284" t="n">
        <v>2</v>
      </c>
      <c r="AU284" t="n">
        <v>2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B285" s="11" t="n">
        <v>4</v>
      </c>
      <c r="C285" s="18" t="inlineStr">
        <is>
          <t>Curva 19mm 3/4"</t>
        </is>
      </c>
      <c r="D285" s="18" t="inlineStr">
        <is>
          <t>M05-0367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B286" s="11" t="n">
        <v>5</v>
      </c>
      <c r="C286" s="18" t="inlineStr">
        <is>
          <t>Tubo 38mm 1 1/2"</t>
        </is>
      </c>
      <c r="D286" s="18" t="inlineStr">
        <is>
          <t>M05-0368</t>
        </is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B287" s="11" t="n">
        <v>6</v>
      </c>
      <c r="C287" s="18" t="inlineStr">
        <is>
          <t>Tubo 25mm 1"</t>
        </is>
      </c>
      <c r="D287" s="18" t="inlineStr">
        <is>
          <t>M05-0369</t>
        </is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2</v>
      </c>
      <c r="L287" t="n">
        <v>2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2</v>
      </c>
      <c r="AS287" t="n">
        <v>2</v>
      </c>
      <c r="AT287" t="n">
        <v>2</v>
      </c>
      <c r="AU287" t="n">
        <v>2</v>
      </c>
      <c r="AV287" t="n">
        <v>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B288" s="11" t="n">
        <v>7</v>
      </c>
      <c r="C288" s="18" t="inlineStr">
        <is>
          <t>Tubo 13mm 1/2"</t>
        </is>
      </c>
      <c r="D288" s="18" t="inlineStr">
        <is>
          <t>M05-0370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B289" s="11" t="n">
        <v>8</v>
      </c>
      <c r="C289" s="18" t="inlineStr">
        <is>
          <t>Union 38mm 1 1/2"</t>
        </is>
      </c>
      <c r="D289" s="18" t="inlineStr">
        <is>
          <t>M05-0372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B290" s="11" t="n">
        <v>9</v>
      </c>
      <c r="C290" s="18" t="inlineStr">
        <is>
          <t>Union 25mm 1"</t>
        </is>
      </c>
      <c r="D290" s="18" t="inlineStr">
        <is>
          <t>M05-0373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B291" s="11" t="n">
        <v>10</v>
      </c>
      <c r="C291" s="18" t="inlineStr">
        <is>
          <t>Union 13mm 1/2"</t>
        </is>
      </c>
      <c r="D291" s="18" t="inlineStr">
        <is>
          <t>M05-0374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B292" s="11" t="n">
        <v>11</v>
      </c>
      <c r="C292" s="18" t="inlineStr">
        <is>
          <t>Conector  1 1/2" UL</t>
        </is>
      </c>
      <c r="D292" s="18" t="inlineStr">
        <is>
          <t>M05-0363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B293" s="11" t="n">
        <v>12</v>
      </c>
      <c r="C293" s="18" t="inlineStr">
        <is>
          <t>Conector  1" UL</t>
        </is>
      </c>
      <c r="D293" s="18" t="inlineStr">
        <is>
          <t>M05-0364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B294" s="11" t="n">
        <v>13</v>
      </c>
      <c r="C294" s="18" t="inlineStr">
        <is>
          <t>Conector de 1/2" UL</t>
        </is>
      </c>
      <c r="D294" s="18" t="inlineStr">
        <is>
          <t>M05-0476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B295" s="11" t="n">
        <v>14</v>
      </c>
      <c r="C295" s="18" t="inlineStr">
        <is>
          <t xml:space="preserve">Conduleta Botagua 1 1/4 </t>
        </is>
      </c>
      <c r="D295" s="18" t="inlineStr">
        <is>
          <t>M05-0392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B296" s="11" t="n">
        <v>15</v>
      </c>
      <c r="C296" s="18" t="inlineStr">
        <is>
          <t>Conduleta Botagua 1</t>
        </is>
      </c>
      <c r="D296" s="18" t="inlineStr">
        <is>
          <t>M05-0393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B297" s="11" t="n">
        <v>16</v>
      </c>
      <c r="C297" s="18" t="inlineStr">
        <is>
          <t>Conector Barril bimetal</t>
        </is>
      </c>
      <c r="D297" s="18" t="inlineStr">
        <is>
          <t>M05-0465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B298" s="11" t="n">
        <v>17</v>
      </c>
      <c r="C298" s="18" t="inlineStr">
        <is>
          <t>Conector emt 1</t>
        </is>
      </c>
      <c r="D298" s="18" t="inlineStr">
        <is>
          <t>M05-0396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B299" s="11" t="n">
        <v>18</v>
      </c>
      <c r="C299" s="18" t="inlineStr">
        <is>
          <t>Gaza p/ Varilla tierra</t>
        </is>
      </c>
      <c r="D299" s="18" t="inlineStr">
        <is>
          <t>M05-0014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B300" s="11" t="n">
        <v>19</v>
      </c>
      <c r="C300" s="18" t="inlineStr">
        <is>
          <t>Tubo emt 1</t>
        </is>
      </c>
      <c r="D300" s="18" t="inlineStr">
        <is>
          <t>M05-0402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B301" s="11" t="n">
        <v>20</v>
      </c>
      <c r="C301" s="18" t="inlineStr">
        <is>
          <t>Varilla Cooperweld</t>
        </is>
      </c>
      <c r="D301" s="18" t="inlineStr">
        <is>
          <t>M05-0021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B302" s="11" t="n">
        <v>21</v>
      </c>
      <c r="C302" s="18" t="inlineStr">
        <is>
          <t>Conector emt 1 1/4</t>
        </is>
      </c>
      <c r="D302" s="18" t="inlineStr">
        <is>
          <t>M05-0411</t>
        </is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B303" s="11" t="n">
        <v>22</v>
      </c>
      <c r="C303" s="18" t="inlineStr">
        <is>
          <t>Tubo emt 1 1/4</t>
        </is>
      </c>
      <c r="D303" s="18" t="inlineStr">
        <is>
          <t>M05-0412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B304" s="11" t="n">
        <v>23</v>
      </c>
      <c r="C304" s="18" t="inlineStr">
        <is>
          <t xml:space="preserve">Base medidor </t>
        </is>
      </c>
      <c r="D304" s="18" t="inlineStr">
        <is>
          <t>M05-0305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B305" s="11" t="n">
        <v>24</v>
      </c>
      <c r="C305" s="18" t="inlineStr">
        <is>
          <t>Cable thhn #8 verde</t>
        </is>
      </c>
      <c r="D305" s="18" t="inlineStr">
        <is>
          <t>M05-0261</t>
        </is>
      </c>
      <c r="F305" t="n">
        <v>4</v>
      </c>
      <c r="G305" t="n">
        <v>4</v>
      </c>
      <c r="H305" t="n">
        <v>4</v>
      </c>
      <c r="I305" t="n">
        <v>4</v>
      </c>
      <c r="J305" t="n">
        <v>4</v>
      </c>
      <c r="K305" t="n">
        <v>4</v>
      </c>
      <c r="L305" t="n">
        <v>4</v>
      </c>
      <c r="M305" t="n">
        <v>4</v>
      </c>
      <c r="N305" t="n">
        <v>4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  <c r="U305" t="n">
        <v>4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4</v>
      </c>
      <c r="AR305" t="n">
        <v>4</v>
      </c>
      <c r="AS305" t="n">
        <v>4</v>
      </c>
      <c r="AT305" t="n">
        <v>4</v>
      </c>
      <c r="AU305" t="n">
        <v>4</v>
      </c>
      <c r="AV305" t="n">
        <v>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B306" s="11" t="n">
        <v>25</v>
      </c>
      <c r="C306" s="18" t="inlineStr">
        <is>
          <t>Cable 1/0 AL s8000</t>
        </is>
      </c>
      <c r="D306" s="18" t="inlineStr">
        <is>
          <t>M05-0262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B307" s="11" t="n">
        <v>26</v>
      </c>
      <c r="C307" s="18" t="inlineStr">
        <is>
          <t xml:space="preserve">Caja Registro 30x30 </t>
        </is>
      </c>
      <c r="D307" s="18" t="inlineStr">
        <is>
          <t>M13-0061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B308" s="11" t="n">
        <v>27</v>
      </c>
      <c r="C308" s="18" t="n">
        <v>0</v>
      </c>
      <c r="D308" s="1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B309" s="11" t="n">
        <v>28</v>
      </c>
      <c r="C309" s="18" t="n">
        <v>0</v>
      </c>
      <c r="D309" s="18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35"/>
  <sheetViews>
    <sheetView workbookViewId="0">
      <selection activeCell="A1" sqref="A1"/>
    </sheetView>
  </sheetViews>
  <sheetFormatPr baseColWidth="8" defaultRowHeight="15"/>
  <sheetData>
    <row r="1">
      <c r="E1" s="836" t="n">
        <v>1</v>
      </c>
      <c r="F1" s="324" t="n">
        <v>2</v>
      </c>
      <c r="G1" s="324" t="n">
        <v>3</v>
      </c>
      <c r="H1" s="324" t="n">
        <v>4</v>
      </c>
      <c r="I1" s="324" t="n">
        <v>5</v>
      </c>
      <c r="J1" s="324" t="n">
        <v>6</v>
      </c>
      <c r="L1" s="324" t="n">
        <v>8</v>
      </c>
      <c r="M1" s="324" t="n">
        <v>9</v>
      </c>
      <c r="O1" s="324" t="n">
        <v>10</v>
      </c>
      <c r="P1" s="324" t="n">
        <v>11</v>
      </c>
      <c r="Q1" s="837" t="n">
        <v>12</v>
      </c>
      <c r="R1" s="324" t="n">
        <v>13</v>
      </c>
      <c r="S1" s="324" t="n">
        <v>14</v>
      </c>
      <c r="T1" s="837" t="n">
        <v>15</v>
      </c>
      <c r="U1" s="324" t="n">
        <v>16</v>
      </c>
      <c r="V1" s="324" t="n">
        <v>17</v>
      </c>
      <c r="X1" s="324" t="n">
        <v>18</v>
      </c>
      <c r="Y1" s="324" t="n">
        <v>19</v>
      </c>
      <c r="Z1" s="837" t="n">
        <v>20</v>
      </c>
      <c r="AA1" s="324" t="n">
        <v>21</v>
      </c>
      <c r="AB1" s="324" t="n">
        <v>22</v>
      </c>
      <c r="AD1" s="324" t="n">
        <v>23</v>
      </c>
      <c r="AE1" s="324" t="n">
        <v>24</v>
      </c>
      <c r="AF1" s="837" t="n">
        <v>25</v>
      </c>
      <c r="AG1" s="324" t="n">
        <v>26</v>
      </c>
      <c r="AH1" s="324" t="n">
        <v>27</v>
      </c>
      <c r="AI1" s="837" t="n">
        <v>28</v>
      </c>
      <c r="AJ1" s="324" t="n">
        <v>29</v>
      </c>
      <c r="AK1" s="324" t="n">
        <v>30</v>
      </c>
      <c r="AL1" s="837" t="n">
        <v>31</v>
      </c>
      <c r="AM1" s="324" t="n">
        <v>32</v>
      </c>
      <c r="AN1" s="324" t="n">
        <v>33</v>
      </c>
      <c r="AO1" s="837" t="n">
        <v>34</v>
      </c>
      <c r="AP1" s="324" t="n">
        <v>35</v>
      </c>
      <c r="AQ1" s="324" t="n">
        <v>36</v>
      </c>
      <c r="AR1" s="837" t="n">
        <v>37</v>
      </c>
      <c r="AS1" s="324" t="n">
        <v>38</v>
      </c>
      <c r="AT1" s="324" t="n">
        <v>39</v>
      </c>
      <c r="AU1" s="837" t="n">
        <v>40</v>
      </c>
      <c r="AV1" s="324" t="n">
        <v>41</v>
      </c>
      <c r="AW1" s="324" t="n">
        <v>42</v>
      </c>
      <c r="AX1" s="837" t="n">
        <v>43</v>
      </c>
      <c r="AY1" s="324" t="n">
        <v>44</v>
      </c>
      <c r="AZ1" s="324" t="n">
        <v>45</v>
      </c>
      <c r="BA1" s="837" t="n">
        <v>46</v>
      </c>
      <c r="BB1" s="324" t="n">
        <v>47</v>
      </c>
      <c r="BC1" s="324" t="n">
        <v>48</v>
      </c>
      <c r="BD1" s="837" t="n">
        <v>49</v>
      </c>
      <c r="BE1" s="324" t="n">
        <v>50</v>
      </c>
      <c r="BF1" s="324" t="n">
        <v>51</v>
      </c>
      <c r="BG1" s="837" t="n">
        <v>52</v>
      </c>
      <c r="BH1" s="324" t="n">
        <v>53</v>
      </c>
      <c r="BI1" s="324" t="n">
        <v>54</v>
      </c>
      <c r="BK1" s="324" t="n">
        <v>55</v>
      </c>
      <c r="BL1" s="324" t="n">
        <v>56</v>
      </c>
      <c r="BM1" s="324" t="n">
        <v>57</v>
      </c>
    </row>
    <row r="3">
      <c r="D3" s="324" t="inlineStr">
        <is>
          <t>Desp</t>
        </is>
      </c>
      <c r="E3" s="838" t="n">
        <v>1.1</v>
      </c>
      <c r="I3" s="839" t="inlineStr">
        <is>
          <t>COSTO / ML</t>
        </is>
      </c>
      <c r="L3" s="324" t="inlineStr">
        <is>
          <t>Cantidad</t>
        </is>
      </c>
      <c r="M3" s="324">
        <f>'1_OG y 2_ACA'!D1682</f>
        <v/>
      </c>
      <c r="O3" s="324" t="inlineStr">
        <is>
          <t>Cantidad</t>
        </is>
      </c>
      <c r="P3" s="324">
        <f>'1_OG y 2_ACA'!D1683</f>
        <v/>
      </c>
      <c r="R3" s="324" t="inlineStr">
        <is>
          <t>Cantidad</t>
        </is>
      </c>
      <c r="S3" s="324">
        <f>'1_OG y 2_ACA'!D1684</f>
        <v/>
      </c>
      <c r="U3" s="324" t="inlineStr">
        <is>
          <t>Cantidad</t>
        </is>
      </c>
      <c r="V3" s="324">
        <f>'1_OG y 2_ACA'!D1685</f>
        <v/>
      </c>
      <c r="X3" s="324" t="inlineStr">
        <is>
          <t>Cantidad</t>
        </is>
      </c>
      <c r="Y3" s="324">
        <f>'1_OG y 2_ACA'!D1686</f>
        <v/>
      </c>
      <c r="AA3" s="324" t="inlineStr">
        <is>
          <t>Cantidad</t>
        </is>
      </c>
      <c r="AB3" s="324">
        <f>'1_OG y 2_ACA'!D1687</f>
        <v/>
      </c>
      <c r="AD3" s="324" t="inlineStr">
        <is>
          <t>Cantidad</t>
        </is>
      </c>
      <c r="AE3">
        <f>'1_OG y 2_ACA'!D1688</f>
        <v/>
      </c>
      <c r="AG3" s="324" t="inlineStr">
        <is>
          <t>Cantidad</t>
        </is>
      </c>
      <c r="AH3" s="840">
        <f>'1_OG y 2_ACA'!D1695</f>
        <v/>
      </c>
      <c r="AJ3" s="324" t="inlineStr">
        <is>
          <t>Cantidad</t>
        </is>
      </c>
      <c r="AK3" s="840">
        <f>'1_OG y 2_ACA'!D1696</f>
        <v/>
      </c>
      <c r="AM3" s="324" t="inlineStr">
        <is>
          <t>Cantidad</t>
        </is>
      </c>
      <c r="AN3" s="324">
        <f>'1_OG y 2_ACA'!D1697</f>
        <v/>
      </c>
      <c r="AP3" s="324" t="inlineStr">
        <is>
          <t>Cantidad</t>
        </is>
      </c>
      <c r="AQ3" s="324">
        <f>'1_OG y 2_ACA'!D1693</f>
        <v/>
      </c>
      <c r="AS3" s="324" t="inlineStr">
        <is>
          <t>Cantidad</t>
        </is>
      </c>
      <c r="AT3" s="324">
        <f>'1_OG y 2_ACA'!D1694</f>
        <v/>
      </c>
      <c r="AV3" s="324" t="inlineStr">
        <is>
          <t>Cantidad</t>
        </is>
      </c>
      <c r="AW3" s="324">
        <f>'1_OG y 2_ACA'!D1698</f>
        <v/>
      </c>
      <c r="AY3" s="324" t="inlineStr">
        <is>
          <t>Cantidad</t>
        </is>
      </c>
      <c r="AZ3" s="840">
        <f>'1_OG y 2_ACA'!D1699</f>
        <v/>
      </c>
      <c r="BB3" s="324" t="inlineStr">
        <is>
          <t>Cantidad</t>
        </is>
      </c>
      <c r="BC3" s="324">
        <f>'1_OG y 2_ACA'!D1691</f>
        <v/>
      </c>
      <c r="BE3" s="324" t="inlineStr">
        <is>
          <t>Cantidad</t>
        </is>
      </c>
      <c r="BF3" s="324">
        <f>'1_OG y 2_ACA'!D1692</f>
        <v/>
      </c>
      <c r="BH3" s="324" t="inlineStr">
        <is>
          <t>Cantidad</t>
        </is>
      </c>
      <c r="BI3" s="324">
        <f>'1_OG y 2_ACA'!D1689</f>
        <v/>
      </c>
      <c r="BK3" s="324" t="inlineStr">
        <is>
          <t>Cantidad</t>
        </is>
      </c>
      <c r="BL3" s="324">
        <f>'1_OG y 2_ACA'!D1690</f>
        <v/>
      </c>
    </row>
    <row r="4">
      <c r="D4" s="841" t="inlineStr">
        <is>
          <t>TC</t>
        </is>
      </c>
      <c r="E4" s="842" t="n">
        <v>520</v>
      </c>
      <c r="I4" s="1157">
        <f>SUM(L4:CC4)/100</f>
        <v/>
      </c>
      <c r="J4" s="1158" t="n"/>
      <c r="K4" s="1159" t="n"/>
      <c r="L4" s="1160" t="n">
        <v>70</v>
      </c>
      <c r="M4" s="621" t="n"/>
      <c r="N4" s="1159" t="n"/>
      <c r="O4" s="1160" t="n">
        <v>70</v>
      </c>
      <c r="P4" s="621" t="n"/>
      <c r="Q4" s="1159" t="n"/>
      <c r="R4" s="1160" t="n">
        <v>80</v>
      </c>
      <c r="S4" s="621" t="n"/>
      <c r="T4" s="1159" t="n"/>
      <c r="U4" s="1160" t="n">
        <v>45</v>
      </c>
      <c r="V4" s="621" t="n"/>
      <c r="W4" s="1159" t="n"/>
      <c r="X4" s="1160" t="n">
        <v>45</v>
      </c>
      <c r="Y4" s="621" t="n"/>
      <c r="Z4" s="1159" t="n"/>
      <c r="AA4" s="1160" t="n">
        <v>65</v>
      </c>
      <c r="AB4" s="621" t="n"/>
      <c r="AC4" s="1159" t="n"/>
      <c r="AD4" s="1160" t="n">
        <v>65</v>
      </c>
      <c r="AE4" s="621" t="n"/>
      <c r="AF4" s="1159" t="n"/>
      <c r="AG4" s="1160">
        <f>150*AH3</f>
        <v/>
      </c>
      <c r="AH4" s="621" t="n"/>
      <c r="AI4" s="1159" t="n"/>
      <c r="AJ4" s="1160">
        <f>150*AK3</f>
        <v/>
      </c>
      <c r="AK4" s="621" t="n"/>
      <c r="AL4" s="1159" t="n"/>
      <c r="AM4" s="1160" t="n">
        <v>50</v>
      </c>
      <c r="AN4" s="621" t="n"/>
      <c r="AO4" s="1159" t="n"/>
      <c r="AP4" s="1160" t="n">
        <v>70</v>
      </c>
      <c r="AQ4" s="621" t="n"/>
      <c r="AR4" s="1159" t="n"/>
      <c r="AS4" s="1160" t="n">
        <v>60</v>
      </c>
      <c r="AT4" s="621" t="n"/>
      <c r="AU4" s="1159" t="n"/>
      <c r="AV4" s="1160" t="n">
        <v>120</v>
      </c>
      <c r="AW4" s="621" t="n"/>
      <c r="AX4" s="1159" t="n"/>
      <c r="AY4" s="1160">
        <f>120*AZ3</f>
        <v/>
      </c>
      <c r="AZ4" s="621" t="n"/>
      <c r="BA4" s="1159" t="n"/>
      <c r="BB4" s="1160" t="n">
        <v>110</v>
      </c>
      <c r="BC4" s="621" t="n"/>
      <c r="BD4" s="1159" t="n"/>
      <c r="BE4" s="1160" t="n">
        <v>110</v>
      </c>
      <c r="BF4" s="621" t="n"/>
      <c r="BG4" s="1159" t="n"/>
      <c r="BH4" s="1160" t="n">
        <v>45</v>
      </c>
      <c r="BI4" s="621" t="n"/>
      <c r="BJ4" s="1159" t="n"/>
      <c r="BK4" s="1160" t="n">
        <v>45</v>
      </c>
      <c r="BL4" s="621" t="n"/>
    </row>
    <row r="5">
      <c r="D5" s="847" t="inlineStr">
        <is>
          <t>IVA</t>
        </is>
      </c>
      <c r="E5" s="847" t="n">
        <v>1.13</v>
      </c>
      <c r="I5" s="848">
        <f>+I31/I4</f>
        <v/>
      </c>
      <c r="J5" s="849" t="n"/>
      <c r="K5" s="850" t="n"/>
      <c r="L5" s="851" t="inlineStr">
        <is>
          <t>Modulo Base  Fregadero</t>
        </is>
      </c>
      <c r="M5" s="852" t="n"/>
      <c r="N5" s="850" t="n"/>
      <c r="O5" s="851" t="inlineStr">
        <is>
          <t>Modulo Aereo Fregadero</t>
        </is>
      </c>
      <c r="P5" s="852" t="n"/>
      <c r="Q5" s="850" t="n"/>
      <c r="R5" s="851" t="inlineStr">
        <is>
          <t>Modulo Aereo Cocina</t>
        </is>
      </c>
      <c r="S5" s="852" t="n"/>
      <c r="T5" s="850" t="n"/>
      <c r="U5" s="851" t="inlineStr">
        <is>
          <t>Modulo Base Gavetas</t>
        </is>
      </c>
      <c r="V5" s="852" t="n"/>
      <c r="W5" s="850" t="n"/>
      <c r="X5" s="851" t="inlineStr">
        <is>
          <t>Modulo Aereo Gavetas</t>
        </is>
      </c>
      <c r="Y5" s="852" t="n"/>
      <c r="Z5" s="850" t="n"/>
      <c r="AA5" s="851" t="inlineStr">
        <is>
          <t>Modulo Base Micro</t>
        </is>
      </c>
      <c r="AB5" s="852" t="n"/>
      <c r="AC5" s="850" t="n"/>
      <c r="AD5" s="851" t="inlineStr">
        <is>
          <t>Modulo Aereo Micro</t>
        </is>
      </c>
      <c r="AE5" s="852" t="n"/>
      <c r="AF5" s="850" t="n"/>
      <c r="AG5" s="851" t="inlineStr">
        <is>
          <t>Closet 2 gavetas / puertas</t>
        </is>
      </c>
      <c r="AH5" s="852" t="n"/>
      <c r="AI5" s="850" t="n"/>
      <c r="AJ5" s="851" t="inlineStr">
        <is>
          <t>Closet 4 gavetas / puertas</t>
        </is>
      </c>
      <c r="AK5" s="852" t="n"/>
      <c r="AL5" s="850" t="n"/>
      <c r="AM5" s="851" t="inlineStr">
        <is>
          <t>Modulo Baño</t>
        </is>
      </c>
      <c r="AN5" s="852" t="n"/>
      <c r="AO5" s="850" t="n"/>
      <c r="AP5" s="851" t="inlineStr">
        <is>
          <t>Base Desayunador</t>
        </is>
      </c>
      <c r="AQ5" s="852" t="n"/>
      <c r="AR5" s="850" t="n"/>
      <c r="AS5" s="851" t="inlineStr">
        <is>
          <t>Modulo Alacena</t>
        </is>
      </c>
      <c r="AT5" s="852" t="n"/>
      <c r="AU5" s="850" t="n"/>
      <c r="AV5" s="851" t="inlineStr">
        <is>
          <t>WC / estante + puerta</t>
        </is>
      </c>
      <c r="AW5" s="852" t="n"/>
      <c r="AX5" s="850" t="n"/>
      <c r="AY5" s="851" t="inlineStr">
        <is>
          <t>WC / 2 modulos + puerta</t>
        </is>
      </c>
      <c r="AZ5" s="852" t="n"/>
      <c r="BA5" s="850" t="n"/>
      <c r="BB5" s="851" t="inlineStr">
        <is>
          <t>Fregadero 1,10m / Bar</t>
        </is>
      </c>
      <c r="BC5" s="852" t="n"/>
      <c r="BD5" s="850" t="n"/>
      <c r="BE5" s="851" t="inlineStr">
        <is>
          <t>Fregadero 1,10m / A nivel</t>
        </is>
      </c>
      <c r="BF5" s="852" t="n"/>
      <c r="BG5" s="850" t="n"/>
      <c r="BH5" s="851" t="inlineStr">
        <is>
          <t>Modulo Base / Puerta</t>
        </is>
      </c>
      <c r="BI5" s="852" t="n"/>
      <c r="BJ5" s="850" t="n"/>
      <c r="BK5" s="851" t="inlineStr">
        <is>
          <t>Modulo Aereo / Puerta</t>
        </is>
      </c>
      <c r="BL5" s="852" t="n"/>
    </row>
    <row r="6">
      <c r="D6" s="847" t="n"/>
      <c r="E6" s="853" t="n"/>
      <c r="K6" s="854" t="n"/>
      <c r="L6" s="855" t="inlineStr">
        <is>
          <t>COSTO MODULO</t>
        </is>
      </c>
      <c r="M6" s="856">
        <f>+M9+M26</f>
        <v/>
      </c>
      <c r="N6" s="854" t="n"/>
      <c r="O6" s="855" t="inlineStr">
        <is>
          <t>COSTO MODULO</t>
        </is>
      </c>
      <c r="P6" s="856">
        <f>+P9+P26</f>
        <v/>
      </c>
      <c r="Q6" s="854" t="n"/>
      <c r="R6" s="857" t="inlineStr">
        <is>
          <t>COSTO MODULO</t>
        </is>
      </c>
      <c r="S6" s="858">
        <f>+S9+S26</f>
        <v/>
      </c>
      <c r="T6" s="854" t="n"/>
      <c r="U6" s="859" t="inlineStr">
        <is>
          <t>COSTO MODULO</t>
        </is>
      </c>
      <c r="V6" s="860">
        <f>+V9+V26</f>
        <v/>
      </c>
      <c r="W6" s="854" t="n"/>
      <c r="X6" s="859" t="inlineStr">
        <is>
          <t>COSTO MODULO</t>
        </is>
      </c>
      <c r="Y6" s="860">
        <f>+Y9+Y26</f>
        <v/>
      </c>
      <c r="Z6" s="854" t="n"/>
      <c r="AA6" s="859" t="inlineStr">
        <is>
          <t>COSTO MODULO</t>
        </is>
      </c>
      <c r="AB6" s="860">
        <f>+AB9+AB26</f>
        <v/>
      </c>
      <c r="AC6" s="854" t="n"/>
      <c r="AD6" s="859" t="inlineStr">
        <is>
          <t>COSTO MODULO</t>
        </is>
      </c>
      <c r="AE6" s="860">
        <f>+AE9+AE26</f>
        <v/>
      </c>
      <c r="AF6" s="854" t="n"/>
      <c r="AG6" s="857" t="inlineStr">
        <is>
          <t>COSTO MODULO</t>
        </is>
      </c>
      <c r="AH6" s="858">
        <f>+AH9+AH26</f>
        <v/>
      </c>
      <c r="AI6" s="854" t="n"/>
      <c r="AJ6" s="857" t="inlineStr">
        <is>
          <t>COSTO MODULO</t>
        </is>
      </c>
      <c r="AK6" s="858">
        <f>+AK9+AK26</f>
        <v/>
      </c>
      <c r="AL6" s="854" t="n"/>
      <c r="AM6" s="857" t="inlineStr">
        <is>
          <t>COSTO MODULO</t>
        </is>
      </c>
      <c r="AN6" s="858">
        <f>+AN9+AN26</f>
        <v/>
      </c>
      <c r="AO6" s="854" t="n"/>
      <c r="AP6" s="857" t="inlineStr">
        <is>
          <t>COSTO MODULO</t>
        </is>
      </c>
      <c r="AQ6" s="858">
        <f>+AQ9+AQ26</f>
        <v/>
      </c>
      <c r="AR6" s="854" t="n"/>
      <c r="AS6" s="857" t="inlineStr">
        <is>
          <t>COSTO MODULO</t>
        </is>
      </c>
      <c r="AT6" s="858">
        <f>+AT9+AT26</f>
        <v/>
      </c>
      <c r="AU6" s="854" t="n"/>
      <c r="AV6" s="857" t="inlineStr">
        <is>
          <t>COSTO MODULO</t>
        </is>
      </c>
      <c r="AW6" s="858">
        <f>+AW9+AW26</f>
        <v/>
      </c>
      <c r="AX6" s="854" t="n"/>
      <c r="AY6" s="857" t="inlineStr">
        <is>
          <t>COSTO MODULO</t>
        </is>
      </c>
      <c r="AZ6" s="858">
        <f>+AZ9+AZ26</f>
        <v/>
      </c>
      <c r="BA6" s="854" t="n"/>
      <c r="BB6" s="857" t="inlineStr">
        <is>
          <t>COSTO MODULO</t>
        </is>
      </c>
      <c r="BC6" s="858">
        <f>+BC9+BC26</f>
        <v/>
      </c>
      <c r="BD6" s="854" t="n"/>
      <c r="BE6" s="857" t="inlineStr">
        <is>
          <t>COSTO MODULO</t>
        </is>
      </c>
      <c r="BF6" s="858">
        <f>+BF9+BF26</f>
        <v/>
      </c>
      <c r="BG6" s="854" t="n"/>
      <c r="BH6" s="855" t="inlineStr">
        <is>
          <t>COSTO MODULO</t>
        </is>
      </c>
      <c r="BI6" s="856">
        <f>+BI9+BI26</f>
        <v/>
      </c>
      <c r="BJ6" s="854" t="n"/>
      <c r="BK6" s="855" t="inlineStr">
        <is>
          <t>COSTO MODULO</t>
        </is>
      </c>
      <c r="BL6" s="856">
        <f>+BL9+BL26</f>
        <v/>
      </c>
    </row>
    <row r="7">
      <c r="D7" s="861" t="inlineStr">
        <is>
          <t>P  L  A  N  T  I  L  L  A    B  A  S  E</t>
        </is>
      </c>
      <c r="E7" s="862" t="n"/>
      <c r="F7" s="862" t="n"/>
      <c r="G7" s="862" t="n"/>
      <c r="H7" s="862" t="n"/>
      <c r="I7" s="852" t="n"/>
      <c r="K7" s="863" t="n"/>
      <c r="L7" s="864" t="n"/>
      <c r="M7" s="852" t="n"/>
      <c r="N7" s="863" t="n"/>
      <c r="O7" s="864" t="n"/>
      <c r="P7" s="852" t="n"/>
      <c r="Q7" s="863" t="n"/>
      <c r="R7" s="865" t="n"/>
      <c r="S7" s="866" t="n"/>
      <c r="T7" s="863" t="n"/>
      <c r="U7" s="867" t="inlineStr">
        <is>
          <t>TOTAL MODULO</t>
        </is>
      </c>
      <c r="V7" s="868" t="n"/>
      <c r="W7" s="863" t="n"/>
      <c r="X7" s="869" t="n"/>
      <c r="Y7" s="870">
        <f>+V6+Y6</f>
        <v/>
      </c>
      <c r="Z7" s="863" t="n"/>
      <c r="AA7" s="867" t="inlineStr">
        <is>
          <t>TOTAL MODULO</t>
        </is>
      </c>
      <c r="AB7" s="868" t="n"/>
      <c r="AC7" s="863" t="n"/>
      <c r="AD7" s="869" t="n"/>
      <c r="AE7" s="870">
        <f>+AB6+AE6</f>
        <v/>
      </c>
      <c r="AF7" s="863" t="n"/>
      <c r="AG7" s="865" t="n"/>
      <c r="AH7" s="866" t="n"/>
      <c r="AI7" s="863" t="n"/>
      <c r="AJ7" s="865" t="n"/>
      <c r="AK7" s="866" t="n"/>
      <c r="AL7" s="863" t="n"/>
      <c r="AM7" s="865" t="n"/>
      <c r="AN7" s="866" t="n"/>
      <c r="AO7" s="863" t="n"/>
      <c r="AP7" s="865" t="n"/>
      <c r="AQ7" s="866" t="n"/>
      <c r="AR7" s="863" t="n"/>
      <c r="AS7" s="865" t="n"/>
      <c r="AT7" s="866" t="n"/>
      <c r="AU7" s="863" t="n"/>
      <c r="AV7" s="865" t="n"/>
      <c r="AW7" s="866" t="n"/>
      <c r="AX7" s="863" t="n"/>
      <c r="AY7" s="865" t="n"/>
      <c r="AZ7" s="866" t="n"/>
      <c r="BA7" s="863" t="n"/>
      <c r="BB7" s="865" t="n"/>
      <c r="BC7" s="866" t="n"/>
      <c r="BD7" s="863" t="n"/>
      <c r="BE7" s="865" t="n"/>
      <c r="BF7" s="866" t="n"/>
      <c r="BG7" s="863" t="n"/>
      <c r="BH7" s="867" t="inlineStr">
        <is>
          <t>TOTAL MODULO</t>
        </is>
      </c>
      <c r="BI7" s="868" t="n"/>
      <c r="BJ7" s="863" t="n"/>
      <c r="BK7" s="869" t="n"/>
      <c r="BL7" s="871">
        <f>+BI6+BL6</f>
        <v/>
      </c>
    </row>
    <row r="8">
      <c r="F8" s="872" t="inlineStr">
        <is>
          <t>Precio Unitario</t>
        </is>
      </c>
      <c r="G8" s="873" t="inlineStr">
        <is>
          <t>Cantidad Total</t>
        </is>
      </c>
      <c r="H8" s="874" t="n"/>
      <c r="I8" s="873" t="inlineStr">
        <is>
          <t>Precio Total</t>
        </is>
      </c>
      <c r="K8" s="875" t="n"/>
      <c r="L8" s="876" t="inlineStr">
        <is>
          <t>Cantidad</t>
        </is>
      </c>
      <c r="M8" s="877" t="inlineStr">
        <is>
          <t>Total ₵</t>
        </is>
      </c>
      <c r="N8" s="875" t="n"/>
      <c r="O8" s="876" t="inlineStr">
        <is>
          <t>Cantidad</t>
        </is>
      </c>
      <c r="P8" s="877" t="inlineStr">
        <is>
          <t>Total ₵</t>
        </is>
      </c>
      <c r="Q8" s="875" t="n"/>
      <c r="R8" s="876" t="inlineStr">
        <is>
          <t>Cantidad</t>
        </is>
      </c>
      <c r="S8" s="877" t="inlineStr">
        <is>
          <t>Total ₵</t>
        </is>
      </c>
      <c r="T8" s="875" t="n"/>
      <c r="U8" s="876" t="inlineStr">
        <is>
          <t>Cantidad</t>
        </is>
      </c>
      <c r="V8" s="877" t="inlineStr">
        <is>
          <t>Total ₵</t>
        </is>
      </c>
      <c r="W8" s="875" t="n"/>
      <c r="X8" s="876" t="inlineStr">
        <is>
          <t>Cantidad</t>
        </is>
      </c>
      <c r="Y8" s="877" t="inlineStr">
        <is>
          <t>Total ₵</t>
        </is>
      </c>
      <c r="Z8" s="875" t="n"/>
      <c r="AA8" s="878" t="inlineStr">
        <is>
          <t>Cantidad</t>
        </is>
      </c>
      <c r="AB8" s="877" t="inlineStr">
        <is>
          <t>Total ₵</t>
        </is>
      </c>
      <c r="AC8" s="875" t="n"/>
      <c r="AD8" s="878" t="inlineStr">
        <is>
          <t>Cantidad</t>
        </is>
      </c>
      <c r="AE8" s="877" t="inlineStr">
        <is>
          <t>Total ₵</t>
        </is>
      </c>
      <c r="AF8" s="875" t="n"/>
      <c r="AG8" s="878" t="inlineStr">
        <is>
          <t>Cantidad</t>
        </is>
      </c>
      <c r="AH8" s="877" t="inlineStr">
        <is>
          <t>Total ₵</t>
        </is>
      </c>
      <c r="AI8" s="875" t="n"/>
      <c r="AJ8" s="878" t="inlineStr">
        <is>
          <t>Cantidad</t>
        </is>
      </c>
      <c r="AK8" s="877" t="inlineStr">
        <is>
          <t>Total ₵</t>
        </is>
      </c>
      <c r="AL8" s="875" t="n"/>
      <c r="AM8" s="878" t="inlineStr">
        <is>
          <t>Cantidad</t>
        </is>
      </c>
      <c r="AN8" s="877" t="inlineStr">
        <is>
          <t>Total ₵</t>
        </is>
      </c>
      <c r="AO8" s="875" t="n"/>
      <c r="AP8" s="878" t="inlineStr">
        <is>
          <t>Cantidad</t>
        </is>
      </c>
      <c r="AQ8" s="877" t="inlineStr">
        <is>
          <t>Total ₵</t>
        </is>
      </c>
      <c r="AR8" s="875" t="n"/>
      <c r="AS8" s="878" t="inlineStr">
        <is>
          <t>Cantidad</t>
        </is>
      </c>
      <c r="AT8" s="877" t="inlineStr">
        <is>
          <t>Total ₵</t>
        </is>
      </c>
      <c r="AU8" s="875" t="n"/>
      <c r="AV8" s="878" t="inlineStr">
        <is>
          <t>Cantidad</t>
        </is>
      </c>
      <c r="AW8" s="877" t="inlineStr">
        <is>
          <t>Total ₵</t>
        </is>
      </c>
      <c r="AX8" s="875" t="n"/>
      <c r="AY8" s="878" t="inlineStr">
        <is>
          <t>Cantidad</t>
        </is>
      </c>
      <c r="AZ8" s="877" t="inlineStr">
        <is>
          <t>Total ₵</t>
        </is>
      </c>
      <c r="BA8" s="875" t="n"/>
      <c r="BB8" s="878" t="inlineStr">
        <is>
          <t>Cantidad</t>
        </is>
      </c>
      <c r="BC8" s="877" t="inlineStr">
        <is>
          <t>Total ₵</t>
        </is>
      </c>
      <c r="BD8" s="875" t="n"/>
      <c r="BE8" s="878" t="inlineStr">
        <is>
          <t>Cantidad</t>
        </is>
      </c>
      <c r="BF8" s="877" t="inlineStr">
        <is>
          <t>Total ₵</t>
        </is>
      </c>
      <c r="BG8" s="875" t="n"/>
      <c r="BH8" s="876" t="inlineStr">
        <is>
          <t>Cantidad</t>
        </is>
      </c>
      <c r="BI8" s="877" t="inlineStr">
        <is>
          <t>Total ₵</t>
        </is>
      </c>
      <c r="BJ8" s="875" t="n"/>
      <c r="BK8" s="876" t="inlineStr">
        <is>
          <t>Cantidad</t>
        </is>
      </c>
      <c r="BL8" s="877" t="inlineStr">
        <is>
          <t>Total ₵</t>
        </is>
      </c>
    </row>
    <row r="9">
      <c r="E9" s="879" t="n"/>
      <c r="F9" s="865" t="n"/>
      <c r="G9" s="865" t="n"/>
      <c r="H9" s="866" t="n"/>
      <c r="I9" s="880" t="n"/>
      <c r="K9" s="881" t="n"/>
      <c r="L9" s="865" t="n"/>
      <c r="M9" s="882">
        <f>SUM(M10:M22)</f>
        <v/>
      </c>
      <c r="N9" s="881" t="n"/>
      <c r="O9" s="865" t="n"/>
      <c r="P9" s="882">
        <f>SUM(P10:P22)</f>
        <v/>
      </c>
      <c r="Q9" s="881" t="n"/>
      <c r="R9" s="865" t="n"/>
      <c r="S9" s="882">
        <f>SUM(S10:S22)</f>
        <v/>
      </c>
      <c r="T9" s="881" t="n"/>
      <c r="U9" s="865" t="n"/>
      <c r="V9" s="882">
        <f>SUM(V10:V22)</f>
        <v/>
      </c>
      <c r="W9" s="881" t="n"/>
      <c r="X9" s="865" t="n"/>
      <c r="Y9" s="882">
        <f>SUM(Y10:Y22)</f>
        <v/>
      </c>
      <c r="Z9" s="881" t="n"/>
      <c r="AA9" s="883" t="n"/>
      <c r="AB9" s="884">
        <f>SUM(AB10:AB22)</f>
        <v/>
      </c>
      <c r="AC9" s="881" t="n"/>
      <c r="AD9" s="883" t="n"/>
      <c r="AE9" s="884">
        <f>SUM(AE10:AE22)</f>
        <v/>
      </c>
      <c r="AF9" s="881" t="n"/>
      <c r="AG9" s="883" t="n"/>
      <c r="AH9" s="884">
        <f>SUM(AH10:AH22)</f>
        <v/>
      </c>
      <c r="AI9" s="881" t="n"/>
      <c r="AJ9" s="883" t="n"/>
      <c r="AK9" s="884">
        <f>SUM(AK10:AK22)</f>
        <v/>
      </c>
      <c r="AL9" s="881" t="n"/>
      <c r="AM9" s="883" t="n"/>
      <c r="AN9" s="884">
        <f>SUM(AN10:AN22)</f>
        <v/>
      </c>
      <c r="AO9" s="881" t="n"/>
      <c r="AP9" s="883" t="n"/>
      <c r="AQ9" s="884">
        <f>SUM(AQ10:AQ22)</f>
        <v/>
      </c>
      <c r="AR9" s="881" t="n"/>
      <c r="AS9" s="883" t="n"/>
      <c r="AT9" s="884">
        <f>SUM(AT10:AT22)</f>
        <v/>
      </c>
      <c r="AU9" s="881" t="n"/>
      <c r="AV9" s="883" t="n"/>
      <c r="AW9" s="884">
        <f>SUM(AW10:AW22)</f>
        <v/>
      </c>
      <c r="AX9" s="881" t="n"/>
      <c r="AY9" s="883" t="n"/>
      <c r="AZ9" s="884">
        <f>SUM(AZ10:AZ22)</f>
        <v/>
      </c>
      <c r="BA9" s="881" t="n"/>
      <c r="BB9" s="883" t="n"/>
      <c r="BC9" s="884">
        <f>SUM(BC10:BC22)</f>
        <v/>
      </c>
      <c r="BD9" s="881" t="n"/>
      <c r="BE9" s="883" t="n"/>
      <c r="BF9" s="884">
        <f>SUM(BF10:BF22)</f>
        <v/>
      </c>
      <c r="BG9" s="881" t="n"/>
      <c r="BH9" s="865" t="n"/>
      <c r="BI9" s="882">
        <f>SUM(BI10:BI22)</f>
        <v/>
      </c>
      <c r="BJ9" s="881" t="n"/>
      <c r="BK9" s="865" t="n"/>
      <c r="BL9" s="882">
        <f>SUM(BL10:BL22)</f>
        <v/>
      </c>
    </row>
    <row r="10">
      <c r="D10" s="885" t="n">
        <v>1</v>
      </c>
      <c r="E10" s="836" t="inlineStr">
        <is>
          <t>Bisagra</t>
        </is>
      </c>
      <c r="F10" s="886">
        <f>463.77*E5</f>
        <v/>
      </c>
      <c r="G10" s="887">
        <f>K10+N10+Q10+T10+W10+Z10+AC10+AF10+AI10+AL10+AO10+AR10+AU10+AX10+BA10+BD10+BG10+BJ10</f>
        <v/>
      </c>
      <c r="H10" s="887" t="inlineStr">
        <is>
          <t>und</t>
        </is>
      </c>
      <c r="I10" s="888">
        <f>+M10+P10+S10+V10+Y10+AB10+AE10+AH10+AN10+AQ10+AT10+AW10+AZ10+BC10+BF10+AK10+BI10+BL10</f>
        <v/>
      </c>
      <c r="K10" s="889">
        <f>$M$3*L10</f>
        <v/>
      </c>
      <c r="L10" s="890" t="n">
        <v>4</v>
      </c>
      <c r="M10" s="891">
        <f>+L10*$F$10</f>
        <v/>
      </c>
      <c r="N10" s="889">
        <f>$P$3*O10</f>
        <v/>
      </c>
      <c r="O10" s="890" t="n">
        <v>4</v>
      </c>
      <c r="P10" s="891">
        <f>+O10*$F$10</f>
        <v/>
      </c>
      <c r="Q10" s="889">
        <f>$S$3*R10</f>
        <v/>
      </c>
      <c r="R10" s="890" t="n">
        <v>4</v>
      </c>
      <c r="S10" s="891">
        <f>+R10*$F$10</f>
        <v/>
      </c>
      <c r="T10" s="889">
        <f>$V$3*U10</f>
        <v/>
      </c>
      <c r="U10" s="890" t="n">
        <v>0</v>
      </c>
      <c r="V10" s="891">
        <f>+U10*$F$10</f>
        <v/>
      </c>
      <c r="W10" s="889">
        <f>$Y$3*X10</f>
        <v/>
      </c>
      <c r="X10" s="890" t="n">
        <v>4</v>
      </c>
      <c r="Y10" s="891">
        <f>+X10*$F$10</f>
        <v/>
      </c>
      <c r="Z10" s="889">
        <f>$AB$3*AA10</f>
        <v/>
      </c>
      <c r="AA10" s="890" t="n">
        <v>4</v>
      </c>
      <c r="AB10" s="891">
        <f>+AA10*$F$10</f>
        <v/>
      </c>
      <c r="AC10" s="889">
        <f>$AE$3*AD10</f>
        <v/>
      </c>
      <c r="AD10" s="890" t="n">
        <v>4</v>
      </c>
      <c r="AE10" s="891">
        <f>+AD10*$F$10</f>
        <v/>
      </c>
      <c r="AF10" s="889">
        <f>$AH$3*AG10</f>
        <v/>
      </c>
      <c r="AG10" s="890">
        <f>0*AH3</f>
        <v/>
      </c>
      <c r="AH10" s="891">
        <f>+AG10*$F$10</f>
        <v/>
      </c>
      <c r="AI10" s="889">
        <f>$AK$3*AJ10</f>
        <v/>
      </c>
      <c r="AJ10" s="890">
        <f>0*AK3</f>
        <v/>
      </c>
      <c r="AK10" s="891">
        <f>+AJ10*$F$10</f>
        <v/>
      </c>
      <c r="AL10" s="889">
        <f>$AN$3*AM10</f>
        <v/>
      </c>
      <c r="AM10" s="890" t="n">
        <v>2</v>
      </c>
      <c r="AN10" s="891">
        <f>+AM10*$F$10</f>
        <v/>
      </c>
      <c r="AO10" s="889">
        <f>$AQ$3*AP10</f>
        <v/>
      </c>
      <c r="AP10" s="890" t="n">
        <v>0</v>
      </c>
      <c r="AQ10" s="891">
        <f>+AP10*$F$10</f>
        <v/>
      </c>
      <c r="AR10" s="889">
        <f>$AT$3*AS10</f>
        <v/>
      </c>
      <c r="AS10" s="890" t="n">
        <v>10</v>
      </c>
      <c r="AT10" s="891">
        <f>+AS10*$F$10</f>
        <v/>
      </c>
      <c r="AU10" s="889">
        <f>$AW$3*AV10</f>
        <v/>
      </c>
      <c r="AV10" s="890" t="n">
        <v>6</v>
      </c>
      <c r="AW10" s="891">
        <f>+AV10*$F$10</f>
        <v/>
      </c>
      <c r="AX10" s="889">
        <f>$AZ$3*AY10</f>
        <v/>
      </c>
      <c r="AY10" s="890">
        <f>6*AZ3</f>
        <v/>
      </c>
      <c r="AZ10" s="891">
        <f>+AY10*$F$10</f>
        <v/>
      </c>
      <c r="BA10" s="889">
        <f>$BC$3*BB10</f>
        <v/>
      </c>
      <c r="BB10" s="890" t="n">
        <v>4</v>
      </c>
      <c r="BC10" s="891">
        <f>+BB10*$F$10</f>
        <v/>
      </c>
      <c r="BD10" s="889">
        <f>$BF$3*BE10</f>
        <v/>
      </c>
      <c r="BE10" s="890" t="n">
        <v>4</v>
      </c>
      <c r="BF10" s="891">
        <f>+BE10*$F$10</f>
        <v/>
      </c>
      <c r="BG10" s="889">
        <f>$BI$3*BH10</f>
        <v/>
      </c>
      <c r="BH10" s="890" t="n">
        <v>4</v>
      </c>
      <c r="BI10" s="891">
        <f>+BH10*$F$10</f>
        <v/>
      </c>
      <c r="BJ10" s="889">
        <f>$BL$3*BK10</f>
        <v/>
      </c>
      <c r="BK10" s="890" t="n">
        <v>4</v>
      </c>
      <c r="BL10" s="891">
        <f>+BK10*$F$10</f>
        <v/>
      </c>
      <c r="BN10" s="890" t="n">
        <v>4</v>
      </c>
      <c r="BO10" s="890" t="n">
        <v>4</v>
      </c>
      <c r="BP10">
        <f>SUM(BN10+BO10)</f>
        <v/>
      </c>
      <c r="BR10" s="890" t="n">
        <v>0</v>
      </c>
      <c r="BS10" s="890" t="n">
        <v>4</v>
      </c>
      <c r="BU10">
        <f>SUM(BR10+BS10)</f>
        <v/>
      </c>
      <c r="BW10" s="890" t="n">
        <v>0</v>
      </c>
      <c r="BX10">
        <f>BW10*3</f>
        <v/>
      </c>
    </row>
    <row r="11">
      <c r="D11" s="885" t="n">
        <v>2</v>
      </c>
      <c r="E11" s="836" t="inlineStr">
        <is>
          <t>Pata plastica</t>
        </is>
      </c>
      <c r="F11" s="886">
        <f>177.46*E5</f>
        <v/>
      </c>
      <c r="G11" s="887">
        <f>K11+N11+Q11+T11+W11+Z11+AC11+AF11+AI11+AL11+AO11+AR11+AU11+AX11+BA11+BD11+BG11+BJ11</f>
        <v/>
      </c>
      <c r="H11" s="887" t="inlineStr">
        <is>
          <t>und</t>
        </is>
      </c>
      <c r="I11" s="888">
        <f>+M11+P11+S11+V11+Y11+AB11+AE11+AH11+AN11+AQ11+AT11+AW11+AZ11+BC11+BF11+AK11+BI11+BL11</f>
        <v/>
      </c>
      <c r="K11" s="889">
        <f>$M$3*L11</f>
        <v/>
      </c>
      <c r="L11" s="890" t="n">
        <v>4</v>
      </c>
      <c r="M11" s="891">
        <f>+L11*$F$11</f>
        <v/>
      </c>
      <c r="N11" s="889">
        <f>$P$3*O11</f>
        <v/>
      </c>
      <c r="O11" s="890" t="n">
        <v>0</v>
      </c>
      <c r="P11" s="891">
        <f>+O11*$F$11</f>
        <v/>
      </c>
      <c r="Q11" s="889">
        <f>$S$3*R11</f>
        <v/>
      </c>
      <c r="R11" s="890" t="n">
        <v>0</v>
      </c>
      <c r="S11" s="891">
        <f>+R11*$F$11</f>
        <v/>
      </c>
      <c r="T11" s="889">
        <f>$V$3*U11</f>
        <v/>
      </c>
      <c r="U11" s="890" t="n">
        <v>4</v>
      </c>
      <c r="V11" s="891">
        <f>+U11*$F$11</f>
        <v/>
      </c>
      <c r="W11" s="889">
        <f>$Y$3*X11</f>
        <v/>
      </c>
      <c r="X11" s="890" t="n">
        <v>0</v>
      </c>
      <c r="Y11" s="891">
        <f>+X11*$F$11</f>
        <v/>
      </c>
      <c r="Z11" s="889">
        <f>$AB$3*AA11</f>
        <v/>
      </c>
      <c r="AA11" s="890" t="n">
        <v>4</v>
      </c>
      <c r="AB11" s="891">
        <f>+AA11*$F$11</f>
        <v/>
      </c>
      <c r="AC11" s="889">
        <f>$AE$3*AD11</f>
        <v/>
      </c>
      <c r="AD11" s="890" t="n">
        <v>0</v>
      </c>
      <c r="AE11" s="891">
        <f>+AD11*$F$11</f>
        <v/>
      </c>
      <c r="AF11" s="889">
        <f>$AH$3*AG11</f>
        <v/>
      </c>
      <c r="AG11" s="890">
        <f>6*$AH$3</f>
        <v/>
      </c>
      <c r="AH11" s="891">
        <f>+AG11*$F$11</f>
        <v/>
      </c>
      <c r="AI11" s="889">
        <f>$AK$3*AJ11</f>
        <v/>
      </c>
      <c r="AJ11" s="890">
        <f>6*$AH$3</f>
        <v/>
      </c>
      <c r="AK11" s="891">
        <f>+AJ11*$F$11</f>
        <v/>
      </c>
      <c r="AL11" s="889">
        <f>$AN$3*AM11</f>
        <v/>
      </c>
      <c r="AM11" s="890" t="n">
        <v>4</v>
      </c>
      <c r="AN11" s="891">
        <f>+AM11*$F$11</f>
        <v/>
      </c>
      <c r="AO11" s="889">
        <f>$AQ$3*AP11</f>
        <v/>
      </c>
      <c r="AP11" s="890" t="n">
        <v>0</v>
      </c>
      <c r="AQ11" s="891">
        <f>+AP11*$F$11</f>
        <v/>
      </c>
      <c r="AR11" s="889">
        <f>$AT$3*AS11</f>
        <v/>
      </c>
      <c r="AS11" s="890" t="n">
        <v>4</v>
      </c>
      <c r="AT11" s="891">
        <f>+AS11*$F$11</f>
        <v/>
      </c>
      <c r="AU11" s="889">
        <f>$AW$3*AV11</f>
        <v/>
      </c>
      <c r="AV11" s="890" t="n">
        <v>12</v>
      </c>
      <c r="AW11" s="891">
        <f>+AV11*$F$11</f>
        <v/>
      </c>
      <c r="AX11" s="889">
        <f>$AZ$3*AY11</f>
        <v/>
      </c>
      <c r="AY11" s="890">
        <f>12*AZ3</f>
        <v/>
      </c>
      <c r="AZ11" s="891">
        <f>+AY11*$F$11</f>
        <v/>
      </c>
      <c r="BA11" s="889">
        <f>$BC$3*BB11</f>
        <v/>
      </c>
      <c r="BB11" s="890" t="n">
        <v>6</v>
      </c>
      <c r="BC11" s="891">
        <f>+BB11*$F$11</f>
        <v/>
      </c>
      <c r="BD11" s="889">
        <f>$BF$3*BE11</f>
        <v/>
      </c>
      <c r="BE11" s="890" t="n">
        <v>6</v>
      </c>
      <c r="BF11" s="891">
        <f>+BE11*$F$11</f>
        <v/>
      </c>
      <c r="BG11" s="889">
        <f>$BI$3*BH11</f>
        <v/>
      </c>
      <c r="BH11" s="890" t="n">
        <v>4</v>
      </c>
      <c r="BI11" s="891">
        <f>+BH11*$F$11</f>
        <v/>
      </c>
      <c r="BJ11" s="889">
        <f>$BL$3*BK11</f>
        <v/>
      </c>
      <c r="BK11" s="890" t="n">
        <v>0</v>
      </c>
      <c r="BL11" s="891">
        <f>+BK11*$F$11</f>
        <v/>
      </c>
      <c r="BN11" s="890" t="n">
        <v>0</v>
      </c>
      <c r="BO11" s="890" t="n">
        <v>4</v>
      </c>
      <c r="BP11">
        <f>SUM(BN11+BO11)</f>
        <v/>
      </c>
      <c r="BR11" s="890" t="n">
        <v>4</v>
      </c>
      <c r="BS11" s="890" t="n">
        <v>0</v>
      </c>
      <c r="BU11">
        <f>SUM(BR11+BS11)</f>
        <v/>
      </c>
      <c r="BW11" s="890" t="n">
        <v>4</v>
      </c>
      <c r="BX11">
        <f>BW11*3</f>
        <v/>
      </c>
    </row>
    <row r="12">
      <c r="D12" s="885" t="n">
        <v>3</v>
      </c>
      <c r="E12" s="836" t="inlineStr">
        <is>
          <t>Tiradera</t>
        </is>
      </c>
      <c r="F12" s="886">
        <f>763.51*E5</f>
        <v/>
      </c>
      <c r="G12" s="887">
        <f>K12+N12+Q12+T12+W12+Z12+AC12+AF12+AI12+AL12+AO12+AR12+AU12+AX12+BA12+BD12+BG12+BJ12</f>
        <v/>
      </c>
      <c r="H12" s="887" t="inlineStr">
        <is>
          <t>und</t>
        </is>
      </c>
      <c r="I12" s="888">
        <f>+M12+P12+S12+V12+Y12+AB12+AE12+AH12+AN12+AQ12+AT12+AW12+AZ12+BC12+BF12+AK12+BI12+BL12</f>
        <v/>
      </c>
      <c r="K12" s="889">
        <f>$M$3*L12</f>
        <v/>
      </c>
      <c r="L12" s="890" t="n">
        <v>2</v>
      </c>
      <c r="M12" s="891">
        <f>+L12*$F$12</f>
        <v/>
      </c>
      <c r="N12" s="889">
        <f>$P$3*O12</f>
        <v/>
      </c>
      <c r="O12" s="890" t="n">
        <v>2</v>
      </c>
      <c r="P12" s="891">
        <f>+O12*$F$12</f>
        <v/>
      </c>
      <c r="Q12" s="889">
        <f>$S$3*R12</f>
        <v/>
      </c>
      <c r="R12" s="890" t="n">
        <v>2</v>
      </c>
      <c r="S12" s="891">
        <f>+R12*$F$12</f>
        <v/>
      </c>
      <c r="T12" s="889">
        <f>$V$3*U12</f>
        <v/>
      </c>
      <c r="U12" s="890" t="n">
        <v>3</v>
      </c>
      <c r="V12" s="891">
        <f>+U12*$F$12</f>
        <v/>
      </c>
      <c r="W12" s="889">
        <f>$Y$3*X12</f>
        <v/>
      </c>
      <c r="X12" s="890" t="n">
        <v>2</v>
      </c>
      <c r="Y12" s="891">
        <f>+X12*$F$12</f>
        <v/>
      </c>
      <c r="Z12" s="889">
        <f>$AB$3*AA12</f>
        <v/>
      </c>
      <c r="AA12" s="890" t="n">
        <v>2</v>
      </c>
      <c r="AB12" s="891">
        <f>+AA12*$F$12</f>
        <v/>
      </c>
      <c r="AC12" s="889">
        <f>$AE$3*AD12</f>
        <v/>
      </c>
      <c r="AD12" s="890" t="n">
        <v>2</v>
      </c>
      <c r="AE12" s="891">
        <f>+AD12*$F$12</f>
        <v/>
      </c>
      <c r="AF12" s="889">
        <f>$AH$3*AG12</f>
        <v/>
      </c>
      <c r="AG12" s="890">
        <f>2*AH3</f>
        <v/>
      </c>
      <c r="AH12" s="891">
        <f>+AG12*$F$12</f>
        <v/>
      </c>
      <c r="AI12" s="889">
        <f>$AK$3*AJ12</f>
        <v/>
      </c>
      <c r="AJ12" s="890">
        <f>2*AK3</f>
        <v/>
      </c>
      <c r="AK12" s="891">
        <f>+AJ12*$F$12</f>
        <v/>
      </c>
      <c r="AL12" s="889">
        <f>$AN$3*AM12</f>
        <v/>
      </c>
      <c r="AM12" s="890" t="n">
        <v>1</v>
      </c>
      <c r="AN12" s="891">
        <f>+AM12*$F$12</f>
        <v/>
      </c>
      <c r="AO12" s="889">
        <f>$AQ$3*AP12</f>
        <v/>
      </c>
      <c r="AP12" s="890" t="n">
        <v>0</v>
      </c>
      <c r="AQ12" s="891">
        <f>+AP12*$F$12</f>
        <v/>
      </c>
      <c r="AR12" s="889">
        <f>$AT$3*AS12</f>
        <v/>
      </c>
      <c r="AS12" s="890" t="n">
        <v>4</v>
      </c>
      <c r="AT12" s="891">
        <f>+AS12*$F$12</f>
        <v/>
      </c>
      <c r="AU12" s="889">
        <f>$AW$3*AV12</f>
        <v/>
      </c>
      <c r="AV12" s="890" t="n">
        <v>6</v>
      </c>
      <c r="AW12" s="891">
        <f>+AV12*$F$12</f>
        <v/>
      </c>
      <c r="AX12" s="889">
        <f>$AZ$3*AY12</f>
        <v/>
      </c>
      <c r="AY12" s="890">
        <f>6*AZ3</f>
        <v/>
      </c>
      <c r="AZ12" s="891">
        <f>+AY12*$F$12</f>
        <v/>
      </c>
      <c r="BA12" s="889">
        <f>$BC$3*BB12</f>
        <v/>
      </c>
      <c r="BB12" s="890" t="n">
        <v>2</v>
      </c>
      <c r="BC12" s="891">
        <f>+BB12*$F$12</f>
        <v/>
      </c>
      <c r="BD12" s="889">
        <f>$BF$3*BE12</f>
        <v/>
      </c>
      <c r="BE12" s="890" t="n">
        <v>2</v>
      </c>
      <c r="BF12" s="891">
        <f>+BE12*$F$12</f>
        <v/>
      </c>
      <c r="BG12" s="889">
        <f>$BI$3*BH12</f>
        <v/>
      </c>
      <c r="BH12" s="890" t="n">
        <v>2</v>
      </c>
      <c r="BI12" s="891">
        <f>+BH12*$F$12</f>
        <v/>
      </c>
      <c r="BJ12" s="889">
        <f>$BL$3*BK12</f>
        <v/>
      </c>
      <c r="BK12" s="890" t="n">
        <v>2</v>
      </c>
      <c r="BL12" s="891">
        <f>+BK12*$F$12</f>
        <v/>
      </c>
      <c r="BN12" s="890" t="n">
        <v>2</v>
      </c>
      <c r="BO12" s="890" t="n">
        <v>2</v>
      </c>
      <c r="BP12">
        <f>SUM(BN12+BO12)</f>
        <v/>
      </c>
      <c r="BR12" s="890" t="n">
        <v>3</v>
      </c>
      <c r="BS12" s="890" t="n">
        <v>2</v>
      </c>
      <c r="BU12">
        <f>SUM(BR12+BS12)</f>
        <v/>
      </c>
      <c r="BW12" s="890" t="n">
        <v>3</v>
      </c>
      <c r="BX12">
        <f>BW12*3</f>
        <v/>
      </c>
    </row>
    <row r="13">
      <c r="D13" s="885" t="n">
        <v>4</v>
      </c>
      <c r="E13" s="836" t="inlineStr">
        <is>
          <t>Soporte lateral</t>
        </is>
      </c>
      <c r="F13" s="886">
        <f>202.56*E5</f>
        <v/>
      </c>
      <c r="G13" s="887">
        <f>K13+N13+Q13+T13+W13+Z13+AC13+AF13+AI13+AL13+AO13+AR13+AU13+AX13+BA13+BD13+BG13+BJ13</f>
        <v/>
      </c>
      <c r="H13" s="887" t="inlineStr">
        <is>
          <t>und</t>
        </is>
      </c>
      <c r="I13" s="888">
        <f>+M13+P13+S13+V13+Y13+AB13+AE13+AH13+AN13+AQ13+AT13+AW13+AZ13+BC13+BF13+AK13+BI13+BL13</f>
        <v/>
      </c>
      <c r="K13" s="889">
        <f>$M$3*L13</f>
        <v/>
      </c>
      <c r="L13" s="890" t="n">
        <v>0</v>
      </c>
      <c r="M13" s="891">
        <f>+L13*$F$13</f>
        <v/>
      </c>
      <c r="N13" s="889">
        <f>$P$3*O13</f>
        <v/>
      </c>
      <c r="O13" s="890" t="n">
        <v>0</v>
      </c>
      <c r="P13" s="891">
        <f>+O13*$F$13</f>
        <v/>
      </c>
      <c r="Q13" s="889">
        <f>$S$3*R13</f>
        <v/>
      </c>
      <c r="R13" s="890" t="n">
        <v>0</v>
      </c>
      <c r="S13" s="891">
        <f>+R13*$F$13</f>
        <v/>
      </c>
      <c r="T13" s="889">
        <f>$V$3*U13</f>
        <v/>
      </c>
      <c r="U13" s="890" t="n">
        <v>0</v>
      </c>
      <c r="V13" s="891">
        <f>+U13*$F$13</f>
        <v/>
      </c>
      <c r="W13" s="889">
        <f>$Y$3*X13</f>
        <v/>
      </c>
      <c r="X13" s="890" t="n">
        <v>0</v>
      </c>
      <c r="Y13" s="891">
        <f>+X13*$F$13</f>
        <v/>
      </c>
      <c r="Z13" s="889">
        <f>$AB$3*AA13</f>
        <v/>
      </c>
      <c r="AA13" s="890" t="n">
        <v>0</v>
      </c>
      <c r="AB13" s="891">
        <f>+AA13*$F$13</f>
        <v/>
      </c>
      <c r="AC13" s="889">
        <f>$AE$3*AD13</f>
        <v/>
      </c>
      <c r="AD13" s="890" t="n">
        <v>0</v>
      </c>
      <c r="AE13" s="891">
        <f>+AD13*$F$13</f>
        <v/>
      </c>
      <c r="AF13" s="889">
        <f>$AH$3*AG13</f>
        <v/>
      </c>
      <c r="AG13" s="890">
        <f>4*AH3</f>
        <v/>
      </c>
      <c r="AH13" s="891">
        <f>+AG13*$F$13</f>
        <v/>
      </c>
      <c r="AI13" s="889">
        <f>$AK$3*AJ13</f>
        <v/>
      </c>
      <c r="AJ13" s="890">
        <f>4*AK3</f>
        <v/>
      </c>
      <c r="AK13" s="891">
        <f>+AJ13*$F$13</f>
        <v/>
      </c>
      <c r="AL13" s="889">
        <f>$AN$3*AM13</f>
        <v/>
      </c>
      <c r="AM13" s="890" t="n">
        <v>0</v>
      </c>
      <c r="AN13" s="891">
        <f>+AM13*$F$13</f>
        <v/>
      </c>
      <c r="AO13" s="889">
        <f>$AQ$3*AP13</f>
        <v/>
      </c>
      <c r="AP13" s="890" t="n">
        <v>0</v>
      </c>
      <c r="AQ13" s="891">
        <f>+AP13*$F$13</f>
        <v/>
      </c>
      <c r="AR13" s="889">
        <f>$AT$3*AS13</f>
        <v/>
      </c>
      <c r="AS13" s="890" t="n">
        <v>0</v>
      </c>
      <c r="AT13" s="891">
        <f>+AS13*$F$13</f>
        <v/>
      </c>
      <c r="AU13" s="889">
        <f>$AW$3*AV13</f>
        <v/>
      </c>
      <c r="AV13" s="890" t="n">
        <v>4</v>
      </c>
      <c r="AW13" s="891">
        <f>+AV13*$F$13</f>
        <v/>
      </c>
      <c r="AX13" s="889">
        <f>$AZ$3*AY13</f>
        <v/>
      </c>
      <c r="AY13" s="890">
        <f>8*AZ3</f>
        <v/>
      </c>
      <c r="AZ13" s="891">
        <f>+AY13*$F$13</f>
        <v/>
      </c>
      <c r="BA13" s="889">
        <f>$BC$3*BB13</f>
        <v/>
      </c>
      <c r="BB13" s="890" t="n">
        <v>0</v>
      </c>
      <c r="BC13" s="891">
        <f>+BB13*$F$13</f>
        <v/>
      </c>
      <c r="BD13" s="889">
        <f>$BF$3*BE13</f>
        <v/>
      </c>
      <c r="BE13" s="890" t="n">
        <v>0</v>
      </c>
      <c r="BF13" s="891">
        <f>+BE13*$F$13</f>
        <v/>
      </c>
      <c r="BG13" s="889">
        <f>$BI$3*BH13</f>
        <v/>
      </c>
      <c r="BH13" s="890" t="n">
        <v>0</v>
      </c>
      <c r="BI13" s="891">
        <f>+BH13*$F$13</f>
        <v/>
      </c>
      <c r="BJ13" s="889">
        <f>$BL$3*BK13</f>
        <v/>
      </c>
      <c r="BK13" s="890" t="n">
        <v>0</v>
      </c>
      <c r="BL13" s="891">
        <f>+BK13*$F$13</f>
        <v/>
      </c>
      <c r="BN13" s="890" t="n">
        <v>0</v>
      </c>
      <c r="BO13" s="890" t="n">
        <v>0</v>
      </c>
      <c r="BP13">
        <f>SUM(BN13+BO13)</f>
        <v/>
      </c>
      <c r="BR13" s="890" t="n">
        <v>0</v>
      </c>
      <c r="BS13" s="890" t="n">
        <v>0</v>
      </c>
      <c r="BU13">
        <f>SUM(BR13+BS13)</f>
        <v/>
      </c>
      <c r="BW13" s="890" t="n">
        <v>0</v>
      </c>
      <c r="BX13">
        <f>BW13*3</f>
        <v/>
      </c>
    </row>
    <row r="14">
      <c r="D14" s="885" t="n">
        <v>5</v>
      </c>
      <c r="E14" s="836" t="inlineStr">
        <is>
          <t>Tubo ovalado</t>
        </is>
      </c>
      <c r="F14" s="886">
        <f>3184.53*E5</f>
        <v/>
      </c>
      <c r="G14" s="887">
        <f>K14+N14+Q14+T14+W14+Z14+AC14+AF14+AI14+AL14+AO14+AR14+AU14+AX14+BA14+BD14+BG14+BJ14</f>
        <v/>
      </c>
      <c r="H14" s="887" t="inlineStr">
        <is>
          <t>und</t>
        </is>
      </c>
      <c r="I14" s="888">
        <f>+M14+P14+S14+V14+Y14+AB14+AE14+AH14+AN14+AQ14+AT14+AW14+AZ14+BC14+BF14+AK14+BI14+BL14</f>
        <v/>
      </c>
      <c r="K14" s="889">
        <f>$M$3*L14</f>
        <v/>
      </c>
      <c r="L14" s="890" t="n">
        <v>0</v>
      </c>
      <c r="M14" s="891">
        <f>+L14*$F$14</f>
        <v/>
      </c>
      <c r="N14" s="889">
        <f>$P$3*O14</f>
        <v/>
      </c>
      <c r="O14" s="890" t="n">
        <v>0</v>
      </c>
      <c r="P14" s="891">
        <f>+O14*$F$14</f>
        <v/>
      </c>
      <c r="Q14" s="889">
        <f>$S$3*R14</f>
        <v/>
      </c>
      <c r="R14" s="890" t="n">
        <v>0</v>
      </c>
      <c r="S14" s="891">
        <f>+R14*$F$14</f>
        <v/>
      </c>
      <c r="T14" s="889">
        <f>$V$3*U14</f>
        <v/>
      </c>
      <c r="U14" s="890" t="n">
        <v>0</v>
      </c>
      <c r="V14" s="891">
        <f>+U14*$F$14</f>
        <v/>
      </c>
      <c r="W14" s="889">
        <f>$Y$3*X14</f>
        <v/>
      </c>
      <c r="X14" s="890" t="n">
        <v>0</v>
      </c>
      <c r="Y14" s="891">
        <f>+X14*$F$14</f>
        <v/>
      </c>
      <c r="Z14" s="889">
        <f>$AB$3*AA14</f>
        <v/>
      </c>
      <c r="AA14" s="890" t="n">
        <v>0</v>
      </c>
      <c r="AB14" s="891">
        <f>+AA14*$F$14</f>
        <v/>
      </c>
      <c r="AC14" s="889">
        <f>$AE$3*AD14</f>
        <v/>
      </c>
      <c r="AD14" s="890" t="n">
        <v>0</v>
      </c>
      <c r="AE14" s="891">
        <f>+AD14*$F$14</f>
        <v/>
      </c>
      <c r="AF14" s="889">
        <f>$AH$3*AG14</f>
        <v/>
      </c>
      <c r="AG14" s="890">
        <f>1*AH3</f>
        <v/>
      </c>
      <c r="AH14" s="891">
        <f>+AG14*$F$14</f>
        <v/>
      </c>
      <c r="AI14" s="889">
        <f>$AK$3*AJ14</f>
        <v/>
      </c>
      <c r="AJ14" s="890">
        <f>1*AK3</f>
        <v/>
      </c>
      <c r="AK14" s="891">
        <f>+AJ14*$F$14</f>
        <v/>
      </c>
      <c r="AL14" s="889">
        <f>$AN$3*AM14</f>
        <v/>
      </c>
      <c r="AM14" s="890" t="n">
        <v>0</v>
      </c>
      <c r="AN14" s="891">
        <f>+AM14*$F$14</f>
        <v/>
      </c>
      <c r="AO14" s="889">
        <f>$AQ$3*AP14</f>
        <v/>
      </c>
      <c r="AP14" s="890" t="n">
        <v>0</v>
      </c>
      <c r="AQ14" s="891">
        <f>+AP14*$F$14</f>
        <v/>
      </c>
      <c r="AR14" s="889">
        <f>$AT$3*AS14</f>
        <v/>
      </c>
      <c r="AS14" s="890" t="n">
        <v>0</v>
      </c>
      <c r="AT14" s="891">
        <f>+AS14*$F$14</f>
        <v/>
      </c>
      <c r="AU14" s="889">
        <f>$AW$3*AV14</f>
        <v/>
      </c>
      <c r="AV14" s="890" t="n">
        <v>1</v>
      </c>
      <c r="AW14" s="891">
        <f>+AV14*$F$14</f>
        <v/>
      </c>
      <c r="AX14" s="889">
        <f>$AZ$3*AY14</f>
        <v/>
      </c>
      <c r="AY14" s="890">
        <f>2*AZ3</f>
        <v/>
      </c>
      <c r="AZ14" s="891">
        <f>+AY14*$F$14</f>
        <v/>
      </c>
      <c r="BA14" s="889">
        <f>$BC$3*BB14</f>
        <v/>
      </c>
      <c r="BB14" s="890" t="n">
        <v>0</v>
      </c>
      <c r="BC14" s="891">
        <f>+BB14*$F$14</f>
        <v/>
      </c>
      <c r="BD14" s="889">
        <f>$BF$3*BE14</f>
        <v/>
      </c>
      <c r="BE14" s="890" t="n">
        <v>0</v>
      </c>
      <c r="BF14" s="891">
        <f>+BE14*$F$14</f>
        <v/>
      </c>
      <c r="BG14" s="889">
        <f>$BI$3*BH14</f>
        <v/>
      </c>
      <c r="BH14" s="890" t="n">
        <v>0</v>
      </c>
      <c r="BI14" s="891">
        <f>+BH14*$F$14</f>
        <v/>
      </c>
      <c r="BJ14" s="889">
        <f>$BL$3*BK14</f>
        <v/>
      </c>
      <c r="BK14" s="890" t="n">
        <v>0</v>
      </c>
      <c r="BL14" s="891">
        <f>+BK14*$F$14</f>
        <v/>
      </c>
      <c r="BN14" s="890" t="n">
        <v>0</v>
      </c>
      <c r="BO14" s="890" t="n">
        <v>0</v>
      </c>
      <c r="BP14">
        <f>SUM(BN14+BO14)</f>
        <v/>
      </c>
      <c r="BR14" s="890" t="n">
        <v>0</v>
      </c>
      <c r="BS14" s="890" t="n">
        <v>0</v>
      </c>
      <c r="BU14">
        <f>SUM(BR14+BS14)</f>
        <v/>
      </c>
      <c r="BW14" s="890" t="n">
        <v>0</v>
      </c>
      <c r="BX14">
        <f>BW14*3</f>
        <v/>
      </c>
    </row>
    <row r="15">
      <c r="D15" s="885" t="n">
        <v>6</v>
      </c>
      <c r="E15" s="836" t="inlineStr">
        <is>
          <t>Riel 14"</t>
        </is>
      </c>
      <c r="F15" s="886">
        <f>2580.97*E5</f>
        <v/>
      </c>
      <c r="G15" s="887">
        <f>K15+N15+Q15+T15+W15+Z15+AC15+AF15+AI15+AL15+AO15+AR15+AU15+AX15+BA15+BD15+BG15+BJ15</f>
        <v/>
      </c>
      <c r="H15" s="887" t="inlineStr">
        <is>
          <t>und</t>
        </is>
      </c>
      <c r="I15" s="888">
        <f>+M15+P15+S15+V15+Y15+AB15+AE15+AH15+AN15+AQ15+AT15+AW15+AZ15+BC15+BF15+AK15+BI15+BL15</f>
        <v/>
      </c>
      <c r="K15" s="889">
        <f>$M$3*L15</f>
        <v/>
      </c>
      <c r="L15" s="892" t="n">
        <v>0</v>
      </c>
      <c r="M15" s="891">
        <f>+L15*$F$15</f>
        <v/>
      </c>
      <c r="N15" s="889">
        <f>$P$3*O15</f>
        <v/>
      </c>
      <c r="O15" s="890" t="n">
        <v>0</v>
      </c>
      <c r="P15" s="891">
        <f>+O15*$F$15</f>
        <v/>
      </c>
      <c r="Q15" s="889">
        <f>$S$3*R15</f>
        <v/>
      </c>
      <c r="R15" s="890" t="n">
        <v>0</v>
      </c>
      <c r="S15" s="891">
        <f>+R15*$F$15</f>
        <v/>
      </c>
      <c r="T15" s="889">
        <f>$V$3*U15</f>
        <v/>
      </c>
      <c r="U15" s="890" t="n">
        <v>0</v>
      </c>
      <c r="V15" s="891">
        <f>+U15*$F$15</f>
        <v/>
      </c>
      <c r="W15" s="889">
        <f>$Y$3*X15</f>
        <v/>
      </c>
      <c r="X15" s="890" t="n">
        <v>0</v>
      </c>
      <c r="Y15" s="891">
        <f>+X15*$F$15</f>
        <v/>
      </c>
      <c r="Z15" s="889">
        <f>$AB$3*AA15</f>
        <v/>
      </c>
      <c r="AA15" s="890" t="n">
        <v>0</v>
      </c>
      <c r="AB15" s="891">
        <f>+AA15*$F$15</f>
        <v/>
      </c>
      <c r="AC15" s="889">
        <f>$AE$3*AD15</f>
        <v/>
      </c>
      <c r="AD15" s="890" t="n">
        <v>0</v>
      </c>
      <c r="AE15" s="891">
        <f>+AD15*$F$15</f>
        <v/>
      </c>
      <c r="AF15" s="889">
        <f>$AH$3*AG15</f>
        <v/>
      </c>
      <c r="AG15" s="890">
        <f>2*AH3</f>
        <v/>
      </c>
      <c r="AH15" s="891">
        <f>+AG15*$F$15</f>
        <v/>
      </c>
      <c r="AI15" s="889">
        <f>$AK$3*AJ15</f>
        <v/>
      </c>
      <c r="AJ15" s="890" t="n">
        <v>4</v>
      </c>
      <c r="AK15" s="891">
        <f>+AJ15*$F$15</f>
        <v/>
      </c>
      <c r="AL15" s="889">
        <f>$AN$3*AM15</f>
        <v/>
      </c>
      <c r="AM15" s="890" t="n">
        <v>0</v>
      </c>
      <c r="AN15" s="891">
        <f>+AM15*$F$15</f>
        <v/>
      </c>
      <c r="AO15" s="889">
        <f>$AQ$3*AP15</f>
        <v/>
      </c>
      <c r="AP15" s="890" t="n">
        <v>0</v>
      </c>
      <c r="AQ15" s="891">
        <f>+AP15*$F$15</f>
        <v/>
      </c>
      <c r="AR15" s="889">
        <f>$AT$3*AS15</f>
        <v/>
      </c>
      <c r="AS15" s="890" t="n">
        <v>0</v>
      </c>
      <c r="AT15" s="891">
        <f>+AS15*$F$15</f>
        <v/>
      </c>
      <c r="AU15" s="889">
        <f>$AW$3*AV15</f>
        <v/>
      </c>
      <c r="AV15" s="890" t="n">
        <v>4</v>
      </c>
      <c r="AW15" s="891">
        <f>+AV15*$F$15</f>
        <v/>
      </c>
      <c r="AX15" s="889">
        <f>$AZ$3*AY15</f>
        <v/>
      </c>
      <c r="AY15" s="890">
        <f>4*AZ3</f>
        <v/>
      </c>
      <c r="AZ15" s="891">
        <f>+AY15*$F$15</f>
        <v/>
      </c>
      <c r="BA15" s="889">
        <f>$BC$3*BB15</f>
        <v/>
      </c>
      <c r="BB15" s="890" t="n">
        <v>0</v>
      </c>
      <c r="BC15" s="891">
        <f>+BB15*$F$15</f>
        <v/>
      </c>
      <c r="BD15" s="889">
        <f>$BF$3*BE15</f>
        <v/>
      </c>
      <c r="BE15" s="890" t="n">
        <v>0</v>
      </c>
      <c r="BF15" s="891">
        <f>+BE15*$F$15</f>
        <v/>
      </c>
      <c r="BG15" s="889">
        <f>$BI$3*BH15</f>
        <v/>
      </c>
      <c r="BH15" s="890" t="n">
        <v>0</v>
      </c>
      <c r="BI15" s="891">
        <f>+BH15*$F$15</f>
        <v/>
      </c>
      <c r="BJ15" s="889">
        <f>$BL$3*BK15</f>
        <v/>
      </c>
      <c r="BK15" s="890" t="n">
        <v>0</v>
      </c>
      <c r="BL15" s="891">
        <f>+BK15*$F$15</f>
        <v/>
      </c>
      <c r="BN15" s="890" t="n">
        <v>0</v>
      </c>
      <c r="BO15" s="890" t="n">
        <v>0</v>
      </c>
      <c r="BP15">
        <f>SUM(BN15+BO15)</f>
        <v/>
      </c>
      <c r="BR15" s="890" t="n">
        <v>0</v>
      </c>
      <c r="BS15" s="890" t="n">
        <v>0</v>
      </c>
      <c r="BU15">
        <f>SUM(BR15+BS15)</f>
        <v/>
      </c>
      <c r="BW15" s="890" t="n">
        <v>0</v>
      </c>
      <c r="BX15">
        <f>BW15*3</f>
        <v/>
      </c>
    </row>
    <row r="16">
      <c r="D16" s="885" t="n">
        <v>7</v>
      </c>
      <c r="E16" s="836" t="inlineStr">
        <is>
          <t>Riel 18"</t>
        </is>
      </c>
      <c r="F16" s="886">
        <f>4442.35*E5</f>
        <v/>
      </c>
      <c r="G16" s="887">
        <f>K16+N16+Q16+T16+W16+Z16+AC16+AF16+AI16+AL16+AO16+AR16+AU16+AX16+BA16+BD16+BG16+BJ16</f>
        <v/>
      </c>
      <c r="H16" s="887" t="inlineStr">
        <is>
          <t>und</t>
        </is>
      </c>
      <c r="I16" s="888">
        <f>+M16+P16+S16+V16+Y16+AB16+AE16+AH16+AN16+AQ16+AT16+AW16+AZ16+BC16+BF16+AK16+BI16+BL16</f>
        <v/>
      </c>
      <c r="K16" s="889">
        <f>$M$3*L16</f>
        <v/>
      </c>
      <c r="L16" s="890" t="n">
        <v>0</v>
      </c>
      <c r="M16" s="891">
        <f>+L16*$F$16</f>
        <v/>
      </c>
      <c r="N16" s="889">
        <f>$P$3*O16</f>
        <v/>
      </c>
      <c r="O16" s="890" t="n">
        <v>0</v>
      </c>
      <c r="P16" s="891">
        <f>+O16*$F$16</f>
        <v/>
      </c>
      <c r="Q16" s="889">
        <f>$S$3*R16</f>
        <v/>
      </c>
      <c r="R16" s="890" t="n">
        <v>0</v>
      </c>
      <c r="S16" s="891">
        <f>+R16*$F$16</f>
        <v/>
      </c>
      <c r="T16" s="889">
        <f>$V$3*U16</f>
        <v/>
      </c>
      <c r="U16" s="890" t="n">
        <v>3</v>
      </c>
      <c r="V16" s="891">
        <f>+U16*$F$16</f>
        <v/>
      </c>
      <c r="W16" s="889">
        <f>$Y$3*X16</f>
        <v/>
      </c>
      <c r="X16" s="890" t="n">
        <v>0</v>
      </c>
      <c r="Y16" s="891">
        <f>+X16*$F$16</f>
        <v/>
      </c>
      <c r="Z16" s="889">
        <f>$AB$3*AA16</f>
        <v/>
      </c>
      <c r="AA16" s="890" t="n">
        <v>0</v>
      </c>
      <c r="AB16" s="891">
        <f>+AA16*$F$16</f>
        <v/>
      </c>
      <c r="AC16" s="889">
        <f>$AE$3*AD16</f>
        <v/>
      </c>
      <c r="AD16" s="890" t="n">
        <v>0</v>
      </c>
      <c r="AE16" s="891">
        <f>+AD16*$F$16</f>
        <v/>
      </c>
      <c r="AF16" s="889">
        <f>$AH$3*AG16</f>
        <v/>
      </c>
      <c r="AG16" s="890">
        <f>0*AH3</f>
        <v/>
      </c>
      <c r="AH16" s="891">
        <f>+AG16*$F$16</f>
        <v/>
      </c>
      <c r="AI16" s="889">
        <f>$AK$3*AJ16</f>
        <v/>
      </c>
      <c r="AJ16" s="890">
        <f>0*AK3</f>
        <v/>
      </c>
      <c r="AK16" s="891">
        <f>+AJ16*$F$16</f>
        <v/>
      </c>
      <c r="AL16" s="889">
        <f>$AN$3*AM16</f>
        <v/>
      </c>
      <c r="AM16" s="890" t="n">
        <v>0</v>
      </c>
      <c r="AN16" s="891">
        <f>+AM16*$F$16</f>
        <v/>
      </c>
      <c r="AO16" s="889">
        <f>$AQ$3*AP16</f>
        <v/>
      </c>
      <c r="AP16" s="890" t="n">
        <v>0</v>
      </c>
      <c r="AQ16" s="891">
        <f>+AP16*$F$16</f>
        <v/>
      </c>
      <c r="AR16" s="889">
        <f>$AT$3*AS16</f>
        <v/>
      </c>
      <c r="AS16" s="890" t="n">
        <v>0</v>
      </c>
      <c r="AT16" s="891">
        <f>+AS16*$F$16</f>
        <v/>
      </c>
      <c r="AU16" s="889">
        <f>$AW$3*AV16</f>
        <v/>
      </c>
      <c r="AV16" s="890" t="n">
        <v>0</v>
      </c>
      <c r="AW16" s="891">
        <f>+AV16*$F$16</f>
        <v/>
      </c>
      <c r="AX16" s="889">
        <f>$AZ$3*AY16</f>
        <v/>
      </c>
      <c r="AY16" s="890">
        <f>0*AZ3</f>
        <v/>
      </c>
      <c r="AZ16" s="891">
        <f>+AY16*$F$16</f>
        <v/>
      </c>
      <c r="BA16" s="889">
        <f>$BC$3*BB16</f>
        <v/>
      </c>
      <c r="BB16" s="890" t="n">
        <v>0</v>
      </c>
      <c r="BC16" s="891">
        <f>+BB16*$F$16</f>
        <v/>
      </c>
      <c r="BD16" s="889">
        <f>$BF$3*BE16</f>
        <v/>
      </c>
      <c r="BE16" s="890" t="n">
        <v>0</v>
      </c>
      <c r="BF16" s="891">
        <f>+BE16*$F$16</f>
        <v/>
      </c>
      <c r="BG16" s="889">
        <f>$BI$3*BH16</f>
        <v/>
      </c>
      <c r="BH16" s="890" t="n">
        <v>0</v>
      </c>
      <c r="BI16" s="891">
        <f>+BH16*$F$16</f>
        <v/>
      </c>
      <c r="BJ16" s="889">
        <f>$BL$3*BK16</f>
        <v/>
      </c>
      <c r="BK16" s="890" t="n">
        <v>0</v>
      </c>
      <c r="BL16" s="891">
        <f>+BK16*$F$16</f>
        <v/>
      </c>
      <c r="BN16" s="890" t="n">
        <v>0</v>
      </c>
      <c r="BO16" s="890" t="n">
        <v>0</v>
      </c>
      <c r="BP16">
        <f>SUM(BN16+BO16)</f>
        <v/>
      </c>
      <c r="BR16" s="890" t="n">
        <v>3</v>
      </c>
      <c r="BS16" s="890" t="n">
        <v>0</v>
      </c>
      <c r="BU16">
        <f>SUM(BR16+BS16)</f>
        <v/>
      </c>
      <c r="BW16" s="890" t="n">
        <v>3</v>
      </c>
      <c r="BX16">
        <f>BW16*3</f>
        <v/>
      </c>
    </row>
    <row r="17">
      <c r="A17" s="893" t="inlineStr">
        <is>
          <t>Cant. ML</t>
        </is>
      </c>
      <c r="B17" s="1161">
        <f>+ROUNDUP((G17*E3)/10,0)</f>
        <v/>
      </c>
      <c r="D17" s="885" t="n">
        <v>8</v>
      </c>
      <c r="E17" s="836" t="inlineStr">
        <is>
          <t>Rodapie</t>
        </is>
      </c>
      <c r="F17" s="886">
        <f>+(6669.38*E5)/3.6</f>
        <v/>
      </c>
      <c r="G17" s="887">
        <f>K17+N17+Q17+T17+W17+Z17+AC17+AF17+AI17+AL17+AO17+AR17+AU17+AX17+BA17+BD17+BG17+BJ17</f>
        <v/>
      </c>
      <c r="H17" s="887" t="inlineStr">
        <is>
          <t>cm</t>
        </is>
      </c>
      <c r="I17" s="888">
        <f>+M17+P17+S17+V17+Y17+AB17+AE17+AH17+AN17+AQ17+AT17+AW17+AZ17+BC17+BF17+AK17+BI17+BL17</f>
        <v/>
      </c>
      <c r="K17" s="889">
        <f>$M$3*L17</f>
        <v/>
      </c>
      <c r="L17" s="890" t="n">
        <v>0.7</v>
      </c>
      <c r="M17" s="891">
        <f>+L17*$F$17</f>
        <v/>
      </c>
      <c r="N17" s="889">
        <f>$P$3*O17</f>
        <v/>
      </c>
      <c r="O17" s="890" t="n">
        <v>0</v>
      </c>
      <c r="P17" s="891">
        <f>+O17*$F$17</f>
        <v/>
      </c>
      <c r="Q17" s="889">
        <f>$S$3*R17</f>
        <v/>
      </c>
      <c r="R17" s="890" t="n">
        <v>0.8</v>
      </c>
      <c r="S17" s="891">
        <f>+R17*$F$17</f>
        <v/>
      </c>
      <c r="T17" s="889">
        <f>$V$3*U17</f>
        <v/>
      </c>
      <c r="U17" s="890" t="n">
        <v>0.45</v>
      </c>
      <c r="V17" s="891">
        <f>+U17*$F$17</f>
        <v/>
      </c>
      <c r="W17" s="889">
        <f>$Y$3*X17</f>
        <v/>
      </c>
      <c r="X17" s="890" t="n">
        <v>0</v>
      </c>
      <c r="Y17" s="891">
        <f>+X17*$F$17</f>
        <v/>
      </c>
      <c r="Z17" s="889">
        <f>$AB$3*AA17</f>
        <v/>
      </c>
      <c r="AA17" s="890" t="n">
        <v>0.65</v>
      </c>
      <c r="AB17" s="891">
        <f>+AA17*$F$17</f>
        <v/>
      </c>
      <c r="AC17" s="889">
        <f>$AE$3*AD17</f>
        <v/>
      </c>
      <c r="AD17" s="890" t="n">
        <v>0</v>
      </c>
      <c r="AE17" s="891">
        <f>+AD17*$F$17</f>
        <v/>
      </c>
      <c r="AF17" s="889">
        <f>$AH$3*AG17</f>
        <v/>
      </c>
      <c r="AG17" s="890">
        <f>1.5+0.6</f>
        <v/>
      </c>
      <c r="AH17" s="891">
        <f>+AG17*$F$17</f>
        <v/>
      </c>
      <c r="AI17" s="889">
        <f>$AK$3*AJ17</f>
        <v/>
      </c>
      <c r="AJ17" s="890">
        <f>1.5+0.6</f>
        <v/>
      </c>
      <c r="AK17" s="891">
        <f>+AJ17*$F$17</f>
        <v/>
      </c>
      <c r="AL17" s="889">
        <f>$AN$3*AM17</f>
        <v/>
      </c>
      <c r="AM17" s="890" t="n">
        <v>1</v>
      </c>
      <c r="AN17" s="891">
        <f>+AM17*$F$17</f>
        <v/>
      </c>
      <c r="AO17" s="889">
        <f>$AQ$3*AP17</f>
        <v/>
      </c>
      <c r="AP17" s="890" t="n">
        <v>0</v>
      </c>
      <c r="AQ17" s="891">
        <f>+AP17*$F$17</f>
        <v/>
      </c>
      <c r="AR17" s="889">
        <f>$AT$3*AS17</f>
        <v/>
      </c>
      <c r="AS17" s="890" t="n">
        <v>1.1</v>
      </c>
      <c r="AT17" s="891">
        <f>+AS17*$F$17</f>
        <v/>
      </c>
      <c r="AU17" s="889">
        <f>$AW$3*AV17</f>
        <v/>
      </c>
      <c r="AV17" s="890" t="n">
        <v>1.2</v>
      </c>
      <c r="AW17" s="891">
        <f>+AV17*$F$17</f>
        <v/>
      </c>
      <c r="AX17" s="889">
        <f>$AZ$3*AY17</f>
        <v/>
      </c>
      <c r="AY17" s="890">
        <f>1.2*AZ3</f>
        <v/>
      </c>
      <c r="AZ17" s="891">
        <f>+AY17*$F$17</f>
        <v/>
      </c>
      <c r="BA17" s="889">
        <f>$BC$3*BB17</f>
        <v/>
      </c>
      <c r="BB17" s="890" t="n">
        <v>1.1</v>
      </c>
      <c r="BC17" s="891">
        <f>+BB17*$F$17</f>
        <v/>
      </c>
      <c r="BD17" s="889">
        <f>$BF$3*BE17</f>
        <v/>
      </c>
      <c r="BE17" s="890" t="n">
        <v>1.1</v>
      </c>
      <c r="BF17" s="891">
        <f>+BE17*$F$17</f>
        <v/>
      </c>
      <c r="BG17" s="889">
        <f>$BI$3*BH17</f>
        <v/>
      </c>
      <c r="BH17" s="890" t="n">
        <v>0.7</v>
      </c>
      <c r="BI17" s="891">
        <f>+BH17*$F$17</f>
        <v/>
      </c>
      <c r="BJ17" s="889">
        <f>$BL$3*BK17</f>
        <v/>
      </c>
      <c r="BK17" s="890" t="n">
        <v>0</v>
      </c>
      <c r="BL17" s="891">
        <f>+BK17*$F$17</f>
        <v/>
      </c>
      <c r="BN17" s="890" t="n">
        <v>0</v>
      </c>
      <c r="BO17" s="890" t="n">
        <v>0.7</v>
      </c>
      <c r="BP17">
        <f>SUM(BN17+BO17)</f>
        <v/>
      </c>
      <c r="BR17" s="890" t="n">
        <v>45</v>
      </c>
      <c r="BS17" s="890" t="n">
        <v>0</v>
      </c>
      <c r="BU17">
        <f>SUM(BR17+BS17)</f>
        <v/>
      </c>
      <c r="BW17" s="890" t="n">
        <v>45</v>
      </c>
      <c r="BX17">
        <f>BW17*3</f>
        <v/>
      </c>
    </row>
    <row r="18">
      <c r="D18" s="885" t="n">
        <v>9</v>
      </c>
      <c r="E18" s="836" t="inlineStr">
        <is>
          <t>Set roller</t>
        </is>
      </c>
      <c r="F18" s="886">
        <f>4006.66*E5</f>
        <v/>
      </c>
      <c r="G18" s="887">
        <f>K18+N18+Q18+T18+W18+Z18+AC18+AF18+AI18+AL18+AO18+AR18+AU18+AX18+BA18+BD18+BG18+BJ18</f>
        <v/>
      </c>
      <c r="H18" s="887" t="inlineStr">
        <is>
          <t>und</t>
        </is>
      </c>
      <c r="I18" s="888">
        <f>+M18+P18+S18+V18+Y18+AB18+AE18+AH18+AN18+AQ18+AT18+AW18+AZ18+BC18+BF18+AK18+BI18+BL18</f>
        <v/>
      </c>
      <c r="K18" s="889">
        <f>$M$3*L18</f>
        <v/>
      </c>
      <c r="L18" s="890" t="n">
        <v>0</v>
      </c>
      <c r="M18" s="891">
        <f>+L18*$F$18</f>
        <v/>
      </c>
      <c r="N18" s="889">
        <f>$P$3*O18</f>
        <v/>
      </c>
      <c r="O18" s="890" t="n">
        <v>0</v>
      </c>
      <c r="P18" s="891">
        <f>+O18*$F$18</f>
        <v/>
      </c>
      <c r="Q18" s="889">
        <f>$S$3*R18</f>
        <v/>
      </c>
      <c r="R18" s="890" t="n">
        <v>0</v>
      </c>
      <c r="S18" s="891">
        <f>+R18*$F$18</f>
        <v/>
      </c>
      <c r="T18" s="889">
        <f>$V$3*U18</f>
        <v/>
      </c>
      <c r="U18" s="890" t="n">
        <v>0</v>
      </c>
      <c r="V18" s="891">
        <f>+U18*$F$18</f>
        <v/>
      </c>
      <c r="W18" s="889">
        <f>$Y$3*X18</f>
        <v/>
      </c>
      <c r="X18" s="890" t="n">
        <v>0</v>
      </c>
      <c r="Y18" s="891">
        <f>+X18*$F$18</f>
        <v/>
      </c>
      <c r="Z18" s="889">
        <f>$AB$3*AA18</f>
        <v/>
      </c>
      <c r="AA18" s="890" t="n">
        <v>0</v>
      </c>
      <c r="AB18" s="891">
        <f>+AA18*$F$18</f>
        <v/>
      </c>
      <c r="AC18" s="889">
        <f>$AE$3*AD18</f>
        <v/>
      </c>
      <c r="AD18" s="890" t="n">
        <v>0</v>
      </c>
      <c r="AE18" s="891">
        <f>+AD18*$F$18</f>
        <v/>
      </c>
      <c r="AF18" s="889">
        <f>$AH$3*AG18</f>
        <v/>
      </c>
      <c r="AG18" s="890">
        <f>2*AH3</f>
        <v/>
      </c>
      <c r="AH18" s="891">
        <f>+AG18*$F$18</f>
        <v/>
      </c>
      <c r="AI18" s="889">
        <f>$AK$3*AJ18</f>
        <v/>
      </c>
      <c r="AJ18" s="890">
        <f>2*AK3</f>
        <v/>
      </c>
      <c r="AK18" s="891">
        <f>+AJ18*$F$18</f>
        <v/>
      </c>
      <c r="AL18" s="889">
        <f>$AN$3*AM18</f>
        <v/>
      </c>
      <c r="AM18" s="890" t="n">
        <v>0</v>
      </c>
      <c r="AN18" s="891">
        <f>+AM18*$F$18</f>
        <v/>
      </c>
      <c r="AO18" s="889">
        <f>$AQ$3*AP18</f>
        <v/>
      </c>
      <c r="AP18" s="890" t="n">
        <v>0</v>
      </c>
      <c r="AQ18" s="891">
        <f>+AP18*$F$18</f>
        <v/>
      </c>
      <c r="AR18" s="889">
        <f>$AT$3*AS18</f>
        <v/>
      </c>
      <c r="AS18" s="890" t="n">
        <v>0</v>
      </c>
      <c r="AT18" s="891">
        <f>+AS18*$F$18</f>
        <v/>
      </c>
      <c r="AU18" s="889">
        <f>$AW$3*AV18</f>
        <v/>
      </c>
      <c r="AV18" s="890" t="n">
        <v>0</v>
      </c>
      <c r="AW18" s="891">
        <f>+AV18*$F$18</f>
        <v/>
      </c>
      <c r="AX18" s="889">
        <f>$AZ$3*AY18</f>
        <v/>
      </c>
      <c r="AY18" s="890">
        <f>0*AZ3</f>
        <v/>
      </c>
      <c r="AZ18" s="891">
        <f>+AY18*$F$18</f>
        <v/>
      </c>
      <c r="BA18" s="889">
        <f>$BC$3*BB18</f>
        <v/>
      </c>
      <c r="BB18" s="890" t="n">
        <v>0</v>
      </c>
      <c r="BC18" s="891">
        <f>+BB18*$F$18</f>
        <v/>
      </c>
      <c r="BD18" s="889">
        <f>$BF$3*BE18</f>
        <v/>
      </c>
      <c r="BE18" s="890" t="n">
        <v>0</v>
      </c>
      <c r="BF18" s="891">
        <f>+BE18*$F$18</f>
        <v/>
      </c>
      <c r="BG18" s="889">
        <f>$BI$3*BH18</f>
        <v/>
      </c>
      <c r="BH18" s="890" t="n">
        <v>0</v>
      </c>
      <c r="BI18" s="891">
        <f>+BH18*$F$18</f>
        <v/>
      </c>
      <c r="BJ18" s="889">
        <f>$BL$3*BK18</f>
        <v/>
      </c>
      <c r="BK18" s="890" t="n">
        <v>0</v>
      </c>
      <c r="BL18" s="891">
        <f>+BK18*$F$18</f>
        <v/>
      </c>
      <c r="BN18" s="890" t="n">
        <v>0</v>
      </c>
      <c r="BO18" s="890" t="n">
        <v>0</v>
      </c>
      <c r="BP18">
        <f>SUM(BN18+BO18)</f>
        <v/>
      </c>
      <c r="BR18" s="890" t="n">
        <v>0</v>
      </c>
      <c r="BS18" s="890" t="n">
        <v>0</v>
      </c>
      <c r="BU18">
        <f>SUM(BR18+BS18)</f>
        <v/>
      </c>
      <c r="BW18" s="890" t="n">
        <v>0</v>
      </c>
      <c r="BX18">
        <f>BW18*3</f>
        <v/>
      </c>
    </row>
    <row r="19">
      <c r="D19" s="885" t="n">
        <v>10</v>
      </c>
      <c r="E19" s="836" t="inlineStr">
        <is>
          <t>Dedales</t>
        </is>
      </c>
      <c r="F19" s="886">
        <f>+(1.42*540)*E5</f>
        <v/>
      </c>
      <c r="G19" s="887">
        <f>K19+N19+Q19+T19+W19+Z19+AC19+AF19+AI19+AL19+AO19+AR19+AU19+AX19+BA19+BD19+BG19+BJ19</f>
        <v/>
      </c>
      <c r="H19" s="887" t="inlineStr">
        <is>
          <t>und</t>
        </is>
      </c>
      <c r="I19" s="888">
        <f>+M19+P19+S19+V19+Y19+AB19+AE19+AH19+AN19+AQ19+AT19+AW19+AZ19+BC19+BF19+AK19+BI19+BL19</f>
        <v/>
      </c>
      <c r="J19" s="895" t="inlineStr">
        <is>
          <t>m2 lamina</t>
        </is>
      </c>
      <c r="K19" s="889">
        <f>$M$3*L19</f>
        <v/>
      </c>
      <c r="L19" s="890" t="n">
        <v>0</v>
      </c>
      <c r="M19" s="891">
        <f>+L19*$F$19</f>
        <v/>
      </c>
      <c r="N19" s="889">
        <f>$P$3*O19</f>
        <v/>
      </c>
      <c r="O19" s="890" t="n">
        <v>0</v>
      </c>
      <c r="P19" s="891">
        <f>+O19*$F$19</f>
        <v/>
      </c>
      <c r="Q19" s="889">
        <f>$S$3*R19</f>
        <v/>
      </c>
      <c r="R19" s="890" t="n">
        <v>0</v>
      </c>
      <c r="S19" s="891">
        <f>+R19*$F$19</f>
        <v/>
      </c>
      <c r="T19" s="889">
        <f>$V$3*U19</f>
        <v/>
      </c>
      <c r="U19" s="890" t="n">
        <v>0</v>
      </c>
      <c r="V19" s="891">
        <f>+U19*$F$19</f>
        <v/>
      </c>
      <c r="W19" s="889">
        <f>$Y$3*X19</f>
        <v/>
      </c>
      <c r="X19" s="890" t="n">
        <v>0</v>
      </c>
      <c r="Y19" s="891">
        <f>+X19*$F$19</f>
        <v/>
      </c>
      <c r="Z19" s="889">
        <f>$AB$3*AA19</f>
        <v/>
      </c>
      <c r="AA19" s="890" t="n">
        <v>0</v>
      </c>
      <c r="AB19" s="891">
        <f>+AA19*$F$19</f>
        <v/>
      </c>
      <c r="AC19" s="889">
        <f>$AE$3*AD19</f>
        <v/>
      </c>
      <c r="AD19" s="890" t="n">
        <v>0</v>
      </c>
      <c r="AE19" s="891">
        <f>+AD19*$F$19</f>
        <v/>
      </c>
      <c r="AF19" s="889">
        <f>$AH$3*AG19</f>
        <v/>
      </c>
      <c r="AG19" s="890">
        <f>2*AH3</f>
        <v/>
      </c>
      <c r="AH19" s="891">
        <f>+AG19*$F$19</f>
        <v/>
      </c>
      <c r="AI19" s="889">
        <f>$AK$3*AJ19</f>
        <v/>
      </c>
      <c r="AJ19" s="890">
        <f>2*AK3</f>
        <v/>
      </c>
      <c r="AK19" s="891">
        <f>+AJ19*$F$19</f>
        <v/>
      </c>
      <c r="AL19" s="889">
        <f>$AN$3*AM19</f>
        <v/>
      </c>
      <c r="AM19" s="890" t="n">
        <v>0</v>
      </c>
      <c r="AN19" s="891">
        <f>+AM19*$F$19</f>
        <v/>
      </c>
      <c r="AO19" s="889">
        <f>$AQ$3*AP19</f>
        <v/>
      </c>
      <c r="AP19" s="890" t="n">
        <v>0</v>
      </c>
      <c r="AQ19" s="891">
        <f>+AP19*$F$19</f>
        <v/>
      </c>
      <c r="AR19" s="889">
        <f>$AT$3*AS19</f>
        <v/>
      </c>
      <c r="AS19" s="890" t="n">
        <v>0</v>
      </c>
      <c r="AT19" s="891">
        <f>+AS19*$F$19</f>
        <v/>
      </c>
      <c r="AU19" s="889">
        <f>$AW$3*AV19</f>
        <v/>
      </c>
      <c r="AV19" s="890" t="n">
        <v>0</v>
      </c>
      <c r="AW19" s="891">
        <f>+AV19*$F$19</f>
        <v/>
      </c>
      <c r="AX19" s="889">
        <f>$AZ$3*AY19</f>
        <v/>
      </c>
      <c r="AY19" s="890">
        <f>0*AZ3</f>
        <v/>
      </c>
      <c r="AZ19" s="891">
        <f>+AY19*$F$19</f>
        <v/>
      </c>
      <c r="BA19" s="889">
        <f>$BC$3*BB19</f>
        <v/>
      </c>
      <c r="BB19" s="890" t="n">
        <v>0</v>
      </c>
      <c r="BC19" s="891">
        <f>+BB19*$F$19</f>
        <v/>
      </c>
      <c r="BD19" s="889">
        <f>$BF$3*BE19</f>
        <v/>
      </c>
      <c r="BE19" s="890" t="n">
        <v>0</v>
      </c>
      <c r="BF19" s="891">
        <f>+BE19*$F$19</f>
        <v/>
      </c>
      <c r="BG19" s="889">
        <f>$BI$3*BH19</f>
        <v/>
      </c>
      <c r="BH19" s="890" t="n">
        <v>0</v>
      </c>
      <c r="BI19" s="891">
        <f>+BH19*$F$19</f>
        <v/>
      </c>
      <c r="BJ19" s="889">
        <f>$BL$3*BK19</f>
        <v/>
      </c>
      <c r="BK19" s="890" t="n">
        <v>0</v>
      </c>
      <c r="BL19" s="891">
        <f>+BK19*$F$19</f>
        <v/>
      </c>
      <c r="BN19" s="890" t="n">
        <v>0</v>
      </c>
      <c r="BO19" s="890" t="n">
        <v>0</v>
      </c>
      <c r="BP19">
        <f>SUM(BN19+BO19)</f>
        <v/>
      </c>
      <c r="BR19" s="890" t="n">
        <v>0</v>
      </c>
      <c r="BS19" s="890" t="n">
        <v>0</v>
      </c>
      <c r="BU19">
        <f>SUM(BR19+BS19)</f>
        <v/>
      </c>
      <c r="BW19" s="890" t="n">
        <v>0</v>
      </c>
      <c r="BX19">
        <f>BW19*3</f>
        <v/>
      </c>
    </row>
    <row r="20">
      <c r="A20" s="893" t="inlineStr">
        <is>
          <t>Cant. Láminas</t>
        </is>
      </c>
      <c r="B20" s="1162">
        <f>ROUNDUP(+(G20/J20)*E3,0)</f>
        <v/>
      </c>
      <c r="C20" s="886">
        <f>57000*E5</f>
        <v/>
      </c>
      <c r="D20" s="885" t="n">
        <v>11</v>
      </c>
      <c r="E20" s="836" t="inlineStr">
        <is>
          <t>Melamina m2</t>
        </is>
      </c>
      <c r="F20" s="886">
        <f>+(C20/J20)*1.1</f>
        <v/>
      </c>
      <c r="G20" s="887">
        <f>K20+N20+Q20+T20+W20+Z20+AC20+AF20+AI20+AL20+AO20+AR20+AU20+AX20+BA20+BD20+BG20+BJ20</f>
        <v/>
      </c>
      <c r="H20" s="887" t="inlineStr">
        <is>
          <t>m2</t>
        </is>
      </c>
      <c r="I20" s="888">
        <f>+M20+P20+S20+V20+Y20+AB20+AE20+AH20+AN20+AQ20+AT20+AW20+AZ20+BC20+BF20+AK20+BI20+BL20</f>
        <v/>
      </c>
      <c r="J20" s="1163">
        <f>2.5*1.83</f>
        <v/>
      </c>
      <c r="K20" s="889">
        <f>$M$3*L20</f>
        <v/>
      </c>
      <c r="L20" s="898" t="n">
        <v>2.32</v>
      </c>
      <c r="M20" s="899">
        <f>+L20*$F$20</f>
        <v/>
      </c>
      <c r="N20" s="889">
        <f>$P$3*O20</f>
        <v/>
      </c>
      <c r="O20" s="898" t="n">
        <v>1.35</v>
      </c>
      <c r="P20" s="899">
        <f>+O20*$F$20</f>
        <v/>
      </c>
      <c r="Q20" s="889">
        <f>$S$3*R20</f>
        <v/>
      </c>
      <c r="R20" s="890" t="n">
        <v>1.36</v>
      </c>
      <c r="S20" s="899">
        <f>+R20*$F$20</f>
        <v/>
      </c>
      <c r="T20" s="889">
        <f>$V$3*U20</f>
        <v/>
      </c>
      <c r="U20" s="890" t="n">
        <v>2.89</v>
      </c>
      <c r="V20" s="899">
        <f>+U20*$F$20</f>
        <v/>
      </c>
      <c r="W20" s="889">
        <f>$Y$3*X20</f>
        <v/>
      </c>
      <c r="X20" s="890" t="n">
        <v>1.1</v>
      </c>
      <c r="Y20" s="899">
        <f>+X20*$F$20</f>
        <v/>
      </c>
      <c r="Z20" s="889">
        <f>$AB$3*AA20</f>
        <v/>
      </c>
      <c r="AA20" s="890" t="n">
        <v>2.18</v>
      </c>
      <c r="AB20" s="899">
        <f>+AA20*$F$20</f>
        <v/>
      </c>
      <c r="AC20" s="889">
        <f>$AE$3*AD20</f>
        <v/>
      </c>
      <c r="AD20" s="890" t="n">
        <v>1.4</v>
      </c>
      <c r="AE20" s="899">
        <f>+AD20*$F$20</f>
        <v/>
      </c>
      <c r="AF20" s="889">
        <f>$AH$3*AG20</f>
        <v/>
      </c>
      <c r="AG20" s="890">
        <f>10.8*AH3</f>
        <v/>
      </c>
      <c r="AH20" s="899">
        <f>+AG20*$F$20</f>
        <v/>
      </c>
      <c r="AI20" s="889">
        <f>$AK$3*AJ20</f>
        <v/>
      </c>
      <c r="AJ20" s="890">
        <f>10.8*AK3</f>
        <v/>
      </c>
      <c r="AK20" s="899">
        <f>+AJ20*$F$20</f>
        <v/>
      </c>
      <c r="AL20" s="889">
        <f>$AN$3*AM20</f>
        <v/>
      </c>
      <c r="AM20" s="890" t="n">
        <v>1.37</v>
      </c>
      <c r="AN20" s="899">
        <f>+AM20*$F$20</f>
        <v/>
      </c>
      <c r="AO20" s="889">
        <f>$AQ$3*AP20</f>
        <v/>
      </c>
      <c r="AP20" s="890" t="n">
        <v>0.86</v>
      </c>
      <c r="AQ20" s="899">
        <f>+AP20*$F$20</f>
        <v/>
      </c>
      <c r="AR20" s="889">
        <f>$AT$3*AS20</f>
        <v/>
      </c>
      <c r="AS20" s="890" t="n">
        <v>3.4</v>
      </c>
      <c r="AT20" s="899">
        <f>+AS20*$F$20</f>
        <v/>
      </c>
      <c r="AU20" s="889">
        <f>$AW$3*AV20</f>
        <v/>
      </c>
      <c r="AV20" s="890" t="n">
        <v>14.02</v>
      </c>
      <c r="AW20" s="899">
        <f>+AV20*$F$20</f>
        <v/>
      </c>
      <c r="AX20" s="889">
        <f>$AZ$3*AY20</f>
        <v/>
      </c>
      <c r="AY20" s="890">
        <f>14.9*AZ3</f>
        <v/>
      </c>
      <c r="AZ20" s="899">
        <f>+AY20*$F$20</f>
        <v/>
      </c>
      <c r="BA20" s="889">
        <f>$BC$3*BB20</f>
        <v/>
      </c>
      <c r="BB20" s="890" t="n">
        <v>3.58</v>
      </c>
      <c r="BC20" s="899">
        <f>+BB20*$F$20</f>
        <v/>
      </c>
      <c r="BD20" s="889">
        <f>$BF$3*BE20</f>
        <v/>
      </c>
      <c r="BE20" s="890" t="n">
        <v>3.41</v>
      </c>
      <c r="BF20" s="899">
        <f>+BE20*$F$20</f>
        <v/>
      </c>
      <c r="BG20" s="889">
        <f>$BI$3*BH20</f>
        <v/>
      </c>
      <c r="BH20" s="900">
        <f>2.32/2</f>
        <v/>
      </c>
      <c r="BI20" s="899">
        <f>+BH20*$F$20</f>
        <v/>
      </c>
      <c r="BJ20" s="889">
        <f>$BL$3*BK20</f>
        <v/>
      </c>
      <c r="BK20" s="900">
        <f>1.35/3</f>
        <v/>
      </c>
      <c r="BL20" s="899">
        <f>+BK20*$F$20</f>
        <v/>
      </c>
      <c r="BN20" s="890" t="n">
        <v>1.4</v>
      </c>
      <c r="BO20" s="900">
        <f>2.32/2</f>
        <v/>
      </c>
      <c r="BP20">
        <f>SUM(BN20+BO20)</f>
        <v/>
      </c>
      <c r="BR20" s="890" t="n">
        <v>2.89</v>
      </c>
      <c r="BS20" s="890" t="n">
        <v>1.4</v>
      </c>
      <c r="BU20">
        <f>SUM(BR20+BS20)</f>
        <v/>
      </c>
      <c r="BW20" s="890" t="n">
        <v>2.89</v>
      </c>
      <c r="BX20">
        <f>BW20*3</f>
        <v/>
      </c>
    </row>
    <row r="21">
      <c r="B21" s="1164" t="n"/>
      <c r="C21" s="886" t="n"/>
      <c r="D21" s="885" t="n">
        <v>12</v>
      </c>
      <c r="E21" s="836" t="inlineStr">
        <is>
          <t>Tapeta</t>
        </is>
      </c>
      <c r="F21" s="886">
        <f>+((26000*1.13)/200)*E5</f>
        <v/>
      </c>
      <c r="G21" s="887">
        <f>K21+N21+Q21+T21+W21+Z21+AC21+AF21+AI21+AL21+AO21+AR21+AU21+AX21+BA21+BD21+BG21+BJ21</f>
        <v/>
      </c>
      <c r="H21" s="887" t="inlineStr">
        <is>
          <t>ml</t>
        </is>
      </c>
      <c r="I21" s="888">
        <f>+M21+P21+S21+V21+Y21+AB21+AE21+AH21+AN21+AQ21+AT21+AW21+AZ21+BC21+BF21+AK21+BI21+BL21</f>
        <v/>
      </c>
      <c r="J21" s="1163" t="n"/>
      <c r="K21" s="889">
        <f>$M$3*L21</f>
        <v/>
      </c>
      <c r="L21" s="898" t="n"/>
      <c r="M21" s="891">
        <f>+L21*$F$21</f>
        <v/>
      </c>
      <c r="N21" s="889">
        <f>$P$3*O21</f>
        <v/>
      </c>
      <c r="O21" s="898" t="n"/>
      <c r="P21" s="891">
        <f>+O21*$F$21</f>
        <v/>
      </c>
      <c r="Q21" s="889">
        <f>$S$3*R21</f>
        <v/>
      </c>
      <c r="R21" s="890" t="n"/>
      <c r="S21" s="891">
        <f>+R21*$F$21</f>
        <v/>
      </c>
      <c r="T21" s="889">
        <f>$V$3*U21</f>
        <v/>
      </c>
      <c r="U21" s="890" t="n"/>
      <c r="V21" s="891">
        <f>+U21*$F$21</f>
        <v/>
      </c>
      <c r="W21" s="889">
        <f>$Y$3*X21</f>
        <v/>
      </c>
      <c r="X21" s="890" t="n"/>
      <c r="Y21" s="891">
        <f>+X21*$F$21</f>
        <v/>
      </c>
      <c r="Z21" s="889">
        <f>$AB$3*AA21</f>
        <v/>
      </c>
      <c r="AA21" s="890" t="n"/>
      <c r="AB21" s="891">
        <f>+AA21*$F$21</f>
        <v/>
      </c>
      <c r="AC21" s="889">
        <f>$AE$3*AD21</f>
        <v/>
      </c>
      <c r="AD21" s="890" t="n"/>
      <c r="AE21" s="891">
        <f>+AD21*$F$21</f>
        <v/>
      </c>
      <c r="AF21" s="889">
        <f>$AH$3*AG21</f>
        <v/>
      </c>
      <c r="AG21" s="890" t="n"/>
      <c r="AH21" s="891">
        <f>+AG21*$F$21</f>
        <v/>
      </c>
      <c r="AI21" s="889">
        <f>$AK$3*AJ21</f>
        <v/>
      </c>
      <c r="AJ21" s="890" t="n"/>
      <c r="AK21" s="891">
        <f>+AJ21*$F$21</f>
        <v/>
      </c>
      <c r="AL21" s="889">
        <f>$AN$3*AM21</f>
        <v/>
      </c>
      <c r="AM21" s="890" t="n"/>
      <c r="AN21" s="891">
        <f>+AM21*$F$21</f>
        <v/>
      </c>
      <c r="AO21" s="889">
        <f>$AQ$3*AP21</f>
        <v/>
      </c>
      <c r="AP21" s="890" t="n"/>
      <c r="AQ21" s="891">
        <f>+AP21*$F$21</f>
        <v/>
      </c>
      <c r="AR21" s="889">
        <f>$AT$3*AS21</f>
        <v/>
      </c>
      <c r="AS21" s="890" t="n"/>
      <c r="AT21" s="891">
        <f>+AS21*$F$21</f>
        <v/>
      </c>
      <c r="AU21" s="889">
        <f>$AW$3*AV21</f>
        <v/>
      </c>
      <c r="AV21" s="890" t="n">
        <v>94.16</v>
      </c>
      <c r="AW21" s="891">
        <f>+AV21*$F$21</f>
        <v/>
      </c>
      <c r="AX21" s="889">
        <f>$AZ$3*AY21</f>
        <v/>
      </c>
      <c r="AY21" s="890">
        <f>93.3*AZ3</f>
        <v/>
      </c>
      <c r="AZ21" s="891">
        <f>+AY21*$F$21</f>
        <v/>
      </c>
      <c r="BA21" s="889">
        <f>$BC$3*BB21</f>
        <v/>
      </c>
      <c r="BB21" s="890" t="n">
        <v>23.77</v>
      </c>
      <c r="BC21" s="891">
        <f>+BB21*$F$21</f>
        <v/>
      </c>
      <c r="BD21" s="889">
        <f>$BF$3*BE21</f>
        <v/>
      </c>
      <c r="BE21" s="890" t="n">
        <v>23.35</v>
      </c>
      <c r="BF21" s="891">
        <f>+BE21*$F$21</f>
        <v/>
      </c>
      <c r="BG21" s="889">
        <f>$BI$3*BH21</f>
        <v/>
      </c>
      <c r="BH21" s="898" t="n"/>
      <c r="BI21" s="891">
        <f>+BH21*$F$21</f>
        <v/>
      </c>
      <c r="BJ21" s="889">
        <f>$BL$3*BK21</f>
        <v/>
      </c>
      <c r="BK21" s="898" t="n"/>
      <c r="BL21" s="891">
        <f>+BK21*$F$21</f>
        <v/>
      </c>
      <c r="BN21" s="890" t="n"/>
      <c r="BO21" s="898" t="n"/>
      <c r="BP21">
        <f>SUM(BN21+BO21)</f>
        <v/>
      </c>
      <c r="BR21" s="890" t="n"/>
      <c r="BS21" s="890" t="n"/>
      <c r="BU21">
        <f>SUM(BR21+BS21)</f>
        <v/>
      </c>
      <c r="BW21" s="890" t="n"/>
      <c r="BX21">
        <f>BW21*3</f>
        <v/>
      </c>
    </row>
    <row r="22">
      <c r="D22" s="885" t="n">
        <v>13</v>
      </c>
      <c r="E22" s="836" t="inlineStr">
        <is>
          <t>Riel superior</t>
        </is>
      </c>
      <c r="F22" s="886">
        <f>6058.7*E5</f>
        <v/>
      </c>
      <c r="G22" s="887">
        <f>K22+N22+Q22+T22+W22+Z22+AC22+AF22+AI22+AL22+AO22+AR22+AU22+AX22+BA22+BD22+BG22+BJ22</f>
        <v/>
      </c>
      <c r="H22" s="887" t="inlineStr">
        <is>
          <t>und</t>
        </is>
      </c>
      <c r="I22" s="902">
        <f>+M22+P22+S22+V22+Y22+AB22+AE22+AH22+AN22+AQ22+AT22+AW22+AZ22+BC22+BF22+AK22+BI22+BL22</f>
        <v/>
      </c>
      <c r="K22" s="889">
        <f>$M$3*L22</f>
        <v/>
      </c>
      <c r="L22" s="903" t="n">
        <v>0</v>
      </c>
      <c r="M22" s="904">
        <f>+L22*$F$22</f>
        <v/>
      </c>
      <c r="N22" s="889">
        <f>$P$3*O22</f>
        <v/>
      </c>
      <c r="O22" s="903" t="n">
        <v>0</v>
      </c>
      <c r="P22" s="904">
        <f>+O22*$F$22</f>
        <v/>
      </c>
      <c r="Q22" s="889">
        <f>$S$3*R22</f>
        <v/>
      </c>
      <c r="R22" s="903" t="n">
        <v>0</v>
      </c>
      <c r="S22" s="904">
        <f>+R22*$F$22</f>
        <v/>
      </c>
      <c r="T22" s="889">
        <f>$V$3*U22</f>
        <v/>
      </c>
      <c r="U22" s="903" t="n">
        <v>0</v>
      </c>
      <c r="V22" s="904">
        <f>+U22*$F$22</f>
        <v/>
      </c>
      <c r="W22" s="889">
        <f>$Y$3*X22</f>
        <v/>
      </c>
      <c r="X22" s="903" t="n">
        <v>0</v>
      </c>
      <c r="Y22" s="904">
        <f>+X22*$F$22</f>
        <v/>
      </c>
      <c r="Z22" s="889">
        <f>$AB$3*AA22</f>
        <v/>
      </c>
      <c r="AA22" s="903" t="n">
        <v>0</v>
      </c>
      <c r="AB22" s="904">
        <f>+AA22*$F$22</f>
        <v/>
      </c>
      <c r="AC22" s="889">
        <f>$AE$3*AD22</f>
        <v/>
      </c>
      <c r="AD22" s="903" t="n">
        <v>0</v>
      </c>
      <c r="AE22" s="904">
        <f>+AD22*$F$22</f>
        <v/>
      </c>
      <c r="AF22" s="889">
        <f>$AH$3*AG22</f>
        <v/>
      </c>
      <c r="AG22" s="903">
        <f>1*AH3</f>
        <v/>
      </c>
      <c r="AH22" s="904">
        <f>+AG22*$F$22</f>
        <v/>
      </c>
      <c r="AI22" s="889">
        <f>$AK$3*AJ22</f>
        <v/>
      </c>
      <c r="AJ22" s="903">
        <f>1*AK3</f>
        <v/>
      </c>
      <c r="AK22" s="904">
        <f>+AJ22*$F$22</f>
        <v/>
      </c>
      <c r="AL22" s="889">
        <f>$AN$3*AM22</f>
        <v/>
      </c>
      <c r="AM22" s="903" t="n">
        <v>0</v>
      </c>
      <c r="AN22" s="904">
        <f>+AM22*$F$22</f>
        <v/>
      </c>
      <c r="AO22" s="889">
        <f>$AQ$3*AP22</f>
        <v/>
      </c>
      <c r="AP22" s="903" t="n">
        <v>0</v>
      </c>
      <c r="AQ22" s="904">
        <f>+AP22*$F$22</f>
        <v/>
      </c>
      <c r="AR22" s="889">
        <f>$AT$3*AS22</f>
        <v/>
      </c>
      <c r="AS22" s="903" t="n">
        <v>0</v>
      </c>
      <c r="AT22" s="904">
        <f>+AS22*$F$22</f>
        <v/>
      </c>
      <c r="AU22" s="889">
        <f>$AW$3*AV22</f>
        <v/>
      </c>
      <c r="AV22" s="903" t="n">
        <v>0</v>
      </c>
      <c r="AW22" s="904">
        <f>+AV22*$F$22</f>
        <v/>
      </c>
      <c r="AX22" s="889">
        <f>$AZ$3*AY22</f>
        <v/>
      </c>
      <c r="AY22" s="903">
        <f>0*AZ3</f>
        <v/>
      </c>
      <c r="AZ22" s="904">
        <f>+AY22*$F$22</f>
        <v/>
      </c>
      <c r="BA22" s="889">
        <f>$BC$3*BB22</f>
        <v/>
      </c>
      <c r="BB22" s="903" t="n">
        <v>0</v>
      </c>
      <c r="BC22" s="904">
        <f>+BB22*$F$22</f>
        <v/>
      </c>
      <c r="BD22" s="889">
        <f>$BF$3*BE22</f>
        <v/>
      </c>
      <c r="BE22" s="903" t="n">
        <v>0</v>
      </c>
      <c r="BF22" s="904">
        <f>+BE22*$F$22</f>
        <v/>
      </c>
      <c r="BG22" s="889">
        <f>$BI$3*BH22</f>
        <v/>
      </c>
      <c r="BH22" s="903" t="n">
        <v>0</v>
      </c>
      <c r="BI22" s="904">
        <f>+BH22*$F$22</f>
        <v/>
      </c>
      <c r="BJ22" s="889">
        <f>$BL$3*BK22</f>
        <v/>
      </c>
      <c r="BK22" s="903" t="n">
        <v>0</v>
      </c>
      <c r="BL22" s="904">
        <f>+BK22*$F$22</f>
        <v/>
      </c>
      <c r="BN22" s="903" t="n">
        <v>0</v>
      </c>
      <c r="BO22" s="903" t="n">
        <v>0</v>
      </c>
      <c r="BP22">
        <f>SUM(BN22+BO22)</f>
        <v/>
      </c>
      <c r="BR22" s="903" t="n">
        <v>0</v>
      </c>
      <c r="BS22" s="903" t="n">
        <v>0</v>
      </c>
      <c r="BU22">
        <f>SUM(BR22+BS22)</f>
        <v/>
      </c>
      <c r="BW22" s="903" t="n">
        <v>0</v>
      </c>
      <c r="BX22">
        <f>BW22*3</f>
        <v/>
      </c>
    </row>
    <row r="23">
      <c r="D23" s="905" t="n"/>
      <c r="F23" s="886" t="n"/>
      <c r="G23" s="887" t="n"/>
      <c r="H23" s="887" t="n"/>
      <c r="I23" s="906">
        <f>SUM(I10:I22)</f>
        <v/>
      </c>
      <c r="K23" s="907" t="n"/>
      <c r="M23" s="908">
        <f>+M9/$I$23</f>
        <v/>
      </c>
      <c r="N23" s="907" t="n"/>
      <c r="O23" s="909" t="n"/>
      <c r="P23" s="908">
        <f>+P9/$I$23</f>
        <v/>
      </c>
      <c r="Q23" s="907" t="n"/>
      <c r="R23" s="909" t="n"/>
      <c r="S23" s="908">
        <f>+S9/$I$23</f>
        <v/>
      </c>
      <c r="T23" s="907" t="n"/>
      <c r="U23" s="909" t="n"/>
      <c r="V23" s="908">
        <f>+V9/$I$23</f>
        <v/>
      </c>
      <c r="W23" s="907" t="n"/>
      <c r="X23" s="909" t="n"/>
      <c r="Y23" s="908">
        <f>+Y9/$I$23</f>
        <v/>
      </c>
      <c r="Z23" s="907" t="n"/>
      <c r="AA23" s="909" t="n"/>
      <c r="AB23" s="908">
        <f>+AB9/$I$23</f>
        <v/>
      </c>
      <c r="AC23" s="907" t="n"/>
      <c r="AD23" s="909" t="n"/>
      <c r="AE23" s="908">
        <f>+AE9/$I$23</f>
        <v/>
      </c>
      <c r="AF23" s="907" t="n"/>
      <c r="AG23" s="909" t="n"/>
      <c r="AH23" s="908">
        <f>+AH9/$I$23</f>
        <v/>
      </c>
      <c r="AI23" s="907" t="n"/>
      <c r="AJ23" s="909" t="n"/>
      <c r="AK23" s="908">
        <f>+AK9/$I$23</f>
        <v/>
      </c>
      <c r="AL23" s="907" t="n"/>
      <c r="AM23" s="909" t="n"/>
      <c r="AN23" s="908">
        <f>+AN9/$I$23</f>
        <v/>
      </c>
      <c r="AO23" s="907" t="n"/>
      <c r="AP23" s="909" t="n"/>
      <c r="AQ23" s="908">
        <f>+AQ9/$I$23</f>
        <v/>
      </c>
      <c r="AR23" s="907" t="n"/>
      <c r="AS23" s="909" t="n"/>
      <c r="AT23" s="908">
        <f>+AT9/$I$23</f>
        <v/>
      </c>
      <c r="AU23" s="907" t="n"/>
      <c r="AV23" s="909" t="n"/>
      <c r="AW23" s="908">
        <f>+AW9/$I$23</f>
        <v/>
      </c>
      <c r="AX23" s="907" t="n"/>
      <c r="AY23" s="909" t="n"/>
      <c r="AZ23" s="908">
        <f>+AZ9/$I$23</f>
        <v/>
      </c>
      <c r="BA23" s="907" t="n"/>
      <c r="BB23" s="909" t="n"/>
      <c r="BC23" s="908">
        <f>+BC9/$I$23</f>
        <v/>
      </c>
      <c r="BD23" s="907" t="n"/>
      <c r="BE23" s="909" t="n"/>
      <c r="BF23" s="908">
        <f>+BF9/$I$23</f>
        <v/>
      </c>
      <c r="BG23" s="907" t="n"/>
      <c r="BI23" s="908">
        <f>+BI9/$I$23</f>
        <v/>
      </c>
      <c r="BJ23" s="907" t="n"/>
      <c r="BK23" s="909" t="n"/>
      <c r="BL23" s="908">
        <f>+BL9/$I$23</f>
        <v/>
      </c>
    </row>
    <row r="24">
      <c r="D24" s="905" t="n"/>
      <c r="F24" s="886" t="n"/>
      <c r="G24" s="887" t="n"/>
      <c r="H24" s="887" t="n"/>
      <c r="K24" s="907" t="n"/>
      <c r="M24" s="908" t="n"/>
      <c r="N24" s="907" t="n"/>
      <c r="O24" s="909" t="n"/>
      <c r="P24" s="888" t="n"/>
      <c r="Q24" s="907" t="n"/>
      <c r="R24" s="909" t="n"/>
      <c r="S24" s="888" t="n"/>
      <c r="T24" s="907" t="n"/>
      <c r="U24" s="909" t="n"/>
      <c r="V24" s="888" t="n"/>
      <c r="W24" s="907" t="n"/>
      <c r="X24" s="909" t="n"/>
      <c r="Y24" s="888" t="n"/>
      <c r="Z24" s="907" t="n"/>
      <c r="AA24" s="909" t="n"/>
      <c r="AB24" s="888" t="n"/>
      <c r="AC24" s="907" t="n"/>
      <c r="AD24" s="909" t="n"/>
      <c r="AE24" s="888" t="n"/>
      <c r="AF24" s="907" t="n"/>
      <c r="AG24" s="909" t="n"/>
      <c r="AH24" s="888" t="n"/>
      <c r="AI24" s="907" t="n"/>
      <c r="AJ24" s="909" t="n"/>
      <c r="AK24" s="888" t="n"/>
      <c r="AL24" s="907" t="n"/>
      <c r="AM24" s="909" t="n"/>
      <c r="AN24" s="888" t="n"/>
      <c r="AO24" s="907" t="n"/>
      <c r="AP24" s="909" t="n"/>
      <c r="AQ24" s="888" t="n"/>
      <c r="AR24" s="907" t="n"/>
      <c r="AS24" s="909" t="n"/>
      <c r="AT24" s="888" t="n"/>
      <c r="AU24" s="907" t="n"/>
      <c r="AV24" s="909" t="n"/>
      <c r="AW24" s="888" t="n"/>
      <c r="AX24" s="907" t="n"/>
      <c r="AY24" s="909" t="n"/>
      <c r="AZ24" s="888" t="n"/>
      <c r="BA24" s="907" t="n"/>
      <c r="BB24" s="909" t="n"/>
      <c r="BC24" s="888" t="n"/>
      <c r="BD24" s="907" t="n"/>
      <c r="BE24" s="909" t="n"/>
      <c r="BF24" s="888" t="n"/>
      <c r="BG24" s="907" t="n"/>
      <c r="BI24" s="908" t="n"/>
      <c r="BJ24" s="907" t="n"/>
      <c r="BK24" s="909" t="n"/>
      <c r="BL24" s="888" t="n"/>
    </row>
    <row r="25">
      <c r="D25" s="905" t="n"/>
      <c r="K25" s="875" t="n"/>
      <c r="L25" s="910" t="inlineStr">
        <is>
          <t>Cantidad</t>
        </is>
      </c>
      <c r="M25" s="911" t="inlineStr">
        <is>
          <t>Total</t>
        </is>
      </c>
      <c r="N25" s="875" t="n"/>
      <c r="O25" s="911" t="inlineStr">
        <is>
          <t>Cantidad</t>
        </is>
      </c>
      <c r="P25" s="877" t="inlineStr">
        <is>
          <t>Total</t>
        </is>
      </c>
      <c r="Q25" s="875" t="n"/>
      <c r="R25" s="878" t="inlineStr">
        <is>
          <t>Cantidad</t>
        </is>
      </c>
      <c r="S25" s="877" t="inlineStr">
        <is>
          <t>Total</t>
        </is>
      </c>
      <c r="T25" s="875" t="n"/>
      <c r="U25" s="876" t="inlineStr">
        <is>
          <t>Cantidad</t>
        </is>
      </c>
      <c r="V25" s="877" t="inlineStr">
        <is>
          <t>Total</t>
        </is>
      </c>
      <c r="W25" s="875" t="n"/>
      <c r="X25" s="878" t="inlineStr">
        <is>
          <t>Cantidad</t>
        </is>
      </c>
      <c r="Y25" s="877" t="inlineStr">
        <is>
          <t>Total</t>
        </is>
      </c>
      <c r="Z25" s="875" t="n"/>
      <c r="AA25" s="876" t="inlineStr">
        <is>
          <t>Cantidad</t>
        </is>
      </c>
      <c r="AB25" s="877" t="inlineStr">
        <is>
          <t>Total</t>
        </is>
      </c>
      <c r="AC25" s="875" t="n"/>
      <c r="AD25" s="878" t="inlineStr">
        <is>
          <t>Cantidad</t>
        </is>
      </c>
      <c r="AE25" s="877" t="inlineStr">
        <is>
          <t>Total</t>
        </is>
      </c>
      <c r="AF25" s="875" t="n"/>
      <c r="AG25" s="878" t="inlineStr">
        <is>
          <t>Cantidad</t>
        </is>
      </c>
      <c r="AH25" s="877" t="inlineStr">
        <is>
          <t>Total</t>
        </is>
      </c>
      <c r="AI25" s="875" t="n"/>
      <c r="AJ25" s="878" t="inlineStr">
        <is>
          <t>Cantidad</t>
        </is>
      </c>
      <c r="AK25" s="877" t="inlineStr">
        <is>
          <t>Total</t>
        </is>
      </c>
      <c r="AL25" s="875" t="n"/>
      <c r="AM25" s="878" t="inlineStr">
        <is>
          <t>Cantidad</t>
        </is>
      </c>
      <c r="AN25" s="877" t="inlineStr">
        <is>
          <t>Total</t>
        </is>
      </c>
      <c r="AO25" s="875" t="n"/>
      <c r="AP25" s="878" t="inlineStr">
        <is>
          <t>Cantidad</t>
        </is>
      </c>
      <c r="AQ25" s="877" t="inlineStr">
        <is>
          <t>Total</t>
        </is>
      </c>
      <c r="AR25" s="875" t="n"/>
      <c r="AS25" s="878" t="inlineStr">
        <is>
          <t>Cantidad</t>
        </is>
      </c>
      <c r="AT25" s="877" t="inlineStr">
        <is>
          <t>Total</t>
        </is>
      </c>
      <c r="AU25" s="875" t="n"/>
      <c r="AV25" s="878" t="inlineStr">
        <is>
          <t>Cantidad</t>
        </is>
      </c>
      <c r="AW25" s="877" t="inlineStr">
        <is>
          <t>Total</t>
        </is>
      </c>
      <c r="AX25" s="875" t="n"/>
      <c r="AY25" s="878" t="inlineStr">
        <is>
          <t>Cantidad</t>
        </is>
      </c>
      <c r="AZ25" s="877" t="inlineStr">
        <is>
          <t>Total</t>
        </is>
      </c>
      <c r="BA25" s="875" t="n"/>
      <c r="BB25" s="878" t="inlineStr">
        <is>
          <t>Cantidad</t>
        </is>
      </c>
      <c r="BC25" s="877" t="inlineStr">
        <is>
          <t>Total</t>
        </is>
      </c>
      <c r="BD25" s="875" t="n"/>
      <c r="BE25" s="878" t="inlineStr">
        <is>
          <t>Cantidad</t>
        </is>
      </c>
      <c r="BF25" s="877" t="inlineStr">
        <is>
          <t>Total</t>
        </is>
      </c>
      <c r="BG25" s="875" t="n"/>
      <c r="BH25" s="876" t="inlineStr">
        <is>
          <t>Cantidad</t>
        </is>
      </c>
      <c r="BI25" s="877" t="inlineStr">
        <is>
          <t>Total</t>
        </is>
      </c>
      <c r="BJ25" s="875" t="n"/>
      <c r="BK25" s="878" t="inlineStr">
        <is>
          <t>Cantidad</t>
        </is>
      </c>
      <c r="BL25" s="877" t="inlineStr">
        <is>
          <t>Total</t>
        </is>
      </c>
    </row>
    <row r="26">
      <c r="D26" s="905" t="n"/>
      <c r="K26" s="881" t="n"/>
      <c r="L26" s="621" t="n"/>
      <c r="M26" s="912">
        <f>SUM(M27:M29)</f>
        <v/>
      </c>
      <c r="N26" s="881" t="n"/>
      <c r="P26" s="884">
        <f>SUM(P27:P29)</f>
        <v/>
      </c>
      <c r="Q26" s="881" t="n"/>
      <c r="R26" s="883" t="n"/>
      <c r="S26" s="884">
        <f>SUM(S27:S29)</f>
        <v/>
      </c>
      <c r="T26" s="881" t="n"/>
      <c r="U26" s="865" t="n"/>
      <c r="V26" s="884">
        <f>SUM(V27:V29)</f>
        <v/>
      </c>
      <c r="W26" s="881" t="n"/>
      <c r="X26" s="883" t="n"/>
      <c r="Y26" s="884">
        <f>SUM(Y27:Y29)</f>
        <v/>
      </c>
      <c r="Z26" s="881" t="n"/>
      <c r="AA26" s="865" t="n"/>
      <c r="AB26" s="884">
        <f>SUM(AB27:AB29)</f>
        <v/>
      </c>
      <c r="AC26" s="881" t="n"/>
      <c r="AD26" s="883" t="n"/>
      <c r="AE26" s="884">
        <f>SUM(AE27:AE29)</f>
        <v/>
      </c>
      <c r="AF26" s="881" t="n"/>
      <c r="AG26" s="883" t="n"/>
      <c r="AH26" s="884">
        <f>SUM(AH27:AH29)</f>
        <v/>
      </c>
      <c r="AI26" s="881" t="n"/>
      <c r="AJ26" s="883" t="n"/>
      <c r="AK26" s="884">
        <f>SUM(AK27:AK29)</f>
        <v/>
      </c>
      <c r="AL26" s="881" t="n"/>
      <c r="AM26" s="883" t="n"/>
      <c r="AN26" s="884">
        <f>SUM(AN27:AN29)</f>
        <v/>
      </c>
      <c r="AO26" s="881" t="n"/>
      <c r="AP26" s="883" t="n"/>
      <c r="AQ26" s="884">
        <f>SUM(AQ27:AQ29)</f>
        <v/>
      </c>
      <c r="AR26" s="881" t="n"/>
      <c r="AS26" s="883" t="n"/>
      <c r="AT26" s="884">
        <f>SUM(AT27:AT29)</f>
        <v/>
      </c>
      <c r="AU26" s="881" t="n"/>
      <c r="AV26" s="883" t="n"/>
      <c r="AW26" s="884">
        <f>SUM(AW27:AW29)</f>
        <v/>
      </c>
      <c r="AX26" s="881" t="n"/>
      <c r="AY26" s="883" t="n"/>
      <c r="AZ26" s="884">
        <f>SUM(AZ27:AZ29)</f>
        <v/>
      </c>
      <c r="BA26" s="881" t="n"/>
      <c r="BB26" s="883" t="n"/>
      <c r="BC26" s="884">
        <f>SUM(BC27:BC29)</f>
        <v/>
      </c>
      <c r="BD26" s="881" t="n"/>
      <c r="BE26" s="883" t="n"/>
      <c r="BF26" s="884">
        <f>SUM(BF27:BF29)</f>
        <v/>
      </c>
      <c r="BG26" s="881" t="n"/>
      <c r="BH26" s="865" t="n"/>
      <c r="BI26" s="884">
        <f>SUM(BI27:BI29)</f>
        <v/>
      </c>
      <c r="BJ26" s="881" t="n"/>
      <c r="BK26" s="883" t="n"/>
      <c r="BL26" s="884">
        <f>SUM(BL27:BL29)</f>
        <v/>
      </c>
    </row>
    <row r="27">
      <c r="D27" s="885" t="n">
        <v>12</v>
      </c>
      <c r="E27" s="836" t="inlineStr">
        <is>
          <t>Tapatorinillo</t>
        </is>
      </c>
      <c r="F27" s="886">
        <f>3100*E5</f>
        <v/>
      </c>
      <c r="G27" s="887" t="n">
        <v>3</v>
      </c>
      <c r="H27" s="887" t="inlineStr">
        <is>
          <t>bolsa</t>
        </is>
      </c>
      <c r="I27" s="888">
        <f>+G27*F27</f>
        <v/>
      </c>
      <c r="J27" s="895">
        <f>SUM(L27:BN27)-I27</f>
        <v/>
      </c>
      <c r="K27" s="913" t="n"/>
      <c r="M27" s="888">
        <f>+$I$27*M23</f>
        <v/>
      </c>
      <c r="N27" s="913" t="n"/>
      <c r="O27" s="914" t="n"/>
      <c r="P27" s="915">
        <f>+$I$27*P23</f>
        <v/>
      </c>
      <c r="Q27" s="913" t="n"/>
      <c r="R27" s="916" t="n"/>
      <c r="S27" s="915">
        <f>+$I$27*S23</f>
        <v/>
      </c>
      <c r="T27" s="913" t="n"/>
      <c r="U27" s="890" t="n"/>
      <c r="V27" s="888">
        <f>+$I$27*V23</f>
        <v/>
      </c>
      <c r="W27" s="913" t="n"/>
      <c r="X27" s="916" t="n"/>
      <c r="Y27" s="915">
        <f>+$I$27*Y23</f>
        <v/>
      </c>
      <c r="Z27" s="913" t="n"/>
      <c r="AA27" s="890" t="n"/>
      <c r="AB27" s="888">
        <f>+$I$27*AB23</f>
        <v/>
      </c>
      <c r="AC27" s="913" t="n"/>
      <c r="AD27" s="916" t="n"/>
      <c r="AE27" s="915">
        <f>+$I$27*AE23</f>
        <v/>
      </c>
      <c r="AF27" s="913" t="n"/>
      <c r="AG27" s="916" t="n"/>
      <c r="AH27" s="915">
        <f>+$I$27*AH23</f>
        <v/>
      </c>
      <c r="AI27" s="913" t="n"/>
      <c r="AJ27" s="916" t="n"/>
      <c r="AK27" s="915">
        <f>+$I$27*AK23</f>
        <v/>
      </c>
      <c r="AL27" s="913" t="n"/>
      <c r="AM27" s="916" t="n"/>
      <c r="AN27" s="915">
        <f>+$I$27*AN23</f>
        <v/>
      </c>
      <c r="AO27" s="913" t="n"/>
      <c r="AP27" s="916" t="n"/>
      <c r="AQ27" s="915">
        <f>+$I$27*AQ23</f>
        <v/>
      </c>
      <c r="AR27" s="913" t="n"/>
      <c r="AS27" s="916" t="n"/>
      <c r="AT27" s="915">
        <f>+$I$27*AT23</f>
        <v/>
      </c>
      <c r="AU27" s="913" t="n"/>
      <c r="AV27" s="916" t="n"/>
      <c r="AW27" s="915">
        <f>+$I$27*AW23</f>
        <v/>
      </c>
      <c r="AX27" s="913" t="n"/>
      <c r="AY27" s="916" t="n"/>
      <c r="AZ27" s="915">
        <f>+$I$27*AZ23</f>
        <v/>
      </c>
      <c r="BA27" s="913" t="n"/>
      <c r="BB27" s="916" t="n"/>
      <c r="BC27" s="915">
        <f>+$I$27*BC23</f>
        <v/>
      </c>
      <c r="BD27" s="913" t="n"/>
      <c r="BE27" s="916" t="n"/>
      <c r="BF27" s="915">
        <f>+$I$27*BF23</f>
        <v/>
      </c>
      <c r="BG27" s="913" t="n"/>
      <c r="BH27" s="890" t="n"/>
      <c r="BI27" s="891">
        <f>+$I$27*BI23</f>
        <v/>
      </c>
      <c r="BJ27" s="913" t="n"/>
      <c r="BK27" s="916" t="n"/>
      <c r="BL27" s="915">
        <f>+$I$27*BL23</f>
        <v/>
      </c>
    </row>
    <row r="28">
      <c r="D28" s="885" t="n">
        <v>15</v>
      </c>
      <c r="E28" s="836" t="inlineStr">
        <is>
          <t>Esquinero</t>
        </is>
      </c>
      <c r="F28" s="886">
        <f>600*E5</f>
        <v/>
      </c>
      <c r="G28" s="887" t="n">
        <v>12</v>
      </c>
      <c r="H28" s="887" t="inlineStr">
        <is>
          <t>und</t>
        </is>
      </c>
      <c r="I28" s="888">
        <f>+G28*F28</f>
        <v/>
      </c>
      <c r="J28" s="895">
        <f>SUM(L28:BN28)-I28</f>
        <v/>
      </c>
      <c r="K28" s="913" t="n"/>
      <c r="M28" s="888">
        <f>+$I$28*M23</f>
        <v/>
      </c>
      <c r="N28" s="913" t="n"/>
      <c r="P28" s="891">
        <f>+$I$28*P23</f>
        <v/>
      </c>
      <c r="Q28" s="913" t="n"/>
      <c r="R28" s="890" t="n"/>
      <c r="S28" s="891">
        <f>+$I$28*S23</f>
        <v/>
      </c>
      <c r="T28" s="913" t="n"/>
      <c r="U28" s="890" t="n"/>
      <c r="V28" s="888">
        <f>+$I$28*V23</f>
        <v/>
      </c>
      <c r="W28" s="913" t="n"/>
      <c r="X28" s="890" t="n"/>
      <c r="Y28" s="891">
        <f>+$I$28*Y23</f>
        <v/>
      </c>
      <c r="Z28" s="913" t="n"/>
      <c r="AA28" s="890" t="n"/>
      <c r="AB28" s="888">
        <f>+$I$28*AB23</f>
        <v/>
      </c>
      <c r="AC28" s="913" t="n"/>
      <c r="AD28" s="890" t="n"/>
      <c r="AE28" s="891">
        <f>+$I$28*AE23</f>
        <v/>
      </c>
      <c r="AF28" s="913" t="n"/>
      <c r="AG28" s="890" t="n"/>
      <c r="AH28" s="891">
        <f>+$I$28*AH23</f>
        <v/>
      </c>
      <c r="AI28" s="913" t="n"/>
      <c r="AJ28" s="890" t="n"/>
      <c r="AK28" s="891">
        <f>+$I$28*AK23</f>
        <v/>
      </c>
      <c r="AL28" s="913" t="n"/>
      <c r="AM28" s="890" t="n"/>
      <c r="AN28" s="891">
        <f>+$I$28*AN23</f>
        <v/>
      </c>
      <c r="AO28" s="913" t="n"/>
      <c r="AP28" s="890" t="n"/>
      <c r="AQ28" s="891">
        <f>+$I$28*AQ23</f>
        <v/>
      </c>
      <c r="AR28" s="913" t="n"/>
      <c r="AS28" s="890" t="n"/>
      <c r="AT28" s="891">
        <f>+$I$28*AT23</f>
        <v/>
      </c>
      <c r="AU28" s="913" t="n"/>
      <c r="AV28" s="890" t="n"/>
      <c r="AW28" s="891">
        <f>+$I$28*AW23</f>
        <v/>
      </c>
      <c r="AX28" s="913" t="n"/>
      <c r="AY28" s="890" t="n"/>
      <c r="AZ28" s="891">
        <f>+$I$28*AZ23</f>
        <v/>
      </c>
      <c r="BA28" s="913" t="n"/>
      <c r="BB28" s="890" t="n"/>
      <c r="BC28" s="891">
        <f>+$I$28*BC23</f>
        <v/>
      </c>
      <c r="BD28" s="913" t="n"/>
      <c r="BE28" s="890" t="n"/>
      <c r="BF28" s="891">
        <f>+$I$28*BF23</f>
        <v/>
      </c>
      <c r="BG28" s="913" t="n"/>
      <c r="BH28" s="890" t="n"/>
      <c r="BI28" s="888">
        <f>+$I$28*BI23</f>
        <v/>
      </c>
      <c r="BJ28" s="913" t="n"/>
      <c r="BK28" s="890" t="n"/>
      <c r="BL28" s="891">
        <f>+$I$28*BL23</f>
        <v/>
      </c>
    </row>
    <row r="29">
      <c r="D29" s="885" t="n">
        <v>16</v>
      </c>
      <c r="E29" s="836" t="inlineStr">
        <is>
          <t>Soporte transparente</t>
        </is>
      </c>
      <c r="F29" s="886">
        <f>(18.89*1.13)*100</f>
        <v/>
      </c>
      <c r="G29" s="887" t="n">
        <v>1</v>
      </c>
      <c r="H29" s="887" t="inlineStr">
        <is>
          <t>bolsa</t>
        </is>
      </c>
      <c r="I29" s="902">
        <f>+G29*F29</f>
        <v/>
      </c>
      <c r="J29" s="895">
        <f>SUM(L29:BN29)-I29</f>
        <v/>
      </c>
      <c r="K29" s="913" t="n"/>
      <c r="L29" s="917" t="n"/>
      <c r="M29" s="902">
        <f>+$I$29*M23</f>
        <v/>
      </c>
      <c r="N29" s="913" t="n"/>
      <c r="O29" s="917" t="n"/>
      <c r="P29" s="904">
        <f>+$I$29*P23</f>
        <v/>
      </c>
      <c r="Q29" s="913" t="n"/>
      <c r="R29" s="903" t="n"/>
      <c r="S29" s="904">
        <f>+$I$29*S23</f>
        <v/>
      </c>
      <c r="T29" s="913" t="n"/>
      <c r="U29" s="903" t="n"/>
      <c r="V29" s="902">
        <f>+$I$29*V23</f>
        <v/>
      </c>
      <c r="W29" s="913" t="n"/>
      <c r="X29" s="903" t="n"/>
      <c r="Y29" s="904">
        <f>+$I$29*Y23</f>
        <v/>
      </c>
      <c r="Z29" s="913" t="n"/>
      <c r="AA29" s="903" t="n"/>
      <c r="AB29" s="902">
        <f>+$I$29*AB23</f>
        <v/>
      </c>
      <c r="AC29" s="913" t="n"/>
      <c r="AD29" s="903" t="n"/>
      <c r="AE29" s="904">
        <f>+$I$29*AE23</f>
        <v/>
      </c>
      <c r="AF29" s="913" t="n"/>
      <c r="AG29" s="903" t="n"/>
      <c r="AH29" s="904">
        <f>+$I$29*AH23</f>
        <v/>
      </c>
      <c r="AI29" s="913" t="n"/>
      <c r="AJ29" s="903" t="n"/>
      <c r="AK29" s="904">
        <f>+$I$29*AK23</f>
        <v/>
      </c>
      <c r="AL29" s="913" t="n"/>
      <c r="AM29" s="903" t="n"/>
      <c r="AN29" s="904">
        <f>+$I$29*AN23</f>
        <v/>
      </c>
      <c r="AO29" s="913" t="n"/>
      <c r="AP29" s="903" t="n"/>
      <c r="AQ29" s="904">
        <f>+$I$29*AQ23</f>
        <v/>
      </c>
      <c r="AR29" s="913" t="n"/>
      <c r="AS29" s="903" t="n"/>
      <c r="AT29" s="904">
        <f>+$I$29*AT23</f>
        <v/>
      </c>
      <c r="AU29" s="913" t="n"/>
      <c r="AV29" s="903" t="n"/>
      <c r="AW29" s="904">
        <f>+$I$29*AW23</f>
        <v/>
      </c>
      <c r="AX29" s="913" t="n"/>
      <c r="AY29" s="903" t="n"/>
      <c r="AZ29" s="904">
        <f>+$I$29*AZ23</f>
        <v/>
      </c>
      <c r="BA29" s="913" t="n"/>
      <c r="BB29" s="903" t="n"/>
      <c r="BC29" s="904">
        <f>+$I$29*BC23</f>
        <v/>
      </c>
      <c r="BD29" s="913" t="n"/>
      <c r="BE29" s="903" t="n"/>
      <c r="BF29" s="904">
        <f>+$I$29*BF23</f>
        <v/>
      </c>
      <c r="BG29" s="913" t="n"/>
      <c r="BH29" s="903" t="n"/>
      <c r="BI29" s="904">
        <f>+$I$29*BI23</f>
        <v/>
      </c>
      <c r="BJ29" s="913" t="n"/>
      <c r="BK29" s="903" t="n"/>
      <c r="BL29" s="904">
        <f>+$I$29*BL23</f>
        <v/>
      </c>
    </row>
    <row r="30">
      <c r="D30" s="905" t="n"/>
      <c r="I30" s="906">
        <f>SUM(I27:I29)</f>
        <v/>
      </c>
    </row>
    <row r="31">
      <c r="D31" s="905" t="n"/>
      <c r="I31" s="918">
        <f>+I30+I23</f>
        <v/>
      </c>
      <c r="K31" s="875" t="n"/>
      <c r="L31" s="910" t="inlineStr">
        <is>
          <t>Cantidad</t>
        </is>
      </c>
      <c r="M31" s="911" t="inlineStr">
        <is>
          <t>Total</t>
        </is>
      </c>
      <c r="N31" s="875" t="n"/>
      <c r="O31" s="910" t="inlineStr">
        <is>
          <t>Cantidad</t>
        </is>
      </c>
      <c r="P31" s="877" t="inlineStr">
        <is>
          <t>Total</t>
        </is>
      </c>
      <c r="Q31" s="875" t="n"/>
      <c r="R31" s="876" t="inlineStr">
        <is>
          <t>Cantidad</t>
        </is>
      </c>
      <c r="S31" s="877" t="inlineStr">
        <is>
          <t>Total</t>
        </is>
      </c>
      <c r="T31" s="875" t="n"/>
      <c r="U31" s="876" t="inlineStr">
        <is>
          <t>Cantidad</t>
        </is>
      </c>
      <c r="V31" s="877" t="inlineStr">
        <is>
          <t>Total</t>
        </is>
      </c>
      <c r="W31" s="875" t="n"/>
      <c r="X31" s="876" t="inlineStr">
        <is>
          <t>Cantidad</t>
        </is>
      </c>
      <c r="Y31" s="877" t="inlineStr">
        <is>
          <t>Total</t>
        </is>
      </c>
      <c r="Z31" s="875" t="n"/>
      <c r="AA31" s="876" t="inlineStr">
        <is>
          <t>Cantidad</t>
        </is>
      </c>
      <c r="AB31" s="877" t="inlineStr">
        <is>
          <t>Total</t>
        </is>
      </c>
      <c r="AC31" s="875" t="n"/>
      <c r="AD31" s="878" t="inlineStr">
        <is>
          <t>Cantidad</t>
        </is>
      </c>
      <c r="AE31" s="877" t="inlineStr">
        <is>
          <t>Total</t>
        </is>
      </c>
      <c r="AF31" s="875" t="n"/>
      <c r="AG31" s="878" t="inlineStr">
        <is>
          <t>Cantidad</t>
        </is>
      </c>
      <c r="AH31" s="877" t="inlineStr">
        <is>
          <t>Total</t>
        </is>
      </c>
      <c r="AI31" s="875" t="n"/>
      <c r="AJ31" s="878" t="inlineStr">
        <is>
          <t>Cantidad</t>
        </is>
      </c>
      <c r="AK31" s="877" t="inlineStr">
        <is>
          <t>Total</t>
        </is>
      </c>
      <c r="AL31" s="875" t="n"/>
      <c r="AM31" s="876" t="inlineStr">
        <is>
          <t>Cantidad</t>
        </is>
      </c>
      <c r="AN31" s="877" t="inlineStr">
        <is>
          <t>Total</t>
        </is>
      </c>
      <c r="AO31" s="875" t="n"/>
      <c r="AP31" s="876" t="inlineStr">
        <is>
          <t>Cantidad</t>
        </is>
      </c>
      <c r="AQ31" s="877" t="inlineStr">
        <is>
          <t>Total</t>
        </is>
      </c>
      <c r="AR31" s="875" t="n"/>
      <c r="AS31" s="878" t="inlineStr">
        <is>
          <t>Cantidad</t>
        </is>
      </c>
      <c r="AT31" s="877" t="inlineStr">
        <is>
          <t>Total</t>
        </is>
      </c>
      <c r="AU31" s="875" t="n"/>
      <c r="AV31" s="878" t="inlineStr">
        <is>
          <t>Cantidad</t>
        </is>
      </c>
      <c r="AW31" s="877" t="inlineStr">
        <is>
          <t>Total</t>
        </is>
      </c>
      <c r="AX31" s="875" t="n"/>
      <c r="AY31" s="878" t="inlineStr">
        <is>
          <t>Cantidad</t>
        </is>
      </c>
      <c r="AZ31" s="877" t="inlineStr">
        <is>
          <t>Total</t>
        </is>
      </c>
      <c r="BA31" s="875" t="n"/>
      <c r="BB31" s="876" t="inlineStr">
        <is>
          <t>Cantidad</t>
        </is>
      </c>
      <c r="BC31" s="877" t="inlineStr">
        <is>
          <t>Total</t>
        </is>
      </c>
      <c r="BD31" s="875" t="n"/>
      <c r="BE31" s="876" t="inlineStr">
        <is>
          <t>Cantidad</t>
        </is>
      </c>
      <c r="BF31" s="877" t="inlineStr">
        <is>
          <t>Total</t>
        </is>
      </c>
      <c r="BG31" s="875" t="n"/>
      <c r="BH31" s="876" t="inlineStr">
        <is>
          <t>Cantidad</t>
        </is>
      </c>
      <c r="BI31" s="911" t="inlineStr">
        <is>
          <t>Total</t>
        </is>
      </c>
      <c r="BJ31" s="875" t="n"/>
      <c r="BK31" s="876" t="inlineStr">
        <is>
          <t>Cantidad</t>
        </is>
      </c>
      <c r="BL31" s="877" t="inlineStr">
        <is>
          <t>Total</t>
        </is>
      </c>
    </row>
    <row r="32">
      <c r="I32" s="906" t="n"/>
      <c r="K32" s="881" t="n"/>
      <c r="L32" s="621" t="n"/>
      <c r="M32" s="912">
        <f>+M33</f>
        <v/>
      </c>
      <c r="N32" s="881" t="n"/>
      <c r="O32" s="621" t="n"/>
      <c r="P32" s="882">
        <f>+P33</f>
        <v/>
      </c>
      <c r="Q32" s="881" t="n"/>
      <c r="R32" s="865" t="n"/>
      <c r="S32" s="882">
        <f>+S33</f>
        <v/>
      </c>
      <c r="T32" s="881" t="n"/>
      <c r="U32" s="865" t="n"/>
      <c r="V32" s="919">
        <f>+V33</f>
        <v/>
      </c>
      <c r="W32" s="881" t="n"/>
      <c r="X32" s="865" t="n"/>
      <c r="Y32" s="919">
        <f>+Y33</f>
        <v/>
      </c>
      <c r="Z32" s="881" t="n"/>
      <c r="AA32" s="865" t="n"/>
      <c r="AB32" s="919">
        <f>+AB33</f>
        <v/>
      </c>
      <c r="AC32" s="881" t="n"/>
      <c r="AD32" s="883" t="n"/>
      <c r="AE32" s="919">
        <f>+AE33</f>
        <v/>
      </c>
      <c r="AF32" s="881" t="n"/>
      <c r="AG32" s="883" t="n"/>
      <c r="AH32" s="919">
        <f>+AH33</f>
        <v/>
      </c>
      <c r="AI32" s="881" t="n"/>
      <c r="AJ32" s="883" t="n"/>
      <c r="AK32" s="919">
        <f>+AK33</f>
        <v/>
      </c>
      <c r="AL32" s="881" t="n"/>
      <c r="AM32" s="865" t="n"/>
      <c r="AN32" s="919">
        <f>+AN33</f>
        <v/>
      </c>
      <c r="AO32" s="881" t="n"/>
      <c r="AP32" s="865" t="n"/>
      <c r="AQ32" s="919">
        <f>+AQ33</f>
        <v/>
      </c>
      <c r="AR32" s="881" t="n"/>
      <c r="AS32" s="883" t="n"/>
      <c r="AT32" s="919">
        <f>+AT33</f>
        <v/>
      </c>
      <c r="AU32" s="881" t="n"/>
      <c r="AV32" s="883" t="n"/>
      <c r="AW32" s="919">
        <f>+AW33</f>
        <v/>
      </c>
      <c r="AX32" s="881" t="n"/>
      <c r="AY32" s="883" t="n"/>
      <c r="AZ32" s="919">
        <f>+AZ33</f>
        <v/>
      </c>
      <c r="BA32" s="881" t="n"/>
      <c r="BB32" s="865" t="n"/>
      <c r="BC32" s="919">
        <f>+BC33</f>
        <v/>
      </c>
      <c r="BD32" s="881" t="n"/>
      <c r="BE32" s="865" t="n"/>
      <c r="BF32" s="919">
        <f>+BF33</f>
        <v/>
      </c>
      <c r="BG32" s="881" t="n"/>
      <c r="BH32" s="865" t="n"/>
      <c r="BI32" s="912">
        <f>+BI33</f>
        <v/>
      </c>
      <c r="BJ32" s="881" t="n"/>
      <c r="BK32" s="865" t="n"/>
      <c r="BL32" s="882">
        <f>+BL33</f>
        <v/>
      </c>
    </row>
    <row r="33">
      <c r="D33" s="885" t="n">
        <v>17</v>
      </c>
      <c r="E33" s="836" t="inlineStr">
        <is>
          <t>Granito</t>
        </is>
      </c>
      <c r="F33" s="888">
        <f>150*E4</f>
        <v/>
      </c>
      <c r="G33" s="887">
        <f>K33+N33+Q33+T33+W33+Z33+AC33+AF33+AI33+AL33+AO33+AR33+AU33+AX33+BA33+BD33+BG33+BJ33</f>
        <v/>
      </c>
      <c r="H33" s="887" t="inlineStr">
        <is>
          <t>ml</t>
        </is>
      </c>
      <c r="I33" s="888">
        <f>+M33+P33+S33+V33+Y33+AB33+AE33+AH33+AN33+AQ33+AT33+AW33+AZ33+BC33+BF33</f>
        <v/>
      </c>
      <c r="K33" s="889">
        <f>$M$3*L33</f>
        <v/>
      </c>
      <c r="L33" s="1160">
        <f>+L4/100</f>
        <v/>
      </c>
      <c r="M33" s="902">
        <f>+$F$33*L33</f>
        <v/>
      </c>
      <c r="N33" s="889">
        <f>$P$3*O33</f>
        <v/>
      </c>
      <c r="O33" s="1165" t="n">
        <v>0</v>
      </c>
      <c r="P33" s="921">
        <f>+$F$33*O33</f>
        <v/>
      </c>
      <c r="Q33" s="889">
        <f>$S$3*R33</f>
        <v/>
      </c>
      <c r="R33" s="1166" t="n">
        <v>0</v>
      </c>
      <c r="S33" s="921">
        <f>+$F$33*R33</f>
        <v/>
      </c>
      <c r="T33" s="889">
        <f>$V$3*U33</f>
        <v/>
      </c>
      <c r="U33" s="1167">
        <f>+U4/100</f>
        <v/>
      </c>
      <c r="V33" s="921">
        <f>+$F$33*U33</f>
        <v/>
      </c>
      <c r="W33" s="889">
        <f>$Y$3*X33</f>
        <v/>
      </c>
      <c r="X33" s="1166" t="n">
        <v>0</v>
      </c>
      <c r="Y33" s="921">
        <f>+$F$33*X33</f>
        <v/>
      </c>
      <c r="Z33" s="889">
        <f>$AB$3*AA33</f>
        <v/>
      </c>
      <c r="AA33" s="1167">
        <f>+AA4/100</f>
        <v/>
      </c>
      <c r="AB33" s="921">
        <f>+$F$33*AA33</f>
        <v/>
      </c>
      <c r="AC33" s="889">
        <f>$AE$3*AD33</f>
        <v/>
      </c>
      <c r="AD33" s="1166" t="n">
        <v>0</v>
      </c>
      <c r="AE33" s="921">
        <f>+$F$33*AD33</f>
        <v/>
      </c>
      <c r="AF33" s="889">
        <f>$AH$3*AG33</f>
        <v/>
      </c>
      <c r="AG33" s="1166" t="n">
        <v>0</v>
      </c>
      <c r="AH33" s="921">
        <f>+$F$33*AG33</f>
        <v/>
      </c>
      <c r="AI33" s="889">
        <f>$AK$3*AJ33</f>
        <v/>
      </c>
      <c r="AJ33" s="1166" t="n">
        <v>0</v>
      </c>
      <c r="AK33" s="921">
        <f>+$F$33*AJ33</f>
        <v/>
      </c>
      <c r="AL33" s="889">
        <f>$AN$3*AM33</f>
        <v/>
      </c>
      <c r="AM33" s="1167">
        <f>+AM4/100</f>
        <v/>
      </c>
      <c r="AN33" s="921">
        <f>+$F$33*AM33</f>
        <v/>
      </c>
      <c r="AO33" s="889">
        <f>$AQ$3*AP33</f>
        <v/>
      </c>
      <c r="AP33" s="1167">
        <f>+(AP4/100)+0.5</f>
        <v/>
      </c>
      <c r="AQ33" s="921">
        <f>+$F$33*AP33</f>
        <v/>
      </c>
      <c r="AR33" s="889">
        <f>$AT$3*AS33</f>
        <v/>
      </c>
      <c r="AS33" s="1166" t="n">
        <v>0</v>
      </c>
      <c r="AT33" s="921">
        <f>+$F$33*AS33</f>
        <v/>
      </c>
      <c r="AU33" s="889">
        <f>$AW$3*AV33</f>
        <v/>
      </c>
      <c r="AV33" s="1166" t="n">
        <v>0</v>
      </c>
      <c r="AW33" s="921">
        <f>+$F$33*AV33</f>
        <v/>
      </c>
      <c r="AX33" s="889">
        <f>$AZ$3*AY33</f>
        <v/>
      </c>
      <c r="AY33" s="1166" t="n">
        <v>0</v>
      </c>
      <c r="AZ33" s="921">
        <f>+$F$33*AY33</f>
        <v/>
      </c>
      <c r="BA33" s="889">
        <f>$BC$3*BB33</f>
        <v/>
      </c>
      <c r="BB33" s="1168">
        <f>+(BB4/100)+0.5</f>
        <v/>
      </c>
      <c r="BC33" s="921">
        <f>+$F$33*BB33</f>
        <v/>
      </c>
      <c r="BD33" s="889">
        <f>$BF$3*BE33</f>
        <v/>
      </c>
      <c r="BE33" s="1168">
        <f>+(BE4/100)+0.5</f>
        <v/>
      </c>
      <c r="BF33" s="921">
        <f>+$F$33*BE33</f>
        <v/>
      </c>
      <c r="BG33" s="889">
        <f>$BI$3*BH33</f>
        <v/>
      </c>
      <c r="BH33" s="1167">
        <f>+BH4/100</f>
        <v/>
      </c>
      <c r="BI33" s="921">
        <f>+$F$33*BH33</f>
        <v/>
      </c>
      <c r="BJ33" s="889">
        <f>$BL$3*BK33</f>
        <v/>
      </c>
      <c r="BK33" s="1166" t="n">
        <v>0</v>
      </c>
      <c r="BL33" s="921">
        <f>+$F$33*BK33</f>
        <v/>
      </c>
    </row>
    <row r="34">
      <c r="D34" s="905" t="n"/>
      <c r="I34" s="925">
        <f>+I33+I31</f>
        <v/>
      </c>
      <c r="K34" s="881" t="n"/>
      <c r="L34" s="926" t="inlineStr">
        <is>
          <t>COSTO C/ GRANITO</t>
        </is>
      </c>
      <c r="M34" s="927">
        <f>+M6+M32</f>
        <v/>
      </c>
      <c r="N34" s="881" t="n"/>
      <c r="O34" s="888" t="n"/>
      <c r="P34" s="888" t="n"/>
      <c r="Q34" s="881" t="n"/>
      <c r="S34" s="888" t="n"/>
      <c r="T34" s="881" t="n"/>
      <c r="U34" s="928" t="inlineStr">
        <is>
          <t>COSTO C/ GRANITO</t>
        </is>
      </c>
      <c r="V34" s="929">
        <f>+V6+V32</f>
        <v/>
      </c>
      <c r="W34" s="881" t="n"/>
      <c r="Y34" s="888" t="n"/>
      <c r="Z34" s="881" t="n"/>
      <c r="AA34" s="928" t="inlineStr">
        <is>
          <t>COSTO C/ GRANITO</t>
        </is>
      </c>
      <c r="AB34" s="929">
        <f>+AB6+AB32</f>
        <v/>
      </c>
      <c r="AC34" s="881" t="n"/>
      <c r="AE34" s="888" t="n"/>
      <c r="AF34" s="881" t="n"/>
      <c r="AH34" s="888" t="n"/>
      <c r="AI34" s="881" t="n"/>
      <c r="AK34" s="888" t="n"/>
      <c r="AL34" s="881" t="n"/>
      <c r="AM34" s="928" t="inlineStr">
        <is>
          <t>COSTO C/ GRANITO</t>
        </is>
      </c>
      <c r="AN34" s="929">
        <f>+AN6+AN32</f>
        <v/>
      </c>
      <c r="AO34" s="881" t="n"/>
      <c r="AP34" s="928" t="inlineStr">
        <is>
          <t>COSTO C/ GRANITO</t>
        </is>
      </c>
      <c r="AQ34" s="929">
        <f>+AQ6+AQ32</f>
        <v/>
      </c>
      <c r="AR34" s="881" t="n"/>
      <c r="AT34" s="888" t="n"/>
      <c r="AU34" s="881" t="n"/>
      <c r="AW34" s="888" t="n"/>
      <c r="AX34" s="881" t="n"/>
      <c r="AZ34" s="888" t="n"/>
      <c r="BA34" s="881" t="n"/>
      <c r="BB34" s="928" t="inlineStr">
        <is>
          <t>COSTO C/ GRANITO</t>
        </is>
      </c>
      <c r="BC34" s="929">
        <f>+BC6+BC32</f>
        <v/>
      </c>
      <c r="BD34" s="881" t="n"/>
      <c r="BE34" s="928" t="inlineStr">
        <is>
          <t>COSTO C/ GRANITO</t>
        </is>
      </c>
      <c r="BF34" s="929">
        <f>+BF6+BF32</f>
        <v/>
      </c>
      <c r="BG34" s="881" t="n"/>
      <c r="BH34" s="928" t="inlineStr">
        <is>
          <t>COSTO C/ GRANITO</t>
        </is>
      </c>
      <c r="BI34" s="929">
        <f>+BI6+BI32</f>
        <v/>
      </c>
      <c r="BJ34" s="881" t="n"/>
      <c r="BL34" s="888" t="n"/>
    </row>
    <row r="35">
      <c r="D35" s="90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556" t="inlineStr">
        <is>
          <t>Casa</t>
        </is>
      </c>
      <c r="B1" s="556" t="inlineStr">
        <is>
          <t>Modelo</t>
        </is>
      </c>
      <c r="C1" s="556" t="inlineStr">
        <is>
          <t>Area cerrada</t>
        </is>
      </c>
      <c r="D1" s="556" t="inlineStr">
        <is>
          <t>Costo SIN IVA</t>
        </is>
      </c>
      <c r="E1" s="556" t="inlineStr">
        <is>
          <t xml:space="preserve"> Monto IVA</t>
        </is>
      </c>
      <c r="F1" s="556" t="inlineStr">
        <is>
          <t>Costo total</t>
        </is>
      </c>
    </row>
    <row r="2">
      <c r="A2" s="930" t="n">
        <v>1.01</v>
      </c>
      <c r="B2" t="inlineStr">
        <is>
          <t>Santorini Azotea</t>
        </is>
      </c>
      <c r="D2" s="931" t="n">
        <v>1626000</v>
      </c>
      <c r="E2" s="931">
        <f>D2*0.13</f>
        <v/>
      </c>
      <c r="F2" s="931">
        <f>E2+D2</f>
        <v/>
      </c>
    </row>
    <row r="3">
      <c r="A3" s="930" t="n">
        <v>6.07</v>
      </c>
      <c r="B3" t="inlineStr">
        <is>
          <t>Tebas Azotea</t>
        </is>
      </c>
      <c r="D3" s="931">
        <f>929154.87</f>
        <v/>
      </c>
      <c r="E3" s="931">
        <f>D3*0.13</f>
        <v/>
      </c>
      <c r="F3" s="931">
        <f>E3+D3</f>
        <v/>
      </c>
    </row>
    <row r="4">
      <c r="A4" s="930" t="n">
        <v>6.08</v>
      </c>
      <c r="B4" t="inlineStr">
        <is>
          <t>Caspe Azotea</t>
        </is>
      </c>
      <c r="D4" s="931" t="n">
        <v>1163117.43</v>
      </c>
      <c r="E4" s="931">
        <f>D4*0.13</f>
        <v/>
      </c>
      <c r="F4" s="931">
        <f>E4+D4</f>
        <v/>
      </c>
    </row>
    <row r="5">
      <c r="A5" s="930" t="inlineStr">
        <is>
          <t>B.26</t>
        </is>
      </c>
      <c r="B5" t="inlineStr">
        <is>
          <t>Ikaria Azotea</t>
        </is>
      </c>
      <c r="D5" s="931" t="n">
        <v>745800</v>
      </c>
      <c r="E5" s="931">
        <f>D5*0.13</f>
        <v/>
      </c>
      <c r="F5" s="931">
        <f>E5+D5</f>
        <v/>
      </c>
    </row>
    <row r="6">
      <c r="A6" t="inlineStr">
        <is>
          <t>B.27</t>
        </is>
      </c>
      <c r="B6" t="inlineStr">
        <is>
          <t>Estella Azotea</t>
        </is>
      </c>
      <c r="D6" s="931" t="n">
        <v>1364280</v>
      </c>
      <c r="E6" s="931">
        <f>D6*0.13</f>
        <v/>
      </c>
      <c r="F6" s="931">
        <f>E6+D6</f>
        <v/>
      </c>
    </row>
    <row r="7">
      <c r="A7" t="inlineStr">
        <is>
          <t>B.29</t>
        </is>
      </c>
      <c r="B7" t="inlineStr">
        <is>
          <t>Santorini Azotea</t>
        </is>
      </c>
      <c r="D7" s="931" t="n">
        <v>1326340</v>
      </c>
      <c r="E7" s="931">
        <f>D7*0.13</f>
        <v/>
      </c>
      <c r="F7" s="931">
        <f>E7+D7</f>
        <v/>
      </c>
    </row>
    <row r="8">
      <c r="A8" s="930" t="inlineStr">
        <is>
          <t>B.30</t>
        </is>
      </c>
      <c r="B8" t="inlineStr">
        <is>
          <t>Santorini Azotea</t>
        </is>
      </c>
      <c r="D8" s="931" t="n">
        <v>1046820</v>
      </c>
      <c r="E8" s="931">
        <f>D8*0.13</f>
        <v/>
      </c>
      <c r="F8" s="931">
        <f>E8+D8</f>
        <v/>
      </c>
    </row>
    <row r="9">
      <c r="A9" s="930" t="inlineStr">
        <is>
          <t>B.31</t>
        </is>
      </c>
      <c r="B9" t="inlineStr">
        <is>
          <t>Santorini Azotea</t>
        </is>
      </c>
      <c r="D9" s="931" t="n">
        <v>1205390</v>
      </c>
      <c r="E9" s="931">
        <f>D9*0.13</f>
        <v/>
      </c>
      <c r="F9" s="931">
        <f>E9+D9</f>
        <v/>
      </c>
    </row>
    <row r="10">
      <c r="A10" s="930" t="inlineStr">
        <is>
          <t>B.32</t>
        </is>
      </c>
      <c r="B10" t="inlineStr">
        <is>
          <t>Santorini Azotea</t>
        </is>
      </c>
      <c r="D10" s="931" t="n">
        <v>1200735</v>
      </c>
      <c r="E10" s="931">
        <f>D10*0.13</f>
        <v/>
      </c>
      <c r="F10" s="931">
        <f>E10+D10</f>
        <v/>
      </c>
    </row>
    <row r="11">
      <c r="A11" s="930" t="inlineStr">
        <is>
          <t>B.33</t>
        </is>
      </c>
      <c r="B11" t="inlineStr">
        <is>
          <t>Estella Azotea</t>
        </is>
      </c>
      <c r="D11" s="931" t="n">
        <v>1377970</v>
      </c>
      <c r="E11" s="931">
        <f>D11*0.13</f>
        <v/>
      </c>
      <c r="F11" s="931">
        <f>E11+D11</f>
        <v/>
      </c>
    </row>
    <row r="12">
      <c r="A12" s="930" t="inlineStr">
        <is>
          <t>B.34</t>
        </is>
      </c>
      <c r="B12" t="inlineStr">
        <is>
          <t>Milo Azotea</t>
        </is>
      </c>
      <c r="D12" s="931" t="n">
        <v>688200</v>
      </c>
      <c r="E12" s="931">
        <f>D12*0.13</f>
        <v/>
      </c>
      <c r="F12" s="931">
        <f>E12+D12</f>
        <v/>
      </c>
    </row>
    <row r="13">
      <c r="A13" s="930" t="inlineStr">
        <is>
          <t>C.01</t>
        </is>
      </c>
      <c r="B13" t="inlineStr">
        <is>
          <t>Zante Azotea</t>
        </is>
      </c>
      <c r="D13" s="931" t="n">
        <v>1172850</v>
      </c>
      <c r="E13" s="931">
        <f>D13*0.13</f>
        <v/>
      </c>
      <c r="F13" s="931">
        <f>E13+D13</f>
        <v/>
      </c>
    </row>
    <row r="14">
      <c r="A14" s="930" t="inlineStr">
        <is>
          <t>C.02</t>
        </is>
      </c>
      <c r="B14" t="inlineStr">
        <is>
          <t>Milo Azotea</t>
        </is>
      </c>
      <c r="D14" s="931" t="n">
        <v>673700</v>
      </c>
      <c r="E14" s="931">
        <f>D14*0.13</f>
        <v/>
      </c>
      <c r="F14" s="931">
        <f>E14+D14</f>
        <v/>
      </c>
    </row>
    <row r="15">
      <c r="A15" s="930" t="inlineStr">
        <is>
          <t>C.03</t>
        </is>
      </c>
      <c r="B15" t="inlineStr">
        <is>
          <t>Estella Azotea</t>
        </is>
      </c>
      <c r="D15" s="931" t="n">
        <v>1136240</v>
      </c>
      <c r="E15" s="931">
        <f>D15*0.13</f>
        <v/>
      </c>
      <c r="F15" s="931">
        <f>E15+D15</f>
        <v/>
      </c>
    </row>
    <row r="16">
      <c r="A16" s="930" t="inlineStr">
        <is>
          <t>C.04</t>
        </is>
      </c>
      <c r="B16" t="inlineStr">
        <is>
          <t>Milo Azotea</t>
        </is>
      </c>
      <c r="D16" s="931" t="n">
        <v>699850</v>
      </c>
      <c r="E16" s="931">
        <f>D16*0.13</f>
        <v/>
      </c>
      <c r="F16" s="931">
        <f>E16+D16</f>
        <v/>
      </c>
    </row>
    <row r="17">
      <c r="A17" s="930" t="inlineStr">
        <is>
          <t>C.07</t>
        </is>
      </c>
      <c r="B17" t="inlineStr">
        <is>
          <t>Estella Azotea</t>
        </is>
      </c>
      <c r="D17" s="931" t="n">
        <v>1392690</v>
      </c>
      <c r="E17" s="931">
        <f>D17*0.13</f>
        <v/>
      </c>
      <c r="F17" s="931">
        <f>E17+D17</f>
        <v/>
      </c>
    </row>
    <row r="18">
      <c r="A18" s="930" t="inlineStr">
        <is>
          <t>C.08</t>
        </is>
      </c>
      <c r="B18" t="inlineStr">
        <is>
          <t>Estella Azotea</t>
        </is>
      </c>
      <c r="D18" s="931" t="n">
        <v>1290135</v>
      </c>
      <c r="E18" s="931">
        <f>D18*0.13</f>
        <v/>
      </c>
      <c r="F18" s="931">
        <f>E18+D18</f>
        <v/>
      </c>
    </row>
    <row r="19">
      <c r="A19" s="930" t="inlineStr">
        <is>
          <t>C.10</t>
        </is>
      </c>
      <c r="B19" t="inlineStr">
        <is>
          <t>Estella Azotea</t>
        </is>
      </c>
      <c r="D19" s="931" t="n">
        <v>988955</v>
      </c>
      <c r="E19" s="931">
        <f>D19*0.13</f>
        <v/>
      </c>
      <c r="F19" s="931">
        <f>E19+D19</f>
        <v/>
      </c>
    </row>
    <row r="20">
      <c r="A20" s="930" t="inlineStr">
        <is>
          <t>C.12</t>
        </is>
      </c>
      <c r="B20" t="inlineStr">
        <is>
          <t>Ikaria Techo</t>
        </is>
      </c>
      <c r="D20" s="931" t="n">
        <v>855421.3</v>
      </c>
      <c r="E20" s="931">
        <f>D20*0.13</f>
        <v/>
      </c>
      <c r="F20" s="931">
        <f>E20+D20</f>
        <v/>
      </c>
    </row>
    <row r="21">
      <c r="A21" s="930" t="inlineStr">
        <is>
          <t>C.13</t>
        </is>
      </c>
      <c r="B21" t="inlineStr">
        <is>
          <t>Estella Azotea</t>
        </is>
      </c>
      <c r="D21" s="931" t="n">
        <v>1355090</v>
      </c>
      <c r="E21" s="931">
        <f>D21*0.13</f>
        <v/>
      </c>
      <c r="F21" s="931">
        <f>E21+D21</f>
        <v/>
      </c>
    </row>
    <row r="22">
      <c r="A22" s="930" t="inlineStr">
        <is>
          <t>C.14</t>
        </is>
      </c>
      <c r="B22" t="inlineStr">
        <is>
          <t>Estella Azotea</t>
        </is>
      </c>
      <c r="D22" s="931" t="n">
        <v>1243545</v>
      </c>
      <c r="E22" s="931">
        <f>D22*0.13</f>
        <v/>
      </c>
      <c r="F22" s="931">
        <f>E22+D22</f>
        <v/>
      </c>
    </row>
    <row r="23">
      <c r="A23" s="930" t="inlineStr">
        <is>
          <t>C.15</t>
        </is>
      </c>
      <c r="B23" t="inlineStr">
        <is>
          <t>Tebas Techo</t>
        </is>
      </c>
      <c r="D23" s="931" t="n">
        <v>671530</v>
      </c>
      <c r="E23" s="931">
        <f>D23*0.13</f>
        <v/>
      </c>
      <c r="F23" s="931">
        <f>E23+D23</f>
        <v/>
      </c>
    </row>
    <row r="24">
      <c r="A24" s="930" t="inlineStr">
        <is>
          <t>C.17</t>
        </is>
      </c>
      <c r="B24" t="inlineStr">
        <is>
          <t>Zante Azotea</t>
        </is>
      </c>
      <c r="D24" s="931" t="n">
        <v>1049500</v>
      </c>
      <c r="E24" s="931">
        <f>D24*0.13</f>
        <v/>
      </c>
      <c r="F24" s="931">
        <f>E24+D24</f>
        <v/>
      </c>
    </row>
    <row r="25">
      <c r="A25" s="930" t="inlineStr">
        <is>
          <t>C.19</t>
        </is>
      </c>
      <c r="B25" t="inlineStr">
        <is>
          <t>Santorini Azotea</t>
        </is>
      </c>
      <c r="D25" s="931" t="n">
        <v>1219490</v>
      </c>
      <c r="E25" s="931">
        <f>D25*0.13</f>
        <v/>
      </c>
      <c r="F25" s="931">
        <f>E25+D25</f>
        <v/>
      </c>
    </row>
    <row r="26">
      <c r="A26" s="930" t="inlineStr">
        <is>
          <t>C.20</t>
        </is>
      </c>
      <c r="B26" t="inlineStr">
        <is>
          <t>Santorini Azotea</t>
        </is>
      </c>
      <c r="D26" s="931" t="n">
        <v>1200850</v>
      </c>
      <c r="E26" s="931">
        <f>D26*0.13</f>
        <v/>
      </c>
      <c r="F26" s="931">
        <f>E26+D26</f>
        <v/>
      </c>
    </row>
    <row r="27">
      <c r="A27" s="930" t="inlineStr">
        <is>
          <t>C.21</t>
        </is>
      </c>
      <c r="B27" t="inlineStr">
        <is>
          <t>Zante Azotea</t>
        </is>
      </c>
      <c r="D27" s="931" t="n">
        <v>948460</v>
      </c>
      <c r="E27" s="931">
        <f>D27*0.13</f>
        <v/>
      </c>
      <c r="F27" s="931">
        <f>E27+D27</f>
        <v/>
      </c>
    </row>
    <row r="28">
      <c r="A28" s="930" t="inlineStr">
        <is>
          <t>C.22</t>
        </is>
      </c>
      <c r="B28" t="inlineStr">
        <is>
          <t>Zante Azotea</t>
        </is>
      </c>
      <c r="D28" s="931" t="n">
        <v>903580</v>
      </c>
      <c r="E28" s="931">
        <f>D28*0.13</f>
        <v/>
      </c>
      <c r="F28" s="931">
        <f>E28+D28</f>
        <v/>
      </c>
    </row>
    <row r="29">
      <c r="A29" s="930" t="inlineStr">
        <is>
          <t>C.24</t>
        </is>
      </c>
      <c r="B29" t="inlineStr">
        <is>
          <t>Estella Techo</t>
        </is>
      </c>
      <c r="D29" s="931" t="n">
        <v>1218725</v>
      </c>
      <c r="E29" s="931">
        <f>D29*0.13</f>
        <v/>
      </c>
      <c r="F29" s="931">
        <f>E29+D29</f>
        <v/>
      </c>
    </row>
    <row r="30">
      <c r="A30" s="930" t="inlineStr">
        <is>
          <t>D.14</t>
        </is>
      </c>
      <c r="B30" t="inlineStr">
        <is>
          <t>Ikaria Techo</t>
        </is>
      </c>
      <c r="D30" s="931" t="n">
        <v>738410</v>
      </c>
      <c r="E30" s="931">
        <f>D30*0.13</f>
        <v/>
      </c>
      <c r="F30" s="931">
        <f>E30+D30</f>
        <v/>
      </c>
    </row>
    <row r="31">
      <c r="A31" s="930" t="inlineStr">
        <is>
          <t>D.16</t>
        </is>
      </c>
      <c r="B31" t="inlineStr">
        <is>
          <t>Ikaria Techo</t>
        </is>
      </c>
      <c r="D31" s="931" t="n">
        <v>731475</v>
      </c>
      <c r="E31" s="931">
        <f>D31*0.13</f>
        <v/>
      </c>
      <c r="F31" s="931">
        <f>E31+D31</f>
        <v/>
      </c>
    </row>
    <row r="32">
      <c r="A32" s="930" t="inlineStr">
        <is>
          <t>D.17</t>
        </is>
      </c>
      <c r="B32" t="inlineStr">
        <is>
          <t>Ikaria Azotea</t>
        </is>
      </c>
      <c r="D32" s="931" t="n">
        <v>722520</v>
      </c>
      <c r="E32" s="931">
        <f>D32*0.13</f>
        <v/>
      </c>
      <c r="F32" s="931">
        <f>E32+D32</f>
        <v/>
      </c>
    </row>
    <row r="33">
      <c r="A33" s="930" t="inlineStr">
        <is>
          <t>D.19</t>
        </is>
      </c>
      <c r="B33" t="inlineStr">
        <is>
          <t>Milo Techo</t>
        </is>
      </c>
      <c r="D33" s="931" t="n">
        <v>668540</v>
      </c>
      <c r="E33" s="931">
        <f>D33*0.13</f>
        <v/>
      </c>
      <c r="F33" s="931">
        <f>E33+D33</f>
        <v/>
      </c>
    </row>
    <row r="34">
      <c r="A34" s="930" t="inlineStr">
        <is>
          <t>D.21</t>
        </is>
      </c>
      <c r="B34" t="inlineStr">
        <is>
          <t>Ikaria Azotea</t>
        </is>
      </c>
      <c r="D34" s="931" t="n">
        <v>738410</v>
      </c>
      <c r="E34" s="931">
        <f>D34*0.13</f>
        <v/>
      </c>
      <c r="F34" s="931">
        <f>E34+D34</f>
        <v/>
      </c>
    </row>
    <row r="35">
      <c r="A35" s="930" t="inlineStr">
        <is>
          <t>D.23</t>
        </is>
      </c>
      <c r="B35" t="inlineStr">
        <is>
          <t>Ikaria Azotea</t>
        </is>
      </c>
      <c r="D35" s="931" t="n">
        <v>702010</v>
      </c>
      <c r="E35" s="931">
        <f>D35*0.13</f>
        <v/>
      </c>
      <c r="F35" s="931">
        <f>E35+D35</f>
        <v/>
      </c>
    </row>
    <row r="36">
      <c r="A36" s="930" t="inlineStr">
        <is>
          <t>F.12</t>
        </is>
      </c>
      <c r="B36" t="inlineStr">
        <is>
          <t>Tebas Azotea</t>
        </is>
      </c>
      <c r="D36" s="931" t="n">
        <v>887740</v>
      </c>
      <c r="E36" s="931">
        <f>D36*0.13</f>
        <v/>
      </c>
      <c r="F36" s="931">
        <f>E36+D36</f>
        <v/>
      </c>
    </row>
    <row r="37">
      <c r="A37" s="930" t="inlineStr">
        <is>
          <t>F.16</t>
        </is>
      </c>
      <c r="B37" t="inlineStr">
        <is>
          <t>Tebas Techo</t>
        </is>
      </c>
      <c r="D37" s="931" t="n">
        <v>831710</v>
      </c>
      <c r="E37" s="931">
        <f>D37*0.13</f>
        <v/>
      </c>
      <c r="F37" s="931">
        <f>E37+D37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80"/>
  <sheetViews>
    <sheetView workbookViewId="0">
      <selection activeCell="A1" sqref="A1"/>
    </sheetView>
  </sheetViews>
  <sheetFormatPr baseColWidth="8" defaultRowHeight="15"/>
  <sheetData>
    <row r="1">
      <c r="A1" s="932" t="inlineStr">
        <is>
          <t xml:space="preserve">CODIGO </t>
        </is>
      </c>
      <c r="B1" s="933" t="inlineStr">
        <is>
          <t xml:space="preserve">DESCRIPCION </t>
        </is>
      </c>
      <c r="C1" s="934" t="inlineStr">
        <is>
          <t>UNIDAD</t>
        </is>
      </c>
      <c r="D1" s="935" t="inlineStr">
        <is>
          <t xml:space="preserve">PRECIO </t>
        </is>
      </c>
      <c r="E1" s="936" t="inlineStr">
        <is>
          <t xml:space="preserve">PRECIO CON IVA </t>
        </is>
      </c>
      <c r="F1" s="932" t="inlineStr">
        <is>
          <t xml:space="preserve">PRECIO ANTERIOR </t>
        </is>
      </c>
      <c r="G1" s="933" t="inlineStr">
        <is>
          <t xml:space="preserve">DIFERENCIA </t>
        </is>
      </c>
      <c r="H1" s="933" t="inlineStr">
        <is>
          <t xml:space="preserve">OBSERVACIONES </t>
        </is>
      </c>
      <c r="I1" s="937" t="inlineStr">
        <is>
          <t xml:space="preserve">FECHA ÚLTIMO MOVIMIENTO </t>
        </is>
      </c>
      <c r="J1" s="932" t="inlineStr">
        <is>
          <t xml:space="preserve">FAMILIA DEL INSUMO </t>
        </is>
      </c>
    </row>
    <row r="2">
      <c r="A2" s="36" t="inlineStr">
        <is>
          <t xml:space="preserve">BACK HOE </t>
        </is>
      </c>
      <c r="B2" s="721" t="inlineStr">
        <is>
          <t xml:space="preserve">BACK HOE </t>
        </is>
      </c>
      <c r="C2" s="716" t="inlineStr">
        <is>
          <t xml:space="preserve">HORA </t>
        </is>
      </c>
      <c r="D2" s="717" t="n">
        <v>15000</v>
      </c>
      <c r="E2" s="938">
        <f>D2</f>
        <v/>
      </c>
      <c r="F2" s="939" t="n"/>
      <c r="G2" s="940" t="n"/>
      <c r="H2" s="941" t="n"/>
      <c r="I2" s="942" t="n"/>
      <c r="J2" s="716" t="n"/>
      <c r="L2" s="711" t="inlineStr">
        <is>
          <t xml:space="preserve">IVA </t>
        </is>
      </c>
      <c r="M2" s="711" t="n">
        <v>1.13</v>
      </c>
      <c r="N2" t="inlineStr">
        <is>
          <t xml:space="preserve">GENERAL </t>
        </is>
      </c>
    </row>
    <row r="3">
      <c r="A3" s="36" t="inlineStr">
        <is>
          <t xml:space="preserve">COMPACTADOR </t>
        </is>
      </c>
      <c r="B3" s="721" t="inlineStr">
        <is>
          <t xml:space="preserve">COMPACTADOR </t>
        </is>
      </c>
      <c r="C3" s="716" t="inlineStr">
        <is>
          <t xml:space="preserve">HORA </t>
        </is>
      </c>
      <c r="D3" s="717" t="n">
        <v>13000</v>
      </c>
      <c r="E3" s="938">
        <f>D3</f>
        <v/>
      </c>
      <c r="F3" s="939" t="n"/>
      <c r="G3" s="940" t="n"/>
      <c r="H3" s="941" t="n"/>
      <c r="I3" s="942" t="n"/>
      <c r="J3" s="716" t="n"/>
      <c r="L3" s="719" t="inlineStr">
        <is>
          <t xml:space="preserve">IVA </t>
        </is>
      </c>
      <c r="M3" s="719" t="n">
        <v>1.1</v>
      </c>
      <c r="N3" s="720" t="inlineStr">
        <is>
          <t xml:space="preserve">MADERA </t>
        </is>
      </c>
    </row>
    <row r="4">
      <c r="A4" s="36" t="inlineStr">
        <is>
          <t>VAGONETA</t>
        </is>
      </c>
      <c r="B4" s="34" t="inlineStr">
        <is>
          <t>VAGONETA</t>
        </is>
      </c>
      <c r="C4" s="716" t="inlineStr">
        <is>
          <t xml:space="preserve">HORA </t>
        </is>
      </c>
      <c r="D4" s="34" t="n">
        <v>24000</v>
      </c>
      <c r="E4" s="938">
        <f>D4</f>
        <v/>
      </c>
      <c r="F4" s="939" t="n"/>
      <c r="G4" s="940" t="n"/>
      <c r="H4" s="941" t="n"/>
      <c r="I4" s="942" t="n"/>
      <c r="J4" s="716" t="n"/>
      <c r="N4" s="720" t="n"/>
    </row>
    <row r="5">
      <c r="A5" s="36" t="inlineStr">
        <is>
          <t>FIORA &amp; BLEND</t>
        </is>
      </c>
      <c r="B5" s="36" t="inlineStr">
        <is>
          <t>FIORA &amp; BLEND</t>
        </is>
      </c>
      <c r="C5" s="716" t="inlineStr">
        <is>
          <t>M3</t>
        </is>
      </c>
      <c r="D5" s="34" t="n">
        <v>15000</v>
      </c>
      <c r="E5" s="938">
        <f>D5</f>
        <v/>
      </c>
      <c r="F5" s="939" t="n"/>
      <c r="G5" s="940" t="n"/>
      <c r="H5" s="941" t="n"/>
      <c r="I5" s="942" t="n"/>
      <c r="J5" s="716" t="n"/>
      <c r="N5" s="720" t="n"/>
    </row>
    <row r="6">
      <c r="A6" s="36" t="inlineStr">
        <is>
          <t>BOMBA</t>
        </is>
      </c>
      <c r="B6" s="34" t="inlineStr">
        <is>
          <t>BOMBA DE CONCRETO</t>
        </is>
      </c>
      <c r="C6" s="716" t="inlineStr">
        <is>
          <t>M3</t>
        </is>
      </c>
      <c r="D6" s="34" t="n">
        <v>15000</v>
      </c>
      <c r="E6" s="716">
        <f>D6</f>
        <v/>
      </c>
      <c r="F6" s="939" t="n"/>
      <c r="G6" s="940" t="n"/>
      <c r="H6" s="941" t="n"/>
      <c r="I6" s="942" t="n"/>
      <c r="J6" s="716" t="n"/>
      <c r="N6" s="720" t="n"/>
    </row>
    <row r="7">
      <c r="A7" s="36" t="n"/>
      <c r="B7" s="34" t="n"/>
      <c r="C7" s="716" t="n"/>
      <c r="D7" s="34" t="n"/>
      <c r="E7" s="716" t="n"/>
      <c r="F7" s="939" t="n"/>
      <c r="G7" s="940" t="n"/>
      <c r="H7" s="941" t="n"/>
      <c r="I7" s="942" t="n"/>
      <c r="J7" s="716" t="n"/>
      <c r="N7" s="720" t="n"/>
    </row>
    <row r="8">
      <c r="A8" s="36" t="n"/>
      <c r="B8" s="34" t="n"/>
      <c r="C8" s="716" t="n"/>
      <c r="D8" s="34" t="n"/>
      <c r="E8" s="716" t="n"/>
      <c r="F8" s="939" t="n"/>
      <c r="G8" s="940" t="n"/>
      <c r="H8" s="941" t="n"/>
      <c r="I8" s="942" t="n"/>
      <c r="J8" s="716" t="n"/>
      <c r="N8" s="720" t="n"/>
    </row>
    <row r="9">
      <c r="A9" s="36" t="n"/>
      <c r="B9" s="34" t="n"/>
      <c r="C9" s="716" t="n"/>
      <c r="D9" s="34" t="n"/>
      <c r="E9" s="716" t="n"/>
      <c r="F9" s="939" t="n"/>
      <c r="G9" s="940" t="n"/>
      <c r="H9" s="941" t="n"/>
      <c r="I9" s="942" t="n"/>
      <c r="J9" s="716" t="n"/>
      <c r="N9" s="720" t="n"/>
    </row>
    <row r="10">
      <c r="A10" s="943" t="n"/>
      <c r="B10" s="944" t="inlineStr">
        <is>
          <t xml:space="preserve">SUBCONTRATO ELÉCTRICO </t>
        </is>
      </c>
      <c r="C10" s="945" t="n"/>
      <c r="D10" s="946" t="n"/>
      <c r="E10" s="945" t="n"/>
      <c r="F10" s="947" t="n"/>
      <c r="G10" s="948" t="n"/>
      <c r="H10" s="949" t="n"/>
      <c r="I10" s="950" t="n"/>
      <c r="J10" s="945" t="n"/>
      <c r="N10" s="720" t="n"/>
    </row>
    <row r="11">
      <c r="A11" s="36" t="n"/>
      <c r="B11" s="34" t="n"/>
      <c r="C11" s="716" t="n"/>
      <c r="D11" s="34" t="n"/>
      <c r="E11" s="716" t="n"/>
      <c r="F11" s="939" t="n"/>
      <c r="G11" s="940" t="n"/>
      <c r="H11" s="941" t="n"/>
      <c r="I11" s="942" t="n"/>
      <c r="J11" s="716" t="n"/>
      <c r="N11" s="720" t="n"/>
    </row>
    <row r="12">
      <c r="A12" s="36" t="inlineStr">
        <is>
          <t xml:space="preserve">SUB ACOMETIDA </t>
        </is>
      </c>
      <c r="B12" s="721" t="inlineStr">
        <is>
          <t xml:space="preserve">M.O. ACOMETIDA ELÉCTRICA </t>
        </is>
      </c>
      <c r="C12" s="716" t="inlineStr">
        <is>
          <t xml:space="preserve">GLOBAL </t>
        </is>
      </c>
      <c r="D12" s="717" t="n"/>
      <c r="E12" s="718" t="n">
        <v>25000</v>
      </c>
      <c r="F12" s="939" t="n"/>
      <c r="G12" s="940" t="n"/>
      <c r="H12" s="941" t="n"/>
      <c r="I12" s="942" t="n"/>
      <c r="J12" s="716" t="n"/>
      <c r="N12" s="720" t="n"/>
    </row>
    <row r="13">
      <c r="A13" s="36" t="inlineStr">
        <is>
          <t xml:space="preserve">SUB ELECTRICO LOSA </t>
        </is>
      </c>
      <c r="B13" s="721" t="inlineStr">
        <is>
          <t>M.O. TUBERIA ELECTRICA LOSA</t>
        </is>
      </c>
      <c r="C13" s="716" t="inlineStr">
        <is>
          <t xml:space="preserve">GLOBAL </t>
        </is>
      </c>
      <c r="D13" s="717" t="n"/>
      <c r="E13" s="718" t="n">
        <v>105000</v>
      </c>
      <c r="F13" s="939" t="n"/>
      <c r="G13" s="940" t="n"/>
      <c r="H13" s="941" t="n"/>
      <c r="I13" s="942" t="n"/>
      <c r="J13" s="716" t="n"/>
      <c r="N13" s="720" t="n"/>
    </row>
    <row r="14">
      <c r="A14" s="36" t="inlineStr">
        <is>
          <t>SUB ELECTRICO MUROS</t>
        </is>
      </c>
      <c r="B14" s="721" t="inlineStr">
        <is>
          <t>M.O. TUBERIA ELECTRICA MUROS</t>
        </is>
      </c>
      <c r="C14" s="716" t="inlineStr">
        <is>
          <t xml:space="preserve">GLOBAL </t>
        </is>
      </c>
      <c r="D14" s="717" t="n"/>
      <c r="E14" s="718" t="n">
        <v>48000</v>
      </c>
      <c r="F14" s="939" t="n"/>
      <c r="G14" s="940" t="n"/>
      <c r="H14" s="941" t="n"/>
      <c r="I14" s="942" t="n"/>
      <c r="J14" s="716" t="n"/>
      <c r="N14" s="720" t="n"/>
    </row>
    <row r="15">
      <c r="A15" s="36" t="inlineStr">
        <is>
          <t xml:space="preserve">SUB BASE MEDIDOR </t>
        </is>
      </c>
      <c r="B15" s="721" t="inlineStr">
        <is>
          <t xml:space="preserve">M.O. INSTALACIÓN BASE MEDIDOR </t>
        </is>
      </c>
      <c r="C15" s="716" t="inlineStr">
        <is>
          <t xml:space="preserve">GLOBAL </t>
        </is>
      </c>
      <c r="D15" s="717" t="n"/>
      <c r="E15" s="718" t="n">
        <v>15000</v>
      </c>
      <c r="F15" s="939" t="n"/>
      <c r="G15" s="940" t="n"/>
      <c r="H15" s="941" t="n"/>
      <c r="I15" s="942" t="n"/>
      <c r="J15" s="716" t="n"/>
      <c r="N15" s="720" t="n"/>
    </row>
    <row r="16">
      <c r="A16" s="36" t="inlineStr">
        <is>
          <t>SUB ILUMINACION</t>
        </is>
      </c>
      <c r="B16" s="721" t="inlineStr">
        <is>
          <t>M.O. SALIDAS DE ILUMINACION</t>
        </is>
      </c>
      <c r="C16" s="716" t="inlineStr">
        <is>
          <t xml:space="preserve">GLOBAL </t>
        </is>
      </c>
      <c r="D16" s="717" t="n"/>
      <c r="E16" s="718" t="n">
        <v>64000</v>
      </c>
      <c r="F16" s="939" t="n"/>
      <c r="G16" s="940" t="n"/>
      <c r="H16" s="941" t="n"/>
      <c r="I16" s="942" t="n"/>
      <c r="J16" s="716" t="n"/>
      <c r="N16" s="720" t="n"/>
    </row>
    <row r="17">
      <c r="A17" s="36" t="inlineStr">
        <is>
          <t xml:space="preserve">SUB TABLEROS </t>
        </is>
      </c>
      <c r="B17" s="721" t="inlineStr">
        <is>
          <t xml:space="preserve">M.O. ARMADO TABLEROS </t>
        </is>
      </c>
      <c r="C17" s="716" t="inlineStr">
        <is>
          <t xml:space="preserve">GLOBAL </t>
        </is>
      </c>
      <c r="D17" s="717" t="n"/>
      <c r="E17" s="718" t="n">
        <v>27500</v>
      </c>
    </row>
    <row r="18">
      <c r="A18" s="36" t="inlineStr">
        <is>
          <t xml:space="preserve">SUB CABLEADO </t>
        </is>
      </c>
      <c r="B18" s="721" t="inlineStr">
        <is>
          <t xml:space="preserve">M.O. CABLEADO ELÉCTRICO </t>
        </is>
      </c>
      <c r="C18" s="716" t="inlineStr">
        <is>
          <t xml:space="preserve">GLOBAL </t>
        </is>
      </c>
      <c r="D18" s="717" t="n"/>
      <c r="E18" s="718" t="n">
        <v>140000</v>
      </c>
    </row>
    <row r="19">
      <c r="A19" s="36" t="inlineStr">
        <is>
          <t xml:space="preserve">SUB PLAQUERIA </t>
        </is>
      </c>
      <c r="B19" s="721" t="inlineStr">
        <is>
          <t xml:space="preserve">M.O. COLOCACIÓN DE PLAQUERÍA </t>
        </is>
      </c>
      <c r="C19" s="716" t="inlineStr">
        <is>
          <t xml:space="preserve">GLOBAL </t>
        </is>
      </c>
      <c r="D19" s="717" t="n"/>
      <c r="E19" s="718" t="n">
        <v>76500</v>
      </c>
    </row>
    <row r="20">
      <c r="A20" s="36" t="inlineStr">
        <is>
          <t xml:space="preserve">SUB ENTREGA FINAL </t>
        </is>
      </c>
      <c r="B20" s="721" t="inlineStr">
        <is>
          <t xml:space="preserve">M.O. TRABAJOS ELÉCTRICOS PARA ENTREGA FINAL </t>
        </is>
      </c>
      <c r="C20" s="716" t="inlineStr">
        <is>
          <t xml:space="preserve">GLOBAL </t>
        </is>
      </c>
      <c r="D20" s="717" t="n"/>
      <c r="E20" s="718" t="n">
        <v>104000</v>
      </c>
    </row>
    <row r="21">
      <c r="A21" s="36" t="n"/>
      <c r="B21" s="721" t="n"/>
      <c r="C21" s="716" t="n"/>
      <c r="D21" s="717" t="n"/>
      <c r="E21" s="800">
        <f>SUM(E12:E20)</f>
        <v/>
      </c>
    </row>
    <row r="22">
      <c r="A22" s="36" t="n"/>
      <c r="B22" s="721" t="n"/>
      <c r="C22" s="716" t="n"/>
      <c r="D22" s="717" t="n"/>
      <c r="E22" s="938" t="n"/>
    </row>
    <row r="23">
      <c r="A23" s="36" t="n"/>
      <c r="B23" s="721" t="n"/>
      <c r="C23" s="716" t="n"/>
      <c r="D23" s="717" t="n"/>
      <c r="E23" s="718" t="n"/>
    </row>
    <row r="24">
      <c r="A24" s="36" t="n"/>
      <c r="B24" s="721" t="n"/>
      <c r="C24" s="716" t="n"/>
      <c r="D24" s="717" t="n"/>
      <c r="E24" s="718" t="n"/>
    </row>
    <row r="25">
      <c r="A25" s="36" t="n"/>
      <c r="B25" s="721" t="n"/>
      <c r="C25" s="716" t="n"/>
      <c r="D25" s="717" t="n"/>
      <c r="E25" s="718" t="n"/>
    </row>
    <row r="26">
      <c r="A26" s="36" t="n"/>
      <c r="B26" s="721" t="n"/>
      <c r="C26" s="716" t="n"/>
      <c r="D26" s="717" t="n"/>
      <c r="E26" s="718" t="n"/>
    </row>
    <row r="27">
      <c r="A27" s="36" t="n"/>
      <c r="B27" s="721" t="n"/>
      <c r="C27" s="716" t="n"/>
      <c r="D27" s="717" t="n"/>
      <c r="E27" s="718" t="n"/>
    </row>
    <row r="28">
      <c r="A28" s="36" t="n"/>
      <c r="B28" s="721" t="n"/>
      <c r="C28" s="716" t="n"/>
      <c r="D28" s="717" t="n"/>
      <c r="E28" s="718" t="n"/>
    </row>
    <row r="29">
      <c r="A29" s="943" t="n"/>
      <c r="B29" s="944" t="inlineStr">
        <is>
          <t xml:space="preserve">FORMALETA </t>
        </is>
      </c>
      <c r="C29" s="945" t="n"/>
      <c r="D29" s="946" t="n"/>
      <c r="E29" s="945" t="n"/>
    </row>
    <row r="30">
      <c r="A30" s="36" t="n"/>
      <c r="B30" s="951" t="n"/>
      <c r="C30" s="716" t="n"/>
      <c r="D30" s="717" t="n"/>
      <c r="E30" s="938" t="n"/>
    </row>
    <row r="31">
      <c r="A31" s="36" t="inlineStr">
        <is>
          <t xml:space="preserve">FORMALETA LOSA   </t>
        </is>
      </c>
      <c r="B31" s="36" t="inlineStr">
        <is>
          <t>FORMALETA LOSA FLOTANTE</t>
        </is>
      </c>
      <c r="C31" s="716" t="inlineStr">
        <is>
          <t xml:space="preserve">GLOBAL </t>
        </is>
      </c>
      <c r="D31" s="717" t="n"/>
      <c r="E31" s="718" t="n"/>
    </row>
    <row r="32">
      <c r="A32" s="36" t="inlineStr">
        <is>
          <t>FORMALETA MUROS</t>
        </is>
      </c>
      <c r="B32" s="36" t="inlineStr">
        <is>
          <t>FORMALETA MUROS</t>
        </is>
      </c>
      <c r="C32" s="716" t="inlineStr">
        <is>
          <t xml:space="preserve">GLOBAL </t>
        </is>
      </c>
      <c r="D32" s="717" t="n"/>
      <c r="E32" s="718" t="n">
        <v>0</v>
      </c>
    </row>
    <row r="33">
      <c r="A33" s="36" t="inlineStr">
        <is>
          <t>FORMALETA COLUMNAS</t>
        </is>
      </c>
      <c r="B33" s="36" t="inlineStr">
        <is>
          <t xml:space="preserve">FORMALETA COLUMNAS </t>
        </is>
      </c>
      <c r="C33" s="716" t="inlineStr">
        <is>
          <t xml:space="preserve">GLOBAL </t>
        </is>
      </c>
      <c r="D33" s="717" t="n"/>
      <c r="E33" s="718" t="n">
        <v>0</v>
      </c>
      <c r="F33" s="939" t="n"/>
      <c r="G33" s="940" t="n"/>
    </row>
    <row r="34">
      <c r="A34" s="36" t="n"/>
      <c r="B34" s="721" t="n"/>
      <c r="C34" s="716" t="n"/>
      <c r="D34" s="717" t="n"/>
      <c r="E34" s="718" t="n"/>
      <c r="F34" s="939" t="n"/>
      <c r="G34" s="940" t="n"/>
    </row>
    <row r="35">
      <c r="A35" s="36" t="n"/>
      <c r="B35" s="721" t="n"/>
      <c r="C35" s="716" t="n"/>
      <c r="D35" s="717" t="n"/>
      <c r="E35" s="718" t="n"/>
      <c r="F35" s="939" t="n"/>
      <c r="G35" s="940" t="n"/>
    </row>
    <row r="36">
      <c r="A36" s="36" t="n"/>
      <c r="B36" s="721" t="n"/>
      <c r="C36" s="716" t="n"/>
      <c r="D36" s="717" t="n"/>
      <c r="E36" s="718" t="n"/>
      <c r="F36" s="939" t="n"/>
      <c r="G36" s="940" t="n"/>
    </row>
    <row r="37">
      <c r="A37" s="36" t="n"/>
      <c r="B37" s="721" t="n"/>
      <c r="C37" s="716" t="n"/>
      <c r="D37" s="717" t="n"/>
      <c r="E37" s="718" t="n"/>
      <c r="F37" s="939" t="n"/>
      <c r="G37" s="940" t="n"/>
    </row>
    <row r="38">
      <c r="A38" s="943" t="n"/>
      <c r="B38" s="944" t="inlineStr">
        <is>
          <t xml:space="preserve">OTROS </t>
        </is>
      </c>
      <c r="C38" s="945" t="n"/>
      <c r="D38" s="946" t="n"/>
      <c r="E38" s="945" t="n"/>
      <c r="F38" s="947" t="n"/>
      <c r="G38" s="948" t="n"/>
    </row>
    <row r="39">
      <c r="A39" s="728" t="inlineStr">
        <is>
          <t xml:space="preserve">GRANITO </t>
        </is>
      </c>
      <c r="B39" s="952" t="inlineStr">
        <is>
          <t xml:space="preserve">GRANITO CON INSTALACION </t>
        </is>
      </c>
      <c r="C39" s="730" t="inlineStr">
        <is>
          <t xml:space="preserve">M </t>
        </is>
      </c>
      <c r="D39" s="953">
        <f>85250*1.03</f>
        <v/>
      </c>
      <c r="E39" s="954">
        <f>D39*'BASE DATOS PRECIOS '!$K$4</f>
        <v/>
      </c>
      <c r="F39" s="939" t="n">
        <v>0</v>
      </c>
      <c r="G39" s="940">
        <f>E39-F39</f>
        <v/>
      </c>
    </row>
    <row r="40">
      <c r="A40" s="728" t="inlineStr">
        <is>
          <t xml:space="preserve">VENTANERIA IKARIA  </t>
        </is>
      </c>
      <c r="B40" s="952" t="inlineStr">
        <is>
          <t xml:space="preserve">SUBCONTRATO VENTANERIA (MATERIAL Y MANO DE OBRA) </t>
        </is>
      </c>
      <c r="C40" s="730" t="inlineStr">
        <is>
          <t xml:space="preserve">GLOBAL </t>
        </is>
      </c>
      <c r="D40" s="953">
        <f>896000*1.03</f>
        <v/>
      </c>
      <c r="E40" s="954">
        <f>D40*'BASE DATOS PRECIOS '!$K$4</f>
        <v/>
      </c>
      <c r="F40" s="939" t="n">
        <v>0</v>
      </c>
      <c r="G40" s="940">
        <f>E40-F40</f>
        <v/>
      </c>
    </row>
    <row r="41">
      <c r="A41" s="728" t="inlineStr">
        <is>
          <t>VENTANERIA SKYROS</t>
        </is>
      </c>
      <c r="B41" s="952" t="inlineStr">
        <is>
          <t xml:space="preserve">SUBCONTRATO VENTANERIA (MATERIAL Y MANO DE OBRA) </t>
        </is>
      </c>
      <c r="C41" s="730" t="inlineStr">
        <is>
          <t xml:space="preserve">GLOBAL </t>
        </is>
      </c>
      <c r="D41" s="953">
        <f>947511.36*1.03</f>
        <v/>
      </c>
      <c r="E41" s="954">
        <f>D41*'BASE DATOS PRECIOS '!$K$4</f>
        <v/>
      </c>
      <c r="F41" s="939" t="n">
        <v>0</v>
      </c>
      <c r="G41" s="940">
        <f>E41-F41</f>
        <v/>
      </c>
    </row>
    <row r="42">
      <c r="A42" s="728" t="inlineStr">
        <is>
          <t xml:space="preserve">VENTANERIA TEBAS </t>
        </is>
      </c>
      <c r="B42" s="952" t="inlineStr">
        <is>
          <t xml:space="preserve">SUBCONTRATO VENTANERIA (MATERIAL Y MANO DE OBRA) </t>
        </is>
      </c>
      <c r="C42" s="730" t="inlineStr">
        <is>
          <t xml:space="preserve">GLOBAL </t>
        </is>
      </c>
      <c r="D42" s="953">
        <f>1022314.9*1.03</f>
        <v/>
      </c>
      <c r="E42" s="954">
        <f>D42*'BASE DATOS PRECIOS '!$K$4</f>
        <v/>
      </c>
      <c r="F42" s="939" t="n">
        <v>0</v>
      </c>
      <c r="G42" s="940">
        <f>E42-F42</f>
        <v/>
      </c>
    </row>
    <row r="43">
      <c r="A43" s="728" t="inlineStr">
        <is>
          <t>VENTANERIA NEOTRIPOLI</t>
        </is>
      </c>
      <c r="B43" s="952" t="inlineStr">
        <is>
          <t xml:space="preserve">SUBCONTRATO VENTANERIA (MATERIAL Y MANO DE OBRA) </t>
        </is>
      </c>
      <c r="C43" s="730" t="inlineStr">
        <is>
          <t xml:space="preserve">GLOBAL </t>
        </is>
      </c>
      <c r="D43" s="953" t="n">
        <v>969600</v>
      </c>
      <c r="E43" s="954">
        <f>D43*'BASE DATOS PRECIOS '!$K$4</f>
        <v/>
      </c>
      <c r="F43" s="939" t="n">
        <v>0</v>
      </c>
      <c r="G43" s="940">
        <f>E43-F43</f>
        <v/>
      </c>
    </row>
    <row r="44">
      <c r="A44" s="36" t="n"/>
      <c r="B44" s="721" t="n"/>
      <c r="C44" s="716" t="n"/>
      <c r="D44" s="717" t="n"/>
      <c r="E44" s="718" t="n"/>
      <c r="F44" s="939" t="n"/>
      <c r="G44" s="940" t="n"/>
    </row>
    <row r="45">
      <c r="A45" s="728" t="inlineStr">
        <is>
          <t xml:space="preserve">TAPIA PREFABRICADA  3 M </t>
        </is>
      </c>
      <c r="B45" s="952" t="inlineStr">
        <is>
          <t xml:space="preserve">SUBCONTRATO TAPIA PREFABRICADA 3 M ALTURA </t>
        </is>
      </c>
      <c r="C45" s="730" t="inlineStr">
        <is>
          <t xml:space="preserve">M </t>
        </is>
      </c>
      <c r="D45" s="953">
        <f>36111.11*1.08</f>
        <v/>
      </c>
      <c r="E45" s="954" t="n">
        <v>38999.9988</v>
      </c>
      <c r="F45" s="939" t="n">
        <v>0</v>
      </c>
      <c r="G45" s="940">
        <f>E45-F45</f>
        <v/>
      </c>
    </row>
    <row r="46">
      <c r="A46" s="728" t="inlineStr">
        <is>
          <t xml:space="preserve">TAPIA PREFABRICADA  2,5 M </t>
        </is>
      </c>
      <c r="B46" s="952" t="inlineStr">
        <is>
          <t xml:space="preserve">SUBCONTRATO TAPIA PREFABRICADA 2,5 M ALTURA </t>
        </is>
      </c>
      <c r="C46" s="730" t="inlineStr">
        <is>
          <t xml:space="preserve">M </t>
        </is>
      </c>
      <c r="D46" s="953">
        <f>29166.67*1.08</f>
        <v/>
      </c>
      <c r="E46" s="954" t="n">
        <v>31500.0036</v>
      </c>
      <c r="F46" s="939" t="n">
        <v>0</v>
      </c>
      <c r="G46" s="940">
        <f>E46-F46</f>
        <v/>
      </c>
    </row>
    <row r="680">
      <c r="K680">
        <f>+(37168.41*1.13)/(0.93*5.45)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59"/>
  <sheetViews>
    <sheetView workbookViewId="0">
      <selection activeCell="A1" sqref="A1"/>
    </sheetView>
  </sheetViews>
  <sheetFormatPr baseColWidth="8" defaultRowHeight="15"/>
  <sheetData>
    <row r="1">
      <c r="A1" s="932" t="inlineStr">
        <is>
          <t xml:space="preserve">CODIGO </t>
        </is>
      </c>
      <c r="B1" s="933" t="inlineStr">
        <is>
          <t xml:space="preserve">DESCRIPCION </t>
        </is>
      </c>
      <c r="C1" s="934" t="inlineStr">
        <is>
          <t>UNIDAD</t>
        </is>
      </c>
      <c r="D1" s="955" t="inlineStr">
        <is>
          <t xml:space="preserve">PRECIO </t>
        </is>
      </c>
      <c r="E1" s="956" t="inlineStr">
        <is>
          <t xml:space="preserve">PRECIO CON CARGAS SOCIALES </t>
        </is>
      </c>
      <c r="F1" s="932" t="inlineStr">
        <is>
          <t xml:space="preserve">PRECIO ANTERIOR </t>
        </is>
      </c>
      <c r="G1" s="933" t="inlineStr">
        <is>
          <t xml:space="preserve">DIFERENCIA </t>
        </is>
      </c>
      <c r="H1" s="933" t="inlineStr">
        <is>
          <t xml:space="preserve">OBSERVACIONES </t>
        </is>
      </c>
      <c r="I1" s="937" t="inlineStr">
        <is>
          <t xml:space="preserve">FECHA ÚLTIMO MOVIMIENTO </t>
        </is>
      </c>
      <c r="J1" s="932" t="inlineStr">
        <is>
          <t xml:space="preserve">FAMILIA DEL INSUMO </t>
        </is>
      </c>
    </row>
    <row r="2">
      <c r="A2" s="15" t="inlineStr">
        <is>
          <t xml:space="preserve">ENCARGADO </t>
        </is>
      </c>
      <c r="B2" s="721" t="inlineStr">
        <is>
          <t xml:space="preserve">ENCARGADO PLUS </t>
        </is>
      </c>
      <c r="C2" s="716" t="inlineStr">
        <is>
          <t xml:space="preserve">hora </t>
        </is>
      </c>
      <c r="D2" s="717" t="n">
        <v>2000</v>
      </c>
      <c r="E2" s="780" t="n">
        <v>3450</v>
      </c>
      <c r="F2" s="939" t="n"/>
      <c r="G2" s="940">
        <f>E2-F2</f>
        <v/>
      </c>
      <c r="H2" s="941" t="n"/>
      <c r="I2" s="942" t="n"/>
      <c r="J2" s="716" t="n"/>
      <c r="L2" s="711" t="inlineStr">
        <is>
          <t xml:space="preserve">IVA </t>
        </is>
      </c>
      <c r="M2" s="711" t="n">
        <v>1.13</v>
      </c>
      <c r="N2" t="inlineStr">
        <is>
          <t xml:space="preserve">GENERAL </t>
        </is>
      </c>
    </row>
    <row r="3">
      <c r="A3" s="15" t="inlineStr">
        <is>
          <t xml:space="preserve">OP CALIFICADO </t>
        </is>
      </c>
      <c r="B3" s="721" t="inlineStr">
        <is>
          <t xml:space="preserve">OPERARIO CALIFICADO PLUS </t>
        </is>
      </c>
      <c r="C3" s="716" t="inlineStr">
        <is>
          <t xml:space="preserve">hora </t>
        </is>
      </c>
      <c r="D3" s="717" t="n">
        <v>2000</v>
      </c>
      <c r="E3" s="780">
        <f>D3*1.5</f>
        <v/>
      </c>
      <c r="F3" s="939" t="n"/>
      <c r="G3" s="940">
        <f>E3-F3</f>
        <v/>
      </c>
      <c r="H3" s="941" t="n"/>
      <c r="I3" s="942" t="n"/>
      <c r="J3" s="716" t="n"/>
      <c r="L3" s="719" t="inlineStr">
        <is>
          <t xml:space="preserve">IVA </t>
        </is>
      </c>
      <c r="M3" s="719" t="n">
        <v>1.1</v>
      </c>
      <c r="N3" s="720" t="inlineStr">
        <is>
          <t xml:space="preserve">MADERA </t>
        </is>
      </c>
    </row>
    <row r="4">
      <c r="A4" s="15" t="inlineStr">
        <is>
          <t xml:space="preserve">OPERARIO </t>
        </is>
      </c>
      <c r="B4" s="721" t="inlineStr">
        <is>
          <t xml:space="preserve">OPERARIO PLUS </t>
        </is>
      </c>
      <c r="C4" s="716" t="inlineStr">
        <is>
          <t xml:space="preserve">hora </t>
        </is>
      </c>
      <c r="D4" s="717" t="n">
        <v>1900</v>
      </c>
      <c r="E4" s="780">
        <f>D4*1.5</f>
        <v/>
      </c>
      <c r="F4" s="939" t="n"/>
      <c r="G4" s="940">
        <f>E4-F4</f>
        <v/>
      </c>
      <c r="H4" s="941" t="n"/>
      <c r="I4" s="942" t="n"/>
      <c r="J4" s="716" t="n"/>
      <c r="L4" s="719" t="inlineStr">
        <is>
          <t xml:space="preserve">IVA </t>
        </is>
      </c>
      <c r="M4" s="719" t="n">
        <v>1</v>
      </c>
      <c r="N4" s="720" t="inlineStr">
        <is>
          <t xml:space="preserve">SIN IVA </t>
        </is>
      </c>
    </row>
    <row r="5">
      <c r="A5" s="15" t="inlineStr">
        <is>
          <t xml:space="preserve">AYUDANTE </t>
        </is>
      </c>
      <c r="B5" s="721" t="inlineStr">
        <is>
          <t xml:space="preserve">AYUDANTE PLUS </t>
        </is>
      </c>
      <c r="C5" s="716" t="inlineStr">
        <is>
          <t xml:space="preserve">hora </t>
        </is>
      </c>
      <c r="D5" s="717" t="n">
        <v>1550</v>
      </c>
      <c r="E5" s="780">
        <f>D5*1.5</f>
        <v/>
      </c>
      <c r="F5" s="939" t="n"/>
      <c r="G5" s="940">
        <f>E5-F5</f>
        <v/>
      </c>
      <c r="H5" s="941" t="n"/>
      <c r="I5" s="942" t="n"/>
      <c r="J5" s="716" t="n"/>
    </row>
    <row r="6">
      <c r="A6" s="36" t="n"/>
      <c r="B6" s="721" t="n"/>
      <c r="C6" s="716" t="n"/>
      <c r="D6" s="717" t="n"/>
      <c r="E6" s="718" t="n"/>
      <c r="F6" s="939" t="n"/>
      <c r="G6" s="940" t="n"/>
      <c r="H6" s="941" t="n"/>
      <c r="I6" s="942" t="n"/>
      <c r="J6" s="716" t="n"/>
    </row>
    <row r="7">
      <c r="A7" s="36" t="n"/>
      <c r="B7" s="721" t="n"/>
      <c r="C7" s="716" t="n"/>
      <c r="D7" s="717" t="n"/>
      <c r="E7" s="718" t="n"/>
      <c r="F7" s="939" t="n"/>
      <c r="G7" s="940" t="n"/>
      <c r="H7" s="941" t="n"/>
      <c r="I7" s="942" t="n"/>
      <c r="J7" s="716" t="n"/>
    </row>
    <row r="8">
      <c r="A8" s="36" t="n"/>
      <c r="B8" s="721" t="n"/>
      <c r="C8" s="716" t="n"/>
      <c r="D8" s="717" t="n"/>
      <c r="E8" s="718" t="n"/>
      <c r="F8" s="939" t="n"/>
      <c r="G8" s="940" t="n"/>
      <c r="H8" s="941" t="n"/>
      <c r="I8" s="942" t="n"/>
      <c r="J8" s="716" t="n"/>
    </row>
    <row r="9">
      <c r="A9" s="36" t="n"/>
      <c r="B9" s="721" t="n"/>
      <c r="C9" s="716" t="n"/>
      <c r="D9" s="717" t="n"/>
      <c r="E9" s="718" t="n"/>
      <c r="F9" s="939" t="n"/>
      <c r="G9" s="940" t="n"/>
      <c r="H9" s="941" t="n"/>
      <c r="I9" s="942" t="n"/>
      <c r="J9" s="716" t="n"/>
    </row>
    <row r="10">
      <c r="A10" s="36" t="n"/>
      <c r="B10" s="721" t="n"/>
      <c r="C10" s="716" t="n"/>
      <c r="D10" s="717" t="n"/>
      <c r="E10" s="718" t="n"/>
      <c r="F10" s="939" t="n"/>
      <c r="G10" s="940" t="n"/>
      <c r="H10" s="941" t="n"/>
      <c r="I10" s="942" t="n"/>
      <c r="J10" s="716" t="n"/>
    </row>
    <row r="11">
      <c r="A11" s="36" t="n"/>
      <c r="B11" s="721" t="n"/>
      <c r="C11" s="716" t="n"/>
      <c r="D11" s="717" t="n"/>
      <c r="E11" s="718" t="n"/>
      <c r="F11" s="939" t="n"/>
      <c r="G11" s="940" t="n"/>
      <c r="H11" s="941" t="n"/>
      <c r="I11" s="942" t="n"/>
      <c r="J11" s="716" t="n"/>
    </row>
    <row r="12">
      <c r="A12" s="36" t="n"/>
      <c r="B12" s="721" t="n"/>
      <c r="C12" s="716" t="n"/>
      <c r="D12" s="717" t="n"/>
      <c r="E12" s="718" t="n"/>
      <c r="F12" s="939" t="n"/>
      <c r="G12" s="940" t="n"/>
      <c r="H12" s="941" t="n"/>
      <c r="I12" s="942" t="n"/>
      <c r="J12" s="716" t="n"/>
    </row>
    <row r="13">
      <c r="A13" s="36" t="n"/>
      <c r="B13" s="721" t="n"/>
      <c r="C13" s="716" t="n"/>
      <c r="D13" s="717" t="n"/>
      <c r="E13" s="718" t="n"/>
      <c r="F13" s="939" t="n"/>
      <c r="G13" s="940" t="n"/>
      <c r="H13" s="941" t="n"/>
      <c r="I13" s="942" t="n"/>
      <c r="J13" s="716" t="n"/>
    </row>
    <row r="14">
      <c r="A14" s="36" t="n"/>
      <c r="B14" s="721" t="n"/>
      <c r="C14" s="716" t="n"/>
      <c r="D14" s="717" t="n"/>
      <c r="E14" s="718" t="n"/>
      <c r="F14" s="939" t="n"/>
      <c r="G14" s="940" t="n"/>
      <c r="H14" s="941" t="n"/>
      <c r="I14" s="942" t="n"/>
      <c r="J14" s="716" t="n"/>
    </row>
    <row r="15">
      <c r="A15" s="36" t="n"/>
      <c r="B15" s="721" t="n"/>
      <c r="C15" s="716" t="n"/>
      <c r="D15" s="717" t="n"/>
      <c r="E15" s="718" t="n"/>
      <c r="F15" s="939" t="n"/>
      <c r="G15" s="940" t="n"/>
      <c r="H15" s="941" t="n"/>
      <c r="I15" s="942" t="n"/>
      <c r="J15" s="716" t="n"/>
    </row>
    <row r="16">
      <c r="A16" s="36" t="n"/>
      <c r="B16" s="721" t="inlineStr">
        <is>
          <t>&lt;</t>
        </is>
      </c>
      <c r="C16" s="716" t="n"/>
      <c r="D16" s="717" t="n"/>
      <c r="E16" s="718" t="n"/>
      <c r="F16" s="939" t="n"/>
      <c r="G16" s="940" t="n"/>
      <c r="H16" s="941" t="n"/>
      <c r="I16" s="942" t="n"/>
      <c r="J16" s="716" t="n"/>
    </row>
    <row r="659">
      <c r="K659">
        <f>+(37168.41*1.13)/(0.93*5.45)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957" t="inlineStr">
        <is>
          <t>COSTO MANO DE OBRA PROMEDIADO DE CUADRILLAS</t>
        </is>
      </c>
      <c r="I1" s="958" t="inlineStr">
        <is>
          <t>N°</t>
        </is>
      </c>
      <c r="J1" s="959" t="inlineStr">
        <is>
          <t>Actividad</t>
        </is>
      </c>
      <c r="K1" s="959" t="inlineStr">
        <is>
          <t>Costo hora</t>
        </is>
      </c>
    </row>
    <row r="2">
      <c r="A2" s="960" t="inlineStr">
        <is>
          <t>Etiquetas de fila</t>
        </is>
      </c>
      <c r="B2" s="961" t="inlineStr">
        <is>
          <t>Cuenta de Colaboradores</t>
        </is>
      </c>
      <c r="C2" s="960" t="inlineStr">
        <is>
          <t>Suma de Salario + Cargas</t>
        </is>
      </c>
      <c r="D2" s="960" t="inlineStr">
        <is>
          <t>PROMEDIO</t>
        </is>
      </c>
      <c r="I2" s="5" t="n"/>
      <c r="J2" s="78" t="n"/>
      <c r="K2" s="78" t="n"/>
    </row>
    <row r="3">
      <c r="A3" s="962" t="inlineStr">
        <is>
          <t>Aceros</t>
        </is>
      </c>
      <c r="B3" s="963" t="n">
        <v>6</v>
      </c>
      <c r="C3" s="964" t="n">
        <v>16350</v>
      </c>
      <c r="D3" s="964">
        <f>+C3/B3</f>
        <v/>
      </c>
      <c r="I3" s="965" t="n">
        <v>1</v>
      </c>
      <c r="J3" s="966" t="inlineStr">
        <is>
          <t>OBRA GRIS</t>
        </is>
      </c>
      <c r="K3" s="967" t="inlineStr">
        <is>
          <t>OBRA GRIS</t>
        </is>
      </c>
      <c r="L3" s="968" t="n"/>
    </row>
    <row r="4">
      <c r="A4" s="969" t="inlineStr">
        <is>
          <t>Apoyo</t>
        </is>
      </c>
      <c r="B4" s="970" t="n">
        <v>5</v>
      </c>
      <c r="C4" s="971" t="n">
        <v>12525</v>
      </c>
      <c r="D4" s="971">
        <f>+C4/B4</f>
        <v/>
      </c>
      <c r="I4" s="84" t="n">
        <v>1.1</v>
      </c>
      <c r="J4" s="972" t="inlineStr">
        <is>
          <t>FUNDACIONES</t>
        </is>
      </c>
      <c r="K4" s="973" t="inlineStr">
        <is>
          <t>FUNDACIONES</t>
        </is>
      </c>
      <c r="L4" s="60" t="n"/>
    </row>
    <row r="5">
      <c r="A5" s="974" t="inlineStr">
        <is>
          <t>Complementarias</t>
        </is>
      </c>
      <c r="B5" s="975" t="n">
        <v>11</v>
      </c>
      <c r="C5" s="976" t="n">
        <v>30750</v>
      </c>
      <c r="D5" s="976">
        <f>+C5/B5</f>
        <v/>
      </c>
      <c r="I5" s="18" t="inlineStr">
        <is>
          <t>1.1.1</t>
        </is>
      </c>
      <c r="J5" s="11" t="inlineStr">
        <is>
          <t xml:space="preserve">TRAZADO Y RELLENOS </t>
        </is>
      </c>
      <c r="K5" s="977">
        <f>+$D$17</f>
        <v/>
      </c>
      <c r="L5" s="977">
        <f>+$A$17</f>
        <v/>
      </c>
    </row>
    <row r="6">
      <c r="A6" s="419" t="inlineStr">
        <is>
          <t>Complementarias 2</t>
        </is>
      </c>
      <c r="B6" s="481" t="n">
        <v>2</v>
      </c>
      <c r="C6" s="978" t="n">
        <v>5850</v>
      </c>
      <c r="D6" s="978">
        <f>+C6/B6</f>
        <v/>
      </c>
      <c r="I6" s="18" t="inlineStr">
        <is>
          <t>1.1.2</t>
        </is>
      </c>
      <c r="J6" s="39" t="inlineStr">
        <is>
          <t xml:space="preserve">EXCAVACIÓN </t>
        </is>
      </c>
      <c r="K6" s="977">
        <f>+$D$17</f>
        <v/>
      </c>
      <c r="L6" s="977">
        <f>+$A$17</f>
        <v/>
      </c>
    </row>
    <row r="7">
      <c r="A7" s="419" t="inlineStr">
        <is>
          <t>Complementarias 3</t>
        </is>
      </c>
      <c r="B7" s="481" t="n">
        <v>7</v>
      </c>
      <c r="C7" s="978" t="n">
        <v>21150</v>
      </c>
      <c r="D7" s="978">
        <f>+C7/B7</f>
        <v/>
      </c>
      <c r="I7" s="18" t="inlineStr">
        <is>
          <t>1.1.3</t>
        </is>
      </c>
      <c r="J7" s="11" t="inlineStr">
        <is>
          <t xml:space="preserve">SELLO DE CONCRETO </t>
        </is>
      </c>
      <c r="K7" s="979">
        <f>+$D$18</f>
        <v/>
      </c>
      <c r="L7" s="979">
        <f>+$A$18</f>
        <v/>
      </c>
    </row>
    <row r="8">
      <c r="A8" s="980" t="inlineStr">
        <is>
          <t>Cubierta Techos</t>
        </is>
      </c>
      <c r="B8" s="981" t="n">
        <v>1</v>
      </c>
      <c r="C8" s="982" t="n">
        <v>3600</v>
      </c>
      <c r="D8" s="982">
        <f>+C8/B8</f>
        <v/>
      </c>
      <c r="I8" s="18" t="inlineStr">
        <is>
          <t>1.1.4</t>
        </is>
      </c>
      <c r="J8" s="39" t="inlineStr">
        <is>
          <t xml:space="preserve">LOSA FLOTANTE (ACERO, CONCRETO, FORMALETA) </t>
        </is>
      </c>
      <c r="K8" s="979">
        <f>+$D$18</f>
        <v/>
      </c>
      <c r="L8" s="979">
        <f>+$A$18</f>
        <v/>
      </c>
    </row>
    <row r="9">
      <c r="A9" s="983" t="inlineStr">
        <is>
          <t>Empaste</t>
        </is>
      </c>
      <c r="B9" s="984" t="n">
        <v>2</v>
      </c>
      <c r="C9" s="985" t="n">
        <v>6600</v>
      </c>
      <c r="D9" s="985">
        <f>+C9/B9</f>
        <v/>
      </c>
      <c r="I9" s="104" t="n">
        <v>1.2</v>
      </c>
      <c r="J9" s="972" t="inlineStr">
        <is>
          <t xml:space="preserve">MUROS N1 Y N2, ENTREPISO </t>
        </is>
      </c>
      <c r="K9" s="973" t="inlineStr">
        <is>
          <t xml:space="preserve">MUROS N1 Y N2, ENTREPISO </t>
        </is>
      </c>
      <c r="L9" s="60" t="n"/>
    </row>
    <row r="10">
      <c r="A10" s="986" t="inlineStr">
        <is>
          <t>Enchape</t>
        </is>
      </c>
      <c r="B10" s="987" t="n">
        <v>7</v>
      </c>
      <c r="C10" s="988" t="n">
        <v>21150</v>
      </c>
      <c r="D10" s="988">
        <f>+C10/B10</f>
        <v/>
      </c>
      <c r="I10" s="18" t="inlineStr">
        <is>
          <t>1.2.1</t>
        </is>
      </c>
      <c r="J10" s="105" t="inlineStr">
        <is>
          <t xml:space="preserve">ACERO EN PAREDES MUROS N1 </t>
        </is>
      </c>
      <c r="K10" s="964">
        <f>+$D$3</f>
        <v/>
      </c>
      <c r="L10" s="964">
        <f>+$A$3</f>
        <v/>
      </c>
    </row>
    <row r="11">
      <c r="A11" s="989" t="inlineStr">
        <is>
          <t>Fontaneria</t>
        </is>
      </c>
      <c r="B11" s="990" t="n">
        <v>7</v>
      </c>
      <c r="C11" s="991" t="n">
        <v>19800</v>
      </c>
      <c r="D11" s="991">
        <f>+C11/B11</f>
        <v/>
      </c>
      <c r="I11" s="18" t="inlineStr">
        <is>
          <t>1.2.2</t>
        </is>
      </c>
      <c r="J11" s="105" t="inlineStr">
        <is>
          <t>PAREDES, MUROS, ENTREPISO N1</t>
        </is>
      </c>
      <c r="K11" s="992">
        <f>+$D$12</f>
        <v/>
      </c>
      <c r="L11" s="992">
        <f>+$A$12</f>
        <v/>
      </c>
    </row>
    <row r="12">
      <c r="A12" s="993" t="inlineStr">
        <is>
          <t>Formaleta</t>
        </is>
      </c>
      <c r="B12" s="994" t="n">
        <v>22</v>
      </c>
      <c r="C12" s="992" t="n">
        <v>61800</v>
      </c>
      <c r="D12" s="992">
        <f>+C12/B12</f>
        <v/>
      </c>
      <c r="I12" s="18" t="inlineStr">
        <is>
          <t>1.2.3</t>
        </is>
      </c>
      <c r="J12" s="108" t="inlineStr">
        <is>
          <t xml:space="preserve">MAMPOSTERIA </t>
        </is>
      </c>
    </row>
    <row r="13">
      <c r="A13" s="995" t="inlineStr">
        <is>
          <t>Gypsum</t>
        </is>
      </c>
      <c r="B13" s="996" t="n">
        <v>8</v>
      </c>
      <c r="C13" s="997" t="n">
        <v>22350</v>
      </c>
      <c r="D13" s="997">
        <f>+C13/B13</f>
        <v/>
      </c>
      <c r="I13" s="18" t="inlineStr">
        <is>
          <t>1.2.4</t>
        </is>
      </c>
      <c r="J13" s="39" t="inlineStr">
        <is>
          <t>ACERO EN PAREDES MUROS N2</t>
        </is>
      </c>
      <c r="K13" s="964">
        <f>+$D$3</f>
        <v/>
      </c>
      <c r="L13" s="964">
        <f>+$A$3</f>
        <v/>
      </c>
    </row>
    <row r="14">
      <c r="A14" s="998" t="inlineStr">
        <is>
          <t>Hojalateria</t>
        </is>
      </c>
      <c r="B14" s="999" t="n">
        <v>4</v>
      </c>
      <c r="C14" s="1000" t="n">
        <v>11700</v>
      </c>
      <c r="D14" s="1000">
        <f>+C14/B14</f>
        <v/>
      </c>
      <c r="I14" s="18" t="inlineStr">
        <is>
          <t>1.2.5</t>
        </is>
      </c>
      <c r="J14" s="39" t="inlineStr">
        <is>
          <t xml:space="preserve">PAREDES, MUROS, ENTREPISO N2 </t>
        </is>
      </c>
      <c r="K14" s="992">
        <f>+$D$12</f>
        <v/>
      </c>
      <c r="L14" s="992">
        <f>+$A$12</f>
        <v/>
      </c>
    </row>
    <row r="15">
      <c r="A15" s="419" t="inlineStr">
        <is>
          <t>Infraestructura</t>
        </is>
      </c>
      <c r="B15" s="481" t="n">
        <v>23</v>
      </c>
      <c r="C15" s="978" t="n">
        <v>63900</v>
      </c>
      <c r="D15" s="978">
        <f>+C15/B15</f>
        <v/>
      </c>
      <c r="I15" s="84" t="n">
        <v>1.3</v>
      </c>
      <c r="J15" s="972" t="inlineStr">
        <is>
          <t xml:space="preserve">ESTRUCTURA METÁLICA Y CUBIERTAS </t>
        </is>
      </c>
      <c r="K15" s="973" t="inlineStr">
        <is>
          <t xml:space="preserve">ESTRUCTURA METÁLICA Y CUBIERTAS </t>
        </is>
      </c>
      <c r="L15" s="60" t="n"/>
    </row>
    <row r="16">
      <c r="A16" s="1001" t="inlineStr">
        <is>
          <t>Limpieza Casas</t>
        </is>
      </c>
      <c r="B16" s="1002" t="n">
        <v>2</v>
      </c>
      <c r="C16" s="1003" t="n">
        <v>5250</v>
      </c>
      <c r="D16" s="1003">
        <f>+C16/B16</f>
        <v/>
      </c>
      <c r="I16" s="18" t="inlineStr">
        <is>
          <t>1.3.1</t>
        </is>
      </c>
      <c r="J16" s="11" t="inlineStr">
        <is>
          <t xml:space="preserve">ESTRUCTURA TECHO CASA </t>
        </is>
      </c>
      <c r="K16" s="1004">
        <f>+$D$27</f>
        <v/>
      </c>
      <c r="L16" s="1004">
        <f>+$A$27</f>
        <v/>
      </c>
    </row>
    <row r="17">
      <c r="A17" s="1005" t="inlineStr">
        <is>
          <t>Losa</t>
        </is>
      </c>
      <c r="B17" s="1006" t="n">
        <v>8</v>
      </c>
      <c r="C17" s="977" t="n">
        <v>22800</v>
      </c>
      <c r="D17" s="977">
        <f>+C17/B17</f>
        <v/>
      </c>
      <c r="I17" s="18" t="inlineStr">
        <is>
          <t>1.3.2</t>
        </is>
      </c>
      <c r="J17" s="11" t="inlineStr">
        <is>
          <t>ESTRUCTURA TECHO COCHERA</t>
        </is>
      </c>
      <c r="K17" s="1004">
        <f>+$D$27</f>
        <v/>
      </c>
      <c r="L17" s="1004">
        <f>+$A$27</f>
        <v/>
      </c>
    </row>
    <row r="18">
      <c r="A18" s="1007" t="inlineStr">
        <is>
          <t>Losa 2</t>
        </is>
      </c>
      <c r="B18" s="1008" t="n">
        <v>3</v>
      </c>
      <c r="C18" s="979" t="n">
        <v>8400</v>
      </c>
      <c r="D18" s="979">
        <f>+C18/B18</f>
        <v/>
      </c>
      <c r="I18" s="18" t="inlineStr">
        <is>
          <t>1.3.3</t>
        </is>
      </c>
      <c r="J18" s="11" t="inlineStr">
        <is>
          <t xml:space="preserve">CUBIERTA TECHO CASA </t>
        </is>
      </c>
      <c r="K18" s="982">
        <f>+$D$8</f>
        <v/>
      </c>
      <c r="L18" s="982">
        <f>+$A$8</f>
        <v/>
      </c>
    </row>
    <row r="19">
      <c r="A19" s="1009" t="inlineStr">
        <is>
          <t>Losa Sanitaria</t>
        </is>
      </c>
      <c r="B19" s="1010" t="n">
        <v>1</v>
      </c>
      <c r="C19" s="1011" t="n">
        <v>3300</v>
      </c>
      <c r="D19" s="1011">
        <f>+C19/B19</f>
        <v/>
      </c>
      <c r="I19" s="18" t="inlineStr">
        <is>
          <t>1.3.4</t>
        </is>
      </c>
      <c r="J19" s="11" t="inlineStr">
        <is>
          <t xml:space="preserve">CUBIERTA TECHO COCHERA </t>
        </is>
      </c>
      <c r="K19" s="982">
        <f>+$D$8</f>
        <v/>
      </c>
      <c r="L19" s="982">
        <f>+$A$8</f>
        <v/>
      </c>
    </row>
    <row r="20">
      <c r="A20" s="419" t="inlineStr">
        <is>
          <t>Maderas (FABRICA)</t>
        </is>
      </c>
      <c r="B20" s="481" t="n">
        <v>9</v>
      </c>
      <c r="C20" s="978" t="n">
        <v>26700</v>
      </c>
      <c r="D20" s="978">
        <f>+C20/B20</f>
        <v/>
      </c>
      <c r="I20" s="18" t="inlineStr">
        <is>
          <t>1.3.5</t>
        </is>
      </c>
      <c r="J20" s="39" t="inlineStr">
        <is>
          <t xml:space="preserve">GRADAS ESTRUCTURA, PINTADO Y ACABADO </t>
        </is>
      </c>
      <c r="K20" s="1004">
        <f>+$D$27</f>
        <v/>
      </c>
      <c r="L20" s="1004">
        <f>+$A$27</f>
        <v/>
      </c>
    </row>
    <row r="21">
      <c r="A21" s="419" t="inlineStr">
        <is>
          <t>Mantenimiento</t>
        </is>
      </c>
      <c r="B21" s="481" t="n">
        <v>3</v>
      </c>
      <c r="C21" s="978" t="n">
        <v>9600</v>
      </c>
      <c r="D21" s="978">
        <f>+C21/B21</f>
        <v/>
      </c>
      <c r="I21" s="18" t="inlineStr">
        <is>
          <t>1.3.6</t>
        </is>
      </c>
      <c r="J21" s="11" t="inlineStr">
        <is>
          <t xml:space="preserve">BARANDA DE GRADAS (N2) </t>
        </is>
      </c>
      <c r="K21" s="1004">
        <f>+$D$27</f>
        <v/>
      </c>
      <c r="L21" s="1004">
        <f>+$A$27</f>
        <v/>
      </c>
    </row>
    <row r="22">
      <c r="A22" s="1012" t="inlineStr">
        <is>
          <t>Muebles</t>
        </is>
      </c>
      <c r="B22" s="1013" t="n">
        <v>13</v>
      </c>
      <c r="C22" s="1014" t="n">
        <v>39600</v>
      </c>
      <c r="D22" s="1014">
        <f>+C22/B22</f>
        <v/>
      </c>
      <c r="I22" s="18" t="inlineStr">
        <is>
          <t>1.3.7</t>
        </is>
      </c>
      <c r="J22" s="11" t="inlineStr">
        <is>
          <t>ESTRUCTURA METÁLICA INTERNA</t>
        </is>
      </c>
      <c r="K22" s="1004">
        <f>+$D$27</f>
        <v/>
      </c>
      <c r="L22" s="1004">
        <f>+$A$27</f>
        <v/>
      </c>
    </row>
    <row r="23">
      <c r="A23" s="1015" t="inlineStr">
        <is>
          <t>Pintura</t>
        </is>
      </c>
      <c r="B23" s="1016" t="n">
        <v>8</v>
      </c>
      <c r="C23" s="1017" t="n">
        <v>25500</v>
      </c>
      <c r="D23" s="1017">
        <f>+C23/B23</f>
        <v/>
      </c>
      <c r="I23" s="104" t="n">
        <v>1.4</v>
      </c>
      <c r="J23" s="972" t="inlineStr">
        <is>
          <t>HOJALATERIA</t>
        </is>
      </c>
      <c r="K23" s="973" t="inlineStr">
        <is>
          <t>HOJALATERIA</t>
        </is>
      </c>
      <c r="L23" s="60" t="n"/>
    </row>
    <row r="24">
      <c r="A24" s="1018" t="inlineStr">
        <is>
          <t>Prefabricados</t>
        </is>
      </c>
      <c r="B24" s="1019" t="n">
        <v>2</v>
      </c>
      <c r="C24" s="1020" t="n">
        <v>5700</v>
      </c>
      <c r="D24" s="1020">
        <f>+C24/B24</f>
        <v/>
      </c>
      <c r="I24" s="18" t="inlineStr">
        <is>
          <t>1.4.1</t>
        </is>
      </c>
      <c r="J24" s="11" t="inlineStr">
        <is>
          <t xml:space="preserve">CANOAS Y BOTAGUAS </t>
        </is>
      </c>
      <c r="K24" s="1000">
        <f>+$D$14</f>
        <v/>
      </c>
      <c r="L24" s="1000">
        <f>+$A$14</f>
        <v/>
      </c>
    </row>
    <row r="25">
      <c r="A25" s="1021" t="inlineStr">
        <is>
          <t>Puertas</t>
        </is>
      </c>
      <c r="B25" s="1022" t="n">
        <v>4</v>
      </c>
      <c r="C25" s="1023" t="n">
        <v>13050</v>
      </c>
      <c r="D25" s="1023">
        <f>+C25/B25</f>
        <v/>
      </c>
      <c r="I25" s="18" t="inlineStr">
        <is>
          <t>1.4.2</t>
        </is>
      </c>
      <c r="J25" s="11" t="inlineStr">
        <is>
          <t xml:space="preserve">BAJANTES </t>
        </is>
      </c>
      <c r="K25" s="1000">
        <f>+$D$14</f>
        <v/>
      </c>
      <c r="L25" s="1000">
        <f>+$A$14</f>
        <v/>
      </c>
    </row>
    <row r="26">
      <c r="A26" s="1024" t="inlineStr">
        <is>
          <t>Repello</t>
        </is>
      </c>
      <c r="B26" s="1025" t="n">
        <v>13</v>
      </c>
      <c r="C26" s="1026" t="n">
        <v>39300</v>
      </c>
      <c r="D26" s="1026">
        <f>+C26/B26</f>
        <v/>
      </c>
      <c r="I26" s="104" t="n">
        <v>1.5</v>
      </c>
      <c r="J26" s="972" t="inlineStr">
        <is>
          <t>OBRAS COMPLEMENTARIAS</t>
        </is>
      </c>
      <c r="K26" s="973" t="inlineStr">
        <is>
          <t>OBRAS COMPLEMENTARIAS</t>
        </is>
      </c>
      <c r="L26" s="60" t="n"/>
    </row>
    <row r="27">
      <c r="A27" s="1027" t="inlineStr">
        <is>
          <t>Soldadura</t>
        </is>
      </c>
      <c r="B27" s="1028" t="n">
        <v>13</v>
      </c>
      <c r="C27" s="1004" t="n">
        <v>38250</v>
      </c>
      <c r="D27" s="1004">
        <f>+C27/B27</f>
        <v/>
      </c>
      <c r="I27" s="18" t="inlineStr">
        <is>
          <t>1.5.1</t>
        </is>
      </c>
      <c r="J27" s="11" t="inlineStr">
        <is>
          <t xml:space="preserve">GRADAS EN CONCRETO </t>
        </is>
      </c>
      <c r="K27" s="976">
        <f>+$D$5</f>
        <v/>
      </c>
      <c r="L27" s="976">
        <f>+$A$5</f>
        <v/>
      </c>
    </row>
    <row r="28">
      <c r="A28" s="960" t="n"/>
      <c r="B28" s="961" t="n"/>
      <c r="C28" s="960" t="n"/>
      <c r="D28" s="960" t="n"/>
      <c r="I28" s="18" t="inlineStr">
        <is>
          <t>1.5.2</t>
        </is>
      </c>
      <c r="J28" s="11" t="inlineStr">
        <is>
          <t>COLUMNAS (MEDIDOR)</t>
        </is>
      </c>
      <c r="K28" s="976">
        <f>+$D$5</f>
        <v/>
      </c>
      <c r="L28" s="976">
        <f>+$A$5</f>
        <v/>
      </c>
    </row>
    <row r="29">
      <c r="I29" s="18" t="inlineStr">
        <is>
          <t>1.5.3</t>
        </is>
      </c>
      <c r="J29" s="11" t="inlineStr">
        <is>
          <t xml:space="preserve">CHORREA DE COCHERAS Y PILAS </t>
        </is>
      </c>
      <c r="K29" s="976">
        <f>+$D$5</f>
        <v/>
      </c>
      <c r="L29" s="976">
        <f>+$A$5</f>
        <v/>
      </c>
    </row>
    <row r="30">
      <c r="I30" s="18" t="inlineStr">
        <is>
          <t>1.5.4</t>
        </is>
      </c>
      <c r="J30" s="11" t="inlineStr">
        <is>
          <t xml:space="preserve">TAPIAS PREFABRICADAS </t>
        </is>
      </c>
      <c r="K30" s="976">
        <f>+D24</f>
        <v/>
      </c>
      <c r="L30" s="976">
        <f>+A24</f>
        <v/>
      </c>
    </row>
    <row r="31">
      <c r="I31" s="18" t="inlineStr">
        <is>
          <t>1.5.5</t>
        </is>
      </c>
      <c r="J31" s="11" t="inlineStr">
        <is>
          <t>ACERAS</t>
        </is>
      </c>
      <c r="K31" s="976">
        <f>+$D$5</f>
        <v/>
      </c>
      <c r="L31" s="976">
        <f>+$A$5</f>
        <v/>
      </c>
    </row>
    <row r="32">
      <c r="I32" s="114" t="n">
        <v>1.6</v>
      </c>
      <c r="J32" s="972" t="inlineStr">
        <is>
          <t xml:space="preserve">LIVIANO </t>
        </is>
      </c>
      <c r="K32" s="973" t="inlineStr">
        <is>
          <t xml:space="preserve">LIVIANO </t>
        </is>
      </c>
      <c r="L32" s="60" t="n"/>
    </row>
    <row r="33">
      <c r="I33" s="116" t="inlineStr">
        <is>
          <t>1.6.1</t>
        </is>
      </c>
      <c r="J33" s="39" t="inlineStr">
        <is>
          <t>LIVIANO EXTERIORES (PRECINTA Y TAPICHELES, ALEROS)</t>
        </is>
      </c>
      <c r="K33" s="997">
        <f>+$D$13</f>
        <v/>
      </c>
      <c r="L33" s="997">
        <f>+$A$13</f>
        <v/>
      </c>
    </row>
    <row r="34">
      <c r="I34" s="116" t="inlineStr">
        <is>
          <t>1.6.2</t>
        </is>
      </c>
      <c r="J34" s="39" t="inlineStr">
        <is>
          <t>LIVIANO INTERIORES ( PAREDES LIVIANAS Y CIELOS)</t>
        </is>
      </c>
      <c r="K34" s="997">
        <f>+$D$13</f>
        <v/>
      </c>
      <c r="L34" s="997">
        <f>+$A$13</f>
        <v/>
      </c>
    </row>
    <row r="35">
      <c r="I35" s="1029" t="n">
        <v>2</v>
      </c>
      <c r="J35" s="966" t="inlineStr">
        <is>
          <t>ACABADOS</t>
        </is>
      </c>
      <c r="K35" s="967" t="inlineStr">
        <is>
          <t>ACABADOS</t>
        </is>
      </c>
      <c r="L35" s="968" t="n"/>
    </row>
    <row r="36">
      <c r="I36" s="104" t="n">
        <v>2.1</v>
      </c>
      <c r="J36" s="972" t="inlineStr">
        <is>
          <t>REPELLOS Y EMPASTE</t>
        </is>
      </c>
      <c r="K36" s="973" t="inlineStr">
        <is>
          <t>REPELLOS Y EMPASTE</t>
        </is>
      </c>
      <c r="L36" s="60" t="n"/>
    </row>
    <row r="37">
      <c r="I37" s="18" t="inlineStr">
        <is>
          <t>2.1.1</t>
        </is>
      </c>
      <c r="J37" s="11" t="inlineStr">
        <is>
          <t xml:space="preserve">REPELLOS INTERNO Y EXTERNO </t>
        </is>
      </c>
      <c r="K37" s="1026">
        <f>+$D$26</f>
        <v/>
      </c>
      <c r="L37" s="1026">
        <f>+$A$26</f>
        <v/>
      </c>
    </row>
    <row r="38">
      <c r="I38" s="18" t="inlineStr">
        <is>
          <t>2.1.2</t>
        </is>
      </c>
      <c r="J38" s="11" t="inlineStr">
        <is>
          <t xml:space="preserve">EMPASTE </t>
        </is>
      </c>
      <c r="K38" s="985">
        <f>+$D$9</f>
        <v/>
      </c>
      <c r="L38" s="985">
        <f>+$A$9</f>
        <v/>
      </c>
    </row>
    <row r="39">
      <c r="I39" s="84" t="n">
        <v>2.2</v>
      </c>
      <c r="J39" s="972" t="inlineStr">
        <is>
          <t>ENCHAPES</t>
        </is>
      </c>
      <c r="K39" s="972" t="inlineStr">
        <is>
          <t>ENCHAPES</t>
        </is>
      </c>
      <c r="L39" s="972" t="inlineStr">
        <is>
          <t>ENCHAPES</t>
        </is>
      </c>
    </row>
    <row r="40">
      <c r="I40" s="18" t="inlineStr">
        <is>
          <t>2.2.1</t>
        </is>
      </c>
      <c r="J40" s="11" t="inlineStr">
        <is>
          <t>ENCHAPES PAREDES, PISOS Y FACHADA</t>
        </is>
      </c>
      <c r="K40" s="988">
        <f>+$D$10</f>
        <v/>
      </c>
      <c r="L40" s="988">
        <f>+$A$10</f>
        <v/>
      </c>
    </row>
    <row r="41">
      <c r="I41" s="84" t="n">
        <v>2.3</v>
      </c>
      <c r="J41" s="972" t="inlineStr">
        <is>
          <t>PINTURA/ IMPERMEABILIZANTE</t>
        </is>
      </c>
      <c r="K41" s="973" t="inlineStr">
        <is>
          <t>PINTURA/ IMPERMEABILIZANTE</t>
        </is>
      </c>
      <c r="L41" s="60" t="n"/>
    </row>
    <row r="42">
      <c r="I42" s="18" t="inlineStr">
        <is>
          <t>2.3.1</t>
        </is>
      </c>
      <c r="J42" s="11" t="inlineStr">
        <is>
          <t>PINTURA PAREDES Y CIELOS</t>
        </is>
      </c>
      <c r="K42" s="1017">
        <f>+$D$23</f>
        <v/>
      </c>
      <c r="L42" s="1017">
        <f>+$A$23</f>
        <v/>
      </c>
    </row>
    <row r="43">
      <c r="I43" s="18" t="inlineStr">
        <is>
          <t>2.3.2</t>
        </is>
      </c>
      <c r="J43" s="11" t="inlineStr">
        <is>
          <t>ACABADOS DE AZOTEA</t>
        </is>
      </c>
      <c r="K43" s="1017">
        <f>+$D$23</f>
        <v/>
      </c>
      <c r="L43" s="1017">
        <f>+$A$23</f>
        <v/>
      </c>
    </row>
    <row r="44">
      <c r="I44" s="18" t="inlineStr">
        <is>
          <t>2.3.3</t>
        </is>
      </c>
      <c r="J44" s="11" t="inlineStr">
        <is>
          <t xml:space="preserve">PONCHEO FINAL </t>
        </is>
      </c>
      <c r="K44" s="1003">
        <f>+$D$16</f>
        <v/>
      </c>
      <c r="L44" s="1003">
        <f>+$A$16</f>
        <v/>
      </c>
    </row>
    <row r="45">
      <c r="I45" s="84" t="n">
        <v>2.4</v>
      </c>
      <c r="J45" s="972" t="inlineStr">
        <is>
          <t>MADERAS</t>
        </is>
      </c>
      <c r="K45" s="973" t="inlineStr">
        <is>
          <t>MADERAS</t>
        </is>
      </c>
      <c r="L45" s="60" t="n"/>
    </row>
    <row r="46">
      <c r="I46" s="18" t="inlineStr">
        <is>
          <t>2.4.1</t>
        </is>
      </c>
      <c r="J46" s="11" t="inlineStr">
        <is>
          <t>CIELOS</t>
        </is>
      </c>
      <c r="K46" s="555" t="inlineStr">
        <is>
          <t>NA</t>
        </is>
      </c>
      <c r="L46" s="555" t="inlineStr">
        <is>
          <t>NA</t>
        </is>
      </c>
    </row>
    <row r="47">
      <c r="I47" s="18" t="inlineStr">
        <is>
          <t>2.4.2</t>
        </is>
      </c>
      <c r="J47" s="11" t="inlineStr">
        <is>
          <t>PANEL ACANALADO</t>
        </is>
      </c>
      <c r="K47" s="555" t="inlineStr">
        <is>
          <t>NA</t>
        </is>
      </c>
      <c r="L47" s="555" t="inlineStr">
        <is>
          <t>NA</t>
        </is>
      </c>
    </row>
    <row r="48">
      <c r="I48" s="84" t="n">
        <v>2.5</v>
      </c>
      <c r="J48" s="972" t="inlineStr">
        <is>
          <t xml:space="preserve">VENTANERIA </t>
        </is>
      </c>
      <c r="K48" s="973" t="inlineStr">
        <is>
          <t xml:space="preserve">VENTANERIA </t>
        </is>
      </c>
      <c r="L48" s="60" t="n"/>
    </row>
    <row r="49">
      <c r="I49" s="18" t="inlineStr">
        <is>
          <t>2.5.1</t>
        </is>
      </c>
      <c r="J49" s="11" t="inlineStr">
        <is>
          <t xml:space="preserve">VENTANERIA </t>
        </is>
      </c>
      <c r="K49" s="555" t="inlineStr">
        <is>
          <t>NA</t>
        </is>
      </c>
      <c r="L49" s="555" t="inlineStr">
        <is>
          <t>NA</t>
        </is>
      </c>
    </row>
    <row r="50">
      <c r="I50" s="84" t="n">
        <v>2.6</v>
      </c>
      <c r="J50" s="972" t="inlineStr">
        <is>
          <t xml:space="preserve">MUEBLES Y PUERTAS </t>
        </is>
      </c>
      <c r="K50" s="973" t="inlineStr">
        <is>
          <t xml:space="preserve">MUEBLES Y PUERTAS </t>
        </is>
      </c>
      <c r="L50" s="60" t="n"/>
    </row>
    <row r="51">
      <c r="I51" s="18" t="inlineStr">
        <is>
          <t>2.6.1</t>
        </is>
      </c>
      <c r="J51" s="11" t="inlineStr">
        <is>
          <t xml:space="preserve">MUEBLES </t>
        </is>
      </c>
      <c r="K51" s="1014">
        <f>+D22</f>
        <v/>
      </c>
      <c r="L51" s="1014">
        <f>+A22</f>
        <v/>
      </c>
    </row>
    <row r="52">
      <c r="I52" s="18" t="inlineStr">
        <is>
          <t>2.6.2</t>
        </is>
      </c>
      <c r="J52" s="11" t="inlineStr">
        <is>
          <t xml:space="preserve">PUERTAS Y RODAPIE </t>
        </is>
      </c>
      <c r="K52" s="1023">
        <f>+$D$25</f>
        <v/>
      </c>
      <c r="L52" s="1023">
        <f>+$A$25</f>
        <v/>
      </c>
    </row>
    <row r="53">
      <c r="I53" s="84" t="n">
        <v>2.7</v>
      </c>
      <c r="J53" s="972" t="inlineStr">
        <is>
          <t>LOZA SANITARIA</t>
        </is>
      </c>
      <c r="K53" s="973" t="inlineStr">
        <is>
          <t>LOZA SANITARIA</t>
        </is>
      </c>
      <c r="L53" s="60" t="n"/>
    </row>
    <row r="54">
      <c r="I54" s="18" t="inlineStr">
        <is>
          <t>2.7.1</t>
        </is>
      </c>
      <c r="J54" s="11" t="inlineStr">
        <is>
          <t>LOSA SANITARIA, GRIFERIA</t>
        </is>
      </c>
      <c r="K54" s="1011">
        <f>+D19</f>
        <v/>
      </c>
      <c r="L54" s="1011">
        <f>+A19</f>
        <v/>
      </c>
    </row>
    <row r="55">
      <c r="I55" s="84" t="n">
        <v>2.8</v>
      </c>
      <c r="J55" s="972" t="inlineStr">
        <is>
          <t xml:space="preserve">ZACATE </t>
        </is>
      </c>
      <c r="K55" s="973" t="inlineStr">
        <is>
          <t xml:space="preserve">ZACATE </t>
        </is>
      </c>
      <c r="L55" s="60" t="n"/>
    </row>
    <row r="56">
      <c r="I56" s="18" t="inlineStr">
        <is>
          <t>2.8.1</t>
        </is>
      </c>
      <c r="J56" s="11" t="inlineStr">
        <is>
          <t xml:space="preserve">ZACATE </t>
        </is>
      </c>
      <c r="K56" s="971">
        <f>+$D$4</f>
        <v/>
      </c>
      <c r="L56" s="971">
        <f>+$A$4</f>
        <v/>
      </c>
    </row>
    <row r="57">
      <c r="I57" s="118" t="n">
        <v>3</v>
      </c>
      <c r="J57" s="120" t="inlineStr">
        <is>
          <t>ELECTROMECANICO</t>
        </is>
      </c>
      <c r="K57" s="120" t="inlineStr">
        <is>
          <t>ELECTROMECANICO</t>
        </is>
      </c>
      <c r="L57" s="862" t="n"/>
    </row>
    <row r="58">
      <c r="I58" s="104" t="n">
        <v>3.1</v>
      </c>
      <c r="J58" s="972" t="inlineStr">
        <is>
          <t xml:space="preserve">ELÉCTRICO </t>
        </is>
      </c>
      <c r="K58" s="973" t="inlineStr">
        <is>
          <t xml:space="preserve">ELÉCTRICO </t>
        </is>
      </c>
      <c r="L58" s="60" t="n"/>
    </row>
    <row r="59">
      <c r="I59" s="18" t="inlineStr">
        <is>
          <t>3.1.1</t>
        </is>
      </c>
      <c r="J59" s="11" t="inlineStr">
        <is>
          <t>ACOMETIDA</t>
        </is>
      </c>
      <c r="K59" s="555" t="inlineStr">
        <is>
          <t>NA</t>
        </is>
      </c>
      <c r="L59" s="555" t="inlineStr">
        <is>
          <t>NA</t>
        </is>
      </c>
    </row>
    <row r="60">
      <c r="I60" s="18" t="inlineStr">
        <is>
          <t>3.1.2</t>
        </is>
      </c>
      <c r="J60" s="11" t="inlineStr">
        <is>
          <t xml:space="preserve">ELÉCTRICO MUROS </t>
        </is>
      </c>
      <c r="K60" s="555" t="inlineStr">
        <is>
          <t>NA</t>
        </is>
      </c>
      <c r="L60" s="555" t="inlineStr">
        <is>
          <t>NA</t>
        </is>
      </c>
    </row>
    <row r="61">
      <c r="I61" s="18" t="inlineStr">
        <is>
          <t>3.1.3</t>
        </is>
      </c>
      <c r="J61" s="11" t="inlineStr">
        <is>
          <t>ELECTRICO ENTREPISO</t>
        </is>
      </c>
      <c r="K61" s="555" t="inlineStr">
        <is>
          <t>NA</t>
        </is>
      </c>
      <c r="L61" s="555" t="inlineStr">
        <is>
          <t>NA</t>
        </is>
      </c>
    </row>
    <row r="62">
      <c r="I62" s="18" t="inlineStr">
        <is>
          <t>3.1.4</t>
        </is>
      </c>
      <c r="J62" s="11" t="inlineStr">
        <is>
          <t>ELECTRICO AZOTEA</t>
        </is>
      </c>
      <c r="K62" s="555" t="inlineStr">
        <is>
          <t>NA</t>
        </is>
      </c>
      <c r="L62" s="555" t="inlineStr">
        <is>
          <t>NA</t>
        </is>
      </c>
    </row>
    <row r="63">
      <c r="I63" s="18" t="inlineStr">
        <is>
          <t>3.1.5</t>
        </is>
      </c>
      <c r="J63" s="11" t="inlineStr">
        <is>
          <t xml:space="preserve">ELÉCTRICO ILUMINACIÓN </t>
        </is>
      </c>
      <c r="K63" s="555" t="inlineStr">
        <is>
          <t>NA</t>
        </is>
      </c>
      <c r="L63" s="555" t="inlineStr">
        <is>
          <t>NA</t>
        </is>
      </c>
    </row>
    <row r="64">
      <c r="I64" s="18" t="inlineStr">
        <is>
          <t>3.1.6</t>
        </is>
      </c>
      <c r="J64" s="11" t="inlineStr">
        <is>
          <t xml:space="preserve">BASE MEDIDOR </t>
        </is>
      </c>
      <c r="K64" s="555" t="inlineStr">
        <is>
          <t>NA</t>
        </is>
      </c>
      <c r="L64" s="555" t="inlineStr">
        <is>
          <t>NA</t>
        </is>
      </c>
    </row>
    <row r="65">
      <c r="I65" s="18" t="inlineStr">
        <is>
          <t>3.1.7</t>
        </is>
      </c>
      <c r="J65" s="11" t="inlineStr">
        <is>
          <t xml:space="preserve">TABLERO ELÉCTRICO </t>
        </is>
      </c>
      <c r="K65" s="555" t="inlineStr">
        <is>
          <t>NA</t>
        </is>
      </c>
      <c r="L65" s="555" t="inlineStr">
        <is>
          <t>NA</t>
        </is>
      </c>
    </row>
    <row r="66">
      <c r="I66" s="18" t="inlineStr">
        <is>
          <t>3.1.8</t>
        </is>
      </c>
      <c r="J66" s="11" t="inlineStr">
        <is>
          <t xml:space="preserve">CABLEADO ELÉCTRICO </t>
        </is>
      </c>
      <c r="K66" s="555" t="inlineStr">
        <is>
          <t>NA</t>
        </is>
      </c>
      <c r="L66" s="555" t="inlineStr">
        <is>
          <t>NA</t>
        </is>
      </c>
    </row>
    <row r="67">
      <c r="I67" s="18" t="inlineStr">
        <is>
          <t>3.1.9</t>
        </is>
      </c>
      <c r="J67" s="11" t="inlineStr">
        <is>
          <t xml:space="preserve">PLAQUERIA </t>
        </is>
      </c>
      <c r="K67" s="555" t="inlineStr">
        <is>
          <t>NA</t>
        </is>
      </c>
      <c r="L67" s="555" t="inlineStr">
        <is>
          <t>NA</t>
        </is>
      </c>
    </row>
    <row r="68">
      <c r="I68" s="18" t="inlineStr">
        <is>
          <t>3.1.10</t>
        </is>
      </c>
      <c r="J68" s="11" t="inlineStr">
        <is>
          <t>ACABADOS FINALES Y BREAKERS</t>
        </is>
      </c>
      <c r="K68" s="555" t="inlineStr">
        <is>
          <t>NA</t>
        </is>
      </c>
      <c r="L68" s="555" t="inlineStr">
        <is>
          <t>NA</t>
        </is>
      </c>
    </row>
    <row r="69">
      <c r="I69" s="84" t="n">
        <v>3.2</v>
      </c>
      <c r="J69" s="972" t="inlineStr">
        <is>
          <t xml:space="preserve">MECÁNICO </t>
        </is>
      </c>
      <c r="K69" s="973" t="inlineStr">
        <is>
          <t xml:space="preserve">MECÁNICO </t>
        </is>
      </c>
      <c r="L69" s="60" t="n"/>
    </row>
    <row r="70">
      <c r="I70" s="18" t="inlineStr">
        <is>
          <t>3.2.1</t>
        </is>
      </c>
      <c r="J70" s="11" t="inlineStr">
        <is>
          <t xml:space="preserve">EXCAVACION TUBERIA SANITARIA </t>
        </is>
      </c>
      <c r="K70" s="991">
        <f>+$D$11</f>
        <v/>
      </c>
      <c r="L70" s="991">
        <f>+$A$11</f>
        <v/>
      </c>
    </row>
    <row r="71">
      <c r="I71" s="18" t="inlineStr">
        <is>
          <t>3.2.2</t>
        </is>
      </c>
      <c r="J71" s="11" t="inlineStr">
        <is>
          <t>POTABLE DE LOSA</t>
        </is>
      </c>
      <c r="K71" s="991">
        <f>+$D$11</f>
        <v/>
      </c>
      <c r="L71" s="991">
        <f>+$A$11</f>
        <v/>
      </c>
    </row>
    <row r="72">
      <c r="I72" s="18" t="inlineStr">
        <is>
          <t>3.2.2.1</t>
        </is>
      </c>
      <c r="J72" s="39" t="inlineStr">
        <is>
          <t>POTABLE DE ENTREPISO</t>
        </is>
      </c>
      <c r="K72" s="991">
        <f>+$D$11</f>
        <v/>
      </c>
      <c r="L72" s="991">
        <f>+$A$11</f>
        <v/>
      </c>
    </row>
    <row r="73">
      <c r="I73" s="18" t="inlineStr">
        <is>
          <t>3.2.2.2</t>
        </is>
      </c>
      <c r="J73" s="11" t="inlineStr">
        <is>
          <t>SANITARIO DE ENTREPISO</t>
        </is>
      </c>
      <c r="K73" s="991">
        <f>+$D$11</f>
        <v/>
      </c>
      <c r="L73" s="991">
        <f>+$A$11</f>
        <v/>
      </c>
    </row>
    <row r="74">
      <c r="I74" s="18" t="inlineStr">
        <is>
          <t>3.2.3</t>
        </is>
      </c>
      <c r="J74" s="11" t="inlineStr">
        <is>
          <t>TUBERÍA MECÁNICA MUROS</t>
        </is>
      </c>
      <c r="K74" s="991">
        <f>+$D$11</f>
        <v/>
      </c>
      <c r="L74" s="991">
        <f>+$A$11</f>
        <v/>
      </c>
    </row>
    <row r="75">
      <c r="I75" s="18" t="inlineStr">
        <is>
          <t>3.2.4</t>
        </is>
      </c>
      <c r="J75" s="39" t="inlineStr">
        <is>
          <t xml:space="preserve">CAJAS Y TUBERIAS MECÁNICAS </t>
        </is>
      </c>
      <c r="K75" s="991">
        <f>+$D$11</f>
        <v/>
      </c>
      <c r="L75" s="991">
        <f>+$A$11</f>
        <v/>
      </c>
    </row>
    <row r="76">
      <c r="I76" s="18" t="inlineStr">
        <is>
          <t>3.2.5</t>
        </is>
      </c>
      <c r="J76" s="39" t="inlineStr">
        <is>
          <t xml:space="preserve">ACABADOS MECÁNICOS </t>
        </is>
      </c>
      <c r="K76" s="991">
        <f>+$D$11</f>
        <v/>
      </c>
      <c r="L76" s="991">
        <f>+$A$11</f>
        <v/>
      </c>
    </row>
    <row r="77">
      <c r="I77" s="18" t="inlineStr">
        <is>
          <t>3.2.6</t>
        </is>
      </c>
      <c r="J77" s="39" t="inlineStr">
        <is>
          <t>MEDIDOR</t>
        </is>
      </c>
      <c r="K77" s="991">
        <f>+$D$11</f>
        <v/>
      </c>
      <c r="L77" s="991">
        <f>+$A$11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N104"/>
  <sheetViews>
    <sheetView workbookViewId="0">
      <selection activeCell="A1" sqref="A1"/>
    </sheetView>
  </sheetViews>
  <sheetFormatPr baseColWidth="8" defaultRowHeight="15"/>
  <sheetData>
    <row r="1">
      <c r="B1" s="1030" t="inlineStr">
        <is>
          <t xml:space="preserve">Proyecto: </t>
        </is>
      </c>
    </row>
    <row r="2">
      <c r="B2" s="1169" t="n"/>
    </row>
    <row r="3">
      <c r="B3" s="1030" t="inlineStr">
        <is>
          <t>Gastos Generales</t>
        </is>
      </c>
    </row>
    <row r="4">
      <c r="B4" s="1030" t="inlineStr">
        <is>
          <t>CIERRE DE PRESUPUESTOS</t>
        </is>
      </c>
      <c r="C4" s="1032" t="n"/>
      <c r="D4" s="1033" t="inlineStr">
        <is>
          <t>m2</t>
        </is>
      </c>
      <c r="J4" s="1033" t="inlineStr">
        <is>
          <t>Indirectos</t>
        </is>
      </c>
    </row>
    <row r="5">
      <c r="B5" s="1032" t="inlineStr">
        <is>
          <t>TC</t>
        </is>
      </c>
      <c r="C5" s="1032" t="n"/>
      <c r="D5" s="1033" t="n"/>
      <c r="E5" s="1034" t="inlineStr">
        <is>
          <t>Dias</t>
        </is>
      </c>
      <c r="F5" s="1034" t="inlineStr">
        <is>
          <t>Meses</t>
        </is>
      </c>
      <c r="G5" s="1034" t="inlineStr">
        <is>
          <t>Semanas</t>
        </is>
      </c>
      <c r="J5" s="1034" t="inlineStr">
        <is>
          <t>Mat</t>
        </is>
      </c>
      <c r="K5" s="1034" t="inlineStr">
        <is>
          <t>MO sin cargas</t>
        </is>
      </c>
      <c r="L5" s="1034" t="inlineStr">
        <is>
          <t>SUB</t>
        </is>
      </c>
    </row>
    <row r="6">
      <c r="B6" s="1035" t="inlineStr">
        <is>
          <t>Plazo de xxxx a xxxx dias</t>
        </is>
      </c>
      <c r="D6" s="1033" t="n"/>
      <c r="E6" s="1036" t="n">
        <v>0</v>
      </c>
      <c r="F6" s="1034">
        <f>+E6/30</f>
        <v/>
      </c>
      <c r="G6" s="1037">
        <f>+F6*4.33</f>
        <v/>
      </c>
      <c r="J6" s="1035">
        <f>SUM(J15:J89)</f>
        <v/>
      </c>
      <c r="K6" s="1035">
        <f>SUM(K15:K75)</f>
        <v/>
      </c>
      <c r="L6" s="1035">
        <f>SUM(L15:L89)</f>
        <v/>
      </c>
    </row>
    <row r="7">
      <c r="B7" s="1038" t="n"/>
      <c r="C7" s="1032" t="n"/>
      <c r="D7" s="1033" t="n"/>
    </row>
    <row r="8">
      <c r="B8" s="1039" t="n"/>
      <c r="C8" s="1039" t="n"/>
      <c r="D8" s="1040" t="n"/>
      <c r="E8" s="1040" t="n"/>
      <c r="F8" s="1041" t="n"/>
      <c r="G8" s="1042" t="inlineStr">
        <is>
          <t>MAT.</t>
        </is>
      </c>
      <c r="H8" s="1040" t="inlineStr">
        <is>
          <t>M.deO.</t>
        </is>
      </c>
      <c r="I8" s="1043" t="inlineStr">
        <is>
          <t>S.C.</t>
        </is>
      </c>
      <c r="J8" s="1044" t="inlineStr">
        <is>
          <t>MAT.</t>
        </is>
      </c>
      <c r="K8" s="1044" t="inlineStr">
        <is>
          <t>M.deO.</t>
        </is>
      </c>
      <c r="L8" s="1044" t="inlineStr">
        <is>
          <t>S.C.</t>
        </is>
      </c>
      <c r="M8" s="1045" t="n"/>
    </row>
    <row r="9">
      <c r="B9" s="1046" t="inlineStr">
        <is>
          <t>DESCRIPCION</t>
        </is>
      </c>
      <c r="C9" s="1046" t="inlineStr">
        <is>
          <t>CANT.</t>
        </is>
      </c>
      <c r="D9" s="1047" t="inlineStr">
        <is>
          <t>UNID.</t>
        </is>
      </c>
      <c r="E9" s="1047" t="inlineStr">
        <is>
          <t>%</t>
        </is>
      </c>
      <c r="F9" s="1048" t="inlineStr">
        <is>
          <t>TOTAL</t>
        </is>
      </c>
      <c r="G9" s="1046" t="inlineStr">
        <is>
          <t>UNIT.</t>
        </is>
      </c>
      <c r="H9" s="1047" t="inlineStr">
        <is>
          <t>UNIT.</t>
        </is>
      </c>
      <c r="I9" s="1048" t="inlineStr">
        <is>
          <t>UNIT.</t>
        </is>
      </c>
      <c r="J9" s="1049" t="inlineStr">
        <is>
          <t>TOTAL</t>
        </is>
      </c>
      <c r="K9" s="1049" t="inlineStr">
        <is>
          <t>TOTAL</t>
        </is>
      </c>
      <c r="L9" s="1049" t="inlineStr">
        <is>
          <t>TOTAL</t>
        </is>
      </c>
      <c r="M9" s="1045" t="n"/>
    </row>
    <row r="10">
      <c r="B10" s="1050" t="n"/>
      <c r="C10" s="1050" t="n"/>
      <c r="D10" s="1050" t="n"/>
      <c r="E10" s="1050" t="n"/>
      <c r="F10" s="1050" t="n"/>
      <c r="G10" s="1050" t="n"/>
      <c r="H10" s="1050" t="n"/>
      <c r="I10" s="1050" t="n"/>
      <c r="J10" s="1050" t="n"/>
      <c r="K10" s="1050" t="n"/>
      <c r="L10" s="1050" t="n"/>
      <c r="M10" s="1045" t="n"/>
    </row>
    <row r="11">
      <c r="B11" s="1051" t="inlineStr">
        <is>
          <t>TOTAL COSTOS DIRECTOS</t>
        </is>
      </c>
      <c r="C11" s="1052" t="n"/>
      <c r="D11" s="1053" t="n"/>
      <c r="E11" s="1052" t="n"/>
      <c r="F11" s="1052" t="n"/>
      <c r="G11" s="1052" t="n"/>
      <c r="H11" s="1052" t="n"/>
      <c r="I11" s="1052" t="n"/>
      <c r="J11" s="1054" t="n"/>
      <c r="K11" s="1054" t="n"/>
      <c r="L11" s="1054" t="n"/>
      <c r="M11" s="1045" t="n"/>
    </row>
    <row r="12">
      <c r="B12" s="1055" t="inlineStr">
        <is>
          <t>Costo directo Total</t>
        </is>
      </c>
      <c r="C12" s="1056" t="n">
        <v>0</v>
      </c>
      <c r="D12" s="1057" t="inlineStr">
        <is>
          <t>u</t>
        </is>
      </c>
      <c r="E12" s="1056" t="n">
        <v>0</v>
      </c>
      <c r="F12" s="1056">
        <f>(C12*E12/100)+C12</f>
        <v/>
      </c>
      <c r="G12" s="1056" t="n">
        <v>0</v>
      </c>
      <c r="H12" s="1056" t="n">
        <v>0</v>
      </c>
      <c r="I12" s="1056" t="n">
        <v>0</v>
      </c>
      <c r="J12" s="1056">
        <f>+#REF!</f>
        <v/>
      </c>
      <c r="K12" s="1056">
        <f>+#REF!</f>
        <v/>
      </c>
      <c r="L12" s="1056">
        <f>+#REF!</f>
        <v/>
      </c>
      <c r="M12" s="1058">
        <f>+J12+K12+L12</f>
        <v/>
      </c>
      <c r="N12" s="1035">
        <f>+M12*L104</f>
        <v/>
      </c>
    </row>
    <row r="13">
      <c r="B13" s="1059" t="n"/>
      <c r="C13" s="1052" t="n"/>
      <c r="D13" s="1053" t="n"/>
      <c r="E13" s="1052" t="n"/>
      <c r="F13" s="1052" t="n"/>
      <c r="G13" s="1052" t="n"/>
      <c r="H13" s="1052" t="n"/>
      <c r="I13" s="1052" t="n"/>
      <c r="J13" s="1052" t="n"/>
      <c r="K13" s="1052" t="n"/>
      <c r="L13" s="1052" t="n"/>
      <c r="M13" s="1060" t="n"/>
      <c r="N13" s="1035" t="n"/>
    </row>
    <row r="14">
      <c r="B14" s="1051" t="inlineStr">
        <is>
          <t>INDIRECTOS DE CAMPO</t>
        </is>
      </c>
      <c r="C14" s="1052" t="n">
        <v>0</v>
      </c>
      <c r="D14" s="1053" t="inlineStr">
        <is>
          <t>sem</t>
        </is>
      </c>
      <c r="E14" s="1052" t="n"/>
      <c r="F14" s="1052" t="n"/>
      <c r="G14" s="1052" t="n"/>
      <c r="H14" s="1052" t="n"/>
      <c r="I14" s="1052" t="n"/>
      <c r="J14" s="1052" t="n"/>
      <c r="K14" s="1052" t="n"/>
      <c r="L14" s="1052" t="n"/>
      <c r="M14" s="1045" t="n"/>
    </row>
    <row r="15">
      <c r="B15" s="1055" t="inlineStr">
        <is>
          <t>Pick up proveeduría</t>
        </is>
      </c>
      <c r="C15" s="1056" t="n">
        <v>0</v>
      </c>
      <c r="D15" s="1057" t="inlineStr">
        <is>
          <t>viajes</t>
        </is>
      </c>
      <c r="E15" s="1056" t="n">
        <v>0</v>
      </c>
      <c r="F15" s="1056">
        <f>(C15*E15/100)+C15</f>
        <v/>
      </c>
      <c r="G15" s="1056" t="n"/>
      <c r="H15" s="1056" t="n">
        <v>0</v>
      </c>
      <c r="I15" s="1056" t="n">
        <v>30000</v>
      </c>
      <c r="J15" s="1056">
        <f>+C15*G15</f>
        <v/>
      </c>
      <c r="K15" s="1056">
        <f>+C15*H15</f>
        <v/>
      </c>
      <c r="L15" s="1056">
        <f>+C15*I15</f>
        <v/>
      </c>
      <c r="M15" s="1061">
        <f>+SUM(J15:L15)</f>
        <v/>
      </c>
    </row>
    <row r="16">
      <c r="B16" s="1055" t="inlineStr">
        <is>
          <t>Traslado agregados</t>
        </is>
      </c>
      <c r="C16" s="1056" t="n">
        <v>0</v>
      </c>
      <c r="D16" s="1057" t="inlineStr">
        <is>
          <t>m3</t>
        </is>
      </c>
      <c r="E16" s="1056" t="n">
        <v>0</v>
      </c>
      <c r="F16" s="1056">
        <f>(C16*E16/100)+C16</f>
        <v/>
      </c>
      <c r="G16" s="1056" t="n"/>
      <c r="H16" s="1056" t="n">
        <v>0</v>
      </c>
      <c r="I16" s="1056" t="n">
        <v>4750</v>
      </c>
      <c r="J16" s="1056">
        <f>+C16*G16</f>
        <v/>
      </c>
      <c r="K16" s="1056">
        <f>+C16*H16</f>
        <v/>
      </c>
      <c r="L16" s="1056">
        <f>+C16*I16</f>
        <v/>
      </c>
      <c r="M16" s="1061">
        <f>+SUM(J16:L16)</f>
        <v/>
      </c>
    </row>
    <row r="17">
      <c r="B17" s="1055" t="inlineStr">
        <is>
          <t>Traslado cemento</t>
        </is>
      </c>
      <c r="C17" s="1062" t="n">
        <v>0</v>
      </c>
      <c r="D17" s="1057" t="inlineStr">
        <is>
          <t>sacos</t>
        </is>
      </c>
      <c r="E17" s="1056" t="n">
        <v>0</v>
      </c>
      <c r="F17" s="1056">
        <f>(C17*E17/100)+C17</f>
        <v/>
      </c>
      <c r="G17" s="1056" t="n"/>
      <c r="H17" s="1056" t="n">
        <v>0</v>
      </c>
      <c r="I17" s="1056" t="n">
        <v>450</v>
      </c>
      <c r="J17" s="1056">
        <f>+C17*G17</f>
        <v/>
      </c>
      <c r="K17" s="1056">
        <f>+C17*H17</f>
        <v/>
      </c>
      <c r="L17" s="1056">
        <f>+C17*I17</f>
        <v/>
      </c>
      <c r="M17" s="1061">
        <f>+SUM(J17:L17)</f>
        <v/>
      </c>
    </row>
    <row r="18">
      <c r="B18" s="1055" t="inlineStr">
        <is>
          <t>Traslado block 12</t>
        </is>
      </c>
      <c r="C18" s="1062" t="n">
        <v>0</v>
      </c>
      <c r="D18" s="1057" t="inlineStr">
        <is>
          <t>block</t>
        </is>
      </c>
      <c r="E18" s="1056" t="n">
        <v>0</v>
      </c>
      <c r="F18" s="1056">
        <f>(C18*E18/100)+C18</f>
        <v/>
      </c>
      <c r="G18" s="1056" t="n"/>
      <c r="H18" s="1056" t="n">
        <v>0</v>
      </c>
      <c r="I18" s="1056" t="n">
        <v>30</v>
      </c>
      <c r="J18" s="1056">
        <f>+C18*G18</f>
        <v/>
      </c>
      <c r="K18" s="1056">
        <f>+C18*H18</f>
        <v/>
      </c>
      <c r="L18" s="1056">
        <f>+C18*I18</f>
        <v/>
      </c>
      <c r="M18" s="1061">
        <f>+SUM(J18:L18)</f>
        <v/>
      </c>
    </row>
    <row r="19">
      <c r="B19" s="1055" t="inlineStr">
        <is>
          <t>Traslado block 15</t>
        </is>
      </c>
      <c r="C19" s="1062" t="n">
        <v>0</v>
      </c>
      <c r="D19" s="1057" t="inlineStr">
        <is>
          <t>block</t>
        </is>
      </c>
      <c r="E19" s="1056" t="n">
        <v>0</v>
      </c>
      <c r="F19" s="1056">
        <f>(C19*E19/100)+C19</f>
        <v/>
      </c>
      <c r="G19" s="1056" t="n"/>
      <c r="H19" s="1056" t="n">
        <v>0</v>
      </c>
      <c r="I19" s="1056" t="n">
        <v>40</v>
      </c>
      <c r="J19" s="1056">
        <f>+C19*G19</f>
        <v/>
      </c>
      <c r="K19" s="1056">
        <f>+C19*H19</f>
        <v/>
      </c>
      <c r="L19" s="1056">
        <f>+C19*I19</f>
        <v/>
      </c>
      <c r="M19" s="1061">
        <f>+SUM(J19:L19)</f>
        <v/>
      </c>
    </row>
    <row r="20">
      <c r="B20" s="1055" t="inlineStr">
        <is>
          <t>Traslado block 20</t>
        </is>
      </c>
      <c r="C20" s="1062" t="n">
        <v>0</v>
      </c>
      <c r="D20" s="1057" t="inlineStr">
        <is>
          <t>block</t>
        </is>
      </c>
      <c r="E20" s="1056" t="n">
        <v>0</v>
      </c>
      <c r="F20" s="1056">
        <f>(C20*E20/100)+C20</f>
        <v/>
      </c>
      <c r="G20" s="1056" t="n"/>
      <c r="H20" s="1056" t="n">
        <v>0</v>
      </c>
      <c r="I20" s="1056" t="n">
        <v>50</v>
      </c>
      <c r="J20" s="1056">
        <f>+C20*G20</f>
        <v/>
      </c>
      <c r="K20" s="1056">
        <f>+C20*H20</f>
        <v/>
      </c>
      <c r="L20" s="1056">
        <f>+C20*I20</f>
        <v/>
      </c>
      <c r="M20" s="1061">
        <f>+SUM(J20:L20)</f>
        <v/>
      </c>
    </row>
    <row r="21">
      <c r="B21" s="1055" t="inlineStr">
        <is>
          <t xml:space="preserve">Traslado varillas </t>
        </is>
      </c>
      <c r="C21" s="1056" t="n">
        <v>0</v>
      </c>
      <c r="D21" s="1057" t="inlineStr">
        <is>
          <t>kg.</t>
        </is>
      </c>
      <c r="E21" s="1056" t="n">
        <v>0</v>
      </c>
      <c r="F21" s="1056">
        <f>(C21*E21/100)+C21</f>
        <v/>
      </c>
      <c r="G21" s="1056" t="n"/>
      <c r="H21" s="1056" t="n">
        <v>0</v>
      </c>
      <c r="I21" s="1056" t="n">
        <v>30</v>
      </c>
      <c r="J21" s="1056">
        <f>+C21*G21</f>
        <v/>
      </c>
      <c r="K21" s="1056">
        <f>+C21*H21</f>
        <v/>
      </c>
      <c r="L21" s="1056">
        <f>+C21*I21</f>
        <v/>
      </c>
      <c r="M21" s="1061">
        <f>+SUM(J21:L21)</f>
        <v/>
      </c>
    </row>
    <row r="22">
      <c r="B22" s="1055" t="inlineStr">
        <is>
          <t>Transporte de personal en bus 10 personas</t>
        </is>
      </c>
      <c r="C22" s="1056" t="n">
        <v>0</v>
      </c>
      <c r="D22" s="1057" t="inlineStr">
        <is>
          <t>hora</t>
        </is>
      </c>
      <c r="E22" s="1056" t="n">
        <v>0</v>
      </c>
      <c r="F22" s="1056">
        <f>(C22*E22/100)+C22</f>
        <v/>
      </c>
      <c r="G22" s="1056" t="n"/>
      <c r="H22" s="1056" t="n">
        <v>0</v>
      </c>
      <c r="I22" s="1056" t="n">
        <v>25000</v>
      </c>
      <c r="J22" s="1056">
        <f>+C22*G22</f>
        <v/>
      </c>
      <c r="K22" s="1056">
        <f>+C22*H22</f>
        <v/>
      </c>
      <c r="L22" s="1056">
        <f>+C22*I22</f>
        <v/>
      </c>
      <c r="M22" s="1061">
        <f>+SUM(J22:L22)</f>
        <v/>
      </c>
    </row>
    <row r="23">
      <c r="B23" s="1055" t="inlineStr">
        <is>
          <t>Maestro de obras</t>
        </is>
      </c>
      <c r="C23" s="1056" t="n">
        <v>0</v>
      </c>
      <c r="D23" s="1057" t="inlineStr">
        <is>
          <t>gb</t>
        </is>
      </c>
      <c r="E23" s="1056" t="n">
        <v>1</v>
      </c>
      <c r="F23" s="1056">
        <f>+C23*E23</f>
        <v/>
      </c>
      <c r="G23" s="1056" t="n"/>
      <c r="H23" s="1056" t="n"/>
      <c r="I23" s="1056" t="n">
        <v>3600000</v>
      </c>
      <c r="J23" s="1056">
        <f>+C23*G23</f>
        <v/>
      </c>
      <c r="K23" s="1056">
        <f>+C23*H23</f>
        <v/>
      </c>
      <c r="L23" s="1056">
        <f>+C23*I23</f>
        <v/>
      </c>
      <c r="M23" s="1061">
        <f>+SUM(J23:L23)</f>
        <v/>
      </c>
    </row>
    <row r="24">
      <c r="B24" s="1055" t="inlineStr">
        <is>
          <t>Bonificacion</t>
        </is>
      </c>
      <c r="C24" s="1056" t="n">
        <v>0</v>
      </c>
      <c r="D24" s="1057" t="inlineStr">
        <is>
          <t>gb</t>
        </is>
      </c>
      <c r="E24" s="1056" t="n">
        <v>0</v>
      </c>
      <c r="F24" s="1056">
        <f>(C24*E24/100)+C24</f>
        <v/>
      </c>
      <c r="G24" s="1056" t="n">
        <v>0</v>
      </c>
      <c r="H24" s="1056" t="n"/>
      <c r="I24" s="1056" t="n">
        <v>900000</v>
      </c>
      <c r="J24" s="1056">
        <f>+C24*G24</f>
        <v/>
      </c>
      <c r="K24" s="1056">
        <f>+C24*H24</f>
        <v/>
      </c>
      <c r="L24" s="1056">
        <f>+C24*I24</f>
        <v/>
      </c>
      <c r="M24" s="1061">
        <f>+SUM(J24:L24)</f>
        <v/>
      </c>
    </row>
    <row r="25">
      <c r="B25" s="1055" t="inlineStr">
        <is>
          <t>Guarda (1)</t>
        </is>
      </c>
      <c r="C25" s="1056" t="n">
        <v>0</v>
      </c>
      <c r="D25" s="1057" t="inlineStr">
        <is>
          <t>mes</t>
        </is>
      </c>
      <c r="E25" s="1056" t="n">
        <v>0</v>
      </c>
      <c r="F25" s="1056">
        <f>(C25*E25/100)+C25</f>
        <v/>
      </c>
      <c r="G25" s="1056" t="n">
        <v>0</v>
      </c>
      <c r="H25" s="1056" t="n"/>
      <c r="I25" s="1056" t="n">
        <v>0</v>
      </c>
      <c r="J25" s="1056">
        <f>+C25*G25</f>
        <v/>
      </c>
      <c r="K25" s="1056">
        <f>+C25*H25</f>
        <v/>
      </c>
      <c r="L25" s="1056">
        <f>+C25*I25</f>
        <v/>
      </c>
      <c r="M25" s="1061">
        <f>+SUM(J25:L25)</f>
        <v/>
      </c>
    </row>
    <row r="26">
      <c r="B26" s="1055" t="inlineStr">
        <is>
          <t xml:space="preserve">Limpieza </t>
        </is>
      </c>
      <c r="C26" s="1056" t="n">
        <v>0</v>
      </c>
      <c r="D26" s="1057" t="inlineStr">
        <is>
          <t>hr.</t>
        </is>
      </c>
      <c r="E26" s="1056" t="n">
        <v>0</v>
      </c>
      <c r="F26" s="1056">
        <f>+C26</f>
        <v/>
      </c>
      <c r="G26" s="1056" t="n">
        <v>0</v>
      </c>
      <c r="H26" s="1056" t="n"/>
      <c r="I26" s="1056" t="n">
        <v>500000</v>
      </c>
      <c r="J26" s="1056">
        <f>+C26*G26</f>
        <v/>
      </c>
      <c r="K26" s="1056">
        <f>+C26*H26</f>
        <v/>
      </c>
      <c r="L26" s="1056">
        <f>+C26*I26</f>
        <v/>
      </c>
      <c r="M26" s="1061">
        <f>+SUM(J26:L26)</f>
        <v/>
      </c>
    </row>
    <row r="27">
      <c r="B27" s="1055" t="inlineStr">
        <is>
          <t>Topografo 1 hr/día</t>
        </is>
      </c>
      <c r="C27" s="1056" t="n">
        <v>0</v>
      </c>
      <c r="D27" s="1057" t="inlineStr">
        <is>
          <t>hr.</t>
        </is>
      </c>
      <c r="E27" s="1056" t="n">
        <v>0</v>
      </c>
      <c r="F27" s="1056">
        <f>+C27</f>
        <v/>
      </c>
      <c r="G27" s="1056" t="n"/>
      <c r="H27" s="1056" t="n"/>
      <c r="I27" s="1056" t="n">
        <v>5830</v>
      </c>
      <c r="J27" s="1056">
        <f>+C27*G27</f>
        <v/>
      </c>
      <c r="K27" s="1056">
        <f>+C27*H27</f>
        <v/>
      </c>
      <c r="L27" s="1056">
        <f>+C27*I27</f>
        <v/>
      </c>
      <c r="M27" s="1061">
        <f>+SUM(J27:L27)</f>
        <v/>
      </c>
    </row>
    <row r="28">
      <c r="B28" s="1055" t="inlineStr">
        <is>
          <t>Ayudante de Topografo 2 hr/día</t>
        </is>
      </c>
      <c r="C28" s="1056" t="n">
        <v>0</v>
      </c>
      <c r="D28" s="1057" t="inlineStr">
        <is>
          <t>hr.</t>
        </is>
      </c>
      <c r="E28" s="1056" t="n">
        <v>0</v>
      </c>
      <c r="F28" s="1056">
        <f>+C28</f>
        <v/>
      </c>
      <c r="G28" s="1056" t="n"/>
      <c r="H28" s="1056" t="n"/>
      <c r="I28" s="1056" t="n">
        <v>2450</v>
      </c>
      <c r="J28" s="1056">
        <f>+C28*G28</f>
        <v/>
      </c>
      <c r="K28" s="1056">
        <f>+C28*H28</f>
        <v/>
      </c>
      <c r="L28" s="1056">
        <f>+C28*I28</f>
        <v/>
      </c>
      <c r="M28" s="1061">
        <f>+SUM(J28:L28)</f>
        <v/>
      </c>
    </row>
    <row r="29">
      <c r="B29" s="1055" t="inlineStr">
        <is>
          <t>Bodeguero</t>
        </is>
      </c>
      <c r="C29" s="1056" t="n">
        <v>0</v>
      </c>
      <c r="D29" s="1057" t="inlineStr">
        <is>
          <t>mes</t>
        </is>
      </c>
      <c r="E29" s="1056" t="n">
        <v>1</v>
      </c>
      <c r="F29" s="1056">
        <f>+C29*E29</f>
        <v/>
      </c>
      <c r="G29" s="1056" t="n"/>
      <c r="H29" s="1056">
        <f>1500*58*4.33</f>
        <v/>
      </c>
      <c r="I29" s="1056" t="n">
        <v>0</v>
      </c>
      <c r="J29" s="1056">
        <f>+C29*G29</f>
        <v/>
      </c>
      <c r="K29" s="1056">
        <f>+C29*H29</f>
        <v/>
      </c>
      <c r="L29" s="1056">
        <f>+C29*I29</f>
        <v/>
      </c>
      <c r="M29" s="1061">
        <f>+SUM(J29:L29)</f>
        <v/>
      </c>
    </row>
    <row r="30">
      <c r="B30" s="1063" t="inlineStr">
        <is>
          <t>Ingeniero Director</t>
        </is>
      </c>
      <c r="C30" s="1056" t="n">
        <v>0</v>
      </c>
      <c r="D30" s="1057" t="inlineStr">
        <is>
          <t>mes</t>
        </is>
      </c>
      <c r="E30" s="1056" t="n">
        <v>1</v>
      </c>
      <c r="F30" s="1056">
        <f>+C30*E30</f>
        <v/>
      </c>
      <c r="G30" s="1056" t="n">
        <v>0</v>
      </c>
      <c r="H30" s="1056" t="n">
        <v>0</v>
      </c>
      <c r="I30" s="1056" t="n">
        <v>2350000</v>
      </c>
      <c r="J30" s="1056">
        <f>+C30*G30</f>
        <v/>
      </c>
      <c r="K30" s="1056">
        <f>+C30*H30</f>
        <v/>
      </c>
      <c r="L30" s="1056">
        <f>+C30*I30</f>
        <v/>
      </c>
      <c r="M30" s="1061">
        <f>+SUM(J30:L30)</f>
        <v/>
      </c>
      <c r="N30" s="1035" t="inlineStr">
        <is>
          <t>Salarios ingeniero</t>
        </is>
      </c>
    </row>
    <row r="31">
      <c r="B31" s="1063" t="inlineStr">
        <is>
          <t>Ingeniero o Arquitecto</t>
        </is>
      </c>
      <c r="C31" s="1056" t="n">
        <v>0</v>
      </c>
      <c r="D31" s="1057" t="inlineStr">
        <is>
          <t>mes</t>
        </is>
      </c>
      <c r="E31" s="1056" t="n">
        <v>1</v>
      </c>
      <c r="F31" s="1056">
        <f>+C31*E31</f>
        <v/>
      </c>
      <c r="G31" s="1056" t="n"/>
      <c r="H31" s="1056" t="n">
        <v>800000</v>
      </c>
      <c r="I31" s="1056" t="n">
        <v>0</v>
      </c>
      <c r="J31" s="1056">
        <f>+C31*G31</f>
        <v/>
      </c>
      <c r="K31" s="1056">
        <f>+C31*H31</f>
        <v/>
      </c>
      <c r="L31" s="1056">
        <f>+C31*I31</f>
        <v/>
      </c>
      <c r="M31" s="1061">
        <f>+SUM(J31:L31)</f>
        <v/>
      </c>
    </row>
    <row r="32">
      <c r="B32" s="1063" t="inlineStr">
        <is>
          <t>Ingeniero electromecanico</t>
        </is>
      </c>
      <c r="C32" s="1056" t="n">
        <v>0</v>
      </c>
      <c r="D32" s="1057" t="inlineStr">
        <is>
          <t>mes</t>
        </is>
      </c>
      <c r="E32" s="1056" t="n">
        <v>1</v>
      </c>
      <c r="F32" s="1056">
        <f>+C32*E32</f>
        <v/>
      </c>
      <c r="G32" s="1056" t="n"/>
      <c r="H32" s="1056" t="n">
        <v>95000</v>
      </c>
      <c r="I32" s="1056" t="n">
        <v>0</v>
      </c>
      <c r="J32" s="1056">
        <f>+C32*G32</f>
        <v/>
      </c>
      <c r="K32" s="1056">
        <f>+C32*H32</f>
        <v/>
      </c>
      <c r="L32" s="1056">
        <f>+C32*I32</f>
        <v/>
      </c>
      <c r="M32" s="1061">
        <f>+SUM(J32:L32)</f>
        <v/>
      </c>
    </row>
    <row r="33">
      <c r="B33" s="1063" t="inlineStr">
        <is>
          <t>Ingeniero electromecanico</t>
        </is>
      </c>
      <c r="C33" s="1056" t="n">
        <v>0</v>
      </c>
      <c r="D33" s="1057" t="inlineStr">
        <is>
          <t>mes</t>
        </is>
      </c>
      <c r="E33" s="1056" t="n">
        <v>1</v>
      </c>
      <c r="F33" s="1056">
        <f>+C33*E33</f>
        <v/>
      </c>
      <c r="G33" s="1056" t="n"/>
      <c r="H33" s="1056" t="n">
        <v>95000</v>
      </c>
      <c r="I33" s="1056" t="n">
        <v>0</v>
      </c>
      <c r="J33" s="1056">
        <f>+C33*G33</f>
        <v/>
      </c>
      <c r="K33" s="1056">
        <f>+C33*H33</f>
        <v/>
      </c>
      <c r="L33" s="1056">
        <f>+C33*I33</f>
        <v/>
      </c>
      <c r="M33" s="1061">
        <f>+SUM(J33:L33)</f>
        <v/>
      </c>
    </row>
    <row r="34">
      <c r="B34" s="1063" t="inlineStr">
        <is>
          <t>Ingeniero Regente ambiental</t>
        </is>
      </c>
      <c r="C34" s="1056" t="n">
        <v>0</v>
      </c>
      <c r="D34" s="1057" t="inlineStr">
        <is>
          <t>mes</t>
        </is>
      </c>
      <c r="E34" s="1056" t="n">
        <v>1</v>
      </c>
      <c r="F34" s="1056">
        <f>+C34*E34</f>
        <v/>
      </c>
      <c r="G34" s="1056" t="n"/>
      <c r="H34" s="1056">
        <f>+(1500*tc)</f>
        <v/>
      </c>
      <c r="I34" s="1056" t="n">
        <v>0</v>
      </c>
      <c r="J34" s="1056">
        <f>+C34*G34</f>
        <v/>
      </c>
      <c r="K34" s="1056">
        <f>+C34*H34</f>
        <v/>
      </c>
      <c r="L34" s="1056">
        <f>+C34*I34</f>
        <v/>
      </c>
      <c r="M34" s="1061">
        <f>+SUM(J34:L34)</f>
        <v/>
      </c>
    </row>
    <row r="35">
      <c r="B35" s="1055" t="inlineStr">
        <is>
          <t>Agua</t>
        </is>
      </c>
      <c r="C35" s="1056" t="n">
        <v>0</v>
      </c>
      <c r="D35" s="1057" t="inlineStr">
        <is>
          <t>mes</t>
        </is>
      </c>
      <c r="E35" s="1056" t="n">
        <v>0</v>
      </c>
      <c r="F35" s="1056">
        <f>(C35*E35/100)+C35</f>
        <v/>
      </c>
      <c r="G35" s="1056" t="n"/>
      <c r="H35" s="1056" t="n"/>
      <c r="I35" s="1056" t="n">
        <v>45000</v>
      </c>
      <c r="J35" s="1056">
        <f>+C35*G35</f>
        <v/>
      </c>
      <c r="K35" s="1056">
        <f>+C35*H35</f>
        <v/>
      </c>
      <c r="L35" s="1056">
        <f>+C35*I35</f>
        <v/>
      </c>
      <c r="M35" s="1061">
        <f>+SUM(J35:L35)</f>
        <v/>
      </c>
    </row>
    <row r="36">
      <c r="B36" s="1055" t="inlineStr">
        <is>
          <t>Energía eléctrica</t>
        </is>
      </c>
      <c r="C36" s="1056" t="n">
        <v>0</v>
      </c>
      <c r="D36" s="1057" t="inlineStr">
        <is>
          <t>mes</t>
        </is>
      </c>
      <c r="E36" s="1056" t="n">
        <v>0</v>
      </c>
      <c r="F36" s="1056">
        <f>(C36*E36/100)+C36</f>
        <v/>
      </c>
      <c r="G36" s="1056" t="n"/>
      <c r="H36" s="1056" t="n"/>
      <c r="I36" s="1056" t="n">
        <v>45000</v>
      </c>
      <c r="J36" s="1056">
        <f>+C36*G36</f>
        <v/>
      </c>
      <c r="K36" s="1056">
        <f>+C36*H36</f>
        <v/>
      </c>
      <c r="L36" s="1056">
        <f>+C36*I36</f>
        <v/>
      </c>
      <c r="M36" s="1061">
        <f>+SUM(J36:L36)</f>
        <v/>
      </c>
    </row>
    <row r="37">
      <c r="B37" s="1055" t="inlineStr">
        <is>
          <t>Rotulacion</t>
        </is>
      </c>
      <c r="C37" s="1056" t="n">
        <v>0</v>
      </c>
      <c r="D37" s="1057" t="inlineStr">
        <is>
          <t>un</t>
        </is>
      </c>
      <c r="E37" s="1056" t="n">
        <v>0</v>
      </c>
      <c r="F37" s="1056">
        <f>(C37*E37/100)+C37</f>
        <v/>
      </c>
      <c r="G37" s="1056" t="n"/>
      <c r="H37" s="1056" t="n"/>
      <c r="I37" s="1056" t="n">
        <v>150000</v>
      </c>
      <c r="J37" s="1056">
        <f>+C37*G37</f>
        <v/>
      </c>
      <c r="K37" s="1056">
        <f>+C37*H37</f>
        <v/>
      </c>
      <c r="L37" s="1056">
        <f>+C37*I37</f>
        <v/>
      </c>
      <c r="M37" s="1061">
        <f>+SUM(J37:L37)</f>
        <v/>
      </c>
    </row>
    <row r="38">
      <c r="B38" s="1051" t="inlineStr">
        <is>
          <t>ZONAJE</t>
        </is>
      </c>
      <c r="C38" s="1052" t="n"/>
      <c r="D38" s="1053" t="n"/>
      <c r="E38" s="1052" t="n"/>
      <c r="F38" s="1052" t="n"/>
      <c r="G38" s="1052" t="n"/>
      <c r="H38" s="1052" t="n"/>
      <c r="I38" s="1052" t="n"/>
      <c r="J38" s="1052" t="n"/>
      <c r="K38" s="1052" t="n"/>
      <c r="L38" s="1052" t="n"/>
      <c r="M38" s="1045" t="n"/>
    </row>
    <row r="39">
      <c r="B39" s="1055" t="inlineStr">
        <is>
          <t>Traslados Quin. personal SJ</t>
        </is>
      </c>
      <c r="C39" s="1056" t="n">
        <v>0</v>
      </c>
      <c r="D39" s="1057" t="inlineStr">
        <is>
          <t>viaje</t>
        </is>
      </c>
      <c r="E39" s="1056" t="n">
        <v>0</v>
      </c>
      <c r="F39" s="1056" t="n">
        <v>1</v>
      </c>
      <c r="G39" s="1056" t="n"/>
      <c r="H39" s="1056" t="n"/>
      <c r="I39" s="1056" t="n">
        <v>1000</v>
      </c>
      <c r="J39" s="1056">
        <f>+C39*G39</f>
        <v/>
      </c>
      <c r="K39" s="1056">
        <f>+C39*H39</f>
        <v/>
      </c>
      <c r="L39" s="1056">
        <f>+C39*I39</f>
        <v/>
      </c>
      <c r="M39" s="1061">
        <f>+SUM(J39:L39)</f>
        <v/>
      </c>
    </row>
    <row r="40">
      <c r="B40" s="1055" t="inlineStr">
        <is>
          <t>Alquiler casa</t>
        </is>
      </c>
      <c r="C40" s="1056" t="n">
        <v>0</v>
      </c>
      <c r="D40" s="1057" t="inlineStr">
        <is>
          <t>mes</t>
        </is>
      </c>
      <c r="E40" s="1056" t="n">
        <v>0</v>
      </c>
      <c r="F40" s="1056">
        <f>(C40*E40/100)+C40</f>
        <v/>
      </c>
      <c r="G40" s="1056" t="n"/>
      <c r="H40" s="1056" t="n"/>
      <c r="I40" s="1056" t="n">
        <v>350000</v>
      </c>
      <c r="J40" s="1056">
        <f>+C40*G40</f>
        <v/>
      </c>
      <c r="K40" s="1056">
        <f>+C40*H40</f>
        <v/>
      </c>
      <c r="L40" s="1056">
        <f>+C40*I40</f>
        <v/>
      </c>
      <c r="M40" s="1061">
        <f>+SUM(J40:L40)</f>
        <v/>
      </c>
    </row>
    <row r="41">
      <c r="B41" s="1055" t="inlineStr">
        <is>
          <t>Traslados ingenieros 2 ingenieros</t>
        </is>
      </c>
      <c r="C41" s="1056" t="n">
        <v>0</v>
      </c>
      <c r="D41" s="1057" t="inlineStr">
        <is>
          <t>mes</t>
        </is>
      </c>
      <c r="E41" s="1056" t="n">
        <v>0</v>
      </c>
      <c r="F41" s="1056">
        <f>(C41*E41/100)+C41</f>
        <v/>
      </c>
      <c r="G41" s="1056" t="n"/>
      <c r="H41" s="1056" t="n"/>
      <c r="I41" s="1056" t="n">
        <v>85000</v>
      </c>
      <c r="J41" s="1056">
        <f>+C41*G41</f>
        <v/>
      </c>
      <c r="K41" s="1056">
        <f>+C41*H41</f>
        <v/>
      </c>
      <c r="L41" s="1056">
        <f>+C41*I41</f>
        <v/>
      </c>
      <c r="M41" s="1061">
        <f>+SUM(J41:L41)</f>
        <v/>
      </c>
    </row>
    <row r="42">
      <c r="B42" s="1055" t="inlineStr">
        <is>
          <t>Otros rendimiento</t>
        </is>
      </c>
      <c r="C42" s="1056" t="n">
        <v>0</v>
      </c>
      <c r="D42" s="1057" t="inlineStr">
        <is>
          <t>gl</t>
        </is>
      </c>
      <c r="E42" s="1056" t="n">
        <v>0</v>
      </c>
      <c r="F42" s="1056">
        <f>(C42*E42/100)+C42</f>
        <v/>
      </c>
      <c r="G42" s="1056" t="n"/>
      <c r="H42" s="1056" t="n"/>
      <c r="I42" s="1056" t="n">
        <v>100000</v>
      </c>
      <c r="J42" s="1056">
        <f>+C42*G42</f>
        <v/>
      </c>
      <c r="K42" s="1056">
        <f>+C42*H42</f>
        <v/>
      </c>
      <c r="L42" s="1056">
        <f>+C42*I42</f>
        <v/>
      </c>
      <c r="M42" s="1061">
        <f>+SUM(J42:L42)</f>
        <v/>
      </c>
    </row>
    <row r="43">
      <c r="B43" s="1055" t="inlineStr">
        <is>
          <t>Alimentación personal</t>
        </is>
      </c>
      <c r="C43" s="1056" t="n">
        <v>0</v>
      </c>
      <c r="D43" s="1057" t="inlineStr">
        <is>
          <t>comidas</t>
        </is>
      </c>
      <c r="E43" s="1056" t="n">
        <v>0</v>
      </c>
      <c r="F43" s="1056">
        <f>(C43*E43/100)+C43</f>
        <v/>
      </c>
      <c r="G43" s="1056" t="n"/>
      <c r="H43" s="1056" t="n"/>
      <c r="I43" s="1056" t="n">
        <v>0</v>
      </c>
      <c r="J43" s="1056">
        <f>+C43*G43</f>
        <v/>
      </c>
      <c r="K43" s="1056">
        <f>+C43*H43</f>
        <v/>
      </c>
      <c r="L43" s="1056">
        <f>+C43*I43</f>
        <v/>
      </c>
      <c r="M43" s="1061">
        <f>+SUM(J43:L43)</f>
        <v/>
      </c>
    </row>
    <row r="44">
      <c r="B44" s="1055" t="inlineStr">
        <is>
          <t>Acarreos especiales</t>
        </is>
      </c>
      <c r="C44" s="1056" t="n">
        <v>0</v>
      </c>
      <c r="D44" s="1057" t="inlineStr">
        <is>
          <t>viaje</t>
        </is>
      </c>
      <c r="E44" s="1056" t="n">
        <v>0</v>
      </c>
      <c r="F44" s="1056">
        <f>(C44*E44/100)+C44</f>
        <v/>
      </c>
      <c r="G44" s="1056" t="n"/>
      <c r="H44" s="1056" t="n"/>
      <c r="I44" s="1056" t="n">
        <v>25000</v>
      </c>
      <c r="J44" s="1056">
        <f>+C44*G44</f>
        <v/>
      </c>
      <c r="K44" s="1056">
        <f>+C44*H44</f>
        <v/>
      </c>
      <c r="L44" s="1056">
        <f>+C44*I44</f>
        <v/>
      </c>
      <c r="M44" s="1061">
        <f>+SUM(J44:L44)</f>
        <v/>
      </c>
    </row>
    <row r="45">
      <c r="B45" s="1051" t="inlineStr">
        <is>
          <t>INSTALACIONES PROVISIONALES</t>
        </is>
      </c>
      <c r="C45" s="1052" t="n"/>
      <c r="D45" s="1053" t="n"/>
      <c r="E45" s="1052" t="n"/>
      <c r="F45" s="1052" t="n"/>
      <c r="G45" s="1052" t="n"/>
      <c r="H45" s="1052" t="n"/>
      <c r="I45" s="1052" t="n"/>
      <c r="J45" s="1052" t="n"/>
      <c r="K45" s="1052" t="n"/>
      <c r="L45" s="1052" t="n"/>
      <c r="M45" s="1045" t="n"/>
    </row>
    <row r="46">
      <c r="B46" s="1055" t="inlineStr">
        <is>
          <t xml:space="preserve">Bodega </t>
        </is>
      </c>
      <c r="C46" s="1056" t="n">
        <v>0</v>
      </c>
      <c r="D46" s="1057" t="inlineStr">
        <is>
          <t>gl</t>
        </is>
      </c>
      <c r="E46" s="1056" t="n">
        <v>0</v>
      </c>
      <c r="F46" s="1056">
        <f>(C46*E46/100)+C46</f>
        <v/>
      </c>
      <c r="G46" s="1056" t="n">
        <v>10000</v>
      </c>
      <c r="H46" s="1056" t="n">
        <v>25000</v>
      </c>
      <c r="I46" s="1056" t="n"/>
      <c r="J46" s="1056">
        <f>+C46*G46</f>
        <v/>
      </c>
      <c r="K46" s="1056">
        <f>+C46*H46</f>
        <v/>
      </c>
      <c r="L46" s="1056">
        <f>+C46*I46</f>
        <v/>
      </c>
      <c r="M46" s="1061">
        <f>+SUM(J46:L46)</f>
        <v/>
      </c>
    </row>
    <row r="47">
      <c r="B47" s="1055" t="inlineStr">
        <is>
          <t>prevista elèctrica prov</t>
        </is>
      </c>
      <c r="C47" s="1056" t="n">
        <v>0</v>
      </c>
      <c r="D47" s="1057" t="inlineStr">
        <is>
          <t>gl</t>
        </is>
      </c>
      <c r="E47" s="1056" t="n">
        <v>0</v>
      </c>
      <c r="F47" s="1056">
        <f>(C47*E47/100)+C47</f>
        <v/>
      </c>
      <c r="G47" s="1056" t="n">
        <v>30000</v>
      </c>
      <c r="H47" s="1056" t="n">
        <v>20000</v>
      </c>
      <c r="I47" s="1056" t="n"/>
      <c r="J47" s="1056">
        <f>+C47*G47</f>
        <v/>
      </c>
      <c r="K47" s="1056">
        <f>+C47*H47</f>
        <v/>
      </c>
      <c r="L47" s="1056">
        <f>+C47*I47</f>
        <v/>
      </c>
      <c r="M47" s="1061">
        <f>+SUM(J47:L47)</f>
        <v/>
      </c>
    </row>
    <row r="48">
      <c r="B48" s="1055" t="inlineStr">
        <is>
          <t>Comedor-cocina</t>
        </is>
      </c>
      <c r="C48" s="1056" t="n">
        <v>0</v>
      </c>
      <c r="D48" s="1057" t="inlineStr">
        <is>
          <t>gl</t>
        </is>
      </c>
      <c r="E48" s="1056" t="n">
        <v>0</v>
      </c>
      <c r="F48" s="1056">
        <f>(C48*E48/100)+C48</f>
        <v/>
      </c>
      <c r="G48" s="1056" t="n">
        <v>70000</v>
      </c>
      <c r="H48" s="1056" t="n">
        <v>30000</v>
      </c>
      <c r="I48" s="1056" t="n"/>
      <c r="J48" s="1056">
        <f>+C48*G48</f>
        <v/>
      </c>
      <c r="K48" s="1056">
        <f>+C48*H48</f>
        <v/>
      </c>
      <c r="L48" s="1056">
        <f>+C48*I48</f>
        <v/>
      </c>
      <c r="M48" s="1061">
        <f>+SUM(J48:L48)</f>
        <v/>
      </c>
    </row>
    <row r="49">
      <c r="B49" s="1055" t="inlineStr">
        <is>
          <t>Oficinas inspección</t>
        </is>
      </c>
      <c r="C49" s="1056" t="n">
        <v>0</v>
      </c>
      <c r="D49" s="1057" t="inlineStr">
        <is>
          <t>gl</t>
        </is>
      </c>
      <c r="E49" s="1056" t="n">
        <v>0</v>
      </c>
      <c r="F49" s="1056">
        <f>(C49*E49/100)+C49</f>
        <v/>
      </c>
      <c r="G49" s="1056" t="n">
        <v>100000</v>
      </c>
      <c r="H49" s="1056" t="n">
        <v>50000</v>
      </c>
      <c r="I49" s="1056" t="n"/>
      <c r="J49" s="1056">
        <f>+C49*G49</f>
        <v/>
      </c>
      <c r="K49" s="1056">
        <f>+C49*H49</f>
        <v/>
      </c>
      <c r="L49" s="1056">
        <f>+C49*I49</f>
        <v/>
      </c>
      <c r="M49" s="1061">
        <f>+SUM(J49:L49)</f>
        <v/>
      </c>
    </row>
    <row r="50">
      <c r="B50" s="1055" t="inlineStr">
        <is>
          <t>Cerramientos provisionales</t>
        </is>
      </c>
      <c r="C50" s="1056" t="n">
        <v>0</v>
      </c>
      <c r="D50" s="1057" t="inlineStr">
        <is>
          <t>gl</t>
        </is>
      </c>
      <c r="E50" s="1056" t="n">
        <v>0</v>
      </c>
      <c r="F50" s="1056">
        <f>(C50*E50/100)+C50</f>
        <v/>
      </c>
      <c r="G50" s="1056" t="n">
        <v>400000</v>
      </c>
      <c r="H50" s="1056" t="n">
        <v>25000</v>
      </c>
      <c r="I50" s="1056" t="n"/>
      <c r="J50" s="1056">
        <f>+C50*G50</f>
        <v/>
      </c>
      <c r="K50" s="1056">
        <f>+C50*H50</f>
        <v/>
      </c>
      <c r="L50" s="1056">
        <f>+C50*I50</f>
        <v/>
      </c>
      <c r="M50" s="1061">
        <f>+SUM(J50:L50)</f>
        <v/>
      </c>
    </row>
    <row r="51">
      <c r="B51" s="1055" t="inlineStr">
        <is>
          <t>Cabaña sanitaria</t>
        </is>
      </c>
      <c r="C51" s="1056" t="n">
        <v>0</v>
      </c>
      <c r="D51" s="1057" t="inlineStr">
        <is>
          <t>gl</t>
        </is>
      </c>
      <c r="E51" s="1056" t="n">
        <v>0</v>
      </c>
      <c r="F51" s="1056">
        <f>(C51*E51/100)+C51</f>
        <v/>
      </c>
      <c r="G51" s="1056" t="n">
        <v>0</v>
      </c>
      <c r="H51" s="1056" t="n">
        <v>0</v>
      </c>
      <c r="I51" s="1056" t="n">
        <v>175000</v>
      </c>
      <c r="J51" s="1056">
        <f>+C51*G51</f>
        <v/>
      </c>
      <c r="K51" s="1056">
        <f>+C51*H51</f>
        <v/>
      </c>
      <c r="L51" s="1056">
        <f>+C51*I51</f>
        <v/>
      </c>
      <c r="M51" s="1061">
        <f>+SUM(J51:L51)</f>
        <v/>
      </c>
    </row>
    <row r="52">
      <c r="B52" s="1055" t="inlineStr">
        <is>
          <t>Vigilancia</t>
        </is>
      </c>
      <c r="C52" s="1056" t="n">
        <v>0</v>
      </c>
      <c r="D52" s="1057" t="inlineStr">
        <is>
          <t>mes</t>
        </is>
      </c>
      <c r="E52" s="1056" t="n">
        <v>0</v>
      </c>
      <c r="F52" s="1056">
        <f>(C52*E52/100)+C52</f>
        <v/>
      </c>
      <c r="G52" s="1056" t="n">
        <v>0</v>
      </c>
      <c r="H52" s="1056" t="n">
        <v>0</v>
      </c>
      <c r="I52" s="1056" t="n">
        <v>175000</v>
      </c>
      <c r="J52" s="1056">
        <f>+C52*G52</f>
        <v/>
      </c>
      <c r="K52" s="1056">
        <f>+C52*H52</f>
        <v/>
      </c>
      <c r="L52" s="1056">
        <f>+C52*I52</f>
        <v/>
      </c>
      <c r="M52" s="1061">
        <f>+SUM(J52:L52)</f>
        <v/>
      </c>
    </row>
    <row r="53">
      <c r="B53" s="1051" t="inlineStr">
        <is>
          <t>HERRAMIENTAS Y ALQUILERES</t>
        </is>
      </c>
      <c r="C53" s="1052" t="n"/>
      <c r="D53" s="1053" t="n"/>
      <c r="E53" s="1052" t="n"/>
      <c r="F53" s="1052" t="n"/>
      <c r="G53" s="1052" t="n"/>
      <c r="H53" s="1052" t="n"/>
      <c r="I53" s="1052" t="n"/>
      <c r="J53" s="1052" t="n"/>
      <c r="K53" s="1052" t="n"/>
      <c r="L53" s="1052" t="n"/>
      <c r="M53" s="1045" t="n"/>
    </row>
    <row r="54">
      <c r="B54" s="1055" t="inlineStr">
        <is>
          <t>Andamios 10un</t>
        </is>
      </c>
      <c r="C54" s="1056" t="n">
        <v>0</v>
      </c>
      <c r="D54" s="1057" t="inlineStr">
        <is>
          <t>mes</t>
        </is>
      </c>
      <c r="E54" s="1056" t="n">
        <v>0</v>
      </c>
      <c r="F54" s="1056" t="n">
        <v>1</v>
      </c>
      <c r="G54" s="1056">
        <f>30*10*610</f>
        <v/>
      </c>
      <c r="H54" s="1056" t="n"/>
      <c r="I54" s="1056" t="n"/>
      <c r="J54" s="1056">
        <f>+C54*G54</f>
        <v/>
      </c>
      <c r="K54" s="1056">
        <f>+C54*H54</f>
        <v/>
      </c>
      <c r="L54" s="1056">
        <f>+C54*I54</f>
        <v/>
      </c>
      <c r="M54" s="1061">
        <f>+SUM(J54:L54)</f>
        <v/>
      </c>
    </row>
    <row r="55">
      <c r="B55" s="1055" t="inlineStr">
        <is>
          <t>Hidrolavadora</t>
        </is>
      </c>
      <c r="C55" s="1056" t="n">
        <v>0</v>
      </c>
      <c r="D55" s="1057" t="inlineStr">
        <is>
          <t>mes</t>
        </is>
      </c>
      <c r="E55" s="1056" t="n">
        <v>0</v>
      </c>
      <c r="F55" s="1056" t="n">
        <v>1</v>
      </c>
      <c r="G55" s="1056" t="n">
        <v>250000</v>
      </c>
      <c r="H55" s="1056" t="n"/>
      <c r="I55" s="1056" t="n"/>
      <c r="J55" s="1056">
        <f>+C55*G55</f>
        <v/>
      </c>
      <c r="K55" s="1056">
        <f>+C55*H55</f>
        <v/>
      </c>
      <c r="L55" s="1056">
        <f>+C55*I55</f>
        <v/>
      </c>
      <c r="M55" s="1061">
        <f>+SUM(J55:L55)</f>
        <v/>
      </c>
    </row>
    <row r="56">
      <c r="B56" s="1055" t="inlineStr">
        <is>
          <t>Alquiler de Grua p/entrepiso</t>
        </is>
      </c>
      <c r="C56" s="1056" t="n">
        <v>0</v>
      </c>
      <c r="D56" s="1057" t="inlineStr">
        <is>
          <t>dia</t>
        </is>
      </c>
      <c r="E56" s="1056" t="n">
        <v>0</v>
      </c>
      <c r="F56" s="1056" t="n">
        <v>1</v>
      </c>
      <c r="G56" s="1056" t="n">
        <v>300000</v>
      </c>
      <c r="H56" s="1056" t="n"/>
      <c r="I56" s="1056" t="n"/>
      <c r="J56" s="1056">
        <f>+C56*G56</f>
        <v/>
      </c>
      <c r="K56" s="1056">
        <f>+C56*H56</f>
        <v/>
      </c>
      <c r="L56" s="1056">
        <f>+C56*I56</f>
        <v/>
      </c>
      <c r="M56" s="1061">
        <f>+SUM(J56:L56)</f>
        <v/>
      </c>
    </row>
    <row r="57">
      <c r="B57" s="1055" t="inlineStr">
        <is>
          <t>Herramientas, Taladros, Cierras</t>
        </is>
      </c>
      <c r="C57" s="1056" t="n">
        <v>0</v>
      </c>
      <c r="D57" s="1057" t="inlineStr">
        <is>
          <t>mes</t>
        </is>
      </c>
      <c r="E57" s="1056" t="n">
        <v>0</v>
      </c>
      <c r="F57" s="1056" t="n">
        <v>1</v>
      </c>
      <c r="G57" s="1056" t="n">
        <v>150000</v>
      </c>
      <c r="H57" s="1056" t="n"/>
      <c r="I57" s="1056" t="n"/>
      <c r="J57" s="1056">
        <f>+C57*G57</f>
        <v/>
      </c>
      <c r="K57" s="1056">
        <f>+C57*H57</f>
        <v/>
      </c>
      <c r="L57" s="1056">
        <f>+C57*I57</f>
        <v/>
      </c>
      <c r="M57" s="1061">
        <f>+SUM(J57:L57)</f>
        <v/>
      </c>
    </row>
    <row r="58">
      <c r="B58" s="1055" t="inlineStr">
        <is>
          <t>Cascos</t>
        </is>
      </c>
      <c r="C58" s="1056" t="n">
        <v>0</v>
      </c>
      <c r="D58" s="1057" t="inlineStr">
        <is>
          <t>u</t>
        </is>
      </c>
      <c r="E58" s="1056" t="n">
        <v>0</v>
      </c>
      <c r="F58" s="1056">
        <f>+C58</f>
        <v/>
      </c>
      <c r="G58" s="1056" t="n">
        <v>1800</v>
      </c>
      <c r="H58" s="1056" t="n"/>
      <c r="I58" s="1056" t="n"/>
      <c r="J58" s="1056">
        <f>+C58*G58</f>
        <v/>
      </c>
      <c r="K58" s="1056">
        <f>+C58*H58</f>
        <v/>
      </c>
      <c r="L58" s="1056">
        <f>+C58*I58</f>
        <v/>
      </c>
      <c r="M58" s="1061">
        <f>+SUM(J58:L58)</f>
        <v/>
      </c>
    </row>
    <row r="59">
      <c r="B59" s="1055" t="inlineStr">
        <is>
          <t>Chalecos</t>
        </is>
      </c>
      <c r="C59" s="1056" t="n">
        <v>0</v>
      </c>
      <c r="D59" s="1057" t="inlineStr">
        <is>
          <t>u</t>
        </is>
      </c>
      <c r="E59" s="1056" t="n">
        <v>0</v>
      </c>
      <c r="F59" s="1056">
        <f>+C59</f>
        <v/>
      </c>
      <c r="G59" s="1056" t="n">
        <v>1650</v>
      </c>
      <c r="H59" s="1056" t="n"/>
      <c r="I59" s="1056" t="n"/>
      <c r="J59" s="1056">
        <f>+C59*G59</f>
        <v/>
      </c>
      <c r="K59" s="1056">
        <f>+C59*H59</f>
        <v/>
      </c>
      <c r="L59" s="1056">
        <f>+C59*I59</f>
        <v/>
      </c>
      <c r="M59" s="1061">
        <f>+SUM(J59:L59)</f>
        <v/>
      </c>
    </row>
    <row r="60">
      <c r="B60" s="1055" t="inlineStr">
        <is>
          <t>Protectores de ojos</t>
        </is>
      </c>
      <c r="C60" s="1056" t="n">
        <v>0</v>
      </c>
      <c r="D60" s="1057" t="inlineStr">
        <is>
          <t>u</t>
        </is>
      </c>
      <c r="E60" s="1056" t="n">
        <v>0</v>
      </c>
      <c r="F60" s="1056">
        <f>+C60</f>
        <v/>
      </c>
      <c r="G60" s="1056" t="n">
        <v>526</v>
      </c>
      <c r="H60" s="1056" t="n"/>
      <c r="I60" s="1056" t="n"/>
      <c r="J60" s="1056">
        <f>+C60*G60</f>
        <v/>
      </c>
      <c r="K60" s="1056">
        <f>+C60*H60</f>
        <v/>
      </c>
      <c r="L60" s="1056">
        <f>+C60*I60</f>
        <v/>
      </c>
      <c r="M60" s="1061">
        <f>+SUM(J60:L60)</f>
        <v/>
      </c>
    </row>
    <row r="61">
      <c r="B61" s="1055" t="inlineStr">
        <is>
          <t>Orejeras - Tapones</t>
        </is>
      </c>
      <c r="C61" s="1056" t="n">
        <v>0</v>
      </c>
      <c r="D61" s="1057" t="inlineStr">
        <is>
          <t>u</t>
        </is>
      </c>
      <c r="E61" s="1056" t="n">
        <v>0</v>
      </c>
      <c r="F61" s="1056">
        <f>+C61</f>
        <v/>
      </c>
      <c r="G61" s="1056" t="n">
        <v>330</v>
      </c>
      <c r="H61" s="1056" t="n"/>
      <c r="I61" s="1056" t="n"/>
      <c r="J61" s="1056">
        <f>+C61*G61</f>
        <v/>
      </c>
      <c r="K61" s="1056">
        <f>+C61*H61</f>
        <v/>
      </c>
      <c r="L61" s="1056">
        <f>+C61*I61</f>
        <v/>
      </c>
      <c r="M61" s="1061">
        <f>+SUM(J61:L61)</f>
        <v/>
      </c>
    </row>
    <row r="62">
      <c r="B62" s="1056" t="inlineStr">
        <is>
          <t>Guantes de Cuero</t>
        </is>
      </c>
      <c r="C62" s="1056" t="n">
        <v>0</v>
      </c>
      <c r="D62" s="1057" t="inlineStr">
        <is>
          <t>u</t>
        </is>
      </c>
      <c r="E62" s="1056" t="n">
        <v>0</v>
      </c>
      <c r="F62" s="1056">
        <f>+C62</f>
        <v/>
      </c>
      <c r="G62" s="1056" t="n">
        <v>2250</v>
      </c>
      <c r="H62" s="1056" t="n"/>
      <c r="I62" s="1056" t="n"/>
      <c r="J62" s="1056">
        <f>+C62*G62</f>
        <v/>
      </c>
      <c r="K62" s="1056">
        <f>+C62*H62</f>
        <v/>
      </c>
      <c r="L62" s="1056">
        <f>+C62*I62</f>
        <v/>
      </c>
      <c r="M62" s="1061">
        <f>+SUM(J62:L62)</f>
        <v/>
      </c>
    </row>
    <row r="63">
      <c r="B63" s="1056" t="inlineStr">
        <is>
          <t>Cintas para Señalización</t>
        </is>
      </c>
      <c r="C63" s="1056" t="n">
        <v>0</v>
      </c>
      <c r="D63" s="1057" t="inlineStr">
        <is>
          <t>rollos</t>
        </is>
      </c>
      <c r="E63" s="1056" t="n">
        <v>0</v>
      </c>
      <c r="F63" s="1056">
        <f>+C63</f>
        <v/>
      </c>
      <c r="G63" s="1056" t="n">
        <v>5378</v>
      </c>
      <c r="H63" s="1056" t="n"/>
      <c r="I63" s="1056" t="n"/>
      <c r="J63" s="1056">
        <f>+C63*G63</f>
        <v/>
      </c>
      <c r="K63" s="1056">
        <f>+C63*H63</f>
        <v/>
      </c>
      <c r="L63" s="1056">
        <f>+C63*I63</f>
        <v/>
      </c>
      <c r="M63" s="1061">
        <f>+SUM(J63:L63)</f>
        <v/>
      </c>
    </row>
    <row r="64">
      <c r="B64" s="1056" t="inlineStr">
        <is>
          <t>Rotulos</t>
        </is>
      </c>
      <c r="C64" s="1056">
        <f>+C59</f>
        <v/>
      </c>
      <c r="D64" s="1057" t="inlineStr">
        <is>
          <t>u</t>
        </is>
      </c>
      <c r="E64" s="1056" t="n">
        <v>0</v>
      </c>
      <c r="F64" s="1056">
        <f>+C64</f>
        <v/>
      </c>
      <c r="G64" s="1056" t="n">
        <v>8500</v>
      </c>
      <c r="H64" s="1056" t="n"/>
      <c r="I64" s="1056" t="n"/>
      <c r="J64" s="1056">
        <f>+C64*G64</f>
        <v/>
      </c>
      <c r="K64" s="1056">
        <f>+C64*H64</f>
        <v/>
      </c>
      <c r="L64" s="1056">
        <f>+C64*I64</f>
        <v/>
      </c>
      <c r="M64" s="1061">
        <f>+SUM(J64:L64)</f>
        <v/>
      </c>
    </row>
    <row r="65">
      <c r="B65" s="1056" t="inlineStr">
        <is>
          <t>Estañones</t>
        </is>
      </c>
      <c r="C65" s="1056" t="n">
        <v>0</v>
      </c>
      <c r="D65" s="1057" t="inlineStr">
        <is>
          <t>u</t>
        </is>
      </c>
      <c r="E65" s="1056" t="n">
        <v>0</v>
      </c>
      <c r="F65" s="1056">
        <f>(C65*E65/100)+C65</f>
        <v/>
      </c>
      <c r="G65" s="1056" t="n">
        <v>5000</v>
      </c>
      <c r="H65" s="1056" t="n"/>
      <c r="I65" s="1056" t="n"/>
      <c r="J65" s="1056">
        <f>+C65*G65</f>
        <v/>
      </c>
      <c r="K65" s="1056">
        <f>+C65*H65</f>
        <v/>
      </c>
      <c r="L65" s="1056">
        <f>+C65*I65</f>
        <v/>
      </c>
      <c r="M65" s="1061">
        <f>+SUM(J65:L65)</f>
        <v/>
      </c>
    </row>
    <row r="66">
      <c r="B66" s="1055" t="inlineStr">
        <is>
          <t>Carretillos</t>
        </is>
      </c>
      <c r="C66" s="1056" t="n">
        <v>0</v>
      </c>
      <c r="D66" s="1057" t="inlineStr">
        <is>
          <t>u</t>
        </is>
      </c>
      <c r="E66" s="1056" t="n">
        <v>0</v>
      </c>
      <c r="F66" s="1056">
        <f>(C66*E66/100)+C66</f>
        <v/>
      </c>
      <c r="G66" s="1056" t="n">
        <v>29500</v>
      </c>
      <c r="H66" s="1056" t="n"/>
      <c r="I66" s="1056" t="n"/>
      <c r="J66" s="1056">
        <f>+C66*G66</f>
        <v/>
      </c>
      <c r="K66" s="1056">
        <f>+C66*H66</f>
        <v/>
      </c>
      <c r="L66" s="1056">
        <f>+C66*I66</f>
        <v/>
      </c>
      <c r="M66" s="1061">
        <f>+SUM(J66:L66)</f>
        <v/>
      </c>
    </row>
    <row r="67">
      <c r="B67" s="1055" t="inlineStr">
        <is>
          <t>Baldes de Agua</t>
        </is>
      </c>
      <c r="C67" s="1056" t="n">
        <v>0</v>
      </c>
      <c r="D67" s="1057" t="inlineStr">
        <is>
          <t>u</t>
        </is>
      </c>
      <c r="E67" s="1056" t="n">
        <v>0</v>
      </c>
      <c r="F67" s="1056">
        <f>(C67*E67/100)+C67</f>
        <v/>
      </c>
      <c r="G67" s="1056" t="n">
        <v>2100</v>
      </c>
      <c r="H67" s="1056" t="n"/>
      <c r="I67" s="1056" t="n"/>
      <c r="J67" s="1056">
        <f>+C67*G67</f>
        <v/>
      </c>
      <c r="K67" s="1056">
        <f>+C67*H67</f>
        <v/>
      </c>
      <c r="L67" s="1056">
        <f>+C67*I67</f>
        <v/>
      </c>
      <c r="M67" s="1061">
        <f>+SUM(J67:L67)</f>
        <v/>
      </c>
    </row>
    <row r="68">
      <c r="B68" s="1055" t="inlineStr">
        <is>
          <t>Palas</t>
        </is>
      </c>
      <c r="C68" s="1056" t="n">
        <v>0</v>
      </c>
      <c r="D68" s="1057" t="inlineStr">
        <is>
          <t>u</t>
        </is>
      </c>
      <c r="E68" s="1056" t="n">
        <v>0</v>
      </c>
      <c r="F68" s="1056">
        <f>(C68*E68/100)+C68</f>
        <v/>
      </c>
      <c r="G68" s="1056" t="n">
        <v>4827</v>
      </c>
      <c r="H68" s="1056" t="n"/>
      <c r="I68" s="1056" t="n"/>
      <c r="J68" s="1056">
        <f>+C68*G68</f>
        <v/>
      </c>
      <c r="K68" s="1056">
        <f>+C68*H68</f>
        <v/>
      </c>
      <c r="L68" s="1056">
        <f>+C68*I68</f>
        <v/>
      </c>
      <c r="M68" s="1061">
        <f>+SUM(J68:L68)</f>
        <v/>
      </c>
    </row>
    <row r="69">
      <c r="B69" s="1055" t="inlineStr">
        <is>
          <t>Picos</t>
        </is>
      </c>
      <c r="C69" s="1056" t="n">
        <v>0</v>
      </c>
      <c r="D69" s="1057" t="inlineStr">
        <is>
          <t>u</t>
        </is>
      </c>
      <c r="E69" s="1056" t="n">
        <v>0</v>
      </c>
      <c r="F69" s="1056">
        <f>(C69*E69/100)+C69</f>
        <v/>
      </c>
      <c r="G69" s="1056" t="n">
        <v>9930</v>
      </c>
      <c r="H69" s="1056" t="n"/>
      <c r="I69" s="1056" t="n"/>
      <c r="J69" s="1056">
        <f>+C69*G69</f>
        <v/>
      </c>
      <c r="K69" s="1056">
        <f>+C69*H69</f>
        <v/>
      </c>
      <c r="L69" s="1056">
        <f>+C69*I69</f>
        <v/>
      </c>
      <c r="M69" s="1061">
        <f>+SUM(J69:L69)</f>
        <v/>
      </c>
    </row>
    <row r="70">
      <c r="B70" s="1055" t="inlineStr">
        <is>
          <t>Macanas</t>
        </is>
      </c>
      <c r="C70" s="1056" t="n">
        <v>0</v>
      </c>
      <c r="D70" s="1057" t="inlineStr">
        <is>
          <t>u</t>
        </is>
      </c>
      <c r="E70" s="1056" t="n">
        <v>0</v>
      </c>
      <c r="F70" s="1056" t="n">
        <v>0</v>
      </c>
      <c r="G70" s="1056" t="n">
        <v>9380</v>
      </c>
      <c r="H70" s="1056" t="n"/>
      <c r="I70" s="1056" t="n"/>
      <c r="J70" s="1056">
        <f>+C70*G70</f>
        <v/>
      </c>
      <c r="K70" s="1056">
        <f>+C70*H70</f>
        <v/>
      </c>
      <c r="L70" s="1056">
        <f>+C70*I70</f>
        <v/>
      </c>
      <c r="M70" s="1061">
        <f>+SUM(J70:L70)</f>
        <v/>
      </c>
    </row>
    <row r="71">
      <c r="B71" s="1055" t="inlineStr">
        <is>
          <t>Mazos</t>
        </is>
      </c>
      <c r="C71" s="1056" t="n">
        <v>0</v>
      </c>
      <c r="D71" s="1057" t="inlineStr">
        <is>
          <t>u</t>
        </is>
      </c>
      <c r="E71" s="1056" t="n">
        <v>0</v>
      </c>
      <c r="F71" s="1056" t="n">
        <v>0</v>
      </c>
      <c r="G71" s="1056" t="n">
        <v>6891</v>
      </c>
      <c r="H71" s="1056" t="n"/>
      <c r="I71" s="1056" t="n"/>
      <c r="J71" s="1056">
        <f>+C71*G71</f>
        <v/>
      </c>
      <c r="K71" s="1056">
        <f>+C71*H71</f>
        <v/>
      </c>
      <c r="L71" s="1056">
        <f>+C71*I71</f>
        <v/>
      </c>
      <c r="M71" s="1061">
        <f>+SUM(J71:L71)</f>
        <v/>
      </c>
    </row>
    <row r="72">
      <c r="B72" s="1055" t="inlineStr">
        <is>
          <t>Barras</t>
        </is>
      </c>
      <c r="C72" s="1056" t="n">
        <v>0</v>
      </c>
      <c r="D72" s="1057" t="inlineStr">
        <is>
          <t>u</t>
        </is>
      </c>
      <c r="E72" s="1056" t="n">
        <v>0</v>
      </c>
      <c r="F72" s="1056" t="n">
        <v>0</v>
      </c>
      <c r="G72" s="1056" t="n">
        <v>15400</v>
      </c>
      <c r="H72" s="1056" t="n"/>
      <c r="I72" s="1056" t="n"/>
      <c r="J72" s="1056">
        <f>+C72*G72</f>
        <v/>
      </c>
      <c r="K72" s="1056">
        <f>+C72*H72</f>
        <v/>
      </c>
      <c r="L72" s="1056">
        <f>+C72*I72</f>
        <v/>
      </c>
      <c r="M72" s="1061">
        <f>+SUM(J72:L72)</f>
        <v/>
      </c>
    </row>
    <row r="73">
      <c r="B73" s="1055" t="inlineStr">
        <is>
          <t>Vibrador 65mm</t>
        </is>
      </c>
      <c r="C73" s="1056" t="n">
        <v>0</v>
      </c>
      <c r="D73" s="1057" t="inlineStr">
        <is>
          <t>mes</t>
        </is>
      </c>
      <c r="E73" s="1056" t="n">
        <v>0</v>
      </c>
      <c r="F73" s="1056" t="n">
        <v>0</v>
      </c>
      <c r="G73" s="1056" t="n">
        <v>76650</v>
      </c>
      <c r="H73" s="1056" t="n"/>
      <c r="I73" s="1056" t="n"/>
      <c r="J73" s="1056">
        <f>+C73*G73</f>
        <v/>
      </c>
      <c r="K73" s="1056">
        <f>+C73*H73</f>
        <v/>
      </c>
      <c r="L73" s="1056">
        <f>+C73*I73</f>
        <v/>
      </c>
      <c r="M73" s="1061">
        <f>+SUM(J73:L73)</f>
        <v/>
      </c>
    </row>
    <row r="74">
      <c r="B74" s="1055" t="inlineStr">
        <is>
          <t>Batidora</t>
        </is>
      </c>
      <c r="C74" s="1056" t="n">
        <v>0</v>
      </c>
      <c r="D74" s="1057">
        <f>+D73</f>
        <v/>
      </c>
      <c r="E74" s="1056" t="n">
        <v>0</v>
      </c>
      <c r="F74" s="1056" t="n">
        <v>0</v>
      </c>
      <c r="G74" s="1056" t="n">
        <v>65000</v>
      </c>
      <c r="H74" s="1056" t="n"/>
      <c r="I74" s="1056" t="n"/>
      <c r="J74" s="1056">
        <f>+C74*G74</f>
        <v/>
      </c>
      <c r="K74" s="1056">
        <f>+C74*H74</f>
        <v/>
      </c>
      <c r="L74" s="1056">
        <f>+C74*I74</f>
        <v/>
      </c>
      <c r="M74" s="1061">
        <f>+SUM(J74:L74)</f>
        <v/>
      </c>
    </row>
    <row r="75">
      <c r="B75" s="1055" t="inlineStr">
        <is>
          <t>Compactadores (Brincon)</t>
        </is>
      </c>
      <c r="C75" s="1056" t="n">
        <v>0</v>
      </c>
      <c r="D75" s="1057">
        <f>+D74</f>
        <v/>
      </c>
      <c r="E75" s="1056" t="n">
        <v>0</v>
      </c>
      <c r="F75" s="1056">
        <f>(C75*E75/100)+C75</f>
        <v/>
      </c>
      <c r="G75" s="1056" t="n">
        <v>160000</v>
      </c>
      <c r="H75" s="1056" t="n"/>
      <c r="I75" s="1056" t="n"/>
      <c r="J75" s="1056">
        <f>+C75*G75</f>
        <v/>
      </c>
      <c r="K75" s="1056">
        <f>+C75*H75</f>
        <v/>
      </c>
      <c r="L75" s="1056">
        <f>+C75*I75</f>
        <v/>
      </c>
      <c r="M75" s="1061">
        <f>+SUM(J75:L75)</f>
        <v/>
      </c>
    </row>
    <row r="76">
      <c r="B76" s="1051" t="inlineStr">
        <is>
          <t>PERMISOS, C SOCIALES, POLIZAS</t>
        </is>
      </c>
      <c r="C76" s="1052" t="n"/>
      <c r="D76" s="1053" t="n"/>
      <c r="E76" s="1052" t="n"/>
      <c r="F76" s="1052" t="n"/>
      <c r="G76" s="1052" t="n"/>
      <c r="H76" s="1052" t="n"/>
      <c r="I76" s="1052" t="n"/>
      <c r="J76" s="1052" t="n"/>
      <c r="K76" s="1052" t="n"/>
      <c r="L76" s="1052" t="n"/>
      <c r="M76" s="1045" t="n"/>
    </row>
    <row r="77">
      <c r="B77" s="1055" t="inlineStr">
        <is>
          <t>Pòliza INS</t>
        </is>
      </c>
      <c r="C77" s="1056" t="n">
        <v>0</v>
      </c>
      <c r="D77" s="1057" t="inlineStr">
        <is>
          <t>gl</t>
        </is>
      </c>
      <c r="E77" s="1056" t="n">
        <v>0</v>
      </c>
      <c r="F77" s="1056" t="n">
        <v>0</v>
      </c>
      <c r="G77" s="1056" t="n"/>
      <c r="H77" s="1056">
        <f>SUM(K12:K37)</f>
        <v/>
      </c>
      <c r="I77" s="1056" t="n">
        <v>0</v>
      </c>
      <c r="J77" s="1056">
        <f>+C77*G77</f>
        <v/>
      </c>
      <c r="K77" s="1056">
        <f>+C77*H77</f>
        <v/>
      </c>
      <c r="L77" s="1056">
        <f>+C77*I77</f>
        <v/>
      </c>
      <c r="M77" s="1061">
        <f>+SUM(J77:L77)</f>
        <v/>
      </c>
    </row>
    <row r="78">
      <c r="B78" s="1064" t="inlineStr">
        <is>
          <t>• Certificado de Seguro de Responsabilidad Civil por lesión o muerte de terceras personas, con un monto mínimo de ¢100.000.000 (Cien millones de colones) por persona y ¢100.000.000 (Cien millones de colones) por accidente.</t>
        </is>
      </c>
      <c r="C78" s="1056" t="n"/>
      <c r="D78" s="1057" t="n"/>
      <c r="E78" s="1056" t="n"/>
      <c r="F78" s="1056" t="n"/>
      <c r="G78" s="1056" t="n"/>
      <c r="H78" s="1056" t="n"/>
      <c r="I78" s="1056" t="n"/>
      <c r="J78" s="1056" t="n"/>
      <c r="K78" s="1056" t="n"/>
      <c r="L78" s="1056" t="n"/>
      <c r="M78" s="1061" t="n"/>
    </row>
    <row r="79">
      <c r="B79" s="1064" t="inlineStr">
        <is>
          <t>• Certificado de Seguro de Responsabilidad Civil por daños a la propiedad de terceros, con un monto mínimo  de ¢100.000.000 (Cien millones de colones).</t>
        </is>
      </c>
      <c r="C79" s="1056" t="n"/>
      <c r="D79" s="1057" t="n"/>
      <c r="E79" s="1056" t="n"/>
      <c r="F79" s="1056" t="n"/>
      <c r="G79" s="1056" t="n"/>
      <c r="H79" s="1056" t="n"/>
      <c r="I79" s="1056" t="n"/>
      <c r="J79" s="1056" t="n"/>
      <c r="K79" s="1056" t="n"/>
      <c r="L79" s="1056" t="n"/>
      <c r="M79" s="1061" t="n"/>
    </row>
    <row r="80">
      <c r="B80" s="1064" t="inlineStr">
        <is>
          <t xml:space="preserve">• Una    póliza    que    proteja    las    obras    de    todo    riesgo    de    construcción    y    montaje,    por    el    monto    total    del    Contrato.    </t>
        </is>
      </c>
      <c r="C80" s="1056" t="n"/>
      <c r="D80" s="1057" t="n"/>
      <c r="E80" s="1056" t="n"/>
      <c r="F80" s="1056" t="n"/>
      <c r="G80" s="1056" t="n"/>
      <c r="H80" s="1056" t="n"/>
      <c r="I80" s="1056" t="n"/>
      <c r="J80" s="1056" t="n"/>
      <c r="K80" s="1056" t="n"/>
      <c r="L80" s="1056" t="n"/>
      <c r="M80" s="1061" t="n"/>
    </row>
    <row r="81">
      <c r="B81" s="1064" t="inlineStr">
        <is>
          <t>Cuotas del Instituto Nacional de Aprendizaje, del Instituto Mixto de Ayuda Social y del Banco Popular</t>
        </is>
      </c>
      <c r="C81" s="1056" t="n"/>
      <c r="D81" s="1057" t="n"/>
      <c r="E81" s="1056" t="n"/>
      <c r="F81" s="1056" t="n"/>
      <c r="G81" s="1056" t="n"/>
      <c r="H81" s="1056" t="n"/>
      <c r="I81" s="1056" t="n"/>
      <c r="J81" s="1056" t="n"/>
      <c r="K81" s="1056" t="n"/>
      <c r="L81" s="1056" t="n"/>
      <c r="M81" s="1061" t="n"/>
    </row>
    <row r="82">
      <c r="B82" s="1055" t="inlineStr">
        <is>
          <t>Setena</t>
        </is>
      </c>
      <c r="C82" s="1056" t="n">
        <v>0</v>
      </c>
      <c r="D82" s="1057" t="inlineStr">
        <is>
          <t>gl</t>
        </is>
      </c>
      <c r="E82" s="1056" t="n">
        <v>0</v>
      </c>
      <c r="F82" s="1056" t="n">
        <v>1</v>
      </c>
      <c r="G82" s="1056" t="n"/>
      <c r="H82" s="1056" t="n"/>
      <c r="I82" s="1056">
        <f>2160*C5</f>
        <v/>
      </c>
      <c r="J82" s="1056">
        <f>+C82*G82</f>
        <v/>
      </c>
      <c r="K82" s="1056">
        <f>+C82*H82</f>
        <v/>
      </c>
      <c r="L82" s="1056">
        <f>+C82*I82</f>
        <v/>
      </c>
      <c r="M82" s="1061">
        <f>+SUM(J82:L82)</f>
        <v/>
      </c>
    </row>
    <row r="83">
      <c r="B83" s="1055" t="inlineStr">
        <is>
          <t>Especies Fiscales 0,25%</t>
        </is>
      </c>
      <c r="C83" s="1056" t="n">
        <v>0</v>
      </c>
      <c r="D83" s="1057" t="inlineStr">
        <is>
          <t>gl</t>
        </is>
      </c>
      <c r="E83" s="1056" t="n">
        <v>0</v>
      </c>
      <c r="F83" s="1056" t="n">
        <v>1</v>
      </c>
      <c r="G83" s="1056" t="n"/>
      <c r="H83" s="1056" t="n"/>
      <c r="I83" s="1056">
        <f>1645606094*0.25%</f>
        <v/>
      </c>
      <c r="J83" s="1056">
        <f>+C83*G83</f>
        <v/>
      </c>
      <c r="K83" s="1056">
        <f>+C83*H83</f>
        <v/>
      </c>
      <c r="L83" s="1056">
        <f>+C83*I83</f>
        <v/>
      </c>
      <c r="M83" s="1061">
        <f>+SUM(J83:L83)</f>
        <v/>
      </c>
    </row>
    <row r="84">
      <c r="B84" s="1055" t="inlineStr">
        <is>
          <t>Planos y presupuesto preliminar</t>
        </is>
      </c>
      <c r="C84" s="1056" t="n">
        <v>0</v>
      </c>
      <c r="D84" s="1057" t="inlineStr">
        <is>
          <t>gl</t>
        </is>
      </c>
      <c r="E84" s="1056" t="n">
        <v>0</v>
      </c>
      <c r="F84" s="1170" t="n">
        <v>1</v>
      </c>
      <c r="G84" s="1056" t="n"/>
      <c r="H84" s="1056" t="n"/>
      <c r="I84" s="1056" t="n">
        <v>250000</v>
      </c>
      <c r="J84" s="1056">
        <f>+C84*G84</f>
        <v/>
      </c>
      <c r="K84" s="1056">
        <f>+C84*H84</f>
        <v/>
      </c>
      <c r="L84" s="1056">
        <f>+C84*I84</f>
        <v/>
      </c>
      <c r="M84" s="1061">
        <f>+SUM(J84:L84)</f>
        <v/>
      </c>
    </row>
    <row r="85">
      <c r="B85" s="1055" t="inlineStr">
        <is>
          <t>Planos Constructivos  133 laminas</t>
        </is>
      </c>
      <c r="C85" s="1056" t="n">
        <v>0</v>
      </c>
      <c r="D85" s="1057" t="inlineStr">
        <is>
          <t>gl</t>
        </is>
      </c>
      <c r="E85" s="1056" t="n">
        <v>0</v>
      </c>
      <c r="F85" s="1170" t="n">
        <v>1</v>
      </c>
      <c r="G85" s="1056" t="n"/>
      <c r="H85" s="1056" t="n"/>
      <c r="I85" s="1056">
        <f>133*1000*2</f>
        <v/>
      </c>
      <c r="J85" s="1056">
        <f>+C85*G85</f>
        <v/>
      </c>
      <c r="K85" s="1056">
        <f>+C85*H85</f>
        <v/>
      </c>
      <c r="L85" s="1056">
        <f>+C85*I85</f>
        <v/>
      </c>
      <c r="M85" s="1061">
        <f>+SUM(J85:L85)</f>
        <v/>
      </c>
    </row>
    <row r="86">
      <c r="B86" s="1055" t="inlineStr">
        <is>
          <t>Supervisión (especializada)</t>
        </is>
      </c>
      <c r="C86" s="1056" t="n">
        <v>0</v>
      </c>
      <c r="D86" s="1057" t="inlineStr">
        <is>
          <t>gl</t>
        </is>
      </c>
      <c r="E86" s="1056" t="n">
        <v>0</v>
      </c>
      <c r="F86" s="1056" t="n">
        <v>0.03</v>
      </c>
      <c r="G86" s="1056" t="n"/>
      <c r="H86" s="1056" t="n"/>
      <c r="I86" s="1056">
        <f>+I85</f>
        <v/>
      </c>
      <c r="J86" s="1056">
        <f>+C86*G86</f>
        <v/>
      </c>
      <c r="K86" s="1056">
        <f>+C86*H86</f>
        <v/>
      </c>
      <c r="L86" s="1056">
        <f>+C86*I86</f>
        <v/>
      </c>
      <c r="M86" s="1061">
        <f>+SUM(J86:L86)</f>
        <v/>
      </c>
    </row>
    <row r="87">
      <c r="B87" s="1055" t="inlineStr">
        <is>
          <t>Supervisión (especializada)</t>
        </is>
      </c>
      <c r="C87" s="1056" t="n">
        <v>0</v>
      </c>
      <c r="D87" s="1057" t="inlineStr">
        <is>
          <t>gl</t>
        </is>
      </c>
      <c r="E87" s="1056" t="n">
        <v>0</v>
      </c>
      <c r="F87" s="1056" t="n">
        <v>0.03</v>
      </c>
      <c r="G87" s="1056" t="n"/>
      <c r="H87" s="1056" t="n"/>
      <c r="I87" s="1056">
        <f>+I86</f>
        <v/>
      </c>
      <c r="J87" s="1056">
        <f>+C87*G87</f>
        <v/>
      </c>
      <c r="K87" s="1056">
        <f>+C87*H87</f>
        <v/>
      </c>
      <c r="L87" s="1056">
        <f>+C87*I87</f>
        <v/>
      </c>
      <c r="M87" s="1061">
        <f>+SUM(J87:L87)</f>
        <v/>
      </c>
    </row>
    <row r="88">
      <c r="B88" s="1055" t="inlineStr">
        <is>
          <t>Permisos</t>
        </is>
      </c>
      <c r="C88" s="1056" t="n">
        <v>0</v>
      </c>
      <c r="D88" s="1057" t="inlineStr">
        <is>
          <t>gl</t>
        </is>
      </c>
      <c r="E88" s="1056" t="n">
        <v>0</v>
      </c>
      <c r="F88" s="1171" t="n">
        <v>0.0125</v>
      </c>
      <c r="G88" s="1056" t="n"/>
      <c r="H88" s="1056" t="n"/>
      <c r="I88" s="1056">
        <f>+I87</f>
        <v/>
      </c>
      <c r="J88" s="1056">
        <f>+C88*G88</f>
        <v/>
      </c>
      <c r="K88" s="1056">
        <f>+C88*H88</f>
        <v/>
      </c>
      <c r="L88" s="1056">
        <f>+C88*I88</f>
        <v/>
      </c>
      <c r="M88" s="1061">
        <f>+SUM(J88:L88)</f>
        <v/>
      </c>
    </row>
    <row r="89">
      <c r="B89" s="1055" t="inlineStr">
        <is>
          <t>Cargas Sociales cierre</t>
        </is>
      </c>
      <c r="C89" s="1056" t="n">
        <v>0</v>
      </c>
      <c r="D89" s="1057" t="inlineStr">
        <is>
          <t>gl</t>
        </is>
      </c>
      <c r="E89" s="1056" t="n">
        <v>0</v>
      </c>
      <c r="F89" s="1056">
        <f>0.37+0.08+0.08</f>
        <v/>
      </c>
      <c r="G89" s="1056" t="n"/>
      <c r="H89" s="1056">
        <f>SUM(K12:K44)</f>
        <v/>
      </c>
      <c r="I89" s="1056" t="n"/>
      <c r="J89" s="1056">
        <f>+F89*G89</f>
        <v/>
      </c>
      <c r="K89" s="1056">
        <f>+F89*H89*C89</f>
        <v/>
      </c>
      <c r="L89" s="1056">
        <f>+F89*I89</f>
        <v/>
      </c>
      <c r="M89" s="1061">
        <f>+SUM(J89:L89)</f>
        <v/>
      </c>
    </row>
    <row r="90">
      <c r="B90" s="1059" t="n"/>
      <c r="C90" s="1052" t="n"/>
      <c r="D90" s="1053" t="n"/>
      <c r="E90" s="1052" t="n"/>
      <c r="F90" s="1052" t="n"/>
      <c r="G90" s="1052" t="n"/>
      <c r="H90" s="1052" t="n"/>
      <c r="I90" s="1052" t="n"/>
      <c r="J90" s="1052" t="n"/>
      <c r="K90" s="1052" t="n"/>
      <c r="L90" s="1052" t="n"/>
      <c r="M90" s="1045" t="n"/>
    </row>
    <row r="91">
      <c r="B91" s="1054" t="n"/>
      <c r="C91" s="1052" t="n"/>
      <c r="D91" s="1053" t="n"/>
      <c r="E91" s="1052" t="n"/>
      <c r="F91" s="1052" t="n"/>
      <c r="G91" s="1054" t="inlineStr">
        <is>
          <t>SUB-TOTAL ACUMULADO:</t>
        </is>
      </c>
      <c r="H91" s="1052" t="n"/>
      <c r="I91" s="1052" t="n"/>
      <c r="J91" s="1067">
        <f>SUM(J10:J90)</f>
        <v/>
      </c>
      <c r="K91" s="1067">
        <f>SUM(K10:K90)</f>
        <v/>
      </c>
      <c r="L91" s="1067">
        <f>SUM(L10:L90)</f>
        <v/>
      </c>
      <c r="M91" s="1067">
        <f>SUM(M11:M90)</f>
        <v/>
      </c>
    </row>
    <row r="92">
      <c r="B92" s="1054" t="n"/>
      <c r="C92" s="1052" t="n"/>
      <c r="D92" s="1053" t="n"/>
      <c r="E92" s="1052" t="n"/>
      <c r="F92" s="1052" t="n"/>
      <c r="G92" s="1054" t="n"/>
      <c r="H92" s="1052" t="n"/>
      <c r="I92" s="1052" t="n"/>
      <c r="J92" s="1054" t="n"/>
      <c r="K92" s="1054" t="n"/>
      <c r="L92" s="1172">
        <f>+L91+K91+J91</f>
        <v/>
      </c>
      <c r="M92" s="1173">
        <f>+L92/$C$5</f>
        <v/>
      </c>
    </row>
    <row r="93">
      <c r="B93" s="1054" t="n"/>
      <c r="C93" s="1052" t="n"/>
      <c r="D93" s="1053" t="n"/>
      <c r="E93" s="1052" t="n"/>
      <c r="F93" s="1052" t="n"/>
      <c r="G93" s="1054" t="n"/>
      <c r="H93" s="1052" t="n"/>
      <c r="I93" s="1052" t="n"/>
      <c r="J93" s="1054" t="n"/>
      <c r="K93" s="1054" t="n"/>
      <c r="L93" s="1054" t="n"/>
      <c r="M93" s="1045" t="n"/>
    </row>
    <row r="94">
      <c r="B94" s="1054" t="n"/>
      <c r="C94" s="1052" t="n"/>
      <c r="D94" s="1053" t="n"/>
      <c r="E94" s="1052" t="n"/>
      <c r="F94" s="1053" t="n"/>
      <c r="G94" s="1054" t="inlineStr">
        <is>
          <t>IMPREVISTOS 1%</t>
        </is>
      </c>
      <c r="H94" s="1052" t="n"/>
      <c r="I94" s="1052" t="n"/>
      <c r="J94" s="1054" t="n"/>
      <c r="K94" s="1070" t="n">
        <v>0</v>
      </c>
      <c r="L94" s="1172">
        <f>+$L$92*K94</f>
        <v/>
      </c>
      <c r="M94" s="1173">
        <f>+L94/$C$5</f>
        <v/>
      </c>
    </row>
    <row r="95">
      <c r="B95" s="1054" t="n"/>
      <c r="C95" s="1052" t="n"/>
      <c r="D95" s="1053" t="n"/>
      <c r="E95" s="1052" t="n"/>
      <c r="F95" s="1052" t="n"/>
      <c r="G95" s="1054" t="inlineStr">
        <is>
          <t>OTROS</t>
        </is>
      </c>
      <c r="H95" s="1052" t="n"/>
      <c r="I95" s="1052" t="n"/>
      <c r="J95" s="1052" t="n"/>
      <c r="K95" s="1070" t="n">
        <v>0</v>
      </c>
      <c r="L95" s="1172">
        <f>+$L$92*K95</f>
        <v/>
      </c>
      <c r="M95" s="1173">
        <f>+L95/$C$5</f>
        <v/>
      </c>
    </row>
    <row r="96">
      <c r="B96" s="1054" t="n"/>
      <c r="C96" s="1052" t="n"/>
      <c r="D96" s="1053" t="n"/>
      <c r="E96" s="1052" t="n"/>
      <c r="F96" s="1052" t="n"/>
      <c r="G96" s="1054" t="inlineStr">
        <is>
          <t>ADMINISTRACION 10 %</t>
        </is>
      </c>
      <c r="H96" s="1052" t="n"/>
      <c r="I96" s="1052" t="n"/>
      <c r="J96" s="1052" t="n"/>
      <c r="K96" s="1070" t="n">
        <v>0</v>
      </c>
      <c r="L96" s="1172">
        <f>+$L$92*K96</f>
        <v/>
      </c>
      <c r="M96" s="1173">
        <f>+L96/$C$5</f>
        <v/>
      </c>
    </row>
    <row r="97">
      <c r="G97" s="1054" t="inlineStr">
        <is>
          <t>UTILIDAD DEL CONTRATISTA 3 %</t>
        </is>
      </c>
      <c r="H97" s="1052" t="n"/>
      <c r="I97" s="1054" t="n"/>
      <c r="J97" s="1052" t="n"/>
      <c r="K97" s="1070" t="n">
        <v>0</v>
      </c>
      <c r="L97" s="1172">
        <f>+$L$92*K97</f>
        <v/>
      </c>
      <c r="M97" s="1173">
        <f>+L97/$C$5</f>
        <v/>
      </c>
      <c r="N97" s="1035">
        <f>+L97/plazo</f>
        <v/>
      </c>
    </row>
    <row r="98">
      <c r="G98" s="1054" t="inlineStr">
        <is>
          <t>SEGURIDAD OCUPACIONAL 0,25%</t>
        </is>
      </c>
      <c r="H98" s="1052" t="n"/>
      <c r="I98" s="1052" t="n"/>
      <c r="J98" s="1052" t="n"/>
      <c r="K98" s="1071" t="n">
        <v>0</v>
      </c>
      <c r="L98" s="1172">
        <f>+$L$92*K98</f>
        <v/>
      </c>
      <c r="M98" s="1173">
        <f>+L98/$C$5</f>
        <v/>
      </c>
    </row>
    <row r="99">
      <c r="G99" s="1054" t="n"/>
      <c r="H99" s="1052" t="n"/>
      <c r="I99" s="1052" t="n"/>
      <c r="J99" s="1052" t="n"/>
      <c r="K99" s="1045" t="n"/>
      <c r="L99" s="1174" t="n"/>
      <c r="M99" s="1175" t="n"/>
    </row>
    <row r="100">
      <c r="G100" s="1054" t="inlineStr">
        <is>
          <t>TOTAL</t>
        </is>
      </c>
      <c r="H100" s="1052" t="n"/>
      <c r="I100" s="1052" t="n"/>
      <c r="J100" s="1052" t="n"/>
      <c r="K100" s="1052" t="n"/>
      <c r="L100" s="1074">
        <f>+L94+L97+L92+L98+L96</f>
        <v/>
      </c>
      <c r="M100" s="1176">
        <f>+L100/$C$5</f>
        <v/>
      </c>
      <c r="N100" s="1177" t="n"/>
    </row>
    <row r="102">
      <c r="G102" s="1054" t="inlineStr">
        <is>
          <t>COSTO/m2</t>
        </is>
      </c>
      <c r="L102" s="1074" t="n">
        <v>0</v>
      </c>
      <c r="M102" s="1176">
        <f>+L102/$C$5</f>
        <v/>
      </c>
    </row>
    <row r="104">
      <c r="G104" s="1054" t="inlineStr">
        <is>
          <t>Factor</t>
        </is>
      </c>
      <c r="L104" s="1035">
        <f>+L100/M12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sheetData>
    <row r="2">
      <c r="B2" s="556" t="inlineStr">
        <is>
          <t>Precios unitarios</t>
        </is>
      </c>
    </row>
    <row r="3">
      <c r="B3" s="556" t="n"/>
    </row>
    <row r="4">
      <c r="B4" s="1077" t="inlineStr">
        <is>
          <t>Descripcion</t>
        </is>
      </c>
      <c r="C4" s="1077" t="inlineStr">
        <is>
          <t xml:space="preserve">Costo </t>
        </is>
      </c>
      <c r="D4" s="1078" t="inlineStr">
        <is>
          <t>unidad</t>
        </is>
      </c>
    </row>
    <row r="5">
      <c r="B5" s="1079" t="inlineStr">
        <is>
          <t>Grado 40</t>
        </is>
      </c>
      <c r="C5" s="1080" t="n"/>
      <c r="D5" s="1081" t="n"/>
    </row>
    <row r="6">
      <c r="B6" s="1082" t="inlineStr">
        <is>
          <t xml:space="preserve">Varilla #2 </t>
        </is>
      </c>
      <c r="C6" s="1083" t="n">
        <v>808</v>
      </c>
      <c r="D6" s="1081" t="inlineStr">
        <is>
          <t>Var</t>
        </is>
      </c>
    </row>
    <row r="7">
      <c r="B7" s="1082" t="inlineStr">
        <is>
          <t>Varilla #3 Grado 40</t>
        </is>
      </c>
      <c r="C7" s="1083" t="n">
        <v>2175.61</v>
      </c>
      <c r="D7" s="1081" t="inlineStr">
        <is>
          <t>Var</t>
        </is>
      </c>
    </row>
    <row r="8">
      <c r="B8" s="1082" t="inlineStr">
        <is>
          <t>Varilla #4 Grado 40</t>
        </is>
      </c>
      <c r="C8" s="1083" t="n">
        <v>3859.12</v>
      </c>
      <c r="D8" s="1081" t="inlineStr">
        <is>
          <t>Var</t>
        </is>
      </c>
    </row>
    <row r="9">
      <c r="B9" s="1082" t="inlineStr">
        <is>
          <t>Varilla #5 Grado 40</t>
        </is>
      </c>
      <c r="C9" s="1084" t="n">
        <v>6670</v>
      </c>
      <c r="D9" s="1081" t="inlineStr">
        <is>
          <t>Var</t>
        </is>
      </c>
    </row>
    <row r="10">
      <c r="B10" s="1079" t="inlineStr">
        <is>
          <t>Grado 60</t>
        </is>
      </c>
      <c r="C10" s="1084" t="n"/>
      <c r="D10" s="1081" t="n"/>
    </row>
    <row r="11">
      <c r="B11" s="1082" t="inlineStr">
        <is>
          <t>Varilla #2 Grado 60</t>
        </is>
      </c>
      <c r="C11" s="1084">
        <f>+C6</f>
        <v/>
      </c>
      <c r="D11" s="1081" t="inlineStr">
        <is>
          <t>Var</t>
        </is>
      </c>
    </row>
    <row r="12">
      <c r="B12" s="1082" t="inlineStr">
        <is>
          <t>Varilla #3 Grado 60</t>
        </is>
      </c>
      <c r="C12" s="1083" t="n">
        <v>2175.61</v>
      </c>
      <c r="D12" s="1081" t="inlineStr">
        <is>
          <t>Var</t>
        </is>
      </c>
    </row>
    <row r="13">
      <c r="B13" s="1082" t="inlineStr">
        <is>
          <t>Varilla #4 Grado 60</t>
        </is>
      </c>
      <c r="C13" s="1083" t="n">
        <v>3859.12</v>
      </c>
      <c r="D13" s="1081" t="inlineStr">
        <is>
          <t>Var</t>
        </is>
      </c>
    </row>
    <row r="14">
      <c r="B14" s="1082" t="inlineStr">
        <is>
          <t>Varilla #5 Grado 60</t>
        </is>
      </c>
      <c r="C14" s="1084" t="n">
        <v>6740</v>
      </c>
      <c r="D14" s="1081" t="inlineStr">
        <is>
          <t>Var</t>
        </is>
      </c>
    </row>
    <row r="15">
      <c r="B15" s="1082" t="inlineStr">
        <is>
          <t>Varilla #6 Grado 60</t>
        </is>
      </c>
      <c r="C15" s="1084" t="n">
        <v>9700</v>
      </c>
      <c r="D15" s="1081" t="inlineStr">
        <is>
          <t>Var</t>
        </is>
      </c>
    </row>
    <row r="16">
      <c r="B16" s="1082" t="inlineStr">
        <is>
          <t>Varilla #7 Grado 60</t>
        </is>
      </c>
      <c r="C16" s="1084" t="n">
        <v>14100</v>
      </c>
      <c r="D16" s="1081" t="inlineStr">
        <is>
          <t>Var</t>
        </is>
      </c>
    </row>
    <row r="17">
      <c r="B17" s="1082" t="inlineStr">
        <is>
          <t>Varilla #8 Grado 60</t>
        </is>
      </c>
      <c r="C17" s="1084" t="n">
        <v>18400</v>
      </c>
      <c r="D17" s="1081" t="inlineStr">
        <is>
          <t>Var</t>
        </is>
      </c>
    </row>
    <row r="18">
      <c r="B18" s="1082" t="inlineStr">
        <is>
          <t>Varilla #9 Grado 60</t>
        </is>
      </c>
      <c r="C18" s="1084" t="n">
        <v>22000</v>
      </c>
      <c r="D18" s="1081" t="inlineStr">
        <is>
          <t>Var</t>
        </is>
      </c>
    </row>
    <row r="19">
      <c r="B19" s="1082" t="inlineStr">
        <is>
          <t>Varilla #10 Grado 60</t>
        </is>
      </c>
      <c r="C19" s="1084" t="n">
        <v>0</v>
      </c>
      <c r="D19" s="1081" t="inlineStr">
        <is>
          <t>Var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2:P161"/>
  <sheetViews>
    <sheetView workbookViewId="0">
      <selection activeCell="A1" sqref="A1"/>
    </sheetView>
  </sheetViews>
  <sheetFormatPr baseColWidth="8" defaultRowHeight="15"/>
  <sheetData>
    <row r="2">
      <c r="C2" s="1085" t="inlineStr">
        <is>
          <t>INSTALACIÓN MECÁNICA- AGUA POTABLE</t>
        </is>
      </c>
      <c r="D2" s="1086" t="n"/>
      <c r="E2" s="1086" t="n"/>
      <c r="F2" s="1087" t="n"/>
      <c r="G2" s="1087" t="n"/>
      <c r="H2" s="1087" t="n"/>
      <c r="I2" s="1088" t="n"/>
      <c r="J2" s="1087" t="n"/>
      <c r="K2" s="1087" t="n"/>
      <c r="L2" s="1087" t="n"/>
    </row>
    <row r="3">
      <c r="C3" s="1089" t="n"/>
      <c r="D3" s="1090" t="n"/>
      <c r="E3" s="1090" t="n"/>
      <c r="F3" s="1091" t="n"/>
      <c r="G3" s="1091" t="n"/>
      <c r="H3" s="1091" t="n"/>
      <c r="I3" s="1092" t="n"/>
      <c r="J3" s="1091" t="n"/>
      <c r="K3" s="1091" t="n"/>
      <c r="L3" s="1091" t="n"/>
    </row>
    <row r="4">
      <c r="C4" s="11" t="inlineStr">
        <is>
          <t>TUBO PVC 1/2 P/GRUESA</t>
        </is>
      </c>
      <c r="D4" s="722" t="n">
        <v>14</v>
      </c>
      <c r="E4" s="18" t="inlineStr">
        <is>
          <t>uni</t>
        </is>
      </c>
      <c r="F4" s="1093" t="n"/>
      <c r="G4" s="1094" t="n">
        <v>3985</v>
      </c>
      <c r="H4" s="1093" t="n"/>
      <c r="I4" s="1095">
        <f>F4*D4</f>
        <v/>
      </c>
      <c r="J4" s="1093">
        <f>G4*D4</f>
        <v/>
      </c>
      <c r="K4" s="1093">
        <f>H4*D4</f>
        <v/>
      </c>
      <c r="L4" s="1093">
        <f>K4+J4+I4</f>
        <v/>
      </c>
    </row>
    <row r="5">
      <c r="C5" s="11" t="inlineStr">
        <is>
          <t>CODO 90  LISO PVC 1/2</t>
        </is>
      </c>
      <c r="D5" s="722" t="n">
        <v>51</v>
      </c>
      <c r="E5" s="116" t="inlineStr">
        <is>
          <t>uni</t>
        </is>
      </c>
      <c r="F5" s="1093" t="n"/>
      <c r="G5" s="1093" t="n">
        <v>220</v>
      </c>
      <c r="H5" s="1093" t="n"/>
      <c r="I5" s="1093">
        <f>F5*D5</f>
        <v/>
      </c>
      <c r="J5" s="1093">
        <f>G5*D5</f>
        <v/>
      </c>
      <c r="K5" s="1093">
        <f>H5*D5</f>
        <v/>
      </c>
      <c r="L5" s="1093">
        <f>K5+J5+I5</f>
        <v/>
      </c>
    </row>
    <row r="6">
      <c r="C6" s="11" t="inlineStr">
        <is>
          <t>CODO 45 LISO PVC 1/2</t>
        </is>
      </c>
      <c r="D6" s="722" t="n">
        <v>8</v>
      </c>
      <c r="E6" s="116" t="inlineStr">
        <is>
          <t>uni</t>
        </is>
      </c>
      <c r="F6" s="1093" t="n"/>
      <c r="G6" s="1093" t="n">
        <v>410</v>
      </c>
      <c r="H6" s="1093" t="n"/>
      <c r="I6" s="1093">
        <f>F6*D6</f>
        <v/>
      </c>
      <c r="J6" s="1093">
        <f>G6*D6</f>
        <v/>
      </c>
      <c r="K6" s="1093">
        <f>H6*D6</f>
        <v/>
      </c>
      <c r="L6" s="1093">
        <f>K6+J6+I6</f>
        <v/>
      </c>
    </row>
    <row r="7">
      <c r="C7" s="11" t="inlineStr">
        <is>
          <t>TEE LISA PVC 1/2</t>
        </is>
      </c>
      <c r="D7" s="722" t="n">
        <v>20</v>
      </c>
      <c r="E7" s="116" t="inlineStr">
        <is>
          <t>uni</t>
        </is>
      </c>
      <c r="F7" s="1093" t="n"/>
      <c r="G7" s="1093" t="n">
        <v>230</v>
      </c>
      <c r="H7" s="1093" t="n"/>
      <c r="I7" s="1093">
        <f>F7*D7</f>
        <v/>
      </c>
      <c r="J7" s="1093">
        <f>G7*D7</f>
        <v/>
      </c>
      <c r="K7" s="1093">
        <f>H7*D7</f>
        <v/>
      </c>
      <c r="L7" s="1093">
        <f>K7+J7+I7</f>
        <v/>
      </c>
    </row>
    <row r="8">
      <c r="C8" s="11" t="inlineStr">
        <is>
          <t>TAPON MACHO CON ROSCA</t>
        </is>
      </c>
      <c r="D8" s="722" t="n">
        <v>10</v>
      </c>
      <c r="E8" s="116" t="inlineStr">
        <is>
          <t>UNI</t>
        </is>
      </c>
      <c r="F8" s="1093" t="n"/>
      <c r="G8" s="1093" t="n">
        <v>770</v>
      </c>
      <c r="H8" s="1093" t="n"/>
      <c r="I8" s="1093">
        <f>F8*D8</f>
        <v/>
      </c>
      <c r="J8" s="1093">
        <f>G8*D8</f>
        <v/>
      </c>
      <c r="K8" s="1093">
        <f>H8*D8</f>
        <v/>
      </c>
      <c r="L8" s="1093">
        <f>K8+J8+I8</f>
        <v/>
      </c>
    </row>
    <row r="9">
      <c r="C9" s="11" t="inlineStr">
        <is>
          <t>TAPON HEMBRA PVC LISO  1/2</t>
        </is>
      </c>
      <c r="D9" s="722" t="n">
        <v>10</v>
      </c>
      <c r="E9" s="116" t="inlineStr">
        <is>
          <t>uni</t>
        </is>
      </c>
      <c r="F9" s="1093" t="n"/>
      <c r="G9" s="1093" t="n">
        <v>140</v>
      </c>
      <c r="H9" s="1093" t="n"/>
      <c r="I9" s="1093">
        <f>F9*D9</f>
        <v/>
      </c>
      <c r="J9" s="1093">
        <f>G9*D9</f>
        <v/>
      </c>
      <c r="K9" s="1093">
        <f>H9*D9</f>
        <v/>
      </c>
      <c r="L9" s="1093">
        <f>K9+J9+I9</f>
        <v/>
      </c>
    </row>
    <row r="10">
      <c r="C10" s="11" t="inlineStr">
        <is>
          <t>TAPON HEMBRA PVC LISO 1 1/2</t>
        </is>
      </c>
      <c r="D10" s="722" t="n">
        <v>30</v>
      </c>
      <c r="E10" s="116" t="inlineStr">
        <is>
          <t>uni</t>
        </is>
      </c>
      <c r="F10" s="1093" t="n"/>
      <c r="G10" s="1093" t="n">
        <v>160</v>
      </c>
      <c r="H10" s="1093" t="n"/>
      <c r="I10" s="1093">
        <f>F10*D10</f>
        <v/>
      </c>
      <c r="J10" s="1093">
        <f>G10*D10</f>
        <v/>
      </c>
      <c r="K10" s="1093">
        <f>H10*D10</f>
        <v/>
      </c>
      <c r="L10" s="1093">
        <f>K10+J10+I10</f>
        <v/>
      </c>
    </row>
    <row r="11">
      <c r="C11" s="11" t="inlineStr">
        <is>
          <t>ADAPTADOR MACHO PVC 1/2</t>
        </is>
      </c>
      <c r="D11" s="722" t="n">
        <v>39</v>
      </c>
      <c r="E11" s="116" t="inlineStr">
        <is>
          <t>uni</t>
        </is>
      </c>
      <c r="F11" s="1093" t="n"/>
      <c r="G11" s="1096" t="n">
        <v>1140</v>
      </c>
      <c r="H11" s="1093" t="n"/>
      <c r="I11" s="1093">
        <f>F11*D11</f>
        <v/>
      </c>
      <c r="J11" s="1093">
        <f>G11*D11</f>
        <v/>
      </c>
      <c r="K11" s="1093">
        <f>H11*D11</f>
        <v/>
      </c>
      <c r="L11" s="1093">
        <f>K11+J11+I11</f>
        <v/>
      </c>
    </row>
    <row r="12">
      <c r="C12" s="11" t="inlineStr">
        <is>
          <t>UNION LISA PVC  1/2</t>
        </is>
      </c>
      <c r="D12" s="722" t="n">
        <v>8</v>
      </c>
      <c r="E12" s="116" t="inlineStr">
        <is>
          <t>uni</t>
        </is>
      </c>
      <c r="F12" s="1093" t="n"/>
      <c r="G12" s="1096" t="n">
        <v>254</v>
      </c>
      <c r="H12" s="1093" t="n"/>
      <c r="I12" s="1093">
        <f>F12*D12</f>
        <v/>
      </c>
      <c r="J12" s="1093">
        <f>G12*D12</f>
        <v/>
      </c>
      <c r="K12" s="1093">
        <f>H12*D12</f>
        <v/>
      </c>
      <c r="L12" s="1093">
        <f>K12+J12+I12</f>
        <v/>
      </c>
    </row>
    <row r="13">
      <c r="C13" s="11" t="inlineStr">
        <is>
          <t>TUBO CPVC 1/2</t>
        </is>
      </c>
      <c r="D13" s="722" t="n">
        <v>10</v>
      </c>
      <c r="E13" s="116" t="inlineStr">
        <is>
          <t>uni</t>
        </is>
      </c>
      <c r="F13" s="1093" t="n"/>
      <c r="G13" s="1096" t="n">
        <v>196</v>
      </c>
      <c r="H13" s="1093" t="n"/>
      <c r="I13" s="1093">
        <f>F13*D13</f>
        <v/>
      </c>
      <c r="J13" s="1093">
        <f>G13*D13</f>
        <v/>
      </c>
      <c r="K13" s="1093">
        <f>H13*D13</f>
        <v/>
      </c>
      <c r="L13" s="1093">
        <f>K13+J13+I13</f>
        <v/>
      </c>
    </row>
    <row r="14">
      <c r="C14" s="11" t="inlineStr">
        <is>
          <t>CODO 90 CPVC 1/2</t>
        </is>
      </c>
      <c r="D14" s="722" t="n">
        <v>41</v>
      </c>
      <c r="E14" s="116" t="inlineStr">
        <is>
          <t>uni</t>
        </is>
      </c>
      <c r="F14" s="1093" t="n"/>
      <c r="G14" s="1094" t="n">
        <v>357.75</v>
      </c>
      <c r="H14" s="1093" t="n"/>
      <c r="I14" s="1093">
        <f>F14*D14</f>
        <v/>
      </c>
      <c r="J14" s="1093">
        <f>G14*D14</f>
        <v/>
      </c>
      <c r="K14" s="1093">
        <f>H14*D14</f>
        <v/>
      </c>
      <c r="L14" s="1093">
        <f>K14+J14+I14</f>
        <v/>
      </c>
    </row>
    <row r="15">
      <c r="C15" s="11" t="inlineStr">
        <is>
          <t>CODO 45 CPVC 1/2</t>
        </is>
      </c>
      <c r="D15" s="722" t="n">
        <v>18</v>
      </c>
      <c r="E15" s="116" t="inlineStr">
        <is>
          <t>uni</t>
        </is>
      </c>
      <c r="F15" s="1093" t="n"/>
      <c r="G15" s="1096" t="n">
        <v>824</v>
      </c>
      <c r="H15" s="1093" t="n"/>
      <c r="I15" s="1093">
        <f>F15*D15</f>
        <v/>
      </c>
      <c r="J15" s="1093">
        <f>G15*D15</f>
        <v/>
      </c>
      <c r="K15" s="1093">
        <f>H15*D15</f>
        <v/>
      </c>
      <c r="L15" s="1093">
        <f>K15+J15+I15</f>
        <v/>
      </c>
    </row>
    <row r="16">
      <c r="C16" s="11" t="inlineStr">
        <is>
          <t>TEE CPVC 1/2</t>
        </is>
      </c>
      <c r="D16" s="722" t="n">
        <v>15</v>
      </c>
      <c r="E16" s="116" t="inlineStr">
        <is>
          <t>uni</t>
        </is>
      </c>
      <c r="F16" s="1093" t="n"/>
      <c r="G16" s="1096" t="n">
        <v>1350</v>
      </c>
      <c r="H16" s="1093" t="n"/>
      <c r="I16" s="1093">
        <f>F16*D16</f>
        <v/>
      </c>
      <c r="J16" s="1093">
        <f>G16*D16</f>
        <v/>
      </c>
      <c r="K16" s="1093">
        <f>H16*D16</f>
        <v/>
      </c>
      <c r="L16" s="1093">
        <f>K16+J16+I16</f>
        <v/>
      </c>
      <c r="O16" s="556" t="inlineStr">
        <is>
          <t>Mecanico</t>
        </is>
      </c>
      <c r="P16" s="556" t="inlineStr">
        <is>
          <t>Eledtrico</t>
        </is>
      </c>
    </row>
    <row r="17">
      <c r="C17" s="11" t="inlineStr">
        <is>
          <t>TAPON LISO CPVC 1/2</t>
        </is>
      </c>
      <c r="D17" s="722" t="n">
        <v>24</v>
      </c>
      <c r="E17" s="116" t="inlineStr">
        <is>
          <t>uni</t>
        </is>
      </c>
      <c r="F17" s="1093" t="n"/>
      <c r="G17" s="1096" t="n">
        <v>1090</v>
      </c>
      <c r="H17" s="1093" t="n"/>
      <c r="I17" s="1093">
        <f>F17*D17</f>
        <v/>
      </c>
      <c r="J17" s="1093">
        <f>G17*D17</f>
        <v/>
      </c>
      <c r="K17" s="1093">
        <f>H17*D17</f>
        <v/>
      </c>
      <c r="L17" s="1093">
        <f>K17+J17+I17</f>
        <v/>
      </c>
      <c r="N17" t="inlineStr">
        <is>
          <t>Materiales</t>
        </is>
      </c>
      <c r="O17" s="775">
        <f>+J35+J64+J77</f>
        <v/>
      </c>
      <c r="P17" s="775">
        <f>+J115+J161</f>
        <v/>
      </c>
    </row>
    <row r="18">
      <c r="C18" s="11" t="inlineStr">
        <is>
          <t>ADAPTADOR MACHO CPVC 1/2</t>
        </is>
      </c>
      <c r="D18" s="722" t="n">
        <v>24</v>
      </c>
      <c r="E18" s="116" t="inlineStr">
        <is>
          <t>uni</t>
        </is>
      </c>
      <c r="F18" s="1093" t="n"/>
      <c r="G18" s="1096" t="n">
        <v>809</v>
      </c>
      <c r="H18" s="1093" t="n"/>
      <c r="I18" s="1093">
        <f>F18*D18</f>
        <v/>
      </c>
      <c r="J18" s="1093">
        <f>G18*D18</f>
        <v/>
      </c>
      <c r="K18" s="1093">
        <f>H18*D18</f>
        <v/>
      </c>
      <c r="L18" s="1093">
        <f>K18+J18+I18</f>
        <v/>
      </c>
      <c r="N18" t="inlineStr">
        <is>
          <t>MO</t>
        </is>
      </c>
      <c r="O18" s="775">
        <f>+I35+I64+I77</f>
        <v/>
      </c>
      <c r="P18" s="775">
        <f>+I115+I161</f>
        <v/>
      </c>
    </row>
    <row r="19">
      <c r="C19" s="11" t="inlineStr">
        <is>
          <t>ADAPTADOR HEMBRA CPVC 1/2</t>
        </is>
      </c>
      <c r="D19" s="722" t="n">
        <v>5</v>
      </c>
      <c r="E19" s="116" t="inlineStr">
        <is>
          <t>uni</t>
        </is>
      </c>
      <c r="F19" s="1093" t="n"/>
      <c r="G19" s="1096" t="n">
        <v>880</v>
      </c>
      <c r="H19" s="1093" t="n"/>
      <c r="I19" s="1093">
        <f>F19*D19</f>
        <v/>
      </c>
      <c r="J19" s="1093">
        <f>G19*D19</f>
        <v/>
      </c>
      <c r="K19" s="1093">
        <f>H19*D19</f>
        <v/>
      </c>
      <c r="L19" s="1093">
        <f>K19+J19+I19</f>
        <v/>
      </c>
      <c r="O19" s="1097">
        <f>SUM(O17:O18)</f>
        <v/>
      </c>
      <c r="P19" s="1097">
        <f>SUM(P17:P18)</f>
        <v/>
      </c>
    </row>
    <row r="20">
      <c r="C20" s="11" t="inlineStr">
        <is>
          <t>UNION LISA  CPVC 1/2</t>
        </is>
      </c>
      <c r="D20" s="722" t="n">
        <v>6</v>
      </c>
      <c r="E20" s="116" t="inlineStr">
        <is>
          <t>uni</t>
        </is>
      </c>
      <c r="F20" s="1093" t="n"/>
      <c r="G20" s="1096" t="n">
        <v>3534</v>
      </c>
      <c r="H20" s="1093" t="n"/>
      <c r="I20" s="1093">
        <f>F20*D20</f>
        <v/>
      </c>
      <c r="J20" s="1093">
        <f>G20*D20</f>
        <v/>
      </c>
      <c r="K20" s="1093">
        <f>H20*D20</f>
        <v/>
      </c>
      <c r="L20" s="1093">
        <f>K20+J20+I20</f>
        <v/>
      </c>
    </row>
    <row r="21">
      <c r="C21" s="11" t="inlineStr">
        <is>
          <t>LLAVE DE CONTROL ESCUADRA 1/2 A 1/2</t>
        </is>
      </c>
      <c r="D21" s="722" t="n">
        <v>6</v>
      </c>
      <c r="E21" s="116" t="inlineStr">
        <is>
          <t>uni</t>
        </is>
      </c>
      <c r="F21" s="1093" t="n"/>
      <c r="G21" s="1096" t="n">
        <v>595</v>
      </c>
      <c r="H21" s="1093" t="n"/>
      <c r="I21" s="1093">
        <f>F21*D21</f>
        <v/>
      </c>
      <c r="J21" s="1093">
        <f>G21*D21</f>
        <v/>
      </c>
      <c r="K21" s="1093">
        <f>H21*D21</f>
        <v/>
      </c>
      <c r="L21" s="1093">
        <f>K21+J21+I21</f>
        <v/>
      </c>
    </row>
    <row r="22">
      <c r="C22" s="11" t="inlineStr">
        <is>
          <t>LLAVE DE CHORRO PVC 1/2</t>
        </is>
      </c>
      <c r="D22" s="722" t="n">
        <v>2</v>
      </c>
      <c r="E22" s="116" t="inlineStr">
        <is>
          <t>uni</t>
        </is>
      </c>
      <c r="F22" s="1093" t="n"/>
      <c r="G22" s="1096" t="n">
        <v>2850.29</v>
      </c>
      <c r="H22" s="1093" t="n"/>
      <c r="I22" s="1093">
        <f>F22*D22</f>
        <v/>
      </c>
      <c r="J22" s="1093">
        <f>G22*D22</f>
        <v/>
      </c>
      <c r="K22" s="1093">
        <f>H22*D22</f>
        <v/>
      </c>
      <c r="L22" s="1093">
        <f>K22+J22+I22</f>
        <v/>
      </c>
    </row>
    <row r="23">
      <c r="C23" s="11" t="inlineStr">
        <is>
          <t>GRIFERIA DUCHA BREZZA  MONO S/LAVAPIES EZ4015551  SSB</t>
        </is>
      </c>
      <c r="D23" s="722" t="n">
        <v>2</v>
      </c>
      <c r="E23" s="116" t="inlineStr">
        <is>
          <t>uni</t>
        </is>
      </c>
      <c r="F23" s="1093" t="n"/>
      <c r="G23" s="1096" t="n">
        <v>4656.73</v>
      </c>
      <c r="H23" s="1093" t="n"/>
      <c r="I23" s="1093">
        <f>F23*D23</f>
        <v/>
      </c>
      <c r="J23" s="1093">
        <f>G23*D23</f>
        <v/>
      </c>
      <c r="K23" s="1093">
        <f>H23*D23</f>
        <v/>
      </c>
      <c r="L23" s="1093">
        <f>K23+J23+I23</f>
        <v/>
      </c>
    </row>
    <row r="24">
      <c r="C24" s="11" t="inlineStr">
        <is>
          <t>HIDROMETRO DE 1/2Q (12MM) ENCAPSULADO ROSCADO ARAD</t>
        </is>
      </c>
      <c r="D24" s="722" t="n">
        <v>1</v>
      </c>
      <c r="E24" s="116" t="inlineStr">
        <is>
          <t>uni</t>
        </is>
      </c>
      <c r="F24" s="1093" t="n"/>
      <c r="G24" s="1096" t="n">
        <v>34182.5</v>
      </c>
      <c r="H24" s="1093" t="n"/>
      <c r="I24" s="1093">
        <f>F24*D24</f>
        <v/>
      </c>
      <c r="J24" s="1093">
        <f>G24*D24</f>
        <v/>
      </c>
      <c r="K24" s="1093">
        <f>H24*D24</f>
        <v/>
      </c>
      <c r="L24" s="1093">
        <f>K24+J24+I24</f>
        <v/>
      </c>
    </row>
    <row r="25">
      <c r="C25" s="11" t="inlineStr">
        <is>
          <t>PEGAMENTO PVC AZUL WETBONDING (DOBLE PROPOSITO)</t>
        </is>
      </c>
      <c r="D25" s="722" t="n">
        <v>1</v>
      </c>
      <c r="E25" s="116" t="inlineStr">
        <is>
          <t>uni</t>
        </is>
      </c>
      <c r="F25" s="1093" t="n"/>
      <c r="G25" s="1096" t="n">
        <v>18180.15</v>
      </c>
      <c r="H25" s="1093" t="n"/>
      <c r="I25" s="1093">
        <f>F25*D25</f>
        <v/>
      </c>
      <c r="J25" s="1093">
        <f>G25*D25</f>
        <v/>
      </c>
      <c r="K25" s="1093">
        <f>H25*D25</f>
        <v/>
      </c>
      <c r="L25" s="1093">
        <f>K25+J25+I25</f>
        <v/>
      </c>
    </row>
    <row r="26">
      <c r="C26" s="11" t="inlineStr">
        <is>
          <t>CODO 1/2X90 HG</t>
        </is>
      </c>
      <c r="D26" s="722" t="n">
        <v>3</v>
      </c>
      <c r="E26" s="116" t="inlineStr">
        <is>
          <t>uni</t>
        </is>
      </c>
      <c r="F26" s="1093" t="n"/>
      <c r="G26" s="1096" t="n">
        <v>13601</v>
      </c>
      <c r="H26" s="1093" t="n"/>
      <c r="I26" s="1093">
        <f>F26*D26</f>
        <v/>
      </c>
      <c r="J26" s="1093">
        <f>G26*D26</f>
        <v/>
      </c>
      <c r="K26" s="1093">
        <f>H26*D26</f>
        <v/>
      </c>
      <c r="L26" s="1093">
        <f>K26+J26+I26</f>
        <v/>
      </c>
    </row>
    <row r="27">
      <c r="C27" s="11" t="inlineStr">
        <is>
          <t>UNION HG 1/2</t>
        </is>
      </c>
      <c r="D27" s="722" t="n">
        <v>6</v>
      </c>
      <c r="E27" s="116" t="inlineStr">
        <is>
          <t>uni</t>
        </is>
      </c>
      <c r="F27" s="1093" t="n"/>
      <c r="G27" s="1096" t="n">
        <v>383.57</v>
      </c>
      <c r="H27" s="1093" t="n"/>
      <c r="I27" s="1093">
        <f>F27*D27</f>
        <v/>
      </c>
      <c r="J27" s="1093">
        <f>G27*D27</f>
        <v/>
      </c>
      <c r="K27" s="1093">
        <f>H27*D27</f>
        <v/>
      </c>
      <c r="L27" s="1093">
        <f>K27+J27+I27</f>
        <v/>
      </c>
    </row>
    <row r="28">
      <c r="C28" s="11" t="inlineStr">
        <is>
          <t>NIPLE 1/2X3 H.G.</t>
        </is>
      </c>
      <c r="D28" s="722" t="n">
        <v>5</v>
      </c>
      <c r="E28" s="116" t="inlineStr">
        <is>
          <t>uni</t>
        </is>
      </c>
      <c r="F28" s="1093" t="n"/>
      <c r="G28" s="1096" t="n">
        <v>481.26</v>
      </c>
      <c r="H28" s="1093" t="n"/>
      <c r="I28" s="1093">
        <f>F28*D28</f>
        <v/>
      </c>
      <c r="J28" s="1093">
        <f>G28*D28</f>
        <v/>
      </c>
      <c r="K28" s="1093">
        <f>H28*D28</f>
        <v/>
      </c>
      <c r="L28" s="1093">
        <f>K28+J28+I28</f>
        <v/>
      </c>
    </row>
    <row r="29">
      <c r="C29" s="11" t="inlineStr">
        <is>
          <t>NIPLE 1/2X4 HG</t>
        </is>
      </c>
      <c r="D29" s="722" t="n">
        <v>15</v>
      </c>
      <c r="E29" s="116" t="inlineStr">
        <is>
          <t>uni</t>
        </is>
      </c>
      <c r="F29" s="1093" t="n"/>
      <c r="G29" s="1096" t="n">
        <v>282.26</v>
      </c>
      <c r="H29" s="1093" t="n"/>
      <c r="I29" s="1093">
        <f>F29*D29</f>
        <v/>
      </c>
      <c r="J29" s="1093">
        <f>G29*D29</f>
        <v/>
      </c>
      <c r="K29" s="1093">
        <f>H29*D29</f>
        <v/>
      </c>
      <c r="L29" s="1093">
        <f>K29+J29+I29</f>
        <v/>
      </c>
    </row>
    <row r="30">
      <c r="C30" s="11" t="inlineStr">
        <is>
          <t>TEFLON CINTA 1/2  (10M)</t>
        </is>
      </c>
      <c r="D30" s="722" t="n">
        <v>2</v>
      </c>
      <c r="E30" s="116" t="inlineStr">
        <is>
          <t>uni</t>
        </is>
      </c>
      <c r="F30" s="1093" t="n"/>
      <c r="G30" s="1096" t="n">
        <v>302.21</v>
      </c>
      <c r="H30" s="1093" t="n"/>
      <c r="I30" s="1093">
        <f>F30*D30</f>
        <v/>
      </c>
      <c r="J30" s="1093">
        <f>G30*D30</f>
        <v/>
      </c>
      <c r="K30" s="1093">
        <f>H30*D30</f>
        <v/>
      </c>
      <c r="L30" s="1093">
        <f>K30+J30+I30</f>
        <v/>
      </c>
    </row>
    <row r="31">
      <c r="C31" s="11" t="inlineStr">
        <is>
          <t>M.O. MEDIDOR DE AGUA</t>
        </is>
      </c>
      <c r="D31" s="18" t="n">
        <v>1</v>
      </c>
      <c r="E31" s="116" t="inlineStr">
        <is>
          <t>uni</t>
        </is>
      </c>
      <c r="F31" s="1093" t="n">
        <v>25000</v>
      </c>
      <c r="G31" s="1093" t="n"/>
      <c r="H31" s="1093" t="n"/>
      <c r="I31" s="1093">
        <f>F31*D31</f>
        <v/>
      </c>
      <c r="J31" s="1093">
        <f>G31*D31</f>
        <v/>
      </c>
      <c r="K31" s="1093">
        <f>H31*D31</f>
        <v/>
      </c>
      <c r="L31" s="1093">
        <f>K31+J31+I31</f>
        <v/>
      </c>
    </row>
    <row r="32">
      <c r="C32" s="11" t="inlineStr">
        <is>
          <t>MANO DE OBRA GENERAL</t>
        </is>
      </c>
      <c r="D32" s="18" t="n">
        <v>1</v>
      </c>
      <c r="E32" s="116" t="inlineStr">
        <is>
          <t>uni</t>
        </is>
      </c>
      <c r="F32" s="1093" t="n">
        <v>198000</v>
      </c>
      <c r="G32" s="1093" t="n"/>
      <c r="H32" s="1093" t="n"/>
      <c r="I32" s="1093">
        <f>F32*D32</f>
        <v/>
      </c>
      <c r="J32" s="1093">
        <f>G32*D32</f>
        <v/>
      </c>
      <c r="K32" s="1093">
        <f>H32*D32</f>
        <v/>
      </c>
      <c r="L32" s="1093">
        <f>K32+J32+I32</f>
        <v/>
      </c>
    </row>
    <row r="33">
      <c r="C33" s="11" t="inlineStr">
        <is>
          <t>M.O. MONTAJE MONOCOMANDOS</t>
        </is>
      </c>
      <c r="D33" s="18" t="n">
        <v>1</v>
      </c>
      <c r="E33" s="116" t="inlineStr">
        <is>
          <t>uni</t>
        </is>
      </c>
      <c r="F33" s="1093" t="n">
        <v>27000</v>
      </c>
      <c r="G33" s="1093" t="n"/>
      <c r="H33" s="1093" t="n"/>
      <c r="I33" s="1093">
        <f>F33*D33</f>
        <v/>
      </c>
      <c r="J33" s="1093">
        <f>G33*D33</f>
        <v/>
      </c>
      <c r="K33" s="1093">
        <f>H33*D33</f>
        <v/>
      </c>
      <c r="L33" s="1093">
        <f>K33+J33+I33</f>
        <v/>
      </c>
    </row>
    <row r="34">
      <c r="D34" s="46" t="n"/>
      <c r="E34" s="46" t="n"/>
      <c r="F34" s="1098" t="n"/>
      <c r="G34" s="1098" t="n"/>
      <c r="H34" s="1098" t="n"/>
      <c r="I34" s="1098">
        <f>F34*D34</f>
        <v/>
      </c>
      <c r="J34" s="1098">
        <f>G34*D34</f>
        <v/>
      </c>
      <c r="K34" s="1098">
        <f>H34*D34</f>
        <v/>
      </c>
      <c r="L34" s="1098">
        <f>K34+J34+I34</f>
        <v/>
      </c>
    </row>
    <row r="35">
      <c r="C35" s="1099" t="inlineStr">
        <is>
          <t>SUB TOTAL</t>
        </is>
      </c>
      <c r="D35" s="1100" t="n"/>
      <c r="E35" s="1100" t="n"/>
      <c r="F35" s="1101" t="n"/>
      <c r="G35" s="1101" t="n"/>
      <c r="H35" s="1101" t="n"/>
      <c r="I35" s="1101">
        <f>SUM(I13:I34)</f>
        <v/>
      </c>
      <c r="J35" s="1101">
        <f>SUM(J4:J30)</f>
        <v/>
      </c>
      <c r="K35" s="1101">
        <f>H35*D35</f>
        <v/>
      </c>
      <c r="L35" s="1101">
        <f>SUM(I35:K35)</f>
        <v/>
      </c>
    </row>
    <row r="36">
      <c r="D36" s="46" t="n"/>
      <c r="E36" s="46" t="n"/>
      <c r="F36" s="1102" t="n"/>
      <c r="G36" s="1102" t="n"/>
      <c r="H36" s="1102" t="n"/>
      <c r="I36" s="1102" t="n"/>
      <c r="J36" s="1102" t="n"/>
      <c r="K36" s="1102" t="n"/>
      <c r="L36" s="1102" t="n"/>
    </row>
    <row r="37">
      <c r="C37" s="1103" t="inlineStr">
        <is>
          <t>INSTALACIÓN MECANICA AGUAS SERVIDAS</t>
        </is>
      </c>
      <c r="D37" s="1104" t="n"/>
      <c r="E37" s="1104" t="n"/>
      <c r="F37" s="1105" t="n"/>
      <c r="G37" s="1105" t="n"/>
      <c r="H37" s="1105" t="n"/>
      <c r="I37" s="1105">
        <f>F37*D37</f>
        <v/>
      </c>
      <c r="J37" s="1105">
        <f>G37*D37</f>
        <v/>
      </c>
      <c r="K37" s="1105">
        <f>H37*D37</f>
        <v/>
      </c>
      <c r="L37" s="1105">
        <f>K37+J37+I37</f>
        <v/>
      </c>
    </row>
    <row r="38">
      <c r="D38" s="46" t="n"/>
      <c r="E38" s="46" t="n"/>
      <c r="F38" s="1106" t="n"/>
      <c r="G38" s="1106" t="n"/>
      <c r="H38" s="1106" t="n"/>
      <c r="I38" s="1106">
        <f>F38*D38</f>
        <v/>
      </c>
      <c r="J38" s="1106">
        <f>G38*D38</f>
        <v/>
      </c>
      <c r="K38" s="1106">
        <f>H38*D38</f>
        <v/>
      </c>
      <c r="L38" s="1106">
        <f>K38+J38+I38</f>
        <v/>
      </c>
    </row>
    <row r="39">
      <c r="C39" s="5" t="inlineStr">
        <is>
          <t>TUBO SANITARIO PVC 4</t>
        </is>
      </c>
      <c r="D39" s="1107" t="n">
        <v>6</v>
      </c>
      <c r="E39" s="18" t="inlineStr">
        <is>
          <t>uni</t>
        </is>
      </c>
      <c r="F39" s="1095" t="n"/>
      <c r="G39" s="1106" t="n">
        <v>23000</v>
      </c>
      <c r="H39" s="1093" t="n"/>
      <c r="I39" s="1093">
        <f>F39*D39</f>
        <v/>
      </c>
      <c r="J39" s="1093">
        <f>G39*D39</f>
        <v/>
      </c>
      <c r="K39" s="1093">
        <f>H39*D39</f>
        <v/>
      </c>
      <c r="L39" s="1093">
        <f>K39+J39+I39</f>
        <v/>
      </c>
    </row>
    <row r="40">
      <c r="C40" s="11" t="inlineStr">
        <is>
          <t>CODO 90 PARED DELGADA 4</t>
        </is>
      </c>
      <c r="D40" s="18" t="n">
        <v>12</v>
      </c>
      <c r="E40" s="18" t="inlineStr">
        <is>
          <t>uni</t>
        </is>
      </c>
      <c r="F40" s="1095" t="n"/>
      <c r="G40" s="1093" t="n">
        <v>2780</v>
      </c>
      <c r="H40" s="1093" t="n"/>
      <c r="I40" s="1093">
        <f>F40*D40</f>
        <v/>
      </c>
      <c r="J40" s="1093">
        <f>G40*D40</f>
        <v/>
      </c>
      <c r="K40" s="1093">
        <f>H40*D40</f>
        <v/>
      </c>
      <c r="L40" s="1093">
        <f>K40+J40+I40</f>
        <v/>
      </c>
    </row>
    <row r="41">
      <c r="C41" s="11" t="inlineStr">
        <is>
          <t>CODO 45 PARED DELGADA 4</t>
        </is>
      </c>
      <c r="D41" s="722" t="n">
        <v>17</v>
      </c>
      <c r="E41" s="18" t="inlineStr">
        <is>
          <t>uni</t>
        </is>
      </c>
      <c r="F41" s="1095" t="n"/>
      <c r="G41" s="1096" t="n">
        <v>4501.05</v>
      </c>
      <c r="H41" s="1093" t="n"/>
      <c r="I41" s="1093">
        <f>F41*D41</f>
        <v/>
      </c>
      <c r="J41" s="1093">
        <f>G41*D41</f>
        <v/>
      </c>
      <c r="K41" s="1093">
        <f>H41*D41</f>
        <v/>
      </c>
      <c r="L41" s="1093">
        <f>K41+J41+I41</f>
        <v/>
      </c>
    </row>
    <row r="42">
      <c r="C42" s="11" t="inlineStr">
        <is>
          <t>TEE PVC 4" SANITARIA PD</t>
        </is>
      </c>
      <c r="D42" s="722" t="n">
        <v>7</v>
      </c>
      <c r="E42" s="18" t="inlineStr">
        <is>
          <t>uni</t>
        </is>
      </c>
      <c r="F42" s="1095" t="n"/>
      <c r="G42" s="1096" t="n">
        <v>3730</v>
      </c>
      <c r="H42" s="1093" t="n"/>
      <c r="I42" s="1093">
        <f>F42*D42</f>
        <v/>
      </c>
      <c r="J42" s="1093">
        <f>G42*D42</f>
        <v/>
      </c>
      <c r="K42" s="1093">
        <f>H42*D42</f>
        <v/>
      </c>
      <c r="L42" s="1093">
        <f>K42+J42+I42</f>
        <v/>
      </c>
    </row>
    <row r="43">
      <c r="C43" s="11" t="inlineStr">
        <is>
          <t>TAPON HEMBRA PVC SANITARIO 4</t>
        </is>
      </c>
      <c r="D43" s="722" t="n">
        <v>12</v>
      </c>
      <c r="E43" s="18" t="inlineStr">
        <is>
          <t>uni</t>
        </is>
      </c>
      <c r="F43" s="1095" t="n"/>
      <c r="G43" s="1096" t="n">
        <v>1881.75</v>
      </c>
      <c r="H43" s="1093" t="n"/>
      <c r="I43" s="1093">
        <f>F43*D43</f>
        <v/>
      </c>
      <c r="J43" s="1093">
        <f>G43*D43</f>
        <v/>
      </c>
      <c r="K43" s="1093">
        <f>H43*D43</f>
        <v/>
      </c>
      <c r="L43" s="1093">
        <f>K43+J43+I43</f>
        <v/>
      </c>
    </row>
    <row r="44">
      <c r="C44" s="11" t="inlineStr">
        <is>
          <t>ADAPTADOR MACHO PVC 4</t>
        </is>
      </c>
      <c r="D44" s="722" t="n">
        <v>12</v>
      </c>
      <c r="E44" s="18" t="inlineStr">
        <is>
          <t>uni</t>
        </is>
      </c>
      <c r="F44" s="1095" t="n"/>
      <c r="G44" s="1096" t="n">
        <v>6962.48</v>
      </c>
      <c r="H44" s="1093" t="n"/>
      <c r="I44" s="1093">
        <f>F44*D44</f>
        <v/>
      </c>
      <c r="J44" s="1093">
        <f>G44*D44</f>
        <v/>
      </c>
      <c r="K44" s="1093">
        <f>H44*D44</f>
        <v/>
      </c>
      <c r="L44" s="1093">
        <f>K44+J44+I44</f>
        <v/>
      </c>
    </row>
    <row r="45">
      <c r="C45" s="11" t="inlineStr">
        <is>
          <t>UNION LISA PVC 4</t>
        </is>
      </c>
      <c r="D45" s="722" t="n">
        <v>12</v>
      </c>
      <c r="E45" s="18" t="inlineStr">
        <is>
          <t>uni</t>
        </is>
      </c>
      <c r="F45" s="1095" t="n"/>
      <c r="G45" s="1096" t="n">
        <v>3924</v>
      </c>
      <c r="H45" s="1093" t="n"/>
      <c r="I45" s="1093">
        <f>F45*D45</f>
        <v/>
      </c>
      <c r="J45" s="1093">
        <f>G45*D45</f>
        <v/>
      </c>
      <c r="K45" s="1093">
        <f>H45*D45</f>
        <v/>
      </c>
      <c r="L45" s="1093">
        <f>K45+J45+I45</f>
        <v/>
      </c>
    </row>
    <row r="46">
      <c r="C46" s="11" t="inlineStr">
        <is>
          <t>YEE PARED DELGADA 4</t>
        </is>
      </c>
      <c r="D46" s="722" t="n">
        <v>9</v>
      </c>
      <c r="E46" s="18" t="inlineStr">
        <is>
          <t>uni</t>
        </is>
      </c>
      <c r="F46" s="1095" t="n"/>
      <c r="G46" s="1096" t="n">
        <v>5020</v>
      </c>
      <c r="H46" s="1093" t="n"/>
      <c r="I46" s="1093">
        <f>F46*D46</f>
        <v/>
      </c>
      <c r="J46" s="1093">
        <f>G46*D46</f>
        <v/>
      </c>
      <c r="K46" s="1093">
        <f>H46*D46</f>
        <v/>
      </c>
      <c r="L46" s="1093">
        <f>K46+J46+I46</f>
        <v/>
      </c>
    </row>
    <row r="47">
      <c r="C47" s="11" t="inlineStr">
        <is>
          <t>REDUCCION LISA P.D. 2 A 4</t>
        </is>
      </c>
      <c r="D47" s="722" t="n">
        <v>9</v>
      </c>
      <c r="E47" s="18" t="inlineStr">
        <is>
          <t>uni</t>
        </is>
      </c>
      <c r="F47" s="1095" t="n"/>
      <c r="G47" s="1096" t="n">
        <v>6921</v>
      </c>
      <c r="H47" s="1093" t="n"/>
      <c r="I47" s="1093">
        <f>F47*D47</f>
        <v/>
      </c>
      <c r="J47" s="1093">
        <f>G47*D47</f>
        <v/>
      </c>
      <c r="K47" s="1093">
        <f>H47*D47</f>
        <v/>
      </c>
      <c r="L47" s="1093">
        <f>K47+J47+I47</f>
        <v/>
      </c>
    </row>
    <row r="48">
      <c r="C48" s="11" t="inlineStr">
        <is>
          <t>REDUCCION LISA P.D.  3 A 4</t>
        </is>
      </c>
      <c r="D48" s="722" t="n">
        <v>7</v>
      </c>
      <c r="E48" s="18" t="inlineStr">
        <is>
          <t>uni</t>
        </is>
      </c>
      <c r="F48" s="1095" t="n"/>
      <c r="G48" s="1096" t="n">
        <v>6958</v>
      </c>
      <c r="H48" s="1093" t="n"/>
      <c r="I48" s="1093">
        <f>F48*D48</f>
        <v/>
      </c>
      <c r="J48" s="1093">
        <f>G48*D48</f>
        <v/>
      </c>
      <c r="K48" s="1093">
        <f>H48*D48</f>
        <v/>
      </c>
      <c r="L48" s="1093">
        <f>K48+J48+I48</f>
        <v/>
      </c>
    </row>
    <row r="49">
      <c r="C49" s="11" t="inlineStr">
        <is>
          <t>TUBO SANITARIO PVC 2</t>
        </is>
      </c>
      <c r="D49" s="722" t="n">
        <v>6</v>
      </c>
      <c r="E49" s="18" t="inlineStr">
        <is>
          <t>uni</t>
        </is>
      </c>
      <c r="F49" s="1095" t="n"/>
      <c r="G49" s="1096" t="n">
        <v>4700</v>
      </c>
      <c r="H49" s="1093" t="n"/>
      <c r="I49" s="1093">
        <f>F49*D49</f>
        <v/>
      </c>
      <c r="J49" s="1093">
        <f>G49*D49</f>
        <v/>
      </c>
      <c r="K49" s="1093">
        <f>H49*D49</f>
        <v/>
      </c>
      <c r="L49" s="1093">
        <f>K49+J49+I49</f>
        <v/>
      </c>
    </row>
    <row r="50">
      <c r="C50" s="11" t="inlineStr">
        <is>
          <t>CODO 90 PARED DELGADA 2</t>
        </is>
      </c>
      <c r="D50" s="722" t="n">
        <v>14</v>
      </c>
      <c r="E50" s="18" t="inlineStr">
        <is>
          <t>uni</t>
        </is>
      </c>
      <c r="F50" s="1095" t="n"/>
      <c r="G50" s="1096" t="n">
        <v>1861</v>
      </c>
      <c r="H50" s="1093" t="n"/>
      <c r="I50" s="1093">
        <f>F50*D50</f>
        <v/>
      </c>
      <c r="J50" s="1093">
        <f>G50*D50</f>
        <v/>
      </c>
      <c r="K50" s="1093">
        <f>H50*D50</f>
        <v/>
      </c>
      <c r="L50" s="1093">
        <f>K50+J50+I50</f>
        <v/>
      </c>
    </row>
    <row r="51">
      <c r="C51" s="11" t="inlineStr">
        <is>
          <t>CODO 45 SANITARIO 2  PD</t>
        </is>
      </c>
      <c r="D51" s="722" t="n">
        <v>12</v>
      </c>
      <c r="E51" s="18" t="inlineStr">
        <is>
          <t>uni</t>
        </is>
      </c>
      <c r="F51" s="1095" t="n"/>
      <c r="G51" s="1096" t="n">
        <v>1703</v>
      </c>
      <c r="H51" s="1093" t="n"/>
      <c r="I51" s="1093">
        <f>F51*D51</f>
        <v/>
      </c>
      <c r="J51" s="1093">
        <f>G51*D51</f>
        <v/>
      </c>
      <c r="K51" s="1093">
        <f>H51*D51</f>
        <v/>
      </c>
      <c r="L51" s="1093">
        <f>K51+J51+I51</f>
        <v/>
      </c>
    </row>
    <row r="52">
      <c r="C52" s="11" t="inlineStr">
        <is>
          <t>TAPON HEMBRA LISO PVC 2</t>
        </is>
      </c>
      <c r="D52" s="722" t="n">
        <v>3</v>
      </c>
      <c r="E52" s="18" t="inlineStr">
        <is>
          <t>uni</t>
        </is>
      </c>
      <c r="F52" s="1095" t="n"/>
      <c r="G52" s="1096" t="n">
        <v>1301</v>
      </c>
      <c r="H52" s="1093" t="n"/>
      <c r="I52" s="1093">
        <f>F52*D52</f>
        <v/>
      </c>
      <c r="J52" s="1093">
        <f>G52*D52</f>
        <v/>
      </c>
      <c r="K52" s="1093">
        <f>H52*D52</f>
        <v/>
      </c>
      <c r="L52" s="1093">
        <f>K52+J52+I52</f>
        <v/>
      </c>
    </row>
    <row r="53">
      <c r="C53" s="11" t="inlineStr">
        <is>
          <t>YEE PARED DELGADA 2</t>
        </is>
      </c>
      <c r="D53" s="722" t="n">
        <v>3</v>
      </c>
      <c r="E53" s="18" t="inlineStr">
        <is>
          <t>uni</t>
        </is>
      </c>
      <c r="F53" s="1095" t="n"/>
      <c r="G53" s="1096" t="n">
        <v>6158</v>
      </c>
      <c r="H53" s="1093" t="n"/>
      <c r="I53" s="1093">
        <f>F53*D53</f>
        <v/>
      </c>
      <c r="J53" s="1093">
        <f>G53*D53</f>
        <v/>
      </c>
      <c r="K53" s="1093">
        <f>H53*D53</f>
        <v/>
      </c>
      <c r="L53" s="1093">
        <f>K53+J53+I53</f>
        <v/>
      </c>
    </row>
    <row r="54">
      <c r="C54" s="11" t="inlineStr">
        <is>
          <t>REDUCCION 2 A 1 1/4 SANITARIO</t>
        </is>
      </c>
      <c r="D54" s="722" t="n">
        <v>6</v>
      </c>
      <c r="E54" s="18" t="inlineStr">
        <is>
          <t>uni</t>
        </is>
      </c>
      <c r="F54" s="1095" t="n"/>
      <c r="G54" s="1096" t="n">
        <v>3058</v>
      </c>
      <c r="H54" s="1093" t="n"/>
      <c r="I54" s="1093">
        <f>F54*D54</f>
        <v/>
      </c>
      <c r="J54" s="1093">
        <f>G54*D54</f>
        <v/>
      </c>
      <c r="K54" s="1093">
        <f>H54*D54</f>
        <v/>
      </c>
      <c r="L54" s="1093">
        <f>K54+J54+I54</f>
        <v/>
      </c>
    </row>
    <row r="55">
      <c r="C55" s="11" t="inlineStr">
        <is>
          <t>TUBO SANITARIO PVC 1 1/4</t>
        </is>
      </c>
      <c r="D55" s="722" t="n">
        <v>3</v>
      </c>
      <c r="E55" s="18" t="inlineStr">
        <is>
          <t>uni</t>
        </is>
      </c>
      <c r="F55" s="1095" t="n"/>
      <c r="G55" s="1096" t="n">
        <v>5124</v>
      </c>
      <c r="H55" s="1093" t="n"/>
      <c r="I55" s="1093">
        <f>F55*D55</f>
        <v/>
      </c>
      <c r="J55" s="1093">
        <f>G55*D55</f>
        <v/>
      </c>
      <c r="K55" s="1093">
        <f>H55*D55</f>
        <v/>
      </c>
      <c r="L55" s="1093">
        <f>K55+J55+I55</f>
        <v/>
      </c>
    </row>
    <row r="56">
      <c r="C56" s="11" t="inlineStr">
        <is>
          <t>TAPON LISO PVC SANITARIO 11/4</t>
        </is>
      </c>
      <c r="D56" s="722" t="n">
        <v>10</v>
      </c>
      <c r="E56" s="18" t="inlineStr">
        <is>
          <t>uni</t>
        </is>
      </c>
      <c r="F56" s="1095" t="n"/>
      <c r="G56" s="1096" t="n">
        <v>1273</v>
      </c>
      <c r="H56" s="1093" t="n"/>
      <c r="I56" s="1093">
        <f>F56*D56</f>
        <v/>
      </c>
      <c r="J56" s="1093">
        <f>G56*D56</f>
        <v/>
      </c>
      <c r="K56" s="1093">
        <f>H56*D56</f>
        <v/>
      </c>
      <c r="L56" s="1093">
        <f>K56+J56+I56</f>
        <v/>
      </c>
    </row>
    <row r="57">
      <c r="C57" s="11" t="inlineStr">
        <is>
          <t>TRAMPA PARA GRASA 4"</t>
        </is>
      </c>
      <c r="D57" s="722" t="n">
        <v>1</v>
      </c>
      <c r="E57" s="18" t="inlineStr">
        <is>
          <t>uni</t>
        </is>
      </c>
      <c r="F57" s="1095" t="n"/>
      <c r="G57" s="1096" t="n">
        <v>10000</v>
      </c>
      <c r="H57" s="1093" t="n"/>
      <c r="I57" s="1093">
        <f>F57*D57</f>
        <v/>
      </c>
      <c r="J57" s="1093">
        <f>G57*D57</f>
        <v/>
      </c>
      <c r="K57" s="1093">
        <f>H57*D57</f>
        <v/>
      </c>
      <c r="L57" s="1093">
        <f>K57+J57+I57</f>
        <v/>
      </c>
    </row>
    <row r="58">
      <c r="C58" s="11" t="inlineStr">
        <is>
          <t>SIFON P/CONCRETO 4"</t>
        </is>
      </c>
      <c r="D58" s="722" t="n">
        <v>3</v>
      </c>
      <c r="E58" s="18" t="inlineStr">
        <is>
          <t>uni</t>
        </is>
      </c>
      <c r="F58" s="1095" t="n"/>
      <c r="G58" s="1096" t="n">
        <v>5500</v>
      </c>
      <c r="H58" s="1093" t="n"/>
      <c r="I58" s="1093">
        <f>F58*D58</f>
        <v/>
      </c>
      <c r="J58" s="1093">
        <f>G58*D58</f>
        <v/>
      </c>
      <c r="K58" s="1093">
        <f>H58*D58</f>
        <v/>
      </c>
      <c r="L58" s="1093">
        <f>K58+J58+I58</f>
        <v/>
      </c>
    </row>
    <row r="59">
      <c r="C59" s="11" t="inlineStr">
        <is>
          <t>PEGAMENTO PVC AZUL WETBONDING (DOBLE PROPOSITO)</t>
        </is>
      </c>
      <c r="D59" s="722" t="n">
        <v>1</v>
      </c>
      <c r="E59" s="18" t="inlineStr">
        <is>
          <t>uni</t>
        </is>
      </c>
      <c r="F59" s="1095" t="n"/>
      <c r="G59" s="1096" t="n">
        <v>13716.81</v>
      </c>
      <c r="H59" s="1093" t="n"/>
      <c r="I59" s="1093">
        <f>F59*D59</f>
        <v/>
      </c>
      <c r="J59" s="1093">
        <f>G59*D59</f>
        <v/>
      </c>
      <c r="K59" s="1093">
        <f>H59*D59</f>
        <v/>
      </c>
      <c r="L59" s="1093">
        <f>K59+J59+I59</f>
        <v/>
      </c>
    </row>
    <row r="60">
      <c r="C60" s="11" t="inlineStr">
        <is>
          <t>M.O. INSTALACION SANITARIA EXTERIOR Y CAJAS REGISTRO</t>
        </is>
      </c>
      <c r="D60" s="18" t="n">
        <v>1</v>
      </c>
      <c r="E60" s="18" t="inlineStr">
        <is>
          <t>global</t>
        </is>
      </c>
      <c r="F60" s="1095" t="n">
        <v>90000</v>
      </c>
      <c r="G60" s="1093" t="n"/>
      <c r="H60" s="1093" t="n"/>
      <c r="I60" s="1093">
        <f>F60*D60</f>
        <v/>
      </c>
      <c r="J60" s="1093">
        <f>G60*D60</f>
        <v/>
      </c>
      <c r="K60" s="1093">
        <f>H60*D60</f>
        <v/>
      </c>
      <c r="L60" s="1093">
        <f>K60+J60+I60</f>
        <v/>
      </c>
    </row>
    <row r="61">
      <c r="C61" s="11" t="inlineStr">
        <is>
          <t>M.O. INSTALACION SANITARIA LOSA</t>
        </is>
      </c>
      <c r="D61" s="18" t="n">
        <v>1</v>
      </c>
      <c r="E61" s="18" t="inlineStr">
        <is>
          <t>global</t>
        </is>
      </c>
      <c r="F61" s="1095" t="n">
        <v>80600</v>
      </c>
      <c r="G61" s="1093" t="n"/>
      <c r="H61" s="1093" t="n"/>
      <c r="I61" s="1093">
        <f>F61*D61</f>
        <v/>
      </c>
      <c r="J61" s="1093">
        <f>G61*D61</f>
        <v/>
      </c>
      <c r="K61" s="1093">
        <f>H61*D61</f>
        <v/>
      </c>
      <c r="L61" s="1093">
        <f>K61+J61+I61</f>
        <v/>
      </c>
    </row>
    <row r="62">
      <c r="C62" s="11" t="inlineStr">
        <is>
          <t>M.O. GENERAL</t>
        </is>
      </c>
      <c r="D62" s="18" t="n">
        <v>1</v>
      </c>
      <c r="E62" s="18" t="inlineStr">
        <is>
          <t>global</t>
        </is>
      </c>
      <c r="F62" s="1093" t="n">
        <v>286250</v>
      </c>
      <c r="G62" s="1093" t="n"/>
      <c r="H62" s="1093" t="n"/>
      <c r="I62" s="1093">
        <f>F62*D62</f>
        <v/>
      </c>
      <c r="J62" s="1093">
        <f>G62*D62</f>
        <v/>
      </c>
      <c r="K62" s="1093">
        <f>H62*D62</f>
        <v/>
      </c>
      <c r="L62" s="1093">
        <f>K62+J62+I62</f>
        <v/>
      </c>
    </row>
    <row r="63">
      <c r="D63" s="46" t="n"/>
      <c r="E63" s="46" t="n"/>
      <c r="F63" s="775" t="n"/>
      <c r="G63" s="775" t="n"/>
      <c r="H63" s="775" t="n"/>
      <c r="I63" s="1098">
        <f>F63*D63</f>
        <v/>
      </c>
      <c r="J63" s="1098">
        <f>G63*D63</f>
        <v/>
      </c>
      <c r="K63" s="1098">
        <f>H63*D63</f>
        <v/>
      </c>
      <c r="L63" s="1098">
        <f>K63+J63+I63</f>
        <v/>
      </c>
    </row>
    <row r="64">
      <c r="C64" s="1099" t="inlineStr">
        <is>
          <t>SUB TOTAL</t>
        </is>
      </c>
      <c r="D64" s="1100" t="n"/>
      <c r="E64" s="1100" t="n"/>
      <c r="F64" s="1108" t="n"/>
      <c r="G64" s="1108" t="n"/>
      <c r="H64" s="1108" t="n"/>
      <c r="I64" s="1101">
        <f>SUM(I39:I63)</f>
        <v/>
      </c>
      <c r="J64" s="1101">
        <f>SUM(J39:J63)</f>
        <v/>
      </c>
      <c r="K64" s="1101">
        <f>SUM(K39:K63)</f>
        <v/>
      </c>
      <c r="L64" s="1101">
        <f>SUM(I64:K64)</f>
        <v/>
      </c>
    </row>
    <row r="66">
      <c r="C66" s="1109" t="inlineStr">
        <is>
          <t>INSTALACIÓN MECÁNICA -  PLUVIALES</t>
        </is>
      </c>
      <c r="D66" s="1110" t="n"/>
      <c r="E66" s="1110" t="n"/>
      <c r="F66" s="1111" t="n"/>
      <c r="G66" s="1111" t="n"/>
      <c r="H66" s="1111" t="n"/>
      <c r="I66" s="1112">
        <f>F66*D66</f>
        <v/>
      </c>
      <c r="J66" s="1112">
        <f>G66*D66</f>
        <v/>
      </c>
      <c r="K66" s="1112">
        <f>H66*D66</f>
        <v/>
      </c>
      <c r="L66" s="1112">
        <f>K66+J66+I66</f>
        <v/>
      </c>
    </row>
    <row r="67">
      <c r="D67" s="46" t="n"/>
      <c r="E67" s="46" t="n"/>
      <c r="F67" s="775" t="n"/>
      <c r="G67" s="775" t="n"/>
      <c r="H67" s="775" t="n"/>
      <c r="I67" s="1106" t="n"/>
      <c r="J67" s="1106" t="n"/>
      <c r="K67" s="1106" t="n"/>
      <c r="L67" s="1106" t="n"/>
    </row>
    <row r="68">
      <c r="C68" s="11" t="inlineStr">
        <is>
          <t>PEGAMENTO PVC AZUL WETBONDING (DOBLE PROPOSITO)</t>
        </is>
      </c>
      <c r="D68" s="18" t="n">
        <v>1</v>
      </c>
      <c r="E68" s="18" t="inlineStr">
        <is>
          <t>uni</t>
        </is>
      </c>
      <c r="F68" s="1093" t="n"/>
      <c r="G68" s="1093" t="n">
        <v>8500</v>
      </c>
      <c r="H68" s="1093" t="n"/>
      <c r="I68" s="1093">
        <f>F68*D68</f>
        <v/>
      </c>
      <c r="J68" s="1093">
        <f>G68*D68</f>
        <v/>
      </c>
      <c r="K68" s="1093">
        <f>H68*D68</f>
        <v/>
      </c>
      <c r="L68" s="1093">
        <f>K68+J68+I68</f>
        <v/>
      </c>
    </row>
    <row r="69">
      <c r="C69" s="11" t="inlineStr">
        <is>
          <t>TUBO SANITARIO PVC 4</t>
        </is>
      </c>
      <c r="D69" s="18" t="n">
        <v>2</v>
      </c>
      <c r="E69" s="18" t="inlineStr">
        <is>
          <t>uni</t>
        </is>
      </c>
      <c r="F69" s="1093" t="n"/>
      <c r="G69" s="1093" t="n">
        <v>20100</v>
      </c>
      <c r="H69" s="1093" t="n"/>
      <c r="I69" s="1093">
        <f>F69*D69</f>
        <v/>
      </c>
      <c r="J69" s="1093">
        <f>G69*D69</f>
        <v/>
      </c>
      <c r="K69" s="1093">
        <f>H69*D69</f>
        <v/>
      </c>
      <c r="L69" s="1093">
        <f>K69+J69+I69</f>
        <v/>
      </c>
    </row>
    <row r="70">
      <c r="C70" s="11" t="inlineStr">
        <is>
          <t>CODO 45 PARED DELGADA 4</t>
        </is>
      </c>
      <c r="D70" s="18" t="n">
        <v>6</v>
      </c>
      <c r="E70" s="18" t="inlineStr">
        <is>
          <t>uni</t>
        </is>
      </c>
      <c r="F70" s="1093" t="n"/>
      <c r="G70" s="1093" t="n">
        <v>5500</v>
      </c>
      <c r="H70" s="1093" t="n"/>
      <c r="I70" s="1093">
        <f>F70*D70</f>
        <v/>
      </c>
      <c r="J70" s="1093">
        <f>G70*D70</f>
        <v/>
      </c>
      <c r="K70" s="1093">
        <f>H70*D70</f>
        <v/>
      </c>
      <c r="L70" s="1093">
        <f>K70+J70+I70</f>
        <v/>
      </c>
    </row>
    <row r="71">
      <c r="C71" s="11" t="inlineStr">
        <is>
          <t>REDUCCION LISA P.D.  3 A 4</t>
        </is>
      </c>
      <c r="D71" s="18" t="n">
        <v>7</v>
      </c>
      <c r="E71" s="18" t="inlineStr">
        <is>
          <t>uni</t>
        </is>
      </c>
      <c r="F71" s="1093" t="n"/>
      <c r="G71" s="1093" t="n">
        <v>5000</v>
      </c>
      <c r="H71" s="1093" t="n"/>
      <c r="I71" s="1093">
        <f>F71*D71</f>
        <v/>
      </c>
      <c r="J71" s="1093">
        <f>G71*D71</f>
        <v/>
      </c>
      <c r="K71" s="1093">
        <f>H71*D71</f>
        <v/>
      </c>
      <c r="L71" s="1093">
        <f>K71+J71+I71</f>
        <v/>
      </c>
    </row>
    <row r="72">
      <c r="C72" s="11" t="inlineStr">
        <is>
          <t>TUBO SANITARIO PVC 3</t>
        </is>
      </c>
      <c r="D72" s="18" t="n">
        <v>7</v>
      </c>
      <c r="E72" s="18" t="inlineStr">
        <is>
          <t>uni</t>
        </is>
      </c>
      <c r="F72" s="1093" t="n"/>
      <c r="G72" s="1093" t="n">
        <v>17700</v>
      </c>
      <c r="H72" s="1093" t="n"/>
      <c r="I72" s="1093">
        <f>F72*D72</f>
        <v/>
      </c>
      <c r="J72" s="1093">
        <f>G72*D72</f>
        <v/>
      </c>
      <c r="K72" s="1093">
        <f>H72*D72</f>
        <v/>
      </c>
      <c r="L72" s="1093">
        <f>K72+J72+I72</f>
        <v/>
      </c>
    </row>
    <row r="73">
      <c r="C73" s="11" t="inlineStr">
        <is>
          <t>CENICERO DE CONCRETO 4"</t>
        </is>
      </c>
      <c r="D73" s="18" t="n">
        <v>1</v>
      </c>
      <c r="E73" s="18" t="inlineStr">
        <is>
          <t>uni</t>
        </is>
      </c>
      <c r="F73" s="1093" t="n"/>
      <c r="G73" s="1093" t="n">
        <v>10000</v>
      </c>
      <c r="H73" s="1093" t="n"/>
      <c r="I73" s="1093">
        <f>F73*D73</f>
        <v/>
      </c>
      <c r="J73" s="1093">
        <f>G73*D73</f>
        <v/>
      </c>
      <c r="K73" s="1093">
        <f>H73*D73</f>
        <v/>
      </c>
      <c r="L73" s="1093">
        <f>K73+J73+I73</f>
        <v/>
      </c>
    </row>
    <row r="74">
      <c r="C74" s="11" t="inlineStr">
        <is>
          <t>M.O. GENERAL</t>
        </is>
      </c>
      <c r="D74" s="18" t="n">
        <v>1</v>
      </c>
      <c r="E74" s="18" t="inlineStr">
        <is>
          <t>global</t>
        </is>
      </c>
      <c r="F74" s="1093" t="n">
        <v>125000</v>
      </c>
      <c r="G74" s="1093" t="n"/>
      <c r="H74" s="1093" t="n"/>
      <c r="I74" s="1093">
        <f>F74*D74</f>
        <v/>
      </c>
      <c r="J74" s="1093">
        <f>G74*D74</f>
        <v/>
      </c>
      <c r="K74" s="1093">
        <f>H74*D74</f>
        <v/>
      </c>
      <c r="L74" s="1093">
        <f>K74+J74+I74</f>
        <v/>
      </c>
    </row>
    <row r="75">
      <c r="C75" s="11" t="inlineStr">
        <is>
          <t>M.O. CAJAS DE REGISTRO PLUVIAL</t>
        </is>
      </c>
      <c r="D75" s="18" t="n">
        <v>5</v>
      </c>
      <c r="E75" s="18" t="inlineStr">
        <is>
          <t>uni</t>
        </is>
      </c>
      <c r="F75" s="1093" t="n">
        <v>12630</v>
      </c>
      <c r="G75" s="1093" t="n"/>
      <c r="H75" s="1093" t="n"/>
      <c r="I75" s="1093">
        <f>F75*D75</f>
        <v/>
      </c>
      <c r="J75" s="1093">
        <f>G75*D75</f>
        <v/>
      </c>
      <c r="K75" s="1093">
        <f>H75*D75</f>
        <v/>
      </c>
      <c r="L75" s="1093">
        <f>K75+J75+I75</f>
        <v/>
      </c>
    </row>
    <row r="76">
      <c r="D76" s="46" t="n"/>
      <c r="E76" s="46" t="n"/>
      <c r="F76" s="775" t="n"/>
      <c r="G76" s="775" t="n"/>
      <c r="H76" s="775" t="n"/>
      <c r="I76" s="1106" t="n"/>
      <c r="J76" s="1093" t="n"/>
      <c r="K76" s="1093" t="n"/>
      <c r="L76" s="1093" t="n"/>
    </row>
    <row r="77">
      <c r="C77" s="1099" t="inlineStr">
        <is>
          <t>SUB TOTAL</t>
        </is>
      </c>
      <c r="D77" s="1100" t="n"/>
      <c r="E77" s="1100" t="n"/>
      <c r="F77" s="1108" t="n"/>
      <c r="G77" s="1108" t="n"/>
      <c r="H77" s="1108" t="n"/>
      <c r="I77" s="1101">
        <f>SUM(I68:I76)</f>
        <v/>
      </c>
      <c r="J77" s="1101">
        <f>SUM(J68:J76)</f>
        <v/>
      </c>
      <c r="K77" s="1101">
        <f>SUM(K52:K76)</f>
        <v/>
      </c>
      <c r="L77" s="1101">
        <f>SUM(I77:K77)</f>
        <v/>
      </c>
    </row>
    <row r="78">
      <c r="D78" s="46" t="n"/>
      <c r="E78" s="46" t="n"/>
      <c r="F78" s="775" t="n"/>
      <c r="G78" s="775" t="n"/>
      <c r="H78" s="775" t="n"/>
      <c r="I78" s="1098" t="n"/>
      <c r="J78" s="1098" t="n"/>
      <c r="K78" s="1098" t="n"/>
      <c r="L78" s="1098" t="n"/>
    </row>
    <row r="79">
      <c r="C79" s="1103" t="inlineStr">
        <is>
          <t>INSTALACIÓN ELECTRICA-ACOMETIDAS / TELECOMUNICACIONES</t>
        </is>
      </c>
      <c r="D79" s="1104" t="n"/>
      <c r="E79" s="1104" t="n"/>
      <c r="F79" s="1113" t="n"/>
      <c r="G79" s="1113" t="n"/>
      <c r="H79" s="1113" t="n"/>
      <c r="I79" s="1105" t="n"/>
      <c r="J79" s="1105" t="n"/>
      <c r="K79" s="1105" t="n"/>
      <c r="L79" s="1105" t="n"/>
    </row>
    <row r="81">
      <c r="C81" s="11" t="inlineStr">
        <is>
          <t>CENTRO DE CARGA QO124L125PG</t>
        </is>
      </c>
      <c r="D81" s="18" t="n">
        <v>1</v>
      </c>
      <c r="E81" s="18" t="inlineStr">
        <is>
          <t>uni</t>
        </is>
      </c>
      <c r="F81" s="1093" t="n"/>
      <c r="G81" s="1096" t="n">
        <v>56402.44</v>
      </c>
      <c r="H81" s="1093" t="n"/>
      <c r="I81" s="1093">
        <f>F81*D81</f>
        <v/>
      </c>
      <c r="J81" s="1094">
        <f>G81*D81</f>
        <v/>
      </c>
      <c r="K81" s="1093">
        <f>H81*D81</f>
        <v/>
      </c>
      <c r="L81" s="1093">
        <f>K81+J81+I81</f>
        <v/>
      </c>
    </row>
    <row r="82">
      <c r="C82" s="11" t="inlineStr">
        <is>
          <t>BREAKER  2/100AMP QOM100VH CENTRO CARGA</t>
        </is>
      </c>
      <c r="D82" s="18" t="n">
        <v>1</v>
      </c>
      <c r="E82" s="18" t="inlineStr">
        <is>
          <t>uni</t>
        </is>
      </c>
      <c r="F82" s="1093" t="n"/>
      <c r="G82" s="1096" t="n">
        <v>23521.88</v>
      </c>
      <c r="H82" s="1093" t="n"/>
      <c r="I82" s="1093">
        <f>F82*D82</f>
        <v/>
      </c>
      <c r="J82" s="1094">
        <f>G82*D82</f>
        <v/>
      </c>
      <c r="K82" s="1093">
        <f>H82*D82</f>
        <v/>
      </c>
      <c r="L82" s="1093">
        <f>K82+J82+I82</f>
        <v/>
      </c>
    </row>
    <row r="83">
      <c r="C83" s="11" t="inlineStr">
        <is>
          <t>BREAKER QO120PDF DUAL 20AMP</t>
        </is>
      </c>
      <c r="D83" s="18" t="n">
        <v>8</v>
      </c>
      <c r="E83" s="18" t="inlineStr">
        <is>
          <t>uni</t>
        </is>
      </c>
      <c r="F83" s="1093" t="n"/>
      <c r="G83" s="1096" t="n">
        <v>21800</v>
      </c>
      <c r="H83" s="1093" t="n"/>
      <c r="I83" s="1093">
        <f>F83*D83</f>
        <v/>
      </c>
      <c r="J83" s="1094">
        <f>G83*D83</f>
        <v/>
      </c>
      <c r="K83" s="1093">
        <f>H83*D83</f>
        <v/>
      </c>
      <c r="L83" s="1093">
        <f>K83+J83+I83</f>
        <v/>
      </c>
    </row>
    <row r="84">
      <c r="C84" s="11" t="inlineStr">
        <is>
          <t>BREAKER QO230 2P/30AMP</t>
        </is>
      </c>
      <c r="D84" s="18" t="n">
        <v>2</v>
      </c>
      <c r="E84" s="18" t="inlineStr">
        <is>
          <t>uni</t>
        </is>
      </c>
      <c r="F84" s="1093" t="n"/>
      <c r="G84" s="1096" t="n">
        <v>11290.5</v>
      </c>
      <c r="H84" s="1093" t="n"/>
      <c r="I84" s="1093">
        <f>F84*D84</f>
        <v/>
      </c>
      <c r="J84" s="1094">
        <f>G84*D84</f>
        <v/>
      </c>
      <c r="K84" s="1093">
        <f>H84*D84</f>
        <v/>
      </c>
      <c r="L84" s="1093">
        <f>K84+J84+I84</f>
        <v/>
      </c>
    </row>
    <row r="85">
      <c r="C85" s="11" t="inlineStr">
        <is>
          <t>BREAKER QO240 2P/40AMP</t>
        </is>
      </c>
      <c r="D85" s="18" t="n">
        <v>1</v>
      </c>
      <c r="E85" s="18" t="inlineStr">
        <is>
          <t>uni</t>
        </is>
      </c>
      <c r="F85" s="1093" t="n"/>
      <c r="G85" s="1096" t="n">
        <v>15054</v>
      </c>
      <c r="H85" s="1093" t="n"/>
      <c r="I85" s="1093">
        <f>F85*D85</f>
        <v/>
      </c>
      <c r="J85" s="1094">
        <f>G85*D85</f>
        <v/>
      </c>
      <c r="K85" s="1093">
        <f>H85*D85</f>
        <v/>
      </c>
      <c r="L85" s="1093">
        <f>K85+J85+I85</f>
        <v/>
      </c>
    </row>
    <row r="86">
      <c r="C86" s="11" t="inlineStr">
        <is>
          <t>Calentador</t>
        </is>
      </c>
      <c r="D86" s="18" t="n">
        <v>1</v>
      </c>
      <c r="E86" s="18" t="inlineStr">
        <is>
          <t>uni</t>
        </is>
      </c>
      <c r="F86" s="1093" t="n"/>
      <c r="G86" s="1096">
        <f>160000+30000</f>
        <v/>
      </c>
      <c r="H86" s="1093" t="n"/>
      <c r="I86" s="1093">
        <f>F86*D86</f>
        <v/>
      </c>
      <c r="J86" s="1094">
        <f>G86*D86</f>
        <v/>
      </c>
      <c r="K86" s="1093">
        <f>H86*D86</f>
        <v/>
      </c>
      <c r="L86" s="1093">
        <f>K86+J86+I86</f>
        <v/>
      </c>
    </row>
    <row r="87">
      <c r="C87" s="11" t="inlineStr">
        <is>
          <t>Mo Calentador</t>
        </is>
      </c>
      <c r="D87" s="18" t="n">
        <v>1</v>
      </c>
      <c r="E87" s="18" t="inlineStr">
        <is>
          <t>uni</t>
        </is>
      </c>
      <c r="F87" s="1093" t="n">
        <v>65000</v>
      </c>
      <c r="G87" s="1096" t="n"/>
      <c r="H87" s="1093" t="n"/>
      <c r="I87" s="1093">
        <f>F87*D87</f>
        <v/>
      </c>
      <c r="J87" s="1093">
        <f>G87*D87</f>
        <v/>
      </c>
      <c r="K87" s="1093">
        <f>H87*D87</f>
        <v/>
      </c>
      <c r="L87" s="1093">
        <f>K87+J87+I87</f>
        <v/>
      </c>
    </row>
    <row r="88">
      <c r="C88" s="11" t="inlineStr">
        <is>
          <t>TUBO CONDUIT 1 1/2 UL</t>
        </is>
      </c>
      <c r="D88" s="18" t="n">
        <v>10</v>
      </c>
      <c r="E88" s="18" t="inlineStr">
        <is>
          <t>uni</t>
        </is>
      </c>
      <c r="F88" s="1093" t="n"/>
      <c r="G88" s="1096" t="n">
        <v>5043</v>
      </c>
      <c r="H88" s="1093" t="n"/>
      <c r="I88" s="1093">
        <f>F88*D88</f>
        <v/>
      </c>
      <c r="J88" s="1093">
        <f>G88*D88</f>
        <v/>
      </c>
      <c r="K88" s="1093">
        <f>H88*D88</f>
        <v/>
      </c>
      <c r="L88" s="1093">
        <f>K88+J88+I88</f>
        <v/>
      </c>
    </row>
    <row r="89">
      <c r="C89" s="11" t="inlineStr">
        <is>
          <t>CONECTOR CONDUIT 1 1/2 UL</t>
        </is>
      </c>
      <c r="D89" s="18" t="n">
        <v>4</v>
      </c>
      <c r="E89" s="18" t="inlineStr">
        <is>
          <t>uni</t>
        </is>
      </c>
      <c r="F89" s="1093" t="n"/>
      <c r="G89" s="1096" t="n">
        <v>1327</v>
      </c>
      <c r="H89" s="1093" t="n"/>
      <c r="I89" s="1093">
        <f>F89*D89</f>
        <v/>
      </c>
      <c r="J89" s="1093">
        <f>G89*D89</f>
        <v/>
      </c>
      <c r="K89" s="1093">
        <f>H89*D89</f>
        <v/>
      </c>
      <c r="L89" s="1093">
        <f>K89+J89+I89</f>
        <v/>
      </c>
    </row>
    <row r="90">
      <c r="C90" s="11" t="inlineStr">
        <is>
          <t>CURVA CONDUIT 1 1/2 UL</t>
        </is>
      </c>
      <c r="D90" s="18" t="n">
        <v>6</v>
      </c>
      <c r="E90" s="18" t="inlineStr">
        <is>
          <t>uni</t>
        </is>
      </c>
      <c r="F90" s="1093" t="n"/>
      <c r="G90" s="1096" t="n">
        <v>5103</v>
      </c>
      <c r="H90" s="1093" t="n"/>
      <c r="I90" s="1093">
        <f>F90*D90</f>
        <v/>
      </c>
      <c r="J90" s="1093">
        <f>G90*D90</f>
        <v/>
      </c>
      <c r="K90" s="1093">
        <f>H90*D90</f>
        <v/>
      </c>
      <c r="L90" s="1093">
        <f>K90+J90+I90</f>
        <v/>
      </c>
    </row>
    <row r="91">
      <c r="C91" s="11" t="inlineStr">
        <is>
          <t>UNION CONDUIT 1 1/2 UL</t>
        </is>
      </c>
      <c r="D91" s="18" t="n">
        <v>6</v>
      </c>
      <c r="E91" s="18" t="inlineStr">
        <is>
          <t>uni</t>
        </is>
      </c>
      <c r="F91" s="1093" t="n"/>
      <c r="G91" s="1096" t="n">
        <v>1122</v>
      </c>
      <c r="H91" s="1093" t="n"/>
      <c r="I91" s="1093">
        <f>F91*D91</f>
        <v/>
      </c>
      <c r="J91" s="1093">
        <f>G91*D91</f>
        <v/>
      </c>
      <c r="K91" s="1093">
        <f>H91*D91</f>
        <v/>
      </c>
      <c r="L91" s="1093">
        <f>K91+J91+I91</f>
        <v/>
      </c>
    </row>
    <row r="92">
      <c r="C92" s="11" t="inlineStr">
        <is>
          <t>CABLE ALUMINIO 1/0 SERIE 8000</t>
        </is>
      </c>
      <c r="D92" s="18" t="n">
        <v>60</v>
      </c>
      <c r="E92" s="18" t="inlineStr">
        <is>
          <t>mts</t>
        </is>
      </c>
      <c r="F92" s="1093" t="n"/>
      <c r="G92" s="1096" t="n">
        <v>893.83</v>
      </c>
      <c r="H92" s="1093" t="n"/>
      <c r="I92" s="1093">
        <f>F92*D92</f>
        <v/>
      </c>
      <c r="J92" s="1093">
        <f>G92*D92</f>
        <v/>
      </c>
      <c r="K92" s="1093">
        <f>H92*D92</f>
        <v/>
      </c>
      <c r="L92" s="1093">
        <f>K92+J92+I92</f>
        <v/>
      </c>
    </row>
    <row r="93">
      <c r="C93" s="11" t="inlineStr">
        <is>
          <t>CABLE DE ALUMINIO #4 SERIE 8000</t>
        </is>
      </c>
      <c r="D93" s="18" t="n">
        <v>20</v>
      </c>
      <c r="E93" s="18" t="inlineStr">
        <is>
          <t>mts</t>
        </is>
      </c>
      <c r="F93" s="1093" t="n"/>
      <c r="G93" s="1096" t="n">
        <v>470.44</v>
      </c>
      <c r="H93" s="1093" t="n"/>
      <c r="I93" s="1093">
        <f>F93*D93</f>
        <v/>
      </c>
      <c r="J93" s="1093">
        <f>G93*D93</f>
        <v/>
      </c>
      <c r="K93" s="1093">
        <f>H93*D93</f>
        <v/>
      </c>
      <c r="L93" s="1093">
        <f>K93+J93+I93</f>
        <v/>
      </c>
    </row>
    <row r="94">
      <c r="C94" s="11" t="inlineStr">
        <is>
          <t>ROLLO DE PIOLA</t>
        </is>
      </c>
      <c r="D94" s="18" t="n">
        <v>1</v>
      </c>
      <c r="E94" s="18" t="inlineStr">
        <is>
          <t>uni</t>
        </is>
      </c>
      <c r="F94" s="1093" t="n"/>
      <c r="G94" s="1096" t="n">
        <v>2100</v>
      </c>
      <c r="H94" s="1093" t="n"/>
      <c r="I94" s="1093">
        <f>F94*D94</f>
        <v/>
      </c>
      <c r="J94" s="1093">
        <f>G94*D94</f>
        <v/>
      </c>
      <c r="K94" s="1093">
        <f>H94*D94</f>
        <v/>
      </c>
      <c r="L94" s="1093">
        <f>K94+J94+I94</f>
        <v/>
      </c>
    </row>
    <row r="95">
      <c r="C95" s="11" t="inlineStr">
        <is>
          <t>BASE MEDIDOR MS1254JCBM+A125+QO2100</t>
        </is>
      </c>
      <c r="D95" s="18" t="n">
        <v>1</v>
      </c>
      <c r="E95" s="18" t="inlineStr">
        <is>
          <t>uni</t>
        </is>
      </c>
      <c r="F95" s="1093" t="n"/>
      <c r="G95" s="1096" t="n">
        <v>61156.88</v>
      </c>
      <c r="H95" s="1093" t="n"/>
      <c r="I95" s="1093">
        <f>F95*D95</f>
        <v/>
      </c>
      <c r="J95" s="1093">
        <f>G95*D95</f>
        <v/>
      </c>
      <c r="K95" s="1093">
        <f>H95*D95</f>
        <v/>
      </c>
      <c r="L95" s="1093">
        <f>K95+J95+I95</f>
        <v/>
      </c>
    </row>
    <row r="96">
      <c r="C96" s="11" t="inlineStr">
        <is>
          <t>VARILLA COOPERWELL 5/8 3M</t>
        </is>
      </c>
      <c r="D96" s="18" t="n">
        <v>1</v>
      </c>
      <c r="E96" s="18" t="inlineStr">
        <is>
          <t>uni</t>
        </is>
      </c>
      <c r="F96" s="1093" t="n"/>
      <c r="G96" s="1096" t="n">
        <v>11760.94</v>
      </c>
      <c r="H96" s="1093" t="n"/>
      <c r="I96" s="1093">
        <f>F96*D96</f>
        <v/>
      </c>
      <c r="J96" s="1093">
        <f>G96*D96</f>
        <v/>
      </c>
      <c r="K96" s="1093">
        <f>H96*D96</f>
        <v/>
      </c>
      <c r="L96" s="1093">
        <f>K96+J96+I96</f>
        <v/>
      </c>
    </row>
    <row r="97">
      <c r="C97" s="11" t="inlineStr">
        <is>
          <t>CAJA DE REGISTRO 30X30 PARA VARILLA COPERWELL</t>
        </is>
      </c>
      <c r="D97" s="18" t="n">
        <v>1</v>
      </c>
      <c r="E97" s="18" t="inlineStr">
        <is>
          <t>uni</t>
        </is>
      </c>
      <c r="F97" s="1093" t="n"/>
      <c r="G97" s="1096" t="n">
        <v>4233.94</v>
      </c>
      <c r="H97" s="1093" t="n"/>
      <c r="I97" s="1093">
        <f>F97*D97</f>
        <v/>
      </c>
      <c r="J97" s="1093">
        <f>G97*D97</f>
        <v/>
      </c>
      <c r="K97" s="1093">
        <f>H97*D97</f>
        <v/>
      </c>
      <c r="L97" s="1093">
        <f>K97+J97+I97</f>
        <v/>
      </c>
    </row>
    <row r="98">
      <c r="C98" s="11" t="inlineStr">
        <is>
          <t>CONDULETA BOTAGUA 1-1/4</t>
        </is>
      </c>
      <c r="D98" s="18" t="n">
        <v>1</v>
      </c>
      <c r="E98" s="18" t="inlineStr">
        <is>
          <t>uni</t>
        </is>
      </c>
      <c r="F98" s="1093" t="n"/>
      <c r="G98" s="1096" t="n">
        <v>1411.31</v>
      </c>
      <c r="H98" s="1093" t="n"/>
      <c r="I98" s="1093">
        <f>F98*D98</f>
        <v/>
      </c>
      <c r="J98" s="1093">
        <f>G98*D98</f>
        <v/>
      </c>
      <c r="K98" s="1093">
        <f>H98*D98</f>
        <v/>
      </c>
      <c r="L98" s="1093">
        <f>K98+J98+I98</f>
        <v/>
      </c>
    </row>
    <row r="99">
      <c r="C99" s="11" t="inlineStr">
        <is>
          <t>TUBO EMT 11/4</t>
        </is>
      </c>
      <c r="D99" s="18" t="n">
        <v>1</v>
      </c>
      <c r="E99" s="18" t="inlineStr">
        <is>
          <t>uni</t>
        </is>
      </c>
      <c r="F99" s="1093" t="n"/>
      <c r="G99" s="1096" t="n">
        <v>12000</v>
      </c>
      <c r="H99" s="1093" t="n"/>
      <c r="I99" s="1093">
        <f>F99*D99</f>
        <v/>
      </c>
      <c r="J99" s="1093">
        <f>G99*D99</f>
        <v/>
      </c>
      <c r="K99" s="1093">
        <f>H99*D99</f>
        <v/>
      </c>
      <c r="L99" s="1093">
        <f>K99+J99+I99</f>
        <v/>
      </c>
    </row>
    <row r="100">
      <c r="C100" s="11" t="inlineStr">
        <is>
          <t>CONECTOR TORNILLO EMT 11/4</t>
        </is>
      </c>
      <c r="D100" s="18" t="n">
        <v>2</v>
      </c>
      <c r="E100" s="18" t="inlineStr">
        <is>
          <t>uni</t>
        </is>
      </c>
      <c r="F100" s="1093" t="n"/>
      <c r="G100" s="1096" t="n">
        <v>658.61</v>
      </c>
      <c r="H100" s="1093" t="n"/>
      <c r="I100" s="1093">
        <f>F100*D100</f>
        <v/>
      </c>
      <c r="J100" s="1093">
        <f>G100*D100</f>
        <v/>
      </c>
      <c r="K100" s="1093">
        <f>H100*D100</f>
        <v/>
      </c>
      <c r="L100" s="1093">
        <f>K100+J100+I100</f>
        <v/>
      </c>
    </row>
    <row r="101">
      <c r="C101" s="11" t="inlineStr">
        <is>
          <t>CONDULETA BOTAGUA 1</t>
        </is>
      </c>
      <c r="D101" s="18" t="n">
        <v>1</v>
      </c>
      <c r="E101" s="18" t="inlineStr">
        <is>
          <t>uni</t>
        </is>
      </c>
      <c r="F101" s="1093" t="n"/>
      <c r="G101" s="1096" t="n">
        <v>1034.96</v>
      </c>
      <c r="H101" s="1093" t="n"/>
      <c r="I101" s="1093">
        <f>F101*D101</f>
        <v/>
      </c>
      <c r="J101" s="1093">
        <f>G101*D101</f>
        <v/>
      </c>
      <c r="K101" s="1093">
        <f>H101*D101</f>
        <v/>
      </c>
      <c r="L101" s="1093">
        <f>K101+J101+I101</f>
        <v/>
      </c>
    </row>
    <row r="102">
      <c r="C102" s="11" t="inlineStr">
        <is>
          <t>TUBO EMT 1 (3M)</t>
        </is>
      </c>
      <c r="D102" s="18" t="n">
        <v>1</v>
      </c>
      <c r="E102" s="18" t="inlineStr">
        <is>
          <t>uni</t>
        </is>
      </c>
      <c r="F102" s="1093" t="n"/>
      <c r="G102" s="1096" t="n">
        <v>5457.08</v>
      </c>
      <c r="H102" s="1093" t="n"/>
      <c r="I102" s="1093">
        <f>F102*D102</f>
        <v/>
      </c>
      <c r="J102" s="1093">
        <f>G102*D102</f>
        <v/>
      </c>
      <c r="K102" s="1093">
        <f>H102*D102</f>
        <v/>
      </c>
      <c r="L102" s="1093">
        <f>K102+J102+I102</f>
        <v/>
      </c>
    </row>
    <row r="103">
      <c r="C103" s="11" t="inlineStr">
        <is>
          <t>CONECTOR TORNILLO EMT 1</t>
        </is>
      </c>
      <c r="D103" s="18" t="n">
        <v>2</v>
      </c>
      <c r="E103" s="18" t="inlineStr">
        <is>
          <t>uni</t>
        </is>
      </c>
      <c r="F103" s="1093" t="n"/>
      <c r="G103" s="1096" t="n">
        <v>423.39</v>
      </c>
      <c r="H103" s="1093" t="n"/>
      <c r="I103" s="1093">
        <f>F103*D103</f>
        <v/>
      </c>
      <c r="J103" s="1093">
        <f>G103*D103</f>
        <v/>
      </c>
      <c r="K103" s="1093">
        <f>H103*D103</f>
        <v/>
      </c>
      <c r="L103" s="1093">
        <f>K103+J103+I103</f>
        <v/>
      </c>
    </row>
    <row r="104">
      <c r="C104" s="11" t="inlineStr">
        <is>
          <t>TAPE ELÉCTRICO BLANCO</t>
        </is>
      </c>
      <c r="D104" s="18" t="n">
        <v>1</v>
      </c>
      <c r="E104" s="18" t="inlineStr">
        <is>
          <t>uni</t>
        </is>
      </c>
      <c r="F104" s="1093" t="n"/>
      <c r="G104" s="1093" t="n">
        <v>1100</v>
      </c>
      <c r="H104" s="1093" t="n"/>
      <c r="I104" s="1093">
        <f>F104*D104</f>
        <v/>
      </c>
      <c r="J104" s="1093">
        <f>G104*D104</f>
        <v/>
      </c>
      <c r="K104" s="1093">
        <f>H104*D104</f>
        <v/>
      </c>
      <c r="L104" s="1093">
        <f>K104+J104+I104</f>
        <v/>
      </c>
    </row>
    <row r="105">
      <c r="C105" s="11" t="inlineStr">
        <is>
          <t>GAZA PARA VARILLA COPERWELL</t>
        </is>
      </c>
      <c r="D105" s="18" t="n">
        <v>1</v>
      </c>
      <c r="E105" s="18" t="inlineStr">
        <is>
          <t>uni</t>
        </is>
      </c>
      <c r="F105" s="1093" t="n"/>
      <c r="G105" s="1093" t="n">
        <v>1800</v>
      </c>
      <c r="H105" s="1093" t="n"/>
      <c r="I105" s="1093">
        <f>F105*D105</f>
        <v/>
      </c>
      <c r="J105" s="1093">
        <f>G105*D105</f>
        <v/>
      </c>
      <c r="K105" s="1093">
        <f>H105*D105</f>
        <v/>
      </c>
      <c r="L105" s="1093">
        <f>K105+J105+I105</f>
        <v/>
      </c>
    </row>
    <row r="106">
      <c r="C106" s="11" t="inlineStr">
        <is>
          <t>CABLE THHN 6 VERDE</t>
        </is>
      </c>
      <c r="D106" s="18" t="n">
        <v>6</v>
      </c>
      <c r="E106" s="18" t="inlineStr">
        <is>
          <t>mts</t>
        </is>
      </c>
      <c r="F106" s="1093" t="n"/>
      <c r="G106" s="1093" t="n">
        <v>1200</v>
      </c>
      <c r="H106" s="1093" t="n"/>
      <c r="I106" s="1093">
        <f>F106*D106</f>
        <v/>
      </c>
      <c r="J106" s="1093">
        <f>G106*D106</f>
        <v/>
      </c>
      <c r="K106" s="1093">
        <f>H106*D106</f>
        <v/>
      </c>
      <c r="L106" s="1093">
        <f>K106+J106+I106</f>
        <v/>
      </c>
    </row>
    <row r="107">
      <c r="C107" s="11" t="inlineStr">
        <is>
          <t>MANO DE OBRA GENERAL</t>
        </is>
      </c>
      <c r="D107" s="18" t="n">
        <v>1</v>
      </c>
      <c r="E107" s="18" t="inlineStr">
        <is>
          <t>global</t>
        </is>
      </c>
      <c r="F107" s="1093" t="n">
        <v>55000</v>
      </c>
      <c r="G107" s="1093" t="n"/>
      <c r="H107" s="1093" t="n"/>
      <c r="I107" s="1093">
        <f>F107*D107</f>
        <v/>
      </c>
      <c r="J107" s="1093">
        <f>G107*D107</f>
        <v/>
      </c>
      <c r="K107" s="1093">
        <f>H107*D107</f>
        <v/>
      </c>
      <c r="L107" s="1093">
        <f>K107+J107+I107</f>
        <v/>
      </c>
    </row>
    <row r="108">
      <c r="C108" s="5" t="inlineStr">
        <is>
          <t>GABINETE 14" PLASTICO UL</t>
        </is>
      </c>
      <c r="D108" s="1114" t="n">
        <v>1</v>
      </c>
      <c r="E108" s="18" t="inlineStr">
        <is>
          <t>uni</t>
        </is>
      </c>
      <c r="F108" s="1093" t="n"/>
      <c r="G108" s="1106" t="n">
        <v>41600</v>
      </c>
      <c r="H108" s="1093" t="n"/>
      <c r="I108" s="1093">
        <f>F108*D108</f>
        <v/>
      </c>
      <c r="J108" s="1093">
        <f>G108*D108</f>
        <v/>
      </c>
      <c r="K108" s="1093">
        <f>H108*D108</f>
        <v/>
      </c>
      <c r="L108" s="1093">
        <f>K108+J108+I108</f>
        <v/>
      </c>
    </row>
    <row r="109">
      <c r="C109" s="11" t="inlineStr">
        <is>
          <t>TUBO CONDUIT 1 UL</t>
        </is>
      </c>
      <c r="D109" s="35" t="n">
        <v>8</v>
      </c>
      <c r="E109" s="18" t="inlineStr">
        <is>
          <t>uni</t>
        </is>
      </c>
      <c r="F109" s="1093" t="n"/>
      <c r="G109" s="1093" t="n">
        <v>3392.9</v>
      </c>
      <c r="H109" s="1093" t="n"/>
      <c r="I109" s="1093">
        <f>F109*D109</f>
        <v/>
      </c>
      <c r="J109" s="1093">
        <f>G109*D109</f>
        <v/>
      </c>
      <c r="K109" s="1093">
        <f>H109*D109</f>
        <v/>
      </c>
      <c r="L109" s="1093">
        <f>K109+J109+I109</f>
        <v/>
      </c>
    </row>
    <row r="110">
      <c r="C110" s="11" t="inlineStr">
        <is>
          <t>CONECTOR CONDUIT 1" UL</t>
        </is>
      </c>
      <c r="D110" s="35" t="n">
        <v>6</v>
      </c>
      <c r="E110" s="18" t="inlineStr">
        <is>
          <t>uni</t>
        </is>
      </c>
      <c r="F110" s="1093" t="n"/>
      <c r="G110" s="1093" t="n">
        <v>1194</v>
      </c>
      <c r="H110" s="1093" t="n"/>
      <c r="I110" s="1093">
        <f>F110*D110</f>
        <v/>
      </c>
      <c r="J110" s="1093">
        <f>G110*D110</f>
        <v/>
      </c>
      <c r="K110" s="1093">
        <f>H110*D110</f>
        <v/>
      </c>
      <c r="L110" s="1093">
        <f>K110+J110+I110</f>
        <v/>
      </c>
    </row>
    <row r="111">
      <c r="C111" s="11" t="inlineStr">
        <is>
          <t>CURVA CONDUIT 1 UL</t>
        </is>
      </c>
      <c r="D111" s="35" t="n">
        <v>2</v>
      </c>
      <c r="E111" s="18" t="inlineStr">
        <is>
          <t>uni</t>
        </is>
      </c>
      <c r="F111" s="1093" t="n"/>
      <c r="G111" s="1093" t="n">
        <v>1757</v>
      </c>
      <c r="H111" s="1093" t="n"/>
      <c r="I111" s="1093">
        <f>F111*D111</f>
        <v/>
      </c>
      <c r="J111" s="1093">
        <f>G111*D111</f>
        <v/>
      </c>
      <c r="K111" s="1093">
        <f>H111*D111</f>
        <v/>
      </c>
      <c r="L111" s="1093">
        <f>K111+J111+I111</f>
        <v/>
      </c>
    </row>
    <row r="112">
      <c r="C112" s="11" t="inlineStr">
        <is>
          <t>UNION CONDUIT 1 UL</t>
        </is>
      </c>
      <c r="D112" s="35" t="n">
        <v>1</v>
      </c>
      <c r="E112" s="18" t="inlineStr">
        <is>
          <t>uni</t>
        </is>
      </c>
      <c r="F112" s="1093" t="n"/>
      <c r="G112" s="1093" t="n">
        <v>612</v>
      </c>
      <c r="H112" s="1093" t="n"/>
      <c r="I112" s="1093">
        <f>F112*D112</f>
        <v/>
      </c>
      <c r="J112" s="1093">
        <f>G112*D112</f>
        <v/>
      </c>
      <c r="K112" s="1093">
        <f>H112*D112</f>
        <v/>
      </c>
      <c r="L112" s="1093">
        <f>K112+J112+I112</f>
        <v/>
      </c>
    </row>
    <row r="113">
      <c r="C113" s="11" t="inlineStr">
        <is>
          <t>M.O. ARMADO DE CAJA INTELIGENTE</t>
        </is>
      </c>
      <c r="D113" s="35" t="n">
        <v>1</v>
      </c>
      <c r="E113" s="18" t="inlineStr">
        <is>
          <t>global</t>
        </is>
      </c>
      <c r="F113" s="1093" t="n">
        <v>26000</v>
      </c>
      <c r="G113" s="1093" t="n"/>
      <c r="H113" s="1093" t="n"/>
      <c r="I113" s="1093">
        <f>F113*D113</f>
        <v/>
      </c>
      <c r="J113" s="1093">
        <f>G113*D113</f>
        <v/>
      </c>
      <c r="K113" s="1093">
        <f>H113*D113</f>
        <v/>
      </c>
      <c r="L113" s="1093">
        <f>K113+J113+I113</f>
        <v/>
      </c>
    </row>
    <row r="114">
      <c r="C114" s="11" t="n"/>
      <c r="D114" s="18" t="n"/>
      <c r="E114" s="18" t="n"/>
      <c r="F114" s="1093" t="n"/>
      <c r="G114" s="1093" t="n"/>
      <c r="H114" s="1093" t="n"/>
      <c r="I114" s="1093" t="n"/>
      <c r="J114" s="1093" t="n"/>
      <c r="K114" s="1093" t="n"/>
      <c r="L114" s="1093" t="n"/>
    </row>
    <row r="115">
      <c r="C115" s="1099" t="inlineStr">
        <is>
          <t>SUB TOTAL</t>
        </is>
      </c>
      <c r="D115" s="1100" t="n"/>
      <c r="E115" s="1100" t="n"/>
      <c r="F115" s="1108" t="n"/>
      <c r="G115" s="1108" t="n"/>
      <c r="H115" s="1108" t="n"/>
      <c r="I115" s="1101">
        <f>SUM(I106:I114)</f>
        <v/>
      </c>
      <c r="J115" s="1101">
        <f>SUM(J81:J114)</f>
        <v/>
      </c>
      <c r="K115" s="1101">
        <f>SUM(K90:K114)</f>
        <v/>
      </c>
      <c r="L115" s="1101">
        <f>SUM(I115:K115)</f>
        <v/>
      </c>
    </row>
    <row r="116">
      <c r="C116" s="11" t="n"/>
      <c r="D116" s="18" t="n"/>
      <c r="E116" s="18" t="n"/>
      <c r="F116" s="1093" t="n"/>
      <c r="G116" s="1093" t="n"/>
      <c r="H116" s="1093" t="n"/>
      <c r="I116" s="1093" t="n"/>
      <c r="J116" s="1093" t="n"/>
      <c r="K116" s="1093" t="n"/>
      <c r="L116" s="1093" t="n"/>
    </row>
    <row r="117">
      <c r="C117" s="1115" t="inlineStr">
        <is>
          <t xml:space="preserve">INSTALACIÓN ELÉCTRICA </t>
        </is>
      </c>
      <c r="D117" s="1116" t="n"/>
      <c r="E117" s="1116" t="n"/>
      <c r="F117" s="1117" t="n"/>
      <c r="G117" s="1117" t="n"/>
      <c r="H117" s="1117" t="n"/>
      <c r="I117" s="1117">
        <f>F117*D117</f>
        <v/>
      </c>
      <c r="J117" s="1117">
        <f>G117*D117</f>
        <v/>
      </c>
      <c r="K117" s="1117">
        <f>H117*D117</f>
        <v/>
      </c>
      <c r="L117" s="1117">
        <f>K117+J117+I117</f>
        <v/>
      </c>
    </row>
    <row r="118">
      <c r="C118" s="11" t="n"/>
      <c r="D118" s="18" t="n"/>
      <c r="E118" s="18" t="n"/>
      <c r="F118" s="1093" t="n"/>
      <c r="G118" s="1093" t="n"/>
      <c r="H118" s="1093" t="n"/>
      <c r="I118" s="1093">
        <f>F118*D118</f>
        <v/>
      </c>
      <c r="J118" s="1093">
        <f>G118*D118</f>
        <v/>
      </c>
      <c r="K118" s="1093">
        <f>H118*D118</f>
        <v/>
      </c>
      <c r="L118" s="1093">
        <f>K118+J118+I118</f>
        <v/>
      </c>
    </row>
    <row r="119">
      <c r="C119" s="5" t="inlineStr">
        <is>
          <t>CAJA OCTAGONAL 1/2 EMT PESADAS (8 SALIDAS )</t>
        </is>
      </c>
      <c r="D119" s="1107" t="n">
        <v>24</v>
      </c>
      <c r="E119" s="18" t="inlineStr">
        <is>
          <t>uni</t>
        </is>
      </c>
      <c r="F119" s="1093" t="n"/>
      <c r="G119" s="1091" t="n">
        <v>535.92</v>
      </c>
      <c r="H119" s="1093" t="n"/>
      <c r="I119" s="1093">
        <f>F119*D119</f>
        <v/>
      </c>
      <c r="J119" s="1093">
        <f>G119*D119</f>
        <v/>
      </c>
      <c r="K119" s="1093">
        <f>H119*D119</f>
        <v/>
      </c>
      <c r="L119" s="1093">
        <f>K119+J119+I119</f>
        <v/>
      </c>
    </row>
    <row r="120">
      <c r="C120" s="11" t="inlineStr">
        <is>
          <t>CAJA CUADRADA EMT CON HUECO DE 1/2 Y 3/4</t>
        </is>
      </c>
      <c r="D120" s="18" t="n">
        <v>5</v>
      </c>
      <c r="E120" s="18" t="inlineStr">
        <is>
          <t>uni</t>
        </is>
      </c>
      <c r="F120" s="1093" t="n"/>
      <c r="G120" s="1096" t="n">
        <v>752.7</v>
      </c>
      <c r="H120" s="1093" t="n"/>
      <c r="I120" s="1093">
        <f>F120*D120</f>
        <v/>
      </c>
      <c r="J120" s="1093">
        <f>G120*D120</f>
        <v/>
      </c>
      <c r="K120" s="1093">
        <f>H120*D120</f>
        <v/>
      </c>
      <c r="L120" s="1093">
        <f>K120+J120+I120</f>
        <v/>
      </c>
    </row>
    <row r="121">
      <c r="C121" s="11" t="inlineStr">
        <is>
          <t>CAJA CUADRADA EMT 4X4 DOBLE FONDO CON HUECO DE 1</t>
        </is>
      </c>
      <c r="D121" s="18" t="n">
        <v>2</v>
      </c>
      <c r="E121" s="18" t="inlineStr">
        <is>
          <t>uni</t>
        </is>
      </c>
      <c r="F121" s="1093" t="n"/>
      <c r="G121" s="1096" t="n">
        <v>613.8</v>
      </c>
      <c r="H121" s="1093" t="n"/>
      <c r="I121" s="1093">
        <f>F121*D121</f>
        <v/>
      </c>
      <c r="J121" s="1093">
        <f>G121*D121</f>
        <v/>
      </c>
      <c r="K121" s="1093">
        <f>H121*D121</f>
        <v/>
      </c>
      <c r="L121" s="1093">
        <f>K121+J121+I121</f>
        <v/>
      </c>
    </row>
    <row r="122">
      <c r="C122" s="11" t="inlineStr">
        <is>
          <t>CAJA CUADRADA EMT 4X4 DOBLE FONDO CON HUECO DE 3/4</t>
        </is>
      </c>
      <c r="D122" s="18" t="n">
        <v>1</v>
      </c>
      <c r="E122" s="18" t="inlineStr">
        <is>
          <t>uni</t>
        </is>
      </c>
      <c r="F122" s="1093" t="n"/>
      <c r="G122" s="1096" t="n">
        <v>613.8</v>
      </c>
      <c r="H122" s="1093" t="n"/>
      <c r="I122" s="1093">
        <f>F122*D122</f>
        <v/>
      </c>
      <c r="J122" s="1093">
        <f>G122*D122</f>
        <v/>
      </c>
      <c r="K122" s="1093">
        <f>H122*D122</f>
        <v/>
      </c>
      <c r="L122" s="1093">
        <f>K122+J122+I122</f>
        <v/>
      </c>
    </row>
    <row r="123">
      <c r="C123" s="11" t="inlineStr">
        <is>
          <t>TAPA CIEGA PARA CAJA OCTAGONAL</t>
        </is>
      </c>
      <c r="D123" s="18" t="n">
        <v>24</v>
      </c>
      <c r="E123" s="18" t="inlineStr">
        <is>
          <t>uni</t>
        </is>
      </c>
      <c r="F123" s="1093" t="n"/>
      <c r="G123" s="1096" t="n">
        <v>216.4</v>
      </c>
      <c r="H123" s="1093" t="n"/>
      <c r="I123" s="1093">
        <f>F123*D123</f>
        <v/>
      </c>
      <c r="J123" s="1093">
        <f>G123*D123</f>
        <v/>
      </c>
      <c r="K123" s="1093">
        <f>H123*D123</f>
        <v/>
      </c>
      <c r="L123" s="1093">
        <f>K123+J123+I123</f>
        <v/>
      </c>
    </row>
    <row r="124">
      <c r="C124" s="11" t="inlineStr">
        <is>
          <t>TAPA CIEGA CUADRADA 4X4 EMT</t>
        </is>
      </c>
      <c r="D124" s="18" t="n">
        <v>3</v>
      </c>
      <c r="E124" s="18" t="inlineStr">
        <is>
          <t>uni</t>
        </is>
      </c>
      <c r="F124" s="1093" t="n"/>
      <c r="G124" s="1096" t="n">
        <v>216.4</v>
      </c>
      <c r="H124" s="1093" t="n"/>
      <c r="I124" s="1093">
        <f>F124*D124</f>
        <v/>
      </c>
      <c r="J124" s="1093">
        <f>G124*D124</f>
        <v/>
      </c>
      <c r="K124" s="1093">
        <f>H124*D124</f>
        <v/>
      </c>
      <c r="L124" s="1093">
        <f>K124+J124+I124</f>
        <v/>
      </c>
    </row>
    <row r="125">
      <c r="C125" s="11" t="inlineStr">
        <is>
          <t>CAJA RECTANGULAR EMT 1/2 UL</t>
        </is>
      </c>
      <c r="D125" s="18" t="n">
        <v>36</v>
      </c>
      <c r="E125" s="18" t="inlineStr">
        <is>
          <t>uni</t>
        </is>
      </c>
      <c r="F125" s="1093" t="n"/>
      <c r="G125" s="1096" t="n">
        <v>423.39</v>
      </c>
      <c r="H125" s="1093" t="n"/>
      <c r="I125" s="1093">
        <f>F125*D125</f>
        <v/>
      </c>
      <c r="J125" s="1093">
        <f>G125*D125</f>
        <v/>
      </c>
      <c r="K125" s="1093">
        <f>H125*D125</f>
        <v/>
      </c>
      <c r="L125" s="1093">
        <f>K125+J125+I125</f>
        <v/>
      </c>
    </row>
    <row r="126">
      <c r="C126" s="11" t="inlineStr">
        <is>
          <t>TUBO CONDUIT 1/2 UL</t>
        </is>
      </c>
      <c r="D126" s="18" t="n">
        <v>86</v>
      </c>
      <c r="E126" s="18" t="inlineStr">
        <is>
          <t>uni</t>
        </is>
      </c>
      <c r="F126" s="1093" t="n"/>
      <c r="G126" s="1094" t="n">
        <v>1132</v>
      </c>
      <c r="H126" s="1093" t="n"/>
      <c r="I126" s="1093">
        <f>F126*D126</f>
        <v/>
      </c>
      <c r="J126" s="1093">
        <f>G126*D126</f>
        <v/>
      </c>
      <c r="K126" s="1093">
        <f>H126*D126</f>
        <v/>
      </c>
      <c r="L126" s="1093">
        <f>K126+J126+I126</f>
        <v/>
      </c>
    </row>
    <row r="127">
      <c r="C127" s="11" t="inlineStr">
        <is>
          <t>TUBO CONDUIT 1 UL</t>
        </is>
      </c>
      <c r="D127" s="18" t="n">
        <v>3</v>
      </c>
      <c r="E127" s="18" t="inlineStr">
        <is>
          <t>uni</t>
        </is>
      </c>
      <c r="F127" s="1093" t="n"/>
      <c r="G127" s="1094" t="n">
        <v>3635</v>
      </c>
      <c r="H127" s="1093" t="n"/>
      <c r="I127" s="1093">
        <f>F127*D127</f>
        <v/>
      </c>
      <c r="J127" s="1093">
        <f>G127*D127</f>
        <v/>
      </c>
      <c r="K127" s="1093">
        <f>H127*D127</f>
        <v/>
      </c>
      <c r="L127" s="1093">
        <f>K127+J127+I127</f>
        <v/>
      </c>
    </row>
    <row r="128">
      <c r="C128" s="11" t="inlineStr">
        <is>
          <t>TUBO CONDUIT 3/4 UL</t>
        </is>
      </c>
      <c r="D128" s="18" t="n">
        <v>10</v>
      </c>
      <c r="E128" s="18" t="inlineStr">
        <is>
          <t>uni</t>
        </is>
      </c>
      <c r="F128" s="1093" t="n"/>
      <c r="G128" s="1094" t="n">
        <v>1685</v>
      </c>
      <c r="H128" s="1093" t="n"/>
      <c r="I128" s="1093">
        <f>F128*D128</f>
        <v/>
      </c>
      <c r="J128" s="1093">
        <f>G128*D128</f>
        <v/>
      </c>
      <c r="K128" s="1093">
        <f>H128*D128</f>
        <v/>
      </c>
      <c r="L128" s="1093">
        <f>K128+J128+I128</f>
        <v/>
      </c>
    </row>
    <row r="129">
      <c r="C129" s="11" t="inlineStr">
        <is>
          <t>CONECTOR CONDUIT 1" UL</t>
        </is>
      </c>
      <c r="D129" s="18" t="n">
        <v>2</v>
      </c>
      <c r="E129" s="18" t="inlineStr">
        <is>
          <t>uni</t>
        </is>
      </c>
      <c r="F129" s="1093" t="n"/>
      <c r="G129" s="1096" t="n">
        <v>1194</v>
      </c>
      <c r="H129" s="1093" t="n"/>
      <c r="I129" s="1093">
        <f>F129*D129</f>
        <v/>
      </c>
      <c r="J129" s="1093">
        <f>G129*D129</f>
        <v/>
      </c>
      <c r="K129" s="1093">
        <f>H129*D129</f>
        <v/>
      </c>
      <c r="L129" s="1093">
        <f>K129+J129+I129</f>
        <v/>
      </c>
    </row>
    <row r="130">
      <c r="C130" s="11" t="inlineStr">
        <is>
          <t>CONECTOR CONDUIT 3/4 UL</t>
        </is>
      </c>
      <c r="D130" s="18" t="n">
        <v>4</v>
      </c>
      <c r="E130" s="18" t="inlineStr">
        <is>
          <t>uni</t>
        </is>
      </c>
      <c r="F130" s="1093" t="n"/>
      <c r="G130" s="1096" t="n">
        <v>253.57</v>
      </c>
      <c r="H130" s="1093" t="n"/>
      <c r="I130" s="1093">
        <f>F130*D130</f>
        <v/>
      </c>
      <c r="J130" s="1093">
        <f>G130*D130</f>
        <v/>
      </c>
      <c r="K130" s="1093">
        <f>H130*D130</f>
        <v/>
      </c>
      <c r="L130" s="1093">
        <f>K130+J130+I130</f>
        <v/>
      </c>
    </row>
    <row r="131">
      <c r="C131" s="11" t="inlineStr">
        <is>
          <t>GAZA EMT 1 OREJAS 1/2</t>
        </is>
      </c>
      <c r="D131" s="18" t="n">
        <v>60</v>
      </c>
      <c r="E131" s="18" t="inlineStr">
        <is>
          <t>uni</t>
        </is>
      </c>
      <c r="F131" s="1093" t="n"/>
      <c r="G131" s="1096" t="n">
        <v>65.86</v>
      </c>
      <c r="H131" s="1093" t="n"/>
      <c r="I131" s="1093">
        <f>F131*D131</f>
        <v/>
      </c>
      <c r="J131" s="1093">
        <f>G131*D131</f>
        <v/>
      </c>
      <c r="K131" s="1093">
        <f>H131*D131</f>
        <v/>
      </c>
      <c r="L131" s="1093">
        <f>K131+J131+I131</f>
        <v/>
      </c>
    </row>
    <row r="132">
      <c r="C132" s="11" t="inlineStr">
        <is>
          <t>CONECTOR CONDUIT 1/2 UL</t>
        </is>
      </c>
      <c r="D132" s="18" t="n">
        <v>100</v>
      </c>
      <c r="E132" s="18" t="inlineStr">
        <is>
          <t>uni</t>
        </is>
      </c>
      <c r="F132" s="1093" t="n"/>
      <c r="G132" s="1096" t="n">
        <v>250</v>
      </c>
      <c r="H132" s="1093" t="n"/>
      <c r="I132" s="1093">
        <f>F132*D132</f>
        <v/>
      </c>
      <c r="J132" s="1093">
        <f>G132*D132</f>
        <v/>
      </c>
      <c r="K132" s="1093">
        <f>H132*D132</f>
        <v/>
      </c>
      <c r="L132" s="1093">
        <f>K132+J132+I132</f>
        <v/>
      </c>
    </row>
    <row r="133">
      <c r="C133" s="11" t="inlineStr">
        <is>
          <t>CURVA CONDUIT 1/2 UL</t>
        </is>
      </c>
      <c r="D133" s="18" t="n">
        <v>62</v>
      </c>
      <c r="E133" s="18" t="inlineStr">
        <is>
          <t>uni</t>
        </is>
      </c>
      <c r="F133" s="1093" t="n"/>
      <c r="G133" s="1096" t="n">
        <v>1180</v>
      </c>
      <c r="H133" s="1093" t="n"/>
      <c r="I133" s="1093">
        <f>F133*D133</f>
        <v/>
      </c>
      <c r="J133" s="1093">
        <f>G133*D133</f>
        <v/>
      </c>
      <c r="K133" s="1093">
        <f>H133*D133</f>
        <v/>
      </c>
      <c r="L133" s="1093">
        <f>K133+J133+I133</f>
        <v/>
      </c>
    </row>
    <row r="134">
      <c r="C134" s="11" t="inlineStr">
        <is>
          <t>CURVA CONDUIT 1 UL</t>
        </is>
      </c>
      <c r="D134" s="18" t="n">
        <v>2</v>
      </c>
      <c r="E134" s="18" t="inlineStr">
        <is>
          <t>uni</t>
        </is>
      </c>
      <c r="F134" s="1093" t="n"/>
      <c r="G134" s="1096" t="n">
        <v>1757</v>
      </c>
      <c r="H134" s="1093" t="n"/>
      <c r="I134" s="1093">
        <f>F134*D134</f>
        <v/>
      </c>
      <c r="J134" s="1093">
        <f>G134*D134</f>
        <v/>
      </c>
      <c r="K134" s="1093">
        <f>H134*D134</f>
        <v/>
      </c>
      <c r="L134" s="1093">
        <f>K134+J134+I134</f>
        <v/>
      </c>
    </row>
    <row r="135">
      <c r="C135" s="11" t="inlineStr">
        <is>
          <t>CURVA CONDUIT 3/4 UL</t>
        </is>
      </c>
      <c r="D135" s="18" t="n">
        <v>6</v>
      </c>
      <c r="E135" s="18" t="inlineStr">
        <is>
          <t>uni</t>
        </is>
      </c>
      <c r="F135" s="1093" t="n"/>
      <c r="G135" s="1096" t="n">
        <v>1447</v>
      </c>
      <c r="H135" s="1093" t="n"/>
      <c r="I135" s="1093">
        <f>F135*D135</f>
        <v/>
      </c>
      <c r="J135" s="1093">
        <f>G135*D135</f>
        <v/>
      </c>
      <c r="K135" s="1093">
        <f>H135*D135</f>
        <v/>
      </c>
      <c r="L135" s="1093">
        <f>K135+J135+I135</f>
        <v/>
      </c>
    </row>
    <row r="136">
      <c r="C136" s="11" t="inlineStr">
        <is>
          <t>UNION CONDUIT 1/2 UL</t>
        </is>
      </c>
      <c r="D136" s="18" t="n">
        <v>30</v>
      </c>
      <c r="E136" s="18" t="inlineStr">
        <is>
          <t>uni</t>
        </is>
      </c>
      <c r="F136" s="1093" t="n"/>
      <c r="G136" s="1096" t="n">
        <v>270</v>
      </c>
      <c r="H136" s="1093" t="n"/>
      <c r="I136" s="1093">
        <f>F136*D136</f>
        <v/>
      </c>
      <c r="J136" s="1093">
        <f>G136*D136</f>
        <v/>
      </c>
      <c r="K136" s="1093">
        <f>H136*D136</f>
        <v/>
      </c>
      <c r="L136" s="1093">
        <f>K136+J136+I136</f>
        <v/>
      </c>
    </row>
    <row r="137">
      <c r="C137" s="11" t="inlineStr">
        <is>
          <t>UNION CONDUIT 1 UL</t>
        </is>
      </c>
      <c r="D137" s="18" t="n">
        <v>1</v>
      </c>
      <c r="E137" s="18" t="inlineStr">
        <is>
          <t>uni</t>
        </is>
      </c>
      <c r="F137" s="1093" t="n"/>
      <c r="G137" s="1096" t="n">
        <v>612</v>
      </c>
      <c r="H137" s="1093" t="n"/>
      <c r="I137" s="1093">
        <f>F137*D137</f>
        <v/>
      </c>
      <c r="J137" s="1093">
        <f>G137*D137</f>
        <v/>
      </c>
      <c r="K137" s="1093">
        <f>H137*D137</f>
        <v/>
      </c>
      <c r="L137" s="1093">
        <f>K137+J137+I137</f>
        <v/>
      </c>
    </row>
    <row r="138">
      <c r="C138" s="11" t="inlineStr">
        <is>
          <t>UNION CONDUIT 3/4 UL</t>
        </is>
      </c>
      <c r="D138" s="18" t="n">
        <v>4</v>
      </c>
      <c r="E138" s="18" t="inlineStr">
        <is>
          <t>uni</t>
        </is>
      </c>
      <c r="F138" s="1093" t="n"/>
      <c r="G138" s="1096" t="n">
        <v>386</v>
      </c>
      <c r="H138" s="1093" t="n"/>
      <c r="I138" s="1093">
        <f>F138*D138</f>
        <v/>
      </c>
      <c r="J138" s="1093">
        <f>G138*D138</f>
        <v/>
      </c>
      <c r="K138" s="1093">
        <f>H138*D138</f>
        <v/>
      </c>
      <c r="L138" s="1093">
        <f>K138+J138+I138</f>
        <v/>
      </c>
    </row>
    <row r="139">
      <c r="C139" s="11" t="inlineStr">
        <is>
          <t>CABLE #8 ROJO</t>
        </is>
      </c>
      <c r="D139" s="18" t="n">
        <v>60</v>
      </c>
      <c r="E139" s="18" t="inlineStr">
        <is>
          <t>mts</t>
        </is>
      </c>
      <c r="F139" s="1093" t="n"/>
      <c r="G139" s="1096" t="n">
        <v>893.83</v>
      </c>
      <c r="H139" s="1093" t="n"/>
      <c r="I139" s="1093">
        <f>F139*D139</f>
        <v/>
      </c>
      <c r="J139" s="1093">
        <f>G139*D139</f>
        <v/>
      </c>
      <c r="K139" s="1093">
        <f>H139*D139</f>
        <v/>
      </c>
      <c r="L139" s="1093">
        <f>K139+J139+I139</f>
        <v/>
      </c>
    </row>
    <row r="140">
      <c r="C140" s="11" t="inlineStr">
        <is>
          <t>CABLE #8 BLANCO</t>
        </is>
      </c>
      <c r="D140" s="18" t="n">
        <v>30</v>
      </c>
      <c r="E140" s="18" t="inlineStr">
        <is>
          <t>mts</t>
        </is>
      </c>
      <c r="F140" s="1093" t="n"/>
      <c r="G140" s="1096" t="n">
        <v>893.83</v>
      </c>
      <c r="H140" s="1093" t="n"/>
      <c r="I140" s="1093">
        <f>F140*D140</f>
        <v/>
      </c>
      <c r="J140" s="1093">
        <f>G140*D140</f>
        <v/>
      </c>
      <c r="K140" s="1093">
        <f>H140*D140</f>
        <v/>
      </c>
      <c r="L140" s="1093">
        <f>K140+J140+I140</f>
        <v/>
      </c>
    </row>
    <row r="141">
      <c r="C141" s="11" t="inlineStr">
        <is>
          <t>CABLE #8 VERDE</t>
        </is>
      </c>
      <c r="D141" s="18" t="n">
        <v>30</v>
      </c>
      <c r="E141" s="18" t="inlineStr">
        <is>
          <t>mts</t>
        </is>
      </c>
      <c r="F141" s="1093" t="n"/>
      <c r="G141" s="1096" t="n">
        <v>893.83</v>
      </c>
      <c r="H141" s="1093" t="n"/>
      <c r="I141" s="1093">
        <f>F141*D141</f>
        <v/>
      </c>
      <c r="J141" s="1093">
        <f>G141*D141</f>
        <v/>
      </c>
      <c r="K141" s="1093">
        <f>H141*D141</f>
        <v/>
      </c>
      <c r="L141" s="1093">
        <f>K141+J141+I141</f>
        <v/>
      </c>
    </row>
    <row r="142">
      <c r="C142" s="11" t="inlineStr">
        <is>
          <t>CABLE #10 ROJO</t>
        </is>
      </c>
      <c r="D142" s="18" t="n">
        <v>180</v>
      </c>
      <c r="E142" s="18" t="inlineStr">
        <is>
          <t>mts</t>
        </is>
      </c>
      <c r="F142" s="1093" t="n"/>
      <c r="G142" s="1096" t="n">
        <v>526.89</v>
      </c>
      <c r="H142" s="1093" t="n"/>
      <c r="I142" s="1093">
        <f>F142*D142</f>
        <v/>
      </c>
      <c r="J142" s="1093">
        <f>G142*D142</f>
        <v/>
      </c>
      <c r="K142" s="1093">
        <f>H142*D142</f>
        <v/>
      </c>
      <c r="L142" s="1093">
        <f>K142+J142+I142</f>
        <v/>
      </c>
    </row>
    <row r="143">
      <c r="C143" s="11" t="inlineStr">
        <is>
          <t>CABLE #10 VERDE</t>
        </is>
      </c>
      <c r="D143" s="18" t="n">
        <v>75</v>
      </c>
      <c r="E143" s="18" t="inlineStr">
        <is>
          <t>mts</t>
        </is>
      </c>
      <c r="F143" s="1093" t="n"/>
      <c r="G143" s="1096" t="n">
        <v>526.89</v>
      </c>
      <c r="H143" s="1093" t="n"/>
      <c r="I143" s="1093">
        <f>F143*D143</f>
        <v/>
      </c>
      <c r="J143" s="1093">
        <f>G143*D143</f>
        <v/>
      </c>
      <c r="K143" s="1093">
        <f>H143*D143</f>
        <v/>
      </c>
      <c r="L143" s="1093">
        <f>K143+J143+I143</f>
        <v/>
      </c>
    </row>
    <row r="144">
      <c r="C144" s="11" t="inlineStr">
        <is>
          <t>CABLE #12 AZUL</t>
        </is>
      </c>
      <c r="D144" s="18" t="n">
        <v>150</v>
      </c>
      <c r="E144" s="18" t="inlineStr">
        <is>
          <t>mts</t>
        </is>
      </c>
      <c r="F144" s="1093" t="n"/>
      <c r="G144" s="1096" t="n">
        <v>282.26</v>
      </c>
      <c r="H144" s="1093" t="n"/>
      <c r="I144" s="1093">
        <f>F144*D144</f>
        <v/>
      </c>
      <c r="J144" s="1093">
        <f>G144*D144</f>
        <v/>
      </c>
      <c r="K144" s="1093">
        <f>H144*D144</f>
        <v/>
      </c>
      <c r="L144" s="1093">
        <f>K144+J144+I144</f>
        <v/>
      </c>
    </row>
    <row r="145">
      <c r="C145" s="11" t="inlineStr">
        <is>
          <t>CABLE #12 ROJO</t>
        </is>
      </c>
      <c r="D145" s="18" t="n">
        <v>270</v>
      </c>
      <c r="E145" s="18" t="inlineStr">
        <is>
          <t>mts</t>
        </is>
      </c>
      <c r="F145" s="1093" t="n"/>
      <c r="G145" s="1096" t="n">
        <v>282.26</v>
      </c>
      <c r="H145" s="1093" t="n"/>
      <c r="I145" s="1093">
        <f>F145*D145</f>
        <v/>
      </c>
      <c r="J145" s="1093">
        <f>G145*D145</f>
        <v/>
      </c>
      <c r="K145" s="1093">
        <f>H145*D145</f>
        <v/>
      </c>
      <c r="L145" s="1093">
        <f>K145+J145+I145</f>
        <v/>
      </c>
    </row>
    <row r="146">
      <c r="C146" s="11" t="inlineStr">
        <is>
          <t>CABLE #12 NEGRO</t>
        </is>
      </c>
      <c r="D146" s="18" t="n">
        <v>350</v>
      </c>
      <c r="E146" s="18" t="inlineStr">
        <is>
          <t>mts</t>
        </is>
      </c>
      <c r="F146" s="1093" t="n"/>
      <c r="G146" s="1096" t="n">
        <v>282.26</v>
      </c>
      <c r="H146" s="1093" t="n"/>
      <c r="I146" s="1093">
        <f>F146*D146</f>
        <v/>
      </c>
      <c r="J146" s="1093">
        <f>G146*D146</f>
        <v/>
      </c>
      <c r="K146" s="1093">
        <f>H146*D146</f>
        <v/>
      </c>
      <c r="L146" s="1093">
        <f>K146+J146+I146</f>
        <v/>
      </c>
    </row>
    <row r="147">
      <c r="C147" s="11" t="inlineStr">
        <is>
          <t>CABLE #12 BLANCO</t>
        </is>
      </c>
      <c r="D147" s="18" t="n">
        <v>350</v>
      </c>
      <c r="E147" s="18" t="inlineStr">
        <is>
          <t>mts</t>
        </is>
      </c>
      <c r="F147" s="1093" t="n"/>
      <c r="G147" s="1096" t="n">
        <v>282.26</v>
      </c>
      <c r="H147" s="1093" t="n"/>
      <c r="I147" s="1093">
        <f>F147*D147</f>
        <v/>
      </c>
      <c r="J147" s="1093">
        <f>G147*D147</f>
        <v/>
      </c>
      <c r="K147" s="1093">
        <f>H147*D147</f>
        <v/>
      </c>
      <c r="L147" s="1093">
        <f>K147+J147+I147</f>
        <v/>
      </c>
    </row>
    <row r="148">
      <c r="C148" s="11" t="inlineStr">
        <is>
          <t>CABLE #12 VERDE</t>
        </is>
      </c>
      <c r="D148" s="18" t="n">
        <v>350</v>
      </c>
      <c r="E148" s="18" t="inlineStr">
        <is>
          <t>mts</t>
        </is>
      </c>
      <c r="F148" s="1093" t="n"/>
      <c r="G148" s="1096" t="n">
        <v>282.26</v>
      </c>
      <c r="H148" s="1093" t="n"/>
      <c r="I148" s="1093">
        <f>F148*D148</f>
        <v/>
      </c>
      <c r="J148" s="1093">
        <f>G148*D148</f>
        <v/>
      </c>
      <c r="K148" s="1093">
        <f>H148*D148</f>
        <v/>
      </c>
      <c r="L148" s="1093">
        <f>K148+J148+I148</f>
        <v/>
      </c>
    </row>
    <row r="149">
      <c r="C149" s="11" t="inlineStr">
        <is>
          <t>CONECTOR RESORTE ROJO</t>
        </is>
      </c>
      <c r="D149" s="18" t="n">
        <v>200</v>
      </c>
      <c r="E149" s="18" t="inlineStr">
        <is>
          <t>mts</t>
        </is>
      </c>
      <c r="F149" s="1093" t="n"/>
      <c r="G149" s="1096" t="n">
        <v>122.31</v>
      </c>
      <c r="H149" s="1093" t="n"/>
      <c r="I149" s="1093">
        <f>F149*D149</f>
        <v/>
      </c>
      <c r="J149" s="1093">
        <f>G149*D149</f>
        <v/>
      </c>
      <c r="K149" s="1093">
        <f>H149*D149</f>
        <v/>
      </c>
      <c r="L149" s="1093">
        <f>K149+J149+I149</f>
        <v/>
      </c>
    </row>
    <row r="150">
      <c r="C150" s="11" t="inlineStr">
        <is>
          <t>CABLE TGP 3X12</t>
        </is>
      </c>
      <c r="D150" s="18" t="n">
        <v>42</v>
      </c>
      <c r="E150" s="18" t="inlineStr">
        <is>
          <t>mts</t>
        </is>
      </c>
      <c r="F150" s="1093" t="n"/>
      <c r="G150" s="1096" t="n">
        <v>1348.53</v>
      </c>
      <c r="H150" s="1093" t="n"/>
      <c r="I150" s="1093">
        <f>F150*D150</f>
        <v/>
      </c>
      <c r="J150" s="1093">
        <f>G150*D150</f>
        <v/>
      </c>
      <c r="K150" s="1093">
        <f>H150*D150</f>
        <v/>
      </c>
      <c r="L150" s="1093">
        <f>K150+J150+I150</f>
        <v/>
      </c>
    </row>
    <row r="151">
      <c r="C151" s="11" t="inlineStr">
        <is>
          <t>PLAFON BLANCO</t>
        </is>
      </c>
      <c r="D151" s="18" t="n">
        <v>16</v>
      </c>
      <c r="E151" s="18" t="inlineStr">
        <is>
          <t>uni</t>
        </is>
      </c>
      <c r="F151" s="1093" t="n"/>
      <c r="G151" s="1096" t="n">
        <v>658.61</v>
      </c>
      <c r="H151" s="1093" t="n"/>
      <c r="I151" s="1093">
        <f>F151*D151</f>
        <v/>
      </c>
      <c r="J151" s="1093">
        <f>G151*D151</f>
        <v/>
      </c>
      <c r="K151" s="1093">
        <f>H151*D151</f>
        <v/>
      </c>
      <c r="L151" s="1093">
        <f>K151+J151+I151</f>
        <v/>
      </c>
    </row>
    <row r="152">
      <c r="C152" s="11" t="inlineStr">
        <is>
          <t>APAGADOR SENCILLO 15A 120 DECO</t>
        </is>
      </c>
      <c r="D152" s="18" t="n">
        <v>7</v>
      </c>
      <c r="E152" s="18" t="inlineStr">
        <is>
          <t>uni</t>
        </is>
      </c>
      <c r="F152" s="1093" t="n"/>
      <c r="G152" s="1096" t="n">
        <v>2352.19</v>
      </c>
      <c r="H152" s="1093" t="n"/>
      <c r="I152" s="1093">
        <f>F152*D152</f>
        <v/>
      </c>
      <c r="J152" s="1093">
        <f>G152*D152</f>
        <v/>
      </c>
      <c r="K152" s="1093">
        <f>H152*D152</f>
        <v/>
      </c>
      <c r="L152" s="1093">
        <f>K152+J152+I152</f>
        <v/>
      </c>
    </row>
    <row r="153">
      <c r="C153" s="11" t="inlineStr">
        <is>
          <t>APAGADOR DOBLE 15A 120 DECO</t>
        </is>
      </c>
      <c r="D153" s="18" t="n">
        <v>2</v>
      </c>
      <c r="E153" s="18" t="inlineStr">
        <is>
          <t>uni</t>
        </is>
      </c>
      <c r="F153" s="1093" t="n"/>
      <c r="G153" s="1096" t="n">
        <v>2822.63</v>
      </c>
      <c r="H153" s="1093" t="n"/>
      <c r="I153" s="1093">
        <f>F153*D153</f>
        <v/>
      </c>
      <c r="J153" s="1093">
        <f>G153*D153</f>
        <v/>
      </c>
      <c r="K153" s="1093">
        <f>H153*D153</f>
        <v/>
      </c>
      <c r="L153" s="1093">
        <f>K153+J153+I153</f>
        <v/>
      </c>
    </row>
    <row r="154">
      <c r="C154" s="11" t="inlineStr">
        <is>
          <t>APAGADOR TRIPLE 15A 120 DECO</t>
        </is>
      </c>
      <c r="D154" s="18" t="n">
        <v>1</v>
      </c>
      <c r="E154" s="18" t="inlineStr">
        <is>
          <t>uni</t>
        </is>
      </c>
      <c r="F154" s="1093" t="n"/>
      <c r="G154" s="1096" t="n">
        <v>5050.49</v>
      </c>
      <c r="H154" s="1093" t="n"/>
      <c r="I154" s="1093">
        <f>F154*D154</f>
        <v/>
      </c>
      <c r="J154" s="1093">
        <f>G154*D154</f>
        <v/>
      </c>
      <c r="K154" s="1093">
        <f>H154*D154</f>
        <v/>
      </c>
      <c r="L154" s="1093">
        <f>K154+J154+I154</f>
        <v/>
      </c>
    </row>
    <row r="155">
      <c r="C155" s="11" t="inlineStr">
        <is>
          <t>TOMA DOBLE POLARIZADO 15A 120 TR DECO</t>
        </is>
      </c>
      <c r="D155" s="18" t="n">
        <v>22</v>
      </c>
      <c r="E155" s="18" t="inlineStr">
        <is>
          <t>uni</t>
        </is>
      </c>
      <c r="F155" s="1093" t="n"/>
      <c r="G155" s="1096" t="n">
        <v>2446.28</v>
      </c>
      <c r="H155" s="1093" t="n"/>
      <c r="I155" s="1093">
        <f>F155*D155</f>
        <v/>
      </c>
      <c r="J155" s="1093">
        <f>G155*D155</f>
        <v/>
      </c>
      <c r="K155" s="1093">
        <f>H155*D155</f>
        <v/>
      </c>
      <c r="L155" s="1093">
        <f>K155+J155+I155</f>
        <v/>
      </c>
    </row>
    <row r="156">
      <c r="C156" s="11" t="inlineStr">
        <is>
          <t>ARO REPELLO EMT 4X4 2GANG</t>
        </is>
      </c>
      <c r="D156" s="18" t="n">
        <v>2</v>
      </c>
      <c r="E156" s="18" t="inlineStr">
        <is>
          <t>uni</t>
        </is>
      </c>
      <c r="F156" s="1093" t="n"/>
      <c r="G156" s="1096" t="n">
        <v>291.67</v>
      </c>
      <c r="H156" s="1093" t="n"/>
      <c r="I156" s="1093">
        <f>F156*D156</f>
        <v/>
      </c>
      <c r="J156" s="1093">
        <f>G156*D156</f>
        <v/>
      </c>
      <c r="K156" s="1093">
        <f>H156*D156</f>
        <v/>
      </c>
      <c r="L156" s="1093">
        <f>K156+J156+I156</f>
        <v/>
      </c>
    </row>
    <row r="157">
      <c r="C157" s="11" t="inlineStr">
        <is>
          <t>PLACA ACERO INOXIDABLE P/TOMA 50A 2 GANG CUADRADA</t>
        </is>
      </c>
      <c r="D157" s="18" t="n">
        <v>3</v>
      </c>
      <c r="E157" s="18" t="inlineStr">
        <is>
          <t>uni</t>
        </is>
      </c>
      <c r="F157" s="1093" t="n"/>
      <c r="G157" s="1096" t="n">
        <v>850.78</v>
      </c>
      <c r="H157" s="1093" t="n"/>
      <c r="I157" s="1093">
        <f>F157*D157</f>
        <v/>
      </c>
      <c r="J157" s="1093">
        <f>G157*D157</f>
        <v/>
      </c>
      <c r="K157" s="1093">
        <f>H157*D157</f>
        <v/>
      </c>
      <c r="L157" s="1093">
        <f>K157+J157+I157</f>
        <v/>
      </c>
    </row>
    <row r="158">
      <c r="C158" s="11" t="inlineStr">
        <is>
          <t>TOMA DE EMPOTRAR 50A/125/250V 3P-4W NEMA 14-50R</t>
        </is>
      </c>
      <c r="D158" s="18" t="n">
        <v>3</v>
      </c>
      <c r="E158" s="18" t="inlineStr">
        <is>
          <t>uni</t>
        </is>
      </c>
      <c r="F158" s="1093" t="n"/>
      <c r="G158" s="1096" t="n">
        <v>3658.59</v>
      </c>
      <c r="H158" s="1093" t="n"/>
      <c r="I158" s="1093">
        <f>F158*D158</f>
        <v/>
      </c>
      <c r="J158" s="1093">
        <f>G158*D158</f>
        <v/>
      </c>
      <c r="K158" s="1093">
        <f>H158*D158</f>
        <v/>
      </c>
      <c r="L158" s="1093">
        <f>K158+J158+I158</f>
        <v/>
      </c>
    </row>
    <row r="159">
      <c r="C159" s="11" t="inlineStr">
        <is>
          <t>MANO DE OBRA GENERAL</t>
        </is>
      </c>
      <c r="D159" s="18" t="n">
        <v>1</v>
      </c>
      <c r="E159" s="18" t="inlineStr">
        <is>
          <t>global</t>
        </is>
      </c>
      <c r="F159" s="1093" t="n">
        <v>390000</v>
      </c>
      <c r="G159" s="1093" t="n"/>
      <c r="H159" s="1093" t="n"/>
      <c r="I159" s="1093">
        <f>F159*D159</f>
        <v/>
      </c>
      <c r="J159" s="1093">
        <f>G159*D159</f>
        <v/>
      </c>
      <c r="K159" s="1093">
        <f>H159*D159</f>
        <v/>
      </c>
      <c r="L159" s="1093">
        <f>K159+J159+I159</f>
        <v/>
      </c>
    </row>
    <row r="161">
      <c r="C161" s="1099" t="inlineStr">
        <is>
          <t>SUB TOTAL</t>
        </is>
      </c>
      <c r="D161" s="1100" t="n"/>
      <c r="E161" s="1100" t="n"/>
      <c r="F161" s="1108" t="n"/>
      <c r="G161" s="1108" t="n"/>
      <c r="H161" s="1108" t="n"/>
      <c r="I161" s="1101">
        <f>SUM(I152:I160)</f>
        <v/>
      </c>
      <c r="J161" s="1118">
        <f>SUM(J119:J160)</f>
        <v/>
      </c>
      <c r="K161" s="1101">
        <f>SUM(K136:K160)</f>
        <v/>
      </c>
      <c r="L161" s="1101">
        <f>SUM(I161:K161)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selection activeCell="A1" sqref="A1"/>
    </sheetView>
  </sheetViews>
  <sheetFormatPr baseColWidth="8" defaultRowHeight="15"/>
  <sheetData>
    <row r="2">
      <c r="B2" s="1119" t="inlineStr">
        <is>
          <t>Ventaneria</t>
        </is>
      </c>
    </row>
    <row r="3">
      <c r="B3" s="1120" t="inlineStr">
        <is>
          <t>Tipo</t>
        </is>
      </c>
      <c r="C3" s="1120" t="inlineStr">
        <is>
          <t>Longitud</t>
        </is>
      </c>
      <c r="D3" s="1120" t="inlineStr">
        <is>
          <t>Alto</t>
        </is>
      </c>
      <c r="E3" s="1120" t="inlineStr">
        <is>
          <t>Area</t>
        </is>
      </c>
    </row>
    <row r="4">
      <c r="B4" s="1121" t="inlineStr">
        <is>
          <t>v1</t>
        </is>
      </c>
      <c r="C4" s="1121" t="n">
        <v>1.4</v>
      </c>
      <c r="D4" s="1121" t="n">
        <v>1.85</v>
      </c>
      <c r="E4" s="1121">
        <f>+C4*D4</f>
        <v/>
      </c>
    </row>
    <row r="5">
      <c r="B5" s="1121" t="inlineStr">
        <is>
          <t>v2</t>
        </is>
      </c>
      <c r="C5" s="1121" t="n">
        <v>1.4</v>
      </c>
      <c r="D5" s="1121" t="n">
        <v>1.85</v>
      </c>
      <c r="E5" s="1121">
        <f>+C5*D5</f>
        <v/>
      </c>
    </row>
    <row r="6">
      <c r="B6" s="1121" t="inlineStr">
        <is>
          <t>v3</t>
        </is>
      </c>
      <c r="C6" s="1121" t="n">
        <v>0.65</v>
      </c>
      <c r="D6" s="1121" t="n">
        <v>0.55</v>
      </c>
      <c r="E6" s="1121">
        <f>+C6*D6</f>
        <v/>
      </c>
    </row>
    <row r="7">
      <c r="B7" s="1121" t="inlineStr">
        <is>
          <t>v4</t>
        </is>
      </c>
      <c r="C7" s="1121" t="n">
        <v>0.65</v>
      </c>
      <c r="D7" s="1121" t="n">
        <v>0.55</v>
      </c>
      <c r="E7" s="1121">
        <f>+C7*D7</f>
        <v/>
      </c>
    </row>
    <row r="8">
      <c r="B8" s="1121" t="inlineStr">
        <is>
          <t>v4</t>
        </is>
      </c>
      <c r="C8" s="1121" t="n">
        <v>1.25</v>
      </c>
      <c r="D8" s="1121" t="n">
        <v>0.45</v>
      </c>
      <c r="E8" s="1121">
        <f>+C8*D8</f>
        <v/>
      </c>
    </row>
    <row r="9">
      <c r="D9" s="1119" t="inlineStr">
        <is>
          <t>Area</t>
        </is>
      </c>
      <c r="E9" s="1119">
        <f>SUM(E4:E8)</f>
        <v/>
      </c>
      <c r="F9" s="1122">
        <f>+K14</f>
        <v/>
      </c>
      <c r="G9" s="1122">
        <f>+E9*F9</f>
        <v/>
      </c>
    </row>
    <row r="11">
      <c r="B11" s="1119" t="inlineStr">
        <is>
          <t>Puertas</t>
        </is>
      </c>
    </row>
    <row r="12">
      <c r="B12" s="1120" t="inlineStr">
        <is>
          <t>Tipo</t>
        </is>
      </c>
      <c r="C12" s="1120" t="inlineStr">
        <is>
          <t>Longitud</t>
        </is>
      </c>
      <c r="D12" s="1120" t="inlineStr">
        <is>
          <t>Alto</t>
        </is>
      </c>
      <c r="E12" s="1120" t="inlineStr">
        <is>
          <t>Area</t>
        </is>
      </c>
    </row>
    <row r="13">
      <c r="B13" s="1121" t="inlineStr">
        <is>
          <t>P05</t>
        </is>
      </c>
      <c r="C13" s="1121" t="n">
        <v>1.7</v>
      </c>
      <c r="D13" s="1121" t="n">
        <v>2.15</v>
      </c>
      <c r="E13" s="1121">
        <f>+C13*D13</f>
        <v/>
      </c>
    </row>
    <row r="14">
      <c r="B14" s="1121" t="inlineStr">
        <is>
          <t>P08</t>
        </is>
      </c>
      <c r="C14" s="1121" t="n">
        <v>1.7</v>
      </c>
      <c r="D14" s="1121" t="n">
        <v>2.1</v>
      </c>
      <c r="E14" s="1121">
        <f>+C14*D14</f>
        <v/>
      </c>
      <c r="K14" s="1123">
        <f>1072000/(E9+E17)</f>
        <v/>
      </c>
    </row>
    <row r="15">
      <c r="B15" s="1121" t="inlineStr">
        <is>
          <t>P09</t>
        </is>
      </c>
      <c r="C15" s="1121" t="n">
        <v>0.8</v>
      </c>
      <c r="D15" s="1121" t="n">
        <v>2.1</v>
      </c>
      <c r="E15" s="1121">
        <f>+C15*D15</f>
        <v/>
      </c>
    </row>
    <row r="16">
      <c r="B16" s="1121" t="inlineStr">
        <is>
          <t>P09</t>
        </is>
      </c>
      <c r="C16" s="1121" t="n">
        <v>1.45</v>
      </c>
      <c r="D16" s="1121" t="n">
        <v>2.13</v>
      </c>
      <c r="E16" s="1121">
        <f>+C16*D16</f>
        <v/>
      </c>
    </row>
    <row r="17">
      <c r="D17" s="1119" t="inlineStr">
        <is>
          <t>Area</t>
        </is>
      </c>
      <c r="E17" s="1119">
        <f>SUM(E12:E16)</f>
        <v/>
      </c>
      <c r="F17" s="1122">
        <f>+K14</f>
        <v/>
      </c>
      <c r="G17" s="1122">
        <f>+E17*F17</f>
        <v/>
      </c>
    </row>
    <row r="19">
      <c r="F19" s="1124" t="inlineStr">
        <is>
          <t>Hoy</t>
        </is>
      </c>
      <c r="G19" s="1125">
        <f>+G9+G17</f>
        <v/>
      </c>
    </row>
    <row r="21">
      <c r="F21" s="1124" t="inlineStr">
        <is>
          <t>Año 2021</t>
        </is>
      </c>
      <c r="G21" s="1125" t="n">
        <v>696000</v>
      </c>
    </row>
    <row r="23">
      <c r="F23" s="1124" t="inlineStr">
        <is>
          <t>Diferencia</t>
        </is>
      </c>
      <c r="G23" s="1125">
        <f>+G19-G21</f>
        <v/>
      </c>
    </row>
    <row r="24">
      <c r="G24" s="1126">
        <f>+G23/G21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sheetData>
    <row r="2">
      <c r="B2" s="1119" t="inlineStr">
        <is>
          <t>Puertas</t>
        </is>
      </c>
    </row>
    <row r="3">
      <c r="B3" s="1119" t="n">
        <v>2021</v>
      </c>
    </row>
    <row r="4">
      <c r="B4" s="1120" t="inlineStr">
        <is>
          <t>Descripcion</t>
        </is>
      </c>
      <c r="C4" s="1120" t="inlineStr">
        <is>
          <t>Cantidad</t>
        </is>
      </c>
      <c r="D4" s="1120" t="inlineStr">
        <is>
          <t>Costo</t>
        </is>
      </c>
      <c r="E4" s="1120" t="inlineStr">
        <is>
          <t>Total</t>
        </is>
      </c>
    </row>
    <row r="5">
      <c r="B5" s="1121" t="inlineStr">
        <is>
          <t>Puertas</t>
        </is>
      </c>
      <c r="C5" s="1121" t="n">
        <v>7</v>
      </c>
      <c r="D5" s="1127" t="n">
        <v>97000</v>
      </c>
      <c r="E5" s="1127">
        <f>+C5*D5</f>
        <v/>
      </c>
    </row>
    <row r="6">
      <c r="D6" s="1119" t="inlineStr">
        <is>
          <t>total</t>
        </is>
      </c>
      <c r="E6" s="1122">
        <f>SUM(E5)</f>
        <v/>
      </c>
    </row>
    <row r="8">
      <c r="B8" s="1128" t="n">
        <v>44574</v>
      </c>
    </row>
    <row r="9">
      <c r="B9" s="1120" t="inlineStr">
        <is>
          <t>Descripcion</t>
        </is>
      </c>
      <c r="C9" s="1120" t="inlineStr">
        <is>
          <t>Cantidad</t>
        </is>
      </c>
      <c r="D9" s="1120" t="inlineStr">
        <is>
          <t>Costo</t>
        </is>
      </c>
      <c r="E9" s="1120" t="inlineStr">
        <is>
          <t>Total</t>
        </is>
      </c>
    </row>
    <row r="10">
      <c r="B10" s="1121" t="inlineStr">
        <is>
          <t>Puertas</t>
        </is>
      </c>
      <c r="C10" s="1121" t="n">
        <v>7</v>
      </c>
      <c r="D10" s="1127" t="n">
        <v>116000</v>
      </c>
      <c r="E10" s="1127">
        <f>+C10*D10</f>
        <v/>
      </c>
    </row>
    <row r="11">
      <c r="D11" s="1119" t="inlineStr">
        <is>
          <t>total</t>
        </is>
      </c>
      <c r="E11" s="1122">
        <f>SUM(E10)</f>
        <v/>
      </c>
    </row>
    <row r="13">
      <c r="D13" s="1129" t="n">
        <v>44574</v>
      </c>
      <c r="E13" s="1125">
        <f>+E11</f>
        <v/>
      </c>
    </row>
    <row r="15">
      <c r="D15" s="1124" t="inlineStr">
        <is>
          <t>Año 2021</t>
        </is>
      </c>
      <c r="E15" s="1125">
        <f>+E6</f>
        <v/>
      </c>
    </row>
    <row r="17">
      <c r="D17" s="1124" t="inlineStr">
        <is>
          <t>Diferencia</t>
        </is>
      </c>
      <c r="E17" s="1125">
        <f>+E13-E15</f>
        <v/>
      </c>
    </row>
    <row r="18">
      <c r="E18" s="1126">
        <f>+E17/E15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sheetData>
    <row r="2">
      <c r="B2" s="556" t="inlineStr">
        <is>
          <t>Muy poco disponible</t>
        </is>
      </c>
    </row>
    <row r="4">
      <c r="B4" s="1130" t="inlineStr">
        <is>
          <t>Descripcion</t>
        </is>
      </c>
      <c r="C4" s="1131" t="inlineStr">
        <is>
          <t>Antes</t>
        </is>
      </c>
      <c r="D4" s="1131" t="inlineStr">
        <is>
          <t>Real</t>
        </is>
      </c>
      <c r="E4" s="1130" t="inlineStr">
        <is>
          <t>Diferencia</t>
        </is>
      </c>
    </row>
    <row r="5">
      <c r="B5" s="11" t="inlineStr">
        <is>
          <t>Enchape pisos</t>
        </is>
      </c>
      <c r="C5" s="1093" t="n">
        <v>403000</v>
      </c>
      <c r="D5" s="1093">
        <f>+#REF!</f>
        <v/>
      </c>
      <c r="E5" s="1093">
        <f>+C5-D5</f>
        <v/>
      </c>
    </row>
    <row r="6">
      <c r="B6" s="11" t="inlineStr">
        <is>
          <t>Enchape baños</t>
        </is>
      </c>
      <c r="C6" s="1093" t="n">
        <v>175500</v>
      </c>
      <c r="D6" s="1093">
        <f>+#REF!</f>
        <v/>
      </c>
      <c r="E6" s="1093">
        <f>+C6-D6</f>
        <v/>
      </c>
    </row>
    <row r="7">
      <c r="B7" s="11" t="inlineStr">
        <is>
          <t>Enchape fachadas</t>
        </is>
      </c>
      <c r="C7" s="1093" t="n">
        <v>65000</v>
      </c>
      <c r="D7" s="1093">
        <f>+#REF!</f>
        <v/>
      </c>
      <c r="E7" s="1093">
        <f>+C7-D7</f>
        <v/>
      </c>
    </row>
    <row r="8">
      <c r="E8" s="775">
        <f>SUM(E5:E7)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Canoa</t>
        </is>
      </c>
      <c r="C2">
        <f>1.15+5.45+2.7+0.91</f>
        <v/>
      </c>
      <c r="D2" t="n">
        <v>12000</v>
      </c>
      <c r="E2">
        <f>+C2*D2</f>
        <v/>
      </c>
    </row>
    <row r="3">
      <c r="B3" t="inlineStr">
        <is>
          <t>Botaguas</t>
        </is>
      </c>
      <c r="C3">
        <f>6.55+0.5+5.3+3.7+2.05+2.85+6.45+14.9</f>
        <v/>
      </c>
      <c r="D3" t="n">
        <v>8000</v>
      </c>
      <c r="E3">
        <f>+C3*D3</f>
        <v/>
      </c>
    </row>
    <row r="4"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2026-04-13T02:24:14Z</dcterms:created>
  <dcterms:modified xmlns:dcterms="http://purl.org/dc/terms/" xmlns:xsi="http://www.w3.org/2001/XMLSchema-instance" xsi:type="dcterms:W3CDTF">2026-04-13T02:25:39Z</dcterms:modified>
</cp:coreProperties>
</file>